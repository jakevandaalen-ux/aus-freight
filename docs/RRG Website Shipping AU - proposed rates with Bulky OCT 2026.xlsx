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2.xml.rels" ContentType="application/vnd.openxmlformats-package.relationships+xml"/>
  <Override PartName="/xl/worksheets/_rels/sheet8.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ACT" sheetId="3" state="visible" r:id="rId5"/>
    <sheet name="NSW" sheetId="4" state="visible" r:id="rId6"/>
    <sheet name="NT" sheetId="5" state="visible" r:id="rId7"/>
    <sheet name="QLD" sheetId="6" state="visible" r:id="rId8"/>
    <sheet name="SA" sheetId="7" state="visible" r:id="rId9"/>
    <sheet name="TAS" sheetId="8" state="visible" r:id="rId10"/>
    <sheet name="VIC" sheetId="9" state="visible" r:id="rId11"/>
    <sheet name="WA" sheetId="10" state="visible" r:id="rId12"/>
    <sheet name="Cost model" sheetId="11" state="visible" r:id="rId13"/>
    <sheet name="Impact" sheetId="12" state="visible" r:id="rId14"/>
    <sheet name="Freight SIZE RULES" sheetId="13" state="visible" r:id="rId15"/>
    <sheet name="Source Hierarchy" sheetId="14" state="visible" r:id="rId16"/>
    <sheet name="Postcode zones" sheetId="15" state="visible" r:id="rId17"/>
  </sheets>
  <definedNames>
    <definedName function="false" hidden="true" localSheetId="10" name="_xlnm._FilterDatabase" vbProcedure="false">'Cost model'!$A$1:$P$1009</definedName>
    <definedName function="false" hidden="true" localSheetId="11" name="_xlnm._FilterDatabase" vbProcedure="false">Impact!$A$1:$L$5883</definedName>
    <definedName function="false" hidden="true" localSheetId="14" name="_xlnm._FilterDatabase" vbProcedure="false">'Postcode zones'!$A$1:$G$2965</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R25" authorId="0">
      <text>
        <r>
          <rPr>
            <sz val="10"/>
            <rFont val="Arial"/>
            <family val="2"/>
          </rPr>
          <t xml:space="preserve">No TAS from WA times in the 2025 sheet; copied from VIC. Check.</t>
        </r>
      </text>
    </comment>
    <comment ref="R26" authorId="0">
      <text>
        <r>
          <rPr>
            <sz val="10"/>
            <rFont val="Arial"/>
            <family val="2"/>
          </rPr>
          <t xml:space="preserve">No TAS from WA times in the 2025 sheet; copied from VIC. Check.</t>
        </r>
      </text>
    </comment>
    <comment ref="R27" authorId="0">
      <text>
        <r>
          <rPr>
            <sz val="10"/>
            <rFont val="Arial"/>
            <family val="2"/>
          </rPr>
          <t xml:space="preserve">No TAS from WA times in the 2025 sheet; copied from VIC. Check.</t>
        </r>
      </text>
    </comment>
    <comment ref="R28" authorId="0">
      <text>
        <r>
          <rPr>
            <sz val="10"/>
            <rFont val="Arial"/>
            <family val="2"/>
          </rPr>
          <t xml:space="preserve">No TAS from WA times in the 2025 sheet; copied from VIC. Check.</t>
        </r>
      </text>
    </comment>
    <comment ref="R29" authorId="0">
      <text>
        <r>
          <rPr>
            <sz val="10"/>
            <rFont val="Arial"/>
            <family val="2"/>
          </rPr>
          <t xml:space="preserve">No TAS from WA times in the 2025 sheet; copied from VIC. Check.</t>
        </r>
      </text>
    </comment>
    <comment ref="R30" authorId="0">
      <text>
        <r>
          <rPr>
            <sz val="10"/>
            <rFont val="Arial"/>
            <family val="2"/>
          </rPr>
          <t xml:space="preserve">No TAS from WA times in the 2025 sheet; copied from VIC. Check.</t>
        </r>
      </text>
    </comment>
    <comment ref="R34" authorId="0">
      <text>
        <r>
          <rPr>
            <sz val="10"/>
            <rFont val="Arial"/>
            <family val="2"/>
          </rPr>
          <t xml:space="preserve">No TAS from WA times in the 2025 sheet; copied from VIC. Check.</t>
        </r>
      </text>
    </comment>
    <comment ref="R35" authorId="0">
      <text>
        <r>
          <rPr>
            <sz val="10"/>
            <rFont val="Arial"/>
            <family val="2"/>
          </rPr>
          <t xml:space="preserve">No TAS from WA times in the 2025 sheet; copied from VIC. Check.</t>
        </r>
      </text>
    </comment>
    <comment ref="R36" authorId="0">
      <text>
        <r>
          <rPr>
            <sz val="10"/>
            <rFont val="Arial"/>
            <family val="2"/>
          </rPr>
          <t xml:space="preserve">No TAS from WA times in the 2025 sheet; copied from VIC. Check.</t>
        </r>
      </text>
    </comment>
    <comment ref="R37" authorId="0">
      <text>
        <r>
          <rPr>
            <sz val="10"/>
            <rFont val="Arial"/>
            <family val="2"/>
          </rPr>
          <t xml:space="preserve">No TAS from WA times in the 2025 sheet; copied from VIC. Check.</t>
        </r>
      </text>
    </comment>
    <comment ref="R38" authorId="0">
      <text>
        <r>
          <rPr>
            <sz val="10"/>
            <rFont val="Arial"/>
            <family val="2"/>
          </rPr>
          <t xml:space="preserve">No TAS from WA times in the 2025 sheet; copied from VIC. Check.</t>
        </r>
      </text>
    </comment>
    <comment ref="R39" authorId="0">
      <text>
        <r>
          <rPr>
            <sz val="10"/>
            <rFont val="Arial"/>
            <family val="2"/>
          </rPr>
          <t xml:space="preserve">No TAS from WA times in the 2025 sheet; copied from VIC. Check.</t>
        </r>
      </text>
    </comment>
    <comment ref="S25" authorId="0">
      <text>
        <r>
          <rPr>
            <sz val="10"/>
            <rFont val="Arial"/>
            <family val="2"/>
          </rPr>
          <t xml:space="preserve">No TAS from WA times in the 2025 sheet; copied from VIC. Check.</t>
        </r>
      </text>
    </comment>
    <comment ref="S26" authorId="0">
      <text>
        <r>
          <rPr>
            <sz val="10"/>
            <rFont val="Arial"/>
            <family val="2"/>
          </rPr>
          <t xml:space="preserve">No TAS from WA times in the 2025 sheet; copied from VIC. Check.</t>
        </r>
      </text>
    </comment>
    <comment ref="S27" authorId="0">
      <text>
        <r>
          <rPr>
            <sz val="10"/>
            <rFont val="Arial"/>
            <family val="2"/>
          </rPr>
          <t xml:space="preserve">No TAS from WA times in the 2025 sheet; copied from VIC. Check.</t>
        </r>
      </text>
    </comment>
    <comment ref="S28" authorId="0">
      <text>
        <r>
          <rPr>
            <sz val="10"/>
            <rFont val="Arial"/>
            <family val="2"/>
          </rPr>
          <t xml:space="preserve">No TAS from WA times in the 2025 sheet; copied from VIC. Check.</t>
        </r>
      </text>
    </comment>
    <comment ref="S29" authorId="0">
      <text>
        <r>
          <rPr>
            <sz val="10"/>
            <rFont val="Arial"/>
            <family val="2"/>
          </rPr>
          <t xml:space="preserve">No TAS from WA times in the 2025 sheet; copied from VIC. Check.</t>
        </r>
      </text>
    </comment>
    <comment ref="S30" authorId="0">
      <text>
        <r>
          <rPr>
            <sz val="10"/>
            <rFont val="Arial"/>
            <family val="2"/>
          </rPr>
          <t xml:space="preserve">No TAS from WA times in the 2025 sheet; copied from VIC. Check.</t>
        </r>
      </text>
    </comment>
    <comment ref="S34" authorId="0">
      <text>
        <r>
          <rPr>
            <sz val="10"/>
            <rFont val="Arial"/>
            <family val="2"/>
          </rPr>
          <t xml:space="preserve">No TAS from WA times in the 2025 sheet; copied from VIC. Check.</t>
        </r>
      </text>
    </comment>
    <comment ref="S35" authorId="0">
      <text>
        <r>
          <rPr>
            <sz val="10"/>
            <rFont val="Arial"/>
            <family val="2"/>
          </rPr>
          <t xml:space="preserve">No TAS from WA times in the 2025 sheet; copied from VIC. Check.</t>
        </r>
      </text>
    </comment>
    <comment ref="S36" authorId="0">
      <text>
        <r>
          <rPr>
            <sz val="10"/>
            <rFont val="Arial"/>
            <family val="2"/>
          </rPr>
          <t xml:space="preserve">No TAS from WA times in the 2025 sheet; copied from VIC. Check.</t>
        </r>
      </text>
    </comment>
    <comment ref="S37" authorId="0">
      <text>
        <r>
          <rPr>
            <sz val="10"/>
            <rFont val="Arial"/>
            <family val="2"/>
          </rPr>
          <t xml:space="preserve">No TAS from WA times in the 2025 sheet; copied from VIC. Check.</t>
        </r>
      </text>
    </comment>
    <comment ref="S38" authorId="0">
      <text>
        <r>
          <rPr>
            <sz val="10"/>
            <rFont val="Arial"/>
            <family val="2"/>
          </rPr>
          <t xml:space="preserve">No TAS from WA times in the 2025 sheet; copied from VIC. Check.</t>
        </r>
      </text>
    </comment>
    <comment ref="S39" authorId="0">
      <text>
        <r>
          <rPr>
            <sz val="10"/>
            <rFont val="Arial"/>
            <family val="2"/>
          </rPr>
          <t xml:space="preserve">No TAS from WA times in the 2025 sheet; copied from VIC. Check.</t>
        </r>
      </text>
    </comment>
    <comment ref="T25" authorId="0">
      <text>
        <r>
          <rPr>
            <sz val="10"/>
            <rFont val="Arial"/>
            <family val="2"/>
          </rPr>
          <t xml:space="preserve">No TAS from WA times in the 2025 sheet; copied from VIC. Check.</t>
        </r>
      </text>
    </comment>
    <comment ref="T26" authorId="0">
      <text>
        <r>
          <rPr>
            <sz val="10"/>
            <rFont val="Arial"/>
            <family val="2"/>
          </rPr>
          <t xml:space="preserve">No TAS from WA times in the 2025 sheet; copied from VIC. Check.</t>
        </r>
      </text>
    </comment>
    <comment ref="T27" authorId="0">
      <text>
        <r>
          <rPr>
            <sz val="10"/>
            <rFont val="Arial"/>
            <family val="2"/>
          </rPr>
          <t xml:space="preserve">No TAS from WA times in the 2025 sheet; copied from VIC. Check.</t>
        </r>
      </text>
    </comment>
    <comment ref="T28" authorId="0">
      <text>
        <r>
          <rPr>
            <sz val="10"/>
            <rFont val="Arial"/>
            <family val="2"/>
          </rPr>
          <t xml:space="preserve">No TAS from WA times in the 2025 sheet; copied from VIC. Check.</t>
        </r>
      </text>
    </comment>
    <comment ref="T29" authorId="0">
      <text>
        <r>
          <rPr>
            <sz val="10"/>
            <rFont val="Arial"/>
            <family val="2"/>
          </rPr>
          <t xml:space="preserve">No TAS from WA times in the 2025 sheet; copied from VIC. Check.</t>
        </r>
      </text>
    </comment>
    <comment ref="T30" authorId="0">
      <text>
        <r>
          <rPr>
            <sz val="10"/>
            <rFont val="Arial"/>
            <family val="2"/>
          </rPr>
          <t xml:space="preserve">No TAS from WA times in the 2025 sheet; copied from VIC. Check.</t>
        </r>
      </text>
    </comment>
    <comment ref="T34" authorId="0">
      <text>
        <r>
          <rPr>
            <sz val="10"/>
            <rFont val="Arial"/>
            <family val="2"/>
          </rPr>
          <t xml:space="preserve">No TAS from WA times in the 2025 sheet; copied from VIC. Check.</t>
        </r>
      </text>
    </comment>
    <comment ref="T35" authorId="0">
      <text>
        <r>
          <rPr>
            <sz val="10"/>
            <rFont val="Arial"/>
            <family val="2"/>
          </rPr>
          <t xml:space="preserve">No TAS from WA times in the 2025 sheet; copied from VIC. Check.</t>
        </r>
      </text>
    </comment>
    <comment ref="T36" authorId="0">
      <text>
        <r>
          <rPr>
            <sz val="10"/>
            <rFont val="Arial"/>
            <family val="2"/>
          </rPr>
          <t xml:space="preserve">No TAS from WA times in the 2025 sheet; copied from VIC. Check.</t>
        </r>
      </text>
    </comment>
    <comment ref="T37" authorId="0">
      <text>
        <r>
          <rPr>
            <sz val="10"/>
            <rFont val="Arial"/>
            <family val="2"/>
          </rPr>
          <t xml:space="preserve">No TAS from WA times in the 2025 sheet; copied from VIC. Check.</t>
        </r>
      </text>
    </comment>
    <comment ref="T38" authorId="0">
      <text>
        <r>
          <rPr>
            <sz val="10"/>
            <rFont val="Arial"/>
            <family val="2"/>
          </rPr>
          <t xml:space="preserve">No TAS from WA times in the 2025 sheet; copied from VIC. Check.</t>
        </r>
      </text>
    </comment>
    <comment ref="T39" authorId="0">
      <text>
        <r>
          <rPr>
            <sz val="10"/>
            <rFont val="Arial"/>
            <family val="2"/>
          </rPr>
          <t xml:space="preserve">No TAS from WA times in the 2025 sheet; copied from VIC. Check.</t>
        </r>
      </text>
    </comment>
    <comment ref="V25" authorId="0">
      <text>
        <r>
          <rPr>
            <sz val="10"/>
            <rFont val="Arial"/>
            <family val="2"/>
          </rPr>
          <t xml:space="preserve">No TAS from ACT times in the 2025 sheet; copied from VIC. Check.</t>
        </r>
      </text>
    </comment>
    <comment ref="V26" authorId="0">
      <text>
        <r>
          <rPr>
            <sz val="10"/>
            <rFont val="Arial"/>
            <family val="2"/>
          </rPr>
          <t xml:space="preserve">No TAS from ACT times in the 2025 sheet; copied from VIC. Check.</t>
        </r>
      </text>
    </comment>
    <comment ref="V27" authorId="0">
      <text>
        <r>
          <rPr>
            <sz val="10"/>
            <rFont val="Arial"/>
            <family val="2"/>
          </rPr>
          <t xml:space="preserve">No TAS from ACT times in the 2025 sheet; copied from VIC. Check.</t>
        </r>
      </text>
    </comment>
    <comment ref="V28" authorId="0">
      <text>
        <r>
          <rPr>
            <sz val="10"/>
            <rFont val="Arial"/>
            <family val="2"/>
          </rPr>
          <t xml:space="preserve">No TAS from ACT times in the 2025 sheet; copied from VIC. Check.</t>
        </r>
      </text>
    </comment>
    <comment ref="V29" authorId="0">
      <text>
        <r>
          <rPr>
            <sz val="10"/>
            <rFont val="Arial"/>
            <family val="2"/>
          </rPr>
          <t xml:space="preserve">No TAS from ACT times in the 2025 sheet; copied from VIC. Check.</t>
        </r>
      </text>
    </comment>
    <comment ref="V30" authorId="0">
      <text>
        <r>
          <rPr>
            <sz val="10"/>
            <rFont val="Arial"/>
            <family val="2"/>
          </rPr>
          <t xml:space="preserve">No TAS from ACT times in the 2025 sheet; copied from VIC. Check.</t>
        </r>
      </text>
    </comment>
    <comment ref="V34" authorId="0">
      <text>
        <r>
          <rPr>
            <sz val="10"/>
            <rFont val="Arial"/>
            <family val="2"/>
          </rPr>
          <t xml:space="preserve">No TAS from ACT times in the 2025 sheet; copied from VIC. Check.</t>
        </r>
      </text>
    </comment>
    <comment ref="V35" authorId="0">
      <text>
        <r>
          <rPr>
            <sz val="10"/>
            <rFont val="Arial"/>
            <family val="2"/>
          </rPr>
          <t xml:space="preserve">No TAS from ACT times in the 2025 sheet; copied from VIC. Check.</t>
        </r>
      </text>
    </comment>
    <comment ref="V36" authorId="0">
      <text>
        <r>
          <rPr>
            <sz val="10"/>
            <rFont val="Arial"/>
            <family val="2"/>
          </rPr>
          <t xml:space="preserve">No TAS from ACT times in the 2025 sheet; copied from VIC. Check.</t>
        </r>
      </text>
    </comment>
    <comment ref="V37" authorId="0">
      <text>
        <r>
          <rPr>
            <sz val="10"/>
            <rFont val="Arial"/>
            <family val="2"/>
          </rPr>
          <t xml:space="preserve">No TAS from ACT times in the 2025 sheet; copied from VIC. Check.</t>
        </r>
      </text>
    </comment>
    <comment ref="V38" authorId="0">
      <text>
        <r>
          <rPr>
            <sz val="10"/>
            <rFont val="Arial"/>
            <family val="2"/>
          </rPr>
          <t xml:space="preserve">No TAS from ACT times in the 2025 sheet; copied from VIC. Check.</t>
        </r>
      </text>
    </comment>
    <comment ref="V39" authorId="0">
      <text>
        <r>
          <rPr>
            <sz val="10"/>
            <rFont val="Arial"/>
            <family val="2"/>
          </rPr>
          <t xml:space="preserve">No TAS from ACT times in the 2025 sheet; copied from VIC. Check.</t>
        </r>
      </text>
    </comment>
    <comment ref="W25" authorId="0">
      <text>
        <r>
          <rPr>
            <sz val="10"/>
            <rFont val="Arial"/>
            <family val="2"/>
          </rPr>
          <t xml:space="preserve">No TAS from ACT times in the 2025 sheet; copied from VIC. Check.</t>
        </r>
      </text>
    </comment>
    <comment ref="W26" authorId="0">
      <text>
        <r>
          <rPr>
            <sz val="10"/>
            <rFont val="Arial"/>
            <family val="2"/>
          </rPr>
          <t xml:space="preserve">No TAS from ACT times in the 2025 sheet; copied from VIC. Check.</t>
        </r>
      </text>
    </comment>
    <comment ref="W27" authorId="0">
      <text>
        <r>
          <rPr>
            <sz val="10"/>
            <rFont val="Arial"/>
            <family val="2"/>
          </rPr>
          <t xml:space="preserve">No TAS from ACT times in the 2025 sheet; copied from VIC. Check.</t>
        </r>
      </text>
    </comment>
    <comment ref="W28" authorId="0">
      <text>
        <r>
          <rPr>
            <sz val="10"/>
            <rFont val="Arial"/>
            <family val="2"/>
          </rPr>
          <t xml:space="preserve">No TAS from ACT times in the 2025 sheet; copied from VIC. Check.</t>
        </r>
      </text>
    </comment>
    <comment ref="W29" authorId="0">
      <text>
        <r>
          <rPr>
            <sz val="10"/>
            <rFont val="Arial"/>
            <family val="2"/>
          </rPr>
          <t xml:space="preserve">No TAS from ACT times in the 2025 sheet; copied from VIC. Check.</t>
        </r>
      </text>
    </comment>
    <comment ref="W30" authorId="0">
      <text>
        <r>
          <rPr>
            <sz val="10"/>
            <rFont val="Arial"/>
            <family val="2"/>
          </rPr>
          <t xml:space="preserve">No TAS from ACT times in the 2025 sheet; copied from VIC. Check.</t>
        </r>
      </text>
    </comment>
    <comment ref="W34" authorId="0">
      <text>
        <r>
          <rPr>
            <sz val="10"/>
            <rFont val="Arial"/>
            <family val="2"/>
          </rPr>
          <t xml:space="preserve">No TAS from ACT times in the 2025 sheet; copied from VIC. Check.</t>
        </r>
      </text>
    </comment>
    <comment ref="W35" authorId="0">
      <text>
        <r>
          <rPr>
            <sz val="10"/>
            <rFont val="Arial"/>
            <family val="2"/>
          </rPr>
          <t xml:space="preserve">No TAS from ACT times in the 2025 sheet; copied from VIC. Check.</t>
        </r>
      </text>
    </comment>
    <comment ref="W36" authorId="0">
      <text>
        <r>
          <rPr>
            <sz val="10"/>
            <rFont val="Arial"/>
            <family val="2"/>
          </rPr>
          <t xml:space="preserve">No TAS from ACT times in the 2025 sheet; copied from VIC. Check.</t>
        </r>
      </text>
    </comment>
    <comment ref="W37" authorId="0">
      <text>
        <r>
          <rPr>
            <sz val="10"/>
            <rFont val="Arial"/>
            <family val="2"/>
          </rPr>
          <t xml:space="preserve">No TAS from ACT times in the 2025 sheet; copied from VIC. Check.</t>
        </r>
      </text>
    </comment>
    <comment ref="W38" authorId="0">
      <text>
        <r>
          <rPr>
            <sz val="10"/>
            <rFont val="Arial"/>
            <family val="2"/>
          </rPr>
          <t xml:space="preserve">No TAS from ACT times in the 2025 sheet; copied from VIC. Check.</t>
        </r>
      </text>
    </comment>
    <comment ref="W39" authorId="0">
      <text>
        <r>
          <rPr>
            <sz val="10"/>
            <rFont val="Arial"/>
            <family val="2"/>
          </rPr>
          <t xml:space="preserve">No TAS from ACT times in the 2025 sheet; copied from VIC. Check.</t>
        </r>
      </text>
    </comment>
    <comment ref="X25" authorId="0">
      <text>
        <r>
          <rPr>
            <sz val="10"/>
            <rFont val="Arial"/>
            <family val="2"/>
          </rPr>
          <t xml:space="preserve">No TAS from ACT times in the 2025 sheet; copied from VIC. Check.</t>
        </r>
      </text>
    </comment>
    <comment ref="X26" authorId="0">
      <text>
        <r>
          <rPr>
            <sz val="10"/>
            <rFont val="Arial"/>
            <family val="2"/>
          </rPr>
          <t xml:space="preserve">No TAS from ACT times in the 2025 sheet; copied from VIC. Check.</t>
        </r>
      </text>
    </comment>
    <comment ref="X27" authorId="0">
      <text>
        <r>
          <rPr>
            <sz val="10"/>
            <rFont val="Arial"/>
            <family val="2"/>
          </rPr>
          <t xml:space="preserve">No TAS from ACT times in the 2025 sheet; copied from VIC. Check.</t>
        </r>
      </text>
    </comment>
    <comment ref="X28" authorId="0">
      <text>
        <r>
          <rPr>
            <sz val="10"/>
            <rFont val="Arial"/>
            <family val="2"/>
          </rPr>
          <t xml:space="preserve">No TAS from ACT times in the 2025 sheet; copied from VIC. Check.</t>
        </r>
      </text>
    </comment>
    <comment ref="X29" authorId="0">
      <text>
        <r>
          <rPr>
            <sz val="10"/>
            <rFont val="Arial"/>
            <family val="2"/>
          </rPr>
          <t xml:space="preserve">No TAS from ACT times in the 2025 sheet; copied from VIC. Check.</t>
        </r>
      </text>
    </comment>
    <comment ref="X30" authorId="0">
      <text>
        <r>
          <rPr>
            <sz val="10"/>
            <rFont val="Arial"/>
            <family val="2"/>
          </rPr>
          <t xml:space="preserve">No TAS from ACT times in the 2025 sheet; copied from VIC. Check.</t>
        </r>
      </text>
    </comment>
    <comment ref="X34" authorId="0">
      <text>
        <r>
          <rPr>
            <sz val="10"/>
            <rFont val="Arial"/>
            <family val="2"/>
          </rPr>
          <t xml:space="preserve">No TAS from ACT times in the 2025 sheet; copied from VIC. Check.</t>
        </r>
      </text>
    </comment>
    <comment ref="X35" authorId="0">
      <text>
        <r>
          <rPr>
            <sz val="10"/>
            <rFont val="Arial"/>
            <family val="2"/>
          </rPr>
          <t xml:space="preserve">No TAS from ACT times in the 2025 sheet; copied from VIC. Check.</t>
        </r>
      </text>
    </comment>
    <comment ref="X36" authorId="0">
      <text>
        <r>
          <rPr>
            <sz val="10"/>
            <rFont val="Arial"/>
            <family val="2"/>
          </rPr>
          <t xml:space="preserve">No TAS from ACT times in the 2025 sheet; copied from VIC. Check.</t>
        </r>
      </text>
    </comment>
    <comment ref="X37" authorId="0">
      <text>
        <r>
          <rPr>
            <sz val="10"/>
            <rFont val="Arial"/>
            <family val="2"/>
          </rPr>
          <t xml:space="preserve">No TAS from ACT times in the 2025 sheet; copied from VIC. Check.</t>
        </r>
      </text>
    </comment>
    <comment ref="X38" authorId="0">
      <text>
        <r>
          <rPr>
            <sz val="10"/>
            <rFont val="Arial"/>
            <family val="2"/>
          </rPr>
          <t xml:space="preserve">No TAS from ACT times in the 2025 sheet; copied from VIC. Check.</t>
        </r>
      </text>
    </comment>
    <comment ref="X39" authorId="0">
      <text>
        <r>
          <rPr>
            <sz val="10"/>
            <rFont val="Arial"/>
            <family val="2"/>
          </rPr>
          <t xml:space="preserve">No TAS from ACT times in the 2025 sheet; copied from VIC. Check.</t>
        </r>
      </text>
    </comment>
    <comment ref="Z25" authorId="0">
      <text>
        <r>
          <rPr>
            <sz val="10"/>
            <rFont val="Arial"/>
            <family val="2"/>
          </rPr>
          <t xml:space="preserve">No TAS from SA times in the 2025 sheet; copied from VIC. Check.</t>
        </r>
      </text>
    </comment>
    <comment ref="Z26" authorId="0">
      <text>
        <r>
          <rPr>
            <sz val="10"/>
            <rFont val="Arial"/>
            <family val="2"/>
          </rPr>
          <t xml:space="preserve">No TAS from SA times in the 2025 sheet; copied from VIC. Check.</t>
        </r>
      </text>
    </comment>
    <comment ref="Z27" authorId="0">
      <text>
        <r>
          <rPr>
            <sz val="10"/>
            <rFont val="Arial"/>
            <family val="2"/>
          </rPr>
          <t xml:space="preserve">No TAS from SA times in the 2025 sheet; copied from VIC. Check.</t>
        </r>
      </text>
    </comment>
    <comment ref="Z28" authorId="0">
      <text>
        <r>
          <rPr>
            <sz val="10"/>
            <rFont val="Arial"/>
            <family val="2"/>
          </rPr>
          <t xml:space="preserve">No TAS from SA times in the 2025 sheet; copied from VIC. Check.</t>
        </r>
      </text>
    </comment>
    <comment ref="Z29" authorId="0">
      <text>
        <r>
          <rPr>
            <sz val="10"/>
            <rFont val="Arial"/>
            <family val="2"/>
          </rPr>
          <t xml:space="preserve">No TAS from SA times in the 2025 sheet; copied from VIC. Check.</t>
        </r>
      </text>
    </comment>
    <comment ref="Z30" authorId="0">
      <text>
        <r>
          <rPr>
            <sz val="10"/>
            <rFont val="Arial"/>
            <family val="2"/>
          </rPr>
          <t xml:space="preserve">No TAS from SA times in the 2025 sheet; copied from VIC. Check.</t>
        </r>
      </text>
    </comment>
    <comment ref="Z34" authorId="0">
      <text>
        <r>
          <rPr>
            <sz val="10"/>
            <rFont val="Arial"/>
            <family val="2"/>
          </rPr>
          <t xml:space="preserve">No TAS from SA times in the 2025 sheet; copied from VIC. Check.</t>
        </r>
      </text>
    </comment>
    <comment ref="Z35" authorId="0">
      <text>
        <r>
          <rPr>
            <sz val="10"/>
            <rFont val="Arial"/>
            <family val="2"/>
          </rPr>
          <t xml:space="preserve">No TAS from SA times in the 2025 sheet; copied from VIC. Check.</t>
        </r>
      </text>
    </comment>
    <comment ref="Z36" authorId="0">
      <text>
        <r>
          <rPr>
            <sz val="10"/>
            <rFont val="Arial"/>
            <family val="2"/>
          </rPr>
          <t xml:space="preserve">No TAS from SA times in the 2025 sheet; copied from VIC. Check.</t>
        </r>
      </text>
    </comment>
    <comment ref="Z37" authorId="0">
      <text>
        <r>
          <rPr>
            <sz val="10"/>
            <rFont val="Arial"/>
            <family val="2"/>
          </rPr>
          <t xml:space="preserve">No TAS from SA times in the 2025 sheet; copied from VIC. Check.</t>
        </r>
      </text>
    </comment>
    <comment ref="Z38" authorId="0">
      <text>
        <r>
          <rPr>
            <sz val="10"/>
            <rFont val="Arial"/>
            <family val="2"/>
          </rPr>
          <t xml:space="preserve">No TAS from SA times in the 2025 sheet; copied from VIC. Check.</t>
        </r>
      </text>
    </comment>
    <comment ref="Z39" authorId="0">
      <text>
        <r>
          <rPr>
            <sz val="10"/>
            <rFont val="Arial"/>
            <family val="2"/>
          </rPr>
          <t xml:space="preserve">No TAS from SA times in the 2025 sheet; copied from VIC. Check.</t>
        </r>
      </text>
    </comment>
    <comment ref="AA25" authorId="0">
      <text>
        <r>
          <rPr>
            <sz val="10"/>
            <rFont val="Arial"/>
            <family val="2"/>
          </rPr>
          <t xml:space="preserve">No TAS from SA times in the 2025 sheet; copied from VIC. Check.</t>
        </r>
      </text>
    </comment>
    <comment ref="AA26" authorId="0">
      <text>
        <r>
          <rPr>
            <sz val="10"/>
            <rFont val="Arial"/>
            <family val="2"/>
          </rPr>
          <t xml:space="preserve">No TAS from SA times in the 2025 sheet; copied from VIC. Check.</t>
        </r>
      </text>
    </comment>
    <comment ref="AA27" authorId="0">
      <text>
        <r>
          <rPr>
            <sz val="10"/>
            <rFont val="Arial"/>
            <family val="2"/>
          </rPr>
          <t xml:space="preserve">No TAS from SA times in the 2025 sheet; copied from VIC. Check.</t>
        </r>
      </text>
    </comment>
    <comment ref="AA28" authorId="0">
      <text>
        <r>
          <rPr>
            <sz val="10"/>
            <rFont val="Arial"/>
            <family val="2"/>
          </rPr>
          <t xml:space="preserve">No TAS from SA times in the 2025 sheet; copied from VIC. Check.</t>
        </r>
      </text>
    </comment>
    <comment ref="AA29" authorId="0">
      <text>
        <r>
          <rPr>
            <sz val="10"/>
            <rFont val="Arial"/>
            <family val="2"/>
          </rPr>
          <t xml:space="preserve">No TAS from SA times in the 2025 sheet; copied from VIC. Check.</t>
        </r>
      </text>
    </comment>
    <comment ref="AA30" authorId="0">
      <text>
        <r>
          <rPr>
            <sz val="10"/>
            <rFont val="Arial"/>
            <family val="2"/>
          </rPr>
          <t xml:space="preserve">No TAS from SA times in the 2025 sheet; copied from VIC. Check.</t>
        </r>
      </text>
    </comment>
    <comment ref="AA34" authorId="0">
      <text>
        <r>
          <rPr>
            <sz val="10"/>
            <rFont val="Arial"/>
            <family val="2"/>
          </rPr>
          <t xml:space="preserve">No TAS from SA times in the 2025 sheet; copied from VIC. Check.</t>
        </r>
      </text>
    </comment>
    <comment ref="AA35" authorId="0">
      <text>
        <r>
          <rPr>
            <sz val="10"/>
            <rFont val="Arial"/>
            <family val="2"/>
          </rPr>
          <t xml:space="preserve">No TAS from SA times in the 2025 sheet; copied from VIC. Check.</t>
        </r>
      </text>
    </comment>
    <comment ref="AA36" authorId="0">
      <text>
        <r>
          <rPr>
            <sz val="10"/>
            <rFont val="Arial"/>
            <family val="2"/>
          </rPr>
          <t xml:space="preserve">No TAS from SA times in the 2025 sheet; copied from VIC. Check.</t>
        </r>
      </text>
    </comment>
    <comment ref="AA37" authorId="0">
      <text>
        <r>
          <rPr>
            <sz val="10"/>
            <rFont val="Arial"/>
            <family val="2"/>
          </rPr>
          <t xml:space="preserve">No TAS from SA times in the 2025 sheet; copied from VIC. Check.</t>
        </r>
      </text>
    </comment>
    <comment ref="AA38" authorId="0">
      <text>
        <r>
          <rPr>
            <sz val="10"/>
            <rFont val="Arial"/>
            <family val="2"/>
          </rPr>
          <t xml:space="preserve">No TAS from SA times in the 2025 sheet; copied from VIC. Check.</t>
        </r>
      </text>
    </comment>
    <comment ref="AA39" authorId="0">
      <text>
        <r>
          <rPr>
            <sz val="10"/>
            <rFont val="Arial"/>
            <family val="2"/>
          </rPr>
          <t xml:space="preserve">No TAS from SA times in the 2025 sheet; copied from VIC. Check.</t>
        </r>
      </text>
    </comment>
    <comment ref="AB25" authorId="0">
      <text>
        <r>
          <rPr>
            <sz val="10"/>
            <rFont val="Arial"/>
            <family val="2"/>
          </rPr>
          <t xml:space="preserve">No TAS from SA times in the 2025 sheet; copied from VIC. Check.</t>
        </r>
      </text>
    </comment>
    <comment ref="AB26" authorId="0">
      <text>
        <r>
          <rPr>
            <sz val="10"/>
            <rFont val="Arial"/>
            <family val="2"/>
          </rPr>
          <t xml:space="preserve">No TAS from SA times in the 2025 sheet; copied from VIC. Check.</t>
        </r>
      </text>
    </comment>
    <comment ref="AB27" authorId="0">
      <text>
        <r>
          <rPr>
            <sz val="10"/>
            <rFont val="Arial"/>
            <family val="2"/>
          </rPr>
          <t xml:space="preserve">No TAS from SA times in the 2025 sheet; copied from VIC. Check.</t>
        </r>
      </text>
    </comment>
    <comment ref="AB28" authorId="0">
      <text>
        <r>
          <rPr>
            <sz val="10"/>
            <rFont val="Arial"/>
            <family val="2"/>
          </rPr>
          <t xml:space="preserve">No TAS from SA times in the 2025 sheet; copied from VIC. Check.</t>
        </r>
      </text>
    </comment>
    <comment ref="AB29" authorId="0">
      <text>
        <r>
          <rPr>
            <sz val="10"/>
            <rFont val="Arial"/>
            <family val="2"/>
          </rPr>
          <t xml:space="preserve">No TAS from SA times in the 2025 sheet; copied from VIC. Check.</t>
        </r>
      </text>
    </comment>
    <comment ref="AB30" authorId="0">
      <text>
        <r>
          <rPr>
            <sz val="10"/>
            <rFont val="Arial"/>
            <family val="2"/>
          </rPr>
          <t xml:space="preserve">No TAS from SA times in the 2025 sheet; copied from VIC. Check.</t>
        </r>
      </text>
    </comment>
    <comment ref="AB34" authorId="0">
      <text>
        <r>
          <rPr>
            <sz val="10"/>
            <rFont val="Arial"/>
            <family val="2"/>
          </rPr>
          <t xml:space="preserve">No TAS from SA times in the 2025 sheet; copied from VIC. Check.</t>
        </r>
      </text>
    </comment>
    <comment ref="AB35" authorId="0">
      <text>
        <r>
          <rPr>
            <sz val="10"/>
            <rFont val="Arial"/>
            <family val="2"/>
          </rPr>
          <t xml:space="preserve">No TAS from SA times in the 2025 sheet; copied from VIC. Check.</t>
        </r>
      </text>
    </comment>
    <comment ref="AB36" authorId="0">
      <text>
        <r>
          <rPr>
            <sz val="10"/>
            <rFont val="Arial"/>
            <family val="2"/>
          </rPr>
          <t xml:space="preserve">No TAS from SA times in the 2025 sheet; copied from VIC. Check.</t>
        </r>
      </text>
    </comment>
    <comment ref="AB37" authorId="0">
      <text>
        <r>
          <rPr>
            <sz val="10"/>
            <rFont val="Arial"/>
            <family val="2"/>
          </rPr>
          <t xml:space="preserve">No TAS from SA times in the 2025 sheet; copied from VIC. Check.</t>
        </r>
      </text>
    </comment>
    <comment ref="AB38" authorId="0">
      <text>
        <r>
          <rPr>
            <sz val="10"/>
            <rFont val="Arial"/>
            <family val="2"/>
          </rPr>
          <t xml:space="preserve">No TAS from SA times in the 2025 sheet; copied from VIC. Check.</t>
        </r>
      </text>
    </comment>
    <comment ref="AB39" authorId="0">
      <text>
        <r>
          <rPr>
            <sz val="10"/>
            <rFont val="Arial"/>
            <family val="2"/>
          </rPr>
          <t xml:space="preserve">No TAS from SA times in the 2025 sheet; copied from VIC. Check.</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Z25" authorId="0">
      <text>
        <r>
          <rPr>
            <sz val="10"/>
            <rFont val="Arial"/>
            <family val="2"/>
          </rPr>
          <t xml:space="preserve">No WA from TAS times in the 2025 sheet; copied from VIC. Check.</t>
        </r>
      </text>
    </comment>
    <comment ref="Z26" authorId="0">
      <text>
        <r>
          <rPr>
            <sz val="10"/>
            <rFont val="Arial"/>
            <family val="2"/>
          </rPr>
          <t xml:space="preserve">No WA from TAS times in the 2025 sheet; copied from VIC. Check.</t>
        </r>
      </text>
    </comment>
    <comment ref="Z27" authorId="0">
      <text>
        <r>
          <rPr>
            <sz val="10"/>
            <rFont val="Arial"/>
            <family val="2"/>
          </rPr>
          <t xml:space="preserve">No WA from TAS times in the 2025 sheet; copied from VIC. Check.</t>
        </r>
      </text>
    </comment>
    <comment ref="Z28" authorId="0">
      <text>
        <r>
          <rPr>
            <sz val="10"/>
            <rFont val="Arial"/>
            <family val="2"/>
          </rPr>
          <t xml:space="preserve">No WA from TAS times in the 2025 sheet; copied from VIC. Check.</t>
        </r>
      </text>
    </comment>
    <comment ref="Z29" authorId="0">
      <text>
        <r>
          <rPr>
            <sz val="10"/>
            <rFont val="Arial"/>
            <family val="2"/>
          </rPr>
          <t xml:space="preserve">No WA from TAS times in the 2025 sheet; copied from VIC. Check.</t>
        </r>
      </text>
    </comment>
    <comment ref="Z30" authorId="0">
      <text>
        <r>
          <rPr>
            <sz val="10"/>
            <rFont val="Arial"/>
            <family val="2"/>
          </rPr>
          <t xml:space="preserve">No WA from TAS times in the 2025 sheet; copied from VIC. Check.</t>
        </r>
      </text>
    </comment>
    <comment ref="Z34" authorId="0">
      <text>
        <r>
          <rPr>
            <sz val="10"/>
            <rFont val="Arial"/>
            <family val="2"/>
          </rPr>
          <t xml:space="preserve">No WA from TAS times in the 2025 sheet; copied from VIC. Check.</t>
        </r>
      </text>
    </comment>
    <comment ref="Z35" authorId="0">
      <text>
        <r>
          <rPr>
            <sz val="10"/>
            <rFont val="Arial"/>
            <family val="2"/>
          </rPr>
          <t xml:space="preserve">No WA from TAS times in the 2025 sheet; copied from VIC. Check.</t>
        </r>
      </text>
    </comment>
    <comment ref="Z36" authorId="0">
      <text>
        <r>
          <rPr>
            <sz val="10"/>
            <rFont val="Arial"/>
            <family val="2"/>
          </rPr>
          <t xml:space="preserve">No WA from TAS times in the 2025 sheet; copied from VIC. Check.</t>
        </r>
      </text>
    </comment>
    <comment ref="Z37" authorId="0">
      <text>
        <r>
          <rPr>
            <sz val="10"/>
            <rFont val="Arial"/>
            <family val="2"/>
          </rPr>
          <t xml:space="preserve">No WA from TAS times in the 2025 sheet; copied from VIC. Check.</t>
        </r>
      </text>
    </comment>
    <comment ref="Z38" authorId="0">
      <text>
        <r>
          <rPr>
            <sz val="10"/>
            <rFont val="Arial"/>
            <family val="2"/>
          </rPr>
          <t xml:space="preserve">No WA from TAS times in the 2025 sheet; copied from VIC. Check.</t>
        </r>
      </text>
    </comment>
    <comment ref="Z39" authorId="0">
      <text>
        <r>
          <rPr>
            <sz val="10"/>
            <rFont val="Arial"/>
            <family val="2"/>
          </rPr>
          <t xml:space="preserve">No WA from TAS times in the 2025 sheet; copied from VIC. Check.</t>
        </r>
      </text>
    </comment>
    <comment ref="AA25" authorId="0">
      <text>
        <r>
          <rPr>
            <sz val="10"/>
            <rFont val="Arial"/>
            <family val="2"/>
          </rPr>
          <t xml:space="preserve">No WA from TAS times in the 2025 sheet; copied from VIC. Check.</t>
        </r>
      </text>
    </comment>
    <comment ref="AA26" authorId="0">
      <text>
        <r>
          <rPr>
            <sz val="10"/>
            <rFont val="Arial"/>
            <family val="2"/>
          </rPr>
          <t xml:space="preserve">No WA from TAS times in the 2025 sheet; copied from VIC. Check.</t>
        </r>
      </text>
    </comment>
    <comment ref="AA27" authorId="0">
      <text>
        <r>
          <rPr>
            <sz val="10"/>
            <rFont val="Arial"/>
            <family val="2"/>
          </rPr>
          <t xml:space="preserve">No WA from TAS times in the 2025 sheet; copied from VIC. Check.</t>
        </r>
      </text>
    </comment>
    <comment ref="AA28" authorId="0">
      <text>
        <r>
          <rPr>
            <sz val="10"/>
            <rFont val="Arial"/>
            <family val="2"/>
          </rPr>
          <t xml:space="preserve">No WA from TAS times in the 2025 sheet; copied from VIC. Check.</t>
        </r>
      </text>
    </comment>
    <comment ref="AA29" authorId="0">
      <text>
        <r>
          <rPr>
            <sz val="10"/>
            <rFont val="Arial"/>
            <family val="2"/>
          </rPr>
          <t xml:space="preserve">No WA from TAS times in the 2025 sheet; copied from VIC. Check.</t>
        </r>
      </text>
    </comment>
    <comment ref="AA30" authorId="0">
      <text>
        <r>
          <rPr>
            <sz val="10"/>
            <rFont val="Arial"/>
            <family val="2"/>
          </rPr>
          <t xml:space="preserve">No WA from TAS times in the 2025 sheet; copied from VIC. Check.</t>
        </r>
      </text>
    </comment>
    <comment ref="AA34" authorId="0">
      <text>
        <r>
          <rPr>
            <sz val="10"/>
            <rFont val="Arial"/>
            <family val="2"/>
          </rPr>
          <t xml:space="preserve">No WA from TAS times in the 2025 sheet; copied from VIC. Check.</t>
        </r>
      </text>
    </comment>
    <comment ref="AA35" authorId="0">
      <text>
        <r>
          <rPr>
            <sz val="10"/>
            <rFont val="Arial"/>
            <family val="2"/>
          </rPr>
          <t xml:space="preserve">No WA from TAS times in the 2025 sheet; copied from VIC. Check.</t>
        </r>
      </text>
    </comment>
    <comment ref="AA36" authorId="0">
      <text>
        <r>
          <rPr>
            <sz val="10"/>
            <rFont val="Arial"/>
            <family val="2"/>
          </rPr>
          <t xml:space="preserve">No WA from TAS times in the 2025 sheet; copied from VIC. Check.</t>
        </r>
      </text>
    </comment>
    <comment ref="AA37" authorId="0">
      <text>
        <r>
          <rPr>
            <sz val="10"/>
            <rFont val="Arial"/>
            <family val="2"/>
          </rPr>
          <t xml:space="preserve">No WA from TAS times in the 2025 sheet; copied from VIC. Check.</t>
        </r>
      </text>
    </comment>
    <comment ref="AA38" authorId="0">
      <text>
        <r>
          <rPr>
            <sz val="10"/>
            <rFont val="Arial"/>
            <family val="2"/>
          </rPr>
          <t xml:space="preserve">No WA from TAS times in the 2025 sheet; copied from VIC. Check.</t>
        </r>
      </text>
    </comment>
    <comment ref="AA39" authorId="0">
      <text>
        <r>
          <rPr>
            <sz val="10"/>
            <rFont val="Arial"/>
            <family val="2"/>
          </rPr>
          <t xml:space="preserve">No WA from TAS times in the 2025 sheet; copied from VIC. Check.</t>
        </r>
      </text>
    </comment>
    <comment ref="AB25" authorId="0">
      <text>
        <r>
          <rPr>
            <sz val="10"/>
            <rFont val="Arial"/>
            <family val="2"/>
          </rPr>
          <t xml:space="preserve">No WA from TAS times in the 2025 sheet; copied from VIC. Check.</t>
        </r>
      </text>
    </comment>
    <comment ref="AB26" authorId="0">
      <text>
        <r>
          <rPr>
            <sz val="10"/>
            <rFont val="Arial"/>
            <family val="2"/>
          </rPr>
          <t xml:space="preserve">No WA from TAS times in the 2025 sheet; copied from VIC. Check.</t>
        </r>
      </text>
    </comment>
    <comment ref="AB27" authorId="0">
      <text>
        <r>
          <rPr>
            <sz val="10"/>
            <rFont val="Arial"/>
            <family val="2"/>
          </rPr>
          <t xml:space="preserve">No WA from TAS times in the 2025 sheet; copied from VIC. Check.</t>
        </r>
      </text>
    </comment>
    <comment ref="AB28" authorId="0">
      <text>
        <r>
          <rPr>
            <sz val="10"/>
            <rFont val="Arial"/>
            <family val="2"/>
          </rPr>
          <t xml:space="preserve">No WA from TAS times in the 2025 sheet; copied from VIC. Check.</t>
        </r>
      </text>
    </comment>
    <comment ref="AB29" authorId="0">
      <text>
        <r>
          <rPr>
            <sz val="10"/>
            <rFont val="Arial"/>
            <family val="2"/>
          </rPr>
          <t xml:space="preserve">No WA from TAS times in the 2025 sheet; copied from VIC. Check.</t>
        </r>
      </text>
    </comment>
    <comment ref="AB30" authorId="0">
      <text>
        <r>
          <rPr>
            <sz val="10"/>
            <rFont val="Arial"/>
            <family val="2"/>
          </rPr>
          <t xml:space="preserve">No WA from TAS times in the 2025 sheet; copied from VIC. Check.</t>
        </r>
      </text>
    </comment>
    <comment ref="AB34" authorId="0">
      <text>
        <r>
          <rPr>
            <sz val="10"/>
            <rFont val="Arial"/>
            <family val="2"/>
          </rPr>
          <t xml:space="preserve">No WA from TAS times in the 2025 sheet; copied from VIC. Check.</t>
        </r>
      </text>
    </comment>
    <comment ref="AB35" authorId="0">
      <text>
        <r>
          <rPr>
            <sz val="10"/>
            <rFont val="Arial"/>
            <family val="2"/>
          </rPr>
          <t xml:space="preserve">No WA from TAS times in the 2025 sheet; copied from VIC. Check.</t>
        </r>
      </text>
    </comment>
    <comment ref="AB36" authorId="0">
      <text>
        <r>
          <rPr>
            <sz val="10"/>
            <rFont val="Arial"/>
            <family val="2"/>
          </rPr>
          <t xml:space="preserve">No WA from TAS times in the 2025 sheet; copied from VIC. Check.</t>
        </r>
      </text>
    </comment>
    <comment ref="AB37" authorId="0">
      <text>
        <r>
          <rPr>
            <sz val="10"/>
            <rFont val="Arial"/>
            <family val="2"/>
          </rPr>
          <t xml:space="preserve">No WA from TAS times in the 2025 sheet; copied from VIC. Check.</t>
        </r>
      </text>
    </comment>
    <comment ref="AB38" authorId="0">
      <text>
        <r>
          <rPr>
            <sz val="10"/>
            <rFont val="Arial"/>
            <family val="2"/>
          </rPr>
          <t xml:space="preserve">No WA from TAS times in the 2025 sheet; copied from VIC. Check.</t>
        </r>
      </text>
    </comment>
    <comment ref="AB39" authorId="0">
      <text>
        <r>
          <rPr>
            <sz val="10"/>
            <rFont val="Arial"/>
            <family val="2"/>
          </rPr>
          <t xml:space="preserve">No WA from TAS times in the 2025 sheet; copied from VIC. Check.</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Trimmed average (top and bottom 10% dropped) of what carriers charged us incl. GST, for this size and zone, adjusted for the warehouse-to-state lane. See Read me.</t>
        </r>
      </text>
    </comment>
  </commentList>
</comments>
</file>

<file path=xl/sharedStrings.xml><?xml version="1.0" encoding="utf-8"?>
<sst xmlns="http://schemas.openxmlformats.org/spreadsheetml/2006/main" count="64624" uniqueCount="7052">
  <si>
    <t xml:space="preserve">RRG Website Shipping · Australia · proposed rates with a Bulky size</t>
  </si>
  <si>
    <t xml:space="preserve">Prepared 20 October 2026 from Roof Racks Galore order and carrier data. Same layout as "RRG Website Shipping OCT 2025": one tab per delivery state, a table for each warehouse the order ships from, Standard and Priority, Metro / Metro Outer / Regional.</t>
  </si>
  <si>
    <t xml:space="preserve">Settings (change the yellow cells; every price in the workbook updates)</t>
  </si>
  <si>
    <t xml:space="preserve">Freight margin on top of expected cost</t>
  </si>
  <si>
    <t xml:space="preserve">0% = break-even: on average the Standard charge covers what the carrier charges us for that size, zone and warehouse. 10% adds 10% on top of expected cost.</t>
  </si>
  <si>
    <t xml:space="preserve">Minimum Priority uplift over Standard ($)</t>
  </si>
  <si>
    <t xml:space="preserve">Priority is at least this much more than Standard.</t>
  </si>
  <si>
    <t xml:space="preserve">Round prices up to the next $x.50 up to ($)</t>
  </si>
  <si>
    <t xml:space="preserve">Below this, prices end in .50 (e.g. $12.50). Above it they round up to the next $5.</t>
  </si>
  <si>
    <t xml:space="preserve">Priority ÷ Standard ratio by size</t>
  </si>
  <si>
    <t xml:space="preserve">Small</t>
  </si>
  <si>
    <t xml:space="preserve">Median of Priority ÷ Standard across the 2025 sheet, kept between 1.20 and 1.35 (Large was 2.1 and XL 1.0 in 2025 because those Standard prices were far below cost). Applied to every cell. Change these if you want a different Priority premium.</t>
  </si>
  <si>
    <t xml:space="preserve">Medium</t>
  </si>
  <si>
    <t xml:space="preserve">Large</t>
  </si>
  <si>
    <t xml:space="preserve">XL</t>
  </si>
  <si>
    <t xml:space="preserve">XXL</t>
  </si>
  <si>
    <t xml:space="preserve">Bulky</t>
  </si>
  <si>
    <t xml:space="preserve">How the prices are set</t>
  </si>
  <si>
    <t xml:space="preserve">1. Each order is sized the way the website does it: every product gets a 1–5 score from its longest side, cubic weight (250 kg/m³) and actual weight, and the order takes its biggest product's size. See the Freight SIZE RULES tab.</t>
  </si>
  <si>
    <t xml:space="preserve">2. Expected cost = what carriers actually charged us (invoiced cost, or the carrier estimate where not yet billed, plus 10% GST) on 5,882 matched orders, June–October 2026, that went as one invoice in one shipment.</t>
  </si>
  <si>
    <t xml:space="preserve">3. Costs are averaged after dropping the top and bottom 10% of orders in each group, so one-off surcharges don't set the price.</t>
  </si>
  <si>
    <t xml:space="preserve">4. Each size × zone gets a national figure, separately for same-state and interstate deliveries. Each warehouse-to-state lane then gets a factor from its own orders (for example WA to VIC costs about 25% more than the interstate average). Lanes with few orders lean on the national figure; lanes with no orders use distance.</t>
  </si>
  <si>
    <t xml:space="preserve">5. Where a lane has its own orders for a size and zone, those orders are blended in. Prices never go down from a smaller size to a larger one, or from Metro to Outer to Regional.</t>
  </si>
  <si>
    <t xml:space="preserve">6. Standard = expected cost × (1 + freight margin), rounded up. Priority = Standard × the Priority ratio for its size (above), at least the minimum uplift, rounded up. We don't yet have enough priority shipments to cost Priority separately.</t>
  </si>
  <si>
    <t xml:space="preserve">7. Delivery time frames are copied from the 2025 sheet, except that there is no 0–1 day Priority any more: those 30 cells (all same-state Metro deliveries) are now Priority 1–2 days and Standard 1–3 days (was 1–2 days).</t>
  </si>
  <si>
    <t xml:space="preserve">8. One rate for interstate XXL and Bulky to Metro Outer and Regional: these have a single price, the Priority price, used for both Standard and Priority. Shown in the state tabs as the same figure in both tables (grey cells), and marked "One rate" on the Cost model tab.</t>
  </si>
  <si>
    <t xml:space="preserve">What else changed from the 2025 sheet</t>
  </si>
  <si>
    <t xml:space="preserve">• New Bulky size: any product of 0.4 m³ or more (cubic weight 100 kg+), such as roof boxes, rooftop tents, platforms, trays and ladders, is Bulky. Today those are charged as XL or XXL. Taking them out lowers XL and XXL, since Bulky orders cost about $190–$220 to send against about $125 for other XL and XXL orders. Bulky delivery times are copied from XXL.</t>
  </si>
  <si>
    <t xml:space="preserve">• The TAS tab now has a From SA table and the WA tab a From TAS table (both were missing).</t>
  </si>
  <si>
    <t xml:space="preserve">• NT Priority XL and XXL now have prices from every warehouse (most were blank).</t>
  </si>
  <si>
    <t xml:space="preserve">• Postcode zones tab: every Australia Post postcode with its website zone name. 97 NSW Outer Metro postcodes (Central Coast, Newcastle, Wollongong, Blue Mountains, Coffs Harbour, Albury, Griffith) were missing from the 2025 Auspost template and are added, marked "Added".</t>
  </si>
  <si>
    <t xml:space="preserve">• Freight SIZE RULES tab now matches how the website actually scores products (the 2025 tab listed different length limits and no cubic weight).</t>
  </si>
  <si>
    <t xml:space="preserve">Things to know</t>
  </si>
  <si>
    <t xml:space="preserve">• These are break-even prices on today's carrier mix. Medium is the biggest change: most Medium orders are 1.05–1.8 m long (roof bars), which Australia Post can't carry, so they go StarTrack at $40–55. See the Summary tab for an option that splits Medium at 1.05 m.</t>
  </si>
  <si>
    <t xml:space="preserve">• Large, XL and XXL have far fewer orders than Small and Medium, especially interstate Regional, so those prices are less certain. The Cost model tab shows how many orders sit behind every price.</t>
  </si>
  <si>
    <t xml:space="preserve">• Carrier rate cards weren't used directly: they need each carrier's postcode zones, fuel levy and surcharges, which weren't in the exports. Costs are what we were actually charged.</t>
  </si>
  <si>
    <t xml:space="preserve">• The Impact tab re-prices the same 5,882 orders under these rates so you can see the effect before changing the website.</t>
  </si>
  <si>
    <t xml:space="preserve">Summary</t>
  </si>
  <si>
    <t xml:space="preserve">Re-pricing the 5,882 matched single-shipment orders (Impact tab) under the new rates. Updates when you change the settings on Read me.</t>
  </si>
  <si>
    <t xml:space="preserve">Orders</t>
  </si>
  <si>
    <t xml:space="preserve">We charged</t>
  </si>
  <si>
    <t xml:space="preserve">Cost us</t>
  </si>
  <si>
    <t xml:space="preserve">Charged − cost</t>
  </si>
  <si>
    <t xml:space="preserve">New rates would charge</t>
  </si>
  <si>
    <t xml:space="preserve">New − cost</t>
  </si>
  <si>
    <t xml:space="preserve">All orders</t>
  </si>
  <si>
    <t xml:space="preserve">By size</t>
  </si>
  <si>
    <t xml:space="preserve">By zone</t>
  </si>
  <si>
    <t xml:space="preserve">Metro</t>
  </si>
  <si>
    <t xml:space="preserve">Metro Outer</t>
  </si>
  <si>
    <t xml:space="preserve">Regional</t>
  </si>
  <si>
    <t xml:space="preserve">By warehouse</t>
  </si>
  <si>
    <t xml:space="preserve">QLD · Brendale</t>
  </si>
  <si>
    <t xml:space="preserve">NSW · Moorebank</t>
  </si>
  <si>
    <t xml:space="preserve">VIC · Campbellfield</t>
  </si>
  <si>
    <t xml:space="preserve">SA · Adelaide</t>
  </si>
  <si>
    <t xml:space="preserve">WA · Wangara</t>
  </si>
  <si>
    <t xml:space="preserve">TAS · Moonah</t>
  </si>
  <si>
    <t xml:space="preserve">ACT · Fyshwick</t>
  </si>
  <si>
    <t xml:space="preserve">Typical price per order, Standard (median of each tab's same-state table)</t>
  </si>
  <si>
    <t xml:space="preserve">Size</t>
  </si>
  <si>
    <t xml:space="preserve">Metro 2025</t>
  </si>
  <si>
    <t xml:space="preserve">Metro new</t>
  </si>
  <si>
    <t xml:space="preserve">Outer 2025</t>
  </si>
  <si>
    <t xml:space="preserve">Outer new</t>
  </si>
  <si>
    <t xml:space="preserve">Regional 2025</t>
  </si>
  <si>
    <t xml:space="preserve">Regional new</t>
  </si>
  <si>
    <t xml:space="preserve">Bulky (XXL today)</t>
  </si>
  <si>
    <t xml:space="preserve">Option: split Medium at 1.05 m (what Medium orders actually cost us, incl. GST, trimmed average)</t>
  </si>
  <si>
    <t xml:space="preserve">Outer metro</t>
  </si>
  <si>
    <t xml:space="preserve">Medium up to 1.05 m, same state</t>
  </si>
  <si>
    <t xml:space="preserve">Medium over 1.05 m, same state</t>
  </si>
  <si>
    <t xml:space="preserve">Medium up to 1.05 m, interstate</t>
  </si>
  <si>
    <t xml:space="preserve">Medium over 1.05 m, interstate</t>
  </si>
  <si>
    <t xml:space="preserve">Most Medium orders under 1.05 m can go Australia Post. Splitting Medium would let the website keep a low price for those and charge the long ones what StarTrack costs. It needs a 6th size on the website, so it isn't applied in the state tabs.</t>
  </si>
  <si>
    <t xml:space="preserve">Freight Charges for ACT Orders</t>
  </si>
  <si>
    <t xml:space="preserve">Standard</t>
  </si>
  <si>
    <t xml:space="preserve">From QLD</t>
  </si>
  <si>
    <t xml:space="preserve">From VIC</t>
  </si>
  <si>
    <t xml:space="preserve">From SA</t>
  </si>
  <si>
    <t xml:space="preserve">From NSW</t>
  </si>
  <si>
    <t xml:space="preserve">From ACT</t>
  </si>
  <si>
    <t xml:space="preserve">From TAS</t>
  </si>
  <si>
    <t xml:space="preserve">From WA</t>
  </si>
  <si>
    <t xml:space="preserve">Freight Size</t>
  </si>
  <si>
    <t xml:space="preserve">Priority</t>
  </si>
  <si>
    <t xml:space="preserve">Delivery time frames for ACT Orders</t>
  </si>
  <si>
    <t xml:space="preserve">2-5 Days</t>
  </si>
  <si>
    <t xml:space="preserve">3-7 Days</t>
  </si>
  <si>
    <t xml:space="preserve">1-3 Days</t>
  </si>
  <si>
    <t xml:space="preserve">7-14 Days</t>
  </si>
  <si>
    <t xml:space="preserve">5-10 Days</t>
  </si>
  <si>
    <t xml:space="preserve">1-2 Days</t>
  </si>
  <si>
    <t xml:space="preserve">2-7 Days</t>
  </si>
  <si>
    <t xml:space="preserve">Freight Charges for NSW Orders</t>
  </si>
  <si>
    <t xml:space="preserve">Delivery time frames for NSW Orders</t>
  </si>
  <si>
    <t xml:space="preserve">7-10 Days</t>
  </si>
  <si>
    <t xml:space="preserve">Freight Charges for NT Orders</t>
  </si>
  <si>
    <t xml:space="preserve">Delivery time frames for NT Orders</t>
  </si>
  <si>
    <t xml:space="preserve">Freight Charges for QLD Orders</t>
  </si>
  <si>
    <t xml:space="preserve">Delivery time frames for QLD Orders</t>
  </si>
  <si>
    <t xml:space="preserve">Freight Charges for SA Orders</t>
  </si>
  <si>
    <t xml:space="preserve">Delivery time frames for SA Orders</t>
  </si>
  <si>
    <t xml:space="preserve">Freight Charges for TAS Orders</t>
  </si>
  <si>
    <t xml:space="preserve">Delivery time frames for TAS Orders</t>
  </si>
  <si>
    <t xml:space="preserve">Freight Charges for VIC Orders</t>
  </si>
  <si>
    <t xml:space="preserve">Delivery time frames for VIC Orders</t>
  </si>
  <si>
    <t xml:space="preserve">Freight Charges for WA Orders</t>
  </si>
  <si>
    <t xml:space="preserve">Delivery time frames for WA Orders</t>
  </si>
  <si>
    <t xml:space="preserve">Key</t>
  </si>
  <si>
    <t xml:space="preserve">Delivering to</t>
  </si>
  <si>
    <t xml:space="preserve">Ships from</t>
  </si>
  <si>
    <t xml:space="preserve">Zone</t>
  </si>
  <si>
    <t xml:space="preserve">Expected cost incl. GST</t>
  </si>
  <si>
    <t xml:space="preserve">Orders in this cell</t>
  </si>
  <si>
    <t xml:space="preserve">Orders on this lane</t>
  </si>
  <si>
    <t xml:space="preserve">Lane factor</t>
  </si>
  <si>
    <t xml:space="preserve">2025 Standard</t>
  </si>
  <si>
    <t xml:space="preserve">2025 Priority</t>
  </si>
  <si>
    <t xml:space="preserve">Priority ratio</t>
  </si>
  <si>
    <t xml:space="preserve">New Standard</t>
  </si>
  <si>
    <t xml:space="preserve">New Priority</t>
  </si>
  <si>
    <t xml:space="preserve">Standard change</t>
  </si>
  <si>
    <t xml:space="preserve">Rule</t>
  </si>
  <si>
    <t xml:space="preserve">ACT|QLD|Small|Metro</t>
  </si>
  <si>
    <t xml:space="preserve">ACT</t>
  </si>
  <si>
    <t xml:space="preserve">QLD</t>
  </si>
  <si>
    <t xml:space="preserve">ACT|QLD|Small|Metro Outer</t>
  </si>
  <si>
    <t xml:space="preserve">ACT|QLD|Small|Regional</t>
  </si>
  <si>
    <t xml:space="preserve">ACT|QLD|Medium|Metro</t>
  </si>
  <si>
    <t xml:space="preserve">ACT|QLD|Medium|Metro Outer</t>
  </si>
  <si>
    <t xml:space="preserve">ACT|QLD|Medium|Regional</t>
  </si>
  <si>
    <t xml:space="preserve">ACT|QLD|Large|Metro</t>
  </si>
  <si>
    <t xml:space="preserve">ACT|QLD|Large|Metro Outer</t>
  </si>
  <si>
    <t xml:space="preserve">ACT|QLD|Large|Regional</t>
  </si>
  <si>
    <t xml:space="preserve">ACT|QLD|XL|Metro</t>
  </si>
  <si>
    <t xml:space="preserve">ACT|QLD|XL|Metro Outer</t>
  </si>
  <si>
    <t xml:space="preserve">ACT|QLD|XL|Regional</t>
  </si>
  <si>
    <t xml:space="preserve">ACT|QLD|XXL|Metro</t>
  </si>
  <si>
    <t xml:space="preserve">ACT|QLD|XXL|Metro Outer</t>
  </si>
  <si>
    <t xml:space="preserve">One rate: interstate XXL/Bulky to Metro Outer or Regional is charged at the Priority price for both services</t>
  </si>
  <si>
    <t xml:space="preserve">ACT|QLD|XXL|Regional</t>
  </si>
  <si>
    <t xml:space="preserve">ACT|QLD|Bulky|Metro</t>
  </si>
  <si>
    <t xml:space="preserve">ACT|QLD|Bulky|Metro Outer</t>
  </si>
  <si>
    <t xml:space="preserve">ACT|QLD|Bulky|Regional</t>
  </si>
  <si>
    <t xml:space="preserve">ACT|VIC|Small|Metro</t>
  </si>
  <si>
    <t xml:space="preserve">VIC</t>
  </si>
  <si>
    <t xml:space="preserve">ACT|VIC|Small|Metro Outer</t>
  </si>
  <si>
    <t xml:space="preserve">ACT|VIC|Small|Regional</t>
  </si>
  <si>
    <t xml:space="preserve">ACT|VIC|Medium|Metro</t>
  </si>
  <si>
    <t xml:space="preserve">ACT|VIC|Medium|Metro Outer</t>
  </si>
  <si>
    <t xml:space="preserve">ACT|VIC|Medium|Regional</t>
  </si>
  <si>
    <t xml:space="preserve">ACT|VIC|Large|Metro</t>
  </si>
  <si>
    <t xml:space="preserve">ACT|VIC|Large|Metro Outer</t>
  </si>
  <si>
    <t xml:space="preserve">ACT|VIC|Large|Regional</t>
  </si>
  <si>
    <t xml:space="preserve">ACT|VIC|XL|Metro</t>
  </si>
  <si>
    <t xml:space="preserve">ACT|VIC|XL|Metro Outer</t>
  </si>
  <si>
    <t xml:space="preserve">ACT|VIC|XL|Regional</t>
  </si>
  <si>
    <t xml:space="preserve">ACT|VIC|XXL|Metro</t>
  </si>
  <si>
    <t xml:space="preserve">ACT|VIC|XXL|Metro Outer</t>
  </si>
  <si>
    <t xml:space="preserve">ACT|VIC|XXL|Regional</t>
  </si>
  <si>
    <t xml:space="preserve">ACT|VIC|Bulky|Metro</t>
  </si>
  <si>
    <t xml:space="preserve">ACT|VIC|Bulky|Metro Outer</t>
  </si>
  <si>
    <t xml:space="preserve">ACT|VIC|Bulky|Regional</t>
  </si>
  <si>
    <t xml:space="preserve">ACT|SA|Small|Metro</t>
  </si>
  <si>
    <t xml:space="preserve">SA</t>
  </si>
  <si>
    <t xml:space="preserve">ACT|SA|Small|Metro Outer</t>
  </si>
  <si>
    <t xml:space="preserve">ACT|SA|Small|Regional</t>
  </si>
  <si>
    <t xml:space="preserve">ACT|SA|Medium|Metro</t>
  </si>
  <si>
    <t xml:space="preserve">ACT|SA|Medium|Metro Outer</t>
  </si>
  <si>
    <t xml:space="preserve">ACT|SA|Medium|Regional</t>
  </si>
  <si>
    <t xml:space="preserve">ACT|SA|Large|Metro</t>
  </si>
  <si>
    <t xml:space="preserve">ACT|SA|Large|Metro Outer</t>
  </si>
  <si>
    <t xml:space="preserve">ACT|SA|Large|Regional</t>
  </si>
  <si>
    <t xml:space="preserve">ACT|SA|XL|Metro</t>
  </si>
  <si>
    <t xml:space="preserve">ACT|SA|XL|Metro Outer</t>
  </si>
  <si>
    <t xml:space="preserve">ACT|SA|XL|Regional</t>
  </si>
  <si>
    <t xml:space="preserve">ACT|SA|XXL|Metro</t>
  </si>
  <si>
    <t xml:space="preserve">ACT|SA|XXL|Metro Outer</t>
  </si>
  <si>
    <t xml:space="preserve">ACT|SA|XXL|Regional</t>
  </si>
  <si>
    <t xml:space="preserve">ACT|SA|Bulky|Metro</t>
  </si>
  <si>
    <t xml:space="preserve">ACT|SA|Bulky|Metro Outer</t>
  </si>
  <si>
    <t xml:space="preserve">ACT|SA|Bulky|Regional</t>
  </si>
  <si>
    <t xml:space="preserve">ACT|NSW|Small|Metro</t>
  </si>
  <si>
    <t xml:space="preserve">NSW</t>
  </si>
  <si>
    <t xml:space="preserve">ACT|NSW|Small|Metro Outer</t>
  </si>
  <si>
    <t xml:space="preserve">ACT|NSW|Small|Regional</t>
  </si>
  <si>
    <t xml:space="preserve">ACT|NSW|Medium|Metro</t>
  </si>
  <si>
    <t xml:space="preserve">ACT|NSW|Medium|Metro Outer</t>
  </si>
  <si>
    <t xml:space="preserve">ACT|NSW|Medium|Regional</t>
  </si>
  <si>
    <t xml:space="preserve">ACT|NSW|Large|Metro</t>
  </si>
  <si>
    <t xml:space="preserve">ACT|NSW|Large|Metro Outer</t>
  </si>
  <si>
    <t xml:space="preserve">ACT|NSW|Large|Regional</t>
  </si>
  <si>
    <t xml:space="preserve">ACT|NSW|XL|Metro</t>
  </si>
  <si>
    <t xml:space="preserve">ACT|NSW|XL|Metro Outer</t>
  </si>
  <si>
    <t xml:space="preserve">ACT|NSW|XL|Regional</t>
  </si>
  <si>
    <t xml:space="preserve">ACT|NSW|XXL|Metro</t>
  </si>
  <si>
    <t xml:space="preserve">ACT|NSW|XXL|Metro Outer</t>
  </si>
  <si>
    <t xml:space="preserve">ACT|NSW|XXL|Regional</t>
  </si>
  <si>
    <t xml:space="preserve">ACT|NSW|Bulky|Metro</t>
  </si>
  <si>
    <t xml:space="preserve">ACT|NSW|Bulky|Metro Outer</t>
  </si>
  <si>
    <t xml:space="preserve">ACT|NSW|Bulky|Regional</t>
  </si>
  <si>
    <t xml:space="preserve">ACT|ACT|Small|Metro</t>
  </si>
  <si>
    <t xml:space="preserve">ACT|ACT|Small|Metro Outer</t>
  </si>
  <si>
    <t xml:space="preserve">ACT|ACT|Small|Regional</t>
  </si>
  <si>
    <t xml:space="preserve">ACT|ACT|Medium|Metro</t>
  </si>
  <si>
    <t xml:space="preserve">ACT|ACT|Medium|Metro Outer</t>
  </si>
  <si>
    <t xml:space="preserve">ACT|ACT|Medium|Regional</t>
  </si>
  <si>
    <t xml:space="preserve">ACT|ACT|Large|Metro</t>
  </si>
  <si>
    <t xml:space="preserve">ACT|ACT|Large|Metro Outer</t>
  </si>
  <si>
    <t xml:space="preserve">ACT|ACT|Large|Regional</t>
  </si>
  <si>
    <t xml:space="preserve">ACT|ACT|XL|Metro</t>
  </si>
  <si>
    <t xml:space="preserve">ACT|ACT|XL|Metro Outer</t>
  </si>
  <si>
    <t xml:space="preserve">ACT|ACT|XL|Regional</t>
  </si>
  <si>
    <t xml:space="preserve">ACT|ACT|XXL|Metro</t>
  </si>
  <si>
    <t xml:space="preserve">ACT|ACT|XXL|Metro Outer</t>
  </si>
  <si>
    <t xml:space="preserve">ACT|ACT|XXL|Regional</t>
  </si>
  <si>
    <t xml:space="preserve">ACT|ACT|Bulky|Metro</t>
  </si>
  <si>
    <t xml:space="preserve">ACT|ACT|Bulky|Metro Outer</t>
  </si>
  <si>
    <t xml:space="preserve">ACT|ACT|Bulky|Regional</t>
  </si>
  <si>
    <t xml:space="preserve">ACT|TAS|Small|Metro</t>
  </si>
  <si>
    <t xml:space="preserve">TAS</t>
  </si>
  <si>
    <t xml:space="preserve">ACT|TAS|Small|Metro Outer</t>
  </si>
  <si>
    <t xml:space="preserve">ACT|TAS|Small|Regional</t>
  </si>
  <si>
    <t xml:space="preserve">ACT|TAS|Medium|Metro</t>
  </si>
  <si>
    <t xml:space="preserve">ACT|TAS|Medium|Metro Outer</t>
  </si>
  <si>
    <t xml:space="preserve">ACT|TAS|Medium|Regional</t>
  </si>
  <si>
    <t xml:space="preserve">ACT|TAS|Large|Metro</t>
  </si>
  <si>
    <t xml:space="preserve">ACT|TAS|Large|Metro Outer</t>
  </si>
  <si>
    <t xml:space="preserve">ACT|TAS|Large|Regional</t>
  </si>
  <si>
    <t xml:space="preserve">ACT|TAS|XL|Metro</t>
  </si>
  <si>
    <t xml:space="preserve">ACT|TAS|XL|Metro Outer</t>
  </si>
  <si>
    <t xml:space="preserve">ACT|TAS|XL|Regional</t>
  </si>
  <si>
    <t xml:space="preserve">ACT|TAS|XXL|Metro</t>
  </si>
  <si>
    <t xml:space="preserve">ACT|TAS|XXL|Metro Outer</t>
  </si>
  <si>
    <t xml:space="preserve">ACT|TAS|XXL|Regional</t>
  </si>
  <si>
    <t xml:space="preserve">ACT|TAS|Bulky|Metro</t>
  </si>
  <si>
    <t xml:space="preserve">ACT|TAS|Bulky|Metro Outer</t>
  </si>
  <si>
    <t xml:space="preserve">ACT|TAS|Bulky|Regional</t>
  </si>
  <si>
    <t xml:space="preserve">ACT|WA|Small|Metro</t>
  </si>
  <si>
    <t xml:space="preserve">WA</t>
  </si>
  <si>
    <t xml:space="preserve">ACT|WA|Small|Metro Outer</t>
  </si>
  <si>
    <t xml:space="preserve">ACT|WA|Small|Regional</t>
  </si>
  <si>
    <t xml:space="preserve">ACT|WA|Medium|Metro</t>
  </si>
  <si>
    <t xml:space="preserve">ACT|WA|Medium|Metro Outer</t>
  </si>
  <si>
    <t xml:space="preserve">ACT|WA|Medium|Regional</t>
  </si>
  <si>
    <t xml:space="preserve">ACT|WA|Large|Metro</t>
  </si>
  <si>
    <t xml:space="preserve">ACT|WA|Large|Metro Outer</t>
  </si>
  <si>
    <t xml:space="preserve">ACT|WA|Large|Regional</t>
  </si>
  <si>
    <t xml:space="preserve">ACT|WA|XL|Metro</t>
  </si>
  <si>
    <t xml:space="preserve">ACT|WA|XL|Metro Outer</t>
  </si>
  <si>
    <t xml:space="preserve">ACT|WA|XL|Regional</t>
  </si>
  <si>
    <t xml:space="preserve">ACT|WA|XXL|Metro</t>
  </si>
  <si>
    <t xml:space="preserve">ACT|WA|XXL|Metro Outer</t>
  </si>
  <si>
    <t xml:space="preserve">ACT|WA|XXL|Regional</t>
  </si>
  <si>
    <t xml:space="preserve">ACT|WA|Bulky|Metro</t>
  </si>
  <si>
    <t xml:space="preserve">ACT|WA|Bulky|Metro Outer</t>
  </si>
  <si>
    <t xml:space="preserve">ACT|WA|Bulky|Regional</t>
  </si>
  <si>
    <t xml:space="preserve">NSW|QLD|Small|Metro</t>
  </si>
  <si>
    <t xml:space="preserve">NSW|QLD|Small|Metro Outer</t>
  </si>
  <si>
    <t xml:space="preserve">NSW|QLD|Small|Regional</t>
  </si>
  <si>
    <t xml:space="preserve">NSW|QLD|Medium|Metro</t>
  </si>
  <si>
    <t xml:space="preserve">NSW|QLD|Medium|Metro Outer</t>
  </si>
  <si>
    <t xml:space="preserve">NSW|QLD|Medium|Regional</t>
  </si>
  <si>
    <t xml:space="preserve">NSW|QLD|Large|Metro</t>
  </si>
  <si>
    <t xml:space="preserve">NSW|QLD|Large|Metro Outer</t>
  </si>
  <si>
    <t xml:space="preserve">NSW|QLD|Large|Regional</t>
  </si>
  <si>
    <t xml:space="preserve">NSW|QLD|XL|Metro</t>
  </si>
  <si>
    <t xml:space="preserve">NSW|QLD|XL|Metro Outer</t>
  </si>
  <si>
    <t xml:space="preserve">NSW|QLD|XL|Regional</t>
  </si>
  <si>
    <t xml:space="preserve">NSW|QLD|XXL|Metro</t>
  </si>
  <si>
    <t xml:space="preserve">NSW|QLD|XXL|Metro Outer</t>
  </si>
  <si>
    <t xml:space="preserve">NSW|QLD|XXL|Regional</t>
  </si>
  <si>
    <t xml:space="preserve">NSW|QLD|Bulky|Metro</t>
  </si>
  <si>
    <t xml:space="preserve">NSW|QLD|Bulky|Metro Outer</t>
  </si>
  <si>
    <t xml:space="preserve">NSW|QLD|Bulky|Regional</t>
  </si>
  <si>
    <t xml:space="preserve">NSW|VIC|Small|Metro</t>
  </si>
  <si>
    <t xml:space="preserve">NSW|VIC|Small|Metro Outer</t>
  </si>
  <si>
    <t xml:space="preserve">NSW|VIC|Small|Regional</t>
  </si>
  <si>
    <t xml:space="preserve">NSW|VIC|Medium|Metro</t>
  </si>
  <si>
    <t xml:space="preserve">NSW|VIC|Medium|Metro Outer</t>
  </si>
  <si>
    <t xml:space="preserve">NSW|VIC|Medium|Regional</t>
  </si>
  <si>
    <t xml:space="preserve">NSW|VIC|Large|Metro</t>
  </si>
  <si>
    <t xml:space="preserve">NSW|VIC|Large|Metro Outer</t>
  </si>
  <si>
    <t xml:space="preserve">NSW|VIC|Large|Regional</t>
  </si>
  <si>
    <t xml:space="preserve">NSW|VIC|XL|Metro</t>
  </si>
  <si>
    <t xml:space="preserve">NSW|VIC|XL|Metro Outer</t>
  </si>
  <si>
    <t xml:space="preserve">NSW|VIC|XL|Regional</t>
  </si>
  <si>
    <t xml:space="preserve">NSW|VIC|XXL|Metro</t>
  </si>
  <si>
    <t xml:space="preserve">NSW|VIC|XXL|Metro Outer</t>
  </si>
  <si>
    <t xml:space="preserve">NSW|VIC|XXL|Regional</t>
  </si>
  <si>
    <t xml:space="preserve">NSW|VIC|Bulky|Metro</t>
  </si>
  <si>
    <t xml:space="preserve">NSW|VIC|Bulky|Metro Outer</t>
  </si>
  <si>
    <t xml:space="preserve">NSW|VIC|Bulky|Regional</t>
  </si>
  <si>
    <t xml:space="preserve">NSW|SA|Small|Metro</t>
  </si>
  <si>
    <t xml:space="preserve">NSW|SA|Small|Metro Outer</t>
  </si>
  <si>
    <t xml:space="preserve">NSW|SA|Small|Regional</t>
  </si>
  <si>
    <t xml:space="preserve">NSW|SA|Medium|Metro</t>
  </si>
  <si>
    <t xml:space="preserve">NSW|SA|Medium|Metro Outer</t>
  </si>
  <si>
    <t xml:space="preserve">NSW|SA|Medium|Regional</t>
  </si>
  <si>
    <t xml:space="preserve">NSW|SA|Large|Metro</t>
  </si>
  <si>
    <t xml:space="preserve">NSW|SA|Large|Metro Outer</t>
  </si>
  <si>
    <t xml:space="preserve">NSW|SA|Large|Regional</t>
  </si>
  <si>
    <t xml:space="preserve">NSW|SA|XL|Metro</t>
  </si>
  <si>
    <t xml:space="preserve">NSW|SA|XL|Metro Outer</t>
  </si>
  <si>
    <t xml:space="preserve">NSW|SA|XL|Regional</t>
  </si>
  <si>
    <t xml:space="preserve">NSW|SA|XXL|Metro</t>
  </si>
  <si>
    <t xml:space="preserve">NSW|SA|XXL|Metro Outer</t>
  </si>
  <si>
    <t xml:space="preserve">NSW|SA|XXL|Regional</t>
  </si>
  <si>
    <t xml:space="preserve">NSW|SA|Bulky|Metro</t>
  </si>
  <si>
    <t xml:space="preserve">NSW|SA|Bulky|Metro Outer</t>
  </si>
  <si>
    <t xml:space="preserve">NSW|SA|Bulky|Regional</t>
  </si>
  <si>
    <t xml:space="preserve">NSW|WA|Small|Metro</t>
  </si>
  <si>
    <t xml:space="preserve">NSW|WA|Small|Metro Outer</t>
  </si>
  <si>
    <t xml:space="preserve">NSW|WA|Small|Regional</t>
  </si>
  <si>
    <t xml:space="preserve">NSW|WA|Medium|Metro</t>
  </si>
  <si>
    <t xml:space="preserve">NSW|WA|Medium|Metro Outer</t>
  </si>
  <si>
    <t xml:space="preserve">NSW|WA|Medium|Regional</t>
  </si>
  <si>
    <t xml:space="preserve">NSW|WA|Large|Metro</t>
  </si>
  <si>
    <t xml:space="preserve">NSW|WA|Large|Metro Outer</t>
  </si>
  <si>
    <t xml:space="preserve">NSW|WA|Large|Regional</t>
  </si>
  <si>
    <t xml:space="preserve">NSW|WA|XL|Metro</t>
  </si>
  <si>
    <t xml:space="preserve">NSW|WA|XL|Metro Outer</t>
  </si>
  <si>
    <t xml:space="preserve">NSW|WA|XL|Regional</t>
  </si>
  <si>
    <t xml:space="preserve">NSW|WA|XXL|Metro</t>
  </si>
  <si>
    <t xml:space="preserve">NSW|WA|XXL|Metro Outer</t>
  </si>
  <si>
    <t xml:space="preserve">NSW|WA|XXL|Regional</t>
  </si>
  <si>
    <t xml:space="preserve">NSW|WA|Bulky|Metro</t>
  </si>
  <si>
    <t xml:space="preserve">NSW|WA|Bulky|Metro Outer</t>
  </si>
  <si>
    <t xml:space="preserve">NSW|WA|Bulky|Regional</t>
  </si>
  <si>
    <t xml:space="preserve">NSW|NSW|Small|Metro</t>
  </si>
  <si>
    <t xml:space="preserve">NSW|NSW|Small|Metro Outer</t>
  </si>
  <si>
    <t xml:space="preserve">NSW|NSW|Small|Regional</t>
  </si>
  <si>
    <t xml:space="preserve">NSW|NSW|Medium|Metro</t>
  </si>
  <si>
    <t xml:space="preserve">NSW|NSW|Medium|Metro Outer</t>
  </si>
  <si>
    <t xml:space="preserve">NSW|NSW|Medium|Regional</t>
  </si>
  <si>
    <t xml:space="preserve">NSW|NSW|Large|Metro</t>
  </si>
  <si>
    <t xml:space="preserve">NSW|NSW|Large|Metro Outer</t>
  </si>
  <si>
    <t xml:space="preserve">NSW|NSW|Large|Regional</t>
  </si>
  <si>
    <t xml:space="preserve">NSW|NSW|XL|Metro</t>
  </si>
  <si>
    <t xml:space="preserve">NSW|NSW|XL|Metro Outer</t>
  </si>
  <si>
    <t xml:space="preserve">NSW|NSW|XL|Regional</t>
  </si>
  <si>
    <t xml:space="preserve">NSW|NSW|XXL|Metro</t>
  </si>
  <si>
    <t xml:space="preserve">NSW|NSW|XXL|Metro Outer</t>
  </si>
  <si>
    <t xml:space="preserve">NSW|NSW|XXL|Regional</t>
  </si>
  <si>
    <t xml:space="preserve">NSW|NSW|Bulky|Metro</t>
  </si>
  <si>
    <t xml:space="preserve">NSW|NSW|Bulky|Metro Outer</t>
  </si>
  <si>
    <t xml:space="preserve">NSW|NSW|Bulky|Regional</t>
  </si>
  <si>
    <t xml:space="preserve">NSW|TAS|Small|Metro</t>
  </si>
  <si>
    <t xml:space="preserve">NSW|TAS|Small|Metro Outer</t>
  </si>
  <si>
    <t xml:space="preserve">NSW|TAS|Small|Regional</t>
  </si>
  <si>
    <t xml:space="preserve">NSW|TAS|Medium|Metro</t>
  </si>
  <si>
    <t xml:space="preserve">NSW|TAS|Medium|Metro Outer</t>
  </si>
  <si>
    <t xml:space="preserve">NSW|TAS|Medium|Regional</t>
  </si>
  <si>
    <t xml:space="preserve">NSW|TAS|Large|Metro</t>
  </si>
  <si>
    <t xml:space="preserve">NSW|TAS|Large|Metro Outer</t>
  </si>
  <si>
    <t xml:space="preserve">NSW|TAS|Large|Regional</t>
  </si>
  <si>
    <t xml:space="preserve">NSW|TAS|XL|Metro</t>
  </si>
  <si>
    <t xml:space="preserve">NSW|TAS|XL|Metro Outer</t>
  </si>
  <si>
    <t xml:space="preserve">NSW|TAS|XL|Regional</t>
  </si>
  <si>
    <t xml:space="preserve">NSW|TAS|XXL|Metro</t>
  </si>
  <si>
    <t xml:space="preserve">NSW|TAS|XXL|Metro Outer</t>
  </si>
  <si>
    <t xml:space="preserve">NSW|TAS|XXL|Regional</t>
  </si>
  <si>
    <t xml:space="preserve">NSW|TAS|Bulky|Metro</t>
  </si>
  <si>
    <t xml:space="preserve">NSW|TAS|Bulky|Metro Outer</t>
  </si>
  <si>
    <t xml:space="preserve">NSW|TAS|Bulky|Regional</t>
  </si>
  <si>
    <t xml:space="preserve">NSW|ACT|Small|Metro</t>
  </si>
  <si>
    <t xml:space="preserve">NSW|ACT|Small|Metro Outer</t>
  </si>
  <si>
    <t xml:space="preserve">NSW|ACT|Small|Regional</t>
  </si>
  <si>
    <t xml:space="preserve">NSW|ACT|Medium|Metro</t>
  </si>
  <si>
    <t xml:space="preserve">NSW|ACT|Medium|Metro Outer</t>
  </si>
  <si>
    <t xml:space="preserve">NSW|ACT|Medium|Regional</t>
  </si>
  <si>
    <t xml:space="preserve">NSW|ACT|Large|Metro</t>
  </si>
  <si>
    <t xml:space="preserve">NSW|ACT|Large|Metro Outer</t>
  </si>
  <si>
    <t xml:space="preserve">NSW|ACT|Large|Regional</t>
  </si>
  <si>
    <t xml:space="preserve">NSW|ACT|XL|Metro</t>
  </si>
  <si>
    <t xml:space="preserve">NSW|ACT|XL|Metro Outer</t>
  </si>
  <si>
    <t xml:space="preserve">NSW|ACT|XL|Regional</t>
  </si>
  <si>
    <t xml:space="preserve">NSW|ACT|XXL|Metro</t>
  </si>
  <si>
    <t xml:space="preserve">NSW|ACT|XXL|Metro Outer</t>
  </si>
  <si>
    <t xml:space="preserve">NSW|ACT|XXL|Regional</t>
  </si>
  <si>
    <t xml:space="preserve">NSW|ACT|Bulky|Metro</t>
  </si>
  <si>
    <t xml:space="preserve">NSW|ACT|Bulky|Metro Outer</t>
  </si>
  <si>
    <t xml:space="preserve">NSW|ACT|Bulky|Regional</t>
  </si>
  <si>
    <t xml:space="preserve">NT|SA|Small|Metro</t>
  </si>
  <si>
    <t xml:space="preserve">NT</t>
  </si>
  <si>
    <t xml:space="preserve">NT|SA|Small|Metro Outer</t>
  </si>
  <si>
    <t xml:space="preserve">NT|SA|Small|Regional</t>
  </si>
  <si>
    <t xml:space="preserve">NT|SA|Medium|Metro</t>
  </si>
  <si>
    <t xml:space="preserve">NT|SA|Medium|Metro Outer</t>
  </si>
  <si>
    <t xml:space="preserve">NT|SA|Medium|Regional</t>
  </si>
  <si>
    <t xml:space="preserve">NT|SA|Large|Metro</t>
  </si>
  <si>
    <t xml:space="preserve">NT|SA|Large|Metro Outer</t>
  </si>
  <si>
    <t xml:space="preserve">NT|SA|Large|Regional</t>
  </si>
  <si>
    <t xml:space="preserve">NT|SA|XL|Metro</t>
  </si>
  <si>
    <t xml:space="preserve">NT|SA|XL|Metro Outer</t>
  </si>
  <si>
    <t xml:space="preserve">NT|SA|XL|Regional</t>
  </si>
  <si>
    <t xml:space="preserve">NT|SA|XXL|Metro</t>
  </si>
  <si>
    <t xml:space="preserve">NT|SA|XXL|Metro Outer</t>
  </si>
  <si>
    <t xml:space="preserve">NT|SA|XXL|Regional</t>
  </si>
  <si>
    <t xml:space="preserve">NT|SA|Bulky|Metro</t>
  </si>
  <si>
    <t xml:space="preserve">NT|SA|Bulky|Metro Outer</t>
  </si>
  <si>
    <t xml:space="preserve">NT|SA|Bulky|Regional</t>
  </si>
  <si>
    <t xml:space="preserve">NT|VIC|Small|Metro</t>
  </si>
  <si>
    <t xml:space="preserve">NT|VIC|Small|Metro Outer</t>
  </si>
  <si>
    <t xml:space="preserve">NT|VIC|Small|Regional</t>
  </si>
  <si>
    <t xml:space="preserve">NT|VIC|Medium|Metro</t>
  </si>
  <si>
    <t xml:space="preserve">NT|VIC|Medium|Metro Outer</t>
  </si>
  <si>
    <t xml:space="preserve">NT|VIC|Medium|Regional</t>
  </si>
  <si>
    <t xml:space="preserve">NT|VIC|Large|Metro</t>
  </si>
  <si>
    <t xml:space="preserve">NT|VIC|Large|Metro Outer</t>
  </si>
  <si>
    <t xml:space="preserve">NT|VIC|Large|Regional</t>
  </si>
  <si>
    <t xml:space="preserve">NT|VIC|XL|Metro</t>
  </si>
  <si>
    <t xml:space="preserve">NT|VIC|XL|Metro Outer</t>
  </si>
  <si>
    <t xml:space="preserve">NT|VIC|XL|Regional</t>
  </si>
  <si>
    <t xml:space="preserve">NT|VIC|XXL|Metro</t>
  </si>
  <si>
    <t xml:space="preserve">NT|VIC|XXL|Metro Outer</t>
  </si>
  <si>
    <t xml:space="preserve">NT|VIC|XXL|Regional</t>
  </si>
  <si>
    <t xml:space="preserve">NT|VIC|Bulky|Metro</t>
  </si>
  <si>
    <t xml:space="preserve">NT|VIC|Bulky|Metro Outer</t>
  </si>
  <si>
    <t xml:space="preserve">NT|VIC|Bulky|Regional</t>
  </si>
  <si>
    <t xml:space="preserve">NT|WA|Small|Metro</t>
  </si>
  <si>
    <t xml:space="preserve">NT|WA|Small|Metro Outer</t>
  </si>
  <si>
    <t xml:space="preserve">NT|WA|Small|Regional</t>
  </si>
  <si>
    <t xml:space="preserve">NT|WA|Medium|Metro</t>
  </si>
  <si>
    <t xml:space="preserve">NT|WA|Medium|Metro Outer</t>
  </si>
  <si>
    <t xml:space="preserve">NT|WA|Medium|Regional</t>
  </si>
  <si>
    <t xml:space="preserve">NT|WA|Large|Metro</t>
  </si>
  <si>
    <t xml:space="preserve">NT|WA|Large|Metro Outer</t>
  </si>
  <si>
    <t xml:space="preserve">NT|WA|Large|Regional</t>
  </si>
  <si>
    <t xml:space="preserve">NT|WA|XL|Metro</t>
  </si>
  <si>
    <t xml:space="preserve">NT|WA|XL|Metro Outer</t>
  </si>
  <si>
    <t xml:space="preserve">NT|WA|XL|Regional</t>
  </si>
  <si>
    <t xml:space="preserve">NT|WA|XXL|Metro</t>
  </si>
  <si>
    <t xml:space="preserve">NT|WA|XXL|Metro Outer</t>
  </si>
  <si>
    <t xml:space="preserve">NT|WA|XXL|Regional</t>
  </si>
  <si>
    <t xml:space="preserve">NT|WA|Bulky|Metro</t>
  </si>
  <si>
    <t xml:space="preserve">NT|WA|Bulky|Metro Outer</t>
  </si>
  <si>
    <t xml:space="preserve">NT|WA|Bulky|Regional</t>
  </si>
  <si>
    <t xml:space="preserve">NT|QLD|Small|Metro</t>
  </si>
  <si>
    <t xml:space="preserve">NT|QLD|Small|Metro Outer</t>
  </si>
  <si>
    <t xml:space="preserve">NT|QLD|Small|Regional</t>
  </si>
  <si>
    <t xml:space="preserve">NT|QLD|Medium|Metro</t>
  </si>
  <si>
    <t xml:space="preserve">NT|QLD|Medium|Metro Outer</t>
  </si>
  <si>
    <t xml:space="preserve">NT|QLD|Medium|Regional</t>
  </si>
  <si>
    <t xml:space="preserve">NT|QLD|Large|Metro</t>
  </si>
  <si>
    <t xml:space="preserve">NT|QLD|Large|Metro Outer</t>
  </si>
  <si>
    <t xml:space="preserve">NT|QLD|Large|Regional</t>
  </si>
  <si>
    <t xml:space="preserve">NT|QLD|XL|Metro</t>
  </si>
  <si>
    <t xml:space="preserve">NT|QLD|XL|Metro Outer</t>
  </si>
  <si>
    <t xml:space="preserve">NT|QLD|XL|Regional</t>
  </si>
  <si>
    <t xml:space="preserve">NT|QLD|XXL|Metro</t>
  </si>
  <si>
    <t xml:space="preserve">NT|QLD|XXL|Metro Outer</t>
  </si>
  <si>
    <t xml:space="preserve">NT|QLD|XXL|Regional</t>
  </si>
  <si>
    <t xml:space="preserve">NT|QLD|Bulky|Metro</t>
  </si>
  <si>
    <t xml:space="preserve">NT|QLD|Bulky|Metro Outer</t>
  </si>
  <si>
    <t xml:space="preserve">NT|QLD|Bulky|Regional</t>
  </si>
  <si>
    <t xml:space="preserve">NT|NSW|Small|Metro</t>
  </si>
  <si>
    <t xml:space="preserve">NT|NSW|Small|Metro Outer</t>
  </si>
  <si>
    <t xml:space="preserve">NT|NSW|Small|Regional</t>
  </si>
  <si>
    <t xml:space="preserve">NT|NSW|Medium|Metro</t>
  </si>
  <si>
    <t xml:space="preserve">NT|NSW|Medium|Metro Outer</t>
  </si>
  <si>
    <t xml:space="preserve">NT|NSW|Medium|Regional</t>
  </si>
  <si>
    <t xml:space="preserve">NT|NSW|Large|Metro</t>
  </si>
  <si>
    <t xml:space="preserve">NT|NSW|Large|Metro Outer</t>
  </si>
  <si>
    <t xml:space="preserve">NT|NSW|Large|Regional</t>
  </si>
  <si>
    <t xml:space="preserve">NT|NSW|XL|Metro</t>
  </si>
  <si>
    <t xml:space="preserve">NT|NSW|XL|Metro Outer</t>
  </si>
  <si>
    <t xml:space="preserve">NT|NSW|XL|Regional</t>
  </si>
  <si>
    <t xml:space="preserve">NT|NSW|XXL|Metro</t>
  </si>
  <si>
    <t xml:space="preserve">NT|NSW|XXL|Metro Outer</t>
  </si>
  <si>
    <t xml:space="preserve">NT|NSW|XXL|Regional</t>
  </si>
  <si>
    <t xml:space="preserve">NT|NSW|Bulky|Metro</t>
  </si>
  <si>
    <t xml:space="preserve">NT|NSW|Bulky|Metro Outer</t>
  </si>
  <si>
    <t xml:space="preserve">NT|NSW|Bulky|Regional</t>
  </si>
  <si>
    <t xml:space="preserve">NT|TAS|Small|Metro</t>
  </si>
  <si>
    <t xml:space="preserve">NT|TAS|Small|Metro Outer</t>
  </si>
  <si>
    <t xml:space="preserve">NT|TAS|Small|Regional</t>
  </si>
  <si>
    <t xml:space="preserve">NT|TAS|Medium|Metro</t>
  </si>
  <si>
    <t xml:space="preserve">NT|TAS|Medium|Metro Outer</t>
  </si>
  <si>
    <t xml:space="preserve">NT|TAS|Medium|Regional</t>
  </si>
  <si>
    <t xml:space="preserve">NT|TAS|Large|Metro</t>
  </si>
  <si>
    <t xml:space="preserve">NT|TAS|Large|Metro Outer</t>
  </si>
  <si>
    <t xml:space="preserve">NT|TAS|Large|Regional</t>
  </si>
  <si>
    <t xml:space="preserve">NT|TAS|XL|Metro</t>
  </si>
  <si>
    <t xml:space="preserve">NT|TAS|XL|Metro Outer</t>
  </si>
  <si>
    <t xml:space="preserve">NT|TAS|XL|Regional</t>
  </si>
  <si>
    <t xml:space="preserve">NT|TAS|XXL|Metro</t>
  </si>
  <si>
    <t xml:space="preserve">NT|TAS|XXL|Metro Outer</t>
  </si>
  <si>
    <t xml:space="preserve">NT|TAS|XXL|Regional</t>
  </si>
  <si>
    <t xml:space="preserve">NT|TAS|Bulky|Metro</t>
  </si>
  <si>
    <t xml:space="preserve">NT|TAS|Bulky|Metro Outer</t>
  </si>
  <si>
    <t xml:space="preserve">NT|TAS|Bulky|Regional</t>
  </si>
  <si>
    <t xml:space="preserve">NT|ACT|Small|Metro</t>
  </si>
  <si>
    <t xml:space="preserve">NT|ACT|Small|Metro Outer</t>
  </si>
  <si>
    <t xml:space="preserve">NT|ACT|Small|Regional</t>
  </si>
  <si>
    <t xml:space="preserve">NT|ACT|Medium|Metro</t>
  </si>
  <si>
    <t xml:space="preserve">NT|ACT|Medium|Metro Outer</t>
  </si>
  <si>
    <t xml:space="preserve">NT|ACT|Medium|Regional</t>
  </si>
  <si>
    <t xml:space="preserve">NT|ACT|Large|Metro</t>
  </si>
  <si>
    <t xml:space="preserve">NT|ACT|Large|Metro Outer</t>
  </si>
  <si>
    <t xml:space="preserve">NT|ACT|Large|Regional</t>
  </si>
  <si>
    <t xml:space="preserve">NT|ACT|XL|Metro</t>
  </si>
  <si>
    <t xml:space="preserve">NT|ACT|XL|Metro Outer</t>
  </si>
  <si>
    <t xml:space="preserve">NT|ACT|XL|Regional</t>
  </si>
  <si>
    <t xml:space="preserve">NT|ACT|XXL|Metro</t>
  </si>
  <si>
    <t xml:space="preserve">NT|ACT|XXL|Metro Outer</t>
  </si>
  <si>
    <t xml:space="preserve">NT|ACT|XXL|Regional</t>
  </si>
  <si>
    <t xml:space="preserve">NT|ACT|Bulky|Metro</t>
  </si>
  <si>
    <t xml:space="preserve">NT|ACT|Bulky|Metro Outer</t>
  </si>
  <si>
    <t xml:space="preserve">NT|ACT|Bulky|Regional</t>
  </si>
  <si>
    <t xml:space="preserve">QLD|QLD|Small|Metro</t>
  </si>
  <si>
    <t xml:space="preserve">QLD|QLD|Small|Metro Outer</t>
  </si>
  <si>
    <t xml:space="preserve">QLD|QLD|Small|Regional</t>
  </si>
  <si>
    <t xml:space="preserve">QLD|QLD|Medium|Metro</t>
  </si>
  <si>
    <t xml:space="preserve">QLD|QLD|Medium|Metro Outer</t>
  </si>
  <si>
    <t xml:space="preserve">QLD|QLD|Medium|Regional</t>
  </si>
  <si>
    <t xml:space="preserve">QLD|QLD|Large|Metro</t>
  </si>
  <si>
    <t xml:space="preserve">QLD|QLD|Large|Metro Outer</t>
  </si>
  <si>
    <t xml:space="preserve">QLD|QLD|Large|Regional</t>
  </si>
  <si>
    <t xml:space="preserve">QLD|QLD|XL|Metro</t>
  </si>
  <si>
    <t xml:space="preserve">QLD|QLD|XL|Metro Outer</t>
  </si>
  <si>
    <t xml:space="preserve">QLD|QLD|XL|Regional</t>
  </si>
  <si>
    <t xml:space="preserve">QLD|QLD|XXL|Metro</t>
  </si>
  <si>
    <t xml:space="preserve">QLD|QLD|XXL|Metro Outer</t>
  </si>
  <si>
    <t xml:space="preserve">QLD|QLD|XXL|Regional</t>
  </si>
  <si>
    <t xml:space="preserve">QLD|QLD|Bulky|Metro</t>
  </si>
  <si>
    <t xml:space="preserve">QLD|QLD|Bulky|Metro Outer</t>
  </si>
  <si>
    <t xml:space="preserve">QLD|QLD|Bulky|Regional</t>
  </si>
  <si>
    <t xml:space="preserve">QLD|VIC|Small|Metro</t>
  </si>
  <si>
    <t xml:space="preserve">QLD|VIC|Small|Metro Outer</t>
  </si>
  <si>
    <t xml:space="preserve">QLD|VIC|Small|Regional</t>
  </si>
  <si>
    <t xml:space="preserve">QLD|VIC|Medium|Metro</t>
  </si>
  <si>
    <t xml:space="preserve">QLD|VIC|Medium|Metro Outer</t>
  </si>
  <si>
    <t xml:space="preserve">QLD|VIC|Medium|Regional</t>
  </si>
  <si>
    <t xml:space="preserve">QLD|VIC|Large|Metro</t>
  </si>
  <si>
    <t xml:space="preserve">QLD|VIC|Large|Metro Outer</t>
  </si>
  <si>
    <t xml:space="preserve">QLD|VIC|Large|Regional</t>
  </si>
  <si>
    <t xml:space="preserve">QLD|VIC|XL|Metro</t>
  </si>
  <si>
    <t xml:space="preserve">QLD|VIC|XL|Metro Outer</t>
  </si>
  <si>
    <t xml:space="preserve">QLD|VIC|XL|Regional</t>
  </si>
  <si>
    <t xml:space="preserve">QLD|VIC|XXL|Metro</t>
  </si>
  <si>
    <t xml:space="preserve">QLD|VIC|XXL|Metro Outer</t>
  </si>
  <si>
    <t xml:space="preserve">QLD|VIC|XXL|Regional</t>
  </si>
  <si>
    <t xml:space="preserve">QLD|VIC|Bulky|Metro</t>
  </si>
  <si>
    <t xml:space="preserve">QLD|VIC|Bulky|Metro Outer</t>
  </si>
  <si>
    <t xml:space="preserve">QLD|VIC|Bulky|Regional</t>
  </si>
  <si>
    <t xml:space="preserve">QLD|SA|Small|Metro</t>
  </si>
  <si>
    <t xml:space="preserve">QLD|SA|Small|Metro Outer</t>
  </si>
  <si>
    <t xml:space="preserve">QLD|SA|Small|Regional</t>
  </si>
  <si>
    <t xml:space="preserve">QLD|SA|Medium|Metro</t>
  </si>
  <si>
    <t xml:space="preserve">QLD|SA|Medium|Metro Outer</t>
  </si>
  <si>
    <t xml:space="preserve">QLD|SA|Medium|Regional</t>
  </si>
  <si>
    <t xml:space="preserve">QLD|SA|Large|Metro</t>
  </si>
  <si>
    <t xml:space="preserve">QLD|SA|Large|Metro Outer</t>
  </si>
  <si>
    <t xml:space="preserve">QLD|SA|Large|Regional</t>
  </si>
  <si>
    <t xml:space="preserve">QLD|SA|XL|Metro</t>
  </si>
  <si>
    <t xml:space="preserve">QLD|SA|XL|Metro Outer</t>
  </si>
  <si>
    <t xml:space="preserve">QLD|SA|XL|Regional</t>
  </si>
  <si>
    <t xml:space="preserve">QLD|SA|XXL|Metro</t>
  </si>
  <si>
    <t xml:space="preserve">QLD|SA|XXL|Metro Outer</t>
  </si>
  <si>
    <t xml:space="preserve">QLD|SA|XXL|Regional</t>
  </si>
  <si>
    <t xml:space="preserve">QLD|SA|Bulky|Metro</t>
  </si>
  <si>
    <t xml:space="preserve">QLD|SA|Bulky|Metro Outer</t>
  </si>
  <si>
    <t xml:space="preserve">QLD|SA|Bulky|Regional</t>
  </si>
  <si>
    <t xml:space="preserve">QLD|NSW|Small|Metro</t>
  </si>
  <si>
    <t xml:space="preserve">QLD|NSW|Small|Metro Outer</t>
  </si>
  <si>
    <t xml:space="preserve">QLD|NSW|Small|Regional</t>
  </si>
  <si>
    <t xml:space="preserve">QLD|NSW|Medium|Metro</t>
  </si>
  <si>
    <t xml:space="preserve">QLD|NSW|Medium|Metro Outer</t>
  </si>
  <si>
    <t xml:space="preserve">QLD|NSW|Medium|Regional</t>
  </si>
  <si>
    <t xml:space="preserve">QLD|NSW|Large|Metro</t>
  </si>
  <si>
    <t xml:space="preserve">QLD|NSW|Large|Metro Outer</t>
  </si>
  <si>
    <t xml:space="preserve">QLD|NSW|Large|Regional</t>
  </si>
  <si>
    <t xml:space="preserve">QLD|NSW|XL|Metro</t>
  </si>
  <si>
    <t xml:space="preserve">QLD|NSW|XL|Metro Outer</t>
  </si>
  <si>
    <t xml:space="preserve">QLD|NSW|XL|Regional</t>
  </si>
  <si>
    <t xml:space="preserve">QLD|NSW|XXL|Metro</t>
  </si>
  <si>
    <t xml:space="preserve">QLD|NSW|XXL|Metro Outer</t>
  </si>
  <si>
    <t xml:space="preserve">QLD|NSW|XXL|Regional</t>
  </si>
  <si>
    <t xml:space="preserve">QLD|NSW|Bulky|Metro</t>
  </si>
  <si>
    <t xml:space="preserve">QLD|NSW|Bulky|Metro Outer</t>
  </si>
  <si>
    <t xml:space="preserve">QLD|NSW|Bulky|Regional</t>
  </si>
  <si>
    <t xml:space="preserve">QLD|TAS|Small|Metro</t>
  </si>
  <si>
    <t xml:space="preserve">QLD|TAS|Small|Metro Outer</t>
  </si>
  <si>
    <t xml:space="preserve">QLD|TAS|Small|Regional</t>
  </si>
  <si>
    <t xml:space="preserve">QLD|TAS|Medium|Metro</t>
  </si>
  <si>
    <t xml:space="preserve">QLD|TAS|Medium|Metro Outer</t>
  </si>
  <si>
    <t xml:space="preserve">QLD|TAS|Medium|Regional</t>
  </si>
  <si>
    <t xml:space="preserve">QLD|TAS|Large|Metro</t>
  </si>
  <si>
    <t xml:space="preserve">QLD|TAS|Large|Metro Outer</t>
  </si>
  <si>
    <t xml:space="preserve">QLD|TAS|Large|Regional</t>
  </si>
  <si>
    <t xml:space="preserve">QLD|TAS|XL|Metro</t>
  </si>
  <si>
    <t xml:space="preserve">QLD|TAS|XL|Metro Outer</t>
  </si>
  <si>
    <t xml:space="preserve">QLD|TAS|XL|Regional</t>
  </si>
  <si>
    <t xml:space="preserve">QLD|TAS|XXL|Metro</t>
  </si>
  <si>
    <t xml:space="preserve">QLD|TAS|XXL|Metro Outer</t>
  </si>
  <si>
    <t xml:space="preserve">QLD|TAS|XXL|Regional</t>
  </si>
  <si>
    <t xml:space="preserve">QLD|TAS|Bulky|Metro</t>
  </si>
  <si>
    <t xml:space="preserve">QLD|TAS|Bulky|Metro Outer</t>
  </si>
  <si>
    <t xml:space="preserve">QLD|TAS|Bulky|Regional</t>
  </si>
  <si>
    <t xml:space="preserve">QLD|ACT|Small|Metro</t>
  </si>
  <si>
    <t xml:space="preserve">QLD|ACT|Small|Metro Outer</t>
  </si>
  <si>
    <t xml:space="preserve">QLD|ACT|Small|Regional</t>
  </si>
  <si>
    <t xml:space="preserve">QLD|ACT|Medium|Metro</t>
  </si>
  <si>
    <t xml:space="preserve">QLD|ACT|Medium|Metro Outer</t>
  </si>
  <si>
    <t xml:space="preserve">QLD|ACT|Medium|Regional</t>
  </si>
  <si>
    <t xml:space="preserve">QLD|ACT|Large|Metro</t>
  </si>
  <si>
    <t xml:space="preserve">QLD|ACT|Large|Metro Outer</t>
  </si>
  <si>
    <t xml:space="preserve">QLD|ACT|Large|Regional</t>
  </si>
  <si>
    <t xml:space="preserve">QLD|ACT|XL|Metro</t>
  </si>
  <si>
    <t xml:space="preserve">QLD|ACT|XL|Metro Outer</t>
  </si>
  <si>
    <t xml:space="preserve">QLD|ACT|XL|Regional</t>
  </si>
  <si>
    <t xml:space="preserve">QLD|ACT|XXL|Metro</t>
  </si>
  <si>
    <t xml:space="preserve">QLD|ACT|XXL|Metro Outer</t>
  </si>
  <si>
    <t xml:space="preserve">QLD|ACT|XXL|Regional</t>
  </si>
  <si>
    <t xml:space="preserve">QLD|ACT|Bulky|Metro</t>
  </si>
  <si>
    <t xml:space="preserve">QLD|ACT|Bulky|Metro Outer</t>
  </si>
  <si>
    <t xml:space="preserve">QLD|ACT|Bulky|Regional</t>
  </si>
  <si>
    <t xml:space="preserve">QLD|WA|Small|Metro</t>
  </si>
  <si>
    <t xml:space="preserve">QLD|WA|Small|Metro Outer</t>
  </si>
  <si>
    <t xml:space="preserve">QLD|WA|Small|Regional</t>
  </si>
  <si>
    <t xml:space="preserve">QLD|WA|Medium|Metro</t>
  </si>
  <si>
    <t xml:space="preserve">QLD|WA|Medium|Metro Outer</t>
  </si>
  <si>
    <t xml:space="preserve">QLD|WA|Medium|Regional</t>
  </si>
  <si>
    <t xml:space="preserve">QLD|WA|Large|Metro</t>
  </si>
  <si>
    <t xml:space="preserve">QLD|WA|Large|Metro Outer</t>
  </si>
  <si>
    <t xml:space="preserve">QLD|WA|Large|Regional</t>
  </si>
  <si>
    <t xml:space="preserve">QLD|WA|XL|Metro</t>
  </si>
  <si>
    <t xml:space="preserve">QLD|WA|XL|Metro Outer</t>
  </si>
  <si>
    <t xml:space="preserve">QLD|WA|XL|Regional</t>
  </si>
  <si>
    <t xml:space="preserve">QLD|WA|XXL|Metro</t>
  </si>
  <si>
    <t xml:space="preserve">QLD|WA|XXL|Metro Outer</t>
  </si>
  <si>
    <t xml:space="preserve">QLD|WA|XXL|Regional</t>
  </si>
  <si>
    <t xml:space="preserve">QLD|WA|Bulky|Metro</t>
  </si>
  <si>
    <t xml:space="preserve">QLD|WA|Bulky|Metro Outer</t>
  </si>
  <si>
    <t xml:space="preserve">QLD|WA|Bulky|Regional</t>
  </si>
  <si>
    <t xml:space="preserve">SA|SA|Small|Metro</t>
  </si>
  <si>
    <t xml:space="preserve">SA|SA|Small|Metro Outer</t>
  </si>
  <si>
    <t xml:space="preserve">SA|SA|Small|Regional</t>
  </si>
  <si>
    <t xml:space="preserve">SA|SA|Medium|Metro</t>
  </si>
  <si>
    <t xml:space="preserve">SA|SA|Medium|Metro Outer</t>
  </si>
  <si>
    <t xml:space="preserve">SA|SA|Medium|Regional</t>
  </si>
  <si>
    <t xml:space="preserve">SA|SA|Large|Metro</t>
  </si>
  <si>
    <t xml:space="preserve">SA|SA|Large|Metro Outer</t>
  </si>
  <si>
    <t xml:space="preserve">SA|SA|Large|Regional</t>
  </si>
  <si>
    <t xml:space="preserve">SA|SA|XL|Metro</t>
  </si>
  <si>
    <t xml:space="preserve">SA|SA|XL|Metro Outer</t>
  </si>
  <si>
    <t xml:space="preserve">SA|SA|XL|Regional</t>
  </si>
  <si>
    <t xml:space="preserve">SA|SA|XXL|Metro</t>
  </si>
  <si>
    <t xml:space="preserve">SA|SA|XXL|Metro Outer</t>
  </si>
  <si>
    <t xml:space="preserve">SA|SA|XXL|Regional</t>
  </si>
  <si>
    <t xml:space="preserve">SA|SA|Bulky|Metro</t>
  </si>
  <si>
    <t xml:space="preserve">SA|SA|Bulky|Metro Outer</t>
  </si>
  <si>
    <t xml:space="preserve">SA|SA|Bulky|Regional</t>
  </si>
  <si>
    <t xml:space="preserve">SA|VIC|Small|Metro</t>
  </si>
  <si>
    <t xml:space="preserve">SA|VIC|Small|Metro Outer</t>
  </si>
  <si>
    <t xml:space="preserve">SA|VIC|Small|Regional</t>
  </si>
  <si>
    <t xml:space="preserve">SA|VIC|Medium|Metro</t>
  </si>
  <si>
    <t xml:space="preserve">SA|VIC|Medium|Metro Outer</t>
  </si>
  <si>
    <t xml:space="preserve">SA|VIC|Medium|Regional</t>
  </si>
  <si>
    <t xml:space="preserve">SA|VIC|Large|Metro</t>
  </si>
  <si>
    <t xml:space="preserve">SA|VIC|Large|Metro Outer</t>
  </si>
  <si>
    <t xml:space="preserve">SA|VIC|Large|Regional</t>
  </si>
  <si>
    <t xml:space="preserve">SA|VIC|XL|Metro</t>
  </si>
  <si>
    <t xml:space="preserve">SA|VIC|XL|Metro Outer</t>
  </si>
  <si>
    <t xml:space="preserve">SA|VIC|XL|Regional</t>
  </si>
  <si>
    <t xml:space="preserve">SA|VIC|XXL|Metro</t>
  </si>
  <si>
    <t xml:space="preserve">SA|VIC|XXL|Metro Outer</t>
  </si>
  <si>
    <t xml:space="preserve">SA|VIC|XXL|Regional</t>
  </si>
  <si>
    <t xml:space="preserve">SA|VIC|Bulky|Metro</t>
  </si>
  <si>
    <t xml:space="preserve">SA|VIC|Bulky|Metro Outer</t>
  </si>
  <si>
    <t xml:space="preserve">SA|VIC|Bulky|Regional</t>
  </si>
  <si>
    <t xml:space="preserve">SA|QLD|Small|Metro</t>
  </si>
  <si>
    <t xml:space="preserve">SA|QLD|Small|Metro Outer</t>
  </si>
  <si>
    <t xml:space="preserve">SA|QLD|Small|Regional</t>
  </si>
  <si>
    <t xml:space="preserve">SA|QLD|Medium|Metro</t>
  </si>
  <si>
    <t xml:space="preserve">SA|QLD|Medium|Metro Outer</t>
  </si>
  <si>
    <t xml:space="preserve">SA|QLD|Medium|Regional</t>
  </si>
  <si>
    <t xml:space="preserve">SA|QLD|Large|Metro</t>
  </si>
  <si>
    <t xml:space="preserve">SA|QLD|Large|Metro Outer</t>
  </si>
  <si>
    <t xml:space="preserve">SA|QLD|Large|Regional</t>
  </si>
  <si>
    <t xml:space="preserve">SA|QLD|XL|Metro</t>
  </si>
  <si>
    <t xml:space="preserve">SA|QLD|XL|Metro Outer</t>
  </si>
  <si>
    <t xml:space="preserve">SA|QLD|XL|Regional</t>
  </si>
  <si>
    <t xml:space="preserve">SA|QLD|XXL|Metro</t>
  </si>
  <si>
    <t xml:space="preserve">SA|QLD|XXL|Metro Outer</t>
  </si>
  <si>
    <t xml:space="preserve">SA|QLD|XXL|Regional</t>
  </si>
  <si>
    <t xml:space="preserve">SA|QLD|Bulky|Metro</t>
  </si>
  <si>
    <t xml:space="preserve">SA|QLD|Bulky|Metro Outer</t>
  </si>
  <si>
    <t xml:space="preserve">SA|QLD|Bulky|Regional</t>
  </si>
  <si>
    <t xml:space="preserve">SA|WA|Small|Metro</t>
  </si>
  <si>
    <t xml:space="preserve">SA|WA|Small|Metro Outer</t>
  </si>
  <si>
    <t xml:space="preserve">SA|WA|Small|Regional</t>
  </si>
  <si>
    <t xml:space="preserve">SA|WA|Medium|Metro</t>
  </si>
  <si>
    <t xml:space="preserve">SA|WA|Medium|Metro Outer</t>
  </si>
  <si>
    <t xml:space="preserve">SA|WA|Medium|Regional</t>
  </si>
  <si>
    <t xml:space="preserve">SA|WA|Large|Metro</t>
  </si>
  <si>
    <t xml:space="preserve">SA|WA|Large|Metro Outer</t>
  </si>
  <si>
    <t xml:space="preserve">SA|WA|Large|Regional</t>
  </si>
  <si>
    <t xml:space="preserve">SA|WA|XL|Metro</t>
  </si>
  <si>
    <t xml:space="preserve">SA|WA|XL|Metro Outer</t>
  </si>
  <si>
    <t xml:space="preserve">SA|WA|XL|Regional</t>
  </si>
  <si>
    <t xml:space="preserve">SA|WA|XXL|Metro</t>
  </si>
  <si>
    <t xml:space="preserve">SA|WA|XXL|Metro Outer</t>
  </si>
  <si>
    <t xml:space="preserve">SA|WA|XXL|Regional</t>
  </si>
  <si>
    <t xml:space="preserve">SA|WA|Bulky|Metro</t>
  </si>
  <si>
    <t xml:space="preserve">SA|WA|Bulky|Metro Outer</t>
  </si>
  <si>
    <t xml:space="preserve">SA|WA|Bulky|Regional</t>
  </si>
  <si>
    <t xml:space="preserve">SA|NSW|Small|Metro</t>
  </si>
  <si>
    <t xml:space="preserve">SA|NSW|Small|Metro Outer</t>
  </si>
  <si>
    <t xml:space="preserve">SA|NSW|Small|Regional</t>
  </si>
  <si>
    <t xml:space="preserve">SA|NSW|Medium|Metro</t>
  </si>
  <si>
    <t xml:space="preserve">SA|NSW|Medium|Metro Outer</t>
  </si>
  <si>
    <t xml:space="preserve">SA|NSW|Medium|Regional</t>
  </si>
  <si>
    <t xml:space="preserve">SA|NSW|Large|Metro</t>
  </si>
  <si>
    <t xml:space="preserve">SA|NSW|Large|Metro Outer</t>
  </si>
  <si>
    <t xml:space="preserve">SA|NSW|Large|Regional</t>
  </si>
  <si>
    <t xml:space="preserve">SA|NSW|XL|Metro</t>
  </si>
  <si>
    <t xml:space="preserve">SA|NSW|XL|Metro Outer</t>
  </si>
  <si>
    <t xml:space="preserve">SA|NSW|XL|Regional</t>
  </si>
  <si>
    <t xml:space="preserve">SA|NSW|XXL|Metro</t>
  </si>
  <si>
    <t xml:space="preserve">SA|NSW|XXL|Metro Outer</t>
  </si>
  <si>
    <t xml:space="preserve">SA|NSW|XXL|Regional</t>
  </si>
  <si>
    <t xml:space="preserve">SA|NSW|Bulky|Metro</t>
  </si>
  <si>
    <t xml:space="preserve">SA|NSW|Bulky|Metro Outer</t>
  </si>
  <si>
    <t xml:space="preserve">SA|NSW|Bulky|Regional</t>
  </si>
  <si>
    <t xml:space="preserve">SA|TAS|Small|Metro</t>
  </si>
  <si>
    <t xml:space="preserve">SA|TAS|Small|Metro Outer</t>
  </si>
  <si>
    <t xml:space="preserve">SA|TAS|Small|Regional</t>
  </si>
  <si>
    <t xml:space="preserve">SA|TAS|Medium|Metro</t>
  </si>
  <si>
    <t xml:space="preserve">SA|TAS|Medium|Metro Outer</t>
  </si>
  <si>
    <t xml:space="preserve">SA|TAS|Medium|Regional</t>
  </si>
  <si>
    <t xml:space="preserve">SA|TAS|Large|Metro</t>
  </si>
  <si>
    <t xml:space="preserve">SA|TAS|Large|Metro Outer</t>
  </si>
  <si>
    <t xml:space="preserve">SA|TAS|Large|Regional</t>
  </si>
  <si>
    <t xml:space="preserve">SA|TAS|XL|Metro</t>
  </si>
  <si>
    <t xml:space="preserve">SA|TAS|XL|Metro Outer</t>
  </si>
  <si>
    <t xml:space="preserve">SA|TAS|XL|Regional</t>
  </si>
  <si>
    <t xml:space="preserve">SA|TAS|XXL|Metro</t>
  </si>
  <si>
    <t xml:space="preserve">SA|TAS|XXL|Metro Outer</t>
  </si>
  <si>
    <t xml:space="preserve">SA|TAS|XXL|Regional</t>
  </si>
  <si>
    <t xml:space="preserve">SA|TAS|Bulky|Metro</t>
  </si>
  <si>
    <t xml:space="preserve">SA|TAS|Bulky|Metro Outer</t>
  </si>
  <si>
    <t xml:space="preserve">SA|TAS|Bulky|Regional</t>
  </si>
  <si>
    <t xml:space="preserve">SA|ACT|Small|Metro</t>
  </si>
  <si>
    <t xml:space="preserve">SA|ACT|Small|Metro Outer</t>
  </si>
  <si>
    <t xml:space="preserve">SA|ACT|Small|Regional</t>
  </si>
  <si>
    <t xml:space="preserve">SA|ACT|Medium|Metro</t>
  </si>
  <si>
    <t xml:space="preserve">SA|ACT|Medium|Metro Outer</t>
  </si>
  <si>
    <t xml:space="preserve">SA|ACT|Medium|Regional</t>
  </si>
  <si>
    <t xml:space="preserve">SA|ACT|Large|Metro</t>
  </si>
  <si>
    <t xml:space="preserve">SA|ACT|Large|Metro Outer</t>
  </si>
  <si>
    <t xml:space="preserve">SA|ACT|Large|Regional</t>
  </si>
  <si>
    <t xml:space="preserve">SA|ACT|XL|Metro</t>
  </si>
  <si>
    <t xml:space="preserve">SA|ACT|XL|Metro Outer</t>
  </si>
  <si>
    <t xml:space="preserve">SA|ACT|XL|Regional</t>
  </si>
  <si>
    <t xml:space="preserve">SA|ACT|XXL|Metro</t>
  </si>
  <si>
    <t xml:space="preserve">SA|ACT|XXL|Metro Outer</t>
  </si>
  <si>
    <t xml:space="preserve">SA|ACT|XXL|Regional</t>
  </si>
  <si>
    <t xml:space="preserve">SA|ACT|Bulky|Metro</t>
  </si>
  <si>
    <t xml:space="preserve">SA|ACT|Bulky|Metro Outer</t>
  </si>
  <si>
    <t xml:space="preserve">SA|ACT|Bulky|Regional</t>
  </si>
  <si>
    <t xml:space="preserve">TAS|TAS|Small|Metro</t>
  </si>
  <si>
    <t xml:space="preserve">TAS|TAS|Small|Metro Outer</t>
  </si>
  <si>
    <t xml:space="preserve">TAS|TAS|Small|Regional</t>
  </si>
  <si>
    <t xml:space="preserve">TAS|TAS|Medium|Metro</t>
  </si>
  <si>
    <t xml:space="preserve">TAS|TAS|Medium|Metro Outer</t>
  </si>
  <si>
    <t xml:space="preserve">TAS|TAS|Medium|Regional</t>
  </si>
  <si>
    <t xml:space="preserve">TAS|TAS|Large|Metro</t>
  </si>
  <si>
    <t xml:space="preserve">TAS|TAS|Large|Metro Outer</t>
  </si>
  <si>
    <t xml:space="preserve">TAS|TAS|Large|Regional</t>
  </si>
  <si>
    <t xml:space="preserve">TAS|TAS|XL|Metro</t>
  </si>
  <si>
    <t xml:space="preserve">TAS|TAS|XL|Metro Outer</t>
  </si>
  <si>
    <t xml:space="preserve">TAS|TAS|XL|Regional</t>
  </si>
  <si>
    <t xml:space="preserve">TAS|TAS|XXL|Metro</t>
  </si>
  <si>
    <t xml:space="preserve">TAS|TAS|XXL|Metro Outer</t>
  </si>
  <si>
    <t xml:space="preserve">TAS|TAS|XXL|Regional</t>
  </si>
  <si>
    <t xml:space="preserve">TAS|TAS|Bulky|Metro</t>
  </si>
  <si>
    <t xml:space="preserve">TAS|TAS|Bulky|Metro Outer</t>
  </si>
  <si>
    <t xml:space="preserve">TAS|TAS|Bulky|Regional</t>
  </si>
  <si>
    <t xml:space="preserve">TAS|VIC|Small|Metro</t>
  </si>
  <si>
    <t xml:space="preserve">TAS|VIC|Small|Metro Outer</t>
  </si>
  <si>
    <t xml:space="preserve">TAS|VIC|Small|Regional</t>
  </si>
  <si>
    <t xml:space="preserve">TAS|VIC|Medium|Metro</t>
  </si>
  <si>
    <t xml:space="preserve">TAS|VIC|Medium|Metro Outer</t>
  </si>
  <si>
    <t xml:space="preserve">TAS|VIC|Medium|Regional</t>
  </si>
  <si>
    <t xml:space="preserve">TAS|VIC|Large|Metro</t>
  </si>
  <si>
    <t xml:space="preserve">TAS|VIC|Large|Metro Outer</t>
  </si>
  <si>
    <t xml:space="preserve">TAS|VIC|Large|Regional</t>
  </si>
  <si>
    <t xml:space="preserve">TAS|VIC|XL|Metro</t>
  </si>
  <si>
    <t xml:space="preserve">TAS|VIC|XL|Metro Outer</t>
  </si>
  <si>
    <t xml:space="preserve">TAS|VIC|XL|Regional</t>
  </si>
  <si>
    <t xml:space="preserve">TAS|VIC|XXL|Metro</t>
  </si>
  <si>
    <t xml:space="preserve">TAS|VIC|XXL|Metro Outer</t>
  </si>
  <si>
    <t xml:space="preserve">TAS|VIC|XXL|Regional</t>
  </si>
  <si>
    <t xml:space="preserve">TAS|VIC|Bulky|Metro</t>
  </si>
  <si>
    <t xml:space="preserve">TAS|VIC|Bulky|Metro Outer</t>
  </si>
  <si>
    <t xml:space="preserve">TAS|VIC|Bulky|Regional</t>
  </si>
  <si>
    <t xml:space="preserve">TAS|NSW|Small|Metro</t>
  </si>
  <si>
    <t xml:space="preserve">TAS|NSW|Small|Metro Outer</t>
  </si>
  <si>
    <t xml:space="preserve">TAS|NSW|Small|Regional</t>
  </si>
  <si>
    <t xml:space="preserve">TAS|NSW|Medium|Metro</t>
  </si>
  <si>
    <t xml:space="preserve">TAS|NSW|Medium|Metro Outer</t>
  </si>
  <si>
    <t xml:space="preserve">TAS|NSW|Medium|Regional</t>
  </si>
  <si>
    <t xml:space="preserve">TAS|NSW|Large|Metro</t>
  </si>
  <si>
    <t xml:space="preserve">TAS|NSW|Large|Metro Outer</t>
  </si>
  <si>
    <t xml:space="preserve">TAS|NSW|Large|Regional</t>
  </si>
  <si>
    <t xml:space="preserve">TAS|NSW|XL|Metro</t>
  </si>
  <si>
    <t xml:space="preserve">TAS|NSW|XL|Metro Outer</t>
  </si>
  <si>
    <t xml:space="preserve">TAS|NSW|XL|Regional</t>
  </si>
  <si>
    <t xml:space="preserve">TAS|NSW|XXL|Metro</t>
  </si>
  <si>
    <t xml:space="preserve">TAS|NSW|XXL|Metro Outer</t>
  </si>
  <si>
    <t xml:space="preserve">TAS|NSW|XXL|Regional</t>
  </si>
  <si>
    <t xml:space="preserve">TAS|NSW|Bulky|Metro</t>
  </si>
  <si>
    <t xml:space="preserve">TAS|NSW|Bulky|Metro Outer</t>
  </si>
  <si>
    <t xml:space="preserve">TAS|NSW|Bulky|Regional</t>
  </si>
  <si>
    <t xml:space="preserve">TAS|QLD|Small|Metro</t>
  </si>
  <si>
    <t xml:space="preserve">TAS|QLD|Small|Metro Outer</t>
  </si>
  <si>
    <t xml:space="preserve">TAS|QLD|Small|Regional</t>
  </si>
  <si>
    <t xml:space="preserve">TAS|QLD|Medium|Metro</t>
  </si>
  <si>
    <t xml:space="preserve">TAS|QLD|Medium|Metro Outer</t>
  </si>
  <si>
    <t xml:space="preserve">TAS|QLD|Medium|Regional</t>
  </si>
  <si>
    <t xml:space="preserve">TAS|QLD|Large|Metro</t>
  </si>
  <si>
    <t xml:space="preserve">TAS|QLD|Large|Metro Outer</t>
  </si>
  <si>
    <t xml:space="preserve">TAS|QLD|Large|Regional</t>
  </si>
  <si>
    <t xml:space="preserve">TAS|QLD|XL|Metro</t>
  </si>
  <si>
    <t xml:space="preserve">TAS|QLD|XL|Metro Outer</t>
  </si>
  <si>
    <t xml:space="preserve">TAS|QLD|XL|Regional</t>
  </si>
  <si>
    <t xml:space="preserve">TAS|QLD|XXL|Metro</t>
  </si>
  <si>
    <t xml:space="preserve">TAS|QLD|XXL|Metro Outer</t>
  </si>
  <si>
    <t xml:space="preserve">TAS|QLD|XXL|Regional</t>
  </si>
  <si>
    <t xml:space="preserve">TAS|QLD|Bulky|Metro</t>
  </si>
  <si>
    <t xml:space="preserve">TAS|QLD|Bulky|Metro Outer</t>
  </si>
  <si>
    <t xml:space="preserve">TAS|QLD|Bulky|Regional</t>
  </si>
  <si>
    <t xml:space="preserve">TAS|WA|Small|Metro</t>
  </si>
  <si>
    <t xml:space="preserve">TAS|WA|Small|Metro Outer</t>
  </si>
  <si>
    <t xml:space="preserve">TAS|WA|Small|Regional</t>
  </si>
  <si>
    <t xml:space="preserve">TAS|WA|Medium|Metro</t>
  </si>
  <si>
    <t xml:space="preserve">TAS|WA|Medium|Metro Outer</t>
  </si>
  <si>
    <t xml:space="preserve">TAS|WA|Medium|Regional</t>
  </si>
  <si>
    <t xml:space="preserve">TAS|WA|Large|Metro</t>
  </si>
  <si>
    <t xml:space="preserve">TAS|WA|Large|Metro Outer</t>
  </si>
  <si>
    <t xml:space="preserve">TAS|WA|Large|Regional</t>
  </si>
  <si>
    <t xml:space="preserve">TAS|WA|XL|Metro</t>
  </si>
  <si>
    <t xml:space="preserve">TAS|WA|XL|Metro Outer</t>
  </si>
  <si>
    <t xml:space="preserve">TAS|WA|XL|Regional</t>
  </si>
  <si>
    <t xml:space="preserve">TAS|WA|XXL|Metro</t>
  </si>
  <si>
    <t xml:space="preserve">TAS|WA|XXL|Metro Outer</t>
  </si>
  <si>
    <t xml:space="preserve">TAS|WA|XXL|Regional</t>
  </si>
  <si>
    <t xml:space="preserve">TAS|WA|Bulky|Metro</t>
  </si>
  <si>
    <t xml:space="preserve">TAS|WA|Bulky|Metro Outer</t>
  </si>
  <si>
    <t xml:space="preserve">TAS|WA|Bulky|Regional</t>
  </si>
  <si>
    <t xml:space="preserve">TAS|ACT|Small|Metro</t>
  </si>
  <si>
    <t xml:space="preserve">TAS|ACT|Small|Metro Outer</t>
  </si>
  <si>
    <t xml:space="preserve">TAS|ACT|Small|Regional</t>
  </si>
  <si>
    <t xml:space="preserve">TAS|ACT|Medium|Metro</t>
  </si>
  <si>
    <t xml:space="preserve">TAS|ACT|Medium|Metro Outer</t>
  </si>
  <si>
    <t xml:space="preserve">TAS|ACT|Medium|Regional</t>
  </si>
  <si>
    <t xml:space="preserve">TAS|ACT|Large|Metro</t>
  </si>
  <si>
    <t xml:space="preserve">TAS|ACT|Large|Metro Outer</t>
  </si>
  <si>
    <t xml:space="preserve">TAS|ACT|Large|Regional</t>
  </si>
  <si>
    <t xml:space="preserve">TAS|ACT|XL|Metro</t>
  </si>
  <si>
    <t xml:space="preserve">TAS|ACT|XL|Metro Outer</t>
  </si>
  <si>
    <t xml:space="preserve">TAS|ACT|XL|Regional</t>
  </si>
  <si>
    <t xml:space="preserve">TAS|ACT|XXL|Metro</t>
  </si>
  <si>
    <t xml:space="preserve">TAS|ACT|XXL|Metro Outer</t>
  </si>
  <si>
    <t xml:space="preserve">TAS|ACT|XXL|Regional</t>
  </si>
  <si>
    <t xml:space="preserve">TAS|ACT|Bulky|Metro</t>
  </si>
  <si>
    <t xml:space="preserve">TAS|ACT|Bulky|Metro Outer</t>
  </si>
  <si>
    <t xml:space="preserve">TAS|ACT|Bulky|Regional</t>
  </si>
  <si>
    <t xml:space="preserve">TAS|SA|Small|Metro</t>
  </si>
  <si>
    <t xml:space="preserve">TAS|SA|Small|Metro Outer</t>
  </si>
  <si>
    <t xml:space="preserve">TAS|SA|Small|Regional</t>
  </si>
  <si>
    <t xml:space="preserve">TAS|SA|Medium|Metro</t>
  </si>
  <si>
    <t xml:space="preserve">TAS|SA|Medium|Metro Outer</t>
  </si>
  <si>
    <t xml:space="preserve">TAS|SA|Medium|Regional</t>
  </si>
  <si>
    <t xml:space="preserve">TAS|SA|Large|Metro</t>
  </si>
  <si>
    <t xml:space="preserve">TAS|SA|Large|Metro Outer</t>
  </si>
  <si>
    <t xml:space="preserve">TAS|SA|Large|Regional</t>
  </si>
  <si>
    <t xml:space="preserve">TAS|SA|XL|Metro</t>
  </si>
  <si>
    <t xml:space="preserve">TAS|SA|XL|Metro Outer</t>
  </si>
  <si>
    <t xml:space="preserve">TAS|SA|XL|Regional</t>
  </si>
  <si>
    <t xml:space="preserve">TAS|SA|XXL|Metro</t>
  </si>
  <si>
    <t xml:space="preserve">TAS|SA|XXL|Metro Outer</t>
  </si>
  <si>
    <t xml:space="preserve">TAS|SA|XXL|Regional</t>
  </si>
  <si>
    <t xml:space="preserve">TAS|SA|Bulky|Metro</t>
  </si>
  <si>
    <t xml:space="preserve">TAS|SA|Bulky|Metro Outer</t>
  </si>
  <si>
    <t xml:space="preserve">TAS|SA|Bulky|Regional</t>
  </si>
  <si>
    <t xml:space="preserve">VIC|VIC|Small|Metro</t>
  </si>
  <si>
    <t xml:space="preserve">VIC|VIC|Small|Metro Outer</t>
  </si>
  <si>
    <t xml:space="preserve">VIC|VIC|Small|Regional</t>
  </si>
  <si>
    <t xml:space="preserve">VIC|VIC|Medium|Metro</t>
  </si>
  <si>
    <t xml:space="preserve">VIC|VIC|Medium|Metro Outer</t>
  </si>
  <si>
    <t xml:space="preserve">VIC|VIC|Medium|Regional</t>
  </si>
  <si>
    <t xml:space="preserve">VIC|VIC|Large|Metro</t>
  </si>
  <si>
    <t xml:space="preserve">VIC|VIC|Large|Metro Outer</t>
  </si>
  <si>
    <t xml:space="preserve">VIC|VIC|Large|Regional</t>
  </si>
  <si>
    <t xml:space="preserve">VIC|VIC|XL|Metro</t>
  </si>
  <si>
    <t xml:space="preserve">VIC|VIC|XL|Metro Outer</t>
  </si>
  <si>
    <t xml:space="preserve">VIC|VIC|XL|Regional</t>
  </si>
  <si>
    <t xml:space="preserve">VIC|VIC|XXL|Metro</t>
  </si>
  <si>
    <t xml:space="preserve">VIC|VIC|XXL|Metro Outer</t>
  </si>
  <si>
    <t xml:space="preserve">VIC|VIC|XXL|Regional</t>
  </si>
  <si>
    <t xml:space="preserve">VIC|VIC|Bulky|Metro</t>
  </si>
  <si>
    <t xml:space="preserve">VIC|VIC|Bulky|Metro Outer</t>
  </si>
  <si>
    <t xml:space="preserve">VIC|VIC|Bulky|Regional</t>
  </si>
  <si>
    <t xml:space="preserve">VIC|SA|Small|Metro</t>
  </si>
  <si>
    <t xml:space="preserve">VIC|SA|Small|Metro Outer</t>
  </si>
  <si>
    <t xml:space="preserve">VIC|SA|Small|Regional</t>
  </si>
  <si>
    <t xml:space="preserve">VIC|SA|Medium|Metro</t>
  </si>
  <si>
    <t xml:space="preserve">VIC|SA|Medium|Metro Outer</t>
  </si>
  <si>
    <t xml:space="preserve">VIC|SA|Medium|Regional</t>
  </si>
  <si>
    <t xml:space="preserve">VIC|SA|Large|Metro</t>
  </si>
  <si>
    <t xml:space="preserve">VIC|SA|Large|Metro Outer</t>
  </si>
  <si>
    <t xml:space="preserve">VIC|SA|Large|Regional</t>
  </si>
  <si>
    <t xml:space="preserve">VIC|SA|XL|Metro</t>
  </si>
  <si>
    <t xml:space="preserve">VIC|SA|XL|Metro Outer</t>
  </si>
  <si>
    <t xml:space="preserve">VIC|SA|XL|Regional</t>
  </si>
  <si>
    <t xml:space="preserve">VIC|SA|XXL|Metro</t>
  </si>
  <si>
    <t xml:space="preserve">VIC|SA|XXL|Metro Outer</t>
  </si>
  <si>
    <t xml:space="preserve">VIC|SA|XXL|Regional</t>
  </si>
  <si>
    <t xml:space="preserve">VIC|SA|Bulky|Metro</t>
  </si>
  <si>
    <t xml:space="preserve">VIC|SA|Bulky|Metro Outer</t>
  </si>
  <si>
    <t xml:space="preserve">VIC|SA|Bulky|Regional</t>
  </si>
  <si>
    <t xml:space="preserve">VIC|QLD|Small|Metro</t>
  </si>
  <si>
    <t xml:space="preserve">VIC|QLD|Small|Metro Outer</t>
  </si>
  <si>
    <t xml:space="preserve">VIC|QLD|Small|Regional</t>
  </si>
  <si>
    <t xml:space="preserve">VIC|QLD|Medium|Metro</t>
  </si>
  <si>
    <t xml:space="preserve">VIC|QLD|Medium|Metro Outer</t>
  </si>
  <si>
    <t xml:space="preserve">VIC|QLD|Medium|Regional</t>
  </si>
  <si>
    <t xml:space="preserve">VIC|QLD|Large|Metro</t>
  </si>
  <si>
    <t xml:space="preserve">VIC|QLD|Large|Metro Outer</t>
  </si>
  <si>
    <t xml:space="preserve">VIC|QLD|Large|Regional</t>
  </si>
  <si>
    <t xml:space="preserve">VIC|QLD|XL|Metro</t>
  </si>
  <si>
    <t xml:space="preserve">VIC|QLD|XL|Metro Outer</t>
  </si>
  <si>
    <t xml:space="preserve">VIC|QLD|XL|Regional</t>
  </si>
  <si>
    <t xml:space="preserve">VIC|QLD|XXL|Metro</t>
  </si>
  <si>
    <t xml:space="preserve">VIC|QLD|XXL|Metro Outer</t>
  </si>
  <si>
    <t xml:space="preserve">VIC|QLD|XXL|Regional</t>
  </si>
  <si>
    <t xml:space="preserve">VIC|QLD|Bulky|Metro</t>
  </si>
  <si>
    <t xml:space="preserve">VIC|QLD|Bulky|Metro Outer</t>
  </si>
  <si>
    <t xml:space="preserve">VIC|QLD|Bulky|Regional</t>
  </si>
  <si>
    <t xml:space="preserve">VIC|WA|Small|Metro</t>
  </si>
  <si>
    <t xml:space="preserve">VIC|WA|Small|Metro Outer</t>
  </si>
  <si>
    <t xml:space="preserve">VIC|WA|Small|Regional</t>
  </si>
  <si>
    <t xml:space="preserve">VIC|WA|Medium|Metro</t>
  </si>
  <si>
    <t xml:space="preserve">VIC|WA|Medium|Metro Outer</t>
  </si>
  <si>
    <t xml:space="preserve">VIC|WA|Medium|Regional</t>
  </si>
  <si>
    <t xml:space="preserve">VIC|WA|Large|Metro</t>
  </si>
  <si>
    <t xml:space="preserve">VIC|WA|Large|Metro Outer</t>
  </si>
  <si>
    <t xml:space="preserve">VIC|WA|Large|Regional</t>
  </si>
  <si>
    <t xml:space="preserve">VIC|WA|XL|Metro</t>
  </si>
  <si>
    <t xml:space="preserve">VIC|WA|XL|Metro Outer</t>
  </si>
  <si>
    <t xml:space="preserve">VIC|WA|XL|Regional</t>
  </si>
  <si>
    <t xml:space="preserve">VIC|WA|XXL|Metro</t>
  </si>
  <si>
    <t xml:space="preserve">VIC|WA|XXL|Metro Outer</t>
  </si>
  <si>
    <t xml:space="preserve">VIC|WA|XXL|Regional</t>
  </si>
  <si>
    <t xml:space="preserve">VIC|WA|Bulky|Metro</t>
  </si>
  <si>
    <t xml:space="preserve">VIC|WA|Bulky|Metro Outer</t>
  </si>
  <si>
    <t xml:space="preserve">VIC|WA|Bulky|Regional</t>
  </si>
  <si>
    <t xml:space="preserve">VIC|NSW|Small|Metro</t>
  </si>
  <si>
    <t xml:space="preserve">VIC|NSW|Small|Metro Outer</t>
  </si>
  <si>
    <t xml:space="preserve">VIC|NSW|Small|Regional</t>
  </si>
  <si>
    <t xml:space="preserve">VIC|NSW|Medium|Metro</t>
  </si>
  <si>
    <t xml:space="preserve">VIC|NSW|Medium|Metro Outer</t>
  </si>
  <si>
    <t xml:space="preserve">VIC|NSW|Medium|Regional</t>
  </si>
  <si>
    <t xml:space="preserve">VIC|NSW|Large|Metro</t>
  </si>
  <si>
    <t xml:space="preserve">VIC|NSW|Large|Metro Outer</t>
  </si>
  <si>
    <t xml:space="preserve">VIC|NSW|Large|Regional</t>
  </si>
  <si>
    <t xml:space="preserve">VIC|NSW|XL|Metro</t>
  </si>
  <si>
    <t xml:space="preserve">VIC|NSW|XL|Metro Outer</t>
  </si>
  <si>
    <t xml:space="preserve">VIC|NSW|XL|Regional</t>
  </si>
  <si>
    <t xml:space="preserve">VIC|NSW|XXL|Metro</t>
  </si>
  <si>
    <t xml:space="preserve">VIC|NSW|XXL|Metro Outer</t>
  </si>
  <si>
    <t xml:space="preserve">VIC|NSW|XXL|Regional</t>
  </si>
  <si>
    <t xml:space="preserve">VIC|NSW|Bulky|Metro</t>
  </si>
  <si>
    <t xml:space="preserve">VIC|NSW|Bulky|Metro Outer</t>
  </si>
  <si>
    <t xml:space="preserve">VIC|NSW|Bulky|Regional</t>
  </si>
  <si>
    <t xml:space="preserve">VIC|TAS|Small|Metro</t>
  </si>
  <si>
    <t xml:space="preserve">VIC|TAS|Small|Metro Outer</t>
  </si>
  <si>
    <t xml:space="preserve">VIC|TAS|Small|Regional</t>
  </si>
  <si>
    <t xml:space="preserve">VIC|TAS|Medium|Metro</t>
  </si>
  <si>
    <t xml:space="preserve">VIC|TAS|Medium|Metro Outer</t>
  </si>
  <si>
    <t xml:space="preserve">VIC|TAS|Medium|Regional</t>
  </si>
  <si>
    <t xml:space="preserve">VIC|TAS|Large|Metro</t>
  </si>
  <si>
    <t xml:space="preserve">VIC|TAS|Large|Metro Outer</t>
  </si>
  <si>
    <t xml:space="preserve">VIC|TAS|Large|Regional</t>
  </si>
  <si>
    <t xml:space="preserve">VIC|TAS|XL|Metro</t>
  </si>
  <si>
    <t xml:space="preserve">VIC|TAS|XL|Metro Outer</t>
  </si>
  <si>
    <t xml:space="preserve">VIC|TAS|XL|Regional</t>
  </si>
  <si>
    <t xml:space="preserve">VIC|TAS|XXL|Metro</t>
  </si>
  <si>
    <t xml:space="preserve">VIC|TAS|XXL|Metro Outer</t>
  </si>
  <si>
    <t xml:space="preserve">VIC|TAS|XXL|Regional</t>
  </si>
  <si>
    <t xml:space="preserve">VIC|TAS|Bulky|Metro</t>
  </si>
  <si>
    <t xml:space="preserve">VIC|TAS|Bulky|Metro Outer</t>
  </si>
  <si>
    <t xml:space="preserve">VIC|TAS|Bulky|Regional</t>
  </si>
  <si>
    <t xml:space="preserve">VIC|ACT|Small|Metro</t>
  </si>
  <si>
    <t xml:space="preserve">VIC|ACT|Small|Metro Outer</t>
  </si>
  <si>
    <t xml:space="preserve">VIC|ACT|Small|Regional</t>
  </si>
  <si>
    <t xml:space="preserve">VIC|ACT|Medium|Metro</t>
  </si>
  <si>
    <t xml:space="preserve">VIC|ACT|Medium|Metro Outer</t>
  </si>
  <si>
    <t xml:space="preserve">VIC|ACT|Medium|Regional</t>
  </si>
  <si>
    <t xml:space="preserve">VIC|ACT|Large|Metro</t>
  </si>
  <si>
    <t xml:space="preserve">VIC|ACT|Large|Metro Outer</t>
  </si>
  <si>
    <t xml:space="preserve">VIC|ACT|Large|Regional</t>
  </si>
  <si>
    <t xml:space="preserve">VIC|ACT|XL|Metro</t>
  </si>
  <si>
    <t xml:space="preserve">VIC|ACT|XL|Metro Outer</t>
  </si>
  <si>
    <t xml:space="preserve">VIC|ACT|XL|Regional</t>
  </si>
  <si>
    <t xml:space="preserve">VIC|ACT|XXL|Metro</t>
  </si>
  <si>
    <t xml:space="preserve">VIC|ACT|XXL|Metro Outer</t>
  </si>
  <si>
    <t xml:space="preserve">VIC|ACT|XXL|Regional</t>
  </si>
  <si>
    <t xml:space="preserve">VIC|ACT|Bulky|Metro</t>
  </si>
  <si>
    <t xml:space="preserve">VIC|ACT|Bulky|Metro Outer</t>
  </si>
  <si>
    <t xml:space="preserve">VIC|ACT|Bulky|Regional</t>
  </si>
  <si>
    <t xml:space="preserve">WA|WA|Small|Metro</t>
  </si>
  <si>
    <t xml:space="preserve">WA|WA|Small|Metro Outer</t>
  </si>
  <si>
    <t xml:space="preserve">WA|WA|Small|Regional</t>
  </si>
  <si>
    <t xml:space="preserve">WA|WA|Medium|Metro</t>
  </si>
  <si>
    <t xml:space="preserve">WA|WA|Medium|Metro Outer</t>
  </si>
  <si>
    <t xml:space="preserve">WA|WA|Medium|Regional</t>
  </si>
  <si>
    <t xml:space="preserve">WA|WA|Large|Metro</t>
  </si>
  <si>
    <t xml:space="preserve">WA|WA|Large|Metro Outer</t>
  </si>
  <si>
    <t xml:space="preserve">WA|WA|Large|Regional</t>
  </si>
  <si>
    <t xml:space="preserve">WA|WA|XL|Metro</t>
  </si>
  <si>
    <t xml:space="preserve">WA|WA|XL|Metro Outer</t>
  </si>
  <si>
    <t xml:space="preserve">WA|WA|XL|Regional</t>
  </si>
  <si>
    <t xml:space="preserve">WA|WA|XXL|Metro</t>
  </si>
  <si>
    <t xml:space="preserve">WA|WA|XXL|Metro Outer</t>
  </si>
  <si>
    <t xml:space="preserve">WA|WA|XXL|Regional</t>
  </si>
  <si>
    <t xml:space="preserve">WA|WA|Bulky|Metro</t>
  </si>
  <si>
    <t xml:space="preserve">WA|WA|Bulky|Metro Outer</t>
  </si>
  <si>
    <t xml:space="preserve">WA|WA|Bulky|Regional</t>
  </si>
  <si>
    <t xml:space="preserve">WA|SA|Small|Metro</t>
  </si>
  <si>
    <t xml:space="preserve">WA|SA|Small|Metro Outer</t>
  </si>
  <si>
    <t xml:space="preserve">WA|SA|Small|Regional</t>
  </si>
  <si>
    <t xml:space="preserve">WA|SA|Medium|Metro</t>
  </si>
  <si>
    <t xml:space="preserve">WA|SA|Medium|Metro Outer</t>
  </si>
  <si>
    <t xml:space="preserve">WA|SA|Medium|Regional</t>
  </si>
  <si>
    <t xml:space="preserve">WA|SA|Large|Metro</t>
  </si>
  <si>
    <t xml:space="preserve">WA|SA|Large|Metro Outer</t>
  </si>
  <si>
    <t xml:space="preserve">WA|SA|Large|Regional</t>
  </si>
  <si>
    <t xml:space="preserve">WA|SA|XL|Metro</t>
  </si>
  <si>
    <t xml:space="preserve">WA|SA|XL|Metro Outer</t>
  </si>
  <si>
    <t xml:space="preserve">WA|SA|XL|Regional</t>
  </si>
  <si>
    <t xml:space="preserve">WA|SA|XXL|Metro</t>
  </si>
  <si>
    <t xml:space="preserve">WA|SA|XXL|Metro Outer</t>
  </si>
  <si>
    <t xml:space="preserve">WA|SA|XXL|Regional</t>
  </si>
  <si>
    <t xml:space="preserve">WA|SA|Bulky|Metro</t>
  </si>
  <si>
    <t xml:space="preserve">WA|SA|Bulky|Metro Outer</t>
  </si>
  <si>
    <t xml:space="preserve">WA|SA|Bulky|Regional</t>
  </si>
  <si>
    <t xml:space="preserve">WA|VIC|Small|Metro</t>
  </si>
  <si>
    <t xml:space="preserve">WA|VIC|Small|Metro Outer</t>
  </si>
  <si>
    <t xml:space="preserve">WA|VIC|Small|Regional</t>
  </si>
  <si>
    <t xml:space="preserve">WA|VIC|Medium|Metro</t>
  </si>
  <si>
    <t xml:space="preserve">WA|VIC|Medium|Metro Outer</t>
  </si>
  <si>
    <t xml:space="preserve">WA|VIC|Medium|Regional</t>
  </si>
  <si>
    <t xml:space="preserve">WA|VIC|Large|Metro</t>
  </si>
  <si>
    <t xml:space="preserve">WA|VIC|Large|Metro Outer</t>
  </si>
  <si>
    <t xml:space="preserve">WA|VIC|Large|Regional</t>
  </si>
  <si>
    <t xml:space="preserve">WA|VIC|XL|Metro</t>
  </si>
  <si>
    <t xml:space="preserve">WA|VIC|XL|Metro Outer</t>
  </si>
  <si>
    <t xml:space="preserve">WA|VIC|XL|Regional</t>
  </si>
  <si>
    <t xml:space="preserve">WA|VIC|XXL|Metro</t>
  </si>
  <si>
    <t xml:space="preserve">WA|VIC|XXL|Metro Outer</t>
  </si>
  <si>
    <t xml:space="preserve">WA|VIC|XXL|Regional</t>
  </si>
  <si>
    <t xml:space="preserve">WA|VIC|Bulky|Metro</t>
  </si>
  <si>
    <t xml:space="preserve">WA|VIC|Bulky|Metro Outer</t>
  </si>
  <si>
    <t xml:space="preserve">WA|VIC|Bulky|Regional</t>
  </si>
  <si>
    <t xml:space="preserve">WA|NSW|Small|Metro</t>
  </si>
  <si>
    <t xml:space="preserve">WA|NSW|Small|Metro Outer</t>
  </si>
  <si>
    <t xml:space="preserve">WA|NSW|Small|Regional</t>
  </si>
  <si>
    <t xml:space="preserve">WA|NSW|Medium|Metro</t>
  </si>
  <si>
    <t xml:space="preserve">WA|NSW|Medium|Metro Outer</t>
  </si>
  <si>
    <t xml:space="preserve">WA|NSW|Medium|Regional</t>
  </si>
  <si>
    <t xml:space="preserve">WA|NSW|Large|Metro</t>
  </si>
  <si>
    <t xml:space="preserve">WA|NSW|Large|Metro Outer</t>
  </si>
  <si>
    <t xml:space="preserve">WA|NSW|Large|Regional</t>
  </si>
  <si>
    <t xml:space="preserve">WA|NSW|XL|Metro</t>
  </si>
  <si>
    <t xml:space="preserve">WA|NSW|XL|Metro Outer</t>
  </si>
  <si>
    <t xml:space="preserve">WA|NSW|XL|Regional</t>
  </si>
  <si>
    <t xml:space="preserve">WA|NSW|XXL|Metro</t>
  </si>
  <si>
    <t xml:space="preserve">WA|NSW|XXL|Metro Outer</t>
  </si>
  <si>
    <t xml:space="preserve">WA|NSW|XXL|Regional</t>
  </si>
  <si>
    <t xml:space="preserve">WA|NSW|Bulky|Metro</t>
  </si>
  <si>
    <t xml:space="preserve">WA|NSW|Bulky|Metro Outer</t>
  </si>
  <si>
    <t xml:space="preserve">WA|NSW|Bulky|Regional</t>
  </si>
  <si>
    <t xml:space="preserve">WA|QLD|Small|Metro</t>
  </si>
  <si>
    <t xml:space="preserve">WA|QLD|Small|Metro Outer</t>
  </si>
  <si>
    <t xml:space="preserve">WA|QLD|Small|Regional</t>
  </si>
  <si>
    <t xml:space="preserve">WA|QLD|Medium|Metro</t>
  </si>
  <si>
    <t xml:space="preserve">WA|QLD|Medium|Metro Outer</t>
  </si>
  <si>
    <t xml:space="preserve">WA|QLD|Medium|Regional</t>
  </si>
  <si>
    <t xml:space="preserve">WA|QLD|Large|Metro</t>
  </si>
  <si>
    <t xml:space="preserve">WA|QLD|Large|Metro Outer</t>
  </si>
  <si>
    <t xml:space="preserve">WA|QLD|Large|Regional</t>
  </si>
  <si>
    <t xml:space="preserve">WA|QLD|XL|Metro</t>
  </si>
  <si>
    <t xml:space="preserve">WA|QLD|XL|Metro Outer</t>
  </si>
  <si>
    <t xml:space="preserve">WA|QLD|XL|Regional</t>
  </si>
  <si>
    <t xml:space="preserve">WA|QLD|XXL|Metro</t>
  </si>
  <si>
    <t xml:space="preserve">WA|QLD|XXL|Metro Outer</t>
  </si>
  <si>
    <t xml:space="preserve">WA|QLD|XXL|Regional</t>
  </si>
  <si>
    <t xml:space="preserve">WA|QLD|Bulky|Metro</t>
  </si>
  <si>
    <t xml:space="preserve">WA|QLD|Bulky|Metro Outer</t>
  </si>
  <si>
    <t xml:space="preserve">WA|QLD|Bulky|Regional</t>
  </si>
  <si>
    <t xml:space="preserve">WA|ACT|Small|Metro</t>
  </si>
  <si>
    <t xml:space="preserve">WA|ACT|Small|Metro Outer</t>
  </si>
  <si>
    <t xml:space="preserve">WA|ACT|Small|Regional</t>
  </si>
  <si>
    <t xml:space="preserve">WA|ACT|Medium|Metro</t>
  </si>
  <si>
    <t xml:space="preserve">WA|ACT|Medium|Metro Outer</t>
  </si>
  <si>
    <t xml:space="preserve">WA|ACT|Medium|Regional</t>
  </si>
  <si>
    <t xml:space="preserve">WA|ACT|Large|Metro</t>
  </si>
  <si>
    <t xml:space="preserve">WA|ACT|Large|Metro Outer</t>
  </si>
  <si>
    <t xml:space="preserve">WA|ACT|Large|Regional</t>
  </si>
  <si>
    <t xml:space="preserve">WA|ACT|XL|Metro</t>
  </si>
  <si>
    <t xml:space="preserve">WA|ACT|XL|Metro Outer</t>
  </si>
  <si>
    <t xml:space="preserve">WA|ACT|XL|Regional</t>
  </si>
  <si>
    <t xml:space="preserve">WA|ACT|XXL|Metro</t>
  </si>
  <si>
    <t xml:space="preserve">WA|ACT|XXL|Metro Outer</t>
  </si>
  <si>
    <t xml:space="preserve">WA|ACT|XXL|Regional</t>
  </si>
  <si>
    <t xml:space="preserve">WA|ACT|Bulky|Metro</t>
  </si>
  <si>
    <t xml:space="preserve">WA|ACT|Bulky|Metro Outer</t>
  </si>
  <si>
    <t xml:space="preserve">WA|ACT|Bulky|Regional</t>
  </si>
  <si>
    <t xml:space="preserve">WA|TAS|Small|Metro</t>
  </si>
  <si>
    <t xml:space="preserve">WA|TAS|Small|Metro Outer</t>
  </si>
  <si>
    <t xml:space="preserve">WA|TAS|Small|Regional</t>
  </si>
  <si>
    <t xml:space="preserve">WA|TAS|Medium|Metro</t>
  </si>
  <si>
    <t xml:space="preserve">WA|TAS|Medium|Metro Outer</t>
  </si>
  <si>
    <t xml:space="preserve">WA|TAS|Medium|Regional</t>
  </si>
  <si>
    <t xml:space="preserve">WA|TAS|Large|Metro</t>
  </si>
  <si>
    <t xml:space="preserve">WA|TAS|Large|Metro Outer</t>
  </si>
  <si>
    <t xml:space="preserve">WA|TAS|Large|Regional</t>
  </si>
  <si>
    <t xml:space="preserve">WA|TAS|XL|Metro</t>
  </si>
  <si>
    <t xml:space="preserve">WA|TAS|XL|Metro Outer</t>
  </si>
  <si>
    <t xml:space="preserve">WA|TAS|XL|Regional</t>
  </si>
  <si>
    <t xml:space="preserve">WA|TAS|XXL|Metro</t>
  </si>
  <si>
    <t xml:space="preserve">WA|TAS|XXL|Metro Outer</t>
  </si>
  <si>
    <t xml:space="preserve">WA|TAS|XXL|Regional</t>
  </si>
  <si>
    <t xml:space="preserve">WA|TAS|Bulky|Metro</t>
  </si>
  <si>
    <t xml:space="preserve">WA|TAS|Bulky|Metro Outer</t>
  </si>
  <si>
    <t xml:space="preserve">WA|TAS|Bulky|Regional</t>
  </si>
  <si>
    <t xml:space="preserve">Service charged</t>
  </si>
  <si>
    <t xml:space="preserve">Same state</t>
  </si>
  <si>
    <t xml:space="preserve">2025 sheet price</t>
  </si>
  <si>
    <t xml:space="preserve">New price</t>
  </si>
  <si>
    <t xml:space="preserve">Yes</t>
  </si>
  <si>
    <t xml:space="preserve">No</t>
  </si>
  <si>
    <t xml:space="preserve">Freight size rules (how the website scores each product)</t>
  </si>
  <si>
    <t xml:space="preserve">Score</t>
  </si>
  <si>
    <t xml:space="preserve">Longest side</t>
  </si>
  <si>
    <t xml:space="preserve">Cubic weight (L×W×H×250)</t>
  </si>
  <si>
    <t xml:space="preserve">Actual weight</t>
  </si>
  <si>
    <t xml:space="preserve">under 0.5 m</t>
  </si>
  <si>
    <t xml:space="preserve">under 10 kg</t>
  </si>
  <si>
    <t xml:space="preserve">under 5 kg</t>
  </si>
  <si>
    <t xml:space="preserve">0.5 to under 1.8 m</t>
  </si>
  <si>
    <t xml:space="preserve">10 to under 25 kg</t>
  </si>
  <si>
    <t xml:space="preserve">5 to under 15 kg</t>
  </si>
  <si>
    <t xml:space="preserve">1.8 to under 3.5 m</t>
  </si>
  <si>
    <t xml:space="preserve">25 to under 100 kg</t>
  </si>
  <si>
    <t xml:space="preserve">15 to under 22 kg</t>
  </si>
  <si>
    <t xml:space="preserve">3.5 to under 5 m</t>
  </si>
  <si>
    <t xml:space="preserve">100 to under 180 kg</t>
  </si>
  <si>
    <t xml:space="preserve">22 to under 35 kg</t>
  </si>
  <si>
    <t xml:space="preserve">5 m or more</t>
  </si>
  <si>
    <t xml:space="preserve">180 kg or more</t>
  </si>
  <si>
    <t xml:space="preserve">35 kg or more</t>
  </si>
  <si>
    <t xml:space="preserve">Bulky: any product with a cubic weight of 100 kg or more (0.4 m³ or more, e.g. 2.2 × 0.9 × 0.45 m) is Bulky, whatever its other scores. An order with a Bulky product is Bulky.</t>
  </si>
  <si>
    <t xml:space="preserve">–</t>
  </si>
  <si>
    <t xml:space="preserve">100 kg or more (0.4 m³+)</t>
  </si>
  <si>
    <t xml:space="preserve">Otherwise a product's size is the highest of its three scores. An order takes the size of its biggest product. Products with no dimensions or weight score 1 (Small) on that measure; 15,773 products in the 20 Oct 2026 export have neither, so the website treats them as Small.</t>
  </si>
  <si>
    <t xml:space="preserve">The 2025 sheet's version of this tab listed Large 1.8–2.5 m, XL 2.5–3.0 m and XXL 3.0 m+, and no cubic weight. Those aren't the rules the website uses.</t>
  </si>
  <si>
    <t xml:space="preserve">Which warehouse the website ships from first (unchanged from the 2025 sheet; NT from the awaiting-approval version)</t>
  </si>
  <si>
    <t xml:space="preserve">1st</t>
  </si>
  <si>
    <t xml:space="preserve">2nd</t>
  </si>
  <si>
    <t xml:space="preserve">3rd</t>
  </si>
  <si>
    <t xml:space="preserve">4th</t>
  </si>
  <si>
    <t xml:space="preserve">5th</t>
  </si>
  <si>
    <t xml:space="preserve">Postcode</t>
  </si>
  <si>
    <t xml:space="preserve">State tab</t>
  </si>
  <si>
    <t xml:space="preserve">Website zone name</t>
  </si>
  <si>
    <t xml:space="preserve">Australia Post group</t>
  </si>
  <si>
    <t xml:space="preserve">Status</t>
  </si>
  <si>
    <t xml:space="preserve">Suburbs</t>
  </si>
  <si>
    <t xml:space="preserve">0200</t>
  </si>
  <si>
    <t xml:space="preserve">Capital City</t>
  </si>
  <si>
    <t xml:space="preserve">Same as 2025</t>
  </si>
  <si>
    <t xml:space="preserve">Anu, Australian National University</t>
  </si>
  <si>
    <t xml:space="preserve">0800</t>
  </si>
  <si>
    <t xml:space="preserve">Darwin, Darwin City</t>
  </si>
  <si>
    <t xml:space="preserve">0801</t>
  </si>
  <si>
    <t xml:space="preserve">Darwin</t>
  </si>
  <si>
    <t xml:space="preserve">0803</t>
  </si>
  <si>
    <t xml:space="preserve">NT - Rural</t>
  </si>
  <si>
    <t xml:space="preserve">Rural</t>
  </si>
  <si>
    <t xml:space="preserve">Wagait Beach</t>
  </si>
  <si>
    <t xml:space="preserve">0804</t>
  </si>
  <si>
    <t xml:space="preserve">Parap</t>
  </si>
  <si>
    <t xml:space="preserve">0810</t>
  </si>
  <si>
    <t xml:space="preserve">Alawa, Brinkin, Casuarina, Coconut Grove</t>
  </si>
  <si>
    <t xml:space="preserve">0811</t>
  </si>
  <si>
    <t xml:space="preserve">Casuarina</t>
  </si>
  <si>
    <t xml:space="preserve">0812</t>
  </si>
  <si>
    <t xml:space="preserve">Anula, Buffalo Creek, Holmes, Karama</t>
  </si>
  <si>
    <t xml:space="preserve">0813</t>
  </si>
  <si>
    <t xml:space="preserve">Karama, Sanderson</t>
  </si>
  <si>
    <t xml:space="preserve">0814</t>
  </si>
  <si>
    <t xml:space="preserve">Nightcliff</t>
  </si>
  <si>
    <t xml:space="preserve">0815</t>
  </si>
  <si>
    <t xml:space="preserve">Charles Darwin University</t>
  </si>
  <si>
    <t xml:space="preserve">0820</t>
  </si>
  <si>
    <t xml:space="preserve">Bagot, Bayview, Charles Darwin, Coonawarra</t>
  </si>
  <si>
    <t xml:space="preserve">0821</t>
  </si>
  <si>
    <t xml:space="preserve">Winnellie</t>
  </si>
  <si>
    <t xml:space="preserve">0822</t>
  </si>
  <si>
    <t xml:space="preserve">Acacia Hills, Angurugu, Anindilyakwa, Annie River</t>
  </si>
  <si>
    <t xml:space="preserve">0828</t>
  </si>
  <si>
    <t xml:space="preserve">Berrimah, Knuckey Lagoon</t>
  </si>
  <si>
    <t xml:space="preserve">0829</t>
  </si>
  <si>
    <t xml:space="preserve">Holtze, Pinelands</t>
  </si>
  <si>
    <t xml:space="preserve">0830</t>
  </si>
  <si>
    <t xml:space="preserve">Archer, Driver, Durack, Farrar</t>
  </si>
  <si>
    <t xml:space="preserve">0831</t>
  </si>
  <si>
    <t xml:space="preserve">Palmerston</t>
  </si>
  <si>
    <t xml:space="preserve">0832</t>
  </si>
  <si>
    <t xml:space="preserve">Bakewell, Bellamack, Gunn, Johnston</t>
  </si>
  <si>
    <t xml:space="preserve">0834</t>
  </si>
  <si>
    <t xml:space="preserve">Virginia</t>
  </si>
  <si>
    <t xml:space="preserve">0835</t>
  </si>
  <si>
    <t xml:space="preserve">Coolalinga, Howard Springs, Virginia</t>
  </si>
  <si>
    <t xml:space="preserve">0836</t>
  </si>
  <si>
    <t xml:space="preserve">Girraween, Herbert, Humpty Doo</t>
  </si>
  <si>
    <t xml:space="preserve">0837</t>
  </si>
  <si>
    <t xml:space="preserve">Manton, Noonamah</t>
  </si>
  <si>
    <t xml:space="preserve">0838</t>
  </si>
  <si>
    <t xml:space="preserve">Berry Springs</t>
  </si>
  <si>
    <t xml:space="preserve">0839</t>
  </si>
  <si>
    <t xml:space="preserve">Coolalinga</t>
  </si>
  <si>
    <t xml:space="preserve">0840</t>
  </si>
  <si>
    <t xml:space="preserve">Dundee Beach, Dundee Downs, Dundee Forest</t>
  </si>
  <si>
    <t xml:space="preserve">0841</t>
  </si>
  <si>
    <t xml:space="preserve">Darwin River</t>
  </si>
  <si>
    <t xml:space="preserve">0845</t>
  </si>
  <si>
    <t xml:space="preserve">Batchelor</t>
  </si>
  <si>
    <t xml:space="preserve">0846</t>
  </si>
  <si>
    <t xml:space="preserve">Adelaide River</t>
  </si>
  <si>
    <t xml:space="preserve">0847</t>
  </si>
  <si>
    <t xml:space="preserve">Pine Creek</t>
  </si>
  <si>
    <t xml:space="preserve">0850</t>
  </si>
  <si>
    <t xml:space="preserve">Cossack, Emungalan, Katherine, Katherine East</t>
  </si>
  <si>
    <t xml:space="preserve">0851</t>
  </si>
  <si>
    <t xml:space="preserve">Katherine</t>
  </si>
  <si>
    <t xml:space="preserve">0852</t>
  </si>
  <si>
    <t xml:space="preserve">Arnold, Baines, Barunga, Beswick</t>
  </si>
  <si>
    <t xml:space="preserve">0853</t>
  </si>
  <si>
    <t xml:space="preserve">Tindal, Tindal Raaf</t>
  </si>
  <si>
    <t xml:space="preserve">0854</t>
  </si>
  <si>
    <t xml:space="preserve">Borroloola, King Ash Bay</t>
  </si>
  <si>
    <t xml:space="preserve">0860</t>
  </si>
  <si>
    <t xml:space="preserve">Tennant Creek</t>
  </si>
  <si>
    <t xml:space="preserve">0861</t>
  </si>
  <si>
    <t xml:space="preserve">Brunchilly, Tennant Creek</t>
  </si>
  <si>
    <t xml:space="preserve">0862</t>
  </si>
  <si>
    <t xml:space="preserve">Avon Downs, Calvert, Cresswell Downs, Elliott</t>
  </si>
  <si>
    <t xml:space="preserve">0870</t>
  </si>
  <si>
    <t xml:space="preserve">Alice Springs, Araluen, Braitling, Ciccone</t>
  </si>
  <si>
    <t xml:space="preserve">0871</t>
  </si>
  <si>
    <t xml:space="preserve">Alice Springs</t>
  </si>
  <si>
    <t xml:space="preserve">0872</t>
  </si>
  <si>
    <t xml:space="preserve">Aherrenge, Ali Curung, Alice Springs, Amata</t>
  </si>
  <si>
    <t xml:space="preserve">0873</t>
  </si>
  <si>
    <t xml:space="preserve">Amoonguna, Arumbera, Connellan, Heavitree Gap Cpa</t>
  </si>
  <si>
    <t xml:space="preserve">0874</t>
  </si>
  <si>
    <t xml:space="preserve">Irlpme, Mount Johns, Undoolya</t>
  </si>
  <si>
    <t xml:space="preserve">0875</t>
  </si>
  <si>
    <t xml:space="preserve">Flynn, Larapinta</t>
  </si>
  <si>
    <t xml:space="preserve">0880</t>
  </si>
  <si>
    <t xml:space="preserve">Gapuwiyak, Gove, Gunyangara, Nhulunbuy</t>
  </si>
  <si>
    <t xml:space="preserve">0881</t>
  </si>
  <si>
    <t xml:space="preserve">Nhulunbuy</t>
  </si>
  <si>
    <t xml:space="preserve">0885</t>
  </si>
  <si>
    <t xml:space="preserve">Alyangula</t>
  </si>
  <si>
    <t xml:space="preserve">0886</t>
  </si>
  <si>
    <t xml:space="preserve">Jabiru</t>
  </si>
  <si>
    <t xml:space="preserve">0906</t>
  </si>
  <si>
    <t xml:space="preserve">0907</t>
  </si>
  <si>
    <t xml:space="preserve">0909</t>
  </si>
  <si>
    <t xml:space="preserve">Charles Darwin University, University</t>
  </si>
  <si>
    <t xml:space="preserve">1100</t>
  </si>
  <si>
    <t xml:space="preserve">NSW - Metro</t>
  </si>
  <si>
    <t xml:space="preserve">Sydney</t>
  </si>
  <si>
    <t xml:space="preserve">1215</t>
  </si>
  <si>
    <t xml:space="preserve">Australia Square</t>
  </si>
  <si>
    <t xml:space="preserve">1220</t>
  </si>
  <si>
    <t xml:space="preserve">Grosvenor Place</t>
  </si>
  <si>
    <t xml:space="preserve">1225</t>
  </si>
  <si>
    <t xml:space="preserve">Royal Exchange</t>
  </si>
  <si>
    <t xml:space="preserve">1230</t>
  </si>
  <si>
    <t xml:space="preserve">Queen Victoria Building</t>
  </si>
  <si>
    <t xml:space="preserve">1231</t>
  </si>
  <si>
    <t xml:space="preserve">Sydney South</t>
  </si>
  <si>
    <t xml:space="preserve">1235</t>
  </si>
  <si>
    <t xml:space="preserve">1239</t>
  </si>
  <si>
    <t xml:space="preserve">Haymarket</t>
  </si>
  <si>
    <t xml:space="preserve">1240</t>
  </si>
  <si>
    <t xml:space="preserve">1291</t>
  </si>
  <si>
    <t xml:space="preserve">1300</t>
  </si>
  <si>
    <t xml:space="preserve">Darlinghurst</t>
  </si>
  <si>
    <t xml:space="preserve">1335</t>
  </si>
  <si>
    <t xml:space="preserve">Potts Point</t>
  </si>
  <si>
    <t xml:space="preserve">1340</t>
  </si>
  <si>
    <t xml:space="preserve">Kings Cross</t>
  </si>
  <si>
    <t xml:space="preserve">1350</t>
  </si>
  <si>
    <t xml:space="preserve">Woollahra</t>
  </si>
  <si>
    <t xml:space="preserve">1355</t>
  </si>
  <si>
    <t xml:space="preserve">Bondi Junction</t>
  </si>
  <si>
    <t xml:space="preserve">1360</t>
  </si>
  <si>
    <t xml:space="preserve">Double Bay</t>
  </si>
  <si>
    <t xml:space="preserve">1405</t>
  </si>
  <si>
    <t xml:space="preserve">Chullora</t>
  </si>
  <si>
    <t xml:space="preserve">1435</t>
  </si>
  <si>
    <t xml:space="preserve">Alexandria</t>
  </si>
  <si>
    <t xml:space="preserve">1445</t>
  </si>
  <si>
    <t xml:space="preserve">Rosebery</t>
  </si>
  <si>
    <t xml:space="preserve">1450</t>
  </si>
  <si>
    <t xml:space="preserve">Camperdown</t>
  </si>
  <si>
    <t xml:space="preserve">1455</t>
  </si>
  <si>
    <t xml:space="preserve">Botany</t>
  </si>
  <si>
    <t xml:space="preserve">1460</t>
  </si>
  <si>
    <t xml:space="preserve">Mascot</t>
  </si>
  <si>
    <t xml:space="preserve">1465</t>
  </si>
  <si>
    <t xml:space="preserve">Kensington</t>
  </si>
  <si>
    <t xml:space="preserve">1466</t>
  </si>
  <si>
    <t xml:space="preserve">Unsw Sydney</t>
  </si>
  <si>
    <t xml:space="preserve">1470</t>
  </si>
  <si>
    <t xml:space="preserve">Drummoyne</t>
  </si>
  <si>
    <t xml:space="preserve">1475</t>
  </si>
  <si>
    <t xml:space="preserve">Marrickville</t>
  </si>
  <si>
    <t xml:space="preserve">1480</t>
  </si>
  <si>
    <t xml:space="preserve">Kingsgrove</t>
  </si>
  <si>
    <t xml:space="preserve">1481</t>
  </si>
  <si>
    <t xml:space="preserve">Hurstville Bc</t>
  </si>
  <si>
    <t xml:space="preserve">1485</t>
  </si>
  <si>
    <t xml:space="preserve">Kogarah</t>
  </si>
  <si>
    <t xml:space="preserve">1490</t>
  </si>
  <si>
    <t xml:space="preserve">Miranda</t>
  </si>
  <si>
    <t xml:space="preserve">1495</t>
  </si>
  <si>
    <t xml:space="preserve">Caringbah</t>
  </si>
  <si>
    <t xml:space="preserve">1499</t>
  </si>
  <si>
    <t xml:space="preserve">Sutherland</t>
  </si>
  <si>
    <t xml:space="preserve">1515</t>
  </si>
  <si>
    <t xml:space="preserve">West Chatswood</t>
  </si>
  <si>
    <t xml:space="preserve">1560</t>
  </si>
  <si>
    <t xml:space="preserve">Northbridge</t>
  </si>
  <si>
    <t xml:space="preserve">1565</t>
  </si>
  <si>
    <t xml:space="preserve">Milsons Point</t>
  </si>
  <si>
    <t xml:space="preserve">1570</t>
  </si>
  <si>
    <t xml:space="preserve">Artarmon</t>
  </si>
  <si>
    <t xml:space="preserve">1585</t>
  </si>
  <si>
    <t xml:space="preserve">Crows Nest</t>
  </si>
  <si>
    <t xml:space="preserve">1590</t>
  </si>
  <si>
    <t xml:space="preserve">St Leonards</t>
  </si>
  <si>
    <t xml:space="preserve">1595</t>
  </si>
  <si>
    <t xml:space="preserve">Lane Cove</t>
  </si>
  <si>
    <t xml:space="preserve">1602</t>
  </si>
  <si>
    <t xml:space="preserve">Lane Cove Dc</t>
  </si>
  <si>
    <t xml:space="preserve">1630</t>
  </si>
  <si>
    <t xml:space="preserve">Hornsby</t>
  </si>
  <si>
    <t xml:space="preserve">1635</t>
  </si>
  <si>
    <t xml:space="preserve">Hornsby Westfield</t>
  </si>
  <si>
    <t xml:space="preserve">1640</t>
  </si>
  <si>
    <t xml:space="preserve">Frenchs Forest</t>
  </si>
  <si>
    <t xml:space="preserve">1655</t>
  </si>
  <si>
    <t xml:space="preserve">Manly</t>
  </si>
  <si>
    <t xml:space="preserve">1660</t>
  </si>
  <si>
    <t xml:space="preserve">Mona Vale</t>
  </si>
  <si>
    <t xml:space="preserve">1670</t>
  </si>
  <si>
    <t xml:space="preserve">North Ryde, North Ryde Bc</t>
  </si>
  <si>
    <t xml:space="preserve">1675</t>
  </si>
  <si>
    <t xml:space="preserve">Gladesville</t>
  </si>
  <si>
    <t xml:space="preserve">1680</t>
  </si>
  <si>
    <t xml:space="preserve">Ryde</t>
  </si>
  <si>
    <t xml:space="preserve">1685</t>
  </si>
  <si>
    <t xml:space="preserve">West Ryde</t>
  </si>
  <si>
    <t xml:space="preserve">1700</t>
  </si>
  <si>
    <t xml:space="preserve">Ermington</t>
  </si>
  <si>
    <t xml:space="preserve">1710</t>
  </si>
  <si>
    <t xml:space="preserve">Epping</t>
  </si>
  <si>
    <t xml:space="preserve">1715</t>
  </si>
  <si>
    <t xml:space="preserve">Pennant Hills</t>
  </si>
  <si>
    <t xml:space="preserve">1730</t>
  </si>
  <si>
    <t xml:space="preserve">Seven Hills</t>
  </si>
  <si>
    <t xml:space="preserve">1750</t>
  </si>
  <si>
    <t xml:space="preserve">North Parramatta</t>
  </si>
  <si>
    <t xml:space="preserve">1755</t>
  </si>
  <si>
    <t xml:space="preserve">Baulkham Hills</t>
  </si>
  <si>
    <t xml:space="preserve">1765</t>
  </si>
  <si>
    <t xml:space="preserve">Castle Hill</t>
  </si>
  <si>
    <t xml:space="preserve">1790</t>
  </si>
  <si>
    <t xml:space="preserve">St Marys</t>
  </si>
  <si>
    <t xml:space="preserve">1800</t>
  </si>
  <si>
    <t xml:space="preserve">Ashfield</t>
  </si>
  <si>
    <t xml:space="preserve">1805</t>
  </si>
  <si>
    <t xml:space="preserve">Burwood</t>
  </si>
  <si>
    <t xml:space="preserve">1811</t>
  </si>
  <si>
    <t xml:space="preserve">Silverwater</t>
  </si>
  <si>
    <t xml:space="preserve">1825</t>
  </si>
  <si>
    <t xml:space="preserve">Lidcombe</t>
  </si>
  <si>
    <t xml:space="preserve">1835</t>
  </si>
  <si>
    <t xml:space="preserve">Auburn</t>
  </si>
  <si>
    <t xml:space="preserve">1851</t>
  </si>
  <si>
    <t xml:space="preserve">Wetherill Park, Wetherill Park Dc</t>
  </si>
  <si>
    <t xml:space="preserve">1860</t>
  </si>
  <si>
    <t xml:space="preserve">Fairfield</t>
  </si>
  <si>
    <t xml:space="preserve">1871</t>
  </si>
  <si>
    <t xml:space="preserve">Liverpool</t>
  </si>
  <si>
    <t xml:space="preserve">1874</t>
  </si>
  <si>
    <t xml:space="preserve">Moorebank</t>
  </si>
  <si>
    <t xml:space="preserve">1875</t>
  </si>
  <si>
    <t xml:space="preserve">1885</t>
  </si>
  <si>
    <t xml:space="preserve">Bankstown</t>
  </si>
  <si>
    <t xml:space="preserve">1890</t>
  </si>
  <si>
    <t xml:space="preserve">Ingleburn</t>
  </si>
  <si>
    <t xml:space="preserve">1891</t>
  </si>
  <si>
    <t xml:space="preserve">Milperra</t>
  </si>
  <si>
    <t xml:space="preserve">2000</t>
  </si>
  <si>
    <t xml:space="preserve">Barangaroo, Darling Harbour, Dawes Point, Haymarket</t>
  </si>
  <si>
    <t xml:space="preserve">2001</t>
  </si>
  <si>
    <t xml:space="preserve">2002</t>
  </si>
  <si>
    <t xml:space="preserve">World Square</t>
  </si>
  <si>
    <t xml:space="preserve">2004</t>
  </si>
  <si>
    <t xml:space="preserve">Alexandria Mc, Eastern Suburbs Mc</t>
  </si>
  <si>
    <t xml:space="preserve">2006</t>
  </si>
  <si>
    <t xml:space="preserve">The University Of Sydney</t>
  </si>
  <si>
    <t xml:space="preserve">2007</t>
  </si>
  <si>
    <t xml:space="preserve">Broadway, Ultimo</t>
  </si>
  <si>
    <t xml:space="preserve">2008</t>
  </si>
  <si>
    <t xml:space="preserve">Chippendale, Darlington, Golden Grove</t>
  </si>
  <si>
    <t xml:space="preserve">2009</t>
  </si>
  <si>
    <t xml:space="preserve">Darling Island, Pyrmont</t>
  </si>
  <si>
    <t xml:space="preserve">2010</t>
  </si>
  <si>
    <t xml:space="preserve">Darlinghurst, Surry Hills, Taylor Square</t>
  </si>
  <si>
    <t xml:space="preserve">2011</t>
  </si>
  <si>
    <t xml:space="preserve">Elizabeth Bay, Hmas Kuttabul, Kings Cross, Potts Point</t>
  </si>
  <si>
    <t xml:space="preserve">2012</t>
  </si>
  <si>
    <t xml:space="preserve">Strawberry Hills</t>
  </si>
  <si>
    <t xml:space="preserve">2013</t>
  </si>
  <si>
    <t xml:space="preserve">2015</t>
  </si>
  <si>
    <t xml:space="preserve">Alexandria, Beaconsfield, Eveleigh</t>
  </si>
  <si>
    <t xml:space="preserve">2016</t>
  </si>
  <si>
    <t xml:space="preserve">Redfern</t>
  </si>
  <si>
    <t xml:space="preserve">2017</t>
  </si>
  <si>
    <t xml:space="preserve">Waterloo, Waterloo Dc, Zetland</t>
  </si>
  <si>
    <t xml:space="preserve">2018</t>
  </si>
  <si>
    <t xml:space="preserve">Eastlakes, Rosebery</t>
  </si>
  <si>
    <t xml:space="preserve">2019</t>
  </si>
  <si>
    <t xml:space="preserve">Banksmeadow, Botany</t>
  </si>
  <si>
    <t xml:space="preserve">2020</t>
  </si>
  <si>
    <t xml:space="preserve">Mascot, Sydney Domestic Airport, Sydney International Airport</t>
  </si>
  <si>
    <t xml:space="preserve">2021</t>
  </si>
  <si>
    <t xml:space="preserve">Centennial Park, Moore Park, Paddington</t>
  </si>
  <si>
    <t xml:space="preserve">2022</t>
  </si>
  <si>
    <t xml:space="preserve">Bondi Junction, Bondi Junction Plaza, Queens Park</t>
  </si>
  <si>
    <t xml:space="preserve">2023</t>
  </si>
  <si>
    <t xml:space="preserve">Bellevue Hill</t>
  </si>
  <si>
    <t xml:space="preserve">2024</t>
  </si>
  <si>
    <t xml:space="preserve">Bronte, Charing Cross, Waverley</t>
  </si>
  <si>
    <t xml:space="preserve">2025</t>
  </si>
  <si>
    <t xml:space="preserve">2026</t>
  </si>
  <si>
    <t xml:space="preserve">Ben Buckler, Bondi, Bondi Beach, North Bondi</t>
  </si>
  <si>
    <t xml:space="preserve">2027</t>
  </si>
  <si>
    <t xml:space="preserve">Darling Point, Edgecliff, Hmas Rushcutters, Point Piper</t>
  </si>
  <si>
    <t xml:space="preserve">2028</t>
  </si>
  <si>
    <t xml:space="preserve">2029</t>
  </si>
  <si>
    <t xml:space="preserve">Rose Bay</t>
  </si>
  <si>
    <t xml:space="preserve">2030</t>
  </si>
  <si>
    <t xml:space="preserve">Diamond Bay, Dover Heights, Hmas Watson, Rose Bay North</t>
  </si>
  <si>
    <t xml:space="preserve">2031</t>
  </si>
  <si>
    <t xml:space="preserve">Clovelly, Clovelly West, Randwick, Randwick Dc</t>
  </si>
  <si>
    <t xml:space="preserve">2032</t>
  </si>
  <si>
    <t xml:space="preserve">Daceyville, Kingsford</t>
  </si>
  <si>
    <t xml:space="preserve">2033</t>
  </si>
  <si>
    <t xml:space="preserve">2034</t>
  </si>
  <si>
    <t xml:space="preserve">Coogee, South Coogee</t>
  </si>
  <si>
    <t xml:space="preserve">2035</t>
  </si>
  <si>
    <t xml:space="preserve">Maroubra, Maroubra South, Pagewood</t>
  </si>
  <si>
    <t xml:space="preserve">2036</t>
  </si>
  <si>
    <t xml:space="preserve">Chifley, Eastgardens, Hillsdale, La Perouse</t>
  </si>
  <si>
    <t xml:space="preserve">2037</t>
  </si>
  <si>
    <t xml:space="preserve">Forest Lodge, Glebe</t>
  </si>
  <si>
    <t xml:space="preserve">2038</t>
  </si>
  <si>
    <t xml:space="preserve">Annandale</t>
  </si>
  <si>
    <t xml:space="preserve">2039</t>
  </si>
  <si>
    <t xml:space="preserve">Rozelle</t>
  </si>
  <si>
    <t xml:space="preserve">2040</t>
  </si>
  <si>
    <t xml:space="preserve">Leichhardt, Lilyfield</t>
  </si>
  <si>
    <t xml:space="preserve">2041</t>
  </si>
  <si>
    <t xml:space="preserve">Balmain, Balmain East, Birchgrove</t>
  </si>
  <si>
    <t xml:space="preserve">2042</t>
  </si>
  <si>
    <t xml:space="preserve">Enmore, Newtown</t>
  </si>
  <si>
    <t xml:space="preserve">2043</t>
  </si>
  <si>
    <t xml:space="preserve">Erskineville</t>
  </si>
  <si>
    <t xml:space="preserve">2044</t>
  </si>
  <si>
    <t xml:space="preserve">St Peters, St Peters Dc, Sydenham, Tempe</t>
  </si>
  <si>
    <t xml:space="preserve">2045</t>
  </si>
  <si>
    <t xml:space="preserve">Haberfield</t>
  </si>
  <si>
    <t xml:space="preserve">2046</t>
  </si>
  <si>
    <t xml:space="preserve">Abbotsford, Canada Bay, Chiswick, Five Dock</t>
  </si>
  <si>
    <t xml:space="preserve">2047</t>
  </si>
  <si>
    <t xml:space="preserve">2048</t>
  </si>
  <si>
    <t xml:space="preserve">Stanmore, Westgate</t>
  </si>
  <si>
    <t xml:space="preserve">2049</t>
  </si>
  <si>
    <t xml:space="preserve">Lewisham, Petersham, Petersham North</t>
  </si>
  <si>
    <t xml:space="preserve">2050</t>
  </si>
  <si>
    <t xml:space="preserve">Camperdown, Missenden Road</t>
  </si>
  <si>
    <t xml:space="preserve">2052</t>
  </si>
  <si>
    <t xml:space="preserve">2055</t>
  </si>
  <si>
    <t xml:space="preserve">North Sydney</t>
  </si>
  <si>
    <t xml:space="preserve">2057</t>
  </si>
  <si>
    <t xml:space="preserve">Chatswood</t>
  </si>
  <si>
    <t xml:space="preserve">2058</t>
  </si>
  <si>
    <t xml:space="preserve">Northern Suburbs Mc</t>
  </si>
  <si>
    <t xml:space="preserve">2059</t>
  </si>
  <si>
    <t xml:space="preserve">2060</t>
  </si>
  <si>
    <t xml:space="preserve">Hmas Platypus, Hmas Waterhen, Lavender Bay, Mcmahons Point</t>
  </si>
  <si>
    <t xml:space="preserve">2061</t>
  </si>
  <si>
    <t xml:space="preserve">Kirribilli, Milsons Point</t>
  </si>
  <si>
    <t xml:space="preserve">2062</t>
  </si>
  <si>
    <t xml:space="preserve">Cammeray</t>
  </si>
  <si>
    <t xml:space="preserve">2063</t>
  </si>
  <si>
    <t xml:space="preserve">2064</t>
  </si>
  <si>
    <t xml:space="preserve">2065</t>
  </si>
  <si>
    <t xml:space="preserve">Crows Nest, Crows Nest Dc, Gore Hill, Greenwich</t>
  </si>
  <si>
    <t xml:space="preserve">2066</t>
  </si>
  <si>
    <t xml:space="preserve">Lane Cove, Lane Cove North, Lane Cove West, Linley Point</t>
  </si>
  <si>
    <t xml:space="preserve">2067</t>
  </si>
  <si>
    <t xml:space="preserve">Chatswood, Chatswood West</t>
  </si>
  <si>
    <t xml:space="preserve">2068</t>
  </si>
  <si>
    <t xml:space="preserve">Castlecrag, Middle Cove, North Willoughby, Willoughby</t>
  </si>
  <si>
    <t xml:space="preserve">2069</t>
  </si>
  <si>
    <t xml:space="preserve">Castle Cove, Roseville, Roseville Chase</t>
  </si>
  <si>
    <t xml:space="preserve">2070</t>
  </si>
  <si>
    <t xml:space="preserve">East Lindfield, Lindfield, Lindfield West</t>
  </si>
  <si>
    <t xml:space="preserve">2071</t>
  </si>
  <si>
    <t xml:space="preserve">East Killara, Killara</t>
  </si>
  <si>
    <t xml:space="preserve">2072</t>
  </si>
  <si>
    <t xml:space="preserve">Gordon</t>
  </si>
  <si>
    <t xml:space="preserve">2073</t>
  </si>
  <si>
    <t xml:space="preserve">Pymble, West Pymble</t>
  </si>
  <si>
    <t xml:space="preserve">2074</t>
  </si>
  <si>
    <t xml:space="preserve">Bobbin Head, North Turramurra, South Turramurra, Turramurra</t>
  </si>
  <si>
    <t xml:space="preserve">2075</t>
  </si>
  <si>
    <t xml:space="preserve">North St Ives, St Ives, St Ives Chase</t>
  </si>
  <si>
    <t xml:space="preserve">2076</t>
  </si>
  <si>
    <t xml:space="preserve">Normanhurst, North Wahroonga, Wahroonga</t>
  </si>
  <si>
    <t xml:space="preserve">2077</t>
  </si>
  <si>
    <t xml:space="preserve">Asquith, Hornsby, Hornsby Heights, Waitara</t>
  </si>
  <si>
    <t xml:space="preserve">2079</t>
  </si>
  <si>
    <t xml:space="preserve">Mount Colah</t>
  </si>
  <si>
    <t xml:space="preserve">2080</t>
  </si>
  <si>
    <t xml:space="preserve">Mount Kuring-Gai</t>
  </si>
  <si>
    <t xml:space="preserve">2081</t>
  </si>
  <si>
    <t xml:space="preserve">NSW - Outer Metro</t>
  </si>
  <si>
    <t xml:space="preserve">Major Area</t>
  </si>
  <si>
    <t xml:space="preserve">Added</t>
  </si>
  <si>
    <t xml:space="preserve">Berowra, Cowan</t>
  </si>
  <si>
    <t xml:space="preserve">2082</t>
  </si>
  <si>
    <t xml:space="preserve">Berowra Creek, Berowra Heights, Berowra Waters</t>
  </si>
  <si>
    <t xml:space="preserve">2083</t>
  </si>
  <si>
    <t xml:space="preserve">Bar Point, Brooklyn, Cheero Point, Cogra Bay</t>
  </si>
  <si>
    <t xml:space="preserve">2084</t>
  </si>
  <si>
    <t xml:space="preserve">Akuna Bay, Cottage Point, Duffys Forest, Terrey Hills</t>
  </si>
  <si>
    <t xml:space="preserve">2085</t>
  </si>
  <si>
    <t xml:space="preserve">Belrose, Belrose West, Davidson</t>
  </si>
  <si>
    <t xml:space="preserve">2086</t>
  </si>
  <si>
    <t xml:space="preserve">Frenchs Forest, Frenchs Forest East</t>
  </si>
  <si>
    <t xml:space="preserve">2087</t>
  </si>
  <si>
    <t xml:space="preserve">Forestville, Killarney Heights</t>
  </si>
  <si>
    <t xml:space="preserve">2088</t>
  </si>
  <si>
    <t xml:space="preserve">Mosman, Spit Junction</t>
  </si>
  <si>
    <t xml:space="preserve">2089</t>
  </si>
  <si>
    <t xml:space="preserve">Kurraba Point, Neutral Bay, Neutral Bay Junction</t>
  </si>
  <si>
    <t xml:space="preserve">2090</t>
  </si>
  <si>
    <t xml:space="preserve">Cremorne, Cremorne Junction, Cremorne Point</t>
  </si>
  <si>
    <t xml:space="preserve">2091</t>
  </si>
  <si>
    <t xml:space="preserve">Hmas Penguin</t>
  </si>
  <si>
    <t xml:space="preserve">2092</t>
  </si>
  <si>
    <t xml:space="preserve">Seaforth</t>
  </si>
  <si>
    <t xml:space="preserve">2093</t>
  </si>
  <si>
    <t xml:space="preserve">Balgowlah, Balgowlah Heights, Clontarf, Manly Vale</t>
  </si>
  <si>
    <t xml:space="preserve">2094</t>
  </si>
  <si>
    <t xml:space="preserve">Fairlight</t>
  </si>
  <si>
    <t xml:space="preserve">2095</t>
  </si>
  <si>
    <t xml:space="preserve">Manly, Manly East</t>
  </si>
  <si>
    <t xml:space="preserve">2096</t>
  </si>
  <si>
    <t xml:space="preserve">Curl Curl, Freshwater, Harbord, Queenscliff</t>
  </si>
  <si>
    <t xml:space="preserve">2097</t>
  </si>
  <si>
    <t xml:space="preserve">Collaroy, Collaroy Beach, Collaroy Plateau, Collaroy Plateau West</t>
  </si>
  <si>
    <t xml:space="preserve">2099</t>
  </si>
  <si>
    <t xml:space="preserve">Cromer, Cromer Heights, Dee Why, Dee Why Beach</t>
  </si>
  <si>
    <t xml:space="preserve">2100</t>
  </si>
  <si>
    <t xml:space="preserve">Allambie, Allambie Heights, Beacon Hill, Brookvale</t>
  </si>
  <si>
    <t xml:space="preserve">2101</t>
  </si>
  <si>
    <t xml:space="preserve">Elanora Heights, Ingleside, Narrabeen, Narrabeen Peninsula</t>
  </si>
  <si>
    <t xml:space="preserve">2102</t>
  </si>
  <si>
    <t xml:space="preserve">Warriewood, Warriewood Dc, Warriewood Shopping Square</t>
  </si>
  <si>
    <t xml:space="preserve">2103</t>
  </si>
  <si>
    <t xml:space="preserve">2104</t>
  </si>
  <si>
    <t xml:space="preserve">Bayview</t>
  </si>
  <si>
    <t xml:space="preserve">2105</t>
  </si>
  <si>
    <t xml:space="preserve">Church Point, Elvina Bay, Lovett Bay, Mccarrs Creek</t>
  </si>
  <si>
    <t xml:space="preserve">2106</t>
  </si>
  <si>
    <t xml:space="preserve">Newport, Newport Beach</t>
  </si>
  <si>
    <t xml:space="preserve">2107</t>
  </si>
  <si>
    <t xml:space="preserve">Avalon, Avalon Beach, Bilgola, Bilgola Beach</t>
  </si>
  <si>
    <t xml:space="preserve">2108</t>
  </si>
  <si>
    <t xml:space="preserve">Coasters Retreat, Currawong Beach, Great Mackerel Beach, Morning Bay</t>
  </si>
  <si>
    <t xml:space="preserve">2109</t>
  </si>
  <si>
    <t xml:space="preserve">Macquarie University</t>
  </si>
  <si>
    <t xml:space="preserve">2110</t>
  </si>
  <si>
    <t xml:space="preserve">Hunters Hill, Hunters Hill West, Woolwich</t>
  </si>
  <si>
    <t xml:space="preserve">2111</t>
  </si>
  <si>
    <t xml:space="preserve">Boronia Park, Gladesville, Henley, Huntleys Cove</t>
  </si>
  <si>
    <t xml:space="preserve">2112</t>
  </si>
  <si>
    <t xml:space="preserve">Denistone East, Putney, Ryde</t>
  </si>
  <si>
    <t xml:space="preserve">2113</t>
  </si>
  <si>
    <t xml:space="preserve">Blenheim Road, East Ryde, Macquarie Centre, Macquarie Park</t>
  </si>
  <si>
    <t xml:space="preserve">2114</t>
  </si>
  <si>
    <t xml:space="preserve">Denistone, Denistone West, Meadowbank, Melrose Park</t>
  </si>
  <si>
    <t xml:space="preserve">2115</t>
  </si>
  <si>
    <t xml:space="preserve">2116</t>
  </si>
  <si>
    <t xml:space="preserve">Rydalmere</t>
  </si>
  <si>
    <t xml:space="preserve">2117</t>
  </si>
  <si>
    <t xml:space="preserve">Dundas, Dundas Valley, Oatlands, Telopea</t>
  </si>
  <si>
    <t xml:space="preserve">2118</t>
  </si>
  <si>
    <t xml:space="preserve">Carlingford, Carlingford Court, Carlingford North, Kingsdene</t>
  </si>
  <si>
    <t xml:space="preserve">2119</t>
  </si>
  <si>
    <t xml:space="preserve">Beecroft, Cheltenham</t>
  </si>
  <si>
    <t xml:space="preserve">2120</t>
  </si>
  <si>
    <t xml:space="preserve">Pennant Hills, Thornleigh, Westleigh</t>
  </si>
  <si>
    <t xml:space="preserve">2121</t>
  </si>
  <si>
    <t xml:space="preserve">Epping, North Epping</t>
  </si>
  <si>
    <t xml:space="preserve">2122</t>
  </si>
  <si>
    <t xml:space="preserve">Eastwood, Marsfield</t>
  </si>
  <si>
    <t xml:space="preserve">2123</t>
  </si>
  <si>
    <t xml:space="preserve">Parramatta</t>
  </si>
  <si>
    <t xml:space="preserve">2124</t>
  </si>
  <si>
    <t xml:space="preserve">2125</t>
  </si>
  <si>
    <t xml:space="preserve">West Pennant Hills</t>
  </si>
  <si>
    <t xml:space="preserve">2126</t>
  </si>
  <si>
    <t xml:space="preserve">Cherrybrook</t>
  </si>
  <si>
    <t xml:space="preserve">2127</t>
  </si>
  <si>
    <t xml:space="preserve">Homebush Bay, Newington, Sydney Olympic Park, Wentworth Point</t>
  </si>
  <si>
    <t xml:space="preserve">2128</t>
  </si>
  <si>
    <t xml:space="preserve">2129</t>
  </si>
  <si>
    <t xml:space="preserve">Sydney Markets</t>
  </si>
  <si>
    <t xml:space="preserve">2130</t>
  </si>
  <si>
    <t xml:space="preserve">Summer Hill</t>
  </si>
  <si>
    <t xml:space="preserve">2131</t>
  </si>
  <si>
    <t xml:space="preserve">2132</t>
  </si>
  <si>
    <t xml:space="preserve">Croydon</t>
  </si>
  <si>
    <t xml:space="preserve">2133</t>
  </si>
  <si>
    <t xml:space="preserve">Croydon Park, Enfield South</t>
  </si>
  <si>
    <t xml:space="preserve">2134</t>
  </si>
  <si>
    <t xml:space="preserve">Burwood, Burwood North</t>
  </si>
  <si>
    <t xml:space="preserve">2135</t>
  </si>
  <si>
    <t xml:space="preserve">Strathfield</t>
  </si>
  <si>
    <t xml:space="preserve">2136</t>
  </si>
  <si>
    <t xml:space="preserve">Burwood Heights, Enfield, Strathfield South</t>
  </si>
  <si>
    <t xml:space="preserve">2137</t>
  </si>
  <si>
    <t xml:space="preserve">Breakfast Point, Cabarita, Concord, Mortlake</t>
  </si>
  <si>
    <t xml:space="preserve">2138</t>
  </si>
  <si>
    <t xml:space="preserve">Concord West, Concord West Dc, Liberty Grove, Rhodes</t>
  </si>
  <si>
    <t xml:space="preserve">2139</t>
  </si>
  <si>
    <t xml:space="preserve">Concord Repatriation Hospital</t>
  </si>
  <si>
    <t xml:space="preserve">2140</t>
  </si>
  <si>
    <t xml:space="preserve">Homebush, Homebush South, Homebush West</t>
  </si>
  <si>
    <t xml:space="preserve">2141</t>
  </si>
  <si>
    <t xml:space="preserve">Berala, Lidcombe, Lidcombe North, Rookwood</t>
  </si>
  <si>
    <t xml:space="preserve">2142</t>
  </si>
  <si>
    <t xml:space="preserve">Blaxcell, Camellia, Clyde, Granville</t>
  </si>
  <si>
    <t xml:space="preserve">2143</t>
  </si>
  <si>
    <t xml:space="preserve">Birrong, Potts Hill, Regents Park, Regents Park Dc</t>
  </si>
  <si>
    <t xml:space="preserve">2144</t>
  </si>
  <si>
    <t xml:space="preserve">Auburn, Auburn South</t>
  </si>
  <si>
    <t xml:space="preserve">2145</t>
  </si>
  <si>
    <t xml:space="preserve">Constitution Hill, Girraween, Greystanes, Mays Hill</t>
  </si>
  <si>
    <t xml:space="preserve">2146</t>
  </si>
  <si>
    <t xml:space="preserve">Old Toongabbie, Toongabbie, Toongabbie East</t>
  </si>
  <si>
    <t xml:space="preserve">2147</t>
  </si>
  <si>
    <t xml:space="preserve">Kings Langley, Lalor Park, Seven Hills, Seven Hills West</t>
  </si>
  <si>
    <t xml:space="preserve">2148</t>
  </si>
  <si>
    <t xml:space="preserve">Arndell Park, Blacktown, Blacktown Westpoint, Huntingwood</t>
  </si>
  <si>
    <t xml:space="preserve">2150</t>
  </si>
  <si>
    <t xml:space="preserve">Harris Park, Parramatta, Parramatta Westfield</t>
  </si>
  <si>
    <t xml:space="preserve">2151</t>
  </si>
  <si>
    <t xml:space="preserve">North Parramatta, North Rocks</t>
  </si>
  <si>
    <t xml:space="preserve">2152</t>
  </si>
  <si>
    <t xml:space="preserve">Northmead</t>
  </si>
  <si>
    <t xml:space="preserve">2153</t>
  </si>
  <si>
    <t xml:space="preserve">Baulkham Hills, Bella Vista, Crestwood, Norwest</t>
  </si>
  <si>
    <t xml:space="preserve">2154</t>
  </si>
  <si>
    <t xml:space="preserve">2155</t>
  </si>
  <si>
    <t xml:space="preserve">Beaumont Hills, Kellyville, Kellyville Ridge, North Kellyville</t>
  </si>
  <si>
    <t xml:space="preserve">2156</t>
  </si>
  <si>
    <t xml:space="preserve">Annangrove, Glenhaven, Kenthurst</t>
  </si>
  <si>
    <t xml:space="preserve">2157</t>
  </si>
  <si>
    <t xml:space="preserve">Canoelands, Forest Glen, Glenorie, Hillside</t>
  </si>
  <si>
    <t xml:space="preserve">2158</t>
  </si>
  <si>
    <t xml:space="preserve">Dural, Dural Dc, Middle Dural, Round Corner</t>
  </si>
  <si>
    <t xml:space="preserve">2159</t>
  </si>
  <si>
    <t xml:space="preserve">Arcadia, Berrilee, Fiddletown, Galston</t>
  </si>
  <si>
    <t xml:space="preserve">2160</t>
  </si>
  <si>
    <t xml:space="preserve">Merrylands, Merrylands West</t>
  </si>
  <si>
    <t xml:space="preserve">2161</t>
  </si>
  <si>
    <t xml:space="preserve">Guildford, Guildford West, Old Guildford, Yennora</t>
  </si>
  <si>
    <t xml:space="preserve">2162</t>
  </si>
  <si>
    <t xml:space="preserve">Chester Hill, Sefton</t>
  </si>
  <si>
    <t xml:space="preserve">2163</t>
  </si>
  <si>
    <t xml:space="preserve">Carramar, Lansdowne, Villawood</t>
  </si>
  <si>
    <t xml:space="preserve">2164</t>
  </si>
  <si>
    <t xml:space="preserve">Smithfield, Smithfield West, Wetherill Park, Wetherill Park Bc</t>
  </si>
  <si>
    <t xml:space="preserve">2165</t>
  </si>
  <si>
    <t xml:space="preserve">Fairfield, Fairfield East, Fairfield Heights, Fairfield West</t>
  </si>
  <si>
    <t xml:space="preserve">2166</t>
  </si>
  <si>
    <t xml:space="preserve">Cabramatta, Cabramatta West, Canley Heights, Canley Vale</t>
  </si>
  <si>
    <t xml:space="preserve">2167</t>
  </si>
  <si>
    <t xml:space="preserve">Glenfield</t>
  </si>
  <si>
    <t xml:space="preserve">2168</t>
  </si>
  <si>
    <t xml:space="preserve">Ashcroft, Busby, Cartwright, Green Valley</t>
  </si>
  <si>
    <t xml:space="preserve">2170</t>
  </si>
  <si>
    <t xml:space="preserve">Casula, Casula Mall, Chipping Norton, Hammondville</t>
  </si>
  <si>
    <t xml:space="preserve">2171</t>
  </si>
  <si>
    <t xml:space="preserve">Carnes Hill, Cecil Hills, Elizabeth Hills, Horningsea Park</t>
  </si>
  <si>
    <t xml:space="preserve">2172</t>
  </si>
  <si>
    <t xml:space="preserve">Pleasure Point, Sandy Point, Voyager Point</t>
  </si>
  <si>
    <t xml:space="preserve">2173</t>
  </si>
  <si>
    <t xml:space="preserve">Holsworthy, Wattle Grove</t>
  </si>
  <si>
    <t xml:space="preserve">2174</t>
  </si>
  <si>
    <t xml:space="preserve">Edmondson Park, Ingleburn Milpo</t>
  </si>
  <si>
    <t xml:space="preserve">2175</t>
  </si>
  <si>
    <t xml:space="preserve">Horsley Park</t>
  </si>
  <si>
    <t xml:space="preserve">2176</t>
  </si>
  <si>
    <t xml:space="preserve">Abbotsbury, Bossley Park, Edensor Park, Greenfield Park</t>
  </si>
  <si>
    <t xml:space="preserve">2177</t>
  </si>
  <si>
    <t xml:space="preserve">Bonnyrigg, Bonnyrigg Heights, Wentworth Port</t>
  </si>
  <si>
    <t xml:space="preserve">2178</t>
  </si>
  <si>
    <t xml:space="preserve">Cecil Park, Kemps Creek, Mount Vernon</t>
  </si>
  <si>
    <t xml:space="preserve">2179</t>
  </si>
  <si>
    <t xml:space="preserve">Austral, Leppington</t>
  </si>
  <si>
    <t xml:space="preserve">2190</t>
  </si>
  <si>
    <t xml:space="preserve">Chullora, Greenacre, Mount Lewis</t>
  </si>
  <si>
    <t xml:space="preserve">2191</t>
  </si>
  <si>
    <t xml:space="preserve">Belfield</t>
  </si>
  <si>
    <t xml:space="preserve">2192</t>
  </si>
  <si>
    <t xml:space="preserve">Belmore</t>
  </si>
  <si>
    <t xml:space="preserve">2193</t>
  </si>
  <si>
    <t xml:space="preserve">Ashbury, Canterbury, Hurlstone Park</t>
  </si>
  <si>
    <t xml:space="preserve">2194</t>
  </si>
  <si>
    <t xml:space="preserve">Campsie</t>
  </si>
  <si>
    <t xml:space="preserve">2195</t>
  </si>
  <si>
    <t xml:space="preserve">Lakemba, Lakemba Dc, Wiley Park</t>
  </si>
  <si>
    <t xml:space="preserve">2196</t>
  </si>
  <si>
    <t xml:space="preserve">Punchbowl, Roselands</t>
  </si>
  <si>
    <t xml:space="preserve">2197</t>
  </si>
  <si>
    <t xml:space="preserve">Bass Hill</t>
  </si>
  <si>
    <t xml:space="preserve">2198</t>
  </si>
  <si>
    <t xml:space="preserve">Georges Hall</t>
  </si>
  <si>
    <t xml:space="preserve">2199</t>
  </si>
  <si>
    <t xml:space="preserve">Yagoona, Yagoona West</t>
  </si>
  <si>
    <t xml:space="preserve">2200</t>
  </si>
  <si>
    <t xml:space="preserve">Bankstown, Bankstown Aerodrome, Bankstown Airport, Bankstown North</t>
  </si>
  <si>
    <t xml:space="preserve">2203</t>
  </si>
  <si>
    <t xml:space="preserve">Dulwich Hill</t>
  </si>
  <si>
    <t xml:space="preserve">2204</t>
  </si>
  <si>
    <t xml:space="preserve">Marrickville, Marrickville Metro, Marrickville South</t>
  </si>
  <si>
    <t xml:space="preserve">2205</t>
  </si>
  <si>
    <t xml:space="preserve">Arncliffe, Turrella, Wolli Creek</t>
  </si>
  <si>
    <t xml:space="preserve">2206</t>
  </si>
  <si>
    <t xml:space="preserve">Clemton Park, Earlwood, Undercliffe</t>
  </si>
  <si>
    <t xml:space="preserve">2207</t>
  </si>
  <si>
    <t xml:space="preserve">Bardwell Park, Bardwell Valley, Bexley, Bexley North</t>
  </si>
  <si>
    <t xml:space="preserve">2208</t>
  </si>
  <si>
    <t xml:space="preserve">Kingsgrove, Kingsgrove Dc, Kingsway West</t>
  </si>
  <si>
    <t xml:space="preserve">2209</t>
  </si>
  <si>
    <t xml:space="preserve">Beverly Hills, Narwee</t>
  </si>
  <si>
    <t xml:space="preserve">2210</t>
  </si>
  <si>
    <t xml:space="preserve">Lugarno, Peakhurst, Peakhurst Dc, Peakhurst Heights</t>
  </si>
  <si>
    <t xml:space="preserve">2211</t>
  </si>
  <si>
    <t xml:space="preserve">Padstow, Padstow Heights</t>
  </si>
  <si>
    <t xml:space="preserve">2212</t>
  </si>
  <si>
    <t xml:space="preserve">Revesby, Revesby Heights, Revesby North</t>
  </si>
  <si>
    <t xml:space="preserve">2213</t>
  </si>
  <si>
    <t xml:space="preserve">East Hills, Panania, Picnic Point</t>
  </si>
  <si>
    <t xml:space="preserve">2214</t>
  </si>
  <si>
    <t xml:space="preserve">2216</t>
  </si>
  <si>
    <t xml:space="preserve">Banksia, Brighton Le Sands, Brighton-Le-Sands, Kyeemagh</t>
  </si>
  <si>
    <t xml:space="preserve">2217</t>
  </si>
  <si>
    <t xml:space="preserve">Beverley Park, Kogarah, Kogarah Bay, Monterey</t>
  </si>
  <si>
    <t xml:space="preserve">2218</t>
  </si>
  <si>
    <t xml:space="preserve">Allawah, Carlton</t>
  </si>
  <si>
    <t xml:space="preserve">2219</t>
  </si>
  <si>
    <t xml:space="preserve">Dolls Point, Sandringham, Sans Souci</t>
  </si>
  <si>
    <t xml:space="preserve">2220</t>
  </si>
  <si>
    <t xml:space="preserve">Hurstville, Hurstville Grove, Hurstville Westfield</t>
  </si>
  <si>
    <t xml:space="preserve">2221</t>
  </si>
  <si>
    <t xml:space="preserve">Blakehurst, Carss Park, Connells Point, Kyle Bay</t>
  </si>
  <si>
    <t xml:space="preserve">2222</t>
  </si>
  <si>
    <t xml:space="preserve">Penshurst</t>
  </si>
  <si>
    <t xml:space="preserve">2223</t>
  </si>
  <si>
    <t xml:space="preserve">Mortdale, Oatley</t>
  </si>
  <si>
    <t xml:space="preserve">2224</t>
  </si>
  <si>
    <t xml:space="preserve">Kangaroo Point, Sylvania, Sylvania Southgate, Sylvania Waters</t>
  </si>
  <si>
    <t xml:space="preserve">2225</t>
  </si>
  <si>
    <t xml:space="preserve">Caravan Head, Oyster Bay</t>
  </si>
  <si>
    <t xml:space="preserve">2226</t>
  </si>
  <si>
    <t xml:space="preserve">Bonnet Bay, Como, Jannali</t>
  </si>
  <si>
    <t xml:space="preserve">2227</t>
  </si>
  <si>
    <t xml:space="preserve">Gymea, Gymea Bay</t>
  </si>
  <si>
    <t xml:space="preserve">2228</t>
  </si>
  <si>
    <t xml:space="preserve">Miranda, Yowie Bay</t>
  </si>
  <si>
    <t xml:space="preserve">2229</t>
  </si>
  <si>
    <t xml:space="preserve">Caringbah, Caringbah South, Dolans Bay, Lilli Pilli</t>
  </si>
  <si>
    <t xml:space="preserve">2230</t>
  </si>
  <si>
    <t xml:space="preserve">Bundeena, Burraneer, Cronulla, Greenhills Beach</t>
  </si>
  <si>
    <t xml:space="preserve">2231</t>
  </si>
  <si>
    <t xml:space="preserve">Kurnell</t>
  </si>
  <si>
    <t xml:space="preserve">2232</t>
  </si>
  <si>
    <t xml:space="preserve">Audley, Bonnie Vale, Garie, Goarra</t>
  </si>
  <si>
    <t xml:space="preserve">2233</t>
  </si>
  <si>
    <t xml:space="preserve">Engadine, Heathcote, Waterfall, Woronora Heights</t>
  </si>
  <si>
    <t xml:space="preserve">2234</t>
  </si>
  <si>
    <t xml:space="preserve">Alfords Point, Bangor, Barden Ridge, Illawong</t>
  </si>
  <si>
    <t xml:space="preserve">2250</t>
  </si>
  <si>
    <t xml:space="preserve">Bucketty, Calga, Central Mangrove, Donovans Forest</t>
  </si>
  <si>
    <t xml:space="preserve">2251</t>
  </si>
  <si>
    <t xml:space="preserve">Avoca Beach, Bensville, Bouddi, Copacabana</t>
  </si>
  <si>
    <t xml:space="preserve">2252</t>
  </si>
  <si>
    <t xml:space="preserve">Central Coast Mc</t>
  </si>
  <si>
    <t xml:space="preserve">2256</t>
  </si>
  <si>
    <t xml:space="preserve">Blackwall, Horsfield Bay, Koolewong, Little Wobby</t>
  </si>
  <si>
    <t xml:space="preserve">2257</t>
  </si>
  <si>
    <t xml:space="preserve">Booker Bay, Box Head, Daleys Point, Empire Bay</t>
  </si>
  <si>
    <t xml:space="preserve">2258</t>
  </si>
  <si>
    <t xml:space="preserve">Fountaindale, Kangy Angy, Ourimbah, Palm Grove</t>
  </si>
  <si>
    <t xml:space="preserve">2259</t>
  </si>
  <si>
    <t xml:space="preserve">Alison, Bushells Ridge, Cedar Brush Creek, Chain Valley Bay</t>
  </si>
  <si>
    <t xml:space="preserve">2260</t>
  </si>
  <si>
    <t xml:space="preserve">Erina Heights, Forresters Beach, North Avoca, Terrigal</t>
  </si>
  <si>
    <t xml:space="preserve">2261</t>
  </si>
  <si>
    <t xml:space="preserve">Bateau Bay, Bay Village, Berkeley Vale, Blue Bay</t>
  </si>
  <si>
    <t xml:space="preserve">2262</t>
  </si>
  <si>
    <t xml:space="preserve">Blue Haven, Budgewoi, Budgewoi Peninsula, Buff Point</t>
  </si>
  <si>
    <t xml:space="preserve">2263</t>
  </si>
  <si>
    <t xml:space="preserve">Canton Beach, Charmhaven, Gorokan, Lake Haven</t>
  </si>
  <si>
    <t xml:space="preserve">2264</t>
  </si>
  <si>
    <t xml:space="preserve">Balcolyn, Bonnells Bay, Brightwaters, Dora Creek</t>
  </si>
  <si>
    <t xml:space="preserve">2265</t>
  </si>
  <si>
    <t xml:space="preserve">NSW - Rural</t>
  </si>
  <si>
    <t xml:space="preserve">Cooranbong, Martinsville</t>
  </si>
  <si>
    <t xml:space="preserve">2267</t>
  </si>
  <si>
    <t xml:space="preserve">Wangi Wangi</t>
  </si>
  <si>
    <t xml:space="preserve">2278</t>
  </si>
  <si>
    <t xml:space="preserve">Barnsley, Killingworth, Wakefield</t>
  </si>
  <si>
    <t xml:space="preserve">2280</t>
  </si>
  <si>
    <t xml:space="preserve">Belmont, Belmont North, Belmont South, Croudace Bay</t>
  </si>
  <si>
    <t xml:space="preserve">2281</t>
  </si>
  <si>
    <t xml:space="preserve">Blacksmiths, Cams Wharf, Catherine Hill Bay, Caves Beach</t>
  </si>
  <si>
    <t xml:space="preserve">2282</t>
  </si>
  <si>
    <t xml:space="preserve">Eleebana, Lakelands, Warners Bay</t>
  </si>
  <si>
    <t xml:space="preserve">2283</t>
  </si>
  <si>
    <t xml:space="preserve">Arcadia Vale, Awaba, Balmoral, Blackalls Park</t>
  </si>
  <si>
    <t xml:space="preserve">2284</t>
  </si>
  <si>
    <t xml:space="preserve">Argenton, Boolaroo, Booragul, Marmong Point</t>
  </si>
  <si>
    <t xml:space="preserve">2285</t>
  </si>
  <si>
    <t xml:space="preserve">Cameron Park, Cardiff, Cardiff Heights, Cardiff South</t>
  </si>
  <si>
    <t xml:space="preserve">2286</t>
  </si>
  <si>
    <t xml:space="preserve">Holmesville, Seahampton, West Wallsend</t>
  </si>
  <si>
    <t xml:space="preserve">2287</t>
  </si>
  <si>
    <t xml:space="preserve">Birmingham Gardens, Elermore Vale, Fletcher, Maryland</t>
  </si>
  <si>
    <t xml:space="preserve">2289</t>
  </si>
  <si>
    <t xml:space="preserve">Adamstown, Adamstown Heights, Garden Suburb, Highfields</t>
  </si>
  <si>
    <t xml:space="preserve">2290</t>
  </si>
  <si>
    <t xml:space="preserve">Bennetts Green, Charlestown, Dudley, Gateshead</t>
  </si>
  <si>
    <t xml:space="preserve">2291</t>
  </si>
  <si>
    <t xml:space="preserve">Merewether, Merewether Heights, The Junction</t>
  </si>
  <si>
    <t xml:space="preserve">2292</t>
  </si>
  <si>
    <t xml:space="preserve">Broadmeadow, Hamilton North</t>
  </si>
  <si>
    <t xml:space="preserve">2293</t>
  </si>
  <si>
    <t xml:space="preserve">Maryville, Wickham</t>
  </si>
  <si>
    <t xml:space="preserve">2294</t>
  </si>
  <si>
    <t xml:space="preserve">Carrington</t>
  </si>
  <si>
    <t xml:space="preserve">2295</t>
  </si>
  <si>
    <t xml:space="preserve">Fern Bay, Stockton</t>
  </si>
  <si>
    <t xml:space="preserve">2296</t>
  </si>
  <si>
    <t xml:space="preserve">Islington</t>
  </si>
  <si>
    <t xml:space="preserve">2297</t>
  </si>
  <si>
    <t xml:space="preserve">Tighes Hill</t>
  </si>
  <si>
    <t xml:space="preserve">2298</t>
  </si>
  <si>
    <t xml:space="preserve">Georgetown, Waratah, Waratah West</t>
  </si>
  <si>
    <t xml:space="preserve">2299</t>
  </si>
  <si>
    <t xml:space="preserve">Glen Inneslambton, Jesmond, Lambton, North Lambton</t>
  </si>
  <si>
    <t xml:space="preserve">2300</t>
  </si>
  <si>
    <t xml:space="preserve">Bar Beach, Cooks Hill, Newcastle, Newcastle East</t>
  </si>
  <si>
    <t xml:space="preserve">2302</t>
  </si>
  <si>
    <t xml:space="preserve">Newcastle West</t>
  </si>
  <si>
    <t xml:space="preserve">2303</t>
  </si>
  <si>
    <t xml:space="preserve">Hamilton, Hamilton Dc, Hamilton East, Hamilton South</t>
  </si>
  <si>
    <t xml:space="preserve">2304</t>
  </si>
  <si>
    <t xml:space="preserve">Kooragang, Mayfield, Mayfield East, Mayfield North</t>
  </si>
  <si>
    <t xml:space="preserve">2305</t>
  </si>
  <si>
    <t xml:space="preserve">Kotara East, New Lambton, New Lambton Heights</t>
  </si>
  <si>
    <t xml:space="preserve">2306</t>
  </si>
  <si>
    <t xml:space="preserve">Windale</t>
  </si>
  <si>
    <t xml:space="preserve">2307</t>
  </si>
  <si>
    <t xml:space="preserve">Shortland</t>
  </si>
  <si>
    <t xml:space="preserve">2308</t>
  </si>
  <si>
    <t xml:space="preserve">Callaghan, Newcastle University</t>
  </si>
  <si>
    <t xml:space="preserve">2309</t>
  </si>
  <si>
    <t xml:space="preserve">Dangar</t>
  </si>
  <si>
    <t xml:space="preserve">2310</t>
  </si>
  <si>
    <t xml:space="preserve">Hunter Region Mc</t>
  </si>
  <si>
    <t xml:space="preserve">2311</t>
  </si>
  <si>
    <t xml:space="preserve">Allynbrook, Bingleburra, Bonnington Park, Carrabolla</t>
  </si>
  <si>
    <t xml:space="preserve">2312</t>
  </si>
  <si>
    <t xml:space="preserve">Minimbah, Nabiac</t>
  </si>
  <si>
    <t xml:space="preserve">2315</t>
  </si>
  <si>
    <t xml:space="preserve">Corlette, Fingal Bay, Gan Gan, Nelson Bay</t>
  </si>
  <si>
    <t xml:space="preserve">2316</t>
  </si>
  <si>
    <t xml:space="preserve">Anna Bay, Boat Harbour, Bobs Farm, Fishermans Bay</t>
  </si>
  <si>
    <t xml:space="preserve">2317</t>
  </si>
  <si>
    <t xml:space="preserve">Salamander Bay, Soldiers Point</t>
  </si>
  <si>
    <t xml:space="preserve">2318</t>
  </si>
  <si>
    <t xml:space="preserve">Campvale, Ferodale, Fullerton Cove, Medowie</t>
  </si>
  <si>
    <t xml:space="preserve">2319</t>
  </si>
  <si>
    <t xml:space="preserve">Lemon Tree Passage, Mallabula, Tanilba Bay, Tilligerry Creek</t>
  </si>
  <si>
    <t xml:space="preserve">2320</t>
  </si>
  <si>
    <t xml:space="preserve">Aberglasslyn, Allandale, Anambah, Bolwarra</t>
  </si>
  <si>
    <t xml:space="preserve">2321</t>
  </si>
  <si>
    <t xml:space="preserve">Berry Park, Butterwick, Clarence Town, Cliftleigh</t>
  </si>
  <si>
    <t xml:space="preserve">2322</t>
  </si>
  <si>
    <t xml:space="preserve">Beresfield, Black Hill, Chisholm, Hexham</t>
  </si>
  <si>
    <t xml:space="preserve">2323</t>
  </si>
  <si>
    <t xml:space="preserve">Ashtonfield, Brunkerville, Buchanan, Buttai</t>
  </si>
  <si>
    <t xml:space="preserve">2324</t>
  </si>
  <si>
    <t xml:space="preserve">Balickera, Brandy Hill, Bundabah, Carrington</t>
  </si>
  <si>
    <t xml:space="preserve">2325</t>
  </si>
  <si>
    <t xml:space="preserve">Aberdare, Abernethy, Bellbird, Bellbird Heights</t>
  </si>
  <si>
    <t xml:space="preserve">2326</t>
  </si>
  <si>
    <t xml:space="preserve">Abermain, Bishops Bridge, Loxford, Neath</t>
  </si>
  <si>
    <t xml:space="preserve">2327</t>
  </si>
  <si>
    <t xml:space="preserve">Kurri Kurri, Pelaw Main, Stanford Merthyr</t>
  </si>
  <si>
    <t xml:space="preserve">2328</t>
  </si>
  <si>
    <t xml:space="preserve">Bureen, Dalswinton, Denman, Giants Creek</t>
  </si>
  <si>
    <t xml:space="preserve">2329</t>
  </si>
  <si>
    <t xml:space="preserve">Borambil, Cassilis, Merriwa, Uarbry</t>
  </si>
  <si>
    <t xml:space="preserve">2330</t>
  </si>
  <si>
    <t xml:space="preserve">Appletree Flat, Big Ridge, Big Yengo, Bowmans Creek</t>
  </si>
  <si>
    <t xml:space="preserve">2331</t>
  </si>
  <si>
    <t xml:space="preserve">Singleton Military Area, Singleton Milpo</t>
  </si>
  <si>
    <t xml:space="preserve">2333</t>
  </si>
  <si>
    <t xml:space="preserve">Baerami, Baerami Creek, Bengalla, Castle Rock</t>
  </si>
  <si>
    <t xml:space="preserve">2334</t>
  </si>
  <si>
    <t xml:space="preserve">Greta</t>
  </si>
  <si>
    <t xml:space="preserve">2335</t>
  </si>
  <si>
    <t xml:space="preserve">Belford, Branxton, Dalwood, East Branxton</t>
  </si>
  <si>
    <t xml:space="preserve">2336</t>
  </si>
  <si>
    <t xml:space="preserve">Aberdeen, Dartbrook, Davis Creek, Rossgole</t>
  </si>
  <si>
    <t xml:space="preserve">2337</t>
  </si>
  <si>
    <t xml:space="preserve">Belltrees, Brawboy, Bunnan, Dry Creek</t>
  </si>
  <si>
    <t xml:space="preserve">2338</t>
  </si>
  <si>
    <t xml:space="preserve">Ardglen, Blandford, Crawney, Green Creek</t>
  </si>
  <si>
    <t xml:space="preserve">2339</t>
  </si>
  <si>
    <t xml:space="preserve">Big Jacks Creek, Braefield, Cattle Creek, Chilcotts Creek</t>
  </si>
  <si>
    <t xml:space="preserve">2340</t>
  </si>
  <si>
    <t xml:space="preserve">Appleby, Barry, Bective, Bithramere</t>
  </si>
  <si>
    <t xml:space="preserve">2341</t>
  </si>
  <si>
    <t xml:space="preserve">Werris Creek</t>
  </si>
  <si>
    <t xml:space="preserve">2342</t>
  </si>
  <si>
    <t xml:space="preserve">Currabubula, Piallaway</t>
  </si>
  <si>
    <t xml:space="preserve">2343</t>
  </si>
  <si>
    <t xml:space="preserve">Blackville, Borambil, Bundella, Caroona</t>
  </si>
  <si>
    <t xml:space="preserve">2344</t>
  </si>
  <si>
    <t xml:space="preserve">Duri, Winton</t>
  </si>
  <si>
    <t xml:space="preserve">2345</t>
  </si>
  <si>
    <t xml:space="preserve">Attunga, Garthowen</t>
  </si>
  <si>
    <t xml:space="preserve">2346</t>
  </si>
  <si>
    <t xml:space="preserve">Borah Creek, Halls Creek, Klori, Manilla</t>
  </si>
  <si>
    <t xml:space="preserve">2347</t>
  </si>
  <si>
    <t xml:space="preserve">Banoon, Barraba, Caroda, Cobbadah</t>
  </si>
  <si>
    <t xml:space="preserve">2348</t>
  </si>
  <si>
    <t xml:space="preserve">New England Mc</t>
  </si>
  <si>
    <t xml:space="preserve">2350</t>
  </si>
  <si>
    <t xml:space="preserve">Aberfoyle, Abington, Acacia Park, Argyle</t>
  </si>
  <si>
    <t xml:space="preserve">2351</t>
  </si>
  <si>
    <t xml:space="preserve">University Of New England</t>
  </si>
  <si>
    <t xml:space="preserve">2352</t>
  </si>
  <si>
    <t xml:space="preserve">Kootingal, Limbri, Mulla Creek, Tintinhull</t>
  </si>
  <si>
    <t xml:space="preserve">2353</t>
  </si>
  <si>
    <t xml:space="preserve">Moonbi</t>
  </si>
  <si>
    <t xml:space="preserve">2354</t>
  </si>
  <si>
    <t xml:space="preserve">Branga Plains, Kentucky, Kentucky South, Moona Plains</t>
  </si>
  <si>
    <t xml:space="preserve">2355</t>
  </si>
  <si>
    <t xml:space="preserve">Bendemeer, Retreat, Watsons Creek</t>
  </si>
  <si>
    <t xml:space="preserve">2356</t>
  </si>
  <si>
    <t xml:space="preserve">Gwabegar</t>
  </si>
  <si>
    <t xml:space="preserve">2357</t>
  </si>
  <si>
    <t xml:space="preserve">Bomera, Box Ridge, Bugaldie, Coonabarabran</t>
  </si>
  <si>
    <t xml:space="preserve">2358</t>
  </si>
  <si>
    <t xml:space="preserve">Arding, Bakers Creek, Balala, Gostwyck</t>
  </si>
  <si>
    <t xml:space="preserve">2359</t>
  </si>
  <si>
    <t xml:space="preserve">Bakers Creek, Bundarra, Camerons Creek</t>
  </si>
  <si>
    <t xml:space="preserve">2360</t>
  </si>
  <si>
    <t xml:space="preserve">Auburn Vale, Brodies Plains, Bukkulla, Cherry Tree Hill</t>
  </si>
  <si>
    <t xml:space="preserve">2361</t>
  </si>
  <si>
    <t xml:space="preserve">Ashford, Atholwood, Bonshaw, Limestone</t>
  </si>
  <si>
    <t xml:space="preserve">2365</t>
  </si>
  <si>
    <t xml:space="preserve">Backwater, Bald Blair, Baldersleigh, Bassendean</t>
  </si>
  <si>
    <t xml:space="preserve">2369</t>
  </si>
  <si>
    <t xml:space="preserve">Old Mill, Stannifer, Tingha</t>
  </si>
  <si>
    <t xml:space="preserve">2370</t>
  </si>
  <si>
    <t xml:space="preserve">Bald Nob, Diehard, Dundee, Furracabad</t>
  </si>
  <si>
    <t xml:space="preserve">2371</t>
  </si>
  <si>
    <t xml:space="preserve">Capoompeta, Deepwater, Emmaville, Rocky Creek</t>
  </si>
  <si>
    <t xml:space="preserve">2372</t>
  </si>
  <si>
    <t xml:space="preserve">Back Creek, Billyrimba, Black Swamp, Bluff Rock</t>
  </si>
  <si>
    <t xml:space="preserve">2379</t>
  </si>
  <si>
    <t xml:space="preserve">Goolhi, Mullaley, Napier Lane, Nombi</t>
  </si>
  <si>
    <t xml:space="preserve">2380</t>
  </si>
  <si>
    <t xml:space="preserve">Basin Plain, Blue Vale, Burburgate, Coocooboonah</t>
  </si>
  <si>
    <t xml:space="preserve">2381</t>
  </si>
  <si>
    <t xml:space="preserve">Breeza, Curlewis, Nea, Premer</t>
  </si>
  <si>
    <t xml:space="preserve">2382</t>
  </si>
  <si>
    <t xml:space="preserve">Boggabri, Maules Creek, Wean, Willala</t>
  </si>
  <si>
    <t xml:space="preserve">2386</t>
  </si>
  <si>
    <t xml:space="preserve">Burren Junction, Drildool, Nowley</t>
  </si>
  <si>
    <t xml:space="preserve">2387</t>
  </si>
  <si>
    <t xml:space="preserve">Bulyeroi, Rowena</t>
  </si>
  <si>
    <t xml:space="preserve">2388</t>
  </si>
  <si>
    <t xml:space="preserve">Boolcarroll, Cuttabri, Jews Lagoon, Merah North</t>
  </si>
  <si>
    <t xml:space="preserve">2390</t>
  </si>
  <si>
    <t xml:space="preserve">Baan Baa, Back Creek, Berrigal, Bohena Creek</t>
  </si>
  <si>
    <t xml:space="preserve">2395</t>
  </si>
  <si>
    <t xml:space="preserve">Binnaway, Ropers Road, Weetaliba</t>
  </si>
  <si>
    <t xml:space="preserve">2396</t>
  </si>
  <si>
    <t xml:space="preserve">Baradine, Barwon, Goorianawa, Kenebri</t>
  </si>
  <si>
    <t xml:space="preserve">2397</t>
  </si>
  <si>
    <t xml:space="preserve">Bellata, Jews Lagoon, Millie, Thalaba</t>
  </si>
  <si>
    <t xml:space="preserve">2398</t>
  </si>
  <si>
    <t xml:space="preserve">Gurley</t>
  </si>
  <si>
    <t xml:space="preserve">2399</t>
  </si>
  <si>
    <t xml:space="preserve">Biniguy, Milguy, Pallamallawa</t>
  </si>
  <si>
    <t xml:space="preserve">2400</t>
  </si>
  <si>
    <t xml:space="preserve">Ashley, Bullarah, Crooble, Mallowa</t>
  </si>
  <si>
    <t xml:space="preserve">2401</t>
  </si>
  <si>
    <t xml:space="preserve">Gravesend</t>
  </si>
  <si>
    <t xml:space="preserve">2402</t>
  </si>
  <si>
    <t xml:space="preserve">Coolatai, Warialda, Warialda Rail</t>
  </si>
  <si>
    <t xml:space="preserve">2403</t>
  </si>
  <si>
    <t xml:space="preserve">Balfours Peak, Delungra, Gragin, Koloona</t>
  </si>
  <si>
    <t xml:space="preserve">2404</t>
  </si>
  <si>
    <t xml:space="preserve">Bangheet, Bingara, Dinoga, Elcombe</t>
  </si>
  <si>
    <t xml:space="preserve">2405</t>
  </si>
  <si>
    <t xml:space="preserve">Boomi, Garah</t>
  </si>
  <si>
    <t xml:space="preserve">2406</t>
  </si>
  <si>
    <t xml:space="preserve">Mungindi, Weemelah</t>
  </si>
  <si>
    <t xml:space="preserve">2408</t>
  </si>
  <si>
    <t xml:space="preserve">Blue Nobby, Mungle, North Star, Yallaroi</t>
  </si>
  <si>
    <t xml:space="preserve">2409</t>
  </si>
  <si>
    <t xml:space="preserve">Boggabilla, Boonal</t>
  </si>
  <si>
    <t xml:space="preserve">2410</t>
  </si>
  <si>
    <t xml:space="preserve">Twin Rivers, Yetman</t>
  </si>
  <si>
    <t xml:space="preserve">2411</t>
  </si>
  <si>
    <t xml:space="preserve">Croppa Creek</t>
  </si>
  <si>
    <t xml:space="preserve">2415</t>
  </si>
  <si>
    <t xml:space="preserve">Monkerai, Nooroo, Stroud Road, Upper Karuah River</t>
  </si>
  <si>
    <t xml:space="preserve">2420</t>
  </si>
  <si>
    <t xml:space="preserve">Alison, Bandon Grove, Bendolba, Brookfield</t>
  </si>
  <si>
    <t xml:space="preserve">2421</t>
  </si>
  <si>
    <t xml:space="preserve">Fishers Hill, Paterson, Summer Hill, Tocal</t>
  </si>
  <si>
    <t xml:space="preserve">2422</t>
  </si>
  <si>
    <t xml:space="preserve">Back Creek, Bakers Creek, Barrington, Barrington Tops</t>
  </si>
  <si>
    <t xml:space="preserve">2423</t>
  </si>
  <si>
    <t xml:space="preserve">Bombah Point, Boolambayte, Bulahdelah, Bungwahl</t>
  </si>
  <si>
    <t xml:space="preserve">2424</t>
  </si>
  <si>
    <t xml:space="preserve">Caffreys Flat, Cells River, Charity Creek, Cooplacurripa</t>
  </si>
  <si>
    <t xml:space="preserve">2425</t>
  </si>
  <si>
    <t xml:space="preserve">Allworth, Booral, Girvan, Stroud</t>
  </si>
  <si>
    <t xml:space="preserve">2426</t>
  </si>
  <si>
    <t xml:space="preserve">Coopernook, Langley Vale, Moto</t>
  </si>
  <si>
    <t xml:space="preserve">2427</t>
  </si>
  <si>
    <t xml:space="preserve">Crowdy Head, Harrington</t>
  </si>
  <si>
    <t xml:space="preserve">2428</t>
  </si>
  <si>
    <t xml:space="preserve">Blueys Beach, Boomerang Beach, Booti Booti, Charlotte Bay</t>
  </si>
  <si>
    <t xml:space="preserve">2429</t>
  </si>
  <si>
    <t xml:space="preserve">Bobin, Boorganna, Bucca Wauka, Bulby Brush</t>
  </si>
  <si>
    <t xml:space="preserve">2430</t>
  </si>
  <si>
    <t xml:space="preserve">Black Head, Bohnock, Bootawa, Brimbin</t>
  </si>
  <si>
    <t xml:space="preserve">2431</t>
  </si>
  <si>
    <t xml:space="preserve">Arakoon, Jerseyville, South West Rocks</t>
  </si>
  <si>
    <t xml:space="preserve">2439</t>
  </si>
  <si>
    <t xml:space="preserve">Batar Creek, Black Creek, Bobs Creek, Herons Creek</t>
  </si>
  <si>
    <t xml:space="preserve">2440</t>
  </si>
  <si>
    <t xml:space="preserve">Aldavilla, Austral Eden, Bellbrook, Bellimbopinni</t>
  </si>
  <si>
    <t xml:space="preserve">2441</t>
  </si>
  <si>
    <t xml:space="preserve">Allgomera, Allgomera Creek, Ballengarra, Barraganyatti</t>
  </si>
  <si>
    <t xml:space="preserve">2442</t>
  </si>
  <si>
    <t xml:space="preserve">Kempsey Msc, Mid North Coast Mc, Mid North Coast Msc</t>
  </si>
  <si>
    <t xml:space="preserve">2443</t>
  </si>
  <si>
    <t xml:space="preserve">Bobs Creek, Camden Head, Coralville, Crowdy Bay</t>
  </si>
  <si>
    <t xml:space="preserve">2444</t>
  </si>
  <si>
    <t xml:space="preserve">Blackmans Point, Fernbank Creek, Flynns Beach, Lighthouse Beach</t>
  </si>
  <si>
    <t xml:space="preserve">2445</t>
  </si>
  <si>
    <t xml:space="preserve">Bonny Hills, Grants Beach, Jolly Nose, Lake Cathie</t>
  </si>
  <si>
    <t xml:space="preserve">2446</t>
  </si>
  <si>
    <t xml:space="preserve">Bagnoo, Bago, Banda Banda, Beechwood</t>
  </si>
  <si>
    <t xml:space="preserve">2447</t>
  </si>
  <si>
    <t xml:space="preserve">Bakers Creek, Burrapine, Congarinni, Congarinni North</t>
  </si>
  <si>
    <t xml:space="preserve">2448</t>
  </si>
  <si>
    <t xml:space="preserve">Hyland Park, Nambucca Heads, Valla, Valla Beach</t>
  </si>
  <si>
    <t xml:space="preserve">2449</t>
  </si>
  <si>
    <t xml:space="preserve">Argents Hill, Bowraville, Buckra Bendinni, Girralong</t>
  </si>
  <si>
    <t xml:space="preserve">2450</t>
  </si>
  <si>
    <t xml:space="preserve">Boambee, Bonville, Brooklana, Bucca</t>
  </si>
  <si>
    <t xml:space="preserve">2452</t>
  </si>
  <si>
    <t xml:space="preserve">Bayldon, Boambee East, Sawtell, Toormina</t>
  </si>
  <si>
    <t xml:space="preserve">2453</t>
  </si>
  <si>
    <t xml:space="preserve">Bielsdown Hills, Billys Creek, Bostobrick, Briggsvale</t>
  </si>
  <si>
    <t xml:space="preserve">2454</t>
  </si>
  <si>
    <t xml:space="preserve">Bellingen, Brierfield, Brinerville, Bundagen</t>
  </si>
  <si>
    <t xml:space="preserve">2455</t>
  </si>
  <si>
    <t xml:space="preserve">Tarkeeth, Urunga</t>
  </si>
  <si>
    <t xml:space="preserve">2456</t>
  </si>
  <si>
    <t xml:space="preserve">Arrawarra, Arrawarra Headland, Corindi Beach, Dirty Creek</t>
  </si>
  <si>
    <t xml:space="preserve">2460</t>
  </si>
  <si>
    <t xml:space="preserve">Alumy Creek, Banyabba, Barcoongere, Barretts Creek</t>
  </si>
  <si>
    <t xml:space="preserve">2462</t>
  </si>
  <si>
    <t xml:space="preserve">Calliope, Coldstream, Diggers Camp, Gilletts Ridge</t>
  </si>
  <si>
    <t xml:space="preserve">2463</t>
  </si>
  <si>
    <t xml:space="preserve">Ashby, Ashby Heights, Ashby Island, Brooms Head</t>
  </si>
  <si>
    <t xml:space="preserve">2464</t>
  </si>
  <si>
    <t xml:space="preserve">Angourie, Freeburn Island, Micalo Island, Wooloweyah</t>
  </si>
  <si>
    <t xml:space="preserve">2465</t>
  </si>
  <si>
    <t xml:space="preserve">Harwood</t>
  </si>
  <si>
    <t xml:space="preserve">2466</t>
  </si>
  <si>
    <t xml:space="preserve">Iluka, The Freshwater, Woody Head</t>
  </si>
  <si>
    <t xml:space="preserve">2469</t>
  </si>
  <si>
    <t xml:space="preserve">Alice, Banyabba, Bean Creek, Bingeebeebra</t>
  </si>
  <si>
    <t xml:space="preserve">2470</t>
  </si>
  <si>
    <t xml:space="preserve">Alice, Babyl Creek, Backmede, Baraimal</t>
  </si>
  <si>
    <t xml:space="preserve">2471</t>
  </si>
  <si>
    <t xml:space="preserve">Bora Ridge, Codrington, Coraki, East Coraki</t>
  </si>
  <si>
    <t xml:space="preserve">2472</t>
  </si>
  <si>
    <t xml:space="preserve">Broadwater, Buckendoon, Esk, Kilgin</t>
  </si>
  <si>
    <t xml:space="preserve">2473</t>
  </si>
  <si>
    <t xml:space="preserve">Bundjalung, Doonbah, Evans Head, Iron Gates</t>
  </si>
  <si>
    <t xml:space="preserve">2474</t>
  </si>
  <si>
    <t xml:space="preserve">Afterlee, Barkers Vale, Border Ranges, Cawongla</t>
  </si>
  <si>
    <t xml:space="preserve">2475</t>
  </si>
  <si>
    <t xml:space="preserve">Beaury Creek, Tooloom, Upper Tooloom, Urbenville</t>
  </si>
  <si>
    <t xml:space="preserve">2476</t>
  </si>
  <si>
    <t xml:space="preserve">Acacia Creek, Acacia Plateau, Boomi Creek, Brumby Plains</t>
  </si>
  <si>
    <t xml:space="preserve">2477</t>
  </si>
  <si>
    <t xml:space="preserve">Alstonvale, Alstonville, Bagotville, Cabbage Tree Island</t>
  </si>
  <si>
    <t xml:space="preserve">2478</t>
  </si>
  <si>
    <t xml:space="preserve">Ballina, Ballina Dc, Coolgardie, Cumbalum</t>
  </si>
  <si>
    <t xml:space="preserve">2479</t>
  </si>
  <si>
    <t xml:space="preserve">Bangalow, Binna Burra, Brooklet, Coopers Shoot</t>
  </si>
  <si>
    <t xml:space="preserve">2480</t>
  </si>
  <si>
    <t xml:space="preserve">Back Creek, Bentley, Bexhill, Blakebrook</t>
  </si>
  <si>
    <t xml:space="preserve">2481</t>
  </si>
  <si>
    <t xml:space="preserve">Broken Head, Byron Bay, Ewingsdale, Hayters Hill</t>
  </si>
  <si>
    <t xml:space="preserve">2482</t>
  </si>
  <si>
    <t xml:space="preserve">Goonengerry, Huonbrook, Koonyum Range, Main Arm</t>
  </si>
  <si>
    <t xml:space="preserve">2483</t>
  </si>
  <si>
    <t xml:space="preserve">Billinudgel, Brunswick Heads, Burringbar, Crabbes Creek</t>
  </si>
  <si>
    <t xml:space="preserve">2484</t>
  </si>
  <si>
    <t xml:space="preserve">Back Creek, Boat Harbour, Bray Park, Brays Creek</t>
  </si>
  <si>
    <t xml:space="preserve">2485</t>
  </si>
  <si>
    <t xml:space="preserve">QLD - Outer Metro</t>
  </si>
  <si>
    <t xml:space="preserve">Tweed Heads, Tweed Heads West</t>
  </si>
  <si>
    <t xml:space="preserve">2486</t>
  </si>
  <si>
    <t xml:space="preserve">Banora Point, Bilambil, Bilambil Heights, Bungalora</t>
  </si>
  <si>
    <t xml:space="preserve">2487</t>
  </si>
  <si>
    <t xml:space="preserve">Casuarina, Chinderah, Cudgen, Duranbah</t>
  </si>
  <si>
    <t xml:space="preserve">2488</t>
  </si>
  <si>
    <t xml:space="preserve">Bogangar, Cabarita Beach, Tanglewood</t>
  </si>
  <si>
    <t xml:space="preserve">2489</t>
  </si>
  <si>
    <t xml:space="preserve">Hastings Point, Pottsville, Pottsville Beach</t>
  </si>
  <si>
    <t xml:space="preserve">2490</t>
  </si>
  <si>
    <t xml:space="preserve">North Tumbulgum, Tumbulgum</t>
  </si>
  <si>
    <t xml:space="preserve">2500</t>
  </si>
  <si>
    <t xml:space="preserve">Coniston, Gwynneville, Keiraville, Mangerton</t>
  </si>
  <si>
    <t xml:space="preserve">2502</t>
  </si>
  <si>
    <t xml:space="preserve">Cringila, Lake Heights, Primbee, Warrawong</t>
  </si>
  <si>
    <t xml:space="preserve">2505</t>
  </si>
  <si>
    <t xml:space="preserve">Kemblawarra, Port Kembla</t>
  </si>
  <si>
    <t xml:space="preserve">2506</t>
  </si>
  <si>
    <t xml:space="preserve">Berkeley</t>
  </si>
  <si>
    <t xml:space="preserve">2508</t>
  </si>
  <si>
    <t xml:space="preserve">Coalcliff, Darkes Forest, Helensburgh, Lilyvale</t>
  </si>
  <si>
    <t xml:space="preserve">2515</t>
  </si>
  <si>
    <t xml:space="preserve">Austinmer, Clifton, Coledale, Scarborough</t>
  </si>
  <si>
    <t xml:space="preserve">2516</t>
  </si>
  <si>
    <t xml:space="preserve">Bulli, Bulli Tops</t>
  </si>
  <si>
    <t xml:space="preserve">2517</t>
  </si>
  <si>
    <t xml:space="preserve">Russell Vale, Woonona, Woonona East</t>
  </si>
  <si>
    <t xml:space="preserve">2518</t>
  </si>
  <si>
    <t xml:space="preserve">Bellambi, Corrimal, Corrimal East, East Corrimal</t>
  </si>
  <si>
    <t xml:space="preserve">2519</t>
  </si>
  <si>
    <t xml:space="preserve">Balgownie, Fairy Meadow, Fernhill, Mount Ousley</t>
  </si>
  <si>
    <t xml:space="preserve">2520</t>
  </si>
  <si>
    <t xml:space="preserve">Wollongong</t>
  </si>
  <si>
    <t xml:space="preserve">2522</t>
  </si>
  <si>
    <t xml:space="preserve">University Of Wollongong</t>
  </si>
  <si>
    <t xml:space="preserve">2525</t>
  </si>
  <si>
    <t xml:space="preserve">Figtree</t>
  </si>
  <si>
    <t xml:space="preserve">2526</t>
  </si>
  <si>
    <t xml:space="preserve">Cordeaux, Cordeaux Heights, Farmborough Heights, Kembla Grange</t>
  </si>
  <si>
    <t xml:space="preserve">2527</t>
  </si>
  <si>
    <t xml:space="preserve">Albion Park, Albion Park Rail, Calderwood, Croom</t>
  </si>
  <si>
    <t xml:space="preserve">2528</t>
  </si>
  <si>
    <t xml:space="preserve">Barrack Heights, Barrack Point, Lake Illawarra, Mount Warrigal</t>
  </si>
  <si>
    <t xml:space="preserve">2529</t>
  </si>
  <si>
    <t xml:space="preserve">Balarang, Blackbutt, Dunmore, Flinders</t>
  </si>
  <si>
    <t xml:space="preserve">2530</t>
  </si>
  <si>
    <t xml:space="preserve">Avondale, Brownsville, Cleveland, Dapto</t>
  </si>
  <si>
    <t xml:space="preserve">2533</t>
  </si>
  <si>
    <t xml:space="preserve">Bombo, Curramore, Jamberoo, Jerrara</t>
  </si>
  <si>
    <t xml:space="preserve">2534</t>
  </si>
  <si>
    <t xml:space="preserve">Broughton Village, Foxground, Gerringong, Gerroa</t>
  </si>
  <si>
    <t xml:space="preserve">2535</t>
  </si>
  <si>
    <t xml:space="preserve">Back Forest, Bellawongarah, Berry, Berry Mountain</t>
  </si>
  <si>
    <t xml:space="preserve">2536</t>
  </si>
  <si>
    <t xml:space="preserve">Batehaven, Batemans Bay, Benandarah, Bimbimbie</t>
  </si>
  <si>
    <t xml:space="preserve">2537</t>
  </si>
  <si>
    <t xml:space="preserve">Bergalia, Bingie, Broulee, Coila</t>
  </si>
  <si>
    <t xml:space="preserve">2538</t>
  </si>
  <si>
    <t xml:space="preserve">Brooman, Little Forest, Milton, Mogood</t>
  </si>
  <si>
    <t xml:space="preserve">2539</t>
  </si>
  <si>
    <t xml:space="preserve">Bawley Point, Bendalong, Berringer Lake, Burrill Lake</t>
  </si>
  <si>
    <t xml:space="preserve">2540</t>
  </si>
  <si>
    <t xml:space="preserve">Badagarang, Bamarang, Barringella, Basin View</t>
  </si>
  <si>
    <t xml:space="preserve">2541</t>
  </si>
  <si>
    <t xml:space="preserve">Bangalee, Bomaderry, North Nowra, Nowra</t>
  </si>
  <si>
    <t xml:space="preserve">2545</t>
  </si>
  <si>
    <t xml:space="preserve">Belowra, Bodalla, Cadgee, Eurobodalla</t>
  </si>
  <si>
    <t xml:space="preserve">2546</t>
  </si>
  <si>
    <t xml:space="preserve">Akolele, Barragga Bay, Beauty Point, Bermagui</t>
  </si>
  <si>
    <t xml:space="preserve">2548</t>
  </si>
  <si>
    <t xml:space="preserve">Berrambool, Bournda, Merimbula, Mirador</t>
  </si>
  <si>
    <t xml:space="preserve">2549</t>
  </si>
  <si>
    <t xml:space="preserve">Bald Hills, Broadwater, Greigs Flat, Lochiel</t>
  </si>
  <si>
    <t xml:space="preserve">2550</t>
  </si>
  <si>
    <t xml:space="preserve">Angledale, Bega, Bemboka, Black Range</t>
  </si>
  <si>
    <t xml:space="preserve">2551</t>
  </si>
  <si>
    <t xml:space="preserve">Boydtown, Eden, Edrom, Green Cape</t>
  </si>
  <si>
    <t xml:space="preserve">2555</t>
  </si>
  <si>
    <t xml:space="preserve">Badgerys Creek</t>
  </si>
  <si>
    <t xml:space="preserve">2556</t>
  </si>
  <si>
    <t xml:space="preserve">Bradfield, Bringelly</t>
  </si>
  <si>
    <t xml:space="preserve">2557</t>
  </si>
  <si>
    <t xml:space="preserve">Catherine Field, Gledswood Hills, Gregory Hills, Rossmore</t>
  </si>
  <si>
    <t xml:space="preserve">2558</t>
  </si>
  <si>
    <t xml:space="preserve">Eagle Vale, Eschol Park, Kearns</t>
  </si>
  <si>
    <t xml:space="preserve">2559</t>
  </si>
  <si>
    <t xml:space="preserve">Blairmount, Claymore</t>
  </si>
  <si>
    <t xml:space="preserve">2560</t>
  </si>
  <si>
    <t xml:space="preserve">Airds, Ambarvale, Appin, Blair Athol</t>
  </si>
  <si>
    <t xml:space="preserve">2563</t>
  </si>
  <si>
    <t xml:space="preserve">Menangle Park</t>
  </si>
  <si>
    <t xml:space="preserve">2564</t>
  </si>
  <si>
    <t xml:space="preserve">Glenquarie, Long Point, Macquarie Fields</t>
  </si>
  <si>
    <t xml:space="preserve">2565</t>
  </si>
  <si>
    <t xml:space="preserve">Bardia, Denham Court, Ingleburn, Macquarie Links</t>
  </si>
  <si>
    <t xml:space="preserve">2566</t>
  </si>
  <si>
    <t xml:space="preserve">Bow Bowing, Minto, Minto Dc, Minto Heights</t>
  </si>
  <si>
    <t xml:space="preserve">2567</t>
  </si>
  <si>
    <t xml:space="preserve">Currans Hill, Harrington Park, Mount Annan, Narellan</t>
  </si>
  <si>
    <t xml:space="preserve">2568</t>
  </si>
  <si>
    <t xml:space="preserve">Menangle</t>
  </si>
  <si>
    <t xml:space="preserve">2569</t>
  </si>
  <si>
    <t xml:space="preserve">Douglas Park</t>
  </si>
  <si>
    <t xml:space="preserve">2570</t>
  </si>
  <si>
    <t xml:space="preserve">Belimbla Park, Bickley Vale, Brownlow Hill, Burragorang Valley</t>
  </si>
  <si>
    <t xml:space="preserve">2571</t>
  </si>
  <si>
    <t xml:space="preserve">Balmoral, Balmoral Village, Buxton, Couridjah</t>
  </si>
  <si>
    <t xml:space="preserve">2572</t>
  </si>
  <si>
    <t xml:space="preserve">Lakesland, Thirlmere</t>
  </si>
  <si>
    <t xml:space="preserve">2573</t>
  </si>
  <si>
    <t xml:space="preserve">Tahmoor</t>
  </si>
  <si>
    <t xml:space="preserve">2574</t>
  </si>
  <si>
    <t xml:space="preserve">Avon, Bargo, Pheasants Nest, Yanderra</t>
  </si>
  <si>
    <t xml:space="preserve">2575</t>
  </si>
  <si>
    <t xml:space="preserve">Alpine, Aylmerton, Balaclava, Barrallier</t>
  </si>
  <si>
    <t xml:space="preserve">2576</t>
  </si>
  <si>
    <t xml:space="preserve">Bong Bong, Bowral, Burradoo, East Bowral</t>
  </si>
  <si>
    <t xml:space="preserve">2577</t>
  </si>
  <si>
    <t xml:space="preserve">Avoca, Barren Grounds, Barrengarry, Beaumont</t>
  </si>
  <si>
    <t xml:space="preserve">2578</t>
  </si>
  <si>
    <t xml:space="preserve">Bundanoon</t>
  </si>
  <si>
    <t xml:space="preserve">2579</t>
  </si>
  <si>
    <t xml:space="preserve">Big Hill, Brayton, Exeter, Marulan</t>
  </si>
  <si>
    <t xml:space="preserve">2580</t>
  </si>
  <si>
    <t xml:space="preserve">Bannaby, Bannister, Baw Baw, Boxers Creek</t>
  </si>
  <si>
    <t xml:space="preserve">2581</t>
  </si>
  <si>
    <t xml:space="preserve">Bellmount Forest, Bevendale, Biala, Blakney Creek</t>
  </si>
  <si>
    <t xml:space="preserve">2582</t>
  </si>
  <si>
    <t xml:space="preserve">Bango, Berremangra, Boambolo, Bookham</t>
  </si>
  <si>
    <t xml:space="preserve">2583</t>
  </si>
  <si>
    <t xml:space="preserve">Bigga, Binda, Blanket Flat, Brooklands</t>
  </si>
  <si>
    <t xml:space="preserve">2584</t>
  </si>
  <si>
    <t xml:space="preserve">Binalong, Illalong Creek</t>
  </si>
  <si>
    <t xml:space="preserve">2585</t>
  </si>
  <si>
    <t xml:space="preserve">Galong</t>
  </si>
  <si>
    <t xml:space="preserve">2586</t>
  </si>
  <si>
    <t xml:space="preserve">Boorowa, Frogmore, Goba Creek, Godfreys Creek</t>
  </si>
  <si>
    <t xml:space="preserve">2587</t>
  </si>
  <si>
    <t xml:space="preserve">Aurville, Beggan Beggan, Cunningar, Demondrille</t>
  </si>
  <si>
    <t xml:space="preserve">2588</t>
  </si>
  <si>
    <t xml:space="preserve">Cullinga, Wallendbeen</t>
  </si>
  <si>
    <t xml:space="preserve">2590</t>
  </si>
  <si>
    <t xml:space="preserve">Bethungra, Cootamundra, Illabo</t>
  </si>
  <si>
    <t xml:space="preserve">2594</t>
  </si>
  <si>
    <t xml:space="preserve">Ashville, Barwang, Berthong, Bribbaree</t>
  </si>
  <si>
    <t xml:space="preserve">2600</t>
  </si>
  <si>
    <t xml:space="preserve">Barton, Canberra, Capital Hill, Deakin</t>
  </si>
  <si>
    <t xml:space="preserve">2601</t>
  </si>
  <si>
    <t xml:space="preserve">Acton, Black Mountain, Canberra, City</t>
  </si>
  <si>
    <t xml:space="preserve">2602</t>
  </si>
  <si>
    <t xml:space="preserve">Ainslie, Dickson, Downer, Hackett</t>
  </si>
  <si>
    <t xml:space="preserve">2603</t>
  </si>
  <si>
    <t xml:space="preserve">Forrest, Griffith, Manuka, Red Hill</t>
  </si>
  <si>
    <t xml:space="preserve">2604</t>
  </si>
  <si>
    <t xml:space="preserve">Causeway, Kingston, Narrabundah</t>
  </si>
  <si>
    <t xml:space="preserve">2605</t>
  </si>
  <si>
    <t xml:space="preserve">Curtin, Garran, Hughes</t>
  </si>
  <si>
    <t xml:space="preserve">2606</t>
  </si>
  <si>
    <t xml:space="preserve">Chifley, Lyons, O’Malley, O'Malley</t>
  </si>
  <si>
    <t xml:space="preserve">2607</t>
  </si>
  <si>
    <t xml:space="preserve">Farrer, Isaacs, Mawson, Pearce</t>
  </si>
  <si>
    <t xml:space="preserve">2608</t>
  </si>
  <si>
    <t xml:space="preserve">Civic Square</t>
  </si>
  <si>
    <t xml:space="preserve">2609</t>
  </si>
  <si>
    <t xml:space="preserve">Canberra Airport, Canberra International Airport, Fyshwick, Majura</t>
  </si>
  <si>
    <t xml:space="preserve">2610</t>
  </si>
  <si>
    <t xml:space="preserve">Canberra Bc, Canberra Mc</t>
  </si>
  <si>
    <t xml:space="preserve">2611</t>
  </si>
  <si>
    <t xml:space="preserve">Bimberi, Brindabella, Chapman, Cooleman</t>
  </si>
  <si>
    <t xml:space="preserve">2612</t>
  </si>
  <si>
    <t xml:space="preserve">Braddon, Campbell, Reid, Turner</t>
  </si>
  <si>
    <t xml:space="preserve">2614</t>
  </si>
  <si>
    <t xml:space="preserve">Aranda, Cook, Hawker, Jamison Centre</t>
  </si>
  <si>
    <t xml:space="preserve">2615</t>
  </si>
  <si>
    <t xml:space="preserve">Charnwood, Dunlop, Florey, Flynn</t>
  </si>
  <si>
    <t xml:space="preserve">2616</t>
  </si>
  <si>
    <t xml:space="preserve">Belconnen</t>
  </si>
  <si>
    <t xml:space="preserve">2617</t>
  </si>
  <si>
    <t xml:space="preserve">Belconnen, Belconnen Dc, Bruce, Evatt</t>
  </si>
  <si>
    <t xml:space="preserve">2618</t>
  </si>
  <si>
    <t xml:space="preserve">Hall, Springrange, Wallaroo</t>
  </si>
  <si>
    <t xml:space="preserve">2619</t>
  </si>
  <si>
    <t xml:space="preserve">Jerrabomberra</t>
  </si>
  <si>
    <t xml:space="preserve">2620</t>
  </si>
  <si>
    <t xml:space="preserve">Beard, Booth, Burbong, Burra</t>
  </si>
  <si>
    <t xml:space="preserve">2621</t>
  </si>
  <si>
    <t xml:space="preserve">Anembo, Bungendore, Bywong, Forbes Creek</t>
  </si>
  <si>
    <t xml:space="preserve">2622</t>
  </si>
  <si>
    <t xml:space="preserve">Araluen, Araluen North, Back Creek, Ballalaba</t>
  </si>
  <si>
    <t xml:space="preserve">2623</t>
  </si>
  <si>
    <t xml:space="preserve">Captains Flat</t>
  </si>
  <si>
    <t xml:space="preserve">2624</t>
  </si>
  <si>
    <t xml:space="preserve">Blue Cow, Charlotte Pass, Charlottes Pass, Guthega</t>
  </si>
  <si>
    <t xml:space="preserve">2625</t>
  </si>
  <si>
    <t xml:space="preserve">Thredbo, Thredbo Village</t>
  </si>
  <si>
    <t xml:space="preserve">2626</t>
  </si>
  <si>
    <t xml:space="preserve">Bredbo, Bumbalong, Colinton</t>
  </si>
  <si>
    <t xml:space="preserve">2627</t>
  </si>
  <si>
    <t xml:space="preserve">Bullocks Flat, Burrungubugge, Crackenback, Creel Bay</t>
  </si>
  <si>
    <t xml:space="preserve">2628</t>
  </si>
  <si>
    <t xml:space="preserve">Avonside, Beloka, Berridale, Braemar Bay</t>
  </si>
  <si>
    <t xml:space="preserve">2629</t>
  </si>
  <si>
    <t xml:space="preserve">Adaminaby, Anglers Reach, Bolaro, Broken Dam</t>
  </si>
  <si>
    <t xml:space="preserve">2630</t>
  </si>
  <si>
    <t xml:space="preserve">Arable, Badja, Billilingra, Binjura</t>
  </si>
  <si>
    <t xml:space="preserve">2631</t>
  </si>
  <si>
    <t xml:space="preserve">Ando, Bocci, Boco, Creewah</t>
  </si>
  <si>
    <t xml:space="preserve">2632</t>
  </si>
  <si>
    <t xml:space="preserve">Bibbenluke, Bombala, Bondi Forest, Bukalong</t>
  </si>
  <si>
    <t xml:space="preserve">2633</t>
  </si>
  <si>
    <t xml:space="preserve">Corrowong, Delegate, Tombong</t>
  </si>
  <si>
    <t xml:space="preserve">2640</t>
  </si>
  <si>
    <t xml:space="preserve">Albury, Bungowannah, East Albury, Ettamogah</t>
  </si>
  <si>
    <t xml:space="preserve">2641</t>
  </si>
  <si>
    <t xml:space="preserve">Hamilton Valley, Lavington, Lavington Dc, Springdale Heights</t>
  </si>
  <si>
    <t xml:space="preserve">2642</t>
  </si>
  <si>
    <t xml:space="preserve">Bidgeemia, Brocklesby, Burrumbuttock, Geehi</t>
  </si>
  <si>
    <t xml:space="preserve">2643</t>
  </si>
  <si>
    <t xml:space="preserve">Howlong</t>
  </si>
  <si>
    <t xml:space="preserve">2644</t>
  </si>
  <si>
    <t xml:space="preserve">Bowna, Coppabella, Holbrook, Lankeys Creek</t>
  </si>
  <si>
    <t xml:space="preserve">2645</t>
  </si>
  <si>
    <t xml:space="preserve">Coonong, Cullivel, Urana, Yuluma</t>
  </si>
  <si>
    <t xml:space="preserve">2646</t>
  </si>
  <si>
    <t xml:space="preserve">Balldale, Bull Plain, Buraja, Coads Tank</t>
  </si>
  <si>
    <t xml:space="preserve">2647</t>
  </si>
  <si>
    <t xml:space="preserve">Mulwala</t>
  </si>
  <si>
    <t xml:space="preserve">2648</t>
  </si>
  <si>
    <t xml:space="preserve">VIC - Rural</t>
  </si>
  <si>
    <t xml:space="preserve">Anabranch North, Anabranch South, Boeill Creek, Cal Lal</t>
  </si>
  <si>
    <t xml:space="preserve">2649</t>
  </si>
  <si>
    <t xml:space="preserve">Laurel Hill, Nurenmerenmong</t>
  </si>
  <si>
    <t xml:space="preserve">2650</t>
  </si>
  <si>
    <t xml:space="preserve">Alfredtown, Ashmont, Belfrayden, Berry Jerry</t>
  </si>
  <si>
    <t xml:space="preserve">2651</t>
  </si>
  <si>
    <t xml:space="preserve">Forest Hill, Wagga Wagga Raaf</t>
  </si>
  <si>
    <t xml:space="preserve">2652</t>
  </si>
  <si>
    <t xml:space="preserve">Boorga, Boree Creek, Cowabbie, Galore</t>
  </si>
  <si>
    <t xml:space="preserve">2653</t>
  </si>
  <si>
    <t xml:space="preserve">Burra, Courabyra, Glenroy, Mannus</t>
  </si>
  <si>
    <t xml:space="preserve">2655</t>
  </si>
  <si>
    <t xml:space="preserve">Birdlip, French Park, Kubura, The Rock</t>
  </si>
  <si>
    <t xml:space="preserve">2656</t>
  </si>
  <si>
    <t xml:space="preserve">Brookdale, Brookong, Fargunyah, Lockhart</t>
  </si>
  <si>
    <t xml:space="preserve">2658</t>
  </si>
  <si>
    <t xml:space="preserve">Grubben, Henty, Munyabla, Pleasant Hills</t>
  </si>
  <si>
    <t xml:space="preserve">2659</t>
  </si>
  <si>
    <t xml:space="preserve">Alma Park, Walla Walla</t>
  </si>
  <si>
    <t xml:space="preserve">2660</t>
  </si>
  <si>
    <t xml:space="preserve">Carnsdale, Culcairn, Morven</t>
  </si>
  <si>
    <t xml:space="preserve">2661</t>
  </si>
  <si>
    <t xml:space="preserve">Kapooka</t>
  </si>
  <si>
    <t xml:space="preserve">2663</t>
  </si>
  <si>
    <t xml:space="preserve">Bundure, Cooba, Cowabbie, Erin Vale</t>
  </si>
  <si>
    <t xml:space="preserve">2665</t>
  </si>
  <si>
    <t xml:space="preserve">Ardlethan, Ariah Park, Barellan, Beckom</t>
  </si>
  <si>
    <t xml:space="preserve">2666</t>
  </si>
  <si>
    <t xml:space="preserve">Combaning, Dirnaseer, Gidginbung, Grogan</t>
  </si>
  <si>
    <t xml:space="preserve">2668</t>
  </si>
  <si>
    <t xml:space="preserve">Barmedman</t>
  </si>
  <si>
    <t xml:space="preserve">2669</t>
  </si>
  <si>
    <t xml:space="preserve">Bygalorie, Erigolia, Girral, Gubbata</t>
  </si>
  <si>
    <t xml:space="preserve">2671</t>
  </si>
  <si>
    <t xml:space="preserve">Alleena, Back Creek, Burcher, Lake Cowal</t>
  </si>
  <si>
    <t xml:space="preserve">2672</t>
  </si>
  <si>
    <t xml:space="preserve">Burgooney, Curlew Waters, Lake Cargelligo, Murrin Bridge</t>
  </si>
  <si>
    <t xml:space="preserve">2675</t>
  </si>
  <si>
    <t xml:space="preserve">Hillston, Lake Brewster, Monia Gap, Roto</t>
  </si>
  <si>
    <t xml:space="preserve">2678</t>
  </si>
  <si>
    <t xml:space="preserve">Riverina Mc, Riverina Msc</t>
  </si>
  <si>
    <t xml:space="preserve">2680</t>
  </si>
  <si>
    <t xml:space="preserve">Beelbangera, Benerembah, Bilbul, Griffith</t>
  </si>
  <si>
    <t xml:space="preserve">2681</t>
  </si>
  <si>
    <t xml:space="preserve">Myall Park, Yenda</t>
  </si>
  <si>
    <t xml:space="preserve">2700</t>
  </si>
  <si>
    <t xml:space="preserve">Birrego, Bundure, Colinroobie, Corobimilla</t>
  </si>
  <si>
    <t xml:space="preserve">2701</t>
  </si>
  <si>
    <t xml:space="preserve">Berry Jerry, Coolamon, Methul, Rannock</t>
  </si>
  <si>
    <t xml:space="preserve">2702</t>
  </si>
  <si>
    <t xml:space="preserve">Ganmain</t>
  </si>
  <si>
    <t xml:space="preserve">2703</t>
  </si>
  <si>
    <t xml:space="preserve">Yanco</t>
  </si>
  <si>
    <t xml:space="preserve">2705</t>
  </si>
  <si>
    <t xml:space="preserve">Brobenah, Calorafield, Corbie Hill, Gogeldrie</t>
  </si>
  <si>
    <t xml:space="preserve">2706</t>
  </si>
  <si>
    <t xml:space="preserve">Darlington Point</t>
  </si>
  <si>
    <t xml:space="preserve">2707</t>
  </si>
  <si>
    <t xml:space="preserve">Argoon, Coleambally</t>
  </si>
  <si>
    <t xml:space="preserve">2708</t>
  </si>
  <si>
    <t xml:space="preserve">Albury Msc, Murray Region Mc</t>
  </si>
  <si>
    <t xml:space="preserve">2710</t>
  </si>
  <si>
    <t xml:space="preserve">Barratta, Benarca, Birganbigil, Booroorban</t>
  </si>
  <si>
    <t xml:space="preserve">2711</t>
  </si>
  <si>
    <t xml:space="preserve">Booligal, Carrathool, Clare, Corrong</t>
  </si>
  <si>
    <t xml:space="preserve">2712</t>
  </si>
  <si>
    <t xml:space="preserve">Berrigan, Boomanoomana</t>
  </si>
  <si>
    <t xml:space="preserve">2713</t>
  </si>
  <si>
    <t xml:space="preserve">Blighty, Finley, Logie Brae, Myrtle Park</t>
  </si>
  <si>
    <t xml:space="preserve">2714</t>
  </si>
  <si>
    <t xml:space="preserve">Aratula, Pine Lodge, Tocumwal, Tuppal</t>
  </si>
  <si>
    <t xml:space="preserve">2715</t>
  </si>
  <si>
    <t xml:space="preserve">Arumpo, Balranald, Hatfield, Kyalite</t>
  </si>
  <si>
    <t xml:space="preserve">2716</t>
  </si>
  <si>
    <t xml:space="preserve">Coree South, Four Corners, Gala Vale, Jerilderie</t>
  </si>
  <si>
    <t xml:space="preserve">2717</t>
  </si>
  <si>
    <t xml:space="preserve">Coomealla, Dareton</t>
  </si>
  <si>
    <t xml:space="preserve">2720</t>
  </si>
  <si>
    <t xml:space="preserve">Argalong, Blowering, Bogong Peaks Wilderness, Bombowlee</t>
  </si>
  <si>
    <t xml:space="preserve">2721</t>
  </si>
  <si>
    <t xml:space="preserve">Bland, Quandialla</t>
  </si>
  <si>
    <t xml:space="preserve">2722</t>
  </si>
  <si>
    <t xml:space="preserve">Bongalong, Bongongalong, Brungle, Brungle Creek</t>
  </si>
  <si>
    <t xml:space="preserve">2725</t>
  </si>
  <si>
    <t xml:space="preserve">Stockinbingal</t>
  </si>
  <si>
    <t xml:space="preserve">2726</t>
  </si>
  <si>
    <t xml:space="preserve">Bundarbo, Cooneys Creek, Jugiong</t>
  </si>
  <si>
    <t xml:space="preserve">2727</t>
  </si>
  <si>
    <t xml:space="preserve">Adjungbilly, Coolac, Gobarralong, Mingay</t>
  </si>
  <si>
    <t xml:space="preserve">2729</t>
  </si>
  <si>
    <t xml:space="preserve">Adelong, Back Creek, Bangadang, Black Creek</t>
  </si>
  <si>
    <t xml:space="preserve">2730</t>
  </si>
  <si>
    <t xml:space="preserve">Bago, Batlow, Green Hills, Kunama</t>
  </si>
  <si>
    <t xml:space="preserve">2731</t>
  </si>
  <si>
    <t xml:space="preserve">Bunnaloo, Moama, Tantonan, Thyra</t>
  </si>
  <si>
    <t xml:space="preserve">2732</t>
  </si>
  <si>
    <t xml:space="preserve">Barham, Burraboi, Cobramunga, Gonn</t>
  </si>
  <si>
    <t xml:space="preserve">2733</t>
  </si>
  <si>
    <t xml:space="preserve">Dhuragoon, Moulamein, Niemur, Perekerten</t>
  </si>
  <si>
    <t xml:space="preserve">2734</t>
  </si>
  <si>
    <t xml:space="preserve">Coobool, Cunninyeuk, Dilpurra, Kyalite</t>
  </si>
  <si>
    <t xml:space="preserve">2735</t>
  </si>
  <si>
    <t xml:space="preserve">Koraleigh, Speewa</t>
  </si>
  <si>
    <t xml:space="preserve">2736</t>
  </si>
  <si>
    <t xml:space="preserve">Goodnight, Tooleybuc</t>
  </si>
  <si>
    <t xml:space="preserve">2737</t>
  </si>
  <si>
    <t xml:space="preserve">Benanee, Euston</t>
  </si>
  <si>
    <t xml:space="preserve">2738</t>
  </si>
  <si>
    <t xml:space="preserve">Gol Gol, Mallee, Monak, Paringi</t>
  </si>
  <si>
    <t xml:space="preserve">2739</t>
  </si>
  <si>
    <t xml:space="preserve">Boeill Creek, Buronga, Mourquong</t>
  </si>
  <si>
    <t xml:space="preserve">2745</t>
  </si>
  <si>
    <t xml:space="preserve">Glenmore Park, Greendale, Luddenham, Mulgoa</t>
  </si>
  <si>
    <t xml:space="preserve">2747</t>
  </si>
  <si>
    <t xml:space="preserve">Caddens, Cambridge Gardens, Cambridge Park, Claremont Meadows</t>
  </si>
  <si>
    <t xml:space="preserve">2748</t>
  </si>
  <si>
    <t xml:space="preserve">Orchard Hills</t>
  </si>
  <si>
    <t xml:space="preserve">2749</t>
  </si>
  <si>
    <t xml:space="preserve">Castlereagh, Cranebrook</t>
  </si>
  <si>
    <t xml:space="preserve">2750</t>
  </si>
  <si>
    <t xml:space="preserve">Emu Heights, Emu Plains, Jamisontown, Leonay</t>
  </si>
  <si>
    <t xml:space="preserve">2751</t>
  </si>
  <si>
    <t xml:space="preserve">Penrith</t>
  </si>
  <si>
    <t xml:space="preserve">2752</t>
  </si>
  <si>
    <t xml:space="preserve">Brereton, Silverdale, Warragamba</t>
  </si>
  <si>
    <t xml:space="preserve">2753</t>
  </si>
  <si>
    <t xml:space="preserve">Agnes Banks, Bowen Mountain, Grose Vale, Grose Wold</t>
  </si>
  <si>
    <t xml:space="preserve">2754</t>
  </si>
  <si>
    <t xml:space="preserve">North Richmond, Tennyson, The Slopes</t>
  </si>
  <si>
    <t xml:space="preserve">2756</t>
  </si>
  <si>
    <t xml:space="preserve">Bligh Park, Cattai, Central Colo, Clarendon</t>
  </si>
  <si>
    <t xml:space="preserve">2757</t>
  </si>
  <si>
    <t xml:space="preserve">Kurmond</t>
  </si>
  <si>
    <t xml:space="preserve">2758</t>
  </si>
  <si>
    <t xml:space="preserve">Berambing, Bilpin, Blaxlands Ridge, East Kurrajong</t>
  </si>
  <si>
    <t xml:space="preserve">2759</t>
  </si>
  <si>
    <t xml:space="preserve">Erskine Park, St Clair</t>
  </si>
  <si>
    <t xml:space="preserve">2760</t>
  </si>
  <si>
    <t xml:space="preserve">Colyton, North St Marys, Oxley Park, Ropes Crossing</t>
  </si>
  <si>
    <t xml:space="preserve">2761</t>
  </si>
  <si>
    <t xml:space="preserve">Colebee, Dean Park, Glendenning, Glendenning Dc</t>
  </si>
  <si>
    <t xml:space="preserve">2762</t>
  </si>
  <si>
    <t xml:space="preserve">Schofields, Tallawong</t>
  </si>
  <si>
    <t xml:space="preserve">2763</t>
  </si>
  <si>
    <t xml:space="preserve">Acacia Gardens, Nirimba Fields, Quakers Hill</t>
  </si>
  <si>
    <t xml:space="preserve">2765</t>
  </si>
  <si>
    <t xml:space="preserve">Angus, Berkshire Park, Box Hill, Gables</t>
  </si>
  <si>
    <t xml:space="preserve">2766</t>
  </si>
  <si>
    <t xml:space="preserve">Eastern Creek, Rooty Hill</t>
  </si>
  <si>
    <t xml:space="preserve">2767</t>
  </si>
  <si>
    <t xml:space="preserve">Bungarribee, Doonside, Woodcroft</t>
  </si>
  <si>
    <t xml:space="preserve">2768</t>
  </si>
  <si>
    <t xml:space="preserve">Glenwood, Parklea, Stanhope Gardens</t>
  </si>
  <si>
    <t xml:space="preserve">2769</t>
  </si>
  <si>
    <t xml:space="preserve">The Ponds</t>
  </si>
  <si>
    <t xml:space="preserve">2770</t>
  </si>
  <si>
    <t xml:space="preserve">Bidwill, Blackett, Dharruk, Emerton</t>
  </si>
  <si>
    <t xml:space="preserve">2773</t>
  </si>
  <si>
    <t xml:space="preserve">Glenbrook, Lapstone</t>
  </si>
  <si>
    <t xml:space="preserve">2774</t>
  </si>
  <si>
    <t xml:space="preserve">Blaxland, Blaxland East, Mount Riverview, Warrimoo</t>
  </si>
  <si>
    <t xml:space="preserve">2775</t>
  </si>
  <si>
    <t xml:space="preserve">Central Macdonald, Fernances, Gunderman, Higher Macdonald</t>
  </si>
  <si>
    <t xml:space="preserve">2776</t>
  </si>
  <si>
    <t xml:space="preserve">Faulconbridge</t>
  </si>
  <si>
    <t xml:space="preserve">2777</t>
  </si>
  <si>
    <t xml:space="preserve">Hawkesbury Heights, Springwood, Sun Valley, Valley Heights</t>
  </si>
  <si>
    <t xml:space="preserve">2778</t>
  </si>
  <si>
    <t xml:space="preserve">Linden, Woodford</t>
  </si>
  <si>
    <t xml:space="preserve">2779</t>
  </si>
  <si>
    <t xml:space="preserve">Hazelbrook</t>
  </si>
  <si>
    <t xml:space="preserve">2780</t>
  </si>
  <si>
    <t xml:space="preserve">Katoomba, Katoomba Dc, Leura, Medlow Bath</t>
  </si>
  <si>
    <t xml:space="preserve">2782</t>
  </si>
  <si>
    <t xml:space="preserve">Kedumba, Wentworth Falls</t>
  </si>
  <si>
    <t xml:space="preserve">2783</t>
  </si>
  <si>
    <t xml:space="preserve">Lawson</t>
  </si>
  <si>
    <t xml:space="preserve">2784</t>
  </si>
  <si>
    <t xml:space="preserve">Bullaburra</t>
  </si>
  <si>
    <t xml:space="preserve">2785</t>
  </si>
  <si>
    <t xml:space="preserve">Blackheath, Megalong, Megalong Valley, Shipley</t>
  </si>
  <si>
    <t xml:space="preserve">2786</t>
  </si>
  <si>
    <t xml:space="preserve">Bell, Dargan, Mount Irvine, Mount Victoria</t>
  </si>
  <si>
    <t xml:space="preserve">2787</t>
  </si>
  <si>
    <t xml:space="preserve">Beloon, Bimlow, Bindook, Black Springs</t>
  </si>
  <si>
    <t xml:space="preserve">2790</t>
  </si>
  <si>
    <t xml:space="preserve">Ben Bullen, Blackmans Flat, Bowenfels, Clarence</t>
  </si>
  <si>
    <t xml:space="preserve">2791</t>
  </si>
  <si>
    <t xml:space="preserve">Carcoar, Errowanbang</t>
  </si>
  <si>
    <t xml:space="preserve">2792</t>
  </si>
  <si>
    <t xml:space="preserve">Burnt Yards, Mandurama</t>
  </si>
  <si>
    <t xml:space="preserve">2793</t>
  </si>
  <si>
    <t xml:space="preserve">Darbys Falls, Mount Mcdonald, Roseberg, Woodstock</t>
  </si>
  <si>
    <t xml:space="preserve">2794</t>
  </si>
  <si>
    <t xml:space="preserve">Bumbaldry, Cowra, Hovells Creek, Mount Collins</t>
  </si>
  <si>
    <t xml:space="preserve">2795</t>
  </si>
  <si>
    <t xml:space="preserve">Abercrombie, Abercrombie River, Arkell, Arkstone</t>
  </si>
  <si>
    <t xml:space="preserve">2797</t>
  </si>
  <si>
    <t xml:space="preserve">Garland, Lyndhurst</t>
  </si>
  <si>
    <t xml:space="preserve">2798</t>
  </si>
  <si>
    <t xml:space="preserve">Beneree, Byng, Flyers Creek, Forest Reefs</t>
  </si>
  <si>
    <t xml:space="preserve">2799</t>
  </si>
  <si>
    <t xml:space="preserve">Barry, Blayney, Browns Creek, Fitzgeralds Mount</t>
  </si>
  <si>
    <t xml:space="preserve">2800</t>
  </si>
  <si>
    <t xml:space="preserve">Ammerdown, Belgravia, Bletchington, Bloomfield</t>
  </si>
  <si>
    <t xml:space="preserve">2803</t>
  </si>
  <si>
    <t xml:space="preserve">Bendick Murrell, Crowther, Wirrimah</t>
  </si>
  <si>
    <t xml:space="preserve">2804</t>
  </si>
  <si>
    <t xml:space="preserve">Billimari, Burdett, Canowindra, Moorbel</t>
  </si>
  <si>
    <t xml:space="preserve">2805</t>
  </si>
  <si>
    <t xml:space="preserve">Gooloogong</t>
  </si>
  <si>
    <t xml:space="preserve">2806</t>
  </si>
  <si>
    <t xml:space="preserve">Eugowra, Nanami, Trajere</t>
  </si>
  <si>
    <t xml:space="preserve">2807</t>
  </si>
  <si>
    <t xml:space="preserve">Koorawatha</t>
  </si>
  <si>
    <t xml:space="preserve">2808</t>
  </si>
  <si>
    <t xml:space="preserve">Wyangala</t>
  </si>
  <si>
    <t xml:space="preserve">2809</t>
  </si>
  <si>
    <t xml:space="preserve">Greenethorpe</t>
  </si>
  <si>
    <t xml:space="preserve">2810</t>
  </si>
  <si>
    <t xml:space="preserve">Bimbi, Caragabal, Glenelg, Grenfell</t>
  </si>
  <si>
    <t xml:space="preserve">2817</t>
  </si>
  <si>
    <t xml:space="preserve">Tonderburine, Tooraweenah</t>
  </si>
  <si>
    <t xml:space="preserve">2818</t>
  </si>
  <si>
    <t xml:space="preserve">Benolong, Geurie, Ponto, Terrabella</t>
  </si>
  <si>
    <t xml:space="preserve">2820</t>
  </si>
  <si>
    <t xml:space="preserve">Apsley, Arthurville, Bakers Swamp, Bodangora</t>
  </si>
  <si>
    <t xml:space="preserve">2821</t>
  </si>
  <si>
    <t xml:space="preserve">Burroway, Narromine, Wyanga</t>
  </si>
  <si>
    <t xml:space="preserve">2822</t>
  </si>
  <si>
    <t xml:space="preserve">Balladoran, Eumungerie</t>
  </si>
  <si>
    <t xml:space="preserve">2823</t>
  </si>
  <si>
    <t xml:space="preserve">Bundemar, Cathundral, Dandaloo, Gin Gin</t>
  </si>
  <si>
    <t xml:space="preserve">2824</t>
  </si>
  <si>
    <t xml:space="preserve">Beemunnel, Bullagreen, Eenaweena, Marthaguy</t>
  </si>
  <si>
    <t xml:space="preserve">2825</t>
  </si>
  <si>
    <t xml:space="preserve">Babinda, Bogan, Buddabadah, Canonba</t>
  </si>
  <si>
    <t xml:space="preserve">2826</t>
  </si>
  <si>
    <t xml:space="preserve">Bogan, Nevertire</t>
  </si>
  <si>
    <t xml:space="preserve">2827</t>
  </si>
  <si>
    <t xml:space="preserve">Bearbong, Biddon, Breelong, Collie</t>
  </si>
  <si>
    <t xml:space="preserve">2828</t>
  </si>
  <si>
    <t xml:space="preserve">Armatree, Black Hollow, Bourbah, Gulargambone</t>
  </si>
  <si>
    <t xml:space="preserve">2829</t>
  </si>
  <si>
    <t xml:space="preserve">Billeroy, Combara, Conimbia, Coonamble</t>
  </si>
  <si>
    <t xml:space="preserve">2830</t>
  </si>
  <si>
    <t xml:space="preserve">Ballimore, Barbigal, Beni, Boothenba</t>
  </si>
  <si>
    <t xml:space="preserve">2831</t>
  </si>
  <si>
    <t xml:space="preserve">Armatree, Balladoran, Brenda, Bullagreen</t>
  </si>
  <si>
    <t xml:space="preserve">2832</t>
  </si>
  <si>
    <t xml:space="preserve">Angledool, Boorooma, Bulyeroi, Come By Chance</t>
  </si>
  <si>
    <t xml:space="preserve">2833</t>
  </si>
  <si>
    <t xml:space="preserve">Collarenebri</t>
  </si>
  <si>
    <t xml:space="preserve">2834</t>
  </si>
  <si>
    <t xml:space="preserve">Angledool, Lightning Ridge</t>
  </si>
  <si>
    <t xml:space="preserve">2835</t>
  </si>
  <si>
    <t xml:space="preserve">Bulla, Canbelego, Cobar, Cubba</t>
  </si>
  <si>
    <t xml:space="preserve">2836</t>
  </si>
  <si>
    <t xml:space="preserve">Gemville, White Cliffs, Wilcannia</t>
  </si>
  <si>
    <t xml:space="preserve">2838</t>
  </si>
  <si>
    <t xml:space="preserve">Goodooga</t>
  </si>
  <si>
    <t xml:space="preserve">2839</t>
  </si>
  <si>
    <t xml:space="preserve">Brewarrina, Collerina, Gongolgon, Narran Lake</t>
  </si>
  <si>
    <t xml:space="preserve">2840</t>
  </si>
  <si>
    <t xml:space="preserve">Barringun, Bourke, Enngonia, Fords Bridge</t>
  </si>
  <si>
    <t xml:space="preserve">2842</t>
  </si>
  <si>
    <t xml:space="preserve">Mendooran, Mollyan, New Mollyan, Yarragrin</t>
  </si>
  <si>
    <t xml:space="preserve">2843</t>
  </si>
  <si>
    <t xml:space="preserve">Coolah</t>
  </si>
  <si>
    <t xml:space="preserve">2844</t>
  </si>
  <si>
    <t xml:space="preserve">Birriwa, Cobbora, Dunedoo, Leadville</t>
  </si>
  <si>
    <t xml:space="preserve">2845</t>
  </si>
  <si>
    <t xml:space="preserve">Angus Place, Wallerawang</t>
  </si>
  <si>
    <t xml:space="preserve">2846</t>
  </si>
  <si>
    <t xml:space="preserve">Airly, Capertee, Glen Davis, Kangaroo Flat</t>
  </si>
  <si>
    <t xml:space="preserve">2847</t>
  </si>
  <si>
    <t xml:space="preserve">Pipers Flat, Portland</t>
  </si>
  <si>
    <t xml:space="preserve">2848</t>
  </si>
  <si>
    <t xml:space="preserve">Brogans Creek, Charbon, Clandulla, Kandos</t>
  </si>
  <si>
    <t xml:space="preserve">2849</t>
  </si>
  <si>
    <t xml:space="preserve">Bogee, Breakfast Creek, Budden, Bylong</t>
  </si>
  <si>
    <t xml:space="preserve">2850</t>
  </si>
  <si>
    <t xml:space="preserve">Aarons Pass, Apple Tree Flat, Avisford, Bara</t>
  </si>
  <si>
    <t xml:space="preserve">2852</t>
  </si>
  <si>
    <t xml:space="preserve">Barneys Reef, Beryl, Biraganbil, Bungaba</t>
  </si>
  <si>
    <t xml:space="preserve">2864</t>
  </si>
  <si>
    <t xml:space="preserve">Boree, Bowan Park, Cudal, Murga</t>
  </si>
  <si>
    <t xml:space="preserve">2865</t>
  </si>
  <si>
    <t xml:space="preserve">Bocobra, Gumble, Manildra</t>
  </si>
  <si>
    <t xml:space="preserve">2866</t>
  </si>
  <si>
    <t xml:space="preserve">Amaroo, Boomey, Cundumbul, Euchareena</t>
  </si>
  <si>
    <t xml:space="preserve">2867</t>
  </si>
  <si>
    <t xml:space="preserve">Baldry, Cumnock, Eurimbla, Eurimbula</t>
  </si>
  <si>
    <t xml:space="preserve">2868</t>
  </si>
  <si>
    <t xml:space="preserve">Bournewood, North Yeoval, Obley, Yeoval</t>
  </si>
  <si>
    <t xml:space="preserve">2869</t>
  </si>
  <si>
    <t xml:space="preserve">Mungery, Peak Hill, Tomingley, Trewilga</t>
  </si>
  <si>
    <t xml:space="preserve">2870</t>
  </si>
  <si>
    <t xml:space="preserve">Alectown, Beargamil, Bindogundra, Brolgan</t>
  </si>
  <si>
    <t xml:space="preserve">2871</t>
  </si>
  <si>
    <t xml:space="preserve">Bandon, Bedgerabong, Bedgerebong, Bundaburrah</t>
  </si>
  <si>
    <t xml:space="preserve">2873</t>
  </si>
  <si>
    <t xml:space="preserve">Albert, Five Ways, Lansdale, Miamley</t>
  </si>
  <si>
    <t xml:space="preserve">2874</t>
  </si>
  <si>
    <t xml:space="preserve">Tullamore, Yethera</t>
  </si>
  <si>
    <t xml:space="preserve">2875</t>
  </si>
  <si>
    <t xml:space="preserve">Bruie Plains, Fifield, Ootha, The Troffs</t>
  </si>
  <si>
    <t xml:space="preserve">2876</t>
  </si>
  <si>
    <t xml:space="preserve">Bogan Gate, Botfields, Gunning Gap, Gunningbland</t>
  </si>
  <si>
    <t xml:space="preserve">2877</t>
  </si>
  <si>
    <t xml:space="preserve">Bobadah, Boona Mount, Condobolin, Derriwong</t>
  </si>
  <si>
    <t xml:space="preserve">2878</t>
  </si>
  <si>
    <t xml:space="preserve">Beilpajah, Conoble, Ivanhoe, Manara</t>
  </si>
  <si>
    <t xml:space="preserve">2879</t>
  </si>
  <si>
    <t xml:space="preserve">Copi Hollow, Menindee, Sunset Strip</t>
  </si>
  <si>
    <t xml:space="preserve">2880</t>
  </si>
  <si>
    <t xml:space="preserve">SA - Rural</t>
  </si>
  <si>
    <t xml:space="preserve">Broken Hill, Broken Hill North, Broken Hill West, Broughams Gate</t>
  </si>
  <si>
    <t xml:space="preserve">2890</t>
  </si>
  <si>
    <t xml:space="preserve">Australian Defence Forces, Forces</t>
  </si>
  <si>
    <t xml:space="preserve">2891</t>
  </si>
  <si>
    <t xml:space="preserve">International Mc, Sydney Gateway Facility</t>
  </si>
  <si>
    <t xml:space="preserve">2898</t>
  </si>
  <si>
    <t xml:space="preserve">Remote Locations Rural</t>
  </si>
  <si>
    <t xml:space="preserve">Remote Islands &amp; Locations</t>
  </si>
  <si>
    <t xml:space="preserve">Lord Howe Island</t>
  </si>
  <si>
    <t xml:space="preserve">2899</t>
  </si>
  <si>
    <t xml:space="preserve">Norfolk Island</t>
  </si>
  <si>
    <t xml:space="preserve">2900</t>
  </si>
  <si>
    <t xml:space="preserve">Greenway, Tuggeranong</t>
  </si>
  <si>
    <t xml:space="preserve">2901</t>
  </si>
  <si>
    <t xml:space="preserve">Tuggeranong Dc</t>
  </si>
  <si>
    <t xml:space="preserve">2902</t>
  </si>
  <si>
    <t xml:space="preserve">Kambah, Kambah Village</t>
  </si>
  <si>
    <t xml:space="preserve">2903</t>
  </si>
  <si>
    <t xml:space="preserve">Erindale Centre, Oxley, Wanniassa</t>
  </si>
  <si>
    <t xml:space="preserve">2904</t>
  </si>
  <si>
    <t xml:space="preserve">Fadden, Gowrie, Macarthur, Monash</t>
  </si>
  <si>
    <t xml:space="preserve">2905</t>
  </si>
  <si>
    <t xml:space="preserve">Bonython, Calwell, Chisholm, Gilmore</t>
  </si>
  <si>
    <t xml:space="preserve">2906</t>
  </si>
  <si>
    <t xml:space="preserve">Banks, Conder, Gordon</t>
  </si>
  <si>
    <t xml:space="preserve">2911</t>
  </si>
  <si>
    <t xml:space="preserve">Crace, Kenny, Mitchell</t>
  </si>
  <si>
    <t xml:space="preserve">2912</t>
  </si>
  <si>
    <t xml:space="preserve">Gungahlin</t>
  </si>
  <si>
    <t xml:space="preserve">2913</t>
  </si>
  <si>
    <t xml:space="preserve">Casey, Franklin, Ginninderra Village, Ngunnawal</t>
  </si>
  <si>
    <t xml:space="preserve">2914</t>
  </si>
  <si>
    <t xml:space="preserve">Amaroo, Bonner, Forde, Harrison</t>
  </si>
  <si>
    <t xml:space="preserve">3000</t>
  </si>
  <si>
    <t xml:space="preserve">VIC - Metro</t>
  </si>
  <si>
    <t xml:space="preserve">Melbourne</t>
  </si>
  <si>
    <t xml:space="preserve">3001</t>
  </si>
  <si>
    <t xml:space="preserve">3002</t>
  </si>
  <si>
    <t xml:space="preserve">East Melbourne</t>
  </si>
  <si>
    <t xml:space="preserve">3003</t>
  </si>
  <si>
    <t xml:space="preserve">West Melbourne</t>
  </si>
  <si>
    <t xml:space="preserve">3004</t>
  </si>
  <si>
    <t xml:space="preserve">Melbourne, St Kilda Road Central, St Kilda Road Melbourne</t>
  </si>
  <si>
    <t xml:space="preserve">3005</t>
  </si>
  <si>
    <t xml:space="preserve">World Trade Centre</t>
  </si>
  <si>
    <t xml:space="preserve">3006</t>
  </si>
  <si>
    <t xml:space="preserve">South Wharf, Southbank</t>
  </si>
  <si>
    <t xml:space="preserve">3008</t>
  </si>
  <si>
    <t xml:space="preserve">Docklands</t>
  </si>
  <si>
    <t xml:space="preserve">3010</t>
  </si>
  <si>
    <t xml:space="preserve">University Of Melbourne</t>
  </si>
  <si>
    <t xml:space="preserve">3011</t>
  </si>
  <si>
    <t xml:space="preserve">Footscray, Seddon, Seddon West</t>
  </si>
  <si>
    <t xml:space="preserve">3012</t>
  </si>
  <si>
    <t xml:space="preserve">Brooklyn, Kingsville, Kingsville West, Maidstone</t>
  </si>
  <si>
    <t xml:space="preserve">3013</t>
  </si>
  <si>
    <t xml:space="preserve">Yarraville, Yarraville West</t>
  </si>
  <si>
    <t xml:space="preserve">3015</t>
  </si>
  <si>
    <t xml:space="preserve">Newport, South Kingsville, Spotswood</t>
  </si>
  <si>
    <t xml:space="preserve">3016</t>
  </si>
  <si>
    <t xml:space="preserve">Williamstown, Williamstown North</t>
  </si>
  <si>
    <t xml:space="preserve">3018</t>
  </si>
  <si>
    <t xml:space="preserve">Altona, Seaholme</t>
  </si>
  <si>
    <t xml:space="preserve">3019</t>
  </si>
  <si>
    <t xml:space="preserve">Braybrook, Braybrook North, Robinson</t>
  </si>
  <si>
    <t xml:space="preserve">3020</t>
  </si>
  <si>
    <t xml:space="preserve">Albion, Glengala, Sunshine, Sunshine North</t>
  </si>
  <si>
    <t xml:space="preserve">3021</t>
  </si>
  <si>
    <t xml:space="preserve">Albanvale, Kealba, Kings Park, St Albans</t>
  </si>
  <si>
    <t xml:space="preserve">3022</t>
  </si>
  <si>
    <t xml:space="preserve">Ardeer, Deer Park East</t>
  </si>
  <si>
    <t xml:space="preserve">3023</t>
  </si>
  <si>
    <t xml:space="preserve">Burnside, Burnside Heights, Cairnlea, Caroline Springs</t>
  </si>
  <si>
    <t xml:space="preserve">3024</t>
  </si>
  <si>
    <t xml:space="preserve">Fieldstone, Mambourin, Manor Lakes, Mount Cottrell</t>
  </si>
  <si>
    <t xml:space="preserve">3025</t>
  </si>
  <si>
    <t xml:space="preserve">Altona East, Altona Gate, Altona North</t>
  </si>
  <si>
    <t xml:space="preserve">3026</t>
  </si>
  <si>
    <t xml:space="preserve">Derrimut, Laverton North</t>
  </si>
  <si>
    <t xml:space="preserve">3027</t>
  </si>
  <si>
    <t xml:space="preserve">Laverton Raaf, Williams Landing, Williams Raaf</t>
  </si>
  <si>
    <t xml:space="preserve">3028</t>
  </si>
  <si>
    <t xml:space="preserve">Altona Meadows, Laverton, Seabrook</t>
  </si>
  <si>
    <t xml:space="preserve">3029</t>
  </si>
  <si>
    <t xml:space="preserve">Hoppers Crossing, Tarneit, Truganina</t>
  </si>
  <si>
    <t xml:space="preserve">3030</t>
  </si>
  <si>
    <t xml:space="preserve">Chartwell, Cocoroc, Point Cook, Quandong</t>
  </si>
  <si>
    <t xml:space="preserve">3031</t>
  </si>
  <si>
    <t xml:space="preserve">Flemington, Kensington</t>
  </si>
  <si>
    <t xml:space="preserve">3032</t>
  </si>
  <si>
    <t xml:space="preserve">Ascot Vale, Highpoint City, Maribyrnong, Travancore</t>
  </si>
  <si>
    <t xml:space="preserve">3033</t>
  </si>
  <si>
    <t xml:space="preserve">Keilor East</t>
  </si>
  <si>
    <t xml:space="preserve">3034</t>
  </si>
  <si>
    <t xml:space="preserve">Avondale Heights</t>
  </si>
  <si>
    <t xml:space="preserve">3036</t>
  </si>
  <si>
    <t xml:space="preserve">Keilor, Keilor North</t>
  </si>
  <si>
    <t xml:space="preserve">3037</t>
  </si>
  <si>
    <t xml:space="preserve">Calder Park, Delahey, Hillside, Plumpton</t>
  </si>
  <si>
    <t xml:space="preserve">3038</t>
  </si>
  <si>
    <t xml:space="preserve">Keilor Downs, Keilor Lodge, Taylors Lakes, Watergardens</t>
  </si>
  <si>
    <t xml:space="preserve">3039</t>
  </si>
  <si>
    <t xml:space="preserve">Moonee Ponds</t>
  </si>
  <si>
    <t xml:space="preserve">3040</t>
  </si>
  <si>
    <t xml:space="preserve">Aberfeldie, Essendon, Essendon West</t>
  </si>
  <si>
    <t xml:space="preserve">3041</t>
  </si>
  <si>
    <t xml:space="preserve">Cross Keys, Essendon Fields, Essendon North, Strathmore</t>
  </si>
  <si>
    <t xml:space="preserve">3042</t>
  </si>
  <si>
    <t xml:space="preserve">Airport West, Keilor Park, Niddrie, Niddrie North</t>
  </si>
  <si>
    <t xml:space="preserve">3043</t>
  </si>
  <si>
    <t xml:space="preserve">Gladstone Park, Gowanbrae, Tullamarine</t>
  </si>
  <si>
    <t xml:space="preserve">3044</t>
  </si>
  <si>
    <t xml:space="preserve">Pascoe Vale, Pascoe Vale South</t>
  </si>
  <si>
    <t xml:space="preserve">3045</t>
  </si>
  <si>
    <t xml:space="preserve">Melbourne Airport</t>
  </si>
  <si>
    <t xml:space="preserve">3046</t>
  </si>
  <si>
    <t xml:space="preserve">Glenroy, Hadfield, Oak Park</t>
  </si>
  <si>
    <t xml:space="preserve">3047</t>
  </si>
  <si>
    <t xml:space="preserve">Broadmeadows, Dallas, Jacana</t>
  </si>
  <si>
    <t xml:space="preserve">3048</t>
  </si>
  <si>
    <t xml:space="preserve">Coolaroo, Meadow Heights</t>
  </si>
  <si>
    <t xml:space="preserve">3049</t>
  </si>
  <si>
    <t xml:space="preserve">Attwood, Westmeadows</t>
  </si>
  <si>
    <t xml:space="preserve">3050</t>
  </si>
  <si>
    <t xml:space="preserve">Royal Melbourne Hospital</t>
  </si>
  <si>
    <t xml:space="preserve">3051</t>
  </si>
  <si>
    <t xml:space="preserve">Hotham Hill, North Melbourne</t>
  </si>
  <si>
    <t xml:space="preserve">3052</t>
  </si>
  <si>
    <t xml:space="preserve">Melbourne University, Parkville</t>
  </si>
  <si>
    <t xml:space="preserve">3053</t>
  </si>
  <si>
    <t xml:space="preserve">Carlton, Carlton South</t>
  </si>
  <si>
    <t xml:space="preserve">3054</t>
  </si>
  <si>
    <t xml:space="preserve">Carlton North, Princes Hill</t>
  </si>
  <si>
    <t xml:space="preserve">3055</t>
  </si>
  <si>
    <t xml:space="preserve">Brunswick South, Brunswick West, Moonee Vale, Moreland West</t>
  </si>
  <si>
    <t xml:space="preserve">3056</t>
  </si>
  <si>
    <t xml:space="preserve">Brunswick, Brunswick Lower, Brunswick North</t>
  </si>
  <si>
    <t xml:space="preserve">3057</t>
  </si>
  <si>
    <t xml:space="preserve">Brunswick East, Lygon Street North, Sumner</t>
  </si>
  <si>
    <t xml:space="preserve">3058</t>
  </si>
  <si>
    <t xml:space="preserve">Batman, Coburg, Coburg North, Merlynston</t>
  </si>
  <si>
    <t xml:space="preserve">3059</t>
  </si>
  <si>
    <t xml:space="preserve">Greenvale</t>
  </si>
  <si>
    <t xml:space="preserve">3060</t>
  </si>
  <si>
    <t xml:space="preserve">Fawkner, Fawkner East, Fawkner North</t>
  </si>
  <si>
    <t xml:space="preserve">3061</t>
  </si>
  <si>
    <t xml:space="preserve">Campbellfield</t>
  </si>
  <si>
    <t xml:space="preserve">3062</t>
  </si>
  <si>
    <t xml:space="preserve">Somerton</t>
  </si>
  <si>
    <t xml:space="preserve">3063</t>
  </si>
  <si>
    <t xml:space="preserve">Oaklands Junction, Yuroke</t>
  </si>
  <si>
    <t xml:space="preserve">3064</t>
  </si>
  <si>
    <t xml:space="preserve">Craigieburn, Donnybrook, Kalkallo, Mickleham</t>
  </si>
  <si>
    <t xml:space="preserve">3065</t>
  </si>
  <si>
    <t xml:space="preserve">Fitzroy</t>
  </si>
  <si>
    <t xml:space="preserve">3066</t>
  </si>
  <si>
    <t xml:space="preserve">Collingwood, Collingwood North</t>
  </si>
  <si>
    <t xml:space="preserve">3067</t>
  </si>
  <si>
    <t xml:space="preserve">Abbotsford</t>
  </si>
  <si>
    <t xml:space="preserve">3068</t>
  </si>
  <si>
    <t xml:space="preserve">Clifton Hill, Fitzroy North</t>
  </si>
  <si>
    <t xml:space="preserve">3070</t>
  </si>
  <si>
    <t xml:space="preserve">Northcote, Northcote South</t>
  </si>
  <si>
    <t xml:space="preserve">3071</t>
  </si>
  <si>
    <t xml:space="preserve">Thornbury</t>
  </si>
  <si>
    <t xml:space="preserve">3072</t>
  </si>
  <si>
    <t xml:space="preserve">Gilberton, Northland Centre, Preston, Preston Lower</t>
  </si>
  <si>
    <t xml:space="preserve">3073</t>
  </si>
  <si>
    <t xml:space="preserve">Keon Park, Reservoir, Reservoir East, Reservoir North</t>
  </si>
  <si>
    <t xml:space="preserve">3074</t>
  </si>
  <si>
    <t xml:space="preserve">Thomastown</t>
  </si>
  <si>
    <t xml:space="preserve">3075</t>
  </si>
  <si>
    <t xml:space="preserve">Lalor, Lalor Plaza</t>
  </si>
  <si>
    <t xml:space="preserve">3076</t>
  </si>
  <si>
    <t xml:space="preserve">Epping, Epping Dc</t>
  </si>
  <si>
    <t xml:space="preserve">3078</t>
  </si>
  <si>
    <t xml:space="preserve">Alphington, Fairfield</t>
  </si>
  <si>
    <t xml:space="preserve">3079</t>
  </si>
  <si>
    <t xml:space="preserve">Ivanhoe, Ivanhoe East, Ivanhoe North</t>
  </si>
  <si>
    <t xml:space="preserve">3081</t>
  </si>
  <si>
    <t xml:space="preserve">Bellfield, Heidelberg Heights, Heidelberg Rgh, Heidelberg West</t>
  </si>
  <si>
    <t xml:space="preserve">3082</t>
  </si>
  <si>
    <t xml:space="preserve">Mill Park</t>
  </si>
  <si>
    <t xml:space="preserve">3083</t>
  </si>
  <si>
    <t xml:space="preserve">Bundoora, Kingsbury, La Trobe University</t>
  </si>
  <si>
    <t xml:space="preserve">3084</t>
  </si>
  <si>
    <t xml:space="preserve">Banyule, Eaglemont, Heidelberg, Rosanna</t>
  </si>
  <si>
    <t xml:space="preserve">3085</t>
  </si>
  <si>
    <t xml:space="preserve">Macleod, Macleod West, Yallambie</t>
  </si>
  <si>
    <t xml:space="preserve">3086</t>
  </si>
  <si>
    <t xml:space="preserve">La Trobe University</t>
  </si>
  <si>
    <t xml:space="preserve">3087</t>
  </si>
  <si>
    <t xml:space="preserve">Watsonia, Watsonia North</t>
  </si>
  <si>
    <t xml:space="preserve">3088</t>
  </si>
  <si>
    <t xml:space="preserve">Briar Hill, Greensborough, Saint Helena, St Helena</t>
  </si>
  <si>
    <t xml:space="preserve">3089</t>
  </si>
  <si>
    <t xml:space="preserve">Diamond Creek</t>
  </si>
  <si>
    <t xml:space="preserve">3090</t>
  </si>
  <si>
    <t xml:space="preserve">Plenty</t>
  </si>
  <si>
    <t xml:space="preserve">3091</t>
  </si>
  <si>
    <t xml:space="preserve">Yarrambat</t>
  </si>
  <si>
    <t xml:space="preserve">3093</t>
  </si>
  <si>
    <t xml:space="preserve">Lower Plenty</t>
  </si>
  <si>
    <t xml:space="preserve">3094</t>
  </si>
  <si>
    <t xml:space="preserve">Montmorency</t>
  </si>
  <si>
    <t xml:space="preserve">3095</t>
  </si>
  <si>
    <t xml:space="preserve">Eltham, Eltham North, Research</t>
  </si>
  <si>
    <t xml:space="preserve">3096</t>
  </si>
  <si>
    <t xml:space="preserve">Wattle Glen</t>
  </si>
  <si>
    <t xml:space="preserve">3097</t>
  </si>
  <si>
    <t xml:space="preserve">Bend Of Islands, Kangaroo Ground, Watsons Creek</t>
  </si>
  <si>
    <t xml:space="preserve">3099</t>
  </si>
  <si>
    <t xml:space="preserve">VIC - Outer Metro</t>
  </si>
  <si>
    <t xml:space="preserve">Arthurs Creek, Cottles Bridge, Hurstbridge, Nutfield</t>
  </si>
  <si>
    <t xml:space="preserve">3101</t>
  </si>
  <si>
    <t xml:space="preserve">Cotham, Kew</t>
  </si>
  <si>
    <t xml:space="preserve">3102</t>
  </si>
  <si>
    <t xml:space="preserve">Kew East</t>
  </si>
  <si>
    <t xml:space="preserve">3103</t>
  </si>
  <si>
    <t xml:space="preserve">Balwyn, Balwyn East, Deepdene, Deepdene Dc</t>
  </si>
  <si>
    <t xml:space="preserve">3104</t>
  </si>
  <si>
    <t xml:space="preserve">Balwyn North, Greythorn</t>
  </si>
  <si>
    <t xml:space="preserve">3105</t>
  </si>
  <si>
    <t xml:space="preserve">Bulleen, Bulleen South</t>
  </si>
  <si>
    <t xml:space="preserve">3106</t>
  </si>
  <si>
    <t xml:space="preserve">Templestowe</t>
  </si>
  <si>
    <t xml:space="preserve">3107</t>
  </si>
  <si>
    <t xml:space="preserve">Templestowe Lower</t>
  </si>
  <si>
    <t xml:space="preserve">3108</t>
  </si>
  <si>
    <t xml:space="preserve">Doncaster</t>
  </si>
  <si>
    <t xml:space="preserve">3109</t>
  </si>
  <si>
    <t xml:space="preserve">Doncaster East, Doncaster Heights, The Pines, Tunstall Square Po</t>
  </si>
  <si>
    <t xml:space="preserve">3111</t>
  </si>
  <si>
    <t xml:space="preserve">Donvale</t>
  </si>
  <si>
    <t xml:space="preserve">3113</t>
  </si>
  <si>
    <t xml:space="preserve">North Warrandyte, Warrandyte</t>
  </si>
  <si>
    <t xml:space="preserve">3114</t>
  </si>
  <si>
    <t xml:space="preserve">Park Orchards</t>
  </si>
  <si>
    <t xml:space="preserve">3115</t>
  </si>
  <si>
    <t xml:space="preserve">Wonga Park</t>
  </si>
  <si>
    <t xml:space="preserve">3116</t>
  </si>
  <si>
    <t xml:space="preserve">Chirnside Park</t>
  </si>
  <si>
    <t xml:space="preserve">3121</t>
  </si>
  <si>
    <t xml:space="preserve">Burnley, Burnley North, Cremorne, Richmond</t>
  </si>
  <si>
    <t xml:space="preserve">3122</t>
  </si>
  <si>
    <t xml:space="preserve">Auburn South, Glenferrie South, Hawthorn, Hawthorn North</t>
  </si>
  <si>
    <t xml:space="preserve">3123</t>
  </si>
  <si>
    <t xml:space="preserve">Auburn, Hawthorn East</t>
  </si>
  <si>
    <t xml:space="preserve">3124</t>
  </si>
  <si>
    <t xml:space="preserve">Camberwell, Camberwell North, Camberwell South, Camberwell West</t>
  </si>
  <si>
    <t xml:space="preserve">3125</t>
  </si>
  <si>
    <t xml:space="preserve">Bennettswood, Burwood, Surrey Hills South</t>
  </si>
  <si>
    <t xml:space="preserve">3126</t>
  </si>
  <si>
    <t xml:space="preserve">Camberwell East, Canterbury</t>
  </si>
  <si>
    <t xml:space="preserve">3127</t>
  </si>
  <si>
    <t xml:space="preserve">Mont Albert, Surrey Hills, Surrey Hills North</t>
  </si>
  <si>
    <t xml:space="preserve">3128</t>
  </si>
  <si>
    <t xml:space="preserve">Box Hill, Box Hill Central, Box Hill South, Houston</t>
  </si>
  <si>
    <t xml:space="preserve">3129</t>
  </si>
  <si>
    <t xml:space="preserve">Box Hill North, Kerrimuir, Mont Albert North</t>
  </si>
  <si>
    <t xml:space="preserve">3130</t>
  </si>
  <si>
    <t xml:space="preserve">Blackburn, Blackburn North, Blackburn South, Laburnum</t>
  </si>
  <si>
    <t xml:space="preserve">3131</t>
  </si>
  <si>
    <t xml:space="preserve">Brentford Square, Forest Hill, Nunawading</t>
  </si>
  <si>
    <t xml:space="preserve">3132</t>
  </si>
  <si>
    <t xml:space="preserve">Mitcham, Mitcham North, Rangeview</t>
  </si>
  <si>
    <t xml:space="preserve">3133</t>
  </si>
  <si>
    <t xml:space="preserve">Vermont, Vermont South</t>
  </si>
  <si>
    <t xml:space="preserve">3134</t>
  </si>
  <si>
    <t xml:space="preserve">Heathwood, Ringwood, Ringwood North, Warrandyte South</t>
  </si>
  <si>
    <t xml:space="preserve">3135</t>
  </si>
  <si>
    <t xml:space="preserve">Bedford Road, Heathmont, Ringwood East</t>
  </si>
  <si>
    <t xml:space="preserve">3136</t>
  </si>
  <si>
    <t xml:space="preserve">Croydon, Croydon Hills, Croydon North, Croydon South</t>
  </si>
  <si>
    <t xml:space="preserve">3137</t>
  </si>
  <si>
    <t xml:space="preserve">Kilsyth, Kilsyth South</t>
  </si>
  <si>
    <t xml:space="preserve">3138</t>
  </si>
  <si>
    <t xml:space="preserve">Mooroolbark</t>
  </si>
  <si>
    <t xml:space="preserve">3139</t>
  </si>
  <si>
    <t xml:space="preserve">Beenak, Don Valley, Hoddles Creek, Launching Place</t>
  </si>
  <si>
    <t xml:space="preserve">3140</t>
  </si>
  <si>
    <t xml:space="preserve">Lilydale</t>
  </si>
  <si>
    <t xml:space="preserve">3141</t>
  </si>
  <si>
    <t xml:space="preserve">Chapel Street North, Domain Road Po, South Yarra</t>
  </si>
  <si>
    <t xml:space="preserve">3142</t>
  </si>
  <si>
    <t xml:space="preserve">Hawksburn, Toorak</t>
  </si>
  <si>
    <t xml:space="preserve">3143</t>
  </si>
  <si>
    <t xml:space="preserve">Armadale, Armadale North</t>
  </si>
  <si>
    <t xml:space="preserve">3144</t>
  </si>
  <si>
    <t xml:space="preserve">Kooyong, Malvern, Malvern North</t>
  </si>
  <si>
    <t xml:space="preserve">3145</t>
  </si>
  <si>
    <t xml:space="preserve">Caulfield East, Central Park, Darling, Darling South</t>
  </si>
  <si>
    <t xml:space="preserve">3146</t>
  </si>
  <si>
    <t xml:space="preserve">Glen Iris, Tooronga</t>
  </si>
  <si>
    <t xml:space="preserve">3147</t>
  </si>
  <si>
    <t xml:space="preserve">Ashburton, Ashwood</t>
  </si>
  <si>
    <t xml:space="preserve">3148</t>
  </si>
  <si>
    <t xml:space="preserve">Chadstone, Chadstone Centre, Holmesglen, Jordanville</t>
  </si>
  <si>
    <t xml:space="preserve">3149</t>
  </si>
  <si>
    <t xml:space="preserve">Mount Waverley, Pinewood, Syndal</t>
  </si>
  <si>
    <t xml:space="preserve">3150</t>
  </si>
  <si>
    <t xml:space="preserve">Brandon Park, Glen Waverley, Wheelers Hill</t>
  </si>
  <si>
    <t xml:space="preserve">3151</t>
  </si>
  <si>
    <t xml:space="preserve">Burwood East, Burwood Heights</t>
  </si>
  <si>
    <t xml:space="preserve">3152</t>
  </si>
  <si>
    <t xml:space="preserve">Knox City Centre, Studfield, Wantirna, Wantirna South</t>
  </si>
  <si>
    <t xml:space="preserve">3153</t>
  </si>
  <si>
    <t xml:space="preserve">Bayswater, Bayswater North</t>
  </si>
  <si>
    <t xml:space="preserve">3154</t>
  </si>
  <si>
    <t xml:space="preserve">The Basin</t>
  </si>
  <si>
    <t xml:space="preserve">3155</t>
  </si>
  <si>
    <t xml:space="preserve">Boronia</t>
  </si>
  <si>
    <t xml:space="preserve">3156</t>
  </si>
  <si>
    <t xml:space="preserve">Ferntree Gully, Lysterfield, Lysterfield South, Mountain Gate</t>
  </si>
  <si>
    <t xml:space="preserve">3158</t>
  </si>
  <si>
    <t xml:space="preserve">Upwey</t>
  </si>
  <si>
    <t xml:space="preserve">3159</t>
  </si>
  <si>
    <t xml:space="preserve">Menzies Creek, Selby</t>
  </si>
  <si>
    <t xml:space="preserve">3160</t>
  </si>
  <si>
    <t xml:space="preserve">Belgrave, Belgrave Heights, Belgrave South, Tecoma</t>
  </si>
  <si>
    <t xml:space="preserve">3161</t>
  </si>
  <si>
    <t xml:space="preserve">Caulfield Junction, Caulfield North</t>
  </si>
  <si>
    <t xml:space="preserve">3162</t>
  </si>
  <si>
    <t xml:space="preserve">Caulfield, Caulfield South, Hopetoun Gardens</t>
  </si>
  <si>
    <t xml:space="preserve">3163</t>
  </si>
  <si>
    <t xml:space="preserve">Booran Road Po, Carnegie, Glen Huntly, Murrumbeena</t>
  </si>
  <si>
    <t xml:space="preserve">3164</t>
  </si>
  <si>
    <t xml:space="preserve">Dandenong South</t>
  </si>
  <si>
    <t xml:space="preserve">3165</t>
  </si>
  <si>
    <t xml:space="preserve">Bentleigh East, Coatesville</t>
  </si>
  <si>
    <t xml:space="preserve">3166</t>
  </si>
  <si>
    <t xml:space="preserve">Hughesdale, Huntingdale, Oakleigh, Oakleigh East</t>
  </si>
  <si>
    <t xml:space="preserve">3167</t>
  </si>
  <si>
    <t xml:space="preserve">Oakleigh South</t>
  </si>
  <si>
    <t xml:space="preserve">3168</t>
  </si>
  <si>
    <t xml:space="preserve">Clayton, Notting Hill</t>
  </si>
  <si>
    <t xml:space="preserve">3169</t>
  </si>
  <si>
    <t xml:space="preserve">Clarinda, Clayton South</t>
  </si>
  <si>
    <t xml:space="preserve">3170</t>
  </si>
  <si>
    <t xml:space="preserve">Mulgrave, Waverley Gardens</t>
  </si>
  <si>
    <t xml:space="preserve">3171</t>
  </si>
  <si>
    <t xml:space="preserve">Sandown Village, Springvale</t>
  </si>
  <si>
    <t xml:space="preserve">3172</t>
  </si>
  <si>
    <t xml:space="preserve">Dingley Village, Springvale South</t>
  </si>
  <si>
    <t xml:space="preserve">3173</t>
  </si>
  <si>
    <t xml:space="preserve">Keysborough</t>
  </si>
  <si>
    <t xml:space="preserve">3174</t>
  </si>
  <si>
    <t xml:space="preserve">Noble Park, Noble Park East, Noble Park North</t>
  </si>
  <si>
    <t xml:space="preserve">3175</t>
  </si>
  <si>
    <t xml:space="preserve">Bangholme, Dandenong, Dandenong East, Dandenong North</t>
  </si>
  <si>
    <t xml:space="preserve">3176</t>
  </si>
  <si>
    <t xml:space="preserve">Scoresby Bc</t>
  </si>
  <si>
    <t xml:space="preserve">3177</t>
  </si>
  <si>
    <t xml:space="preserve">Doveton, Eumemmerring</t>
  </si>
  <si>
    <t xml:space="preserve">3178</t>
  </si>
  <si>
    <t xml:space="preserve">Rowville</t>
  </si>
  <si>
    <t xml:space="preserve">3179</t>
  </si>
  <si>
    <t xml:space="preserve">Scoresby</t>
  </si>
  <si>
    <t xml:space="preserve">3180</t>
  </si>
  <si>
    <t xml:space="preserve">Knoxfield</t>
  </si>
  <si>
    <t xml:space="preserve">3181</t>
  </si>
  <si>
    <t xml:space="preserve">Prahran, Prahran East, Windsor</t>
  </si>
  <si>
    <t xml:space="preserve">3182</t>
  </si>
  <si>
    <t xml:space="preserve">St Kilda, St Kilda South, St Kilda West</t>
  </si>
  <si>
    <t xml:space="preserve">3183</t>
  </si>
  <si>
    <t xml:space="preserve">Balaclava, St Kilda East</t>
  </si>
  <si>
    <t xml:space="preserve">3184</t>
  </si>
  <si>
    <t xml:space="preserve">Brighton Road, Elwood</t>
  </si>
  <si>
    <t xml:space="preserve">3185</t>
  </si>
  <si>
    <t xml:space="preserve">Elsternwick, Gardenvale, Ripponlea</t>
  </si>
  <si>
    <t xml:space="preserve">3186</t>
  </si>
  <si>
    <t xml:space="preserve">Brighton, Brighton North, Dendy, Were Street Po</t>
  </si>
  <si>
    <t xml:space="preserve">3187</t>
  </si>
  <si>
    <t xml:space="preserve">Brighton East, North Road</t>
  </si>
  <si>
    <t xml:space="preserve">3188</t>
  </si>
  <si>
    <t xml:space="preserve">Hampton, Hampton East, Hampton North</t>
  </si>
  <si>
    <t xml:space="preserve">3189</t>
  </si>
  <si>
    <t xml:space="preserve">Moorabbin, Moorabbin East, Wishart</t>
  </si>
  <si>
    <t xml:space="preserve">3190</t>
  </si>
  <si>
    <t xml:space="preserve">Highett</t>
  </si>
  <si>
    <t xml:space="preserve">3191</t>
  </si>
  <si>
    <t xml:space="preserve">Sandringham</t>
  </si>
  <si>
    <t xml:space="preserve">3192</t>
  </si>
  <si>
    <t xml:space="preserve">Cheltenham, Cheltenham East, Cheltenham North, Southland Centre</t>
  </si>
  <si>
    <t xml:space="preserve">3193</t>
  </si>
  <si>
    <t xml:space="preserve">Beaumaris, Black Rock, Black Rock North, Cromer</t>
  </si>
  <si>
    <t xml:space="preserve">3194</t>
  </si>
  <si>
    <t xml:space="preserve">Mentone, Mentone East, Moorabbin Airport</t>
  </si>
  <si>
    <t xml:space="preserve">3195</t>
  </si>
  <si>
    <t xml:space="preserve">Aspendale, Aspendale Gardens, Braeside, Mordialloc</t>
  </si>
  <si>
    <t xml:space="preserve">3196</t>
  </si>
  <si>
    <t xml:space="preserve">Bonbeach, Chelsea, Chelsea Heights, Edithvale</t>
  </si>
  <si>
    <t xml:space="preserve">3197</t>
  </si>
  <si>
    <t xml:space="preserve">Carrum, Patterson Lakes</t>
  </si>
  <si>
    <t xml:space="preserve">3198</t>
  </si>
  <si>
    <t xml:space="preserve">Belvedere Park, Seaford</t>
  </si>
  <si>
    <t xml:space="preserve">3199</t>
  </si>
  <si>
    <t xml:space="preserve">Frankston, Frankston East, Frankston Heights, Frankston South</t>
  </si>
  <si>
    <t xml:space="preserve">3200</t>
  </si>
  <si>
    <t xml:space="preserve">Frankston North, Pines Forest</t>
  </si>
  <si>
    <t xml:space="preserve">3201</t>
  </si>
  <si>
    <t xml:space="preserve">Carrum Downs</t>
  </si>
  <si>
    <t xml:space="preserve">3202</t>
  </si>
  <si>
    <t xml:space="preserve">Heatherton</t>
  </si>
  <si>
    <t xml:space="preserve">3204</t>
  </si>
  <si>
    <t xml:space="preserve">Bentleigh, Mckinnon, Ormond, Patterson</t>
  </si>
  <si>
    <t xml:space="preserve">3205</t>
  </si>
  <si>
    <t xml:space="preserve">South Melbourne, South Melbourne Dc</t>
  </si>
  <si>
    <t xml:space="preserve">3206</t>
  </si>
  <si>
    <t xml:space="preserve">Albert Park, Middle Park</t>
  </si>
  <si>
    <t xml:space="preserve">3207</t>
  </si>
  <si>
    <t xml:space="preserve">Garden City, Port Melbourne</t>
  </si>
  <si>
    <t xml:space="preserve">3211</t>
  </si>
  <si>
    <t xml:space="preserve">Little River</t>
  </si>
  <si>
    <t xml:space="preserve">3212</t>
  </si>
  <si>
    <t xml:space="preserve">Avalon, Lara, Point Wilson</t>
  </si>
  <si>
    <t xml:space="preserve">3213</t>
  </si>
  <si>
    <t xml:space="preserve">Anakie, Batesford, Lovely Banks, Moorabool</t>
  </si>
  <si>
    <t xml:space="preserve">3214</t>
  </si>
  <si>
    <t xml:space="preserve">Corio, Norlane, North Shore</t>
  </si>
  <si>
    <t xml:space="preserve">3215</t>
  </si>
  <si>
    <t xml:space="preserve">Bell Park, Bell Post Hill, Drumcondra, Geelong North</t>
  </si>
  <si>
    <t xml:space="preserve">3216</t>
  </si>
  <si>
    <t xml:space="preserve">Belmont, Freshwater Creek, Grovedale, Grovedale East</t>
  </si>
  <si>
    <t xml:space="preserve">3217</t>
  </si>
  <si>
    <t xml:space="preserve">Armstrong Creek, Charlemont, Deakin University, Freshwater Creek</t>
  </si>
  <si>
    <t xml:space="preserve">3218</t>
  </si>
  <si>
    <t xml:space="preserve">Fyansford, Geelong West, Herne Hill, Manifold Heights</t>
  </si>
  <si>
    <t xml:space="preserve">3219</t>
  </si>
  <si>
    <t xml:space="preserve">Breakwater, East Geelong, Newcomb, St Albans Park</t>
  </si>
  <si>
    <t xml:space="preserve">3220</t>
  </si>
  <si>
    <t xml:space="preserve">Bareena, Geelong, Newtown, South Geelong</t>
  </si>
  <si>
    <t xml:space="preserve">3221</t>
  </si>
  <si>
    <t xml:space="preserve">Anakie, Barrabool, Batesford, Bellarine</t>
  </si>
  <si>
    <t xml:space="preserve">3222</t>
  </si>
  <si>
    <t xml:space="preserve">Clifton Springs, Curlewis, Drysdale, Mannerim</t>
  </si>
  <si>
    <t xml:space="preserve">3223</t>
  </si>
  <si>
    <t xml:space="preserve">Bellarine, Indented Head, Portarlington, St Leonards</t>
  </si>
  <si>
    <t xml:space="preserve">3224</t>
  </si>
  <si>
    <t xml:space="preserve">Leopold, Moolap</t>
  </si>
  <si>
    <t xml:space="preserve">3225</t>
  </si>
  <si>
    <t xml:space="preserve">Point Lonsdale, Queenscliff, Swan Bay, Swan Island</t>
  </si>
  <si>
    <t xml:space="preserve">3226</t>
  </si>
  <si>
    <t xml:space="preserve">Ocean Grove</t>
  </si>
  <si>
    <t xml:space="preserve">3227</t>
  </si>
  <si>
    <t xml:space="preserve">Barwon Heads, Breamlea, Connewarre</t>
  </si>
  <si>
    <t xml:space="preserve">3228</t>
  </si>
  <si>
    <t xml:space="preserve">Bellbrae, Bells Beach, Jan Juc, Torquay</t>
  </si>
  <si>
    <t xml:space="preserve">3230</t>
  </si>
  <si>
    <t xml:space="preserve">Anglesea</t>
  </si>
  <si>
    <t xml:space="preserve">3231</t>
  </si>
  <si>
    <t xml:space="preserve">Aireys Inlet, Big Hill, Eastern View, Fairhaven</t>
  </si>
  <si>
    <t xml:space="preserve">3232</t>
  </si>
  <si>
    <t xml:space="preserve">Big Hill, Lorne</t>
  </si>
  <si>
    <t xml:space="preserve">3233</t>
  </si>
  <si>
    <t xml:space="preserve">Apollo Bay, Cape Otway, Marengo, Petticoat Creek</t>
  </si>
  <si>
    <t xml:space="preserve">3234</t>
  </si>
  <si>
    <t xml:space="preserve">Grey River, Kennett River, Separation Creek, Sugarloaf</t>
  </si>
  <si>
    <t xml:space="preserve">3235</t>
  </si>
  <si>
    <t xml:space="preserve">Benwerrin, Boonah, Deans Marsh, Pennyroyal</t>
  </si>
  <si>
    <t xml:space="preserve">3236</t>
  </si>
  <si>
    <t xml:space="preserve">Forrest, Mount Sabine</t>
  </si>
  <si>
    <t xml:space="preserve">3237</t>
  </si>
  <si>
    <t xml:space="preserve">Aire Valley, Beech Forest, Ferguson, Gellibrand Lower</t>
  </si>
  <si>
    <t xml:space="preserve">3238</t>
  </si>
  <si>
    <t xml:space="preserve">Glenaire, Hordern Vale, Johanna, Lavers Hill</t>
  </si>
  <si>
    <t xml:space="preserve">3239</t>
  </si>
  <si>
    <t xml:space="preserve">Carlisle River, Chapple Vale, Gellibrand, Kennedys Creek</t>
  </si>
  <si>
    <t xml:space="preserve">3240</t>
  </si>
  <si>
    <t xml:space="preserve">Buckley, Gherang, Modewarre, Moriac</t>
  </si>
  <si>
    <t xml:space="preserve">3241</t>
  </si>
  <si>
    <t xml:space="preserve">Bambra, Ombersley, Wensleydale, Winchelsea</t>
  </si>
  <si>
    <t xml:space="preserve">3242</t>
  </si>
  <si>
    <t xml:space="preserve">Birregurra</t>
  </si>
  <si>
    <t xml:space="preserve">3243</t>
  </si>
  <si>
    <t xml:space="preserve">Barwon Downs, Gerangamete, Murroon, Warncoort</t>
  </si>
  <si>
    <t xml:space="preserve">3249</t>
  </si>
  <si>
    <t xml:space="preserve">Alvie, Balintore, Barongarook, Barongarook West</t>
  </si>
  <si>
    <t xml:space="preserve">3250</t>
  </si>
  <si>
    <t xml:space="preserve">Colac, Colac East, Colac West, Elliminyt</t>
  </si>
  <si>
    <t xml:space="preserve">3251</t>
  </si>
  <si>
    <t xml:space="preserve">Beeac, Cundare, Cundare North, Eurack</t>
  </si>
  <si>
    <t xml:space="preserve">3254</t>
  </si>
  <si>
    <t xml:space="preserve">Cororooke</t>
  </si>
  <si>
    <t xml:space="preserve">3260</t>
  </si>
  <si>
    <t xml:space="preserve">Bookaar, Bostocks Creek, Bungador, Camperdown</t>
  </si>
  <si>
    <t xml:space="preserve">3264</t>
  </si>
  <si>
    <t xml:space="preserve">Terang</t>
  </si>
  <si>
    <t xml:space="preserve">3265</t>
  </si>
  <si>
    <t xml:space="preserve">Boorcan, Cudgee, Dixie, Ecklin South</t>
  </si>
  <si>
    <t xml:space="preserve">3266</t>
  </si>
  <si>
    <t xml:space="preserve">Bullaharre, Cobden, Cobrico, Elingamite</t>
  </si>
  <si>
    <t xml:space="preserve">3267</t>
  </si>
  <si>
    <t xml:space="preserve">Scotts Creek</t>
  </si>
  <si>
    <t xml:space="preserve">3268</t>
  </si>
  <si>
    <t xml:space="preserve">Ayrford, Brucknell, Cooriemungle, Cowleys Creek</t>
  </si>
  <si>
    <t xml:space="preserve">3269</t>
  </si>
  <si>
    <t xml:space="preserve">Port Campbell, Princetown, Waarre</t>
  </si>
  <si>
    <t xml:space="preserve">3270</t>
  </si>
  <si>
    <t xml:space="preserve">Peterborough</t>
  </si>
  <si>
    <t xml:space="preserve">3271</t>
  </si>
  <si>
    <t xml:space="preserve">Darlington, Dundonnell, Pura Pura</t>
  </si>
  <si>
    <t xml:space="preserve">3272</t>
  </si>
  <si>
    <t xml:space="preserve">Mortlake, Woorndoo</t>
  </si>
  <si>
    <t xml:space="preserve">3273</t>
  </si>
  <si>
    <t xml:space="preserve">Hexham</t>
  </si>
  <si>
    <t xml:space="preserve">3274</t>
  </si>
  <si>
    <t xml:space="preserve">Caramut</t>
  </si>
  <si>
    <t xml:space="preserve">3275</t>
  </si>
  <si>
    <t xml:space="preserve">Mailer Flat, Mailors Flat</t>
  </si>
  <si>
    <t xml:space="preserve">3276</t>
  </si>
  <si>
    <t xml:space="preserve">Minjah, Woolsthorpe</t>
  </si>
  <si>
    <t xml:space="preserve">3277</t>
  </si>
  <si>
    <t xml:space="preserve">Allansford, Mepunga, Mepunga East, Mepunga West</t>
  </si>
  <si>
    <t xml:space="preserve">3278</t>
  </si>
  <si>
    <t xml:space="preserve">Purnim, Purnim West</t>
  </si>
  <si>
    <t xml:space="preserve">3279</t>
  </si>
  <si>
    <t xml:space="preserve">Ballangeich, Wangoom</t>
  </si>
  <si>
    <t xml:space="preserve">3280</t>
  </si>
  <si>
    <t xml:space="preserve">Dennington, Minjah, Warrnambool, Warrnambool East</t>
  </si>
  <si>
    <t xml:space="preserve">3281</t>
  </si>
  <si>
    <t xml:space="preserve">Bushfield, Grassmere, Winslow, Woodford</t>
  </si>
  <si>
    <t xml:space="preserve">3282</t>
  </si>
  <si>
    <t xml:space="preserve">Illowa, Koroit</t>
  </si>
  <si>
    <t xml:space="preserve">3283</t>
  </si>
  <si>
    <t xml:space="preserve">Crossley, Killarney, Kirkstall, Southern Cross</t>
  </si>
  <si>
    <t xml:space="preserve">3284</t>
  </si>
  <si>
    <t xml:space="preserve">Orford, Port Fairy</t>
  </si>
  <si>
    <t xml:space="preserve">3285</t>
  </si>
  <si>
    <t xml:space="preserve">Codrington, Narrawong, Rosebrook, St Helens</t>
  </si>
  <si>
    <t xml:space="preserve">3286</t>
  </si>
  <si>
    <t xml:space="preserve">Condah Swamp, Knebsworth, Macarthur, Ripponhurst</t>
  </si>
  <si>
    <t xml:space="preserve">3287</t>
  </si>
  <si>
    <t xml:space="preserve">Hawkesdale, Minhamite</t>
  </si>
  <si>
    <t xml:space="preserve">3289</t>
  </si>
  <si>
    <t xml:space="preserve">Gazette, Gerrigerrup, Penshurst, Purdeet</t>
  </si>
  <si>
    <t xml:space="preserve">3292</t>
  </si>
  <si>
    <t xml:space="preserve">Nelson</t>
  </si>
  <si>
    <t xml:space="preserve">3293</t>
  </si>
  <si>
    <t xml:space="preserve">Glenthompson, Nareeb, Narrapumelap South</t>
  </si>
  <si>
    <t xml:space="preserve">3294</t>
  </si>
  <si>
    <t xml:space="preserve">Dunkeld, Karabeal, Mirranatwa, Moutajup</t>
  </si>
  <si>
    <t xml:space="preserve">3300</t>
  </si>
  <si>
    <t xml:space="preserve">Byaduk North, Hamilton</t>
  </si>
  <si>
    <t xml:space="preserve">3301</t>
  </si>
  <si>
    <t xml:space="preserve">Bochara, Broadwater, Buckley Swamp, Byaduk</t>
  </si>
  <si>
    <t xml:space="preserve">3302</t>
  </si>
  <si>
    <t xml:space="preserve">Branxholme, Grassdale</t>
  </si>
  <si>
    <t xml:space="preserve">3303</t>
  </si>
  <si>
    <t xml:space="preserve">Breakaway Creek, Condah, Condah Swamp, Hotspur</t>
  </si>
  <si>
    <t xml:space="preserve">3304</t>
  </si>
  <si>
    <t xml:space="preserve">Bessiebelle, Dartmoor, Drik Drik, Drumborg</t>
  </si>
  <si>
    <t xml:space="preserve">3305</t>
  </si>
  <si>
    <t xml:space="preserve">Allestree, Bolwarra, Cape Bridgewater, Cashmore</t>
  </si>
  <si>
    <t xml:space="preserve">3309</t>
  </si>
  <si>
    <t xml:space="preserve">Digby</t>
  </si>
  <si>
    <t xml:space="preserve">3310</t>
  </si>
  <si>
    <t xml:space="preserve">Merino, Tahara West</t>
  </si>
  <si>
    <t xml:space="preserve">3311</t>
  </si>
  <si>
    <t xml:space="preserve">Casterton, Corndale, Heath Field, Puralka</t>
  </si>
  <si>
    <t xml:space="preserve">3312</t>
  </si>
  <si>
    <t xml:space="preserve">Bahgallah, Brimboal, Carapook, Chetwynd</t>
  </si>
  <si>
    <t xml:space="preserve">3314</t>
  </si>
  <si>
    <t xml:space="preserve">Bulart, Cavendish, Glenisla, Grampians</t>
  </si>
  <si>
    <t xml:space="preserve">3315</t>
  </si>
  <si>
    <t xml:space="preserve">Brit Brit, Clover Flat, Coleraine, Coojar</t>
  </si>
  <si>
    <t xml:space="preserve">3317</t>
  </si>
  <si>
    <t xml:space="preserve">Harrow</t>
  </si>
  <si>
    <t xml:space="preserve">3318</t>
  </si>
  <si>
    <t xml:space="preserve">Charam, Connewirricoo, Edenhope, Jallakin</t>
  </si>
  <si>
    <t xml:space="preserve">3319</t>
  </si>
  <si>
    <t xml:space="preserve">Apsley, Benayeo, Bringalbert</t>
  </si>
  <si>
    <t xml:space="preserve">3321</t>
  </si>
  <si>
    <t xml:space="preserve">Hesse, Inverleigh, Wingeel</t>
  </si>
  <si>
    <t xml:space="preserve">3322</t>
  </si>
  <si>
    <t xml:space="preserve">Cressy</t>
  </si>
  <si>
    <t xml:space="preserve">3323</t>
  </si>
  <si>
    <t xml:space="preserve">Berrybank, Duverney, Foxhow</t>
  </si>
  <si>
    <t xml:space="preserve">3324</t>
  </si>
  <si>
    <t xml:space="preserve">Lismore, Mingay, Mount Bute</t>
  </si>
  <si>
    <t xml:space="preserve">3325</t>
  </si>
  <si>
    <t xml:space="preserve">Derrinallum, Larralea, Vite Vite, Vite Vite North</t>
  </si>
  <si>
    <t xml:space="preserve">3328</t>
  </si>
  <si>
    <t xml:space="preserve">Teesdale</t>
  </si>
  <si>
    <t xml:space="preserve">3329</t>
  </si>
  <si>
    <t xml:space="preserve">Barunah Park, Barunah Plains, Shelford</t>
  </si>
  <si>
    <t xml:space="preserve">3330</t>
  </si>
  <si>
    <t xml:space="preserve">Rokewood</t>
  </si>
  <si>
    <t xml:space="preserve">3331</t>
  </si>
  <si>
    <t xml:space="preserve">Bannockburn, Gheringhap, Maude, Russells Bridge</t>
  </si>
  <si>
    <t xml:space="preserve">3332</t>
  </si>
  <si>
    <t xml:space="preserve">Lethbridge</t>
  </si>
  <si>
    <t xml:space="preserve">3333</t>
  </si>
  <si>
    <t xml:space="preserve">Bamganie, Meredith</t>
  </si>
  <si>
    <t xml:space="preserve">3334</t>
  </si>
  <si>
    <t xml:space="preserve">Bungal, Cargerie, Elaine, Morrisons</t>
  </si>
  <si>
    <t xml:space="preserve">3335</t>
  </si>
  <si>
    <t xml:space="preserve">Bonnie Brook, Grangefields, Plumpton, Rockbank</t>
  </si>
  <si>
    <t xml:space="preserve">3336</t>
  </si>
  <si>
    <t xml:space="preserve">Aintree, Deanside, Fraser Rise</t>
  </si>
  <si>
    <t xml:space="preserve">3337</t>
  </si>
  <si>
    <t xml:space="preserve">Harkness, Kurunjang, Melton, Melton West</t>
  </si>
  <si>
    <t xml:space="preserve">3338</t>
  </si>
  <si>
    <t xml:space="preserve">Brookfield, Cobblebank, Exford, Eynesbury</t>
  </si>
  <si>
    <t xml:space="preserve">3340</t>
  </si>
  <si>
    <t xml:space="preserve">Bacchus Marsh, Balliang, Balliang East, Coimadai</t>
  </si>
  <si>
    <t xml:space="preserve">3341</t>
  </si>
  <si>
    <t xml:space="preserve">Dales Creek, Greendale, Korobeit, Myrniong</t>
  </si>
  <si>
    <t xml:space="preserve">3342</t>
  </si>
  <si>
    <t xml:space="preserve">Ballan, Beremboke, Blakeville, Bunding</t>
  </si>
  <si>
    <t xml:space="preserve">3345</t>
  </si>
  <si>
    <t xml:space="preserve">3350</t>
  </si>
  <si>
    <t xml:space="preserve">Alfredton, Bakery Hill, Ballarat, Ballarat Central</t>
  </si>
  <si>
    <t xml:space="preserve">3351</t>
  </si>
  <si>
    <t xml:space="preserve">Berringa, Bo Peep, Cape Clear, Carngham</t>
  </si>
  <si>
    <t xml:space="preserve">3352</t>
  </si>
  <si>
    <t xml:space="preserve">Addington, Ballarat Roadside Delivery, Barkstead, Blowhard</t>
  </si>
  <si>
    <t xml:space="preserve">3353</t>
  </si>
  <si>
    <t xml:space="preserve">Ballarat</t>
  </si>
  <si>
    <t xml:space="preserve">3354</t>
  </si>
  <si>
    <t xml:space="preserve">Bakery Hill, Ballarat Mc</t>
  </si>
  <si>
    <t xml:space="preserve">3355</t>
  </si>
  <si>
    <t xml:space="preserve">Lake Gardens, Mitchell Park, Wendouree, Wendouree Village</t>
  </si>
  <si>
    <t xml:space="preserve">3356</t>
  </si>
  <si>
    <t xml:space="preserve">Bonshaw, Delacombe, Sebastopol</t>
  </si>
  <si>
    <t xml:space="preserve">3357</t>
  </si>
  <si>
    <t xml:space="preserve">Buninyong, Scotsmans Lead, Yarrowee</t>
  </si>
  <si>
    <t xml:space="preserve">3358</t>
  </si>
  <si>
    <t xml:space="preserve">Winter Valley</t>
  </si>
  <si>
    <t xml:space="preserve">3360</t>
  </si>
  <si>
    <t xml:space="preserve">Happy Valley, Linton, Mannibadar, Pittong</t>
  </si>
  <si>
    <t xml:space="preserve">3361</t>
  </si>
  <si>
    <t xml:space="preserve">Bradvale, Carranballac, Skipton</t>
  </si>
  <si>
    <t xml:space="preserve">3363</t>
  </si>
  <si>
    <t xml:space="preserve">Creswick, Creswick North, Dean, Glendaruel</t>
  </si>
  <si>
    <t xml:space="preserve">3364</t>
  </si>
  <si>
    <t xml:space="preserve">Allendale, Ascot, Bald Hills, Barkstead</t>
  </si>
  <si>
    <t xml:space="preserve">3370</t>
  </si>
  <si>
    <t xml:space="preserve">Clunes, Glengower, Mount Cameron, Ullina</t>
  </si>
  <si>
    <t xml:space="preserve">3371</t>
  </si>
  <si>
    <t xml:space="preserve">Amherst, Burnbank, Caralulup, Dunach</t>
  </si>
  <si>
    <t xml:space="preserve">3373</t>
  </si>
  <si>
    <t xml:space="preserve">Beaufort, Chute, Cross Roads, Lake Goldsmith</t>
  </si>
  <si>
    <t xml:space="preserve">3374</t>
  </si>
  <si>
    <t xml:space="preserve">Great Western</t>
  </si>
  <si>
    <t xml:space="preserve">3375</t>
  </si>
  <si>
    <t xml:space="preserve">Ballyrogan, Bayindeen, Buangor, Middle Creek</t>
  </si>
  <si>
    <t xml:space="preserve">3377</t>
  </si>
  <si>
    <t xml:space="preserve">Amphitheatre, Ararat, Ararat East, Armstrong</t>
  </si>
  <si>
    <t xml:space="preserve">3378</t>
  </si>
  <si>
    <t xml:space="preserve">Tatyoon, Yalla-Y-Poora</t>
  </si>
  <si>
    <t xml:space="preserve">3379</t>
  </si>
  <si>
    <t xml:space="preserve">Berrambool, Bornes Hill, Chatsworth, Mafeking</t>
  </si>
  <si>
    <t xml:space="preserve">3380</t>
  </si>
  <si>
    <t xml:space="preserve">Bellellen, Bridge Inn, Mokepilly, Stawell</t>
  </si>
  <si>
    <t xml:space="preserve">3381</t>
  </si>
  <si>
    <t xml:space="preserve">Barkly, Bellellen, Bellfield, Black Range</t>
  </si>
  <si>
    <t xml:space="preserve">3384</t>
  </si>
  <si>
    <t xml:space="preserve">Barkly, Concongella, Frenchmans, Joel Joel</t>
  </si>
  <si>
    <t xml:space="preserve">3385</t>
  </si>
  <si>
    <t xml:space="preserve">Dadswells Bridge, Deep Lead, Glenorchy, Ledcourt</t>
  </si>
  <si>
    <t xml:space="preserve">3387</t>
  </si>
  <si>
    <t xml:space="preserve">Bolangum, Callawadda, Campbells Bridge, Germania</t>
  </si>
  <si>
    <t xml:space="preserve">3388</t>
  </si>
  <si>
    <t xml:space="preserve">Banyena, Rupanyup</t>
  </si>
  <si>
    <t xml:space="preserve">3390</t>
  </si>
  <si>
    <t xml:space="preserve">Kewell, Murtoa</t>
  </si>
  <si>
    <t xml:space="preserve">3391</t>
  </si>
  <si>
    <t xml:space="preserve">Brim</t>
  </si>
  <si>
    <t xml:space="preserve">3392</t>
  </si>
  <si>
    <t xml:space="preserve">Boolite, Minyip, Sheep Hills</t>
  </si>
  <si>
    <t xml:space="preserve">3393</t>
  </si>
  <si>
    <t xml:space="preserve">Ailsa, Angip, Aubrey, Bangerang</t>
  </si>
  <si>
    <t xml:space="preserve">3395</t>
  </si>
  <si>
    <t xml:space="preserve">Beulah, Kenmare, Reedy Dam, Rosebery</t>
  </si>
  <si>
    <t xml:space="preserve">3396</t>
  </si>
  <si>
    <t xml:space="preserve">Hopetoun, Hopevale, Yarto</t>
  </si>
  <si>
    <t xml:space="preserve">3399</t>
  </si>
  <si>
    <t xml:space="preserve">Jung, Longerenong</t>
  </si>
  <si>
    <t xml:space="preserve">3400</t>
  </si>
  <si>
    <t xml:space="preserve">Brimpaen, Horsham, Horsham West, St Helens Plains</t>
  </si>
  <si>
    <t xml:space="preserve">3401</t>
  </si>
  <si>
    <t xml:space="preserve">Blackheath, Brimpaen, Bungalally, Cherrypool</t>
  </si>
  <si>
    <t xml:space="preserve">3402</t>
  </si>
  <si>
    <t xml:space="preserve">Horsham</t>
  </si>
  <si>
    <t xml:space="preserve">3407</t>
  </si>
  <si>
    <t xml:space="preserve">Balmoral, Englefield, Gatum, Pigeon Ponds</t>
  </si>
  <si>
    <t xml:space="preserve">3409</t>
  </si>
  <si>
    <t xml:space="preserve">Arapiles, Clear Lake, Douglas, Duchembegarra</t>
  </si>
  <si>
    <t xml:space="preserve">3412</t>
  </si>
  <si>
    <t xml:space="preserve">Goroke</t>
  </si>
  <si>
    <t xml:space="preserve">3413</t>
  </si>
  <si>
    <t xml:space="preserve">Minimay, Neuarpurr, Ozenkadnook, Peronne</t>
  </si>
  <si>
    <t xml:space="preserve">3414</t>
  </si>
  <si>
    <t xml:space="preserve">Antwerp, Dimboola, Tarranyurk</t>
  </si>
  <si>
    <t xml:space="preserve">3415</t>
  </si>
  <si>
    <t xml:space="preserve">Miram, Yarrunga</t>
  </si>
  <si>
    <t xml:space="preserve">3418</t>
  </si>
  <si>
    <t xml:space="preserve">Broughton, Gerang Gerung, Glenlee, Kiata</t>
  </si>
  <si>
    <t xml:space="preserve">3419</t>
  </si>
  <si>
    <t xml:space="preserve">Kaniva</t>
  </si>
  <si>
    <t xml:space="preserve">3420</t>
  </si>
  <si>
    <t xml:space="preserve">Lillimur, Serviceton, Telopea Downs</t>
  </si>
  <si>
    <t xml:space="preserve">3423</t>
  </si>
  <si>
    <t xml:space="preserve">Jeparit, Lake Hindmarsh</t>
  </si>
  <si>
    <t xml:space="preserve">3424</t>
  </si>
  <si>
    <t xml:space="preserve">Albacutya, Rainbow, Yaapeet</t>
  </si>
  <si>
    <t xml:space="preserve">3427</t>
  </si>
  <si>
    <t xml:space="preserve">Diggers Rest, Plumpton</t>
  </si>
  <si>
    <t xml:space="preserve">3428</t>
  </si>
  <si>
    <t xml:space="preserve">Bulla</t>
  </si>
  <si>
    <t xml:space="preserve">3429</t>
  </si>
  <si>
    <t xml:space="preserve">Sunbury, Wildwood</t>
  </si>
  <si>
    <t xml:space="preserve">3430</t>
  </si>
  <si>
    <t xml:space="preserve">Clarkefield</t>
  </si>
  <si>
    <t xml:space="preserve">3431</t>
  </si>
  <si>
    <t xml:space="preserve">Riddells Creek</t>
  </si>
  <si>
    <t xml:space="preserve">3432</t>
  </si>
  <si>
    <t xml:space="preserve">Bolinda</t>
  </si>
  <si>
    <t xml:space="preserve">3433</t>
  </si>
  <si>
    <t xml:space="preserve">Monegeetta</t>
  </si>
  <si>
    <t xml:space="preserve">3434</t>
  </si>
  <si>
    <t xml:space="preserve">Cherokee, Kerrie, Romsey, Springfield</t>
  </si>
  <si>
    <t xml:space="preserve">3435</t>
  </si>
  <si>
    <t xml:space="preserve">Benloch, Goldie, Lancefield, Nulla Vale</t>
  </si>
  <si>
    <t xml:space="preserve">3437</t>
  </si>
  <si>
    <t xml:space="preserve">Bullengarook, Gisborne, Gisborne South</t>
  </si>
  <si>
    <t xml:space="preserve">3438</t>
  </si>
  <si>
    <t xml:space="preserve">New Gisborne</t>
  </si>
  <si>
    <t xml:space="preserve">3440</t>
  </si>
  <si>
    <t xml:space="preserve">Macedon</t>
  </si>
  <si>
    <t xml:space="preserve">3441</t>
  </si>
  <si>
    <t xml:space="preserve">Mount Macedon</t>
  </si>
  <si>
    <t xml:space="preserve">3442</t>
  </si>
  <si>
    <t xml:space="preserve">Ashbourne, Cadello, Carlsruhe, Cobaw</t>
  </si>
  <si>
    <t xml:space="preserve">3444</t>
  </si>
  <si>
    <t xml:space="preserve">Barfold, Baynton, Baynton East, Edgecombe</t>
  </si>
  <si>
    <t xml:space="preserve">3446</t>
  </si>
  <si>
    <t xml:space="preserve">Drummond North, Malmsbury</t>
  </si>
  <si>
    <t xml:space="preserve">3447</t>
  </si>
  <si>
    <t xml:space="preserve">Taradale</t>
  </si>
  <si>
    <t xml:space="preserve">3448</t>
  </si>
  <si>
    <t xml:space="preserve">Elphinstone, Metcalfe, Sutton Grange</t>
  </si>
  <si>
    <t xml:space="preserve">3450</t>
  </si>
  <si>
    <t xml:space="preserve">Castlemaine, Moonlight Flat</t>
  </si>
  <si>
    <t xml:space="preserve">3451</t>
  </si>
  <si>
    <t xml:space="preserve">Barkers Creek, Campbells Creek, Chewton, Chewton Bushlands</t>
  </si>
  <si>
    <t xml:space="preserve">3453</t>
  </si>
  <si>
    <t xml:space="preserve">Harcourt, Harcourt North, Ravenswood, Ravenswood South</t>
  </si>
  <si>
    <t xml:space="preserve">3458</t>
  </si>
  <si>
    <t xml:space="preserve">Barrys Reef, Blackwood, Fern Hill, Lerderderg</t>
  </si>
  <si>
    <t xml:space="preserve">3460</t>
  </si>
  <si>
    <t xml:space="preserve">Basalt, Daylesford</t>
  </si>
  <si>
    <t xml:space="preserve">3461</t>
  </si>
  <si>
    <t xml:space="preserve">Bullarto, Bullarto South, Clydesdale, Coomoora</t>
  </si>
  <si>
    <t xml:space="preserve">3462</t>
  </si>
  <si>
    <t xml:space="preserve">Green Gully, Joyces Creek, Muckleford South, Newstead</t>
  </si>
  <si>
    <t xml:space="preserve">3463</t>
  </si>
  <si>
    <t xml:space="preserve">Baringhup, Baringhup West, Bradford, Eastville</t>
  </si>
  <si>
    <t xml:space="preserve">3464</t>
  </si>
  <si>
    <t xml:space="preserve">Carisbrook</t>
  </si>
  <si>
    <t xml:space="preserve">3465</t>
  </si>
  <si>
    <t xml:space="preserve">Adelaide Lead, Alma, Bowenvale, Bung Bong</t>
  </si>
  <si>
    <t xml:space="preserve">3467</t>
  </si>
  <si>
    <t xml:space="preserve">Avoca, Moyreisk</t>
  </si>
  <si>
    <t xml:space="preserve">3468</t>
  </si>
  <si>
    <t xml:space="preserve">Amphitheatre, Mount Lonarch</t>
  </si>
  <si>
    <t xml:space="preserve">3469</t>
  </si>
  <si>
    <t xml:space="preserve">Elmhurst, Glenlofty, Glenlogie, Glenpatrick</t>
  </si>
  <si>
    <t xml:space="preserve">3472</t>
  </si>
  <si>
    <t xml:space="preserve">Bet Bet, Betley, Bromley, Dunluce</t>
  </si>
  <si>
    <t xml:space="preserve">3475</t>
  </si>
  <si>
    <t xml:space="preserve">Archdale, Archdale Junction, Bealiba, Burkes Flat</t>
  </si>
  <si>
    <t xml:space="preserve">3477</t>
  </si>
  <si>
    <t xml:space="preserve">Avon Plains, Beazleys Bridge, Carapooee, Carapooee West</t>
  </si>
  <si>
    <t xml:space="preserve">3478</t>
  </si>
  <si>
    <t xml:space="preserve">Avon Plains, Beazleys Bridge, Berrimal West, Carapooee</t>
  </si>
  <si>
    <t xml:space="preserve">3480</t>
  </si>
  <si>
    <t xml:space="preserve">Areegra, Banyenong, Boolite, Carron</t>
  </si>
  <si>
    <t xml:space="preserve">3482</t>
  </si>
  <si>
    <t xml:space="preserve">Massey, Morton Plains, Warmur, Watchem</t>
  </si>
  <si>
    <t xml:space="preserve">3483</t>
  </si>
  <si>
    <t xml:space="preserve">Ballapur, Birchip, Birchip West, Curyo</t>
  </si>
  <si>
    <t xml:space="preserve">3485</t>
  </si>
  <si>
    <t xml:space="preserve">Banyan, Watchupga, Willangie, Woomelang</t>
  </si>
  <si>
    <t xml:space="preserve">3487</t>
  </si>
  <si>
    <t xml:space="preserve">Lascelles</t>
  </si>
  <si>
    <t xml:space="preserve">3488</t>
  </si>
  <si>
    <t xml:space="preserve">Speed, Turriff, Turriff East</t>
  </si>
  <si>
    <t xml:space="preserve">3489</t>
  </si>
  <si>
    <t xml:space="preserve">Tempy</t>
  </si>
  <si>
    <t xml:space="preserve">3490</t>
  </si>
  <si>
    <t xml:space="preserve">Big Desert, Boinka, Kulwin, Mittyack</t>
  </si>
  <si>
    <t xml:space="preserve">3491</t>
  </si>
  <si>
    <t xml:space="preserve">Patchewollock</t>
  </si>
  <si>
    <t xml:space="preserve">3494</t>
  </si>
  <si>
    <t xml:space="preserve">Carwarp, Colignan, Iraak, Nangiloc</t>
  </si>
  <si>
    <t xml:space="preserve">3496</t>
  </si>
  <si>
    <t xml:space="preserve">Cardross, Cullulleraine, Lindsay Point, Meringur</t>
  </si>
  <si>
    <t xml:space="preserve">3498</t>
  </si>
  <si>
    <t xml:space="preserve">Irymple</t>
  </si>
  <si>
    <t xml:space="preserve">3500</t>
  </si>
  <si>
    <t xml:space="preserve">Mildura, Mildura East, Mildura West, Paringi</t>
  </si>
  <si>
    <t xml:space="preserve">3501</t>
  </si>
  <si>
    <t xml:space="preserve">Hattah, Koorlong, Mildura Centre Plaza, Mildura South</t>
  </si>
  <si>
    <t xml:space="preserve">3502</t>
  </si>
  <si>
    <t xml:space="preserve">Mildura</t>
  </si>
  <si>
    <t xml:space="preserve">3505</t>
  </si>
  <si>
    <t xml:space="preserve">Birdwoodton, Cabarita, Merbein, Merbein South</t>
  </si>
  <si>
    <t xml:space="preserve">3506</t>
  </si>
  <si>
    <t xml:space="preserve">Cowangie</t>
  </si>
  <si>
    <t xml:space="preserve">3507</t>
  </si>
  <si>
    <t xml:space="preserve">Walpeup</t>
  </si>
  <si>
    <t xml:space="preserve">3509</t>
  </si>
  <si>
    <t xml:space="preserve">Linga, Underbool</t>
  </si>
  <si>
    <t xml:space="preserve">3512</t>
  </si>
  <si>
    <t xml:space="preserve">Carina, Murrayville, Panitya</t>
  </si>
  <si>
    <t xml:space="preserve">3515</t>
  </si>
  <si>
    <t xml:space="preserve">Marong, Shelbourne, Wilsons Hill</t>
  </si>
  <si>
    <t xml:space="preserve">3516</t>
  </si>
  <si>
    <t xml:space="preserve">Bridgewater, Bridgewater North, Bridgewater On Loddon, Derby</t>
  </si>
  <si>
    <t xml:space="preserve">3517</t>
  </si>
  <si>
    <t xml:space="preserve">Bears Lagoon, Brenanah, Bullabul, Glenalbyn</t>
  </si>
  <si>
    <t xml:space="preserve">3518</t>
  </si>
  <si>
    <t xml:space="preserve">Berrimal, Borung, Fentons Creek, Fernihurst</t>
  </si>
  <si>
    <t xml:space="preserve">3520</t>
  </si>
  <si>
    <t xml:space="preserve">Kinypanial, Korong Vale, South Kinypanial</t>
  </si>
  <si>
    <t xml:space="preserve">3521</t>
  </si>
  <si>
    <t xml:space="preserve">Pyalong</t>
  </si>
  <si>
    <t xml:space="preserve">3522</t>
  </si>
  <si>
    <t xml:space="preserve">Emu Flat, Glenhope East, Tooborac</t>
  </si>
  <si>
    <t xml:space="preserve">3523</t>
  </si>
  <si>
    <t xml:space="preserve">Argyle, Costerfield, Derrinal, Heathcote</t>
  </si>
  <si>
    <t xml:space="preserve">3525</t>
  </si>
  <si>
    <t xml:space="preserve">Barrakee, Buckrabanyule, Charlton, Chirrip</t>
  </si>
  <si>
    <t xml:space="preserve">3527</t>
  </si>
  <si>
    <t xml:space="preserve">Bunguluke, Dumosa, Glenloth, Glenloth East</t>
  </si>
  <si>
    <t xml:space="preserve">3529</t>
  </si>
  <si>
    <t xml:space="preserve">Kalpienung, Nullawil</t>
  </si>
  <si>
    <t xml:space="preserve">3530</t>
  </si>
  <si>
    <t xml:space="preserve">Culgoa, Sutton, Wangie, Warne</t>
  </si>
  <si>
    <t xml:space="preserve">3531</t>
  </si>
  <si>
    <t xml:space="preserve">Berriwillock, Boigbeat, Springfield</t>
  </si>
  <si>
    <t xml:space="preserve">3533</t>
  </si>
  <si>
    <t xml:space="preserve">Bimbourie, Lake Tyrrell, Mittyack, Myall</t>
  </si>
  <si>
    <t xml:space="preserve">3537</t>
  </si>
  <si>
    <t xml:space="preserve">Barraport, Barraport West, Boort, Canary Island</t>
  </si>
  <si>
    <t xml:space="preserve">3540</t>
  </si>
  <si>
    <t xml:space="preserve">Cannie, Ninyeunook, Oakvale, Quambatook</t>
  </si>
  <si>
    <t xml:space="preserve">3542</t>
  </si>
  <si>
    <t xml:space="preserve">Cokum, Lalbert, Tittybong, Titybong</t>
  </si>
  <si>
    <t xml:space="preserve">3544</t>
  </si>
  <si>
    <t xml:space="preserve">Chinangin, Gowanford, Murnungin, Springfield</t>
  </si>
  <si>
    <t xml:space="preserve">3546</t>
  </si>
  <si>
    <t xml:space="preserve">Bolton, Chinkapook, Cocamba, Gerahmin</t>
  </si>
  <si>
    <t xml:space="preserve">3549</t>
  </si>
  <si>
    <t xml:space="preserve">Annuello, Bannerton, Happy Valley, Liparoo</t>
  </si>
  <si>
    <t xml:space="preserve">3550</t>
  </si>
  <si>
    <t xml:space="preserve">Bendigo, Bendigo South, Diamond Hill, East Bendigo</t>
  </si>
  <si>
    <t xml:space="preserve">3551</t>
  </si>
  <si>
    <t xml:space="preserve">Arnold, Arnold West, Ascot, Axe Creek</t>
  </si>
  <si>
    <t xml:space="preserve">3552</t>
  </si>
  <si>
    <t xml:space="preserve">Bendigo</t>
  </si>
  <si>
    <t xml:space="preserve">3554</t>
  </si>
  <si>
    <t xml:space="preserve">Bendigo Dc</t>
  </si>
  <si>
    <t xml:space="preserve">3555</t>
  </si>
  <si>
    <t xml:space="preserve">Big Hill, Golden Gully, Golden Square, Kangaroo Flat</t>
  </si>
  <si>
    <t xml:space="preserve">3556</t>
  </si>
  <si>
    <t xml:space="preserve">California Gully, Campbells Forest, Comet Hill, Eaglehawk</t>
  </si>
  <si>
    <t xml:space="preserve">3557</t>
  </si>
  <si>
    <t xml:space="preserve">Barnadown, Fosterville, Goornong, Muskerry</t>
  </si>
  <si>
    <t xml:space="preserve">3558</t>
  </si>
  <si>
    <t xml:space="preserve">Burnewang, Corop West, Creek View, Elmore</t>
  </si>
  <si>
    <t xml:space="preserve">3559</t>
  </si>
  <si>
    <t xml:space="preserve">Avonmore, Burramboot, Colbinabbin, Corop</t>
  </si>
  <si>
    <t xml:space="preserve">3561</t>
  </si>
  <si>
    <t xml:space="preserve">Ballendella, Bamawm, Bamawm Extension, Bonn</t>
  </si>
  <si>
    <t xml:space="preserve">3562</t>
  </si>
  <si>
    <t xml:space="preserve">Torrumbarry</t>
  </si>
  <si>
    <t xml:space="preserve">3563</t>
  </si>
  <si>
    <t xml:space="preserve">Lockington</t>
  </si>
  <si>
    <t xml:space="preserve">3564</t>
  </si>
  <si>
    <t xml:space="preserve">Bamawm Extension, Campaspe West, Echuca, Echuca East</t>
  </si>
  <si>
    <t xml:space="preserve">3565</t>
  </si>
  <si>
    <t xml:space="preserve">Kotta</t>
  </si>
  <si>
    <t xml:space="preserve">3566</t>
  </si>
  <si>
    <t xml:space="preserve">Gunbower</t>
  </si>
  <si>
    <t xml:space="preserve">3567</t>
  </si>
  <si>
    <t xml:space="preserve">Horfield, Leitchville</t>
  </si>
  <si>
    <t xml:space="preserve">3568</t>
  </si>
  <si>
    <t xml:space="preserve">Burkes Bridge, Cohuna, Cullen, Daltons Bridge</t>
  </si>
  <si>
    <t xml:space="preserve">3570</t>
  </si>
  <si>
    <t xml:space="preserve">Auchmore, Drummartin, Kamarooka, Neilborough</t>
  </si>
  <si>
    <t xml:space="preserve">3571</t>
  </si>
  <si>
    <t xml:space="preserve">Dingee, Kamarooka North, Pompapiel, Tandarra</t>
  </si>
  <si>
    <t xml:space="preserve">3572</t>
  </si>
  <si>
    <t xml:space="preserve">Milloo, Piavella, Prairie, Tennyson</t>
  </si>
  <si>
    <t xml:space="preserve">3573</t>
  </si>
  <si>
    <t xml:space="preserve">Calivil, Mitiamo, Pine Grove, Pine Grove East</t>
  </si>
  <si>
    <t xml:space="preserve">3575</t>
  </si>
  <si>
    <t xml:space="preserve">Bald Rock, Gladfield, Jungaburra, Loddon Vale</t>
  </si>
  <si>
    <t xml:space="preserve">3576</t>
  </si>
  <si>
    <t xml:space="preserve">Durham Ox</t>
  </si>
  <si>
    <t xml:space="preserve">3579</t>
  </si>
  <si>
    <t xml:space="preserve">Appin, Appin South, Bael Bael, Beauchamp</t>
  </si>
  <si>
    <t xml:space="preserve">3580</t>
  </si>
  <si>
    <t xml:space="preserve">Koondrook</t>
  </si>
  <si>
    <t xml:space="preserve">3581</t>
  </si>
  <si>
    <t xml:space="preserve">Beauchamp, Lake Charm</t>
  </si>
  <si>
    <t xml:space="preserve">3583</t>
  </si>
  <si>
    <t xml:space="preserve">Tresco</t>
  </si>
  <si>
    <t xml:space="preserve">3584</t>
  </si>
  <si>
    <t xml:space="preserve">Lake Boga, Tresco West</t>
  </si>
  <si>
    <t xml:space="preserve">3585</t>
  </si>
  <si>
    <t xml:space="preserve">Castle Donnington, Chillingollah, Fish Point, Goschen</t>
  </si>
  <si>
    <t xml:space="preserve">3586</t>
  </si>
  <si>
    <t xml:space="preserve">Bulga, Mallan, Murrawee, Murraydale</t>
  </si>
  <si>
    <t xml:space="preserve">3588</t>
  </si>
  <si>
    <t xml:space="preserve">Woorinen South</t>
  </si>
  <si>
    <t xml:space="preserve">3589</t>
  </si>
  <si>
    <t xml:space="preserve">Woorinen, Woorinen North</t>
  </si>
  <si>
    <t xml:space="preserve">3590</t>
  </si>
  <si>
    <t xml:space="preserve">Beverford</t>
  </si>
  <si>
    <t xml:space="preserve">3591</t>
  </si>
  <si>
    <t xml:space="preserve">Vinifera</t>
  </si>
  <si>
    <t xml:space="preserve">3594</t>
  </si>
  <si>
    <t xml:space="preserve">Nyah</t>
  </si>
  <si>
    <t xml:space="preserve">3595</t>
  </si>
  <si>
    <t xml:space="preserve">Nyah West</t>
  </si>
  <si>
    <t xml:space="preserve">3596</t>
  </si>
  <si>
    <t xml:space="preserve">Miralie, Towan, Wood Wood</t>
  </si>
  <si>
    <t xml:space="preserve">3597</t>
  </si>
  <si>
    <t xml:space="preserve">Kenley, Kooloonong, Lake Powell, Narrung</t>
  </si>
  <si>
    <t xml:space="preserve">3599</t>
  </si>
  <si>
    <t xml:space="preserve">Boundary Bend</t>
  </si>
  <si>
    <t xml:space="preserve">3607</t>
  </si>
  <si>
    <t xml:space="preserve">Tabilk</t>
  </si>
  <si>
    <t xml:space="preserve">3608</t>
  </si>
  <si>
    <t xml:space="preserve">Bailieston, Goulburn Weir, Graytown, Kirwans Bridge</t>
  </si>
  <si>
    <t xml:space="preserve">3610</t>
  </si>
  <si>
    <t xml:space="preserve">Dhurringile, Moorilim, Murchison, Murchison East</t>
  </si>
  <si>
    <t xml:space="preserve">3612</t>
  </si>
  <si>
    <t xml:space="preserve">Moora, Rushworth, Wanalta, Waranga</t>
  </si>
  <si>
    <t xml:space="preserve">3614</t>
  </si>
  <si>
    <t xml:space="preserve">Toolamba, Toolamba West</t>
  </si>
  <si>
    <t xml:space="preserve">3616</t>
  </si>
  <si>
    <t xml:space="preserve">Cooma, Gillieston, Girgarre East, Harston</t>
  </si>
  <si>
    <t xml:space="preserve">3617</t>
  </si>
  <si>
    <t xml:space="preserve">Byrneside</t>
  </si>
  <si>
    <t xml:space="preserve">3618</t>
  </si>
  <si>
    <t xml:space="preserve">Merrigum</t>
  </si>
  <si>
    <t xml:space="preserve">3619</t>
  </si>
  <si>
    <t xml:space="preserve">Kyabram</t>
  </si>
  <si>
    <t xml:space="preserve">3620</t>
  </si>
  <si>
    <t xml:space="preserve">Kyabram, Kyabram South, Lancaster, Mount Scobie</t>
  </si>
  <si>
    <t xml:space="preserve">3621</t>
  </si>
  <si>
    <t xml:space="preserve">Koyuga South, Ky Valley, Ky West, Kyvalley</t>
  </si>
  <si>
    <t xml:space="preserve">3622</t>
  </si>
  <si>
    <t xml:space="preserve">Cornelia Creek, Koyuga, Strathallan</t>
  </si>
  <si>
    <t xml:space="preserve">3623</t>
  </si>
  <si>
    <t xml:space="preserve">Carag Carag, Stanhope, Stanhope South</t>
  </si>
  <si>
    <t xml:space="preserve">3624</t>
  </si>
  <si>
    <t xml:space="preserve">Girgarre</t>
  </si>
  <si>
    <t xml:space="preserve">3629</t>
  </si>
  <si>
    <t xml:space="preserve">Ardmona, Coomboona, Mooroopna, Mooroopna North</t>
  </si>
  <si>
    <t xml:space="preserve">3630</t>
  </si>
  <si>
    <t xml:space="preserve">Benarch, Branditt, Caniambo, Colliver</t>
  </si>
  <si>
    <t xml:space="preserve">3631</t>
  </si>
  <si>
    <t xml:space="preserve">Arcadia, Arcadia South, Branditt, Cosgrove</t>
  </si>
  <si>
    <t xml:space="preserve">3632</t>
  </si>
  <si>
    <t xml:space="preserve">Shepparton</t>
  </si>
  <si>
    <t xml:space="preserve">3633</t>
  </si>
  <si>
    <t xml:space="preserve">Congupna</t>
  </si>
  <si>
    <t xml:space="preserve">3634</t>
  </si>
  <si>
    <t xml:space="preserve">Bunbartha, Invergordon South, Katandra, Katandra West</t>
  </si>
  <si>
    <t xml:space="preserve">3635</t>
  </si>
  <si>
    <t xml:space="preserve">Kaarimba, Mundoona, Wunghnu</t>
  </si>
  <si>
    <t xml:space="preserve">3636</t>
  </si>
  <si>
    <t xml:space="preserve">Drumanure, Invergordon, Naring, Numurkah</t>
  </si>
  <si>
    <t xml:space="preserve">3637</t>
  </si>
  <si>
    <t xml:space="preserve">Waaia, Yalca</t>
  </si>
  <si>
    <t xml:space="preserve">3638</t>
  </si>
  <si>
    <t xml:space="preserve">Kotupna, Nathalia, Yielima</t>
  </si>
  <si>
    <t xml:space="preserve">3639</t>
  </si>
  <si>
    <t xml:space="preserve">Barmah, Lower Moira, Picola, Picola West</t>
  </si>
  <si>
    <t xml:space="preserve">3640</t>
  </si>
  <si>
    <t xml:space="preserve">Katunga</t>
  </si>
  <si>
    <t xml:space="preserve">3641</t>
  </si>
  <si>
    <t xml:space="preserve">Bearii, Mywee, Strathmerton, Ulupna</t>
  </si>
  <si>
    <t xml:space="preserve">3643</t>
  </si>
  <si>
    <t xml:space="preserve">Cobram</t>
  </si>
  <si>
    <t xml:space="preserve">3644</t>
  </si>
  <si>
    <t xml:space="preserve">Barooga, Cobram, Cobram East, Koonoomoo</t>
  </si>
  <si>
    <t xml:space="preserve">3646</t>
  </si>
  <si>
    <t xml:space="preserve">Dookie, Mount Major, Nalinga, Waggarandall</t>
  </si>
  <si>
    <t xml:space="preserve">3647</t>
  </si>
  <si>
    <t xml:space="preserve">Dookie College</t>
  </si>
  <si>
    <t xml:space="preserve">3649</t>
  </si>
  <si>
    <t xml:space="preserve">Katamatite, Katamatite East</t>
  </si>
  <si>
    <t xml:space="preserve">3658</t>
  </si>
  <si>
    <t xml:space="preserve">Broadford, Clonbinane, Flowerdale, Hazeldene</t>
  </si>
  <si>
    <t xml:space="preserve">3659</t>
  </si>
  <si>
    <t xml:space="preserve">Sugarloaf Creek, Tallarook</t>
  </si>
  <si>
    <t xml:space="preserve">3660</t>
  </si>
  <si>
    <t xml:space="preserve">Caveat, Dropmore, Dysart, Highlands</t>
  </si>
  <si>
    <t xml:space="preserve">3661</t>
  </si>
  <si>
    <t xml:space="preserve">Seymour</t>
  </si>
  <si>
    <t xml:space="preserve">3662</t>
  </si>
  <si>
    <t xml:space="preserve">Puckapunyal, Puckapunyal Milpo</t>
  </si>
  <si>
    <t xml:space="preserve">3663</t>
  </si>
  <si>
    <t xml:space="preserve">Mangalore</t>
  </si>
  <si>
    <t xml:space="preserve">3664</t>
  </si>
  <si>
    <t xml:space="preserve">Avenel, Upton Hill</t>
  </si>
  <si>
    <t xml:space="preserve">3665</t>
  </si>
  <si>
    <t xml:space="preserve">Locksley, Longwood, Pranjip</t>
  </si>
  <si>
    <t xml:space="preserve">3666</t>
  </si>
  <si>
    <t xml:space="preserve">Balmattum, Creighton, Creightons Creek, Euroa</t>
  </si>
  <si>
    <t xml:space="preserve">3669</t>
  </si>
  <si>
    <t xml:space="preserve">Boho, Boho South, Creek Junction, Earlston</t>
  </si>
  <si>
    <t xml:space="preserve">3670</t>
  </si>
  <si>
    <t xml:space="preserve">Baddaginnie, Tarnook, Warrenbayne</t>
  </si>
  <si>
    <t xml:space="preserve">3671</t>
  </si>
  <si>
    <t xml:space="preserve">Benalla</t>
  </si>
  <si>
    <t xml:space="preserve">3672</t>
  </si>
  <si>
    <t xml:space="preserve">Benalla, Benalla West</t>
  </si>
  <si>
    <t xml:space="preserve">3673</t>
  </si>
  <si>
    <t xml:space="preserve">Benalla, Broken Creek, Goomalibee, Kilfeera</t>
  </si>
  <si>
    <t xml:space="preserve">3675</t>
  </si>
  <si>
    <t xml:space="preserve">Boweya, Boweya North, Glenrowan, Glenrowan West</t>
  </si>
  <si>
    <t xml:space="preserve">3676</t>
  </si>
  <si>
    <t xml:space="preserve">Wangaratta</t>
  </si>
  <si>
    <t xml:space="preserve">3677</t>
  </si>
  <si>
    <t xml:space="preserve">Appin Park, Wangaratta, Wangaratta West, Yarrunga</t>
  </si>
  <si>
    <t xml:space="preserve">3678</t>
  </si>
  <si>
    <t xml:space="preserve">Bobinawarrah, Boorhaman, Boorhaman East, Bowser</t>
  </si>
  <si>
    <t xml:space="preserve">3682</t>
  </si>
  <si>
    <t xml:space="preserve">Boralma, Lilliput, Norong, Springhurst</t>
  </si>
  <si>
    <t xml:space="preserve">3683</t>
  </si>
  <si>
    <t xml:space="preserve">Chiltern, Chiltern Valley, Cornishtown, Indigo</t>
  </si>
  <si>
    <t xml:space="preserve">3685</t>
  </si>
  <si>
    <t xml:space="preserve">Boorhaman North, Brimin, Browns Plains, Carlyle</t>
  </si>
  <si>
    <t xml:space="preserve">3687</t>
  </si>
  <si>
    <t xml:space="preserve">Carlyle, Wahgunyah</t>
  </si>
  <si>
    <t xml:space="preserve">3688</t>
  </si>
  <si>
    <t xml:space="preserve">Barnawartha, Barnawartha North, Indigo Upper, Indigo Valley</t>
  </si>
  <si>
    <t xml:space="preserve">3689</t>
  </si>
  <si>
    <t xml:space="preserve">Wodonga</t>
  </si>
  <si>
    <t xml:space="preserve">3690</t>
  </si>
  <si>
    <t xml:space="preserve">West Wodonga, Wodonga, Wodonga Plaza</t>
  </si>
  <si>
    <t xml:space="preserve">3691</t>
  </si>
  <si>
    <t xml:space="preserve">Allans Flat, Bandiana, Baranduda, Barnawartha North</t>
  </si>
  <si>
    <t xml:space="preserve">3694</t>
  </si>
  <si>
    <t xml:space="preserve">Bandiana, Bandiana Milpo</t>
  </si>
  <si>
    <t xml:space="preserve">3695</t>
  </si>
  <si>
    <t xml:space="preserve">Charleroi, Huon, Red Bluff, Sandy Creek</t>
  </si>
  <si>
    <t xml:space="preserve">3697</t>
  </si>
  <si>
    <t xml:space="preserve">Tawonga</t>
  </si>
  <si>
    <t xml:space="preserve">3698</t>
  </si>
  <si>
    <t xml:space="preserve">Tawonga South</t>
  </si>
  <si>
    <t xml:space="preserve">3699</t>
  </si>
  <si>
    <t xml:space="preserve">Bogong, Falls Creek, Mount Beauty, Nelse</t>
  </si>
  <si>
    <t xml:space="preserve">3700</t>
  </si>
  <si>
    <t xml:space="preserve">Bullioh, Georges Creek, Jarvis Creek, Tallangatta</t>
  </si>
  <si>
    <t xml:space="preserve">3701</t>
  </si>
  <si>
    <t xml:space="preserve">Dartmouth, Eskdale, Fernvale, Granite Flat</t>
  </si>
  <si>
    <t xml:space="preserve">3704</t>
  </si>
  <si>
    <t xml:space="preserve">Koetong</t>
  </si>
  <si>
    <t xml:space="preserve">3705</t>
  </si>
  <si>
    <t xml:space="preserve">Cudgewa, Nariel Valley</t>
  </si>
  <si>
    <t xml:space="preserve">3707</t>
  </si>
  <si>
    <t xml:space="preserve">Biggara, Bringenbrong, Colac Colac, Corryong</t>
  </si>
  <si>
    <t xml:space="preserve">3708</t>
  </si>
  <si>
    <t xml:space="preserve">Tintaldra</t>
  </si>
  <si>
    <t xml:space="preserve">3709</t>
  </si>
  <si>
    <t xml:space="preserve">Burrowye, Guys Forest, Mount Alfred, Pine Mountain</t>
  </si>
  <si>
    <t xml:space="preserve">3711</t>
  </si>
  <si>
    <t xml:space="preserve">Buxton</t>
  </si>
  <si>
    <t xml:space="preserve">3712</t>
  </si>
  <si>
    <t xml:space="preserve">Rubicon, Thornton</t>
  </si>
  <si>
    <t xml:space="preserve">3713</t>
  </si>
  <si>
    <t xml:space="preserve">Eildon, Lake Eildon, Taylor Bay</t>
  </si>
  <si>
    <t xml:space="preserve">3714</t>
  </si>
  <si>
    <t xml:space="preserve">Acheron, Alexandra, Cathkin, Crystal Creek</t>
  </si>
  <si>
    <t xml:space="preserve">3715</t>
  </si>
  <si>
    <t xml:space="preserve">Ancona, Merton, Woodfield</t>
  </si>
  <si>
    <t xml:space="preserve">3717</t>
  </si>
  <si>
    <t xml:space="preserve">Flowerdale, Ghin Ghin, Glenburn, Homewood</t>
  </si>
  <si>
    <t xml:space="preserve">3718</t>
  </si>
  <si>
    <t xml:space="preserve">Molesworth</t>
  </si>
  <si>
    <t xml:space="preserve">3719</t>
  </si>
  <si>
    <t xml:space="preserve">Gobur, Kanumbra, Terip Terip, Yarck</t>
  </si>
  <si>
    <t xml:space="preserve">3720</t>
  </si>
  <si>
    <t xml:space="preserve">Bonnie Doon</t>
  </si>
  <si>
    <t xml:space="preserve">3722</t>
  </si>
  <si>
    <t xml:space="preserve">Barwite, Mansfield, Mirimbah</t>
  </si>
  <si>
    <t xml:space="preserve">3723</t>
  </si>
  <si>
    <t xml:space="preserve">Archerton, Barjarg, Boorolite, Bridge Creek</t>
  </si>
  <si>
    <t xml:space="preserve">3724</t>
  </si>
  <si>
    <t xml:space="preserve">Mansfield</t>
  </si>
  <si>
    <t xml:space="preserve">3725</t>
  </si>
  <si>
    <t xml:space="preserve">Boxwood, Chesney Vale, Goorambat, Major Plains</t>
  </si>
  <si>
    <t xml:space="preserve">3726</t>
  </si>
  <si>
    <t xml:space="preserve">Bungeet, Bungeet West, Devenish, Thoona</t>
  </si>
  <si>
    <t xml:space="preserve">3727</t>
  </si>
  <si>
    <t xml:space="preserve">Almonds, Lake Rowan, Pelluebla, St James</t>
  </si>
  <si>
    <t xml:space="preserve">3728</t>
  </si>
  <si>
    <t xml:space="preserve">Boomahnoomoonah, Tungamah, Wilby, Youarang</t>
  </si>
  <si>
    <t xml:space="preserve">3730</t>
  </si>
  <si>
    <t xml:space="preserve">Bathumi, Boosey, Bundalong, Bundalong South</t>
  </si>
  <si>
    <t xml:space="preserve">3732</t>
  </si>
  <si>
    <t xml:space="preserve">Moyhu, Myrrhee</t>
  </si>
  <si>
    <t xml:space="preserve">3733</t>
  </si>
  <si>
    <t xml:space="preserve">Whitfield</t>
  </si>
  <si>
    <t xml:space="preserve">3735</t>
  </si>
  <si>
    <t xml:space="preserve">Bowmans Forest, Whorouly, Whorouly East, Whorouly South</t>
  </si>
  <si>
    <t xml:space="preserve">3736</t>
  </si>
  <si>
    <t xml:space="preserve">Myrtleford</t>
  </si>
  <si>
    <t xml:space="preserve">3737</t>
  </si>
  <si>
    <t xml:space="preserve">Abbeyard, Barwidgee, Buffalo River, Dandongadale</t>
  </si>
  <si>
    <t xml:space="preserve">3738</t>
  </si>
  <si>
    <t xml:space="preserve">Ovens</t>
  </si>
  <si>
    <t xml:space="preserve">3739</t>
  </si>
  <si>
    <t xml:space="preserve">Eurobin</t>
  </si>
  <si>
    <t xml:space="preserve">3740</t>
  </si>
  <si>
    <t xml:space="preserve">Buckland, Mount Buffalo, Porepunkah</t>
  </si>
  <si>
    <t xml:space="preserve">3741</t>
  </si>
  <si>
    <t xml:space="preserve">Bright, Freeburgh, Germantown, Harrietville</t>
  </si>
  <si>
    <t xml:space="preserve">3744</t>
  </si>
  <si>
    <t xml:space="preserve">Wandiligong</t>
  </si>
  <si>
    <t xml:space="preserve">3746</t>
  </si>
  <si>
    <t xml:space="preserve">Eldorado</t>
  </si>
  <si>
    <t xml:space="preserve">3747</t>
  </si>
  <si>
    <t xml:space="preserve">Baarmutha, Beechworth, Hurdle Flat, Murmungee</t>
  </si>
  <si>
    <t xml:space="preserve">3749</t>
  </si>
  <si>
    <t xml:space="preserve">Bruarong, Yackandandah</t>
  </si>
  <si>
    <t xml:space="preserve">3750</t>
  </si>
  <si>
    <t xml:space="preserve">Wollert</t>
  </si>
  <si>
    <t xml:space="preserve">3751</t>
  </si>
  <si>
    <t xml:space="preserve">Woodstock</t>
  </si>
  <si>
    <t xml:space="preserve">3752</t>
  </si>
  <si>
    <t xml:space="preserve">Morang South, South Morang</t>
  </si>
  <si>
    <t xml:space="preserve">3753</t>
  </si>
  <si>
    <t xml:space="preserve">Beveridge</t>
  </si>
  <si>
    <t xml:space="preserve">3754</t>
  </si>
  <si>
    <t xml:space="preserve">Doreen, Mernda</t>
  </si>
  <si>
    <t xml:space="preserve">3755</t>
  </si>
  <si>
    <t xml:space="preserve">Yan Yean</t>
  </si>
  <si>
    <t xml:space="preserve">3756</t>
  </si>
  <si>
    <t xml:space="preserve">Chintin, Darraweit Guim, Hidden Valley, Upper Plenty</t>
  </si>
  <si>
    <t xml:space="preserve">3757</t>
  </si>
  <si>
    <t xml:space="preserve">Bruces Creek, Eden Park, Humevale, Kinglake Central</t>
  </si>
  <si>
    <t xml:space="preserve">3758</t>
  </si>
  <si>
    <t xml:space="preserve">Heathcote Junction, Wandong</t>
  </si>
  <si>
    <t xml:space="preserve">3759</t>
  </si>
  <si>
    <t xml:space="preserve">Panton Hill</t>
  </si>
  <si>
    <t xml:space="preserve">3760</t>
  </si>
  <si>
    <t xml:space="preserve">Smiths Gully</t>
  </si>
  <si>
    <t xml:space="preserve">3761</t>
  </si>
  <si>
    <t xml:space="preserve">St Andrews</t>
  </si>
  <si>
    <t xml:space="preserve">3762</t>
  </si>
  <si>
    <t xml:space="preserve">Bylands</t>
  </si>
  <si>
    <t xml:space="preserve">3763</t>
  </si>
  <si>
    <t xml:space="preserve">Kinglake, Mount Slide</t>
  </si>
  <si>
    <t xml:space="preserve">3764</t>
  </si>
  <si>
    <t xml:space="preserve">Forbes, Glenaroua, High Camp, Kilmore</t>
  </si>
  <si>
    <t xml:space="preserve">3765</t>
  </si>
  <si>
    <t xml:space="preserve">Montrose</t>
  </si>
  <si>
    <t xml:space="preserve">3766</t>
  </si>
  <si>
    <t xml:space="preserve">Kalorama</t>
  </si>
  <si>
    <t xml:space="preserve">3767</t>
  </si>
  <si>
    <t xml:space="preserve">Mount Dandenong</t>
  </si>
  <si>
    <t xml:space="preserve">3770</t>
  </si>
  <si>
    <t xml:space="preserve">Coldstream, Gruyere, Yering</t>
  </si>
  <si>
    <t xml:space="preserve">3775</t>
  </si>
  <si>
    <t xml:space="preserve">Christmas Hills, Dixons Creek, Steels Creek, Tarrawarra</t>
  </si>
  <si>
    <t xml:space="preserve">3777</t>
  </si>
  <si>
    <t xml:space="preserve">Badger Creek, Castella, Chum Creek, Healesville</t>
  </si>
  <si>
    <t xml:space="preserve">3778</t>
  </si>
  <si>
    <t xml:space="preserve">Fernshaw, Narbethong</t>
  </si>
  <si>
    <t xml:space="preserve">3779</t>
  </si>
  <si>
    <t xml:space="preserve">Cambarville, Marysville</t>
  </si>
  <si>
    <t xml:space="preserve">3781</t>
  </si>
  <si>
    <t xml:space="preserve">Cockatoo, Mount Burnett, Nangana</t>
  </si>
  <si>
    <t xml:space="preserve">3782</t>
  </si>
  <si>
    <t xml:space="preserve">Avonsleigh, Clematis, Emerald, Macclesfield</t>
  </si>
  <si>
    <t xml:space="preserve">3783</t>
  </si>
  <si>
    <t xml:space="preserve">Gembrook</t>
  </si>
  <si>
    <t xml:space="preserve">3785</t>
  </si>
  <si>
    <t xml:space="preserve">Tremont</t>
  </si>
  <si>
    <t xml:space="preserve">3786</t>
  </si>
  <si>
    <t xml:space="preserve">Ferny Creek</t>
  </si>
  <si>
    <t xml:space="preserve">3787</t>
  </si>
  <si>
    <t xml:space="preserve">Sassafras, Sassafras Gully</t>
  </si>
  <si>
    <t xml:space="preserve">3788</t>
  </si>
  <si>
    <t xml:space="preserve">Olinda</t>
  </si>
  <si>
    <t xml:space="preserve">3789</t>
  </si>
  <si>
    <t xml:space="preserve">Sherbrooke</t>
  </si>
  <si>
    <t xml:space="preserve">3791</t>
  </si>
  <si>
    <t xml:space="preserve">Kallista</t>
  </si>
  <si>
    <t xml:space="preserve">3792</t>
  </si>
  <si>
    <t xml:space="preserve">The Patch</t>
  </si>
  <si>
    <t xml:space="preserve">3793</t>
  </si>
  <si>
    <t xml:space="preserve">Monbulk</t>
  </si>
  <si>
    <t xml:space="preserve">3795</t>
  </si>
  <si>
    <t xml:space="preserve">Silvan</t>
  </si>
  <si>
    <t xml:space="preserve">3796</t>
  </si>
  <si>
    <t xml:space="preserve">Mount Evelyn</t>
  </si>
  <si>
    <t xml:space="preserve">3797</t>
  </si>
  <si>
    <t xml:space="preserve">Gilderoy, Gladysdale, Powelltown, Three Bridges</t>
  </si>
  <si>
    <t xml:space="preserve">3799</t>
  </si>
  <si>
    <t xml:space="preserve">Big Pats Creek, East Warburton, Mcmahons Creek, Millgrove</t>
  </si>
  <si>
    <t xml:space="preserve">3800</t>
  </si>
  <si>
    <t xml:space="preserve">Monash University</t>
  </si>
  <si>
    <t xml:space="preserve">3802</t>
  </si>
  <si>
    <t xml:space="preserve">Endeavour Hills</t>
  </si>
  <si>
    <t xml:space="preserve">3803</t>
  </si>
  <si>
    <t xml:space="preserve">Hallam</t>
  </si>
  <si>
    <t xml:space="preserve">3804</t>
  </si>
  <si>
    <t xml:space="preserve">Narre Warren East, Narre Warren North</t>
  </si>
  <si>
    <t xml:space="preserve">3805</t>
  </si>
  <si>
    <t xml:space="preserve">Fountain Gate, Narre Warren, Narre Warren South</t>
  </si>
  <si>
    <t xml:space="preserve">3806</t>
  </si>
  <si>
    <t xml:space="preserve">Berwick, Harkaway</t>
  </si>
  <si>
    <t xml:space="preserve">3807</t>
  </si>
  <si>
    <t xml:space="preserve">Beaconsfield, Guys Hill</t>
  </si>
  <si>
    <t xml:space="preserve">3808</t>
  </si>
  <si>
    <t xml:space="preserve">Beaconsfield Upper, Dewhurst</t>
  </si>
  <si>
    <t xml:space="preserve">3809</t>
  </si>
  <si>
    <t xml:space="preserve">Officer, Officer South</t>
  </si>
  <si>
    <t xml:space="preserve">3810</t>
  </si>
  <si>
    <t xml:space="preserve">Pakenham, Pakenham South, Pakenham Upper, Rythdale</t>
  </si>
  <si>
    <t xml:space="preserve">3812</t>
  </si>
  <si>
    <t xml:space="preserve">Maryknoll, Nar Nar Goon, Nar Nar Goon North</t>
  </si>
  <si>
    <t xml:space="preserve">3813</t>
  </si>
  <si>
    <t xml:space="preserve">Tynong, Tynong North</t>
  </si>
  <si>
    <t xml:space="preserve">3814</t>
  </si>
  <si>
    <t xml:space="preserve">Cora Lynn, Garfield, Garfield North, Vervale</t>
  </si>
  <si>
    <t xml:space="preserve">3815</t>
  </si>
  <si>
    <t xml:space="preserve">Bunyip, Bunyip North, Iona, Tonimbuk</t>
  </si>
  <si>
    <t xml:space="preserve">3816</t>
  </si>
  <si>
    <t xml:space="preserve">Labertouche, Longwarry, Longwarry North, Modella</t>
  </si>
  <si>
    <t xml:space="preserve">3818</t>
  </si>
  <si>
    <t xml:space="preserve">Athlone, Drouin, Drouin East, Drouin South</t>
  </si>
  <si>
    <t xml:space="preserve">3820</t>
  </si>
  <si>
    <t xml:space="preserve">Bona Vista, Lillico, Warragul</t>
  </si>
  <si>
    <t xml:space="preserve">3821</t>
  </si>
  <si>
    <t xml:space="preserve">Brandy Creek, Bravington, Buln Buln, Buln Buln East</t>
  </si>
  <si>
    <t xml:space="preserve">3822</t>
  </si>
  <si>
    <t xml:space="preserve">Cloverlea, Darnum, Gainsborough</t>
  </si>
  <si>
    <t xml:space="preserve">3823</t>
  </si>
  <si>
    <t xml:space="preserve">Allambee, Yarragon, Yarragon South</t>
  </si>
  <si>
    <t xml:space="preserve">3824</t>
  </si>
  <si>
    <t xml:space="preserve">Childers, Narracan, Thorpdale South, Trafalgar</t>
  </si>
  <si>
    <t xml:space="preserve">3825</t>
  </si>
  <si>
    <t xml:space="preserve">Aberfeldy, Amor, Boola, Caringal</t>
  </si>
  <si>
    <t xml:space="preserve">3831</t>
  </si>
  <si>
    <t xml:space="preserve">Neerim, Neerim East, Neerim South</t>
  </si>
  <si>
    <t xml:space="preserve">3832</t>
  </si>
  <si>
    <t xml:space="preserve">Nayook, Neerim Junction, Neerim North</t>
  </si>
  <si>
    <t xml:space="preserve">3833</t>
  </si>
  <si>
    <t xml:space="preserve">Ada, Baw Baw, Baw Baw Village, Gentle Annie</t>
  </si>
  <si>
    <t xml:space="preserve">3835</t>
  </si>
  <si>
    <t xml:space="preserve">Thorpdale</t>
  </si>
  <si>
    <t xml:space="preserve">3840</t>
  </si>
  <si>
    <t xml:space="preserve">Driffield, Hazelwood, Hazelwood North, Hazelwood South</t>
  </si>
  <si>
    <t xml:space="preserve">3841</t>
  </si>
  <si>
    <t xml:space="preserve">Gippsland Mc</t>
  </si>
  <si>
    <t xml:space="preserve">3842</t>
  </si>
  <si>
    <t xml:space="preserve">Churchill</t>
  </si>
  <si>
    <t xml:space="preserve">3844</t>
  </si>
  <si>
    <t xml:space="preserve">Blackwarry, Callignee, Callignee North, Callignee South</t>
  </si>
  <si>
    <t xml:space="preserve">3847</t>
  </si>
  <si>
    <t xml:space="preserve">Hiamdale, Nambrok, Rosedale, Willung</t>
  </si>
  <si>
    <t xml:space="preserve">3850</t>
  </si>
  <si>
    <t xml:space="preserve">Giffard, Guthridge, Sale, Sale North</t>
  </si>
  <si>
    <t xml:space="preserve">3851</t>
  </si>
  <si>
    <t xml:space="preserve">Airly, Bundalaguah, Clydebank, Cobains</t>
  </si>
  <si>
    <t xml:space="preserve">3852</t>
  </si>
  <si>
    <t xml:space="preserve">East Sale, East Sale Raaf, Sale East Raaf</t>
  </si>
  <si>
    <t xml:space="preserve">3853</t>
  </si>
  <si>
    <t xml:space="preserve">Sale</t>
  </si>
  <si>
    <t xml:space="preserve">3854</t>
  </si>
  <si>
    <t xml:space="preserve">Glengarry, Glengarry North, Glengarry West</t>
  </si>
  <si>
    <t xml:space="preserve">3856</t>
  </si>
  <si>
    <t xml:space="preserve">Toongabbie</t>
  </si>
  <si>
    <t xml:space="preserve">3857</t>
  </si>
  <si>
    <t xml:space="preserve">Cowwarr</t>
  </si>
  <si>
    <t xml:space="preserve">3858</t>
  </si>
  <si>
    <t xml:space="preserve">Arbuckle, Billabong, Buragwonduc, Crookayan</t>
  </si>
  <si>
    <t xml:space="preserve">3859</t>
  </si>
  <si>
    <t xml:space="preserve">Maffra West Upper, Mewburn Park, Newry, Tinamba</t>
  </si>
  <si>
    <t xml:space="preserve">3860</t>
  </si>
  <si>
    <t xml:space="preserve">Boisdale, Briagolong, Bushy Park, Coongulla</t>
  </si>
  <si>
    <t xml:space="preserve">3862</t>
  </si>
  <si>
    <t xml:space="preserve">Budgee Budgee, Castleburn, Cobbannah, Cowa</t>
  </si>
  <si>
    <t xml:space="preserve">3864</t>
  </si>
  <si>
    <t xml:space="preserve">Fernbank, Glenaladale, The Fingerboard</t>
  </si>
  <si>
    <t xml:space="preserve">3865</t>
  </si>
  <si>
    <t xml:space="preserve">Lindenow</t>
  </si>
  <si>
    <t xml:space="preserve">3869</t>
  </si>
  <si>
    <t xml:space="preserve">Jumbuk, Yinnar, Yinnar South</t>
  </si>
  <si>
    <t xml:space="preserve">3870</t>
  </si>
  <si>
    <t xml:space="preserve">Boolarra, Boolarra South, Budgeree, Budgeree East</t>
  </si>
  <si>
    <t xml:space="preserve">3871</t>
  </si>
  <si>
    <t xml:space="preserve">Allambee Reserve, Allambee South, Baromi, Darlimurla</t>
  </si>
  <si>
    <t xml:space="preserve">3873</t>
  </si>
  <si>
    <t xml:space="preserve">Gormandale</t>
  </si>
  <si>
    <t xml:space="preserve">3874</t>
  </si>
  <si>
    <t xml:space="preserve">Carrajung South, Cherrilong, Mcloughlins Beach, Woodside</t>
  </si>
  <si>
    <t xml:space="preserve">3875</t>
  </si>
  <si>
    <t xml:space="preserve">Bairnsdale, Banksia Peninsula, Bengworden, Broadlands</t>
  </si>
  <si>
    <t xml:space="preserve">3878</t>
  </si>
  <si>
    <t xml:space="preserve">Eagle Point</t>
  </si>
  <si>
    <t xml:space="preserve">3880</t>
  </si>
  <si>
    <t xml:space="preserve">Boole Poole, Ocean Grange, Paynesville, Raymond Island</t>
  </si>
  <si>
    <t xml:space="preserve">3882</t>
  </si>
  <si>
    <t xml:space="preserve">Nicholson</t>
  </si>
  <si>
    <t xml:space="preserve">3885</t>
  </si>
  <si>
    <t xml:space="preserve">Brumby, Bruthen, Buchan, Buchan South</t>
  </si>
  <si>
    <t xml:space="preserve">3886</t>
  </si>
  <si>
    <t xml:space="preserve">Newmerella</t>
  </si>
  <si>
    <t xml:space="preserve">3887</t>
  </si>
  <si>
    <t xml:space="preserve">Lake Tyers, Nowa Nowa, Wairewa</t>
  </si>
  <si>
    <t xml:space="preserve">3888</t>
  </si>
  <si>
    <t xml:space="preserve">Bendoc, Bete Bolong, Bete Bolong North, Bonang</t>
  </si>
  <si>
    <t xml:space="preserve">3889</t>
  </si>
  <si>
    <t xml:space="preserve">Bell Bird Creek, Bellbird Creek, Bemm River, Cabbage Tree Creek</t>
  </si>
  <si>
    <t xml:space="preserve">3890</t>
  </si>
  <si>
    <t xml:space="preserve">Buldah, Cann River, Chandlers Creek, Noorinbee</t>
  </si>
  <si>
    <t xml:space="preserve">3891</t>
  </si>
  <si>
    <t xml:space="preserve">Genoa, Gipsy Point, Maramingo Creek, Wallagaraugh</t>
  </si>
  <si>
    <t xml:space="preserve">3892</t>
  </si>
  <si>
    <t xml:space="preserve">Mallacoota</t>
  </si>
  <si>
    <t xml:space="preserve">3893</t>
  </si>
  <si>
    <t xml:space="preserve">Double Bridges, Stirling, Tambo Crossing</t>
  </si>
  <si>
    <t xml:space="preserve">3895</t>
  </si>
  <si>
    <t xml:space="preserve">Doctors Flat, Ensay, Ensay North, Reedy Creek</t>
  </si>
  <si>
    <t xml:space="preserve">3896</t>
  </si>
  <si>
    <t xml:space="preserve">Bindi, Brookville, Nunniong, Swifts Creek</t>
  </si>
  <si>
    <t xml:space="preserve">3898</t>
  </si>
  <si>
    <t xml:space="preserve">Anglers Rest, Bingo, Bingo Munjie, Bundara</t>
  </si>
  <si>
    <t xml:space="preserve">3900</t>
  </si>
  <si>
    <t xml:space="preserve">Benambra, Cobberas, Uplands</t>
  </si>
  <si>
    <t xml:space="preserve">3902</t>
  </si>
  <si>
    <t xml:space="preserve">Bumberrah, Johnsonville</t>
  </si>
  <si>
    <t xml:space="preserve">3903</t>
  </si>
  <si>
    <t xml:space="preserve">Swan Reach</t>
  </si>
  <si>
    <t xml:space="preserve">3904</t>
  </si>
  <si>
    <t xml:space="preserve">Metung</t>
  </si>
  <si>
    <t xml:space="preserve">3909</t>
  </si>
  <si>
    <t xml:space="preserve">Kalimna, Kalimna West, Lake Bunga, Lake Tyers Beach</t>
  </si>
  <si>
    <t xml:space="preserve">3910</t>
  </si>
  <si>
    <t xml:space="preserve">Langwarrin</t>
  </si>
  <si>
    <t xml:space="preserve">3911</t>
  </si>
  <si>
    <t xml:space="preserve">Baxter, Langwarrin South</t>
  </si>
  <si>
    <t xml:space="preserve">3912</t>
  </si>
  <si>
    <t xml:space="preserve">Pearcedale, Somerville</t>
  </si>
  <si>
    <t xml:space="preserve">3913</t>
  </si>
  <si>
    <t xml:space="preserve">Tyabb</t>
  </si>
  <si>
    <t xml:space="preserve">3915</t>
  </si>
  <si>
    <t xml:space="preserve">Hastings, Tuerong</t>
  </si>
  <si>
    <t xml:space="preserve">3916</t>
  </si>
  <si>
    <t xml:space="preserve">Merricks, Point Leo, Shoreham</t>
  </si>
  <si>
    <t xml:space="preserve">3918</t>
  </si>
  <si>
    <t xml:space="preserve">Bittern</t>
  </si>
  <si>
    <t xml:space="preserve">3919</t>
  </si>
  <si>
    <t xml:space="preserve">Crib Point</t>
  </si>
  <si>
    <t xml:space="preserve">3920</t>
  </si>
  <si>
    <t xml:space="preserve">Flinders Naval Depot, Hmas Cerberus</t>
  </si>
  <si>
    <t xml:space="preserve">3921</t>
  </si>
  <si>
    <t xml:space="preserve">Elizabeth Island, French Island, Tankerton</t>
  </si>
  <si>
    <t xml:space="preserve">3922</t>
  </si>
  <si>
    <t xml:space="preserve">Cowes, Silverleaves, Smiths Beach, Summerlands</t>
  </si>
  <si>
    <t xml:space="preserve">3923</t>
  </si>
  <si>
    <t xml:space="preserve">Rhyll</t>
  </si>
  <si>
    <t xml:space="preserve">3925</t>
  </si>
  <si>
    <t xml:space="preserve">Cape Woolamai, Churchill Island, Newhaven, San Remo</t>
  </si>
  <si>
    <t xml:space="preserve">3926</t>
  </si>
  <si>
    <t xml:space="preserve">Balnarring, Balnarring Beach, Merricks Beach, Merricks North</t>
  </si>
  <si>
    <t xml:space="preserve">3927</t>
  </si>
  <si>
    <t xml:space="preserve">Somers</t>
  </si>
  <si>
    <t xml:space="preserve">3928</t>
  </si>
  <si>
    <t xml:space="preserve">Main Ridge</t>
  </si>
  <si>
    <t xml:space="preserve">3929</t>
  </si>
  <si>
    <t xml:space="preserve">Flinders</t>
  </si>
  <si>
    <t xml:space="preserve">3930</t>
  </si>
  <si>
    <t xml:space="preserve">Kunyung, Mount Eliza</t>
  </si>
  <si>
    <t xml:space="preserve">3931</t>
  </si>
  <si>
    <t xml:space="preserve">Mornington</t>
  </si>
  <si>
    <t xml:space="preserve">3933</t>
  </si>
  <si>
    <t xml:space="preserve">Moorooduc</t>
  </si>
  <si>
    <t xml:space="preserve">3934</t>
  </si>
  <si>
    <t xml:space="preserve">Mount Martha</t>
  </si>
  <si>
    <t xml:space="preserve">3936</t>
  </si>
  <si>
    <t xml:space="preserve">Arthurs Seat, Dromana, Safety Beach</t>
  </si>
  <si>
    <t xml:space="preserve">3937</t>
  </si>
  <si>
    <t xml:space="preserve">Red Hill, Red Hill South</t>
  </si>
  <si>
    <t xml:space="preserve">3938</t>
  </si>
  <si>
    <t xml:space="preserve">Mccrae</t>
  </si>
  <si>
    <t xml:space="preserve">3939</t>
  </si>
  <si>
    <t xml:space="preserve">Boneo, Cape Schanck, Fingal, Rosebud</t>
  </si>
  <si>
    <t xml:space="preserve">3940</t>
  </si>
  <si>
    <t xml:space="preserve">Capel Sound, Rosebud West</t>
  </si>
  <si>
    <t xml:space="preserve">3941</t>
  </si>
  <si>
    <t xml:space="preserve">Rye, St Andrews Beach, Tootgarook</t>
  </si>
  <si>
    <t xml:space="preserve">3942</t>
  </si>
  <si>
    <t xml:space="preserve">Blairgowrie</t>
  </si>
  <si>
    <t xml:space="preserve">3943</t>
  </si>
  <si>
    <t xml:space="preserve">Sorrento</t>
  </si>
  <si>
    <t xml:space="preserve">3944</t>
  </si>
  <si>
    <t xml:space="preserve">Portsea</t>
  </si>
  <si>
    <t xml:space="preserve">3945</t>
  </si>
  <si>
    <t xml:space="preserve">Bellview, Jeetho, Krowera, Loch</t>
  </si>
  <si>
    <t xml:space="preserve">3946</t>
  </si>
  <si>
    <t xml:space="preserve">Bena</t>
  </si>
  <si>
    <t xml:space="preserve">3950</t>
  </si>
  <si>
    <t xml:space="preserve">Kardella South, Korumburra, Korumburra South, Strzelecki</t>
  </si>
  <si>
    <t xml:space="preserve">3951</t>
  </si>
  <si>
    <t xml:space="preserve">Arawata, Fairbank, Jumbunna, Kardella</t>
  </si>
  <si>
    <t xml:space="preserve">3953</t>
  </si>
  <si>
    <t xml:space="preserve">Berrys Creek, Boorool, Hallston, Koorooman</t>
  </si>
  <si>
    <t xml:space="preserve">3954</t>
  </si>
  <si>
    <t xml:space="preserve">Koonwarra</t>
  </si>
  <si>
    <t xml:space="preserve">3956</t>
  </si>
  <si>
    <t xml:space="preserve">Dumbalk, Dumbalk North, Meeniyan, Middle Tarwin</t>
  </si>
  <si>
    <t xml:space="preserve">3957</t>
  </si>
  <si>
    <t xml:space="preserve">Grassy Spur, Stony Creek</t>
  </si>
  <si>
    <t xml:space="preserve">3958</t>
  </si>
  <si>
    <t xml:space="preserve">Buffalo, Buffalo Creek</t>
  </si>
  <si>
    <t xml:space="preserve">3959</t>
  </si>
  <si>
    <t xml:space="preserve">Fish Creek, Hoddle, Sandy Point, Waratah Bay</t>
  </si>
  <si>
    <t xml:space="preserve">3960</t>
  </si>
  <si>
    <t xml:space="preserve">Bennison, Boolarong, Foster, Foster North</t>
  </si>
  <si>
    <t xml:space="preserve">3962</t>
  </si>
  <si>
    <t xml:space="preserve">Agnes, Christies, Grand Ridge, Toora</t>
  </si>
  <si>
    <t xml:space="preserve">3964</t>
  </si>
  <si>
    <t xml:space="preserve">Port Franklin</t>
  </si>
  <si>
    <t xml:space="preserve">3965</t>
  </si>
  <si>
    <t xml:space="preserve">Port Welshpool</t>
  </si>
  <si>
    <t xml:space="preserve">3966</t>
  </si>
  <si>
    <t xml:space="preserve">Binginwarri, Hazel Park, Welshpool</t>
  </si>
  <si>
    <t xml:space="preserve">3967</t>
  </si>
  <si>
    <t xml:space="preserve">Hedley</t>
  </si>
  <si>
    <t xml:space="preserve">3971</t>
  </si>
  <si>
    <t xml:space="preserve">Alberton, Alberton West, Balook, Baromi</t>
  </si>
  <si>
    <t xml:space="preserve">3975</t>
  </si>
  <si>
    <t xml:space="preserve">Lynbrook, Lyndhurst</t>
  </si>
  <si>
    <t xml:space="preserve">3976</t>
  </si>
  <si>
    <t xml:space="preserve">Hampton Park</t>
  </si>
  <si>
    <t xml:space="preserve">3977</t>
  </si>
  <si>
    <t xml:space="preserve">Botanic Ridge, Cannons Creek, Cranbourne, Cranbourne East</t>
  </si>
  <si>
    <t xml:space="preserve">3978</t>
  </si>
  <si>
    <t xml:space="preserve">Cardinia, Clyde, Clyde North</t>
  </si>
  <si>
    <t xml:space="preserve">3979</t>
  </si>
  <si>
    <t xml:space="preserve">Almurta, Glen Alvie, Kernot, Korrine</t>
  </si>
  <si>
    <t xml:space="preserve">3980</t>
  </si>
  <si>
    <t xml:space="preserve">Blind Bight, Tooradin, Warneet</t>
  </si>
  <si>
    <t xml:space="preserve">3981</t>
  </si>
  <si>
    <t xml:space="preserve">Bayles, Catani, Dalmore, Heath Hill</t>
  </si>
  <si>
    <t xml:space="preserve">3984</t>
  </si>
  <si>
    <t xml:space="preserve">Adams Estate, Caldermeade, Corinella, Coronet Bay</t>
  </si>
  <si>
    <t xml:space="preserve">3987</t>
  </si>
  <si>
    <t xml:space="preserve">Nyora</t>
  </si>
  <si>
    <t xml:space="preserve">3988</t>
  </si>
  <si>
    <t xml:space="preserve">Mountain View, Poowong, Poowong East, Poowong North</t>
  </si>
  <si>
    <t xml:space="preserve">3989</t>
  </si>
  <si>
    <t xml:space="preserve">St Helier</t>
  </si>
  <si>
    <t xml:space="preserve">3990</t>
  </si>
  <si>
    <t xml:space="preserve">Glen Forbes</t>
  </si>
  <si>
    <t xml:space="preserve">3991</t>
  </si>
  <si>
    <t xml:space="preserve">Bass</t>
  </si>
  <si>
    <t xml:space="preserve">3992</t>
  </si>
  <si>
    <t xml:space="preserve">Blackwood Forest, Dalyston, Ryanston, West Creek</t>
  </si>
  <si>
    <t xml:space="preserve">3995</t>
  </si>
  <si>
    <t xml:space="preserve">Anderson, Archies Creek, Cape Paterson, Harmers Haven</t>
  </si>
  <si>
    <t xml:space="preserve">3996</t>
  </si>
  <si>
    <t xml:space="preserve">Inverloch, Pound Creek</t>
  </si>
  <si>
    <t xml:space="preserve">4000</t>
  </si>
  <si>
    <t xml:space="preserve">QLD - Metro</t>
  </si>
  <si>
    <t xml:space="preserve">Brisbane, Brisbane Adelaide Street, Brisbane City, Brisbane City Dc</t>
  </si>
  <si>
    <t xml:space="preserve">4001</t>
  </si>
  <si>
    <t xml:space="preserve">Brisbane, Central Plaza, Riverside Centre, Waterfront Place</t>
  </si>
  <si>
    <t xml:space="preserve">4002</t>
  </si>
  <si>
    <t xml:space="preserve">Brisbane Albert Street Bc, City East, Wintergarden</t>
  </si>
  <si>
    <t xml:space="preserve">4003</t>
  </si>
  <si>
    <t xml:space="preserve">George Street</t>
  </si>
  <si>
    <t xml:space="preserve">4004</t>
  </si>
  <si>
    <t xml:space="preserve">Spring Hill</t>
  </si>
  <si>
    <t xml:space="preserve">4005</t>
  </si>
  <si>
    <t xml:space="preserve">New Farm, Teneriffe</t>
  </si>
  <si>
    <t xml:space="preserve">4006</t>
  </si>
  <si>
    <t xml:space="preserve">Bowen Bridge, Bowen Hills, Brisbane Exhibition, Fortitude Valley</t>
  </si>
  <si>
    <t xml:space="preserve">4007</t>
  </si>
  <si>
    <t xml:space="preserve">Ascot, Brisbane Airport, Doomben, Hamilton</t>
  </si>
  <si>
    <t xml:space="preserve">4008</t>
  </si>
  <si>
    <t xml:space="preserve">Brisbane Airport, Bulwer Island, Meeandah, Myrtletown</t>
  </si>
  <si>
    <t xml:space="preserve">4009</t>
  </si>
  <si>
    <t xml:space="preserve">Eagle Farm, Eagle Farm Bc</t>
  </si>
  <si>
    <t xml:space="preserve">4010</t>
  </si>
  <si>
    <t xml:space="preserve">Albion, Albion Bc, Albion Dc, Breakfast Creek</t>
  </si>
  <si>
    <t xml:space="preserve">4011</t>
  </si>
  <si>
    <t xml:space="preserve">Clayfield, Eagle Junction, Hendra</t>
  </si>
  <si>
    <t xml:space="preserve">4012</t>
  </si>
  <si>
    <t xml:space="preserve">Nundah, Toombul, Wavell Heights, Wavell Heights North</t>
  </si>
  <si>
    <t xml:space="preserve">4013</t>
  </si>
  <si>
    <t xml:space="preserve">Northgate, Northgate Mc</t>
  </si>
  <si>
    <t xml:space="preserve">4014</t>
  </si>
  <si>
    <t xml:space="preserve">Banyo, Nudgee, Nudgee Beach, Virginia</t>
  </si>
  <si>
    <t xml:space="preserve">4017</t>
  </si>
  <si>
    <t xml:space="preserve">Bracken Ridge, Brighton, Brighton Eventide, Brighton Nathan Street</t>
  </si>
  <si>
    <t xml:space="preserve">4018</t>
  </si>
  <si>
    <t xml:space="preserve">Fitzgibbon, Taigum</t>
  </si>
  <si>
    <t xml:space="preserve">4019</t>
  </si>
  <si>
    <t xml:space="preserve">Clontarf, Clontarf Beach, Clontarf Dc, Humpybong</t>
  </si>
  <si>
    <t xml:space="preserve">4020</t>
  </si>
  <si>
    <t xml:space="preserve">Newport, Redcliffe, Redcliffe North, Scarborough</t>
  </si>
  <si>
    <t xml:space="preserve">4021</t>
  </si>
  <si>
    <t xml:space="preserve">Kippa-Ring</t>
  </si>
  <si>
    <t xml:space="preserve">4022</t>
  </si>
  <si>
    <t xml:space="preserve">Rothwell</t>
  </si>
  <si>
    <t xml:space="preserve">4025</t>
  </si>
  <si>
    <t xml:space="preserve">Bulwer, Cape Moreton, Cowan Cowan, Kooringal</t>
  </si>
  <si>
    <t xml:space="preserve">4029</t>
  </si>
  <si>
    <t xml:space="preserve">Royal Brisbane Hospital</t>
  </si>
  <si>
    <t xml:space="preserve">4030</t>
  </si>
  <si>
    <t xml:space="preserve">Eildon Hill, Kalinga, Lutwyche, Windsor</t>
  </si>
  <si>
    <t xml:space="preserve">4031</t>
  </si>
  <si>
    <t xml:space="preserve">Glen Kedron, Gordon Park, Kedron</t>
  </si>
  <si>
    <t xml:space="preserve">4032</t>
  </si>
  <si>
    <t xml:space="preserve">Chermside, Chermside Bc, Chermside Centre, Chermside South</t>
  </si>
  <si>
    <t xml:space="preserve">4034</t>
  </si>
  <si>
    <t xml:space="preserve">Aspley, Boondall, Carseldine, Geebung</t>
  </si>
  <si>
    <t xml:space="preserve">4035</t>
  </si>
  <si>
    <t xml:space="preserve">Albany Creek, Bridgeman Downs, Cashs Crossing</t>
  </si>
  <si>
    <t xml:space="preserve">4036</t>
  </si>
  <si>
    <t xml:space="preserve">Bald Hills</t>
  </si>
  <si>
    <t xml:space="preserve">4037</t>
  </si>
  <si>
    <t xml:space="preserve">Eatons Hill</t>
  </si>
  <si>
    <t xml:space="preserve">4051</t>
  </si>
  <si>
    <t xml:space="preserve">Alderley, Enoggera, Gaythorne, Grange</t>
  </si>
  <si>
    <t xml:space="preserve">4053</t>
  </si>
  <si>
    <t xml:space="preserve">Brookside Centre, Everton Hills, Everton Park, Mcdowall</t>
  </si>
  <si>
    <t xml:space="preserve">4054</t>
  </si>
  <si>
    <t xml:space="preserve">Arana Hills, Grovely, Keperra</t>
  </si>
  <si>
    <t xml:space="preserve">4055</t>
  </si>
  <si>
    <t xml:space="preserve">Bunya, Ferny Grove, Ferny Hills, Ferny Hills Dc</t>
  </si>
  <si>
    <t xml:space="preserve">4059</t>
  </si>
  <si>
    <t xml:space="preserve">Ballymore, Ithaca, Kelvin Grove, Kelvin Grove Bc</t>
  </si>
  <si>
    <t xml:space="preserve">4060</t>
  </si>
  <si>
    <t xml:space="preserve">Ashgrove, Ashgrove East, Ashgrove West, Dorrington</t>
  </si>
  <si>
    <t xml:space="preserve">4061</t>
  </si>
  <si>
    <t xml:space="preserve">The Gap</t>
  </si>
  <si>
    <t xml:space="preserve">4064</t>
  </si>
  <si>
    <t xml:space="preserve">Baroona, Milton, Milton Bc, Paddington</t>
  </si>
  <si>
    <t xml:space="preserve">4065</t>
  </si>
  <si>
    <t xml:space="preserve">Bardon, Bardon West, Jubilee, Rainworth</t>
  </si>
  <si>
    <t xml:space="preserve">4066</t>
  </si>
  <si>
    <t xml:space="preserve">Auchenflower, Mount Coot-Tha, Stuartholme, Toowong</t>
  </si>
  <si>
    <t xml:space="preserve">4067</t>
  </si>
  <si>
    <t xml:space="preserve">Ironside, St Lucia, St Lucia South</t>
  </si>
  <si>
    <t xml:space="preserve">4068</t>
  </si>
  <si>
    <t xml:space="preserve">Chelmer, Indooroopilly, Indooroopilly Centre, Long Pocket</t>
  </si>
  <si>
    <t xml:space="preserve">4069</t>
  </si>
  <si>
    <t xml:space="preserve">Brookfield, Chapel Hill, Fig Tree Pocket, Kenmore</t>
  </si>
  <si>
    <t xml:space="preserve">4070</t>
  </si>
  <si>
    <t xml:space="preserve">Anstead, Bellbowrie, Moggill, Priors Pocket</t>
  </si>
  <si>
    <t xml:space="preserve">4072</t>
  </si>
  <si>
    <t xml:space="preserve">University Of Queensland</t>
  </si>
  <si>
    <t xml:space="preserve">4073</t>
  </si>
  <si>
    <t xml:space="preserve">Seventeen Mile Rocks, Sinnamon Park</t>
  </si>
  <si>
    <t xml:space="preserve">4074</t>
  </si>
  <si>
    <t xml:space="preserve">Jamboree Heights, Jindalee, Middle Park, Mount Ommaney</t>
  </si>
  <si>
    <t xml:space="preserve">4075</t>
  </si>
  <si>
    <t xml:space="preserve">Corinda, Graceville, Graceville East, Oxley</t>
  </si>
  <si>
    <t xml:space="preserve">4076</t>
  </si>
  <si>
    <t xml:space="preserve">Darra, Wacol, Wacol East Immigration Centre</t>
  </si>
  <si>
    <t xml:space="preserve">4077</t>
  </si>
  <si>
    <t xml:space="preserve">Doolandella, Durack, Inala, Inala East</t>
  </si>
  <si>
    <t xml:space="preserve">4078</t>
  </si>
  <si>
    <t xml:space="preserve">Ellen Grove, Forest Lake</t>
  </si>
  <si>
    <t xml:space="preserve">4101</t>
  </si>
  <si>
    <t xml:space="preserve">Highgate Hill, Mater Hill, Mater Hospital, South Bank</t>
  </si>
  <si>
    <t xml:space="preserve">4102</t>
  </si>
  <si>
    <t xml:space="preserve">Buranda, Dutton Park, Princess Alexandra Hospital, Woolloongabba</t>
  </si>
  <si>
    <t xml:space="preserve">4103</t>
  </si>
  <si>
    <t xml:space="preserve">Annerley, Annerley Dc, Fairfield, Fairfield Gardens</t>
  </si>
  <si>
    <t xml:space="preserve">4104</t>
  </si>
  <si>
    <t xml:space="preserve">Yeronga, Yeronga West</t>
  </si>
  <si>
    <t xml:space="preserve">4105</t>
  </si>
  <si>
    <t xml:space="preserve">Clifton Hill, Moorooka, Moorvale, Tennyson</t>
  </si>
  <si>
    <t xml:space="preserve">4106</t>
  </si>
  <si>
    <t xml:space="preserve">Brisbane Market, Rocklea, Rocklea Dc</t>
  </si>
  <si>
    <t xml:space="preserve">4107</t>
  </si>
  <si>
    <t xml:space="preserve">Salisbury, Salisbury East</t>
  </si>
  <si>
    <t xml:space="preserve">4108</t>
  </si>
  <si>
    <t xml:space="preserve">Archerfield, Archerfield Bc, Coopers Plains</t>
  </si>
  <si>
    <t xml:space="preserve">4109</t>
  </si>
  <si>
    <t xml:space="preserve">Altandi, Banoon, Macgregor, Robertson</t>
  </si>
  <si>
    <t xml:space="preserve">4110</t>
  </si>
  <si>
    <t xml:space="preserve">Acacia Ridge, Acacia Ridge Bc, Acacia Ridge Dc, Heathwood</t>
  </si>
  <si>
    <t xml:space="preserve">4111</t>
  </si>
  <si>
    <t xml:space="preserve">Griffith University, Nathan</t>
  </si>
  <si>
    <t xml:space="preserve">4112</t>
  </si>
  <si>
    <t xml:space="preserve">Kuraby</t>
  </si>
  <si>
    <t xml:space="preserve">4113</t>
  </si>
  <si>
    <t xml:space="preserve">Eight Mile Plains, Fruitgrove, Runcorn</t>
  </si>
  <si>
    <t xml:space="preserve">4114</t>
  </si>
  <si>
    <t xml:space="preserve">Kingston, Logan Central, Logan City Bc, Logan City Dc</t>
  </si>
  <si>
    <t xml:space="preserve">4115</t>
  </si>
  <si>
    <t xml:space="preserve">Algester, Parkinson</t>
  </si>
  <si>
    <t xml:space="preserve">4116</t>
  </si>
  <si>
    <t xml:space="preserve">Calamvale, Drewvale, Stretton</t>
  </si>
  <si>
    <t xml:space="preserve">4117</t>
  </si>
  <si>
    <t xml:space="preserve">Berrinba, Karawatha</t>
  </si>
  <si>
    <t xml:space="preserve">4118</t>
  </si>
  <si>
    <t xml:space="preserve">Browns Plains, Browns Plains Bc, Brownsleigh, Forestdale</t>
  </si>
  <si>
    <t xml:space="preserve">4119</t>
  </si>
  <si>
    <t xml:space="preserve">Underwood</t>
  </si>
  <si>
    <t xml:space="preserve">4120</t>
  </si>
  <si>
    <t xml:space="preserve">Greenslopes, Loreto Hill, Stones Corner</t>
  </si>
  <si>
    <t xml:space="preserve">4121</t>
  </si>
  <si>
    <t xml:space="preserve">Ekibin, Holland Park, Holland Park East, Holland Park West</t>
  </si>
  <si>
    <t xml:space="preserve">4122</t>
  </si>
  <si>
    <t xml:space="preserve">Mansfield, Mansfield Bc, Mansfield Dc, Mount Gravatt</t>
  </si>
  <si>
    <t xml:space="preserve">4123</t>
  </si>
  <si>
    <t xml:space="preserve">Priests Gully, Rochedale, Rochedale South</t>
  </si>
  <si>
    <t xml:space="preserve">4124</t>
  </si>
  <si>
    <t xml:space="preserve">Boronia Heights, Greenbank, Lyons, New Beith</t>
  </si>
  <si>
    <t xml:space="preserve">4125</t>
  </si>
  <si>
    <t xml:space="preserve">Munruben, Park Ridge, Park Ridge South</t>
  </si>
  <si>
    <t xml:space="preserve">4127</t>
  </si>
  <si>
    <t xml:space="preserve">Chatswood Hills, Daisy Hill, Priestdale, Slacks Creek</t>
  </si>
  <si>
    <t xml:space="preserve">4128</t>
  </si>
  <si>
    <t xml:space="preserve">Kimberley Park, Logan Hyperdome Bc, Shailer Park, Tanah Merah</t>
  </si>
  <si>
    <t xml:space="preserve">4129</t>
  </si>
  <si>
    <t xml:space="preserve">Logandale, Loganholme, Loganholme Bc, Loganholme Dc</t>
  </si>
  <si>
    <t xml:space="preserve">4130</t>
  </si>
  <si>
    <t xml:space="preserve">Carbrook, Cornubia</t>
  </si>
  <si>
    <t xml:space="preserve">4131</t>
  </si>
  <si>
    <t xml:space="preserve">Loganlea, Meadowbrook</t>
  </si>
  <si>
    <t xml:space="preserve">4132</t>
  </si>
  <si>
    <t xml:space="preserve">Crestmead, Crestmead Dc, Marsden, Marsden Postal Depot</t>
  </si>
  <si>
    <t xml:space="preserve">4133</t>
  </si>
  <si>
    <t xml:space="preserve">Chambers Flat, Logan Reserve, Waterford, Waterford West</t>
  </si>
  <si>
    <t xml:space="preserve">4151</t>
  </si>
  <si>
    <t xml:space="preserve">Coorparoo, Coorparoo Bc, Coorparoo Dc</t>
  </si>
  <si>
    <t xml:space="preserve">4152</t>
  </si>
  <si>
    <t xml:space="preserve">Camp Hill, Carina, Carina Heights, Carina North</t>
  </si>
  <si>
    <t xml:space="preserve">4153</t>
  </si>
  <si>
    <t xml:space="preserve">Belmont, Belmont Heights</t>
  </si>
  <si>
    <t xml:space="preserve">4154</t>
  </si>
  <si>
    <t xml:space="preserve">Gumdale, Ransome, Wakerley</t>
  </si>
  <si>
    <t xml:space="preserve">4155</t>
  </si>
  <si>
    <t xml:space="preserve">Chandler</t>
  </si>
  <si>
    <t xml:space="preserve">4156</t>
  </si>
  <si>
    <t xml:space="preserve">Burbank, Mackenzie</t>
  </si>
  <si>
    <t xml:space="preserve">4157</t>
  </si>
  <si>
    <t xml:space="preserve">Capalaba, Capalaba Bc, Capalaba Dc, Capalaba West</t>
  </si>
  <si>
    <t xml:space="preserve">4158</t>
  </si>
  <si>
    <t xml:space="preserve">Thorneside</t>
  </si>
  <si>
    <t xml:space="preserve">4159</t>
  </si>
  <si>
    <t xml:space="preserve">Birkdale</t>
  </si>
  <si>
    <t xml:space="preserve">4160</t>
  </si>
  <si>
    <t xml:space="preserve">Erobin, Ormiston, Wellington Point</t>
  </si>
  <si>
    <t xml:space="preserve">4161</t>
  </si>
  <si>
    <t xml:space="preserve">Alexandra Hills</t>
  </si>
  <si>
    <t xml:space="preserve">4163</t>
  </si>
  <si>
    <t xml:space="preserve">Cleveland, Cleveland Dc</t>
  </si>
  <si>
    <t xml:space="preserve">4164</t>
  </si>
  <si>
    <t xml:space="preserve">Pinklands, Thornlands</t>
  </si>
  <si>
    <t xml:space="preserve">4165</t>
  </si>
  <si>
    <t xml:space="preserve">Mount Cotton, Point Halloran, Point Talburpin, Redland Bay</t>
  </si>
  <si>
    <t xml:space="preserve">4169</t>
  </si>
  <si>
    <t xml:space="preserve">East Brisbane, Kangaroo Point, Stanley Bridge</t>
  </si>
  <si>
    <t xml:space="preserve">4170</t>
  </si>
  <si>
    <t xml:space="preserve">Cannon Hill, Colmslie, Morningside, Norman Park</t>
  </si>
  <si>
    <t xml:space="preserve">4171</t>
  </si>
  <si>
    <t xml:space="preserve">Balmoral, Bulimba, Galloways Hill, Hawthorne</t>
  </si>
  <si>
    <t xml:space="preserve">4172</t>
  </si>
  <si>
    <t xml:space="preserve">Murarrie</t>
  </si>
  <si>
    <t xml:space="preserve">4173</t>
  </si>
  <si>
    <t xml:space="preserve">Tingalpa, Tingalpa Bc, Tingalpa Dc</t>
  </si>
  <si>
    <t xml:space="preserve">4174</t>
  </si>
  <si>
    <t xml:space="preserve">Doboy, Hemmant</t>
  </si>
  <si>
    <t xml:space="preserve">4178</t>
  </si>
  <si>
    <t xml:space="preserve">Lindum, Lytton, Port Of Brisbane, Wynnum</t>
  </si>
  <si>
    <t xml:space="preserve">4179</t>
  </si>
  <si>
    <t xml:space="preserve">Lota, Manly, Manly West</t>
  </si>
  <si>
    <t xml:space="preserve">4183</t>
  </si>
  <si>
    <t xml:space="preserve">Amity, Amity Point, Dunwich, North Stradbroke Island</t>
  </si>
  <si>
    <t xml:space="preserve">4184</t>
  </si>
  <si>
    <t xml:space="preserve">Coochiemudlo Island, Karragarra Island, Lamb Island, Macleay Island</t>
  </si>
  <si>
    <t xml:space="preserve">4205</t>
  </si>
  <si>
    <t xml:space="preserve">Bethania</t>
  </si>
  <si>
    <t xml:space="preserve">4207</t>
  </si>
  <si>
    <t xml:space="preserve">Alberton, Bahrs Scrub, Bannockburn, Beenleigh</t>
  </si>
  <si>
    <t xml:space="preserve">4208</t>
  </si>
  <si>
    <t xml:space="preserve">Burnside, Gilberton, Halfway Creek, Jacobs Well</t>
  </si>
  <si>
    <t xml:space="preserve">4209</t>
  </si>
  <si>
    <t xml:space="preserve">Canowindra, Coomera, Pimpama, Upper Coomera</t>
  </si>
  <si>
    <t xml:space="preserve">4210</t>
  </si>
  <si>
    <t xml:space="preserve">Guanaba, Maudsland, Oxenford, Studio Village</t>
  </si>
  <si>
    <t xml:space="preserve">4211</t>
  </si>
  <si>
    <t xml:space="preserve">Advancetown, Beechmont, Binna Burra, Carrara</t>
  </si>
  <si>
    <t xml:space="preserve">4212</t>
  </si>
  <si>
    <t xml:space="preserve">Boykambil, Helensvale, Helensvale Town Centre, Hope Island</t>
  </si>
  <si>
    <t xml:space="preserve">4213</t>
  </si>
  <si>
    <t xml:space="preserve">Austinville, Bonogin, Mudgeeraba, Neranwood</t>
  </si>
  <si>
    <t xml:space="preserve">4214</t>
  </si>
  <si>
    <t xml:space="preserve">Arundel, Arundel Bc, Arundel Dc, Ashmore</t>
  </si>
  <si>
    <t xml:space="preserve">4215</t>
  </si>
  <si>
    <t xml:space="preserve">Australia Fair, Chirn Park, Keebra Park, Labrador</t>
  </si>
  <si>
    <t xml:space="preserve">4216</t>
  </si>
  <si>
    <t xml:space="preserve">Anglers Paradise, Biggera Waters, Coombabah, Currigee</t>
  </si>
  <si>
    <t xml:space="preserve">4217</t>
  </si>
  <si>
    <t xml:space="preserve">Benowa, Bundall, Bundall Bc, Bundall Dc</t>
  </si>
  <si>
    <t xml:space="preserve">4218</t>
  </si>
  <si>
    <t xml:space="preserve">Broadbeach, Broadbeach Waters, Cypress Gardens, Florida Gardens</t>
  </si>
  <si>
    <t xml:space="preserve">4219</t>
  </si>
  <si>
    <t xml:space="preserve">West Burleigh</t>
  </si>
  <si>
    <t xml:space="preserve">4220</t>
  </si>
  <si>
    <t xml:space="preserve">Burleigh Bc, Burleigh Dc, Burleigh Heads, Burleigh Town</t>
  </si>
  <si>
    <t xml:space="preserve">4221</t>
  </si>
  <si>
    <t xml:space="preserve">Elanora, Palm Beach</t>
  </si>
  <si>
    <t xml:space="preserve">4222</t>
  </si>
  <si>
    <t xml:space="preserve">Griffith University</t>
  </si>
  <si>
    <t xml:space="preserve">4223</t>
  </si>
  <si>
    <t xml:space="preserve">Currumbin, Currumbin Dc, Currumbin Valley, Currumbin Waters</t>
  </si>
  <si>
    <t xml:space="preserve">4224</t>
  </si>
  <si>
    <t xml:space="preserve">Tugun, Tugun Heights</t>
  </si>
  <si>
    <t xml:space="preserve">4225</t>
  </si>
  <si>
    <t xml:space="preserve">Bilinga, Coolangatta, Greenmount, Kirra</t>
  </si>
  <si>
    <t xml:space="preserve">4226</t>
  </si>
  <si>
    <t xml:space="preserve">Clear Island Waters, Kerrydale, Merrimac, Robina</t>
  </si>
  <si>
    <t xml:space="preserve">4227</t>
  </si>
  <si>
    <t xml:space="preserve">Reedy Creek, Varsity Lakes</t>
  </si>
  <si>
    <t xml:space="preserve">4228</t>
  </si>
  <si>
    <t xml:space="preserve">Ingleside, Tallebudgera, Tallebudgera Valley</t>
  </si>
  <si>
    <t xml:space="preserve">4230</t>
  </si>
  <si>
    <t xml:space="preserve">Robina Town Centre</t>
  </si>
  <si>
    <t xml:space="preserve">4270</t>
  </si>
  <si>
    <t xml:space="preserve">Tamborine, Tamborine Village</t>
  </si>
  <si>
    <t xml:space="preserve">4271</t>
  </si>
  <si>
    <t xml:space="preserve">Eagle Heights</t>
  </si>
  <si>
    <t xml:space="preserve">4272</t>
  </si>
  <si>
    <t xml:space="preserve">Mount Tamborine, North Tamborine, Tamborine Mountain</t>
  </si>
  <si>
    <t xml:space="preserve">4275</t>
  </si>
  <si>
    <t xml:space="preserve">Benobble, Biddaddaba, Bloomfleet, Boyland</t>
  </si>
  <si>
    <t xml:space="preserve">4280</t>
  </si>
  <si>
    <t xml:space="preserve">Flagstone, Glenlogan, Jimboomba, Maclean</t>
  </si>
  <si>
    <t xml:space="preserve">4285</t>
  </si>
  <si>
    <t xml:space="preserve">Allenview, Beaudesert, Birnam, Bromelton</t>
  </si>
  <si>
    <t xml:space="preserve">4287</t>
  </si>
  <si>
    <t xml:space="preserve">Barney View, Mount Barney, Mount Lindesay, Palen Creek</t>
  </si>
  <si>
    <t xml:space="preserve">4300</t>
  </si>
  <si>
    <t xml:space="preserve">Augustine Heights, Bellbird Park, Brookwater, Camira</t>
  </si>
  <si>
    <t xml:space="preserve">4301</t>
  </si>
  <si>
    <t xml:space="preserve">Collingwood Park, Greenwood Village, Redbank, Redbank Plains</t>
  </si>
  <si>
    <t xml:space="preserve">4303</t>
  </si>
  <si>
    <t xml:space="preserve">Dinmore, New Chum, Riverview</t>
  </si>
  <si>
    <t xml:space="preserve">4304</t>
  </si>
  <si>
    <t xml:space="preserve">Blackstone, Booval, Booval Bc, Booval Dc</t>
  </si>
  <si>
    <t xml:space="preserve">4305</t>
  </si>
  <si>
    <t xml:space="preserve">Basin Pocket, Brassall, Brassall Heights, Bremer</t>
  </si>
  <si>
    <t xml:space="preserve">4306</t>
  </si>
  <si>
    <t xml:space="preserve">Amberley, Avoca Vale, Banks Creek, Barellan Point</t>
  </si>
  <si>
    <t xml:space="preserve">4307</t>
  </si>
  <si>
    <t xml:space="preserve">Coleyville, Harrisville, Mutdapilly, Radford</t>
  </si>
  <si>
    <t xml:space="preserve">4309</t>
  </si>
  <si>
    <t xml:space="preserve">QLD - Rural</t>
  </si>
  <si>
    <t xml:space="preserve">Aratula, Charlwood, Clumber, Fassifern</t>
  </si>
  <si>
    <t xml:space="preserve">4310</t>
  </si>
  <si>
    <t xml:space="preserve">Allandale, Anthony, Blantyre, Boonah</t>
  </si>
  <si>
    <t xml:space="preserve">4311</t>
  </si>
  <si>
    <t xml:space="preserve">Atkinsons Dam, Brightview, Buaraba, Buaraba South</t>
  </si>
  <si>
    <t xml:space="preserve">4312</t>
  </si>
  <si>
    <t xml:space="preserve">Bryden, Caboonbah, Coal Creek, Crossdale</t>
  </si>
  <si>
    <t xml:space="preserve">4313</t>
  </si>
  <si>
    <t xml:space="preserve">Biarra, Braemore, Cooeeimbardi, Cressbrook</t>
  </si>
  <si>
    <t xml:space="preserve">4314</t>
  </si>
  <si>
    <t xml:space="preserve">Avoca Vale, Benarkin, Benarkin North, Blackbutt</t>
  </si>
  <si>
    <t xml:space="preserve">4340</t>
  </si>
  <si>
    <t xml:space="preserve">Ashwell, Calvert, Ebenezer, Grandchester</t>
  </si>
  <si>
    <t xml:space="preserve">4341</t>
  </si>
  <si>
    <t xml:space="preserve">Blenheim, Hatton Vale, Kensington Grove, Kentville</t>
  </si>
  <si>
    <t xml:space="preserve">4342</t>
  </si>
  <si>
    <t xml:space="preserve">Crowley Vale, Forest Hill, Glen Cairn, Glenore Grove</t>
  </si>
  <si>
    <t xml:space="preserve">4343</t>
  </si>
  <si>
    <t xml:space="preserve">Adare, Black Duck Creek, Caffey, College View</t>
  </si>
  <si>
    <t xml:space="preserve">4344</t>
  </si>
  <si>
    <t xml:space="preserve">Carpendale, Egypt, Flagstone Creek, Helidon</t>
  </si>
  <si>
    <t xml:space="preserve">4345</t>
  </si>
  <si>
    <t xml:space="preserve">Gatton College</t>
  </si>
  <si>
    <t xml:space="preserve">4346</t>
  </si>
  <si>
    <t xml:space="preserve">Marburg</t>
  </si>
  <si>
    <t xml:space="preserve">4347</t>
  </si>
  <si>
    <t xml:space="preserve">Grantham, Ma Ma Creek, Mount Whitestone, Veradilla</t>
  </si>
  <si>
    <t xml:space="preserve">4350</t>
  </si>
  <si>
    <t xml:space="preserve">Athol, Blue Mountain Heights, Carrington, Centenary Heights</t>
  </si>
  <si>
    <t xml:space="preserve">4352</t>
  </si>
  <si>
    <t xml:space="preserve">Amiens, Ballard, Bapaume, Birnam</t>
  </si>
  <si>
    <t xml:space="preserve">4353</t>
  </si>
  <si>
    <t xml:space="preserve">Bergen, East Cooyar, Haden, Mount Darry</t>
  </si>
  <si>
    <t xml:space="preserve">4354</t>
  </si>
  <si>
    <t xml:space="preserve">Douglas, Goombungee, Kilbirnie</t>
  </si>
  <si>
    <t xml:space="preserve">4355</t>
  </si>
  <si>
    <t xml:space="preserve">Anduramba, Cressbrook Creek, Crows Nest, Emu Creek</t>
  </si>
  <si>
    <t xml:space="preserve">4356</t>
  </si>
  <si>
    <t xml:space="preserve">Bongeen, Broxburn, Evanslea, Irongate</t>
  </si>
  <si>
    <t xml:space="preserve">4357</t>
  </si>
  <si>
    <t xml:space="preserve">Bringalily, Bulli Creek, Canning Creek, Captains Mountain</t>
  </si>
  <si>
    <t xml:space="preserve">4358</t>
  </si>
  <si>
    <t xml:space="preserve">Cambooya, Felton, Felton East, Felton South</t>
  </si>
  <si>
    <t xml:space="preserve">4359</t>
  </si>
  <si>
    <t xml:space="preserve">Ascot, Budgee, East Greenmount, Greenmount</t>
  </si>
  <si>
    <t xml:space="preserve">4360</t>
  </si>
  <si>
    <t xml:space="preserve">Nobby</t>
  </si>
  <si>
    <t xml:space="preserve">4361</t>
  </si>
  <si>
    <t xml:space="preserve">Back Plains, Clifton, Ellangowan, Elphinstone</t>
  </si>
  <si>
    <t xml:space="preserve">4362</t>
  </si>
  <si>
    <t xml:space="preserve">Allora, Berat, Deuchar, Ellinthorp</t>
  </si>
  <si>
    <t xml:space="preserve">4363</t>
  </si>
  <si>
    <t xml:space="preserve">Southbrook</t>
  </si>
  <si>
    <t xml:space="preserve">4364</t>
  </si>
  <si>
    <t xml:space="preserve">Brookstead</t>
  </si>
  <si>
    <t xml:space="preserve">4365</t>
  </si>
  <si>
    <t xml:space="preserve">Leyburn</t>
  </si>
  <si>
    <t xml:space="preserve">4370</t>
  </si>
  <si>
    <t xml:space="preserve">Allan, Bony Mountain, Canningvale, Cherry Gully</t>
  </si>
  <si>
    <t xml:space="preserve">4371</t>
  </si>
  <si>
    <t xml:space="preserve">Emu Vale, Swanfels, Yangan</t>
  </si>
  <si>
    <t xml:space="preserve">4372</t>
  </si>
  <si>
    <t xml:space="preserve">Tannymorel</t>
  </si>
  <si>
    <t xml:space="preserve">4373</t>
  </si>
  <si>
    <t xml:space="preserve">Killarney, The Falls, The Head</t>
  </si>
  <si>
    <t xml:space="preserve">4374</t>
  </si>
  <si>
    <t xml:space="preserve">Dalveen, Palgrave</t>
  </si>
  <si>
    <t xml:space="preserve">4375</t>
  </si>
  <si>
    <t xml:space="preserve">Cottonvale, Fleurbaix</t>
  </si>
  <si>
    <t xml:space="preserve">4376</t>
  </si>
  <si>
    <t xml:space="preserve">Thulimbah</t>
  </si>
  <si>
    <t xml:space="preserve">4377</t>
  </si>
  <si>
    <t xml:space="preserve">Glen Niven, Maryland, The Summit</t>
  </si>
  <si>
    <t xml:space="preserve">4378</t>
  </si>
  <si>
    <t xml:space="preserve">Applethorpe</t>
  </si>
  <si>
    <t xml:space="preserve">4380</t>
  </si>
  <si>
    <t xml:space="preserve">Amiens, Amosfield, Broadwater, Cannon Creek</t>
  </si>
  <si>
    <t xml:space="preserve">4381</t>
  </si>
  <si>
    <t xml:space="preserve">Fletcher, Glen Aplin</t>
  </si>
  <si>
    <t xml:space="preserve">4382</t>
  </si>
  <si>
    <t xml:space="preserve">Ballandean, Girraween, Lyra, Somme</t>
  </si>
  <si>
    <t xml:space="preserve">4383</t>
  </si>
  <si>
    <t xml:space="preserve">Jennings, Wallangarra</t>
  </si>
  <si>
    <t xml:space="preserve">4384</t>
  </si>
  <si>
    <t xml:space="preserve">Limevale</t>
  </si>
  <si>
    <t xml:space="preserve">4385</t>
  </si>
  <si>
    <t xml:space="preserve">Beebo, Bonshaw, Camp Creek, Glenarbon</t>
  </si>
  <si>
    <t xml:space="preserve">4387</t>
  </si>
  <si>
    <t xml:space="preserve">Brush Creek, Bybera, Coolmunda, Greenup</t>
  </si>
  <si>
    <t xml:space="preserve">4388</t>
  </si>
  <si>
    <t xml:space="preserve">Kurumbul, Yelarbon</t>
  </si>
  <si>
    <t xml:space="preserve">4390</t>
  </si>
  <si>
    <t xml:space="preserve">Billa Billa, Calingunee, Callandoon, Goodar</t>
  </si>
  <si>
    <t xml:space="preserve">4400</t>
  </si>
  <si>
    <t xml:space="preserve">Kingsthorpe</t>
  </si>
  <si>
    <t xml:space="preserve">4401</t>
  </si>
  <si>
    <t xml:space="preserve">Acland, Aubigny, Balgowan, Biddeston</t>
  </si>
  <si>
    <t xml:space="preserve">4402</t>
  </si>
  <si>
    <t xml:space="preserve">Cooyar, Kooralgin, Upper Cooyar Creek</t>
  </si>
  <si>
    <t xml:space="preserve">4403</t>
  </si>
  <si>
    <t xml:space="preserve">Brymaroo, Jondaryan, Malu, Mount Moriah</t>
  </si>
  <si>
    <t xml:space="preserve">4404</t>
  </si>
  <si>
    <t xml:space="preserve">Bowenville, Formartin, Irvingdale, Wainui</t>
  </si>
  <si>
    <t xml:space="preserve">4405</t>
  </si>
  <si>
    <t xml:space="preserve">Beelbee, Blaxland, Braemar Forest, Broadwater</t>
  </si>
  <si>
    <t xml:space="preserve">4406</t>
  </si>
  <si>
    <t xml:space="preserve">Boondandilla, Halliford, Hannaford, Jimbour</t>
  </si>
  <si>
    <t xml:space="preserve">4407</t>
  </si>
  <si>
    <t xml:space="preserve">Cattle Creek, Cecil Plains, Dunmore, Nangwee</t>
  </si>
  <si>
    <t xml:space="preserve">4408</t>
  </si>
  <si>
    <t xml:space="preserve">Bell, Cooranga, Cooranga North</t>
  </si>
  <si>
    <t xml:space="preserve">4410</t>
  </si>
  <si>
    <t xml:space="preserve">Burra Burri, Darr Creek, Diamondy, Jandowae</t>
  </si>
  <si>
    <t xml:space="preserve">4411</t>
  </si>
  <si>
    <t xml:space="preserve">Tuckerang, Warra</t>
  </si>
  <si>
    <t xml:space="preserve">4412</t>
  </si>
  <si>
    <t xml:space="preserve">Brigalow, Wychie</t>
  </si>
  <si>
    <t xml:space="preserve">4413</t>
  </si>
  <si>
    <t xml:space="preserve">Auburn, Baking Board, Barakula, Blackswamp</t>
  </si>
  <si>
    <t xml:space="preserve">4415</t>
  </si>
  <si>
    <t xml:space="preserve">Boortkoi, Columboola, Dalwogan, Dalwogon</t>
  </si>
  <si>
    <t xml:space="preserve">4416</t>
  </si>
  <si>
    <t xml:space="preserve">Barramornie, Condamine, Moraby, Nangram</t>
  </si>
  <si>
    <t xml:space="preserve">4417</t>
  </si>
  <si>
    <t xml:space="preserve">Noorindoo, Oberina, Parknook, Surat</t>
  </si>
  <si>
    <t xml:space="preserve">4418</t>
  </si>
  <si>
    <t xml:space="preserve">Guluguba</t>
  </si>
  <si>
    <t xml:space="preserve">4419</t>
  </si>
  <si>
    <t xml:space="preserve">Bundi, Bungaban, Cockatoo, Grosmont</t>
  </si>
  <si>
    <t xml:space="preserve">4420</t>
  </si>
  <si>
    <t xml:space="preserve">Baroondah, Broadmere, Coorada, Eurombah</t>
  </si>
  <si>
    <t xml:space="preserve">4421</t>
  </si>
  <si>
    <t xml:space="preserve">Goranba, Tara</t>
  </si>
  <si>
    <t xml:space="preserve">4422</t>
  </si>
  <si>
    <t xml:space="preserve">Coomrith, Flinton, Inglestone, Meandarra</t>
  </si>
  <si>
    <t xml:space="preserve">4423</t>
  </si>
  <si>
    <t xml:space="preserve">Coomrith, Glenmorgan, Teelba</t>
  </si>
  <si>
    <t xml:space="preserve">4424</t>
  </si>
  <si>
    <t xml:space="preserve">Drillham, Drillham South, Glenaubyn</t>
  </si>
  <si>
    <t xml:space="preserve">4425</t>
  </si>
  <si>
    <t xml:space="preserve">Bogandilla, Dulacca</t>
  </si>
  <si>
    <t xml:space="preserve">4426</t>
  </si>
  <si>
    <t xml:space="preserve">Jackson, Jackson North, Jackson South</t>
  </si>
  <si>
    <t xml:space="preserve">4427</t>
  </si>
  <si>
    <t xml:space="preserve">Clifford, Yuleba, Yuleba North, Yuleba South</t>
  </si>
  <si>
    <t xml:space="preserve">4428</t>
  </si>
  <si>
    <t xml:space="preserve">Pickanjinnie, Wallumbilla, Wallumbilla North, Wallumbilla South</t>
  </si>
  <si>
    <t xml:space="preserve">4454</t>
  </si>
  <si>
    <t xml:space="preserve">Arcadia Valley, Baffle West, Beilba, Durham Downs</t>
  </si>
  <si>
    <t xml:space="preserve">4455</t>
  </si>
  <si>
    <t xml:space="preserve">Angellala, Ballaroo, Blythdale, Bungeworgorai</t>
  </si>
  <si>
    <t xml:space="preserve">4461</t>
  </si>
  <si>
    <t xml:space="preserve">Muckadilla</t>
  </si>
  <si>
    <t xml:space="preserve">4462</t>
  </si>
  <si>
    <t xml:space="preserve">Amby, Eurella, Walhallow</t>
  </si>
  <si>
    <t xml:space="preserve">4465</t>
  </si>
  <si>
    <t xml:space="preserve">Bargunyah, Dunkeld, Forestvale, Kilmorey Falls</t>
  </si>
  <si>
    <t xml:space="preserve">4467</t>
  </si>
  <si>
    <t xml:space="preserve">Mungallala, Mungallala South, Redford, Tyrconnel</t>
  </si>
  <si>
    <t xml:space="preserve">4468</t>
  </si>
  <si>
    <t xml:space="preserve">Boatman, Clara Creek, Morven</t>
  </si>
  <si>
    <t xml:space="preserve">4470</t>
  </si>
  <si>
    <t xml:space="preserve">Bakers Bend, Charleville, Gowrie Station, Langlo</t>
  </si>
  <si>
    <t xml:space="preserve">4471</t>
  </si>
  <si>
    <t xml:space="preserve">Claverton, Nardoo Siding</t>
  </si>
  <si>
    <t xml:space="preserve">4472</t>
  </si>
  <si>
    <t xml:space="preserve">Blackall, Mount Enniskillen</t>
  </si>
  <si>
    <t xml:space="preserve">4474</t>
  </si>
  <si>
    <t xml:space="preserve">Adavale</t>
  </si>
  <si>
    <t xml:space="preserve">4475</t>
  </si>
  <si>
    <t xml:space="preserve">Cheepie</t>
  </si>
  <si>
    <t xml:space="preserve">4477</t>
  </si>
  <si>
    <t xml:space="preserve">Augathella, Caroline Crossing, Nive, Upper Warrego</t>
  </si>
  <si>
    <t xml:space="preserve">4478</t>
  </si>
  <si>
    <t xml:space="preserve">Bayrick, Caldervale, Lansdowne, Lumeah</t>
  </si>
  <si>
    <t xml:space="preserve">4479</t>
  </si>
  <si>
    <t xml:space="preserve">Cooladdi</t>
  </si>
  <si>
    <t xml:space="preserve">4480</t>
  </si>
  <si>
    <t xml:space="preserve">Eromanga, Quilpie</t>
  </si>
  <si>
    <t xml:space="preserve">4481</t>
  </si>
  <si>
    <t xml:space="preserve">Farrars Creek, Tanbar, Windorah</t>
  </si>
  <si>
    <t xml:space="preserve">4482</t>
  </si>
  <si>
    <t xml:space="preserve">Birdsville</t>
  </si>
  <si>
    <t xml:space="preserve">4486</t>
  </si>
  <si>
    <t xml:space="preserve">Dirranbandi, Hebel</t>
  </si>
  <si>
    <t xml:space="preserve">4487</t>
  </si>
  <si>
    <t xml:space="preserve">Begonia, St George</t>
  </si>
  <si>
    <t xml:space="preserve">4488</t>
  </si>
  <si>
    <t xml:space="preserve">Bargunyah, Bindebango, Bollon, Nebine</t>
  </si>
  <si>
    <t xml:space="preserve">4489</t>
  </si>
  <si>
    <t xml:space="preserve">Wyandra</t>
  </si>
  <si>
    <t xml:space="preserve">4490</t>
  </si>
  <si>
    <t xml:space="preserve">Barringun, Coongoola, Cunnamulla, Cuttaburra</t>
  </si>
  <si>
    <t xml:space="preserve">4491</t>
  </si>
  <si>
    <t xml:space="preserve">Eulo</t>
  </si>
  <si>
    <t xml:space="preserve">4492</t>
  </si>
  <si>
    <t xml:space="preserve">Bullawarra, Bulloo Downs, Cameron Corner, Durham</t>
  </si>
  <si>
    <t xml:space="preserve">4493</t>
  </si>
  <si>
    <t xml:space="preserve">Hungerford</t>
  </si>
  <si>
    <t xml:space="preserve">4494</t>
  </si>
  <si>
    <t xml:space="preserve">Bungunya, North Bungunya, Tarawera</t>
  </si>
  <si>
    <t xml:space="preserve">4496</t>
  </si>
  <si>
    <t xml:space="preserve">North Talwood, South Talwood, Talwood</t>
  </si>
  <si>
    <t xml:space="preserve">4497</t>
  </si>
  <si>
    <t xml:space="preserve">Daymar, Thallon, Weengallon</t>
  </si>
  <si>
    <t xml:space="preserve">4498</t>
  </si>
  <si>
    <t xml:space="preserve">Kioma, Toobeah</t>
  </si>
  <si>
    <t xml:space="preserve">4500</t>
  </si>
  <si>
    <t xml:space="preserve">Bray Park, Brendale, Brendale Bc, Brendale Dc</t>
  </si>
  <si>
    <t xml:space="preserve">4501</t>
  </si>
  <si>
    <t xml:space="preserve">Lawnton</t>
  </si>
  <si>
    <t xml:space="preserve">4502</t>
  </si>
  <si>
    <t xml:space="preserve">Frenchs Forest, Petrie</t>
  </si>
  <si>
    <t xml:space="preserve">4503</t>
  </si>
  <si>
    <t xml:space="preserve">Dakabin, Dohles Rocks, Griffin, Kallangur</t>
  </si>
  <si>
    <t xml:space="preserve">4504</t>
  </si>
  <si>
    <t xml:space="preserve">Narangba</t>
  </si>
  <si>
    <t xml:space="preserve">4505</t>
  </si>
  <si>
    <t xml:space="preserve">Burpengary, Burpengary Dc, Burpengary East</t>
  </si>
  <si>
    <t xml:space="preserve">4506</t>
  </si>
  <si>
    <t xml:space="preserve">Moorina, Morayfield</t>
  </si>
  <si>
    <t xml:space="preserve">4507</t>
  </si>
  <si>
    <t xml:space="preserve">Banksia Beach, Bellara, Bongaree, Bribie Island</t>
  </si>
  <si>
    <t xml:space="preserve">4508</t>
  </si>
  <si>
    <t xml:space="preserve">Deception Bay</t>
  </si>
  <si>
    <t xml:space="preserve">4509</t>
  </si>
  <si>
    <t xml:space="preserve">Mango Hill, North Lakes</t>
  </si>
  <si>
    <t xml:space="preserve">4510</t>
  </si>
  <si>
    <t xml:space="preserve">Balingool, Beachmere, Bellmere, Caboolture</t>
  </si>
  <si>
    <t xml:space="preserve">4511</t>
  </si>
  <si>
    <t xml:space="preserve">Godwin Beach, Ningi, Sandstone Point</t>
  </si>
  <si>
    <t xml:space="preserve">4512</t>
  </si>
  <si>
    <t xml:space="preserve">Bracalba, Wamuran, Wamuran Basin</t>
  </si>
  <si>
    <t xml:space="preserve">4513</t>
  </si>
  <si>
    <t xml:space="preserve">Corymbia, Greenstone, Lilywood, Wagtail Grove</t>
  </si>
  <si>
    <t xml:space="preserve">4514</t>
  </si>
  <si>
    <t xml:space="preserve">Bellthorpe, Cedarton, Commissioners Flat, D’Aguilar</t>
  </si>
  <si>
    <t xml:space="preserve">4515</t>
  </si>
  <si>
    <t xml:space="preserve">Glenfern, Hazeldean, Jimna, Kilcoy</t>
  </si>
  <si>
    <t xml:space="preserve">4516</t>
  </si>
  <si>
    <t xml:space="preserve">Elimbah</t>
  </si>
  <si>
    <t xml:space="preserve">4517</t>
  </si>
  <si>
    <t xml:space="preserve">Beerburrum</t>
  </si>
  <si>
    <t xml:space="preserve">4518</t>
  </si>
  <si>
    <t xml:space="preserve">Glass House Mountains</t>
  </si>
  <si>
    <t xml:space="preserve">4519</t>
  </si>
  <si>
    <t xml:space="preserve">Beerwah, Coochin Creek, Crohamhurst, Peachester</t>
  </si>
  <si>
    <t xml:space="preserve">4520</t>
  </si>
  <si>
    <t xml:space="preserve">Armstrong Creek, Camp Mountain, Cedar Creek, Closeburn</t>
  </si>
  <si>
    <t xml:space="preserve">4521</t>
  </si>
  <si>
    <t xml:space="preserve">Campbells Pocket, Dayboro, King Scrub, Laceys Creek</t>
  </si>
  <si>
    <t xml:space="preserve">4550</t>
  </si>
  <si>
    <t xml:space="preserve">Landsborough, Mount Mellum</t>
  </si>
  <si>
    <t xml:space="preserve">4551</t>
  </si>
  <si>
    <t xml:space="preserve">Aroona, Banya, Baringa, Battery Hill</t>
  </si>
  <si>
    <t xml:space="preserve">4552</t>
  </si>
  <si>
    <t xml:space="preserve">Bald Knob, Balmoral Ridge, Baroon Pocket, Booroobin</t>
  </si>
  <si>
    <t xml:space="preserve">4553</t>
  </si>
  <si>
    <t xml:space="preserve">Diamond Valley, Glenview, Mooloolah, Mooloolah Valley</t>
  </si>
  <si>
    <t xml:space="preserve">4554</t>
  </si>
  <si>
    <t xml:space="preserve">Eudlo, Ilkley</t>
  </si>
  <si>
    <t xml:space="preserve">4555</t>
  </si>
  <si>
    <t xml:space="preserve">Chevallum, Hunchy, Landers Shoot, Palmwoods</t>
  </si>
  <si>
    <t xml:space="preserve">4556</t>
  </si>
  <si>
    <t xml:space="preserve">Buderim, Forest Glen, Kunda Park, Mons</t>
  </si>
  <si>
    <t xml:space="preserve">4557</t>
  </si>
  <si>
    <t xml:space="preserve">Mooloolaba, Mountain Creek</t>
  </si>
  <si>
    <t xml:space="preserve">4558</t>
  </si>
  <si>
    <t xml:space="preserve">Cotton Tree, Kuluin, Maroochydore, Maroochydore Bc</t>
  </si>
  <si>
    <t xml:space="preserve">4559</t>
  </si>
  <si>
    <t xml:space="preserve">Diddillibah, Kiels Mountain, West Woombye, Woombye</t>
  </si>
  <si>
    <t xml:space="preserve">4560</t>
  </si>
  <si>
    <t xml:space="preserve">Bli Bli, Burnside, Coes Creek, Cooloolabin</t>
  </si>
  <si>
    <t xml:space="preserve">4561</t>
  </si>
  <si>
    <t xml:space="preserve">Bridges, Maroochy River, Ninderry, North Arm</t>
  </si>
  <si>
    <t xml:space="preserve">4562</t>
  </si>
  <si>
    <t xml:space="preserve">Belli Park, Doonan, Eerwah Vale, Eumundi</t>
  </si>
  <si>
    <t xml:space="preserve">4563</t>
  </si>
  <si>
    <t xml:space="preserve">Black Mountain, Carters Ridge, Cooroy, Cooroy Mountain</t>
  </si>
  <si>
    <t xml:space="preserve">4564</t>
  </si>
  <si>
    <t xml:space="preserve">Marcoola, Mudjimba, Pacific Paradise, Twin Waters</t>
  </si>
  <si>
    <t xml:space="preserve">4565</t>
  </si>
  <si>
    <t xml:space="preserve">Boreen, Boreen Point, Cooroibah, Cootharaba</t>
  </si>
  <si>
    <t xml:space="preserve">4566</t>
  </si>
  <si>
    <t xml:space="preserve">Munna Point, Noosaville, Noosaville Bc, Noosaville Dc</t>
  </si>
  <si>
    <t xml:space="preserve">4567</t>
  </si>
  <si>
    <t xml:space="preserve">Castaways Beach, Little Cove, Noosa Heads, Sunrise Beach</t>
  </si>
  <si>
    <t xml:space="preserve">4568</t>
  </si>
  <si>
    <t xml:space="preserve">Federal, Pinbarren, Pomona</t>
  </si>
  <si>
    <t xml:space="preserve">4569</t>
  </si>
  <si>
    <t xml:space="preserve">Cooran</t>
  </si>
  <si>
    <t xml:space="preserve">4570</t>
  </si>
  <si>
    <t xml:space="preserve">Amamoor, Amamoor Creek, Anderleigh, Araluen</t>
  </si>
  <si>
    <t xml:space="preserve">4571</t>
  </si>
  <si>
    <t xml:space="preserve">Como, Kin Kin, Wahpunga</t>
  </si>
  <si>
    <t xml:space="preserve">4572</t>
  </si>
  <si>
    <t xml:space="preserve">Alexandra Headland</t>
  </si>
  <si>
    <t xml:space="preserve">4573</t>
  </si>
  <si>
    <t xml:space="preserve">Coolum Beach, Marcus Beach, Mount Coolum, Peregian Beach</t>
  </si>
  <si>
    <t xml:space="preserve">4574</t>
  </si>
  <si>
    <t xml:space="preserve">Coolabine, Gheerulla, Kenilworth, Kidaman Creek</t>
  </si>
  <si>
    <t xml:space="preserve">4575</t>
  </si>
  <si>
    <t xml:space="preserve">Birtinya, Bokarina, Buddina, Kawana Waters</t>
  </si>
  <si>
    <t xml:space="preserve">4580</t>
  </si>
  <si>
    <t xml:space="preserve">Cooloola, Cooloola Cove, Tin Can Bay</t>
  </si>
  <si>
    <t xml:space="preserve">4581</t>
  </si>
  <si>
    <t xml:space="preserve">Eurong, Fraser Island, Inskip, Inskip Point</t>
  </si>
  <si>
    <t xml:space="preserve">4600</t>
  </si>
  <si>
    <t xml:space="preserve">Black Snake, Cinnabar, Kilkivan, Mudlo</t>
  </si>
  <si>
    <t xml:space="preserve">4601</t>
  </si>
  <si>
    <t xml:space="preserve">Barambah, Boonara, Booubyjan, Goomeri</t>
  </si>
  <si>
    <t xml:space="preserve">4605</t>
  </si>
  <si>
    <t xml:space="preserve">Barlil, Byee, Cherbourg, Cloyna</t>
  </si>
  <si>
    <t xml:space="preserve">4606</t>
  </si>
  <si>
    <t xml:space="preserve">Chelmsford, Fairdale, Ficks Crossing, Greenview</t>
  </si>
  <si>
    <t xml:space="preserve">4608</t>
  </si>
  <si>
    <t xml:space="preserve">Charlestown, Cushnie, Tingoora, Wilkesdale</t>
  </si>
  <si>
    <t xml:space="preserve">4610</t>
  </si>
  <si>
    <t xml:space="preserve">Alice Creek, Ballogie, Benair, Booie</t>
  </si>
  <si>
    <t xml:space="preserve">4611</t>
  </si>
  <si>
    <t xml:space="preserve">Marshlands, Mondure</t>
  </si>
  <si>
    <t xml:space="preserve">4612</t>
  </si>
  <si>
    <t xml:space="preserve">Hivesville, Kawl Kawl, Keysland, Stonelands</t>
  </si>
  <si>
    <t xml:space="preserve">4613</t>
  </si>
  <si>
    <t xml:space="preserve">Abbeywood, Boondooma, Brigooda, Coverty</t>
  </si>
  <si>
    <t xml:space="preserve">4614</t>
  </si>
  <si>
    <t xml:space="preserve">Neumgna, Upper Yarraman, Yarraman</t>
  </si>
  <si>
    <t xml:space="preserve">4615</t>
  </si>
  <si>
    <t xml:space="preserve">Barker Creek Flat, Brooklands, Bullcamp, East Nanango</t>
  </si>
  <si>
    <t xml:space="preserve">4620</t>
  </si>
  <si>
    <t xml:space="preserve">Aramara, Brooweena, Doongul, Gigoomgan</t>
  </si>
  <si>
    <t xml:space="preserve">4621</t>
  </si>
  <si>
    <t xml:space="preserve">Biggenden, Boompa, Coalstoun Lakes, Coringa</t>
  </si>
  <si>
    <t xml:space="preserve">4625</t>
  </si>
  <si>
    <t xml:space="preserve">Aranbanga, Ban Ban, Ban Ban Springs, Barlyne</t>
  </si>
  <si>
    <t xml:space="preserve">4626</t>
  </si>
  <si>
    <t xml:space="preserve">Beeron, Boynewood, Brovinia, Cattle Creek</t>
  </si>
  <si>
    <t xml:space="preserve">4627</t>
  </si>
  <si>
    <t xml:space="preserve">Abercorn, Ceratodus, Cheltenham, Cynthia</t>
  </si>
  <si>
    <t xml:space="preserve">4630</t>
  </si>
  <si>
    <t xml:space="preserve">Bancroft, Bukali, Cania, Cannindah</t>
  </si>
  <si>
    <t xml:space="preserve">4650</t>
  </si>
  <si>
    <t xml:space="preserve">Aldershot, Antigua, Aubinville, Baddow</t>
  </si>
  <si>
    <t xml:space="preserve">4655</t>
  </si>
  <si>
    <t xml:space="preserve">Booral, Bunya Creek, Craignish, Dundowran</t>
  </si>
  <si>
    <t xml:space="preserve">4659</t>
  </si>
  <si>
    <t xml:space="preserve">Beelbi Creek, Burgowan, Burrum, Burrum Heads</t>
  </si>
  <si>
    <t xml:space="preserve">4660</t>
  </si>
  <si>
    <t xml:space="preserve">Abington, Apple Tree Creek, Buxton, Cherwell</t>
  </si>
  <si>
    <t xml:space="preserve">4662</t>
  </si>
  <si>
    <t xml:space="preserve">Torbanlea</t>
  </si>
  <si>
    <t xml:space="preserve">4670</t>
  </si>
  <si>
    <t xml:space="preserve">Abbotsford, Alloway, Ashfield, Avenell Heights</t>
  </si>
  <si>
    <t xml:space="preserve">4671</t>
  </si>
  <si>
    <t xml:space="preserve">Boolboonda, Booyal, Bullyard, Bungadoo</t>
  </si>
  <si>
    <t xml:space="preserve">4673</t>
  </si>
  <si>
    <t xml:space="preserve">Littabella, Miara, Waterloo, Yandaran</t>
  </si>
  <si>
    <t xml:space="preserve">4674</t>
  </si>
  <si>
    <t xml:space="preserve">Baffle Creek, Berajondo, Deepwater, Euleilah</t>
  </si>
  <si>
    <t xml:space="preserve">4676</t>
  </si>
  <si>
    <t xml:space="preserve">Gindoran, Lowmead</t>
  </si>
  <si>
    <t xml:space="preserve">4677</t>
  </si>
  <si>
    <t xml:space="preserve">Agnes Water, Captain Creek, Colosseum, Eurimbula</t>
  </si>
  <si>
    <t xml:space="preserve">4678</t>
  </si>
  <si>
    <t xml:space="preserve">Bororen, Foreshores, Rodds Bay, Turkey Beach</t>
  </si>
  <si>
    <t xml:space="preserve">4680</t>
  </si>
  <si>
    <t xml:space="preserve">Barmundu, Barney Point, Beecher, Benaraby</t>
  </si>
  <si>
    <t xml:space="preserve">4694</t>
  </si>
  <si>
    <t xml:space="preserve">Aldoga, Targinie, Targinnie, Yarwun</t>
  </si>
  <si>
    <t xml:space="preserve">4695</t>
  </si>
  <si>
    <t xml:space="preserve">Ambrose, Bracewell, Darts Creek, East End</t>
  </si>
  <si>
    <t xml:space="preserve">4697</t>
  </si>
  <si>
    <t xml:space="preserve">Raglan</t>
  </si>
  <si>
    <t xml:space="preserve">4699</t>
  </si>
  <si>
    <t xml:space="preserve">Bajool, Port Alma</t>
  </si>
  <si>
    <t xml:space="preserve">4700</t>
  </si>
  <si>
    <t xml:space="preserve">Allenstown, Depot Hill, Fairy Bower, Great Keppel Island</t>
  </si>
  <si>
    <t xml:space="preserve">4701</t>
  </si>
  <si>
    <t xml:space="preserve">Berserker, Central Queensland University, Frenchville, Greenlake</t>
  </si>
  <si>
    <t xml:space="preserve">4702</t>
  </si>
  <si>
    <t xml:space="preserve">Alberta, Alsace, Alton Downs, Anakie</t>
  </si>
  <si>
    <t xml:space="preserve">4703</t>
  </si>
  <si>
    <t xml:space="preserve">Adelaide Park, Bangalee, Barlows Hill, Barmaryee</t>
  </si>
  <si>
    <t xml:space="preserve">4704</t>
  </si>
  <si>
    <t xml:space="preserve">Wattlebank, Yaamba</t>
  </si>
  <si>
    <t xml:space="preserve">4705</t>
  </si>
  <si>
    <t xml:space="preserve">Clarke Creek, Lotus Creek, Mackenzie River, Marlborough</t>
  </si>
  <si>
    <t xml:space="preserve">4706</t>
  </si>
  <si>
    <t xml:space="preserve">Ogmore</t>
  </si>
  <si>
    <t xml:space="preserve">4707</t>
  </si>
  <si>
    <t xml:space="preserve">Collaroy, St Lawrence, The Percy Group</t>
  </si>
  <si>
    <t xml:space="preserve">4709</t>
  </si>
  <si>
    <t xml:space="preserve">Tieri</t>
  </si>
  <si>
    <t xml:space="preserve">4710</t>
  </si>
  <si>
    <t xml:space="preserve">Emu Park, Zilzie</t>
  </si>
  <si>
    <t xml:space="preserve">4711</t>
  </si>
  <si>
    <t xml:space="preserve">Glendale, Glenlee</t>
  </si>
  <si>
    <t xml:space="preserve">4712</t>
  </si>
  <si>
    <t xml:space="preserve">Duaringa</t>
  </si>
  <si>
    <t xml:space="preserve">4713</t>
  </si>
  <si>
    <t xml:space="preserve">Woorabinda</t>
  </si>
  <si>
    <t xml:space="preserve">4714</t>
  </si>
  <si>
    <t xml:space="preserve">Baree, Boulder Creek, Fletcher Creek, Hamilton Creek</t>
  </si>
  <si>
    <t xml:space="preserve">4715</t>
  </si>
  <si>
    <t xml:space="preserve">Biloela, Callide, Castle Creek, Dakenba</t>
  </si>
  <si>
    <t xml:space="preserve">4716</t>
  </si>
  <si>
    <t xml:space="preserve">Lawgi Dawes, Thangool</t>
  </si>
  <si>
    <t xml:space="preserve">4717</t>
  </si>
  <si>
    <t xml:space="preserve">Blackwater</t>
  </si>
  <si>
    <t xml:space="preserve">4718</t>
  </si>
  <si>
    <t xml:space="preserve">Bauhinia, Dromedary, Kianga, Moura</t>
  </si>
  <si>
    <t xml:space="preserve">4719</t>
  </si>
  <si>
    <t xml:space="preserve">Camboon, Cracow, Glenmoral, Isla</t>
  </si>
  <si>
    <t xml:space="preserve">4720</t>
  </si>
  <si>
    <t xml:space="preserve">Emerald, Lochington, Yamala</t>
  </si>
  <si>
    <t xml:space="preserve">4721</t>
  </si>
  <si>
    <t xml:space="preserve">Argyll, Belyando, Clermont, Elgin</t>
  </si>
  <si>
    <t xml:space="preserve">4722</t>
  </si>
  <si>
    <t xml:space="preserve">Albinia, Buckland, Cairdbeign, Cona Creek</t>
  </si>
  <si>
    <t xml:space="preserve">4723</t>
  </si>
  <si>
    <t xml:space="preserve">Belcong, Bundoora, Capella, Carbine Creek</t>
  </si>
  <si>
    <t xml:space="preserve">4724</t>
  </si>
  <si>
    <t xml:space="preserve">Alpha, Beaufort, Drummondslope, Hobartville</t>
  </si>
  <si>
    <t xml:space="preserve">4725</t>
  </si>
  <si>
    <t xml:space="preserve">Barcaldine, Barcaldine Downs, Patrick, Saltern</t>
  </si>
  <si>
    <t xml:space="preserve">4726</t>
  </si>
  <si>
    <t xml:space="preserve">Aramac, Galilee, Pelican Creek</t>
  </si>
  <si>
    <t xml:space="preserve">4727</t>
  </si>
  <si>
    <t xml:space="preserve">Ilfracombe</t>
  </si>
  <si>
    <t xml:space="preserve">4728</t>
  </si>
  <si>
    <t xml:space="preserve">Dunrobin, Garfield, Jericho, Mexico</t>
  </si>
  <si>
    <t xml:space="preserve">4730</t>
  </si>
  <si>
    <t xml:space="preserve">Brixton, Camoola, Chorregon, Ernestina</t>
  </si>
  <si>
    <t xml:space="preserve">4731</t>
  </si>
  <si>
    <t xml:space="preserve">Isisford, Yaraka</t>
  </si>
  <si>
    <t xml:space="preserve">4732</t>
  </si>
  <si>
    <t xml:space="preserve">Muttaburra, Tablederry</t>
  </si>
  <si>
    <t xml:space="preserve">4733</t>
  </si>
  <si>
    <t xml:space="preserve">Corfield</t>
  </si>
  <si>
    <t xml:space="preserve">4735</t>
  </si>
  <si>
    <t xml:space="preserve">Diamantina Lakes, Middleton, Opalton, Winton</t>
  </si>
  <si>
    <t xml:space="preserve">4736</t>
  </si>
  <si>
    <t xml:space="preserve">Jundah</t>
  </si>
  <si>
    <t xml:space="preserve">4737</t>
  </si>
  <si>
    <t xml:space="preserve">Armstrong Beach, Blue Mountain, Campwin Beach, Colston Park</t>
  </si>
  <si>
    <t xml:space="preserve">4738</t>
  </si>
  <si>
    <t xml:space="preserve">Ilbilbie, Koumala</t>
  </si>
  <si>
    <t xml:space="preserve">4739</t>
  </si>
  <si>
    <t xml:space="preserve">Carmila</t>
  </si>
  <si>
    <t xml:space="preserve">4740</t>
  </si>
  <si>
    <t xml:space="preserve">Alexandra, Alligator Creek, Andergrove, Bakers Creek</t>
  </si>
  <si>
    <t xml:space="preserve">4741</t>
  </si>
  <si>
    <t xml:space="preserve">Ball Bay, Brampton Island, Brightly, Clairview</t>
  </si>
  <si>
    <t xml:space="preserve">4742</t>
  </si>
  <si>
    <t xml:space="preserve">Burton, Eaglefield, Elphinstone, Hail Creek</t>
  </si>
  <si>
    <t xml:space="preserve">4743</t>
  </si>
  <si>
    <t xml:space="preserve">Glenden, Suttor</t>
  </si>
  <si>
    <t xml:space="preserve">4744</t>
  </si>
  <si>
    <t xml:space="preserve">Moranbah, Peak Downs Mine</t>
  </si>
  <si>
    <t xml:space="preserve">4745</t>
  </si>
  <si>
    <t xml:space="preserve">Dysart, Norwich Park</t>
  </si>
  <si>
    <t xml:space="preserve">4746</t>
  </si>
  <si>
    <t xml:space="preserve">German Creek, May Downs, Middlemount</t>
  </si>
  <si>
    <t xml:space="preserve">4750</t>
  </si>
  <si>
    <t xml:space="preserve">Bucasia, Shoal Point</t>
  </si>
  <si>
    <t xml:space="preserve">4751</t>
  </si>
  <si>
    <t xml:space="preserve">Greenmount, Palmyra, Victoria Plains, Walkerston</t>
  </si>
  <si>
    <t xml:space="preserve">4753</t>
  </si>
  <si>
    <t xml:space="preserve">Devereux Creek, Marian</t>
  </si>
  <si>
    <t xml:space="preserve">4754</t>
  </si>
  <si>
    <t xml:space="preserve">Benholme, Dows Creek, Mia Mia, Mirani</t>
  </si>
  <si>
    <t xml:space="preserve">4756</t>
  </si>
  <si>
    <t xml:space="preserve">Finch Hatton, Netherdale</t>
  </si>
  <si>
    <t xml:space="preserve">4757</t>
  </si>
  <si>
    <t xml:space="preserve">Broken River, Crediton, Dalrymple Heights, Eungella</t>
  </si>
  <si>
    <t xml:space="preserve">4798</t>
  </si>
  <si>
    <t xml:space="preserve">Calen, Mentmore, Pindi Pindi, St Helens Beach</t>
  </si>
  <si>
    <t xml:space="preserve">4799</t>
  </si>
  <si>
    <t xml:space="preserve">Bloomsbury, Midge Point</t>
  </si>
  <si>
    <t xml:space="preserve">4800</t>
  </si>
  <si>
    <t xml:space="preserve">Andromache, Brandy Creek, Breadalbane, Cannon Valley</t>
  </si>
  <si>
    <t xml:space="preserve">4801</t>
  </si>
  <si>
    <t xml:space="preserve">Hayman Island</t>
  </si>
  <si>
    <t xml:space="preserve">4802</t>
  </si>
  <si>
    <t xml:space="preserve">Airlie Beach, Cannonvale, Flametree, Jubilee Pocket</t>
  </si>
  <si>
    <t xml:space="preserve">4803</t>
  </si>
  <si>
    <t xml:space="preserve">Hamilton Island</t>
  </si>
  <si>
    <t xml:space="preserve">4804</t>
  </si>
  <si>
    <t xml:space="preserve">Collinsville, Mount Coolon, Mount Wyatt, Newlands</t>
  </si>
  <si>
    <t xml:space="preserve">4805</t>
  </si>
  <si>
    <t xml:space="preserve">Binbee, Bogie, Bowen, Brisk Bay</t>
  </si>
  <si>
    <t xml:space="preserve">4806</t>
  </si>
  <si>
    <t xml:space="preserve">Arkendeith, Carstairs, Down River, Fredericksfield</t>
  </si>
  <si>
    <t xml:space="preserve">4807</t>
  </si>
  <si>
    <t xml:space="preserve">Airdmillan, Airville, Alva, Ayr</t>
  </si>
  <si>
    <t xml:space="preserve">4808</t>
  </si>
  <si>
    <t xml:space="preserve">Brandon, Colevale</t>
  </si>
  <si>
    <t xml:space="preserve">4809</t>
  </si>
  <si>
    <t xml:space="preserve">Barratta, Cromarty, Giru, Horseshoe Lagoon</t>
  </si>
  <si>
    <t xml:space="preserve">4810</t>
  </si>
  <si>
    <t xml:space="preserve">Belgian Gardens, Cape Cleveland, Castle Hill, North Ward</t>
  </si>
  <si>
    <t xml:space="preserve">4811</t>
  </si>
  <si>
    <t xml:space="preserve">Cluden, Idalia, James Cook University, Mount Stuart</t>
  </si>
  <si>
    <t xml:space="preserve">4812</t>
  </si>
  <si>
    <t xml:space="preserve">Currajong, Gulliver, Hermit Park, Hyde Park</t>
  </si>
  <si>
    <t xml:space="preserve">4813</t>
  </si>
  <si>
    <t xml:space="preserve">Lavarack Barracks, Townsville Milpo</t>
  </si>
  <si>
    <t xml:space="preserve">4814</t>
  </si>
  <si>
    <t xml:space="preserve">Aitkenvale, Aitkenvale Bc, Annandale, Cranbrook</t>
  </si>
  <si>
    <t xml:space="preserve">4815</t>
  </si>
  <si>
    <t xml:space="preserve">Condon, Granite Vale, Gumlow, Kelso</t>
  </si>
  <si>
    <t xml:space="preserve">4816</t>
  </si>
  <si>
    <t xml:space="preserve">Alligator Creek, Balgal Beach, Barringha, Brookhill</t>
  </si>
  <si>
    <t xml:space="preserve">4817</t>
  </si>
  <si>
    <t xml:space="preserve">Alice River, Bohle Plains, Hervey Range, Kirwan</t>
  </si>
  <si>
    <t xml:space="preserve">4818</t>
  </si>
  <si>
    <t xml:space="preserve">Beach Holm, Black River, Blue Hills, Bluewater</t>
  </si>
  <si>
    <t xml:space="preserve">4819</t>
  </si>
  <si>
    <t xml:space="preserve">Arcadia, Arcadia Bay, Florence Bay, Horseshoe Bay</t>
  </si>
  <si>
    <t xml:space="preserve">4820</t>
  </si>
  <si>
    <t xml:space="preserve">Alabama Hill, Balfes Creek, Basalt, Black Jack</t>
  </si>
  <si>
    <t xml:space="preserve">4821</t>
  </si>
  <si>
    <t xml:space="preserve">Dutton River, Hughenden, Marathon, Porcupine</t>
  </si>
  <si>
    <t xml:space="preserve">4822</t>
  </si>
  <si>
    <t xml:space="preserve">Albion, Bellfield, Burleigh, Cambridge</t>
  </si>
  <si>
    <t xml:space="preserve">4823</t>
  </si>
  <si>
    <t xml:space="preserve">Carpentaria, Julia Creek, Kynuna, Mckinlay</t>
  </si>
  <si>
    <t xml:space="preserve">4824</t>
  </si>
  <si>
    <t xml:space="preserve">Cloncurry, Devoncourt Station, Four Ways, Gidya</t>
  </si>
  <si>
    <t xml:space="preserve">4825</t>
  </si>
  <si>
    <t xml:space="preserve">Alexandria, Alpurrurulam, Alroy, Anthonys Lagoon</t>
  </si>
  <si>
    <t xml:space="preserve">4828</t>
  </si>
  <si>
    <t xml:space="preserve">Camooweal</t>
  </si>
  <si>
    <t xml:space="preserve">4829</t>
  </si>
  <si>
    <t xml:space="preserve">Amaroo, Bedourie, Boulia, Min Min</t>
  </si>
  <si>
    <t xml:space="preserve">4830</t>
  </si>
  <si>
    <t xml:space="preserve">Augustus Downs, Burketown, Doomadgee, Gangalidda</t>
  </si>
  <si>
    <t xml:space="preserve">4849</t>
  </si>
  <si>
    <t xml:space="preserve">Cardwell, Damper Creek, Hinchinbrook, Lumholtz</t>
  </si>
  <si>
    <t xml:space="preserve">4850</t>
  </si>
  <si>
    <t xml:space="preserve">Abergowrie, Allingham, Bambaroo, Bemerside</t>
  </si>
  <si>
    <t xml:space="preserve">4852</t>
  </si>
  <si>
    <t xml:space="preserve">Bingil Bay, Carmoo, Clump Point, Djiru</t>
  </si>
  <si>
    <t xml:space="preserve">4854</t>
  </si>
  <si>
    <t xml:space="preserve">Bilyana, Birkalla, Bulgun, Cardstone</t>
  </si>
  <si>
    <t xml:space="preserve">4855</t>
  </si>
  <si>
    <t xml:space="preserve">Daveson, El Arish, Friday Pocket, Granadilla</t>
  </si>
  <si>
    <t xml:space="preserve">4856</t>
  </si>
  <si>
    <t xml:space="preserve">Goolboo, Japoonvale, Mccutcheon, No 4 Branch</t>
  </si>
  <si>
    <t xml:space="preserve">4857</t>
  </si>
  <si>
    <t xml:space="preserve">Silkwood East</t>
  </si>
  <si>
    <t xml:space="preserve">4858</t>
  </si>
  <si>
    <t xml:space="preserve">Comoon Loop, Etty Bay, Martyville, Mourilyan</t>
  </si>
  <si>
    <t xml:space="preserve">4859</t>
  </si>
  <si>
    <t xml:space="preserve">No 6 Branch, No. 6 Branch, South Johnstone</t>
  </si>
  <si>
    <t xml:space="preserve">4860</t>
  </si>
  <si>
    <t xml:space="preserve">Bamboo Creek, Belvedere, Coconuts, Cooroo Lands</t>
  </si>
  <si>
    <t xml:space="preserve">4861</t>
  </si>
  <si>
    <t xml:space="preserve">Babinda, Bartle Frere, East Russell</t>
  </si>
  <si>
    <t xml:space="preserve">4865</t>
  </si>
  <si>
    <t xml:space="preserve">Goldsborough, Gordonvale, Green Hill, Kamma</t>
  </si>
  <si>
    <t xml:space="preserve">4868</t>
  </si>
  <si>
    <t xml:space="preserve">Bayview Heights, Mount Sheridan, Tarrawarra, White Rock</t>
  </si>
  <si>
    <t xml:space="preserve">4869</t>
  </si>
  <si>
    <t xml:space="preserve">Bentley Park, Centenary Park, Edmonton, Mount Peter</t>
  </si>
  <si>
    <t xml:space="preserve">4870</t>
  </si>
  <si>
    <t xml:space="preserve">Aeroglen, Barron Gorge, Brinsmead, Bungalow</t>
  </si>
  <si>
    <t xml:space="preserve">4871</t>
  </si>
  <si>
    <t xml:space="preserve">Abingdon Downs, Almaden, Aloomba, Amber</t>
  </si>
  <si>
    <t xml:space="preserve">4872</t>
  </si>
  <si>
    <t xml:space="preserve">Barrine, Barwidgi, Cairns Mc, Danbulla</t>
  </si>
  <si>
    <t xml:space="preserve">4873</t>
  </si>
  <si>
    <t xml:space="preserve">Bailey Creek, Bamboo, Bonnie Doon, Cape Tribulation</t>
  </si>
  <si>
    <t xml:space="preserve">4874</t>
  </si>
  <si>
    <t xml:space="preserve">Evans Landing, Jardine River, Mapoon, Mission River</t>
  </si>
  <si>
    <t xml:space="preserve">4875</t>
  </si>
  <si>
    <t xml:space="preserve">Badu Island, Banks Island, Boigu, Boigu Island</t>
  </si>
  <si>
    <t xml:space="preserve">4876</t>
  </si>
  <si>
    <t xml:space="preserve">Bamaga, Injinoo, New Mapoon, Punsand</t>
  </si>
  <si>
    <t xml:space="preserve">4877</t>
  </si>
  <si>
    <t xml:space="preserve">Craiglie, Killaloe, Low Isles, Mowbray</t>
  </si>
  <si>
    <t xml:space="preserve">4878</t>
  </si>
  <si>
    <t xml:space="preserve">Barron, Caravonica, Holloways Beach, Lake Placid</t>
  </si>
  <si>
    <t xml:space="preserve">4879</t>
  </si>
  <si>
    <t xml:space="preserve">Buchan Point, Clifton Beach, Ellis Beach, Kewarra Beach</t>
  </si>
  <si>
    <t xml:space="preserve">4880</t>
  </si>
  <si>
    <t xml:space="preserve">Arriga, Biboohra, Bilwon, Chewko</t>
  </si>
  <si>
    <t xml:space="preserve">4881</t>
  </si>
  <si>
    <t xml:space="preserve">Koah, Kuranda, Mona Mona, Speewah</t>
  </si>
  <si>
    <t xml:space="preserve">4882</t>
  </si>
  <si>
    <t xml:space="preserve">Tolga</t>
  </si>
  <si>
    <t xml:space="preserve">4883</t>
  </si>
  <si>
    <t xml:space="preserve">Atherton, Carrington, East Barron, Upper Barron</t>
  </si>
  <si>
    <t xml:space="preserve">4884</t>
  </si>
  <si>
    <t xml:space="preserve">Gadgarra, Lake Barrine, Lake Eacham, Yungaburra</t>
  </si>
  <si>
    <t xml:space="preserve">4885</t>
  </si>
  <si>
    <t xml:space="preserve">Butchers Creek, Glen Allyn, Jaggan, Kureen</t>
  </si>
  <si>
    <t xml:space="preserve">4886</t>
  </si>
  <si>
    <t xml:space="preserve">Beatrice, Ellinjaa, Maalan, Middlebrook</t>
  </si>
  <si>
    <t xml:space="preserve">4887</t>
  </si>
  <si>
    <t xml:space="preserve">Herberton, Irvinebank, Kalunga, Moomin</t>
  </si>
  <si>
    <t xml:space="preserve">4888</t>
  </si>
  <si>
    <t xml:space="preserve">Evelyn, Kaban, Millstream, Ravenshoe</t>
  </si>
  <si>
    <t xml:space="preserve">4890</t>
  </si>
  <si>
    <t xml:space="preserve">Howitt, Norman, Normanton</t>
  </si>
  <si>
    <t xml:space="preserve">4891</t>
  </si>
  <si>
    <t xml:space="preserve">Karumba</t>
  </si>
  <si>
    <t xml:space="preserve">4892</t>
  </si>
  <si>
    <t xml:space="preserve">Abingdon Downs, Arbouin, Archer River, Aurukun</t>
  </si>
  <si>
    <t xml:space="preserve">4895</t>
  </si>
  <si>
    <t xml:space="preserve">Ayton, Bloomfield, Cooktown, Degarra</t>
  </si>
  <si>
    <t xml:space="preserve">5000</t>
  </si>
  <si>
    <t xml:space="preserve">SA - Metro</t>
  </si>
  <si>
    <t xml:space="preserve">Adelaide, Adelaide Bc, City West Campus, Halifax Street</t>
  </si>
  <si>
    <t xml:space="preserve">5001</t>
  </si>
  <si>
    <t xml:space="preserve">Adelaide</t>
  </si>
  <si>
    <t xml:space="preserve">5005</t>
  </si>
  <si>
    <t xml:space="preserve">Adelaide University, The University Of Adelaide, University Of Adelaide</t>
  </si>
  <si>
    <t xml:space="preserve">5006</t>
  </si>
  <si>
    <t xml:space="preserve">North Adelaide, North Adelaide Melbourne St</t>
  </si>
  <si>
    <t xml:space="preserve">5007</t>
  </si>
  <si>
    <t xml:space="preserve">Bowden, Brompton, Hindmarsh, Welland</t>
  </si>
  <si>
    <t xml:space="preserve">5008</t>
  </si>
  <si>
    <t xml:space="preserve">Croydon, Croydon Park, Croydon Park South, Devon Park</t>
  </si>
  <si>
    <t xml:space="preserve">5009</t>
  </si>
  <si>
    <t xml:space="preserve">Allenby Gardens, Beverley, Kilkenny</t>
  </si>
  <si>
    <t xml:space="preserve">5010</t>
  </si>
  <si>
    <t xml:space="preserve">Angle Park, Ferryden Park, Regency Park, Regency Park Bc</t>
  </si>
  <si>
    <t xml:space="preserve">5011</t>
  </si>
  <si>
    <t xml:space="preserve">St Clair, St Claire, Woodville, Woodville Park</t>
  </si>
  <si>
    <t xml:space="preserve">5012</t>
  </si>
  <si>
    <t xml:space="preserve">Athol Park, Mansfield Park, Woodville Gardens, Woodville North</t>
  </si>
  <si>
    <t xml:space="preserve">5013</t>
  </si>
  <si>
    <t xml:space="preserve">Gillman, Ottoway, Pennington, Rosewater</t>
  </si>
  <si>
    <t xml:space="preserve">5014</t>
  </si>
  <si>
    <t xml:space="preserve">Albert Park, Alberton, Cheltenham, Hendon</t>
  </si>
  <si>
    <t xml:space="preserve">5015</t>
  </si>
  <si>
    <t xml:space="preserve">Birkenhead, Ethelton, Garden Island, Glanville</t>
  </si>
  <si>
    <t xml:space="preserve">5016</t>
  </si>
  <si>
    <t xml:space="preserve">Largs Bay, Largs North, Peterhead</t>
  </si>
  <si>
    <t xml:space="preserve">5017</t>
  </si>
  <si>
    <t xml:space="preserve">Osborne, Taperoo</t>
  </si>
  <si>
    <t xml:space="preserve">5018</t>
  </si>
  <si>
    <t xml:space="preserve">North Haven, Outer Harbor</t>
  </si>
  <si>
    <t xml:space="preserve">5019</t>
  </si>
  <si>
    <t xml:space="preserve">Exeter, Semaphore, Semaphore Park, Semaphore South</t>
  </si>
  <si>
    <t xml:space="preserve">5020</t>
  </si>
  <si>
    <t xml:space="preserve">West Lakes Shore</t>
  </si>
  <si>
    <t xml:space="preserve">5021</t>
  </si>
  <si>
    <t xml:space="preserve">West Lakes</t>
  </si>
  <si>
    <t xml:space="preserve">5022</t>
  </si>
  <si>
    <t xml:space="preserve">Grange, Henley Beach, Henley Beach South, Kirkcaldy</t>
  </si>
  <si>
    <t xml:space="preserve">5023</t>
  </si>
  <si>
    <t xml:space="preserve">Findon, Seaton, Seaton North</t>
  </si>
  <si>
    <t xml:space="preserve">5024</t>
  </si>
  <si>
    <t xml:space="preserve">Fulham, Fulham Gardens, West Beach</t>
  </si>
  <si>
    <t xml:space="preserve">5025</t>
  </si>
  <si>
    <t xml:space="preserve">Flinders Park, Kidman Park</t>
  </si>
  <si>
    <t xml:space="preserve">5031</t>
  </si>
  <si>
    <t xml:space="preserve">Mile End, Mile End South, Thebarton, Torrensville</t>
  </si>
  <si>
    <t xml:space="preserve">5032</t>
  </si>
  <si>
    <t xml:space="preserve">Brooklyn Park, Lockleys, Underdale</t>
  </si>
  <si>
    <t xml:space="preserve">5033</t>
  </si>
  <si>
    <t xml:space="preserve">Cowandilla, Hilton, Hilton Plaza, Marleston</t>
  </si>
  <si>
    <t xml:space="preserve">5034</t>
  </si>
  <si>
    <t xml:space="preserve">Clarence Park, Goodwood, Kings Park, Millswood</t>
  </si>
  <si>
    <t xml:space="preserve">5035</t>
  </si>
  <si>
    <t xml:space="preserve">Ashford, Black Forest, Everard Park, Forestville</t>
  </si>
  <si>
    <t xml:space="preserve">5037</t>
  </si>
  <si>
    <t xml:space="preserve">Glandore, Kurralta Park, Netley, North Plympton</t>
  </si>
  <si>
    <t xml:space="preserve">5038</t>
  </si>
  <si>
    <t xml:space="preserve">Camden Park, Plympton, Plympton Park, South Plympton</t>
  </si>
  <si>
    <t xml:space="preserve">5039</t>
  </si>
  <si>
    <t xml:space="preserve">Clarence Gardens, Edwardstown, Melrose Park, Melrose Park Dc</t>
  </si>
  <si>
    <t xml:space="preserve">5040</t>
  </si>
  <si>
    <t xml:space="preserve">Novar Gardens</t>
  </si>
  <si>
    <t xml:space="preserve">5041</t>
  </si>
  <si>
    <t xml:space="preserve">Colonel Light Gardens, Cumberland Park, Daw Park, Panorama</t>
  </si>
  <si>
    <t xml:space="preserve">5042</t>
  </si>
  <si>
    <t xml:space="preserve">Bedford Park, Clovelly Park, Flinders University, Pasadena</t>
  </si>
  <si>
    <t xml:space="preserve">5043</t>
  </si>
  <si>
    <t xml:space="preserve">Ascot Park, Marion, Mitchell Park, Morphettville</t>
  </si>
  <si>
    <t xml:space="preserve">5044</t>
  </si>
  <si>
    <t xml:space="preserve">Glengowrie, Somerton Park</t>
  </si>
  <si>
    <t xml:space="preserve">5045</t>
  </si>
  <si>
    <t xml:space="preserve">Glenelg, Glenelg East, Glenelg Jetty Road, Glenelg North</t>
  </si>
  <si>
    <t xml:space="preserve">5046</t>
  </si>
  <si>
    <t xml:space="preserve">Oaklands Park, Warradale, Warradale North</t>
  </si>
  <si>
    <t xml:space="preserve">5047</t>
  </si>
  <si>
    <t xml:space="preserve">Darlington, Seacombe Gardens, Seacombe Heights, Sturt</t>
  </si>
  <si>
    <t xml:space="preserve">5048</t>
  </si>
  <si>
    <t xml:space="preserve">Brighton, Dover Gardens, Hove, North Brighton</t>
  </si>
  <si>
    <t xml:space="preserve">5049</t>
  </si>
  <si>
    <t xml:space="preserve">Kingston Park, Marino, Seacliff, Seacliff Park</t>
  </si>
  <si>
    <t xml:space="preserve">5050</t>
  </si>
  <si>
    <t xml:space="preserve">Bellevue Heights, Eden Hills</t>
  </si>
  <si>
    <t xml:space="preserve">5051</t>
  </si>
  <si>
    <t xml:space="preserve">Blackwood, Coromandel Valley, Craigburn Farm, Hawthorndene</t>
  </si>
  <si>
    <t xml:space="preserve">5052</t>
  </si>
  <si>
    <t xml:space="preserve">Belair, Glenalta</t>
  </si>
  <si>
    <t xml:space="preserve">5061</t>
  </si>
  <si>
    <t xml:space="preserve">Hyde Park, Malvern, Unley, Unley Bc</t>
  </si>
  <si>
    <t xml:space="preserve">5062</t>
  </si>
  <si>
    <t xml:space="preserve">Brown Hill Creek, Clapham, Hawthorn, Kingswood</t>
  </si>
  <si>
    <t xml:space="preserve">5063</t>
  </si>
  <si>
    <t xml:space="preserve">Eastwood, Frewville, Fullarton, Highgate</t>
  </si>
  <si>
    <t xml:space="preserve">5064</t>
  </si>
  <si>
    <t xml:space="preserve">Glen Osmond, Glenunga, Mount Osmond, Myrtle Bank</t>
  </si>
  <si>
    <t xml:space="preserve">5065</t>
  </si>
  <si>
    <t xml:space="preserve">Dulwich, Glenside, Linden Park, Toorak Gardens</t>
  </si>
  <si>
    <t xml:space="preserve">5066</t>
  </si>
  <si>
    <t xml:space="preserve">Beaumont, Burnside, Erindale, Hazelwood Park</t>
  </si>
  <si>
    <t xml:space="preserve">5067</t>
  </si>
  <si>
    <t xml:space="preserve">Beulah Park, Kent Town, Norwood, Norwood South</t>
  </si>
  <si>
    <t xml:space="preserve">5068</t>
  </si>
  <si>
    <t xml:space="preserve">Heathpool, Kensington, Kensington Gardens, Kensington Park</t>
  </si>
  <si>
    <t xml:space="preserve">5069</t>
  </si>
  <si>
    <t xml:space="preserve">College Park, Evandale, Hackney, Maylands</t>
  </si>
  <si>
    <t xml:space="preserve">5070</t>
  </si>
  <si>
    <t xml:space="preserve">Felixstow, Firle, Glynde, Glynde Dc</t>
  </si>
  <si>
    <t xml:space="preserve">5071</t>
  </si>
  <si>
    <t xml:space="preserve">Kent Town, Kent Town Dc</t>
  </si>
  <si>
    <t xml:space="preserve">5072</t>
  </si>
  <si>
    <t xml:space="preserve">Auldana, Magill, Magill North, Magill South</t>
  </si>
  <si>
    <t xml:space="preserve">5073</t>
  </si>
  <si>
    <t xml:space="preserve">Hectorville, Rostrevor, Tranmere, Tranmere North</t>
  </si>
  <si>
    <t xml:space="preserve">5074</t>
  </si>
  <si>
    <t xml:space="preserve">Campbelltown, Newton</t>
  </si>
  <si>
    <t xml:space="preserve">5075</t>
  </si>
  <si>
    <t xml:space="preserve">Dernancourt, Paradise</t>
  </si>
  <si>
    <t xml:space="preserve">5076</t>
  </si>
  <si>
    <t xml:space="preserve">Athelstone, Castambul</t>
  </si>
  <si>
    <t xml:space="preserve">5081</t>
  </si>
  <si>
    <t xml:space="preserve">Collinswood, Gilberton, Medindie, Medindie Gardens</t>
  </si>
  <si>
    <t xml:space="preserve">5082</t>
  </si>
  <si>
    <t xml:space="preserve">Fitzroy, Ovingham, Prospect, Prospect East</t>
  </si>
  <si>
    <t xml:space="preserve">5083</t>
  </si>
  <si>
    <t xml:space="preserve">Broadview, Nailsworth, Sefton Park</t>
  </si>
  <si>
    <t xml:space="preserve">5084</t>
  </si>
  <si>
    <t xml:space="preserve">Blair Athol, Blair Athol West, Kilburn, Kilburn North</t>
  </si>
  <si>
    <t xml:space="preserve">5085</t>
  </si>
  <si>
    <t xml:space="preserve">Clearview, Enfield, Enfield Plaza, Lightsview</t>
  </si>
  <si>
    <t xml:space="preserve">5086</t>
  </si>
  <si>
    <t xml:space="preserve">Gilles Plains, Greenacres, Hampstead Gardens, Hillcrest</t>
  </si>
  <si>
    <t xml:space="preserve">5087</t>
  </si>
  <si>
    <t xml:space="preserve">Klemzig, Windsor Gardens</t>
  </si>
  <si>
    <t xml:space="preserve">5088</t>
  </si>
  <si>
    <t xml:space="preserve">Holden Hill</t>
  </si>
  <si>
    <t xml:space="preserve">5089</t>
  </si>
  <si>
    <t xml:space="preserve">Highbury</t>
  </si>
  <si>
    <t xml:space="preserve">5090</t>
  </si>
  <si>
    <t xml:space="preserve">Hope Valley</t>
  </si>
  <si>
    <t xml:space="preserve">5091</t>
  </si>
  <si>
    <t xml:space="preserve">Banksia Park, Tea Tree Gully, Vista</t>
  </si>
  <si>
    <t xml:space="preserve">5092</t>
  </si>
  <si>
    <t xml:space="preserve">Modbury, Modbury Heights, Modbury North, Modbury North Dc</t>
  </si>
  <si>
    <t xml:space="preserve">5093</t>
  </si>
  <si>
    <t xml:space="preserve">Para Vista, Valley View</t>
  </si>
  <si>
    <t xml:space="preserve">5094</t>
  </si>
  <si>
    <t xml:space="preserve">Cavan, Dry Creek, Gepps Cross</t>
  </si>
  <si>
    <t xml:space="preserve">5095</t>
  </si>
  <si>
    <t xml:space="preserve">Mawson Lakes, Pooraka, The Levels</t>
  </si>
  <si>
    <t xml:space="preserve">5096</t>
  </si>
  <si>
    <t xml:space="preserve">Gulfview Heights, Para Hills, Para Hills West</t>
  </si>
  <si>
    <t xml:space="preserve">5097</t>
  </si>
  <si>
    <t xml:space="preserve">Redwood Park, Ridgehaven, St Agnes</t>
  </si>
  <si>
    <t xml:space="preserve">5098</t>
  </si>
  <si>
    <t xml:space="preserve">Ingle Farm, Walkley Heights</t>
  </si>
  <si>
    <t xml:space="preserve">5106</t>
  </si>
  <si>
    <t xml:space="preserve">Parafield, Parafield Airport, Salisbury South, Salisbury South Bc</t>
  </si>
  <si>
    <t xml:space="preserve">5107</t>
  </si>
  <si>
    <t xml:space="preserve">Green Fields, Parafield Gardens</t>
  </si>
  <si>
    <t xml:space="preserve">5108</t>
  </si>
  <si>
    <t xml:space="preserve">Paralowie, Salisbury, Salisbury Downs, Salisbury North</t>
  </si>
  <si>
    <t xml:space="preserve">5109</t>
  </si>
  <si>
    <t xml:space="preserve">Brahma Lodge, Salisbury East, Salisbury East Northbri Ave, Salisbury Heights</t>
  </si>
  <si>
    <t xml:space="preserve">5110</t>
  </si>
  <si>
    <t xml:space="preserve">Bolivar, Burton, Direk, Globe Derby Park</t>
  </si>
  <si>
    <t xml:space="preserve">5111</t>
  </si>
  <si>
    <t xml:space="preserve">Edinburgh, Edinburgh Raaf</t>
  </si>
  <si>
    <t xml:space="preserve">5112</t>
  </si>
  <si>
    <t xml:space="preserve">Elizabeth, Elizabeth East, Elizabeth Grove, Elizabeth South</t>
  </si>
  <si>
    <t xml:space="preserve">5113</t>
  </si>
  <si>
    <t xml:space="preserve">Davoren Park, Davoren Park North, Davoren Park South, Edinburgh North</t>
  </si>
  <si>
    <t xml:space="preserve">5114</t>
  </si>
  <si>
    <t xml:space="preserve">Andrews Farm, Blakeview, Craigmore, Gould Creek</t>
  </si>
  <si>
    <t xml:space="preserve">5115</t>
  </si>
  <si>
    <t xml:space="preserve">Kudla, Munno Para, Munno Para Downs, Munno Para West</t>
  </si>
  <si>
    <t xml:space="preserve">5116</t>
  </si>
  <si>
    <t xml:space="preserve">Evanston, Evanston Gardens, Evanston Park, Evanston South</t>
  </si>
  <si>
    <t xml:space="preserve">5117</t>
  </si>
  <si>
    <t xml:space="preserve">Angle Vale</t>
  </si>
  <si>
    <t xml:space="preserve">5118</t>
  </si>
  <si>
    <t xml:space="preserve">Bibaringa, Buchfelde, Concordia, Gawler</t>
  </si>
  <si>
    <t xml:space="preserve">5120</t>
  </si>
  <si>
    <t xml:space="preserve">Buckland Park, Riverlea Park, Virginia</t>
  </si>
  <si>
    <t xml:space="preserve">5121</t>
  </si>
  <si>
    <t xml:space="preserve">Eyre, Macdonald Park, Penfield, Penfield Gardens</t>
  </si>
  <si>
    <t xml:space="preserve">5125</t>
  </si>
  <si>
    <t xml:space="preserve">Golden Grove, Golden Grove Village, Greenwith</t>
  </si>
  <si>
    <t xml:space="preserve">5126</t>
  </si>
  <si>
    <t xml:space="preserve">Fairview Park, Surrey Downs, Yatala Vale</t>
  </si>
  <si>
    <t xml:space="preserve">5127</t>
  </si>
  <si>
    <t xml:space="preserve">Wynn Vale</t>
  </si>
  <si>
    <t xml:space="preserve">5131</t>
  </si>
  <si>
    <t xml:space="preserve">Houghton, Lower Hermitage, Upper Hermitage</t>
  </si>
  <si>
    <t xml:space="preserve">5132</t>
  </si>
  <si>
    <t xml:space="preserve">Paracombe</t>
  </si>
  <si>
    <t xml:space="preserve">5133</t>
  </si>
  <si>
    <t xml:space="preserve">Inglewood</t>
  </si>
  <si>
    <t xml:space="preserve">5134</t>
  </si>
  <si>
    <t xml:space="preserve">SA - Outer Metro</t>
  </si>
  <si>
    <t xml:space="preserve">Cherryville, Montacute</t>
  </si>
  <si>
    <t xml:space="preserve">5136</t>
  </si>
  <si>
    <t xml:space="preserve">Norton Summit</t>
  </si>
  <si>
    <t xml:space="preserve">5137</t>
  </si>
  <si>
    <t xml:space="preserve">Ashton, Marble Hill</t>
  </si>
  <si>
    <t xml:space="preserve">5138</t>
  </si>
  <si>
    <t xml:space="preserve">Basket Range</t>
  </si>
  <si>
    <t xml:space="preserve">5139</t>
  </si>
  <si>
    <t xml:space="preserve">Forest Range</t>
  </si>
  <si>
    <t xml:space="preserve">5140</t>
  </si>
  <si>
    <t xml:space="preserve">Greenhill</t>
  </si>
  <si>
    <t xml:space="preserve">5141</t>
  </si>
  <si>
    <t xml:space="preserve">Horsnell Gully, Summertown</t>
  </si>
  <si>
    <t xml:space="preserve">5142</t>
  </si>
  <si>
    <t xml:space="preserve">Uraidla</t>
  </si>
  <si>
    <t xml:space="preserve">5144</t>
  </si>
  <si>
    <t xml:space="preserve">Carey Gully</t>
  </si>
  <si>
    <t xml:space="preserve">5150</t>
  </si>
  <si>
    <t xml:space="preserve">Eagle On The Hill, Leawood Gardens</t>
  </si>
  <si>
    <t xml:space="preserve">5151</t>
  </si>
  <si>
    <t xml:space="preserve">Piccadilly</t>
  </si>
  <si>
    <t xml:space="preserve">5152</t>
  </si>
  <si>
    <t xml:space="preserve">Cleland, Crafers, Crafers West, Mount Lofty</t>
  </si>
  <si>
    <t xml:space="preserve">5153</t>
  </si>
  <si>
    <t xml:space="preserve">Biggs Flat, Bradbury, Chapel Hill, Echunga</t>
  </si>
  <si>
    <t xml:space="preserve">5154</t>
  </si>
  <si>
    <t xml:space="preserve">Aldgate</t>
  </si>
  <si>
    <t xml:space="preserve">5155</t>
  </si>
  <si>
    <t xml:space="preserve">Bridgewater, Mount George</t>
  </si>
  <si>
    <t xml:space="preserve">5156</t>
  </si>
  <si>
    <t xml:space="preserve">Upper Sturt</t>
  </si>
  <si>
    <t xml:space="preserve">5157</t>
  </si>
  <si>
    <t xml:space="preserve">Ashbourne, Bull Creek, Cherry Gardens, Clarendon</t>
  </si>
  <si>
    <t xml:space="preserve">5158</t>
  </si>
  <si>
    <t xml:space="preserve">Hallett Cove, O’Halloran Hill, O'Halloran Hill, O'Halloran Hill Dc</t>
  </si>
  <si>
    <t xml:space="preserve">5159</t>
  </si>
  <si>
    <t xml:space="preserve">Aberfoyle Park, Chandlers Hill, Flagstaff Hill, Happy Valley</t>
  </si>
  <si>
    <t xml:space="preserve">5160</t>
  </si>
  <si>
    <t xml:space="preserve">Lonsdale, Lonsdale Dc, Port Stanvac</t>
  </si>
  <si>
    <t xml:space="preserve">5161</t>
  </si>
  <si>
    <t xml:space="preserve">Old Reynella, Reynella, Reynella East</t>
  </si>
  <si>
    <t xml:space="preserve">5162</t>
  </si>
  <si>
    <t xml:space="preserve">Morphett Vale, Woodcroft</t>
  </si>
  <si>
    <t xml:space="preserve">5163</t>
  </si>
  <si>
    <t xml:space="preserve">Hackham, Hackham West, Huntfield Heights, Onkaparinga Heights</t>
  </si>
  <si>
    <t xml:space="preserve">5164</t>
  </si>
  <si>
    <t xml:space="preserve">Christie Downs</t>
  </si>
  <si>
    <t xml:space="preserve">5165</t>
  </si>
  <si>
    <t xml:space="preserve">Christies Beach, Christies Beach North</t>
  </si>
  <si>
    <t xml:space="preserve">5166</t>
  </si>
  <si>
    <t xml:space="preserve">O’Sullivan Beach, O'Sullivan Beach</t>
  </si>
  <si>
    <t xml:space="preserve">5167</t>
  </si>
  <si>
    <t xml:space="preserve">Port Noarlunga, Port Noarlunga South</t>
  </si>
  <si>
    <t xml:space="preserve">5168</t>
  </si>
  <si>
    <t xml:space="preserve">Noarlunga Centre, Noarlunga Downs, Old Noarlunga</t>
  </si>
  <si>
    <t xml:space="preserve">5169</t>
  </si>
  <si>
    <t xml:space="preserve">Moana, Seaford, Seaford Heights, Seaford Meadows</t>
  </si>
  <si>
    <t xml:space="preserve">5170</t>
  </si>
  <si>
    <t xml:space="preserve">Maslin Beach</t>
  </si>
  <si>
    <t xml:space="preserve">5171</t>
  </si>
  <si>
    <t xml:space="preserve">Blewitt Springs, Mclaren Flat, Mclaren Vale, Pedler Creek</t>
  </si>
  <si>
    <t xml:space="preserve">5172</t>
  </si>
  <si>
    <t xml:space="preserve">Dingabledinga, Hope Forest, Kuitpo, Kuitpo Colony</t>
  </si>
  <si>
    <t xml:space="preserve">5173</t>
  </si>
  <si>
    <t xml:space="preserve">Aldinga, Aldinga Beach, Port Willunga, Silver Sands</t>
  </si>
  <si>
    <t xml:space="preserve">5174</t>
  </si>
  <si>
    <t xml:space="preserve">Sellicks Beach, Sellicks Hill</t>
  </si>
  <si>
    <t xml:space="preserve">5201</t>
  </si>
  <si>
    <t xml:space="preserve">Blackfellows Creek, Kuitpo, Meadows, Paris Creek</t>
  </si>
  <si>
    <t xml:space="preserve">5202</t>
  </si>
  <si>
    <t xml:space="preserve">Hindmarsh Tiers, Myponga, Myponga Beach</t>
  </si>
  <si>
    <t xml:space="preserve">5203</t>
  </si>
  <si>
    <t xml:space="preserve">Bald Hills, Parawa, Torrens Vale, Tunkalilla</t>
  </si>
  <si>
    <t xml:space="preserve">5204</t>
  </si>
  <si>
    <t xml:space="preserve">Cape Jervis, Carrickalinga, Deep Creek, Delamere</t>
  </si>
  <si>
    <t xml:space="preserve">5210</t>
  </si>
  <si>
    <t xml:space="preserve">Mount Compass, Mount Magnificent, Nangkita</t>
  </si>
  <si>
    <t xml:space="preserve">5211</t>
  </si>
  <si>
    <t xml:space="preserve">Back Valley, Chiton, Encounter Bay, Hayborough</t>
  </si>
  <si>
    <t xml:space="preserve">5212</t>
  </si>
  <si>
    <t xml:space="preserve">Port Elliot</t>
  </si>
  <si>
    <t xml:space="preserve">5213</t>
  </si>
  <si>
    <t xml:space="preserve">Middleton</t>
  </si>
  <si>
    <t xml:space="preserve">5214</t>
  </si>
  <si>
    <t xml:space="preserve">Currency Creek, Goolwa, Goolwa Beach, Goolwa North</t>
  </si>
  <si>
    <t xml:space="preserve">5220</t>
  </si>
  <si>
    <t xml:space="preserve">Parndana</t>
  </si>
  <si>
    <t xml:space="preserve">5221</t>
  </si>
  <si>
    <t xml:space="preserve">American River, Ballast Head, Muston</t>
  </si>
  <si>
    <t xml:space="preserve">5222</t>
  </si>
  <si>
    <t xml:space="preserve">American Beach, Antechamber Bay, Baudin Beach, Brown Beach</t>
  </si>
  <si>
    <t xml:space="preserve">5223</t>
  </si>
  <si>
    <t xml:space="preserve">Bay Of Shoals, Birchmore, Brownlow, Brownlow Ki</t>
  </si>
  <si>
    <t xml:space="preserve">5231</t>
  </si>
  <si>
    <t xml:space="preserve">Chain Of Ponds, Kersbrook, Millbrook</t>
  </si>
  <si>
    <t xml:space="preserve">5232</t>
  </si>
  <si>
    <t xml:space="preserve">Cudlee Creek</t>
  </si>
  <si>
    <t xml:space="preserve">5233</t>
  </si>
  <si>
    <t xml:space="preserve">Forreston, Gumeracha, Kenton Valley, Warren</t>
  </si>
  <si>
    <t xml:space="preserve">5234</t>
  </si>
  <si>
    <t xml:space="preserve">Birdwood</t>
  </si>
  <si>
    <t xml:space="preserve">5235</t>
  </si>
  <si>
    <t xml:space="preserve">Cromer, Eden Valley, Flaxman Valley, Mount Pleasant</t>
  </si>
  <si>
    <t xml:space="preserve">5236</t>
  </si>
  <si>
    <t xml:space="preserve">Tungkillo</t>
  </si>
  <si>
    <t xml:space="preserve">5237</t>
  </si>
  <si>
    <t xml:space="preserve">Apamurra, Milendella, Palmer, Sanderston</t>
  </si>
  <si>
    <t xml:space="preserve">5238</t>
  </si>
  <si>
    <t xml:space="preserve">Angas Valley, Big Bend, Bolto, Bonython</t>
  </si>
  <si>
    <t xml:space="preserve">5240</t>
  </si>
  <si>
    <t xml:space="preserve">Lenswood</t>
  </si>
  <si>
    <t xml:space="preserve">5241</t>
  </si>
  <si>
    <t xml:space="preserve">Lobethal</t>
  </si>
  <si>
    <t xml:space="preserve">5242</t>
  </si>
  <si>
    <t xml:space="preserve">Balhannah</t>
  </si>
  <si>
    <t xml:space="preserve">5243</t>
  </si>
  <si>
    <t xml:space="preserve">Oakbank</t>
  </si>
  <si>
    <t xml:space="preserve">5244</t>
  </si>
  <si>
    <t xml:space="preserve">Charleston, Harrogate, Inverbrackie, Mount Torrens</t>
  </si>
  <si>
    <t xml:space="preserve">5245</t>
  </si>
  <si>
    <t xml:space="preserve">Hahndorf, Paechtown, Verdun</t>
  </si>
  <si>
    <t xml:space="preserve">5250</t>
  </si>
  <si>
    <t xml:space="preserve">Blakiston, Littlehampton, Totness</t>
  </si>
  <si>
    <t xml:space="preserve">5251</t>
  </si>
  <si>
    <t xml:space="preserve">Bugle Ranges, Mount Barker, Mount Barker Junction, Mount Barker Springs</t>
  </si>
  <si>
    <t xml:space="preserve">5252</t>
  </si>
  <si>
    <t xml:space="preserve">Brukunga, Dawesley, Hay Valley, Kanmantoo</t>
  </si>
  <si>
    <t xml:space="preserve">5253</t>
  </si>
  <si>
    <t xml:space="preserve">Avoca Dell, Brinkley, Burdett, Chapman Bore</t>
  </si>
  <si>
    <t xml:space="preserve">5254</t>
  </si>
  <si>
    <t xml:space="preserve">Buccleuch, Callington, Caloote, Monarto</t>
  </si>
  <si>
    <t xml:space="preserve">5255</t>
  </si>
  <si>
    <t xml:space="preserve">Angas Plains, Belvidere, Bletchley, Finniss</t>
  </si>
  <si>
    <t xml:space="preserve">5256</t>
  </si>
  <si>
    <t xml:space="preserve">Clayton, Clayton Bay, Milang, Nurragi</t>
  </si>
  <si>
    <t xml:space="preserve">5259</t>
  </si>
  <si>
    <t xml:space="preserve">Ashville, East Wellington, Jervois, Kepa</t>
  </si>
  <si>
    <t xml:space="preserve">5260</t>
  </si>
  <si>
    <t xml:space="preserve">Bayah, Elwomple, Tailem Bend</t>
  </si>
  <si>
    <t xml:space="preserve">5261</t>
  </si>
  <si>
    <t xml:space="preserve">Cooke Plains, Coomandook, Culburra, Ki Ki</t>
  </si>
  <si>
    <t xml:space="preserve">5262</t>
  </si>
  <si>
    <t xml:space="preserve">Binnum, Frances, Hynam, Kybybolite</t>
  </si>
  <si>
    <t xml:space="preserve">5263</t>
  </si>
  <si>
    <t xml:space="preserve">Coonawarra</t>
  </si>
  <si>
    <t xml:space="preserve">5264</t>
  </si>
  <si>
    <t xml:space="preserve">Coorong, Meningie, Meningie East, Meningie West</t>
  </si>
  <si>
    <t xml:space="preserve">5265</t>
  </si>
  <si>
    <t xml:space="preserve">Coonalpyn, Field</t>
  </si>
  <si>
    <t xml:space="preserve">5266</t>
  </si>
  <si>
    <t xml:space="preserve">Bunbury, Colebatch, Deepwater, Tintinara</t>
  </si>
  <si>
    <t xml:space="preserve">5267</t>
  </si>
  <si>
    <t xml:space="preserve">Brimbago, Coombe, Keith, Laffer</t>
  </si>
  <si>
    <t xml:space="preserve">5268</t>
  </si>
  <si>
    <t xml:space="preserve">Bangham, Bordertown, Bordertown South, Cangara</t>
  </si>
  <si>
    <t xml:space="preserve">5269</t>
  </si>
  <si>
    <t xml:space="preserve">Custon, Pine Hill, Wolseley</t>
  </si>
  <si>
    <t xml:space="preserve">5270</t>
  </si>
  <si>
    <t xml:space="preserve">Buckingham, Carew, Kongal, Mundulla</t>
  </si>
  <si>
    <t xml:space="preserve">5271</t>
  </si>
  <si>
    <t xml:space="preserve">Bool Lagoon, Cadgee, Joanna, Keppoch</t>
  </si>
  <si>
    <t xml:space="preserve">5272</t>
  </si>
  <si>
    <t xml:space="preserve">Coles, Conmurra, Fox, Greenways</t>
  </si>
  <si>
    <t xml:space="preserve">5273</t>
  </si>
  <si>
    <t xml:space="preserve">Avenue Range</t>
  </si>
  <si>
    <t xml:space="preserve">5275</t>
  </si>
  <si>
    <t xml:space="preserve">Blackford, Boatswain Point, Cape Jaffa, Keilira</t>
  </si>
  <si>
    <t xml:space="preserve">5276</t>
  </si>
  <si>
    <t xml:space="preserve">Bray, Nora Creina, Robe</t>
  </si>
  <si>
    <t xml:space="preserve">5277</t>
  </si>
  <si>
    <t xml:space="preserve">Comaum, Glenroy, Maaoupe, Monbulla</t>
  </si>
  <si>
    <t xml:space="preserve">5278</t>
  </si>
  <si>
    <t xml:space="preserve">Kalangadoo, Krongart, Moerlong, Wepar</t>
  </si>
  <si>
    <t xml:space="preserve">5279</t>
  </si>
  <si>
    <t xml:space="preserve">Koorine, Mount Burr, Mount Mcintyre, Short</t>
  </si>
  <si>
    <t xml:space="preserve">5280</t>
  </si>
  <si>
    <t xml:space="preserve">Beachport, Canunda, Clay Wells, Furner</t>
  </si>
  <si>
    <t xml:space="preserve">5290</t>
  </si>
  <si>
    <t xml:space="preserve">Mount Gambier, Mount Gambier Dc</t>
  </si>
  <si>
    <t xml:space="preserve">5291</t>
  </si>
  <si>
    <t xml:space="preserve">Allendale East, Blackfellows Caves, Burrungule, Canunda</t>
  </si>
  <si>
    <t xml:space="preserve">5301</t>
  </si>
  <si>
    <t xml:space="preserve">Carcuma, Geranium, Jabuk, Moorlands</t>
  </si>
  <si>
    <t xml:space="preserve">5302</t>
  </si>
  <si>
    <t xml:space="preserve">Lameroo, Ngarkat, Smithville</t>
  </si>
  <si>
    <t xml:space="preserve">5303</t>
  </si>
  <si>
    <t xml:space="preserve">Parilla</t>
  </si>
  <si>
    <t xml:space="preserve">5304</t>
  </si>
  <si>
    <t xml:space="preserve">Karte, Kringin, Peebinga, Pinnaroo</t>
  </si>
  <si>
    <t xml:space="preserve">5306</t>
  </si>
  <si>
    <t xml:space="preserve">Wynarka</t>
  </si>
  <si>
    <t xml:space="preserve">5307</t>
  </si>
  <si>
    <t xml:space="preserve">Karoonda, Karte, Kulkami, Lowaldie</t>
  </si>
  <si>
    <t xml:space="preserve">5308</t>
  </si>
  <si>
    <t xml:space="preserve">Copeville, Galga, Kalyan, Maggea</t>
  </si>
  <si>
    <t xml:space="preserve">5309</t>
  </si>
  <si>
    <t xml:space="preserve">Borrika, Halidon, Mindarie, Sandalwood</t>
  </si>
  <si>
    <t xml:space="preserve">5310</t>
  </si>
  <si>
    <t xml:space="preserve">Caliph, Wanbi</t>
  </si>
  <si>
    <t xml:space="preserve">5311</t>
  </si>
  <si>
    <t xml:space="preserve">Alawoona, Billiatt, Bugle Hut, Maggea</t>
  </si>
  <si>
    <t xml:space="preserve">5320</t>
  </si>
  <si>
    <t xml:space="preserve">Beatty, Beaumonts, Brenda Park, Bundey</t>
  </si>
  <si>
    <t xml:space="preserve">5321</t>
  </si>
  <si>
    <t xml:space="preserve">Cadell, Cadell Lagoon</t>
  </si>
  <si>
    <t xml:space="preserve">5322</t>
  </si>
  <si>
    <t xml:space="preserve">Golden Heights, Qualco, Ramco, Ramco Heights</t>
  </si>
  <si>
    <t xml:space="preserve">5330</t>
  </si>
  <si>
    <t xml:space="preserve">Boolgun, Devlins Pound, Good Hope Landing, Hawks Nest Station</t>
  </si>
  <si>
    <t xml:space="preserve">5331</t>
  </si>
  <si>
    <t xml:space="preserve">Kingston On Murray, Kingston-On-Murray</t>
  </si>
  <si>
    <t xml:space="preserve">5332</t>
  </si>
  <si>
    <t xml:space="preserve">Moorook, Moorook South, Wappilka, Yinkanie</t>
  </si>
  <si>
    <t xml:space="preserve">5333</t>
  </si>
  <si>
    <t xml:space="preserve">Bookpurnong, Loxton, Loxton North, Nangari</t>
  </si>
  <si>
    <t xml:space="preserve">5340</t>
  </si>
  <si>
    <t xml:space="preserve">Mundic Creek, Murtho, Paringa, Pike River</t>
  </si>
  <si>
    <t xml:space="preserve">5341</t>
  </si>
  <si>
    <t xml:space="preserve">Calperum, Calperum Station, Chaffey, Chowilla</t>
  </si>
  <si>
    <t xml:space="preserve">5342</t>
  </si>
  <si>
    <t xml:space="preserve">Monash</t>
  </si>
  <si>
    <t xml:space="preserve">5343</t>
  </si>
  <si>
    <t xml:space="preserve">Berri, Gerard, Gurra Gurra, Katarapko</t>
  </si>
  <si>
    <t xml:space="preserve">5344</t>
  </si>
  <si>
    <t xml:space="preserve">Glossop</t>
  </si>
  <si>
    <t xml:space="preserve">5345</t>
  </si>
  <si>
    <t xml:space="preserve">Barmera, Loveday, Spectacle Lake</t>
  </si>
  <si>
    <t xml:space="preserve">5346</t>
  </si>
  <si>
    <t xml:space="preserve">Cobdogla</t>
  </si>
  <si>
    <t xml:space="preserve">5350</t>
  </si>
  <si>
    <t xml:space="preserve">Rosedale, Sandy Creek</t>
  </si>
  <si>
    <t xml:space="preserve">5351</t>
  </si>
  <si>
    <t xml:space="preserve">Altona, Barossa Goldfields, Cockatoo Valley, Lyndoch</t>
  </si>
  <si>
    <t xml:space="preserve">5352</t>
  </si>
  <si>
    <t xml:space="preserve">Bethany, Gomersal, Krondorf, Rowland Flat</t>
  </si>
  <si>
    <t xml:space="preserve">5353</t>
  </si>
  <si>
    <t xml:space="preserve">Angaston, Black Hill, Cambrai, Keyneton</t>
  </si>
  <si>
    <t xml:space="preserve">5354</t>
  </si>
  <si>
    <t xml:space="preserve">Bakara, Bakara Well, Fisher, Marks Landing</t>
  </si>
  <si>
    <t xml:space="preserve">5355</t>
  </si>
  <si>
    <t xml:space="preserve">Daveyston, Ebenezer, Light Pass, Marananga</t>
  </si>
  <si>
    <t xml:space="preserve">5356</t>
  </si>
  <si>
    <t xml:space="preserve">Annadale, Dutton, Dutton East, Sandleton</t>
  </si>
  <si>
    <t xml:space="preserve">5357</t>
  </si>
  <si>
    <t xml:space="preserve">Blanchetown, Mcbean Pound, Moorundie, New Well</t>
  </si>
  <si>
    <t xml:space="preserve">5360</t>
  </si>
  <si>
    <t xml:space="preserve">Greenock, Nain</t>
  </si>
  <si>
    <t xml:space="preserve">5371</t>
  </si>
  <si>
    <t xml:space="preserve">Morn Hill, Roseworthy, Shea-Oak Log, Templers</t>
  </si>
  <si>
    <t xml:space="preserve">5372</t>
  </si>
  <si>
    <t xml:space="preserve">Freeling</t>
  </si>
  <si>
    <t xml:space="preserve">5373</t>
  </si>
  <si>
    <t xml:space="preserve">Allendale North, Bagot Well, Bethel, Fords</t>
  </si>
  <si>
    <t xml:space="preserve">5374</t>
  </si>
  <si>
    <t xml:space="preserve">Australia Plains, Bower, Brownlow, Buchanan</t>
  </si>
  <si>
    <t xml:space="preserve">5381</t>
  </si>
  <si>
    <t xml:space="preserve">Brady Creek, Bright, Emu Downs, Geranium Plains</t>
  </si>
  <si>
    <t xml:space="preserve">5400</t>
  </si>
  <si>
    <t xml:space="preserve">Magdala, Pinkerton Plains, Wasleys, Woolsheds</t>
  </si>
  <si>
    <t xml:space="preserve">5401</t>
  </si>
  <si>
    <t xml:space="preserve">Alma, Hamley Bridge, Salter Springs</t>
  </si>
  <si>
    <t xml:space="preserve">5410</t>
  </si>
  <si>
    <t xml:space="preserve">Linwood, Stockport</t>
  </si>
  <si>
    <t xml:space="preserve">5411</t>
  </si>
  <si>
    <t xml:space="preserve">Giles Corner, Tarlee</t>
  </si>
  <si>
    <t xml:space="preserve">5412</t>
  </si>
  <si>
    <t xml:space="preserve">Navan, Rhynie, Riverton, Woolshed Flat</t>
  </si>
  <si>
    <t xml:space="preserve">5413</t>
  </si>
  <si>
    <t xml:space="preserve">Apoinga, Black Springs, Marrabel, Saddleworth</t>
  </si>
  <si>
    <t xml:space="preserve">5414</t>
  </si>
  <si>
    <t xml:space="preserve">Manoora</t>
  </si>
  <si>
    <t xml:space="preserve">5415</t>
  </si>
  <si>
    <t xml:space="preserve">Mintaro, Stanley</t>
  </si>
  <si>
    <t xml:space="preserve">5416</t>
  </si>
  <si>
    <t xml:space="preserve">Farrell Flat, Porter Lagoon</t>
  </si>
  <si>
    <t xml:space="preserve">5417</t>
  </si>
  <si>
    <t xml:space="preserve">Balah, Baldina, Booborowie, Bunyung</t>
  </si>
  <si>
    <t xml:space="preserve">5418</t>
  </si>
  <si>
    <t xml:space="preserve">Collinsville, Mount Bryan</t>
  </si>
  <si>
    <t xml:space="preserve">5419</t>
  </si>
  <si>
    <t xml:space="preserve">Canowie, Hallett, Mount Bryan East, Pine Creek</t>
  </si>
  <si>
    <t xml:space="preserve">5420</t>
  </si>
  <si>
    <t xml:space="preserve">Canowie Belt, Whyte Yarcowie</t>
  </si>
  <si>
    <t xml:space="preserve">5421</t>
  </si>
  <si>
    <t xml:space="preserve">Franklyn, Terowie</t>
  </si>
  <si>
    <t xml:space="preserve">5422</t>
  </si>
  <si>
    <t xml:space="preserve">Cavenagh, Dawson, Erskine, Hardy</t>
  </si>
  <si>
    <t xml:space="preserve">5431</t>
  </si>
  <si>
    <t xml:space="preserve">Amyton, Black Rock, Coomooroo, Eurelia</t>
  </si>
  <si>
    <t xml:space="preserve">5432</t>
  </si>
  <si>
    <t xml:space="preserve">Baratta, Belton, Bibliando, Carrieton</t>
  </si>
  <si>
    <t xml:space="preserve">5433</t>
  </si>
  <si>
    <t xml:space="preserve">Bruce, Quorn, Saltia, Stephenston</t>
  </si>
  <si>
    <t xml:space="preserve">5434</t>
  </si>
  <si>
    <t xml:space="preserve">Barndioota, Black Hill Station, Flinders Ranges, Hawker</t>
  </si>
  <si>
    <t xml:space="preserve">5440</t>
  </si>
  <si>
    <t xml:space="preserve">Abminga Station, Benda, Billeroo West, Bimbowrie</t>
  </si>
  <si>
    <t xml:space="preserve">5451</t>
  </si>
  <si>
    <t xml:space="preserve">Auburn, Undalya</t>
  </si>
  <si>
    <t xml:space="preserve">5452</t>
  </si>
  <si>
    <t xml:space="preserve">Leasingham, Watervale</t>
  </si>
  <si>
    <t xml:space="preserve">5453</t>
  </si>
  <si>
    <t xml:space="preserve">Armagh, Barinia, Benbournie, Boconnoc Park</t>
  </si>
  <si>
    <t xml:space="preserve">5454</t>
  </si>
  <si>
    <t xml:space="preserve">Andrews, Broughton River Valley, Euromina, Hacklins Corner</t>
  </si>
  <si>
    <t xml:space="preserve">5455</t>
  </si>
  <si>
    <t xml:space="preserve">Hilltown</t>
  </si>
  <si>
    <t xml:space="preserve">5460</t>
  </si>
  <si>
    <t xml:space="preserve">Barabba, Owen, Pinery, Stockyard Creek</t>
  </si>
  <si>
    <t xml:space="preserve">5461</t>
  </si>
  <si>
    <t xml:space="preserve">Balaklava, Bowillia, Dalkey, Erith</t>
  </si>
  <si>
    <t xml:space="preserve">5462</t>
  </si>
  <si>
    <t xml:space="preserve">Blyth</t>
  </si>
  <si>
    <t xml:space="preserve">5464</t>
  </si>
  <si>
    <t xml:space="preserve">Anama, Brinkworth, Bungaree, Condowie</t>
  </si>
  <si>
    <t xml:space="preserve">5470</t>
  </si>
  <si>
    <t xml:space="preserve">Yacka</t>
  </si>
  <si>
    <t xml:space="preserve">5471</t>
  </si>
  <si>
    <t xml:space="preserve">Gulnare</t>
  </si>
  <si>
    <t xml:space="preserve">5472</t>
  </si>
  <si>
    <t xml:space="preserve">Georgetown</t>
  </si>
  <si>
    <t xml:space="preserve">5473</t>
  </si>
  <si>
    <t xml:space="preserve">Gladstone</t>
  </si>
  <si>
    <t xml:space="preserve">5480</t>
  </si>
  <si>
    <t xml:space="preserve">Appila, Laura, Stone Hut</t>
  </si>
  <si>
    <t xml:space="preserve">5481</t>
  </si>
  <si>
    <t xml:space="preserve">Bangor, Murray Town, Wirrabara, Wongyarra</t>
  </si>
  <si>
    <t xml:space="preserve">5482</t>
  </si>
  <si>
    <t xml:space="preserve">Booleroo Centre, Wepowie</t>
  </si>
  <si>
    <t xml:space="preserve">5483</t>
  </si>
  <si>
    <t xml:space="preserve">Melrose</t>
  </si>
  <si>
    <t xml:space="preserve">5485</t>
  </si>
  <si>
    <t xml:space="preserve">Wilmington</t>
  </si>
  <si>
    <t xml:space="preserve">5490</t>
  </si>
  <si>
    <t xml:space="preserve">Caltowie, Caltowie North, Caltowie West</t>
  </si>
  <si>
    <t xml:space="preserve">5491</t>
  </si>
  <si>
    <t xml:space="preserve">Belalie East, Belalie North, Bundaleer Gardens, Bundaleer North</t>
  </si>
  <si>
    <t xml:space="preserve">5493</t>
  </si>
  <si>
    <t xml:space="preserve">Yongala</t>
  </si>
  <si>
    <t xml:space="preserve">5495</t>
  </si>
  <si>
    <t xml:space="preserve">Baroota, Germein Bay, Mambray Creek, Nectar Brook</t>
  </si>
  <si>
    <t xml:space="preserve">5501</t>
  </si>
  <si>
    <t xml:space="preserve">Avon, Calomba, Dublin, Lewiston</t>
  </si>
  <si>
    <t xml:space="preserve">5502</t>
  </si>
  <si>
    <t xml:space="preserve">Fischer, Grace Plains, Korunye, Mallala</t>
  </si>
  <si>
    <t xml:space="preserve">5510</t>
  </si>
  <si>
    <t xml:space="preserve">Lochiel</t>
  </si>
  <si>
    <t xml:space="preserve">5520</t>
  </si>
  <si>
    <t xml:space="preserve">Barunga Gap, Bumbunga, Burnsfield, Gleeson Hill</t>
  </si>
  <si>
    <t xml:space="preserve">5521</t>
  </si>
  <si>
    <t xml:space="preserve">Redhill</t>
  </si>
  <si>
    <t xml:space="preserve">5522</t>
  </si>
  <si>
    <t xml:space="preserve">Fisherman Bay, Lower Broughton, Port Broughton, Ward Hill</t>
  </si>
  <si>
    <t xml:space="preserve">5523</t>
  </si>
  <si>
    <t xml:space="preserve">Beetaloo Valley, Clements Gap, Crystal Brook, Huddleston</t>
  </si>
  <si>
    <t xml:space="preserve">5540</t>
  </si>
  <si>
    <t xml:space="preserve">Bungama, Coonamia, Lower Broughton, Napperby</t>
  </si>
  <si>
    <t xml:space="preserve">5550</t>
  </si>
  <si>
    <t xml:space="preserve">Beaufort, Bowmans, Inkerman, Kallora</t>
  </si>
  <si>
    <t xml:space="preserve">5552</t>
  </si>
  <si>
    <t xml:space="preserve">Kainton, Kulpara, Melton, Paskeville</t>
  </si>
  <si>
    <t xml:space="preserve">5554</t>
  </si>
  <si>
    <t xml:space="preserve">Boors Plain, Cunliffe, Jericho, Jerusalem</t>
  </si>
  <si>
    <t xml:space="preserve">5555</t>
  </si>
  <si>
    <t xml:space="preserve">Alford, Collinsfield, Dowling, Dowlingville</t>
  </si>
  <si>
    <t xml:space="preserve">5556</t>
  </si>
  <si>
    <t xml:space="preserve">North Beach, Wallaroo, Wallaroo Plain, Warburto</t>
  </si>
  <si>
    <t xml:space="preserve">5558</t>
  </si>
  <si>
    <t xml:space="preserve">Agery, Cross Roads, East Moonta, Hamley</t>
  </si>
  <si>
    <t xml:space="preserve">5560</t>
  </si>
  <si>
    <t xml:space="preserve">Bute, Ninnes</t>
  </si>
  <si>
    <t xml:space="preserve">5570</t>
  </si>
  <si>
    <t xml:space="preserve">Clinton, Clinton Centre, Port Clinton, Price</t>
  </si>
  <si>
    <t xml:space="preserve">5571</t>
  </si>
  <si>
    <t xml:space="preserve">Ardrossan, Black Point, Cunningham, Dowlingville</t>
  </si>
  <si>
    <t xml:space="preserve">5572</t>
  </si>
  <si>
    <t xml:space="preserve">Arthurton, Port Arthur</t>
  </si>
  <si>
    <t xml:space="preserve">5573</t>
  </si>
  <si>
    <t xml:space="preserve">Balgowan, Chinaman Wells, Chinamen Wells, Maitland</t>
  </si>
  <si>
    <t xml:space="preserve">5575</t>
  </si>
  <si>
    <t xml:space="preserve">Bluff Beach, Brentwood, Corny Point, Couch Beach</t>
  </si>
  <si>
    <t xml:space="preserve">5576</t>
  </si>
  <si>
    <t xml:space="preserve">Honiton, Port Moorowie, Yorketown</t>
  </si>
  <si>
    <t xml:space="preserve">5577</t>
  </si>
  <si>
    <t xml:space="preserve">Couch Beach, Foul Bay, Inneston, Point Souttar</t>
  </si>
  <si>
    <t xml:space="preserve">5580</t>
  </si>
  <si>
    <t xml:space="preserve">Curramulka, Port Julia</t>
  </si>
  <si>
    <t xml:space="preserve">5581</t>
  </si>
  <si>
    <t xml:space="preserve">Port Vincent, Sheaoak Flat</t>
  </si>
  <si>
    <t xml:space="preserve">5582</t>
  </si>
  <si>
    <t xml:space="preserve">Port Giles, Stansbury</t>
  </si>
  <si>
    <t xml:space="preserve">5583</t>
  </si>
  <si>
    <t xml:space="preserve">Coobowie, Edithburgh, Sultana Point</t>
  </si>
  <si>
    <t xml:space="preserve">5600</t>
  </si>
  <si>
    <t xml:space="preserve">Iron Baron, Whyalla, Whyalla Dc, Whyalla Playford</t>
  </si>
  <si>
    <t xml:space="preserve">5601</t>
  </si>
  <si>
    <t xml:space="preserve">Backy Point, Douglas Point, Douglas Point South, False Bay</t>
  </si>
  <si>
    <t xml:space="preserve">5602</t>
  </si>
  <si>
    <t xml:space="preserve">Cowell, Lucky Bay, Mangalo, Midgee</t>
  </si>
  <si>
    <t xml:space="preserve">5603</t>
  </si>
  <si>
    <t xml:space="preserve">Arno Bay, Hincks, Verran, Wharminda</t>
  </si>
  <si>
    <t xml:space="preserve">5604</t>
  </si>
  <si>
    <t xml:space="preserve">Port Neill</t>
  </si>
  <si>
    <t xml:space="preserve">5605</t>
  </si>
  <si>
    <t xml:space="preserve">Butler, Tumby Bay</t>
  </si>
  <si>
    <t xml:space="preserve">5606</t>
  </si>
  <si>
    <t xml:space="preserve">Kirton Point, Port Lincoln, Port Lincoln South, Wedge Island</t>
  </si>
  <si>
    <t xml:space="preserve">5607</t>
  </si>
  <si>
    <t xml:space="preserve">Boston, Brooker, Charlton Gully, Coffin Bay</t>
  </si>
  <si>
    <t xml:space="preserve">5608</t>
  </si>
  <si>
    <t xml:space="preserve">Mullaquana, Whyalla Norrie, Whyalla Norrie East, Whyalla Norrie North</t>
  </si>
  <si>
    <t xml:space="preserve">5609</t>
  </si>
  <si>
    <t xml:space="preserve">Cowleds Landing, Middleback Range, Murninnie Beach, Whyalla Jenkins</t>
  </si>
  <si>
    <t xml:space="preserve">5611</t>
  </si>
  <si>
    <t xml:space="preserve">Cooyerdoo, Corunna Station, Gilles Downs, Iron Baron</t>
  </si>
  <si>
    <t xml:space="preserve">5630</t>
  </si>
  <si>
    <t xml:space="preserve">Edilillie, Edillilie</t>
  </si>
  <si>
    <t xml:space="preserve">5631</t>
  </si>
  <si>
    <t xml:space="preserve">Cockaleechie, Cummins</t>
  </si>
  <si>
    <t xml:space="preserve">5632</t>
  </si>
  <si>
    <t xml:space="preserve">Kapinnie, Karkoo, Mitchell, Yeelanna</t>
  </si>
  <si>
    <t xml:space="preserve">5633</t>
  </si>
  <si>
    <t xml:space="preserve">Boonerdo, Lock, Ulyerra</t>
  </si>
  <si>
    <t xml:space="preserve">5640</t>
  </si>
  <si>
    <t xml:space="preserve">Campoona, Cleve, Jamieson, Waddikee</t>
  </si>
  <si>
    <t xml:space="preserve">5641</t>
  </si>
  <si>
    <t xml:space="preserve">Barna, Buckleboo, Bungeroo, Caralue</t>
  </si>
  <si>
    <t xml:space="preserve">5642</t>
  </si>
  <si>
    <t xml:space="preserve">Darke Peak, Hambidge, Kielpa, Murlong</t>
  </si>
  <si>
    <t xml:space="preserve">5650</t>
  </si>
  <si>
    <t xml:space="preserve">Cootra, Koongawa, Warramboo</t>
  </si>
  <si>
    <t xml:space="preserve">5651</t>
  </si>
  <si>
    <t xml:space="preserve">Kyancutta</t>
  </si>
  <si>
    <t xml:space="preserve">5652</t>
  </si>
  <si>
    <t xml:space="preserve">Paney, Pygery, Wudinna</t>
  </si>
  <si>
    <t xml:space="preserve">5653</t>
  </si>
  <si>
    <t xml:space="preserve">Yaninee</t>
  </si>
  <si>
    <t xml:space="preserve">5654</t>
  </si>
  <si>
    <t xml:space="preserve">Cocata, Karcultaby, Minnipa, Mount Damper</t>
  </si>
  <si>
    <t xml:space="preserve">5655</t>
  </si>
  <si>
    <t xml:space="preserve">Bockelberg, Gawler Ranges, Kaldoonera, Lockes Claypan</t>
  </si>
  <si>
    <t xml:space="preserve">5660</t>
  </si>
  <si>
    <t xml:space="preserve">Chilpenunda, Cungena</t>
  </si>
  <si>
    <t xml:space="preserve">5661</t>
  </si>
  <si>
    <t xml:space="preserve">Koolgera, Pimbaacla, Wallala, Wirrulla</t>
  </si>
  <si>
    <t xml:space="preserve">5670</t>
  </si>
  <si>
    <t xml:space="preserve">Bramfield, Colton, Coolillie, Elliston</t>
  </si>
  <si>
    <t xml:space="preserve">5671</t>
  </si>
  <si>
    <t xml:space="preserve">Baird Bay, Calca, Colley, Mortana</t>
  </si>
  <si>
    <t xml:space="preserve">5680</t>
  </si>
  <si>
    <t xml:space="preserve">Carawa, Chandada, Chinbingina, Eba Anchorage</t>
  </si>
  <si>
    <t xml:space="preserve">5690</t>
  </si>
  <si>
    <t xml:space="preserve">Bookabie, Ceduna, Ceduna Waters, Charra</t>
  </si>
  <si>
    <t xml:space="preserve">5700</t>
  </si>
  <si>
    <t xml:space="preserve">Blanche Harbor, Commissariat Point, Cultana, Davenport</t>
  </si>
  <si>
    <t xml:space="preserve">5701</t>
  </si>
  <si>
    <t xml:space="preserve">Arkaroola Village, Cook, Port Augusta, Tarcoola</t>
  </si>
  <si>
    <t xml:space="preserve">5710</t>
  </si>
  <si>
    <t xml:space="preserve">Cook, Glendambo, Kingoonya, Nonning</t>
  </si>
  <si>
    <t xml:space="preserve">5713</t>
  </si>
  <si>
    <t xml:space="preserve">Emeroo, Island Lagoon, Kootaberra, Lake Torrens</t>
  </si>
  <si>
    <t xml:space="preserve">5715</t>
  </si>
  <si>
    <t xml:space="preserve">Carriewerloo, Illeroo, Lincoln Gap, Pandurra</t>
  </si>
  <si>
    <t xml:space="preserve">5717</t>
  </si>
  <si>
    <t xml:space="preserve">Hiltaba, Kokatha, Kolendo, Kondoolka</t>
  </si>
  <si>
    <t xml:space="preserve">5719</t>
  </si>
  <si>
    <t xml:space="preserve">Bon Bon, Bulgunnia, Commonwealth Hill, Coondambo</t>
  </si>
  <si>
    <t xml:space="preserve">5720</t>
  </si>
  <si>
    <t xml:space="preserve">Arcoona, Billa Kalina, Bosworth, Millers Creek</t>
  </si>
  <si>
    <t xml:space="preserve">5722</t>
  </si>
  <si>
    <t xml:space="preserve">Andamooka, Andamooka Station</t>
  </si>
  <si>
    <t xml:space="preserve">5723</t>
  </si>
  <si>
    <t xml:space="preserve">Allandale Station, Anna Creek, Arckaringa, Coober Pedy</t>
  </si>
  <si>
    <t xml:space="preserve">5724</t>
  </si>
  <si>
    <t xml:space="preserve">Marla, Mintabie, Welbourn Hill</t>
  </si>
  <si>
    <t xml:space="preserve">5725</t>
  </si>
  <si>
    <t xml:space="preserve">Olympic Dam, Roxby Downs, Roxby Downs Station</t>
  </si>
  <si>
    <t xml:space="preserve">5730</t>
  </si>
  <si>
    <t xml:space="preserve">Alpana, Angorigina, Beltana, Beltana Station</t>
  </si>
  <si>
    <t xml:space="preserve">5731</t>
  </si>
  <si>
    <t xml:space="preserve">Bollards Lagoon, Coopers Creek, Cordillo Downs, Durham Downs</t>
  </si>
  <si>
    <t xml:space="preserve">5732</t>
  </si>
  <si>
    <t xml:space="preserve">Angepena, Arkaroola, Burr Well, Copley</t>
  </si>
  <si>
    <t xml:space="preserve">5733</t>
  </si>
  <si>
    <t xml:space="preserve">Alton Downs Station, Callanna, Clayton Station, Clifton Hills Station</t>
  </si>
  <si>
    <t xml:space="preserve">5734</t>
  </si>
  <si>
    <t xml:space="preserve">Crown Point, Eringa, Macumba, Mount Sarah</t>
  </si>
  <si>
    <t xml:space="preserve">5800</t>
  </si>
  <si>
    <t xml:space="preserve">5810</t>
  </si>
  <si>
    <t xml:space="preserve">5839</t>
  </si>
  <si>
    <t xml:space="preserve">5950</t>
  </si>
  <si>
    <t xml:space="preserve">Adelaide Airport, Export Park</t>
  </si>
  <si>
    <t xml:space="preserve">6000</t>
  </si>
  <si>
    <t xml:space="preserve">WA - Metro</t>
  </si>
  <si>
    <t xml:space="preserve">City Delivery Centre, Perth, Perth Gpo</t>
  </si>
  <si>
    <t xml:space="preserve">6001</t>
  </si>
  <si>
    <t xml:space="preserve">Perth</t>
  </si>
  <si>
    <t xml:space="preserve">6003</t>
  </si>
  <si>
    <t xml:space="preserve">Highgate, Northbridge</t>
  </si>
  <si>
    <t xml:space="preserve">6004</t>
  </si>
  <si>
    <t xml:space="preserve">East Perth</t>
  </si>
  <si>
    <t xml:space="preserve">6005</t>
  </si>
  <si>
    <t xml:space="preserve">Kings Park, West Perth</t>
  </si>
  <si>
    <t xml:space="preserve">6006</t>
  </si>
  <si>
    <t xml:space="preserve">North Perth</t>
  </si>
  <si>
    <t xml:space="preserve">6007</t>
  </si>
  <si>
    <t xml:space="preserve">Leederville, West Leederville</t>
  </si>
  <si>
    <t xml:space="preserve">6008</t>
  </si>
  <si>
    <t xml:space="preserve">Daglish, Shenton Park, Subiaco, Subiaco East</t>
  </si>
  <si>
    <t xml:space="preserve">6009</t>
  </si>
  <si>
    <t xml:space="preserve">Broadway Nedlands, Crawley, Dalkeith, Nedlands</t>
  </si>
  <si>
    <t xml:space="preserve">6010</t>
  </si>
  <si>
    <t xml:space="preserve">Claremont, Claremont North, Karrakatta, Mount Claremont</t>
  </si>
  <si>
    <t xml:space="preserve">6011</t>
  </si>
  <si>
    <t xml:space="preserve">Cottesloe, Peppermint Grove</t>
  </si>
  <si>
    <t xml:space="preserve">6012</t>
  </si>
  <si>
    <t xml:space="preserve">Mosman Park</t>
  </si>
  <si>
    <t xml:space="preserve">6014</t>
  </si>
  <si>
    <t xml:space="preserve">Floreat, Floreat Forum, Jolimont, Wembley</t>
  </si>
  <si>
    <t xml:space="preserve">6015</t>
  </si>
  <si>
    <t xml:space="preserve">City Beach</t>
  </si>
  <si>
    <t xml:space="preserve">6016</t>
  </si>
  <si>
    <t xml:space="preserve">Glendalough, Mount Hawthorn</t>
  </si>
  <si>
    <t xml:space="preserve">6017</t>
  </si>
  <si>
    <t xml:space="preserve">Herdsman, Osborne Park, Osborne Park Dc</t>
  </si>
  <si>
    <t xml:space="preserve">6018</t>
  </si>
  <si>
    <t xml:space="preserve">Churchlands, Doubleview, Gwelup, Gwelup Dc</t>
  </si>
  <si>
    <t xml:space="preserve">6019</t>
  </si>
  <si>
    <t xml:space="preserve">Scarborough, Wembley Downs</t>
  </si>
  <si>
    <t xml:space="preserve">6020</t>
  </si>
  <si>
    <t xml:space="preserve">Carine, Marmion, North Beach, Sorrento</t>
  </si>
  <si>
    <t xml:space="preserve">6021</t>
  </si>
  <si>
    <t xml:space="preserve">Balcatta, Stirling</t>
  </si>
  <si>
    <t xml:space="preserve">6022</t>
  </si>
  <si>
    <t xml:space="preserve">Hamersley</t>
  </si>
  <si>
    <t xml:space="preserve">6023</t>
  </si>
  <si>
    <t xml:space="preserve">Duncraig, Glengarry</t>
  </si>
  <si>
    <t xml:space="preserve">6024</t>
  </si>
  <si>
    <t xml:space="preserve">Greenwood, Warwick</t>
  </si>
  <si>
    <t xml:space="preserve">6025</t>
  </si>
  <si>
    <t xml:space="preserve">Craigie, Hillarys, Kallaroo, Padbury</t>
  </si>
  <si>
    <t xml:space="preserve">6026</t>
  </si>
  <si>
    <t xml:space="preserve">Kingsley, Woodvale</t>
  </si>
  <si>
    <t xml:space="preserve">6027</t>
  </si>
  <si>
    <t xml:space="preserve">Beldon, Connolly, Edgewater, Heathridge</t>
  </si>
  <si>
    <t xml:space="preserve">6028</t>
  </si>
  <si>
    <t xml:space="preserve">Burns Beach, Currambine, Iluka, Kinross</t>
  </si>
  <si>
    <t xml:space="preserve">6029</t>
  </si>
  <si>
    <t xml:space="preserve">Trigg</t>
  </si>
  <si>
    <t xml:space="preserve">6030</t>
  </si>
  <si>
    <t xml:space="preserve">Clarkson, Merriwa, Mindarie, Quinns Rocks</t>
  </si>
  <si>
    <t xml:space="preserve">6031</t>
  </si>
  <si>
    <t xml:space="preserve">Banksia Grove, Carramar, Neerabup</t>
  </si>
  <si>
    <t xml:space="preserve">6032</t>
  </si>
  <si>
    <t xml:space="preserve">Nowergup</t>
  </si>
  <si>
    <t xml:space="preserve">6033</t>
  </si>
  <si>
    <t xml:space="preserve">Carabooda</t>
  </si>
  <si>
    <t xml:space="preserve">6034</t>
  </si>
  <si>
    <t xml:space="preserve">Eglinton</t>
  </si>
  <si>
    <t xml:space="preserve">6035</t>
  </si>
  <si>
    <t xml:space="preserve">Yanchep</t>
  </si>
  <si>
    <t xml:space="preserve">6036</t>
  </si>
  <si>
    <t xml:space="preserve">Butler, Jindalee</t>
  </si>
  <si>
    <t xml:space="preserve">6037</t>
  </si>
  <si>
    <t xml:space="preserve">Two Rocks</t>
  </si>
  <si>
    <t xml:space="preserve">6038</t>
  </si>
  <si>
    <t xml:space="preserve">Alkimos</t>
  </si>
  <si>
    <t xml:space="preserve">6041</t>
  </si>
  <si>
    <t xml:space="preserve">WA - Outer Metro</t>
  </si>
  <si>
    <t xml:space="preserve">Caraban, Gabbadah, Guilderton, Wilbinga</t>
  </si>
  <si>
    <t xml:space="preserve">6042</t>
  </si>
  <si>
    <t xml:space="preserve">Seabird</t>
  </si>
  <si>
    <t xml:space="preserve">6043</t>
  </si>
  <si>
    <t xml:space="preserve">Breton Bay, Ledge Point</t>
  </si>
  <si>
    <t xml:space="preserve">6044</t>
  </si>
  <si>
    <t xml:space="preserve">Karakin, Lancelin, Nilgen, Wedge Island</t>
  </si>
  <si>
    <t xml:space="preserve">6050</t>
  </si>
  <si>
    <t xml:space="preserve">Coolbinia, Menora, Mount Lawley</t>
  </si>
  <si>
    <t xml:space="preserve">6051</t>
  </si>
  <si>
    <t xml:space="preserve">Maylands</t>
  </si>
  <si>
    <t xml:space="preserve">6052</t>
  </si>
  <si>
    <t xml:space="preserve">Bedford, Inglewood</t>
  </si>
  <si>
    <t xml:space="preserve">6053</t>
  </si>
  <si>
    <t xml:space="preserve">Bayswater</t>
  </si>
  <si>
    <t xml:space="preserve">6054</t>
  </si>
  <si>
    <t xml:space="preserve">Ashfield, Bassendean, Bassendean Dc, Eden Hill</t>
  </si>
  <si>
    <t xml:space="preserve">6055</t>
  </si>
  <si>
    <t xml:space="preserve">Brabham, Bushmead, Caversham, Dayton</t>
  </si>
  <si>
    <t xml:space="preserve">6056</t>
  </si>
  <si>
    <t xml:space="preserve">Baskerville, Bellevue, Boya, Greenmount</t>
  </si>
  <si>
    <t xml:space="preserve">6057</t>
  </si>
  <si>
    <t xml:space="preserve">High Wycombe, Maida Vale</t>
  </si>
  <si>
    <t xml:space="preserve">6058</t>
  </si>
  <si>
    <t xml:space="preserve">Forrestfield</t>
  </si>
  <si>
    <t xml:space="preserve">6059</t>
  </si>
  <si>
    <t xml:space="preserve">Dianella</t>
  </si>
  <si>
    <t xml:space="preserve">6060</t>
  </si>
  <si>
    <t xml:space="preserve">Dog Swamp, Joondanna, Tuart Hill, Yokine</t>
  </si>
  <si>
    <t xml:space="preserve">6061</t>
  </si>
  <si>
    <t xml:space="preserve">Balga, Mirrabooka, Nollamara, Westminster</t>
  </si>
  <si>
    <t xml:space="preserve">6062</t>
  </si>
  <si>
    <t xml:space="preserve">Embleton, Morley, Noranda</t>
  </si>
  <si>
    <t xml:space="preserve">6063</t>
  </si>
  <si>
    <t xml:space="preserve">Beechboro, Bennett Springs</t>
  </si>
  <si>
    <t xml:space="preserve">6064</t>
  </si>
  <si>
    <t xml:space="preserve">Alexander Heights, Girrawheen, Koondoola, Marangaroo</t>
  </si>
  <si>
    <t xml:space="preserve">6065</t>
  </si>
  <si>
    <t xml:space="preserve">Ashby, Darch, Gnangara, Hocking</t>
  </si>
  <si>
    <t xml:space="preserve">6066</t>
  </si>
  <si>
    <t xml:space="preserve">Ballajura</t>
  </si>
  <si>
    <t xml:space="preserve">6067</t>
  </si>
  <si>
    <t xml:space="preserve">Cullacabardee</t>
  </si>
  <si>
    <t xml:space="preserve">6068</t>
  </si>
  <si>
    <t xml:space="preserve">Whiteman</t>
  </si>
  <si>
    <t xml:space="preserve">6069</t>
  </si>
  <si>
    <t xml:space="preserve">Aveley, Belhus, Brigadoon, Ellenbrook</t>
  </si>
  <si>
    <t xml:space="preserve">6070</t>
  </si>
  <si>
    <t xml:space="preserve">Darlington</t>
  </si>
  <si>
    <t xml:space="preserve">6071</t>
  </si>
  <si>
    <t xml:space="preserve">Glen Forrest, Hovea</t>
  </si>
  <si>
    <t xml:space="preserve">6072</t>
  </si>
  <si>
    <t xml:space="preserve">Mahogany Creek</t>
  </si>
  <si>
    <t xml:space="preserve">6073</t>
  </si>
  <si>
    <t xml:space="preserve">Mundaring, Mundaring Dc, Mundaring Weir</t>
  </si>
  <si>
    <t xml:space="preserve">6074</t>
  </si>
  <si>
    <t xml:space="preserve">Sawyers Valley</t>
  </si>
  <si>
    <t xml:space="preserve">6076</t>
  </si>
  <si>
    <t xml:space="preserve">Bickley, Carmel, Gooseberry Hill, Hacketts Gully</t>
  </si>
  <si>
    <t xml:space="preserve">6077</t>
  </si>
  <si>
    <t xml:space="preserve">Gnangara, Jandabup</t>
  </si>
  <si>
    <t xml:space="preserve">6078</t>
  </si>
  <si>
    <t xml:space="preserve">Mariginiup, Pinjar</t>
  </si>
  <si>
    <t xml:space="preserve">6079</t>
  </si>
  <si>
    <t xml:space="preserve">Lexia, Melaleuca</t>
  </si>
  <si>
    <t xml:space="preserve">6081</t>
  </si>
  <si>
    <t xml:space="preserve">Parkerville, Stoneville</t>
  </si>
  <si>
    <t xml:space="preserve">6082</t>
  </si>
  <si>
    <t xml:space="preserve">Bailup, Mount Helena</t>
  </si>
  <si>
    <t xml:space="preserve">6083</t>
  </si>
  <si>
    <t xml:space="preserve">Gidgegannup, Morangup</t>
  </si>
  <si>
    <t xml:space="preserve">6084</t>
  </si>
  <si>
    <t xml:space="preserve">Avon Valley National Park, Bullsbrook, Chittering, Lower Chittering</t>
  </si>
  <si>
    <t xml:space="preserve">6090</t>
  </si>
  <si>
    <t xml:space="preserve">Malaga</t>
  </si>
  <si>
    <t xml:space="preserve">6100</t>
  </si>
  <si>
    <t xml:space="preserve">Burswood, Lathlain, Victoria Park</t>
  </si>
  <si>
    <t xml:space="preserve">6101</t>
  </si>
  <si>
    <t xml:space="preserve">Carlisle, Carlisle North, Carlisle South, East Victoria Park</t>
  </si>
  <si>
    <t xml:space="preserve">6102</t>
  </si>
  <si>
    <t xml:space="preserve">Bentley, Bentley Dc, Bentley South, St James</t>
  </si>
  <si>
    <t xml:space="preserve">6103</t>
  </si>
  <si>
    <t xml:space="preserve">Rivervale</t>
  </si>
  <si>
    <t xml:space="preserve">6104</t>
  </si>
  <si>
    <t xml:space="preserve">Ascot, Belmont, Redcliffe</t>
  </si>
  <si>
    <t xml:space="preserve">6105</t>
  </si>
  <si>
    <t xml:space="preserve">Cloverdale, Kewdale, Perth Airport</t>
  </si>
  <si>
    <t xml:space="preserve">6106</t>
  </si>
  <si>
    <t xml:space="preserve">Welshpool, Welshpool Dc</t>
  </si>
  <si>
    <t xml:space="preserve">6107</t>
  </si>
  <si>
    <t xml:space="preserve">Beckenham, Cannington, East Cannington, Kenwick</t>
  </si>
  <si>
    <t xml:space="preserve">6108</t>
  </si>
  <si>
    <t xml:space="preserve">Thornlie</t>
  </si>
  <si>
    <t xml:space="preserve">6109</t>
  </si>
  <si>
    <t xml:space="preserve">Maddington, Orange Grove</t>
  </si>
  <si>
    <t xml:space="preserve">6110</t>
  </si>
  <si>
    <t xml:space="preserve">Gosnells, Huntingdale, Martin, Southern River</t>
  </si>
  <si>
    <t xml:space="preserve">6111</t>
  </si>
  <si>
    <t xml:space="preserve">Ashendon, Camillo, Canning Mills, Champion Lakes</t>
  </si>
  <si>
    <t xml:space="preserve">6112</t>
  </si>
  <si>
    <t xml:space="preserve">Armadale, Bedfordale, Brookdale, Doobarda</t>
  </si>
  <si>
    <t xml:space="preserve">6121</t>
  </si>
  <si>
    <t xml:space="preserve">Oakford, Oldbury</t>
  </si>
  <si>
    <t xml:space="preserve">6122</t>
  </si>
  <si>
    <t xml:space="preserve">Byford, Cardup, Darling Downs, Karrakup</t>
  </si>
  <si>
    <t xml:space="preserve">6123</t>
  </si>
  <si>
    <t xml:space="preserve">Mundijong, Whitby</t>
  </si>
  <si>
    <t xml:space="preserve">6124</t>
  </si>
  <si>
    <t xml:space="preserve">Jarrahdale</t>
  </si>
  <si>
    <t xml:space="preserve">6125</t>
  </si>
  <si>
    <t xml:space="preserve">Hopeland, Mardella, Serpentine</t>
  </si>
  <si>
    <t xml:space="preserve">6126</t>
  </si>
  <si>
    <t xml:space="preserve">Keysbrook</t>
  </si>
  <si>
    <t xml:space="preserve">6147</t>
  </si>
  <si>
    <t xml:space="preserve">Langford, Lynwood, Parkwood</t>
  </si>
  <si>
    <t xml:space="preserve">6148</t>
  </si>
  <si>
    <t xml:space="preserve">Ferndale, Riverton, Rossmoyne, Shelley</t>
  </si>
  <si>
    <t xml:space="preserve">6149</t>
  </si>
  <si>
    <t xml:space="preserve">Bull Creek, Leeming</t>
  </si>
  <si>
    <t xml:space="preserve">6150</t>
  </si>
  <si>
    <t xml:space="preserve">Bateman, Murdoch, Winthrop</t>
  </si>
  <si>
    <t xml:space="preserve">6151</t>
  </si>
  <si>
    <t xml:space="preserve">Kensington, South Perth, South Perth Angelo St</t>
  </si>
  <si>
    <t xml:space="preserve">6152</t>
  </si>
  <si>
    <t xml:space="preserve">Como, Karawara, Manning, Salter Point</t>
  </si>
  <si>
    <t xml:space="preserve">6153</t>
  </si>
  <si>
    <t xml:space="preserve">Applecross, Applecross North, Ardross, Brentwood</t>
  </si>
  <si>
    <t xml:space="preserve">6154</t>
  </si>
  <si>
    <t xml:space="preserve">Alfred Cove, Booragoon, Myaree</t>
  </si>
  <si>
    <t xml:space="preserve">6155</t>
  </si>
  <si>
    <t xml:space="preserve">Canning Vale, Canning Vale Dc, Canning Vale South, Willetton</t>
  </si>
  <si>
    <t xml:space="preserve">6156</t>
  </si>
  <si>
    <t xml:space="preserve">Attadale, Melville, Willagee, Willagee Central</t>
  </si>
  <si>
    <t xml:space="preserve">6157</t>
  </si>
  <si>
    <t xml:space="preserve">Bicton, Palmyra, Palmyra Dc</t>
  </si>
  <si>
    <t xml:space="preserve">6158</t>
  </si>
  <si>
    <t xml:space="preserve">East Fremantle</t>
  </si>
  <si>
    <t xml:space="preserve">6159</t>
  </si>
  <si>
    <t xml:space="preserve">North Fremantle</t>
  </si>
  <si>
    <t xml:space="preserve">6160</t>
  </si>
  <si>
    <t xml:space="preserve">Fremantle</t>
  </si>
  <si>
    <t xml:space="preserve">6161</t>
  </si>
  <si>
    <t xml:space="preserve">Rottnest Island</t>
  </si>
  <si>
    <t xml:space="preserve">6162</t>
  </si>
  <si>
    <t xml:space="preserve">Beaconsfield, South Fremantle, White Gum Valley</t>
  </si>
  <si>
    <t xml:space="preserve">6163</t>
  </si>
  <si>
    <t xml:space="preserve">Bibra Lake, Bibra Lake Dc, Coolbellup, Hamilton Hill</t>
  </si>
  <si>
    <t xml:space="preserve">6164</t>
  </si>
  <si>
    <t xml:space="preserve">Atwell, Aubin Grove, Banjup, Beeliar</t>
  </si>
  <si>
    <t xml:space="preserve">6165</t>
  </si>
  <si>
    <t xml:space="preserve">Hope Valley, Naval Base</t>
  </si>
  <si>
    <t xml:space="preserve">6166</t>
  </si>
  <si>
    <t xml:space="preserve">Coogee, Henderson, Lake Coogee, Munster</t>
  </si>
  <si>
    <t xml:space="preserve">6167</t>
  </si>
  <si>
    <t xml:space="preserve">Anketell, Bertram, Calista, Casuarina</t>
  </si>
  <si>
    <t xml:space="preserve">6168</t>
  </si>
  <si>
    <t xml:space="preserve">Cooloongup, East Rockingham, Garden Island, Hillman</t>
  </si>
  <si>
    <t xml:space="preserve">6169</t>
  </si>
  <si>
    <t xml:space="preserve">Safety Bay, Shoalwater, Waikiki, Warnbro</t>
  </si>
  <si>
    <t xml:space="preserve">6170</t>
  </si>
  <si>
    <t xml:space="preserve">Leda, Wellard</t>
  </si>
  <si>
    <t xml:space="preserve">6171</t>
  </si>
  <si>
    <t xml:space="preserve">Baldivis</t>
  </si>
  <si>
    <t xml:space="preserve">6172</t>
  </si>
  <si>
    <t xml:space="preserve">Port Kennedy</t>
  </si>
  <si>
    <t xml:space="preserve">6173</t>
  </si>
  <si>
    <t xml:space="preserve">Secret Harbour</t>
  </si>
  <si>
    <t xml:space="preserve">6174</t>
  </si>
  <si>
    <t xml:space="preserve">Golden Bay</t>
  </si>
  <si>
    <t xml:space="preserve">6175</t>
  </si>
  <si>
    <t xml:space="preserve">Singleton</t>
  </si>
  <si>
    <t xml:space="preserve">6176</t>
  </si>
  <si>
    <t xml:space="preserve">Karnup</t>
  </si>
  <si>
    <t xml:space="preserve">6180</t>
  </si>
  <si>
    <t xml:space="preserve">Lakelands, Parklands</t>
  </si>
  <si>
    <t xml:space="preserve">6181</t>
  </si>
  <si>
    <t xml:space="preserve">Stake Hill</t>
  </si>
  <si>
    <t xml:space="preserve">6182</t>
  </si>
  <si>
    <t xml:space="preserve">Keralup</t>
  </si>
  <si>
    <t xml:space="preserve">6207</t>
  </si>
  <si>
    <t xml:space="preserve">Myara, Nambeelup, North Dandalup, Solus</t>
  </si>
  <si>
    <t xml:space="preserve">6208</t>
  </si>
  <si>
    <t xml:space="preserve">Blythewood, Fairbridge, Meelon, Nirimba</t>
  </si>
  <si>
    <t xml:space="preserve">6209</t>
  </si>
  <si>
    <t xml:space="preserve">Barragup, Furnissdale</t>
  </si>
  <si>
    <t xml:space="preserve">6210</t>
  </si>
  <si>
    <t xml:space="preserve">Barragup, Bouvard, Clifton, Coodanup</t>
  </si>
  <si>
    <t xml:space="preserve">6211</t>
  </si>
  <si>
    <t xml:space="preserve">Bouvard, Clifton, Dawesville, Herron</t>
  </si>
  <si>
    <t xml:space="preserve">6213</t>
  </si>
  <si>
    <t xml:space="preserve">Banksiadale, Dwellingup, Etmilyn, Holyoake</t>
  </si>
  <si>
    <t xml:space="preserve">6214</t>
  </si>
  <si>
    <t xml:space="preserve">Birchmont, Coolup, West Coolup</t>
  </si>
  <si>
    <t xml:space="preserve">6215</t>
  </si>
  <si>
    <t xml:space="preserve">WA - Rural</t>
  </si>
  <si>
    <t xml:space="preserve">Hamel, Lake Clifton, Nanga Brook, Preston Beach</t>
  </si>
  <si>
    <t xml:space="preserve">6218</t>
  </si>
  <si>
    <t xml:space="preserve">Yarloop</t>
  </si>
  <si>
    <t xml:space="preserve">6219</t>
  </si>
  <si>
    <t xml:space="preserve">Cookernup</t>
  </si>
  <si>
    <t xml:space="preserve">6220</t>
  </si>
  <si>
    <t xml:space="preserve">Harvey, Hoffman, Myalup, Uduc</t>
  </si>
  <si>
    <t xml:space="preserve">6221</t>
  </si>
  <si>
    <t xml:space="preserve">Mornington, Wokalup</t>
  </si>
  <si>
    <t xml:space="preserve">6223</t>
  </si>
  <si>
    <t xml:space="preserve">Benger</t>
  </si>
  <si>
    <t xml:space="preserve">6224</t>
  </si>
  <si>
    <t xml:space="preserve">Beela, Brunswick</t>
  </si>
  <si>
    <t xml:space="preserve">6225</t>
  </si>
  <si>
    <t xml:space="preserve">Allanson, Bowelling, Buckingham, Cardiff</t>
  </si>
  <si>
    <t xml:space="preserve">6226</t>
  </si>
  <si>
    <t xml:space="preserve">Roelands</t>
  </si>
  <si>
    <t xml:space="preserve">6227</t>
  </si>
  <si>
    <t xml:space="preserve">Burekup</t>
  </si>
  <si>
    <t xml:space="preserve">6228</t>
  </si>
  <si>
    <t xml:space="preserve">Waterloo</t>
  </si>
  <si>
    <t xml:space="preserve">6229</t>
  </si>
  <si>
    <t xml:space="preserve">Picton, Picton East</t>
  </si>
  <si>
    <t xml:space="preserve">6230</t>
  </si>
  <si>
    <t xml:space="preserve">Bunbury, Carey Park, College Grove, Dalyellup</t>
  </si>
  <si>
    <t xml:space="preserve">6231</t>
  </si>
  <si>
    <t xml:space="preserve">Bunbury</t>
  </si>
  <si>
    <t xml:space="preserve">6232</t>
  </si>
  <si>
    <t xml:space="preserve">Eaton, Millbridge</t>
  </si>
  <si>
    <t xml:space="preserve">6233</t>
  </si>
  <si>
    <t xml:space="preserve">Australind, Binningup, Leschenault, Parkfield</t>
  </si>
  <si>
    <t xml:space="preserve">6236</t>
  </si>
  <si>
    <t xml:space="preserve">Crooked Brook, Dardanup, Dardanup West, Ferguson</t>
  </si>
  <si>
    <t xml:space="preserve">6237</t>
  </si>
  <si>
    <t xml:space="preserve">Boyanup, Elgin, Gwindinup, North Boyanup</t>
  </si>
  <si>
    <t xml:space="preserve">6239</t>
  </si>
  <si>
    <t xml:space="preserve">Argyle, Beelerup, Brookhampton, Charley Creek</t>
  </si>
  <si>
    <t xml:space="preserve">6240</t>
  </si>
  <si>
    <t xml:space="preserve">Lowden</t>
  </si>
  <si>
    <t xml:space="preserve">6243</t>
  </si>
  <si>
    <t xml:space="preserve">Wilga, Wilga West</t>
  </si>
  <si>
    <t xml:space="preserve">6244</t>
  </si>
  <si>
    <t xml:space="preserve">Boyup Brook, Chowerup, Dinninup, Kulikup</t>
  </si>
  <si>
    <t xml:space="preserve">6251</t>
  </si>
  <si>
    <t xml:space="preserve">Brazier, Kirup, Newlands</t>
  </si>
  <si>
    <t xml:space="preserve">6252</t>
  </si>
  <si>
    <t xml:space="preserve">Mullalyup</t>
  </si>
  <si>
    <t xml:space="preserve">6253</t>
  </si>
  <si>
    <t xml:space="preserve">Balingup, Grimwade, Southampton</t>
  </si>
  <si>
    <t xml:space="preserve">6254</t>
  </si>
  <si>
    <t xml:space="preserve">Greenbushes, North Greenbushes</t>
  </si>
  <si>
    <t xml:space="preserve">6255</t>
  </si>
  <si>
    <t xml:space="preserve">Benjinup, Bridgetown, Catterick, Hester</t>
  </si>
  <si>
    <t xml:space="preserve">6256</t>
  </si>
  <si>
    <t xml:space="preserve">Glenlynn, Kingston, Maranup, Sunnyside</t>
  </si>
  <si>
    <t xml:space="preserve">6258</t>
  </si>
  <si>
    <t xml:space="preserve">Balbarrup, Crowea, Deanmill, Diamond Tree</t>
  </si>
  <si>
    <t xml:space="preserve">6260</t>
  </si>
  <si>
    <t xml:space="preserve">Beedelup, Biddelia, Callcup, Channybearup</t>
  </si>
  <si>
    <t xml:space="preserve">6262</t>
  </si>
  <si>
    <t xml:space="preserve">Boorara Brook, Crowea, Meerup, Northcliffe</t>
  </si>
  <si>
    <t xml:space="preserve">6271</t>
  </si>
  <si>
    <t xml:space="preserve">Capel, Capel River, Forrest Beach, Peppermint Grove Beach</t>
  </si>
  <si>
    <t xml:space="preserve">6275</t>
  </si>
  <si>
    <t xml:space="preserve">Barrabup, Carlotta, Cundinup, Darradup</t>
  </si>
  <si>
    <t xml:space="preserve">6280</t>
  </si>
  <si>
    <t xml:space="preserve">Abba River, Abbey, Acton Park, Ambergate</t>
  </si>
  <si>
    <t xml:space="preserve">6281</t>
  </si>
  <si>
    <t xml:space="preserve">Dunsborough, Eagle Bay, Naturaliste, Quedjinup</t>
  </si>
  <si>
    <t xml:space="preserve">6282</t>
  </si>
  <si>
    <t xml:space="preserve">Yallingup, Yallingup Siding</t>
  </si>
  <si>
    <t xml:space="preserve">6284</t>
  </si>
  <si>
    <t xml:space="preserve">Baudin, Cowaramup, Gracetown, Treeton</t>
  </si>
  <si>
    <t xml:space="preserve">6285</t>
  </si>
  <si>
    <t xml:space="preserve">Bramley, Burnside, Gnarabup, Margaret River</t>
  </si>
  <si>
    <t xml:space="preserve">6286</t>
  </si>
  <si>
    <t xml:space="preserve">Boranup, Forest Grove, Redgate, Witchcliffe</t>
  </si>
  <si>
    <t xml:space="preserve">6288</t>
  </si>
  <si>
    <t xml:space="preserve">Alexandra Bridge, Courtenay, Hamelin Bay, Karridale</t>
  </si>
  <si>
    <t xml:space="preserve">6290</t>
  </si>
  <si>
    <t xml:space="preserve">Augusta, Deepdene, East Augusta, Kudardup</t>
  </si>
  <si>
    <t xml:space="preserve">6302</t>
  </si>
  <si>
    <t xml:space="preserve">Badgin, Balladong, Burges, Caljie</t>
  </si>
  <si>
    <t xml:space="preserve">6304</t>
  </si>
  <si>
    <t xml:space="preserve">Bally Bally, Beverley, Dale, East Beverley</t>
  </si>
  <si>
    <t xml:space="preserve">6306</t>
  </si>
  <si>
    <t xml:space="preserve">Aldersyde, Brookton, Bulyee, Jelcobine</t>
  </si>
  <si>
    <t xml:space="preserve">6308</t>
  </si>
  <si>
    <t xml:space="preserve">Codjatotine, Dwarda, East Pingelly, Hastings</t>
  </si>
  <si>
    <t xml:space="preserve">6309</t>
  </si>
  <si>
    <t xml:space="preserve">East Popanyinning, Popanyinning, Stratherne, West Popanyinning</t>
  </si>
  <si>
    <t xml:space="preserve">6311</t>
  </si>
  <si>
    <t xml:space="preserve">Commodine, Contine, Cuballing, Dryandra</t>
  </si>
  <si>
    <t xml:space="preserve">6312</t>
  </si>
  <si>
    <t xml:space="preserve">Boundain, Dumberning, Hillside, Minigin</t>
  </si>
  <si>
    <t xml:space="preserve">6313</t>
  </si>
  <si>
    <t xml:space="preserve">6315</t>
  </si>
  <si>
    <t xml:space="preserve">Arthur River, Ballaying, Cancanning, Collanilling</t>
  </si>
  <si>
    <t xml:space="preserve">6316</t>
  </si>
  <si>
    <t xml:space="preserve">Boyerine, Cartmeticup, Glencoe, Kenmare</t>
  </si>
  <si>
    <t xml:space="preserve">6317</t>
  </si>
  <si>
    <t xml:space="preserve">Badgebup, Bullock Hills, Carrolup, Coblinine</t>
  </si>
  <si>
    <t xml:space="preserve">6318</t>
  </si>
  <si>
    <t xml:space="preserve">Broomehill, Broomehill East, Broomehill Village, Broomehill West</t>
  </si>
  <si>
    <t xml:space="preserve">6320</t>
  </si>
  <si>
    <t xml:space="preserve">Bobalong, Borderdale, Dartnall, Lake Toolbrunup</t>
  </si>
  <si>
    <t xml:space="preserve">6321</t>
  </si>
  <si>
    <t xml:space="preserve">Cranbrook</t>
  </si>
  <si>
    <t xml:space="preserve">6322</t>
  </si>
  <si>
    <t xml:space="preserve">Tenterden</t>
  </si>
  <si>
    <t xml:space="preserve">6323</t>
  </si>
  <si>
    <t xml:space="preserve">Kendenup</t>
  </si>
  <si>
    <t xml:space="preserve">6324</t>
  </si>
  <si>
    <t xml:space="preserve">Denbarker, Forest Hill, Mount Barker, Perillup</t>
  </si>
  <si>
    <t xml:space="preserve">6326</t>
  </si>
  <si>
    <t xml:space="preserve">Narrikup</t>
  </si>
  <si>
    <t xml:space="preserve">6327</t>
  </si>
  <si>
    <t xml:space="preserve">Redmond, Redmond West</t>
  </si>
  <si>
    <t xml:space="preserve">6328</t>
  </si>
  <si>
    <t xml:space="preserve">Cape Riche, Cheynes, Gnowellen, Green Range</t>
  </si>
  <si>
    <t xml:space="preserve">6330</t>
  </si>
  <si>
    <t xml:space="preserve">Albany, Bayonet Head, Big Grove, Bornholm</t>
  </si>
  <si>
    <t xml:space="preserve">6331</t>
  </si>
  <si>
    <t xml:space="preserve">Albany Dc</t>
  </si>
  <si>
    <t xml:space="preserve">6332</t>
  </si>
  <si>
    <t xml:space="preserve">Albany, Albany Po</t>
  </si>
  <si>
    <t xml:space="preserve">6333</t>
  </si>
  <si>
    <t xml:space="preserve">Bow Bridge, Denmark, Hay, Hazelvale</t>
  </si>
  <si>
    <t xml:space="preserve">6335</t>
  </si>
  <si>
    <t xml:space="preserve">Gnowangerup, Jackitup, Kebaringup, Pallinup</t>
  </si>
  <si>
    <t xml:space="preserve">6336</t>
  </si>
  <si>
    <t xml:space="preserve">Cowalellup, Mills Lake, Mindarabin, Needilup</t>
  </si>
  <si>
    <t xml:space="preserve">6337</t>
  </si>
  <si>
    <t xml:space="preserve">Fitzgerald, Gairdner, Jacup, Jerramungup</t>
  </si>
  <si>
    <t xml:space="preserve">6338</t>
  </si>
  <si>
    <t xml:space="preserve">Amelup, Borden, Boxwood Hill, Bremer Bay</t>
  </si>
  <si>
    <t xml:space="preserve">6341</t>
  </si>
  <si>
    <t xml:space="preserve">Nyabing</t>
  </si>
  <si>
    <t xml:space="preserve">6343</t>
  </si>
  <si>
    <t xml:space="preserve">Pingrup</t>
  </si>
  <si>
    <t xml:space="preserve">6346</t>
  </si>
  <si>
    <t xml:space="preserve">Fitzgerald River National Park, Jerdacuttup, Ravensthorpe, West River</t>
  </si>
  <si>
    <t xml:space="preserve">6348</t>
  </si>
  <si>
    <t xml:space="preserve">Hopetoun</t>
  </si>
  <si>
    <t xml:space="preserve">6350</t>
  </si>
  <si>
    <t xml:space="preserve">Bullock Hills, Dumbleyung, Nairibin, Nippering</t>
  </si>
  <si>
    <t xml:space="preserve">6351</t>
  </si>
  <si>
    <t xml:space="preserve">Moulyinning, North Moulyinning</t>
  </si>
  <si>
    <t xml:space="preserve">6352</t>
  </si>
  <si>
    <t xml:space="preserve">Kukerin, Merilup, North Kukerin, South Kukerin</t>
  </si>
  <si>
    <t xml:space="preserve">6353</t>
  </si>
  <si>
    <t xml:space="preserve">Beenong, Buniche, Kuender, Lake Grace</t>
  </si>
  <si>
    <t xml:space="preserve">6355</t>
  </si>
  <si>
    <t xml:space="preserve">Dunn Rock, East Newdegate, Holt Rock, Lake Biddy</t>
  </si>
  <si>
    <t xml:space="preserve">6356</t>
  </si>
  <si>
    <t xml:space="preserve">Hatter Hill, Lake King, Mount Madden</t>
  </si>
  <si>
    <t xml:space="preserve">6357</t>
  </si>
  <si>
    <t xml:space="preserve">Pingaring</t>
  </si>
  <si>
    <t xml:space="preserve">6358</t>
  </si>
  <si>
    <t xml:space="preserve">Karlgarin</t>
  </si>
  <si>
    <t xml:space="preserve">6359</t>
  </si>
  <si>
    <t xml:space="preserve">Forrestania, Hyden, Little Italy</t>
  </si>
  <si>
    <t xml:space="preserve">6361</t>
  </si>
  <si>
    <t xml:space="preserve">Harrismith, Tincurrin</t>
  </si>
  <si>
    <t xml:space="preserve">6363</t>
  </si>
  <si>
    <t xml:space="preserve">Dudinin, Walyurin</t>
  </si>
  <si>
    <t xml:space="preserve">6365</t>
  </si>
  <si>
    <t xml:space="preserve">Jilakin, Jitarning, Kulin, Kulin West</t>
  </si>
  <si>
    <t xml:space="preserve">6367</t>
  </si>
  <si>
    <t xml:space="preserve">Bendering, Kondinin</t>
  </si>
  <si>
    <t xml:space="preserve">6368</t>
  </si>
  <si>
    <t xml:space="preserve">South Kumminin</t>
  </si>
  <si>
    <t xml:space="preserve">6369</t>
  </si>
  <si>
    <t xml:space="preserve">Emu Hill, Mount Walker, Narembeen, Wadderin</t>
  </si>
  <si>
    <t xml:space="preserve">6370</t>
  </si>
  <si>
    <t xml:space="preserve">East Wickepin, Gillimanning, Kirk Rock, Malyalling</t>
  </si>
  <si>
    <t xml:space="preserve">6372</t>
  </si>
  <si>
    <t xml:space="preserve">Kirk Rock, Yealering</t>
  </si>
  <si>
    <t xml:space="preserve">6373</t>
  </si>
  <si>
    <t xml:space="preserve">Bullaring</t>
  </si>
  <si>
    <t xml:space="preserve">6375</t>
  </si>
  <si>
    <t xml:space="preserve">Adamsvale, Bilbarin, Corrigin, Gorge Rock</t>
  </si>
  <si>
    <t xml:space="preserve">6383</t>
  </si>
  <si>
    <t xml:space="preserve">Badjaling, Balkuling, Cubbine, Dangin</t>
  </si>
  <si>
    <t xml:space="preserve">6384</t>
  </si>
  <si>
    <t xml:space="preserve">Pantapin</t>
  </si>
  <si>
    <t xml:space="preserve">6385</t>
  </si>
  <si>
    <t xml:space="preserve">Kwolyin</t>
  </si>
  <si>
    <t xml:space="preserve">6386</t>
  </si>
  <si>
    <t xml:space="preserve">Shackleton</t>
  </si>
  <si>
    <t xml:space="preserve">6390</t>
  </si>
  <si>
    <t xml:space="preserve">Bannister, Boddington, Crossman, Lower Hotham</t>
  </si>
  <si>
    <t xml:space="preserve">6391</t>
  </si>
  <si>
    <t xml:space="preserve">Boraning, Congelin, Culbin, Hillman River</t>
  </si>
  <si>
    <t xml:space="preserve">6392</t>
  </si>
  <si>
    <t xml:space="preserve">Bokal, Boolading, Dardadine, Darkan</t>
  </si>
  <si>
    <t xml:space="preserve">6393</t>
  </si>
  <si>
    <t xml:space="preserve">Cordering, Duranillin, Moodiarrup, Trigwell</t>
  </si>
  <si>
    <t xml:space="preserve">6394</t>
  </si>
  <si>
    <t xml:space="preserve">Beaufort River, Boilup, Boscabel, Changerup</t>
  </si>
  <si>
    <t xml:space="preserve">6395</t>
  </si>
  <si>
    <t xml:space="preserve">Cherry Tree Pool, Jingalup, Kojonup, Lumeah</t>
  </si>
  <si>
    <t xml:space="preserve">6396</t>
  </si>
  <si>
    <t xml:space="preserve">Frankland, Frankland River</t>
  </si>
  <si>
    <t xml:space="preserve">6397</t>
  </si>
  <si>
    <t xml:space="preserve">Rocky Gully</t>
  </si>
  <si>
    <t xml:space="preserve">6398</t>
  </si>
  <si>
    <t xml:space="preserve">Broke, North Walpole, Walpole</t>
  </si>
  <si>
    <t xml:space="preserve">6401</t>
  </si>
  <si>
    <t xml:space="preserve">Buckland, Burlong, Cunjardine, Irishtown</t>
  </si>
  <si>
    <t xml:space="preserve">6403</t>
  </si>
  <si>
    <t xml:space="preserve">Grass Valley</t>
  </si>
  <si>
    <t xml:space="preserve">6405</t>
  </si>
  <si>
    <t xml:space="preserve">Greenwoods Valley, Meckering, Quelagetting, Warding East</t>
  </si>
  <si>
    <t xml:space="preserve">6407</t>
  </si>
  <si>
    <t xml:space="preserve">Cunderdin, Waeel, Watercarrin, Wyola</t>
  </si>
  <si>
    <t xml:space="preserve">6409</t>
  </si>
  <si>
    <t xml:space="preserve">Doongin, North Tammin, South Tammin, Tammin</t>
  </si>
  <si>
    <t xml:space="preserve">6410</t>
  </si>
  <si>
    <t xml:space="preserve">Bungulla, Daadenning Creek, Kellerberrin, Mount Caroline</t>
  </si>
  <si>
    <t xml:space="preserve">6411</t>
  </si>
  <si>
    <t xml:space="preserve">Doodlakine, South Doodlakine</t>
  </si>
  <si>
    <t xml:space="preserve">6412</t>
  </si>
  <si>
    <t xml:space="preserve">Baandee, North Baandee</t>
  </si>
  <si>
    <t xml:space="preserve">6413</t>
  </si>
  <si>
    <t xml:space="preserve">Hines Hill</t>
  </si>
  <si>
    <t xml:space="preserve">6414</t>
  </si>
  <si>
    <t xml:space="preserve">Nangeenan</t>
  </si>
  <si>
    <t xml:space="preserve">6415</t>
  </si>
  <si>
    <t xml:space="preserve">Goomarin, Korbel, Merredin, Nokaning</t>
  </si>
  <si>
    <t xml:space="preserve">6418</t>
  </si>
  <si>
    <t xml:space="preserve">Bruce Rock, Yarding</t>
  </si>
  <si>
    <t xml:space="preserve">6419</t>
  </si>
  <si>
    <t xml:space="preserve">Ardath</t>
  </si>
  <si>
    <t xml:space="preserve">6420</t>
  </si>
  <si>
    <t xml:space="preserve">Cramphorne, Muntadgin</t>
  </si>
  <si>
    <t xml:space="preserve">6421</t>
  </si>
  <si>
    <t xml:space="preserve">Burracoppin, Campion, South Burracoppin, Warralakin</t>
  </si>
  <si>
    <t xml:space="preserve">6422</t>
  </si>
  <si>
    <t xml:space="preserve">Walgoolan</t>
  </si>
  <si>
    <t xml:space="preserve">6423</t>
  </si>
  <si>
    <t xml:space="preserve">Boodarockin, Carrabin, Warrachuppin, Westonia</t>
  </si>
  <si>
    <t xml:space="preserve">6424</t>
  </si>
  <si>
    <t xml:space="preserve">Bodallin, North Bodallin, South Bodallin</t>
  </si>
  <si>
    <t xml:space="preserve">6425</t>
  </si>
  <si>
    <t xml:space="preserve">Dulyalbin, Moorine Rock</t>
  </si>
  <si>
    <t xml:space="preserve">6426</t>
  </si>
  <si>
    <t xml:space="preserve">Corinthia, Ghooli, Holleton, Marvel Loch</t>
  </si>
  <si>
    <t xml:space="preserve">6427</t>
  </si>
  <si>
    <t xml:space="preserve">Koolyanobbing</t>
  </si>
  <si>
    <t xml:space="preserve">6428</t>
  </si>
  <si>
    <t xml:space="preserve">Babakin</t>
  </si>
  <si>
    <t xml:space="preserve">6429</t>
  </si>
  <si>
    <t xml:space="preserve">Boorabbin, Bullabulling, Coolgardie, Karramindie</t>
  </si>
  <si>
    <t xml:space="preserve">6430</t>
  </si>
  <si>
    <t xml:space="preserve">Binduli, Broadwood, Hannans, Kalgoorlie</t>
  </si>
  <si>
    <t xml:space="preserve">6431</t>
  </si>
  <si>
    <t xml:space="preserve">Boorara, Brown Hill, Bulong, Emu Flat</t>
  </si>
  <si>
    <t xml:space="preserve">6432</t>
  </si>
  <si>
    <t xml:space="preserve">Boulder, Fimiston, South Boulder, Victory Heights</t>
  </si>
  <si>
    <t xml:space="preserve">6433</t>
  </si>
  <si>
    <t xml:space="preserve">Hannans, Hannans Po, Kalgoorlie, Kalgoorlie Dc</t>
  </si>
  <si>
    <t xml:space="preserve">6434</t>
  </si>
  <si>
    <t xml:space="preserve">Cundeelee, Forrest, Parkeston, Rawlinna</t>
  </si>
  <si>
    <t xml:space="preserve">6435</t>
  </si>
  <si>
    <t xml:space="preserve">Agnew</t>
  </si>
  <si>
    <t xml:space="preserve">6436</t>
  </si>
  <si>
    <t xml:space="preserve">Menzies, Ularring</t>
  </si>
  <si>
    <t xml:space="preserve">6437</t>
  </si>
  <si>
    <t xml:space="preserve">Leinster, Sir Samuel</t>
  </si>
  <si>
    <t xml:space="preserve">6438</t>
  </si>
  <si>
    <t xml:space="preserve">Lake Darlot, Leonora</t>
  </si>
  <si>
    <t xml:space="preserve">6440</t>
  </si>
  <si>
    <t xml:space="preserve">Bandya, Beadell, Burtville, Cosmo Newbery</t>
  </si>
  <si>
    <t xml:space="preserve">6442</t>
  </si>
  <si>
    <t xml:space="preserve">Kambalda, Kambalda East, Kambalda West</t>
  </si>
  <si>
    <t xml:space="preserve">6443</t>
  </si>
  <si>
    <t xml:space="preserve">Balladonia, Caiguna, Cocklebiddy, Dundas</t>
  </si>
  <si>
    <t xml:space="preserve">6445</t>
  </si>
  <si>
    <t xml:space="preserve">North Cascade, Salmon Gums</t>
  </si>
  <si>
    <t xml:space="preserve">6446</t>
  </si>
  <si>
    <t xml:space="preserve">Grass Patch</t>
  </si>
  <si>
    <t xml:space="preserve">6447</t>
  </si>
  <si>
    <t xml:space="preserve">Lort River, Mount Ney, Scaddan, Wittenoom Hills</t>
  </si>
  <si>
    <t xml:space="preserve">6448</t>
  </si>
  <si>
    <t xml:space="preserve">Gibson</t>
  </si>
  <si>
    <t xml:space="preserve">6450</t>
  </si>
  <si>
    <t xml:space="preserve">Bandy Creek, Beaumont, Boyatup, Cape Le Grand</t>
  </si>
  <si>
    <t xml:space="preserve">6452</t>
  </si>
  <si>
    <t xml:space="preserve">Buraminya, Cape Arid, Israelite Bay</t>
  </si>
  <si>
    <t xml:space="preserve">6460</t>
  </si>
  <si>
    <t xml:space="preserve">Goomalling, Hulongine, Karranadgin, Ucarty West</t>
  </si>
  <si>
    <t xml:space="preserve">6461</t>
  </si>
  <si>
    <t xml:space="preserve">Dowerin, Koomberkine</t>
  </si>
  <si>
    <t xml:space="preserve">6462</t>
  </si>
  <si>
    <t xml:space="preserve">Hindmarsh, Minnivale, Ucarty</t>
  </si>
  <si>
    <t xml:space="preserve">6463</t>
  </si>
  <si>
    <t xml:space="preserve">Benjaberring</t>
  </si>
  <si>
    <t xml:space="preserve">6465</t>
  </si>
  <si>
    <t xml:space="preserve">Manmanning</t>
  </si>
  <si>
    <t xml:space="preserve">6466</t>
  </si>
  <si>
    <t xml:space="preserve">Cadoux</t>
  </si>
  <si>
    <t xml:space="preserve">6467</t>
  </si>
  <si>
    <t xml:space="preserve">Burakin</t>
  </si>
  <si>
    <t xml:space="preserve">6468</t>
  </si>
  <si>
    <t xml:space="preserve">Goodlands, Kalannie, Petrudor</t>
  </si>
  <si>
    <t xml:space="preserve">6470</t>
  </si>
  <si>
    <t xml:space="preserve">Kulja</t>
  </si>
  <si>
    <t xml:space="preserve">6472</t>
  </si>
  <si>
    <t xml:space="preserve">Beacon, Bimbijy, Cleary, Karroun Hill</t>
  </si>
  <si>
    <t xml:space="preserve">6473</t>
  </si>
  <si>
    <t xml:space="preserve">North Wialki, Wialki</t>
  </si>
  <si>
    <t xml:space="preserve">6475</t>
  </si>
  <si>
    <t xml:space="preserve">Badgerin Rock, Booralaming, Dukin, Koorda</t>
  </si>
  <si>
    <t xml:space="preserve">6476</t>
  </si>
  <si>
    <t xml:space="preserve">Gabbin</t>
  </si>
  <si>
    <t xml:space="preserve">6477</t>
  </si>
  <si>
    <t xml:space="preserve">Bencubbin, Welbungin</t>
  </si>
  <si>
    <t xml:space="preserve">6479</t>
  </si>
  <si>
    <t xml:space="preserve">Barbalin, Bonnie Rock, Dandanning, Elachbutting</t>
  </si>
  <si>
    <t xml:space="preserve">6480</t>
  </si>
  <si>
    <t xml:space="preserve">Nukarni</t>
  </si>
  <si>
    <t xml:space="preserve">6484</t>
  </si>
  <si>
    <t xml:space="preserve">Bullfinch, Ennuin, Lake Deborah</t>
  </si>
  <si>
    <t xml:space="preserve">6485</t>
  </si>
  <si>
    <t xml:space="preserve">Cowcowing, Korrelocking, Nalkain, Nembudding</t>
  </si>
  <si>
    <t xml:space="preserve">6487</t>
  </si>
  <si>
    <t xml:space="preserve">North Yelbeni, South Yelbeni, Yelbeni</t>
  </si>
  <si>
    <t xml:space="preserve">6488</t>
  </si>
  <si>
    <t xml:space="preserve">North Trayning, South Trayning, Trayning</t>
  </si>
  <si>
    <t xml:space="preserve">6489</t>
  </si>
  <si>
    <t xml:space="preserve">Kununoppin, North Kununoppin, South Kununoppin</t>
  </si>
  <si>
    <t xml:space="preserve">6490</t>
  </si>
  <si>
    <t xml:space="preserve">Burran Rock, Chandler, Elabbin, Kwelkan</t>
  </si>
  <si>
    <t xml:space="preserve">6501</t>
  </si>
  <si>
    <t xml:space="preserve">Muchea</t>
  </si>
  <si>
    <t xml:space="preserve">6502</t>
  </si>
  <si>
    <t xml:space="preserve">Bindoon, Bindoon Training Area</t>
  </si>
  <si>
    <t xml:space="preserve">6503</t>
  </si>
  <si>
    <t xml:space="preserve">Bambun, Beermullah, Boonanarring, Breera</t>
  </si>
  <si>
    <t xml:space="preserve">6504</t>
  </si>
  <si>
    <t xml:space="preserve">Mooliabeenee</t>
  </si>
  <si>
    <t xml:space="preserve">6505</t>
  </si>
  <si>
    <t xml:space="preserve">Wannamal</t>
  </si>
  <si>
    <t xml:space="preserve">6506</t>
  </si>
  <si>
    <t xml:space="preserve">Mogumber</t>
  </si>
  <si>
    <t xml:space="preserve">6507</t>
  </si>
  <si>
    <t xml:space="preserve">Cataby, Cooljarloo, Dandaragan, Mimegarra</t>
  </si>
  <si>
    <t xml:space="preserve">6509</t>
  </si>
  <si>
    <t xml:space="preserve">Glentromie, New Norcia, Waddington, Yarawindah</t>
  </si>
  <si>
    <t xml:space="preserve">6510</t>
  </si>
  <si>
    <t xml:space="preserve">Barberton, Berkshire Valley, Gillingarra, Koojan</t>
  </si>
  <si>
    <t xml:space="preserve">6511</t>
  </si>
  <si>
    <t xml:space="preserve">Cervantes</t>
  </si>
  <si>
    <t xml:space="preserve">6512</t>
  </si>
  <si>
    <t xml:space="preserve">Coomberdale, Namban</t>
  </si>
  <si>
    <t xml:space="preserve">6513</t>
  </si>
  <si>
    <t xml:space="preserve">Gunyidi, Watheroo</t>
  </si>
  <si>
    <t xml:space="preserve">6514</t>
  </si>
  <si>
    <t xml:space="preserve">Green Head, Leeman</t>
  </si>
  <si>
    <t xml:space="preserve">6515</t>
  </si>
  <si>
    <t xml:space="preserve">Coorow, Eganu, Marchagee, Waddy Forest</t>
  </si>
  <si>
    <t xml:space="preserve">6516</t>
  </si>
  <si>
    <t xml:space="preserve">Jurien Bay</t>
  </si>
  <si>
    <t xml:space="preserve">6517</t>
  </si>
  <si>
    <t xml:space="preserve">Carnamah, Winchester</t>
  </si>
  <si>
    <t xml:space="preserve">6518</t>
  </si>
  <si>
    <t xml:space="preserve">Eneabba, Warradarge</t>
  </si>
  <si>
    <t xml:space="preserve">6519</t>
  </si>
  <si>
    <t xml:space="preserve">Arrino, Arrowsmith East, Dudawa, Kadathinni</t>
  </si>
  <si>
    <t xml:space="preserve">6521</t>
  </si>
  <si>
    <t xml:space="preserve">Badgingarra, Boothendarra, Grey, Hill River</t>
  </si>
  <si>
    <t xml:space="preserve">6522</t>
  </si>
  <si>
    <t xml:space="preserve">Bundanoon, Holmwood, Ikewa, Lockier</t>
  </si>
  <si>
    <t xml:space="preserve">6525</t>
  </si>
  <si>
    <t xml:space="preserve">Allanooka, Arrowsmith, Bonniefield, Bookara</t>
  </si>
  <si>
    <t xml:space="preserve">6528</t>
  </si>
  <si>
    <t xml:space="preserve">Mount Hill, South Greenough, Walkaway</t>
  </si>
  <si>
    <t xml:space="preserve">6530</t>
  </si>
  <si>
    <t xml:space="preserve">Beachlands, Beresford, Bluff Point, Geraldton</t>
  </si>
  <si>
    <t xml:space="preserve">6531</t>
  </si>
  <si>
    <t xml:space="preserve">Geraldton, Geraldton Po</t>
  </si>
  <si>
    <t xml:space="preserve">6532</t>
  </si>
  <si>
    <t xml:space="preserve">Ajana, Binnu, Bootenal, Bringo</t>
  </si>
  <si>
    <t xml:space="preserve">6535</t>
  </si>
  <si>
    <t xml:space="preserve">Alma, Bowes, East Bowes, Gregory</t>
  </si>
  <si>
    <t xml:space="preserve">6536</t>
  </si>
  <si>
    <t xml:space="preserve">Kalbarri, Kalbarri National Park, Zuytdorp</t>
  </si>
  <si>
    <t xml:space="preserve">6537</t>
  </si>
  <si>
    <t xml:space="preserve">Denham, Dirk Hartog, Dirk Hartog Island, Francois Peron National Park</t>
  </si>
  <si>
    <t xml:space="preserve">6556</t>
  </si>
  <si>
    <t xml:space="preserve">Beechina, Chidlow, Gorrie, Malmalling</t>
  </si>
  <si>
    <t xml:space="preserve">6558</t>
  </si>
  <si>
    <t xml:space="preserve">Wooroloo</t>
  </si>
  <si>
    <t xml:space="preserve">6560</t>
  </si>
  <si>
    <t xml:space="preserve">Wundowie</t>
  </si>
  <si>
    <t xml:space="preserve">6562</t>
  </si>
  <si>
    <t xml:space="preserve">Bakers Hill, Copley, Woottating</t>
  </si>
  <si>
    <t xml:space="preserve">6564</t>
  </si>
  <si>
    <t xml:space="preserve">Clackline</t>
  </si>
  <si>
    <t xml:space="preserve">6566</t>
  </si>
  <si>
    <t xml:space="preserve">Bejoording, Carani, Coondle, Culham</t>
  </si>
  <si>
    <t xml:space="preserve">6567</t>
  </si>
  <si>
    <t xml:space="preserve">Dewars Pool, Julimar, Moondyne</t>
  </si>
  <si>
    <t xml:space="preserve">6568</t>
  </si>
  <si>
    <t xml:space="preserve">Bolgart, Wattening, Wyening</t>
  </si>
  <si>
    <t xml:space="preserve">6569</t>
  </si>
  <si>
    <t xml:space="preserve">Calingiri, Carani, Old Plains</t>
  </si>
  <si>
    <t xml:space="preserve">6571</t>
  </si>
  <si>
    <t xml:space="preserve">Yerecoin</t>
  </si>
  <si>
    <t xml:space="preserve">6572</t>
  </si>
  <si>
    <t xml:space="preserve">Piawaning</t>
  </si>
  <si>
    <t xml:space="preserve">6574</t>
  </si>
  <si>
    <t xml:space="preserve">Bindi Bindi, Gabalong</t>
  </si>
  <si>
    <t xml:space="preserve">6575</t>
  </si>
  <si>
    <t xml:space="preserve">Miling</t>
  </si>
  <si>
    <t xml:space="preserve">6603</t>
  </si>
  <si>
    <t xml:space="preserve">Konnongorring, Lake Hinds, Lake Ninan, Mocardy</t>
  </si>
  <si>
    <t xml:space="preserve">6605</t>
  </si>
  <si>
    <t xml:space="preserve">Kondut</t>
  </si>
  <si>
    <t xml:space="preserve">6606</t>
  </si>
  <si>
    <t xml:space="preserve">Ballidu, East Ballidu, East Damboring, West Ballidu</t>
  </si>
  <si>
    <t xml:space="preserve">6608</t>
  </si>
  <si>
    <t xml:space="preserve">East Damboring, Marne, Pithara</t>
  </si>
  <si>
    <t xml:space="preserve">6609</t>
  </si>
  <si>
    <t xml:space="preserve">Dalwallinu, Nugadong, Xantippe</t>
  </si>
  <si>
    <t xml:space="preserve">6612</t>
  </si>
  <si>
    <t xml:space="preserve">Jibberding, Miamoon, Paynes Find, Wubin</t>
  </si>
  <si>
    <t xml:space="preserve">6613</t>
  </si>
  <si>
    <t xml:space="preserve">Buntine</t>
  </si>
  <si>
    <t xml:space="preserve">6614</t>
  </si>
  <si>
    <t xml:space="preserve">Maya</t>
  </si>
  <si>
    <t xml:space="preserve">6616</t>
  </si>
  <si>
    <t xml:space="preserve">Latham</t>
  </si>
  <si>
    <t xml:space="preserve">6620</t>
  </si>
  <si>
    <t xml:space="preserve">Bunjil, Perenjori, Rothsay</t>
  </si>
  <si>
    <t xml:space="preserve">6623</t>
  </si>
  <si>
    <t xml:space="preserve">Bowgada, Bunjil, Gutha, Koolanooka</t>
  </si>
  <si>
    <t xml:space="preserve">6625</t>
  </si>
  <si>
    <t xml:space="preserve">Merkanooka</t>
  </si>
  <si>
    <t xml:space="preserve">6627</t>
  </si>
  <si>
    <t xml:space="preserve">Canna</t>
  </si>
  <si>
    <t xml:space="preserve">6628</t>
  </si>
  <si>
    <t xml:space="preserve">Tardun</t>
  </si>
  <si>
    <t xml:space="preserve">6630</t>
  </si>
  <si>
    <t xml:space="preserve">Devils Creek, Mullewa, Murchison, Nerramyne</t>
  </si>
  <si>
    <t xml:space="preserve">6631</t>
  </si>
  <si>
    <t xml:space="preserve">Pindar</t>
  </si>
  <si>
    <t xml:space="preserve">6632</t>
  </si>
  <si>
    <t xml:space="preserve">Ambania, Tenindewa</t>
  </si>
  <si>
    <t xml:space="preserve">6635</t>
  </si>
  <si>
    <t xml:space="preserve">South Murchison, Yalgoo</t>
  </si>
  <si>
    <t xml:space="preserve">6638</t>
  </si>
  <si>
    <t xml:space="preserve">Cooladar Hill, Daggar Hills, Mount Magnet, Paynesville</t>
  </si>
  <si>
    <t xml:space="preserve">6639</t>
  </si>
  <si>
    <t xml:space="preserve">Sandstone</t>
  </si>
  <si>
    <t xml:space="preserve">6640</t>
  </si>
  <si>
    <t xml:space="preserve">Cue, East Murchison, Lake Austin, Reedy</t>
  </si>
  <si>
    <t xml:space="preserve">6642</t>
  </si>
  <si>
    <t xml:space="preserve">Angelo River, Capricorn, Karalundi, Kumarina</t>
  </si>
  <si>
    <t xml:space="preserve">6646</t>
  </si>
  <si>
    <t xml:space="preserve">Lake Carnegie, Little Sandy Desert, Wiluna</t>
  </si>
  <si>
    <t xml:space="preserve">6701</t>
  </si>
  <si>
    <t xml:space="preserve">Babbage Island, Bernier Island, Brockman, Brown Range</t>
  </si>
  <si>
    <t xml:space="preserve">6705</t>
  </si>
  <si>
    <t xml:space="preserve">East Lyons River, Gascoyne Junction, Gascoyne River, West Lyons River</t>
  </si>
  <si>
    <t xml:space="preserve">6707</t>
  </si>
  <si>
    <t xml:space="preserve">Cape Range National Park, Exmouth, Exmouth Gulf, Learmonth</t>
  </si>
  <si>
    <t xml:space="preserve">6710</t>
  </si>
  <si>
    <t xml:space="preserve">Cane, Onslow, Peedamulla, Talandji</t>
  </si>
  <si>
    <t xml:space="preserve">6711</t>
  </si>
  <si>
    <t xml:space="preserve">Thevenard Island</t>
  </si>
  <si>
    <t xml:space="preserve">6712</t>
  </si>
  <si>
    <t xml:space="preserve">Barrow Island</t>
  </si>
  <si>
    <t xml:space="preserve">6713</t>
  </si>
  <si>
    <t xml:space="preserve">Dampier, Dampier Archipelago</t>
  </si>
  <si>
    <t xml:space="preserve">6714</t>
  </si>
  <si>
    <t xml:space="preserve">Antonymyre, Balla Balla, Baynton, Bulgarra</t>
  </si>
  <si>
    <t xml:space="preserve">6716</t>
  </si>
  <si>
    <t xml:space="preserve">Fortescue, Hamersley Range, Millstream, Pannawonica</t>
  </si>
  <si>
    <t xml:space="preserve">6718</t>
  </si>
  <si>
    <t xml:space="preserve">Roebourne, Whim Creek</t>
  </si>
  <si>
    <t xml:space="preserve">6720</t>
  </si>
  <si>
    <t xml:space="preserve">Cossack, Point Samson, Wickham</t>
  </si>
  <si>
    <t xml:space="preserve">6721</t>
  </si>
  <si>
    <t xml:space="preserve">Indee, Mundabullangana, Pardoo, Port Hedland</t>
  </si>
  <si>
    <t xml:space="preserve">6722</t>
  </si>
  <si>
    <t xml:space="preserve">Boodarie, De Grey, Finucane, Pippingarra</t>
  </si>
  <si>
    <t xml:space="preserve">6723</t>
  </si>
  <si>
    <t xml:space="preserve">Goldsworthy</t>
  </si>
  <si>
    <t xml:space="preserve">6725</t>
  </si>
  <si>
    <t xml:space="preserve">Bilingurr, Broome, Dampier Peninsula, Djugun</t>
  </si>
  <si>
    <t xml:space="preserve">6726</t>
  </si>
  <si>
    <t xml:space="preserve">Cable Beach</t>
  </si>
  <si>
    <t xml:space="preserve">6728</t>
  </si>
  <si>
    <t xml:space="preserve">Camballin, Derby, Geegully Creek, Jarlmadangah Burru</t>
  </si>
  <si>
    <t xml:space="preserve">6731</t>
  </si>
  <si>
    <t xml:space="preserve">Cockatoo Island</t>
  </si>
  <si>
    <t xml:space="preserve">6733</t>
  </si>
  <si>
    <t xml:space="preserve">Koolan Island</t>
  </si>
  <si>
    <t xml:space="preserve">6740</t>
  </si>
  <si>
    <t xml:space="preserve">Drysdale River, Kalumburu, Mitchell Plateau, Oombulgurri</t>
  </si>
  <si>
    <t xml:space="preserve">6743</t>
  </si>
  <si>
    <t xml:space="preserve">Cambridge Gulf, Durack, Gibb, Kununurra</t>
  </si>
  <si>
    <t xml:space="preserve">6751</t>
  </si>
  <si>
    <t xml:space="preserve">Chichester, Innawanga, Juna Downs, Karijini</t>
  </si>
  <si>
    <t xml:space="preserve">6753</t>
  </si>
  <si>
    <t xml:space="preserve">Jigalong, Newman</t>
  </si>
  <si>
    <t xml:space="preserve">6754</t>
  </si>
  <si>
    <t xml:space="preserve">Paraburdoo</t>
  </si>
  <si>
    <t xml:space="preserve">6758</t>
  </si>
  <si>
    <t xml:space="preserve">Nullagine</t>
  </si>
  <si>
    <t xml:space="preserve">6760</t>
  </si>
  <si>
    <t xml:space="preserve">Marble Bar</t>
  </si>
  <si>
    <t xml:space="preserve">6761</t>
  </si>
  <si>
    <t xml:space="preserve">Shay Gap</t>
  </si>
  <si>
    <t xml:space="preserve">6762</t>
  </si>
  <si>
    <t xml:space="preserve">Telfer</t>
  </si>
  <si>
    <t xml:space="preserve">6765</t>
  </si>
  <si>
    <t xml:space="preserve">Fitzroy Crossing, Kupartiya, Mount Hardman</t>
  </si>
  <si>
    <t xml:space="preserve">6770</t>
  </si>
  <si>
    <t xml:space="preserve">Halls Creek, Kundat Djaru, Mcbeath, Mueller Ranges</t>
  </si>
  <si>
    <t xml:space="preserve">6798</t>
  </si>
  <si>
    <t xml:space="preserve">Christmas Island</t>
  </si>
  <si>
    <t xml:space="preserve">6799</t>
  </si>
  <si>
    <t xml:space="preserve">Home Island Cocos (Keeling) Islands, West Island Cocos (Keeling) Islands</t>
  </si>
  <si>
    <t xml:space="preserve">6800</t>
  </si>
  <si>
    <t xml:space="preserve">6809</t>
  </si>
  <si>
    <t xml:space="preserve">6827</t>
  </si>
  <si>
    <t xml:space="preserve">6830</t>
  </si>
  <si>
    <t xml:space="preserve">6831</t>
  </si>
  <si>
    <t xml:space="preserve">Perth St Georges Tce</t>
  </si>
  <si>
    <t xml:space="preserve">6837</t>
  </si>
  <si>
    <t xml:space="preserve">6838</t>
  </si>
  <si>
    <t xml:space="preserve">6839</t>
  </si>
  <si>
    <t xml:space="preserve">6840</t>
  </si>
  <si>
    <t xml:space="preserve">6841</t>
  </si>
  <si>
    <t xml:space="preserve">6842</t>
  </si>
  <si>
    <t xml:space="preserve">6843</t>
  </si>
  <si>
    <t xml:space="preserve">6844</t>
  </si>
  <si>
    <t xml:space="preserve">6845</t>
  </si>
  <si>
    <t xml:space="preserve">6846</t>
  </si>
  <si>
    <t xml:space="preserve">6847</t>
  </si>
  <si>
    <t xml:space="preserve">6848</t>
  </si>
  <si>
    <t xml:space="preserve">6849</t>
  </si>
  <si>
    <t xml:space="preserve">Perth Bc</t>
  </si>
  <si>
    <t xml:space="preserve">6850</t>
  </si>
  <si>
    <t xml:space="preserve">Cloisters Square, Cloisters Square Po</t>
  </si>
  <si>
    <t xml:space="preserve">6865</t>
  </si>
  <si>
    <t xml:space="preserve">6872</t>
  </si>
  <si>
    <t xml:space="preserve">West Perth</t>
  </si>
  <si>
    <t xml:space="preserve">6892</t>
  </si>
  <si>
    <t xml:space="preserve">6900</t>
  </si>
  <si>
    <t xml:space="preserve">Leederville</t>
  </si>
  <si>
    <t xml:space="preserve">6901</t>
  </si>
  <si>
    <t xml:space="preserve">West Leederville</t>
  </si>
  <si>
    <t xml:space="preserve">6902</t>
  </si>
  <si>
    <t xml:space="preserve">6903</t>
  </si>
  <si>
    <t xml:space="preserve">6904</t>
  </si>
  <si>
    <t xml:space="preserve">Subiaco, Subiaco Po</t>
  </si>
  <si>
    <t xml:space="preserve">6905</t>
  </si>
  <si>
    <t xml:space="preserve">Northlands, Northlands Po</t>
  </si>
  <si>
    <t xml:space="preserve">6906</t>
  </si>
  <si>
    <t xml:space="preserve">6907</t>
  </si>
  <si>
    <t xml:space="preserve">Nedlands</t>
  </si>
  <si>
    <t xml:space="preserve">6909</t>
  </si>
  <si>
    <t xml:space="preserve">6910</t>
  </si>
  <si>
    <t xml:space="preserve">Claremont</t>
  </si>
  <si>
    <t xml:space="preserve">6911</t>
  </si>
  <si>
    <t xml:space="preserve">Cottesloe</t>
  </si>
  <si>
    <t xml:space="preserve">6912</t>
  </si>
  <si>
    <t xml:space="preserve">6913</t>
  </si>
  <si>
    <t xml:space="preserve">Wembley</t>
  </si>
  <si>
    <t xml:space="preserve">6914</t>
  </si>
  <si>
    <t xml:space="preserve">Balcatta</t>
  </si>
  <si>
    <t xml:space="preserve">6915</t>
  </si>
  <si>
    <t xml:space="preserve">Mount Hawthorn</t>
  </si>
  <si>
    <t xml:space="preserve">6916</t>
  </si>
  <si>
    <t xml:space="preserve">Osborne Park, Osborne Park Dc</t>
  </si>
  <si>
    <t xml:space="preserve">6917</t>
  </si>
  <si>
    <t xml:space="preserve">Osborne Park</t>
  </si>
  <si>
    <t xml:space="preserve">6918</t>
  </si>
  <si>
    <t xml:space="preserve">Innaloo</t>
  </si>
  <si>
    <t xml:space="preserve">6919</t>
  </si>
  <si>
    <t xml:space="preserve">Joondalup Dc</t>
  </si>
  <si>
    <t xml:space="preserve">6920</t>
  </si>
  <si>
    <t xml:space="preserve">North Beach</t>
  </si>
  <si>
    <t xml:space="preserve">6921</t>
  </si>
  <si>
    <t xml:space="preserve">Karrinyup</t>
  </si>
  <si>
    <t xml:space="preserve">6922</t>
  </si>
  <si>
    <t xml:space="preserve">Scarborough</t>
  </si>
  <si>
    <t xml:space="preserve">6923</t>
  </si>
  <si>
    <t xml:space="preserve">Hillarys</t>
  </si>
  <si>
    <t xml:space="preserve">6924</t>
  </si>
  <si>
    <t xml:space="preserve">Greenwood</t>
  </si>
  <si>
    <t xml:space="preserve">6925</t>
  </si>
  <si>
    <t xml:space="preserve">Walliston Dc</t>
  </si>
  <si>
    <t xml:space="preserve">6926</t>
  </si>
  <si>
    <t xml:space="preserve">Kalamunda</t>
  </si>
  <si>
    <t xml:space="preserve">6929</t>
  </si>
  <si>
    <t xml:space="preserve">Mount Lawley</t>
  </si>
  <si>
    <t xml:space="preserve">6931</t>
  </si>
  <si>
    <t xml:space="preserve">6932</t>
  </si>
  <si>
    <t xml:space="preserve">6933</t>
  </si>
  <si>
    <t xml:space="preserve">6934</t>
  </si>
  <si>
    <t xml:space="preserve">Bassendean</t>
  </si>
  <si>
    <t xml:space="preserve">6935</t>
  </si>
  <si>
    <t xml:space="preserve">Guildford</t>
  </si>
  <si>
    <t xml:space="preserve">6936</t>
  </si>
  <si>
    <t xml:space="preserve">Midland Dc</t>
  </si>
  <si>
    <t xml:space="preserve">6937</t>
  </si>
  <si>
    <t xml:space="preserve">Tuart Hill</t>
  </si>
  <si>
    <t xml:space="preserve">6938</t>
  </si>
  <si>
    <t xml:space="preserve">6939</t>
  </si>
  <si>
    <t xml:space="preserve">6941</t>
  </si>
  <si>
    <t xml:space="preserve">Mirrabooka</t>
  </si>
  <si>
    <t xml:space="preserve">6942</t>
  </si>
  <si>
    <t xml:space="preserve">Bassendean Dc</t>
  </si>
  <si>
    <t xml:space="preserve">6943</t>
  </si>
  <si>
    <t xml:space="preserve">Morley</t>
  </si>
  <si>
    <t xml:space="preserve">6944</t>
  </si>
  <si>
    <t xml:space="preserve">6945</t>
  </si>
  <si>
    <t xml:space="preserve">Malaga Dc</t>
  </si>
  <si>
    <t xml:space="preserve">6946</t>
  </si>
  <si>
    <t xml:space="preserve">Wanneroo</t>
  </si>
  <si>
    <t xml:space="preserve">6947</t>
  </si>
  <si>
    <t xml:space="preserve">Wangara, Wangara Dc</t>
  </si>
  <si>
    <t xml:space="preserve">6951</t>
  </si>
  <si>
    <t xml:space="preserve">South Perth</t>
  </si>
  <si>
    <t xml:space="preserve">6952</t>
  </si>
  <si>
    <t xml:space="preserve">Como</t>
  </si>
  <si>
    <t xml:space="preserve">6953</t>
  </si>
  <si>
    <t xml:space="preserve">Applecross</t>
  </si>
  <si>
    <t xml:space="preserve">6954</t>
  </si>
  <si>
    <t xml:space="preserve">Booragoon</t>
  </si>
  <si>
    <t xml:space="preserve">6955</t>
  </si>
  <si>
    <t xml:space="preserve">Willetton</t>
  </si>
  <si>
    <t xml:space="preserve">6956</t>
  </si>
  <si>
    <t xml:space="preserve">Melville</t>
  </si>
  <si>
    <t xml:space="preserve">6957</t>
  </si>
  <si>
    <t xml:space="preserve">Palmyra</t>
  </si>
  <si>
    <t xml:space="preserve">6959</t>
  </si>
  <si>
    <t xml:space="preserve">6960</t>
  </si>
  <si>
    <t xml:space="preserve">Myaree, Myaree Bc</t>
  </si>
  <si>
    <t xml:space="preserve">6961</t>
  </si>
  <si>
    <t xml:space="preserve">Palmyra Dc</t>
  </si>
  <si>
    <t xml:space="preserve">6963</t>
  </si>
  <si>
    <t xml:space="preserve">Hamilton Hill</t>
  </si>
  <si>
    <t xml:space="preserve">6964</t>
  </si>
  <si>
    <t xml:space="preserve">Success</t>
  </si>
  <si>
    <t xml:space="preserve">6965</t>
  </si>
  <si>
    <t xml:space="preserve">Bibra Lake, Bibra Lake Dc</t>
  </si>
  <si>
    <t xml:space="preserve">6966</t>
  </si>
  <si>
    <t xml:space="preserve">Kwinana</t>
  </si>
  <si>
    <t xml:space="preserve">6967</t>
  </si>
  <si>
    <t xml:space="preserve">Rockingham Dc</t>
  </si>
  <si>
    <t xml:space="preserve">6968</t>
  </si>
  <si>
    <t xml:space="preserve">Rockingham</t>
  </si>
  <si>
    <t xml:space="preserve">6969</t>
  </si>
  <si>
    <t xml:space="preserve">Rockingham Beach</t>
  </si>
  <si>
    <t xml:space="preserve">6970</t>
  </si>
  <si>
    <t xml:space="preserve">Canning Vale Dc</t>
  </si>
  <si>
    <t xml:space="preserve">6979</t>
  </si>
  <si>
    <t xml:space="preserve">Victoria Park</t>
  </si>
  <si>
    <t xml:space="preserve">6981</t>
  </si>
  <si>
    <t xml:space="preserve">East Victoria Park</t>
  </si>
  <si>
    <t xml:space="preserve">6982</t>
  </si>
  <si>
    <t xml:space="preserve">Bentley</t>
  </si>
  <si>
    <t xml:space="preserve">6983</t>
  </si>
  <si>
    <t xml:space="preserve">Bentley Dc</t>
  </si>
  <si>
    <t xml:space="preserve">6984</t>
  </si>
  <si>
    <t xml:space="preserve">Belmont</t>
  </si>
  <si>
    <t xml:space="preserve">6985</t>
  </si>
  <si>
    <t xml:space="preserve">Cloverdale</t>
  </si>
  <si>
    <t xml:space="preserve">6986</t>
  </si>
  <si>
    <t xml:space="preserve">Welshpool Dc</t>
  </si>
  <si>
    <t xml:space="preserve">6987</t>
  </si>
  <si>
    <t xml:space="preserve">Cannington</t>
  </si>
  <si>
    <t xml:space="preserve">6988</t>
  </si>
  <si>
    <t xml:space="preserve">6989</t>
  </si>
  <si>
    <t xml:space="preserve">Maddington</t>
  </si>
  <si>
    <t xml:space="preserve">6990</t>
  </si>
  <si>
    <t xml:space="preserve">Gosnells</t>
  </si>
  <si>
    <t xml:space="preserve">6991</t>
  </si>
  <si>
    <t xml:space="preserve">Kelmscott</t>
  </si>
  <si>
    <t xml:space="preserve">6992</t>
  </si>
  <si>
    <t xml:space="preserve">Armadale</t>
  </si>
  <si>
    <t xml:space="preserve">6997</t>
  </si>
  <si>
    <t xml:space="preserve">Kelmscott Dc</t>
  </si>
  <si>
    <t xml:space="preserve">7000</t>
  </si>
  <si>
    <t xml:space="preserve">Bathurst Street Po, Glebe, Hobart, Mount Stuart</t>
  </si>
  <si>
    <t xml:space="preserve">7001</t>
  </si>
  <si>
    <t xml:space="preserve">Hobart, Tasman Island</t>
  </si>
  <si>
    <t xml:space="preserve">7002</t>
  </si>
  <si>
    <t xml:space="preserve">North Hobart</t>
  </si>
  <si>
    <t xml:space="preserve">7004</t>
  </si>
  <si>
    <t xml:space="preserve">Battery Point, South Hobart</t>
  </si>
  <si>
    <t xml:space="preserve">7005</t>
  </si>
  <si>
    <t xml:space="preserve">Dynnyrne, Lower Sandy Bay, Sandy Bay, University Of Tasmania</t>
  </si>
  <si>
    <t xml:space="preserve">7006</t>
  </si>
  <si>
    <t xml:space="preserve">Sandy Bay</t>
  </si>
  <si>
    <t xml:space="preserve">7007</t>
  </si>
  <si>
    <t xml:space="preserve">Mount Nelson, Tolmans Hill</t>
  </si>
  <si>
    <t xml:space="preserve">7008</t>
  </si>
  <si>
    <t xml:space="preserve">Cornelian Bay, Lenah Valley, New Town</t>
  </si>
  <si>
    <t xml:space="preserve">7009</t>
  </si>
  <si>
    <t xml:space="preserve">Derwent Park, Lutana, Moonah, West Moonah</t>
  </si>
  <si>
    <t xml:space="preserve">7010</t>
  </si>
  <si>
    <t xml:space="preserve">Dowsing Point, Elwick, Glenorchy, Goodwood</t>
  </si>
  <si>
    <t xml:space="preserve">7011</t>
  </si>
  <si>
    <t xml:space="preserve">Austins Ferry, Berriedale, Chigwell, Claremont</t>
  </si>
  <si>
    <t xml:space="preserve">7012</t>
  </si>
  <si>
    <t xml:space="preserve">Collinsvale, Glenlusk</t>
  </si>
  <si>
    <t xml:space="preserve">7015</t>
  </si>
  <si>
    <t xml:space="preserve">Flagstaff Gully, Geilston Bay, Lindisfarne, Rose Bay</t>
  </si>
  <si>
    <t xml:space="preserve">7016</t>
  </si>
  <si>
    <t xml:space="preserve">Risdon Vale</t>
  </si>
  <si>
    <t xml:space="preserve">7017</t>
  </si>
  <si>
    <t xml:space="preserve">Grasstree Hill, Honeywood, Old Beach, Otago</t>
  </si>
  <si>
    <t xml:space="preserve">7018</t>
  </si>
  <si>
    <t xml:space="preserve">Bellerive, Howrah, Montagu Bay, Mornington</t>
  </si>
  <si>
    <t xml:space="preserve">7019</t>
  </si>
  <si>
    <t xml:space="preserve">Clarendon Vale, Oakdowns, Rokeby</t>
  </si>
  <si>
    <t xml:space="preserve">7020</t>
  </si>
  <si>
    <t xml:space="preserve">TAS - Outer Metro</t>
  </si>
  <si>
    <t xml:space="preserve">Clifton Beach, Sandford</t>
  </si>
  <si>
    <t xml:space="preserve">7021</t>
  </si>
  <si>
    <t xml:space="preserve">Lauderdale</t>
  </si>
  <si>
    <t xml:space="preserve">7022</t>
  </si>
  <si>
    <t xml:space="preserve">South Arm</t>
  </si>
  <si>
    <t xml:space="preserve">7023</t>
  </si>
  <si>
    <t xml:space="preserve">Opossum Bay</t>
  </si>
  <si>
    <t xml:space="preserve">7024</t>
  </si>
  <si>
    <t xml:space="preserve">Cremorne</t>
  </si>
  <si>
    <t xml:space="preserve">7025</t>
  </si>
  <si>
    <t xml:space="preserve">Dulcot, Richmond</t>
  </si>
  <si>
    <t xml:space="preserve">7026</t>
  </si>
  <si>
    <t xml:space="preserve">Campania</t>
  </si>
  <si>
    <t xml:space="preserve">7027</t>
  </si>
  <si>
    <t xml:space="preserve">Colebrook</t>
  </si>
  <si>
    <t xml:space="preserve">7030</t>
  </si>
  <si>
    <t xml:space="preserve">Apsley, Arthurs Lake, Bagdad, Bagdad North</t>
  </si>
  <si>
    <t xml:space="preserve">7050</t>
  </si>
  <si>
    <t xml:space="preserve">Albion Heights, Kingston, Kingston Beach</t>
  </si>
  <si>
    <t xml:space="preserve">7051</t>
  </si>
  <si>
    <t xml:space="preserve">Kingston</t>
  </si>
  <si>
    <t xml:space="preserve">7052</t>
  </si>
  <si>
    <t xml:space="preserve">Blackmans Bay</t>
  </si>
  <si>
    <t xml:space="preserve">7053</t>
  </si>
  <si>
    <t xml:space="preserve">Bonnet Hill, Taroona</t>
  </si>
  <si>
    <t xml:space="preserve">7054</t>
  </si>
  <si>
    <t xml:space="preserve">Barretta, Coningham, Electrona, Fern Tree</t>
  </si>
  <si>
    <t xml:space="preserve">7055</t>
  </si>
  <si>
    <t xml:space="preserve">Huntingfield</t>
  </si>
  <si>
    <t xml:space="preserve">7109</t>
  </si>
  <si>
    <t xml:space="preserve">Catamaran, Crabtree, Cradoc, Glaziers Bay</t>
  </si>
  <si>
    <t xml:space="preserve">7112</t>
  </si>
  <si>
    <t xml:space="preserve">Abels Bay, Charlotte Cove, Cygnet, Deep Bay</t>
  </si>
  <si>
    <t xml:space="preserve">7113</t>
  </si>
  <si>
    <t xml:space="preserve">Franklin</t>
  </si>
  <si>
    <t xml:space="preserve">7116</t>
  </si>
  <si>
    <t xml:space="preserve">Brooks Bay, Cairns Bay, Castle Forbes Bay, Geeveston</t>
  </si>
  <si>
    <t xml:space="preserve">7117</t>
  </si>
  <si>
    <t xml:space="preserve">Dover</t>
  </si>
  <si>
    <t xml:space="preserve">7119</t>
  </si>
  <si>
    <t xml:space="preserve">Stonor</t>
  </si>
  <si>
    <t xml:space="preserve">7120</t>
  </si>
  <si>
    <t xml:space="preserve">Andover, Antill Ponds, Baden, Lemont</t>
  </si>
  <si>
    <t xml:space="preserve">7139</t>
  </si>
  <si>
    <t xml:space="preserve">Strathgordon</t>
  </si>
  <si>
    <t xml:space="preserve">7140</t>
  </si>
  <si>
    <t xml:space="preserve">Black Hills, Boyer, Bradys Lake, Bronte Park</t>
  </si>
  <si>
    <t xml:space="preserve">7150</t>
  </si>
  <si>
    <t xml:space="preserve">Adventure Bay, Allens Rivulet, Alonnah, Apollo Bay</t>
  </si>
  <si>
    <t xml:space="preserve">7151</t>
  </si>
  <si>
    <t xml:space="preserve">Casey, Davis, Heard Island, Macquarie</t>
  </si>
  <si>
    <t xml:space="preserve">7155</t>
  </si>
  <si>
    <t xml:space="preserve">Kettering</t>
  </si>
  <si>
    <t xml:space="preserve">7162</t>
  </si>
  <si>
    <t xml:space="preserve">Birchs Bay, Woodbridge</t>
  </si>
  <si>
    <t xml:space="preserve">7163</t>
  </si>
  <si>
    <t xml:space="preserve">Flowerpot, Middleton</t>
  </si>
  <si>
    <t xml:space="preserve">7170</t>
  </si>
  <si>
    <t xml:space="preserve">Acton Park, Cambridge, Mount Rumney, Roches Beach</t>
  </si>
  <si>
    <t xml:space="preserve">7171</t>
  </si>
  <si>
    <t xml:space="preserve">Midway Point, Penna</t>
  </si>
  <si>
    <t xml:space="preserve">7172</t>
  </si>
  <si>
    <t xml:space="preserve">Nugent, Orielton, Pawleena, Sorell</t>
  </si>
  <si>
    <t xml:space="preserve">7173</t>
  </si>
  <si>
    <t xml:space="preserve">Carlton, Carlton River, Connellys Marsh, Dodges Ferry</t>
  </si>
  <si>
    <t xml:space="preserve">7174</t>
  </si>
  <si>
    <t xml:space="preserve">Copping</t>
  </si>
  <si>
    <t xml:space="preserve">7175</t>
  </si>
  <si>
    <t xml:space="preserve">Bream Creek, Marion Bay</t>
  </si>
  <si>
    <t xml:space="preserve">7176</t>
  </si>
  <si>
    <t xml:space="preserve">Kellevie</t>
  </si>
  <si>
    <t xml:space="preserve">7177</t>
  </si>
  <si>
    <t xml:space="preserve">Boomer Bay, Dunalley</t>
  </si>
  <si>
    <t xml:space="preserve">7178</t>
  </si>
  <si>
    <t xml:space="preserve">Murdunna</t>
  </si>
  <si>
    <t xml:space="preserve">7179</t>
  </si>
  <si>
    <t xml:space="preserve">Eaglehawk Neck</t>
  </si>
  <si>
    <t xml:space="preserve">7180</t>
  </si>
  <si>
    <t xml:space="preserve">Taranna</t>
  </si>
  <si>
    <t xml:space="preserve">7182</t>
  </si>
  <si>
    <t xml:space="preserve">Cape Pillar, Fortescue, Port Arthur</t>
  </si>
  <si>
    <t xml:space="preserve">7183</t>
  </si>
  <si>
    <t xml:space="preserve">Highcroft</t>
  </si>
  <si>
    <t xml:space="preserve">7184</t>
  </si>
  <si>
    <t xml:space="preserve">Cape Raoul, Nubeena, Stormlea, White Beach</t>
  </si>
  <si>
    <t xml:space="preserve">7185</t>
  </si>
  <si>
    <t xml:space="preserve">Premaydena</t>
  </si>
  <si>
    <t xml:space="preserve">7186</t>
  </si>
  <si>
    <t xml:space="preserve">Saltwater River, Sloping Main</t>
  </si>
  <si>
    <t xml:space="preserve">7187</t>
  </si>
  <si>
    <t xml:space="preserve">Koonya</t>
  </si>
  <si>
    <t xml:space="preserve">7190</t>
  </si>
  <si>
    <t xml:space="preserve">Apslawn, Buckland, Cranbrook, Dolphin Sands</t>
  </si>
  <si>
    <t xml:space="preserve">7209</t>
  </si>
  <si>
    <t xml:space="preserve">Ross, Tooms Lake</t>
  </si>
  <si>
    <t xml:space="preserve">7210</t>
  </si>
  <si>
    <t xml:space="preserve">Campbell Town, Lake Leake</t>
  </si>
  <si>
    <t xml:space="preserve">7211</t>
  </si>
  <si>
    <t xml:space="preserve">Cleveland, Conara, Epping Forest</t>
  </si>
  <si>
    <t xml:space="preserve">7212</t>
  </si>
  <si>
    <t xml:space="preserve">Ben Lomond, Blessington, Burns Creek, Deddington</t>
  </si>
  <si>
    <t xml:space="preserve">7213</t>
  </si>
  <si>
    <t xml:space="preserve">Avoca, Rossarden, Royal George, Storys Creek</t>
  </si>
  <si>
    <t xml:space="preserve">7214</t>
  </si>
  <si>
    <t xml:space="preserve">Fingal, Mangana, Mathinna, Upper Esk</t>
  </si>
  <si>
    <t xml:space="preserve">7215</t>
  </si>
  <si>
    <t xml:space="preserve">Beaumaris, Bicheno, Chain Of Lagoons, Coles Bay</t>
  </si>
  <si>
    <t xml:space="preserve">7216</t>
  </si>
  <si>
    <t xml:space="preserve">Akaroa, Ansons Bay, Binalong Bay, Goshen</t>
  </si>
  <si>
    <t xml:space="preserve">7248</t>
  </si>
  <si>
    <t xml:space="preserve">Alanvale, Inveresk, Invermay, Mayfield</t>
  </si>
  <si>
    <t xml:space="preserve">7249</t>
  </si>
  <si>
    <t xml:space="preserve">Glen Dhu, Kings Meadows, Punchbowl, Sandhill</t>
  </si>
  <si>
    <t xml:space="preserve">7250</t>
  </si>
  <si>
    <t xml:space="preserve">Blackstone Heights, East Launceston, Elphin, Launceston</t>
  </si>
  <si>
    <t xml:space="preserve">7252</t>
  </si>
  <si>
    <t xml:space="preserve">Beechford, Dilston, Hillwood, Lefroy</t>
  </si>
  <si>
    <t xml:space="preserve">7253</t>
  </si>
  <si>
    <t xml:space="preserve">Bell Bay, George Town, Long Reach, Low Head</t>
  </si>
  <si>
    <t xml:space="preserve">7254</t>
  </si>
  <si>
    <t xml:space="preserve">Bellingham, Golconda, Lebrina, Pipers Brook</t>
  </si>
  <si>
    <t xml:space="preserve">7255</t>
  </si>
  <si>
    <t xml:space="preserve">Blue Rocks, Emita, Killiecrankie, Lackrana</t>
  </si>
  <si>
    <t xml:space="preserve">7256</t>
  </si>
  <si>
    <t xml:space="preserve">Bungaree, Currie, Egg Lagoon, Grassy</t>
  </si>
  <si>
    <t xml:space="preserve">7257</t>
  </si>
  <si>
    <t xml:space="preserve">Cape Barren Island</t>
  </si>
  <si>
    <t xml:space="preserve">7258</t>
  </si>
  <si>
    <t xml:space="preserve">Breadalbane, Relbia, White Hills</t>
  </si>
  <si>
    <t xml:space="preserve">7259</t>
  </si>
  <si>
    <t xml:space="preserve">Myrtle Bank, Nunamara, Patersonia, Targa</t>
  </si>
  <si>
    <t xml:space="preserve">7260</t>
  </si>
  <si>
    <t xml:space="preserve">Blumont, Cuckoo, Forester, Jetsonville</t>
  </si>
  <si>
    <t xml:space="preserve">7261</t>
  </si>
  <si>
    <t xml:space="preserve">Branxholm, Warrentinna</t>
  </si>
  <si>
    <t xml:space="preserve">7262</t>
  </si>
  <si>
    <t xml:space="preserve">Bridport, Tomahawk, Waterhouse</t>
  </si>
  <si>
    <t xml:space="preserve">7263</t>
  </si>
  <si>
    <t xml:space="preserve">Alberton, Legerwood, Ringarooma, Talawa</t>
  </si>
  <si>
    <t xml:space="preserve">7264</t>
  </si>
  <si>
    <t xml:space="preserve">Ansons Bay, Boobyalla, Cape Portland, Derby</t>
  </si>
  <si>
    <t xml:space="preserve">7265</t>
  </si>
  <si>
    <t xml:space="preserve">Banca, Winnaleah</t>
  </si>
  <si>
    <t xml:space="preserve">7267</t>
  </si>
  <si>
    <t xml:space="preserve">Bangor, Karoola, Lalla, Lower Turners Marsh</t>
  </si>
  <si>
    <t xml:space="preserve">7268</t>
  </si>
  <si>
    <t xml:space="preserve">Lilydale, North Lilydale, Underwood</t>
  </si>
  <si>
    <t xml:space="preserve">7270</t>
  </si>
  <si>
    <t xml:space="preserve">Badger Head, Beaconsfield, Beauty Point, Clarence Point</t>
  </si>
  <si>
    <t xml:space="preserve">7275</t>
  </si>
  <si>
    <t xml:space="preserve">Blackwall, Deviot, Exeter, Frankford</t>
  </si>
  <si>
    <t xml:space="preserve">7276</t>
  </si>
  <si>
    <t xml:space="preserve">Gravelly Beach</t>
  </si>
  <si>
    <t xml:space="preserve">7277</t>
  </si>
  <si>
    <t xml:space="preserve">Bridgenorth, Grindelwald, Legana, Rosevears</t>
  </si>
  <si>
    <t xml:space="preserve">7290</t>
  </si>
  <si>
    <t xml:space="preserve">Hadspen</t>
  </si>
  <si>
    <t xml:space="preserve">7291</t>
  </si>
  <si>
    <t xml:space="preserve">Carrick</t>
  </si>
  <si>
    <t xml:space="preserve">7292</t>
  </si>
  <si>
    <t xml:space="preserve">Hagley, Quamby Bend, Rosevale, Selbourne</t>
  </si>
  <si>
    <t xml:space="preserve">7300</t>
  </si>
  <si>
    <t xml:space="preserve">Devon Hills, Perth, Powranna</t>
  </si>
  <si>
    <t xml:space="preserve">7301</t>
  </si>
  <si>
    <t xml:space="preserve">Bishopsbourne, Blackwood Creek, Liffey, Longford</t>
  </si>
  <si>
    <t xml:space="preserve">7302</t>
  </si>
  <si>
    <t xml:space="preserve">Bracknell, Cressy, Poatina</t>
  </si>
  <si>
    <t xml:space="preserve">7303</t>
  </si>
  <si>
    <t xml:space="preserve">Birralee, Cluan, Exton, Oaks</t>
  </si>
  <si>
    <t xml:space="preserve">7304</t>
  </si>
  <si>
    <t xml:space="preserve">Brandum, Breona, Caveside, Central Plateau</t>
  </si>
  <si>
    <t xml:space="preserve">7305</t>
  </si>
  <si>
    <t xml:space="preserve">Merseylea, Railton, Sunnyside</t>
  </si>
  <si>
    <t xml:space="preserve">7306</t>
  </si>
  <si>
    <t xml:space="preserve">Acacia Hills, Barrington, Beulah, Cethana</t>
  </si>
  <si>
    <t xml:space="preserve">7307</t>
  </si>
  <si>
    <t xml:space="preserve">Bakers Beach, Harford, Hawley Beach, Latrobe</t>
  </si>
  <si>
    <t xml:space="preserve">7310</t>
  </si>
  <si>
    <t xml:space="preserve">Aberdeen, Ambleside, Devonport, Don</t>
  </si>
  <si>
    <t xml:space="preserve">7315</t>
  </si>
  <si>
    <t xml:space="preserve">Abbotsham, Castra, Gawler, Gunns Plains</t>
  </si>
  <si>
    <t xml:space="preserve">7316</t>
  </si>
  <si>
    <t xml:space="preserve">Camena, Cuprona, Heybridge, Howth</t>
  </si>
  <si>
    <t xml:space="preserve">7320</t>
  </si>
  <si>
    <t xml:space="preserve">Acton, Brooklyn, Burnie, Camdale</t>
  </si>
  <si>
    <t xml:space="preserve">7321</t>
  </si>
  <si>
    <t xml:space="preserve">Black River, Boat Harbour, Boat Harbour Beach, Chasm Creek</t>
  </si>
  <si>
    <t xml:space="preserve">7322</t>
  </si>
  <si>
    <t xml:space="preserve">Somerset</t>
  </si>
  <si>
    <t xml:space="preserve">7325</t>
  </si>
  <si>
    <t xml:space="preserve">Calder, Doctors Rocks, Elliott, Flowerdale</t>
  </si>
  <si>
    <t xml:space="preserve">7330</t>
  </si>
  <si>
    <t xml:space="preserve">Alcomie, Arthur River, Brittons Swamp, Broadmeadows</t>
  </si>
  <si>
    <t xml:space="preserve">7331</t>
  </si>
  <si>
    <t xml:space="preserve">Stanley</t>
  </si>
  <si>
    <t xml:space="preserve">7466</t>
  </si>
  <si>
    <t xml:space="preserve">Gormanston</t>
  </si>
  <si>
    <t xml:space="preserve">7467</t>
  </si>
  <si>
    <t xml:space="preserve">Lake Margaret, Queenstown</t>
  </si>
  <si>
    <t xml:space="preserve">7468</t>
  </si>
  <si>
    <t xml:space="preserve">Macquarie Heads, Strahan</t>
  </si>
  <si>
    <t xml:space="preserve">7469</t>
  </si>
  <si>
    <t xml:space="preserve">Granville Harbour, Renison Bell, Trial Harbour, Zeehan</t>
  </si>
  <si>
    <t xml:space="preserve">7470</t>
  </si>
  <si>
    <t xml:space="preserve">8001</t>
  </si>
  <si>
    <t xml:space="preserve">8002</t>
  </si>
  <si>
    <t xml:space="preserve">8003</t>
  </si>
  <si>
    <t xml:space="preserve">Collins Street East</t>
  </si>
  <si>
    <t xml:space="preserve">8004</t>
  </si>
  <si>
    <t xml:space="preserve">St Kilda Road</t>
  </si>
  <si>
    <t xml:space="preserve">8005</t>
  </si>
  <si>
    <t xml:space="preserve">8006</t>
  </si>
  <si>
    <t xml:space="preserve">Abeckett Street</t>
  </si>
  <si>
    <t xml:space="preserve">8007</t>
  </si>
  <si>
    <t xml:space="preserve">Collins Street West</t>
  </si>
  <si>
    <t xml:space="preserve">8008</t>
  </si>
  <si>
    <t xml:space="preserve">St Kilda Road Central</t>
  </si>
  <si>
    <t xml:space="preserve">8009</t>
  </si>
  <si>
    <t xml:space="preserve">Flinders Lane</t>
  </si>
  <si>
    <t xml:space="preserve">8010</t>
  </si>
  <si>
    <t xml:space="preserve">Law Courts</t>
  </si>
  <si>
    <t xml:space="preserve">8011</t>
  </si>
  <si>
    <t xml:space="preserve">Little Lonsdale Street</t>
  </si>
  <si>
    <t xml:space="preserve">8012</t>
  </si>
  <si>
    <t xml:space="preserve">8045</t>
  </si>
  <si>
    <t xml:space="preserve">8051</t>
  </si>
  <si>
    <t xml:space="preserve">8066</t>
  </si>
  <si>
    <t xml:space="preserve">8069</t>
  </si>
  <si>
    <t xml:space="preserve">8070</t>
  </si>
  <si>
    <t xml:space="preserve">8071</t>
  </si>
  <si>
    <t xml:space="preserve">8102</t>
  </si>
  <si>
    <t xml:space="preserve">8111</t>
  </si>
  <si>
    <t xml:space="preserve">8120</t>
  </si>
  <si>
    <t xml:space="preserve">8205</t>
  </si>
  <si>
    <t xml:space="preserve">8438</t>
  </si>
  <si>
    <t xml:space="preserve">Sunshine West</t>
  </si>
  <si>
    <t xml:space="preserve">8511</t>
  </si>
  <si>
    <t xml:space="preserve">8785</t>
  </si>
  <si>
    <t xml:space="preserve">Dandenong, Dandenong South</t>
  </si>
  <si>
    <t xml:space="preserve">9000</t>
  </si>
  <si>
    <t xml:space="preserve">Brisbane</t>
  </si>
  <si>
    <t xml:space="preserve">9001</t>
  </si>
  <si>
    <t xml:space="preserve">9002</t>
  </si>
  <si>
    <t xml:space="preserve">9005</t>
  </si>
  <si>
    <t xml:space="preserve">9007</t>
  </si>
  <si>
    <t xml:space="preserve">9009</t>
  </si>
  <si>
    <t xml:space="preserve">9010</t>
  </si>
  <si>
    <t xml:space="preserve">9013</t>
  </si>
  <si>
    <t xml:space="preserve">9015</t>
  </si>
  <si>
    <t xml:space="preserve">9464</t>
  </si>
  <si>
    <t xml:space="preserve">Northgate Mc</t>
  </si>
  <si>
    <t xml:space="preserve">9726</t>
  </si>
  <si>
    <t xml:space="preserve">Gold Coast Mc</t>
  </si>
  <si>
    <t xml:space="preserve">9999</t>
  </si>
  <si>
    <t xml:space="preserve">North Pole</t>
  </si>
</sst>
</file>

<file path=xl/styles.xml><?xml version="1.0" encoding="utf-8"?>
<styleSheet xmlns="http://schemas.openxmlformats.org/spreadsheetml/2006/main">
  <numFmts count="7">
    <numFmt numFmtId="164" formatCode="General"/>
    <numFmt numFmtId="165" formatCode="0.0%"/>
    <numFmt numFmtId="166" formatCode="\$#,##0.00"/>
    <numFmt numFmtId="167" formatCode="0.00\x"/>
    <numFmt numFmtId="168" formatCode="\$#,##0;&quot;-$&quot;#,##0;\-"/>
    <numFmt numFmtId="169" formatCode="0.00"/>
    <numFmt numFmtId="170" formatCode="&quot;+$&quot;#,##0.00;&quot;-$&quot;#,##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sz val="11"/>
      <color rgb="FF0000FF"/>
      <name val="Arial"/>
      <family val="0"/>
      <charset val="1"/>
    </font>
    <font>
      <i val="true"/>
      <sz val="11"/>
      <color rgb="FF666666"/>
      <name val="Arial"/>
      <family val="0"/>
      <charset val="1"/>
    </font>
    <font>
      <sz val="11"/>
      <color rgb="FF008000"/>
      <name val="Arial"/>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DDE6EE"/>
        <bgColor rgb="FFE4E4E4"/>
      </patternFill>
    </fill>
    <fill>
      <patternFill patternType="solid">
        <fgColor rgb="FFE4E4E4"/>
        <bgColor rgb="FFDDE6EE"/>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DE6EE"/>
          <bgColor rgb="FF000000"/>
        </patternFill>
      </fill>
    </dxf>
    <dxf>
      <fill>
        <patternFill patternType="solid">
          <bgColor rgb="FF000000"/>
        </patternFill>
      </fill>
    </dxf>
    <dxf>
      <fill>
        <patternFill patternType="solid">
          <fgColor rgb="FF000000"/>
          <bgColor rgb="FF000000"/>
        </patternFill>
      </fill>
    </dxf>
    <dxf>
      <fill>
        <patternFill patternType="solid">
          <fgColor rgb="FF666666"/>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DE6EE"/>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_rels/sheet1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3" min="3"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2" t="s">
        <v>3</v>
      </c>
      <c r="B5" s="4" t="n">
        <v>0</v>
      </c>
      <c r="C5" s="5" t="s">
        <v>4</v>
      </c>
    </row>
    <row r="6" customFormat="false" ht="15" hidden="false" customHeight="false" outlineLevel="0" collapsed="false">
      <c r="A6" s="2" t="s">
        <v>5</v>
      </c>
      <c r="B6" s="6" t="n">
        <v>5</v>
      </c>
      <c r="C6" s="5" t="s">
        <v>6</v>
      </c>
    </row>
    <row r="7" customFormat="false" ht="15" hidden="false" customHeight="false" outlineLevel="0" collapsed="false">
      <c r="A7" s="2" t="s">
        <v>7</v>
      </c>
      <c r="B7" s="6" t="n">
        <v>30</v>
      </c>
      <c r="C7" s="5" t="s">
        <v>8</v>
      </c>
    </row>
    <row r="9" customFormat="false" ht="15" hidden="false" customHeight="false" outlineLevel="0" collapsed="false">
      <c r="A9" s="3" t="s">
        <v>9</v>
      </c>
    </row>
    <row r="10" customFormat="false" ht="15" hidden="false" customHeight="false" outlineLevel="0" collapsed="false">
      <c r="A10" s="2" t="s">
        <v>10</v>
      </c>
      <c r="B10" s="7" t="n">
        <v>1.34</v>
      </c>
      <c r="C10" s="5" t="s">
        <v>11</v>
      </c>
    </row>
    <row r="11" customFormat="false" ht="15" hidden="false" customHeight="false" outlineLevel="0" collapsed="false">
      <c r="A11" s="2" t="s">
        <v>12</v>
      </c>
      <c r="B11" s="7" t="n">
        <v>1.26</v>
      </c>
    </row>
    <row r="12" customFormat="false" ht="15" hidden="false" customHeight="false" outlineLevel="0" collapsed="false">
      <c r="A12" s="2" t="s">
        <v>13</v>
      </c>
      <c r="B12" s="7" t="n">
        <v>1.35</v>
      </c>
    </row>
    <row r="13" customFormat="false" ht="15" hidden="false" customHeight="false" outlineLevel="0" collapsed="false">
      <c r="A13" s="2" t="s">
        <v>14</v>
      </c>
      <c r="B13" s="7" t="n">
        <v>1.2</v>
      </c>
    </row>
    <row r="14" customFormat="false" ht="15" hidden="false" customHeight="false" outlineLevel="0" collapsed="false">
      <c r="A14" s="2" t="s">
        <v>15</v>
      </c>
      <c r="B14" s="7" t="n">
        <v>1.2</v>
      </c>
    </row>
    <row r="15" customFormat="false" ht="15" hidden="false" customHeight="false" outlineLevel="0" collapsed="false">
      <c r="A15" s="2" t="s">
        <v>16</v>
      </c>
      <c r="B15" s="7" t="n">
        <v>1.2</v>
      </c>
    </row>
    <row r="17" customFormat="false" ht="15" hidden="false" customHeight="false" outlineLevel="0" collapsed="false">
      <c r="A17" s="8" t="s">
        <v>17</v>
      </c>
    </row>
    <row r="18" customFormat="false" ht="15" hidden="false" customHeight="false" outlineLevel="0" collapsed="false">
      <c r="A18" s="9" t="s">
        <v>18</v>
      </c>
    </row>
    <row r="19" customFormat="false" ht="15" hidden="false" customHeight="false" outlineLevel="0" collapsed="false">
      <c r="A19" s="9" t="s">
        <v>19</v>
      </c>
    </row>
    <row r="20" customFormat="false" ht="15" hidden="false" customHeight="false" outlineLevel="0" collapsed="false">
      <c r="A20" s="9" t="s">
        <v>20</v>
      </c>
    </row>
    <row r="21" customFormat="false" ht="15" hidden="false" customHeight="false" outlineLevel="0" collapsed="false">
      <c r="A21" s="9" t="s">
        <v>21</v>
      </c>
    </row>
    <row r="22" customFormat="false" ht="15" hidden="false" customHeight="false" outlineLevel="0" collapsed="false">
      <c r="A22" s="9" t="s">
        <v>22</v>
      </c>
    </row>
    <row r="23" customFormat="false" ht="15" hidden="false" customHeight="false" outlineLevel="0" collapsed="false">
      <c r="A23" s="9" t="s">
        <v>23</v>
      </c>
    </row>
    <row r="24" customFormat="false" ht="15" hidden="false" customHeight="false" outlineLevel="0" collapsed="false">
      <c r="A24" s="9" t="s">
        <v>24</v>
      </c>
    </row>
    <row r="25" customFormat="false" ht="15" hidden="false" customHeight="false" outlineLevel="0" collapsed="false">
      <c r="A25" s="9" t="s">
        <v>25</v>
      </c>
    </row>
    <row r="26" customFormat="false" ht="15" hidden="false" customHeight="false" outlineLevel="0" collapsed="false">
      <c r="A26" s="9"/>
    </row>
    <row r="27" customFormat="false" ht="15" hidden="false" customHeight="false" outlineLevel="0" collapsed="false">
      <c r="A27" s="8" t="s">
        <v>26</v>
      </c>
    </row>
    <row r="28" customFormat="false" ht="15" hidden="false" customHeight="false" outlineLevel="0" collapsed="false">
      <c r="A28" s="9" t="s">
        <v>27</v>
      </c>
    </row>
    <row r="29" customFormat="false" ht="15" hidden="false" customHeight="false" outlineLevel="0" collapsed="false">
      <c r="A29" s="9" t="s">
        <v>28</v>
      </c>
    </row>
    <row r="30" customFormat="false" ht="15" hidden="false" customHeight="false" outlineLevel="0" collapsed="false">
      <c r="A30" s="9" t="s">
        <v>29</v>
      </c>
    </row>
    <row r="31" customFormat="false" ht="15" hidden="false" customHeight="false" outlineLevel="0" collapsed="false">
      <c r="A31" s="9" t="s">
        <v>30</v>
      </c>
    </row>
    <row r="32" customFormat="false" ht="15" hidden="false" customHeight="false" outlineLevel="0" collapsed="false">
      <c r="A32" s="9" t="s">
        <v>31</v>
      </c>
    </row>
    <row r="33" customFormat="false" ht="15" hidden="false" customHeight="false" outlineLevel="0" collapsed="false">
      <c r="A33" s="9"/>
    </row>
    <row r="34" customFormat="false" ht="15" hidden="false" customHeight="false" outlineLevel="0" collapsed="false">
      <c r="A34" s="8" t="s">
        <v>32</v>
      </c>
    </row>
    <row r="35" customFormat="false" ht="15" hidden="false" customHeight="false" outlineLevel="0" collapsed="false">
      <c r="A35" s="9" t="s">
        <v>33</v>
      </c>
    </row>
    <row r="36" customFormat="false" ht="15" hidden="false" customHeight="false" outlineLevel="0" collapsed="false">
      <c r="A36" s="9" t="s">
        <v>34</v>
      </c>
    </row>
    <row r="37" customFormat="false" ht="15" hidden="false" customHeight="false" outlineLevel="0" collapsed="false">
      <c r="A37" s="9" t="s">
        <v>35</v>
      </c>
    </row>
    <row r="38" customFormat="false" ht="15" hidden="false" customHeight="false" outlineLevel="0" collapsed="false">
      <c r="A38" s="9"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5" min="3" style="0" width="14"/>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37</v>
      </c>
    </row>
    <row r="2" customFormat="false" ht="15" hidden="false" customHeight="false" outlineLevel="0" collapsed="false">
      <c r="A2" s="5" t="s">
        <v>38</v>
      </c>
    </row>
    <row r="4" customFormat="false" ht="26.85" hidden="false" customHeight="false" outlineLevel="0" collapsed="false">
      <c r="A4" s="10"/>
      <c r="B4" s="10" t="s">
        <v>39</v>
      </c>
      <c r="C4" s="10" t="s">
        <v>40</v>
      </c>
      <c r="D4" s="10" t="s">
        <v>41</v>
      </c>
      <c r="E4" s="10" t="s">
        <v>42</v>
      </c>
      <c r="F4" s="10" t="s">
        <v>43</v>
      </c>
      <c r="G4" s="10" t="s">
        <v>44</v>
      </c>
    </row>
    <row r="5" customFormat="false" ht="15" hidden="false" customHeight="false" outlineLevel="0" collapsed="false">
      <c r="A5" s="3" t="s">
        <v>45</v>
      </c>
      <c r="B5" s="2" t="n">
        <f aca="false">COUNTA(Impact!$A$2:$A$5883)</f>
        <v>5882</v>
      </c>
      <c r="C5" s="11" t="n">
        <f aca="false">SUM(Impact!$G$2:$G$5883)</f>
        <v>114894.12</v>
      </c>
      <c r="D5" s="11" t="n">
        <f aca="false">SUM(Impact!$H$2:$H$5883)</f>
        <v>240540.63</v>
      </c>
      <c r="E5" s="11" t="n">
        <f aca="false">C5-D5</f>
        <v>-125646.51</v>
      </c>
      <c r="F5" s="11" t="n">
        <f aca="false">SUM(Impact!$J$2:$J$5883)</f>
        <v>243385.5</v>
      </c>
      <c r="G5" s="11" t="n">
        <f aca="false">F5-D5</f>
        <v>2844.87</v>
      </c>
    </row>
    <row r="6" customFormat="false" ht="15" hidden="false" customHeight="false" outlineLevel="0" collapsed="false">
      <c r="B6" s="2"/>
      <c r="C6" s="11"/>
      <c r="D6" s="11"/>
      <c r="E6" s="11"/>
      <c r="F6" s="11"/>
      <c r="G6" s="11"/>
    </row>
    <row r="7" customFormat="false" ht="15" hidden="false" customHeight="false" outlineLevel="0" collapsed="false">
      <c r="A7" s="3" t="s">
        <v>46</v>
      </c>
      <c r="B7" s="2"/>
      <c r="C7" s="11"/>
      <c r="D7" s="11"/>
      <c r="E7" s="11"/>
      <c r="F7" s="11"/>
      <c r="G7" s="11"/>
    </row>
    <row r="8" customFormat="false" ht="15" hidden="false" customHeight="false" outlineLevel="0" collapsed="false">
      <c r="A8" s="2" t="s">
        <v>10</v>
      </c>
      <c r="B8" s="2" t="n">
        <f aca="false">COUNTIF(Impact!$D$2:$D$5883,"Small")</f>
        <v>2681</v>
      </c>
      <c r="C8" s="11" t="n">
        <f aca="false">SUMIF(Impact!$D$2:$D$5883,"Small",Impact!$G$2:$G$5883)</f>
        <v>37442.65</v>
      </c>
      <c r="D8" s="11" t="n">
        <f aca="false">SUMIF(Impact!$D$2:$D$5883,"Small",Impact!$H$2:$H$5883)</f>
        <v>38519.61</v>
      </c>
      <c r="E8" s="11" t="n">
        <f aca="false">C8-D8</f>
        <v>-1076.96</v>
      </c>
      <c r="F8" s="11" t="n">
        <f aca="false">SUMIF(Impact!$D$2:$D$5883,"Small",Impact!$J$2:$J$5883)</f>
        <v>37854.5</v>
      </c>
      <c r="G8" s="11" t="n">
        <f aca="false">F8-D8</f>
        <v>-665.110000000001</v>
      </c>
    </row>
    <row r="9" customFormat="false" ht="15" hidden="false" customHeight="false" outlineLevel="0" collapsed="false">
      <c r="A9" s="2" t="s">
        <v>12</v>
      </c>
      <c r="B9" s="2" t="n">
        <f aca="false">COUNTIF(Impact!$D$2:$D$5883,"Medium")</f>
        <v>2516</v>
      </c>
      <c r="C9" s="11" t="n">
        <f aca="false">SUMIF(Impact!$D$2:$D$5883,"Medium",Impact!$G$2:$G$5883)</f>
        <v>40549.48</v>
      </c>
      <c r="D9" s="11" t="n">
        <f aca="false">SUMIF(Impact!$D$2:$D$5883,"Medium",Impact!$H$2:$H$5883)</f>
        <v>111570.83</v>
      </c>
      <c r="E9" s="11" t="n">
        <f aca="false">C9-D9</f>
        <v>-71021.35</v>
      </c>
      <c r="F9" s="11" t="n">
        <f aca="false">SUMIF(Impact!$D$2:$D$5883,"Medium",Impact!$J$2:$J$5883)</f>
        <v>116496</v>
      </c>
      <c r="G9" s="11" t="n">
        <f aca="false">F9-D9</f>
        <v>4925.17</v>
      </c>
    </row>
    <row r="10" customFormat="false" ht="15" hidden="false" customHeight="false" outlineLevel="0" collapsed="false">
      <c r="A10" s="2" t="s">
        <v>13</v>
      </c>
      <c r="B10" s="2" t="n">
        <f aca="false">COUNTIF(Impact!$D$2:$D$5883,"Large")</f>
        <v>346</v>
      </c>
      <c r="C10" s="11" t="n">
        <f aca="false">SUMIF(Impact!$D$2:$D$5883,"Large",Impact!$G$2:$G$5883)</f>
        <v>12563</v>
      </c>
      <c r="D10" s="11" t="n">
        <f aca="false">SUMIF(Impact!$D$2:$D$5883,"Large",Impact!$H$2:$H$5883)</f>
        <v>30449.77</v>
      </c>
      <c r="E10" s="11" t="n">
        <f aca="false">C10-D10</f>
        <v>-17886.77</v>
      </c>
      <c r="F10" s="11" t="n">
        <f aca="false">SUMIF(Impact!$D$2:$D$5883,"Large",Impact!$J$2:$J$5883)</f>
        <v>29545</v>
      </c>
      <c r="G10" s="11" t="n">
        <f aca="false">F10-D10</f>
        <v>-904.77</v>
      </c>
    </row>
    <row r="11" customFormat="false" ht="15" hidden="false" customHeight="false" outlineLevel="0" collapsed="false">
      <c r="A11" s="2" t="s">
        <v>14</v>
      </c>
      <c r="B11" s="2" t="n">
        <f aca="false">COUNTIF(Impact!$D$2:$D$5883,"XL")</f>
        <v>233</v>
      </c>
      <c r="C11" s="11" t="n">
        <f aca="false">SUMIF(Impact!$D$2:$D$5883,"XL",Impact!$G$2:$G$5883)</f>
        <v>14564.99</v>
      </c>
      <c r="D11" s="11" t="n">
        <f aca="false">SUMIF(Impact!$D$2:$D$5883,"XL",Impact!$H$2:$H$5883)</f>
        <v>36049.21</v>
      </c>
      <c r="E11" s="11" t="n">
        <f aca="false">C11-D11</f>
        <v>-21484.22</v>
      </c>
      <c r="F11" s="11" t="n">
        <f aca="false">SUMIF(Impact!$D$2:$D$5883,"XL",Impact!$J$2:$J$5883)</f>
        <v>35450</v>
      </c>
      <c r="G11" s="11" t="n">
        <f aca="false">F11-D11</f>
        <v>-599.209999999999</v>
      </c>
    </row>
    <row r="12" customFormat="false" ht="15" hidden="false" customHeight="false" outlineLevel="0" collapsed="false">
      <c r="A12" s="2" t="s">
        <v>15</v>
      </c>
      <c r="B12" s="2" t="n">
        <f aca="false">COUNTIF(Impact!$D$2:$D$5883,"XXL")</f>
        <v>25</v>
      </c>
      <c r="C12" s="11" t="n">
        <f aca="false">SUMIF(Impact!$D$2:$D$5883,"XXL",Impact!$G$2:$G$5883)</f>
        <v>3130</v>
      </c>
      <c r="D12" s="11" t="n">
        <f aca="false">SUMIF(Impact!$D$2:$D$5883,"XXL",Impact!$H$2:$H$5883)</f>
        <v>4413.05</v>
      </c>
      <c r="E12" s="11" t="n">
        <f aca="false">C12-D12</f>
        <v>-1283.05</v>
      </c>
      <c r="F12" s="11" t="n">
        <f aca="false">SUMIF(Impact!$D$2:$D$5883,"XXL",Impact!$J$2:$J$5883)</f>
        <v>4615</v>
      </c>
      <c r="G12" s="11" t="n">
        <f aca="false">F12-D12</f>
        <v>201.95</v>
      </c>
    </row>
    <row r="13" customFormat="false" ht="15" hidden="false" customHeight="false" outlineLevel="0" collapsed="false">
      <c r="A13" s="2" t="s">
        <v>16</v>
      </c>
      <c r="B13" s="2" t="n">
        <f aca="false">COUNTIF(Impact!$D$2:$D$5883,"Bulky")</f>
        <v>81</v>
      </c>
      <c r="C13" s="11" t="n">
        <f aca="false">SUMIF(Impact!$D$2:$D$5883,"Bulky",Impact!$G$2:$G$5883)</f>
        <v>6644</v>
      </c>
      <c r="D13" s="11" t="n">
        <f aca="false">SUMIF(Impact!$D$2:$D$5883,"Bulky",Impact!$H$2:$H$5883)</f>
        <v>19538.16</v>
      </c>
      <c r="E13" s="11" t="n">
        <f aca="false">C13-D13</f>
        <v>-12894.16</v>
      </c>
      <c r="F13" s="11" t="n">
        <f aca="false">SUMIF(Impact!$D$2:$D$5883,"Bulky",Impact!$J$2:$J$5883)</f>
        <v>19425</v>
      </c>
      <c r="G13" s="11" t="n">
        <f aca="false">F13-D13</f>
        <v>-113.16</v>
      </c>
    </row>
    <row r="14" customFormat="false" ht="15" hidden="false" customHeight="false" outlineLevel="0" collapsed="false">
      <c r="B14" s="2"/>
      <c r="C14" s="11"/>
      <c r="D14" s="11"/>
      <c r="E14" s="11"/>
      <c r="F14" s="11"/>
      <c r="G14" s="11"/>
    </row>
    <row r="15" customFormat="false" ht="15" hidden="false" customHeight="false" outlineLevel="0" collapsed="false">
      <c r="A15" s="3" t="s">
        <v>47</v>
      </c>
      <c r="B15" s="2"/>
      <c r="C15" s="11"/>
      <c r="D15" s="11"/>
      <c r="E15" s="11"/>
      <c r="F15" s="11"/>
      <c r="G15" s="11"/>
    </row>
    <row r="16" customFormat="false" ht="15" hidden="false" customHeight="false" outlineLevel="0" collapsed="false">
      <c r="A16" s="2" t="s">
        <v>48</v>
      </c>
      <c r="B16" s="2" t="n">
        <f aca="false">COUNTIF(Impact!$C$2:$C$5883,"Metro")</f>
        <v>2671</v>
      </c>
      <c r="C16" s="11" t="n">
        <f aca="false">SUMIF(Impact!$C$2:$C$5883,"Metro",Impact!$G$2:$G$5883)</f>
        <v>39188.7</v>
      </c>
      <c r="D16" s="11" t="n">
        <f aca="false">SUMIF(Impact!$C$2:$C$5883,"Metro",Impact!$H$2:$H$5883)</f>
        <v>84408.92</v>
      </c>
      <c r="E16" s="11" t="n">
        <f aca="false">C16-D16</f>
        <v>-45220.22</v>
      </c>
      <c r="F16" s="11" t="n">
        <f aca="false">SUMIF(Impact!$C$2:$C$5883,"Metro",Impact!$J$2:$J$5883)</f>
        <v>84518</v>
      </c>
      <c r="G16" s="11" t="n">
        <f aca="false">F16-D16</f>
        <v>109.080000000002</v>
      </c>
    </row>
    <row r="17" customFormat="false" ht="15" hidden="false" customHeight="false" outlineLevel="0" collapsed="false">
      <c r="A17" s="2" t="s">
        <v>49</v>
      </c>
      <c r="B17" s="2" t="n">
        <f aca="false">COUNTIF(Impact!$C$2:$C$5883,"Metro Outer")</f>
        <v>1750</v>
      </c>
      <c r="C17" s="11" t="n">
        <f aca="false">SUMIF(Impact!$C$2:$C$5883,"Metro Outer",Impact!$G$2:$G$5883)</f>
        <v>32928.98</v>
      </c>
      <c r="D17" s="11" t="n">
        <f aca="false">SUMIF(Impact!$C$2:$C$5883,"Metro Outer",Impact!$H$2:$H$5883)</f>
        <v>77446.75</v>
      </c>
      <c r="E17" s="11" t="n">
        <f aca="false">C17-D17</f>
        <v>-44517.77</v>
      </c>
      <c r="F17" s="11" t="n">
        <f aca="false">SUMIF(Impact!$C$2:$C$5883,"Metro Outer",Impact!$J$2:$J$5883)</f>
        <v>79702.5</v>
      </c>
      <c r="G17" s="11" t="n">
        <f aca="false">F17-D17</f>
        <v>2255.75</v>
      </c>
    </row>
    <row r="18" customFormat="false" ht="15" hidden="false" customHeight="false" outlineLevel="0" collapsed="false">
      <c r="A18" s="2" t="s">
        <v>50</v>
      </c>
      <c r="B18" s="2" t="n">
        <f aca="false">COUNTIF(Impact!$C$2:$C$5883,"Regional")</f>
        <v>1461</v>
      </c>
      <c r="C18" s="11" t="n">
        <f aca="false">SUMIF(Impact!$C$2:$C$5883,"Regional",Impact!$G$2:$G$5883)</f>
        <v>42776.44</v>
      </c>
      <c r="D18" s="11" t="n">
        <f aca="false">SUMIF(Impact!$C$2:$C$5883,"Regional",Impact!$H$2:$H$5883)</f>
        <v>78684.96</v>
      </c>
      <c r="E18" s="11" t="n">
        <f aca="false">C18-D18</f>
        <v>-35908.52</v>
      </c>
      <c r="F18" s="11" t="n">
        <f aca="false">SUMIF(Impact!$C$2:$C$5883,"Regional",Impact!$J$2:$J$5883)</f>
        <v>79165</v>
      </c>
      <c r="G18" s="11" t="n">
        <f aca="false">F18-D18</f>
        <v>480.039999999994</v>
      </c>
    </row>
    <row r="19" customFormat="false" ht="15" hidden="false" customHeight="false" outlineLevel="0" collapsed="false">
      <c r="B19" s="2"/>
      <c r="C19" s="11"/>
      <c r="D19" s="11"/>
      <c r="E19" s="11"/>
      <c r="F19" s="11"/>
      <c r="G19" s="11"/>
    </row>
    <row r="20" customFormat="false" ht="15" hidden="false" customHeight="false" outlineLevel="0" collapsed="false">
      <c r="A20" s="3" t="s">
        <v>51</v>
      </c>
      <c r="B20" s="2"/>
      <c r="C20" s="11"/>
      <c r="D20" s="11"/>
      <c r="E20" s="11"/>
      <c r="F20" s="11"/>
      <c r="G20" s="11"/>
    </row>
    <row r="21" customFormat="false" ht="15" hidden="false" customHeight="false" outlineLevel="0" collapsed="false">
      <c r="A21" s="2" t="s">
        <v>52</v>
      </c>
      <c r="B21" s="2" t="n">
        <f aca="false">COUNTIF(Impact!$B$2:$B$5883,"QLD")</f>
        <v>1636</v>
      </c>
      <c r="C21" s="11" t="n">
        <f aca="false">SUMIF(Impact!$B$2:$B$5883,"QLD",Impact!$G$2:$G$5883)</f>
        <v>31332.63</v>
      </c>
      <c r="D21" s="11" t="n">
        <f aca="false">SUMIF(Impact!$B$2:$B$5883,"QLD",Impact!$H$2:$H$5883)</f>
        <v>65008.7</v>
      </c>
      <c r="E21" s="11" t="n">
        <f aca="false">C21-D21</f>
        <v>-33676.07</v>
      </c>
      <c r="F21" s="11" t="n">
        <f aca="false">SUMIF(Impact!$B$2:$B$5883,"QLD",Impact!$J$2:$J$5883)</f>
        <v>66398.5</v>
      </c>
      <c r="G21" s="11" t="n">
        <f aca="false">F21-D21</f>
        <v>1389.8</v>
      </c>
    </row>
    <row r="22" customFormat="false" ht="15" hidden="false" customHeight="false" outlineLevel="0" collapsed="false">
      <c r="A22" s="2" t="s">
        <v>53</v>
      </c>
      <c r="B22" s="2" t="n">
        <f aca="false">COUNTIF(Impact!$B$2:$B$5883,"NSW")</f>
        <v>1735</v>
      </c>
      <c r="C22" s="11" t="n">
        <f aca="false">SUMIF(Impact!$B$2:$B$5883,"NSW",Impact!$G$2:$G$5883)</f>
        <v>31503</v>
      </c>
      <c r="D22" s="11" t="n">
        <f aca="false">SUMIF(Impact!$B$2:$B$5883,"NSW",Impact!$H$2:$H$5883)</f>
        <v>63242.37</v>
      </c>
      <c r="E22" s="11" t="n">
        <f aca="false">C22-D22</f>
        <v>-31739.37</v>
      </c>
      <c r="F22" s="11" t="n">
        <f aca="false">SUMIF(Impact!$B$2:$B$5883,"NSW",Impact!$J$2:$J$5883)</f>
        <v>64194</v>
      </c>
      <c r="G22" s="11" t="n">
        <f aca="false">F22-D22</f>
        <v>951.629999999997</v>
      </c>
    </row>
    <row r="23" customFormat="false" ht="15" hidden="false" customHeight="false" outlineLevel="0" collapsed="false">
      <c r="A23" s="2" t="s">
        <v>54</v>
      </c>
      <c r="B23" s="2" t="n">
        <f aca="false">COUNTIF(Impact!$B$2:$B$5883,"VIC")</f>
        <v>1154</v>
      </c>
      <c r="C23" s="11" t="n">
        <f aca="false">SUMIF(Impact!$B$2:$B$5883,"VIC",Impact!$G$2:$G$5883)</f>
        <v>21504</v>
      </c>
      <c r="D23" s="11" t="n">
        <f aca="false">SUMIF(Impact!$B$2:$B$5883,"VIC",Impact!$H$2:$H$5883)</f>
        <v>49083.33</v>
      </c>
      <c r="E23" s="11" t="n">
        <f aca="false">C23-D23</f>
        <v>-27579.33</v>
      </c>
      <c r="F23" s="11" t="n">
        <f aca="false">SUMIF(Impact!$B$2:$B$5883,"VIC",Impact!$J$2:$J$5883)</f>
        <v>50927.5</v>
      </c>
      <c r="G23" s="11" t="n">
        <f aca="false">F23-D23</f>
        <v>1844.17</v>
      </c>
    </row>
    <row r="24" customFormat="false" ht="15" hidden="false" customHeight="false" outlineLevel="0" collapsed="false">
      <c r="A24" s="2" t="s">
        <v>55</v>
      </c>
      <c r="B24" s="2" t="n">
        <f aca="false">COUNTIF(Impact!$B$2:$B$5883,"SA")</f>
        <v>520</v>
      </c>
      <c r="C24" s="11" t="n">
        <f aca="false">SUMIF(Impact!$B$2:$B$5883,"SA",Impact!$G$2:$G$5883)</f>
        <v>12112.99</v>
      </c>
      <c r="D24" s="11" t="n">
        <f aca="false">SUMIF(Impact!$B$2:$B$5883,"SA",Impact!$H$2:$H$5883)</f>
        <v>21825.77</v>
      </c>
      <c r="E24" s="11" t="n">
        <f aca="false">C24-D24</f>
        <v>-9712.78</v>
      </c>
      <c r="F24" s="11" t="n">
        <f aca="false">SUMIF(Impact!$B$2:$B$5883,"SA",Impact!$J$2:$J$5883)</f>
        <v>23232.5</v>
      </c>
      <c r="G24" s="11" t="n">
        <f aca="false">F24-D24</f>
        <v>1406.73</v>
      </c>
    </row>
    <row r="25" customFormat="false" ht="15" hidden="false" customHeight="false" outlineLevel="0" collapsed="false">
      <c r="A25" s="2" t="s">
        <v>56</v>
      </c>
      <c r="B25" s="2" t="n">
        <f aca="false">COUNTIF(Impact!$B$2:$B$5883,"WA")</f>
        <v>599</v>
      </c>
      <c r="C25" s="11" t="n">
        <f aca="false">SUMIF(Impact!$B$2:$B$5883,"WA",Impact!$G$2:$G$5883)</f>
        <v>13897</v>
      </c>
      <c r="D25" s="11" t="n">
        <f aca="false">SUMIF(Impact!$B$2:$B$5883,"WA",Impact!$H$2:$H$5883)</f>
        <v>29455.45</v>
      </c>
      <c r="E25" s="11" t="n">
        <f aca="false">C25-D25</f>
        <v>-15558.45</v>
      </c>
      <c r="F25" s="11" t="n">
        <f aca="false">SUMIF(Impact!$B$2:$B$5883,"WA",Impact!$J$2:$J$5883)</f>
        <v>26758.5</v>
      </c>
      <c r="G25" s="11" t="n">
        <f aca="false">F25-D25</f>
        <v>-2696.95</v>
      </c>
    </row>
    <row r="26" customFormat="false" ht="15" hidden="false" customHeight="false" outlineLevel="0" collapsed="false">
      <c r="A26" s="2" t="s">
        <v>57</v>
      </c>
      <c r="B26" s="2" t="n">
        <f aca="false">COUNTIF(Impact!$B$2:$B$5883,"TAS")</f>
        <v>137</v>
      </c>
      <c r="C26" s="11" t="n">
        <f aca="false">SUMIF(Impact!$B$2:$B$5883,"TAS",Impact!$G$2:$G$5883)</f>
        <v>2712</v>
      </c>
      <c r="D26" s="11" t="n">
        <f aca="false">SUMIF(Impact!$B$2:$B$5883,"TAS",Impact!$H$2:$H$5883)</f>
        <v>7001.57</v>
      </c>
      <c r="E26" s="11" t="n">
        <f aca="false">C26-D26</f>
        <v>-4289.57</v>
      </c>
      <c r="F26" s="11" t="n">
        <f aca="false">SUMIF(Impact!$B$2:$B$5883,"TAS",Impact!$J$2:$J$5883)</f>
        <v>6360.5</v>
      </c>
      <c r="G26" s="11" t="n">
        <f aca="false">F26-D26</f>
        <v>-641.07</v>
      </c>
    </row>
    <row r="27" customFormat="false" ht="15" hidden="false" customHeight="false" outlineLevel="0" collapsed="false">
      <c r="A27" s="2" t="s">
        <v>58</v>
      </c>
      <c r="B27" s="2" t="n">
        <f aca="false">COUNTIF(Impact!$B$2:$B$5883,"ACT")</f>
        <v>101</v>
      </c>
      <c r="C27" s="11" t="n">
        <f aca="false">SUMIF(Impact!$B$2:$B$5883,"ACT",Impact!$G$2:$G$5883)</f>
        <v>1832.5</v>
      </c>
      <c r="D27" s="11" t="n">
        <f aca="false">SUMIF(Impact!$B$2:$B$5883,"ACT",Impact!$H$2:$H$5883)</f>
        <v>4923.44</v>
      </c>
      <c r="E27" s="11" t="n">
        <f aca="false">C27-D27</f>
        <v>-3090.94</v>
      </c>
      <c r="F27" s="11" t="n">
        <f aca="false">SUMIF(Impact!$B$2:$B$5883,"ACT",Impact!$J$2:$J$5883)</f>
        <v>5514</v>
      </c>
      <c r="G27" s="11" t="n">
        <f aca="false">F27-D27</f>
        <v>590.56</v>
      </c>
    </row>
    <row r="29" customFormat="false" ht="15" hidden="false" customHeight="false" outlineLevel="0" collapsed="false">
      <c r="A29" s="3" t="s">
        <v>59</v>
      </c>
    </row>
    <row r="30" customFormat="false" ht="15" hidden="false" customHeight="false" outlineLevel="0" collapsed="false">
      <c r="A30" s="12" t="s">
        <v>60</v>
      </c>
      <c r="B30" s="12" t="s">
        <v>61</v>
      </c>
      <c r="C30" s="12" t="s">
        <v>62</v>
      </c>
      <c r="D30" s="12" t="s">
        <v>63</v>
      </c>
      <c r="E30" s="12" t="s">
        <v>64</v>
      </c>
      <c r="F30" s="12" t="s">
        <v>65</v>
      </c>
      <c r="G30" s="12" t="s">
        <v>66</v>
      </c>
    </row>
    <row r="31" customFormat="false" ht="15" hidden="false" customHeight="false" outlineLevel="0" collapsed="false">
      <c r="A31" s="2" t="s">
        <v>10</v>
      </c>
      <c r="B31" s="13" t="n">
        <v>9.5</v>
      </c>
      <c r="C31" s="13" t="n">
        <f aca="false">MEDIAN('Cost model'!M74,'Cost model'!M200,'Cost model'!M380,'Cost model'!M506,'Cost model'!M632,'Cost model'!M758,'Cost model'!M884)</f>
        <v>8.5</v>
      </c>
      <c r="D31" s="13" t="n">
        <v>12.5</v>
      </c>
      <c r="E31" s="13" t="n">
        <f aca="false">MEDIAN('Cost model'!M75,'Cost model'!M201,'Cost model'!M381,'Cost model'!M507,'Cost model'!M633,'Cost model'!M759,'Cost model'!M885)</f>
        <v>13.5</v>
      </c>
      <c r="F31" s="13" t="n">
        <v>17.5</v>
      </c>
      <c r="G31" s="13" t="n">
        <f aca="false">MEDIAN('Cost model'!M76,'Cost model'!M202,'Cost model'!M382,'Cost model'!M508,'Cost model'!M634,'Cost model'!M760,'Cost model'!M886)</f>
        <v>18.5</v>
      </c>
    </row>
    <row r="32" customFormat="false" ht="15" hidden="false" customHeight="false" outlineLevel="0" collapsed="false">
      <c r="A32" s="2" t="s">
        <v>12</v>
      </c>
      <c r="B32" s="13" t="n">
        <v>9.5</v>
      </c>
      <c r="C32" s="13" t="n">
        <f aca="false">MEDIAN('Cost model'!M77,'Cost model'!M203,'Cost model'!M383,'Cost model'!M509,'Cost model'!M635,'Cost model'!M761,'Cost model'!M887)</f>
        <v>27.5</v>
      </c>
      <c r="D32" s="13" t="n">
        <v>12.5</v>
      </c>
      <c r="E32" s="13" t="n">
        <f aca="false">MEDIAN('Cost model'!M78,'Cost model'!M204,'Cost model'!M384,'Cost model'!M510,'Cost model'!M636,'Cost model'!M762,'Cost model'!M888)</f>
        <v>45</v>
      </c>
      <c r="F32" s="13" t="n">
        <v>19.5</v>
      </c>
      <c r="G32" s="13" t="n">
        <f aca="false">MEDIAN('Cost model'!M79,'Cost model'!M205,'Cost model'!M385,'Cost model'!M511,'Cost model'!M637,'Cost model'!M763,'Cost model'!M889)</f>
        <v>55</v>
      </c>
    </row>
    <row r="33" customFormat="false" ht="15" hidden="false" customHeight="false" outlineLevel="0" collapsed="false">
      <c r="A33" s="2" t="s">
        <v>13</v>
      </c>
      <c r="B33" s="13" t="n">
        <v>19</v>
      </c>
      <c r="C33" s="13" t="n">
        <f aca="false">MEDIAN('Cost model'!M80,'Cost model'!M206,'Cost model'!M386,'Cost model'!M512,'Cost model'!M638,'Cost model'!M764,'Cost model'!M890)</f>
        <v>55</v>
      </c>
      <c r="D33" s="13" t="n">
        <v>24.5</v>
      </c>
      <c r="E33" s="13" t="n">
        <f aca="false">MEDIAN('Cost model'!M81,'Cost model'!M207,'Cost model'!M387,'Cost model'!M513,'Cost model'!M639,'Cost model'!M765,'Cost model'!M891)</f>
        <v>75</v>
      </c>
      <c r="F33" s="13" t="n">
        <v>50</v>
      </c>
      <c r="G33" s="13" t="n">
        <f aca="false">MEDIAN('Cost model'!M82,'Cost model'!M208,'Cost model'!M388,'Cost model'!M514,'Cost model'!M640,'Cost model'!M766,'Cost model'!M892)</f>
        <v>110</v>
      </c>
    </row>
    <row r="34" customFormat="false" ht="15" hidden="false" customHeight="false" outlineLevel="0" collapsed="false">
      <c r="A34" s="2" t="s">
        <v>14</v>
      </c>
      <c r="B34" s="13" t="n">
        <v>25</v>
      </c>
      <c r="C34" s="13" t="n">
        <f aca="false">MEDIAN('Cost model'!M83,'Cost model'!M209,'Cost model'!M389,'Cost model'!M515,'Cost model'!M641,'Cost model'!M767,'Cost model'!M893)</f>
        <v>105</v>
      </c>
      <c r="D34" s="13" t="n">
        <v>45</v>
      </c>
      <c r="E34" s="13" t="n">
        <f aca="false">MEDIAN('Cost model'!M84,'Cost model'!M210,'Cost model'!M390,'Cost model'!M516,'Cost model'!M642,'Cost model'!M768,'Cost model'!M894)</f>
        <v>135</v>
      </c>
      <c r="F34" s="13" t="n">
        <v>85</v>
      </c>
      <c r="G34" s="13" t="n">
        <f aca="false">MEDIAN('Cost model'!M85,'Cost model'!M211,'Cost model'!M391,'Cost model'!M517,'Cost model'!M643,'Cost model'!M769,'Cost model'!M895)</f>
        <v>175</v>
      </c>
    </row>
    <row r="35" customFormat="false" ht="15" hidden="false" customHeight="false" outlineLevel="0" collapsed="false">
      <c r="A35" s="2" t="s">
        <v>15</v>
      </c>
      <c r="B35" s="13" t="n">
        <v>45</v>
      </c>
      <c r="C35" s="13" t="n">
        <f aca="false">MEDIAN('Cost model'!M86,'Cost model'!M212,'Cost model'!M392,'Cost model'!M518,'Cost model'!M644,'Cost model'!M770,'Cost model'!M896)</f>
        <v>125</v>
      </c>
      <c r="D35" s="13" t="n">
        <v>85</v>
      </c>
      <c r="E35" s="13" t="n">
        <f aca="false">MEDIAN('Cost model'!M87,'Cost model'!M213,'Cost model'!M393,'Cost model'!M519,'Cost model'!M645,'Cost model'!M771,'Cost model'!M897)</f>
        <v>160</v>
      </c>
      <c r="F35" s="13" t="n">
        <v>250</v>
      </c>
      <c r="G35" s="13" t="n">
        <f aca="false">MEDIAN('Cost model'!M88,'Cost model'!M214,'Cost model'!M394,'Cost model'!M520,'Cost model'!M646,'Cost model'!M772,'Cost model'!M898)</f>
        <v>250</v>
      </c>
    </row>
    <row r="36" customFormat="false" ht="15" hidden="false" customHeight="false" outlineLevel="0" collapsed="false">
      <c r="A36" s="2" t="s">
        <v>67</v>
      </c>
      <c r="B36" s="13" t="n">
        <v>45</v>
      </c>
      <c r="C36" s="13" t="n">
        <f aca="false">MEDIAN('Cost model'!M89,'Cost model'!M215,'Cost model'!M395,'Cost model'!M521,'Cost model'!M647,'Cost model'!M773,'Cost model'!M899)</f>
        <v>135</v>
      </c>
      <c r="D36" s="13" t="n">
        <v>85</v>
      </c>
      <c r="E36" s="13" t="n">
        <f aca="false">MEDIAN('Cost model'!M90,'Cost model'!M216,'Cost model'!M396,'Cost model'!M522,'Cost model'!M648,'Cost model'!M774,'Cost model'!M900)</f>
        <v>225</v>
      </c>
      <c r="F36" s="13" t="n">
        <v>250</v>
      </c>
      <c r="G36" s="13" t="n">
        <f aca="false">MEDIAN('Cost model'!M91,'Cost model'!M217,'Cost model'!M397,'Cost model'!M523,'Cost model'!M649,'Cost model'!M775,'Cost model'!M901)</f>
        <v>295</v>
      </c>
    </row>
    <row r="38" customFormat="false" ht="15" hidden="false" customHeight="false" outlineLevel="0" collapsed="false">
      <c r="A38" s="3" t="s">
        <v>68</v>
      </c>
    </row>
    <row r="39" customFormat="false" ht="15" hidden="false" customHeight="false" outlineLevel="0" collapsed="false">
      <c r="A39" s="12"/>
      <c r="B39" s="12" t="s">
        <v>39</v>
      </c>
      <c r="C39" s="12" t="s">
        <v>48</v>
      </c>
      <c r="D39" s="12" t="s">
        <v>69</v>
      </c>
      <c r="E39" s="12" t="s">
        <v>50</v>
      </c>
    </row>
    <row r="40" customFormat="false" ht="15" hidden="false" customHeight="false" outlineLevel="0" collapsed="false">
      <c r="A40" s="2" t="s">
        <v>70</v>
      </c>
      <c r="B40" s="2" t="n">
        <v>437</v>
      </c>
      <c r="C40" s="14" t="n">
        <v>11.22</v>
      </c>
      <c r="D40" s="14" t="n">
        <v>21.12</v>
      </c>
      <c r="E40" s="14" t="n">
        <v>30.7</v>
      </c>
    </row>
    <row r="41" customFormat="false" ht="15" hidden="false" customHeight="false" outlineLevel="0" collapsed="false">
      <c r="A41" s="2" t="s">
        <v>71</v>
      </c>
      <c r="B41" s="2" t="n">
        <v>1356</v>
      </c>
      <c r="C41" s="14" t="n">
        <v>31.31</v>
      </c>
      <c r="D41" s="14" t="n">
        <v>50.16</v>
      </c>
      <c r="E41" s="14" t="n">
        <v>52.68</v>
      </c>
    </row>
    <row r="42" customFormat="false" ht="15" hidden="false" customHeight="false" outlineLevel="0" collapsed="false">
      <c r="A42" s="2" t="s">
        <v>72</v>
      </c>
      <c r="B42" s="2" t="n">
        <v>189</v>
      </c>
      <c r="C42" s="14" t="n">
        <v>25.46</v>
      </c>
      <c r="D42" s="14" t="n">
        <v>30.96</v>
      </c>
      <c r="E42" s="14" t="n">
        <v>37.56</v>
      </c>
    </row>
    <row r="43" customFormat="false" ht="15" hidden="false" customHeight="false" outlineLevel="0" collapsed="false">
      <c r="A43" s="2" t="s">
        <v>73</v>
      </c>
      <c r="B43" s="2" t="n">
        <v>534</v>
      </c>
      <c r="C43" s="14" t="n">
        <v>55.99</v>
      </c>
      <c r="D43" s="14" t="n">
        <v>60.24</v>
      </c>
      <c r="E43" s="14" t="n">
        <v>66.2</v>
      </c>
    </row>
    <row r="44" customFormat="false" ht="15" hidden="false" customHeight="false" outlineLevel="0" collapsed="false">
      <c r="A44" s="5"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75</v>
      </c>
    </row>
    <row r="3" customFormat="false" ht="15" hidden="false" customHeight="false" outlineLevel="0" collapsed="false">
      <c r="A3" s="3" t="s">
        <v>76</v>
      </c>
      <c r="B3" s="3" t="s">
        <v>77</v>
      </c>
      <c r="F3" s="3" t="s">
        <v>78</v>
      </c>
      <c r="J3" s="3" t="s">
        <v>79</v>
      </c>
      <c r="N3" s="3" t="s">
        <v>80</v>
      </c>
      <c r="R3" s="3" t="s">
        <v>81</v>
      </c>
      <c r="V3" s="3" t="s">
        <v>82</v>
      </c>
      <c r="Z3" s="3" t="s">
        <v>83</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model'!M2</f>
        <v>14.5</v>
      </c>
      <c r="C5" s="16" t="n">
        <f aca="false">'Cost model'!M3</f>
        <v>14.5</v>
      </c>
      <c r="D5" s="16" t="n">
        <f aca="false">'Cost model'!M4</f>
        <v>19.5</v>
      </c>
      <c r="F5" s="16" t="n">
        <f aca="false">'Cost model'!M20</f>
        <v>13.5</v>
      </c>
      <c r="G5" s="16" t="n">
        <f aca="false">'Cost model'!M21</f>
        <v>15.5</v>
      </c>
      <c r="H5" s="16" t="n">
        <f aca="false">'Cost model'!M22</f>
        <v>19.5</v>
      </c>
      <c r="J5" s="16" t="n">
        <f aca="false">'Cost model'!M38</f>
        <v>13.5</v>
      </c>
      <c r="K5" s="16" t="n">
        <f aca="false">'Cost model'!M39</f>
        <v>14.5</v>
      </c>
      <c r="L5" s="16" t="n">
        <f aca="false">'Cost model'!M40</f>
        <v>19.5</v>
      </c>
      <c r="N5" s="16" t="n">
        <f aca="false">'Cost model'!M56</f>
        <v>11.5</v>
      </c>
      <c r="O5" s="16" t="n">
        <f aca="false">'Cost model'!M57</f>
        <v>13.5</v>
      </c>
      <c r="P5" s="16" t="n">
        <f aca="false">'Cost model'!M58</f>
        <v>18.5</v>
      </c>
      <c r="R5" s="16" t="n">
        <f aca="false">'Cost model'!M74</f>
        <v>21.5</v>
      </c>
      <c r="S5" s="16" t="n">
        <f aca="false">'Cost model'!M75</f>
        <v>35</v>
      </c>
      <c r="T5" s="16" t="n">
        <f aca="false">'Cost model'!M76</f>
        <v>40</v>
      </c>
      <c r="V5" s="16" t="n">
        <f aca="false">'Cost model'!M92</f>
        <v>13.5</v>
      </c>
      <c r="W5" s="16" t="n">
        <f aca="false">'Cost model'!M93</f>
        <v>15.5</v>
      </c>
      <c r="X5" s="16" t="n">
        <f aca="false">'Cost model'!M94</f>
        <v>20.5</v>
      </c>
      <c r="Z5" s="16" t="n">
        <f aca="false">'Cost model'!M110</f>
        <v>13.5</v>
      </c>
      <c r="AA5" s="16" t="n">
        <f aca="false">'Cost model'!M111</f>
        <v>16.5</v>
      </c>
      <c r="AB5" s="16" t="n">
        <f aca="false">'Cost model'!M112</f>
        <v>21.5</v>
      </c>
    </row>
    <row r="6" customFormat="false" ht="15" hidden="false" customHeight="false" outlineLevel="0" collapsed="false">
      <c r="A6" s="3" t="s">
        <v>12</v>
      </c>
      <c r="B6" s="16" t="n">
        <f aca="false">'Cost model'!M5</f>
        <v>50</v>
      </c>
      <c r="C6" s="16" t="n">
        <f aca="false">'Cost model'!M6</f>
        <v>50</v>
      </c>
      <c r="D6" s="16" t="n">
        <f aca="false">'Cost model'!M7</f>
        <v>60</v>
      </c>
      <c r="F6" s="16" t="n">
        <f aca="false">'Cost model'!M23</f>
        <v>55</v>
      </c>
      <c r="G6" s="16" t="n">
        <f aca="false">'Cost model'!M24</f>
        <v>55</v>
      </c>
      <c r="H6" s="16" t="n">
        <f aca="false">'Cost model'!M25</f>
        <v>60</v>
      </c>
      <c r="J6" s="16" t="n">
        <f aca="false">'Cost model'!M41</f>
        <v>45</v>
      </c>
      <c r="K6" s="16" t="n">
        <f aca="false">'Cost model'!M42</f>
        <v>50</v>
      </c>
      <c r="L6" s="16" t="n">
        <f aca="false">'Cost model'!M43</f>
        <v>60</v>
      </c>
      <c r="N6" s="16" t="n">
        <f aca="false">'Cost model'!M59</f>
        <v>45</v>
      </c>
      <c r="O6" s="16" t="n">
        <f aca="false">'Cost model'!M60</f>
        <v>50</v>
      </c>
      <c r="P6" s="16" t="n">
        <f aca="false">'Cost model'!M61</f>
        <v>55</v>
      </c>
      <c r="R6" s="16" t="n">
        <f aca="false">'Cost model'!M77</f>
        <v>50</v>
      </c>
      <c r="S6" s="16" t="n">
        <f aca="false">'Cost model'!M78</f>
        <v>100</v>
      </c>
      <c r="T6" s="16" t="n">
        <f aca="false">'Cost model'!M79</f>
        <v>115</v>
      </c>
      <c r="V6" s="16" t="n">
        <f aca="false">'Cost model'!M95</f>
        <v>50</v>
      </c>
      <c r="W6" s="16" t="n">
        <f aca="false">'Cost model'!M96</f>
        <v>55</v>
      </c>
      <c r="X6" s="16" t="n">
        <f aca="false">'Cost model'!M97</f>
        <v>60</v>
      </c>
      <c r="Z6" s="16" t="n">
        <f aca="false">'Cost model'!M113</f>
        <v>50</v>
      </c>
      <c r="AA6" s="16" t="n">
        <f aca="false">'Cost model'!M114</f>
        <v>55</v>
      </c>
      <c r="AB6" s="16" t="n">
        <f aca="false">'Cost model'!M115</f>
        <v>65</v>
      </c>
    </row>
    <row r="7" customFormat="false" ht="15" hidden="false" customHeight="false" outlineLevel="0" collapsed="false">
      <c r="A7" s="3" t="s">
        <v>13</v>
      </c>
      <c r="B7" s="16" t="n">
        <f aca="false">'Cost model'!M8</f>
        <v>80</v>
      </c>
      <c r="C7" s="16" t="n">
        <f aca="false">'Cost model'!M9</f>
        <v>90</v>
      </c>
      <c r="D7" s="16" t="n">
        <f aca="false">'Cost model'!M10</f>
        <v>120</v>
      </c>
      <c r="F7" s="16" t="n">
        <f aca="false">'Cost model'!M26</f>
        <v>85</v>
      </c>
      <c r="G7" s="16" t="n">
        <f aca="false">'Cost model'!M27</f>
        <v>95</v>
      </c>
      <c r="H7" s="16" t="n">
        <f aca="false">'Cost model'!M28</f>
        <v>125</v>
      </c>
      <c r="J7" s="16" t="n">
        <f aca="false">'Cost model'!M44</f>
        <v>80</v>
      </c>
      <c r="K7" s="16" t="n">
        <f aca="false">'Cost model'!M45</f>
        <v>90</v>
      </c>
      <c r="L7" s="16" t="n">
        <f aca="false">'Cost model'!M46</f>
        <v>120</v>
      </c>
      <c r="N7" s="16" t="n">
        <f aca="false">'Cost model'!M62</f>
        <v>80</v>
      </c>
      <c r="O7" s="16" t="n">
        <f aca="false">'Cost model'!M63</f>
        <v>85</v>
      </c>
      <c r="P7" s="16" t="n">
        <f aca="false">'Cost model'!M64</f>
        <v>115</v>
      </c>
      <c r="R7" s="16" t="n">
        <f aca="false">'Cost model'!M80</f>
        <v>115</v>
      </c>
      <c r="S7" s="16" t="n">
        <f aca="false">'Cost model'!M81</f>
        <v>180</v>
      </c>
      <c r="T7" s="16" t="n">
        <f aca="false">'Cost model'!M82</f>
        <v>225</v>
      </c>
      <c r="V7" s="16" t="n">
        <f aca="false">'Cost model'!M98</f>
        <v>85</v>
      </c>
      <c r="W7" s="16" t="n">
        <f aca="false">'Cost model'!M99</f>
        <v>95</v>
      </c>
      <c r="X7" s="16" t="n">
        <f aca="false">'Cost model'!M100</f>
        <v>125</v>
      </c>
      <c r="Z7" s="16" t="n">
        <f aca="false">'Cost model'!M116</f>
        <v>90</v>
      </c>
      <c r="AA7" s="16" t="n">
        <f aca="false">'Cost model'!M117</f>
        <v>100</v>
      </c>
      <c r="AB7" s="16" t="n">
        <f aca="false">'Cost model'!M118</f>
        <v>130</v>
      </c>
    </row>
    <row r="8" customFormat="false" ht="15" hidden="false" customHeight="false" outlineLevel="0" collapsed="false">
      <c r="A8" s="3" t="s">
        <v>14</v>
      </c>
      <c r="B8" s="16" t="n">
        <f aca="false">'Cost model'!M11</f>
        <v>135</v>
      </c>
      <c r="C8" s="16" t="n">
        <f aca="false">'Cost model'!M12</f>
        <v>165</v>
      </c>
      <c r="D8" s="16" t="n">
        <f aca="false">'Cost model'!M13</f>
        <v>200</v>
      </c>
      <c r="F8" s="16" t="n">
        <f aca="false">'Cost model'!M29</f>
        <v>140</v>
      </c>
      <c r="G8" s="16" t="n">
        <f aca="false">'Cost model'!M30</f>
        <v>170</v>
      </c>
      <c r="H8" s="16" t="n">
        <f aca="false">'Cost model'!M31</f>
        <v>205</v>
      </c>
      <c r="J8" s="16" t="n">
        <f aca="false">'Cost model'!M47</f>
        <v>135</v>
      </c>
      <c r="K8" s="16" t="n">
        <f aca="false">'Cost model'!M48</f>
        <v>165</v>
      </c>
      <c r="L8" s="16" t="n">
        <f aca="false">'Cost model'!M49</f>
        <v>195</v>
      </c>
      <c r="N8" s="16" t="n">
        <f aca="false">'Cost model'!M65</f>
        <v>130</v>
      </c>
      <c r="O8" s="16" t="n">
        <f aca="false">'Cost model'!M66</f>
        <v>155</v>
      </c>
      <c r="P8" s="16" t="n">
        <f aca="false">'Cost model'!M67</f>
        <v>185</v>
      </c>
      <c r="R8" s="16" t="n">
        <f aca="false">'Cost model'!M83</f>
        <v>210</v>
      </c>
      <c r="S8" s="16" t="n">
        <f aca="false">'Cost model'!M84</f>
        <v>295</v>
      </c>
      <c r="T8" s="16" t="n">
        <f aca="false">'Cost model'!M85</f>
        <v>445</v>
      </c>
      <c r="V8" s="16" t="n">
        <f aca="false">'Cost model'!M101</f>
        <v>140</v>
      </c>
      <c r="W8" s="16" t="n">
        <f aca="false">'Cost model'!M102</f>
        <v>170</v>
      </c>
      <c r="X8" s="16" t="n">
        <f aca="false">'Cost model'!M103</f>
        <v>205</v>
      </c>
      <c r="Z8" s="16" t="n">
        <f aca="false">'Cost model'!M119</f>
        <v>150</v>
      </c>
      <c r="AA8" s="16" t="n">
        <f aca="false">'Cost model'!M120</f>
        <v>180</v>
      </c>
      <c r="AB8" s="16" t="n">
        <f aca="false">'Cost model'!M121</f>
        <v>215</v>
      </c>
    </row>
    <row r="9" customFormat="false" ht="15" hidden="false" customHeight="false" outlineLevel="0" collapsed="false">
      <c r="A9" s="3" t="s">
        <v>15</v>
      </c>
      <c r="B9" s="16" t="n">
        <f aca="false">'Cost model'!M14</f>
        <v>175</v>
      </c>
      <c r="C9" s="17" t="n">
        <f aca="false">'Cost model'!M15</f>
        <v>260</v>
      </c>
      <c r="D9" s="17" t="n">
        <f aca="false">'Cost model'!M16</f>
        <v>310</v>
      </c>
      <c r="F9" s="16" t="n">
        <f aca="false">'Cost model'!M32</f>
        <v>180</v>
      </c>
      <c r="G9" s="17" t="n">
        <f aca="false">'Cost model'!M33</f>
        <v>265</v>
      </c>
      <c r="H9" s="17" t="n">
        <f aca="false">'Cost model'!M34</f>
        <v>320</v>
      </c>
      <c r="J9" s="16" t="n">
        <f aca="false">'Cost model'!M50</f>
        <v>175</v>
      </c>
      <c r="K9" s="17" t="n">
        <f aca="false">'Cost model'!M51</f>
        <v>260</v>
      </c>
      <c r="L9" s="17" t="n">
        <f aca="false">'Cost model'!M52</f>
        <v>310</v>
      </c>
      <c r="N9" s="16" t="n">
        <f aca="false">'Cost model'!M68</f>
        <v>165</v>
      </c>
      <c r="O9" s="17" t="n">
        <f aca="false">'Cost model'!M69</f>
        <v>240</v>
      </c>
      <c r="P9" s="17" t="n">
        <f aca="false">'Cost model'!M70</f>
        <v>290</v>
      </c>
      <c r="R9" s="16" t="n">
        <f aca="false">'Cost model'!M86</f>
        <v>265</v>
      </c>
      <c r="S9" s="16" t="n">
        <f aca="false">'Cost model'!M87</f>
        <v>380</v>
      </c>
      <c r="T9" s="16" t="n">
        <f aca="false">'Cost model'!M88</f>
        <v>565</v>
      </c>
      <c r="V9" s="16" t="n">
        <f aca="false">'Cost model'!M104</f>
        <v>180</v>
      </c>
      <c r="W9" s="17" t="n">
        <f aca="false">'Cost model'!M105</f>
        <v>265</v>
      </c>
      <c r="X9" s="17" t="n">
        <f aca="false">'Cost model'!M106</f>
        <v>320</v>
      </c>
      <c r="Z9" s="16" t="n">
        <f aca="false">'Cost model'!M122</f>
        <v>190</v>
      </c>
      <c r="AA9" s="17" t="n">
        <f aca="false">'Cost model'!M123</f>
        <v>285</v>
      </c>
      <c r="AB9" s="17" t="n">
        <f aca="false">'Cost model'!M124</f>
        <v>340</v>
      </c>
    </row>
    <row r="10" customFormat="false" ht="15" hidden="false" customHeight="false" outlineLevel="0" collapsed="false">
      <c r="A10" s="3" t="s">
        <v>16</v>
      </c>
      <c r="B10" s="16" t="n">
        <f aca="false">'Cost model'!M17</f>
        <v>240</v>
      </c>
      <c r="C10" s="17" t="n">
        <f aca="false">'Cost model'!M18</f>
        <v>375</v>
      </c>
      <c r="D10" s="17" t="n">
        <f aca="false">'Cost model'!M19</f>
        <v>435</v>
      </c>
      <c r="F10" s="16" t="n">
        <f aca="false">'Cost model'!M35</f>
        <v>245</v>
      </c>
      <c r="G10" s="17" t="n">
        <f aca="false">'Cost model'!M36</f>
        <v>380</v>
      </c>
      <c r="H10" s="17" t="n">
        <f aca="false">'Cost model'!M37</f>
        <v>445</v>
      </c>
      <c r="J10" s="16" t="n">
        <f aca="false">'Cost model'!M53</f>
        <v>240</v>
      </c>
      <c r="K10" s="17" t="n">
        <f aca="false">'Cost model'!M54</f>
        <v>370</v>
      </c>
      <c r="L10" s="17" t="n">
        <f aca="false">'Cost model'!M55</f>
        <v>435</v>
      </c>
      <c r="N10" s="16" t="n">
        <f aca="false">'Cost model'!M71</f>
        <v>225</v>
      </c>
      <c r="O10" s="17" t="n">
        <f aca="false">'Cost model'!M72</f>
        <v>350</v>
      </c>
      <c r="P10" s="17" t="n">
        <f aca="false">'Cost model'!M73</f>
        <v>410</v>
      </c>
      <c r="R10" s="16" t="n">
        <f aca="false">'Cost model'!M89</f>
        <v>290</v>
      </c>
      <c r="S10" s="16" t="n">
        <f aca="false">'Cost model'!M90</f>
        <v>520</v>
      </c>
      <c r="T10" s="16" t="n">
        <f aca="false">'Cost model'!M91</f>
        <v>680</v>
      </c>
      <c r="V10" s="16" t="n">
        <f aca="false">'Cost model'!M107</f>
        <v>250</v>
      </c>
      <c r="W10" s="17" t="n">
        <f aca="false">'Cost model'!M108</f>
        <v>385</v>
      </c>
      <c r="X10" s="17" t="n">
        <f aca="false">'Cost model'!M109</f>
        <v>450</v>
      </c>
      <c r="Z10" s="16" t="n">
        <f aca="false">'Cost model'!M125</f>
        <v>265</v>
      </c>
      <c r="AA10" s="17" t="n">
        <f aca="false">'Cost model'!M126</f>
        <v>410</v>
      </c>
      <c r="AB10" s="17" t="n">
        <f aca="false">'Cost model'!M127</f>
        <v>475</v>
      </c>
    </row>
    <row r="12" customFormat="false" ht="15" hidden="false" customHeight="false" outlineLevel="0" collapsed="false">
      <c r="A12" s="3" t="s">
        <v>85</v>
      </c>
      <c r="B12" s="3" t="s">
        <v>77</v>
      </c>
      <c r="F12" s="3" t="s">
        <v>78</v>
      </c>
      <c r="J12" s="3" t="s">
        <v>79</v>
      </c>
      <c r="N12" s="3" t="s">
        <v>80</v>
      </c>
      <c r="R12" s="3" t="s">
        <v>81</v>
      </c>
      <c r="V12" s="3" t="s">
        <v>82</v>
      </c>
      <c r="Z12" s="3" t="s">
        <v>83</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model'!N2</f>
        <v>19.5</v>
      </c>
      <c r="C14" s="16" t="n">
        <f aca="false">'Cost model'!N3</f>
        <v>19.5</v>
      </c>
      <c r="D14" s="16" t="n">
        <f aca="false">'Cost model'!N4</f>
        <v>26.5</v>
      </c>
      <c r="F14" s="16" t="n">
        <f aca="false">'Cost model'!N20</f>
        <v>18.5</v>
      </c>
      <c r="G14" s="16" t="n">
        <f aca="false">'Cost model'!N21</f>
        <v>21.5</v>
      </c>
      <c r="H14" s="16" t="n">
        <f aca="false">'Cost model'!N22</f>
        <v>26.5</v>
      </c>
      <c r="J14" s="16" t="n">
        <f aca="false">'Cost model'!N38</f>
        <v>18.5</v>
      </c>
      <c r="K14" s="16" t="n">
        <f aca="false">'Cost model'!N39</f>
        <v>19.5</v>
      </c>
      <c r="L14" s="16" t="n">
        <f aca="false">'Cost model'!N40</f>
        <v>26.5</v>
      </c>
      <c r="N14" s="16" t="n">
        <f aca="false">'Cost model'!N56</f>
        <v>16.5</v>
      </c>
      <c r="O14" s="16" t="n">
        <f aca="false">'Cost model'!N57</f>
        <v>18.5</v>
      </c>
      <c r="P14" s="16" t="n">
        <f aca="false">'Cost model'!N58</f>
        <v>25.5</v>
      </c>
      <c r="R14" s="16" t="n">
        <f aca="false">'Cost model'!N74</f>
        <v>29.5</v>
      </c>
      <c r="S14" s="16" t="n">
        <f aca="false">'Cost model'!N75</f>
        <v>50</v>
      </c>
      <c r="T14" s="16" t="n">
        <f aca="false">'Cost model'!N76</f>
        <v>55</v>
      </c>
      <c r="V14" s="16" t="n">
        <f aca="false">'Cost model'!N92</f>
        <v>18.5</v>
      </c>
      <c r="W14" s="16" t="n">
        <f aca="false">'Cost model'!N93</f>
        <v>21.5</v>
      </c>
      <c r="X14" s="16" t="n">
        <f aca="false">'Cost model'!N94</f>
        <v>27.5</v>
      </c>
      <c r="Z14" s="16" t="n">
        <f aca="false">'Cost model'!N110</f>
        <v>18.5</v>
      </c>
      <c r="AA14" s="16" t="n">
        <f aca="false">'Cost model'!N111</f>
        <v>22.5</v>
      </c>
      <c r="AB14" s="16" t="n">
        <f aca="false">'Cost model'!N112</f>
        <v>29.5</v>
      </c>
    </row>
    <row r="15" customFormat="false" ht="15" hidden="false" customHeight="false" outlineLevel="0" collapsed="false">
      <c r="A15" s="3" t="s">
        <v>12</v>
      </c>
      <c r="B15" s="16" t="n">
        <f aca="false">'Cost model'!N5</f>
        <v>65</v>
      </c>
      <c r="C15" s="16" t="n">
        <f aca="false">'Cost model'!N6</f>
        <v>65</v>
      </c>
      <c r="D15" s="16" t="n">
        <f aca="false">'Cost model'!N7</f>
        <v>80</v>
      </c>
      <c r="F15" s="16" t="n">
        <f aca="false">'Cost model'!N23</f>
        <v>70</v>
      </c>
      <c r="G15" s="16" t="n">
        <f aca="false">'Cost model'!N24</f>
        <v>70</v>
      </c>
      <c r="H15" s="16" t="n">
        <f aca="false">'Cost model'!N25</f>
        <v>80</v>
      </c>
      <c r="J15" s="16" t="n">
        <f aca="false">'Cost model'!N41</f>
        <v>60</v>
      </c>
      <c r="K15" s="16" t="n">
        <f aca="false">'Cost model'!N42</f>
        <v>65</v>
      </c>
      <c r="L15" s="16" t="n">
        <f aca="false">'Cost model'!N43</f>
        <v>80</v>
      </c>
      <c r="N15" s="16" t="n">
        <f aca="false">'Cost model'!N59</f>
        <v>60</v>
      </c>
      <c r="O15" s="16" t="n">
        <f aca="false">'Cost model'!N60</f>
        <v>65</v>
      </c>
      <c r="P15" s="16" t="n">
        <f aca="false">'Cost model'!N61</f>
        <v>70</v>
      </c>
      <c r="R15" s="16" t="n">
        <f aca="false">'Cost model'!N77</f>
        <v>65</v>
      </c>
      <c r="S15" s="16" t="n">
        <f aca="false">'Cost model'!N78</f>
        <v>130</v>
      </c>
      <c r="T15" s="16" t="n">
        <f aca="false">'Cost model'!N79</f>
        <v>145</v>
      </c>
      <c r="V15" s="16" t="n">
        <f aca="false">'Cost model'!N95</f>
        <v>65</v>
      </c>
      <c r="W15" s="16" t="n">
        <f aca="false">'Cost model'!N96</f>
        <v>70</v>
      </c>
      <c r="X15" s="16" t="n">
        <f aca="false">'Cost model'!N97</f>
        <v>80</v>
      </c>
      <c r="Z15" s="16" t="n">
        <f aca="false">'Cost model'!N113</f>
        <v>65</v>
      </c>
      <c r="AA15" s="16" t="n">
        <f aca="false">'Cost model'!N114</f>
        <v>70</v>
      </c>
      <c r="AB15" s="16" t="n">
        <f aca="false">'Cost model'!N115</f>
        <v>85</v>
      </c>
    </row>
    <row r="16" customFormat="false" ht="15" hidden="false" customHeight="false" outlineLevel="0" collapsed="false">
      <c r="A16" s="3" t="s">
        <v>13</v>
      </c>
      <c r="B16" s="16" t="n">
        <f aca="false">'Cost model'!N8</f>
        <v>110</v>
      </c>
      <c r="C16" s="16" t="n">
        <f aca="false">'Cost model'!N9</f>
        <v>125</v>
      </c>
      <c r="D16" s="16" t="n">
        <f aca="false">'Cost model'!N10</f>
        <v>165</v>
      </c>
      <c r="F16" s="16" t="n">
        <f aca="false">'Cost model'!N26</f>
        <v>115</v>
      </c>
      <c r="G16" s="16" t="n">
        <f aca="false">'Cost model'!N27</f>
        <v>130</v>
      </c>
      <c r="H16" s="16" t="n">
        <f aca="false">'Cost model'!N28</f>
        <v>170</v>
      </c>
      <c r="J16" s="16" t="n">
        <f aca="false">'Cost model'!N44</f>
        <v>110</v>
      </c>
      <c r="K16" s="16" t="n">
        <f aca="false">'Cost model'!N45</f>
        <v>125</v>
      </c>
      <c r="L16" s="16" t="n">
        <f aca="false">'Cost model'!N46</f>
        <v>165</v>
      </c>
      <c r="N16" s="16" t="n">
        <f aca="false">'Cost model'!N62</f>
        <v>110</v>
      </c>
      <c r="O16" s="16" t="n">
        <f aca="false">'Cost model'!N63</f>
        <v>115</v>
      </c>
      <c r="P16" s="16" t="n">
        <f aca="false">'Cost model'!N64</f>
        <v>160</v>
      </c>
      <c r="R16" s="16" t="n">
        <f aca="false">'Cost model'!N80</f>
        <v>160</v>
      </c>
      <c r="S16" s="16" t="n">
        <f aca="false">'Cost model'!N81</f>
        <v>245</v>
      </c>
      <c r="T16" s="16" t="n">
        <f aca="false">'Cost model'!N82</f>
        <v>305</v>
      </c>
      <c r="V16" s="16" t="n">
        <f aca="false">'Cost model'!N98</f>
        <v>115</v>
      </c>
      <c r="W16" s="16" t="n">
        <f aca="false">'Cost model'!N99</f>
        <v>130</v>
      </c>
      <c r="X16" s="16" t="n">
        <f aca="false">'Cost model'!N100</f>
        <v>170</v>
      </c>
      <c r="Z16" s="16" t="n">
        <f aca="false">'Cost model'!N116</f>
        <v>125</v>
      </c>
      <c r="AA16" s="16" t="n">
        <f aca="false">'Cost model'!N117</f>
        <v>135</v>
      </c>
      <c r="AB16" s="16" t="n">
        <f aca="false">'Cost model'!N118</f>
        <v>180</v>
      </c>
    </row>
    <row r="17" customFormat="false" ht="15" hidden="false" customHeight="false" outlineLevel="0" collapsed="false">
      <c r="A17" s="3" t="s">
        <v>14</v>
      </c>
      <c r="B17" s="16" t="n">
        <f aca="false">'Cost model'!N11</f>
        <v>165</v>
      </c>
      <c r="C17" s="16" t="n">
        <f aca="false">'Cost model'!N12</f>
        <v>200</v>
      </c>
      <c r="D17" s="16" t="n">
        <f aca="false">'Cost model'!N13</f>
        <v>240</v>
      </c>
      <c r="F17" s="16" t="n">
        <f aca="false">'Cost model'!N29</f>
        <v>170</v>
      </c>
      <c r="G17" s="16" t="n">
        <f aca="false">'Cost model'!N30</f>
        <v>205</v>
      </c>
      <c r="H17" s="16" t="n">
        <f aca="false">'Cost model'!N31</f>
        <v>250</v>
      </c>
      <c r="J17" s="16" t="n">
        <f aca="false">'Cost model'!N47</f>
        <v>165</v>
      </c>
      <c r="K17" s="16" t="n">
        <f aca="false">'Cost model'!N48</f>
        <v>200</v>
      </c>
      <c r="L17" s="16" t="n">
        <f aca="false">'Cost model'!N49</f>
        <v>235</v>
      </c>
      <c r="N17" s="16" t="n">
        <f aca="false">'Cost model'!N65</f>
        <v>160</v>
      </c>
      <c r="O17" s="16" t="n">
        <f aca="false">'Cost model'!N66</f>
        <v>190</v>
      </c>
      <c r="P17" s="16" t="n">
        <f aca="false">'Cost model'!N67</f>
        <v>225</v>
      </c>
      <c r="R17" s="16" t="n">
        <f aca="false">'Cost model'!N83</f>
        <v>255</v>
      </c>
      <c r="S17" s="16" t="n">
        <f aca="false">'Cost model'!N84</f>
        <v>355</v>
      </c>
      <c r="T17" s="16" t="n">
        <f aca="false">'Cost model'!N85</f>
        <v>535</v>
      </c>
      <c r="V17" s="16" t="n">
        <f aca="false">'Cost model'!N101</f>
        <v>170</v>
      </c>
      <c r="W17" s="16" t="n">
        <f aca="false">'Cost model'!N102</f>
        <v>205</v>
      </c>
      <c r="X17" s="16" t="n">
        <f aca="false">'Cost model'!N103</f>
        <v>250</v>
      </c>
      <c r="Z17" s="16" t="n">
        <f aca="false">'Cost model'!N119</f>
        <v>180</v>
      </c>
      <c r="AA17" s="16" t="n">
        <f aca="false">'Cost model'!N120</f>
        <v>220</v>
      </c>
      <c r="AB17" s="16" t="n">
        <f aca="false">'Cost model'!N121</f>
        <v>260</v>
      </c>
    </row>
    <row r="18" customFormat="false" ht="15" hidden="false" customHeight="false" outlineLevel="0" collapsed="false">
      <c r="A18" s="3" t="s">
        <v>15</v>
      </c>
      <c r="B18" s="16" t="n">
        <f aca="false">'Cost model'!N14</f>
        <v>210</v>
      </c>
      <c r="C18" s="17" t="n">
        <f aca="false">'Cost model'!N15</f>
        <v>260</v>
      </c>
      <c r="D18" s="17" t="n">
        <f aca="false">'Cost model'!N16</f>
        <v>310</v>
      </c>
      <c r="F18" s="16" t="n">
        <f aca="false">'Cost model'!N32</f>
        <v>220</v>
      </c>
      <c r="G18" s="17" t="n">
        <f aca="false">'Cost model'!N33</f>
        <v>265</v>
      </c>
      <c r="H18" s="17" t="n">
        <f aca="false">'Cost model'!N34</f>
        <v>320</v>
      </c>
      <c r="J18" s="16" t="n">
        <f aca="false">'Cost model'!N50</f>
        <v>210</v>
      </c>
      <c r="K18" s="17" t="n">
        <f aca="false">'Cost model'!N51</f>
        <v>260</v>
      </c>
      <c r="L18" s="17" t="n">
        <f aca="false">'Cost model'!N52</f>
        <v>310</v>
      </c>
      <c r="N18" s="16" t="n">
        <f aca="false">'Cost model'!N68</f>
        <v>200</v>
      </c>
      <c r="O18" s="17" t="n">
        <f aca="false">'Cost model'!N69</f>
        <v>240</v>
      </c>
      <c r="P18" s="17" t="n">
        <f aca="false">'Cost model'!N70</f>
        <v>290</v>
      </c>
      <c r="R18" s="16" t="n">
        <f aca="false">'Cost model'!N86</f>
        <v>320</v>
      </c>
      <c r="S18" s="16" t="n">
        <f aca="false">'Cost model'!N87</f>
        <v>460</v>
      </c>
      <c r="T18" s="16" t="n">
        <f aca="false">'Cost model'!N88</f>
        <v>680</v>
      </c>
      <c r="V18" s="16" t="n">
        <f aca="false">'Cost model'!N104</f>
        <v>220</v>
      </c>
      <c r="W18" s="17" t="n">
        <f aca="false">'Cost model'!N105</f>
        <v>265</v>
      </c>
      <c r="X18" s="17" t="n">
        <f aca="false">'Cost model'!N106</f>
        <v>320</v>
      </c>
      <c r="Z18" s="16" t="n">
        <f aca="false">'Cost model'!N122</f>
        <v>230</v>
      </c>
      <c r="AA18" s="17" t="n">
        <f aca="false">'Cost model'!N123</f>
        <v>285</v>
      </c>
      <c r="AB18" s="17" t="n">
        <f aca="false">'Cost model'!N124</f>
        <v>340</v>
      </c>
    </row>
    <row r="19" customFormat="false" ht="15" hidden="false" customHeight="false" outlineLevel="0" collapsed="false">
      <c r="A19" s="3" t="s">
        <v>16</v>
      </c>
      <c r="B19" s="16" t="n">
        <f aca="false">'Cost model'!N17</f>
        <v>290</v>
      </c>
      <c r="C19" s="17" t="n">
        <f aca="false">'Cost model'!N18</f>
        <v>375</v>
      </c>
      <c r="D19" s="17" t="n">
        <f aca="false">'Cost model'!N19</f>
        <v>435</v>
      </c>
      <c r="F19" s="16" t="n">
        <f aca="false">'Cost model'!N35</f>
        <v>295</v>
      </c>
      <c r="G19" s="17" t="n">
        <f aca="false">'Cost model'!N36</f>
        <v>380</v>
      </c>
      <c r="H19" s="17" t="n">
        <f aca="false">'Cost model'!N37</f>
        <v>445</v>
      </c>
      <c r="J19" s="16" t="n">
        <f aca="false">'Cost model'!N53</f>
        <v>290</v>
      </c>
      <c r="K19" s="17" t="n">
        <f aca="false">'Cost model'!N54</f>
        <v>370</v>
      </c>
      <c r="L19" s="17" t="n">
        <f aca="false">'Cost model'!N55</f>
        <v>435</v>
      </c>
      <c r="N19" s="16" t="n">
        <f aca="false">'Cost model'!N71</f>
        <v>270</v>
      </c>
      <c r="O19" s="17" t="n">
        <f aca="false">'Cost model'!N72</f>
        <v>350</v>
      </c>
      <c r="P19" s="17" t="n">
        <f aca="false">'Cost model'!N73</f>
        <v>410</v>
      </c>
      <c r="R19" s="16" t="n">
        <f aca="false">'Cost model'!N89</f>
        <v>350</v>
      </c>
      <c r="S19" s="16" t="n">
        <f aca="false">'Cost model'!N90</f>
        <v>625</v>
      </c>
      <c r="T19" s="16" t="n">
        <f aca="false">'Cost model'!N91</f>
        <v>820</v>
      </c>
      <c r="V19" s="16" t="n">
        <f aca="false">'Cost model'!N107</f>
        <v>300</v>
      </c>
      <c r="W19" s="17" t="n">
        <f aca="false">'Cost model'!N108</f>
        <v>385</v>
      </c>
      <c r="X19" s="17" t="n">
        <f aca="false">'Cost model'!N109</f>
        <v>450</v>
      </c>
      <c r="Z19" s="16" t="n">
        <f aca="false">'Cost model'!N125</f>
        <v>320</v>
      </c>
      <c r="AA19" s="17" t="n">
        <f aca="false">'Cost model'!N126</f>
        <v>410</v>
      </c>
      <c r="AB19" s="17" t="n">
        <f aca="false">'Cost model'!N127</f>
        <v>475</v>
      </c>
    </row>
    <row r="21" customFormat="false" ht="17.35" hidden="false" customHeight="false" outlineLevel="0" collapsed="false">
      <c r="A21" s="1" t="s">
        <v>86</v>
      </c>
    </row>
    <row r="23" customFormat="false" ht="15" hidden="false" customHeight="false" outlineLevel="0" collapsed="false">
      <c r="A23" s="3" t="s">
        <v>76</v>
      </c>
      <c r="B23" s="3" t="s">
        <v>77</v>
      </c>
      <c r="F23" s="3" t="s">
        <v>78</v>
      </c>
      <c r="J23" s="3" t="s">
        <v>79</v>
      </c>
      <c r="N23" s="3" t="s">
        <v>80</v>
      </c>
      <c r="R23" s="3" t="s">
        <v>81</v>
      </c>
      <c r="V23" s="3" t="s">
        <v>82</v>
      </c>
      <c r="Z23" s="3" t="s">
        <v>83</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87</v>
      </c>
      <c r="C25" s="18" t="s">
        <v>87</v>
      </c>
      <c r="D25" s="18" t="s">
        <v>88</v>
      </c>
      <c r="F25" s="18" t="s">
        <v>87</v>
      </c>
      <c r="G25" s="18" t="s">
        <v>87</v>
      </c>
      <c r="H25" s="18" t="s">
        <v>87</v>
      </c>
      <c r="J25" s="18" t="s">
        <v>87</v>
      </c>
      <c r="K25" s="18" t="s">
        <v>87</v>
      </c>
      <c r="L25" s="18" t="s">
        <v>87</v>
      </c>
      <c r="N25" s="18" t="s">
        <v>87</v>
      </c>
      <c r="O25" s="18" t="s">
        <v>87</v>
      </c>
      <c r="P25" s="18" t="s">
        <v>88</v>
      </c>
      <c r="R25" s="18" t="s">
        <v>89</v>
      </c>
      <c r="S25" s="18" t="s">
        <v>89</v>
      </c>
      <c r="T25" s="18" t="s">
        <v>87</v>
      </c>
      <c r="V25" s="18" t="s">
        <v>90</v>
      </c>
      <c r="W25" s="18" t="s">
        <v>90</v>
      </c>
      <c r="X25" s="18" t="s">
        <v>90</v>
      </c>
      <c r="Z25" s="18" t="s">
        <v>90</v>
      </c>
      <c r="AA25" s="18" t="s">
        <v>90</v>
      </c>
      <c r="AB25" s="18" t="s">
        <v>90</v>
      </c>
    </row>
    <row r="26" customFormat="false" ht="15" hidden="false" customHeight="false" outlineLevel="0" collapsed="false">
      <c r="A26" s="3" t="s">
        <v>12</v>
      </c>
      <c r="B26" s="18" t="s">
        <v>87</v>
      </c>
      <c r="C26" s="18" t="s">
        <v>87</v>
      </c>
      <c r="D26" s="18" t="s">
        <v>88</v>
      </c>
      <c r="F26" s="18" t="s">
        <v>87</v>
      </c>
      <c r="G26" s="18" t="s">
        <v>87</v>
      </c>
      <c r="H26" s="18" t="s">
        <v>87</v>
      </c>
      <c r="J26" s="18" t="s">
        <v>87</v>
      </c>
      <c r="K26" s="18" t="s">
        <v>87</v>
      </c>
      <c r="L26" s="18" t="s">
        <v>87</v>
      </c>
      <c r="N26" s="18" t="s">
        <v>87</v>
      </c>
      <c r="O26" s="18" t="s">
        <v>87</v>
      </c>
      <c r="P26" s="18" t="s">
        <v>88</v>
      </c>
      <c r="R26" s="18" t="s">
        <v>89</v>
      </c>
      <c r="S26" s="18" t="s">
        <v>89</v>
      </c>
      <c r="T26" s="18" t="s">
        <v>87</v>
      </c>
      <c r="V26" s="18" t="s">
        <v>90</v>
      </c>
      <c r="W26" s="18" t="s">
        <v>90</v>
      </c>
      <c r="X26" s="18" t="s">
        <v>90</v>
      </c>
      <c r="Z26" s="18" t="s">
        <v>90</v>
      </c>
      <c r="AA26" s="18" t="s">
        <v>90</v>
      </c>
      <c r="AB26" s="18" t="s">
        <v>90</v>
      </c>
    </row>
    <row r="27" customFormat="false" ht="15" hidden="false" customHeight="false" outlineLevel="0" collapsed="false">
      <c r="A27" s="3" t="s">
        <v>13</v>
      </c>
      <c r="B27" s="18" t="s">
        <v>88</v>
      </c>
      <c r="C27" s="18" t="s">
        <v>88</v>
      </c>
      <c r="D27" s="18" t="s">
        <v>91</v>
      </c>
      <c r="F27" s="18" t="s">
        <v>88</v>
      </c>
      <c r="G27" s="18" t="s">
        <v>88</v>
      </c>
      <c r="H27" s="18" t="s">
        <v>91</v>
      </c>
      <c r="J27" s="18" t="s">
        <v>88</v>
      </c>
      <c r="K27" s="18" t="s">
        <v>88</v>
      </c>
      <c r="L27" s="18" t="s">
        <v>91</v>
      </c>
      <c r="N27" s="18" t="s">
        <v>88</v>
      </c>
      <c r="O27" s="18" t="s">
        <v>88</v>
      </c>
      <c r="P27" s="18" t="s">
        <v>91</v>
      </c>
      <c r="R27" s="18" t="s">
        <v>89</v>
      </c>
      <c r="S27" s="18" t="s">
        <v>89</v>
      </c>
      <c r="T27" s="18" t="s">
        <v>88</v>
      </c>
      <c r="V27" s="18" t="s">
        <v>90</v>
      </c>
      <c r="W27" s="18" t="s">
        <v>90</v>
      </c>
      <c r="X27" s="18" t="s">
        <v>90</v>
      </c>
      <c r="Z27" s="18" t="s">
        <v>90</v>
      </c>
      <c r="AA27" s="18" t="s">
        <v>90</v>
      </c>
      <c r="AB27" s="18" t="s">
        <v>90</v>
      </c>
    </row>
    <row r="28" customFormat="false" ht="15" hidden="false" customHeight="false" outlineLevel="0" collapsed="false">
      <c r="A28" s="3" t="s">
        <v>14</v>
      </c>
      <c r="B28" s="18" t="s">
        <v>91</v>
      </c>
      <c r="C28" s="18" t="s">
        <v>91</v>
      </c>
      <c r="D28" s="18" t="s">
        <v>91</v>
      </c>
      <c r="F28" s="18" t="s">
        <v>91</v>
      </c>
      <c r="G28" s="18" t="s">
        <v>91</v>
      </c>
      <c r="H28" s="18" t="s">
        <v>91</v>
      </c>
      <c r="J28" s="18" t="s">
        <v>91</v>
      </c>
      <c r="K28" s="18" t="s">
        <v>91</v>
      </c>
      <c r="L28" s="18" t="s">
        <v>91</v>
      </c>
      <c r="N28" s="18" t="s">
        <v>91</v>
      </c>
      <c r="O28" s="18" t="s">
        <v>91</v>
      </c>
      <c r="P28" s="18" t="s">
        <v>91</v>
      </c>
      <c r="R28" s="18" t="s">
        <v>89</v>
      </c>
      <c r="S28" s="18" t="s">
        <v>89</v>
      </c>
      <c r="T28" s="18" t="s">
        <v>91</v>
      </c>
      <c r="V28" s="18" t="s">
        <v>90</v>
      </c>
      <c r="W28" s="18" t="s">
        <v>90</v>
      </c>
      <c r="X28" s="18" t="s">
        <v>90</v>
      </c>
      <c r="Z28" s="18" t="s">
        <v>90</v>
      </c>
      <c r="AA28" s="18" t="s">
        <v>90</v>
      </c>
      <c r="AB28" s="18" t="s">
        <v>90</v>
      </c>
    </row>
    <row r="29" customFormat="false" ht="15" hidden="false" customHeight="false" outlineLevel="0" collapsed="false">
      <c r="A29" s="3" t="s">
        <v>15</v>
      </c>
      <c r="B29" s="18" t="s">
        <v>91</v>
      </c>
      <c r="C29" s="18" t="s">
        <v>91</v>
      </c>
      <c r="D29" s="18" t="s">
        <v>91</v>
      </c>
      <c r="F29" s="18" t="s">
        <v>91</v>
      </c>
      <c r="G29" s="18" t="s">
        <v>91</v>
      </c>
      <c r="H29" s="18" t="s">
        <v>91</v>
      </c>
      <c r="J29" s="18" t="s">
        <v>91</v>
      </c>
      <c r="K29" s="18" t="s">
        <v>91</v>
      </c>
      <c r="L29" s="18" t="s">
        <v>91</v>
      </c>
      <c r="N29" s="18" t="s">
        <v>91</v>
      </c>
      <c r="O29" s="18" t="s">
        <v>91</v>
      </c>
      <c r="P29" s="18" t="s">
        <v>91</v>
      </c>
      <c r="R29" s="18" t="s">
        <v>89</v>
      </c>
      <c r="S29" s="18" t="s">
        <v>89</v>
      </c>
      <c r="T29" s="18" t="s">
        <v>91</v>
      </c>
      <c r="V29" s="18" t="s">
        <v>90</v>
      </c>
      <c r="W29" s="18" t="s">
        <v>90</v>
      </c>
      <c r="X29" s="18" t="s">
        <v>90</v>
      </c>
      <c r="Z29" s="18" t="s">
        <v>90</v>
      </c>
      <c r="AA29" s="18" t="s">
        <v>90</v>
      </c>
      <c r="AB29" s="18" t="s">
        <v>90</v>
      </c>
    </row>
    <row r="30" customFormat="false" ht="15" hidden="false" customHeight="false" outlineLevel="0" collapsed="false">
      <c r="A30" s="3" t="s">
        <v>16</v>
      </c>
      <c r="B30" s="18" t="s">
        <v>91</v>
      </c>
      <c r="C30" s="18" t="s">
        <v>91</v>
      </c>
      <c r="D30" s="18" t="s">
        <v>91</v>
      </c>
      <c r="F30" s="18" t="s">
        <v>91</v>
      </c>
      <c r="G30" s="18" t="s">
        <v>91</v>
      </c>
      <c r="H30" s="18" t="s">
        <v>91</v>
      </c>
      <c r="J30" s="18" t="s">
        <v>91</v>
      </c>
      <c r="K30" s="18" t="s">
        <v>91</v>
      </c>
      <c r="L30" s="18" t="s">
        <v>91</v>
      </c>
      <c r="N30" s="18" t="s">
        <v>91</v>
      </c>
      <c r="O30" s="18" t="s">
        <v>91</v>
      </c>
      <c r="P30" s="18" t="s">
        <v>91</v>
      </c>
      <c r="R30" s="18" t="s">
        <v>89</v>
      </c>
      <c r="S30" s="18" t="s">
        <v>89</v>
      </c>
      <c r="T30" s="18" t="s">
        <v>91</v>
      </c>
      <c r="V30" s="18" t="s">
        <v>90</v>
      </c>
      <c r="W30" s="18" t="s">
        <v>90</v>
      </c>
      <c r="X30" s="18" t="s">
        <v>90</v>
      </c>
      <c r="Z30" s="18" t="s">
        <v>90</v>
      </c>
      <c r="AA30" s="18" t="s">
        <v>90</v>
      </c>
      <c r="AB30" s="18" t="s">
        <v>90</v>
      </c>
    </row>
    <row r="32" customFormat="false" ht="15" hidden="false" customHeight="false" outlineLevel="0" collapsed="false">
      <c r="A32" s="3" t="s">
        <v>85</v>
      </c>
      <c r="B32" s="3" t="s">
        <v>77</v>
      </c>
      <c r="F32" s="3" t="s">
        <v>78</v>
      </c>
      <c r="J32" s="3" t="s">
        <v>79</v>
      </c>
      <c r="N32" s="3" t="s">
        <v>80</v>
      </c>
      <c r="R32" s="3" t="s">
        <v>81</v>
      </c>
      <c r="V32" s="3" t="s">
        <v>82</v>
      </c>
      <c r="Z32" s="3" t="s">
        <v>83</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92</v>
      </c>
      <c r="C34" s="18" t="s">
        <v>92</v>
      </c>
      <c r="D34" s="18" t="s">
        <v>87</v>
      </c>
      <c r="F34" s="18" t="s">
        <v>92</v>
      </c>
      <c r="G34" s="18" t="s">
        <v>92</v>
      </c>
      <c r="H34" s="18" t="s">
        <v>87</v>
      </c>
      <c r="J34" s="18" t="s">
        <v>92</v>
      </c>
      <c r="K34" s="18" t="s">
        <v>92</v>
      </c>
      <c r="L34" s="18" t="s">
        <v>87</v>
      </c>
      <c r="N34" s="18" t="s">
        <v>92</v>
      </c>
      <c r="O34" s="18" t="s">
        <v>92</v>
      </c>
      <c r="P34" s="18" t="s">
        <v>87</v>
      </c>
      <c r="R34" s="18" t="s">
        <v>92</v>
      </c>
      <c r="S34" s="18" t="s">
        <v>92</v>
      </c>
      <c r="T34" s="18" t="s">
        <v>89</v>
      </c>
      <c r="V34" s="18" t="s">
        <v>92</v>
      </c>
      <c r="W34" s="18" t="s">
        <v>92</v>
      </c>
      <c r="X34" s="18" t="s">
        <v>87</v>
      </c>
      <c r="Z34" s="18" t="s">
        <v>92</v>
      </c>
      <c r="AA34" s="18" t="s">
        <v>92</v>
      </c>
      <c r="AB34" s="18" t="s">
        <v>87</v>
      </c>
    </row>
    <row r="35" customFormat="false" ht="15" hidden="false" customHeight="false" outlineLevel="0" collapsed="false">
      <c r="A35" s="3" t="s">
        <v>12</v>
      </c>
      <c r="B35" s="18" t="s">
        <v>92</v>
      </c>
      <c r="C35" s="18" t="s">
        <v>92</v>
      </c>
      <c r="D35" s="18" t="s">
        <v>87</v>
      </c>
      <c r="F35" s="18" t="s">
        <v>92</v>
      </c>
      <c r="G35" s="18" t="s">
        <v>92</v>
      </c>
      <c r="H35" s="18" t="s">
        <v>87</v>
      </c>
      <c r="J35" s="18" t="s">
        <v>92</v>
      </c>
      <c r="K35" s="18" t="s">
        <v>92</v>
      </c>
      <c r="L35" s="18" t="s">
        <v>87</v>
      </c>
      <c r="N35" s="18" t="s">
        <v>92</v>
      </c>
      <c r="O35" s="18" t="s">
        <v>92</v>
      </c>
      <c r="P35" s="18" t="s">
        <v>87</v>
      </c>
      <c r="R35" s="18" t="s">
        <v>92</v>
      </c>
      <c r="S35" s="18" t="s">
        <v>92</v>
      </c>
      <c r="T35" s="18" t="s">
        <v>89</v>
      </c>
      <c r="V35" s="18" t="s">
        <v>92</v>
      </c>
      <c r="W35" s="18" t="s">
        <v>92</v>
      </c>
      <c r="X35" s="18" t="s">
        <v>87</v>
      </c>
      <c r="Z35" s="18" t="s">
        <v>92</v>
      </c>
      <c r="AA35" s="18" t="s">
        <v>92</v>
      </c>
      <c r="AB35" s="18" t="s">
        <v>87</v>
      </c>
    </row>
    <row r="36" customFormat="false" ht="15" hidden="false" customHeight="false" outlineLevel="0" collapsed="false">
      <c r="A36" s="3" t="s">
        <v>13</v>
      </c>
      <c r="B36" s="18" t="s">
        <v>87</v>
      </c>
      <c r="C36" s="18" t="s">
        <v>87</v>
      </c>
      <c r="D36" s="18" t="s">
        <v>91</v>
      </c>
      <c r="F36" s="18" t="s">
        <v>87</v>
      </c>
      <c r="G36" s="18" t="s">
        <v>87</v>
      </c>
      <c r="H36" s="18" t="s">
        <v>91</v>
      </c>
      <c r="J36" s="18" t="s">
        <v>87</v>
      </c>
      <c r="K36" s="18" t="s">
        <v>87</v>
      </c>
      <c r="L36" s="18" t="s">
        <v>91</v>
      </c>
      <c r="N36" s="18" t="s">
        <v>87</v>
      </c>
      <c r="O36" s="18" t="s">
        <v>87</v>
      </c>
      <c r="P36" s="18" t="s">
        <v>91</v>
      </c>
      <c r="R36" s="18" t="s">
        <v>92</v>
      </c>
      <c r="S36" s="18" t="s">
        <v>92</v>
      </c>
      <c r="T36" s="18" t="s">
        <v>93</v>
      </c>
      <c r="V36" s="18" t="s">
        <v>90</v>
      </c>
      <c r="W36" s="18" t="s">
        <v>90</v>
      </c>
      <c r="X36" s="18" t="s">
        <v>90</v>
      </c>
      <c r="Z36" s="18" t="s">
        <v>90</v>
      </c>
      <c r="AA36" s="18" t="s">
        <v>90</v>
      </c>
      <c r="AB36" s="18" t="s">
        <v>90</v>
      </c>
    </row>
    <row r="37" customFormat="false" ht="15" hidden="false" customHeight="false" outlineLevel="0" collapsed="false">
      <c r="A37" s="3" t="s">
        <v>14</v>
      </c>
      <c r="B37" s="18" t="s">
        <v>88</v>
      </c>
      <c r="C37" s="18" t="s">
        <v>88</v>
      </c>
      <c r="D37" s="18" t="s">
        <v>91</v>
      </c>
      <c r="F37" s="18" t="s">
        <v>88</v>
      </c>
      <c r="G37" s="18" t="s">
        <v>88</v>
      </c>
      <c r="H37" s="18" t="s">
        <v>91</v>
      </c>
      <c r="J37" s="18" t="s">
        <v>88</v>
      </c>
      <c r="K37" s="18" t="s">
        <v>88</v>
      </c>
      <c r="L37" s="18" t="s">
        <v>91</v>
      </c>
      <c r="N37" s="18" t="s">
        <v>88</v>
      </c>
      <c r="O37" s="18" t="s">
        <v>88</v>
      </c>
      <c r="P37" s="18" t="s">
        <v>91</v>
      </c>
      <c r="R37" s="18" t="s">
        <v>92</v>
      </c>
      <c r="S37" s="18" t="s">
        <v>92</v>
      </c>
      <c r="T37" s="18" t="s">
        <v>93</v>
      </c>
      <c r="V37" s="18" t="s">
        <v>90</v>
      </c>
      <c r="W37" s="18" t="s">
        <v>90</v>
      </c>
      <c r="X37" s="18" t="s">
        <v>90</v>
      </c>
      <c r="Z37" s="18" t="s">
        <v>90</v>
      </c>
      <c r="AA37" s="18" t="s">
        <v>90</v>
      </c>
      <c r="AB37" s="18" t="s">
        <v>90</v>
      </c>
    </row>
    <row r="38" customFormat="false" ht="15" hidden="false" customHeight="false" outlineLevel="0" collapsed="false">
      <c r="A38" s="3" t="s">
        <v>15</v>
      </c>
      <c r="B38" s="18" t="s">
        <v>88</v>
      </c>
      <c r="C38" s="18" t="s">
        <v>88</v>
      </c>
      <c r="D38" s="18" t="s">
        <v>91</v>
      </c>
      <c r="F38" s="18" t="s">
        <v>88</v>
      </c>
      <c r="G38" s="18" t="s">
        <v>88</v>
      </c>
      <c r="H38" s="18" t="s">
        <v>91</v>
      </c>
      <c r="J38" s="18" t="s">
        <v>88</v>
      </c>
      <c r="K38" s="18" t="s">
        <v>88</v>
      </c>
      <c r="L38" s="18" t="s">
        <v>91</v>
      </c>
      <c r="N38" s="18" t="s">
        <v>88</v>
      </c>
      <c r="O38" s="18" t="s">
        <v>88</v>
      </c>
      <c r="P38" s="18" t="s">
        <v>91</v>
      </c>
      <c r="R38" s="18" t="s">
        <v>92</v>
      </c>
      <c r="S38" s="18" t="s">
        <v>92</v>
      </c>
      <c r="T38" s="18" t="s">
        <v>93</v>
      </c>
      <c r="V38" s="18" t="s">
        <v>90</v>
      </c>
      <c r="W38" s="18" t="s">
        <v>90</v>
      </c>
      <c r="X38" s="18" t="s">
        <v>90</v>
      </c>
      <c r="Z38" s="18" t="s">
        <v>90</v>
      </c>
      <c r="AA38" s="18" t="s">
        <v>90</v>
      </c>
      <c r="AB38" s="18" t="s">
        <v>90</v>
      </c>
    </row>
    <row r="39" customFormat="false" ht="15" hidden="false" customHeight="false" outlineLevel="0" collapsed="false">
      <c r="A39" s="3" t="s">
        <v>16</v>
      </c>
      <c r="B39" s="18" t="s">
        <v>88</v>
      </c>
      <c r="C39" s="18" t="s">
        <v>88</v>
      </c>
      <c r="D39" s="18" t="s">
        <v>91</v>
      </c>
      <c r="F39" s="18" t="s">
        <v>88</v>
      </c>
      <c r="G39" s="18" t="s">
        <v>88</v>
      </c>
      <c r="H39" s="18" t="s">
        <v>91</v>
      </c>
      <c r="J39" s="18" t="s">
        <v>88</v>
      </c>
      <c r="K39" s="18" t="s">
        <v>88</v>
      </c>
      <c r="L39" s="18" t="s">
        <v>91</v>
      </c>
      <c r="N39" s="18" t="s">
        <v>88</v>
      </c>
      <c r="O39" s="18" t="s">
        <v>88</v>
      </c>
      <c r="P39" s="18" t="s">
        <v>91</v>
      </c>
      <c r="R39" s="18" t="s">
        <v>92</v>
      </c>
      <c r="S39" s="18" t="s">
        <v>92</v>
      </c>
      <c r="T39" s="18" t="s">
        <v>93</v>
      </c>
      <c r="V39" s="18" t="s">
        <v>90</v>
      </c>
      <c r="W39" s="18" t="s">
        <v>90</v>
      </c>
      <c r="X39" s="18" t="s">
        <v>90</v>
      </c>
      <c r="Z39" s="18" t="s">
        <v>90</v>
      </c>
      <c r="AA39" s="18" t="s">
        <v>90</v>
      </c>
      <c r="AB39" s="18"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94</v>
      </c>
    </row>
    <row r="3" customFormat="false" ht="15" hidden="false" customHeight="false" outlineLevel="0" collapsed="false">
      <c r="A3" s="3" t="s">
        <v>76</v>
      </c>
      <c r="B3" s="3" t="s">
        <v>77</v>
      </c>
      <c r="F3" s="3" t="s">
        <v>78</v>
      </c>
      <c r="J3" s="3" t="s">
        <v>79</v>
      </c>
      <c r="N3" s="3" t="s">
        <v>83</v>
      </c>
      <c r="R3" s="3" t="s">
        <v>80</v>
      </c>
      <c r="V3" s="3" t="s">
        <v>82</v>
      </c>
      <c r="Z3" s="3" t="s">
        <v>81</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model'!M128</f>
        <v>10.5</v>
      </c>
      <c r="C5" s="16" t="n">
        <f aca="false">'Cost model'!M129</f>
        <v>13.5</v>
      </c>
      <c r="D5" s="16" t="n">
        <f aca="false">'Cost model'!M130</f>
        <v>18.5</v>
      </c>
      <c r="F5" s="16" t="n">
        <f aca="false">'Cost model'!M146</f>
        <v>12.5</v>
      </c>
      <c r="G5" s="16" t="n">
        <f aca="false">'Cost model'!M147</f>
        <v>14.5</v>
      </c>
      <c r="H5" s="16" t="n">
        <f aca="false">'Cost model'!M148</f>
        <v>21.5</v>
      </c>
      <c r="J5" s="16" t="n">
        <f aca="false">'Cost model'!M164</f>
        <v>11.5</v>
      </c>
      <c r="K5" s="16" t="n">
        <f aca="false">'Cost model'!M165</f>
        <v>15.5</v>
      </c>
      <c r="L5" s="16" t="n">
        <f aca="false">'Cost model'!M166</f>
        <v>18.5</v>
      </c>
      <c r="N5" s="16" t="n">
        <f aca="false">'Cost model'!M182</f>
        <v>15.5</v>
      </c>
      <c r="O5" s="16" t="n">
        <f aca="false">'Cost model'!M183</f>
        <v>17.5</v>
      </c>
      <c r="P5" s="16" t="n">
        <f aca="false">'Cost model'!M184</f>
        <v>22.5</v>
      </c>
      <c r="R5" s="16" t="n">
        <f aca="false">'Cost model'!M200</f>
        <v>7.5</v>
      </c>
      <c r="S5" s="16" t="n">
        <f aca="false">'Cost model'!M201</f>
        <v>12.5</v>
      </c>
      <c r="T5" s="16" t="n">
        <f aca="false">'Cost model'!M202</f>
        <v>17.5</v>
      </c>
      <c r="V5" s="16" t="n">
        <f aca="false">'Cost model'!M218</f>
        <v>12.5</v>
      </c>
      <c r="W5" s="16" t="n">
        <f aca="false">'Cost model'!M219</f>
        <v>14.5</v>
      </c>
      <c r="X5" s="16" t="n">
        <f aca="false">'Cost model'!M220</f>
        <v>25.5</v>
      </c>
      <c r="Z5" s="16" t="n">
        <f aca="false">'Cost model'!M236</f>
        <v>17.5</v>
      </c>
      <c r="AA5" s="16" t="n">
        <f aca="false">'Cost model'!M237</f>
        <v>18.5</v>
      </c>
      <c r="AB5" s="16" t="n">
        <f aca="false">'Cost model'!M238</f>
        <v>22.5</v>
      </c>
    </row>
    <row r="6" customFormat="false" ht="15" hidden="false" customHeight="false" outlineLevel="0" collapsed="false">
      <c r="A6" s="3" t="s">
        <v>12</v>
      </c>
      <c r="B6" s="16" t="n">
        <f aca="false">'Cost model'!M131</f>
        <v>40</v>
      </c>
      <c r="C6" s="16" t="n">
        <f aca="false">'Cost model'!M132</f>
        <v>50</v>
      </c>
      <c r="D6" s="16" t="n">
        <f aca="false">'Cost model'!M133</f>
        <v>55</v>
      </c>
      <c r="F6" s="16" t="n">
        <f aca="false">'Cost model'!M149</f>
        <v>45</v>
      </c>
      <c r="G6" s="16" t="n">
        <f aca="false">'Cost model'!M150</f>
        <v>55</v>
      </c>
      <c r="H6" s="16" t="n">
        <f aca="false">'Cost model'!M151</f>
        <v>55</v>
      </c>
      <c r="J6" s="16" t="n">
        <f aca="false">'Cost model'!M167</f>
        <v>60</v>
      </c>
      <c r="K6" s="16" t="n">
        <f aca="false">'Cost model'!M168</f>
        <v>60</v>
      </c>
      <c r="L6" s="16" t="n">
        <f aca="false">'Cost model'!M169</f>
        <v>60</v>
      </c>
      <c r="N6" s="16" t="n">
        <f aca="false">'Cost model'!M185</f>
        <v>55</v>
      </c>
      <c r="O6" s="16" t="n">
        <f aca="false">'Cost model'!M186</f>
        <v>55</v>
      </c>
      <c r="P6" s="16" t="n">
        <f aca="false">'Cost model'!M187</f>
        <v>75</v>
      </c>
      <c r="R6" s="16" t="n">
        <f aca="false">'Cost model'!M203</f>
        <v>26.5</v>
      </c>
      <c r="S6" s="16" t="n">
        <f aca="false">'Cost model'!M204</f>
        <v>45</v>
      </c>
      <c r="T6" s="16" t="n">
        <f aca="false">'Cost model'!M205</f>
        <v>50</v>
      </c>
      <c r="V6" s="16" t="n">
        <f aca="false">'Cost model'!M221</f>
        <v>50</v>
      </c>
      <c r="W6" s="16" t="n">
        <f aca="false">'Cost model'!M222</f>
        <v>60</v>
      </c>
      <c r="X6" s="16" t="n">
        <f aca="false">'Cost model'!M223</f>
        <v>70</v>
      </c>
      <c r="Z6" s="16" t="n">
        <f aca="false">'Cost model'!M239</f>
        <v>55</v>
      </c>
      <c r="AA6" s="16" t="n">
        <f aca="false">'Cost model'!M240</f>
        <v>55</v>
      </c>
      <c r="AB6" s="16" t="n">
        <f aca="false">'Cost model'!M241</f>
        <v>75</v>
      </c>
    </row>
    <row r="7" customFormat="false" ht="15" hidden="false" customHeight="false" outlineLevel="0" collapsed="false">
      <c r="A7" s="3" t="s">
        <v>13</v>
      </c>
      <c r="B7" s="16" t="n">
        <f aca="false">'Cost model'!M134</f>
        <v>80</v>
      </c>
      <c r="C7" s="16" t="n">
        <f aca="false">'Cost model'!M135</f>
        <v>80</v>
      </c>
      <c r="D7" s="16" t="n">
        <f aca="false">'Cost model'!M136</f>
        <v>105</v>
      </c>
      <c r="F7" s="16" t="n">
        <f aca="false">'Cost model'!M152</f>
        <v>65</v>
      </c>
      <c r="G7" s="16" t="n">
        <f aca="false">'Cost model'!M153</f>
        <v>100</v>
      </c>
      <c r="H7" s="16" t="n">
        <f aca="false">'Cost model'!M154</f>
        <v>130</v>
      </c>
      <c r="J7" s="16" t="n">
        <f aca="false">'Cost model'!M170</f>
        <v>80</v>
      </c>
      <c r="K7" s="16" t="n">
        <f aca="false">'Cost model'!M171</f>
        <v>90</v>
      </c>
      <c r="L7" s="16" t="n">
        <f aca="false">'Cost model'!M172</f>
        <v>115</v>
      </c>
      <c r="N7" s="16" t="n">
        <f aca="false">'Cost model'!M188</f>
        <v>95</v>
      </c>
      <c r="O7" s="16" t="n">
        <f aca="false">'Cost model'!M189</f>
        <v>105</v>
      </c>
      <c r="P7" s="16" t="n">
        <f aca="false">'Cost model'!M190</f>
        <v>140</v>
      </c>
      <c r="R7" s="16" t="n">
        <f aca="false">'Cost model'!M206</f>
        <v>55</v>
      </c>
      <c r="S7" s="16" t="n">
        <f aca="false">'Cost model'!M207</f>
        <v>75</v>
      </c>
      <c r="T7" s="16" t="n">
        <f aca="false">'Cost model'!M208</f>
        <v>80</v>
      </c>
      <c r="V7" s="16" t="n">
        <f aca="false">'Cost model'!M224</f>
        <v>85</v>
      </c>
      <c r="W7" s="16" t="n">
        <f aca="false">'Cost model'!M225</f>
        <v>95</v>
      </c>
      <c r="X7" s="16" t="n">
        <f aca="false">'Cost model'!M226</f>
        <v>125</v>
      </c>
      <c r="Z7" s="16" t="n">
        <f aca="false">'Cost model'!M242</f>
        <v>95</v>
      </c>
      <c r="AA7" s="16" t="n">
        <f aca="false">'Cost model'!M243</f>
        <v>110</v>
      </c>
      <c r="AB7" s="16" t="n">
        <f aca="false">'Cost model'!M244</f>
        <v>145</v>
      </c>
    </row>
    <row r="8" customFormat="false" ht="15" hidden="false" customHeight="false" outlineLevel="0" collapsed="false">
      <c r="A8" s="3" t="s">
        <v>14</v>
      </c>
      <c r="B8" s="16" t="n">
        <f aca="false">'Cost model'!M137</f>
        <v>120</v>
      </c>
      <c r="C8" s="16" t="n">
        <f aca="false">'Cost model'!M138</f>
        <v>150</v>
      </c>
      <c r="D8" s="16" t="n">
        <f aca="false">'Cost model'!M139</f>
        <v>170</v>
      </c>
      <c r="F8" s="16" t="n">
        <f aca="false">'Cost model'!M155</f>
        <v>125</v>
      </c>
      <c r="G8" s="16" t="n">
        <f aca="false">'Cost model'!M156</f>
        <v>145</v>
      </c>
      <c r="H8" s="16" t="n">
        <f aca="false">'Cost model'!M157</f>
        <v>195</v>
      </c>
      <c r="J8" s="16" t="n">
        <f aca="false">'Cost model'!M173</f>
        <v>125</v>
      </c>
      <c r="K8" s="16" t="n">
        <f aca="false">'Cost model'!M174</f>
        <v>170</v>
      </c>
      <c r="L8" s="16" t="n">
        <f aca="false">'Cost model'!M175</f>
        <v>195</v>
      </c>
      <c r="N8" s="16" t="n">
        <f aca="false">'Cost model'!M191</f>
        <v>160</v>
      </c>
      <c r="O8" s="16" t="n">
        <f aca="false">'Cost model'!M192</f>
        <v>190</v>
      </c>
      <c r="P8" s="16" t="n">
        <f aca="false">'Cost model'!M193</f>
        <v>230</v>
      </c>
      <c r="R8" s="16" t="n">
        <f aca="false">'Cost model'!M209</f>
        <v>105</v>
      </c>
      <c r="S8" s="16" t="n">
        <f aca="false">'Cost model'!M210</f>
        <v>135</v>
      </c>
      <c r="T8" s="16" t="n">
        <f aca="false">'Cost model'!M211</f>
        <v>175</v>
      </c>
      <c r="V8" s="16" t="n">
        <f aca="false">'Cost model'!M227</f>
        <v>145</v>
      </c>
      <c r="W8" s="16" t="n">
        <f aca="false">'Cost model'!M228</f>
        <v>170</v>
      </c>
      <c r="X8" s="16" t="n">
        <f aca="false">'Cost model'!M229</f>
        <v>205</v>
      </c>
      <c r="Z8" s="16" t="n">
        <f aca="false">'Cost model'!M245</f>
        <v>165</v>
      </c>
      <c r="AA8" s="16" t="n">
        <f aca="false">'Cost model'!M246</f>
        <v>195</v>
      </c>
      <c r="AB8" s="16" t="n">
        <f aca="false">'Cost model'!M247</f>
        <v>235</v>
      </c>
    </row>
    <row r="9" customFormat="false" ht="15" hidden="false" customHeight="false" outlineLevel="0" collapsed="false">
      <c r="A9" s="3" t="s">
        <v>15</v>
      </c>
      <c r="B9" s="16" t="n">
        <f aca="false">'Cost model'!M140</f>
        <v>155</v>
      </c>
      <c r="C9" s="17" t="n">
        <f aca="false">'Cost model'!M141</f>
        <v>230</v>
      </c>
      <c r="D9" s="17" t="n">
        <f aca="false">'Cost model'!M142</f>
        <v>270</v>
      </c>
      <c r="F9" s="16" t="n">
        <f aca="false">'Cost model'!M158</f>
        <v>175</v>
      </c>
      <c r="G9" s="17" t="n">
        <f aca="false">'Cost model'!M159</f>
        <v>255</v>
      </c>
      <c r="H9" s="17" t="n">
        <f aca="false">'Cost model'!M160</f>
        <v>300</v>
      </c>
      <c r="J9" s="16" t="n">
        <f aca="false">'Cost model'!M176</f>
        <v>170</v>
      </c>
      <c r="K9" s="17" t="n">
        <f aca="false">'Cost model'!M177</f>
        <v>255</v>
      </c>
      <c r="L9" s="17" t="n">
        <f aca="false">'Cost model'!M178</f>
        <v>310</v>
      </c>
      <c r="N9" s="16" t="n">
        <f aca="false">'Cost model'!M194</f>
        <v>200</v>
      </c>
      <c r="O9" s="17" t="n">
        <f aca="false">'Cost model'!M195</f>
        <v>300</v>
      </c>
      <c r="P9" s="17" t="n">
        <f aca="false">'Cost model'!M196</f>
        <v>360</v>
      </c>
      <c r="R9" s="16" t="n">
        <f aca="false">'Cost model'!M212</f>
        <v>120</v>
      </c>
      <c r="S9" s="16" t="n">
        <f aca="false">'Cost model'!M213</f>
        <v>155</v>
      </c>
      <c r="T9" s="16" t="n">
        <f aca="false">'Cost model'!M214</f>
        <v>240</v>
      </c>
      <c r="V9" s="16" t="n">
        <f aca="false">'Cost model'!M230</f>
        <v>180</v>
      </c>
      <c r="W9" s="17" t="n">
        <f aca="false">'Cost model'!M231</f>
        <v>270</v>
      </c>
      <c r="X9" s="17" t="n">
        <f aca="false">'Cost model'!M232</f>
        <v>325</v>
      </c>
      <c r="Z9" s="16" t="n">
        <f aca="false">'Cost model'!M248</f>
        <v>210</v>
      </c>
      <c r="AA9" s="17" t="n">
        <f aca="false">'Cost model'!M249</f>
        <v>310</v>
      </c>
      <c r="AB9" s="17" t="n">
        <f aca="false">'Cost model'!M250</f>
        <v>375</v>
      </c>
    </row>
    <row r="10" customFormat="false" ht="15" hidden="false" customHeight="false" outlineLevel="0" collapsed="false">
      <c r="A10" s="3" t="s">
        <v>16</v>
      </c>
      <c r="B10" s="16" t="n">
        <f aca="false">'Cost model'!M143</f>
        <v>235</v>
      </c>
      <c r="C10" s="17" t="n">
        <f aca="false">'Cost model'!M144</f>
        <v>330</v>
      </c>
      <c r="D10" s="17" t="n">
        <f aca="false">'Cost model'!M145</f>
        <v>385</v>
      </c>
      <c r="F10" s="16" t="n">
        <f aca="false">'Cost model'!M161</f>
        <v>230</v>
      </c>
      <c r="G10" s="17" t="n">
        <f aca="false">'Cost model'!M162</f>
        <v>355</v>
      </c>
      <c r="H10" s="17" t="n">
        <f aca="false">'Cost model'!M163</f>
        <v>420</v>
      </c>
      <c r="J10" s="16" t="n">
        <f aca="false">'Cost model'!M179</f>
        <v>240</v>
      </c>
      <c r="K10" s="17" t="n">
        <f aca="false">'Cost model'!M180</f>
        <v>385</v>
      </c>
      <c r="L10" s="17" t="n">
        <f aca="false">'Cost model'!M181</f>
        <v>460</v>
      </c>
      <c r="N10" s="16" t="n">
        <f aca="false">'Cost model'!M197</f>
        <v>280</v>
      </c>
      <c r="O10" s="17" t="n">
        <f aca="false">'Cost model'!M198</f>
        <v>465</v>
      </c>
      <c r="P10" s="17" t="n">
        <f aca="false">'Cost model'!M199</f>
        <v>505</v>
      </c>
      <c r="R10" s="16" t="n">
        <f aca="false">'Cost model'!M215</f>
        <v>135</v>
      </c>
      <c r="S10" s="16" t="n">
        <f aca="false">'Cost model'!M216</f>
        <v>215</v>
      </c>
      <c r="T10" s="16" t="n">
        <f aca="false">'Cost model'!M217</f>
        <v>285</v>
      </c>
      <c r="V10" s="16" t="n">
        <f aca="false">'Cost model'!M233</f>
        <v>250</v>
      </c>
      <c r="W10" s="17" t="n">
        <f aca="false">'Cost model'!M234</f>
        <v>390</v>
      </c>
      <c r="X10" s="17" t="n">
        <f aca="false">'Cost model'!M235</f>
        <v>460</v>
      </c>
      <c r="Z10" s="16" t="n">
        <f aca="false">'Cost model'!M251</f>
        <v>275</v>
      </c>
      <c r="AA10" s="17" t="n">
        <f aca="false">'Cost model'!M252</f>
        <v>445</v>
      </c>
      <c r="AB10" s="17" t="n">
        <f aca="false">'Cost model'!M253</f>
        <v>525</v>
      </c>
    </row>
    <row r="12" customFormat="false" ht="15" hidden="false" customHeight="false" outlineLevel="0" collapsed="false">
      <c r="A12" s="3" t="s">
        <v>85</v>
      </c>
      <c r="B12" s="3" t="s">
        <v>77</v>
      </c>
      <c r="F12" s="3" t="s">
        <v>78</v>
      </c>
      <c r="J12" s="3" t="s">
        <v>79</v>
      </c>
      <c r="N12" s="3" t="s">
        <v>83</v>
      </c>
      <c r="R12" s="3" t="s">
        <v>80</v>
      </c>
      <c r="V12" s="3" t="s">
        <v>82</v>
      </c>
      <c r="Z12" s="3" t="s">
        <v>81</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model'!N128</f>
        <v>15.5</v>
      </c>
      <c r="C14" s="16" t="n">
        <f aca="false">'Cost model'!N129</f>
        <v>18.5</v>
      </c>
      <c r="D14" s="16" t="n">
        <f aca="false">'Cost model'!N130</f>
        <v>25.5</v>
      </c>
      <c r="F14" s="16" t="n">
        <f aca="false">'Cost model'!N146</f>
        <v>17.5</v>
      </c>
      <c r="G14" s="16" t="n">
        <f aca="false">'Cost model'!N147</f>
        <v>19.5</v>
      </c>
      <c r="H14" s="16" t="n">
        <f aca="false">'Cost model'!N148</f>
        <v>29.5</v>
      </c>
      <c r="J14" s="16" t="n">
        <f aca="false">'Cost model'!N164</f>
        <v>16.5</v>
      </c>
      <c r="K14" s="16" t="n">
        <f aca="false">'Cost model'!N165</f>
        <v>21.5</v>
      </c>
      <c r="L14" s="16" t="n">
        <f aca="false">'Cost model'!N166</f>
        <v>25.5</v>
      </c>
      <c r="N14" s="16" t="n">
        <f aca="false">'Cost model'!N182</f>
        <v>21.5</v>
      </c>
      <c r="O14" s="16" t="n">
        <f aca="false">'Cost model'!N183</f>
        <v>23.5</v>
      </c>
      <c r="P14" s="16" t="n">
        <f aca="false">'Cost model'!N184</f>
        <v>35</v>
      </c>
      <c r="R14" s="16" t="n">
        <f aca="false">'Cost model'!N200</f>
        <v>12.5</v>
      </c>
      <c r="S14" s="16" t="n">
        <f aca="false">'Cost model'!N201</f>
        <v>17.5</v>
      </c>
      <c r="T14" s="16" t="n">
        <f aca="false">'Cost model'!N202</f>
        <v>23.5</v>
      </c>
      <c r="V14" s="16" t="n">
        <f aca="false">'Cost model'!N218</f>
        <v>17.5</v>
      </c>
      <c r="W14" s="16" t="n">
        <f aca="false">'Cost model'!N219</f>
        <v>19.5</v>
      </c>
      <c r="X14" s="16" t="n">
        <f aca="false">'Cost model'!N220</f>
        <v>35</v>
      </c>
      <c r="Z14" s="16" t="n">
        <f aca="false">'Cost model'!N236</f>
        <v>23.5</v>
      </c>
      <c r="AA14" s="16" t="n">
        <f aca="false">'Cost model'!N237</f>
        <v>25.5</v>
      </c>
      <c r="AB14" s="16" t="n">
        <f aca="false">'Cost model'!N238</f>
        <v>35</v>
      </c>
    </row>
    <row r="15" customFormat="false" ht="15" hidden="false" customHeight="false" outlineLevel="0" collapsed="false">
      <c r="A15" s="3" t="s">
        <v>12</v>
      </c>
      <c r="B15" s="16" t="n">
        <f aca="false">'Cost model'!N131</f>
        <v>55</v>
      </c>
      <c r="C15" s="16" t="n">
        <f aca="false">'Cost model'!N132</f>
        <v>65</v>
      </c>
      <c r="D15" s="16" t="n">
        <f aca="false">'Cost model'!N133</f>
        <v>70</v>
      </c>
      <c r="F15" s="16" t="n">
        <f aca="false">'Cost model'!N149</f>
        <v>60</v>
      </c>
      <c r="G15" s="16" t="n">
        <f aca="false">'Cost model'!N150</f>
        <v>70</v>
      </c>
      <c r="H15" s="16" t="n">
        <f aca="false">'Cost model'!N151</f>
        <v>70</v>
      </c>
      <c r="J15" s="16" t="n">
        <f aca="false">'Cost model'!N167</f>
        <v>80</v>
      </c>
      <c r="K15" s="16" t="n">
        <f aca="false">'Cost model'!N168</f>
        <v>80</v>
      </c>
      <c r="L15" s="16" t="n">
        <f aca="false">'Cost model'!N169</f>
        <v>80</v>
      </c>
      <c r="N15" s="16" t="n">
        <f aca="false">'Cost model'!N185</f>
        <v>70</v>
      </c>
      <c r="O15" s="16" t="n">
        <f aca="false">'Cost model'!N186</f>
        <v>70</v>
      </c>
      <c r="P15" s="16" t="n">
        <f aca="false">'Cost model'!N187</f>
        <v>95</v>
      </c>
      <c r="R15" s="16" t="n">
        <f aca="false">'Cost model'!N203</f>
        <v>35</v>
      </c>
      <c r="S15" s="16" t="n">
        <f aca="false">'Cost model'!N204</f>
        <v>60</v>
      </c>
      <c r="T15" s="16" t="n">
        <f aca="false">'Cost model'!N205</f>
        <v>65</v>
      </c>
      <c r="V15" s="16" t="n">
        <f aca="false">'Cost model'!N221</f>
        <v>65</v>
      </c>
      <c r="W15" s="16" t="n">
        <f aca="false">'Cost model'!N222</f>
        <v>80</v>
      </c>
      <c r="X15" s="16" t="n">
        <f aca="false">'Cost model'!N223</f>
        <v>90</v>
      </c>
      <c r="Z15" s="16" t="n">
        <f aca="false">'Cost model'!N239</f>
        <v>70</v>
      </c>
      <c r="AA15" s="16" t="n">
        <f aca="false">'Cost model'!N240</f>
        <v>70</v>
      </c>
      <c r="AB15" s="16" t="n">
        <f aca="false">'Cost model'!N241</f>
        <v>95</v>
      </c>
    </row>
    <row r="16" customFormat="false" ht="15" hidden="false" customHeight="false" outlineLevel="0" collapsed="false">
      <c r="A16" s="3" t="s">
        <v>13</v>
      </c>
      <c r="B16" s="16" t="n">
        <f aca="false">'Cost model'!N134</f>
        <v>110</v>
      </c>
      <c r="C16" s="16" t="n">
        <f aca="false">'Cost model'!N135</f>
        <v>110</v>
      </c>
      <c r="D16" s="16" t="n">
        <f aca="false">'Cost model'!N136</f>
        <v>145</v>
      </c>
      <c r="F16" s="16" t="n">
        <f aca="false">'Cost model'!N152</f>
        <v>90</v>
      </c>
      <c r="G16" s="16" t="n">
        <f aca="false">'Cost model'!N153</f>
        <v>135</v>
      </c>
      <c r="H16" s="16" t="n">
        <f aca="false">'Cost model'!N154</f>
        <v>180</v>
      </c>
      <c r="J16" s="16" t="n">
        <f aca="false">'Cost model'!N170</f>
        <v>110</v>
      </c>
      <c r="K16" s="16" t="n">
        <f aca="false">'Cost model'!N171</f>
        <v>125</v>
      </c>
      <c r="L16" s="16" t="n">
        <f aca="false">'Cost model'!N172</f>
        <v>160</v>
      </c>
      <c r="N16" s="16" t="n">
        <f aca="false">'Cost model'!N188</f>
        <v>130</v>
      </c>
      <c r="O16" s="16" t="n">
        <f aca="false">'Cost model'!N189</f>
        <v>145</v>
      </c>
      <c r="P16" s="16" t="n">
        <f aca="false">'Cost model'!N190</f>
        <v>190</v>
      </c>
      <c r="R16" s="16" t="n">
        <f aca="false">'Cost model'!N206</f>
        <v>75</v>
      </c>
      <c r="S16" s="16" t="n">
        <f aca="false">'Cost model'!N207</f>
        <v>105</v>
      </c>
      <c r="T16" s="16" t="n">
        <f aca="false">'Cost model'!N208</f>
        <v>110</v>
      </c>
      <c r="V16" s="16" t="n">
        <f aca="false">'Cost model'!N224</f>
        <v>115</v>
      </c>
      <c r="W16" s="16" t="n">
        <f aca="false">'Cost model'!N225</f>
        <v>130</v>
      </c>
      <c r="X16" s="16" t="n">
        <f aca="false">'Cost model'!N226</f>
        <v>170</v>
      </c>
      <c r="Z16" s="16" t="n">
        <f aca="false">'Cost model'!N242</f>
        <v>130</v>
      </c>
      <c r="AA16" s="16" t="n">
        <f aca="false">'Cost model'!N243</f>
        <v>150</v>
      </c>
      <c r="AB16" s="16" t="n">
        <f aca="false">'Cost model'!N244</f>
        <v>200</v>
      </c>
    </row>
    <row r="17" customFormat="false" ht="15" hidden="false" customHeight="false" outlineLevel="0" collapsed="false">
      <c r="A17" s="3" t="s">
        <v>14</v>
      </c>
      <c r="B17" s="16" t="n">
        <f aca="false">'Cost model'!N137</f>
        <v>145</v>
      </c>
      <c r="C17" s="16" t="n">
        <f aca="false">'Cost model'!N138</f>
        <v>180</v>
      </c>
      <c r="D17" s="16" t="n">
        <f aca="false">'Cost model'!N139</f>
        <v>205</v>
      </c>
      <c r="F17" s="16" t="n">
        <f aca="false">'Cost model'!N155</f>
        <v>150</v>
      </c>
      <c r="G17" s="16" t="n">
        <f aca="false">'Cost model'!N156</f>
        <v>175</v>
      </c>
      <c r="H17" s="16" t="n">
        <f aca="false">'Cost model'!N157</f>
        <v>235</v>
      </c>
      <c r="J17" s="16" t="n">
        <f aca="false">'Cost model'!N173</f>
        <v>150</v>
      </c>
      <c r="K17" s="16" t="n">
        <f aca="false">'Cost model'!N174</f>
        <v>205</v>
      </c>
      <c r="L17" s="16" t="n">
        <f aca="false">'Cost model'!N175</f>
        <v>235</v>
      </c>
      <c r="N17" s="16" t="n">
        <f aca="false">'Cost model'!N191</f>
        <v>195</v>
      </c>
      <c r="O17" s="16" t="n">
        <f aca="false">'Cost model'!N192</f>
        <v>230</v>
      </c>
      <c r="P17" s="16" t="n">
        <f aca="false">'Cost model'!N193</f>
        <v>280</v>
      </c>
      <c r="R17" s="16" t="n">
        <f aca="false">'Cost model'!N209</f>
        <v>130</v>
      </c>
      <c r="S17" s="16" t="n">
        <f aca="false">'Cost model'!N210</f>
        <v>165</v>
      </c>
      <c r="T17" s="16" t="n">
        <f aca="false">'Cost model'!N211</f>
        <v>210</v>
      </c>
      <c r="V17" s="16" t="n">
        <f aca="false">'Cost model'!N227</f>
        <v>175</v>
      </c>
      <c r="W17" s="16" t="n">
        <f aca="false">'Cost model'!N228</f>
        <v>205</v>
      </c>
      <c r="X17" s="16" t="n">
        <f aca="false">'Cost model'!N229</f>
        <v>250</v>
      </c>
      <c r="Z17" s="16" t="n">
        <f aca="false">'Cost model'!N245</f>
        <v>200</v>
      </c>
      <c r="AA17" s="16" t="n">
        <f aca="false">'Cost model'!N246</f>
        <v>235</v>
      </c>
      <c r="AB17" s="16" t="n">
        <f aca="false">'Cost model'!N247</f>
        <v>285</v>
      </c>
    </row>
    <row r="18" customFormat="false" ht="15" hidden="false" customHeight="false" outlineLevel="0" collapsed="false">
      <c r="A18" s="3" t="s">
        <v>15</v>
      </c>
      <c r="B18" s="16" t="n">
        <f aca="false">'Cost model'!N140</f>
        <v>190</v>
      </c>
      <c r="C18" s="17" t="n">
        <f aca="false">'Cost model'!N141</f>
        <v>230</v>
      </c>
      <c r="D18" s="17" t="n">
        <f aca="false">'Cost model'!N142</f>
        <v>270</v>
      </c>
      <c r="F18" s="16" t="n">
        <f aca="false">'Cost model'!N158</f>
        <v>210</v>
      </c>
      <c r="G18" s="17" t="n">
        <f aca="false">'Cost model'!N159</f>
        <v>255</v>
      </c>
      <c r="H18" s="17" t="n">
        <f aca="false">'Cost model'!N160</f>
        <v>300</v>
      </c>
      <c r="J18" s="16" t="n">
        <f aca="false">'Cost model'!N176</f>
        <v>205</v>
      </c>
      <c r="K18" s="17" t="n">
        <f aca="false">'Cost model'!N177</f>
        <v>255</v>
      </c>
      <c r="L18" s="17" t="n">
        <f aca="false">'Cost model'!N178</f>
        <v>310</v>
      </c>
      <c r="N18" s="16" t="n">
        <f aca="false">'Cost model'!N194</f>
        <v>240</v>
      </c>
      <c r="O18" s="17" t="n">
        <f aca="false">'Cost model'!N195</f>
        <v>300</v>
      </c>
      <c r="P18" s="17" t="n">
        <f aca="false">'Cost model'!N196</f>
        <v>360</v>
      </c>
      <c r="R18" s="16" t="n">
        <f aca="false">'Cost model'!N212</f>
        <v>145</v>
      </c>
      <c r="S18" s="16" t="n">
        <f aca="false">'Cost model'!N213</f>
        <v>190</v>
      </c>
      <c r="T18" s="16" t="n">
        <f aca="false">'Cost model'!N214</f>
        <v>290</v>
      </c>
      <c r="V18" s="16" t="n">
        <f aca="false">'Cost model'!N230</f>
        <v>220</v>
      </c>
      <c r="W18" s="17" t="n">
        <f aca="false">'Cost model'!N231</f>
        <v>270</v>
      </c>
      <c r="X18" s="17" t="n">
        <f aca="false">'Cost model'!N232</f>
        <v>325</v>
      </c>
      <c r="Z18" s="16" t="n">
        <f aca="false">'Cost model'!N248</f>
        <v>255</v>
      </c>
      <c r="AA18" s="17" t="n">
        <f aca="false">'Cost model'!N249</f>
        <v>310</v>
      </c>
      <c r="AB18" s="17" t="n">
        <f aca="false">'Cost model'!N250</f>
        <v>375</v>
      </c>
    </row>
    <row r="19" customFormat="false" ht="15" hidden="false" customHeight="false" outlineLevel="0" collapsed="false">
      <c r="A19" s="3" t="s">
        <v>16</v>
      </c>
      <c r="B19" s="16" t="n">
        <f aca="false">'Cost model'!N143</f>
        <v>285</v>
      </c>
      <c r="C19" s="17" t="n">
        <f aca="false">'Cost model'!N144</f>
        <v>330</v>
      </c>
      <c r="D19" s="17" t="n">
        <f aca="false">'Cost model'!N145</f>
        <v>385</v>
      </c>
      <c r="F19" s="16" t="n">
        <f aca="false">'Cost model'!N161</f>
        <v>280</v>
      </c>
      <c r="G19" s="17" t="n">
        <f aca="false">'Cost model'!N162</f>
        <v>355</v>
      </c>
      <c r="H19" s="17" t="n">
        <f aca="false">'Cost model'!N163</f>
        <v>420</v>
      </c>
      <c r="J19" s="16" t="n">
        <f aca="false">'Cost model'!N179</f>
        <v>290</v>
      </c>
      <c r="K19" s="17" t="n">
        <f aca="false">'Cost model'!N180</f>
        <v>385</v>
      </c>
      <c r="L19" s="17" t="n">
        <f aca="false">'Cost model'!N181</f>
        <v>460</v>
      </c>
      <c r="N19" s="16" t="n">
        <f aca="false">'Cost model'!N197</f>
        <v>340</v>
      </c>
      <c r="O19" s="17" t="n">
        <f aca="false">'Cost model'!N198</f>
        <v>465</v>
      </c>
      <c r="P19" s="17" t="n">
        <f aca="false">'Cost model'!N199</f>
        <v>505</v>
      </c>
      <c r="R19" s="16" t="n">
        <f aca="false">'Cost model'!N215</f>
        <v>165</v>
      </c>
      <c r="S19" s="16" t="n">
        <f aca="false">'Cost model'!N216</f>
        <v>260</v>
      </c>
      <c r="T19" s="16" t="n">
        <f aca="false">'Cost model'!N217</f>
        <v>345</v>
      </c>
      <c r="V19" s="16" t="n">
        <f aca="false">'Cost model'!N233</f>
        <v>300</v>
      </c>
      <c r="W19" s="17" t="n">
        <f aca="false">'Cost model'!N234</f>
        <v>390</v>
      </c>
      <c r="X19" s="17" t="n">
        <f aca="false">'Cost model'!N235</f>
        <v>460</v>
      </c>
      <c r="Z19" s="16" t="n">
        <f aca="false">'Cost model'!N251</f>
        <v>330</v>
      </c>
      <c r="AA19" s="17" t="n">
        <f aca="false">'Cost model'!N252</f>
        <v>445</v>
      </c>
      <c r="AB19" s="17" t="n">
        <f aca="false">'Cost model'!N253</f>
        <v>525</v>
      </c>
    </row>
    <row r="21" customFormat="false" ht="17.35" hidden="false" customHeight="false" outlineLevel="0" collapsed="false">
      <c r="A21" s="1" t="s">
        <v>95</v>
      </c>
    </row>
    <row r="23" customFormat="false" ht="15" hidden="false" customHeight="false" outlineLevel="0" collapsed="false">
      <c r="A23" s="3" t="s">
        <v>76</v>
      </c>
      <c r="B23" s="3" t="s">
        <v>77</v>
      </c>
      <c r="F23" s="3" t="s">
        <v>78</v>
      </c>
      <c r="J23" s="3" t="s">
        <v>79</v>
      </c>
      <c r="N23" s="3" t="s">
        <v>83</v>
      </c>
      <c r="R23" s="3" t="s">
        <v>80</v>
      </c>
      <c r="V23" s="3" t="s">
        <v>82</v>
      </c>
      <c r="Z23" s="3" t="s">
        <v>81</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92</v>
      </c>
      <c r="C25" s="18" t="s">
        <v>89</v>
      </c>
      <c r="D25" s="18" t="s">
        <v>87</v>
      </c>
      <c r="F25" s="18" t="s">
        <v>92</v>
      </c>
      <c r="G25" s="18" t="s">
        <v>89</v>
      </c>
      <c r="H25" s="18" t="s">
        <v>87</v>
      </c>
      <c r="J25" s="18" t="s">
        <v>87</v>
      </c>
      <c r="K25" s="18" t="s">
        <v>87</v>
      </c>
      <c r="L25" s="18" t="s">
        <v>87</v>
      </c>
      <c r="N25" s="18" t="s">
        <v>96</v>
      </c>
      <c r="O25" s="18" t="s">
        <v>96</v>
      </c>
      <c r="P25" s="18" t="s">
        <v>96</v>
      </c>
      <c r="R25" s="18" t="s">
        <v>92</v>
      </c>
      <c r="S25" s="18" t="s">
        <v>89</v>
      </c>
      <c r="T25" s="18" t="s">
        <v>87</v>
      </c>
      <c r="V25" s="18" t="s">
        <v>90</v>
      </c>
      <c r="W25" s="18" t="s">
        <v>90</v>
      </c>
      <c r="X25" s="18" t="s">
        <v>90</v>
      </c>
      <c r="Z25" s="18" t="s">
        <v>90</v>
      </c>
      <c r="AA25" s="18" t="s">
        <v>90</v>
      </c>
      <c r="AB25" s="18" t="s">
        <v>90</v>
      </c>
    </row>
    <row r="26" customFormat="false" ht="15" hidden="false" customHeight="false" outlineLevel="0" collapsed="false">
      <c r="A26" s="3" t="s">
        <v>12</v>
      </c>
      <c r="B26" s="18" t="s">
        <v>92</v>
      </c>
      <c r="C26" s="18" t="s">
        <v>89</v>
      </c>
      <c r="D26" s="18" t="s">
        <v>87</v>
      </c>
      <c r="F26" s="18" t="s">
        <v>92</v>
      </c>
      <c r="G26" s="18" t="s">
        <v>89</v>
      </c>
      <c r="H26" s="18" t="s">
        <v>87</v>
      </c>
      <c r="J26" s="18" t="s">
        <v>87</v>
      </c>
      <c r="K26" s="18" t="s">
        <v>87</v>
      </c>
      <c r="L26" s="18" t="s">
        <v>87</v>
      </c>
      <c r="N26" s="18" t="s">
        <v>96</v>
      </c>
      <c r="O26" s="18" t="s">
        <v>96</v>
      </c>
      <c r="P26" s="18" t="s">
        <v>96</v>
      </c>
      <c r="R26" s="18" t="s">
        <v>92</v>
      </c>
      <c r="S26" s="18" t="s">
        <v>89</v>
      </c>
      <c r="T26" s="18" t="s">
        <v>87</v>
      </c>
      <c r="V26" s="18" t="s">
        <v>90</v>
      </c>
      <c r="W26" s="18" t="s">
        <v>90</v>
      </c>
      <c r="X26" s="18" t="s">
        <v>90</v>
      </c>
      <c r="Z26" s="18" t="s">
        <v>90</v>
      </c>
      <c r="AA26" s="18" t="s">
        <v>90</v>
      </c>
      <c r="AB26" s="18" t="s">
        <v>90</v>
      </c>
    </row>
    <row r="27" customFormat="false" ht="15" hidden="false" customHeight="false" outlineLevel="0" collapsed="false">
      <c r="A27" s="3" t="s">
        <v>13</v>
      </c>
      <c r="B27" s="18" t="s">
        <v>92</v>
      </c>
      <c r="C27" s="18" t="s">
        <v>89</v>
      </c>
      <c r="D27" s="18" t="s">
        <v>88</v>
      </c>
      <c r="F27" s="18" t="s">
        <v>92</v>
      </c>
      <c r="G27" s="18" t="s">
        <v>89</v>
      </c>
      <c r="H27" s="18" t="s">
        <v>88</v>
      </c>
      <c r="J27" s="18" t="s">
        <v>88</v>
      </c>
      <c r="K27" s="18" t="s">
        <v>88</v>
      </c>
      <c r="L27" s="18" t="s">
        <v>91</v>
      </c>
      <c r="N27" s="18" t="s">
        <v>96</v>
      </c>
      <c r="O27" s="18" t="s">
        <v>96</v>
      </c>
      <c r="P27" s="18" t="s">
        <v>96</v>
      </c>
      <c r="R27" s="18" t="s">
        <v>92</v>
      </c>
      <c r="S27" s="18" t="s">
        <v>89</v>
      </c>
      <c r="T27" s="18" t="s">
        <v>88</v>
      </c>
      <c r="V27" s="18" t="s">
        <v>90</v>
      </c>
      <c r="W27" s="18" t="s">
        <v>90</v>
      </c>
      <c r="X27" s="18" t="s">
        <v>90</v>
      </c>
      <c r="Z27" s="18" t="s">
        <v>90</v>
      </c>
      <c r="AA27" s="18" t="s">
        <v>90</v>
      </c>
      <c r="AB27" s="18" t="s">
        <v>90</v>
      </c>
    </row>
    <row r="28" customFormat="false" ht="15" hidden="false" customHeight="false" outlineLevel="0" collapsed="false">
      <c r="A28" s="3" t="s">
        <v>14</v>
      </c>
      <c r="B28" s="18" t="s">
        <v>87</v>
      </c>
      <c r="C28" s="18" t="s">
        <v>87</v>
      </c>
      <c r="D28" s="18" t="s">
        <v>91</v>
      </c>
      <c r="F28" s="18" t="s">
        <v>87</v>
      </c>
      <c r="G28" s="18" t="s">
        <v>87</v>
      </c>
      <c r="H28" s="18" t="s">
        <v>91</v>
      </c>
      <c r="J28" s="18" t="s">
        <v>91</v>
      </c>
      <c r="K28" s="18" t="s">
        <v>91</v>
      </c>
      <c r="L28" s="18" t="s">
        <v>91</v>
      </c>
      <c r="N28" s="18" t="s">
        <v>96</v>
      </c>
      <c r="O28" s="18" t="s">
        <v>96</v>
      </c>
      <c r="P28" s="18" t="s">
        <v>96</v>
      </c>
      <c r="R28" s="18" t="s">
        <v>87</v>
      </c>
      <c r="S28" s="18" t="s">
        <v>87</v>
      </c>
      <c r="T28" s="18" t="s">
        <v>91</v>
      </c>
      <c r="V28" s="18" t="s">
        <v>90</v>
      </c>
      <c r="W28" s="18" t="s">
        <v>90</v>
      </c>
      <c r="X28" s="18" t="s">
        <v>90</v>
      </c>
      <c r="Z28" s="18" t="s">
        <v>90</v>
      </c>
      <c r="AA28" s="18" t="s">
        <v>90</v>
      </c>
      <c r="AB28" s="18" t="s">
        <v>90</v>
      </c>
    </row>
    <row r="29" customFormat="false" ht="15" hidden="false" customHeight="false" outlineLevel="0" collapsed="false">
      <c r="A29" s="3" t="s">
        <v>15</v>
      </c>
      <c r="B29" s="18" t="s">
        <v>87</v>
      </c>
      <c r="C29" s="18" t="s">
        <v>87</v>
      </c>
      <c r="D29" s="18" t="s">
        <v>91</v>
      </c>
      <c r="F29" s="18" t="s">
        <v>87</v>
      </c>
      <c r="G29" s="18" t="s">
        <v>87</v>
      </c>
      <c r="H29" s="18" t="s">
        <v>91</v>
      </c>
      <c r="J29" s="18" t="s">
        <v>91</v>
      </c>
      <c r="K29" s="18" t="s">
        <v>91</v>
      </c>
      <c r="L29" s="18" t="s">
        <v>91</v>
      </c>
      <c r="N29" s="18" t="s">
        <v>96</v>
      </c>
      <c r="O29" s="18" t="s">
        <v>96</v>
      </c>
      <c r="P29" s="18" t="s">
        <v>96</v>
      </c>
      <c r="R29" s="18" t="s">
        <v>87</v>
      </c>
      <c r="S29" s="18" t="s">
        <v>87</v>
      </c>
      <c r="T29" s="18" t="s">
        <v>91</v>
      </c>
      <c r="V29" s="18" t="s">
        <v>90</v>
      </c>
      <c r="W29" s="18" t="s">
        <v>90</v>
      </c>
      <c r="X29" s="18" t="s">
        <v>90</v>
      </c>
      <c r="Z29" s="18" t="s">
        <v>90</v>
      </c>
      <c r="AA29" s="18" t="s">
        <v>90</v>
      </c>
      <c r="AB29" s="18" t="s">
        <v>90</v>
      </c>
    </row>
    <row r="30" customFormat="false" ht="15" hidden="false" customHeight="false" outlineLevel="0" collapsed="false">
      <c r="A30" s="3" t="s">
        <v>16</v>
      </c>
      <c r="B30" s="18" t="s">
        <v>87</v>
      </c>
      <c r="C30" s="18" t="s">
        <v>87</v>
      </c>
      <c r="D30" s="18" t="s">
        <v>91</v>
      </c>
      <c r="F30" s="18" t="s">
        <v>87</v>
      </c>
      <c r="G30" s="18" t="s">
        <v>87</v>
      </c>
      <c r="H30" s="18" t="s">
        <v>91</v>
      </c>
      <c r="J30" s="18" t="s">
        <v>91</v>
      </c>
      <c r="K30" s="18" t="s">
        <v>91</v>
      </c>
      <c r="L30" s="18" t="s">
        <v>91</v>
      </c>
      <c r="N30" s="18" t="s">
        <v>96</v>
      </c>
      <c r="O30" s="18" t="s">
        <v>96</v>
      </c>
      <c r="P30" s="18" t="s">
        <v>96</v>
      </c>
      <c r="R30" s="18" t="s">
        <v>87</v>
      </c>
      <c r="S30" s="18" t="s">
        <v>87</v>
      </c>
      <c r="T30" s="18" t="s">
        <v>91</v>
      </c>
      <c r="V30" s="18" t="s">
        <v>90</v>
      </c>
      <c r="W30" s="18" t="s">
        <v>90</v>
      </c>
      <c r="X30" s="18" t="s">
        <v>90</v>
      </c>
      <c r="Z30" s="18" t="s">
        <v>90</v>
      </c>
      <c r="AA30" s="18" t="s">
        <v>90</v>
      </c>
      <c r="AB30" s="18" t="s">
        <v>90</v>
      </c>
    </row>
    <row r="32" customFormat="false" ht="15" hidden="false" customHeight="false" outlineLevel="0" collapsed="false">
      <c r="A32" s="3" t="s">
        <v>85</v>
      </c>
      <c r="B32" s="3" t="s">
        <v>77</v>
      </c>
      <c r="F32" s="3" t="s">
        <v>78</v>
      </c>
      <c r="J32" s="3" t="s">
        <v>79</v>
      </c>
      <c r="N32" s="3" t="s">
        <v>83</v>
      </c>
      <c r="R32" s="3" t="s">
        <v>80</v>
      </c>
      <c r="V32" s="3" t="s">
        <v>82</v>
      </c>
      <c r="Z32" s="3" t="s">
        <v>81</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92</v>
      </c>
      <c r="C34" s="18" t="s">
        <v>92</v>
      </c>
      <c r="D34" s="18" t="s">
        <v>89</v>
      </c>
      <c r="F34" s="18" t="s">
        <v>92</v>
      </c>
      <c r="G34" s="18" t="s">
        <v>92</v>
      </c>
      <c r="H34" s="18" t="s">
        <v>89</v>
      </c>
      <c r="J34" s="18" t="s">
        <v>92</v>
      </c>
      <c r="K34" s="18" t="s">
        <v>92</v>
      </c>
      <c r="L34" s="18" t="s">
        <v>87</v>
      </c>
      <c r="N34" s="18" t="s">
        <v>92</v>
      </c>
      <c r="O34" s="18" t="s">
        <v>92</v>
      </c>
      <c r="P34" s="18" t="s">
        <v>87</v>
      </c>
      <c r="R34" s="18" t="s">
        <v>92</v>
      </c>
      <c r="S34" s="18" t="s">
        <v>92</v>
      </c>
      <c r="T34" s="18" t="s">
        <v>89</v>
      </c>
      <c r="V34" s="18" t="s">
        <v>92</v>
      </c>
      <c r="W34" s="18" t="s">
        <v>92</v>
      </c>
      <c r="X34" s="18" t="s">
        <v>87</v>
      </c>
      <c r="Z34" s="18" t="s">
        <v>92</v>
      </c>
      <c r="AA34" s="18" t="s">
        <v>92</v>
      </c>
      <c r="AB34" s="18" t="s">
        <v>87</v>
      </c>
    </row>
    <row r="35" customFormat="false" ht="15" hidden="false" customHeight="false" outlineLevel="0" collapsed="false">
      <c r="A35" s="3" t="s">
        <v>12</v>
      </c>
      <c r="B35" s="18" t="s">
        <v>92</v>
      </c>
      <c r="C35" s="18" t="s">
        <v>92</v>
      </c>
      <c r="D35" s="18" t="s">
        <v>89</v>
      </c>
      <c r="F35" s="18" t="s">
        <v>92</v>
      </c>
      <c r="G35" s="18" t="s">
        <v>92</v>
      </c>
      <c r="H35" s="18" t="s">
        <v>89</v>
      </c>
      <c r="J35" s="18" t="s">
        <v>92</v>
      </c>
      <c r="K35" s="18" t="s">
        <v>92</v>
      </c>
      <c r="L35" s="18" t="s">
        <v>87</v>
      </c>
      <c r="N35" s="18" t="s">
        <v>92</v>
      </c>
      <c r="O35" s="18" t="s">
        <v>92</v>
      </c>
      <c r="P35" s="18" t="s">
        <v>87</v>
      </c>
      <c r="R35" s="18" t="s">
        <v>92</v>
      </c>
      <c r="S35" s="18" t="s">
        <v>92</v>
      </c>
      <c r="T35" s="18" t="s">
        <v>89</v>
      </c>
      <c r="V35" s="18" t="s">
        <v>92</v>
      </c>
      <c r="W35" s="18" t="s">
        <v>92</v>
      </c>
      <c r="X35" s="18" t="s">
        <v>87</v>
      </c>
      <c r="Z35" s="18" t="s">
        <v>92</v>
      </c>
      <c r="AA35" s="18" t="s">
        <v>92</v>
      </c>
      <c r="AB35" s="18" t="s">
        <v>87</v>
      </c>
    </row>
    <row r="36" customFormat="false" ht="15" hidden="false" customHeight="false" outlineLevel="0" collapsed="false">
      <c r="A36" s="3" t="s">
        <v>13</v>
      </c>
      <c r="B36" s="18" t="s">
        <v>92</v>
      </c>
      <c r="C36" s="18" t="s">
        <v>92</v>
      </c>
      <c r="D36" s="18" t="s">
        <v>93</v>
      </c>
      <c r="F36" s="18" t="s">
        <v>92</v>
      </c>
      <c r="G36" s="18" t="s">
        <v>92</v>
      </c>
      <c r="H36" s="18" t="s">
        <v>93</v>
      </c>
      <c r="J36" s="18" t="s">
        <v>87</v>
      </c>
      <c r="K36" s="18" t="s">
        <v>87</v>
      </c>
      <c r="L36" s="18" t="s">
        <v>91</v>
      </c>
      <c r="N36" s="18" t="s">
        <v>96</v>
      </c>
      <c r="O36" s="18" t="s">
        <v>96</v>
      </c>
      <c r="P36" s="18" t="s">
        <v>90</v>
      </c>
      <c r="R36" s="18" t="s">
        <v>92</v>
      </c>
      <c r="S36" s="18" t="s">
        <v>92</v>
      </c>
      <c r="T36" s="18" t="s">
        <v>93</v>
      </c>
      <c r="V36" s="18" t="s">
        <v>90</v>
      </c>
      <c r="W36" s="18" t="s">
        <v>90</v>
      </c>
      <c r="X36" s="18" t="s">
        <v>90</v>
      </c>
      <c r="Z36" s="18" t="s">
        <v>90</v>
      </c>
      <c r="AA36" s="18" t="s">
        <v>90</v>
      </c>
      <c r="AB36" s="18" t="s">
        <v>90</v>
      </c>
    </row>
    <row r="37" customFormat="false" ht="15" hidden="false" customHeight="false" outlineLevel="0" collapsed="false">
      <c r="A37" s="3" t="s">
        <v>14</v>
      </c>
      <c r="B37" s="18" t="s">
        <v>89</v>
      </c>
      <c r="C37" s="18" t="s">
        <v>89</v>
      </c>
      <c r="D37" s="18" t="s">
        <v>93</v>
      </c>
      <c r="F37" s="18" t="s">
        <v>89</v>
      </c>
      <c r="G37" s="18" t="s">
        <v>89</v>
      </c>
      <c r="H37" s="18" t="s">
        <v>93</v>
      </c>
      <c r="J37" s="18" t="s">
        <v>88</v>
      </c>
      <c r="K37" s="18" t="s">
        <v>88</v>
      </c>
      <c r="L37" s="18" t="s">
        <v>91</v>
      </c>
      <c r="N37" s="18" t="s">
        <v>96</v>
      </c>
      <c r="O37" s="18" t="s">
        <v>96</v>
      </c>
      <c r="P37" s="18" t="s">
        <v>90</v>
      </c>
      <c r="R37" s="18" t="s">
        <v>89</v>
      </c>
      <c r="S37" s="18" t="s">
        <v>89</v>
      </c>
      <c r="T37" s="18" t="s">
        <v>93</v>
      </c>
      <c r="V37" s="18" t="s">
        <v>90</v>
      </c>
      <c r="W37" s="18" t="s">
        <v>90</v>
      </c>
      <c r="X37" s="18" t="s">
        <v>90</v>
      </c>
      <c r="Z37" s="18" t="s">
        <v>90</v>
      </c>
      <c r="AA37" s="18" t="s">
        <v>90</v>
      </c>
      <c r="AB37" s="18" t="s">
        <v>90</v>
      </c>
    </row>
    <row r="38" customFormat="false" ht="15" hidden="false" customHeight="false" outlineLevel="0" collapsed="false">
      <c r="A38" s="3" t="s">
        <v>15</v>
      </c>
      <c r="B38" s="18" t="s">
        <v>89</v>
      </c>
      <c r="C38" s="18" t="s">
        <v>89</v>
      </c>
      <c r="D38" s="18" t="s">
        <v>93</v>
      </c>
      <c r="F38" s="18" t="s">
        <v>89</v>
      </c>
      <c r="G38" s="18" t="s">
        <v>89</v>
      </c>
      <c r="H38" s="18" t="s">
        <v>93</v>
      </c>
      <c r="J38" s="18" t="s">
        <v>88</v>
      </c>
      <c r="K38" s="18" t="s">
        <v>88</v>
      </c>
      <c r="L38" s="18" t="s">
        <v>91</v>
      </c>
      <c r="N38" s="18" t="s">
        <v>96</v>
      </c>
      <c r="O38" s="18" t="s">
        <v>96</v>
      </c>
      <c r="P38" s="18" t="s">
        <v>90</v>
      </c>
      <c r="R38" s="18" t="s">
        <v>89</v>
      </c>
      <c r="S38" s="18" t="s">
        <v>89</v>
      </c>
      <c r="T38" s="18" t="s">
        <v>93</v>
      </c>
      <c r="V38" s="18" t="s">
        <v>90</v>
      </c>
      <c r="W38" s="18" t="s">
        <v>90</v>
      </c>
      <c r="X38" s="18" t="s">
        <v>90</v>
      </c>
      <c r="Z38" s="18" t="s">
        <v>90</v>
      </c>
      <c r="AA38" s="18" t="s">
        <v>90</v>
      </c>
      <c r="AB38" s="18" t="s">
        <v>90</v>
      </c>
    </row>
    <row r="39" customFormat="false" ht="15" hidden="false" customHeight="false" outlineLevel="0" collapsed="false">
      <c r="A39" s="3" t="s">
        <v>16</v>
      </c>
      <c r="B39" s="18" t="s">
        <v>89</v>
      </c>
      <c r="C39" s="18" t="s">
        <v>89</v>
      </c>
      <c r="D39" s="18" t="s">
        <v>93</v>
      </c>
      <c r="F39" s="18" t="s">
        <v>89</v>
      </c>
      <c r="G39" s="18" t="s">
        <v>89</v>
      </c>
      <c r="H39" s="18" t="s">
        <v>93</v>
      </c>
      <c r="J39" s="18" t="s">
        <v>88</v>
      </c>
      <c r="K39" s="18" t="s">
        <v>88</v>
      </c>
      <c r="L39" s="18" t="s">
        <v>91</v>
      </c>
      <c r="N39" s="18" t="s">
        <v>96</v>
      </c>
      <c r="O39" s="18" t="s">
        <v>96</v>
      </c>
      <c r="P39" s="18" t="s">
        <v>90</v>
      </c>
      <c r="R39" s="18" t="s">
        <v>89</v>
      </c>
      <c r="S39" s="18" t="s">
        <v>89</v>
      </c>
      <c r="T39" s="18" t="s">
        <v>93</v>
      </c>
      <c r="V39" s="18" t="s">
        <v>90</v>
      </c>
      <c r="W39" s="18" t="s">
        <v>90</v>
      </c>
      <c r="X39" s="18" t="s">
        <v>90</v>
      </c>
      <c r="Z39" s="18" t="s">
        <v>90</v>
      </c>
      <c r="AA39" s="18" t="s">
        <v>90</v>
      </c>
      <c r="AB39" s="18"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97</v>
      </c>
    </row>
    <row r="3" customFormat="false" ht="15" hidden="false" customHeight="false" outlineLevel="0" collapsed="false">
      <c r="A3" s="3" t="s">
        <v>76</v>
      </c>
      <c r="B3" s="3" t="s">
        <v>79</v>
      </c>
      <c r="F3" s="3" t="s">
        <v>78</v>
      </c>
      <c r="J3" s="3" t="s">
        <v>83</v>
      </c>
      <c r="N3" s="3" t="s">
        <v>77</v>
      </c>
      <c r="R3" s="3" t="s">
        <v>80</v>
      </c>
      <c r="V3" s="3" t="s">
        <v>82</v>
      </c>
      <c r="Z3" s="3" t="s">
        <v>81</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model'!M254</f>
        <v>20.5</v>
      </c>
      <c r="C5" s="16" t="n">
        <f aca="false">'Cost model'!M255</f>
        <v>20.5</v>
      </c>
      <c r="D5" s="16" t="n">
        <f aca="false">'Cost model'!M256</f>
        <v>25.5</v>
      </c>
      <c r="F5" s="16" t="n">
        <f aca="false">'Cost model'!M272</f>
        <v>22.5</v>
      </c>
      <c r="G5" s="16" t="n">
        <f aca="false">'Cost model'!M273</f>
        <v>22.5</v>
      </c>
      <c r="H5" s="16" t="n">
        <f aca="false">'Cost model'!M274</f>
        <v>26.5</v>
      </c>
      <c r="J5" s="16" t="n">
        <f aca="false">'Cost model'!M290</f>
        <v>22.5</v>
      </c>
      <c r="K5" s="16" t="n">
        <f aca="false">'Cost model'!M291</f>
        <v>22.5</v>
      </c>
      <c r="L5" s="16" t="n">
        <f aca="false">'Cost model'!M292</f>
        <v>24.5</v>
      </c>
      <c r="N5" s="16" t="n">
        <f aca="false">'Cost model'!M308</f>
        <v>15.5</v>
      </c>
      <c r="O5" s="16" t="n">
        <f aca="false">'Cost model'!M309</f>
        <v>17.5</v>
      </c>
      <c r="P5" s="16" t="n">
        <f aca="false">'Cost model'!M310</f>
        <v>21.5</v>
      </c>
      <c r="R5" s="16" t="n">
        <f aca="false">'Cost model'!M326</f>
        <v>15.5</v>
      </c>
      <c r="S5" s="16" t="n">
        <f aca="false">'Cost model'!M327</f>
        <v>17.5</v>
      </c>
      <c r="T5" s="16" t="n">
        <f aca="false">'Cost model'!M328</f>
        <v>23.5</v>
      </c>
      <c r="V5" s="16" t="n">
        <f aca="false">'Cost model'!M344</f>
        <v>15.5</v>
      </c>
      <c r="W5" s="16" t="n">
        <f aca="false">'Cost model'!M345</f>
        <v>17.5</v>
      </c>
      <c r="X5" s="16" t="n">
        <f aca="false">'Cost model'!M346</f>
        <v>23.5</v>
      </c>
      <c r="Z5" s="16" t="n">
        <f aca="false">'Cost model'!M362</f>
        <v>21.5</v>
      </c>
      <c r="AA5" s="16" t="n">
        <f aca="false">'Cost model'!M363</f>
        <v>21.5</v>
      </c>
      <c r="AB5" s="16" t="n">
        <f aca="false">'Cost model'!M364</f>
        <v>27.5</v>
      </c>
    </row>
    <row r="6" customFormat="false" ht="15" hidden="false" customHeight="false" outlineLevel="0" collapsed="false">
      <c r="A6" s="3" t="s">
        <v>12</v>
      </c>
      <c r="B6" s="16" t="n">
        <f aca="false">'Cost model'!M257</f>
        <v>60</v>
      </c>
      <c r="C6" s="16" t="n">
        <f aca="false">'Cost model'!M258</f>
        <v>70</v>
      </c>
      <c r="D6" s="16" t="n">
        <f aca="false">'Cost model'!M259</f>
        <v>75</v>
      </c>
      <c r="F6" s="16" t="n">
        <f aca="false">'Cost model'!M275</f>
        <v>70</v>
      </c>
      <c r="G6" s="16" t="n">
        <f aca="false">'Cost model'!M276</f>
        <v>70</v>
      </c>
      <c r="H6" s="16" t="n">
        <f aca="false">'Cost model'!M277</f>
        <v>80</v>
      </c>
      <c r="J6" s="16" t="n">
        <f aca="false">'Cost model'!M293</f>
        <v>75</v>
      </c>
      <c r="K6" s="16" t="n">
        <f aca="false">'Cost model'!M294</f>
        <v>75</v>
      </c>
      <c r="L6" s="16" t="n">
        <f aca="false">'Cost model'!M295</f>
        <v>75</v>
      </c>
      <c r="N6" s="16" t="n">
        <f aca="false">'Cost model'!M311</f>
        <v>55</v>
      </c>
      <c r="O6" s="16" t="n">
        <f aca="false">'Cost model'!M312</f>
        <v>60</v>
      </c>
      <c r="P6" s="16" t="n">
        <f aca="false">'Cost model'!M313</f>
        <v>70</v>
      </c>
      <c r="R6" s="16" t="n">
        <f aca="false">'Cost model'!M329</f>
        <v>55</v>
      </c>
      <c r="S6" s="16" t="n">
        <f aca="false">'Cost model'!M330</f>
        <v>60</v>
      </c>
      <c r="T6" s="16" t="n">
        <f aca="false">'Cost model'!M331</f>
        <v>70</v>
      </c>
      <c r="V6" s="16" t="n">
        <f aca="false">'Cost model'!M347</f>
        <v>55</v>
      </c>
      <c r="W6" s="16" t="n">
        <f aca="false">'Cost model'!M348</f>
        <v>60</v>
      </c>
      <c r="X6" s="16" t="n">
        <f aca="false">'Cost model'!M349</f>
        <v>70</v>
      </c>
      <c r="Z6" s="16" t="n">
        <f aca="false">'Cost model'!M365</f>
        <v>70</v>
      </c>
      <c r="AA6" s="16" t="n">
        <f aca="false">'Cost model'!M366</f>
        <v>75</v>
      </c>
      <c r="AB6" s="16" t="n">
        <f aca="false">'Cost model'!M367</f>
        <v>85</v>
      </c>
    </row>
    <row r="7" customFormat="false" ht="15" hidden="false" customHeight="false" outlineLevel="0" collapsed="false">
      <c r="A7" s="3" t="s">
        <v>13</v>
      </c>
      <c r="B7" s="16" t="n">
        <f aca="false">'Cost model'!M260</f>
        <v>115</v>
      </c>
      <c r="C7" s="16" t="n">
        <f aca="false">'Cost model'!M261</f>
        <v>120</v>
      </c>
      <c r="D7" s="16" t="n">
        <f aca="false">'Cost model'!M262</f>
        <v>155</v>
      </c>
      <c r="F7" s="16" t="n">
        <f aca="false">'Cost model'!M278</f>
        <v>110</v>
      </c>
      <c r="G7" s="16" t="n">
        <f aca="false">'Cost model'!M279</f>
        <v>125</v>
      </c>
      <c r="H7" s="16" t="n">
        <f aca="false">'Cost model'!M280</f>
        <v>165</v>
      </c>
      <c r="J7" s="16" t="n">
        <f aca="false">'Cost model'!M296</f>
        <v>105</v>
      </c>
      <c r="K7" s="16" t="n">
        <f aca="false">'Cost model'!M297</f>
        <v>115</v>
      </c>
      <c r="L7" s="16" t="n">
        <f aca="false">'Cost model'!M298</f>
        <v>155</v>
      </c>
      <c r="N7" s="16" t="n">
        <f aca="false">'Cost model'!M314</f>
        <v>95</v>
      </c>
      <c r="O7" s="16" t="n">
        <f aca="false">'Cost model'!M315</f>
        <v>105</v>
      </c>
      <c r="P7" s="16" t="n">
        <f aca="false">'Cost model'!M316</f>
        <v>140</v>
      </c>
      <c r="R7" s="16" t="n">
        <f aca="false">'Cost model'!M332</f>
        <v>95</v>
      </c>
      <c r="S7" s="16" t="n">
        <f aca="false">'Cost model'!M333</f>
        <v>110</v>
      </c>
      <c r="T7" s="16" t="n">
        <f aca="false">'Cost model'!M334</f>
        <v>145</v>
      </c>
      <c r="V7" s="16" t="n">
        <f aca="false">'Cost model'!M350</f>
        <v>95</v>
      </c>
      <c r="W7" s="16" t="n">
        <f aca="false">'Cost model'!M351</f>
        <v>110</v>
      </c>
      <c r="X7" s="16" t="n">
        <f aca="false">'Cost model'!M352</f>
        <v>145</v>
      </c>
      <c r="Z7" s="16" t="n">
        <f aca="false">'Cost model'!M368</f>
        <v>115</v>
      </c>
      <c r="AA7" s="16" t="n">
        <f aca="false">'Cost model'!M369</f>
        <v>130</v>
      </c>
      <c r="AB7" s="16" t="n">
        <f aca="false">'Cost model'!M370</f>
        <v>175</v>
      </c>
    </row>
    <row r="8" customFormat="false" ht="15" hidden="false" customHeight="false" outlineLevel="0" collapsed="false">
      <c r="A8" s="3" t="s">
        <v>14</v>
      </c>
      <c r="B8" s="16" t="n">
        <f aca="false">'Cost model'!M263</f>
        <v>185</v>
      </c>
      <c r="C8" s="16" t="n">
        <f aca="false">'Cost model'!M264</f>
        <v>220</v>
      </c>
      <c r="D8" s="16" t="n">
        <f aca="false">'Cost model'!M265</f>
        <v>265</v>
      </c>
      <c r="F8" s="16" t="n">
        <f aca="false">'Cost model'!M281</f>
        <v>185</v>
      </c>
      <c r="G8" s="16" t="n">
        <f aca="false">'Cost model'!M282</f>
        <v>225</v>
      </c>
      <c r="H8" s="16" t="n">
        <f aca="false">'Cost model'!M283</f>
        <v>270</v>
      </c>
      <c r="J8" s="16" t="n">
        <f aca="false">'Cost model'!M299</f>
        <v>180</v>
      </c>
      <c r="K8" s="16" t="n">
        <f aca="false">'Cost model'!M300</f>
        <v>210</v>
      </c>
      <c r="L8" s="16" t="n">
        <f aca="false">'Cost model'!M301</f>
        <v>245</v>
      </c>
      <c r="N8" s="16" t="n">
        <f aca="false">'Cost model'!M317</f>
        <v>160</v>
      </c>
      <c r="O8" s="16" t="n">
        <f aca="false">'Cost model'!M318</f>
        <v>190</v>
      </c>
      <c r="P8" s="16" t="n">
        <f aca="false">'Cost model'!M319</f>
        <v>230</v>
      </c>
      <c r="R8" s="16" t="n">
        <f aca="false">'Cost model'!M335</f>
        <v>170</v>
      </c>
      <c r="S8" s="16" t="n">
        <f aca="false">'Cost model'!M336</f>
        <v>195</v>
      </c>
      <c r="T8" s="16" t="n">
        <f aca="false">'Cost model'!M337</f>
        <v>235</v>
      </c>
      <c r="V8" s="16" t="n">
        <f aca="false">'Cost model'!M353</f>
        <v>165</v>
      </c>
      <c r="W8" s="16" t="n">
        <f aca="false">'Cost model'!M354</f>
        <v>195</v>
      </c>
      <c r="X8" s="16" t="n">
        <f aca="false">'Cost model'!M355</f>
        <v>235</v>
      </c>
      <c r="Z8" s="16" t="n">
        <f aca="false">'Cost model'!M371</f>
        <v>200</v>
      </c>
      <c r="AA8" s="16" t="n">
        <f aca="false">'Cost model'!M372</f>
        <v>235</v>
      </c>
      <c r="AB8" s="16" t="n">
        <f aca="false">'Cost model'!M373</f>
        <v>285</v>
      </c>
    </row>
    <row r="9" customFormat="false" ht="15" hidden="false" customHeight="false" outlineLevel="0" collapsed="false">
      <c r="A9" s="3" t="s">
        <v>15</v>
      </c>
      <c r="B9" s="16" t="n">
        <f aca="false">'Cost model'!M266</f>
        <v>235</v>
      </c>
      <c r="C9" s="17" t="n">
        <f aca="false">'Cost model'!M267</f>
        <v>350</v>
      </c>
      <c r="D9" s="17" t="n">
        <f aca="false">'Cost model'!M268</f>
        <v>415</v>
      </c>
      <c r="F9" s="16" t="n">
        <f aca="false">'Cost model'!M284</f>
        <v>235</v>
      </c>
      <c r="G9" s="17" t="n">
        <f aca="false">'Cost model'!M285</f>
        <v>350</v>
      </c>
      <c r="H9" s="17" t="n">
        <f aca="false">'Cost model'!M286</f>
        <v>420</v>
      </c>
      <c r="J9" s="16" t="n">
        <f aca="false">'Cost model'!M302</f>
        <v>225</v>
      </c>
      <c r="K9" s="17" t="n">
        <f aca="false">'Cost model'!M303</f>
        <v>330</v>
      </c>
      <c r="L9" s="17" t="n">
        <f aca="false">'Cost model'!M304</f>
        <v>400</v>
      </c>
      <c r="N9" s="16" t="n">
        <f aca="false">'Cost model'!M320</f>
        <v>200</v>
      </c>
      <c r="O9" s="17" t="n">
        <f aca="false">'Cost model'!M321</f>
        <v>300</v>
      </c>
      <c r="P9" s="17" t="n">
        <f aca="false">'Cost model'!M322</f>
        <v>355</v>
      </c>
      <c r="R9" s="16" t="n">
        <f aca="false">'Cost model'!M338</f>
        <v>210</v>
      </c>
      <c r="S9" s="17" t="n">
        <f aca="false">'Cost model'!M339</f>
        <v>310</v>
      </c>
      <c r="T9" s="17" t="n">
        <f aca="false">'Cost model'!M340</f>
        <v>375</v>
      </c>
      <c r="V9" s="16" t="n">
        <f aca="false">'Cost model'!M356</f>
        <v>210</v>
      </c>
      <c r="W9" s="17" t="n">
        <f aca="false">'Cost model'!M357</f>
        <v>310</v>
      </c>
      <c r="X9" s="17" t="n">
        <f aca="false">'Cost model'!M358</f>
        <v>370</v>
      </c>
      <c r="Z9" s="16" t="n">
        <f aca="false">'Cost model'!M374</f>
        <v>250</v>
      </c>
      <c r="AA9" s="17" t="n">
        <f aca="false">'Cost model'!M375</f>
        <v>375</v>
      </c>
      <c r="AB9" s="17" t="n">
        <f aca="false">'Cost model'!M376</f>
        <v>445</v>
      </c>
    </row>
    <row r="10" customFormat="false" ht="15" hidden="false" customHeight="false" outlineLevel="0" collapsed="false">
      <c r="A10" s="3" t="s">
        <v>16</v>
      </c>
      <c r="B10" s="16" t="n">
        <f aca="false">'Cost model'!M269</f>
        <v>325</v>
      </c>
      <c r="C10" s="17" t="n">
        <f aca="false">'Cost model'!M270</f>
        <v>500</v>
      </c>
      <c r="D10" s="17" t="n">
        <f aca="false">'Cost model'!M271</f>
        <v>590</v>
      </c>
      <c r="F10" s="16" t="n">
        <f aca="false">'Cost model'!M287</f>
        <v>330</v>
      </c>
      <c r="G10" s="17" t="n">
        <f aca="false">'Cost model'!M288</f>
        <v>505</v>
      </c>
      <c r="H10" s="17" t="n">
        <f aca="false">'Cost model'!M289</f>
        <v>595</v>
      </c>
      <c r="J10" s="16" t="n">
        <f aca="false">'Cost model'!M305</f>
        <v>310</v>
      </c>
      <c r="K10" s="17" t="n">
        <f aca="false">'Cost model'!M306</f>
        <v>480</v>
      </c>
      <c r="L10" s="17" t="n">
        <f aca="false">'Cost model'!M307</f>
        <v>560</v>
      </c>
      <c r="N10" s="16" t="n">
        <f aca="false">'Cost model'!M323</f>
        <v>280</v>
      </c>
      <c r="O10" s="17" t="n">
        <f aca="false">'Cost model'!M324</f>
        <v>430</v>
      </c>
      <c r="P10" s="17" t="n">
        <f aca="false">'Cost model'!M325</f>
        <v>505</v>
      </c>
      <c r="R10" s="16" t="n">
        <f aca="false">'Cost model'!M341</f>
        <v>290</v>
      </c>
      <c r="S10" s="17" t="n">
        <f aca="false">'Cost model'!M342</f>
        <v>445</v>
      </c>
      <c r="T10" s="17" t="n">
        <f aca="false">'Cost model'!M343</f>
        <v>525</v>
      </c>
      <c r="V10" s="16" t="n">
        <f aca="false">'Cost model'!M359</f>
        <v>290</v>
      </c>
      <c r="W10" s="17" t="n">
        <f aca="false">'Cost model'!M360</f>
        <v>445</v>
      </c>
      <c r="X10" s="17" t="n">
        <f aca="false">'Cost model'!M361</f>
        <v>525</v>
      </c>
      <c r="Z10" s="16" t="n">
        <f aca="false">'Cost model'!M377</f>
        <v>345</v>
      </c>
      <c r="AA10" s="17" t="n">
        <f aca="false">'Cost model'!M378</f>
        <v>535</v>
      </c>
      <c r="AB10" s="17" t="n">
        <f aca="false">'Cost model'!M379</f>
        <v>625</v>
      </c>
    </row>
    <row r="12" customFormat="false" ht="15" hidden="false" customHeight="false" outlineLevel="0" collapsed="false">
      <c r="A12" s="3" t="s">
        <v>85</v>
      </c>
      <c r="B12" s="3" t="s">
        <v>79</v>
      </c>
      <c r="F12" s="3" t="s">
        <v>78</v>
      </c>
      <c r="J12" s="3" t="s">
        <v>83</v>
      </c>
      <c r="N12" s="3" t="s">
        <v>77</v>
      </c>
      <c r="R12" s="3" t="s">
        <v>80</v>
      </c>
      <c r="V12" s="3" t="s">
        <v>82</v>
      </c>
      <c r="Z12" s="3" t="s">
        <v>81</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model'!N254</f>
        <v>27.5</v>
      </c>
      <c r="C14" s="16" t="n">
        <f aca="false">'Cost model'!N255</f>
        <v>27.5</v>
      </c>
      <c r="D14" s="16" t="n">
        <f aca="false">'Cost model'!N256</f>
        <v>35</v>
      </c>
      <c r="F14" s="16" t="n">
        <f aca="false">'Cost model'!N272</f>
        <v>35</v>
      </c>
      <c r="G14" s="16" t="n">
        <f aca="false">'Cost model'!N273</f>
        <v>35</v>
      </c>
      <c r="H14" s="16" t="n">
        <f aca="false">'Cost model'!N274</f>
        <v>40</v>
      </c>
      <c r="J14" s="16" t="n">
        <f aca="false">'Cost model'!N290</f>
        <v>35</v>
      </c>
      <c r="K14" s="16" t="n">
        <f aca="false">'Cost model'!N291</f>
        <v>35</v>
      </c>
      <c r="L14" s="16" t="n">
        <f aca="false">'Cost model'!N292</f>
        <v>35</v>
      </c>
      <c r="N14" s="16" t="n">
        <f aca="false">'Cost model'!N308</f>
        <v>21.5</v>
      </c>
      <c r="O14" s="16" t="n">
        <f aca="false">'Cost model'!N309</f>
        <v>23.5</v>
      </c>
      <c r="P14" s="16" t="n">
        <f aca="false">'Cost model'!N310</f>
        <v>29.5</v>
      </c>
      <c r="R14" s="16" t="n">
        <f aca="false">'Cost model'!N326</f>
        <v>21.5</v>
      </c>
      <c r="S14" s="16" t="n">
        <f aca="false">'Cost model'!N327</f>
        <v>23.5</v>
      </c>
      <c r="T14" s="16" t="n">
        <f aca="false">'Cost model'!N328</f>
        <v>35</v>
      </c>
      <c r="V14" s="16" t="n">
        <f aca="false">'Cost model'!N344</f>
        <v>21.5</v>
      </c>
      <c r="W14" s="16" t="n">
        <f aca="false">'Cost model'!N345</f>
        <v>23.5</v>
      </c>
      <c r="X14" s="16" t="n">
        <f aca="false">'Cost model'!N346</f>
        <v>35</v>
      </c>
      <c r="Z14" s="16" t="n">
        <f aca="false">'Cost model'!N362</f>
        <v>29.5</v>
      </c>
      <c r="AA14" s="16" t="n">
        <f aca="false">'Cost model'!N363</f>
        <v>29.5</v>
      </c>
      <c r="AB14" s="16" t="n">
        <f aca="false">'Cost model'!N364</f>
        <v>40</v>
      </c>
    </row>
    <row r="15" customFormat="false" ht="15" hidden="false" customHeight="false" outlineLevel="0" collapsed="false">
      <c r="A15" s="3" t="s">
        <v>12</v>
      </c>
      <c r="B15" s="16" t="n">
        <f aca="false">'Cost model'!N257</f>
        <v>80</v>
      </c>
      <c r="C15" s="16" t="n">
        <f aca="false">'Cost model'!N258</f>
        <v>90</v>
      </c>
      <c r="D15" s="16" t="n">
        <f aca="false">'Cost model'!N259</f>
        <v>95</v>
      </c>
      <c r="F15" s="16" t="n">
        <f aca="false">'Cost model'!N275</f>
        <v>90</v>
      </c>
      <c r="G15" s="16" t="n">
        <f aca="false">'Cost model'!N276</f>
        <v>90</v>
      </c>
      <c r="H15" s="16" t="n">
        <f aca="false">'Cost model'!N277</f>
        <v>105</v>
      </c>
      <c r="J15" s="16" t="n">
        <f aca="false">'Cost model'!N293</f>
        <v>95</v>
      </c>
      <c r="K15" s="16" t="n">
        <f aca="false">'Cost model'!N294</f>
        <v>95</v>
      </c>
      <c r="L15" s="16" t="n">
        <f aca="false">'Cost model'!N295</f>
        <v>95</v>
      </c>
      <c r="N15" s="16" t="n">
        <f aca="false">'Cost model'!N311</f>
        <v>70</v>
      </c>
      <c r="O15" s="16" t="n">
        <f aca="false">'Cost model'!N312</f>
        <v>80</v>
      </c>
      <c r="P15" s="16" t="n">
        <f aca="false">'Cost model'!N313</f>
        <v>90</v>
      </c>
      <c r="R15" s="16" t="n">
        <f aca="false">'Cost model'!N329</f>
        <v>70</v>
      </c>
      <c r="S15" s="16" t="n">
        <f aca="false">'Cost model'!N330</f>
        <v>80</v>
      </c>
      <c r="T15" s="16" t="n">
        <f aca="false">'Cost model'!N331</f>
        <v>90</v>
      </c>
      <c r="V15" s="16" t="n">
        <f aca="false">'Cost model'!N347</f>
        <v>70</v>
      </c>
      <c r="W15" s="16" t="n">
        <f aca="false">'Cost model'!N348</f>
        <v>80</v>
      </c>
      <c r="X15" s="16" t="n">
        <f aca="false">'Cost model'!N349</f>
        <v>90</v>
      </c>
      <c r="Z15" s="16" t="n">
        <f aca="false">'Cost model'!N365</f>
        <v>90</v>
      </c>
      <c r="AA15" s="16" t="n">
        <f aca="false">'Cost model'!N366</f>
        <v>95</v>
      </c>
      <c r="AB15" s="16" t="n">
        <f aca="false">'Cost model'!N367</f>
        <v>110</v>
      </c>
    </row>
    <row r="16" customFormat="false" ht="15" hidden="false" customHeight="false" outlineLevel="0" collapsed="false">
      <c r="A16" s="3" t="s">
        <v>13</v>
      </c>
      <c r="B16" s="16" t="n">
        <f aca="false">'Cost model'!N260</f>
        <v>160</v>
      </c>
      <c r="C16" s="16" t="n">
        <f aca="false">'Cost model'!N261</f>
        <v>165</v>
      </c>
      <c r="D16" s="16" t="n">
        <f aca="false">'Cost model'!N262</f>
        <v>210</v>
      </c>
      <c r="F16" s="16" t="n">
        <f aca="false">'Cost model'!N278</f>
        <v>150</v>
      </c>
      <c r="G16" s="16" t="n">
        <f aca="false">'Cost model'!N279</f>
        <v>170</v>
      </c>
      <c r="H16" s="16" t="n">
        <f aca="false">'Cost model'!N280</f>
        <v>225</v>
      </c>
      <c r="J16" s="16" t="n">
        <f aca="false">'Cost model'!N296</f>
        <v>145</v>
      </c>
      <c r="K16" s="16" t="n">
        <f aca="false">'Cost model'!N297</f>
        <v>160</v>
      </c>
      <c r="L16" s="16" t="n">
        <f aca="false">'Cost model'!N298</f>
        <v>210</v>
      </c>
      <c r="N16" s="16" t="n">
        <f aca="false">'Cost model'!N314</f>
        <v>130</v>
      </c>
      <c r="O16" s="16" t="n">
        <f aca="false">'Cost model'!N315</f>
        <v>145</v>
      </c>
      <c r="P16" s="16" t="n">
        <f aca="false">'Cost model'!N316</f>
        <v>190</v>
      </c>
      <c r="R16" s="16" t="n">
        <f aca="false">'Cost model'!N332</f>
        <v>130</v>
      </c>
      <c r="S16" s="16" t="n">
        <f aca="false">'Cost model'!N333</f>
        <v>150</v>
      </c>
      <c r="T16" s="16" t="n">
        <f aca="false">'Cost model'!N334</f>
        <v>200</v>
      </c>
      <c r="V16" s="16" t="n">
        <f aca="false">'Cost model'!N350</f>
        <v>130</v>
      </c>
      <c r="W16" s="16" t="n">
        <f aca="false">'Cost model'!N351</f>
        <v>150</v>
      </c>
      <c r="X16" s="16" t="n">
        <f aca="false">'Cost model'!N352</f>
        <v>200</v>
      </c>
      <c r="Z16" s="16" t="n">
        <f aca="false">'Cost model'!N368</f>
        <v>160</v>
      </c>
      <c r="AA16" s="16" t="n">
        <f aca="false">'Cost model'!N369</f>
        <v>180</v>
      </c>
      <c r="AB16" s="16" t="n">
        <f aca="false">'Cost model'!N370</f>
        <v>240</v>
      </c>
    </row>
    <row r="17" customFormat="false" ht="15" hidden="false" customHeight="false" outlineLevel="0" collapsed="false">
      <c r="A17" s="3" t="s">
        <v>14</v>
      </c>
      <c r="B17" s="16" t="n">
        <f aca="false">'Cost model'!N263</f>
        <v>225</v>
      </c>
      <c r="C17" s="16" t="n">
        <f aca="false">'Cost model'!N264</f>
        <v>265</v>
      </c>
      <c r="D17" s="16" t="n">
        <f aca="false">'Cost model'!N265</f>
        <v>320</v>
      </c>
      <c r="F17" s="16" t="n">
        <f aca="false">'Cost model'!N281</f>
        <v>225</v>
      </c>
      <c r="G17" s="16" t="n">
        <f aca="false">'Cost model'!N282</f>
        <v>270</v>
      </c>
      <c r="H17" s="16" t="n">
        <f aca="false">'Cost model'!N283</f>
        <v>325</v>
      </c>
      <c r="J17" s="16" t="n">
        <f aca="false">'Cost model'!N299</f>
        <v>220</v>
      </c>
      <c r="K17" s="16" t="n">
        <f aca="false">'Cost model'!N300</f>
        <v>255</v>
      </c>
      <c r="L17" s="16" t="n">
        <f aca="false">'Cost model'!N301</f>
        <v>295</v>
      </c>
      <c r="N17" s="16" t="n">
        <f aca="false">'Cost model'!N317</f>
        <v>195</v>
      </c>
      <c r="O17" s="16" t="n">
        <f aca="false">'Cost model'!N318</f>
        <v>230</v>
      </c>
      <c r="P17" s="16" t="n">
        <f aca="false">'Cost model'!N319</f>
        <v>280</v>
      </c>
      <c r="R17" s="16" t="n">
        <f aca="false">'Cost model'!N335</f>
        <v>205</v>
      </c>
      <c r="S17" s="16" t="n">
        <f aca="false">'Cost model'!N336</f>
        <v>235</v>
      </c>
      <c r="T17" s="16" t="n">
        <f aca="false">'Cost model'!N337</f>
        <v>285</v>
      </c>
      <c r="V17" s="16" t="n">
        <f aca="false">'Cost model'!N353</f>
        <v>200</v>
      </c>
      <c r="W17" s="16" t="n">
        <f aca="false">'Cost model'!N354</f>
        <v>235</v>
      </c>
      <c r="X17" s="16" t="n">
        <f aca="false">'Cost model'!N355</f>
        <v>285</v>
      </c>
      <c r="Z17" s="16" t="n">
        <f aca="false">'Cost model'!N371</f>
        <v>240</v>
      </c>
      <c r="AA17" s="16" t="n">
        <f aca="false">'Cost model'!N372</f>
        <v>285</v>
      </c>
      <c r="AB17" s="16" t="n">
        <f aca="false">'Cost model'!N373</f>
        <v>345</v>
      </c>
    </row>
    <row r="18" customFormat="false" ht="15" hidden="false" customHeight="false" outlineLevel="0" collapsed="false">
      <c r="A18" s="3" t="s">
        <v>15</v>
      </c>
      <c r="B18" s="16" t="n">
        <f aca="false">'Cost model'!N266</f>
        <v>285</v>
      </c>
      <c r="C18" s="17" t="n">
        <f aca="false">'Cost model'!N267</f>
        <v>350</v>
      </c>
      <c r="D18" s="17" t="n">
        <f aca="false">'Cost model'!N268</f>
        <v>415</v>
      </c>
      <c r="F18" s="16" t="n">
        <f aca="false">'Cost model'!N284</f>
        <v>285</v>
      </c>
      <c r="G18" s="17" t="n">
        <f aca="false">'Cost model'!N285</f>
        <v>350</v>
      </c>
      <c r="H18" s="17" t="n">
        <f aca="false">'Cost model'!N286</f>
        <v>420</v>
      </c>
      <c r="J18" s="16" t="n">
        <f aca="false">'Cost model'!N302</f>
        <v>270</v>
      </c>
      <c r="K18" s="17" t="n">
        <f aca="false">'Cost model'!N303</f>
        <v>330</v>
      </c>
      <c r="L18" s="17" t="n">
        <f aca="false">'Cost model'!N304</f>
        <v>400</v>
      </c>
      <c r="N18" s="16" t="n">
        <f aca="false">'Cost model'!N320</f>
        <v>240</v>
      </c>
      <c r="O18" s="17" t="n">
        <f aca="false">'Cost model'!N321</f>
        <v>300</v>
      </c>
      <c r="P18" s="17" t="n">
        <f aca="false">'Cost model'!N322</f>
        <v>355</v>
      </c>
      <c r="R18" s="16" t="n">
        <f aca="false">'Cost model'!N338</f>
        <v>255</v>
      </c>
      <c r="S18" s="17" t="n">
        <f aca="false">'Cost model'!N339</f>
        <v>310</v>
      </c>
      <c r="T18" s="17" t="n">
        <f aca="false">'Cost model'!N340</f>
        <v>375</v>
      </c>
      <c r="V18" s="16" t="n">
        <f aca="false">'Cost model'!N356</f>
        <v>255</v>
      </c>
      <c r="W18" s="17" t="n">
        <f aca="false">'Cost model'!N357</f>
        <v>310</v>
      </c>
      <c r="X18" s="17" t="n">
        <f aca="false">'Cost model'!N358</f>
        <v>370</v>
      </c>
      <c r="Z18" s="16" t="n">
        <f aca="false">'Cost model'!N374</f>
        <v>300</v>
      </c>
      <c r="AA18" s="17" t="n">
        <f aca="false">'Cost model'!N375</f>
        <v>375</v>
      </c>
      <c r="AB18" s="17" t="n">
        <f aca="false">'Cost model'!N376</f>
        <v>445</v>
      </c>
    </row>
    <row r="19" customFormat="false" ht="15" hidden="false" customHeight="false" outlineLevel="0" collapsed="false">
      <c r="A19" s="3" t="s">
        <v>16</v>
      </c>
      <c r="B19" s="16" t="n">
        <f aca="false">'Cost model'!N269</f>
        <v>390</v>
      </c>
      <c r="C19" s="17" t="n">
        <f aca="false">'Cost model'!N270</f>
        <v>500</v>
      </c>
      <c r="D19" s="17" t="n">
        <f aca="false">'Cost model'!N271</f>
        <v>590</v>
      </c>
      <c r="F19" s="16" t="n">
        <f aca="false">'Cost model'!N287</f>
        <v>400</v>
      </c>
      <c r="G19" s="17" t="n">
        <f aca="false">'Cost model'!N288</f>
        <v>505</v>
      </c>
      <c r="H19" s="17" t="n">
        <f aca="false">'Cost model'!N289</f>
        <v>595</v>
      </c>
      <c r="J19" s="16" t="n">
        <f aca="false">'Cost model'!N305</f>
        <v>375</v>
      </c>
      <c r="K19" s="17" t="n">
        <f aca="false">'Cost model'!N306</f>
        <v>480</v>
      </c>
      <c r="L19" s="17" t="n">
        <f aca="false">'Cost model'!N307</f>
        <v>560</v>
      </c>
      <c r="N19" s="16" t="n">
        <f aca="false">'Cost model'!N323</f>
        <v>340</v>
      </c>
      <c r="O19" s="17" t="n">
        <f aca="false">'Cost model'!N324</f>
        <v>430</v>
      </c>
      <c r="P19" s="17" t="n">
        <f aca="false">'Cost model'!N325</f>
        <v>505</v>
      </c>
      <c r="R19" s="16" t="n">
        <f aca="false">'Cost model'!N341</f>
        <v>350</v>
      </c>
      <c r="S19" s="17" t="n">
        <f aca="false">'Cost model'!N342</f>
        <v>445</v>
      </c>
      <c r="T19" s="17" t="n">
        <f aca="false">'Cost model'!N343</f>
        <v>525</v>
      </c>
      <c r="V19" s="16" t="n">
        <f aca="false">'Cost model'!N359</f>
        <v>350</v>
      </c>
      <c r="W19" s="17" t="n">
        <f aca="false">'Cost model'!N360</f>
        <v>445</v>
      </c>
      <c r="X19" s="17" t="n">
        <f aca="false">'Cost model'!N361</f>
        <v>525</v>
      </c>
      <c r="Z19" s="16" t="n">
        <f aca="false">'Cost model'!N377</f>
        <v>415</v>
      </c>
      <c r="AA19" s="17" t="n">
        <f aca="false">'Cost model'!N378</f>
        <v>535</v>
      </c>
      <c r="AB19" s="17" t="n">
        <f aca="false">'Cost model'!N379</f>
        <v>625</v>
      </c>
    </row>
    <row r="21" customFormat="false" ht="17.35" hidden="false" customHeight="false" outlineLevel="0" collapsed="false">
      <c r="A21" s="1" t="s">
        <v>98</v>
      </c>
    </row>
    <row r="23" customFormat="false" ht="15" hidden="false" customHeight="false" outlineLevel="0" collapsed="false">
      <c r="A23" s="3" t="s">
        <v>76</v>
      </c>
      <c r="B23" s="3" t="s">
        <v>79</v>
      </c>
      <c r="F23" s="3" t="s">
        <v>78</v>
      </c>
      <c r="J23" s="3" t="s">
        <v>83</v>
      </c>
      <c r="N23" s="3" t="s">
        <v>77</v>
      </c>
      <c r="R23" s="3" t="s">
        <v>80</v>
      </c>
      <c r="V23" s="3" t="s">
        <v>82</v>
      </c>
      <c r="Z23" s="3" t="s">
        <v>81</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92</v>
      </c>
      <c r="C25" s="18" t="s">
        <v>89</v>
      </c>
      <c r="D25" s="18" t="s">
        <v>87</v>
      </c>
      <c r="F25" s="18" t="s">
        <v>87</v>
      </c>
      <c r="G25" s="18" t="s">
        <v>88</v>
      </c>
      <c r="H25" s="18" t="s">
        <v>91</v>
      </c>
      <c r="J25" s="18" t="s">
        <v>87</v>
      </c>
      <c r="K25" s="18" t="s">
        <v>87</v>
      </c>
      <c r="L25" s="18" t="s">
        <v>88</v>
      </c>
      <c r="N25" s="18" t="s">
        <v>87</v>
      </c>
      <c r="O25" s="18" t="s">
        <v>87</v>
      </c>
      <c r="P25" s="18" t="s">
        <v>88</v>
      </c>
      <c r="R25" s="18" t="s">
        <v>87</v>
      </c>
      <c r="S25" s="18" t="s">
        <v>87</v>
      </c>
      <c r="T25" s="18" t="s">
        <v>88</v>
      </c>
      <c r="V25" s="18" t="s">
        <v>90</v>
      </c>
      <c r="W25" s="18" t="s">
        <v>90</v>
      </c>
      <c r="X25" s="18" t="s">
        <v>90</v>
      </c>
      <c r="Z25" s="18" t="s">
        <v>90</v>
      </c>
      <c r="AA25" s="18" t="s">
        <v>90</v>
      </c>
      <c r="AB25" s="18" t="s">
        <v>90</v>
      </c>
    </row>
    <row r="26" customFormat="false" ht="15" hidden="false" customHeight="false" outlineLevel="0" collapsed="false">
      <c r="A26" s="3" t="s">
        <v>12</v>
      </c>
      <c r="B26" s="18" t="s">
        <v>92</v>
      </c>
      <c r="C26" s="18" t="s">
        <v>89</v>
      </c>
      <c r="D26" s="18" t="s">
        <v>87</v>
      </c>
      <c r="F26" s="18" t="s">
        <v>87</v>
      </c>
      <c r="G26" s="18" t="s">
        <v>88</v>
      </c>
      <c r="H26" s="18" t="s">
        <v>91</v>
      </c>
      <c r="J26" s="18" t="s">
        <v>87</v>
      </c>
      <c r="K26" s="18" t="s">
        <v>87</v>
      </c>
      <c r="L26" s="18" t="s">
        <v>88</v>
      </c>
      <c r="N26" s="18" t="s">
        <v>87</v>
      </c>
      <c r="O26" s="18" t="s">
        <v>87</v>
      </c>
      <c r="P26" s="18" t="s">
        <v>88</v>
      </c>
      <c r="R26" s="18" t="s">
        <v>87</v>
      </c>
      <c r="S26" s="18" t="s">
        <v>87</v>
      </c>
      <c r="T26" s="18" t="s">
        <v>88</v>
      </c>
      <c r="V26" s="18" t="s">
        <v>90</v>
      </c>
      <c r="W26" s="18" t="s">
        <v>90</v>
      </c>
      <c r="X26" s="18" t="s">
        <v>90</v>
      </c>
      <c r="Z26" s="18" t="s">
        <v>90</v>
      </c>
      <c r="AA26" s="18" t="s">
        <v>90</v>
      </c>
      <c r="AB26" s="18" t="s">
        <v>90</v>
      </c>
    </row>
    <row r="27" customFormat="false" ht="15" hidden="false" customHeight="false" outlineLevel="0" collapsed="false">
      <c r="A27" s="3" t="s">
        <v>13</v>
      </c>
      <c r="B27" s="18" t="s">
        <v>92</v>
      </c>
      <c r="C27" s="18" t="s">
        <v>89</v>
      </c>
      <c r="D27" s="18" t="s">
        <v>88</v>
      </c>
      <c r="F27" s="18" t="s">
        <v>88</v>
      </c>
      <c r="G27" s="18" t="s">
        <v>88</v>
      </c>
      <c r="H27" s="18" t="s">
        <v>91</v>
      </c>
      <c r="J27" s="18" t="s">
        <v>91</v>
      </c>
      <c r="K27" s="18" t="s">
        <v>91</v>
      </c>
      <c r="L27" s="18" t="s">
        <v>91</v>
      </c>
      <c r="N27" s="18" t="s">
        <v>91</v>
      </c>
      <c r="O27" s="18" t="s">
        <v>91</v>
      </c>
      <c r="P27" s="18" t="s">
        <v>91</v>
      </c>
      <c r="R27" s="18" t="s">
        <v>91</v>
      </c>
      <c r="S27" s="18" t="s">
        <v>91</v>
      </c>
      <c r="T27" s="18" t="s">
        <v>91</v>
      </c>
      <c r="V27" s="18" t="s">
        <v>90</v>
      </c>
      <c r="W27" s="18" t="s">
        <v>90</v>
      </c>
      <c r="X27" s="18" t="s">
        <v>90</v>
      </c>
      <c r="Z27" s="18" t="s">
        <v>90</v>
      </c>
      <c r="AA27" s="18" t="s">
        <v>90</v>
      </c>
      <c r="AB27" s="18" t="s">
        <v>90</v>
      </c>
    </row>
    <row r="28" customFormat="false" ht="15" hidden="false" customHeight="false" outlineLevel="0" collapsed="false">
      <c r="A28" s="3" t="s">
        <v>14</v>
      </c>
      <c r="B28" s="18" t="s">
        <v>92</v>
      </c>
      <c r="C28" s="18" t="s">
        <v>89</v>
      </c>
      <c r="D28" s="18" t="s">
        <v>91</v>
      </c>
      <c r="F28" s="18" t="s">
        <v>91</v>
      </c>
      <c r="G28" s="18" t="s">
        <v>91</v>
      </c>
      <c r="H28" s="18" t="s">
        <v>91</v>
      </c>
      <c r="J28" s="18" t="s">
        <v>91</v>
      </c>
      <c r="K28" s="18" t="s">
        <v>91</v>
      </c>
      <c r="L28" s="18" t="s">
        <v>91</v>
      </c>
      <c r="N28" s="18" t="s">
        <v>91</v>
      </c>
      <c r="O28" s="18" t="s">
        <v>91</v>
      </c>
      <c r="P28" s="18" t="s">
        <v>91</v>
      </c>
      <c r="R28" s="18" t="s">
        <v>91</v>
      </c>
      <c r="S28" s="18" t="s">
        <v>91</v>
      </c>
      <c r="T28" s="18" t="s">
        <v>91</v>
      </c>
      <c r="V28" s="18" t="s">
        <v>90</v>
      </c>
      <c r="W28" s="18" t="s">
        <v>90</v>
      </c>
      <c r="X28" s="18" t="s">
        <v>90</v>
      </c>
      <c r="Z28" s="18" t="s">
        <v>90</v>
      </c>
      <c r="AA28" s="18" t="s">
        <v>90</v>
      </c>
      <c r="AB28" s="18" t="s">
        <v>90</v>
      </c>
    </row>
    <row r="29" customFormat="false" ht="15" hidden="false" customHeight="false" outlineLevel="0" collapsed="false">
      <c r="A29" s="3" t="s">
        <v>15</v>
      </c>
      <c r="B29" s="18" t="s">
        <v>92</v>
      </c>
      <c r="C29" s="18" t="s">
        <v>89</v>
      </c>
      <c r="D29" s="18" t="s">
        <v>91</v>
      </c>
      <c r="F29" s="18" t="s">
        <v>91</v>
      </c>
      <c r="G29" s="18" t="s">
        <v>91</v>
      </c>
      <c r="H29" s="18" t="s">
        <v>91</v>
      </c>
      <c r="J29" s="18" t="s">
        <v>91</v>
      </c>
      <c r="K29" s="18" t="s">
        <v>91</v>
      </c>
      <c r="L29" s="18" t="s">
        <v>91</v>
      </c>
      <c r="N29" s="18" t="s">
        <v>91</v>
      </c>
      <c r="O29" s="18" t="s">
        <v>91</v>
      </c>
      <c r="P29" s="18" t="s">
        <v>91</v>
      </c>
      <c r="R29" s="18" t="s">
        <v>91</v>
      </c>
      <c r="S29" s="18" t="s">
        <v>91</v>
      </c>
      <c r="T29" s="18" t="s">
        <v>91</v>
      </c>
      <c r="V29" s="18" t="s">
        <v>90</v>
      </c>
      <c r="W29" s="18" t="s">
        <v>90</v>
      </c>
      <c r="X29" s="18" t="s">
        <v>90</v>
      </c>
      <c r="Z29" s="18" t="s">
        <v>90</v>
      </c>
      <c r="AA29" s="18" t="s">
        <v>90</v>
      </c>
      <c r="AB29" s="18" t="s">
        <v>90</v>
      </c>
    </row>
    <row r="30" customFormat="false" ht="15" hidden="false" customHeight="false" outlineLevel="0" collapsed="false">
      <c r="A30" s="3" t="s">
        <v>16</v>
      </c>
      <c r="B30" s="18" t="s">
        <v>92</v>
      </c>
      <c r="C30" s="18" t="s">
        <v>89</v>
      </c>
      <c r="D30" s="18" t="s">
        <v>91</v>
      </c>
      <c r="F30" s="18" t="s">
        <v>91</v>
      </c>
      <c r="G30" s="18" t="s">
        <v>91</v>
      </c>
      <c r="H30" s="18" t="s">
        <v>91</v>
      </c>
      <c r="J30" s="18" t="s">
        <v>91</v>
      </c>
      <c r="K30" s="18" t="s">
        <v>91</v>
      </c>
      <c r="L30" s="18" t="s">
        <v>91</v>
      </c>
      <c r="N30" s="18" t="s">
        <v>91</v>
      </c>
      <c r="O30" s="18" t="s">
        <v>91</v>
      </c>
      <c r="P30" s="18" t="s">
        <v>91</v>
      </c>
      <c r="R30" s="18" t="s">
        <v>91</v>
      </c>
      <c r="S30" s="18" t="s">
        <v>91</v>
      </c>
      <c r="T30" s="18" t="s">
        <v>91</v>
      </c>
      <c r="V30" s="18" t="s">
        <v>90</v>
      </c>
      <c r="W30" s="18" t="s">
        <v>90</v>
      </c>
      <c r="X30" s="18" t="s">
        <v>90</v>
      </c>
      <c r="Z30" s="18" t="s">
        <v>90</v>
      </c>
      <c r="AA30" s="18" t="s">
        <v>90</v>
      </c>
      <c r="AB30" s="18" t="s">
        <v>90</v>
      </c>
    </row>
    <row r="32" customFormat="false" ht="15" hidden="false" customHeight="false" outlineLevel="0" collapsed="false">
      <c r="A32" s="3" t="s">
        <v>85</v>
      </c>
      <c r="B32" s="3" t="s">
        <v>79</v>
      </c>
      <c r="F32" s="3" t="s">
        <v>78</v>
      </c>
      <c r="J32" s="3" t="s">
        <v>83</v>
      </c>
      <c r="N32" s="3" t="s">
        <v>77</v>
      </c>
      <c r="R32" s="3" t="s">
        <v>80</v>
      </c>
      <c r="V32" s="3" t="s">
        <v>82</v>
      </c>
      <c r="Z32" s="3" t="s">
        <v>81</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89</v>
      </c>
      <c r="C34" s="18" t="s">
        <v>87</v>
      </c>
      <c r="D34" s="18" t="s">
        <v>88</v>
      </c>
      <c r="F34" s="18" t="s">
        <v>89</v>
      </c>
      <c r="G34" s="18" t="s">
        <v>87</v>
      </c>
      <c r="H34" s="18" t="s">
        <v>88</v>
      </c>
      <c r="J34" s="18" t="s">
        <v>89</v>
      </c>
      <c r="K34" s="18" t="s">
        <v>88</v>
      </c>
      <c r="L34" s="18" t="s">
        <v>88</v>
      </c>
      <c r="N34" s="18" t="s">
        <v>92</v>
      </c>
      <c r="O34" s="18" t="s">
        <v>92</v>
      </c>
      <c r="P34" s="18" t="s">
        <v>87</v>
      </c>
      <c r="R34" s="18" t="s">
        <v>92</v>
      </c>
      <c r="S34" s="18" t="s">
        <v>92</v>
      </c>
      <c r="T34" s="18" t="s">
        <v>87</v>
      </c>
      <c r="V34" s="18" t="s">
        <v>92</v>
      </c>
      <c r="W34" s="18" t="s">
        <v>92</v>
      </c>
      <c r="X34" s="18" t="s">
        <v>87</v>
      </c>
      <c r="Z34" s="18" t="s">
        <v>92</v>
      </c>
      <c r="AA34" s="18" t="s">
        <v>92</v>
      </c>
      <c r="AB34" s="18" t="s">
        <v>87</v>
      </c>
    </row>
    <row r="35" customFormat="false" ht="15" hidden="false" customHeight="false" outlineLevel="0" collapsed="false">
      <c r="A35" s="3" t="s">
        <v>12</v>
      </c>
      <c r="B35" s="18" t="s">
        <v>89</v>
      </c>
      <c r="C35" s="18" t="s">
        <v>87</v>
      </c>
      <c r="D35" s="18" t="s">
        <v>88</v>
      </c>
      <c r="F35" s="18" t="s">
        <v>89</v>
      </c>
      <c r="G35" s="18" t="s">
        <v>87</v>
      </c>
      <c r="H35" s="18" t="s">
        <v>88</v>
      </c>
      <c r="J35" s="18" t="s">
        <v>89</v>
      </c>
      <c r="K35" s="18" t="s">
        <v>88</v>
      </c>
      <c r="L35" s="18" t="s">
        <v>88</v>
      </c>
      <c r="N35" s="18" t="s">
        <v>92</v>
      </c>
      <c r="O35" s="18" t="s">
        <v>92</v>
      </c>
      <c r="P35" s="18" t="s">
        <v>87</v>
      </c>
      <c r="R35" s="18" t="s">
        <v>92</v>
      </c>
      <c r="S35" s="18" t="s">
        <v>92</v>
      </c>
      <c r="T35" s="18" t="s">
        <v>87</v>
      </c>
      <c r="V35" s="18" t="s">
        <v>92</v>
      </c>
      <c r="W35" s="18" t="s">
        <v>92</v>
      </c>
      <c r="X35" s="18" t="s">
        <v>87</v>
      </c>
      <c r="Z35" s="18" t="s">
        <v>92</v>
      </c>
      <c r="AA35" s="18" t="s">
        <v>92</v>
      </c>
      <c r="AB35" s="18" t="s">
        <v>87</v>
      </c>
    </row>
    <row r="36" customFormat="false" ht="15" hidden="false" customHeight="false" outlineLevel="0" collapsed="false">
      <c r="A36" s="3" t="s">
        <v>13</v>
      </c>
      <c r="B36" s="18" t="s">
        <v>89</v>
      </c>
      <c r="C36" s="18" t="s">
        <v>87</v>
      </c>
      <c r="D36" s="18" t="s">
        <v>88</v>
      </c>
      <c r="F36" s="18" t="s">
        <v>89</v>
      </c>
      <c r="G36" s="18" t="s">
        <v>87</v>
      </c>
      <c r="H36" s="18" t="s">
        <v>88</v>
      </c>
      <c r="J36" s="18" t="s">
        <v>88</v>
      </c>
      <c r="K36" s="18" t="s">
        <v>88</v>
      </c>
      <c r="L36" s="18" t="s">
        <v>91</v>
      </c>
      <c r="N36" s="18" t="s">
        <v>90</v>
      </c>
      <c r="O36" s="18" t="s">
        <v>90</v>
      </c>
      <c r="P36" s="18" t="s">
        <v>90</v>
      </c>
      <c r="R36" s="18" t="s">
        <v>90</v>
      </c>
      <c r="S36" s="18" t="s">
        <v>90</v>
      </c>
      <c r="T36" s="18" t="s">
        <v>90</v>
      </c>
      <c r="V36" s="18" t="s">
        <v>90</v>
      </c>
      <c r="W36" s="18" t="s">
        <v>90</v>
      </c>
      <c r="X36" s="18" t="s">
        <v>90</v>
      </c>
      <c r="Z36" s="18" t="s">
        <v>90</v>
      </c>
      <c r="AA36" s="18" t="s">
        <v>90</v>
      </c>
      <c r="AB36" s="18" t="s">
        <v>90</v>
      </c>
    </row>
    <row r="37" customFormat="false" ht="15" hidden="false" customHeight="false" outlineLevel="0" collapsed="false">
      <c r="A37" s="3" t="s">
        <v>14</v>
      </c>
      <c r="B37" s="18"/>
      <c r="C37" s="18"/>
      <c r="D37" s="18"/>
      <c r="F37" s="18"/>
      <c r="G37" s="18"/>
      <c r="H37" s="18"/>
      <c r="J37" s="18"/>
      <c r="K37" s="18"/>
      <c r="L37" s="18"/>
      <c r="N37" s="18"/>
      <c r="O37" s="18"/>
      <c r="P37" s="18"/>
      <c r="R37" s="18"/>
      <c r="S37" s="18"/>
      <c r="T37" s="18"/>
      <c r="V37" s="18" t="s">
        <v>90</v>
      </c>
      <c r="W37" s="18" t="s">
        <v>90</v>
      </c>
      <c r="X37" s="18" t="s">
        <v>90</v>
      </c>
      <c r="Z37" s="18" t="s">
        <v>90</v>
      </c>
      <c r="AA37" s="18" t="s">
        <v>90</v>
      </c>
      <c r="AB37" s="18" t="s">
        <v>90</v>
      </c>
    </row>
    <row r="38" customFormat="false" ht="15" hidden="false" customHeight="false" outlineLevel="0" collapsed="false">
      <c r="A38" s="3" t="s">
        <v>15</v>
      </c>
      <c r="B38" s="18"/>
      <c r="C38" s="18"/>
      <c r="D38" s="18"/>
      <c r="F38" s="18"/>
      <c r="G38" s="18"/>
      <c r="H38" s="18"/>
      <c r="J38" s="18"/>
      <c r="K38" s="18"/>
      <c r="L38" s="18"/>
      <c r="N38" s="18"/>
      <c r="O38" s="18"/>
      <c r="P38" s="18"/>
      <c r="R38" s="18"/>
      <c r="S38" s="18"/>
      <c r="T38" s="18"/>
      <c r="V38" s="18" t="s">
        <v>90</v>
      </c>
      <c r="W38" s="18" t="s">
        <v>90</v>
      </c>
      <c r="X38" s="18" t="s">
        <v>90</v>
      </c>
      <c r="Z38" s="18" t="s">
        <v>90</v>
      </c>
      <c r="AA38" s="18" t="s">
        <v>90</v>
      </c>
      <c r="AB38" s="18" t="s">
        <v>90</v>
      </c>
    </row>
    <row r="39" customFormat="false" ht="15" hidden="false" customHeight="false" outlineLevel="0" collapsed="false">
      <c r="A39" s="3" t="s">
        <v>16</v>
      </c>
      <c r="B39" s="18"/>
      <c r="C39" s="18"/>
      <c r="D39" s="18"/>
      <c r="F39" s="18"/>
      <c r="G39" s="18"/>
      <c r="H39" s="18"/>
      <c r="J39" s="18"/>
      <c r="K39" s="18"/>
      <c r="L39" s="18"/>
      <c r="N39" s="18"/>
      <c r="O39" s="18"/>
      <c r="P39" s="18"/>
      <c r="R39" s="18"/>
      <c r="S39" s="18"/>
      <c r="T39" s="18"/>
      <c r="V39" s="18" t="s">
        <v>90</v>
      </c>
      <c r="W39" s="18" t="s">
        <v>90</v>
      </c>
      <c r="X39" s="18" t="s">
        <v>90</v>
      </c>
      <c r="Z39" s="18" t="s">
        <v>90</v>
      </c>
      <c r="AA39" s="18" t="s">
        <v>90</v>
      </c>
      <c r="AB39" s="18"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99</v>
      </c>
    </row>
    <row r="3" customFormat="false" ht="15" hidden="false" customHeight="false" outlineLevel="0" collapsed="false">
      <c r="A3" s="3" t="s">
        <v>76</v>
      </c>
      <c r="B3" s="3" t="s">
        <v>77</v>
      </c>
      <c r="F3" s="3" t="s">
        <v>78</v>
      </c>
      <c r="J3" s="3" t="s">
        <v>79</v>
      </c>
      <c r="N3" s="3" t="s">
        <v>80</v>
      </c>
      <c r="R3" s="3" t="s">
        <v>82</v>
      </c>
      <c r="V3" s="3" t="s">
        <v>81</v>
      </c>
      <c r="Z3" s="3" t="s">
        <v>83</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model'!M380</f>
        <v>8.5</v>
      </c>
      <c r="C5" s="16" t="n">
        <f aca="false">'Cost model'!M381</f>
        <v>14.5</v>
      </c>
      <c r="D5" s="16" t="n">
        <f aca="false">'Cost model'!M382</f>
        <v>18.5</v>
      </c>
      <c r="F5" s="16" t="n">
        <f aca="false">'Cost model'!M398</f>
        <v>15.5</v>
      </c>
      <c r="G5" s="16" t="n">
        <f aca="false">'Cost model'!M399</f>
        <v>17.5</v>
      </c>
      <c r="H5" s="16" t="n">
        <f aca="false">'Cost model'!M400</f>
        <v>20.5</v>
      </c>
      <c r="J5" s="16" t="n">
        <f aca="false">'Cost model'!M416</f>
        <v>16.5</v>
      </c>
      <c r="K5" s="16" t="n">
        <f aca="false">'Cost model'!M417</f>
        <v>18.5</v>
      </c>
      <c r="L5" s="16" t="n">
        <f aca="false">'Cost model'!M418</f>
        <v>21.5</v>
      </c>
      <c r="N5" s="16" t="n">
        <f aca="false">'Cost model'!M434</f>
        <v>13.5</v>
      </c>
      <c r="O5" s="16" t="n">
        <f aca="false">'Cost model'!M435</f>
        <v>15.5</v>
      </c>
      <c r="P5" s="16" t="n">
        <f aca="false">'Cost model'!M436</f>
        <v>19.5</v>
      </c>
      <c r="R5" s="16" t="n">
        <f aca="false">'Cost model'!M452</f>
        <v>13.5</v>
      </c>
      <c r="S5" s="16" t="n">
        <f aca="false">'Cost model'!M453</f>
        <v>16.5</v>
      </c>
      <c r="T5" s="16" t="n">
        <f aca="false">'Cost model'!M454</f>
        <v>22.5</v>
      </c>
      <c r="V5" s="16" t="n">
        <f aca="false">'Cost model'!M470</f>
        <v>19.5</v>
      </c>
      <c r="W5" s="16" t="n">
        <f aca="false">'Cost model'!M471</f>
        <v>35</v>
      </c>
      <c r="X5" s="16" t="n">
        <f aca="false">'Cost model'!M472</f>
        <v>35</v>
      </c>
      <c r="Z5" s="16" t="n">
        <f aca="false">'Cost model'!M488</f>
        <v>14.5</v>
      </c>
      <c r="AA5" s="16" t="n">
        <f aca="false">'Cost model'!M489</f>
        <v>26.5</v>
      </c>
      <c r="AB5" s="16" t="n">
        <f aca="false">'Cost model'!M490</f>
        <v>26.5</v>
      </c>
    </row>
    <row r="6" customFormat="false" ht="15" hidden="false" customHeight="false" outlineLevel="0" collapsed="false">
      <c r="A6" s="3" t="s">
        <v>12</v>
      </c>
      <c r="B6" s="16" t="n">
        <f aca="false">'Cost model'!M383</f>
        <v>27.5</v>
      </c>
      <c r="C6" s="16" t="n">
        <f aca="false">'Cost model'!M384</f>
        <v>45</v>
      </c>
      <c r="D6" s="16" t="n">
        <f aca="false">'Cost model'!M385</f>
        <v>55</v>
      </c>
      <c r="F6" s="16" t="n">
        <f aca="false">'Cost model'!M401</f>
        <v>60</v>
      </c>
      <c r="G6" s="16" t="n">
        <f aca="false">'Cost model'!M402</f>
        <v>60</v>
      </c>
      <c r="H6" s="16" t="n">
        <f aca="false">'Cost model'!M403</f>
        <v>75</v>
      </c>
      <c r="J6" s="16" t="n">
        <f aca="false">'Cost model'!M419</f>
        <v>55</v>
      </c>
      <c r="K6" s="16" t="n">
        <f aca="false">'Cost model'!M420</f>
        <v>60</v>
      </c>
      <c r="L6" s="16" t="n">
        <f aca="false">'Cost model'!M421</f>
        <v>70</v>
      </c>
      <c r="N6" s="16" t="n">
        <f aca="false">'Cost model'!M437</f>
        <v>50</v>
      </c>
      <c r="O6" s="16" t="n">
        <f aca="false">'Cost model'!M438</f>
        <v>55</v>
      </c>
      <c r="P6" s="16" t="n">
        <f aca="false">'Cost model'!M439</f>
        <v>60</v>
      </c>
      <c r="R6" s="16" t="n">
        <f aca="false">'Cost model'!M455</f>
        <v>60</v>
      </c>
      <c r="S6" s="16" t="n">
        <f aca="false">'Cost model'!M456</f>
        <v>60</v>
      </c>
      <c r="T6" s="16" t="n">
        <f aca="false">'Cost model'!M457</f>
        <v>105</v>
      </c>
      <c r="V6" s="16" t="n">
        <f aca="false">'Cost model'!M473</f>
        <v>65</v>
      </c>
      <c r="W6" s="16" t="n">
        <f aca="false">'Cost model'!M474</f>
        <v>65</v>
      </c>
      <c r="X6" s="16" t="n">
        <f aca="false">'Cost model'!M475</f>
        <v>75</v>
      </c>
      <c r="Z6" s="16" t="n">
        <f aca="false">'Cost model'!M491</f>
        <v>55</v>
      </c>
      <c r="AA6" s="16" t="n">
        <f aca="false">'Cost model'!M492</f>
        <v>60</v>
      </c>
      <c r="AB6" s="16" t="n">
        <f aca="false">'Cost model'!M493</f>
        <v>70</v>
      </c>
    </row>
    <row r="7" customFormat="false" ht="15" hidden="false" customHeight="false" outlineLevel="0" collapsed="false">
      <c r="A7" s="3" t="s">
        <v>13</v>
      </c>
      <c r="B7" s="16" t="n">
        <f aca="false">'Cost model'!M386</f>
        <v>55</v>
      </c>
      <c r="C7" s="16" t="n">
        <f aca="false">'Cost model'!M387</f>
        <v>95</v>
      </c>
      <c r="D7" s="16" t="n">
        <f aca="false">'Cost model'!M388</f>
        <v>110</v>
      </c>
      <c r="F7" s="16" t="n">
        <f aca="false">'Cost model'!M404</f>
        <v>120</v>
      </c>
      <c r="G7" s="16" t="n">
        <f aca="false">'Cost model'!M405</f>
        <v>120</v>
      </c>
      <c r="H7" s="16" t="n">
        <f aca="false">'Cost model'!M406</f>
        <v>140</v>
      </c>
      <c r="J7" s="16" t="n">
        <f aca="false">'Cost model'!M422</f>
        <v>100</v>
      </c>
      <c r="K7" s="16" t="n">
        <f aca="false">'Cost model'!M423</f>
        <v>105</v>
      </c>
      <c r="L7" s="16" t="n">
        <f aca="false">'Cost model'!M424</f>
        <v>140</v>
      </c>
      <c r="N7" s="16" t="n">
        <f aca="false">'Cost model'!M440</f>
        <v>90</v>
      </c>
      <c r="O7" s="16" t="n">
        <f aca="false">'Cost model'!M441</f>
        <v>95</v>
      </c>
      <c r="P7" s="16" t="n">
        <f aca="false">'Cost model'!M442</f>
        <v>140</v>
      </c>
      <c r="R7" s="16" t="n">
        <f aca="false">'Cost model'!M458</f>
        <v>85</v>
      </c>
      <c r="S7" s="16" t="n">
        <f aca="false">'Cost model'!M459</f>
        <v>105</v>
      </c>
      <c r="T7" s="16" t="n">
        <f aca="false">'Cost model'!M460</f>
        <v>140</v>
      </c>
      <c r="V7" s="16" t="n">
        <f aca="false">'Cost model'!M476</f>
        <v>110</v>
      </c>
      <c r="W7" s="16" t="n">
        <f aca="false">'Cost model'!M477</f>
        <v>120</v>
      </c>
      <c r="X7" s="16" t="n">
        <f aca="false">'Cost model'!M478</f>
        <v>155</v>
      </c>
      <c r="Z7" s="16" t="n">
        <f aca="false">'Cost model'!M494</f>
        <v>95</v>
      </c>
      <c r="AA7" s="16" t="n">
        <f aca="false">'Cost model'!M495</f>
        <v>105</v>
      </c>
      <c r="AB7" s="16" t="n">
        <f aca="false">'Cost model'!M496</f>
        <v>140</v>
      </c>
    </row>
    <row r="8" customFormat="false" ht="15" hidden="false" customHeight="false" outlineLevel="0" collapsed="false">
      <c r="A8" s="3" t="s">
        <v>14</v>
      </c>
      <c r="B8" s="16" t="n">
        <f aca="false">'Cost model'!M389</f>
        <v>95</v>
      </c>
      <c r="C8" s="16" t="n">
        <f aca="false">'Cost model'!M390</f>
        <v>115</v>
      </c>
      <c r="D8" s="16" t="n">
        <f aca="false">'Cost model'!M391</f>
        <v>170</v>
      </c>
      <c r="F8" s="16" t="n">
        <f aca="false">'Cost model'!M407</f>
        <v>155</v>
      </c>
      <c r="G8" s="16" t="n">
        <f aca="false">'Cost model'!M408</f>
        <v>180</v>
      </c>
      <c r="H8" s="16" t="n">
        <f aca="false">'Cost model'!M409</f>
        <v>225</v>
      </c>
      <c r="J8" s="16" t="n">
        <f aca="false">'Cost model'!M425</f>
        <v>160</v>
      </c>
      <c r="K8" s="16" t="n">
        <f aca="false">'Cost model'!M426</f>
        <v>220</v>
      </c>
      <c r="L8" s="16" t="n">
        <f aca="false">'Cost model'!M427</f>
        <v>235</v>
      </c>
      <c r="N8" s="16" t="n">
        <f aca="false">'Cost model'!M443</f>
        <v>155</v>
      </c>
      <c r="O8" s="16" t="n">
        <f aca="false">'Cost model'!M444</f>
        <v>185</v>
      </c>
      <c r="P8" s="16" t="n">
        <f aca="false">'Cost model'!M445</f>
        <v>250</v>
      </c>
      <c r="R8" s="16" t="n">
        <f aca="false">'Cost model'!M461</f>
        <v>160</v>
      </c>
      <c r="S8" s="16" t="n">
        <f aca="false">'Cost model'!M462</f>
        <v>190</v>
      </c>
      <c r="T8" s="16" t="n">
        <f aca="false">'Cost model'!M463</f>
        <v>250</v>
      </c>
      <c r="V8" s="16" t="n">
        <f aca="false">'Cost model'!M479</f>
        <v>190</v>
      </c>
      <c r="W8" s="16" t="n">
        <f aca="false">'Cost model'!M480</f>
        <v>220</v>
      </c>
      <c r="X8" s="16" t="n">
        <f aca="false">'Cost model'!M481</f>
        <v>265</v>
      </c>
      <c r="Z8" s="16" t="n">
        <f aca="false">'Cost model'!M497</f>
        <v>160</v>
      </c>
      <c r="AA8" s="16" t="n">
        <f aca="false">'Cost model'!M498</f>
        <v>190</v>
      </c>
      <c r="AB8" s="16" t="n">
        <f aca="false">'Cost model'!M499</f>
        <v>230</v>
      </c>
    </row>
    <row r="9" customFormat="false" ht="15" hidden="false" customHeight="false" outlineLevel="0" collapsed="false">
      <c r="A9" s="3" t="s">
        <v>15</v>
      </c>
      <c r="B9" s="16" t="n">
        <f aca="false">'Cost model'!M392</f>
        <v>115</v>
      </c>
      <c r="C9" s="16" t="n">
        <f aca="false">'Cost model'!M393</f>
        <v>160</v>
      </c>
      <c r="D9" s="16" t="n">
        <f aca="false">'Cost model'!M394</f>
        <v>235</v>
      </c>
      <c r="F9" s="16" t="n">
        <f aca="false">'Cost model'!M410</f>
        <v>195</v>
      </c>
      <c r="G9" s="17" t="n">
        <f aca="false">'Cost model'!M411</f>
        <v>310</v>
      </c>
      <c r="H9" s="17" t="n">
        <f aca="false">'Cost model'!M412</f>
        <v>350</v>
      </c>
      <c r="J9" s="16" t="n">
        <f aca="false">'Cost model'!M428</f>
        <v>205</v>
      </c>
      <c r="K9" s="17" t="n">
        <f aca="false">'Cost model'!M429</f>
        <v>300</v>
      </c>
      <c r="L9" s="17" t="n">
        <f aca="false">'Cost model'!M430</f>
        <v>370</v>
      </c>
      <c r="N9" s="16" t="n">
        <f aca="false">'Cost model'!M446</f>
        <v>185</v>
      </c>
      <c r="O9" s="17" t="n">
        <f aca="false">'Cost model'!M447</f>
        <v>280</v>
      </c>
      <c r="P9" s="17" t="n">
        <f aca="false">'Cost model'!M448</f>
        <v>330</v>
      </c>
      <c r="R9" s="16" t="n">
        <f aca="false">'Cost model'!M464</f>
        <v>200</v>
      </c>
      <c r="S9" s="17" t="n">
        <f aca="false">'Cost model'!M465</f>
        <v>295</v>
      </c>
      <c r="T9" s="17" t="n">
        <f aca="false">'Cost model'!M466</f>
        <v>355</v>
      </c>
      <c r="V9" s="16" t="n">
        <f aca="false">'Cost model'!M482</f>
        <v>235</v>
      </c>
      <c r="W9" s="17" t="n">
        <f aca="false">'Cost model'!M483</f>
        <v>350</v>
      </c>
      <c r="X9" s="17" t="n">
        <f aca="false">'Cost model'!M484</f>
        <v>415</v>
      </c>
      <c r="Z9" s="16" t="n">
        <f aca="false">'Cost model'!M500</f>
        <v>200</v>
      </c>
      <c r="AA9" s="17" t="n">
        <f aca="false">'Cost model'!M501</f>
        <v>300</v>
      </c>
      <c r="AB9" s="17" t="n">
        <f aca="false">'Cost model'!M502</f>
        <v>360</v>
      </c>
    </row>
    <row r="10" customFormat="false" ht="15" hidden="false" customHeight="false" outlineLevel="0" collapsed="false">
      <c r="A10" s="3" t="s">
        <v>16</v>
      </c>
      <c r="B10" s="16" t="n">
        <f aca="false">'Cost model'!M395</f>
        <v>120</v>
      </c>
      <c r="C10" s="16" t="n">
        <f aca="false">'Cost model'!M396</f>
        <v>245</v>
      </c>
      <c r="D10" s="16" t="n">
        <f aca="false">'Cost model'!M397</f>
        <v>295</v>
      </c>
      <c r="F10" s="16" t="n">
        <f aca="false">'Cost model'!M413</f>
        <v>270</v>
      </c>
      <c r="G10" s="17" t="n">
        <f aca="false">'Cost model'!M414</f>
        <v>415</v>
      </c>
      <c r="H10" s="17" t="n">
        <f aca="false">'Cost model'!M415</f>
        <v>490</v>
      </c>
      <c r="J10" s="16" t="n">
        <f aca="false">'Cost model'!M431</f>
        <v>285</v>
      </c>
      <c r="K10" s="17" t="n">
        <f aca="false">'Cost model'!M432</f>
        <v>435</v>
      </c>
      <c r="L10" s="17" t="n">
        <f aca="false">'Cost model'!M433</f>
        <v>510</v>
      </c>
      <c r="N10" s="16" t="n">
        <f aca="false">'Cost model'!M449</f>
        <v>255</v>
      </c>
      <c r="O10" s="17" t="n">
        <f aca="false">'Cost model'!M450</f>
        <v>400</v>
      </c>
      <c r="P10" s="17" t="n">
        <f aca="false">'Cost model'!M451</f>
        <v>465</v>
      </c>
      <c r="R10" s="16" t="n">
        <f aca="false">'Cost model'!M467</f>
        <v>275</v>
      </c>
      <c r="S10" s="17" t="n">
        <f aca="false">'Cost model'!M468</f>
        <v>430</v>
      </c>
      <c r="T10" s="17" t="n">
        <f aca="false">'Cost model'!M469</f>
        <v>500</v>
      </c>
      <c r="V10" s="16" t="n">
        <f aca="false">'Cost model'!M485</f>
        <v>325</v>
      </c>
      <c r="W10" s="17" t="n">
        <f aca="false">'Cost model'!M486</f>
        <v>490</v>
      </c>
      <c r="X10" s="17" t="n">
        <f aca="false">'Cost model'!M487</f>
        <v>590</v>
      </c>
      <c r="Z10" s="16" t="n">
        <f aca="false">'Cost model'!M503</f>
        <v>280</v>
      </c>
      <c r="AA10" s="17" t="n">
        <f aca="false">'Cost model'!M504</f>
        <v>435</v>
      </c>
      <c r="AB10" s="17" t="n">
        <f aca="false">'Cost model'!M505</f>
        <v>505</v>
      </c>
    </row>
    <row r="12" customFormat="false" ht="15" hidden="false" customHeight="false" outlineLevel="0" collapsed="false">
      <c r="A12" s="3" t="s">
        <v>85</v>
      </c>
      <c r="B12" s="3" t="s">
        <v>77</v>
      </c>
      <c r="F12" s="3" t="s">
        <v>78</v>
      </c>
      <c r="J12" s="3" t="s">
        <v>79</v>
      </c>
      <c r="N12" s="3" t="s">
        <v>80</v>
      </c>
      <c r="R12" s="3" t="s">
        <v>82</v>
      </c>
      <c r="V12" s="3" t="s">
        <v>81</v>
      </c>
      <c r="Z12" s="3" t="s">
        <v>83</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model'!N380</f>
        <v>13.5</v>
      </c>
      <c r="C14" s="16" t="n">
        <f aca="false">'Cost model'!N381</f>
        <v>19.5</v>
      </c>
      <c r="D14" s="16" t="n">
        <f aca="false">'Cost model'!N382</f>
        <v>25.5</v>
      </c>
      <c r="F14" s="16" t="n">
        <f aca="false">'Cost model'!N398</f>
        <v>21.5</v>
      </c>
      <c r="G14" s="16" t="n">
        <f aca="false">'Cost model'!N399</f>
        <v>23.5</v>
      </c>
      <c r="H14" s="16" t="n">
        <f aca="false">'Cost model'!N400</f>
        <v>27.5</v>
      </c>
      <c r="J14" s="16" t="n">
        <f aca="false">'Cost model'!N416</f>
        <v>22.5</v>
      </c>
      <c r="K14" s="16" t="n">
        <f aca="false">'Cost model'!N417</f>
        <v>25.5</v>
      </c>
      <c r="L14" s="16" t="n">
        <f aca="false">'Cost model'!N418</f>
        <v>29.5</v>
      </c>
      <c r="N14" s="16" t="n">
        <f aca="false">'Cost model'!N434</f>
        <v>18.5</v>
      </c>
      <c r="O14" s="16" t="n">
        <f aca="false">'Cost model'!N435</f>
        <v>21.5</v>
      </c>
      <c r="P14" s="16" t="n">
        <f aca="false">'Cost model'!N436</f>
        <v>26.5</v>
      </c>
      <c r="R14" s="16" t="n">
        <f aca="false">'Cost model'!N452</f>
        <v>18.5</v>
      </c>
      <c r="S14" s="16" t="n">
        <f aca="false">'Cost model'!N453</f>
        <v>22.5</v>
      </c>
      <c r="T14" s="16" t="n">
        <f aca="false">'Cost model'!N454</f>
        <v>35</v>
      </c>
      <c r="V14" s="16" t="n">
        <f aca="false">'Cost model'!N470</f>
        <v>26.5</v>
      </c>
      <c r="W14" s="16" t="n">
        <f aca="false">'Cost model'!N471</f>
        <v>50</v>
      </c>
      <c r="X14" s="16" t="n">
        <f aca="false">'Cost model'!N472</f>
        <v>50</v>
      </c>
      <c r="Z14" s="16" t="n">
        <f aca="false">'Cost model'!N488</f>
        <v>19.5</v>
      </c>
      <c r="AA14" s="16" t="n">
        <f aca="false">'Cost model'!N489</f>
        <v>40</v>
      </c>
      <c r="AB14" s="16" t="n">
        <f aca="false">'Cost model'!N490</f>
        <v>40</v>
      </c>
    </row>
    <row r="15" customFormat="false" ht="15" hidden="false" customHeight="false" outlineLevel="0" collapsed="false">
      <c r="A15" s="3" t="s">
        <v>12</v>
      </c>
      <c r="B15" s="16" t="n">
        <f aca="false">'Cost model'!N383</f>
        <v>35</v>
      </c>
      <c r="C15" s="16" t="n">
        <f aca="false">'Cost model'!N384</f>
        <v>60</v>
      </c>
      <c r="D15" s="16" t="n">
        <f aca="false">'Cost model'!N385</f>
        <v>70</v>
      </c>
      <c r="F15" s="16" t="n">
        <f aca="false">'Cost model'!N401</f>
        <v>80</v>
      </c>
      <c r="G15" s="16" t="n">
        <f aca="false">'Cost model'!N402</f>
        <v>80</v>
      </c>
      <c r="H15" s="16" t="n">
        <f aca="false">'Cost model'!N403</f>
        <v>95</v>
      </c>
      <c r="J15" s="16" t="n">
        <f aca="false">'Cost model'!N419</f>
        <v>70</v>
      </c>
      <c r="K15" s="16" t="n">
        <f aca="false">'Cost model'!N420</f>
        <v>80</v>
      </c>
      <c r="L15" s="16" t="n">
        <f aca="false">'Cost model'!N421</f>
        <v>90</v>
      </c>
      <c r="N15" s="16" t="n">
        <f aca="false">'Cost model'!N437</f>
        <v>65</v>
      </c>
      <c r="O15" s="16" t="n">
        <f aca="false">'Cost model'!N438</f>
        <v>70</v>
      </c>
      <c r="P15" s="16" t="n">
        <f aca="false">'Cost model'!N439</f>
        <v>80</v>
      </c>
      <c r="R15" s="16" t="n">
        <f aca="false">'Cost model'!N455</f>
        <v>80</v>
      </c>
      <c r="S15" s="16" t="n">
        <f aca="false">'Cost model'!N456</f>
        <v>80</v>
      </c>
      <c r="T15" s="16" t="n">
        <f aca="false">'Cost model'!N457</f>
        <v>135</v>
      </c>
      <c r="V15" s="16" t="n">
        <f aca="false">'Cost model'!N473</f>
        <v>85</v>
      </c>
      <c r="W15" s="16" t="n">
        <f aca="false">'Cost model'!N474</f>
        <v>85</v>
      </c>
      <c r="X15" s="16" t="n">
        <f aca="false">'Cost model'!N475</f>
        <v>95</v>
      </c>
      <c r="Z15" s="16" t="n">
        <f aca="false">'Cost model'!N491</f>
        <v>70</v>
      </c>
      <c r="AA15" s="16" t="n">
        <f aca="false">'Cost model'!N492</f>
        <v>80</v>
      </c>
      <c r="AB15" s="16" t="n">
        <f aca="false">'Cost model'!N493</f>
        <v>90</v>
      </c>
    </row>
    <row r="16" customFormat="false" ht="15" hidden="false" customHeight="false" outlineLevel="0" collapsed="false">
      <c r="A16" s="3" t="s">
        <v>13</v>
      </c>
      <c r="B16" s="16" t="n">
        <f aca="false">'Cost model'!N386</f>
        <v>75</v>
      </c>
      <c r="C16" s="16" t="n">
        <f aca="false">'Cost model'!N387</f>
        <v>130</v>
      </c>
      <c r="D16" s="16" t="n">
        <f aca="false">'Cost model'!N388</f>
        <v>150</v>
      </c>
      <c r="F16" s="16" t="n">
        <f aca="false">'Cost model'!N404</f>
        <v>165</v>
      </c>
      <c r="G16" s="16" t="n">
        <f aca="false">'Cost model'!N405</f>
        <v>165</v>
      </c>
      <c r="H16" s="16" t="n">
        <f aca="false">'Cost model'!N406</f>
        <v>190</v>
      </c>
      <c r="J16" s="16" t="n">
        <f aca="false">'Cost model'!N422</f>
        <v>135</v>
      </c>
      <c r="K16" s="16" t="n">
        <f aca="false">'Cost model'!N423</f>
        <v>145</v>
      </c>
      <c r="L16" s="16" t="n">
        <f aca="false">'Cost model'!N424</f>
        <v>190</v>
      </c>
      <c r="N16" s="16" t="n">
        <f aca="false">'Cost model'!N440</f>
        <v>125</v>
      </c>
      <c r="O16" s="16" t="n">
        <f aca="false">'Cost model'!N441</f>
        <v>130</v>
      </c>
      <c r="P16" s="16" t="n">
        <f aca="false">'Cost model'!N442</f>
        <v>190</v>
      </c>
      <c r="R16" s="16" t="n">
        <f aca="false">'Cost model'!N458</f>
        <v>115</v>
      </c>
      <c r="S16" s="16" t="n">
        <f aca="false">'Cost model'!N459</f>
        <v>145</v>
      </c>
      <c r="T16" s="16" t="n">
        <f aca="false">'Cost model'!N460</f>
        <v>190</v>
      </c>
      <c r="V16" s="16" t="n">
        <f aca="false">'Cost model'!N476</f>
        <v>150</v>
      </c>
      <c r="W16" s="16" t="n">
        <f aca="false">'Cost model'!N477</f>
        <v>165</v>
      </c>
      <c r="X16" s="16" t="n">
        <f aca="false">'Cost model'!N478</f>
        <v>210</v>
      </c>
      <c r="Z16" s="16" t="n">
        <f aca="false">'Cost model'!N494</f>
        <v>130</v>
      </c>
      <c r="AA16" s="16" t="n">
        <f aca="false">'Cost model'!N495</f>
        <v>145</v>
      </c>
      <c r="AB16" s="16" t="n">
        <f aca="false">'Cost model'!N496</f>
        <v>190</v>
      </c>
    </row>
    <row r="17" customFormat="false" ht="15" hidden="false" customHeight="false" outlineLevel="0" collapsed="false">
      <c r="A17" s="3" t="s">
        <v>14</v>
      </c>
      <c r="B17" s="16" t="n">
        <f aca="false">'Cost model'!N389</f>
        <v>115</v>
      </c>
      <c r="C17" s="16" t="n">
        <f aca="false">'Cost model'!N390</f>
        <v>140</v>
      </c>
      <c r="D17" s="16" t="n">
        <f aca="false">'Cost model'!N391</f>
        <v>205</v>
      </c>
      <c r="F17" s="16" t="n">
        <f aca="false">'Cost model'!N407</f>
        <v>190</v>
      </c>
      <c r="G17" s="16" t="n">
        <f aca="false">'Cost model'!N408</f>
        <v>220</v>
      </c>
      <c r="H17" s="16" t="n">
        <f aca="false">'Cost model'!N409</f>
        <v>270</v>
      </c>
      <c r="J17" s="16" t="n">
        <f aca="false">'Cost model'!N425</f>
        <v>195</v>
      </c>
      <c r="K17" s="16" t="n">
        <f aca="false">'Cost model'!N426</f>
        <v>265</v>
      </c>
      <c r="L17" s="16" t="n">
        <f aca="false">'Cost model'!N427</f>
        <v>285</v>
      </c>
      <c r="N17" s="16" t="n">
        <f aca="false">'Cost model'!N443</f>
        <v>190</v>
      </c>
      <c r="O17" s="16" t="n">
        <f aca="false">'Cost model'!N444</f>
        <v>225</v>
      </c>
      <c r="P17" s="16" t="n">
        <f aca="false">'Cost model'!N445</f>
        <v>300</v>
      </c>
      <c r="R17" s="16" t="n">
        <f aca="false">'Cost model'!N461</f>
        <v>195</v>
      </c>
      <c r="S17" s="16" t="n">
        <f aca="false">'Cost model'!N462</f>
        <v>230</v>
      </c>
      <c r="T17" s="16" t="n">
        <f aca="false">'Cost model'!N463</f>
        <v>300</v>
      </c>
      <c r="V17" s="16" t="n">
        <f aca="false">'Cost model'!N479</f>
        <v>230</v>
      </c>
      <c r="W17" s="16" t="n">
        <f aca="false">'Cost model'!N480</f>
        <v>265</v>
      </c>
      <c r="X17" s="16" t="n">
        <f aca="false">'Cost model'!N481</f>
        <v>320</v>
      </c>
      <c r="Z17" s="16" t="n">
        <f aca="false">'Cost model'!N497</f>
        <v>195</v>
      </c>
      <c r="AA17" s="16" t="n">
        <f aca="false">'Cost model'!N498</f>
        <v>230</v>
      </c>
      <c r="AB17" s="16" t="n">
        <f aca="false">'Cost model'!N499</f>
        <v>280</v>
      </c>
    </row>
    <row r="18" customFormat="false" ht="15" hidden="false" customHeight="false" outlineLevel="0" collapsed="false">
      <c r="A18" s="3" t="s">
        <v>15</v>
      </c>
      <c r="B18" s="16" t="n">
        <f aca="false">'Cost model'!N392</f>
        <v>140</v>
      </c>
      <c r="C18" s="16" t="n">
        <f aca="false">'Cost model'!N393</f>
        <v>195</v>
      </c>
      <c r="D18" s="16" t="n">
        <f aca="false">'Cost model'!N394</f>
        <v>285</v>
      </c>
      <c r="F18" s="16" t="n">
        <f aca="false">'Cost model'!N410</f>
        <v>235</v>
      </c>
      <c r="G18" s="17" t="n">
        <f aca="false">'Cost model'!N411</f>
        <v>310</v>
      </c>
      <c r="H18" s="17" t="n">
        <f aca="false">'Cost model'!N412</f>
        <v>350</v>
      </c>
      <c r="J18" s="16" t="n">
        <f aca="false">'Cost model'!N428</f>
        <v>250</v>
      </c>
      <c r="K18" s="17" t="n">
        <f aca="false">'Cost model'!N429</f>
        <v>300</v>
      </c>
      <c r="L18" s="17" t="n">
        <f aca="false">'Cost model'!N430</f>
        <v>370</v>
      </c>
      <c r="N18" s="16" t="n">
        <f aca="false">'Cost model'!N446</f>
        <v>225</v>
      </c>
      <c r="O18" s="17" t="n">
        <f aca="false">'Cost model'!N447</f>
        <v>280</v>
      </c>
      <c r="P18" s="17" t="n">
        <f aca="false">'Cost model'!N448</f>
        <v>330</v>
      </c>
      <c r="R18" s="16" t="n">
        <f aca="false">'Cost model'!N464</f>
        <v>240</v>
      </c>
      <c r="S18" s="17" t="n">
        <f aca="false">'Cost model'!N465</f>
        <v>295</v>
      </c>
      <c r="T18" s="17" t="n">
        <f aca="false">'Cost model'!N466</f>
        <v>355</v>
      </c>
      <c r="V18" s="16" t="n">
        <f aca="false">'Cost model'!N482</f>
        <v>285</v>
      </c>
      <c r="W18" s="17" t="n">
        <f aca="false">'Cost model'!N483</f>
        <v>350</v>
      </c>
      <c r="X18" s="17" t="n">
        <f aca="false">'Cost model'!N484</f>
        <v>415</v>
      </c>
      <c r="Z18" s="16" t="n">
        <f aca="false">'Cost model'!N500</f>
        <v>240</v>
      </c>
      <c r="AA18" s="17" t="n">
        <f aca="false">'Cost model'!N501</f>
        <v>300</v>
      </c>
      <c r="AB18" s="17" t="n">
        <f aca="false">'Cost model'!N502</f>
        <v>360</v>
      </c>
    </row>
    <row r="19" customFormat="false" ht="15" hidden="false" customHeight="false" outlineLevel="0" collapsed="false">
      <c r="A19" s="3" t="s">
        <v>16</v>
      </c>
      <c r="B19" s="16" t="n">
        <f aca="false">'Cost model'!N395</f>
        <v>145</v>
      </c>
      <c r="C19" s="16" t="n">
        <f aca="false">'Cost model'!N396</f>
        <v>295</v>
      </c>
      <c r="D19" s="16" t="n">
        <f aca="false">'Cost model'!N397</f>
        <v>355</v>
      </c>
      <c r="F19" s="16" t="n">
        <f aca="false">'Cost model'!N413</f>
        <v>325</v>
      </c>
      <c r="G19" s="17" t="n">
        <f aca="false">'Cost model'!N414</f>
        <v>415</v>
      </c>
      <c r="H19" s="17" t="n">
        <f aca="false">'Cost model'!N415</f>
        <v>490</v>
      </c>
      <c r="J19" s="16" t="n">
        <f aca="false">'Cost model'!N431</f>
        <v>345</v>
      </c>
      <c r="K19" s="17" t="n">
        <f aca="false">'Cost model'!N432</f>
        <v>435</v>
      </c>
      <c r="L19" s="17" t="n">
        <f aca="false">'Cost model'!N433</f>
        <v>510</v>
      </c>
      <c r="N19" s="16" t="n">
        <f aca="false">'Cost model'!N449</f>
        <v>310</v>
      </c>
      <c r="O19" s="17" t="n">
        <f aca="false">'Cost model'!N450</f>
        <v>400</v>
      </c>
      <c r="P19" s="17" t="n">
        <f aca="false">'Cost model'!N451</f>
        <v>465</v>
      </c>
      <c r="R19" s="16" t="n">
        <f aca="false">'Cost model'!N467</f>
        <v>330</v>
      </c>
      <c r="S19" s="17" t="n">
        <f aca="false">'Cost model'!N468</f>
        <v>430</v>
      </c>
      <c r="T19" s="17" t="n">
        <f aca="false">'Cost model'!N469</f>
        <v>500</v>
      </c>
      <c r="V19" s="16" t="n">
        <f aca="false">'Cost model'!N485</f>
        <v>390</v>
      </c>
      <c r="W19" s="17" t="n">
        <f aca="false">'Cost model'!N486</f>
        <v>490</v>
      </c>
      <c r="X19" s="17" t="n">
        <f aca="false">'Cost model'!N487</f>
        <v>590</v>
      </c>
      <c r="Z19" s="16" t="n">
        <f aca="false">'Cost model'!N503</f>
        <v>340</v>
      </c>
      <c r="AA19" s="17" t="n">
        <f aca="false">'Cost model'!N504</f>
        <v>435</v>
      </c>
      <c r="AB19" s="17" t="n">
        <f aca="false">'Cost model'!N505</f>
        <v>505</v>
      </c>
    </row>
    <row r="21" customFormat="false" ht="17.35" hidden="false" customHeight="false" outlineLevel="0" collapsed="false">
      <c r="A21" s="1" t="s">
        <v>100</v>
      </c>
    </row>
    <row r="23" customFormat="false" ht="15" hidden="false" customHeight="false" outlineLevel="0" collapsed="false">
      <c r="A23" s="3" t="s">
        <v>76</v>
      </c>
      <c r="B23" s="3" t="s">
        <v>77</v>
      </c>
      <c r="F23" s="3" t="s">
        <v>78</v>
      </c>
      <c r="J23" s="3" t="s">
        <v>79</v>
      </c>
      <c r="N23" s="3" t="s">
        <v>80</v>
      </c>
      <c r="R23" s="3" t="s">
        <v>82</v>
      </c>
      <c r="V23" s="3" t="s">
        <v>81</v>
      </c>
      <c r="Z23" s="3" t="s">
        <v>83</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89</v>
      </c>
      <c r="C25" s="18" t="s">
        <v>89</v>
      </c>
      <c r="D25" s="18" t="s">
        <v>87</v>
      </c>
      <c r="F25" s="18" t="s">
        <v>87</v>
      </c>
      <c r="G25" s="18" t="s">
        <v>87</v>
      </c>
      <c r="H25" s="18" t="s">
        <v>88</v>
      </c>
      <c r="J25" s="18" t="s">
        <v>87</v>
      </c>
      <c r="K25" s="18" t="s">
        <v>87</v>
      </c>
      <c r="L25" s="18" t="s">
        <v>87</v>
      </c>
      <c r="N25" s="18" t="s">
        <v>87</v>
      </c>
      <c r="O25" s="18" t="s">
        <v>87</v>
      </c>
      <c r="P25" s="18" t="s">
        <v>88</v>
      </c>
      <c r="R25" s="18" t="s">
        <v>90</v>
      </c>
      <c r="S25" s="18" t="s">
        <v>90</v>
      </c>
      <c r="T25" s="18" t="s">
        <v>90</v>
      </c>
      <c r="V25" s="18" t="s">
        <v>90</v>
      </c>
      <c r="W25" s="18" t="s">
        <v>90</v>
      </c>
      <c r="X25" s="18" t="s">
        <v>90</v>
      </c>
      <c r="Z25" s="18" t="s">
        <v>90</v>
      </c>
      <c r="AA25" s="18" t="s">
        <v>90</v>
      </c>
      <c r="AB25" s="18" t="s">
        <v>90</v>
      </c>
    </row>
    <row r="26" customFormat="false" ht="15" hidden="false" customHeight="false" outlineLevel="0" collapsed="false">
      <c r="A26" s="3" t="s">
        <v>12</v>
      </c>
      <c r="B26" s="18" t="s">
        <v>89</v>
      </c>
      <c r="C26" s="18" t="s">
        <v>89</v>
      </c>
      <c r="D26" s="18" t="s">
        <v>87</v>
      </c>
      <c r="F26" s="18" t="s">
        <v>87</v>
      </c>
      <c r="G26" s="18" t="s">
        <v>87</v>
      </c>
      <c r="H26" s="18" t="s">
        <v>88</v>
      </c>
      <c r="J26" s="18" t="s">
        <v>87</v>
      </c>
      <c r="K26" s="18" t="s">
        <v>87</v>
      </c>
      <c r="L26" s="18" t="s">
        <v>87</v>
      </c>
      <c r="N26" s="18" t="s">
        <v>87</v>
      </c>
      <c r="O26" s="18" t="s">
        <v>87</v>
      </c>
      <c r="P26" s="18" t="s">
        <v>88</v>
      </c>
      <c r="R26" s="18" t="s">
        <v>90</v>
      </c>
      <c r="S26" s="18" t="s">
        <v>90</v>
      </c>
      <c r="T26" s="18" t="s">
        <v>90</v>
      </c>
      <c r="V26" s="18" t="s">
        <v>90</v>
      </c>
      <c r="W26" s="18" t="s">
        <v>90</v>
      </c>
      <c r="X26" s="18" t="s">
        <v>90</v>
      </c>
      <c r="Z26" s="18" t="s">
        <v>90</v>
      </c>
      <c r="AA26" s="18" t="s">
        <v>90</v>
      </c>
      <c r="AB26" s="18" t="s">
        <v>90</v>
      </c>
    </row>
    <row r="27" customFormat="false" ht="15" hidden="false" customHeight="false" outlineLevel="0" collapsed="false">
      <c r="A27" s="3" t="s">
        <v>13</v>
      </c>
      <c r="B27" s="18" t="s">
        <v>89</v>
      </c>
      <c r="C27" s="18" t="s">
        <v>89</v>
      </c>
      <c r="D27" s="18" t="s">
        <v>88</v>
      </c>
      <c r="F27" s="18" t="s">
        <v>88</v>
      </c>
      <c r="G27" s="18" t="s">
        <v>88</v>
      </c>
      <c r="H27" s="18" t="s">
        <v>91</v>
      </c>
      <c r="J27" s="18" t="s">
        <v>88</v>
      </c>
      <c r="K27" s="18" t="s">
        <v>88</v>
      </c>
      <c r="L27" s="18" t="s">
        <v>91</v>
      </c>
      <c r="N27" s="18" t="s">
        <v>88</v>
      </c>
      <c r="O27" s="18" t="s">
        <v>88</v>
      </c>
      <c r="P27" s="18" t="s">
        <v>91</v>
      </c>
      <c r="R27" s="18" t="s">
        <v>90</v>
      </c>
      <c r="S27" s="18" t="s">
        <v>90</v>
      </c>
      <c r="T27" s="18" t="s">
        <v>90</v>
      </c>
      <c r="V27" s="18" t="s">
        <v>90</v>
      </c>
      <c r="W27" s="18" t="s">
        <v>90</v>
      </c>
      <c r="X27" s="18" t="s">
        <v>90</v>
      </c>
      <c r="Z27" s="18" t="s">
        <v>90</v>
      </c>
      <c r="AA27" s="18" t="s">
        <v>90</v>
      </c>
      <c r="AB27" s="18" t="s">
        <v>90</v>
      </c>
    </row>
    <row r="28" customFormat="false" ht="15" hidden="false" customHeight="false" outlineLevel="0" collapsed="false">
      <c r="A28" s="3" t="s">
        <v>14</v>
      </c>
      <c r="B28" s="18" t="s">
        <v>89</v>
      </c>
      <c r="C28" s="18" t="s">
        <v>89</v>
      </c>
      <c r="D28" s="18" t="s">
        <v>91</v>
      </c>
      <c r="F28" s="18" t="s">
        <v>91</v>
      </c>
      <c r="G28" s="18" t="s">
        <v>91</v>
      </c>
      <c r="H28" s="18" t="s">
        <v>91</v>
      </c>
      <c r="J28" s="18" t="s">
        <v>91</v>
      </c>
      <c r="K28" s="18" t="s">
        <v>91</v>
      </c>
      <c r="L28" s="18" t="s">
        <v>91</v>
      </c>
      <c r="N28" s="18" t="s">
        <v>91</v>
      </c>
      <c r="O28" s="18" t="s">
        <v>91</v>
      </c>
      <c r="P28" s="18" t="s">
        <v>91</v>
      </c>
      <c r="R28" s="18" t="s">
        <v>90</v>
      </c>
      <c r="S28" s="18" t="s">
        <v>90</v>
      </c>
      <c r="T28" s="18" t="s">
        <v>90</v>
      </c>
      <c r="V28" s="18" t="s">
        <v>90</v>
      </c>
      <c r="W28" s="18" t="s">
        <v>90</v>
      </c>
      <c r="X28" s="18" t="s">
        <v>90</v>
      </c>
      <c r="Z28" s="18" t="s">
        <v>90</v>
      </c>
      <c r="AA28" s="18" t="s">
        <v>90</v>
      </c>
      <c r="AB28" s="18" t="s">
        <v>90</v>
      </c>
    </row>
    <row r="29" customFormat="false" ht="15" hidden="false" customHeight="false" outlineLevel="0" collapsed="false">
      <c r="A29" s="3" t="s">
        <v>15</v>
      </c>
      <c r="B29" s="18" t="s">
        <v>89</v>
      </c>
      <c r="C29" s="18" t="s">
        <v>89</v>
      </c>
      <c r="D29" s="18" t="s">
        <v>91</v>
      </c>
      <c r="F29" s="18" t="s">
        <v>91</v>
      </c>
      <c r="G29" s="18" t="s">
        <v>91</v>
      </c>
      <c r="H29" s="18" t="s">
        <v>91</v>
      </c>
      <c r="J29" s="18" t="s">
        <v>91</v>
      </c>
      <c r="K29" s="18" t="s">
        <v>91</v>
      </c>
      <c r="L29" s="18" t="s">
        <v>91</v>
      </c>
      <c r="N29" s="18" t="s">
        <v>91</v>
      </c>
      <c r="O29" s="18" t="s">
        <v>91</v>
      </c>
      <c r="P29" s="18" t="s">
        <v>91</v>
      </c>
      <c r="R29" s="18" t="s">
        <v>90</v>
      </c>
      <c r="S29" s="18" t="s">
        <v>90</v>
      </c>
      <c r="T29" s="18" t="s">
        <v>90</v>
      </c>
      <c r="V29" s="18" t="s">
        <v>90</v>
      </c>
      <c r="W29" s="18" t="s">
        <v>90</v>
      </c>
      <c r="X29" s="18" t="s">
        <v>90</v>
      </c>
      <c r="Z29" s="18" t="s">
        <v>90</v>
      </c>
      <c r="AA29" s="18" t="s">
        <v>90</v>
      </c>
      <c r="AB29" s="18" t="s">
        <v>90</v>
      </c>
    </row>
    <row r="30" customFormat="false" ht="15" hidden="false" customHeight="false" outlineLevel="0" collapsed="false">
      <c r="A30" s="3" t="s">
        <v>16</v>
      </c>
      <c r="B30" s="18" t="s">
        <v>89</v>
      </c>
      <c r="C30" s="18" t="s">
        <v>89</v>
      </c>
      <c r="D30" s="18" t="s">
        <v>91</v>
      </c>
      <c r="F30" s="18" t="s">
        <v>91</v>
      </c>
      <c r="G30" s="18" t="s">
        <v>91</v>
      </c>
      <c r="H30" s="18" t="s">
        <v>91</v>
      </c>
      <c r="J30" s="18" t="s">
        <v>91</v>
      </c>
      <c r="K30" s="18" t="s">
        <v>91</v>
      </c>
      <c r="L30" s="18" t="s">
        <v>91</v>
      </c>
      <c r="N30" s="18" t="s">
        <v>91</v>
      </c>
      <c r="O30" s="18" t="s">
        <v>91</v>
      </c>
      <c r="P30" s="18" t="s">
        <v>91</v>
      </c>
      <c r="R30" s="18" t="s">
        <v>90</v>
      </c>
      <c r="S30" s="18" t="s">
        <v>90</v>
      </c>
      <c r="T30" s="18" t="s">
        <v>90</v>
      </c>
      <c r="V30" s="18" t="s">
        <v>90</v>
      </c>
      <c r="W30" s="18" t="s">
        <v>90</v>
      </c>
      <c r="X30" s="18" t="s">
        <v>90</v>
      </c>
      <c r="Z30" s="18" t="s">
        <v>90</v>
      </c>
      <c r="AA30" s="18" t="s">
        <v>90</v>
      </c>
      <c r="AB30" s="18" t="s">
        <v>90</v>
      </c>
    </row>
    <row r="32" customFormat="false" ht="15" hidden="false" customHeight="false" outlineLevel="0" collapsed="false">
      <c r="A32" s="3" t="s">
        <v>85</v>
      </c>
      <c r="B32" s="3" t="s">
        <v>77</v>
      </c>
      <c r="F32" s="3" t="s">
        <v>78</v>
      </c>
      <c r="J32" s="3" t="s">
        <v>79</v>
      </c>
      <c r="N32" s="3" t="s">
        <v>80</v>
      </c>
      <c r="R32" s="3" t="s">
        <v>82</v>
      </c>
      <c r="V32" s="3" t="s">
        <v>81</v>
      </c>
      <c r="Z32" s="3" t="s">
        <v>83</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92</v>
      </c>
      <c r="C34" s="18" t="s">
        <v>92</v>
      </c>
      <c r="D34" s="18" t="s">
        <v>89</v>
      </c>
      <c r="F34" s="18" t="s">
        <v>92</v>
      </c>
      <c r="G34" s="18" t="s">
        <v>92</v>
      </c>
      <c r="H34" s="18" t="s">
        <v>87</v>
      </c>
      <c r="J34" s="18" t="s">
        <v>92</v>
      </c>
      <c r="K34" s="18" t="s">
        <v>92</v>
      </c>
      <c r="L34" s="18" t="s">
        <v>87</v>
      </c>
      <c r="N34" s="18" t="s">
        <v>92</v>
      </c>
      <c r="O34" s="18" t="s">
        <v>92</v>
      </c>
      <c r="P34" s="18" t="s">
        <v>87</v>
      </c>
      <c r="R34" s="18" t="s">
        <v>92</v>
      </c>
      <c r="S34" s="18" t="s">
        <v>92</v>
      </c>
      <c r="T34" s="18" t="s">
        <v>87</v>
      </c>
      <c r="V34" s="18" t="s">
        <v>92</v>
      </c>
      <c r="W34" s="18" t="s">
        <v>92</v>
      </c>
      <c r="X34" s="18" t="s">
        <v>87</v>
      </c>
      <c r="Z34" s="18" t="s">
        <v>92</v>
      </c>
      <c r="AA34" s="18" t="s">
        <v>92</v>
      </c>
      <c r="AB34" s="18" t="s">
        <v>87</v>
      </c>
    </row>
    <row r="35" customFormat="false" ht="15" hidden="false" customHeight="false" outlineLevel="0" collapsed="false">
      <c r="A35" s="3" t="s">
        <v>12</v>
      </c>
      <c r="B35" s="18" t="s">
        <v>92</v>
      </c>
      <c r="C35" s="18" t="s">
        <v>92</v>
      </c>
      <c r="D35" s="18" t="s">
        <v>89</v>
      </c>
      <c r="F35" s="18" t="s">
        <v>92</v>
      </c>
      <c r="G35" s="18" t="s">
        <v>92</v>
      </c>
      <c r="H35" s="18" t="s">
        <v>87</v>
      </c>
      <c r="J35" s="18" t="s">
        <v>92</v>
      </c>
      <c r="K35" s="18" t="s">
        <v>92</v>
      </c>
      <c r="L35" s="18" t="s">
        <v>87</v>
      </c>
      <c r="N35" s="18" t="s">
        <v>92</v>
      </c>
      <c r="O35" s="18" t="s">
        <v>92</v>
      </c>
      <c r="P35" s="18" t="s">
        <v>87</v>
      </c>
      <c r="R35" s="18" t="s">
        <v>92</v>
      </c>
      <c r="S35" s="18" t="s">
        <v>92</v>
      </c>
      <c r="T35" s="18" t="s">
        <v>87</v>
      </c>
      <c r="V35" s="18" t="s">
        <v>92</v>
      </c>
      <c r="W35" s="18" t="s">
        <v>92</v>
      </c>
      <c r="X35" s="18" t="s">
        <v>87</v>
      </c>
      <c r="Z35" s="18" t="s">
        <v>92</v>
      </c>
      <c r="AA35" s="18" t="s">
        <v>92</v>
      </c>
      <c r="AB35" s="18" t="s">
        <v>87</v>
      </c>
    </row>
    <row r="36" customFormat="false" ht="15" hidden="false" customHeight="false" outlineLevel="0" collapsed="false">
      <c r="A36" s="3" t="s">
        <v>13</v>
      </c>
      <c r="B36" s="18" t="s">
        <v>92</v>
      </c>
      <c r="C36" s="18" t="s">
        <v>92</v>
      </c>
      <c r="D36" s="18" t="s">
        <v>93</v>
      </c>
      <c r="F36" s="18" t="s">
        <v>87</v>
      </c>
      <c r="G36" s="18" t="s">
        <v>87</v>
      </c>
      <c r="H36" s="18" t="s">
        <v>91</v>
      </c>
      <c r="J36" s="18" t="s">
        <v>87</v>
      </c>
      <c r="K36" s="18" t="s">
        <v>87</v>
      </c>
      <c r="L36" s="18" t="s">
        <v>91</v>
      </c>
      <c r="N36" s="18" t="s">
        <v>87</v>
      </c>
      <c r="O36" s="18" t="s">
        <v>87</v>
      </c>
      <c r="P36" s="18" t="s">
        <v>91</v>
      </c>
      <c r="R36" s="18" t="s">
        <v>90</v>
      </c>
      <c r="S36" s="18" t="s">
        <v>90</v>
      </c>
      <c r="T36" s="18" t="s">
        <v>90</v>
      </c>
      <c r="V36" s="18" t="s">
        <v>90</v>
      </c>
      <c r="W36" s="18" t="s">
        <v>90</v>
      </c>
      <c r="X36" s="18" t="s">
        <v>90</v>
      </c>
      <c r="Z36" s="18" t="s">
        <v>90</v>
      </c>
      <c r="AA36" s="18" t="s">
        <v>90</v>
      </c>
      <c r="AB36" s="18" t="s">
        <v>90</v>
      </c>
    </row>
    <row r="37" customFormat="false" ht="15" hidden="false" customHeight="false" outlineLevel="0" collapsed="false">
      <c r="A37" s="3" t="s">
        <v>14</v>
      </c>
      <c r="B37" s="18" t="s">
        <v>92</v>
      </c>
      <c r="C37" s="18" t="s">
        <v>92</v>
      </c>
      <c r="D37" s="18" t="s">
        <v>93</v>
      </c>
      <c r="F37" s="18" t="s">
        <v>88</v>
      </c>
      <c r="G37" s="18" t="s">
        <v>88</v>
      </c>
      <c r="H37" s="18" t="s">
        <v>91</v>
      </c>
      <c r="J37" s="18" t="s">
        <v>88</v>
      </c>
      <c r="K37" s="18" t="s">
        <v>88</v>
      </c>
      <c r="L37" s="18" t="s">
        <v>91</v>
      </c>
      <c r="N37" s="18" t="s">
        <v>88</v>
      </c>
      <c r="O37" s="18" t="s">
        <v>88</v>
      </c>
      <c r="P37" s="18" t="s">
        <v>91</v>
      </c>
      <c r="R37" s="18" t="s">
        <v>90</v>
      </c>
      <c r="S37" s="18" t="s">
        <v>90</v>
      </c>
      <c r="T37" s="18" t="s">
        <v>90</v>
      </c>
      <c r="V37" s="18" t="s">
        <v>90</v>
      </c>
      <c r="W37" s="18" t="s">
        <v>90</v>
      </c>
      <c r="X37" s="18" t="s">
        <v>90</v>
      </c>
      <c r="Z37" s="18" t="s">
        <v>90</v>
      </c>
      <c r="AA37" s="18" t="s">
        <v>90</v>
      </c>
      <c r="AB37" s="18" t="s">
        <v>90</v>
      </c>
    </row>
    <row r="38" customFormat="false" ht="15" hidden="false" customHeight="false" outlineLevel="0" collapsed="false">
      <c r="A38" s="3" t="s">
        <v>15</v>
      </c>
      <c r="B38" s="18" t="s">
        <v>92</v>
      </c>
      <c r="C38" s="18" t="s">
        <v>92</v>
      </c>
      <c r="D38" s="18" t="s">
        <v>93</v>
      </c>
      <c r="F38" s="18" t="s">
        <v>88</v>
      </c>
      <c r="G38" s="18" t="s">
        <v>88</v>
      </c>
      <c r="H38" s="18" t="s">
        <v>91</v>
      </c>
      <c r="J38" s="18" t="s">
        <v>88</v>
      </c>
      <c r="K38" s="18" t="s">
        <v>88</v>
      </c>
      <c r="L38" s="18" t="s">
        <v>91</v>
      </c>
      <c r="N38" s="18" t="s">
        <v>88</v>
      </c>
      <c r="O38" s="18" t="s">
        <v>88</v>
      </c>
      <c r="P38" s="18" t="s">
        <v>91</v>
      </c>
      <c r="R38" s="18" t="s">
        <v>90</v>
      </c>
      <c r="S38" s="18" t="s">
        <v>90</v>
      </c>
      <c r="T38" s="18" t="s">
        <v>90</v>
      </c>
      <c r="V38" s="18" t="s">
        <v>90</v>
      </c>
      <c r="W38" s="18" t="s">
        <v>90</v>
      </c>
      <c r="X38" s="18" t="s">
        <v>90</v>
      </c>
      <c r="Z38" s="18" t="s">
        <v>90</v>
      </c>
      <c r="AA38" s="18" t="s">
        <v>90</v>
      </c>
      <c r="AB38" s="18" t="s">
        <v>90</v>
      </c>
    </row>
    <row r="39" customFormat="false" ht="15" hidden="false" customHeight="false" outlineLevel="0" collapsed="false">
      <c r="A39" s="3" t="s">
        <v>16</v>
      </c>
      <c r="B39" s="18" t="s">
        <v>92</v>
      </c>
      <c r="C39" s="18" t="s">
        <v>92</v>
      </c>
      <c r="D39" s="18" t="s">
        <v>93</v>
      </c>
      <c r="F39" s="18" t="s">
        <v>88</v>
      </c>
      <c r="G39" s="18" t="s">
        <v>88</v>
      </c>
      <c r="H39" s="18" t="s">
        <v>91</v>
      </c>
      <c r="J39" s="18" t="s">
        <v>88</v>
      </c>
      <c r="K39" s="18" t="s">
        <v>88</v>
      </c>
      <c r="L39" s="18" t="s">
        <v>91</v>
      </c>
      <c r="N39" s="18" t="s">
        <v>88</v>
      </c>
      <c r="O39" s="18" t="s">
        <v>88</v>
      </c>
      <c r="P39" s="18" t="s">
        <v>91</v>
      </c>
      <c r="R39" s="18" t="s">
        <v>90</v>
      </c>
      <c r="S39" s="18" t="s">
        <v>90</v>
      </c>
      <c r="T39" s="18" t="s">
        <v>90</v>
      </c>
      <c r="V39" s="18" t="s">
        <v>90</v>
      </c>
      <c r="W39" s="18" t="s">
        <v>90</v>
      </c>
      <c r="X39" s="18" t="s">
        <v>90</v>
      </c>
      <c r="Z39" s="18" t="s">
        <v>90</v>
      </c>
      <c r="AA39" s="18" t="s">
        <v>90</v>
      </c>
      <c r="AB39" s="18"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101</v>
      </c>
    </row>
    <row r="3" customFormat="false" ht="15" hidden="false" customHeight="false" outlineLevel="0" collapsed="false">
      <c r="A3" s="3" t="s">
        <v>76</v>
      </c>
      <c r="B3" s="3" t="s">
        <v>79</v>
      </c>
      <c r="F3" s="3" t="s">
        <v>78</v>
      </c>
      <c r="J3" s="3" t="s">
        <v>77</v>
      </c>
      <c r="N3" s="3" t="s">
        <v>83</v>
      </c>
      <c r="R3" s="3" t="s">
        <v>80</v>
      </c>
      <c r="V3" s="3" t="s">
        <v>82</v>
      </c>
      <c r="Z3" s="3" t="s">
        <v>81</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model'!M506</f>
        <v>7.5</v>
      </c>
      <c r="C5" s="16" t="n">
        <f aca="false">'Cost model'!M507</f>
        <v>11.5</v>
      </c>
      <c r="D5" s="16" t="n">
        <f aca="false">'Cost model'!M508</f>
        <v>17.5</v>
      </c>
      <c r="F5" s="16" t="n">
        <f aca="false">'Cost model'!M524</f>
        <v>14.5</v>
      </c>
      <c r="G5" s="16" t="n">
        <f aca="false">'Cost model'!M525</f>
        <v>15.5</v>
      </c>
      <c r="H5" s="16" t="n">
        <f aca="false">'Cost model'!M526</f>
        <v>20.5</v>
      </c>
      <c r="J5" s="16" t="n">
        <f aca="false">'Cost model'!M542</f>
        <v>14.5</v>
      </c>
      <c r="K5" s="16" t="n">
        <f aca="false">'Cost model'!M543</f>
        <v>15.5</v>
      </c>
      <c r="L5" s="16" t="n">
        <f aca="false">'Cost model'!M544</f>
        <v>21.5</v>
      </c>
      <c r="N5" s="16" t="n">
        <f aca="false">'Cost model'!M560</f>
        <v>13.5</v>
      </c>
      <c r="O5" s="16" t="n">
        <f aca="false">'Cost model'!M561</f>
        <v>16.5</v>
      </c>
      <c r="P5" s="16" t="n">
        <f aca="false">'Cost model'!M562</f>
        <v>23.5</v>
      </c>
      <c r="R5" s="16" t="n">
        <f aca="false">'Cost model'!M578</f>
        <v>10.5</v>
      </c>
      <c r="S5" s="16" t="n">
        <f aca="false">'Cost model'!M579</f>
        <v>14.5</v>
      </c>
      <c r="T5" s="16" t="n">
        <f aca="false">'Cost model'!M580</f>
        <v>18.5</v>
      </c>
      <c r="V5" s="16" t="n">
        <f aca="false">'Cost model'!M596</f>
        <v>15.5</v>
      </c>
      <c r="W5" s="16" t="n">
        <f aca="false">'Cost model'!M597</f>
        <v>17.5</v>
      </c>
      <c r="X5" s="16" t="n">
        <f aca="false">'Cost model'!M598</f>
        <v>23.5</v>
      </c>
      <c r="Z5" s="16" t="n">
        <f aca="false">'Cost model'!M614</f>
        <v>12.5</v>
      </c>
      <c r="AA5" s="16" t="n">
        <f aca="false">'Cost model'!M615</f>
        <v>14.5</v>
      </c>
      <c r="AB5" s="16" t="n">
        <f aca="false">'Cost model'!M616</f>
        <v>19.5</v>
      </c>
    </row>
    <row r="6" customFormat="false" ht="15" hidden="false" customHeight="false" outlineLevel="0" collapsed="false">
      <c r="A6" s="3" t="s">
        <v>12</v>
      </c>
      <c r="B6" s="16" t="n">
        <f aca="false">'Cost model'!M509</f>
        <v>17.5</v>
      </c>
      <c r="C6" s="16" t="n">
        <f aca="false">'Cost model'!M510</f>
        <v>35</v>
      </c>
      <c r="D6" s="16" t="n">
        <f aca="false">'Cost model'!M511</f>
        <v>35</v>
      </c>
      <c r="F6" s="16" t="n">
        <f aca="false">'Cost model'!M527</f>
        <v>55</v>
      </c>
      <c r="G6" s="16" t="n">
        <f aca="false">'Cost model'!M528</f>
        <v>55</v>
      </c>
      <c r="H6" s="16" t="n">
        <f aca="false">'Cost model'!M529</f>
        <v>65</v>
      </c>
      <c r="J6" s="16" t="n">
        <f aca="false">'Cost model'!M545</f>
        <v>50</v>
      </c>
      <c r="K6" s="16" t="n">
        <f aca="false">'Cost model'!M546</f>
        <v>55</v>
      </c>
      <c r="L6" s="16" t="n">
        <f aca="false">'Cost model'!M547</f>
        <v>60</v>
      </c>
      <c r="N6" s="16" t="n">
        <f aca="false">'Cost model'!M563</f>
        <v>55</v>
      </c>
      <c r="O6" s="16" t="n">
        <f aca="false">'Cost model'!M564</f>
        <v>55</v>
      </c>
      <c r="P6" s="16" t="n">
        <f aca="false">'Cost model'!M565</f>
        <v>65</v>
      </c>
      <c r="R6" s="16" t="n">
        <f aca="false">'Cost model'!M581</f>
        <v>45</v>
      </c>
      <c r="S6" s="16" t="n">
        <f aca="false">'Cost model'!M582</f>
        <v>50</v>
      </c>
      <c r="T6" s="16" t="n">
        <f aca="false">'Cost model'!M583</f>
        <v>55</v>
      </c>
      <c r="V6" s="16" t="n">
        <f aca="false">'Cost model'!M599</f>
        <v>60</v>
      </c>
      <c r="W6" s="16" t="n">
        <f aca="false">'Cost model'!M600</f>
        <v>60</v>
      </c>
      <c r="X6" s="16" t="n">
        <f aca="false">'Cost model'!M601</f>
        <v>70</v>
      </c>
      <c r="Z6" s="16" t="n">
        <f aca="false">'Cost model'!M617</f>
        <v>45</v>
      </c>
      <c r="AA6" s="16" t="n">
        <f aca="false">'Cost model'!M618</f>
        <v>50</v>
      </c>
      <c r="AB6" s="16" t="n">
        <f aca="false">'Cost model'!M619</f>
        <v>60</v>
      </c>
    </row>
    <row r="7" customFormat="false" ht="15" hidden="false" customHeight="false" outlineLevel="0" collapsed="false">
      <c r="A7" s="3" t="s">
        <v>13</v>
      </c>
      <c r="B7" s="16" t="n">
        <f aca="false">'Cost model'!M512</f>
        <v>35</v>
      </c>
      <c r="C7" s="16" t="n">
        <f aca="false">'Cost model'!M513</f>
        <v>65</v>
      </c>
      <c r="D7" s="16" t="n">
        <f aca="false">'Cost model'!M514</f>
        <v>70</v>
      </c>
      <c r="F7" s="16" t="n">
        <f aca="false">'Cost model'!M530</f>
        <v>80</v>
      </c>
      <c r="G7" s="16" t="n">
        <f aca="false">'Cost model'!M531</f>
        <v>90</v>
      </c>
      <c r="H7" s="16" t="n">
        <f aca="false">'Cost model'!M532</f>
        <v>120</v>
      </c>
      <c r="J7" s="16" t="n">
        <f aca="false">'Cost model'!M548</f>
        <v>80</v>
      </c>
      <c r="K7" s="16" t="n">
        <f aca="false">'Cost model'!M549</f>
        <v>95</v>
      </c>
      <c r="L7" s="16" t="n">
        <f aca="false">'Cost model'!M550</f>
        <v>125</v>
      </c>
      <c r="N7" s="16" t="n">
        <f aca="false">'Cost model'!M566</f>
        <v>90</v>
      </c>
      <c r="O7" s="16" t="n">
        <f aca="false">'Cost model'!M567</f>
        <v>100</v>
      </c>
      <c r="P7" s="16" t="n">
        <f aca="false">'Cost model'!M568</f>
        <v>130</v>
      </c>
      <c r="R7" s="16" t="n">
        <f aca="false">'Cost model'!M584</f>
        <v>75</v>
      </c>
      <c r="S7" s="16" t="n">
        <f aca="false">'Cost model'!M585</f>
        <v>85</v>
      </c>
      <c r="T7" s="16" t="n">
        <f aca="false">'Cost model'!M586</f>
        <v>115</v>
      </c>
      <c r="V7" s="16" t="n">
        <f aca="false">'Cost model'!M602</f>
        <v>95</v>
      </c>
      <c r="W7" s="16" t="n">
        <f aca="false">'Cost model'!M603</f>
        <v>110</v>
      </c>
      <c r="X7" s="16" t="n">
        <f aca="false">'Cost model'!M604</f>
        <v>145</v>
      </c>
      <c r="Z7" s="16" t="n">
        <f aca="false">'Cost model'!M620</f>
        <v>80</v>
      </c>
      <c r="AA7" s="16" t="n">
        <f aca="false">'Cost model'!M621</f>
        <v>90</v>
      </c>
      <c r="AB7" s="16" t="n">
        <f aca="false">'Cost model'!M622</f>
        <v>120</v>
      </c>
    </row>
    <row r="8" customFormat="false" ht="15" hidden="false" customHeight="false" outlineLevel="0" collapsed="false">
      <c r="A8" s="3" t="s">
        <v>14</v>
      </c>
      <c r="B8" s="16" t="n">
        <f aca="false">'Cost model'!M515</f>
        <v>75</v>
      </c>
      <c r="C8" s="16" t="n">
        <f aca="false">'Cost model'!M516</f>
        <v>105</v>
      </c>
      <c r="D8" s="16" t="n">
        <f aca="false">'Cost model'!M517</f>
        <v>140</v>
      </c>
      <c r="F8" s="16" t="n">
        <f aca="false">'Cost model'!M533</f>
        <v>135</v>
      </c>
      <c r="G8" s="16" t="n">
        <f aca="false">'Cost model'!M534</f>
        <v>170</v>
      </c>
      <c r="H8" s="16" t="n">
        <f aca="false">'Cost model'!M535</f>
        <v>200</v>
      </c>
      <c r="J8" s="16" t="n">
        <f aca="false">'Cost model'!M551</f>
        <v>140</v>
      </c>
      <c r="K8" s="16" t="n">
        <f aca="false">'Cost model'!M552</f>
        <v>170</v>
      </c>
      <c r="L8" s="16" t="n">
        <f aca="false">'Cost model'!M553</f>
        <v>205</v>
      </c>
      <c r="N8" s="16" t="n">
        <f aca="false">'Cost model'!M569</f>
        <v>150</v>
      </c>
      <c r="O8" s="16" t="n">
        <f aca="false">'Cost model'!M570</f>
        <v>180</v>
      </c>
      <c r="P8" s="16" t="n">
        <f aca="false">'Cost model'!M571</f>
        <v>215</v>
      </c>
      <c r="R8" s="16" t="n">
        <f aca="false">'Cost model'!M587</f>
        <v>130</v>
      </c>
      <c r="S8" s="16" t="n">
        <f aca="false">'Cost model'!M588</f>
        <v>155</v>
      </c>
      <c r="T8" s="16" t="n">
        <f aca="false">'Cost model'!M589</f>
        <v>190</v>
      </c>
      <c r="V8" s="16" t="n">
        <f aca="false">'Cost model'!M605</f>
        <v>180</v>
      </c>
      <c r="W8" s="16" t="n">
        <f aca="false">'Cost model'!M606</f>
        <v>195</v>
      </c>
      <c r="X8" s="16" t="n">
        <f aca="false">'Cost model'!M607</f>
        <v>235</v>
      </c>
      <c r="Z8" s="16" t="n">
        <f aca="false">'Cost model'!M623</f>
        <v>135</v>
      </c>
      <c r="AA8" s="16" t="n">
        <f aca="false">'Cost model'!M624</f>
        <v>165</v>
      </c>
      <c r="AB8" s="16" t="n">
        <f aca="false">'Cost model'!M625</f>
        <v>195</v>
      </c>
    </row>
    <row r="9" customFormat="false" ht="15" hidden="false" customHeight="false" outlineLevel="0" collapsed="false">
      <c r="A9" s="3" t="s">
        <v>15</v>
      </c>
      <c r="B9" s="16" t="n">
        <f aca="false">'Cost model'!M518</f>
        <v>95</v>
      </c>
      <c r="C9" s="16" t="n">
        <f aca="false">'Cost model'!M519</f>
        <v>135</v>
      </c>
      <c r="D9" s="16" t="n">
        <f aca="false">'Cost model'!M520</f>
        <v>200</v>
      </c>
      <c r="F9" s="16" t="n">
        <f aca="false">'Cost model'!M536</f>
        <v>175</v>
      </c>
      <c r="G9" s="17" t="n">
        <f aca="false">'Cost model'!M537</f>
        <v>265</v>
      </c>
      <c r="H9" s="17" t="n">
        <f aca="false">'Cost model'!M538</f>
        <v>315</v>
      </c>
      <c r="J9" s="16" t="n">
        <f aca="false">'Cost model'!M554</f>
        <v>180</v>
      </c>
      <c r="K9" s="17" t="n">
        <f aca="false">'Cost model'!M555</f>
        <v>265</v>
      </c>
      <c r="L9" s="17" t="n">
        <f aca="false">'Cost model'!M556</f>
        <v>320</v>
      </c>
      <c r="N9" s="16" t="n">
        <f aca="false">'Cost model'!M572</f>
        <v>190</v>
      </c>
      <c r="O9" s="17" t="n">
        <f aca="false">'Cost model'!M573</f>
        <v>285</v>
      </c>
      <c r="P9" s="17" t="n">
        <f aca="false">'Cost model'!M574</f>
        <v>340</v>
      </c>
      <c r="R9" s="16" t="n">
        <f aca="false">'Cost model'!M590</f>
        <v>165</v>
      </c>
      <c r="S9" s="17" t="n">
        <f aca="false">'Cost model'!M591</f>
        <v>250</v>
      </c>
      <c r="T9" s="17" t="n">
        <f aca="false">'Cost model'!M592</f>
        <v>295</v>
      </c>
      <c r="V9" s="16" t="n">
        <f aca="false">'Cost model'!M608</f>
        <v>210</v>
      </c>
      <c r="W9" s="17" t="n">
        <f aca="false">'Cost model'!M609</f>
        <v>310</v>
      </c>
      <c r="X9" s="17" t="n">
        <f aca="false">'Cost model'!M610</f>
        <v>375</v>
      </c>
      <c r="Z9" s="16" t="n">
        <f aca="false">'Cost model'!M626</f>
        <v>170</v>
      </c>
      <c r="AA9" s="17" t="n">
        <f aca="false">'Cost model'!M627</f>
        <v>255</v>
      </c>
      <c r="AB9" s="17" t="n">
        <f aca="false">'Cost model'!M628</f>
        <v>310</v>
      </c>
    </row>
    <row r="10" customFormat="false" ht="15" hidden="false" customHeight="false" outlineLevel="0" collapsed="false">
      <c r="A10" s="3" t="s">
        <v>16</v>
      </c>
      <c r="B10" s="16" t="n">
        <f aca="false">'Cost model'!M521</f>
        <v>105</v>
      </c>
      <c r="C10" s="16" t="n">
        <f aca="false">'Cost model'!M522</f>
        <v>185</v>
      </c>
      <c r="D10" s="16" t="n">
        <f aca="false">'Cost model'!M523</f>
        <v>250</v>
      </c>
      <c r="F10" s="16" t="n">
        <f aca="false">'Cost model'!M539</f>
        <v>240</v>
      </c>
      <c r="G10" s="17" t="n">
        <f aca="false">'Cost model'!M540</f>
        <v>380</v>
      </c>
      <c r="H10" s="17" t="n">
        <f aca="false">'Cost model'!M541</f>
        <v>445</v>
      </c>
      <c r="J10" s="16" t="n">
        <f aca="false">'Cost model'!M557</f>
        <v>260</v>
      </c>
      <c r="K10" s="17" t="n">
        <f aca="false">'Cost model'!M558</f>
        <v>385</v>
      </c>
      <c r="L10" s="17" t="n">
        <f aca="false">'Cost model'!M559</f>
        <v>450</v>
      </c>
      <c r="N10" s="16" t="n">
        <f aca="false">'Cost model'!M575</f>
        <v>260</v>
      </c>
      <c r="O10" s="17" t="n">
        <f aca="false">'Cost model'!M576</f>
        <v>405</v>
      </c>
      <c r="P10" s="17" t="n">
        <f aca="false">'Cost model'!M577</f>
        <v>475</v>
      </c>
      <c r="R10" s="16" t="n">
        <f aca="false">'Cost model'!M593</f>
        <v>230</v>
      </c>
      <c r="S10" s="17" t="n">
        <f aca="false">'Cost model'!M594</f>
        <v>355</v>
      </c>
      <c r="T10" s="17" t="n">
        <f aca="false">'Cost model'!M595</f>
        <v>415</v>
      </c>
      <c r="V10" s="16" t="n">
        <f aca="false">'Cost model'!M611</f>
        <v>290</v>
      </c>
      <c r="W10" s="17" t="n">
        <f aca="false">'Cost model'!M612</f>
        <v>445</v>
      </c>
      <c r="X10" s="17" t="n">
        <f aca="false">'Cost model'!M613</f>
        <v>525</v>
      </c>
      <c r="Z10" s="16" t="n">
        <f aca="false">'Cost model'!M629</f>
        <v>240</v>
      </c>
      <c r="AA10" s="17" t="n">
        <f aca="false">'Cost model'!M630</f>
        <v>370</v>
      </c>
      <c r="AB10" s="17" t="n">
        <f aca="false">'Cost model'!M631</f>
        <v>435</v>
      </c>
    </row>
    <row r="12" customFormat="false" ht="15" hidden="false" customHeight="false" outlineLevel="0" collapsed="false">
      <c r="A12" s="3" t="s">
        <v>85</v>
      </c>
      <c r="B12" s="3" t="s">
        <v>79</v>
      </c>
      <c r="F12" s="3" t="s">
        <v>78</v>
      </c>
      <c r="J12" s="3" t="s">
        <v>77</v>
      </c>
      <c r="N12" s="3" t="s">
        <v>83</v>
      </c>
      <c r="R12" s="3" t="s">
        <v>80</v>
      </c>
      <c r="V12" s="3" t="s">
        <v>82</v>
      </c>
      <c r="Z12" s="3" t="s">
        <v>81</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model'!N506</f>
        <v>12.5</v>
      </c>
      <c r="C14" s="16" t="n">
        <f aca="false">'Cost model'!N507</f>
        <v>16.5</v>
      </c>
      <c r="D14" s="16" t="n">
        <f aca="false">'Cost model'!N508</f>
        <v>23.5</v>
      </c>
      <c r="F14" s="16" t="n">
        <f aca="false">'Cost model'!N524</f>
        <v>19.5</v>
      </c>
      <c r="G14" s="16" t="n">
        <f aca="false">'Cost model'!N525</f>
        <v>21.5</v>
      </c>
      <c r="H14" s="16" t="n">
        <f aca="false">'Cost model'!N526</f>
        <v>27.5</v>
      </c>
      <c r="J14" s="16" t="n">
        <f aca="false">'Cost model'!N542</f>
        <v>19.5</v>
      </c>
      <c r="K14" s="16" t="n">
        <f aca="false">'Cost model'!N543</f>
        <v>21.5</v>
      </c>
      <c r="L14" s="16" t="n">
        <f aca="false">'Cost model'!N544</f>
        <v>29.5</v>
      </c>
      <c r="N14" s="16" t="n">
        <f aca="false">'Cost model'!N560</f>
        <v>18.5</v>
      </c>
      <c r="O14" s="16" t="n">
        <f aca="false">'Cost model'!N561</f>
        <v>22.5</v>
      </c>
      <c r="P14" s="16" t="n">
        <f aca="false">'Cost model'!N562</f>
        <v>35</v>
      </c>
      <c r="R14" s="16" t="n">
        <f aca="false">'Cost model'!N578</f>
        <v>15.5</v>
      </c>
      <c r="S14" s="16" t="n">
        <f aca="false">'Cost model'!N579</f>
        <v>19.5</v>
      </c>
      <c r="T14" s="16" t="n">
        <f aca="false">'Cost model'!N580</f>
        <v>25.5</v>
      </c>
      <c r="V14" s="16" t="n">
        <f aca="false">'Cost model'!N596</f>
        <v>21.5</v>
      </c>
      <c r="W14" s="16" t="n">
        <f aca="false">'Cost model'!N597</f>
        <v>23.5</v>
      </c>
      <c r="X14" s="16" t="n">
        <f aca="false">'Cost model'!N598</f>
        <v>35</v>
      </c>
      <c r="Z14" s="16" t="n">
        <f aca="false">'Cost model'!N614</f>
        <v>17.5</v>
      </c>
      <c r="AA14" s="16" t="n">
        <f aca="false">'Cost model'!N615</f>
        <v>19.5</v>
      </c>
      <c r="AB14" s="16" t="n">
        <f aca="false">'Cost model'!N616</f>
        <v>26.5</v>
      </c>
    </row>
    <row r="15" customFormat="false" ht="15" hidden="false" customHeight="false" outlineLevel="0" collapsed="false">
      <c r="A15" s="3" t="s">
        <v>12</v>
      </c>
      <c r="B15" s="16" t="n">
        <f aca="false">'Cost model'!N509</f>
        <v>22.5</v>
      </c>
      <c r="C15" s="16" t="n">
        <f aca="false">'Cost model'!N510</f>
        <v>45</v>
      </c>
      <c r="D15" s="16" t="n">
        <f aca="false">'Cost model'!N511</f>
        <v>45</v>
      </c>
      <c r="F15" s="16" t="n">
        <f aca="false">'Cost model'!N527</f>
        <v>70</v>
      </c>
      <c r="G15" s="16" t="n">
        <f aca="false">'Cost model'!N528</f>
        <v>70</v>
      </c>
      <c r="H15" s="16" t="n">
        <f aca="false">'Cost model'!N529</f>
        <v>85</v>
      </c>
      <c r="J15" s="16" t="n">
        <f aca="false">'Cost model'!N545</f>
        <v>65</v>
      </c>
      <c r="K15" s="16" t="n">
        <f aca="false">'Cost model'!N546</f>
        <v>70</v>
      </c>
      <c r="L15" s="16" t="n">
        <f aca="false">'Cost model'!N547</f>
        <v>80</v>
      </c>
      <c r="N15" s="16" t="n">
        <f aca="false">'Cost model'!N563</f>
        <v>70</v>
      </c>
      <c r="O15" s="16" t="n">
        <f aca="false">'Cost model'!N564</f>
        <v>70</v>
      </c>
      <c r="P15" s="16" t="n">
        <f aca="false">'Cost model'!N565</f>
        <v>85</v>
      </c>
      <c r="R15" s="16" t="n">
        <f aca="false">'Cost model'!N581</f>
        <v>60</v>
      </c>
      <c r="S15" s="16" t="n">
        <f aca="false">'Cost model'!N582</f>
        <v>65</v>
      </c>
      <c r="T15" s="16" t="n">
        <f aca="false">'Cost model'!N583</f>
        <v>70</v>
      </c>
      <c r="V15" s="16" t="n">
        <f aca="false">'Cost model'!N599</f>
        <v>80</v>
      </c>
      <c r="W15" s="16" t="n">
        <f aca="false">'Cost model'!N600</f>
        <v>80</v>
      </c>
      <c r="X15" s="16" t="n">
        <f aca="false">'Cost model'!N601</f>
        <v>90</v>
      </c>
      <c r="Z15" s="16" t="n">
        <f aca="false">'Cost model'!N617</f>
        <v>60</v>
      </c>
      <c r="AA15" s="16" t="n">
        <f aca="false">'Cost model'!N618</f>
        <v>65</v>
      </c>
      <c r="AB15" s="16" t="n">
        <f aca="false">'Cost model'!N619</f>
        <v>80</v>
      </c>
    </row>
    <row r="16" customFormat="false" ht="15" hidden="false" customHeight="false" outlineLevel="0" collapsed="false">
      <c r="A16" s="3" t="s">
        <v>13</v>
      </c>
      <c r="B16" s="16" t="n">
        <f aca="false">'Cost model'!N512</f>
        <v>50</v>
      </c>
      <c r="C16" s="16" t="n">
        <f aca="false">'Cost model'!N513</f>
        <v>90</v>
      </c>
      <c r="D16" s="16" t="n">
        <f aca="false">'Cost model'!N514</f>
        <v>95</v>
      </c>
      <c r="F16" s="16" t="n">
        <f aca="false">'Cost model'!N530</f>
        <v>110</v>
      </c>
      <c r="G16" s="16" t="n">
        <f aca="false">'Cost model'!N531</f>
        <v>125</v>
      </c>
      <c r="H16" s="16" t="n">
        <f aca="false">'Cost model'!N532</f>
        <v>165</v>
      </c>
      <c r="J16" s="16" t="n">
        <f aca="false">'Cost model'!N548</f>
        <v>110</v>
      </c>
      <c r="K16" s="16" t="n">
        <f aca="false">'Cost model'!N549</f>
        <v>130</v>
      </c>
      <c r="L16" s="16" t="n">
        <f aca="false">'Cost model'!N550</f>
        <v>170</v>
      </c>
      <c r="N16" s="16" t="n">
        <f aca="false">'Cost model'!N566</f>
        <v>125</v>
      </c>
      <c r="O16" s="16" t="n">
        <f aca="false">'Cost model'!N567</f>
        <v>135</v>
      </c>
      <c r="P16" s="16" t="n">
        <f aca="false">'Cost model'!N568</f>
        <v>180</v>
      </c>
      <c r="R16" s="16" t="n">
        <f aca="false">'Cost model'!N584</f>
        <v>105</v>
      </c>
      <c r="S16" s="16" t="n">
        <f aca="false">'Cost model'!N585</f>
        <v>115</v>
      </c>
      <c r="T16" s="16" t="n">
        <f aca="false">'Cost model'!N586</f>
        <v>160</v>
      </c>
      <c r="V16" s="16" t="n">
        <f aca="false">'Cost model'!N602</f>
        <v>130</v>
      </c>
      <c r="W16" s="16" t="n">
        <f aca="false">'Cost model'!N603</f>
        <v>150</v>
      </c>
      <c r="X16" s="16" t="n">
        <f aca="false">'Cost model'!N604</f>
        <v>200</v>
      </c>
      <c r="Z16" s="16" t="n">
        <f aca="false">'Cost model'!N620</f>
        <v>110</v>
      </c>
      <c r="AA16" s="16" t="n">
        <f aca="false">'Cost model'!N621</f>
        <v>125</v>
      </c>
      <c r="AB16" s="16" t="n">
        <f aca="false">'Cost model'!N622</f>
        <v>165</v>
      </c>
    </row>
    <row r="17" customFormat="false" ht="15" hidden="false" customHeight="false" outlineLevel="0" collapsed="false">
      <c r="A17" s="3" t="s">
        <v>14</v>
      </c>
      <c r="B17" s="16" t="n">
        <f aca="false">'Cost model'!N515</f>
        <v>90</v>
      </c>
      <c r="C17" s="16" t="n">
        <f aca="false">'Cost model'!N516</f>
        <v>130</v>
      </c>
      <c r="D17" s="16" t="n">
        <f aca="false">'Cost model'!N517</f>
        <v>170</v>
      </c>
      <c r="F17" s="16" t="n">
        <f aca="false">'Cost model'!N533</f>
        <v>165</v>
      </c>
      <c r="G17" s="16" t="n">
        <f aca="false">'Cost model'!N534</f>
        <v>205</v>
      </c>
      <c r="H17" s="16" t="n">
        <f aca="false">'Cost model'!N535</f>
        <v>240</v>
      </c>
      <c r="J17" s="16" t="n">
        <f aca="false">'Cost model'!N551</f>
        <v>170</v>
      </c>
      <c r="K17" s="16" t="n">
        <f aca="false">'Cost model'!N552</f>
        <v>205</v>
      </c>
      <c r="L17" s="16" t="n">
        <f aca="false">'Cost model'!N553</f>
        <v>250</v>
      </c>
      <c r="N17" s="16" t="n">
        <f aca="false">'Cost model'!N569</f>
        <v>180</v>
      </c>
      <c r="O17" s="16" t="n">
        <f aca="false">'Cost model'!N570</f>
        <v>220</v>
      </c>
      <c r="P17" s="16" t="n">
        <f aca="false">'Cost model'!N571</f>
        <v>260</v>
      </c>
      <c r="R17" s="16" t="n">
        <f aca="false">'Cost model'!N587</f>
        <v>160</v>
      </c>
      <c r="S17" s="16" t="n">
        <f aca="false">'Cost model'!N588</f>
        <v>190</v>
      </c>
      <c r="T17" s="16" t="n">
        <f aca="false">'Cost model'!N589</f>
        <v>230</v>
      </c>
      <c r="V17" s="16" t="n">
        <f aca="false">'Cost model'!N605</f>
        <v>220</v>
      </c>
      <c r="W17" s="16" t="n">
        <f aca="false">'Cost model'!N606</f>
        <v>235</v>
      </c>
      <c r="X17" s="16" t="n">
        <f aca="false">'Cost model'!N607</f>
        <v>285</v>
      </c>
      <c r="Z17" s="16" t="n">
        <f aca="false">'Cost model'!N623</f>
        <v>165</v>
      </c>
      <c r="AA17" s="16" t="n">
        <f aca="false">'Cost model'!N624</f>
        <v>200</v>
      </c>
      <c r="AB17" s="16" t="n">
        <f aca="false">'Cost model'!N625</f>
        <v>235</v>
      </c>
    </row>
    <row r="18" customFormat="false" ht="15" hidden="false" customHeight="false" outlineLevel="0" collapsed="false">
      <c r="A18" s="3" t="s">
        <v>15</v>
      </c>
      <c r="B18" s="16" t="n">
        <f aca="false">'Cost model'!N518</f>
        <v>115</v>
      </c>
      <c r="C18" s="16" t="n">
        <f aca="false">'Cost model'!N519</f>
        <v>165</v>
      </c>
      <c r="D18" s="16" t="n">
        <f aca="false">'Cost model'!N520</f>
        <v>240</v>
      </c>
      <c r="F18" s="16" t="n">
        <f aca="false">'Cost model'!N536</f>
        <v>210</v>
      </c>
      <c r="G18" s="17" t="n">
        <f aca="false">'Cost model'!N537</f>
        <v>265</v>
      </c>
      <c r="H18" s="17" t="n">
        <f aca="false">'Cost model'!N538</f>
        <v>315</v>
      </c>
      <c r="J18" s="16" t="n">
        <f aca="false">'Cost model'!N554</f>
        <v>220</v>
      </c>
      <c r="K18" s="17" t="n">
        <f aca="false">'Cost model'!N555</f>
        <v>265</v>
      </c>
      <c r="L18" s="17" t="n">
        <f aca="false">'Cost model'!N556</f>
        <v>320</v>
      </c>
      <c r="N18" s="16" t="n">
        <f aca="false">'Cost model'!N572</f>
        <v>230</v>
      </c>
      <c r="O18" s="17" t="n">
        <f aca="false">'Cost model'!N573</f>
        <v>285</v>
      </c>
      <c r="P18" s="17" t="n">
        <f aca="false">'Cost model'!N574</f>
        <v>340</v>
      </c>
      <c r="R18" s="16" t="n">
        <f aca="false">'Cost model'!N590</f>
        <v>200</v>
      </c>
      <c r="S18" s="17" t="n">
        <f aca="false">'Cost model'!N591</f>
        <v>250</v>
      </c>
      <c r="T18" s="17" t="n">
        <f aca="false">'Cost model'!N592</f>
        <v>295</v>
      </c>
      <c r="V18" s="16" t="n">
        <f aca="false">'Cost model'!N608</f>
        <v>255</v>
      </c>
      <c r="W18" s="17" t="n">
        <f aca="false">'Cost model'!N609</f>
        <v>310</v>
      </c>
      <c r="X18" s="17" t="n">
        <f aca="false">'Cost model'!N610</f>
        <v>375</v>
      </c>
      <c r="Z18" s="16" t="n">
        <f aca="false">'Cost model'!N626</f>
        <v>205</v>
      </c>
      <c r="AA18" s="17" t="n">
        <f aca="false">'Cost model'!N627</f>
        <v>255</v>
      </c>
      <c r="AB18" s="17" t="n">
        <f aca="false">'Cost model'!N628</f>
        <v>310</v>
      </c>
    </row>
    <row r="19" customFormat="false" ht="15" hidden="false" customHeight="false" outlineLevel="0" collapsed="false">
      <c r="A19" s="3" t="s">
        <v>16</v>
      </c>
      <c r="B19" s="16" t="n">
        <f aca="false">'Cost model'!N521</f>
        <v>130</v>
      </c>
      <c r="C19" s="16" t="n">
        <f aca="false">'Cost model'!N522</f>
        <v>225</v>
      </c>
      <c r="D19" s="16" t="n">
        <f aca="false">'Cost model'!N523</f>
        <v>300</v>
      </c>
      <c r="F19" s="16" t="n">
        <f aca="false">'Cost model'!N539</f>
        <v>290</v>
      </c>
      <c r="G19" s="17" t="n">
        <f aca="false">'Cost model'!N540</f>
        <v>380</v>
      </c>
      <c r="H19" s="17" t="n">
        <f aca="false">'Cost model'!N541</f>
        <v>445</v>
      </c>
      <c r="J19" s="16" t="n">
        <f aca="false">'Cost model'!N557</f>
        <v>315</v>
      </c>
      <c r="K19" s="17" t="n">
        <f aca="false">'Cost model'!N558</f>
        <v>385</v>
      </c>
      <c r="L19" s="17" t="n">
        <f aca="false">'Cost model'!N559</f>
        <v>450</v>
      </c>
      <c r="N19" s="16" t="n">
        <f aca="false">'Cost model'!N575</f>
        <v>315</v>
      </c>
      <c r="O19" s="17" t="n">
        <f aca="false">'Cost model'!N576</f>
        <v>405</v>
      </c>
      <c r="P19" s="17" t="n">
        <f aca="false">'Cost model'!N577</f>
        <v>475</v>
      </c>
      <c r="R19" s="16" t="n">
        <f aca="false">'Cost model'!N593</f>
        <v>280</v>
      </c>
      <c r="S19" s="17" t="n">
        <f aca="false">'Cost model'!N594</f>
        <v>355</v>
      </c>
      <c r="T19" s="17" t="n">
        <f aca="false">'Cost model'!N595</f>
        <v>415</v>
      </c>
      <c r="V19" s="16" t="n">
        <f aca="false">'Cost model'!N611</f>
        <v>350</v>
      </c>
      <c r="W19" s="17" t="n">
        <f aca="false">'Cost model'!N612</f>
        <v>445</v>
      </c>
      <c r="X19" s="17" t="n">
        <f aca="false">'Cost model'!N613</f>
        <v>525</v>
      </c>
      <c r="Z19" s="16" t="n">
        <f aca="false">'Cost model'!N629</f>
        <v>290</v>
      </c>
      <c r="AA19" s="17" t="n">
        <f aca="false">'Cost model'!N630</f>
        <v>370</v>
      </c>
      <c r="AB19" s="17" t="n">
        <f aca="false">'Cost model'!N631</f>
        <v>435</v>
      </c>
    </row>
    <row r="21" customFormat="false" ht="17.35" hidden="false" customHeight="false" outlineLevel="0" collapsed="false">
      <c r="A21" s="1" t="s">
        <v>102</v>
      </c>
    </row>
    <row r="23" customFormat="false" ht="15" hidden="false" customHeight="false" outlineLevel="0" collapsed="false">
      <c r="A23" s="3" t="s">
        <v>76</v>
      </c>
      <c r="B23" s="3" t="s">
        <v>79</v>
      </c>
      <c r="F23" s="3" t="s">
        <v>78</v>
      </c>
      <c r="J23" s="3" t="s">
        <v>77</v>
      </c>
      <c r="N23" s="3" t="s">
        <v>83</v>
      </c>
      <c r="R23" s="3" t="s">
        <v>80</v>
      </c>
      <c r="V23" s="3" t="s">
        <v>82</v>
      </c>
      <c r="Z23" s="3" t="s">
        <v>81</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89</v>
      </c>
      <c r="C25" s="18" t="s">
        <v>89</v>
      </c>
      <c r="D25" s="18" t="s">
        <v>87</v>
      </c>
      <c r="F25" s="18" t="s">
        <v>87</v>
      </c>
      <c r="G25" s="18" t="s">
        <v>87</v>
      </c>
      <c r="H25" s="18" t="s">
        <v>88</v>
      </c>
      <c r="J25" s="18" t="s">
        <v>87</v>
      </c>
      <c r="K25" s="18" t="s">
        <v>87</v>
      </c>
      <c r="L25" s="18" t="s">
        <v>87</v>
      </c>
      <c r="N25" s="18" t="s">
        <v>90</v>
      </c>
      <c r="O25" s="18" t="s">
        <v>90</v>
      </c>
      <c r="P25" s="18" t="s">
        <v>90</v>
      </c>
      <c r="R25" s="18" t="s">
        <v>87</v>
      </c>
      <c r="S25" s="18" t="s">
        <v>87</v>
      </c>
      <c r="T25" s="18" t="s">
        <v>88</v>
      </c>
      <c r="V25" s="18" t="s">
        <v>90</v>
      </c>
      <c r="W25" s="18" t="s">
        <v>90</v>
      </c>
      <c r="X25" s="18" t="s">
        <v>90</v>
      </c>
      <c r="Z25" s="18" t="s">
        <v>90</v>
      </c>
      <c r="AA25" s="18" t="s">
        <v>90</v>
      </c>
      <c r="AB25" s="18" t="s">
        <v>90</v>
      </c>
    </row>
    <row r="26" customFormat="false" ht="15" hidden="false" customHeight="false" outlineLevel="0" collapsed="false">
      <c r="A26" s="3" t="s">
        <v>12</v>
      </c>
      <c r="B26" s="18" t="s">
        <v>89</v>
      </c>
      <c r="C26" s="18" t="s">
        <v>89</v>
      </c>
      <c r="D26" s="18" t="s">
        <v>87</v>
      </c>
      <c r="F26" s="18" t="s">
        <v>87</v>
      </c>
      <c r="G26" s="18" t="s">
        <v>87</v>
      </c>
      <c r="H26" s="18" t="s">
        <v>88</v>
      </c>
      <c r="J26" s="18" t="s">
        <v>87</v>
      </c>
      <c r="K26" s="18" t="s">
        <v>87</v>
      </c>
      <c r="L26" s="18" t="s">
        <v>87</v>
      </c>
      <c r="N26" s="18" t="s">
        <v>90</v>
      </c>
      <c r="O26" s="18" t="s">
        <v>90</v>
      </c>
      <c r="P26" s="18" t="s">
        <v>90</v>
      </c>
      <c r="R26" s="18" t="s">
        <v>87</v>
      </c>
      <c r="S26" s="18" t="s">
        <v>87</v>
      </c>
      <c r="T26" s="18" t="s">
        <v>88</v>
      </c>
      <c r="V26" s="18" t="s">
        <v>90</v>
      </c>
      <c r="W26" s="18" t="s">
        <v>90</v>
      </c>
      <c r="X26" s="18" t="s">
        <v>90</v>
      </c>
      <c r="Z26" s="18" t="s">
        <v>90</v>
      </c>
      <c r="AA26" s="18" t="s">
        <v>90</v>
      </c>
      <c r="AB26" s="18" t="s">
        <v>90</v>
      </c>
    </row>
    <row r="27" customFormat="false" ht="15" hidden="false" customHeight="false" outlineLevel="0" collapsed="false">
      <c r="A27" s="3" t="s">
        <v>13</v>
      </c>
      <c r="B27" s="18" t="s">
        <v>89</v>
      </c>
      <c r="C27" s="18" t="s">
        <v>89</v>
      </c>
      <c r="D27" s="18" t="s">
        <v>88</v>
      </c>
      <c r="F27" s="18" t="s">
        <v>88</v>
      </c>
      <c r="G27" s="18" t="s">
        <v>88</v>
      </c>
      <c r="H27" s="18" t="s">
        <v>91</v>
      </c>
      <c r="J27" s="18" t="s">
        <v>88</v>
      </c>
      <c r="K27" s="18" t="s">
        <v>88</v>
      </c>
      <c r="L27" s="18" t="s">
        <v>91</v>
      </c>
      <c r="N27" s="18" t="s">
        <v>90</v>
      </c>
      <c r="O27" s="18" t="s">
        <v>90</v>
      </c>
      <c r="P27" s="18" t="s">
        <v>90</v>
      </c>
      <c r="R27" s="18" t="s">
        <v>88</v>
      </c>
      <c r="S27" s="18" t="s">
        <v>88</v>
      </c>
      <c r="T27" s="18" t="s">
        <v>91</v>
      </c>
      <c r="V27" s="18" t="s">
        <v>90</v>
      </c>
      <c r="W27" s="18" t="s">
        <v>90</v>
      </c>
      <c r="X27" s="18" t="s">
        <v>90</v>
      </c>
      <c r="Z27" s="18" t="s">
        <v>90</v>
      </c>
      <c r="AA27" s="18" t="s">
        <v>90</v>
      </c>
      <c r="AB27" s="18" t="s">
        <v>90</v>
      </c>
    </row>
    <row r="28" customFormat="false" ht="15" hidden="false" customHeight="false" outlineLevel="0" collapsed="false">
      <c r="A28" s="3" t="s">
        <v>14</v>
      </c>
      <c r="B28" s="18" t="s">
        <v>89</v>
      </c>
      <c r="C28" s="18" t="s">
        <v>89</v>
      </c>
      <c r="D28" s="18" t="s">
        <v>91</v>
      </c>
      <c r="F28" s="18" t="s">
        <v>91</v>
      </c>
      <c r="G28" s="18" t="s">
        <v>91</v>
      </c>
      <c r="H28" s="18" t="s">
        <v>91</v>
      </c>
      <c r="J28" s="18" t="s">
        <v>91</v>
      </c>
      <c r="K28" s="18" t="s">
        <v>91</v>
      </c>
      <c r="L28" s="18" t="s">
        <v>91</v>
      </c>
      <c r="N28" s="18" t="s">
        <v>90</v>
      </c>
      <c r="O28" s="18" t="s">
        <v>90</v>
      </c>
      <c r="P28" s="18" t="s">
        <v>90</v>
      </c>
      <c r="R28" s="18" t="s">
        <v>91</v>
      </c>
      <c r="S28" s="18" t="s">
        <v>91</v>
      </c>
      <c r="T28" s="18" t="s">
        <v>91</v>
      </c>
      <c r="V28" s="18" t="s">
        <v>90</v>
      </c>
      <c r="W28" s="18" t="s">
        <v>90</v>
      </c>
      <c r="X28" s="18" t="s">
        <v>90</v>
      </c>
      <c r="Z28" s="18" t="s">
        <v>90</v>
      </c>
      <c r="AA28" s="18" t="s">
        <v>90</v>
      </c>
      <c r="AB28" s="18" t="s">
        <v>90</v>
      </c>
    </row>
    <row r="29" customFormat="false" ht="15" hidden="false" customHeight="false" outlineLevel="0" collapsed="false">
      <c r="A29" s="3" t="s">
        <v>15</v>
      </c>
      <c r="B29" s="18" t="s">
        <v>89</v>
      </c>
      <c r="C29" s="18" t="s">
        <v>89</v>
      </c>
      <c r="D29" s="18" t="s">
        <v>91</v>
      </c>
      <c r="F29" s="18" t="s">
        <v>91</v>
      </c>
      <c r="G29" s="18" t="s">
        <v>91</v>
      </c>
      <c r="H29" s="18" t="s">
        <v>91</v>
      </c>
      <c r="J29" s="18" t="s">
        <v>91</v>
      </c>
      <c r="K29" s="18" t="s">
        <v>91</v>
      </c>
      <c r="L29" s="18" t="s">
        <v>91</v>
      </c>
      <c r="N29" s="18" t="s">
        <v>90</v>
      </c>
      <c r="O29" s="18" t="s">
        <v>90</v>
      </c>
      <c r="P29" s="18" t="s">
        <v>90</v>
      </c>
      <c r="R29" s="18" t="s">
        <v>91</v>
      </c>
      <c r="S29" s="18" t="s">
        <v>91</v>
      </c>
      <c r="T29" s="18" t="s">
        <v>91</v>
      </c>
      <c r="V29" s="18" t="s">
        <v>90</v>
      </c>
      <c r="W29" s="18" t="s">
        <v>90</v>
      </c>
      <c r="X29" s="18" t="s">
        <v>90</v>
      </c>
      <c r="Z29" s="18" t="s">
        <v>90</v>
      </c>
      <c r="AA29" s="18" t="s">
        <v>90</v>
      </c>
      <c r="AB29" s="18" t="s">
        <v>90</v>
      </c>
    </row>
    <row r="30" customFormat="false" ht="15" hidden="false" customHeight="false" outlineLevel="0" collapsed="false">
      <c r="A30" s="3" t="s">
        <v>16</v>
      </c>
      <c r="B30" s="18" t="s">
        <v>89</v>
      </c>
      <c r="C30" s="18" t="s">
        <v>89</v>
      </c>
      <c r="D30" s="18" t="s">
        <v>91</v>
      </c>
      <c r="F30" s="18" t="s">
        <v>91</v>
      </c>
      <c r="G30" s="18" t="s">
        <v>91</v>
      </c>
      <c r="H30" s="18" t="s">
        <v>91</v>
      </c>
      <c r="J30" s="18" t="s">
        <v>91</v>
      </c>
      <c r="K30" s="18" t="s">
        <v>91</v>
      </c>
      <c r="L30" s="18" t="s">
        <v>91</v>
      </c>
      <c r="N30" s="18" t="s">
        <v>90</v>
      </c>
      <c r="O30" s="18" t="s">
        <v>90</v>
      </c>
      <c r="P30" s="18" t="s">
        <v>90</v>
      </c>
      <c r="R30" s="18" t="s">
        <v>91</v>
      </c>
      <c r="S30" s="18" t="s">
        <v>91</v>
      </c>
      <c r="T30" s="18" t="s">
        <v>91</v>
      </c>
      <c r="V30" s="18" t="s">
        <v>90</v>
      </c>
      <c r="W30" s="18" t="s">
        <v>90</v>
      </c>
      <c r="X30" s="18" t="s">
        <v>90</v>
      </c>
      <c r="Z30" s="18" t="s">
        <v>90</v>
      </c>
      <c r="AA30" s="18" t="s">
        <v>90</v>
      </c>
      <c r="AB30" s="18" t="s">
        <v>90</v>
      </c>
    </row>
    <row r="32" customFormat="false" ht="15" hidden="false" customHeight="false" outlineLevel="0" collapsed="false">
      <c r="A32" s="3" t="s">
        <v>85</v>
      </c>
      <c r="B32" s="3" t="s">
        <v>79</v>
      </c>
      <c r="F32" s="3" t="s">
        <v>78</v>
      </c>
      <c r="J32" s="3" t="s">
        <v>77</v>
      </c>
      <c r="N32" s="3" t="s">
        <v>83</v>
      </c>
      <c r="R32" s="3" t="s">
        <v>80</v>
      </c>
      <c r="V32" s="3" t="s">
        <v>82</v>
      </c>
      <c r="Z32" s="3" t="s">
        <v>81</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92</v>
      </c>
      <c r="C34" s="18" t="s">
        <v>92</v>
      </c>
      <c r="D34" s="18" t="s">
        <v>89</v>
      </c>
      <c r="F34" s="18" t="s">
        <v>92</v>
      </c>
      <c r="G34" s="18" t="s">
        <v>92</v>
      </c>
      <c r="H34" s="18" t="s">
        <v>87</v>
      </c>
      <c r="J34" s="18" t="s">
        <v>92</v>
      </c>
      <c r="K34" s="18" t="s">
        <v>92</v>
      </c>
      <c r="L34" s="18" t="s">
        <v>87</v>
      </c>
      <c r="N34" s="18" t="s">
        <v>92</v>
      </c>
      <c r="O34" s="18" t="s">
        <v>92</v>
      </c>
      <c r="P34" s="18" t="s">
        <v>87</v>
      </c>
      <c r="R34" s="18" t="s">
        <v>92</v>
      </c>
      <c r="S34" s="18" t="s">
        <v>92</v>
      </c>
      <c r="T34" s="18" t="s">
        <v>87</v>
      </c>
      <c r="V34" s="18" t="s">
        <v>92</v>
      </c>
      <c r="W34" s="18" t="s">
        <v>92</v>
      </c>
      <c r="X34" s="18" t="s">
        <v>87</v>
      </c>
      <c r="Z34" s="18" t="s">
        <v>92</v>
      </c>
      <c r="AA34" s="18" t="s">
        <v>92</v>
      </c>
      <c r="AB34" s="18" t="s">
        <v>87</v>
      </c>
    </row>
    <row r="35" customFormat="false" ht="15" hidden="false" customHeight="false" outlineLevel="0" collapsed="false">
      <c r="A35" s="3" t="s">
        <v>12</v>
      </c>
      <c r="B35" s="18" t="s">
        <v>92</v>
      </c>
      <c r="C35" s="18" t="s">
        <v>92</v>
      </c>
      <c r="D35" s="18" t="s">
        <v>89</v>
      </c>
      <c r="F35" s="18" t="s">
        <v>92</v>
      </c>
      <c r="G35" s="18" t="s">
        <v>92</v>
      </c>
      <c r="H35" s="18" t="s">
        <v>87</v>
      </c>
      <c r="J35" s="18" t="s">
        <v>92</v>
      </c>
      <c r="K35" s="18" t="s">
        <v>92</v>
      </c>
      <c r="L35" s="18" t="s">
        <v>87</v>
      </c>
      <c r="N35" s="18" t="s">
        <v>92</v>
      </c>
      <c r="O35" s="18" t="s">
        <v>92</v>
      </c>
      <c r="P35" s="18" t="s">
        <v>87</v>
      </c>
      <c r="R35" s="18" t="s">
        <v>92</v>
      </c>
      <c r="S35" s="18" t="s">
        <v>92</v>
      </c>
      <c r="T35" s="18" t="s">
        <v>87</v>
      </c>
      <c r="V35" s="18" t="s">
        <v>92</v>
      </c>
      <c r="W35" s="18" t="s">
        <v>92</v>
      </c>
      <c r="X35" s="18" t="s">
        <v>87</v>
      </c>
      <c r="Z35" s="18" t="s">
        <v>92</v>
      </c>
      <c r="AA35" s="18" t="s">
        <v>92</v>
      </c>
      <c r="AB35" s="18" t="s">
        <v>87</v>
      </c>
    </row>
    <row r="36" customFormat="false" ht="15" hidden="false" customHeight="false" outlineLevel="0" collapsed="false">
      <c r="A36" s="3" t="s">
        <v>13</v>
      </c>
      <c r="B36" s="18" t="s">
        <v>92</v>
      </c>
      <c r="C36" s="18" t="s">
        <v>92</v>
      </c>
      <c r="D36" s="18" t="s">
        <v>93</v>
      </c>
      <c r="F36" s="18" t="s">
        <v>87</v>
      </c>
      <c r="G36" s="18" t="s">
        <v>87</v>
      </c>
      <c r="H36" s="18" t="s">
        <v>91</v>
      </c>
      <c r="J36" s="18" t="s">
        <v>87</v>
      </c>
      <c r="K36" s="18" t="s">
        <v>87</v>
      </c>
      <c r="L36" s="18" t="s">
        <v>91</v>
      </c>
      <c r="N36" s="18" t="s">
        <v>90</v>
      </c>
      <c r="O36" s="18" t="s">
        <v>90</v>
      </c>
      <c r="P36" s="18" t="s">
        <v>90</v>
      </c>
      <c r="R36" s="18" t="s">
        <v>87</v>
      </c>
      <c r="S36" s="18" t="s">
        <v>87</v>
      </c>
      <c r="T36" s="18" t="s">
        <v>91</v>
      </c>
      <c r="V36" s="18" t="s">
        <v>90</v>
      </c>
      <c r="W36" s="18" t="s">
        <v>90</v>
      </c>
      <c r="X36" s="18" t="s">
        <v>90</v>
      </c>
      <c r="Z36" s="18" t="s">
        <v>90</v>
      </c>
      <c r="AA36" s="18" t="s">
        <v>90</v>
      </c>
      <c r="AB36" s="18" t="s">
        <v>90</v>
      </c>
    </row>
    <row r="37" customFormat="false" ht="15" hidden="false" customHeight="false" outlineLevel="0" collapsed="false">
      <c r="A37" s="3" t="s">
        <v>14</v>
      </c>
      <c r="B37" s="18" t="s">
        <v>92</v>
      </c>
      <c r="C37" s="18" t="s">
        <v>92</v>
      </c>
      <c r="D37" s="18" t="s">
        <v>93</v>
      </c>
      <c r="F37" s="18" t="s">
        <v>88</v>
      </c>
      <c r="G37" s="18" t="s">
        <v>88</v>
      </c>
      <c r="H37" s="18" t="s">
        <v>91</v>
      </c>
      <c r="J37" s="18" t="s">
        <v>88</v>
      </c>
      <c r="K37" s="18" t="s">
        <v>88</v>
      </c>
      <c r="L37" s="18" t="s">
        <v>91</v>
      </c>
      <c r="N37" s="18" t="s">
        <v>90</v>
      </c>
      <c r="O37" s="18" t="s">
        <v>90</v>
      </c>
      <c r="P37" s="18" t="s">
        <v>90</v>
      </c>
      <c r="R37" s="18" t="s">
        <v>88</v>
      </c>
      <c r="S37" s="18" t="s">
        <v>88</v>
      </c>
      <c r="T37" s="18" t="s">
        <v>91</v>
      </c>
      <c r="V37" s="18" t="s">
        <v>90</v>
      </c>
      <c r="W37" s="18" t="s">
        <v>90</v>
      </c>
      <c r="X37" s="18" t="s">
        <v>90</v>
      </c>
      <c r="Z37" s="18" t="s">
        <v>90</v>
      </c>
      <c r="AA37" s="18" t="s">
        <v>90</v>
      </c>
      <c r="AB37" s="18" t="s">
        <v>90</v>
      </c>
    </row>
    <row r="38" customFormat="false" ht="15" hidden="false" customHeight="false" outlineLevel="0" collapsed="false">
      <c r="A38" s="3" t="s">
        <v>15</v>
      </c>
      <c r="B38" s="18" t="s">
        <v>92</v>
      </c>
      <c r="C38" s="18" t="s">
        <v>92</v>
      </c>
      <c r="D38" s="18" t="s">
        <v>93</v>
      </c>
      <c r="F38" s="18" t="s">
        <v>88</v>
      </c>
      <c r="G38" s="18" t="s">
        <v>88</v>
      </c>
      <c r="H38" s="18" t="s">
        <v>91</v>
      </c>
      <c r="J38" s="18" t="s">
        <v>88</v>
      </c>
      <c r="K38" s="18" t="s">
        <v>88</v>
      </c>
      <c r="L38" s="18" t="s">
        <v>91</v>
      </c>
      <c r="N38" s="18" t="s">
        <v>90</v>
      </c>
      <c r="O38" s="18" t="s">
        <v>90</v>
      </c>
      <c r="P38" s="18" t="s">
        <v>90</v>
      </c>
      <c r="R38" s="18" t="s">
        <v>88</v>
      </c>
      <c r="S38" s="18" t="s">
        <v>88</v>
      </c>
      <c r="T38" s="18" t="s">
        <v>91</v>
      </c>
      <c r="V38" s="18" t="s">
        <v>90</v>
      </c>
      <c r="W38" s="18" t="s">
        <v>90</v>
      </c>
      <c r="X38" s="18" t="s">
        <v>90</v>
      </c>
      <c r="Z38" s="18" t="s">
        <v>90</v>
      </c>
      <c r="AA38" s="18" t="s">
        <v>90</v>
      </c>
      <c r="AB38" s="18" t="s">
        <v>90</v>
      </c>
    </row>
    <row r="39" customFormat="false" ht="15" hidden="false" customHeight="false" outlineLevel="0" collapsed="false">
      <c r="A39" s="3" t="s">
        <v>16</v>
      </c>
      <c r="B39" s="18" t="s">
        <v>92</v>
      </c>
      <c r="C39" s="18" t="s">
        <v>92</v>
      </c>
      <c r="D39" s="18" t="s">
        <v>93</v>
      </c>
      <c r="F39" s="18" t="s">
        <v>88</v>
      </c>
      <c r="G39" s="18" t="s">
        <v>88</v>
      </c>
      <c r="H39" s="18" t="s">
        <v>91</v>
      </c>
      <c r="J39" s="18" t="s">
        <v>88</v>
      </c>
      <c r="K39" s="18" t="s">
        <v>88</v>
      </c>
      <c r="L39" s="18" t="s">
        <v>91</v>
      </c>
      <c r="N39" s="18" t="s">
        <v>90</v>
      </c>
      <c r="O39" s="18" t="s">
        <v>90</v>
      </c>
      <c r="P39" s="18" t="s">
        <v>90</v>
      </c>
      <c r="R39" s="18" t="s">
        <v>88</v>
      </c>
      <c r="S39" s="18" t="s">
        <v>88</v>
      </c>
      <c r="T39" s="18" t="s">
        <v>91</v>
      </c>
      <c r="V39" s="18" t="s">
        <v>90</v>
      </c>
      <c r="W39" s="18" t="s">
        <v>90</v>
      </c>
      <c r="X39" s="18" t="s">
        <v>90</v>
      </c>
      <c r="Z39" s="18" t="s">
        <v>90</v>
      </c>
      <c r="AA39" s="18" t="s">
        <v>90</v>
      </c>
      <c r="AB39" s="18"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103</v>
      </c>
    </row>
    <row r="3" customFormat="false" ht="15" hidden="false" customHeight="false" outlineLevel="0" collapsed="false">
      <c r="A3" s="3" t="s">
        <v>76</v>
      </c>
      <c r="B3" s="3" t="s">
        <v>82</v>
      </c>
      <c r="F3" s="3" t="s">
        <v>78</v>
      </c>
      <c r="J3" s="3" t="s">
        <v>80</v>
      </c>
      <c r="N3" s="3" t="s">
        <v>77</v>
      </c>
      <c r="R3" s="3" t="s">
        <v>83</v>
      </c>
      <c r="V3" s="3" t="s">
        <v>81</v>
      </c>
      <c r="Z3" s="3" t="s">
        <v>79</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model'!M632</f>
        <v>10.5</v>
      </c>
      <c r="C5" s="16" t="n">
        <f aca="false">'Cost model'!M633</f>
        <v>13.5</v>
      </c>
      <c r="D5" s="16" t="n">
        <f aca="false">'Cost model'!M634</f>
        <v>19.5</v>
      </c>
      <c r="F5" s="16" t="n">
        <f aca="false">'Cost model'!M650</f>
        <v>16.5</v>
      </c>
      <c r="G5" s="16" t="n">
        <f aca="false">'Cost model'!M651</f>
        <v>20.5</v>
      </c>
      <c r="H5" s="16" t="n">
        <f aca="false">'Cost model'!M652</f>
        <v>25.5</v>
      </c>
      <c r="J5" s="16" t="n">
        <f aca="false">'Cost model'!M668</f>
        <v>15.5</v>
      </c>
      <c r="K5" s="16" t="n">
        <f aca="false">'Cost model'!M669</f>
        <v>17.5</v>
      </c>
      <c r="L5" s="16" t="n">
        <f aca="false">'Cost model'!M670</f>
        <v>22.5</v>
      </c>
      <c r="N5" s="16" t="n">
        <f aca="false">'Cost model'!M686</f>
        <v>14.5</v>
      </c>
      <c r="O5" s="16" t="n">
        <f aca="false">'Cost model'!M687</f>
        <v>17.5</v>
      </c>
      <c r="P5" s="16" t="n">
        <f aca="false">'Cost model'!M688</f>
        <v>22.5</v>
      </c>
      <c r="R5" s="16" t="n">
        <f aca="false">'Cost model'!M704</f>
        <v>13.5</v>
      </c>
      <c r="S5" s="16" t="n">
        <f aca="false">'Cost model'!M705</f>
        <v>16.5</v>
      </c>
      <c r="T5" s="16" t="n">
        <f aca="false">'Cost model'!M706</f>
        <v>21.5</v>
      </c>
      <c r="V5" s="16" t="n">
        <f aca="false">'Cost model'!M722</f>
        <v>13.5</v>
      </c>
      <c r="W5" s="16" t="n">
        <f aca="false">'Cost model'!M723</f>
        <v>17.5</v>
      </c>
      <c r="X5" s="16" t="n">
        <f aca="false">'Cost model'!M724</f>
        <v>21.5</v>
      </c>
      <c r="Z5" s="16" t="n">
        <f aca="false">'Cost model'!M740</f>
        <v>14.5</v>
      </c>
      <c r="AA5" s="16" t="n">
        <f aca="false">'Cost model'!M741</f>
        <v>16.5</v>
      </c>
      <c r="AB5" s="16" t="n">
        <f aca="false">'Cost model'!M742</f>
        <v>21.5</v>
      </c>
    </row>
    <row r="6" customFormat="false" ht="15" hidden="false" customHeight="false" outlineLevel="0" collapsed="false">
      <c r="A6" s="3" t="s">
        <v>12</v>
      </c>
      <c r="B6" s="16" t="n">
        <f aca="false">'Cost model'!M635</f>
        <v>29.5</v>
      </c>
      <c r="C6" s="16" t="n">
        <f aca="false">'Cost model'!M636</f>
        <v>55</v>
      </c>
      <c r="D6" s="16" t="n">
        <f aca="false">'Cost model'!M637</f>
        <v>55</v>
      </c>
      <c r="F6" s="16" t="n">
        <f aca="false">'Cost model'!M653</f>
        <v>65</v>
      </c>
      <c r="G6" s="16" t="n">
        <f aca="false">'Cost model'!M654</f>
        <v>80</v>
      </c>
      <c r="H6" s="16" t="n">
        <f aca="false">'Cost model'!M655</f>
        <v>80</v>
      </c>
      <c r="J6" s="16" t="n">
        <f aca="false">'Cost model'!M671</f>
        <v>55</v>
      </c>
      <c r="K6" s="16" t="n">
        <f aca="false">'Cost model'!M672</f>
        <v>65</v>
      </c>
      <c r="L6" s="16" t="n">
        <f aca="false">'Cost model'!M673</f>
        <v>70</v>
      </c>
      <c r="N6" s="16" t="n">
        <f aca="false">'Cost model'!M689</f>
        <v>55</v>
      </c>
      <c r="O6" s="16" t="n">
        <f aca="false">'Cost model'!M690</f>
        <v>60</v>
      </c>
      <c r="P6" s="16" t="n">
        <f aca="false">'Cost model'!M691</f>
        <v>70</v>
      </c>
      <c r="R6" s="16" t="n">
        <f aca="false">'Cost model'!M707</f>
        <v>50</v>
      </c>
      <c r="S6" s="16" t="n">
        <f aca="false">'Cost model'!M708</f>
        <v>55</v>
      </c>
      <c r="T6" s="16" t="n">
        <f aca="false">'Cost model'!M709</f>
        <v>65</v>
      </c>
      <c r="V6" s="16" t="n">
        <f aca="false">'Cost model'!M725</f>
        <v>50</v>
      </c>
      <c r="W6" s="16" t="n">
        <f aca="false">'Cost model'!M726</f>
        <v>55</v>
      </c>
      <c r="X6" s="16" t="n">
        <f aca="false">'Cost model'!M727</f>
        <v>65</v>
      </c>
      <c r="Z6" s="16" t="n">
        <f aca="false">'Cost model'!M743</f>
        <v>50</v>
      </c>
      <c r="AA6" s="16" t="n">
        <f aca="false">'Cost model'!M744</f>
        <v>55</v>
      </c>
      <c r="AB6" s="16" t="n">
        <f aca="false">'Cost model'!M745</f>
        <v>65</v>
      </c>
    </row>
    <row r="7" customFormat="false" ht="15" hidden="false" customHeight="false" outlineLevel="0" collapsed="false">
      <c r="A7" s="3" t="s">
        <v>13</v>
      </c>
      <c r="B7" s="16" t="n">
        <f aca="false">'Cost model'!M638</f>
        <v>55</v>
      </c>
      <c r="C7" s="16" t="n">
        <f aca="false">'Cost model'!M639</f>
        <v>90</v>
      </c>
      <c r="D7" s="16" t="n">
        <f aca="false">'Cost model'!M640</f>
        <v>110</v>
      </c>
      <c r="F7" s="16" t="n">
        <f aca="false">'Cost model'!M656</f>
        <v>105</v>
      </c>
      <c r="G7" s="16" t="n">
        <f aca="false">'Cost model'!M657</f>
        <v>135</v>
      </c>
      <c r="H7" s="16" t="n">
        <f aca="false">'Cost model'!M658</f>
        <v>160</v>
      </c>
      <c r="J7" s="16" t="n">
        <f aca="false">'Cost model'!M674</f>
        <v>95</v>
      </c>
      <c r="K7" s="16" t="n">
        <f aca="false">'Cost model'!M675</f>
        <v>105</v>
      </c>
      <c r="L7" s="16" t="n">
        <f aca="false">'Cost model'!M676</f>
        <v>145</v>
      </c>
      <c r="N7" s="16" t="n">
        <f aca="false">'Cost model'!M692</f>
        <v>95</v>
      </c>
      <c r="O7" s="16" t="n">
        <f aca="false">'Cost model'!M693</f>
        <v>105</v>
      </c>
      <c r="P7" s="16" t="n">
        <f aca="false">'Cost model'!M694</f>
        <v>140</v>
      </c>
      <c r="R7" s="16" t="n">
        <f aca="false">'Cost model'!M710</f>
        <v>90</v>
      </c>
      <c r="S7" s="16" t="n">
        <f aca="false">'Cost model'!M711</f>
        <v>100</v>
      </c>
      <c r="T7" s="16" t="n">
        <f aca="false">'Cost model'!M712</f>
        <v>130</v>
      </c>
      <c r="V7" s="16" t="n">
        <f aca="false">'Cost model'!M728</f>
        <v>85</v>
      </c>
      <c r="W7" s="16" t="n">
        <f aca="false">'Cost model'!M729</f>
        <v>100</v>
      </c>
      <c r="X7" s="16" t="n">
        <f aca="false">'Cost model'!M730</f>
        <v>130</v>
      </c>
      <c r="Z7" s="16" t="n">
        <f aca="false">'Cost model'!M746</f>
        <v>85</v>
      </c>
      <c r="AA7" s="16" t="n">
        <f aca="false">'Cost model'!M747</f>
        <v>100</v>
      </c>
      <c r="AB7" s="16" t="n">
        <f aca="false">'Cost model'!M748</f>
        <v>130</v>
      </c>
    </row>
    <row r="8" customFormat="false" ht="15" hidden="false" customHeight="false" outlineLevel="0" collapsed="false">
      <c r="A8" s="3" t="s">
        <v>14</v>
      </c>
      <c r="B8" s="16" t="n">
        <f aca="false">'Cost model'!M641</f>
        <v>115</v>
      </c>
      <c r="C8" s="16" t="n">
        <f aca="false">'Cost model'!M642</f>
        <v>150</v>
      </c>
      <c r="D8" s="16" t="n">
        <f aca="false">'Cost model'!M643</f>
        <v>215</v>
      </c>
      <c r="F8" s="16" t="n">
        <f aca="false">'Cost model'!M659</f>
        <v>185</v>
      </c>
      <c r="G8" s="16" t="n">
        <f aca="false">'Cost model'!M660</f>
        <v>210</v>
      </c>
      <c r="H8" s="16" t="n">
        <f aca="false">'Cost model'!M661</f>
        <v>265</v>
      </c>
      <c r="J8" s="16" t="n">
        <f aca="false">'Cost model'!M677</f>
        <v>165</v>
      </c>
      <c r="K8" s="16" t="n">
        <f aca="false">'Cost model'!M678</f>
        <v>195</v>
      </c>
      <c r="L8" s="16" t="n">
        <f aca="false">'Cost model'!M679</f>
        <v>235</v>
      </c>
      <c r="N8" s="16" t="n">
        <f aca="false">'Cost model'!M695</f>
        <v>160</v>
      </c>
      <c r="O8" s="16" t="n">
        <f aca="false">'Cost model'!M696</f>
        <v>195</v>
      </c>
      <c r="P8" s="16" t="n">
        <f aca="false">'Cost model'!M697</f>
        <v>230</v>
      </c>
      <c r="R8" s="16" t="n">
        <f aca="false">'Cost model'!M713</f>
        <v>150</v>
      </c>
      <c r="S8" s="16" t="n">
        <f aca="false">'Cost model'!M714</f>
        <v>180</v>
      </c>
      <c r="T8" s="16" t="n">
        <f aca="false">'Cost model'!M715</f>
        <v>215</v>
      </c>
      <c r="V8" s="16" t="n">
        <f aca="false">'Cost model'!M731</f>
        <v>150</v>
      </c>
      <c r="W8" s="16" t="n">
        <f aca="false">'Cost model'!M732</f>
        <v>180</v>
      </c>
      <c r="X8" s="16" t="n">
        <f aca="false">'Cost model'!M733</f>
        <v>215</v>
      </c>
      <c r="Z8" s="16" t="n">
        <f aca="false">'Cost model'!M749</f>
        <v>150</v>
      </c>
      <c r="AA8" s="16" t="n">
        <f aca="false">'Cost model'!M750</f>
        <v>180</v>
      </c>
      <c r="AB8" s="16" t="n">
        <f aca="false">'Cost model'!M751</f>
        <v>215</v>
      </c>
    </row>
    <row r="9" customFormat="false" ht="15" hidden="false" customHeight="false" outlineLevel="0" collapsed="false">
      <c r="A9" s="3" t="s">
        <v>15</v>
      </c>
      <c r="B9" s="16" t="n">
        <f aca="false">'Cost model'!M644</f>
        <v>130</v>
      </c>
      <c r="C9" s="16" t="n">
        <f aca="false">'Cost model'!M645</f>
        <v>185</v>
      </c>
      <c r="D9" s="16" t="n">
        <f aca="false">'Cost model'!M646</f>
        <v>275</v>
      </c>
      <c r="F9" s="16" t="n">
        <f aca="false">'Cost model'!M662</f>
        <v>230</v>
      </c>
      <c r="G9" s="17" t="n">
        <f aca="false">'Cost model'!M663</f>
        <v>345</v>
      </c>
      <c r="H9" s="17" t="n">
        <f aca="false">'Cost model'!M664</f>
        <v>410</v>
      </c>
      <c r="J9" s="16" t="n">
        <f aca="false">'Cost model'!M680</f>
        <v>205</v>
      </c>
      <c r="K9" s="17" t="n">
        <f aca="false">'Cost model'!M681</f>
        <v>310</v>
      </c>
      <c r="L9" s="17" t="n">
        <f aca="false">'Cost model'!M682</f>
        <v>370</v>
      </c>
      <c r="N9" s="16" t="n">
        <f aca="false">'Cost model'!M698</f>
        <v>205</v>
      </c>
      <c r="O9" s="17" t="n">
        <f aca="false">'Cost model'!M699</f>
        <v>300</v>
      </c>
      <c r="P9" s="17" t="n">
        <f aca="false">'Cost model'!M700</f>
        <v>360</v>
      </c>
      <c r="R9" s="16" t="n">
        <f aca="false">'Cost model'!M716</f>
        <v>190</v>
      </c>
      <c r="S9" s="17" t="n">
        <f aca="false">'Cost model'!M717</f>
        <v>285</v>
      </c>
      <c r="T9" s="17" t="n">
        <f aca="false">'Cost model'!M718</f>
        <v>340</v>
      </c>
      <c r="V9" s="16" t="n">
        <f aca="false">'Cost model'!M734</f>
        <v>190</v>
      </c>
      <c r="W9" s="17" t="n">
        <f aca="false">'Cost model'!M735</f>
        <v>285</v>
      </c>
      <c r="X9" s="17" t="n">
        <f aca="false">'Cost model'!M736</f>
        <v>340</v>
      </c>
      <c r="Z9" s="16" t="n">
        <f aca="false">'Cost model'!M752</f>
        <v>195</v>
      </c>
      <c r="AA9" s="17" t="n">
        <f aca="false">'Cost model'!M753</f>
        <v>285</v>
      </c>
      <c r="AB9" s="17" t="n">
        <f aca="false">'Cost model'!M754</f>
        <v>340</v>
      </c>
    </row>
    <row r="10" customFormat="false" ht="15" hidden="false" customHeight="false" outlineLevel="0" collapsed="false">
      <c r="A10" s="3" t="s">
        <v>16</v>
      </c>
      <c r="B10" s="16" t="n">
        <f aca="false">'Cost model'!M647</f>
        <v>140</v>
      </c>
      <c r="C10" s="16" t="n">
        <f aca="false">'Cost model'!M648</f>
        <v>260</v>
      </c>
      <c r="D10" s="16" t="n">
        <f aca="false">'Cost model'!M649</f>
        <v>330</v>
      </c>
      <c r="F10" s="16" t="n">
        <f aca="false">'Cost model'!M665</f>
        <v>320</v>
      </c>
      <c r="G10" s="17" t="n">
        <f aca="false">'Cost model'!M666</f>
        <v>495</v>
      </c>
      <c r="H10" s="17" t="n">
        <f aca="false">'Cost model'!M667</f>
        <v>585</v>
      </c>
      <c r="J10" s="16" t="n">
        <f aca="false">'Cost model'!M683</f>
        <v>285</v>
      </c>
      <c r="K10" s="17" t="n">
        <f aca="false">'Cost model'!M684</f>
        <v>440</v>
      </c>
      <c r="L10" s="17" t="n">
        <f aca="false">'Cost model'!M685</f>
        <v>520</v>
      </c>
      <c r="N10" s="16" t="n">
        <f aca="false">'Cost model'!M701</f>
        <v>280</v>
      </c>
      <c r="O10" s="17" t="n">
        <f aca="false">'Cost model'!M702</f>
        <v>435</v>
      </c>
      <c r="P10" s="17" t="n">
        <f aca="false">'Cost model'!M703</f>
        <v>510</v>
      </c>
      <c r="R10" s="16" t="n">
        <f aca="false">'Cost model'!M719</f>
        <v>265</v>
      </c>
      <c r="S10" s="17" t="n">
        <f aca="false">'Cost model'!M720</f>
        <v>405</v>
      </c>
      <c r="T10" s="17" t="n">
        <f aca="false">'Cost model'!M721</f>
        <v>475</v>
      </c>
      <c r="V10" s="16" t="n">
        <f aca="false">'Cost model'!M737</f>
        <v>260</v>
      </c>
      <c r="W10" s="17" t="n">
        <f aca="false">'Cost model'!M738</f>
        <v>405</v>
      </c>
      <c r="X10" s="17" t="n">
        <f aca="false">'Cost model'!M739</f>
        <v>475</v>
      </c>
      <c r="Z10" s="16" t="n">
        <f aca="false">'Cost model'!M755</f>
        <v>260</v>
      </c>
      <c r="AA10" s="17" t="n">
        <f aca="false">'Cost model'!M756</f>
        <v>405</v>
      </c>
      <c r="AB10" s="17" t="n">
        <f aca="false">'Cost model'!M757</f>
        <v>475</v>
      </c>
    </row>
    <row r="12" customFormat="false" ht="15" hidden="false" customHeight="false" outlineLevel="0" collapsed="false">
      <c r="A12" s="3" t="s">
        <v>85</v>
      </c>
      <c r="B12" s="3" t="s">
        <v>82</v>
      </c>
      <c r="F12" s="3" t="s">
        <v>78</v>
      </c>
      <c r="J12" s="3" t="s">
        <v>80</v>
      </c>
      <c r="N12" s="3" t="s">
        <v>77</v>
      </c>
      <c r="R12" s="3" t="s">
        <v>83</v>
      </c>
      <c r="V12" s="3" t="s">
        <v>81</v>
      </c>
      <c r="Z12" s="3" t="s">
        <v>79</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model'!N632</f>
        <v>15.5</v>
      </c>
      <c r="C14" s="16" t="n">
        <f aca="false">'Cost model'!N633</f>
        <v>18.5</v>
      </c>
      <c r="D14" s="16" t="n">
        <f aca="false">'Cost model'!N634</f>
        <v>26.5</v>
      </c>
      <c r="F14" s="16" t="n">
        <f aca="false">'Cost model'!N650</f>
        <v>22.5</v>
      </c>
      <c r="G14" s="16" t="n">
        <f aca="false">'Cost model'!N651</f>
        <v>27.5</v>
      </c>
      <c r="H14" s="16" t="n">
        <f aca="false">'Cost model'!N652</f>
        <v>35</v>
      </c>
      <c r="J14" s="16" t="n">
        <f aca="false">'Cost model'!N668</f>
        <v>21.5</v>
      </c>
      <c r="K14" s="16" t="n">
        <f aca="false">'Cost model'!N669</f>
        <v>23.5</v>
      </c>
      <c r="L14" s="16" t="n">
        <f aca="false">'Cost model'!N670</f>
        <v>35</v>
      </c>
      <c r="N14" s="16" t="n">
        <f aca="false">'Cost model'!N686</f>
        <v>19.5</v>
      </c>
      <c r="O14" s="16" t="n">
        <f aca="false">'Cost model'!N687</f>
        <v>23.5</v>
      </c>
      <c r="P14" s="16" t="n">
        <f aca="false">'Cost model'!N688</f>
        <v>35</v>
      </c>
      <c r="R14" s="16" t="n">
        <f aca="false">'Cost model'!N704</f>
        <v>18.5</v>
      </c>
      <c r="S14" s="16" t="n">
        <f aca="false">'Cost model'!N705</f>
        <v>22.5</v>
      </c>
      <c r="T14" s="16" t="n">
        <f aca="false">'Cost model'!N706</f>
        <v>29.5</v>
      </c>
      <c r="V14" s="16" t="n">
        <f aca="false">'Cost model'!N722</f>
        <v>18.5</v>
      </c>
      <c r="W14" s="16" t="n">
        <f aca="false">'Cost model'!N723</f>
        <v>23.5</v>
      </c>
      <c r="X14" s="16" t="n">
        <f aca="false">'Cost model'!N724</f>
        <v>29.5</v>
      </c>
      <c r="Z14" s="16" t="n">
        <f aca="false">'Cost model'!N740</f>
        <v>19.5</v>
      </c>
      <c r="AA14" s="16" t="n">
        <f aca="false">'Cost model'!N741</f>
        <v>22.5</v>
      </c>
      <c r="AB14" s="16" t="n">
        <f aca="false">'Cost model'!N742</f>
        <v>29.5</v>
      </c>
    </row>
    <row r="15" customFormat="false" ht="15" hidden="false" customHeight="false" outlineLevel="0" collapsed="false">
      <c r="A15" s="3" t="s">
        <v>12</v>
      </c>
      <c r="B15" s="16" t="n">
        <f aca="false">'Cost model'!N635</f>
        <v>40</v>
      </c>
      <c r="C15" s="16" t="n">
        <f aca="false">'Cost model'!N636</f>
        <v>70</v>
      </c>
      <c r="D15" s="16" t="n">
        <f aca="false">'Cost model'!N637</f>
        <v>70</v>
      </c>
      <c r="F15" s="16" t="n">
        <f aca="false">'Cost model'!N653</f>
        <v>85</v>
      </c>
      <c r="G15" s="16" t="n">
        <f aca="false">'Cost model'!N654</f>
        <v>105</v>
      </c>
      <c r="H15" s="16" t="n">
        <f aca="false">'Cost model'!N655</f>
        <v>105</v>
      </c>
      <c r="J15" s="16" t="n">
        <f aca="false">'Cost model'!N671</f>
        <v>70</v>
      </c>
      <c r="K15" s="16" t="n">
        <f aca="false">'Cost model'!N672</f>
        <v>85</v>
      </c>
      <c r="L15" s="16" t="n">
        <f aca="false">'Cost model'!N673</f>
        <v>90</v>
      </c>
      <c r="N15" s="16" t="n">
        <f aca="false">'Cost model'!N689</f>
        <v>70</v>
      </c>
      <c r="O15" s="16" t="n">
        <f aca="false">'Cost model'!N690</f>
        <v>80</v>
      </c>
      <c r="P15" s="16" t="n">
        <f aca="false">'Cost model'!N691</f>
        <v>90</v>
      </c>
      <c r="R15" s="16" t="n">
        <f aca="false">'Cost model'!N707</f>
        <v>65</v>
      </c>
      <c r="S15" s="16" t="n">
        <f aca="false">'Cost model'!N708</f>
        <v>70</v>
      </c>
      <c r="T15" s="16" t="n">
        <f aca="false">'Cost model'!N709</f>
        <v>85</v>
      </c>
      <c r="V15" s="16" t="n">
        <f aca="false">'Cost model'!N725</f>
        <v>65</v>
      </c>
      <c r="W15" s="16" t="n">
        <f aca="false">'Cost model'!N726</f>
        <v>70</v>
      </c>
      <c r="X15" s="16" t="n">
        <f aca="false">'Cost model'!N727</f>
        <v>85</v>
      </c>
      <c r="Z15" s="16" t="n">
        <f aca="false">'Cost model'!N743</f>
        <v>65</v>
      </c>
      <c r="AA15" s="16" t="n">
        <f aca="false">'Cost model'!N744</f>
        <v>70</v>
      </c>
      <c r="AB15" s="16" t="n">
        <f aca="false">'Cost model'!N745</f>
        <v>85</v>
      </c>
    </row>
    <row r="16" customFormat="false" ht="15" hidden="false" customHeight="false" outlineLevel="0" collapsed="false">
      <c r="A16" s="3" t="s">
        <v>13</v>
      </c>
      <c r="B16" s="16" t="n">
        <f aca="false">'Cost model'!N638</f>
        <v>75</v>
      </c>
      <c r="C16" s="16" t="n">
        <f aca="false">'Cost model'!N639</f>
        <v>125</v>
      </c>
      <c r="D16" s="16" t="n">
        <f aca="false">'Cost model'!N640</f>
        <v>150</v>
      </c>
      <c r="F16" s="16" t="n">
        <f aca="false">'Cost model'!N656</f>
        <v>145</v>
      </c>
      <c r="G16" s="16" t="n">
        <f aca="false">'Cost model'!N657</f>
        <v>185</v>
      </c>
      <c r="H16" s="16" t="n">
        <f aca="false">'Cost model'!N658</f>
        <v>220</v>
      </c>
      <c r="J16" s="16" t="n">
        <f aca="false">'Cost model'!N674</f>
        <v>130</v>
      </c>
      <c r="K16" s="16" t="n">
        <f aca="false">'Cost model'!N675</f>
        <v>145</v>
      </c>
      <c r="L16" s="16" t="n">
        <f aca="false">'Cost model'!N676</f>
        <v>200</v>
      </c>
      <c r="N16" s="16" t="n">
        <f aca="false">'Cost model'!N692</f>
        <v>130</v>
      </c>
      <c r="O16" s="16" t="n">
        <f aca="false">'Cost model'!N693</f>
        <v>145</v>
      </c>
      <c r="P16" s="16" t="n">
        <f aca="false">'Cost model'!N694</f>
        <v>190</v>
      </c>
      <c r="R16" s="16" t="n">
        <f aca="false">'Cost model'!N710</f>
        <v>125</v>
      </c>
      <c r="S16" s="16" t="n">
        <f aca="false">'Cost model'!N711</f>
        <v>135</v>
      </c>
      <c r="T16" s="16" t="n">
        <f aca="false">'Cost model'!N712</f>
        <v>180</v>
      </c>
      <c r="V16" s="16" t="n">
        <f aca="false">'Cost model'!N728</f>
        <v>115</v>
      </c>
      <c r="W16" s="16" t="n">
        <f aca="false">'Cost model'!N729</f>
        <v>135</v>
      </c>
      <c r="X16" s="16" t="n">
        <f aca="false">'Cost model'!N730</f>
        <v>180</v>
      </c>
      <c r="Z16" s="16" t="n">
        <f aca="false">'Cost model'!N746</f>
        <v>115</v>
      </c>
      <c r="AA16" s="16" t="n">
        <f aca="false">'Cost model'!N747</f>
        <v>135</v>
      </c>
      <c r="AB16" s="16" t="n">
        <f aca="false">'Cost model'!N748</f>
        <v>180</v>
      </c>
    </row>
    <row r="17" customFormat="false" ht="15" hidden="false" customHeight="false" outlineLevel="0" collapsed="false">
      <c r="A17" s="3" t="s">
        <v>14</v>
      </c>
      <c r="B17" s="16" t="n">
        <f aca="false">'Cost model'!N641</f>
        <v>140</v>
      </c>
      <c r="C17" s="16" t="n">
        <f aca="false">'Cost model'!N642</f>
        <v>180</v>
      </c>
      <c r="D17" s="16" t="n">
        <f aca="false">'Cost model'!N643</f>
        <v>260</v>
      </c>
      <c r="F17" s="16" t="n">
        <f aca="false">'Cost model'!N659</f>
        <v>225</v>
      </c>
      <c r="G17" s="16" t="n">
        <f aca="false">'Cost model'!N660</f>
        <v>255</v>
      </c>
      <c r="H17" s="16" t="n">
        <f aca="false">'Cost model'!N661</f>
        <v>320</v>
      </c>
      <c r="J17" s="16" t="n">
        <f aca="false">'Cost model'!N677</f>
        <v>200</v>
      </c>
      <c r="K17" s="16" t="n">
        <f aca="false">'Cost model'!N678</f>
        <v>235</v>
      </c>
      <c r="L17" s="16" t="n">
        <f aca="false">'Cost model'!N679</f>
        <v>285</v>
      </c>
      <c r="N17" s="16" t="n">
        <f aca="false">'Cost model'!N695</f>
        <v>195</v>
      </c>
      <c r="O17" s="16" t="n">
        <f aca="false">'Cost model'!N696</f>
        <v>235</v>
      </c>
      <c r="P17" s="16" t="n">
        <f aca="false">'Cost model'!N697</f>
        <v>280</v>
      </c>
      <c r="R17" s="16" t="n">
        <f aca="false">'Cost model'!N713</f>
        <v>180</v>
      </c>
      <c r="S17" s="16" t="n">
        <f aca="false">'Cost model'!N714</f>
        <v>220</v>
      </c>
      <c r="T17" s="16" t="n">
        <f aca="false">'Cost model'!N715</f>
        <v>260</v>
      </c>
      <c r="V17" s="16" t="n">
        <f aca="false">'Cost model'!N731</f>
        <v>180</v>
      </c>
      <c r="W17" s="16" t="n">
        <f aca="false">'Cost model'!N732</f>
        <v>220</v>
      </c>
      <c r="X17" s="16" t="n">
        <f aca="false">'Cost model'!N733</f>
        <v>260</v>
      </c>
      <c r="Z17" s="16" t="n">
        <f aca="false">'Cost model'!N749</f>
        <v>180</v>
      </c>
      <c r="AA17" s="16" t="n">
        <f aca="false">'Cost model'!N750</f>
        <v>220</v>
      </c>
      <c r="AB17" s="16" t="n">
        <f aca="false">'Cost model'!N751</f>
        <v>260</v>
      </c>
    </row>
    <row r="18" customFormat="false" ht="15" hidden="false" customHeight="false" outlineLevel="0" collapsed="false">
      <c r="A18" s="3" t="s">
        <v>15</v>
      </c>
      <c r="B18" s="16" t="n">
        <f aca="false">'Cost model'!N644</f>
        <v>160</v>
      </c>
      <c r="C18" s="16" t="n">
        <f aca="false">'Cost model'!N645</f>
        <v>225</v>
      </c>
      <c r="D18" s="16" t="n">
        <f aca="false">'Cost model'!N646</f>
        <v>330</v>
      </c>
      <c r="F18" s="16" t="n">
        <f aca="false">'Cost model'!N662</f>
        <v>280</v>
      </c>
      <c r="G18" s="17" t="n">
        <f aca="false">'Cost model'!N663</f>
        <v>345</v>
      </c>
      <c r="H18" s="17" t="n">
        <f aca="false">'Cost model'!N664</f>
        <v>410</v>
      </c>
      <c r="J18" s="16" t="n">
        <f aca="false">'Cost model'!N680</f>
        <v>250</v>
      </c>
      <c r="K18" s="17" t="n">
        <f aca="false">'Cost model'!N681</f>
        <v>310</v>
      </c>
      <c r="L18" s="17" t="n">
        <f aca="false">'Cost model'!N682</f>
        <v>370</v>
      </c>
      <c r="N18" s="16" t="n">
        <f aca="false">'Cost model'!N698</f>
        <v>250</v>
      </c>
      <c r="O18" s="17" t="n">
        <f aca="false">'Cost model'!N699</f>
        <v>300</v>
      </c>
      <c r="P18" s="17" t="n">
        <f aca="false">'Cost model'!N700</f>
        <v>360</v>
      </c>
      <c r="R18" s="16" t="n">
        <f aca="false">'Cost model'!N716</f>
        <v>230</v>
      </c>
      <c r="S18" s="17" t="n">
        <f aca="false">'Cost model'!N717</f>
        <v>285</v>
      </c>
      <c r="T18" s="17" t="n">
        <f aca="false">'Cost model'!N718</f>
        <v>340</v>
      </c>
      <c r="V18" s="16" t="n">
        <f aca="false">'Cost model'!N734</f>
        <v>230</v>
      </c>
      <c r="W18" s="17" t="n">
        <f aca="false">'Cost model'!N735</f>
        <v>285</v>
      </c>
      <c r="X18" s="17" t="n">
        <f aca="false">'Cost model'!N736</f>
        <v>340</v>
      </c>
      <c r="Z18" s="16" t="n">
        <f aca="false">'Cost model'!N752</f>
        <v>235</v>
      </c>
      <c r="AA18" s="17" t="n">
        <f aca="false">'Cost model'!N753</f>
        <v>285</v>
      </c>
      <c r="AB18" s="17" t="n">
        <f aca="false">'Cost model'!N754</f>
        <v>340</v>
      </c>
    </row>
    <row r="19" customFormat="false" ht="15" hidden="false" customHeight="false" outlineLevel="0" collapsed="false">
      <c r="A19" s="3" t="s">
        <v>16</v>
      </c>
      <c r="B19" s="16" t="n">
        <f aca="false">'Cost model'!N647</f>
        <v>170</v>
      </c>
      <c r="C19" s="16" t="n">
        <f aca="false">'Cost model'!N648</f>
        <v>315</v>
      </c>
      <c r="D19" s="16" t="n">
        <f aca="false">'Cost model'!N649</f>
        <v>400</v>
      </c>
      <c r="F19" s="16" t="n">
        <f aca="false">'Cost model'!N665</f>
        <v>385</v>
      </c>
      <c r="G19" s="17" t="n">
        <f aca="false">'Cost model'!N666</f>
        <v>495</v>
      </c>
      <c r="H19" s="17" t="n">
        <f aca="false">'Cost model'!N667</f>
        <v>585</v>
      </c>
      <c r="J19" s="16" t="n">
        <f aca="false">'Cost model'!N683</f>
        <v>345</v>
      </c>
      <c r="K19" s="17" t="n">
        <f aca="false">'Cost model'!N684</f>
        <v>440</v>
      </c>
      <c r="L19" s="17" t="n">
        <f aca="false">'Cost model'!N685</f>
        <v>520</v>
      </c>
      <c r="N19" s="16" t="n">
        <f aca="false">'Cost model'!N701</f>
        <v>340</v>
      </c>
      <c r="O19" s="17" t="n">
        <f aca="false">'Cost model'!N702</f>
        <v>435</v>
      </c>
      <c r="P19" s="17" t="n">
        <f aca="false">'Cost model'!N703</f>
        <v>510</v>
      </c>
      <c r="R19" s="16" t="n">
        <f aca="false">'Cost model'!N719</f>
        <v>320</v>
      </c>
      <c r="S19" s="17" t="n">
        <f aca="false">'Cost model'!N720</f>
        <v>405</v>
      </c>
      <c r="T19" s="17" t="n">
        <f aca="false">'Cost model'!N721</f>
        <v>475</v>
      </c>
      <c r="V19" s="16" t="n">
        <f aca="false">'Cost model'!N737</f>
        <v>315</v>
      </c>
      <c r="W19" s="17" t="n">
        <f aca="false">'Cost model'!N738</f>
        <v>405</v>
      </c>
      <c r="X19" s="17" t="n">
        <f aca="false">'Cost model'!N739</f>
        <v>475</v>
      </c>
      <c r="Z19" s="16" t="n">
        <f aca="false">'Cost model'!N755</f>
        <v>315</v>
      </c>
      <c r="AA19" s="17" t="n">
        <f aca="false">'Cost model'!N756</f>
        <v>405</v>
      </c>
      <c r="AB19" s="17" t="n">
        <f aca="false">'Cost model'!N757</f>
        <v>475</v>
      </c>
    </row>
    <row r="21" customFormat="false" ht="17.35" hidden="false" customHeight="false" outlineLevel="0" collapsed="false">
      <c r="A21" s="1" t="s">
        <v>104</v>
      </c>
    </row>
    <row r="23" customFormat="false" ht="15" hidden="false" customHeight="false" outlineLevel="0" collapsed="false">
      <c r="A23" s="3" t="s">
        <v>76</v>
      </c>
      <c r="B23" s="3" t="s">
        <v>82</v>
      </c>
      <c r="F23" s="3" t="s">
        <v>78</v>
      </c>
      <c r="J23" s="3" t="s">
        <v>80</v>
      </c>
      <c r="N23" s="3" t="s">
        <v>77</v>
      </c>
      <c r="R23" s="3" t="s">
        <v>83</v>
      </c>
      <c r="V23" s="3" t="s">
        <v>81</v>
      </c>
      <c r="Z23" s="3" t="s">
        <v>79</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89</v>
      </c>
      <c r="C25" s="18" t="s">
        <v>89</v>
      </c>
      <c r="D25" s="18" t="s">
        <v>87</v>
      </c>
      <c r="F25" s="18" t="s">
        <v>87</v>
      </c>
      <c r="G25" s="18" t="s">
        <v>87</v>
      </c>
      <c r="H25" s="18" t="s">
        <v>88</v>
      </c>
      <c r="J25" s="18" t="s">
        <v>87</v>
      </c>
      <c r="K25" s="18" t="s">
        <v>87</v>
      </c>
      <c r="L25" s="18" t="s">
        <v>87</v>
      </c>
      <c r="N25" s="18" t="s">
        <v>90</v>
      </c>
      <c r="O25" s="18" t="s">
        <v>90</v>
      </c>
      <c r="P25" s="18" t="s">
        <v>90</v>
      </c>
      <c r="R25" s="18" t="s">
        <v>87</v>
      </c>
      <c r="S25" s="18" t="s">
        <v>87</v>
      </c>
      <c r="T25" s="18" t="s">
        <v>88</v>
      </c>
      <c r="V25" s="18" t="s">
        <v>87</v>
      </c>
      <c r="W25" s="18" t="s">
        <v>87</v>
      </c>
      <c r="X25" s="18" t="s">
        <v>88</v>
      </c>
      <c r="Z25" s="18" t="s">
        <v>87</v>
      </c>
      <c r="AA25" s="18" t="s">
        <v>87</v>
      </c>
      <c r="AB25" s="18" t="s">
        <v>88</v>
      </c>
    </row>
    <row r="26" customFormat="false" ht="15" hidden="false" customHeight="false" outlineLevel="0" collapsed="false">
      <c r="A26" s="3" t="s">
        <v>12</v>
      </c>
      <c r="B26" s="18" t="s">
        <v>89</v>
      </c>
      <c r="C26" s="18" t="s">
        <v>89</v>
      </c>
      <c r="D26" s="18" t="s">
        <v>87</v>
      </c>
      <c r="F26" s="18" t="s">
        <v>87</v>
      </c>
      <c r="G26" s="18" t="s">
        <v>87</v>
      </c>
      <c r="H26" s="18" t="s">
        <v>88</v>
      </c>
      <c r="J26" s="18" t="s">
        <v>87</v>
      </c>
      <c r="K26" s="18" t="s">
        <v>87</v>
      </c>
      <c r="L26" s="18" t="s">
        <v>87</v>
      </c>
      <c r="N26" s="18" t="s">
        <v>90</v>
      </c>
      <c r="O26" s="18" t="s">
        <v>90</v>
      </c>
      <c r="P26" s="18" t="s">
        <v>90</v>
      </c>
      <c r="R26" s="18" t="s">
        <v>87</v>
      </c>
      <c r="S26" s="18" t="s">
        <v>87</v>
      </c>
      <c r="T26" s="18" t="s">
        <v>88</v>
      </c>
      <c r="V26" s="18" t="s">
        <v>87</v>
      </c>
      <c r="W26" s="18" t="s">
        <v>87</v>
      </c>
      <c r="X26" s="18" t="s">
        <v>88</v>
      </c>
      <c r="Z26" s="18" t="s">
        <v>87</v>
      </c>
      <c r="AA26" s="18" t="s">
        <v>87</v>
      </c>
      <c r="AB26" s="18" t="s">
        <v>88</v>
      </c>
    </row>
    <row r="27" customFormat="false" ht="15" hidden="false" customHeight="false" outlineLevel="0" collapsed="false">
      <c r="A27" s="3" t="s">
        <v>13</v>
      </c>
      <c r="B27" s="18" t="s">
        <v>89</v>
      </c>
      <c r="C27" s="18" t="s">
        <v>89</v>
      </c>
      <c r="D27" s="18" t="s">
        <v>88</v>
      </c>
      <c r="F27" s="18" t="s">
        <v>88</v>
      </c>
      <c r="G27" s="18" t="s">
        <v>88</v>
      </c>
      <c r="H27" s="18" t="s">
        <v>91</v>
      </c>
      <c r="J27" s="18" t="s">
        <v>88</v>
      </c>
      <c r="K27" s="18" t="s">
        <v>88</v>
      </c>
      <c r="L27" s="18" t="s">
        <v>91</v>
      </c>
      <c r="N27" s="18" t="s">
        <v>90</v>
      </c>
      <c r="O27" s="18" t="s">
        <v>90</v>
      </c>
      <c r="P27" s="18" t="s">
        <v>90</v>
      </c>
      <c r="R27" s="18" t="s">
        <v>88</v>
      </c>
      <c r="S27" s="18" t="s">
        <v>88</v>
      </c>
      <c r="T27" s="18" t="s">
        <v>91</v>
      </c>
      <c r="V27" s="18" t="s">
        <v>88</v>
      </c>
      <c r="W27" s="18" t="s">
        <v>88</v>
      </c>
      <c r="X27" s="18" t="s">
        <v>91</v>
      </c>
      <c r="Z27" s="18" t="s">
        <v>88</v>
      </c>
      <c r="AA27" s="18" t="s">
        <v>88</v>
      </c>
      <c r="AB27" s="18" t="s">
        <v>91</v>
      </c>
    </row>
    <row r="28" customFormat="false" ht="15" hidden="false" customHeight="false" outlineLevel="0" collapsed="false">
      <c r="A28" s="3" t="s">
        <v>14</v>
      </c>
      <c r="B28" s="18" t="s">
        <v>89</v>
      </c>
      <c r="C28" s="18" t="s">
        <v>89</v>
      </c>
      <c r="D28" s="18" t="s">
        <v>91</v>
      </c>
      <c r="F28" s="18" t="s">
        <v>91</v>
      </c>
      <c r="G28" s="18" t="s">
        <v>91</v>
      </c>
      <c r="H28" s="18" t="s">
        <v>91</v>
      </c>
      <c r="J28" s="18" t="s">
        <v>91</v>
      </c>
      <c r="K28" s="18" t="s">
        <v>91</v>
      </c>
      <c r="L28" s="18" t="s">
        <v>91</v>
      </c>
      <c r="N28" s="18" t="s">
        <v>90</v>
      </c>
      <c r="O28" s="18" t="s">
        <v>90</v>
      </c>
      <c r="P28" s="18" t="s">
        <v>90</v>
      </c>
      <c r="R28" s="18" t="s">
        <v>91</v>
      </c>
      <c r="S28" s="18" t="s">
        <v>91</v>
      </c>
      <c r="T28" s="18" t="s">
        <v>91</v>
      </c>
      <c r="V28" s="18" t="s">
        <v>91</v>
      </c>
      <c r="W28" s="18" t="s">
        <v>91</v>
      </c>
      <c r="X28" s="18" t="s">
        <v>91</v>
      </c>
      <c r="Z28" s="18" t="s">
        <v>91</v>
      </c>
      <c r="AA28" s="18" t="s">
        <v>91</v>
      </c>
      <c r="AB28" s="18" t="s">
        <v>91</v>
      </c>
    </row>
    <row r="29" customFormat="false" ht="15" hidden="false" customHeight="false" outlineLevel="0" collapsed="false">
      <c r="A29" s="3" t="s">
        <v>15</v>
      </c>
      <c r="B29" s="18" t="s">
        <v>89</v>
      </c>
      <c r="C29" s="18" t="s">
        <v>89</v>
      </c>
      <c r="D29" s="18" t="s">
        <v>91</v>
      </c>
      <c r="F29" s="18" t="s">
        <v>91</v>
      </c>
      <c r="G29" s="18" t="s">
        <v>91</v>
      </c>
      <c r="H29" s="18" t="s">
        <v>91</v>
      </c>
      <c r="J29" s="18" t="s">
        <v>91</v>
      </c>
      <c r="K29" s="18" t="s">
        <v>91</v>
      </c>
      <c r="L29" s="18" t="s">
        <v>91</v>
      </c>
      <c r="N29" s="18" t="s">
        <v>90</v>
      </c>
      <c r="O29" s="18" t="s">
        <v>90</v>
      </c>
      <c r="P29" s="18" t="s">
        <v>90</v>
      </c>
      <c r="R29" s="18" t="s">
        <v>91</v>
      </c>
      <c r="S29" s="18" t="s">
        <v>91</v>
      </c>
      <c r="T29" s="18" t="s">
        <v>91</v>
      </c>
      <c r="V29" s="18" t="s">
        <v>91</v>
      </c>
      <c r="W29" s="18" t="s">
        <v>91</v>
      </c>
      <c r="X29" s="18" t="s">
        <v>91</v>
      </c>
      <c r="Z29" s="18" t="s">
        <v>91</v>
      </c>
      <c r="AA29" s="18" t="s">
        <v>91</v>
      </c>
      <c r="AB29" s="18" t="s">
        <v>91</v>
      </c>
    </row>
    <row r="30" customFormat="false" ht="15" hidden="false" customHeight="false" outlineLevel="0" collapsed="false">
      <c r="A30" s="3" t="s">
        <v>16</v>
      </c>
      <c r="B30" s="18" t="s">
        <v>89</v>
      </c>
      <c r="C30" s="18" t="s">
        <v>89</v>
      </c>
      <c r="D30" s="18" t="s">
        <v>91</v>
      </c>
      <c r="F30" s="18" t="s">
        <v>91</v>
      </c>
      <c r="G30" s="18" t="s">
        <v>91</v>
      </c>
      <c r="H30" s="18" t="s">
        <v>91</v>
      </c>
      <c r="J30" s="18" t="s">
        <v>91</v>
      </c>
      <c r="K30" s="18" t="s">
        <v>91</v>
      </c>
      <c r="L30" s="18" t="s">
        <v>91</v>
      </c>
      <c r="N30" s="18" t="s">
        <v>90</v>
      </c>
      <c r="O30" s="18" t="s">
        <v>90</v>
      </c>
      <c r="P30" s="18" t="s">
        <v>90</v>
      </c>
      <c r="R30" s="18" t="s">
        <v>91</v>
      </c>
      <c r="S30" s="18" t="s">
        <v>91</v>
      </c>
      <c r="T30" s="18" t="s">
        <v>91</v>
      </c>
      <c r="V30" s="18" t="s">
        <v>91</v>
      </c>
      <c r="W30" s="18" t="s">
        <v>91</v>
      </c>
      <c r="X30" s="18" t="s">
        <v>91</v>
      </c>
      <c r="Z30" s="18" t="s">
        <v>91</v>
      </c>
      <c r="AA30" s="18" t="s">
        <v>91</v>
      </c>
      <c r="AB30" s="18" t="s">
        <v>91</v>
      </c>
    </row>
    <row r="32" customFormat="false" ht="15" hidden="false" customHeight="false" outlineLevel="0" collapsed="false">
      <c r="A32" s="3" t="s">
        <v>85</v>
      </c>
      <c r="B32" s="3" t="s">
        <v>82</v>
      </c>
      <c r="F32" s="3" t="s">
        <v>78</v>
      </c>
      <c r="J32" s="3" t="s">
        <v>80</v>
      </c>
      <c r="N32" s="3" t="s">
        <v>77</v>
      </c>
      <c r="R32" s="3" t="s">
        <v>83</v>
      </c>
      <c r="V32" s="3" t="s">
        <v>81</v>
      </c>
      <c r="Z32" s="3" t="s">
        <v>79</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92</v>
      </c>
      <c r="C34" s="18" t="s">
        <v>92</v>
      </c>
      <c r="D34" s="18" t="s">
        <v>89</v>
      </c>
      <c r="F34" s="18" t="s">
        <v>92</v>
      </c>
      <c r="G34" s="18" t="s">
        <v>92</v>
      </c>
      <c r="H34" s="18" t="s">
        <v>87</v>
      </c>
      <c r="J34" s="18" t="s">
        <v>92</v>
      </c>
      <c r="K34" s="18" t="s">
        <v>92</v>
      </c>
      <c r="L34" s="18" t="s">
        <v>87</v>
      </c>
      <c r="N34" s="18" t="s">
        <v>92</v>
      </c>
      <c r="O34" s="18" t="s">
        <v>92</v>
      </c>
      <c r="P34" s="18" t="s">
        <v>87</v>
      </c>
      <c r="R34" s="18" t="s">
        <v>92</v>
      </c>
      <c r="S34" s="18" t="s">
        <v>92</v>
      </c>
      <c r="T34" s="18" t="s">
        <v>87</v>
      </c>
      <c r="V34" s="18" t="s">
        <v>92</v>
      </c>
      <c r="W34" s="18" t="s">
        <v>92</v>
      </c>
      <c r="X34" s="18" t="s">
        <v>87</v>
      </c>
      <c r="Z34" s="18" t="s">
        <v>92</v>
      </c>
      <c r="AA34" s="18" t="s">
        <v>92</v>
      </c>
      <c r="AB34" s="18" t="s">
        <v>87</v>
      </c>
    </row>
    <row r="35" customFormat="false" ht="15" hidden="false" customHeight="false" outlineLevel="0" collapsed="false">
      <c r="A35" s="3" t="s">
        <v>12</v>
      </c>
      <c r="B35" s="18" t="s">
        <v>92</v>
      </c>
      <c r="C35" s="18" t="s">
        <v>92</v>
      </c>
      <c r="D35" s="18" t="s">
        <v>89</v>
      </c>
      <c r="F35" s="18" t="s">
        <v>92</v>
      </c>
      <c r="G35" s="18" t="s">
        <v>92</v>
      </c>
      <c r="H35" s="18" t="s">
        <v>87</v>
      </c>
      <c r="J35" s="18" t="s">
        <v>92</v>
      </c>
      <c r="K35" s="18" t="s">
        <v>92</v>
      </c>
      <c r="L35" s="18" t="s">
        <v>87</v>
      </c>
      <c r="N35" s="18" t="s">
        <v>92</v>
      </c>
      <c r="O35" s="18" t="s">
        <v>92</v>
      </c>
      <c r="P35" s="18" t="s">
        <v>87</v>
      </c>
      <c r="R35" s="18" t="s">
        <v>92</v>
      </c>
      <c r="S35" s="18" t="s">
        <v>92</v>
      </c>
      <c r="T35" s="18" t="s">
        <v>87</v>
      </c>
      <c r="V35" s="18" t="s">
        <v>92</v>
      </c>
      <c r="W35" s="18" t="s">
        <v>92</v>
      </c>
      <c r="X35" s="18" t="s">
        <v>87</v>
      </c>
      <c r="Z35" s="18" t="s">
        <v>92</v>
      </c>
      <c r="AA35" s="18" t="s">
        <v>92</v>
      </c>
      <c r="AB35" s="18" t="s">
        <v>87</v>
      </c>
    </row>
    <row r="36" customFormat="false" ht="15" hidden="false" customHeight="false" outlineLevel="0" collapsed="false">
      <c r="A36" s="3" t="s">
        <v>13</v>
      </c>
      <c r="B36" s="18" t="s">
        <v>92</v>
      </c>
      <c r="C36" s="18" t="s">
        <v>92</v>
      </c>
      <c r="D36" s="18" t="s">
        <v>93</v>
      </c>
      <c r="F36" s="18" t="s">
        <v>87</v>
      </c>
      <c r="G36" s="18" t="s">
        <v>87</v>
      </c>
      <c r="H36" s="18" t="s">
        <v>91</v>
      </c>
      <c r="J36" s="18" t="s">
        <v>87</v>
      </c>
      <c r="K36" s="18" t="s">
        <v>87</v>
      </c>
      <c r="L36" s="18" t="s">
        <v>91</v>
      </c>
      <c r="N36" s="18" t="s">
        <v>90</v>
      </c>
      <c r="O36" s="18" t="s">
        <v>90</v>
      </c>
      <c r="P36" s="18" t="s">
        <v>90</v>
      </c>
      <c r="R36" s="18" t="s">
        <v>87</v>
      </c>
      <c r="S36" s="18" t="s">
        <v>87</v>
      </c>
      <c r="T36" s="18" t="s">
        <v>91</v>
      </c>
      <c r="V36" s="18" t="s">
        <v>87</v>
      </c>
      <c r="W36" s="18" t="s">
        <v>87</v>
      </c>
      <c r="X36" s="18" t="s">
        <v>91</v>
      </c>
      <c r="Z36" s="18" t="s">
        <v>87</v>
      </c>
      <c r="AA36" s="18" t="s">
        <v>87</v>
      </c>
      <c r="AB36" s="18" t="s">
        <v>91</v>
      </c>
    </row>
    <row r="37" customFormat="false" ht="15" hidden="false" customHeight="false" outlineLevel="0" collapsed="false">
      <c r="A37" s="3" t="s">
        <v>14</v>
      </c>
      <c r="B37" s="18" t="s">
        <v>92</v>
      </c>
      <c r="C37" s="18" t="s">
        <v>92</v>
      </c>
      <c r="D37" s="18" t="s">
        <v>93</v>
      </c>
      <c r="F37" s="18" t="s">
        <v>88</v>
      </c>
      <c r="G37" s="18" t="s">
        <v>88</v>
      </c>
      <c r="H37" s="18" t="s">
        <v>91</v>
      </c>
      <c r="J37" s="18" t="s">
        <v>88</v>
      </c>
      <c r="K37" s="18" t="s">
        <v>88</v>
      </c>
      <c r="L37" s="18" t="s">
        <v>91</v>
      </c>
      <c r="N37" s="18" t="s">
        <v>90</v>
      </c>
      <c r="O37" s="18" t="s">
        <v>90</v>
      </c>
      <c r="P37" s="18" t="s">
        <v>90</v>
      </c>
      <c r="R37" s="18" t="s">
        <v>88</v>
      </c>
      <c r="S37" s="18" t="s">
        <v>88</v>
      </c>
      <c r="T37" s="18" t="s">
        <v>91</v>
      </c>
      <c r="V37" s="18" t="s">
        <v>88</v>
      </c>
      <c r="W37" s="18" t="s">
        <v>88</v>
      </c>
      <c r="X37" s="18" t="s">
        <v>91</v>
      </c>
      <c r="Z37" s="18" t="s">
        <v>88</v>
      </c>
      <c r="AA37" s="18" t="s">
        <v>88</v>
      </c>
      <c r="AB37" s="18" t="s">
        <v>91</v>
      </c>
    </row>
    <row r="38" customFormat="false" ht="15" hidden="false" customHeight="false" outlineLevel="0" collapsed="false">
      <c r="A38" s="3" t="s">
        <v>15</v>
      </c>
      <c r="B38" s="18" t="s">
        <v>92</v>
      </c>
      <c r="C38" s="18" t="s">
        <v>92</v>
      </c>
      <c r="D38" s="18" t="s">
        <v>93</v>
      </c>
      <c r="F38" s="18" t="s">
        <v>88</v>
      </c>
      <c r="G38" s="18" t="s">
        <v>88</v>
      </c>
      <c r="H38" s="18" t="s">
        <v>91</v>
      </c>
      <c r="J38" s="18" t="s">
        <v>88</v>
      </c>
      <c r="K38" s="18" t="s">
        <v>88</v>
      </c>
      <c r="L38" s="18" t="s">
        <v>91</v>
      </c>
      <c r="N38" s="18" t="s">
        <v>90</v>
      </c>
      <c r="O38" s="18" t="s">
        <v>90</v>
      </c>
      <c r="P38" s="18" t="s">
        <v>90</v>
      </c>
      <c r="R38" s="18" t="s">
        <v>88</v>
      </c>
      <c r="S38" s="18" t="s">
        <v>88</v>
      </c>
      <c r="T38" s="18" t="s">
        <v>91</v>
      </c>
      <c r="V38" s="18" t="s">
        <v>88</v>
      </c>
      <c r="W38" s="18" t="s">
        <v>88</v>
      </c>
      <c r="X38" s="18" t="s">
        <v>91</v>
      </c>
      <c r="Z38" s="18" t="s">
        <v>88</v>
      </c>
      <c r="AA38" s="18" t="s">
        <v>88</v>
      </c>
      <c r="AB38" s="18" t="s">
        <v>91</v>
      </c>
    </row>
    <row r="39" customFormat="false" ht="15" hidden="false" customHeight="false" outlineLevel="0" collapsed="false">
      <c r="A39" s="3" t="s">
        <v>16</v>
      </c>
      <c r="B39" s="18" t="s">
        <v>92</v>
      </c>
      <c r="C39" s="18" t="s">
        <v>92</v>
      </c>
      <c r="D39" s="18" t="s">
        <v>93</v>
      </c>
      <c r="F39" s="18" t="s">
        <v>88</v>
      </c>
      <c r="G39" s="18" t="s">
        <v>88</v>
      </c>
      <c r="H39" s="18" t="s">
        <v>91</v>
      </c>
      <c r="J39" s="18" t="s">
        <v>88</v>
      </c>
      <c r="K39" s="18" t="s">
        <v>88</v>
      </c>
      <c r="L39" s="18" t="s">
        <v>91</v>
      </c>
      <c r="N39" s="18" t="s">
        <v>90</v>
      </c>
      <c r="O39" s="18" t="s">
        <v>90</v>
      </c>
      <c r="P39" s="18" t="s">
        <v>90</v>
      </c>
      <c r="R39" s="18" t="s">
        <v>88</v>
      </c>
      <c r="S39" s="18" t="s">
        <v>88</v>
      </c>
      <c r="T39" s="18" t="s">
        <v>91</v>
      </c>
      <c r="V39" s="18" t="s">
        <v>88</v>
      </c>
      <c r="W39" s="18" t="s">
        <v>88</v>
      </c>
      <c r="X39" s="18" t="s">
        <v>91</v>
      </c>
      <c r="Z39" s="18" t="s">
        <v>88</v>
      </c>
      <c r="AA39" s="18" t="s">
        <v>88</v>
      </c>
      <c r="AB39" s="18"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105</v>
      </c>
    </row>
    <row r="3" customFormat="false" ht="15" hidden="false" customHeight="false" outlineLevel="0" collapsed="false">
      <c r="A3" s="3" t="s">
        <v>76</v>
      </c>
      <c r="B3" s="3" t="s">
        <v>78</v>
      </c>
      <c r="F3" s="3" t="s">
        <v>79</v>
      </c>
      <c r="J3" s="3" t="s">
        <v>77</v>
      </c>
      <c r="N3" s="3" t="s">
        <v>83</v>
      </c>
      <c r="R3" s="3" t="s">
        <v>80</v>
      </c>
      <c r="V3" s="3" t="s">
        <v>82</v>
      </c>
      <c r="Z3" s="3" t="s">
        <v>81</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model'!M758</f>
        <v>9.5</v>
      </c>
      <c r="C5" s="16" t="n">
        <f aca="false">'Cost model'!M759</f>
        <v>15.5</v>
      </c>
      <c r="D5" s="16" t="n">
        <f aca="false">'Cost model'!M760</f>
        <v>18.5</v>
      </c>
      <c r="F5" s="16" t="n">
        <f aca="false">'Cost model'!M776</f>
        <v>13.5</v>
      </c>
      <c r="G5" s="16" t="n">
        <f aca="false">'Cost model'!M777</f>
        <v>16.5</v>
      </c>
      <c r="H5" s="16" t="n">
        <f aca="false">'Cost model'!M778</f>
        <v>19.5</v>
      </c>
      <c r="J5" s="16" t="n">
        <f aca="false">'Cost model'!M794</f>
        <v>12.5</v>
      </c>
      <c r="K5" s="16" t="n">
        <f aca="false">'Cost model'!M795</f>
        <v>13.5</v>
      </c>
      <c r="L5" s="16" t="n">
        <f aca="false">'Cost model'!M796</f>
        <v>17.5</v>
      </c>
      <c r="N5" s="16" t="n">
        <f aca="false">'Cost model'!M812</f>
        <v>12.5</v>
      </c>
      <c r="O5" s="16" t="n">
        <f aca="false">'Cost model'!M813</f>
        <v>15.5</v>
      </c>
      <c r="P5" s="16" t="n">
        <f aca="false">'Cost model'!M814</f>
        <v>20.5</v>
      </c>
      <c r="R5" s="16" t="n">
        <f aca="false">'Cost model'!M830</f>
        <v>9.5</v>
      </c>
      <c r="S5" s="16" t="n">
        <f aca="false">'Cost model'!M831</f>
        <v>10.5</v>
      </c>
      <c r="T5" s="16" t="n">
        <f aca="false">'Cost model'!M832</f>
        <v>15.5</v>
      </c>
      <c r="V5" s="16" t="n">
        <f aca="false">'Cost model'!M848</f>
        <v>9.5</v>
      </c>
      <c r="W5" s="16" t="n">
        <f aca="false">'Cost model'!M849</f>
        <v>12.5</v>
      </c>
      <c r="X5" s="16" t="n">
        <f aca="false">'Cost model'!M850</f>
        <v>15.5</v>
      </c>
      <c r="Z5" s="16" t="n">
        <f aca="false">'Cost model'!M866</f>
        <v>15.5</v>
      </c>
      <c r="AA5" s="16" t="n">
        <f aca="false">'Cost model'!M867</f>
        <v>15.5</v>
      </c>
      <c r="AB5" s="16" t="n">
        <f aca="false">'Cost model'!M868</f>
        <v>19.5</v>
      </c>
    </row>
    <row r="6" customFormat="false" ht="15" hidden="false" customHeight="false" outlineLevel="0" collapsed="false">
      <c r="A6" s="3" t="s">
        <v>12</v>
      </c>
      <c r="B6" s="16" t="n">
        <f aca="false">'Cost model'!M761</f>
        <v>35</v>
      </c>
      <c r="C6" s="16" t="n">
        <f aca="false">'Cost model'!M762</f>
        <v>45</v>
      </c>
      <c r="D6" s="16" t="n">
        <f aca="false">'Cost model'!M763</f>
        <v>50</v>
      </c>
      <c r="F6" s="16" t="n">
        <f aca="false">'Cost model'!M779</f>
        <v>50</v>
      </c>
      <c r="G6" s="16" t="n">
        <f aca="false">'Cost model'!M780</f>
        <v>60</v>
      </c>
      <c r="H6" s="16" t="n">
        <f aca="false">'Cost model'!M781</f>
        <v>60</v>
      </c>
      <c r="J6" s="16" t="n">
        <f aca="false">'Cost model'!M797</f>
        <v>40</v>
      </c>
      <c r="K6" s="16" t="n">
        <f aca="false">'Cost model'!M798</f>
        <v>45</v>
      </c>
      <c r="L6" s="16" t="n">
        <f aca="false">'Cost model'!M799</f>
        <v>55</v>
      </c>
      <c r="N6" s="16" t="n">
        <f aca="false">'Cost model'!M815</f>
        <v>50</v>
      </c>
      <c r="O6" s="16" t="n">
        <f aca="false">'Cost model'!M816</f>
        <v>55</v>
      </c>
      <c r="P6" s="16" t="n">
        <f aca="false">'Cost model'!M817</f>
        <v>60</v>
      </c>
      <c r="R6" s="16" t="n">
        <f aca="false">'Cost model'!M833</f>
        <v>45</v>
      </c>
      <c r="S6" s="16" t="n">
        <f aca="false">'Cost model'!M834</f>
        <v>45</v>
      </c>
      <c r="T6" s="16" t="n">
        <f aca="false">'Cost model'!M835</f>
        <v>50</v>
      </c>
      <c r="V6" s="16" t="n">
        <f aca="false">'Cost model'!M851</f>
        <v>40</v>
      </c>
      <c r="W6" s="16" t="n">
        <f aca="false">'Cost model'!M852</f>
        <v>45</v>
      </c>
      <c r="X6" s="16" t="n">
        <f aca="false">'Cost model'!M853</f>
        <v>50</v>
      </c>
      <c r="Z6" s="16" t="n">
        <f aca="false">'Cost model'!M869</f>
        <v>45</v>
      </c>
      <c r="AA6" s="16" t="n">
        <f aca="false">'Cost model'!M870</f>
        <v>50</v>
      </c>
      <c r="AB6" s="16" t="n">
        <f aca="false">'Cost model'!M871</f>
        <v>55</v>
      </c>
    </row>
    <row r="7" customFormat="false" ht="15" hidden="false" customHeight="false" outlineLevel="0" collapsed="false">
      <c r="A7" s="3" t="s">
        <v>13</v>
      </c>
      <c r="B7" s="16" t="n">
        <f aca="false">'Cost model'!M764</f>
        <v>55</v>
      </c>
      <c r="C7" s="16" t="n">
        <f aca="false">'Cost model'!M765</f>
        <v>70</v>
      </c>
      <c r="D7" s="16" t="n">
        <f aca="false">'Cost model'!M766</f>
        <v>90</v>
      </c>
      <c r="F7" s="16" t="n">
        <f aca="false">'Cost model'!M782</f>
        <v>85</v>
      </c>
      <c r="G7" s="16" t="n">
        <f aca="false">'Cost model'!M783</f>
        <v>95</v>
      </c>
      <c r="H7" s="16" t="n">
        <f aca="false">'Cost model'!M784</f>
        <v>125</v>
      </c>
      <c r="J7" s="16" t="n">
        <f aca="false">'Cost model'!M800</f>
        <v>70</v>
      </c>
      <c r="K7" s="16" t="n">
        <f aca="false">'Cost model'!M801</f>
        <v>85</v>
      </c>
      <c r="L7" s="16" t="n">
        <f aca="false">'Cost model'!M802</f>
        <v>110</v>
      </c>
      <c r="N7" s="16" t="n">
        <f aca="false">'Cost model'!M818</f>
        <v>80</v>
      </c>
      <c r="O7" s="16" t="n">
        <f aca="false">'Cost model'!M819</f>
        <v>90</v>
      </c>
      <c r="P7" s="16" t="n">
        <f aca="false">'Cost model'!M820</f>
        <v>125</v>
      </c>
      <c r="R7" s="16" t="n">
        <f aca="false">'Cost model'!M836</f>
        <v>75</v>
      </c>
      <c r="S7" s="16" t="n">
        <f aca="false">'Cost model'!M837</f>
        <v>75</v>
      </c>
      <c r="T7" s="16" t="n">
        <f aca="false">'Cost model'!M838</f>
        <v>80</v>
      </c>
      <c r="V7" s="16" t="n">
        <f aca="false">'Cost model'!M854</f>
        <v>65</v>
      </c>
      <c r="W7" s="16" t="n">
        <f aca="false">'Cost model'!M855</f>
        <v>70</v>
      </c>
      <c r="X7" s="16" t="n">
        <f aca="false">'Cost model'!M856</f>
        <v>100</v>
      </c>
      <c r="Z7" s="16" t="n">
        <f aca="false">'Cost model'!M872</f>
        <v>75</v>
      </c>
      <c r="AA7" s="16" t="n">
        <f aca="false">'Cost model'!M873</f>
        <v>85</v>
      </c>
      <c r="AB7" s="16" t="n">
        <f aca="false">'Cost model'!M874</f>
        <v>115</v>
      </c>
    </row>
    <row r="8" customFormat="false" ht="15" hidden="false" customHeight="false" outlineLevel="0" collapsed="false">
      <c r="A8" s="3" t="s">
        <v>14</v>
      </c>
      <c r="B8" s="16" t="n">
        <f aca="false">'Cost model'!M767</f>
        <v>100</v>
      </c>
      <c r="C8" s="16" t="n">
        <f aca="false">'Cost model'!M768</f>
        <v>145</v>
      </c>
      <c r="D8" s="16" t="n">
        <f aca="false">'Cost model'!M769</f>
        <v>160</v>
      </c>
      <c r="F8" s="16" t="n">
        <f aca="false">'Cost model'!M785</f>
        <v>145</v>
      </c>
      <c r="G8" s="16" t="n">
        <f aca="false">'Cost model'!M786</f>
        <v>175</v>
      </c>
      <c r="H8" s="16" t="n">
        <f aca="false">'Cost model'!M787</f>
        <v>200</v>
      </c>
      <c r="J8" s="16" t="n">
        <f aca="false">'Cost model'!M803</f>
        <v>120</v>
      </c>
      <c r="K8" s="16" t="n">
        <f aca="false">'Cost model'!M804</f>
        <v>150</v>
      </c>
      <c r="L8" s="16" t="n">
        <f aca="false">'Cost model'!M805</f>
        <v>180</v>
      </c>
      <c r="N8" s="16" t="n">
        <f aca="false">'Cost model'!M821</f>
        <v>140</v>
      </c>
      <c r="O8" s="16" t="n">
        <f aca="false">'Cost model'!M822</f>
        <v>170</v>
      </c>
      <c r="P8" s="16" t="n">
        <f aca="false">'Cost model'!M823</f>
        <v>200</v>
      </c>
      <c r="R8" s="16" t="n">
        <f aca="false">'Cost model'!M839</f>
        <v>95</v>
      </c>
      <c r="S8" s="16" t="n">
        <f aca="false">'Cost model'!M840</f>
        <v>115</v>
      </c>
      <c r="T8" s="16" t="n">
        <f aca="false">'Cost model'!M841</f>
        <v>140</v>
      </c>
      <c r="V8" s="16" t="n">
        <f aca="false">'Cost model'!M857</f>
        <v>115</v>
      </c>
      <c r="W8" s="16" t="n">
        <f aca="false">'Cost model'!M858</f>
        <v>135</v>
      </c>
      <c r="X8" s="16" t="n">
        <f aca="false">'Cost model'!M859</f>
        <v>160</v>
      </c>
      <c r="Z8" s="16" t="n">
        <f aca="false">'Cost model'!M875</f>
        <v>130</v>
      </c>
      <c r="AA8" s="16" t="n">
        <f aca="false">'Cost model'!M876</f>
        <v>155</v>
      </c>
      <c r="AB8" s="16" t="n">
        <f aca="false">'Cost model'!M877</f>
        <v>185</v>
      </c>
    </row>
    <row r="9" customFormat="false" ht="15" hidden="false" customHeight="false" outlineLevel="0" collapsed="false">
      <c r="A9" s="3" t="s">
        <v>15</v>
      </c>
      <c r="B9" s="16" t="n">
        <f aca="false">'Cost model'!M770</f>
        <v>125</v>
      </c>
      <c r="C9" s="16" t="n">
        <f aca="false">'Cost model'!M771</f>
        <v>170</v>
      </c>
      <c r="D9" s="16" t="n">
        <f aca="false">'Cost model'!M772</f>
        <v>250</v>
      </c>
      <c r="F9" s="16" t="n">
        <f aca="false">'Cost model'!M788</f>
        <v>185</v>
      </c>
      <c r="G9" s="17" t="n">
        <f aca="false">'Cost model'!M789</f>
        <v>270</v>
      </c>
      <c r="H9" s="17" t="n">
        <f aca="false">'Cost model'!M790</f>
        <v>325</v>
      </c>
      <c r="J9" s="16" t="n">
        <f aca="false">'Cost model'!M806</f>
        <v>150</v>
      </c>
      <c r="K9" s="17" t="n">
        <f aca="false">'Cost model'!M807</f>
        <v>235</v>
      </c>
      <c r="L9" s="17" t="n">
        <f aca="false">'Cost model'!M808</f>
        <v>280</v>
      </c>
      <c r="N9" s="16" t="n">
        <f aca="false">'Cost model'!M824</f>
        <v>180</v>
      </c>
      <c r="O9" s="17" t="n">
        <f aca="false">'Cost model'!M825</f>
        <v>265</v>
      </c>
      <c r="P9" s="17" t="n">
        <f aca="false">'Cost model'!M826</f>
        <v>315</v>
      </c>
      <c r="R9" s="16" t="n">
        <f aca="false">'Cost model'!M842</f>
        <v>125</v>
      </c>
      <c r="S9" s="17" t="n">
        <f aca="false">'Cost model'!M843</f>
        <v>180</v>
      </c>
      <c r="T9" s="17" t="n">
        <f aca="false">'Cost model'!M844</f>
        <v>220</v>
      </c>
      <c r="V9" s="16" t="n">
        <f aca="false">'Cost model'!M860</f>
        <v>145</v>
      </c>
      <c r="W9" s="17" t="n">
        <f aca="false">'Cost model'!M861</f>
        <v>210</v>
      </c>
      <c r="X9" s="17" t="n">
        <f aca="false">'Cost model'!M862</f>
        <v>255</v>
      </c>
      <c r="Z9" s="16" t="n">
        <f aca="false">'Cost model'!M878</f>
        <v>165</v>
      </c>
      <c r="AA9" s="17" t="n">
        <f aca="false">'Cost model'!M879</f>
        <v>240</v>
      </c>
      <c r="AB9" s="17" t="n">
        <f aca="false">'Cost model'!M880</f>
        <v>290</v>
      </c>
    </row>
    <row r="10" customFormat="false" ht="15" hidden="false" customHeight="false" outlineLevel="0" collapsed="false">
      <c r="A10" s="3" t="s">
        <v>16</v>
      </c>
      <c r="B10" s="16" t="n">
        <f aca="false">'Cost model'!M773</f>
        <v>125</v>
      </c>
      <c r="C10" s="16" t="n">
        <f aca="false">'Cost model'!M774</f>
        <v>225</v>
      </c>
      <c r="D10" s="16" t="n">
        <f aca="false">'Cost model'!M775</f>
        <v>285</v>
      </c>
      <c r="F10" s="16" t="n">
        <f aca="false">'Cost model'!M791</f>
        <v>260</v>
      </c>
      <c r="G10" s="17" t="n">
        <f aca="false">'Cost model'!M792</f>
        <v>385</v>
      </c>
      <c r="H10" s="17" t="n">
        <f aca="false">'Cost model'!M793</f>
        <v>460</v>
      </c>
      <c r="J10" s="16" t="n">
        <f aca="false">'Cost model'!M809</f>
        <v>225</v>
      </c>
      <c r="K10" s="17" t="n">
        <f aca="false">'Cost model'!M810</f>
        <v>355</v>
      </c>
      <c r="L10" s="17" t="n">
        <f aca="false">'Cost model'!M811</f>
        <v>390</v>
      </c>
      <c r="N10" s="16" t="n">
        <f aca="false">'Cost model'!M827</f>
        <v>245</v>
      </c>
      <c r="O10" s="17" t="n">
        <f aca="false">'Cost model'!M828</f>
        <v>380</v>
      </c>
      <c r="P10" s="17" t="n">
        <f aca="false">'Cost model'!M829</f>
        <v>445</v>
      </c>
      <c r="R10" s="16" t="n">
        <f aca="false">'Cost model'!M845</f>
        <v>160</v>
      </c>
      <c r="S10" s="17" t="n">
        <f aca="false">'Cost model'!M846</f>
        <v>260</v>
      </c>
      <c r="T10" s="17" t="n">
        <f aca="false">'Cost model'!M847</f>
        <v>300</v>
      </c>
      <c r="V10" s="16" t="n">
        <f aca="false">'Cost model'!M863</f>
        <v>205</v>
      </c>
      <c r="W10" s="17" t="n">
        <f aca="false">'Cost model'!M864</f>
        <v>300</v>
      </c>
      <c r="X10" s="17" t="n">
        <f aca="false">'Cost model'!M865</f>
        <v>355</v>
      </c>
      <c r="Z10" s="16" t="n">
        <f aca="false">'Cost model'!M881</f>
        <v>225</v>
      </c>
      <c r="AA10" s="17" t="n">
        <f aca="false">'Cost model'!M882</f>
        <v>350</v>
      </c>
      <c r="AB10" s="17" t="n">
        <f aca="false">'Cost model'!M883</f>
        <v>410</v>
      </c>
    </row>
    <row r="12" customFormat="false" ht="15" hidden="false" customHeight="false" outlineLevel="0" collapsed="false">
      <c r="A12" s="3" t="s">
        <v>85</v>
      </c>
      <c r="B12" s="3" t="s">
        <v>78</v>
      </c>
      <c r="F12" s="3" t="s">
        <v>79</v>
      </c>
      <c r="J12" s="3" t="s">
        <v>77</v>
      </c>
      <c r="N12" s="3" t="s">
        <v>83</v>
      </c>
      <c r="R12" s="3" t="s">
        <v>80</v>
      </c>
      <c r="V12" s="3" t="s">
        <v>82</v>
      </c>
      <c r="Z12" s="3" t="s">
        <v>81</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model'!N758</f>
        <v>14.5</v>
      </c>
      <c r="C14" s="16" t="n">
        <f aca="false">'Cost model'!N759</f>
        <v>21.5</v>
      </c>
      <c r="D14" s="16" t="n">
        <f aca="false">'Cost model'!N760</f>
        <v>25.5</v>
      </c>
      <c r="F14" s="16" t="n">
        <f aca="false">'Cost model'!N776</f>
        <v>18.5</v>
      </c>
      <c r="G14" s="16" t="n">
        <f aca="false">'Cost model'!N777</f>
        <v>22.5</v>
      </c>
      <c r="H14" s="16" t="n">
        <f aca="false">'Cost model'!N778</f>
        <v>26.5</v>
      </c>
      <c r="J14" s="16" t="n">
        <f aca="false">'Cost model'!N794</f>
        <v>17.5</v>
      </c>
      <c r="K14" s="16" t="n">
        <f aca="false">'Cost model'!N795</f>
        <v>18.5</v>
      </c>
      <c r="L14" s="16" t="n">
        <f aca="false">'Cost model'!N796</f>
        <v>23.5</v>
      </c>
      <c r="N14" s="16" t="n">
        <f aca="false">'Cost model'!N812</f>
        <v>17.5</v>
      </c>
      <c r="O14" s="16" t="n">
        <f aca="false">'Cost model'!N813</f>
        <v>21.5</v>
      </c>
      <c r="P14" s="16" t="n">
        <f aca="false">'Cost model'!N814</f>
        <v>27.5</v>
      </c>
      <c r="R14" s="16" t="n">
        <f aca="false">'Cost model'!N830</f>
        <v>14.5</v>
      </c>
      <c r="S14" s="16" t="n">
        <f aca="false">'Cost model'!N831</f>
        <v>15.5</v>
      </c>
      <c r="T14" s="16" t="n">
        <f aca="false">'Cost model'!N832</f>
        <v>21.5</v>
      </c>
      <c r="V14" s="16" t="n">
        <f aca="false">'Cost model'!N848</f>
        <v>14.5</v>
      </c>
      <c r="W14" s="16" t="n">
        <f aca="false">'Cost model'!N849</f>
        <v>17.5</v>
      </c>
      <c r="X14" s="16" t="n">
        <f aca="false">'Cost model'!N850</f>
        <v>21.5</v>
      </c>
      <c r="Z14" s="16" t="n">
        <f aca="false">'Cost model'!N866</f>
        <v>21.5</v>
      </c>
      <c r="AA14" s="16" t="n">
        <f aca="false">'Cost model'!N867</f>
        <v>21.5</v>
      </c>
      <c r="AB14" s="16" t="n">
        <f aca="false">'Cost model'!N868</f>
        <v>26.5</v>
      </c>
    </row>
    <row r="15" customFormat="false" ht="15" hidden="false" customHeight="false" outlineLevel="0" collapsed="false">
      <c r="A15" s="3" t="s">
        <v>12</v>
      </c>
      <c r="B15" s="16" t="n">
        <f aca="false">'Cost model'!N761</f>
        <v>45</v>
      </c>
      <c r="C15" s="16" t="n">
        <f aca="false">'Cost model'!N762</f>
        <v>60</v>
      </c>
      <c r="D15" s="16" t="n">
        <f aca="false">'Cost model'!N763</f>
        <v>65</v>
      </c>
      <c r="F15" s="16" t="n">
        <f aca="false">'Cost model'!N779</f>
        <v>65</v>
      </c>
      <c r="G15" s="16" t="n">
        <f aca="false">'Cost model'!N780</f>
        <v>80</v>
      </c>
      <c r="H15" s="16" t="n">
        <f aca="false">'Cost model'!N781</f>
        <v>80</v>
      </c>
      <c r="J15" s="16" t="n">
        <f aca="false">'Cost model'!N797</f>
        <v>55</v>
      </c>
      <c r="K15" s="16" t="n">
        <f aca="false">'Cost model'!N798</f>
        <v>60</v>
      </c>
      <c r="L15" s="16" t="n">
        <f aca="false">'Cost model'!N799</f>
        <v>70</v>
      </c>
      <c r="N15" s="16" t="n">
        <f aca="false">'Cost model'!N815</f>
        <v>65</v>
      </c>
      <c r="O15" s="16" t="n">
        <f aca="false">'Cost model'!N816</f>
        <v>70</v>
      </c>
      <c r="P15" s="16" t="n">
        <f aca="false">'Cost model'!N817</f>
        <v>80</v>
      </c>
      <c r="R15" s="16" t="n">
        <f aca="false">'Cost model'!N833</f>
        <v>60</v>
      </c>
      <c r="S15" s="16" t="n">
        <f aca="false">'Cost model'!N834</f>
        <v>60</v>
      </c>
      <c r="T15" s="16" t="n">
        <f aca="false">'Cost model'!N835</f>
        <v>65</v>
      </c>
      <c r="V15" s="16" t="n">
        <f aca="false">'Cost model'!N851</f>
        <v>55</v>
      </c>
      <c r="W15" s="16" t="n">
        <f aca="false">'Cost model'!N852</f>
        <v>60</v>
      </c>
      <c r="X15" s="16" t="n">
        <f aca="false">'Cost model'!N853</f>
        <v>65</v>
      </c>
      <c r="Z15" s="16" t="n">
        <f aca="false">'Cost model'!N869</f>
        <v>60</v>
      </c>
      <c r="AA15" s="16" t="n">
        <f aca="false">'Cost model'!N870</f>
        <v>65</v>
      </c>
      <c r="AB15" s="16" t="n">
        <f aca="false">'Cost model'!N871</f>
        <v>70</v>
      </c>
    </row>
    <row r="16" customFormat="false" ht="15" hidden="false" customHeight="false" outlineLevel="0" collapsed="false">
      <c r="A16" s="3" t="s">
        <v>13</v>
      </c>
      <c r="B16" s="16" t="n">
        <f aca="false">'Cost model'!N764</f>
        <v>75</v>
      </c>
      <c r="C16" s="16" t="n">
        <f aca="false">'Cost model'!N765</f>
        <v>95</v>
      </c>
      <c r="D16" s="16" t="n">
        <f aca="false">'Cost model'!N766</f>
        <v>125</v>
      </c>
      <c r="F16" s="16" t="n">
        <f aca="false">'Cost model'!N782</f>
        <v>115</v>
      </c>
      <c r="G16" s="16" t="n">
        <f aca="false">'Cost model'!N783</f>
        <v>130</v>
      </c>
      <c r="H16" s="16" t="n">
        <f aca="false">'Cost model'!N784</f>
        <v>170</v>
      </c>
      <c r="J16" s="16" t="n">
        <f aca="false">'Cost model'!N800</f>
        <v>95</v>
      </c>
      <c r="K16" s="16" t="n">
        <f aca="false">'Cost model'!N801</f>
        <v>115</v>
      </c>
      <c r="L16" s="16" t="n">
        <f aca="false">'Cost model'!N802</f>
        <v>150</v>
      </c>
      <c r="N16" s="16" t="n">
        <f aca="false">'Cost model'!N818</f>
        <v>110</v>
      </c>
      <c r="O16" s="16" t="n">
        <f aca="false">'Cost model'!N819</f>
        <v>125</v>
      </c>
      <c r="P16" s="16" t="n">
        <f aca="false">'Cost model'!N820</f>
        <v>170</v>
      </c>
      <c r="R16" s="16" t="n">
        <f aca="false">'Cost model'!N836</f>
        <v>105</v>
      </c>
      <c r="S16" s="16" t="n">
        <f aca="false">'Cost model'!N837</f>
        <v>105</v>
      </c>
      <c r="T16" s="16" t="n">
        <f aca="false">'Cost model'!N838</f>
        <v>110</v>
      </c>
      <c r="V16" s="16" t="n">
        <f aca="false">'Cost model'!N854</f>
        <v>90</v>
      </c>
      <c r="W16" s="16" t="n">
        <f aca="false">'Cost model'!N855</f>
        <v>95</v>
      </c>
      <c r="X16" s="16" t="n">
        <f aca="false">'Cost model'!N856</f>
        <v>135</v>
      </c>
      <c r="Z16" s="16" t="n">
        <f aca="false">'Cost model'!N872</f>
        <v>105</v>
      </c>
      <c r="AA16" s="16" t="n">
        <f aca="false">'Cost model'!N873</f>
        <v>115</v>
      </c>
      <c r="AB16" s="16" t="n">
        <f aca="false">'Cost model'!N874</f>
        <v>160</v>
      </c>
    </row>
    <row r="17" customFormat="false" ht="15" hidden="false" customHeight="false" outlineLevel="0" collapsed="false">
      <c r="A17" s="3" t="s">
        <v>14</v>
      </c>
      <c r="B17" s="16" t="n">
        <f aca="false">'Cost model'!N767</f>
        <v>120</v>
      </c>
      <c r="C17" s="16" t="n">
        <f aca="false">'Cost model'!N768</f>
        <v>175</v>
      </c>
      <c r="D17" s="16" t="n">
        <f aca="false">'Cost model'!N769</f>
        <v>195</v>
      </c>
      <c r="F17" s="16" t="n">
        <f aca="false">'Cost model'!N785</f>
        <v>175</v>
      </c>
      <c r="G17" s="16" t="n">
        <f aca="false">'Cost model'!N786</f>
        <v>210</v>
      </c>
      <c r="H17" s="16" t="n">
        <f aca="false">'Cost model'!N787</f>
        <v>240</v>
      </c>
      <c r="J17" s="16" t="n">
        <f aca="false">'Cost model'!N803</f>
        <v>145</v>
      </c>
      <c r="K17" s="16" t="n">
        <f aca="false">'Cost model'!N804</f>
        <v>180</v>
      </c>
      <c r="L17" s="16" t="n">
        <f aca="false">'Cost model'!N805</f>
        <v>220</v>
      </c>
      <c r="N17" s="16" t="n">
        <f aca="false">'Cost model'!N821</f>
        <v>170</v>
      </c>
      <c r="O17" s="16" t="n">
        <f aca="false">'Cost model'!N822</f>
        <v>205</v>
      </c>
      <c r="P17" s="16" t="n">
        <f aca="false">'Cost model'!N823</f>
        <v>240</v>
      </c>
      <c r="R17" s="16" t="n">
        <f aca="false">'Cost model'!N839</f>
        <v>115</v>
      </c>
      <c r="S17" s="16" t="n">
        <f aca="false">'Cost model'!N840</f>
        <v>140</v>
      </c>
      <c r="T17" s="16" t="n">
        <f aca="false">'Cost model'!N841</f>
        <v>170</v>
      </c>
      <c r="V17" s="16" t="n">
        <f aca="false">'Cost model'!N857</f>
        <v>140</v>
      </c>
      <c r="W17" s="16" t="n">
        <f aca="false">'Cost model'!N858</f>
        <v>165</v>
      </c>
      <c r="X17" s="16" t="n">
        <f aca="false">'Cost model'!N859</f>
        <v>195</v>
      </c>
      <c r="Z17" s="16" t="n">
        <f aca="false">'Cost model'!N875</f>
        <v>160</v>
      </c>
      <c r="AA17" s="16" t="n">
        <f aca="false">'Cost model'!N876</f>
        <v>190</v>
      </c>
      <c r="AB17" s="16" t="n">
        <f aca="false">'Cost model'!N877</f>
        <v>225</v>
      </c>
    </row>
    <row r="18" customFormat="false" ht="15" hidden="false" customHeight="false" outlineLevel="0" collapsed="false">
      <c r="A18" s="3" t="s">
        <v>15</v>
      </c>
      <c r="B18" s="16" t="n">
        <f aca="false">'Cost model'!N770</f>
        <v>150</v>
      </c>
      <c r="C18" s="16" t="n">
        <f aca="false">'Cost model'!N771</f>
        <v>205</v>
      </c>
      <c r="D18" s="16" t="n">
        <f aca="false">'Cost model'!N772</f>
        <v>300</v>
      </c>
      <c r="F18" s="16" t="n">
        <f aca="false">'Cost model'!N788</f>
        <v>225</v>
      </c>
      <c r="G18" s="17" t="n">
        <f aca="false">'Cost model'!N789</f>
        <v>270</v>
      </c>
      <c r="H18" s="17" t="n">
        <f aca="false">'Cost model'!N790</f>
        <v>325</v>
      </c>
      <c r="J18" s="16" t="n">
        <f aca="false">'Cost model'!N806</f>
        <v>180</v>
      </c>
      <c r="K18" s="17" t="n">
        <f aca="false">'Cost model'!N807</f>
        <v>235</v>
      </c>
      <c r="L18" s="17" t="n">
        <f aca="false">'Cost model'!N808</f>
        <v>280</v>
      </c>
      <c r="N18" s="16" t="n">
        <f aca="false">'Cost model'!N824</f>
        <v>220</v>
      </c>
      <c r="O18" s="17" t="n">
        <f aca="false">'Cost model'!N825</f>
        <v>265</v>
      </c>
      <c r="P18" s="17" t="n">
        <f aca="false">'Cost model'!N826</f>
        <v>315</v>
      </c>
      <c r="R18" s="16" t="n">
        <f aca="false">'Cost model'!N842</f>
        <v>150</v>
      </c>
      <c r="S18" s="17" t="n">
        <f aca="false">'Cost model'!N843</f>
        <v>180</v>
      </c>
      <c r="T18" s="17" t="n">
        <f aca="false">'Cost model'!N844</f>
        <v>220</v>
      </c>
      <c r="V18" s="16" t="n">
        <f aca="false">'Cost model'!N860</f>
        <v>175</v>
      </c>
      <c r="W18" s="17" t="n">
        <f aca="false">'Cost model'!N861</f>
        <v>210</v>
      </c>
      <c r="X18" s="17" t="n">
        <f aca="false">'Cost model'!N862</f>
        <v>255</v>
      </c>
      <c r="Z18" s="16" t="n">
        <f aca="false">'Cost model'!N878</f>
        <v>200</v>
      </c>
      <c r="AA18" s="17" t="n">
        <f aca="false">'Cost model'!N879</f>
        <v>240</v>
      </c>
      <c r="AB18" s="17" t="n">
        <f aca="false">'Cost model'!N880</f>
        <v>290</v>
      </c>
    </row>
    <row r="19" customFormat="false" ht="15" hidden="false" customHeight="false" outlineLevel="0" collapsed="false">
      <c r="A19" s="3" t="s">
        <v>16</v>
      </c>
      <c r="B19" s="16" t="n">
        <f aca="false">'Cost model'!N773</f>
        <v>150</v>
      </c>
      <c r="C19" s="16" t="n">
        <f aca="false">'Cost model'!N774</f>
        <v>270</v>
      </c>
      <c r="D19" s="16" t="n">
        <f aca="false">'Cost model'!N775</f>
        <v>345</v>
      </c>
      <c r="F19" s="16" t="n">
        <f aca="false">'Cost model'!N791</f>
        <v>315</v>
      </c>
      <c r="G19" s="17" t="n">
        <f aca="false">'Cost model'!N792</f>
        <v>385</v>
      </c>
      <c r="H19" s="17" t="n">
        <f aca="false">'Cost model'!N793</f>
        <v>460</v>
      </c>
      <c r="J19" s="16" t="n">
        <f aca="false">'Cost model'!N809</f>
        <v>270</v>
      </c>
      <c r="K19" s="17" t="n">
        <f aca="false">'Cost model'!N810</f>
        <v>355</v>
      </c>
      <c r="L19" s="17" t="n">
        <f aca="false">'Cost model'!N811</f>
        <v>390</v>
      </c>
      <c r="N19" s="16" t="n">
        <f aca="false">'Cost model'!N827</f>
        <v>295</v>
      </c>
      <c r="O19" s="17" t="n">
        <f aca="false">'Cost model'!N828</f>
        <v>380</v>
      </c>
      <c r="P19" s="17" t="n">
        <f aca="false">'Cost model'!N829</f>
        <v>445</v>
      </c>
      <c r="R19" s="16" t="n">
        <f aca="false">'Cost model'!N845</f>
        <v>195</v>
      </c>
      <c r="S19" s="17" t="n">
        <f aca="false">'Cost model'!N846</f>
        <v>260</v>
      </c>
      <c r="T19" s="17" t="n">
        <f aca="false">'Cost model'!N847</f>
        <v>300</v>
      </c>
      <c r="V19" s="16" t="n">
        <f aca="false">'Cost model'!N863</f>
        <v>250</v>
      </c>
      <c r="W19" s="17" t="n">
        <f aca="false">'Cost model'!N864</f>
        <v>300</v>
      </c>
      <c r="X19" s="17" t="n">
        <f aca="false">'Cost model'!N865</f>
        <v>355</v>
      </c>
      <c r="Z19" s="16" t="n">
        <f aca="false">'Cost model'!N881</f>
        <v>270</v>
      </c>
      <c r="AA19" s="17" t="n">
        <f aca="false">'Cost model'!N882</f>
        <v>350</v>
      </c>
      <c r="AB19" s="17" t="n">
        <f aca="false">'Cost model'!N883</f>
        <v>410</v>
      </c>
    </row>
    <row r="21" customFormat="false" ht="17.35" hidden="false" customHeight="false" outlineLevel="0" collapsed="false">
      <c r="A21" s="1" t="s">
        <v>106</v>
      </c>
    </row>
    <row r="23" customFormat="false" ht="15" hidden="false" customHeight="false" outlineLevel="0" collapsed="false">
      <c r="A23" s="3" t="s">
        <v>76</v>
      </c>
      <c r="B23" s="3" t="s">
        <v>78</v>
      </c>
      <c r="F23" s="3" t="s">
        <v>79</v>
      </c>
      <c r="J23" s="3" t="s">
        <v>77</v>
      </c>
      <c r="N23" s="3" t="s">
        <v>83</v>
      </c>
      <c r="R23" s="3" t="s">
        <v>80</v>
      </c>
      <c r="V23" s="3" t="s">
        <v>82</v>
      </c>
      <c r="Z23" s="3" t="s">
        <v>81</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89</v>
      </c>
      <c r="C25" s="18" t="s">
        <v>89</v>
      </c>
      <c r="D25" s="18" t="s">
        <v>87</v>
      </c>
      <c r="F25" s="18" t="s">
        <v>87</v>
      </c>
      <c r="G25" s="18" t="s">
        <v>87</v>
      </c>
      <c r="H25" s="18" t="s">
        <v>88</v>
      </c>
      <c r="J25" s="18" t="s">
        <v>87</v>
      </c>
      <c r="K25" s="18" t="s">
        <v>87</v>
      </c>
      <c r="L25" s="18" t="s">
        <v>87</v>
      </c>
      <c r="N25" s="18" t="s">
        <v>90</v>
      </c>
      <c r="O25" s="18" t="s">
        <v>90</v>
      </c>
      <c r="P25" s="18" t="s">
        <v>90</v>
      </c>
      <c r="R25" s="18" t="s">
        <v>87</v>
      </c>
      <c r="S25" s="18" t="s">
        <v>87</v>
      </c>
      <c r="T25" s="18" t="s">
        <v>87</v>
      </c>
      <c r="V25" s="18" t="s">
        <v>90</v>
      </c>
      <c r="W25" s="18" t="s">
        <v>90</v>
      </c>
      <c r="X25" s="18" t="s">
        <v>90</v>
      </c>
      <c r="Z25" s="18" t="s">
        <v>90</v>
      </c>
      <c r="AA25" s="18" t="s">
        <v>90</v>
      </c>
      <c r="AB25" s="18" t="s">
        <v>90</v>
      </c>
    </row>
    <row r="26" customFormat="false" ht="15" hidden="false" customHeight="false" outlineLevel="0" collapsed="false">
      <c r="A26" s="3" t="s">
        <v>12</v>
      </c>
      <c r="B26" s="18" t="s">
        <v>89</v>
      </c>
      <c r="C26" s="18" t="s">
        <v>89</v>
      </c>
      <c r="D26" s="18" t="s">
        <v>87</v>
      </c>
      <c r="F26" s="18" t="s">
        <v>87</v>
      </c>
      <c r="G26" s="18" t="s">
        <v>87</v>
      </c>
      <c r="H26" s="18" t="s">
        <v>88</v>
      </c>
      <c r="J26" s="18" t="s">
        <v>87</v>
      </c>
      <c r="K26" s="18" t="s">
        <v>87</v>
      </c>
      <c r="L26" s="18" t="s">
        <v>87</v>
      </c>
      <c r="N26" s="18" t="s">
        <v>90</v>
      </c>
      <c r="O26" s="18" t="s">
        <v>90</v>
      </c>
      <c r="P26" s="18" t="s">
        <v>90</v>
      </c>
      <c r="R26" s="18" t="s">
        <v>87</v>
      </c>
      <c r="S26" s="18" t="s">
        <v>87</v>
      </c>
      <c r="T26" s="18" t="s">
        <v>87</v>
      </c>
      <c r="V26" s="18" t="s">
        <v>90</v>
      </c>
      <c r="W26" s="18" t="s">
        <v>90</v>
      </c>
      <c r="X26" s="18" t="s">
        <v>90</v>
      </c>
      <c r="Z26" s="18" t="s">
        <v>90</v>
      </c>
      <c r="AA26" s="18" t="s">
        <v>90</v>
      </c>
      <c r="AB26" s="18" t="s">
        <v>90</v>
      </c>
    </row>
    <row r="27" customFormat="false" ht="15" hidden="false" customHeight="false" outlineLevel="0" collapsed="false">
      <c r="A27" s="3" t="s">
        <v>13</v>
      </c>
      <c r="B27" s="18" t="s">
        <v>89</v>
      </c>
      <c r="C27" s="18" t="s">
        <v>89</v>
      </c>
      <c r="D27" s="18" t="s">
        <v>88</v>
      </c>
      <c r="F27" s="18" t="s">
        <v>88</v>
      </c>
      <c r="G27" s="18" t="s">
        <v>88</v>
      </c>
      <c r="H27" s="18" t="s">
        <v>91</v>
      </c>
      <c r="J27" s="18" t="s">
        <v>88</v>
      </c>
      <c r="K27" s="18" t="s">
        <v>88</v>
      </c>
      <c r="L27" s="18" t="s">
        <v>91</v>
      </c>
      <c r="N27" s="18" t="s">
        <v>90</v>
      </c>
      <c r="O27" s="18" t="s">
        <v>90</v>
      </c>
      <c r="P27" s="18" t="s">
        <v>90</v>
      </c>
      <c r="R27" s="18" t="s">
        <v>88</v>
      </c>
      <c r="S27" s="18" t="s">
        <v>88</v>
      </c>
      <c r="T27" s="18" t="s">
        <v>91</v>
      </c>
      <c r="V27" s="18" t="s">
        <v>90</v>
      </c>
      <c r="W27" s="18" t="s">
        <v>90</v>
      </c>
      <c r="X27" s="18" t="s">
        <v>90</v>
      </c>
      <c r="Z27" s="18" t="s">
        <v>90</v>
      </c>
      <c r="AA27" s="18" t="s">
        <v>90</v>
      </c>
      <c r="AB27" s="18" t="s">
        <v>90</v>
      </c>
    </row>
    <row r="28" customFormat="false" ht="15" hidden="false" customHeight="false" outlineLevel="0" collapsed="false">
      <c r="A28" s="3" t="s">
        <v>14</v>
      </c>
      <c r="B28" s="18" t="s">
        <v>89</v>
      </c>
      <c r="C28" s="18" t="s">
        <v>89</v>
      </c>
      <c r="D28" s="18" t="s">
        <v>91</v>
      </c>
      <c r="F28" s="18" t="s">
        <v>91</v>
      </c>
      <c r="G28" s="18" t="s">
        <v>91</v>
      </c>
      <c r="H28" s="18" t="s">
        <v>91</v>
      </c>
      <c r="J28" s="18" t="s">
        <v>91</v>
      </c>
      <c r="K28" s="18" t="s">
        <v>91</v>
      </c>
      <c r="L28" s="18" t="s">
        <v>91</v>
      </c>
      <c r="N28" s="18" t="s">
        <v>90</v>
      </c>
      <c r="O28" s="18" t="s">
        <v>90</v>
      </c>
      <c r="P28" s="18" t="s">
        <v>90</v>
      </c>
      <c r="R28" s="18" t="s">
        <v>91</v>
      </c>
      <c r="S28" s="18" t="s">
        <v>91</v>
      </c>
      <c r="T28" s="18" t="s">
        <v>91</v>
      </c>
      <c r="V28" s="18" t="s">
        <v>90</v>
      </c>
      <c r="W28" s="18" t="s">
        <v>90</v>
      </c>
      <c r="X28" s="18" t="s">
        <v>90</v>
      </c>
      <c r="Z28" s="18" t="s">
        <v>90</v>
      </c>
      <c r="AA28" s="18" t="s">
        <v>90</v>
      </c>
      <c r="AB28" s="18" t="s">
        <v>90</v>
      </c>
    </row>
    <row r="29" customFormat="false" ht="15" hidden="false" customHeight="false" outlineLevel="0" collapsed="false">
      <c r="A29" s="3" t="s">
        <v>15</v>
      </c>
      <c r="B29" s="18" t="s">
        <v>89</v>
      </c>
      <c r="C29" s="18" t="s">
        <v>89</v>
      </c>
      <c r="D29" s="18" t="s">
        <v>91</v>
      </c>
      <c r="F29" s="18" t="s">
        <v>91</v>
      </c>
      <c r="G29" s="18" t="s">
        <v>91</v>
      </c>
      <c r="H29" s="18" t="s">
        <v>91</v>
      </c>
      <c r="J29" s="18" t="s">
        <v>91</v>
      </c>
      <c r="K29" s="18" t="s">
        <v>91</v>
      </c>
      <c r="L29" s="18" t="s">
        <v>91</v>
      </c>
      <c r="N29" s="18" t="s">
        <v>90</v>
      </c>
      <c r="O29" s="18" t="s">
        <v>90</v>
      </c>
      <c r="P29" s="18" t="s">
        <v>90</v>
      </c>
      <c r="R29" s="18" t="s">
        <v>91</v>
      </c>
      <c r="S29" s="18" t="s">
        <v>91</v>
      </c>
      <c r="T29" s="18" t="s">
        <v>91</v>
      </c>
      <c r="V29" s="18" t="s">
        <v>90</v>
      </c>
      <c r="W29" s="18" t="s">
        <v>90</v>
      </c>
      <c r="X29" s="18" t="s">
        <v>90</v>
      </c>
      <c r="Z29" s="18" t="s">
        <v>90</v>
      </c>
      <c r="AA29" s="18" t="s">
        <v>90</v>
      </c>
      <c r="AB29" s="18" t="s">
        <v>90</v>
      </c>
    </row>
    <row r="30" customFormat="false" ht="15" hidden="false" customHeight="false" outlineLevel="0" collapsed="false">
      <c r="A30" s="3" t="s">
        <v>16</v>
      </c>
      <c r="B30" s="18" t="s">
        <v>89</v>
      </c>
      <c r="C30" s="18" t="s">
        <v>89</v>
      </c>
      <c r="D30" s="18" t="s">
        <v>91</v>
      </c>
      <c r="F30" s="18" t="s">
        <v>91</v>
      </c>
      <c r="G30" s="18" t="s">
        <v>91</v>
      </c>
      <c r="H30" s="18" t="s">
        <v>91</v>
      </c>
      <c r="J30" s="18" t="s">
        <v>91</v>
      </c>
      <c r="K30" s="18" t="s">
        <v>91</v>
      </c>
      <c r="L30" s="18" t="s">
        <v>91</v>
      </c>
      <c r="N30" s="18" t="s">
        <v>90</v>
      </c>
      <c r="O30" s="18" t="s">
        <v>90</v>
      </c>
      <c r="P30" s="18" t="s">
        <v>90</v>
      </c>
      <c r="R30" s="18" t="s">
        <v>91</v>
      </c>
      <c r="S30" s="18" t="s">
        <v>91</v>
      </c>
      <c r="T30" s="18" t="s">
        <v>91</v>
      </c>
      <c r="V30" s="18" t="s">
        <v>90</v>
      </c>
      <c r="W30" s="18" t="s">
        <v>90</v>
      </c>
      <c r="X30" s="18" t="s">
        <v>90</v>
      </c>
      <c r="Z30" s="18" t="s">
        <v>90</v>
      </c>
      <c r="AA30" s="18" t="s">
        <v>90</v>
      </c>
      <c r="AB30" s="18" t="s">
        <v>90</v>
      </c>
    </row>
    <row r="32" customFormat="false" ht="15" hidden="false" customHeight="false" outlineLevel="0" collapsed="false">
      <c r="A32" s="3" t="s">
        <v>85</v>
      </c>
      <c r="B32" s="3" t="s">
        <v>78</v>
      </c>
      <c r="F32" s="3" t="s">
        <v>79</v>
      </c>
      <c r="J32" s="3" t="s">
        <v>77</v>
      </c>
      <c r="N32" s="3" t="s">
        <v>83</v>
      </c>
      <c r="R32" s="3" t="s">
        <v>80</v>
      </c>
      <c r="V32" s="3" t="s">
        <v>82</v>
      </c>
      <c r="Z32" s="3" t="s">
        <v>81</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92</v>
      </c>
      <c r="C34" s="18" t="s">
        <v>92</v>
      </c>
      <c r="D34" s="18" t="s">
        <v>89</v>
      </c>
      <c r="F34" s="18" t="s">
        <v>92</v>
      </c>
      <c r="G34" s="18" t="s">
        <v>92</v>
      </c>
      <c r="H34" s="18" t="s">
        <v>87</v>
      </c>
      <c r="J34" s="18" t="s">
        <v>92</v>
      </c>
      <c r="K34" s="18" t="s">
        <v>92</v>
      </c>
      <c r="L34" s="18" t="s">
        <v>87</v>
      </c>
      <c r="N34" s="18" t="s">
        <v>92</v>
      </c>
      <c r="O34" s="18" t="s">
        <v>92</v>
      </c>
      <c r="P34" s="18" t="s">
        <v>87</v>
      </c>
      <c r="R34" s="18" t="s">
        <v>92</v>
      </c>
      <c r="S34" s="18" t="s">
        <v>92</v>
      </c>
      <c r="T34" s="18" t="s">
        <v>87</v>
      </c>
      <c r="V34" s="18" t="s">
        <v>92</v>
      </c>
      <c r="W34" s="18" t="s">
        <v>92</v>
      </c>
      <c r="X34" s="18" t="s">
        <v>87</v>
      </c>
      <c r="Z34" s="18" t="s">
        <v>92</v>
      </c>
      <c r="AA34" s="18" t="s">
        <v>92</v>
      </c>
      <c r="AB34" s="18" t="s">
        <v>87</v>
      </c>
    </row>
    <row r="35" customFormat="false" ht="15" hidden="false" customHeight="false" outlineLevel="0" collapsed="false">
      <c r="A35" s="3" t="s">
        <v>12</v>
      </c>
      <c r="B35" s="18" t="s">
        <v>92</v>
      </c>
      <c r="C35" s="18" t="s">
        <v>92</v>
      </c>
      <c r="D35" s="18" t="s">
        <v>89</v>
      </c>
      <c r="F35" s="18" t="s">
        <v>92</v>
      </c>
      <c r="G35" s="18" t="s">
        <v>92</v>
      </c>
      <c r="H35" s="18" t="s">
        <v>87</v>
      </c>
      <c r="J35" s="18" t="s">
        <v>92</v>
      </c>
      <c r="K35" s="18" t="s">
        <v>92</v>
      </c>
      <c r="L35" s="18" t="s">
        <v>87</v>
      </c>
      <c r="N35" s="18" t="s">
        <v>92</v>
      </c>
      <c r="O35" s="18" t="s">
        <v>92</v>
      </c>
      <c r="P35" s="18" t="s">
        <v>87</v>
      </c>
      <c r="R35" s="18" t="s">
        <v>92</v>
      </c>
      <c r="S35" s="18" t="s">
        <v>92</v>
      </c>
      <c r="T35" s="18" t="s">
        <v>87</v>
      </c>
      <c r="V35" s="18" t="s">
        <v>92</v>
      </c>
      <c r="W35" s="18" t="s">
        <v>92</v>
      </c>
      <c r="X35" s="18" t="s">
        <v>87</v>
      </c>
      <c r="Z35" s="18" t="s">
        <v>92</v>
      </c>
      <c r="AA35" s="18" t="s">
        <v>92</v>
      </c>
      <c r="AB35" s="18" t="s">
        <v>87</v>
      </c>
    </row>
    <row r="36" customFormat="false" ht="15" hidden="false" customHeight="false" outlineLevel="0" collapsed="false">
      <c r="A36" s="3" t="s">
        <v>13</v>
      </c>
      <c r="B36" s="18" t="s">
        <v>92</v>
      </c>
      <c r="C36" s="18" t="s">
        <v>92</v>
      </c>
      <c r="D36" s="18" t="s">
        <v>93</v>
      </c>
      <c r="F36" s="18" t="s">
        <v>87</v>
      </c>
      <c r="G36" s="18" t="s">
        <v>87</v>
      </c>
      <c r="H36" s="18" t="s">
        <v>91</v>
      </c>
      <c r="J36" s="18" t="s">
        <v>87</v>
      </c>
      <c r="K36" s="18" t="s">
        <v>87</v>
      </c>
      <c r="L36" s="18" t="s">
        <v>91</v>
      </c>
      <c r="N36" s="18" t="s">
        <v>90</v>
      </c>
      <c r="O36" s="18" t="s">
        <v>90</v>
      </c>
      <c r="P36" s="18" t="s">
        <v>90</v>
      </c>
      <c r="R36" s="18" t="s">
        <v>87</v>
      </c>
      <c r="S36" s="18" t="s">
        <v>87</v>
      </c>
      <c r="T36" s="18" t="s">
        <v>91</v>
      </c>
      <c r="V36" s="18" t="s">
        <v>90</v>
      </c>
      <c r="W36" s="18" t="s">
        <v>90</v>
      </c>
      <c r="X36" s="18" t="s">
        <v>90</v>
      </c>
      <c r="Z36" s="18" t="s">
        <v>90</v>
      </c>
      <c r="AA36" s="18" t="s">
        <v>90</v>
      </c>
      <c r="AB36" s="18" t="s">
        <v>90</v>
      </c>
    </row>
    <row r="37" customFormat="false" ht="15" hidden="false" customHeight="false" outlineLevel="0" collapsed="false">
      <c r="A37" s="3" t="s">
        <v>14</v>
      </c>
      <c r="B37" s="18" t="s">
        <v>92</v>
      </c>
      <c r="C37" s="18" t="s">
        <v>92</v>
      </c>
      <c r="D37" s="18" t="s">
        <v>93</v>
      </c>
      <c r="F37" s="18" t="s">
        <v>88</v>
      </c>
      <c r="G37" s="18" t="s">
        <v>88</v>
      </c>
      <c r="H37" s="18" t="s">
        <v>91</v>
      </c>
      <c r="J37" s="18" t="s">
        <v>88</v>
      </c>
      <c r="K37" s="18" t="s">
        <v>88</v>
      </c>
      <c r="L37" s="18" t="s">
        <v>91</v>
      </c>
      <c r="N37" s="18" t="s">
        <v>90</v>
      </c>
      <c r="O37" s="18" t="s">
        <v>90</v>
      </c>
      <c r="P37" s="18" t="s">
        <v>90</v>
      </c>
      <c r="R37" s="18" t="s">
        <v>88</v>
      </c>
      <c r="S37" s="18" t="s">
        <v>88</v>
      </c>
      <c r="T37" s="18" t="s">
        <v>91</v>
      </c>
      <c r="V37" s="18" t="s">
        <v>90</v>
      </c>
      <c r="W37" s="18" t="s">
        <v>90</v>
      </c>
      <c r="X37" s="18" t="s">
        <v>90</v>
      </c>
      <c r="Z37" s="18" t="s">
        <v>90</v>
      </c>
      <c r="AA37" s="18" t="s">
        <v>90</v>
      </c>
      <c r="AB37" s="18" t="s">
        <v>90</v>
      </c>
    </row>
    <row r="38" customFormat="false" ht="15" hidden="false" customHeight="false" outlineLevel="0" collapsed="false">
      <c r="A38" s="3" t="s">
        <v>15</v>
      </c>
      <c r="B38" s="18" t="s">
        <v>92</v>
      </c>
      <c r="C38" s="18" t="s">
        <v>92</v>
      </c>
      <c r="D38" s="18" t="s">
        <v>93</v>
      </c>
      <c r="F38" s="18" t="s">
        <v>88</v>
      </c>
      <c r="G38" s="18" t="s">
        <v>88</v>
      </c>
      <c r="H38" s="18" t="s">
        <v>91</v>
      </c>
      <c r="J38" s="18" t="s">
        <v>88</v>
      </c>
      <c r="K38" s="18" t="s">
        <v>88</v>
      </c>
      <c r="L38" s="18" t="s">
        <v>91</v>
      </c>
      <c r="N38" s="18" t="s">
        <v>90</v>
      </c>
      <c r="O38" s="18" t="s">
        <v>90</v>
      </c>
      <c r="P38" s="18" t="s">
        <v>90</v>
      </c>
      <c r="R38" s="18" t="s">
        <v>88</v>
      </c>
      <c r="S38" s="18" t="s">
        <v>88</v>
      </c>
      <c r="T38" s="18" t="s">
        <v>91</v>
      </c>
      <c r="V38" s="18" t="s">
        <v>90</v>
      </c>
      <c r="W38" s="18" t="s">
        <v>90</v>
      </c>
      <c r="X38" s="18" t="s">
        <v>90</v>
      </c>
      <c r="Z38" s="18" t="s">
        <v>90</v>
      </c>
      <c r="AA38" s="18" t="s">
        <v>90</v>
      </c>
      <c r="AB38" s="18" t="s">
        <v>90</v>
      </c>
    </row>
    <row r="39" customFormat="false" ht="15" hidden="false" customHeight="false" outlineLevel="0" collapsed="false">
      <c r="A39" s="3" t="s">
        <v>16</v>
      </c>
      <c r="B39" s="18" t="s">
        <v>92</v>
      </c>
      <c r="C39" s="18" t="s">
        <v>92</v>
      </c>
      <c r="D39" s="18" t="s">
        <v>93</v>
      </c>
      <c r="F39" s="18" t="s">
        <v>88</v>
      </c>
      <c r="G39" s="18" t="s">
        <v>88</v>
      </c>
      <c r="H39" s="18" t="s">
        <v>91</v>
      </c>
      <c r="J39" s="18" t="s">
        <v>88</v>
      </c>
      <c r="K39" s="18" t="s">
        <v>88</v>
      </c>
      <c r="L39" s="18" t="s">
        <v>91</v>
      </c>
      <c r="N39" s="18" t="s">
        <v>90</v>
      </c>
      <c r="O39" s="18" t="s">
        <v>90</v>
      </c>
      <c r="P39" s="18" t="s">
        <v>90</v>
      </c>
      <c r="R39" s="18" t="s">
        <v>88</v>
      </c>
      <c r="S39" s="18" t="s">
        <v>88</v>
      </c>
      <c r="T39" s="18" t="s">
        <v>91</v>
      </c>
      <c r="V39" s="18" t="s">
        <v>90</v>
      </c>
      <c r="W39" s="18" t="s">
        <v>90</v>
      </c>
      <c r="X39" s="18" t="s">
        <v>90</v>
      </c>
      <c r="Z39" s="18" t="s">
        <v>90</v>
      </c>
      <c r="AA39" s="18" t="s">
        <v>90</v>
      </c>
      <c r="AB39" s="18"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1"/>
    <col collapsed="false" customWidth="true" hidden="false" outlineLevel="0" max="5" min="5" style="0" width="2"/>
    <col collapsed="false" customWidth="true" hidden="false" outlineLevel="0" max="8" min="6" style="0" width="11"/>
    <col collapsed="false" customWidth="true" hidden="false" outlineLevel="0" max="9" min="9" style="0" width="2"/>
    <col collapsed="false" customWidth="true" hidden="false" outlineLevel="0" max="12" min="10" style="0" width="11"/>
    <col collapsed="false" customWidth="true" hidden="false" outlineLevel="0" max="13" min="13" style="0" width="2"/>
    <col collapsed="false" customWidth="true" hidden="false" outlineLevel="0" max="16" min="14" style="0" width="11"/>
    <col collapsed="false" customWidth="true" hidden="false" outlineLevel="0" max="17" min="17" style="0" width="2"/>
    <col collapsed="false" customWidth="true" hidden="false" outlineLevel="0" max="20" min="18" style="0" width="11"/>
    <col collapsed="false" customWidth="true" hidden="false" outlineLevel="0" max="21" min="21" style="0" width="2"/>
    <col collapsed="false" customWidth="true" hidden="false" outlineLevel="0" max="24" min="22" style="0" width="11"/>
    <col collapsed="false" customWidth="true" hidden="false" outlineLevel="0" max="25" min="25" style="0" width="2"/>
    <col collapsed="false" customWidth="true" hidden="false" outlineLevel="0" max="28" min="26" style="0" width="11"/>
    <col collapsed="false" customWidth="true" hidden="false" outlineLevel="0" max="29" min="29" style="0" width="2"/>
  </cols>
  <sheetData>
    <row r="1" customFormat="false" ht="17.35" hidden="false" customHeight="false" outlineLevel="0" collapsed="false">
      <c r="A1" s="1" t="s">
        <v>107</v>
      </c>
    </row>
    <row r="3" customFormat="false" ht="15" hidden="false" customHeight="false" outlineLevel="0" collapsed="false">
      <c r="A3" s="3" t="s">
        <v>76</v>
      </c>
      <c r="B3" s="3" t="s">
        <v>83</v>
      </c>
      <c r="F3" s="3" t="s">
        <v>79</v>
      </c>
      <c r="J3" s="3" t="s">
        <v>78</v>
      </c>
      <c r="N3" s="3" t="s">
        <v>80</v>
      </c>
      <c r="R3" s="3" t="s">
        <v>77</v>
      </c>
      <c r="V3" s="3" t="s">
        <v>81</v>
      </c>
      <c r="Z3" s="3" t="s">
        <v>82</v>
      </c>
    </row>
    <row r="4" customFormat="false" ht="15" hidden="false" customHeight="false" outlineLevel="0" collapsed="false">
      <c r="A4" s="12" t="s">
        <v>84</v>
      </c>
      <c r="B4" s="15" t="s">
        <v>48</v>
      </c>
      <c r="C4" s="15" t="s">
        <v>49</v>
      </c>
      <c r="D4" s="15" t="s">
        <v>50</v>
      </c>
      <c r="F4" s="15" t="s">
        <v>48</v>
      </c>
      <c r="G4" s="15" t="s">
        <v>49</v>
      </c>
      <c r="H4" s="15" t="s">
        <v>50</v>
      </c>
      <c r="J4" s="15" t="s">
        <v>48</v>
      </c>
      <c r="K4" s="15" t="s">
        <v>49</v>
      </c>
      <c r="L4" s="15" t="s">
        <v>50</v>
      </c>
      <c r="N4" s="15" t="s">
        <v>48</v>
      </c>
      <c r="O4" s="15" t="s">
        <v>49</v>
      </c>
      <c r="P4" s="15" t="s">
        <v>50</v>
      </c>
      <c r="R4" s="15" t="s">
        <v>48</v>
      </c>
      <c r="S4" s="15" t="s">
        <v>49</v>
      </c>
      <c r="T4" s="15" t="s">
        <v>50</v>
      </c>
      <c r="V4" s="15" t="s">
        <v>48</v>
      </c>
      <c r="W4" s="15" t="s">
        <v>49</v>
      </c>
      <c r="X4" s="15" t="s">
        <v>50</v>
      </c>
      <c r="Z4" s="15" t="s">
        <v>48</v>
      </c>
      <c r="AA4" s="15" t="s">
        <v>49</v>
      </c>
      <c r="AB4" s="15" t="s">
        <v>50</v>
      </c>
    </row>
    <row r="5" customFormat="false" ht="15" hidden="false" customHeight="false" outlineLevel="0" collapsed="false">
      <c r="A5" s="3" t="s">
        <v>10</v>
      </c>
      <c r="B5" s="16" t="n">
        <f aca="false">'Cost model'!M884</f>
        <v>7.5</v>
      </c>
      <c r="C5" s="16" t="n">
        <f aca="false">'Cost model'!M885</f>
        <v>13.5</v>
      </c>
      <c r="D5" s="16" t="n">
        <f aca="false">'Cost model'!M886</f>
        <v>17.5</v>
      </c>
      <c r="F5" s="16" t="n">
        <f aca="false">'Cost model'!M902</f>
        <v>13.5</v>
      </c>
      <c r="G5" s="16" t="n">
        <f aca="false">'Cost model'!M903</f>
        <v>16.5</v>
      </c>
      <c r="H5" s="16" t="n">
        <f aca="false">'Cost model'!M904</f>
        <v>24.5</v>
      </c>
      <c r="J5" s="16" t="n">
        <f aca="false">'Cost model'!M920</f>
        <v>16.5</v>
      </c>
      <c r="K5" s="16" t="n">
        <f aca="false">'Cost model'!M921</f>
        <v>24.5</v>
      </c>
      <c r="L5" s="16" t="n">
        <f aca="false">'Cost model'!M922</f>
        <v>35</v>
      </c>
      <c r="N5" s="16" t="n">
        <f aca="false">'Cost model'!M938</f>
        <v>16.5</v>
      </c>
      <c r="O5" s="16" t="n">
        <f aca="false">'Cost model'!M939</f>
        <v>17.5</v>
      </c>
      <c r="P5" s="16" t="n">
        <f aca="false">'Cost model'!M940</f>
        <v>23.5</v>
      </c>
      <c r="R5" s="16" t="n">
        <f aca="false">'Cost model'!M956</f>
        <v>15.5</v>
      </c>
      <c r="S5" s="16" t="n">
        <f aca="false">'Cost model'!M957</f>
        <v>18.5</v>
      </c>
      <c r="T5" s="16" t="n">
        <f aca="false">'Cost model'!M958</f>
        <v>24.5</v>
      </c>
      <c r="V5" s="16" t="n">
        <f aca="false">'Cost model'!M974</f>
        <v>22.5</v>
      </c>
      <c r="W5" s="16" t="n">
        <f aca="false">'Cost model'!M975</f>
        <v>22.5</v>
      </c>
      <c r="X5" s="16" t="n">
        <f aca="false">'Cost model'!M976</f>
        <v>27.5</v>
      </c>
      <c r="Z5" s="16" t="n">
        <f aca="false">'Cost model'!M992</f>
        <v>11.5</v>
      </c>
      <c r="AA5" s="16" t="n">
        <f aca="false">'Cost model'!M993</f>
        <v>15.5</v>
      </c>
      <c r="AB5" s="16" t="n">
        <f aca="false">'Cost model'!M994</f>
        <v>18.5</v>
      </c>
    </row>
    <row r="6" customFormat="false" ht="15" hidden="false" customHeight="false" outlineLevel="0" collapsed="false">
      <c r="A6" s="3" t="s">
        <v>12</v>
      </c>
      <c r="B6" s="16" t="n">
        <f aca="false">'Cost model'!M887</f>
        <v>21.5</v>
      </c>
      <c r="C6" s="16" t="n">
        <f aca="false">'Cost model'!M888</f>
        <v>50</v>
      </c>
      <c r="D6" s="16" t="n">
        <f aca="false">'Cost model'!M889</f>
        <v>60</v>
      </c>
      <c r="F6" s="16" t="n">
        <f aca="false">'Cost model'!M905</f>
        <v>50</v>
      </c>
      <c r="G6" s="16" t="n">
        <f aca="false">'Cost model'!M906</f>
        <v>55</v>
      </c>
      <c r="H6" s="16" t="n">
        <f aca="false">'Cost model'!M907</f>
        <v>70</v>
      </c>
      <c r="J6" s="16" t="n">
        <f aca="false">'Cost model'!M923</f>
        <v>65</v>
      </c>
      <c r="K6" s="16" t="n">
        <f aca="false">'Cost model'!M924</f>
        <v>70</v>
      </c>
      <c r="L6" s="16" t="n">
        <f aca="false">'Cost model'!M925</f>
        <v>80</v>
      </c>
      <c r="N6" s="16" t="n">
        <f aca="false">'Cost model'!M941</f>
        <v>70</v>
      </c>
      <c r="O6" s="16" t="n">
        <f aca="false">'Cost model'!M942</f>
        <v>70</v>
      </c>
      <c r="P6" s="16" t="n">
        <f aca="false">'Cost model'!M943</f>
        <v>75</v>
      </c>
      <c r="R6" s="16" t="n">
        <f aca="false">'Cost model'!M959</f>
        <v>55</v>
      </c>
      <c r="S6" s="16" t="n">
        <f aca="false">'Cost model'!M960</f>
        <v>65</v>
      </c>
      <c r="T6" s="16" t="n">
        <f aca="false">'Cost model'!M961</f>
        <v>75</v>
      </c>
      <c r="V6" s="16" t="n">
        <f aca="false">'Cost model'!M977</f>
        <v>85</v>
      </c>
      <c r="W6" s="16" t="n">
        <f aca="false">'Cost model'!M978</f>
        <v>85</v>
      </c>
      <c r="X6" s="16" t="n">
        <f aca="false">'Cost model'!M979</f>
        <v>85</v>
      </c>
      <c r="Z6" s="16" t="n">
        <f aca="false">'Cost model'!M995</f>
        <v>45</v>
      </c>
      <c r="AA6" s="16" t="n">
        <f aca="false">'Cost model'!M996</f>
        <v>50</v>
      </c>
      <c r="AB6" s="16" t="n">
        <f aca="false">'Cost model'!M997</f>
        <v>60</v>
      </c>
    </row>
    <row r="7" customFormat="false" ht="15" hidden="false" customHeight="false" outlineLevel="0" collapsed="false">
      <c r="A7" s="3" t="s">
        <v>13</v>
      </c>
      <c r="B7" s="16" t="n">
        <f aca="false">'Cost model'!M890</f>
        <v>45</v>
      </c>
      <c r="C7" s="16" t="n">
        <f aca="false">'Cost model'!M891</f>
        <v>75</v>
      </c>
      <c r="D7" s="16" t="n">
        <f aca="false">'Cost model'!M892</f>
        <v>130</v>
      </c>
      <c r="F7" s="16" t="n">
        <f aca="false">'Cost model'!M908</f>
        <v>85</v>
      </c>
      <c r="G7" s="16" t="n">
        <f aca="false">'Cost model'!M909</f>
        <v>105</v>
      </c>
      <c r="H7" s="16" t="n">
        <f aca="false">'Cost model'!M910</f>
        <v>145</v>
      </c>
      <c r="J7" s="16" t="n">
        <f aca="false">'Cost model'!M926</f>
        <v>105</v>
      </c>
      <c r="K7" s="16" t="n">
        <f aca="false">'Cost model'!M927</f>
        <v>120</v>
      </c>
      <c r="L7" s="16" t="n">
        <f aca="false">'Cost model'!M928</f>
        <v>155</v>
      </c>
      <c r="N7" s="16" t="n">
        <f aca="false">'Cost model'!M944</f>
        <v>95</v>
      </c>
      <c r="O7" s="16" t="n">
        <f aca="false">'Cost model'!M945</f>
        <v>110</v>
      </c>
      <c r="P7" s="16" t="n">
        <f aca="false">'Cost model'!M946</f>
        <v>145</v>
      </c>
      <c r="R7" s="16" t="n">
        <f aca="false">'Cost model'!M962</f>
        <v>120</v>
      </c>
      <c r="S7" s="16" t="n">
        <f aca="false">'Cost model'!M963</f>
        <v>120</v>
      </c>
      <c r="T7" s="16" t="n">
        <f aca="false">'Cost model'!M964</f>
        <v>150</v>
      </c>
      <c r="V7" s="16" t="n">
        <f aca="false">'Cost model'!M980</f>
        <v>115</v>
      </c>
      <c r="W7" s="16" t="n">
        <f aca="false">'Cost model'!M981</f>
        <v>130</v>
      </c>
      <c r="X7" s="16" t="n">
        <f aca="false">'Cost model'!M982</f>
        <v>175</v>
      </c>
      <c r="Z7" s="16" t="n">
        <f aca="false">'Cost model'!M998</f>
        <v>80</v>
      </c>
      <c r="AA7" s="16" t="n">
        <f aca="false">'Cost model'!M999</f>
        <v>90</v>
      </c>
      <c r="AB7" s="16" t="n">
        <f aca="false">'Cost model'!M1000</f>
        <v>120</v>
      </c>
    </row>
    <row r="8" customFormat="false" ht="15" hidden="false" customHeight="false" outlineLevel="0" collapsed="false">
      <c r="A8" s="3" t="s">
        <v>14</v>
      </c>
      <c r="B8" s="16" t="n">
        <f aca="false">'Cost model'!M893</f>
        <v>135</v>
      </c>
      <c r="C8" s="16" t="n">
        <f aca="false">'Cost model'!M894</f>
        <v>135</v>
      </c>
      <c r="D8" s="16" t="n">
        <f aca="false">'Cost model'!M895</f>
        <v>320</v>
      </c>
      <c r="F8" s="16" t="n">
        <f aca="false">'Cost model'!M911</f>
        <v>155</v>
      </c>
      <c r="G8" s="16" t="n">
        <f aca="false">'Cost model'!M912</f>
        <v>180</v>
      </c>
      <c r="H8" s="16" t="n">
        <f aca="false">'Cost model'!M913</f>
        <v>220</v>
      </c>
      <c r="J8" s="16" t="n">
        <f aca="false">'Cost model'!M929</f>
        <v>180</v>
      </c>
      <c r="K8" s="16" t="n">
        <f aca="false">'Cost model'!M930</f>
        <v>215</v>
      </c>
      <c r="L8" s="16" t="n">
        <f aca="false">'Cost model'!M931</f>
        <v>260</v>
      </c>
      <c r="N8" s="16" t="n">
        <f aca="false">'Cost model'!M947</f>
        <v>165</v>
      </c>
      <c r="O8" s="16" t="n">
        <f aca="false">'Cost model'!M948</f>
        <v>200</v>
      </c>
      <c r="P8" s="16" t="n">
        <f aca="false">'Cost model'!M949</f>
        <v>240</v>
      </c>
      <c r="R8" s="16" t="n">
        <f aca="false">'Cost model'!M965</f>
        <v>170</v>
      </c>
      <c r="S8" s="16" t="n">
        <f aca="false">'Cost model'!M966</f>
        <v>205</v>
      </c>
      <c r="T8" s="16" t="n">
        <f aca="false">'Cost model'!M967</f>
        <v>240</v>
      </c>
      <c r="V8" s="16" t="n">
        <f aca="false">'Cost model'!M983</f>
        <v>195</v>
      </c>
      <c r="W8" s="16" t="n">
        <f aca="false">'Cost model'!M984</f>
        <v>235</v>
      </c>
      <c r="X8" s="16" t="n">
        <f aca="false">'Cost model'!M985</f>
        <v>285</v>
      </c>
      <c r="Z8" s="16" t="n">
        <f aca="false">'Cost model'!M1001</f>
        <v>135</v>
      </c>
      <c r="AA8" s="16" t="n">
        <f aca="false">'Cost model'!M1002</f>
        <v>160</v>
      </c>
      <c r="AB8" s="16" t="n">
        <f aca="false">'Cost model'!M1003</f>
        <v>195</v>
      </c>
    </row>
    <row r="9" customFormat="false" ht="15" hidden="false" customHeight="false" outlineLevel="0" collapsed="false">
      <c r="A9" s="3" t="s">
        <v>15</v>
      </c>
      <c r="B9" s="16" t="n">
        <f aca="false">'Cost model'!M896</f>
        <v>135</v>
      </c>
      <c r="C9" s="16" t="n">
        <f aca="false">'Cost model'!M897</f>
        <v>160</v>
      </c>
      <c r="D9" s="16" t="n">
        <f aca="false">'Cost model'!M898</f>
        <v>320</v>
      </c>
      <c r="F9" s="16" t="n">
        <f aca="false">'Cost model'!M914</f>
        <v>185</v>
      </c>
      <c r="G9" s="17" t="n">
        <f aca="false">'Cost model'!M915</f>
        <v>285</v>
      </c>
      <c r="H9" s="17" t="n">
        <f aca="false">'Cost model'!M916</f>
        <v>340</v>
      </c>
      <c r="J9" s="16" t="n">
        <f aca="false">'Cost model'!M932</f>
        <v>230</v>
      </c>
      <c r="K9" s="17" t="n">
        <f aca="false">'Cost model'!M933</f>
        <v>345</v>
      </c>
      <c r="L9" s="17" t="n">
        <f aca="false">'Cost model'!M934</f>
        <v>410</v>
      </c>
      <c r="N9" s="16" t="n">
        <f aca="false">'Cost model'!M950</f>
        <v>210</v>
      </c>
      <c r="O9" s="17" t="n">
        <f aca="false">'Cost model'!M951</f>
        <v>315</v>
      </c>
      <c r="P9" s="17" t="n">
        <f aca="false">'Cost model'!M952</f>
        <v>375</v>
      </c>
      <c r="R9" s="16" t="n">
        <f aca="false">'Cost model'!M968</f>
        <v>215</v>
      </c>
      <c r="S9" s="17" t="n">
        <f aca="false">'Cost model'!M969</f>
        <v>320</v>
      </c>
      <c r="T9" s="17" t="n">
        <f aca="false">'Cost model'!M970</f>
        <v>380</v>
      </c>
      <c r="V9" s="16" t="n">
        <f aca="false">'Cost model'!M986</f>
        <v>250</v>
      </c>
      <c r="W9" s="17" t="n">
        <f aca="false">'Cost model'!M987</f>
        <v>375</v>
      </c>
      <c r="X9" s="17" t="n">
        <f aca="false">'Cost model'!M988</f>
        <v>445</v>
      </c>
      <c r="Z9" s="16" t="n">
        <f aca="false">'Cost model'!M1004</f>
        <v>170</v>
      </c>
      <c r="AA9" s="17" t="n">
        <f aca="false">'Cost model'!M1005</f>
        <v>255</v>
      </c>
      <c r="AB9" s="17" t="n">
        <f aca="false">'Cost model'!M1006</f>
        <v>300</v>
      </c>
    </row>
    <row r="10" customFormat="false" ht="15" hidden="false" customHeight="false" outlineLevel="0" collapsed="false">
      <c r="A10" s="3" t="s">
        <v>16</v>
      </c>
      <c r="B10" s="16" t="n">
        <f aca="false">'Cost model'!M899</f>
        <v>135</v>
      </c>
      <c r="C10" s="16" t="n">
        <f aca="false">'Cost model'!M900</f>
        <v>215</v>
      </c>
      <c r="D10" s="16" t="n">
        <f aca="false">'Cost model'!M901</f>
        <v>330</v>
      </c>
      <c r="F10" s="16" t="n">
        <f aca="false">'Cost model'!M917</f>
        <v>265</v>
      </c>
      <c r="G10" s="17" t="n">
        <f aca="false">'Cost model'!M918</f>
        <v>410</v>
      </c>
      <c r="H10" s="17" t="n">
        <f aca="false">'Cost model'!M919</f>
        <v>480</v>
      </c>
      <c r="J10" s="16" t="n">
        <f aca="false">'Cost model'!M935</f>
        <v>320</v>
      </c>
      <c r="K10" s="17" t="n">
        <f aca="false">'Cost model'!M936</f>
        <v>495</v>
      </c>
      <c r="L10" s="17" t="n">
        <f aca="false">'Cost model'!M937</f>
        <v>580</v>
      </c>
      <c r="N10" s="16" t="n">
        <f aca="false">'Cost model'!M953</f>
        <v>290</v>
      </c>
      <c r="O10" s="17" t="n">
        <f aca="false">'Cost model'!M954</f>
        <v>445</v>
      </c>
      <c r="P10" s="17" t="n">
        <f aca="false">'Cost model'!M955</f>
        <v>525</v>
      </c>
      <c r="R10" s="16" t="n">
        <f aca="false">'Cost model'!M971</f>
        <v>295</v>
      </c>
      <c r="S10" s="17" t="n">
        <f aca="false">'Cost model'!M972</f>
        <v>460</v>
      </c>
      <c r="T10" s="17" t="n">
        <f aca="false">'Cost model'!M973</f>
        <v>535</v>
      </c>
      <c r="V10" s="16" t="n">
        <f aca="false">'Cost model'!M989</f>
        <v>345</v>
      </c>
      <c r="W10" s="17" t="n">
        <f aca="false">'Cost model'!M990</f>
        <v>535</v>
      </c>
      <c r="X10" s="17" t="n">
        <f aca="false">'Cost model'!M991</f>
        <v>625</v>
      </c>
      <c r="Z10" s="16" t="n">
        <f aca="false">'Cost model'!M1007</f>
        <v>235</v>
      </c>
      <c r="AA10" s="17" t="n">
        <f aca="false">'Cost model'!M1008</f>
        <v>370</v>
      </c>
      <c r="AB10" s="17" t="n">
        <f aca="false">'Cost model'!M1009</f>
        <v>430</v>
      </c>
    </row>
    <row r="12" customFormat="false" ht="15" hidden="false" customHeight="false" outlineLevel="0" collapsed="false">
      <c r="A12" s="3" t="s">
        <v>85</v>
      </c>
      <c r="B12" s="3" t="s">
        <v>83</v>
      </c>
      <c r="F12" s="3" t="s">
        <v>79</v>
      </c>
      <c r="J12" s="3" t="s">
        <v>78</v>
      </c>
      <c r="N12" s="3" t="s">
        <v>80</v>
      </c>
      <c r="R12" s="3" t="s">
        <v>77</v>
      </c>
      <c r="V12" s="3" t="s">
        <v>81</v>
      </c>
      <c r="Z12" s="3" t="s">
        <v>82</v>
      </c>
    </row>
    <row r="13" customFormat="false" ht="15" hidden="false" customHeight="false" outlineLevel="0" collapsed="false">
      <c r="A13" s="12" t="s">
        <v>84</v>
      </c>
      <c r="B13" s="15" t="s">
        <v>48</v>
      </c>
      <c r="C13" s="15" t="s">
        <v>49</v>
      </c>
      <c r="D13" s="15" t="s">
        <v>50</v>
      </c>
      <c r="F13" s="15" t="s">
        <v>48</v>
      </c>
      <c r="G13" s="15" t="s">
        <v>49</v>
      </c>
      <c r="H13" s="15" t="s">
        <v>50</v>
      </c>
      <c r="J13" s="15" t="s">
        <v>48</v>
      </c>
      <c r="K13" s="15" t="s">
        <v>49</v>
      </c>
      <c r="L13" s="15" t="s">
        <v>50</v>
      </c>
      <c r="N13" s="15" t="s">
        <v>48</v>
      </c>
      <c r="O13" s="15" t="s">
        <v>49</v>
      </c>
      <c r="P13" s="15" t="s">
        <v>50</v>
      </c>
      <c r="R13" s="15" t="s">
        <v>48</v>
      </c>
      <c r="S13" s="15" t="s">
        <v>49</v>
      </c>
      <c r="T13" s="15" t="s">
        <v>50</v>
      </c>
      <c r="V13" s="15" t="s">
        <v>48</v>
      </c>
      <c r="W13" s="15" t="s">
        <v>49</v>
      </c>
      <c r="X13" s="15" t="s">
        <v>50</v>
      </c>
      <c r="Z13" s="15" t="s">
        <v>48</v>
      </c>
      <c r="AA13" s="15" t="s">
        <v>49</v>
      </c>
      <c r="AB13" s="15" t="s">
        <v>50</v>
      </c>
    </row>
    <row r="14" customFormat="false" ht="15" hidden="false" customHeight="false" outlineLevel="0" collapsed="false">
      <c r="A14" s="3" t="s">
        <v>10</v>
      </c>
      <c r="B14" s="16" t="n">
        <f aca="false">'Cost model'!N884</f>
        <v>12.5</v>
      </c>
      <c r="C14" s="16" t="n">
        <f aca="false">'Cost model'!N885</f>
        <v>18.5</v>
      </c>
      <c r="D14" s="16" t="n">
        <f aca="false">'Cost model'!N886</f>
        <v>23.5</v>
      </c>
      <c r="F14" s="16" t="n">
        <f aca="false">'Cost model'!N902</f>
        <v>18.5</v>
      </c>
      <c r="G14" s="16" t="n">
        <f aca="false">'Cost model'!N903</f>
        <v>22.5</v>
      </c>
      <c r="H14" s="16" t="n">
        <f aca="false">'Cost model'!N904</f>
        <v>35</v>
      </c>
      <c r="J14" s="16" t="n">
        <f aca="false">'Cost model'!N920</f>
        <v>22.5</v>
      </c>
      <c r="K14" s="16" t="n">
        <f aca="false">'Cost model'!N921</f>
        <v>35</v>
      </c>
      <c r="L14" s="16" t="n">
        <f aca="false">'Cost model'!N922</f>
        <v>50</v>
      </c>
      <c r="N14" s="16" t="n">
        <f aca="false">'Cost model'!N938</f>
        <v>22.5</v>
      </c>
      <c r="O14" s="16" t="n">
        <f aca="false">'Cost model'!N939</f>
        <v>23.5</v>
      </c>
      <c r="P14" s="16" t="n">
        <f aca="false">'Cost model'!N940</f>
        <v>35</v>
      </c>
      <c r="R14" s="16" t="n">
        <f aca="false">'Cost model'!N956</f>
        <v>21.5</v>
      </c>
      <c r="S14" s="16" t="n">
        <f aca="false">'Cost model'!N957</f>
        <v>25.5</v>
      </c>
      <c r="T14" s="16" t="n">
        <f aca="false">'Cost model'!N958</f>
        <v>35</v>
      </c>
      <c r="V14" s="16" t="n">
        <f aca="false">'Cost model'!N974</f>
        <v>35</v>
      </c>
      <c r="W14" s="16" t="n">
        <f aca="false">'Cost model'!N975</f>
        <v>35</v>
      </c>
      <c r="X14" s="16" t="n">
        <f aca="false">'Cost model'!N976</f>
        <v>40</v>
      </c>
      <c r="Z14" s="16" t="n">
        <f aca="false">'Cost model'!N992</f>
        <v>16.5</v>
      </c>
      <c r="AA14" s="16" t="n">
        <f aca="false">'Cost model'!N993</f>
        <v>21.5</v>
      </c>
      <c r="AB14" s="16" t="n">
        <f aca="false">'Cost model'!N994</f>
        <v>25.5</v>
      </c>
    </row>
    <row r="15" customFormat="false" ht="15" hidden="false" customHeight="false" outlineLevel="0" collapsed="false">
      <c r="A15" s="3" t="s">
        <v>12</v>
      </c>
      <c r="B15" s="16" t="n">
        <f aca="false">'Cost model'!N887</f>
        <v>27.5</v>
      </c>
      <c r="C15" s="16" t="n">
        <f aca="false">'Cost model'!N888</f>
        <v>65</v>
      </c>
      <c r="D15" s="16" t="n">
        <f aca="false">'Cost model'!N889</f>
        <v>80</v>
      </c>
      <c r="F15" s="16" t="n">
        <f aca="false">'Cost model'!N905</f>
        <v>65</v>
      </c>
      <c r="G15" s="16" t="n">
        <f aca="false">'Cost model'!N906</f>
        <v>70</v>
      </c>
      <c r="H15" s="16" t="n">
        <f aca="false">'Cost model'!N907</f>
        <v>90</v>
      </c>
      <c r="J15" s="16" t="n">
        <f aca="false">'Cost model'!N923</f>
        <v>85</v>
      </c>
      <c r="K15" s="16" t="n">
        <f aca="false">'Cost model'!N924</f>
        <v>90</v>
      </c>
      <c r="L15" s="16" t="n">
        <f aca="false">'Cost model'!N925</f>
        <v>105</v>
      </c>
      <c r="N15" s="16" t="n">
        <f aca="false">'Cost model'!N941</f>
        <v>90</v>
      </c>
      <c r="O15" s="16" t="n">
        <f aca="false">'Cost model'!N942</f>
        <v>90</v>
      </c>
      <c r="P15" s="16" t="n">
        <f aca="false">'Cost model'!N943</f>
        <v>95</v>
      </c>
      <c r="R15" s="16" t="n">
        <f aca="false">'Cost model'!N959</f>
        <v>70</v>
      </c>
      <c r="S15" s="16" t="n">
        <f aca="false">'Cost model'!N960</f>
        <v>85</v>
      </c>
      <c r="T15" s="16" t="n">
        <f aca="false">'Cost model'!N961</f>
        <v>95</v>
      </c>
      <c r="V15" s="16" t="n">
        <f aca="false">'Cost model'!N977</f>
        <v>110</v>
      </c>
      <c r="W15" s="16" t="n">
        <f aca="false">'Cost model'!N978</f>
        <v>110</v>
      </c>
      <c r="X15" s="16" t="n">
        <f aca="false">'Cost model'!N979</f>
        <v>110</v>
      </c>
      <c r="Z15" s="16" t="n">
        <f aca="false">'Cost model'!N995</f>
        <v>60</v>
      </c>
      <c r="AA15" s="16" t="n">
        <f aca="false">'Cost model'!N996</f>
        <v>65</v>
      </c>
      <c r="AB15" s="16" t="n">
        <f aca="false">'Cost model'!N997</f>
        <v>80</v>
      </c>
    </row>
    <row r="16" customFormat="false" ht="15" hidden="false" customHeight="false" outlineLevel="0" collapsed="false">
      <c r="A16" s="3" t="s">
        <v>13</v>
      </c>
      <c r="B16" s="16" t="n">
        <f aca="false">'Cost model'!N890</f>
        <v>65</v>
      </c>
      <c r="C16" s="16" t="n">
        <f aca="false">'Cost model'!N891</f>
        <v>105</v>
      </c>
      <c r="D16" s="16" t="n">
        <f aca="false">'Cost model'!N892</f>
        <v>180</v>
      </c>
      <c r="F16" s="16" t="n">
        <f aca="false">'Cost model'!N908</f>
        <v>115</v>
      </c>
      <c r="G16" s="16" t="n">
        <f aca="false">'Cost model'!N909</f>
        <v>145</v>
      </c>
      <c r="H16" s="16" t="n">
        <f aca="false">'Cost model'!N910</f>
        <v>200</v>
      </c>
      <c r="J16" s="16" t="n">
        <f aca="false">'Cost model'!N926</f>
        <v>145</v>
      </c>
      <c r="K16" s="16" t="n">
        <f aca="false">'Cost model'!N927</f>
        <v>165</v>
      </c>
      <c r="L16" s="16" t="n">
        <f aca="false">'Cost model'!N928</f>
        <v>210</v>
      </c>
      <c r="N16" s="16" t="n">
        <f aca="false">'Cost model'!N944</f>
        <v>130</v>
      </c>
      <c r="O16" s="16" t="n">
        <f aca="false">'Cost model'!N945</f>
        <v>150</v>
      </c>
      <c r="P16" s="16" t="n">
        <f aca="false">'Cost model'!N946</f>
        <v>200</v>
      </c>
      <c r="R16" s="16" t="n">
        <f aca="false">'Cost model'!N962</f>
        <v>165</v>
      </c>
      <c r="S16" s="16" t="n">
        <f aca="false">'Cost model'!N963</f>
        <v>165</v>
      </c>
      <c r="T16" s="16" t="n">
        <f aca="false">'Cost model'!N964</f>
        <v>205</v>
      </c>
      <c r="V16" s="16" t="n">
        <f aca="false">'Cost model'!N980</f>
        <v>160</v>
      </c>
      <c r="W16" s="16" t="n">
        <f aca="false">'Cost model'!N981</f>
        <v>180</v>
      </c>
      <c r="X16" s="16" t="n">
        <f aca="false">'Cost model'!N982</f>
        <v>240</v>
      </c>
      <c r="Z16" s="16" t="n">
        <f aca="false">'Cost model'!N998</f>
        <v>110</v>
      </c>
      <c r="AA16" s="16" t="n">
        <f aca="false">'Cost model'!N999</f>
        <v>125</v>
      </c>
      <c r="AB16" s="16" t="n">
        <f aca="false">'Cost model'!N1000</f>
        <v>165</v>
      </c>
    </row>
    <row r="17" customFormat="false" ht="15" hidden="false" customHeight="false" outlineLevel="0" collapsed="false">
      <c r="A17" s="3" t="s">
        <v>14</v>
      </c>
      <c r="B17" s="16" t="n">
        <f aca="false">'Cost model'!N893</f>
        <v>165</v>
      </c>
      <c r="C17" s="16" t="n">
        <f aca="false">'Cost model'!N894</f>
        <v>165</v>
      </c>
      <c r="D17" s="16" t="n">
        <f aca="false">'Cost model'!N895</f>
        <v>385</v>
      </c>
      <c r="F17" s="16" t="n">
        <f aca="false">'Cost model'!N911</f>
        <v>190</v>
      </c>
      <c r="G17" s="16" t="n">
        <f aca="false">'Cost model'!N912</f>
        <v>220</v>
      </c>
      <c r="H17" s="16" t="n">
        <f aca="false">'Cost model'!N913</f>
        <v>265</v>
      </c>
      <c r="J17" s="16" t="n">
        <f aca="false">'Cost model'!N929</f>
        <v>220</v>
      </c>
      <c r="K17" s="16" t="n">
        <f aca="false">'Cost model'!N930</f>
        <v>260</v>
      </c>
      <c r="L17" s="16" t="n">
        <f aca="false">'Cost model'!N931</f>
        <v>315</v>
      </c>
      <c r="N17" s="16" t="n">
        <f aca="false">'Cost model'!N947</f>
        <v>200</v>
      </c>
      <c r="O17" s="16" t="n">
        <f aca="false">'Cost model'!N948</f>
        <v>240</v>
      </c>
      <c r="P17" s="16" t="n">
        <f aca="false">'Cost model'!N949</f>
        <v>290</v>
      </c>
      <c r="R17" s="16" t="n">
        <f aca="false">'Cost model'!N965</f>
        <v>205</v>
      </c>
      <c r="S17" s="16" t="n">
        <f aca="false">'Cost model'!N966</f>
        <v>250</v>
      </c>
      <c r="T17" s="16" t="n">
        <f aca="false">'Cost model'!N967</f>
        <v>290</v>
      </c>
      <c r="V17" s="16" t="n">
        <f aca="false">'Cost model'!N983</f>
        <v>235</v>
      </c>
      <c r="W17" s="16" t="n">
        <f aca="false">'Cost model'!N984</f>
        <v>285</v>
      </c>
      <c r="X17" s="16" t="n">
        <f aca="false">'Cost model'!N985</f>
        <v>345</v>
      </c>
      <c r="Z17" s="16" t="n">
        <f aca="false">'Cost model'!N1001</f>
        <v>165</v>
      </c>
      <c r="AA17" s="16" t="n">
        <f aca="false">'Cost model'!N1002</f>
        <v>195</v>
      </c>
      <c r="AB17" s="16" t="n">
        <f aca="false">'Cost model'!N1003</f>
        <v>235</v>
      </c>
    </row>
    <row r="18" customFormat="false" ht="15" hidden="false" customHeight="false" outlineLevel="0" collapsed="false">
      <c r="A18" s="3" t="s">
        <v>15</v>
      </c>
      <c r="B18" s="16" t="n">
        <f aca="false">'Cost model'!N896</f>
        <v>165</v>
      </c>
      <c r="C18" s="16" t="n">
        <f aca="false">'Cost model'!N897</f>
        <v>195</v>
      </c>
      <c r="D18" s="16" t="n">
        <f aca="false">'Cost model'!N898</f>
        <v>385</v>
      </c>
      <c r="F18" s="16" t="n">
        <f aca="false">'Cost model'!N914</f>
        <v>225</v>
      </c>
      <c r="G18" s="17" t="n">
        <f aca="false">'Cost model'!N915</f>
        <v>285</v>
      </c>
      <c r="H18" s="17" t="n">
        <f aca="false">'Cost model'!N916</f>
        <v>340</v>
      </c>
      <c r="J18" s="16" t="n">
        <f aca="false">'Cost model'!N932</f>
        <v>280</v>
      </c>
      <c r="K18" s="17" t="n">
        <f aca="false">'Cost model'!N933</f>
        <v>345</v>
      </c>
      <c r="L18" s="17" t="n">
        <f aca="false">'Cost model'!N934</f>
        <v>410</v>
      </c>
      <c r="N18" s="16" t="n">
        <f aca="false">'Cost model'!N950</f>
        <v>255</v>
      </c>
      <c r="O18" s="17" t="n">
        <f aca="false">'Cost model'!N951</f>
        <v>315</v>
      </c>
      <c r="P18" s="17" t="n">
        <f aca="false">'Cost model'!N952</f>
        <v>375</v>
      </c>
      <c r="R18" s="16" t="n">
        <f aca="false">'Cost model'!N968</f>
        <v>260</v>
      </c>
      <c r="S18" s="17" t="n">
        <f aca="false">'Cost model'!N969</f>
        <v>320</v>
      </c>
      <c r="T18" s="17" t="n">
        <f aca="false">'Cost model'!N970</f>
        <v>380</v>
      </c>
      <c r="V18" s="16" t="n">
        <f aca="false">'Cost model'!N986</f>
        <v>300</v>
      </c>
      <c r="W18" s="17" t="n">
        <f aca="false">'Cost model'!N987</f>
        <v>375</v>
      </c>
      <c r="X18" s="17" t="n">
        <f aca="false">'Cost model'!N988</f>
        <v>445</v>
      </c>
      <c r="Z18" s="16" t="n">
        <f aca="false">'Cost model'!N1004</f>
        <v>205</v>
      </c>
      <c r="AA18" s="17" t="n">
        <f aca="false">'Cost model'!N1005</f>
        <v>255</v>
      </c>
      <c r="AB18" s="17" t="n">
        <f aca="false">'Cost model'!N1006</f>
        <v>300</v>
      </c>
    </row>
    <row r="19" customFormat="false" ht="15" hidden="false" customHeight="false" outlineLevel="0" collapsed="false">
      <c r="A19" s="3" t="s">
        <v>16</v>
      </c>
      <c r="B19" s="16" t="n">
        <f aca="false">'Cost model'!N899</f>
        <v>165</v>
      </c>
      <c r="C19" s="16" t="n">
        <f aca="false">'Cost model'!N900</f>
        <v>260</v>
      </c>
      <c r="D19" s="16" t="n">
        <f aca="false">'Cost model'!N901</f>
        <v>400</v>
      </c>
      <c r="F19" s="16" t="n">
        <f aca="false">'Cost model'!N917</f>
        <v>320</v>
      </c>
      <c r="G19" s="17" t="n">
        <f aca="false">'Cost model'!N918</f>
        <v>410</v>
      </c>
      <c r="H19" s="17" t="n">
        <f aca="false">'Cost model'!N919</f>
        <v>480</v>
      </c>
      <c r="J19" s="16" t="n">
        <f aca="false">'Cost model'!N935</f>
        <v>385</v>
      </c>
      <c r="K19" s="17" t="n">
        <f aca="false">'Cost model'!N936</f>
        <v>495</v>
      </c>
      <c r="L19" s="17" t="n">
        <f aca="false">'Cost model'!N937</f>
        <v>580</v>
      </c>
      <c r="N19" s="16" t="n">
        <f aca="false">'Cost model'!N953</f>
        <v>350</v>
      </c>
      <c r="O19" s="17" t="n">
        <f aca="false">'Cost model'!N954</f>
        <v>445</v>
      </c>
      <c r="P19" s="17" t="n">
        <f aca="false">'Cost model'!N955</f>
        <v>525</v>
      </c>
      <c r="R19" s="16" t="n">
        <f aca="false">'Cost model'!N971</f>
        <v>355</v>
      </c>
      <c r="S19" s="17" t="n">
        <f aca="false">'Cost model'!N972</f>
        <v>460</v>
      </c>
      <c r="T19" s="17" t="n">
        <f aca="false">'Cost model'!N973</f>
        <v>535</v>
      </c>
      <c r="V19" s="16" t="n">
        <f aca="false">'Cost model'!N989</f>
        <v>415</v>
      </c>
      <c r="W19" s="17" t="n">
        <f aca="false">'Cost model'!N990</f>
        <v>535</v>
      </c>
      <c r="X19" s="17" t="n">
        <f aca="false">'Cost model'!N991</f>
        <v>625</v>
      </c>
      <c r="Z19" s="16" t="n">
        <f aca="false">'Cost model'!N1007</f>
        <v>285</v>
      </c>
      <c r="AA19" s="17" t="n">
        <f aca="false">'Cost model'!N1008</f>
        <v>370</v>
      </c>
      <c r="AB19" s="17" t="n">
        <f aca="false">'Cost model'!N1009</f>
        <v>430</v>
      </c>
    </row>
    <row r="21" customFormat="false" ht="17.35" hidden="false" customHeight="false" outlineLevel="0" collapsed="false">
      <c r="A21" s="1" t="s">
        <v>108</v>
      </c>
    </row>
    <row r="23" customFormat="false" ht="15" hidden="false" customHeight="false" outlineLevel="0" collapsed="false">
      <c r="A23" s="3" t="s">
        <v>76</v>
      </c>
      <c r="B23" s="3" t="s">
        <v>83</v>
      </c>
      <c r="F23" s="3" t="s">
        <v>79</v>
      </c>
      <c r="J23" s="3" t="s">
        <v>78</v>
      </c>
      <c r="N23" s="3" t="s">
        <v>80</v>
      </c>
      <c r="R23" s="3" t="s">
        <v>77</v>
      </c>
      <c r="V23" s="3" t="s">
        <v>81</v>
      </c>
      <c r="Z23" s="3" t="s">
        <v>82</v>
      </c>
    </row>
    <row r="24" customFormat="false" ht="15" hidden="false" customHeight="false" outlineLevel="0" collapsed="false">
      <c r="A24" s="12" t="s">
        <v>84</v>
      </c>
      <c r="B24" s="15" t="s">
        <v>48</v>
      </c>
      <c r="C24" s="15" t="s">
        <v>49</v>
      </c>
      <c r="D24" s="15" t="s">
        <v>50</v>
      </c>
      <c r="F24" s="15" t="s">
        <v>48</v>
      </c>
      <c r="G24" s="15" t="s">
        <v>49</v>
      </c>
      <c r="H24" s="15" t="s">
        <v>50</v>
      </c>
      <c r="J24" s="15" t="s">
        <v>48</v>
      </c>
      <c r="K24" s="15" t="s">
        <v>49</v>
      </c>
      <c r="L24" s="15" t="s">
        <v>50</v>
      </c>
      <c r="N24" s="15" t="s">
        <v>48</v>
      </c>
      <c r="O24" s="15" t="s">
        <v>49</v>
      </c>
      <c r="P24" s="15" t="s">
        <v>50</v>
      </c>
      <c r="R24" s="15" t="s">
        <v>48</v>
      </c>
      <c r="S24" s="15" t="s">
        <v>49</v>
      </c>
      <c r="T24" s="15" t="s">
        <v>50</v>
      </c>
      <c r="V24" s="15" t="s">
        <v>48</v>
      </c>
      <c r="W24" s="15" t="s">
        <v>49</v>
      </c>
      <c r="X24" s="15" t="s">
        <v>50</v>
      </c>
      <c r="Z24" s="15" t="s">
        <v>48</v>
      </c>
      <c r="AA24" s="15" t="s">
        <v>49</v>
      </c>
      <c r="AB24" s="15" t="s">
        <v>50</v>
      </c>
    </row>
    <row r="25" customFormat="false" ht="15" hidden="false" customHeight="false" outlineLevel="0" collapsed="false">
      <c r="A25" s="3" t="s">
        <v>10</v>
      </c>
      <c r="B25" s="18" t="s">
        <v>89</v>
      </c>
      <c r="C25" s="18" t="s">
        <v>89</v>
      </c>
      <c r="D25" s="18" t="s">
        <v>87</v>
      </c>
      <c r="F25" s="18" t="s">
        <v>87</v>
      </c>
      <c r="G25" s="18" t="s">
        <v>87</v>
      </c>
      <c r="H25" s="18" t="s">
        <v>88</v>
      </c>
      <c r="J25" s="18" t="s">
        <v>87</v>
      </c>
      <c r="K25" s="18" t="s">
        <v>87</v>
      </c>
      <c r="L25" s="18" t="s">
        <v>87</v>
      </c>
      <c r="N25" s="18" t="s">
        <v>90</v>
      </c>
      <c r="O25" s="18" t="s">
        <v>90</v>
      </c>
      <c r="P25" s="18" t="s">
        <v>90</v>
      </c>
      <c r="R25" s="18" t="s">
        <v>90</v>
      </c>
      <c r="S25" s="18" t="s">
        <v>90</v>
      </c>
      <c r="T25" s="18" t="s">
        <v>90</v>
      </c>
      <c r="V25" s="18" t="s">
        <v>90</v>
      </c>
      <c r="W25" s="18" t="s">
        <v>90</v>
      </c>
      <c r="X25" s="18" t="s">
        <v>90</v>
      </c>
      <c r="Z25" s="18" t="s">
        <v>87</v>
      </c>
      <c r="AA25" s="18" t="s">
        <v>87</v>
      </c>
      <c r="AB25" s="18" t="s">
        <v>87</v>
      </c>
    </row>
    <row r="26" customFormat="false" ht="15" hidden="false" customHeight="false" outlineLevel="0" collapsed="false">
      <c r="A26" s="3" t="s">
        <v>12</v>
      </c>
      <c r="B26" s="18" t="s">
        <v>89</v>
      </c>
      <c r="C26" s="18" t="s">
        <v>89</v>
      </c>
      <c r="D26" s="18" t="s">
        <v>87</v>
      </c>
      <c r="F26" s="18" t="s">
        <v>87</v>
      </c>
      <c r="G26" s="18" t="s">
        <v>87</v>
      </c>
      <c r="H26" s="18" t="s">
        <v>88</v>
      </c>
      <c r="J26" s="18" t="s">
        <v>87</v>
      </c>
      <c r="K26" s="18" t="s">
        <v>87</v>
      </c>
      <c r="L26" s="18" t="s">
        <v>87</v>
      </c>
      <c r="N26" s="18" t="s">
        <v>90</v>
      </c>
      <c r="O26" s="18" t="s">
        <v>90</v>
      </c>
      <c r="P26" s="18" t="s">
        <v>90</v>
      </c>
      <c r="R26" s="18" t="s">
        <v>90</v>
      </c>
      <c r="S26" s="18" t="s">
        <v>90</v>
      </c>
      <c r="T26" s="18" t="s">
        <v>90</v>
      </c>
      <c r="V26" s="18" t="s">
        <v>90</v>
      </c>
      <c r="W26" s="18" t="s">
        <v>90</v>
      </c>
      <c r="X26" s="18" t="s">
        <v>90</v>
      </c>
      <c r="Z26" s="18" t="s">
        <v>87</v>
      </c>
      <c r="AA26" s="18" t="s">
        <v>87</v>
      </c>
      <c r="AB26" s="18" t="s">
        <v>87</v>
      </c>
    </row>
    <row r="27" customFormat="false" ht="15" hidden="false" customHeight="false" outlineLevel="0" collapsed="false">
      <c r="A27" s="3" t="s">
        <v>13</v>
      </c>
      <c r="B27" s="18" t="s">
        <v>89</v>
      </c>
      <c r="C27" s="18" t="s">
        <v>89</v>
      </c>
      <c r="D27" s="18" t="s">
        <v>88</v>
      </c>
      <c r="F27" s="18" t="s">
        <v>88</v>
      </c>
      <c r="G27" s="18" t="s">
        <v>88</v>
      </c>
      <c r="H27" s="18" t="s">
        <v>91</v>
      </c>
      <c r="J27" s="18" t="s">
        <v>88</v>
      </c>
      <c r="K27" s="18" t="s">
        <v>88</v>
      </c>
      <c r="L27" s="18" t="s">
        <v>91</v>
      </c>
      <c r="N27" s="18" t="s">
        <v>90</v>
      </c>
      <c r="O27" s="18" t="s">
        <v>90</v>
      </c>
      <c r="P27" s="18" t="s">
        <v>90</v>
      </c>
      <c r="R27" s="18" t="s">
        <v>90</v>
      </c>
      <c r="S27" s="18" t="s">
        <v>90</v>
      </c>
      <c r="T27" s="18" t="s">
        <v>90</v>
      </c>
      <c r="V27" s="18" t="s">
        <v>90</v>
      </c>
      <c r="W27" s="18" t="s">
        <v>90</v>
      </c>
      <c r="X27" s="18" t="s">
        <v>90</v>
      </c>
      <c r="Z27" s="18" t="s">
        <v>88</v>
      </c>
      <c r="AA27" s="18" t="s">
        <v>88</v>
      </c>
      <c r="AB27" s="18" t="s">
        <v>91</v>
      </c>
    </row>
    <row r="28" customFormat="false" ht="15" hidden="false" customHeight="false" outlineLevel="0" collapsed="false">
      <c r="A28" s="3" t="s">
        <v>14</v>
      </c>
      <c r="B28" s="18" t="s">
        <v>89</v>
      </c>
      <c r="C28" s="18" t="s">
        <v>89</v>
      </c>
      <c r="D28" s="18" t="s">
        <v>91</v>
      </c>
      <c r="F28" s="18" t="s">
        <v>91</v>
      </c>
      <c r="G28" s="18" t="s">
        <v>91</v>
      </c>
      <c r="H28" s="18" t="s">
        <v>91</v>
      </c>
      <c r="J28" s="18" t="s">
        <v>91</v>
      </c>
      <c r="K28" s="18" t="s">
        <v>91</v>
      </c>
      <c r="L28" s="18" t="s">
        <v>91</v>
      </c>
      <c r="N28" s="18" t="s">
        <v>90</v>
      </c>
      <c r="O28" s="18" t="s">
        <v>90</v>
      </c>
      <c r="P28" s="18" t="s">
        <v>90</v>
      </c>
      <c r="R28" s="18" t="s">
        <v>90</v>
      </c>
      <c r="S28" s="18" t="s">
        <v>90</v>
      </c>
      <c r="T28" s="18" t="s">
        <v>90</v>
      </c>
      <c r="V28" s="18" t="s">
        <v>90</v>
      </c>
      <c r="W28" s="18" t="s">
        <v>90</v>
      </c>
      <c r="X28" s="18" t="s">
        <v>90</v>
      </c>
      <c r="Z28" s="18" t="s">
        <v>91</v>
      </c>
      <c r="AA28" s="18" t="s">
        <v>91</v>
      </c>
      <c r="AB28" s="18" t="s">
        <v>91</v>
      </c>
    </row>
    <row r="29" customFormat="false" ht="15" hidden="false" customHeight="false" outlineLevel="0" collapsed="false">
      <c r="A29" s="3" t="s">
        <v>15</v>
      </c>
      <c r="B29" s="18" t="s">
        <v>89</v>
      </c>
      <c r="C29" s="18" t="s">
        <v>89</v>
      </c>
      <c r="D29" s="18" t="s">
        <v>91</v>
      </c>
      <c r="F29" s="18" t="s">
        <v>91</v>
      </c>
      <c r="G29" s="18" t="s">
        <v>91</v>
      </c>
      <c r="H29" s="18" t="s">
        <v>91</v>
      </c>
      <c r="J29" s="18" t="s">
        <v>91</v>
      </c>
      <c r="K29" s="18" t="s">
        <v>91</v>
      </c>
      <c r="L29" s="18" t="s">
        <v>91</v>
      </c>
      <c r="N29" s="18" t="s">
        <v>90</v>
      </c>
      <c r="O29" s="18" t="s">
        <v>90</v>
      </c>
      <c r="P29" s="18" t="s">
        <v>90</v>
      </c>
      <c r="R29" s="18" t="s">
        <v>90</v>
      </c>
      <c r="S29" s="18" t="s">
        <v>90</v>
      </c>
      <c r="T29" s="18" t="s">
        <v>90</v>
      </c>
      <c r="V29" s="18" t="s">
        <v>90</v>
      </c>
      <c r="W29" s="18" t="s">
        <v>90</v>
      </c>
      <c r="X29" s="18" t="s">
        <v>90</v>
      </c>
      <c r="Z29" s="18" t="s">
        <v>91</v>
      </c>
      <c r="AA29" s="18" t="s">
        <v>91</v>
      </c>
      <c r="AB29" s="18" t="s">
        <v>91</v>
      </c>
    </row>
    <row r="30" customFormat="false" ht="15" hidden="false" customHeight="false" outlineLevel="0" collapsed="false">
      <c r="A30" s="3" t="s">
        <v>16</v>
      </c>
      <c r="B30" s="18" t="s">
        <v>89</v>
      </c>
      <c r="C30" s="18" t="s">
        <v>89</v>
      </c>
      <c r="D30" s="18" t="s">
        <v>91</v>
      </c>
      <c r="F30" s="18" t="s">
        <v>91</v>
      </c>
      <c r="G30" s="18" t="s">
        <v>91</v>
      </c>
      <c r="H30" s="18" t="s">
        <v>91</v>
      </c>
      <c r="J30" s="18" t="s">
        <v>91</v>
      </c>
      <c r="K30" s="18" t="s">
        <v>91</v>
      </c>
      <c r="L30" s="18" t="s">
        <v>91</v>
      </c>
      <c r="N30" s="18" t="s">
        <v>90</v>
      </c>
      <c r="O30" s="18" t="s">
        <v>90</v>
      </c>
      <c r="P30" s="18" t="s">
        <v>90</v>
      </c>
      <c r="R30" s="18" t="s">
        <v>90</v>
      </c>
      <c r="S30" s="18" t="s">
        <v>90</v>
      </c>
      <c r="T30" s="18" t="s">
        <v>90</v>
      </c>
      <c r="V30" s="18" t="s">
        <v>90</v>
      </c>
      <c r="W30" s="18" t="s">
        <v>90</v>
      </c>
      <c r="X30" s="18" t="s">
        <v>90</v>
      </c>
      <c r="Z30" s="18" t="s">
        <v>91</v>
      </c>
      <c r="AA30" s="18" t="s">
        <v>91</v>
      </c>
      <c r="AB30" s="18" t="s">
        <v>91</v>
      </c>
    </row>
    <row r="32" customFormat="false" ht="15" hidden="false" customHeight="false" outlineLevel="0" collapsed="false">
      <c r="A32" s="3" t="s">
        <v>85</v>
      </c>
      <c r="B32" s="3" t="s">
        <v>83</v>
      </c>
      <c r="F32" s="3" t="s">
        <v>79</v>
      </c>
      <c r="J32" s="3" t="s">
        <v>78</v>
      </c>
      <c r="N32" s="3" t="s">
        <v>80</v>
      </c>
      <c r="R32" s="3" t="s">
        <v>77</v>
      </c>
      <c r="V32" s="3" t="s">
        <v>81</v>
      </c>
      <c r="Z32" s="3" t="s">
        <v>82</v>
      </c>
    </row>
    <row r="33" customFormat="false" ht="15" hidden="false" customHeight="false" outlineLevel="0" collapsed="false">
      <c r="A33" s="12" t="s">
        <v>84</v>
      </c>
      <c r="B33" s="15" t="s">
        <v>48</v>
      </c>
      <c r="C33" s="15" t="s">
        <v>49</v>
      </c>
      <c r="D33" s="15" t="s">
        <v>50</v>
      </c>
      <c r="F33" s="15" t="s">
        <v>48</v>
      </c>
      <c r="G33" s="15" t="s">
        <v>49</v>
      </c>
      <c r="H33" s="15" t="s">
        <v>50</v>
      </c>
      <c r="J33" s="15" t="s">
        <v>48</v>
      </c>
      <c r="K33" s="15" t="s">
        <v>49</v>
      </c>
      <c r="L33" s="15" t="s">
        <v>50</v>
      </c>
      <c r="N33" s="15" t="s">
        <v>48</v>
      </c>
      <c r="O33" s="15" t="s">
        <v>49</v>
      </c>
      <c r="P33" s="15" t="s">
        <v>50</v>
      </c>
      <c r="R33" s="15" t="s">
        <v>48</v>
      </c>
      <c r="S33" s="15" t="s">
        <v>49</v>
      </c>
      <c r="T33" s="15" t="s">
        <v>50</v>
      </c>
      <c r="V33" s="15" t="s">
        <v>48</v>
      </c>
      <c r="W33" s="15" t="s">
        <v>49</v>
      </c>
      <c r="X33" s="15" t="s">
        <v>50</v>
      </c>
      <c r="Z33" s="15" t="s">
        <v>48</v>
      </c>
      <c r="AA33" s="15" t="s">
        <v>49</v>
      </c>
      <c r="AB33" s="15" t="s">
        <v>50</v>
      </c>
    </row>
    <row r="34" customFormat="false" ht="15" hidden="false" customHeight="false" outlineLevel="0" collapsed="false">
      <c r="A34" s="3" t="s">
        <v>10</v>
      </c>
      <c r="B34" s="18" t="s">
        <v>92</v>
      </c>
      <c r="C34" s="18" t="s">
        <v>92</v>
      </c>
      <c r="D34" s="18" t="s">
        <v>89</v>
      </c>
      <c r="F34" s="18" t="s">
        <v>92</v>
      </c>
      <c r="G34" s="18" t="s">
        <v>92</v>
      </c>
      <c r="H34" s="18" t="s">
        <v>87</v>
      </c>
      <c r="J34" s="18" t="s">
        <v>92</v>
      </c>
      <c r="K34" s="18" t="s">
        <v>92</v>
      </c>
      <c r="L34" s="18" t="s">
        <v>87</v>
      </c>
      <c r="N34" s="18" t="s">
        <v>92</v>
      </c>
      <c r="O34" s="18" t="s">
        <v>92</v>
      </c>
      <c r="P34" s="18" t="s">
        <v>87</v>
      </c>
      <c r="R34" s="18" t="s">
        <v>92</v>
      </c>
      <c r="S34" s="18" t="s">
        <v>92</v>
      </c>
      <c r="T34" s="18" t="s">
        <v>87</v>
      </c>
      <c r="V34" s="18" t="s">
        <v>92</v>
      </c>
      <c r="W34" s="18" t="s">
        <v>92</v>
      </c>
      <c r="X34" s="18" t="s">
        <v>87</v>
      </c>
      <c r="Z34" s="18" t="s">
        <v>92</v>
      </c>
      <c r="AA34" s="18" t="s">
        <v>92</v>
      </c>
      <c r="AB34" s="18" t="s">
        <v>87</v>
      </c>
    </row>
    <row r="35" customFormat="false" ht="15" hidden="false" customHeight="false" outlineLevel="0" collapsed="false">
      <c r="A35" s="3" t="s">
        <v>12</v>
      </c>
      <c r="B35" s="18" t="s">
        <v>92</v>
      </c>
      <c r="C35" s="18" t="s">
        <v>92</v>
      </c>
      <c r="D35" s="18" t="s">
        <v>89</v>
      </c>
      <c r="F35" s="18" t="s">
        <v>92</v>
      </c>
      <c r="G35" s="18" t="s">
        <v>92</v>
      </c>
      <c r="H35" s="18" t="s">
        <v>87</v>
      </c>
      <c r="J35" s="18" t="s">
        <v>92</v>
      </c>
      <c r="K35" s="18" t="s">
        <v>92</v>
      </c>
      <c r="L35" s="18" t="s">
        <v>87</v>
      </c>
      <c r="N35" s="18" t="s">
        <v>92</v>
      </c>
      <c r="O35" s="18" t="s">
        <v>92</v>
      </c>
      <c r="P35" s="18" t="s">
        <v>87</v>
      </c>
      <c r="R35" s="18" t="s">
        <v>92</v>
      </c>
      <c r="S35" s="18" t="s">
        <v>92</v>
      </c>
      <c r="T35" s="18" t="s">
        <v>87</v>
      </c>
      <c r="V35" s="18" t="s">
        <v>92</v>
      </c>
      <c r="W35" s="18" t="s">
        <v>92</v>
      </c>
      <c r="X35" s="18" t="s">
        <v>87</v>
      </c>
      <c r="Z35" s="18" t="s">
        <v>92</v>
      </c>
      <c r="AA35" s="18" t="s">
        <v>92</v>
      </c>
      <c r="AB35" s="18" t="s">
        <v>87</v>
      </c>
    </row>
    <row r="36" customFormat="false" ht="15" hidden="false" customHeight="false" outlineLevel="0" collapsed="false">
      <c r="A36" s="3" t="s">
        <v>13</v>
      </c>
      <c r="B36" s="18" t="s">
        <v>92</v>
      </c>
      <c r="C36" s="18" t="s">
        <v>92</v>
      </c>
      <c r="D36" s="18" t="s">
        <v>93</v>
      </c>
      <c r="F36" s="18" t="s">
        <v>87</v>
      </c>
      <c r="G36" s="18" t="s">
        <v>87</v>
      </c>
      <c r="H36" s="18" t="s">
        <v>91</v>
      </c>
      <c r="J36" s="18" t="s">
        <v>87</v>
      </c>
      <c r="K36" s="18" t="s">
        <v>87</v>
      </c>
      <c r="L36" s="18" t="s">
        <v>91</v>
      </c>
      <c r="N36" s="18" t="s">
        <v>90</v>
      </c>
      <c r="O36" s="18" t="s">
        <v>90</v>
      </c>
      <c r="P36" s="18" t="s">
        <v>90</v>
      </c>
      <c r="R36" s="18" t="s">
        <v>90</v>
      </c>
      <c r="S36" s="18" t="s">
        <v>90</v>
      </c>
      <c r="T36" s="18" t="s">
        <v>90</v>
      </c>
      <c r="V36" s="18" t="s">
        <v>90</v>
      </c>
      <c r="W36" s="18" t="s">
        <v>90</v>
      </c>
      <c r="X36" s="18" t="s">
        <v>90</v>
      </c>
      <c r="Z36" s="18" t="s">
        <v>87</v>
      </c>
      <c r="AA36" s="18" t="s">
        <v>87</v>
      </c>
      <c r="AB36" s="18" t="s">
        <v>91</v>
      </c>
    </row>
    <row r="37" customFormat="false" ht="15" hidden="false" customHeight="false" outlineLevel="0" collapsed="false">
      <c r="A37" s="3" t="s">
        <v>14</v>
      </c>
      <c r="B37" s="18" t="s">
        <v>92</v>
      </c>
      <c r="C37" s="18" t="s">
        <v>92</v>
      </c>
      <c r="D37" s="18" t="s">
        <v>93</v>
      </c>
      <c r="F37" s="18" t="s">
        <v>88</v>
      </c>
      <c r="G37" s="18" t="s">
        <v>88</v>
      </c>
      <c r="H37" s="18" t="s">
        <v>91</v>
      </c>
      <c r="J37" s="18" t="s">
        <v>88</v>
      </c>
      <c r="K37" s="18" t="s">
        <v>88</v>
      </c>
      <c r="L37" s="18" t="s">
        <v>91</v>
      </c>
      <c r="N37" s="18" t="s">
        <v>90</v>
      </c>
      <c r="O37" s="18" t="s">
        <v>90</v>
      </c>
      <c r="P37" s="18" t="s">
        <v>90</v>
      </c>
      <c r="R37" s="18" t="s">
        <v>90</v>
      </c>
      <c r="S37" s="18" t="s">
        <v>90</v>
      </c>
      <c r="T37" s="18" t="s">
        <v>90</v>
      </c>
      <c r="V37" s="18" t="s">
        <v>90</v>
      </c>
      <c r="W37" s="18" t="s">
        <v>90</v>
      </c>
      <c r="X37" s="18" t="s">
        <v>90</v>
      </c>
      <c r="Z37" s="18" t="s">
        <v>88</v>
      </c>
      <c r="AA37" s="18" t="s">
        <v>88</v>
      </c>
      <c r="AB37" s="18" t="s">
        <v>91</v>
      </c>
    </row>
    <row r="38" customFormat="false" ht="15" hidden="false" customHeight="false" outlineLevel="0" collapsed="false">
      <c r="A38" s="3" t="s">
        <v>15</v>
      </c>
      <c r="B38" s="18" t="s">
        <v>92</v>
      </c>
      <c r="C38" s="18" t="s">
        <v>92</v>
      </c>
      <c r="D38" s="18" t="s">
        <v>93</v>
      </c>
      <c r="F38" s="18" t="s">
        <v>88</v>
      </c>
      <c r="G38" s="18" t="s">
        <v>88</v>
      </c>
      <c r="H38" s="18" t="s">
        <v>91</v>
      </c>
      <c r="J38" s="18" t="s">
        <v>88</v>
      </c>
      <c r="K38" s="18" t="s">
        <v>88</v>
      </c>
      <c r="L38" s="18" t="s">
        <v>91</v>
      </c>
      <c r="N38" s="18" t="s">
        <v>90</v>
      </c>
      <c r="O38" s="18" t="s">
        <v>90</v>
      </c>
      <c r="P38" s="18" t="s">
        <v>90</v>
      </c>
      <c r="R38" s="18" t="s">
        <v>90</v>
      </c>
      <c r="S38" s="18" t="s">
        <v>90</v>
      </c>
      <c r="T38" s="18" t="s">
        <v>90</v>
      </c>
      <c r="V38" s="18" t="s">
        <v>90</v>
      </c>
      <c r="W38" s="18" t="s">
        <v>90</v>
      </c>
      <c r="X38" s="18" t="s">
        <v>90</v>
      </c>
      <c r="Z38" s="18" t="s">
        <v>88</v>
      </c>
      <c r="AA38" s="18" t="s">
        <v>88</v>
      </c>
      <c r="AB38" s="18" t="s">
        <v>91</v>
      </c>
    </row>
    <row r="39" customFormat="false" ht="15" hidden="false" customHeight="false" outlineLevel="0" collapsed="false">
      <c r="A39" s="3" t="s">
        <v>16</v>
      </c>
      <c r="B39" s="18" t="s">
        <v>92</v>
      </c>
      <c r="C39" s="18" t="s">
        <v>92</v>
      </c>
      <c r="D39" s="18" t="s">
        <v>93</v>
      </c>
      <c r="F39" s="18" t="s">
        <v>88</v>
      </c>
      <c r="G39" s="18" t="s">
        <v>88</v>
      </c>
      <c r="H39" s="18" t="s">
        <v>91</v>
      </c>
      <c r="J39" s="18" t="s">
        <v>88</v>
      </c>
      <c r="K39" s="18" t="s">
        <v>88</v>
      </c>
      <c r="L39" s="18" t="s">
        <v>91</v>
      </c>
      <c r="N39" s="18" t="s">
        <v>90</v>
      </c>
      <c r="O39" s="18" t="s">
        <v>90</v>
      </c>
      <c r="P39" s="18" t="s">
        <v>90</v>
      </c>
      <c r="R39" s="18" t="s">
        <v>90</v>
      </c>
      <c r="S39" s="18" t="s">
        <v>90</v>
      </c>
      <c r="T39" s="18" t="s">
        <v>90</v>
      </c>
      <c r="V39" s="18" t="s">
        <v>90</v>
      </c>
      <c r="W39" s="18" t="s">
        <v>90</v>
      </c>
      <c r="X39" s="18" t="s">
        <v>90</v>
      </c>
      <c r="Z39" s="18" t="s">
        <v>88</v>
      </c>
      <c r="AA39" s="18" t="s">
        <v>88</v>
      </c>
      <c r="AB39" s="18"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0"/>
    <col collapsed="false" customWidth="true" hidden="false" outlineLevel="0" max="4" min="4" style="0" width="8"/>
    <col collapsed="false" customWidth="true" hidden="false" outlineLevel="0" max="6" min="5" style="0" width="12"/>
    <col collapsed="false" customWidth="true" hidden="false" outlineLevel="0" max="8" min="7" style="0" width="10"/>
    <col collapsed="false" customWidth="true" hidden="false" outlineLevel="0" max="9" min="9" style="0" width="9"/>
    <col collapsed="false" customWidth="true" hidden="false" outlineLevel="0" max="11" min="10" style="0" width="11"/>
    <col collapsed="false" customWidth="true" hidden="false" outlineLevel="0" max="12" min="12" style="0" width="9"/>
    <col collapsed="false" customWidth="true" hidden="false" outlineLevel="0" max="14" min="13" style="0" width="12"/>
    <col collapsed="false" customWidth="true" hidden="false" outlineLevel="0" max="15" min="15" style="0" width="11"/>
    <col collapsed="false" customWidth="true" hidden="false" outlineLevel="0" max="16" min="16" style="0" width="60"/>
  </cols>
  <sheetData>
    <row r="1" customFormat="false" ht="52.2" hidden="false" customHeight="false" outlineLevel="0" collapsed="false">
      <c r="A1" s="19" t="s">
        <v>109</v>
      </c>
      <c r="B1" s="19" t="s">
        <v>110</v>
      </c>
      <c r="C1" s="19" t="s">
        <v>111</v>
      </c>
      <c r="D1" s="19" t="s">
        <v>60</v>
      </c>
      <c r="E1" s="19" t="s">
        <v>112</v>
      </c>
      <c r="F1" s="19" t="s">
        <v>113</v>
      </c>
      <c r="G1" s="19" t="s">
        <v>114</v>
      </c>
      <c r="H1" s="19" t="s">
        <v>115</v>
      </c>
      <c r="I1" s="19" t="s">
        <v>116</v>
      </c>
      <c r="J1" s="19" t="s">
        <v>117</v>
      </c>
      <c r="K1" s="19" t="s">
        <v>118</v>
      </c>
      <c r="L1" s="19" t="s">
        <v>119</v>
      </c>
      <c r="M1" s="19" t="s">
        <v>120</v>
      </c>
      <c r="N1" s="19" t="s">
        <v>121</v>
      </c>
      <c r="O1" s="19" t="s">
        <v>122</v>
      </c>
      <c r="P1" s="19" t="s">
        <v>123</v>
      </c>
    </row>
    <row r="2" customFormat="false" ht="15" hidden="false" customHeight="false" outlineLevel="0" collapsed="false">
      <c r="A2" s="2" t="s">
        <v>124</v>
      </c>
      <c r="B2" s="2" t="s">
        <v>125</v>
      </c>
      <c r="C2" s="2" t="s">
        <v>126</v>
      </c>
      <c r="D2" s="2" t="s">
        <v>10</v>
      </c>
      <c r="E2" s="2" t="s">
        <v>48</v>
      </c>
      <c r="F2" s="14" t="n">
        <v>13.93</v>
      </c>
      <c r="G2" s="2" t="n">
        <v>7</v>
      </c>
      <c r="H2" s="2" t="n">
        <v>19</v>
      </c>
      <c r="I2" s="20" t="n">
        <v>0.94</v>
      </c>
      <c r="J2" s="14" t="n">
        <v>14.5</v>
      </c>
      <c r="K2" s="14" t="n">
        <v>19.5</v>
      </c>
      <c r="L2" s="20" t="n">
        <f aca="false">INDEX('Read me'!$B$10:$B$15,1)</f>
        <v>1.34</v>
      </c>
      <c r="M2" s="14" t="n">
        <f aca="false">IF(F2*(1+'Read me'!$B$5)&lt;='Read me'!$B$7,CEILING(F2*(1+'Read me'!$B$5)+0.5,1)-0.5,CEILING(F2*(1+'Read me'!$B$5),5))</f>
        <v>14.5</v>
      </c>
      <c r="N2" s="14" t="n">
        <f aca="false">IF(MAX(M2*L2,M2+'Read me'!$B$6)&lt;='Read me'!$B$7,CEILING(MAX(M2*L2,M2+'Read me'!$B$6)+0.5,1)-0.5,CEILING(MAX(M2*L2,M2+'Read me'!$B$6),5))</f>
        <v>19.5</v>
      </c>
      <c r="O2" s="21" t="n">
        <f aca="false">IF(ISNUMBER(J2),M2-J2,"new")</f>
        <v>0</v>
      </c>
    </row>
    <row r="3" customFormat="false" ht="15" hidden="false" customHeight="false" outlineLevel="0" collapsed="false">
      <c r="A3" s="2" t="s">
        <v>127</v>
      </c>
      <c r="B3" s="2" t="s">
        <v>125</v>
      </c>
      <c r="C3" s="2" t="s">
        <v>126</v>
      </c>
      <c r="D3" s="2" t="s">
        <v>10</v>
      </c>
      <c r="E3" s="2" t="s">
        <v>49</v>
      </c>
      <c r="F3" s="14" t="n">
        <v>14.35</v>
      </c>
      <c r="G3" s="2" t="n">
        <v>0</v>
      </c>
      <c r="H3" s="2" t="n">
        <v>19</v>
      </c>
      <c r="I3" s="20" t="n">
        <v>0.94</v>
      </c>
      <c r="J3" s="14" t="n">
        <v>14.5</v>
      </c>
      <c r="K3" s="14" t="n">
        <v>19.5</v>
      </c>
      <c r="L3" s="20" t="n">
        <f aca="false">INDEX('Read me'!$B$10:$B$15,1)</f>
        <v>1.34</v>
      </c>
      <c r="M3" s="14" t="n">
        <f aca="false">IF(F3*(1+'Read me'!$B$5)&lt;='Read me'!$B$7,CEILING(F3*(1+'Read me'!$B$5)+0.5,1)-0.5,CEILING(F3*(1+'Read me'!$B$5),5))</f>
        <v>14.5</v>
      </c>
      <c r="N3" s="14" t="n">
        <f aca="false">IF(MAX(M3*L3,M3+'Read me'!$B$6)&lt;='Read me'!$B$7,CEILING(MAX(M3*L3,M3+'Read me'!$B$6)+0.5,1)-0.5,CEILING(MAX(M3*L3,M3+'Read me'!$B$6),5))</f>
        <v>19.5</v>
      </c>
      <c r="O3" s="21" t="n">
        <f aca="false">IF(ISNUMBER(J3),M3-J3,"new")</f>
        <v>0</v>
      </c>
    </row>
    <row r="4" customFormat="false" ht="15" hidden="false" customHeight="false" outlineLevel="0" collapsed="false">
      <c r="A4" s="2" t="s">
        <v>128</v>
      </c>
      <c r="B4" s="2" t="s">
        <v>125</v>
      </c>
      <c r="C4" s="2" t="s">
        <v>126</v>
      </c>
      <c r="D4" s="2" t="s">
        <v>10</v>
      </c>
      <c r="E4" s="2" t="s">
        <v>50</v>
      </c>
      <c r="F4" s="14" t="n">
        <v>18.93</v>
      </c>
      <c r="G4" s="2" t="n">
        <v>0</v>
      </c>
      <c r="H4" s="2" t="n">
        <v>19</v>
      </c>
      <c r="I4" s="20" t="n">
        <v>0.94</v>
      </c>
      <c r="J4" s="14" t="n">
        <v>17.5</v>
      </c>
      <c r="K4" s="14" t="n">
        <v>29.5</v>
      </c>
      <c r="L4" s="20" t="n">
        <f aca="false">INDEX('Read me'!$B$10:$B$15,1)</f>
        <v>1.34</v>
      </c>
      <c r="M4" s="14" t="n">
        <f aca="false">IF(F4*(1+'Read me'!$B$5)&lt;='Read me'!$B$7,CEILING(F4*(1+'Read me'!$B$5)+0.5,1)-0.5,CEILING(F4*(1+'Read me'!$B$5),5))</f>
        <v>19.5</v>
      </c>
      <c r="N4" s="14" t="n">
        <f aca="false">IF(MAX(M4*L4,M4+'Read me'!$B$6)&lt;='Read me'!$B$7,CEILING(MAX(M4*L4,M4+'Read me'!$B$6)+0.5,1)-0.5,CEILING(MAX(M4*L4,M4+'Read me'!$B$6),5))</f>
        <v>26.5</v>
      </c>
      <c r="O4" s="21" t="n">
        <f aca="false">IF(ISNUMBER(J4),M4-J4,"new")</f>
        <v>2</v>
      </c>
    </row>
    <row r="5" customFormat="false" ht="15" hidden="false" customHeight="false" outlineLevel="0" collapsed="false">
      <c r="A5" s="2" t="s">
        <v>129</v>
      </c>
      <c r="B5" s="2" t="s">
        <v>125</v>
      </c>
      <c r="C5" s="2" t="s">
        <v>126</v>
      </c>
      <c r="D5" s="2" t="s">
        <v>12</v>
      </c>
      <c r="E5" s="2" t="s">
        <v>48</v>
      </c>
      <c r="F5" s="14" t="n">
        <v>45.11</v>
      </c>
      <c r="G5" s="2" t="n">
        <v>10</v>
      </c>
      <c r="H5" s="2" t="n">
        <v>19</v>
      </c>
      <c r="I5" s="20" t="n">
        <v>0.94</v>
      </c>
      <c r="J5" s="14" t="n">
        <v>19.5</v>
      </c>
      <c r="K5" s="14" t="n">
        <v>24.5</v>
      </c>
      <c r="L5" s="20" t="n">
        <f aca="false">INDEX('Read me'!$B$10:$B$15,2)</f>
        <v>1.26</v>
      </c>
      <c r="M5" s="14" t="n">
        <f aca="false">IF(F5*(1+'Read me'!$B$5)&lt;='Read me'!$B$7,CEILING(F5*(1+'Read me'!$B$5)+0.5,1)-0.5,CEILING(F5*(1+'Read me'!$B$5),5))</f>
        <v>50</v>
      </c>
      <c r="N5" s="14" t="n">
        <f aca="false">IF(MAX(M5*L5,M5+'Read me'!$B$6)&lt;='Read me'!$B$7,CEILING(MAX(M5*L5,M5+'Read me'!$B$6)+0.5,1)-0.5,CEILING(MAX(M5*L5,M5+'Read me'!$B$6),5))</f>
        <v>65</v>
      </c>
      <c r="O5" s="21" t="n">
        <f aca="false">IF(ISNUMBER(J5),M5-J5,"new")</f>
        <v>30.5</v>
      </c>
    </row>
    <row r="6" customFormat="false" ht="15" hidden="false" customHeight="false" outlineLevel="0" collapsed="false">
      <c r="A6" s="2" t="s">
        <v>130</v>
      </c>
      <c r="B6" s="2" t="s">
        <v>125</v>
      </c>
      <c r="C6" s="2" t="s">
        <v>126</v>
      </c>
      <c r="D6" s="2" t="s">
        <v>12</v>
      </c>
      <c r="E6" s="2" t="s">
        <v>49</v>
      </c>
      <c r="F6" s="14" t="n">
        <v>49.5</v>
      </c>
      <c r="G6" s="2" t="n">
        <v>0</v>
      </c>
      <c r="H6" s="2" t="n">
        <v>19</v>
      </c>
      <c r="I6" s="20" t="n">
        <v>0.94</v>
      </c>
      <c r="J6" s="14" t="n">
        <v>19.5</v>
      </c>
      <c r="K6" s="14" t="n">
        <v>24.5</v>
      </c>
      <c r="L6" s="20" t="n">
        <f aca="false">INDEX('Read me'!$B$10:$B$15,2)</f>
        <v>1.26</v>
      </c>
      <c r="M6" s="14" t="n">
        <f aca="false">IF(F6*(1+'Read me'!$B$5)&lt;='Read me'!$B$7,CEILING(F6*(1+'Read me'!$B$5)+0.5,1)-0.5,CEILING(F6*(1+'Read me'!$B$5),5))</f>
        <v>50</v>
      </c>
      <c r="N6" s="14" t="n">
        <f aca="false">IF(MAX(M6*L6,M6+'Read me'!$B$6)&lt;='Read me'!$B$7,CEILING(MAX(M6*L6,M6+'Read me'!$B$6)+0.5,1)-0.5,CEILING(MAX(M6*L6,M6+'Read me'!$B$6),5))</f>
        <v>65</v>
      </c>
      <c r="O6" s="21" t="n">
        <f aca="false">IF(ISNUMBER(J6),M6-J6,"new")</f>
        <v>30.5</v>
      </c>
    </row>
    <row r="7" customFormat="false" ht="15" hidden="false" customHeight="false" outlineLevel="0" collapsed="false">
      <c r="A7" s="2" t="s">
        <v>131</v>
      </c>
      <c r="B7" s="2" t="s">
        <v>125</v>
      </c>
      <c r="C7" s="2" t="s">
        <v>126</v>
      </c>
      <c r="D7" s="2" t="s">
        <v>12</v>
      </c>
      <c r="E7" s="2" t="s">
        <v>50</v>
      </c>
      <c r="F7" s="14" t="n">
        <v>57.79</v>
      </c>
      <c r="G7" s="2" t="n">
        <v>0</v>
      </c>
      <c r="H7" s="2" t="n">
        <v>19</v>
      </c>
      <c r="I7" s="20" t="n">
        <v>0.94</v>
      </c>
      <c r="J7" s="14" t="n">
        <v>19.5</v>
      </c>
      <c r="K7" s="14" t="n">
        <v>34.5</v>
      </c>
      <c r="L7" s="20" t="n">
        <f aca="false">INDEX('Read me'!$B$10:$B$15,2)</f>
        <v>1.26</v>
      </c>
      <c r="M7" s="14" t="n">
        <f aca="false">IF(F7*(1+'Read me'!$B$5)&lt;='Read me'!$B$7,CEILING(F7*(1+'Read me'!$B$5)+0.5,1)-0.5,CEILING(F7*(1+'Read me'!$B$5),5))</f>
        <v>60</v>
      </c>
      <c r="N7" s="14" t="n">
        <f aca="false">IF(MAX(M7*L7,M7+'Read me'!$B$6)&lt;='Read me'!$B$7,CEILING(MAX(M7*L7,M7+'Read me'!$B$6)+0.5,1)-0.5,CEILING(MAX(M7*L7,M7+'Read me'!$B$6),5))</f>
        <v>80</v>
      </c>
      <c r="O7" s="21" t="n">
        <f aca="false">IF(ISNUMBER(J7),M7-J7,"new")</f>
        <v>40.5</v>
      </c>
    </row>
    <row r="8" customFormat="false" ht="15" hidden="false" customHeight="false" outlineLevel="0" collapsed="false">
      <c r="A8" s="2" t="s">
        <v>132</v>
      </c>
      <c r="B8" s="2" t="s">
        <v>125</v>
      </c>
      <c r="C8" s="2" t="s">
        <v>126</v>
      </c>
      <c r="D8" s="2" t="s">
        <v>13</v>
      </c>
      <c r="E8" s="2" t="s">
        <v>48</v>
      </c>
      <c r="F8" s="14" t="n">
        <v>76.91</v>
      </c>
      <c r="G8" s="2" t="n">
        <v>1</v>
      </c>
      <c r="H8" s="2" t="n">
        <v>19</v>
      </c>
      <c r="I8" s="20" t="n">
        <v>0.94</v>
      </c>
      <c r="J8" s="14" t="n">
        <v>24.5</v>
      </c>
      <c r="K8" s="14" t="n">
        <v>75</v>
      </c>
      <c r="L8" s="20" t="n">
        <f aca="false">INDEX('Read me'!$B$10:$B$15,3)</f>
        <v>1.35</v>
      </c>
      <c r="M8" s="14" t="n">
        <f aca="false">IF(F8*(1+'Read me'!$B$5)&lt;='Read me'!$B$7,CEILING(F8*(1+'Read me'!$B$5)+0.5,1)-0.5,CEILING(F8*(1+'Read me'!$B$5),5))</f>
        <v>80</v>
      </c>
      <c r="N8" s="14" t="n">
        <f aca="false">IF(MAX(M8*L8,M8+'Read me'!$B$6)&lt;='Read me'!$B$7,CEILING(MAX(M8*L8,M8+'Read me'!$B$6)+0.5,1)-0.5,CEILING(MAX(M8*L8,M8+'Read me'!$B$6),5))</f>
        <v>110</v>
      </c>
      <c r="O8" s="21" t="n">
        <f aca="false">IF(ISNUMBER(J8),M8-J8,"new")</f>
        <v>55.5</v>
      </c>
    </row>
    <row r="9" customFormat="false" ht="15" hidden="false" customHeight="false" outlineLevel="0" collapsed="false">
      <c r="A9" s="2" t="s">
        <v>133</v>
      </c>
      <c r="B9" s="2" t="s">
        <v>125</v>
      </c>
      <c r="C9" s="2" t="s">
        <v>126</v>
      </c>
      <c r="D9" s="2" t="s">
        <v>13</v>
      </c>
      <c r="E9" s="2" t="s">
        <v>49</v>
      </c>
      <c r="F9" s="14" t="n">
        <v>87.75</v>
      </c>
      <c r="G9" s="2" t="n">
        <v>0</v>
      </c>
      <c r="H9" s="2" t="n">
        <v>19</v>
      </c>
      <c r="I9" s="20" t="n">
        <v>0.94</v>
      </c>
      <c r="J9" s="14" t="n">
        <v>24.5</v>
      </c>
      <c r="K9" s="14" t="n">
        <v>75</v>
      </c>
      <c r="L9" s="20" t="n">
        <f aca="false">INDEX('Read me'!$B$10:$B$15,3)</f>
        <v>1.35</v>
      </c>
      <c r="M9" s="14" t="n">
        <f aca="false">IF(F9*(1+'Read me'!$B$5)&lt;='Read me'!$B$7,CEILING(F9*(1+'Read me'!$B$5)+0.5,1)-0.5,CEILING(F9*(1+'Read me'!$B$5),5))</f>
        <v>90</v>
      </c>
      <c r="N9" s="14" t="n">
        <f aca="false">IF(MAX(M9*L9,M9+'Read me'!$B$6)&lt;='Read me'!$B$7,CEILING(MAX(M9*L9,M9+'Read me'!$B$6)+0.5,1)-0.5,CEILING(MAX(M9*L9,M9+'Read me'!$B$6),5))</f>
        <v>125</v>
      </c>
      <c r="O9" s="21" t="n">
        <f aca="false">IF(ISNUMBER(J9),M9-J9,"new")</f>
        <v>65.5</v>
      </c>
    </row>
    <row r="10" customFormat="false" ht="15" hidden="false" customHeight="false" outlineLevel="0" collapsed="false">
      <c r="A10" s="2" t="s">
        <v>134</v>
      </c>
      <c r="B10" s="2" t="s">
        <v>125</v>
      </c>
      <c r="C10" s="2" t="s">
        <v>126</v>
      </c>
      <c r="D10" s="2" t="s">
        <v>13</v>
      </c>
      <c r="E10" s="2" t="s">
        <v>50</v>
      </c>
      <c r="F10" s="14" t="n">
        <v>118.01</v>
      </c>
      <c r="G10" s="2" t="n">
        <v>0</v>
      </c>
      <c r="H10" s="2" t="n">
        <v>19</v>
      </c>
      <c r="I10" s="20" t="n">
        <v>0.94</v>
      </c>
      <c r="J10" s="14" t="n">
        <v>85</v>
      </c>
      <c r="K10" s="14" t="n">
        <v>125</v>
      </c>
      <c r="L10" s="20" t="n">
        <f aca="false">INDEX('Read me'!$B$10:$B$15,3)</f>
        <v>1.35</v>
      </c>
      <c r="M10" s="14" t="n">
        <f aca="false">IF(F10*(1+'Read me'!$B$5)&lt;='Read me'!$B$7,CEILING(F10*(1+'Read me'!$B$5)+0.5,1)-0.5,CEILING(F10*(1+'Read me'!$B$5),5))</f>
        <v>120</v>
      </c>
      <c r="N10" s="14" t="n">
        <f aca="false">IF(MAX(M10*L10,M10+'Read me'!$B$6)&lt;='Read me'!$B$7,CEILING(MAX(M10*L10,M10+'Read me'!$B$6)+0.5,1)-0.5,CEILING(MAX(M10*L10,M10+'Read me'!$B$6),5))</f>
        <v>165</v>
      </c>
      <c r="O10" s="21" t="n">
        <f aca="false">IF(ISNUMBER(J10),M10-J10,"new")</f>
        <v>35</v>
      </c>
    </row>
    <row r="11" customFormat="false" ht="15" hidden="false" customHeight="false" outlineLevel="0" collapsed="false">
      <c r="A11" s="2" t="s">
        <v>135</v>
      </c>
      <c r="B11" s="2" t="s">
        <v>125</v>
      </c>
      <c r="C11" s="2" t="s">
        <v>126</v>
      </c>
      <c r="D11" s="2" t="s">
        <v>14</v>
      </c>
      <c r="E11" s="2" t="s">
        <v>48</v>
      </c>
      <c r="F11" s="14" t="n">
        <v>132.85</v>
      </c>
      <c r="G11" s="2" t="n">
        <v>1</v>
      </c>
      <c r="H11" s="2" t="n">
        <v>19</v>
      </c>
      <c r="I11" s="20" t="n">
        <v>0.94</v>
      </c>
      <c r="J11" s="14" t="n">
        <v>85</v>
      </c>
      <c r="K11" s="14" t="n">
        <v>125</v>
      </c>
      <c r="L11" s="20" t="n">
        <f aca="false">INDEX('Read me'!$B$10:$B$15,4)</f>
        <v>1.2</v>
      </c>
      <c r="M11" s="14" t="n">
        <f aca="false">IF(F11*(1+'Read me'!$B$5)&lt;='Read me'!$B$7,CEILING(F11*(1+'Read me'!$B$5)+0.5,1)-0.5,CEILING(F11*(1+'Read me'!$B$5),5))</f>
        <v>135</v>
      </c>
      <c r="N11" s="14" t="n">
        <f aca="false">IF(MAX(M11*L11,M11+'Read me'!$B$6)&lt;='Read me'!$B$7,CEILING(MAX(M11*L11,M11+'Read me'!$B$6)+0.5,1)-0.5,CEILING(MAX(M11*L11,M11+'Read me'!$B$6),5))</f>
        <v>165</v>
      </c>
      <c r="O11" s="21" t="n">
        <f aca="false">IF(ISNUMBER(J11),M11-J11,"new")</f>
        <v>50</v>
      </c>
    </row>
    <row r="12" customFormat="false" ht="15" hidden="false" customHeight="false" outlineLevel="0" collapsed="false">
      <c r="A12" s="2" t="s">
        <v>136</v>
      </c>
      <c r="B12" s="2" t="s">
        <v>125</v>
      </c>
      <c r="C12" s="2" t="s">
        <v>126</v>
      </c>
      <c r="D12" s="2" t="s">
        <v>14</v>
      </c>
      <c r="E12" s="2" t="s">
        <v>49</v>
      </c>
      <c r="F12" s="14" t="n">
        <v>162.18</v>
      </c>
      <c r="G12" s="2" t="n">
        <v>0</v>
      </c>
      <c r="H12" s="2" t="n">
        <v>19</v>
      </c>
      <c r="I12" s="20" t="n">
        <v>0.94</v>
      </c>
      <c r="J12" s="14" t="n">
        <v>125</v>
      </c>
      <c r="K12" s="14" t="n">
        <v>125</v>
      </c>
      <c r="L12" s="20" t="n">
        <f aca="false">INDEX('Read me'!$B$10:$B$15,4)</f>
        <v>1.2</v>
      </c>
      <c r="M12" s="14" t="n">
        <f aca="false">IF(F12*(1+'Read me'!$B$5)&lt;='Read me'!$B$7,CEILING(F12*(1+'Read me'!$B$5)+0.5,1)-0.5,CEILING(F12*(1+'Read me'!$B$5),5))</f>
        <v>165</v>
      </c>
      <c r="N12" s="14" t="n">
        <f aca="false">IF(MAX(M12*L12,M12+'Read me'!$B$6)&lt;='Read me'!$B$7,CEILING(MAX(M12*L12,M12+'Read me'!$B$6)+0.5,1)-0.5,CEILING(MAX(M12*L12,M12+'Read me'!$B$6),5))</f>
        <v>200</v>
      </c>
      <c r="O12" s="21" t="n">
        <f aca="false">IF(ISNUMBER(J12),M12-J12,"new")</f>
        <v>40</v>
      </c>
    </row>
    <row r="13" customFormat="false" ht="15" hidden="false" customHeight="false" outlineLevel="0" collapsed="false">
      <c r="A13" s="2" t="s">
        <v>137</v>
      </c>
      <c r="B13" s="2" t="s">
        <v>125</v>
      </c>
      <c r="C13" s="2" t="s">
        <v>126</v>
      </c>
      <c r="D13" s="2" t="s">
        <v>14</v>
      </c>
      <c r="E13" s="2" t="s">
        <v>50</v>
      </c>
      <c r="F13" s="14" t="n">
        <v>195.44</v>
      </c>
      <c r="G13" s="2" t="n">
        <v>0</v>
      </c>
      <c r="H13" s="2" t="n">
        <v>19</v>
      </c>
      <c r="I13" s="20" t="n">
        <v>0.94</v>
      </c>
      <c r="J13" s="14" t="n">
        <v>199</v>
      </c>
      <c r="K13" s="14" t="n">
        <v>175</v>
      </c>
      <c r="L13" s="20" t="n">
        <f aca="false">INDEX('Read me'!$B$10:$B$15,4)</f>
        <v>1.2</v>
      </c>
      <c r="M13" s="14" t="n">
        <f aca="false">IF(F13*(1+'Read me'!$B$5)&lt;='Read me'!$B$7,CEILING(F13*(1+'Read me'!$B$5)+0.5,1)-0.5,CEILING(F13*(1+'Read me'!$B$5),5))</f>
        <v>200</v>
      </c>
      <c r="N13" s="14" t="n">
        <f aca="false">IF(MAX(M13*L13,M13+'Read me'!$B$6)&lt;='Read me'!$B$7,CEILING(MAX(M13*L13,M13+'Read me'!$B$6)+0.5,1)-0.5,CEILING(MAX(M13*L13,M13+'Read me'!$B$6),5))</f>
        <v>240</v>
      </c>
      <c r="O13" s="21" t="n">
        <f aca="false">IF(ISNUMBER(J13),M13-J13,"new")</f>
        <v>1</v>
      </c>
    </row>
    <row r="14" customFormat="false" ht="15" hidden="false" customHeight="false" outlineLevel="0" collapsed="false">
      <c r="A14" s="2" t="s">
        <v>138</v>
      </c>
      <c r="B14" s="2" t="s">
        <v>125</v>
      </c>
      <c r="C14" s="2" t="s">
        <v>126</v>
      </c>
      <c r="D14" s="2" t="s">
        <v>15</v>
      </c>
      <c r="E14" s="2" t="s">
        <v>48</v>
      </c>
      <c r="F14" s="14" t="n">
        <v>171.44</v>
      </c>
      <c r="G14" s="2" t="n">
        <v>0</v>
      </c>
      <c r="H14" s="2" t="n">
        <v>19</v>
      </c>
      <c r="I14" s="20" t="n">
        <v>0.94</v>
      </c>
      <c r="J14" s="14" t="n">
        <v>250</v>
      </c>
      <c r="K14" s="14" t="n">
        <v>300</v>
      </c>
      <c r="L14" s="20" t="n">
        <f aca="false">INDEX('Read me'!$B$10:$B$15,5)</f>
        <v>1.2</v>
      </c>
      <c r="M14" s="14" t="n">
        <f aca="false">IF(F14*(1+'Read me'!$B$5)&lt;='Read me'!$B$7,CEILING(F14*(1+'Read me'!$B$5)+0.5,1)-0.5,CEILING(F14*(1+'Read me'!$B$5),5))</f>
        <v>175</v>
      </c>
      <c r="N14" s="14" t="n">
        <f aca="false">IF(MAX(M14*L14,M14+'Read me'!$B$6)&lt;='Read me'!$B$7,CEILING(MAX(M14*L14,M14+'Read me'!$B$6)+0.5,1)-0.5,CEILING(MAX(M14*L14,M14+'Read me'!$B$6),5))</f>
        <v>210</v>
      </c>
      <c r="O14" s="21" t="n">
        <f aca="false">IF(ISNUMBER(J14),M14-J14,"new")</f>
        <v>-75</v>
      </c>
    </row>
    <row r="15" customFormat="false" ht="15" hidden="false" customHeight="false" outlineLevel="0" collapsed="false">
      <c r="A15" s="2" t="s">
        <v>139</v>
      </c>
      <c r="B15" s="2" t="s">
        <v>125</v>
      </c>
      <c r="C15" s="2" t="s">
        <v>126</v>
      </c>
      <c r="D15" s="2" t="s">
        <v>15</v>
      </c>
      <c r="E15" s="2" t="s">
        <v>49</v>
      </c>
      <c r="F15" s="14" t="n">
        <v>211.51</v>
      </c>
      <c r="G15" s="2" t="n">
        <v>0</v>
      </c>
      <c r="H15" s="2" t="n">
        <v>19</v>
      </c>
      <c r="I15" s="20" t="n">
        <v>0.94</v>
      </c>
      <c r="J15" s="14" t="n">
        <v>250</v>
      </c>
      <c r="K15" s="14" t="n">
        <v>300</v>
      </c>
      <c r="L15" s="20" t="n">
        <f aca="false">INDEX('Read me'!$B$10:$B$15,5)</f>
        <v>1.2</v>
      </c>
      <c r="M15" s="14" t="n">
        <f aca="false">N15</f>
        <v>260</v>
      </c>
      <c r="N15" s="14" t="n">
        <f aca="false">IF(MAX((IF(F15*(1+'Read me'!$B$5)&lt;='Read me'!$B$7,CEILING(F15*(1+'Read me'!$B$5)+0.5,1)-0.5,CEILING(F15*(1+'Read me'!$B$5),5)))*L15,(IF(F15*(1+'Read me'!$B$5)&lt;='Read me'!$B$7,CEILING(F15*(1+'Read me'!$B$5)+0.5,1)-0.5,CEILING(F15*(1+'Read me'!$B$5),5)))+'Read me'!$B$6)&lt;='Read me'!$B$7,CEILING(MAX((IF(F15*(1+'Read me'!$B$5)&lt;='Read me'!$B$7,CEILING(F15*(1+'Read me'!$B$5)+0.5,1)-0.5,CEILING(F15*(1+'Read me'!$B$5),5)))*L15,(IF(F15*(1+'Read me'!$B$5)&lt;='Read me'!$B$7,CEILING(F15*(1+'Read me'!$B$5)+0.5,1)-0.5,CEILING(F15*(1+'Read me'!$B$5),5)))+'Read me'!$B$6)+0.5,1)-0.5,CEILING(MAX((IF(F15*(1+'Read me'!$B$5)&lt;='Read me'!$B$7,CEILING(F15*(1+'Read me'!$B$5)+0.5,1)-0.5,CEILING(F15*(1+'Read me'!$B$5),5)))*L15,(IF(F15*(1+'Read me'!$B$5)&lt;='Read me'!$B$7,CEILING(F15*(1+'Read me'!$B$5)+0.5,1)-0.5,CEILING(F15*(1+'Read me'!$B$5),5)))+'Read me'!$B$6),5))</f>
        <v>260</v>
      </c>
      <c r="O15" s="21" t="n">
        <f aca="false">IF(ISNUMBER(J15),M15-J15,"new")</f>
        <v>10</v>
      </c>
      <c r="P15" s="5" t="s">
        <v>140</v>
      </c>
    </row>
    <row r="16" customFormat="false" ht="15" hidden="false" customHeight="false" outlineLevel="0" collapsed="false">
      <c r="A16" s="2" t="s">
        <v>141</v>
      </c>
      <c r="B16" s="2" t="s">
        <v>125</v>
      </c>
      <c r="C16" s="2" t="s">
        <v>126</v>
      </c>
      <c r="D16" s="2" t="s">
        <v>15</v>
      </c>
      <c r="E16" s="2" t="s">
        <v>50</v>
      </c>
      <c r="F16" s="14" t="n">
        <v>254.14</v>
      </c>
      <c r="G16" s="2" t="n">
        <v>0</v>
      </c>
      <c r="H16" s="2" t="n">
        <v>19</v>
      </c>
      <c r="I16" s="20" t="n">
        <v>0.94</v>
      </c>
      <c r="J16" s="14" t="n">
        <v>300</v>
      </c>
      <c r="K16" s="14" t="n">
        <v>400</v>
      </c>
      <c r="L16" s="20" t="n">
        <f aca="false">INDEX('Read me'!$B$10:$B$15,5)</f>
        <v>1.2</v>
      </c>
      <c r="M16" s="14" t="n">
        <f aca="false">N16</f>
        <v>310</v>
      </c>
      <c r="N16" s="14" t="n">
        <f aca="false">IF(MAX((IF(F16*(1+'Read me'!$B$5)&lt;='Read me'!$B$7,CEILING(F16*(1+'Read me'!$B$5)+0.5,1)-0.5,CEILING(F16*(1+'Read me'!$B$5),5)))*L16,(IF(F16*(1+'Read me'!$B$5)&lt;='Read me'!$B$7,CEILING(F16*(1+'Read me'!$B$5)+0.5,1)-0.5,CEILING(F16*(1+'Read me'!$B$5),5)))+'Read me'!$B$6)&lt;='Read me'!$B$7,CEILING(MAX((IF(F16*(1+'Read me'!$B$5)&lt;='Read me'!$B$7,CEILING(F16*(1+'Read me'!$B$5)+0.5,1)-0.5,CEILING(F16*(1+'Read me'!$B$5),5)))*L16,(IF(F16*(1+'Read me'!$B$5)&lt;='Read me'!$B$7,CEILING(F16*(1+'Read me'!$B$5)+0.5,1)-0.5,CEILING(F16*(1+'Read me'!$B$5),5)))+'Read me'!$B$6)+0.5,1)-0.5,CEILING(MAX((IF(F16*(1+'Read me'!$B$5)&lt;='Read me'!$B$7,CEILING(F16*(1+'Read me'!$B$5)+0.5,1)-0.5,CEILING(F16*(1+'Read me'!$B$5),5)))*L16,(IF(F16*(1+'Read me'!$B$5)&lt;='Read me'!$B$7,CEILING(F16*(1+'Read me'!$B$5)+0.5,1)-0.5,CEILING(F16*(1+'Read me'!$B$5),5)))+'Read me'!$B$6),5))</f>
        <v>310</v>
      </c>
      <c r="O16" s="21" t="n">
        <f aca="false">IF(ISNUMBER(J16),M16-J16,"new")</f>
        <v>10</v>
      </c>
      <c r="P16" s="5" t="s">
        <v>140</v>
      </c>
    </row>
    <row r="17" customFormat="false" ht="15" hidden="false" customHeight="false" outlineLevel="0" collapsed="false">
      <c r="A17" s="2" t="s">
        <v>142</v>
      </c>
      <c r="B17" s="2" t="s">
        <v>125</v>
      </c>
      <c r="C17" s="2" t="s">
        <v>126</v>
      </c>
      <c r="D17" s="2" t="s">
        <v>16</v>
      </c>
      <c r="E17" s="2" t="s">
        <v>48</v>
      </c>
      <c r="F17" s="14" t="n">
        <v>238.05</v>
      </c>
      <c r="G17" s="2" t="n">
        <v>0</v>
      </c>
      <c r="H17" s="2" t="n">
        <v>19</v>
      </c>
      <c r="I17" s="20" t="n">
        <v>0.94</v>
      </c>
      <c r="J17" s="14"/>
      <c r="K17" s="14"/>
      <c r="L17" s="20" t="n">
        <f aca="false">INDEX('Read me'!$B$10:$B$15,6)</f>
        <v>1.2</v>
      </c>
      <c r="M17" s="14" t="n">
        <f aca="false">IF(F17*(1+'Read me'!$B$5)&lt;='Read me'!$B$7,CEILING(F17*(1+'Read me'!$B$5)+0.5,1)-0.5,CEILING(F17*(1+'Read me'!$B$5),5))</f>
        <v>240</v>
      </c>
      <c r="N17" s="14" t="n">
        <f aca="false">IF(MAX(M17*L17,M17+'Read me'!$B$6)&lt;='Read me'!$B$7,CEILING(MAX(M17*L17,M17+'Read me'!$B$6)+0.5,1)-0.5,CEILING(MAX(M17*L17,M17+'Read me'!$B$6),5))</f>
        <v>290</v>
      </c>
      <c r="O17" s="21" t="str">
        <f aca="false">IF(ISNUMBER(J17),M17-J17,"new")</f>
        <v>new</v>
      </c>
    </row>
    <row r="18" customFormat="false" ht="15" hidden="false" customHeight="false" outlineLevel="0" collapsed="false">
      <c r="A18" s="2" t="s">
        <v>143</v>
      </c>
      <c r="B18" s="2" t="s">
        <v>125</v>
      </c>
      <c r="C18" s="2" t="s">
        <v>126</v>
      </c>
      <c r="D18" s="2" t="s">
        <v>16</v>
      </c>
      <c r="E18" s="2" t="s">
        <v>49</v>
      </c>
      <c r="F18" s="14" t="n">
        <v>305.89</v>
      </c>
      <c r="G18" s="2" t="n">
        <v>0</v>
      </c>
      <c r="H18" s="2" t="n">
        <v>19</v>
      </c>
      <c r="I18" s="20" t="n">
        <v>0.94</v>
      </c>
      <c r="J18" s="14"/>
      <c r="K18" s="14"/>
      <c r="L18" s="20" t="n">
        <f aca="false">INDEX('Read me'!$B$10:$B$15,6)</f>
        <v>1.2</v>
      </c>
      <c r="M18" s="14" t="n">
        <f aca="false">N18</f>
        <v>375</v>
      </c>
      <c r="N18" s="14" t="n">
        <f aca="false">IF(MAX((IF(F18*(1+'Read me'!$B$5)&lt;='Read me'!$B$7,CEILING(F18*(1+'Read me'!$B$5)+0.5,1)-0.5,CEILING(F18*(1+'Read me'!$B$5),5)))*L18,(IF(F18*(1+'Read me'!$B$5)&lt;='Read me'!$B$7,CEILING(F18*(1+'Read me'!$B$5)+0.5,1)-0.5,CEILING(F18*(1+'Read me'!$B$5),5)))+'Read me'!$B$6)&lt;='Read me'!$B$7,CEILING(MAX((IF(F18*(1+'Read me'!$B$5)&lt;='Read me'!$B$7,CEILING(F18*(1+'Read me'!$B$5)+0.5,1)-0.5,CEILING(F18*(1+'Read me'!$B$5),5)))*L18,(IF(F18*(1+'Read me'!$B$5)&lt;='Read me'!$B$7,CEILING(F18*(1+'Read me'!$B$5)+0.5,1)-0.5,CEILING(F18*(1+'Read me'!$B$5),5)))+'Read me'!$B$6)+0.5,1)-0.5,CEILING(MAX((IF(F18*(1+'Read me'!$B$5)&lt;='Read me'!$B$7,CEILING(F18*(1+'Read me'!$B$5)+0.5,1)-0.5,CEILING(F18*(1+'Read me'!$B$5),5)))*L18,(IF(F18*(1+'Read me'!$B$5)&lt;='Read me'!$B$7,CEILING(F18*(1+'Read me'!$B$5)+0.5,1)-0.5,CEILING(F18*(1+'Read me'!$B$5),5)))+'Read me'!$B$6),5))</f>
        <v>375</v>
      </c>
      <c r="O18" s="21" t="str">
        <f aca="false">IF(ISNUMBER(J18),M18-J18,"new")</f>
        <v>new</v>
      </c>
      <c r="P18" s="5" t="s">
        <v>140</v>
      </c>
    </row>
    <row r="19" customFormat="false" ht="15" hidden="false" customHeight="false" outlineLevel="0" collapsed="false">
      <c r="A19" s="2" t="s">
        <v>144</v>
      </c>
      <c r="B19" s="2" t="s">
        <v>125</v>
      </c>
      <c r="C19" s="2" t="s">
        <v>126</v>
      </c>
      <c r="D19" s="2" t="s">
        <v>16</v>
      </c>
      <c r="E19" s="2" t="s">
        <v>50</v>
      </c>
      <c r="F19" s="14" t="n">
        <v>359.53</v>
      </c>
      <c r="G19" s="2" t="n">
        <v>0</v>
      </c>
      <c r="H19" s="2" t="n">
        <v>19</v>
      </c>
      <c r="I19" s="20" t="n">
        <v>0.94</v>
      </c>
      <c r="J19" s="14"/>
      <c r="K19" s="14"/>
      <c r="L19" s="20" t="n">
        <f aca="false">INDEX('Read me'!$B$10:$B$15,6)</f>
        <v>1.2</v>
      </c>
      <c r="M19" s="14" t="n">
        <f aca="false">N19</f>
        <v>435</v>
      </c>
      <c r="N19" s="14" t="n">
        <f aca="false">IF(MAX((IF(F19*(1+'Read me'!$B$5)&lt;='Read me'!$B$7,CEILING(F19*(1+'Read me'!$B$5)+0.5,1)-0.5,CEILING(F19*(1+'Read me'!$B$5),5)))*L19,(IF(F19*(1+'Read me'!$B$5)&lt;='Read me'!$B$7,CEILING(F19*(1+'Read me'!$B$5)+0.5,1)-0.5,CEILING(F19*(1+'Read me'!$B$5),5)))+'Read me'!$B$6)&lt;='Read me'!$B$7,CEILING(MAX((IF(F19*(1+'Read me'!$B$5)&lt;='Read me'!$B$7,CEILING(F19*(1+'Read me'!$B$5)+0.5,1)-0.5,CEILING(F19*(1+'Read me'!$B$5),5)))*L19,(IF(F19*(1+'Read me'!$B$5)&lt;='Read me'!$B$7,CEILING(F19*(1+'Read me'!$B$5)+0.5,1)-0.5,CEILING(F19*(1+'Read me'!$B$5),5)))+'Read me'!$B$6)+0.5,1)-0.5,CEILING(MAX((IF(F19*(1+'Read me'!$B$5)&lt;='Read me'!$B$7,CEILING(F19*(1+'Read me'!$B$5)+0.5,1)-0.5,CEILING(F19*(1+'Read me'!$B$5),5)))*L19,(IF(F19*(1+'Read me'!$B$5)&lt;='Read me'!$B$7,CEILING(F19*(1+'Read me'!$B$5)+0.5,1)-0.5,CEILING(F19*(1+'Read me'!$B$5),5)))+'Read me'!$B$6),5))</f>
        <v>435</v>
      </c>
      <c r="O19" s="21" t="str">
        <f aca="false">IF(ISNUMBER(J19),M19-J19,"new")</f>
        <v>new</v>
      </c>
      <c r="P19" s="5" t="s">
        <v>140</v>
      </c>
    </row>
    <row r="20" customFormat="false" ht="15" hidden="false" customHeight="false" outlineLevel="0" collapsed="false">
      <c r="A20" s="2" t="s">
        <v>145</v>
      </c>
      <c r="B20" s="2" t="s">
        <v>125</v>
      </c>
      <c r="C20" s="2" t="s">
        <v>146</v>
      </c>
      <c r="D20" s="2" t="s">
        <v>10</v>
      </c>
      <c r="E20" s="2" t="s">
        <v>48</v>
      </c>
      <c r="F20" s="14" t="n">
        <v>13.44</v>
      </c>
      <c r="G20" s="2" t="n">
        <v>7</v>
      </c>
      <c r="H20" s="2" t="n">
        <v>13</v>
      </c>
      <c r="I20" s="20" t="n">
        <v>0.97</v>
      </c>
      <c r="J20" s="14" t="n">
        <v>14.5</v>
      </c>
      <c r="K20" s="14" t="n">
        <v>19.5</v>
      </c>
      <c r="L20" s="20" t="n">
        <f aca="false">INDEX('Read me'!$B$10:$B$15,1)</f>
        <v>1.34</v>
      </c>
      <c r="M20" s="14" t="n">
        <f aca="false">IF(F20*(1+'Read me'!$B$5)&lt;='Read me'!$B$7,CEILING(F20*(1+'Read me'!$B$5)+0.5,1)-0.5,CEILING(F20*(1+'Read me'!$B$5),5))</f>
        <v>13.5</v>
      </c>
      <c r="N20" s="14" t="n">
        <f aca="false">IF(MAX(M20*L20,M20+'Read me'!$B$6)&lt;='Read me'!$B$7,CEILING(MAX(M20*L20,M20+'Read me'!$B$6)+0.5,1)-0.5,CEILING(MAX(M20*L20,M20+'Read me'!$B$6),5))</f>
        <v>18.5</v>
      </c>
      <c r="O20" s="21" t="n">
        <f aca="false">IF(ISNUMBER(J20),M20-J20,"new")</f>
        <v>-1</v>
      </c>
    </row>
    <row r="21" customFormat="false" ht="15" hidden="false" customHeight="false" outlineLevel="0" collapsed="false">
      <c r="A21" s="2" t="s">
        <v>147</v>
      </c>
      <c r="B21" s="2" t="s">
        <v>125</v>
      </c>
      <c r="C21" s="2" t="s">
        <v>146</v>
      </c>
      <c r="D21" s="2" t="s">
        <v>10</v>
      </c>
      <c r="E21" s="2" t="s">
        <v>49</v>
      </c>
      <c r="F21" s="14" t="n">
        <v>14.76</v>
      </c>
      <c r="G21" s="2" t="n">
        <v>0</v>
      </c>
      <c r="H21" s="2" t="n">
        <v>13</v>
      </c>
      <c r="I21" s="20" t="n">
        <v>0.97</v>
      </c>
      <c r="J21" s="14" t="n">
        <v>14.5</v>
      </c>
      <c r="K21" s="14" t="n">
        <v>19.5</v>
      </c>
      <c r="L21" s="20" t="n">
        <f aca="false">INDEX('Read me'!$B$10:$B$15,1)</f>
        <v>1.34</v>
      </c>
      <c r="M21" s="14" t="n">
        <f aca="false">IF(F21*(1+'Read me'!$B$5)&lt;='Read me'!$B$7,CEILING(F21*(1+'Read me'!$B$5)+0.5,1)-0.5,CEILING(F21*(1+'Read me'!$B$5),5))</f>
        <v>15.5</v>
      </c>
      <c r="N21" s="14" t="n">
        <f aca="false">IF(MAX(M21*L21,M21+'Read me'!$B$6)&lt;='Read me'!$B$7,CEILING(MAX(M21*L21,M21+'Read me'!$B$6)+0.5,1)-0.5,CEILING(MAX(M21*L21,M21+'Read me'!$B$6),5))</f>
        <v>21.5</v>
      </c>
      <c r="O21" s="21" t="n">
        <f aca="false">IF(ISNUMBER(J21),M21-J21,"new")</f>
        <v>1</v>
      </c>
    </row>
    <row r="22" customFormat="false" ht="15" hidden="false" customHeight="false" outlineLevel="0" collapsed="false">
      <c r="A22" s="2" t="s">
        <v>148</v>
      </c>
      <c r="B22" s="2" t="s">
        <v>125</v>
      </c>
      <c r="C22" s="2" t="s">
        <v>146</v>
      </c>
      <c r="D22" s="2" t="s">
        <v>10</v>
      </c>
      <c r="E22" s="2" t="s">
        <v>50</v>
      </c>
      <c r="F22" s="14" t="n">
        <v>19.47</v>
      </c>
      <c r="G22" s="2" t="n">
        <v>0</v>
      </c>
      <c r="H22" s="2" t="n">
        <v>13</v>
      </c>
      <c r="I22" s="20" t="n">
        <v>0.97</v>
      </c>
      <c r="J22" s="14" t="n">
        <v>17.5</v>
      </c>
      <c r="K22" s="14" t="n">
        <v>29.5</v>
      </c>
      <c r="L22" s="20" t="n">
        <f aca="false">INDEX('Read me'!$B$10:$B$15,1)</f>
        <v>1.34</v>
      </c>
      <c r="M22" s="14" t="n">
        <f aca="false">IF(F22*(1+'Read me'!$B$5)&lt;='Read me'!$B$7,CEILING(F22*(1+'Read me'!$B$5)+0.5,1)-0.5,CEILING(F22*(1+'Read me'!$B$5),5))</f>
        <v>19.5</v>
      </c>
      <c r="N22" s="14" t="n">
        <f aca="false">IF(MAX(M22*L22,M22+'Read me'!$B$6)&lt;='Read me'!$B$7,CEILING(MAX(M22*L22,M22+'Read me'!$B$6)+0.5,1)-0.5,CEILING(MAX(M22*L22,M22+'Read me'!$B$6),5))</f>
        <v>26.5</v>
      </c>
      <c r="O22" s="21" t="n">
        <f aca="false">IF(ISNUMBER(J22),M22-J22,"new")</f>
        <v>2</v>
      </c>
    </row>
    <row r="23" customFormat="false" ht="15" hidden="false" customHeight="false" outlineLevel="0" collapsed="false">
      <c r="A23" s="2" t="s">
        <v>149</v>
      </c>
      <c r="B23" s="2" t="s">
        <v>125</v>
      </c>
      <c r="C23" s="2" t="s">
        <v>146</v>
      </c>
      <c r="D23" s="2" t="s">
        <v>12</v>
      </c>
      <c r="E23" s="2" t="s">
        <v>48</v>
      </c>
      <c r="F23" s="14" t="n">
        <v>53.82</v>
      </c>
      <c r="G23" s="2" t="n">
        <v>5</v>
      </c>
      <c r="H23" s="2" t="n">
        <v>13</v>
      </c>
      <c r="I23" s="20" t="n">
        <v>0.97</v>
      </c>
      <c r="J23" s="14" t="n">
        <v>19.5</v>
      </c>
      <c r="K23" s="14" t="n">
        <v>24.5</v>
      </c>
      <c r="L23" s="20" t="n">
        <f aca="false">INDEX('Read me'!$B$10:$B$15,2)</f>
        <v>1.26</v>
      </c>
      <c r="M23" s="14" t="n">
        <f aca="false">IF(F23*(1+'Read me'!$B$5)&lt;='Read me'!$B$7,CEILING(F23*(1+'Read me'!$B$5)+0.5,1)-0.5,CEILING(F23*(1+'Read me'!$B$5),5))</f>
        <v>55</v>
      </c>
      <c r="N23" s="14" t="n">
        <f aca="false">IF(MAX(M23*L23,M23+'Read me'!$B$6)&lt;='Read me'!$B$7,CEILING(MAX(M23*L23,M23+'Read me'!$B$6)+0.5,1)-0.5,CEILING(MAX(M23*L23,M23+'Read me'!$B$6),5))</f>
        <v>70</v>
      </c>
      <c r="O23" s="21" t="n">
        <f aca="false">IF(ISNUMBER(J23),M23-J23,"new")</f>
        <v>35.5</v>
      </c>
    </row>
    <row r="24" customFormat="false" ht="15" hidden="false" customHeight="false" outlineLevel="0" collapsed="false">
      <c r="A24" s="2" t="s">
        <v>150</v>
      </c>
      <c r="B24" s="2" t="s">
        <v>125</v>
      </c>
      <c r="C24" s="2" t="s">
        <v>146</v>
      </c>
      <c r="D24" s="2" t="s">
        <v>12</v>
      </c>
      <c r="E24" s="2" t="s">
        <v>49</v>
      </c>
      <c r="F24" s="14" t="n">
        <v>53.82</v>
      </c>
      <c r="G24" s="2" t="n">
        <v>0</v>
      </c>
      <c r="H24" s="2" t="n">
        <v>13</v>
      </c>
      <c r="I24" s="20" t="n">
        <v>0.97</v>
      </c>
      <c r="J24" s="14" t="n">
        <v>19.5</v>
      </c>
      <c r="K24" s="14" t="n">
        <v>24.5</v>
      </c>
      <c r="L24" s="20" t="n">
        <f aca="false">INDEX('Read me'!$B$10:$B$15,2)</f>
        <v>1.26</v>
      </c>
      <c r="M24" s="14" t="n">
        <f aca="false">IF(F24*(1+'Read me'!$B$5)&lt;='Read me'!$B$7,CEILING(F24*(1+'Read me'!$B$5)+0.5,1)-0.5,CEILING(F24*(1+'Read me'!$B$5),5))</f>
        <v>55</v>
      </c>
      <c r="N24" s="14" t="n">
        <f aca="false">IF(MAX(M24*L24,M24+'Read me'!$B$6)&lt;='Read me'!$B$7,CEILING(MAX(M24*L24,M24+'Read me'!$B$6)+0.5,1)-0.5,CEILING(MAX(M24*L24,M24+'Read me'!$B$6),5))</f>
        <v>70</v>
      </c>
      <c r="O24" s="21" t="n">
        <f aca="false">IF(ISNUMBER(J24),M24-J24,"new")</f>
        <v>35.5</v>
      </c>
    </row>
    <row r="25" customFormat="false" ht="15" hidden="false" customHeight="false" outlineLevel="0" collapsed="false">
      <c r="A25" s="2" t="s">
        <v>151</v>
      </c>
      <c r="B25" s="2" t="s">
        <v>125</v>
      </c>
      <c r="C25" s="2" t="s">
        <v>146</v>
      </c>
      <c r="D25" s="2" t="s">
        <v>12</v>
      </c>
      <c r="E25" s="2" t="s">
        <v>50</v>
      </c>
      <c r="F25" s="14" t="n">
        <v>59.42</v>
      </c>
      <c r="G25" s="2" t="n">
        <v>0</v>
      </c>
      <c r="H25" s="2" t="n">
        <v>13</v>
      </c>
      <c r="I25" s="20" t="n">
        <v>0.97</v>
      </c>
      <c r="J25" s="14" t="n">
        <v>19.5</v>
      </c>
      <c r="K25" s="14" t="n">
        <v>34.5</v>
      </c>
      <c r="L25" s="20" t="n">
        <f aca="false">INDEX('Read me'!$B$10:$B$15,2)</f>
        <v>1.26</v>
      </c>
      <c r="M25" s="14" t="n">
        <f aca="false">IF(F25*(1+'Read me'!$B$5)&lt;='Read me'!$B$7,CEILING(F25*(1+'Read me'!$B$5)+0.5,1)-0.5,CEILING(F25*(1+'Read me'!$B$5),5))</f>
        <v>60</v>
      </c>
      <c r="N25" s="14" t="n">
        <f aca="false">IF(MAX(M25*L25,M25+'Read me'!$B$6)&lt;='Read me'!$B$7,CEILING(MAX(M25*L25,M25+'Read me'!$B$6)+0.5,1)-0.5,CEILING(MAX(M25*L25,M25+'Read me'!$B$6),5))</f>
        <v>80</v>
      </c>
      <c r="O25" s="21" t="n">
        <f aca="false">IF(ISNUMBER(J25),M25-J25,"new")</f>
        <v>40.5</v>
      </c>
    </row>
    <row r="26" customFormat="false" ht="15" hidden="false" customHeight="false" outlineLevel="0" collapsed="false">
      <c r="A26" s="2" t="s">
        <v>152</v>
      </c>
      <c r="B26" s="2" t="s">
        <v>125</v>
      </c>
      <c r="C26" s="2" t="s">
        <v>146</v>
      </c>
      <c r="D26" s="2" t="s">
        <v>13</v>
      </c>
      <c r="E26" s="2" t="s">
        <v>48</v>
      </c>
      <c r="F26" s="14" t="n">
        <v>80.34</v>
      </c>
      <c r="G26" s="2" t="n">
        <v>1</v>
      </c>
      <c r="H26" s="2" t="n">
        <v>13</v>
      </c>
      <c r="I26" s="20" t="n">
        <v>0.97</v>
      </c>
      <c r="J26" s="14" t="n">
        <v>24.5</v>
      </c>
      <c r="K26" s="14" t="n">
        <v>75</v>
      </c>
      <c r="L26" s="20" t="n">
        <f aca="false">INDEX('Read me'!$B$10:$B$15,3)</f>
        <v>1.35</v>
      </c>
      <c r="M26" s="14" t="n">
        <f aca="false">IF(F26*(1+'Read me'!$B$5)&lt;='Read me'!$B$7,CEILING(F26*(1+'Read me'!$B$5)+0.5,1)-0.5,CEILING(F26*(1+'Read me'!$B$5),5))</f>
        <v>85</v>
      </c>
      <c r="N26" s="14" t="n">
        <f aca="false">IF(MAX(M26*L26,M26+'Read me'!$B$6)&lt;='Read me'!$B$7,CEILING(MAX(M26*L26,M26+'Read me'!$B$6)+0.5,1)-0.5,CEILING(MAX(M26*L26,M26+'Read me'!$B$6),5))</f>
        <v>115</v>
      </c>
      <c r="O26" s="21" t="n">
        <f aca="false">IF(ISNUMBER(J26),M26-J26,"new")</f>
        <v>60.5</v>
      </c>
    </row>
    <row r="27" customFormat="false" ht="15" hidden="false" customHeight="false" outlineLevel="0" collapsed="false">
      <c r="A27" s="2" t="s">
        <v>153</v>
      </c>
      <c r="B27" s="2" t="s">
        <v>125</v>
      </c>
      <c r="C27" s="2" t="s">
        <v>146</v>
      </c>
      <c r="D27" s="2" t="s">
        <v>13</v>
      </c>
      <c r="E27" s="2" t="s">
        <v>49</v>
      </c>
      <c r="F27" s="14" t="n">
        <v>90.23</v>
      </c>
      <c r="G27" s="2" t="n">
        <v>0</v>
      </c>
      <c r="H27" s="2" t="n">
        <v>13</v>
      </c>
      <c r="I27" s="20" t="n">
        <v>0.97</v>
      </c>
      <c r="J27" s="14" t="n">
        <v>24.5</v>
      </c>
      <c r="K27" s="14" t="n">
        <v>75</v>
      </c>
      <c r="L27" s="20" t="n">
        <f aca="false">INDEX('Read me'!$B$10:$B$15,3)</f>
        <v>1.35</v>
      </c>
      <c r="M27" s="14" t="n">
        <f aca="false">IF(F27*(1+'Read me'!$B$5)&lt;='Read me'!$B$7,CEILING(F27*(1+'Read me'!$B$5)+0.5,1)-0.5,CEILING(F27*(1+'Read me'!$B$5),5))</f>
        <v>95</v>
      </c>
      <c r="N27" s="14" t="n">
        <f aca="false">IF(MAX(M27*L27,M27+'Read me'!$B$6)&lt;='Read me'!$B$7,CEILING(MAX(M27*L27,M27+'Read me'!$B$6)+0.5,1)-0.5,CEILING(MAX(M27*L27,M27+'Read me'!$B$6),5))</f>
        <v>130</v>
      </c>
      <c r="O27" s="21" t="n">
        <f aca="false">IF(ISNUMBER(J27),M27-J27,"new")</f>
        <v>70.5</v>
      </c>
    </row>
    <row r="28" customFormat="false" ht="15" hidden="false" customHeight="false" outlineLevel="0" collapsed="false">
      <c r="A28" s="2" t="s">
        <v>154</v>
      </c>
      <c r="B28" s="2" t="s">
        <v>125</v>
      </c>
      <c r="C28" s="2" t="s">
        <v>146</v>
      </c>
      <c r="D28" s="2" t="s">
        <v>13</v>
      </c>
      <c r="E28" s="2" t="s">
        <v>50</v>
      </c>
      <c r="F28" s="14" t="n">
        <v>121.34</v>
      </c>
      <c r="G28" s="2" t="n">
        <v>0</v>
      </c>
      <c r="H28" s="2" t="n">
        <v>13</v>
      </c>
      <c r="I28" s="20" t="n">
        <v>0.97</v>
      </c>
      <c r="J28" s="14" t="n">
        <v>85</v>
      </c>
      <c r="K28" s="14" t="n">
        <v>125</v>
      </c>
      <c r="L28" s="20" t="n">
        <f aca="false">INDEX('Read me'!$B$10:$B$15,3)</f>
        <v>1.35</v>
      </c>
      <c r="M28" s="14" t="n">
        <f aca="false">IF(F28*(1+'Read me'!$B$5)&lt;='Read me'!$B$7,CEILING(F28*(1+'Read me'!$B$5)+0.5,1)-0.5,CEILING(F28*(1+'Read me'!$B$5),5))</f>
        <v>125</v>
      </c>
      <c r="N28" s="14" t="n">
        <f aca="false">IF(MAX(M28*L28,M28+'Read me'!$B$6)&lt;='Read me'!$B$7,CEILING(MAX(M28*L28,M28+'Read me'!$B$6)+0.5,1)-0.5,CEILING(MAX(M28*L28,M28+'Read me'!$B$6),5))</f>
        <v>170</v>
      </c>
      <c r="O28" s="21" t="n">
        <f aca="false">IF(ISNUMBER(J28),M28-J28,"new")</f>
        <v>40</v>
      </c>
    </row>
    <row r="29" customFormat="false" ht="15" hidden="false" customHeight="false" outlineLevel="0" collapsed="false">
      <c r="A29" s="2" t="s">
        <v>155</v>
      </c>
      <c r="B29" s="2" t="s">
        <v>125</v>
      </c>
      <c r="C29" s="2" t="s">
        <v>146</v>
      </c>
      <c r="D29" s="2" t="s">
        <v>14</v>
      </c>
      <c r="E29" s="2" t="s">
        <v>48</v>
      </c>
      <c r="F29" s="14" t="n">
        <v>138.88</v>
      </c>
      <c r="G29" s="2" t="n">
        <v>0</v>
      </c>
      <c r="H29" s="2" t="n">
        <v>13</v>
      </c>
      <c r="I29" s="20" t="n">
        <v>0.97</v>
      </c>
      <c r="J29" s="14" t="n">
        <v>85</v>
      </c>
      <c r="K29" s="14" t="n">
        <v>125</v>
      </c>
      <c r="L29" s="20" t="n">
        <f aca="false">INDEX('Read me'!$B$10:$B$15,4)</f>
        <v>1.2</v>
      </c>
      <c r="M29" s="14" t="n">
        <f aca="false">IF(F29*(1+'Read me'!$B$5)&lt;='Read me'!$B$7,CEILING(F29*(1+'Read me'!$B$5)+0.5,1)-0.5,CEILING(F29*(1+'Read me'!$B$5),5))</f>
        <v>140</v>
      </c>
      <c r="N29" s="14" t="n">
        <f aca="false">IF(MAX(M29*L29,M29+'Read me'!$B$6)&lt;='Read me'!$B$7,CEILING(MAX(M29*L29,M29+'Read me'!$B$6)+0.5,1)-0.5,CEILING(MAX(M29*L29,M29+'Read me'!$B$6),5))</f>
        <v>170</v>
      </c>
      <c r="O29" s="21" t="n">
        <f aca="false">IF(ISNUMBER(J29),M29-J29,"new")</f>
        <v>55</v>
      </c>
    </row>
    <row r="30" customFormat="false" ht="15" hidden="false" customHeight="false" outlineLevel="0" collapsed="false">
      <c r="A30" s="2" t="s">
        <v>156</v>
      </c>
      <c r="B30" s="2" t="s">
        <v>125</v>
      </c>
      <c r="C30" s="2" t="s">
        <v>146</v>
      </c>
      <c r="D30" s="2" t="s">
        <v>14</v>
      </c>
      <c r="E30" s="2" t="s">
        <v>49</v>
      </c>
      <c r="F30" s="14" t="n">
        <v>166.75</v>
      </c>
      <c r="G30" s="2" t="n">
        <v>0</v>
      </c>
      <c r="H30" s="2" t="n">
        <v>13</v>
      </c>
      <c r="I30" s="20" t="n">
        <v>0.97</v>
      </c>
      <c r="J30" s="14" t="n">
        <v>125</v>
      </c>
      <c r="K30" s="14" t="n">
        <v>125</v>
      </c>
      <c r="L30" s="20" t="n">
        <f aca="false">INDEX('Read me'!$B$10:$B$15,4)</f>
        <v>1.2</v>
      </c>
      <c r="M30" s="14" t="n">
        <f aca="false">IF(F30*(1+'Read me'!$B$5)&lt;='Read me'!$B$7,CEILING(F30*(1+'Read me'!$B$5)+0.5,1)-0.5,CEILING(F30*(1+'Read me'!$B$5),5))</f>
        <v>170</v>
      </c>
      <c r="N30" s="14" t="n">
        <f aca="false">IF(MAX(M30*L30,M30+'Read me'!$B$6)&lt;='Read me'!$B$7,CEILING(MAX(M30*L30,M30+'Read me'!$B$6)+0.5,1)-0.5,CEILING(MAX(M30*L30,M30+'Read me'!$B$6),5))</f>
        <v>205</v>
      </c>
      <c r="O30" s="21" t="n">
        <f aca="false">IF(ISNUMBER(J30),M30-J30,"new")</f>
        <v>45</v>
      </c>
    </row>
    <row r="31" customFormat="false" ht="15" hidden="false" customHeight="false" outlineLevel="0" collapsed="false">
      <c r="A31" s="2" t="s">
        <v>157</v>
      </c>
      <c r="B31" s="2" t="s">
        <v>125</v>
      </c>
      <c r="C31" s="2" t="s">
        <v>146</v>
      </c>
      <c r="D31" s="2" t="s">
        <v>14</v>
      </c>
      <c r="E31" s="2" t="s">
        <v>50</v>
      </c>
      <c r="F31" s="14" t="n">
        <v>200.96</v>
      </c>
      <c r="G31" s="2" t="n">
        <v>0</v>
      </c>
      <c r="H31" s="2" t="n">
        <v>13</v>
      </c>
      <c r="I31" s="20" t="n">
        <v>0.97</v>
      </c>
      <c r="J31" s="14" t="n">
        <v>199</v>
      </c>
      <c r="K31" s="14" t="n">
        <v>175</v>
      </c>
      <c r="L31" s="20" t="n">
        <f aca="false">INDEX('Read me'!$B$10:$B$15,4)</f>
        <v>1.2</v>
      </c>
      <c r="M31" s="14" t="n">
        <f aca="false">IF(F31*(1+'Read me'!$B$5)&lt;='Read me'!$B$7,CEILING(F31*(1+'Read me'!$B$5)+0.5,1)-0.5,CEILING(F31*(1+'Read me'!$B$5),5))</f>
        <v>205</v>
      </c>
      <c r="N31" s="14" t="n">
        <f aca="false">IF(MAX(M31*L31,M31+'Read me'!$B$6)&lt;='Read me'!$B$7,CEILING(MAX(M31*L31,M31+'Read me'!$B$6)+0.5,1)-0.5,CEILING(MAX(M31*L31,M31+'Read me'!$B$6),5))</f>
        <v>250</v>
      </c>
      <c r="O31" s="21" t="n">
        <f aca="false">IF(ISNUMBER(J31),M31-J31,"new")</f>
        <v>6</v>
      </c>
    </row>
    <row r="32" customFormat="false" ht="15" hidden="false" customHeight="false" outlineLevel="0" collapsed="false">
      <c r="A32" s="2" t="s">
        <v>158</v>
      </c>
      <c r="B32" s="2" t="s">
        <v>125</v>
      </c>
      <c r="C32" s="2" t="s">
        <v>146</v>
      </c>
      <c r="D32" s="2" t="s">
        <v>15</v>
      </c>
      <c r="E32" s="2" t="s">
        <v>48</v>
      </c>
      <c r="F32" s="14" t="n">
        <v>176.28</v>
      </c>
      <c r="G32" s="2" t="n">
        <v>0</v>
      </c>
      <c r="H32" s="2" t="n">
        <v>13</v>
      </c>
      <c r="I32" s="20" t="n">
        <v>0.97</v>
      </c>
      <c r="J32" s="14" t="n">
        <v>250</v>
      </c>
      <c r="K32" s="14" t="n">
        <v>300</v>
      </c>
      <c r="L32" s="20" t="n">
        <f aca="false">INDEX('Read me'!$B$10:$B$15,5)</f>
        <v>1.2</v>
      </c>
      <c r="M32" s="14" t="n">
        <f aca="false">IF(F32*(1+'Read me'!$B$5)&lt;='Read me'!$B$7,CEILING(F32*(1+'Read me'!$B$5)+0.5,1)-0.5,CEILING(F32*(1+'Read me'!$B$5),5))</f>
        <v>180</v>
      </c>
      <c r="N32" s="14" t="n">
        <f aca="false">IF(MAX(M32*L32,M32+'Read me'!$B$6)&lt;='Read me'!$B$7,CEILING(MAX(M32*L32,M32+'Read me'!$B$6)+0.5,1)-0.5,CEILING(MAX(M32*L32,M32+'Read me'!$B$6),5))</f>
        <v>220</v>
      </c>
      <c r="O32" s="21" t="n">
        <f aca="false">IF(ISNUMBER(J32),M32-J32,"new")</f>
        <v>-70</v>
      </c>
    </row>
    <row r="33" customFormat="false" ht="15" hidden="false" customHeight="false" outlineLevel="0" collapsed="false">
      <c r="A33" s="2" t="s">
        <v>159</v>
      </c>
      <c r="B33" s="2" t="s">
        <v>125</v>
      </c>
      <c r="C33" s="2" t="s">
        <v>146</v>
      </c>
      <c r="D33" s="2" t="s">
        <v>15</v>
      </c>
      <c r="E33" s="2" t="s">
        <v>49</v>
      </c>
      <c r="F33" s="14" t="n">
        <v>217.48</v>
      </c>
      <c r="G33" s="2" t="n">
        <v>0</v>
      </c>
      <c r="H33" s="2" t="n">
        <v>13</v>
      </c>
      <c r="I33" s="20" t="n">
        <v>0.97</v>
      </c>
      <c r="J33" s="14" t="n">
        <v>250</v>
      </c>
      <c r="K33" s="14" t="n">
        <v>300</v>
      </c>
      <c r="L33" s="20" t="n">
        <f aca="false">INDEX('Read me'!$B$10:$B$15,5)</f>
        <v>1.2</v>
      </c>
      <c r="M33" s="14" t="n">
        <f aca="false">N33</f>
        <v>265</v>
      </c>
      <c r="N33" s="14" t="n">
        <f aca="false">IF(MAX((IF(F33*(1+'Read me'!$B$5)&lt;='Read me'!$B$7,CEILING(F33*(1+'Read me'!$B$5)+0.5,1)-0.5,CEILING(F33*(1+'Read me'!$B$5),5)))*L33,(IF(F33*(1+'Read me'!$B$5)&lt;='Read me'!$B$7,CEILING(F33*(1+'Read me'!$B$5)+0.5,1)-0.5,CEILING(F33*(1+'Read me'!$B$5),5)))+'Read me'!$B$6)&lt;='Read me'!$B$7,CEILING(MAX((IF(F33*(1+'Read me'!$B$5)&lt;='Read me'!$B$7,CEILING(F33*(1+'Read me'!$B$5)+0.5,1)-0.5,CEILING(F33*(1+'Read me'!$B$5),5)))*L33,(IF(F33*(1+'Read me'!$B$5)&lt;='Read me'!$B$7,CEILING(F33*(1+'Read me'!$B$5)+0.5,1)-0.5,CEILING(F33*(1+'Read me'!$B$5),5)))+'Read me'!$B$6)+0.5,1)-0.5,CEILING(MAX((IF(F33*(1+'Read me'!$B$5)&lt;='Read me'!$B$7,CEILING(F33*(1+'Read me'!$B$5)+0.5,1)-0.5,CEILING(F33*(1+'Read me'!$B$5),5)))*L33,(IF(F33*(1+'Read me'!$B$5)&lt;='Read me'!$B$7,CEILING(F33*(1+'Read me'!$B$5)+0.5,1)-0.5,CEILING(F33*(1+'Read me'!$B$5),5)))+'Read me'!$B$6),5))</f>
        <v>265</v>
      </c>
      <c r="O33" s="21" t="n">
        <f aca="false">IF(ISNUMBER(J33),M33-J33,"new")</f>
        <v>15</v>
      </c>
      <c r="P33" s="5" t="s">
        <v>140</v>
      </c>
    </row>
    <row r="34" customFormat="false" ht="15" hidden="false" customHeight="false" outlineLevel="0" collapsed="false">
      <c r="A34" s="2" t="s">
        <v>160</v>
      </c>
      <c r="B34" s="2" t="s">
        <v>125</v>
      </c>
      <c r="C34" s="2" t="s">
        <v>146</v>
      </c>
      <c r="D34" s="2" t="s">
        <v>15</v>
      </c>
      <c r="E34" s="2" t="s">
        <v>50</v>
      </c>
      <c r="F34" s="14" t="n">
        <v>261.31</v>
      </c>
      <c r="G34" s="2" t="n">
        <v>0</v>
      </c>
      <c r="H34" s="2" t="n">
        <v>13</v>
      </c>
      <c r="I34" s="20" t="n">
        <v>0.97</v>
      </c>
      <c r="J34" s="14" t="n">
        <v>300</v>
      </c>
      <c r="K34" s="14" t="n">
        <v>400</v>
      </c>
      <c r="L34" s="20" t="n">
        <f aca="false">INDEX('Read me'!$B$10:$B$15,5)</f>
        <v>1.2</v>
      </c>
      <c r="M34" s="14" t="n">
        <f aca="false">N34</f>
        <v>320</v>
      </c>
      <c r="N34" s="14" t="n">
        <f aca="false">IF(MAX((IF(F34*(1+'Read me'!$B$5)&lt;='Read me'!$B$7,CEILING(F34*(1+'Read me'!$B$5)+0.5,1)-0.5,CEILING(F34*(1+'Read me'!$B$5),5)))*L34,(IF(F34*(1+'Read me'!$B$5)&lt;='Read me'!$B$7,CEILING(F34*(1+'Read me'!$B$5)+0.5,1)-0.5,CEILING(F34*(1+'Read me'!$B$5),5)))+'Read me'!$B$6)&lt;='Read me'!$B$7,CEILING(MAX((IF(F34*(1+'Read me'!$B$5)&lt;='Read me'!$B$7,CEILING(F34*(1+'Read me'!$B$5)+0.5,1)-0.5,CEILING(F34*(1+'Read me'!$B$5),5)))*L34,(IF(F34*(1+'Read me'!$B$5)&lt;='Read me'!$B$7,CEILING(F34*(1+'Read me'!$B$5)+0.5,1)-0.5,CEILING(F34*(1+'Read me'!$B$5),5)))+'Read me'!$B$6)+0.5,1)-0.5,CEILING(MAX((IF(F34*(1+'Read me'!$B$5)&lt;='Read me'!$B$7,CEILING(F34*(1+'Read me'!$B$5)+0.5,1)-0.5,CEILING(F34*(1+'Read me'!$B$5),5)))*L34,(IF(F34*(1+'Read me'!$B$5)&lt;='Read me'!$B$7,CEILING(F34*(1+'Read me'!$B$5)+0.5,1)-0.5,CEILING(F34*(1+'Read me'!$B$5),5)))+'Read me'!$B$6),5))</f>
        <v>320</v>
      </c>
      <c r="O34" s="21" t="n">
        <f aca="false">IF(ISNUMBER(J34),M34-J34,"new")</f>
        <v>20</v>
      </c>
      <c r="P34" s="5" t="s">
        <v>140</v>
      </c>
    </row>
    <row r="35" customFormat="false" ht="15" hidden="false" customHeight="false" outlineLevel="0" collapsed="false">
      <c r="A35" s="2" t="s">
        <v>161</v>
      </c>
      <c r="B35" s="2" t="s">
        <v>125</v>
      </c>
      <c r="C35" s="2" t="s">
        <v>146</v>
      </c>
      <c r="D35" s="2" t="s">
        <v>16</v>
      </c>
      <c r="E35" s="2" t="s">
        <v>48</v>
      </c>
      <c r="F35" s="14" t="n">
        <v>244.77</v>
      </c>
      <c r="G35" s="2" t="n">
        <v>0</v>
      </c>
      <c r="H35" s="2" t="n">
        <v>13</v>
      </c>
      <c r="I35" s="20" t="n">
        <v>0.97</v>
      </c>
      <c r="J35" s="14"/>
      <c r="K35" s="14"/>
      <c r="L35" s="20" t="n">
        <f aca="false">INDEX('Read me'!$B$10:$B$15,6)</f>
        <v>1.2</v>
      </c>
      <c r="M35" s="14" t="n">
        <f aca="false">IF(F35*(1+'Read me'!$B$5)&lt;='Read me'!$B$7,CEILING(F35*(1+'Read me'!$B$5)+0.5,1)-0.5,CEILING(F35*(1+'Read me'!$B$5),5))</f>
        <v>245</v>
      </c>
      <c r="N35" s="14" t="n">
        <f aca="false">IF(MAX(M35*L35,M35+'Read me'!$B$6)&lt;='Read me'!$B$7,CEILING(MAX(M35*L35,M35+'Read me'!$B$6)+0.5,1)-0.5,CEILING(MAX(M35*L35,M35+'Read me'!$B$6),5))</f>
        <v>295</v>
      </c>
      <c r="O35" s="21" t="str">
        <f aca="false">IF(ISNUMBER(J35),M35-J35,"new")</f>
        <v>new</v>
      </c>
    </row>
    <row r="36" customFormat="false" ht="15" hidden="false" customHeight="false" outlineLevel="0" collapsed="false">
      <c r="A36" s="2" t="s">
        <v>162</v>
      </c>
      <c r="B36" s="2" t="s">
        <v>125</v>
      </c>
      <c r="C36" s="2" t="s">
        <v>146</v>
      </c>
      <c r="D36" s="2" t="s">
        <v>16</v>
      </c>
      <c r="E36" s="2" t="s">
        <v>49</v>
      </c>
      <c r="F36" s="14" t="n">
        <v>314.52</v>
      </c>
      <c r="G36" s="2" t="n">
        <v>0</v>
      </c>
      <c r="H36" s="2" t="n">
        <v>13</v>
      </c>
      <c r="I36" s="20" t="n">
        <v>0.97</v>
      </c>
      <c r="J36" s="14"/>
      <c r="K36" s="14"/>
      <c r="L36" s="20" t="n">
        <f aca="false">INDEX('Read me'!$B$10:$B$15,6)</f>
        <v>1.2</v>
      </c>
      <c r="M36" s="14" t="n">
        <f aca="false">N36</f>
        <v>380</v>
      </c>
      <c r="N36" s="14" t="n">
        <f aca="false">IF(MAX((IF(F36*(1+'Read me'!$B$5)&lt;='Read me'!$B$7,CEILING(F36*(1+'Read me'!$B$5)+0.5,1)-0.5,CEILING(F36*(1+'Read me'!$B$5),5)))*L36,(IF(F36*(1+'Read me'!$B$5)&lt;='Read me'!$B$7,CEILING(F36*(1+'Read me'!$B$5)+0.5,1)-0.5,CEILING(F36*(1+'Read me'!$B$5),5)))+'Read me'!$B$6)&lt;='Read me'!$B$7,CEILING(MAX((IF(F36*(1+'Read me'!$B$5)&lt;='Read me'!$B$7,CEILING(F36*(1+'Read me'!$B$5)+0.5,1)-0.5,CEILING(F36*(1+'Read me'!$B$5),5)))*L36,(IF(F36*(1+'Read me'!$B$5)&lt;='Read me'!$B$7,CEILING(F36*(1+'Read me'!$B$5)+0.5,1)-0.5,CEILING(F36*(1+'Read me'!$B$5),5)))+'Read me'!$B$6)+0.5,1)-0.5,CEILING(MAX((IF(F36*(1+'Read me'!$B$5)&lt;='Read me'!$B$7,CEILING(F36*(1+'Read me'!$B$5)+0.5,1)-0.5,CEILING(F36*(1+'Read me'!$B$5),5)))*L36,(IF(F36*(1+'Read me'!$B$5)&lt;='Read me'!$B$7,CEILING(F36*(1+'Read me'!$B$5)+0.5,1)-0.5,CEILING(F36*(1+'Read me'!$B$5),5)))+'Read me'!$B$6),5))</f>
        <v>380</v>
      </c>
      <c r="O36" s="21" t="str">
        <f aca="false">IF(ISNUMBER(J36),M36-J36,"new")</f>
        <v>new</v>
      </c>
      <c r="P36" s="5" t="s">
        <v>140</v>
      </c>
    </row>
    <row r="37" customFormat="false" ht="15" hidden="false" customHeight="false" outlineLevel="0" collapsed="false">
      <c r="A37" s="2" t="s">
        <v>163</v>
      </c>
      <c r="B37" s="2" t="s">
        <v>125</v>
      </c>
      <c r="C37" s="2" t="s">
        <v>146</v>
      </c>
      <c r="D37" s="2" t="s">
        <v>16</v>
      </c>
      <c r="E37" s="2" t="s">
        <v>50</v>
      </c>
      <c r="F37" s="14" t="n">
        <v>369.67</v>
      </c>
      <c r="G37" s="2" t="n">
        <v>0</v>
      </c>
      <c r="H37" s="2" t="n">
        <v>13</v>
      </c>
      <c r="I37" s="20" t="n">
        <v>0.97</v>
      </c>
      <c r="J37" s="14"/>
      <c r="K37" s="14"/>
      <c r="L37" s="20" t="n">
        <f aca="false">INDEX('Read me'!$B$10:$B$15,6)</f>
        <v>1.2</v>
      </c>
      <c r="M37" s="14" t="n">
        <f aca="false">N37</f>
        <v>445</v>
      </c>
      <c r="N37" s="14" t="n">
        <f aca="false">IF(MAX((IF(F37*(1+'Read me'!$B$5)&lt;='Read me'!$B$7,CEILING(F37*(1+'Read me'!$B$5)+0.5,1)-0.5,CEILING(F37*(1+'Read me'!$B$5),5)))*L37,(IF(F37*(1+'Read me'!$B$5)&lt;='Read me'!$B$7,CEILING(F37*(1+'Read me'!$B$5)+0.5,1)-0.5,CEILING(F37*(1+'Read me'!$B$5),5)))+'Read me'!$B$6)&lt;='Read me'!$B$7,CEILING(MAX((IF(F37*(1+'Read me'!$B$5)&lt;='Read me'!$B$7,CEILING(F37*(1+'Read me'!$B$5)+0.5,1)-0.5,CEILING(F37*(1+'Read me'!$B$5),5)))*L37,(IF(F37*(1+'Read me'!$B$5)&lt;='Read me'!$B$7,CEILING(F37*(1+'Read me'!$B$5)+0.5,1)-0.5,CEILING(F37*(1+'Read me'!$B$5),5)))+'Read me'!$B$6)+0.5,1)-0.5,CEILING(MAX((IF(F37*(1+'Read me'!$B$5)&lt;='Read me'!$B$7,CEILING(F37*(1+'Read me'!$B$5)+0.5,1)-0.5,CEILING(F37*(1+'Read me'!$B$5),5)))*L37,(IF(F37*(1+'Read me'!$B$5)&lt;='Read me'!$B$7,CEILING(F37*(1+'Read me'!$B$5)+0.5,1)-0.5,CEILING(F37*(1+'Read me'!$B$5),5)))+'Read me'!$B$6),5))</f>
        <v>445</v>
      </c>
      <c r="O37" s="21" t="str">
        <f aca="false">IF(ISNUMBER(J37),M37-J37,"new")</f>
        <v>new</v>
      </c>
      <c r="P37" s="5" t="s">
        <v>140</v>
      </c>
    </row>
    <row r="38" customFormat="false" ht="15" hidden="false" customHeight="false" outlineLevel="0" collapsed="false">
      <c r="A38" s="2" t="s">
        <v>164</v>
      </c>
      <c r="B38" s="2" t="s">
        <v>125</v>
      </c>
      <c r="C38" s="2" t="s">
        <v>165</v>
      </c>
      <c r="D38" s="2" t="s">
        <v>10</v>
      </c>
      <c r="E38" s="2" t="s">
        <v>48</v>
      </c>
      <c r="F38" s="14" t="n">
        <v>12.81</v>
      </c>
      <c r="G38" s="2" t="n">
        <v>3</v>
      </c>
      <c r="H38" s="2" t="n">
        <v>5</v>
      </c>
      <c r="I38" s="20" t="n">
        <v>0.94</v>
      </c>
      <c r="J38" s="14" t="n">
        <v>19.5</v>
      </c>
      <c r="K38" s="14" t="n">
        <v>24.5</v>
      </c>
      <c r="L38" s="20" t="n">
        <f aca="false">INDEX('Read me'!$B$10:$B$15,1)</f>
        <v>1.34</v>
      </c>
      <c r="M38" s="14" t="n">
        <f aca="false">IF(F38*(1+'Read me'!$B$5)&lt;='Read me'!$B$7,CEILING(F38*(1+'Read me'!$B$5)+0.5,1)-0.5,CEILING(F38*(1+'Read me'!$B$5),5))</f>
        <v>13.5</v>
      </c>
      <c r="N38" s="14" t="n">
        <f aca="false">IF(MAX(M38*L38,M38+'Read me'!$B$6)&lt;='Read me'!$B$7,CEILING(MAX(M38*L38,M38+'Read me'!$B$6)+0.5,1)-0.5,CEILING(MAX(M38*L38,M38+'Read me'!$B$6),5))</f>
        <v>18.5</v>
      </c>
      <c r="O38" s="21" t="n">
        <f aca="false">IF(ISNUMBER(J38),M38-J38,"new")</f>
        <v>-6</v>
      </c>
    </row>
    <row r="39" customFormat="false" ht="15" hidden="false" customHeight="false" outlineLevel="0" collapsed="false">
      <c r="A39" s="2" t="s">
        <v>166</v>
      </c>
      <c r="B39" s="2" t="s">
        <v>125</v>
      </c>
      <c r="C39" s="2" t="s">
        <v>165</v>
      </c>
      <c r="D39" s="2" t="s">
        <v>10</v>
      </c>
      <c r="E39" s="2" t="s">
        <v>49</v>
      </c>
      <c r="F39" s="14" t="n">
        <v>14.27</v>
      </c>
      <c r="G39" s="2" t="n">
        <v>0</v>
      </c>
      <c r="H39" s="2" t="n">
        <v>5</v>
      </c>
      <c r="I39" s="20" t="n">
        <v>0.94</v>
      </c>
      <c r="J39" s="14" t="n">
        <v>19.5</v>
      </c>
      <c r="K39" s="14" t="n">
        <v>24.5</v>
      </c>
      <c r="L39" s="20" t="n">
        <f aca="false">INDEX('Read me'!$B$10:$B$15,1)</f>
        <v>1.34</v>
      </c>
      <c r="M39" s="14" t="n">
        <f aca="false">IF(F39*(1+'Read me'!$B$5)&lt;='Read me'!$B$7,CEILING(F39*(1+'Read me'!$B$5)+0.5,1)-0.5,CEILING(F39*(1+'Read me'!$B$5),5))</f>
        <v>14.5</v>
      </c>
      <c r="N39" s="14" t="n">
        <f aca="false">IF(MAX(M39*L39,M39+'Read me'!$B$6)&lt;='Read me'!$B$7,CEILING(MAX(M39*L39,M39+'Read me'!$B$6)+0.5,1)-0.5,CEILING(MAX(M39*L39,M39+'Read me'!$B$6),5))</f>
        <v>19.5</v>
      </c>
      <c r="O39" s="21" t="n">
        <f aca="false">IF(ISNUMBER(J39),M39-J39,"new")</f>
        <v>-5</v>
      </c>
    </row>
    <row r="40" customFormat="false" ht="15" hidden="false" customHeight="false" outlineLevel="0" collapsed="false">
      <c r="A40" s="2" t="s">
        <v>167</v>
      </c>
      <c r="B40" s="2" t="s">
        <v>125</v>
      </c>
      <c r="C40" s="2" t="s">
        <v>165</v>
      </c>
      <c r="D40" s="2" t="s">
        <v>10</v>
      </c>
      <c r="E40" s="2" t="s">
        <v>50</v>
      </c>
      <c r="F40" s="14" t="n">
        <v>18.83</v>
      </c>
      <c r="G40" s="2" t="n">
        <v>0</v>
      </c>
      <c r="H40" s="2" t="n">
        <v>5</v>
      </c>
      <c r="I40" s="20" t="n">
        <v>0.94</v>
      </c>
      <c r="J40" s="14" t="n">
        <v>19.5</v>
      </c>
      <c r="K40" s="14" t="n">
        <v>34.5</v>
      </c>
      <c r="L40" s="20" t="n">
        <f aca="false">INDEX('Read me'!$B$10:$B$15,1)</f>
        <v>1.34</v>
      </c>
      <c r="M40" s="14" t="n">
        <f aca="false">IF(F40*(1+'Read me'!$B$5)&lt;='Read me'!$B$7,CEILING(F40*(1+'Read me'!$B$5)+0.5,1)-0.5,CEILING(F40*(1+'Read me'!$B$5),5))</f>
        <v>19.5</v>
      </c>
      <c r="N40" s="14" t="n">
        <f aca="false">IF(MAX(M40*L40,M40+'Read me'!$B$6)&lt;='Read me'!$B$7,CEILING(MAX(M40*L40,M40+'Read me'!$B$6)+0.5,1)-0.5,CEILING(MAX(M40*L40,M40+'Read me'!$B$6),5))</f>
        <v>26.5</v>
      </c>
      <c r="O40" s="21" t="n">
        <f aca="false">IF(ISNUMBER(J40),M40-J40,"new")</f>
        <v>0</v>
      </c>
    </row>
    <row r="41" customFormat="false" ht="15" hidden="false" customHeight="false" outlineLevel="0" collapsed="false">
      <c r="A41" s="2" t="s">
        <v>168</v>
      </c>
      <c r="B41" s="2" t="s">
        <v>125</v>
      </c>
      <c r="C41" s="2" t="s">
        <v>165</v>
      </c>
      <c r="D41" s="2" t="s">
        <v>12</v>
      </c>
      <c r="E41" s="2" t="s">
        <v>48</v>
      </c>
      <c r="F41" s="14" t="n">
        <v>44.28</v>
      </c>
      <c r="G41" s="2" t="n">
        <v>2</v>
      </c>
      <c r="H41" s="2" t="n">
        <v>5</v>
      </c>
      <c r="I41" s="20" t="n">
        <v>0.94</v>
      </c>
      <c r="J41" s="14" t="n">
        <v>24.5</v>
      </c>
      <c r="K41" s="14" t="n">
        <v>29.5</v>
      </c>
      <c r="L41" s="20" t="n">
        <f aca="false">INDEX('Read me'!$B$10:$B$15,2)</f>
        <v>1.26</v>
      </c>
      <c r="M41" s="14" t="n">
        <f aca="false">IF(F41*(1+'Read me'!$B$5)&lt;='Read me'!$B$7,CEILING(F41*(1+'Read me'!$B$5)+0.5,1)-0.5,CEILING(F41*(1+'Read me'!$B$5),5))</f>
        <v>45</v>
      </c>
      <c r="N41" s="14" t="n">
        <f aca="false">IF(MAX(M41*L41,M41+'Read me'!$B$6)&lt;='Read me'!$B$7,CEILING(MAX(M41*L41,M41+'Read me'!$B$6)+0.5,1)-0.5,CEILING(MAX(M41*L41,M41+'Read me'!$B$6),5))</f>
        <v>60</v>
      </c>
      <c r="O41" s="21" t="n">
        <f aca="false">IF(ISNUMBER(J41),M41-J41,"new")</f>
        <v>20.5</v>
      </c>
    </row>
    <row r="42" customFormat="false" ht="15" hidden="false" customHeight="false" outlineLevel="0" collapsed="false">
      <c r="A42" s="2" t="s">
        <v>169</v>
      </c>
      <c r="B42" s="2" t="s">
        <v>125</v>
      </c>
      <c r="C42" s="2" t="s">
        <v>165</v>
      </c>
      <c r="D42" s="2" t="s">
        <v>12</v>
      </c>
      <c r="E42" s="2" t="s">
        <v>49</v>
      </c>
      <c r="F42" s="14" t="n">
        <v>49.21</v>
      </c>
      <c r="G42" s="2" t="n">
        <v>0</v>
      </c>
      <c r="H42" s="2" t="n">
        <v>5</v>
      </c>
      <c r="I42" s="20" t="n">
        <v>0.94</v>
      </c>
      <c r="J42" s="14" t="n">
        <v>24.5</v>
      </c>
      <c r="K42" s="14" t="n">
        <v>29.5</v>
      </c>
      <c r="L42" s="20" t="n">
        <f aca="false">INDEX('Read me'!$B$10:$B$15,2)</f>
        <v>1.26</v>
      </c>
      <c r="M42" s="14" t="n">
        <f aca="false">IF(F42*(1+'Read me'!$B$5)&lt;='Read me'!$B$7,CEILING(F42*(1+'Read me'!$B$5)+0.5,1)-0.5,CEILING(F42*(1+'Read me'!$B$5),5))</f>
        <v>50</v>
      </c>
      <c r="N42" s="14" t="n">
        <f aca="false">IF(MAX(M42*L42,M42+'Read me'!$B$6)&lt;='Read me'!$B$7,CEILING(MAX(M42*L42,M42+'Read me'!$B$6)+0.5,1)-0.5,CEILING(MAX(M42*L42,M42+'Read me'!$B$6),5))</f>
        <v>65</v>
      </c>
      <c r="O42" s="21" t="n">
        <f aca="false">IF(ISNUMBER(J42),M42-J42,"new")</f>
        <v>25.5</v>
      </c>
    </row>
    <row r="43" customFormat="false" ht="15" hidden="false" customHeight="false" outlineLevel="0" collapsed="false">
      <c r="A43" s="2" t="s">
        <v>170</v>
      </c>
      <c r="B43" s="2" t="s">
        <v>125</v>
      </c>
      <c r="C43" s="2" t="s">
        <v>165</v>
      </c>
      <c r="D43" s="2" t="s">
        <v>12</v>
      </c>
      <c r="E43" s="2" t="s">
        <v>50</v>
      </c>
      <c r="F43" s="14" t="n">
        <v>57.45</v>
      </c>
      <c r="G43" s="2" t="n">
        <v>0</v>
      </c>
      <c r="H43" s="2" t="n">
        <v>5</v>
      </c>
      <c r="I43" s="20" t="n">
        <v>0.94</v>
      </c>
      <c r="J43" s="14" t="n">
        <v>24.5</v>
      </c>
      <c r="K43" s="14" t="n">
        <v>45</v>
      </c>
      <c r="L43" s="20" t="n">
        <f aca="false">INDEX('Read me'!$B$10:$B$15,2)</f>
        <v>1.26</v>
      </c>
      <c r="M43" s="14" t="n">
        <f aca="false">IF(F43*(1+'Read me'!$B$5)&lt;='Read me'!$B$7,CEILING(F43*(1+'Read me'!$B$5)+0.5,1)-0.5,CEILING(F43*(1+'Read me'!$B$5),5))</f>
        <v>60</v>
      </c>
      <c r="N43" s="14" t="n">
        <f aca="false">IF(MAX(M43*L43,M43+'Read me'!$B$6)&lt;='Read me'!$B$7,CEILING(MAX(M43*L43,M43+'Read me'!$B$6)+0.5,1)-0.5,CEILING(MAX(M43*L43,M43+'Read me'!$B$6),5))</f>
        <v>80</v>
      </c>
      <c r="O43" s="21" t="n">
        <f aca="false">IF(ISNUMBER(J43),M43-J43,"new")</f>
        <v>35.5</v>
      </c>
    </row>
    <row r="44" customFormat="false" ht="15" hidden="false" customHeight="false" outlineLevel="0" collapsed="false">
      <c r="A44" s="2" t="s">
        <v>171</v>
      </c>
      <c r="B44" s="2" t="s">
        <v>125</v>
      </c>
      <c r="C44" s="2" t="s">
        <v>165</v>
      </c>
      <c r="D44" s="2" t="s">
        <v>13</v>
      </c>
      <c r="E44" s="2" t="s">
        <v>48</v>
      </c>
      <c r="F44" s="14" t="n">
        <v>77.56</v>
      </c>
      <c r="G44" s="2" t="n">
        <v>0</v>
      </c>
      <c r="H44" s="2" t="n">
        <v>5</v>
      </c>
      <c r="I44" s="20" t="n">
        <v>0.94</v>
      </c>
      <c r="J44" s="14" t="n">
        <v>45</v>
      </c>
      <c r="K44" s="14" t="n">
        <v>95</v>
      </c>
      <c r="L44" s="20" t="n">
        <f aca="false">INDEX('Read me'!$B$10:$B$15,3)</f>
        <v>1.35</v>
      </c>
      <c r="M44" s="14" t="n">
        <f aca="false">IF(F44*(1+'Read me'!$B$5)&lt;='Read me'!$B$7,CEILING(F44*(1+'Read me'!$B$5)+0.5,1)-0.5,CEILING(F44*(1+'Read me'!$B$5),5))</f>
        <v>80</v>
      </c>
      <c r="N44" s="14" t="n">
        <f aca="false">IF(MAX(M44*L44,M44+'Read me'!$B$6)&lt;='Read me'!$B$7,CEILING(MAX(M44*L44,M44+'Read me'!$B$6)+0.5,1)-0.5,CEILING(MAX(M44*L44,M44+'Read me'!$B$6),5))</f>
        <v>110</v>
      </c>
      <c r="O44" s="21" t="n">
        <f aca="false">IF(ISNUMBER(J44),M44-J44,"new")</f>
        <v>35</v>
      </c>
    </row>
    <row r="45" customFormat="false" ht="15" hidden="false" customHeight="false" outlineLevel="0" collapsed="false">
      <c r="A45" s="2" t="s">
        <v>172</v>
      </c>
      <c r="B45" s="2" t="s">
        <v>125</v>
      </c>
      <c r="C45" s="2" t="s">
        <v>165</v>
      </c>
      <c r="D45" s="2" t="s">
        <v>13</v>
      </c>
      <c r="E45" s="2" t="s">
        <v>49</v>
      </c>
      <c r="F45" s="14" t="n">
        <v>87.25</v>
      </c>
      <c r="G45" s="2" t="n">
        <v>0</v>
      </c>
      <c r="H45" s="2" t="n">
        <v>5</v>
      </c>
      <c r="I45" s="20" t="n">
        <v>0.94</v>
      </c>
      <c r="J45" s="14" t="n">
        <v>45</v>
      </c>
      <c r="K45" s="14" t="n">
        <v>95</v>
      </c>
      <c r="L45" s="20" t="n">
        <f aca="false">INDEX('Read me'!$B$10:$B$15,3)</f>
        <v>1.35</v>
      </c>
      <c r="M45" s="14" t="n">
        <f aca="false">IF(F45*(1+'Read me'!$B$5)&lt;='Read me'!$B$7,CEILING(F45*(1+'Read me'!$B$5)+0.5,1)-0.5,CEILING(F45*(1+'Read me'!$B$5),5))</f>
        <v>90</v>
      </c>
      <c r="N45" s="14" t="n">
        <f aca="false">IF(MAX(M45*L45,M45+'Read me'!$B$6)&lt;='Read me'!$B$7,CEILING(MAX(M45*L45,M45+'Read me'!$B$6)+0.5,1)-0.5,CEILING(MAX(M45*L45,M45+'Read me'!$B$6),5))</f>
        <v>125</v>
      </c>
      <c r="O45" s="21" t="n">
        <f aca="false">IF(ISNUMBER(J45),M45-J45,"new")</f>
        <v>45</v>
      </c>
    </row>
    <row r="46" customFormat="false" ht="15" hidden="false" customHeight="false" outlineLevel="0" collapsed="false">
      <c r="A46" s="2" t="s">
        <v>173</v>
      </c>
      <c r="B46" s="2" t="s">
        <v>125</v>
      </c>
      <c r="C46" s="2" t="s">
        <v>165</v>
      </c>
      <c r="D46" s="2" t="s">
        <v>13</v>
      </c>
      <c r="E46" s="2" t="s">
        <v>50</v>
      </c>
      <c r="F46" s="14" t="n">
        <v>117.33</v>
      </c>
      <c r="G46" s="2" t="n">
        <v>0</v>
      </c>
      <c r="H46" s="2" t="n">
        <v>5</v>
      </c>
      <c r="I46" s="20" t="n">
        <v>0.94</v>
      </c>
      <c r="J46" s="14" t="n">
        <v>99</v>
      </c>
      <c r="K46" s="14" t="n">
        <v>150</v>
      </c>
      <c r="L46" s="20" t="n">
        <f aca="false">INDEX('Read me'!$B$10:$B$15,3)</f>
        <v>1.35</v>
      </c>
      <c r="M46" s="14" t="n">
        <f aca="false">IF(F46*(1+'Read me'!$B$5)&lt;='Read me'!$B$7,CEILING(F46*(1+'Read me'!$B$5)+0.5,1)-0.5,CEILING(F46*(1+'Read me'!$B$5),5))</f>
        <v>120</v>
      </c>
      <c r="N46" s="14" t="n">
        <f aca="false">IF(MAX(M46*L46,M46+'Read me'!$B$6)&lt;='Read me'!$B$7,CEILING(MAX(M46*L46,M46+'Read me'!$B$6)+0.5,1)-0.5,CEILING(MAX(M46*L46,M46+'Read me'!$B$6),5))</f>
        <v>165</v>
      </c>
      <c r="O46" s="21" t="n">
        <f aca="false">IF(ISNUMBER(J46),M46-J46,"new")</f>
        <v>21</v>
      </c>
    </row>
    <row r="47" customFormat="false" ht="15" hidden="false" customHeight="false" outlineLevel="0" collapsed="false">
      <c r="A47" s="2" t="s">
        <v>174</v>
      </c>
      <c r="B47" s="2" t="s">
        <v>125</v>
      </c>
      <c r="C47" s="2" t="s">
        <v>165</v>
      </c>
      <c r="D47" s="2" t="s">
        <v>14</v>
      </c>
      <c r="E47" s="2" t="s">
        <v>48</v>
      </c>
      <c r="F47" s="14" t="n">
        <v>134.3</v>
      </c>
      <c r="G47" s="2" t="n">
        <v>0</v>
      </c>
      <c r="H47" s="2" t="n">
        <v>5</v>
      </c>
      <c r="I47" s="20" t="n">
        <v>0.94</v>
      </c>
      <c r="J47" s="14" t="n">
        <v>99</v>
      </c>
      <c r="K47" s="14" t="n">
        <v>150</v>
      </c>
      <c r="L47" s="20" t="n">
        <f aca="false">INDEX('Read me'!$B$10:$B$15,4)</f>
        <v>1.2</v>
      </c>
      <c r="M47" s="14" t="n">
        <f aca="false">IF(F47*(1+'Read me'!$B$5)&lt;='Read me'!$B$7,CEILING(F47*(1+'Read me'!$B$5)+0.5,1)-0.5,CEILING(F47*(1+'Read me'!$B$5),5))</f>
        <v>135</v>
      </c>
      <c r="N47" s="14" t="n">
        <f aca="false">IF(MAX(M47*L47,M47+'Read me'!$B$6)&lt;='Read me'!$B$7,CEILING(MAX(M47*L47,M47+'Read me'!$B$6)+0.5,1)-0.5,CEILING(MAX(M47*L47,M47+'Read me'!$B$6),5))</f>
        <v>165</v>
      </c>
      <c r="O47" s="21" t="n">
        <f aca="false">IF(ISNUMBER(J47),M47-J47,"new")</f>
        <v>36</v>
      </c>
    </row>
    <row r="48" customFormat="false" ht="15" hidden="false" customHeight="false" outlineLevel="0" collapsed="false">
      <c r="A48" s="2" t="s">
        <v>175</v>
      </c>
      <c r="B48" s="2" t="s">
        <v>125</v>
      </c>
      <c r="C48" s="2" t="s">
        <v>165</v>
      </c>
      <c r="D48" s="2" t="s">
        <v>14</v>
      </c>
      <c r="E48" s="2" t="s">
        <v>49</v>
      </c>
      <c r="F48" s="14" t="n">
        <v>161.25</v>
      </c>
      <c r="G48" s="2" t="n">
        <v>0</v>
      </c>
      <c r="H48" s="2" t="n">
        <v>5</v>
      </c>
      <c r="I48" s="20" t="n">
        <v>0.94</v>
      </c>
      <c r="J48" s="14" t="n">
        <v>150</v>
      </c>
      <c r="K48" s="14" t="n">
        <v>150</v>
      </c>
      <c r="L48" s="20" t="n">
        <f aca="false">INDEX('Read me'!$B$10:$B$15,4)</f>
        <v>1.2</v>
      </c>
      <c r="M48" s="14" t="n">
        <f aca="false">IF(F48*(1+'Read me'!$B$5)&lt;='Read me'!$B$7,CEILING(F48*(1+'Read me'!$B$5)+0.5,1)-0.5,CEILING(F48*(1+'Read me'!$B$5),5))</f>
        <v>165</v>
      </c>
      <c r="N48" s="14" t="n">
        <f aca="false">IF(MAX(M48*L48,M48+'Read me'!$B$6)&lt;='Read me'!$B$7,CEILING(MAX(M48*L48,M48+'Read me'!$B$6)+0.5,1)-0.5,CEILING(MAX(M48*L48,M48+'Read me'!$B$6),5))</f>
        <v>200</v>
      </c>
      <c r="O48" s="21" t="n">
        <f aca="false">IF(ISNUMBER(J48),M48-J48,"new")</f>
        <v>15</v>
      </c>
    </row>
    <row r="49" customFormat="false" ht="15" hidden="false" customHeight="false" outlineLevel="0" collapsed="false">
      <c r="A49" s="2" t="s">
        <v>176</v>
      </c>
      <c r="B49" s="2" t="s">
        <v>125</v>
      </c>
      <c r="C49" s="2" t="s">
        <v>165</v>
      </c>
      <c r="D49" s="2" t="s">
        <v>14</v>
      </c>
      <c r="E49" s="2" t="s">
        <v>50</v>
      </c>
      <c r="F49" s="14" t="n">
        <v>194.32</v>
      </c>
      <c r="G49" s="2" t="n">
        <v>0</v>
      </c>
      <c r="H49" s="2" t="n">
        <v>5</v>
      </c>
      <c r="I49" s="20" t="n">
        <v>0.94</v>
      </c>
      <c r="J49" s="14" t="n">
        <v>250</v>
      </c>
      <c r="K49" s="14" t="n">
        <v>195</v>
      </c>
      <c r="L49" s="20" t="n">
        <f aca="false">INDEX('Read me'!$B$10:$B$15,4)</f>
        <v>1.2</v>
      </c>
      <c r="M49" s="14" t="n">
        <f aca="false">IF(F49*(1+'Read me'!$B$5)&lt;='Read me'!$B$7,CEILING(F49*(1+'Read me'!$B$5)+0.5,1)-0.5,CEILING(F49*(1+'Read me'!$B$5),5))</f>
        <v>195</v>
      </c>
      <c r="N49" s="14" t="n">
        <f aca="false">IF(MAX(M49*L49,M49+'Read me'!$B$6)&lt;='Read me'!$B$7,CEILING(MAX(M49*L49,M49+'Read me'!$B$6)+0.5,1)-0.5,CEILING(MAX(M49*L49,M49+'Read me'!$B$6),5))</f>
        <v>235</v>
      </c>
      <c r="O49" s="21" t="n">
        <f aca="false">IF(ISNUMBER(J49),M49-J49,"new")</f>
        <v>-55</v>
      </c>
    </row>
    <row r="50" customFormat="false" ht="15" hidden="false" customHeight="false" outlineLevel="0" collapsed="false">
      <c r="A50" s="2" t="s">
        <v>177</v>
      </c>
      <c r="B50" s="2" t="s">
        <v>125</v>
      </c>
      <c r="C50" s="2" t="s">
        <v>165</v>
      </c>
      <c r="D50" s="2" t="s">
        <v>15</v>
      </c>
      <c r="E50" s="2" t="s">
        <v>48</v>
      </c>
      <c r="F50" s="14" t="n">
        <v>170.46</v>
      </c>
      <c r="G50" s="2" t="n">
        <v>0</v>
      </c>
      <c r="H50" s="2" t="n">
        <v>5</v>
      </c>
      <c r="I50" s="20" t="n">
        <v>0.94</v>
      </c>
      <c r="J50" s="14" t="n">
        <v>300</v>
      </c>
      <c r="K50" s="14" t="n">
        <v>300</v>
      </c>
      <c r="L50" s="20" t="n">
        <f aca="false">INDEX('Read me'!$B$10:$B$15,5)</f>
        <v>1.2</v>
      </c>
      <c r="M50" s="14" t="n">
        <f aca="false">IF(F50*(1+'Read me'!$B$5)&lt;='Read me'!$B$7,CEILING(F50*(1+'Read me'!$B$5)+0.5,1)-0.5,CEILING(F50*(1+'Read me'!$B$5),5))</f>
        <v>175</v>
      </c>
      <c r="N50" s="14" t="n">
        <f aca="false">IF(MAX(M50*L50,M50+'Read me'!$B$6)&lt;='Read me'!$B$7,CEILING(MAX(M50*L50,M50+'Read me'!$B$6)+0.5,1)-0.5,CEILING(MAX(M50*L50,M50+'Read me'!$B$6),5))</f>
        <v>210</v>
      </c>
      <c r="O50" s="21" t="n">
        <f aca="false">IF(ISNUMBER(J50),M50-J50,"new")</f>
        <v>-125</v>
      </c>
    </row>
    <row r="51" customFormat="false" ht="15" hidden="false" customHeight="false" outlineLevel="0" collapsed="false">
      <c r="A51" s="2" t="s">
        <v>178</v>
      </c>
      <c r="B51" s="2" t="s">
        <v>125</v>
      </c>
      <c r="C51" s="2" t="s">
        <v>165</v>
      </c>
      <c r="D51" s="2" t="s">
        <v>15</v>
      </c>
      <c r="E51" s="2" t="s">
        <v>49</v>
      </c>
      <c r="F51" s="14" t="n">
        <v>210.3</v>
      </c>
      <c r="G51" s="2" t="n">
        <v>0</v>
      </c>
      <c r="H51" s="2" t="n">
        <v>5</v>
      </c>
      <c r="I51" s="20" t="n">
        <v>0.94</v>
      </c>
      <c r="J51" s="14" t="n">
        <v>300</v>
      </c>
      <c r="K51" s="14" t="n">
        <v>300</v>
      </c>
      <c r="L51" s="20" t="n">
        <f aca="false">INDEX('Read me'!$B$10:$B$15,5)</f>
        <v>1.2</v>
      </c>
      <c r="M51" s="14" t="n">
        <f aca="false">N51</f>
        <v>260</v>
      </c>
      <c r="N51" s="14" t="n">
        <f aca="false">IF(MAX((IF(F51*(1+'Read me'!$B$5)&lt;='Read me'!$B$7,CEILING(F51*(1+'Read me'!$B$5)+0.5,1)-0.5,CEILING(F51*(1+'Read me'!$B$5),5)))*L51,(IF(F51*(1+'Read me'!$B$5)&lt;='Read me'!$B$7,CEILING(F51*(1+'Read me'!$B$5)+0.5,1)-0.5,CEILING(F51*(1+'Read me'!$B$5),5)))+'Read me'!$B$6)&lt;='Read me'!$B$7,CEILING(MAX((IF(F51*(1+'Read me'!$B$5)&lt;='Read me'!$B$7,CEILING(F51*(1+'Read me'!$B$5)+0.5,1)-0.5,CEILING(F51*(1+'Read me'!$B$5),5)))*L51,(IF(F51*(1+'Read me'!$B$5)&lt;='Read me'!$B$7,CEILING(F51*(1+'Read me'!$B$5)+0.5,1)-0.5,CEILING(F51*(1+'Read me'!$B$5),5)))+'Read me'!$B$6)+0.5,1)-0.5,CEILING(MAX((IF(F51*(1+'Read me'!$B$5)&lt;='Read me'!$B$7,CEILING(F51*(1+'Read me'!$B$5)+0.5,1)-0.5,CEILING(F51*(1+'Read me'!$B$5),5)))*L51,(IF(F51*(1+'Read me'!$B$5)&lt;='Read me'!$B$7,CEILING(F51*(1+'Read me'!$B$5)+0.5,1)-0.5,CEILING(F51*(1+'Read me'!$B$5),5)))+'Read me'!$B$6),5))</f>
        <v>260</v>
      </c>
      <c r="O51" s="21" t="n">
        <f aca="false">IF(ISNUMBER(J51),M51-J51,"new")</f>
        <v>-40</v>
      </c>
      <c r="P51" s="5" t="s">
        <v>140</v>
      </c>
    </row>
    <row r="52" customFormat="false" ht="15" hidden="false" customHeight="false" outlineLevel="0" collapsed="false">
      <c r="A52" s="2" t="s">
        <v>179</v>
      </c>
      <c r="B52" s="2" t="s">
        <v>125</v>
      </c>
      <c r="C52" s="2" t="s">
        <v>165</v>
      </c>
      <c r="D52" s="2" t="s">
        <v>15</v>
      </c>
      <c r="E52" s="2" t="s">
        <v>50</v>
      </c>
      <c r="F52" s="14" t="n">
        <v>252.68</v>
      </c>
      <c r="G52" s="2" t="n">
        <v>0</v>
      </c>
      <c r="H52" s="2" t="n">
        <v>5</v>
      </c>
      <c r="I52" s="20" t="n">
        <v>0.94</v>
      </c>
      <c r="J52" s="14" t="n">
        <v>350</v>
      </c>
      <c r="K52" s="14" t="n">
        <v>400</v>
      </c>
      <c r="L52" s="20" t="n">
        <f aca="false">INDEX('Read me'!$B$10:$B$15,5)</f>
        <v>1.2</v>
      </c>
      <c r="M52" s="14" t="n">
        <f aca="false">N52</f>
        <v>310</v>
      </c>
      <c r="N52" s="14" t="n">
        <f aca="false">IF(MAX((IF(F52*(1+'Read me'!$B$5)&lt;='Read me'!$B$7,CEILING(F52*(1+'Read me'!$B$5)+0.5,1)-0.5,CEILING(F52*(1+'Read me'!$B$5),5)))*L52,(IF(F52*(1+'Read me'!$B$5)&lt;='Read me'!$B$7,CEILING(F52*(1+'Read me'!$B$5)+0.5,1)-0.5,CEILING(F52*(1+'Read me'!$B$5),5)))+'Read me'!$B$6)&lt;='Read me'!$B$7,CEILING(MAX((IF(F52*(1+'Read me'!$B$5)&lt;='Read me'!$B$7,CEILING(F52*(1+'Read me'!$B$5)+0.5,1)-0.5,CEILING(F52*(1+'Read me'!$B$5),5)))*L52,(IF(F52*(1+'Read me'!$B$5)&lt;='Read me'!$B$7,CEILING(F52*(1+'Read me'!$B$5)+0.5,1)-0.5,CEILING(F52*(1+'Read me'!$B$5),5)))+'Read me'!$B$6)+0.5,1)-0.5,CEILING(MAX((IF(F52*(1+'Read me'!$B$5)&lt;='Read me'!$B$7,CEILING(F52*(1+'Read me'!$B$5)+0.5,1)-0.5,CEILING(F52*(1+'Read me'!$B$5),5)))*L52,(IF(F52*(1+'Read me'!$B$5)&lt;='Read me'!$B$7,CEILING(F52*(1+'Read me'!$B$5)+0.5,1)-0.5,CEILING(F52*(1+'Read me'!$B$5),5)))+'Read me'!$B$6),5))</f>
        <v>310</v>
      </c>
      <c r="O52" s="21" t="n">
        <f aca="false">IF(ISNUMBER(J52),M52-J52,"new")</f>
        <v>-40</v>
      </c>
      <c r="P52" s="5" t="s">
        <v>140</v>
      </c>
    </row>
    <row r="53" customFormat="false" ht="15" hidden="false" customHeight="false" outlineLevel="0" collapsed="false">
      <c r="A53" s="2" t="s">
        <v>180</v>
      </c>
      <c r="B53" s="2" t="s">
        <v>125</v>
      </c>
      <c r="C53" s="2" t="s">
        <v>165</v>
      </c>
      <c r="D53" s="2" t="s">
        <v>16</v>
      </c>
      <c r="E53" s="2" t="s">
        <v>48</v>
      </c>
      <c r="F53" s="14" t="n">
        <v>236.69</v>
      </c>
      <c r="G53" s="2" t="n">
        <v>0</v>
      </c>
      <c r="H53" s="2" t="n">
        <v>5</v>
      </c>
      <c r="I53" s="20" t="n">
        <v>0.94</v>
      </c>
      <c r="J53" s="14"/>
      <c r="K53" s="14"/>
      <c r="L53" s="20" t="n">
        <f aca="false">INDEX('Read me'!$B$10:$B$15,6)</f>
        <v>1.2</v>
      </c>
      <c r="M53" s="14" t="n">
        <f aca="false">IF(F53*(1+'Read me'!$B$5)&lt;='Read me'!$B$7,CEILING(F53*(1+'Read me'!$B$5)+0.5,1)-0.5,CEILING(F53*(1+'Read me'!$B$5),5))</f>
        <v>240</v>
      </c>
      <c r="N53" s="14" t="n">
        <f aca="false">IF(MAX(M53*L53,M53+'Read me'!$B$6)&lt;='Read me'!$B$7,CEILING(MAX(M53*L53,M53+'Read me'!$B$6)+0.5,1)-0.5,CEILING(MAX(M53*L53,M53+'Read me'!$B$6),5))</f>
        <v>290</v>
      </c>
      <c r="O53" s="21" t="str">
        <f aca="false">IF(ISNUMBER(J53),M53-J53,"new")</f>
        <v>new</v>
      </c>
    </row>
    <row r="54" customFormat="false" ht="15" hidden="false" customHeight="false" outlineLevel="0" collapsed="false">
      <c r="A54" s="2" t="s">
        <v>181</v>
      </c>
      <c r="B54" s="2" t="s">
        <v>125</v>
      </c>
      <c r="C54" s="2" t="s">
        <v>165</v>
      </c>
      <c r="D54" s="2" t="s">
        <v>16</v>
      </c>
      <c r="E54" s="2" t="s">
        <v>49</v>
      </c>
      <c r="F54" s="14" t="n">
        <v>304.14</v>
      </c>
      <c r="G54" s="2" t="n">
        <v>0</v>
      </c>
      <c r="H54" s="2" t="n">
        <v>5</v>
      </c>
      <c r="I54" s="20" t="n">
        <v>0.94</v>
      </c>
      <c r="J54" s="14"/>
      <c r="K54" s="14"/>
      <c r="L54" s="20" t="n">
        <f aca="false">INDEX('Read me'!$B$10:$B$15,6)</f>
        <v>1.2</v>
      </c>
      <c r="M54" s="14" t="n">
        <f aca="false">N54</f>
        <v>370</v>
      </c>
      <c r="N54" s="14" t="n">
        <f aca="false">IF(MAX((IF(F54*(1+'Read me'!$B$5)&lt;='Read me'!$B$7,CEILING(F54*(1+'Read me'!$B$5)+0.5,1)-0.5,CEILING(F54*(1+'Read me'!$B$5),5)))*L54,(IF(F54*(1+'Read me'!$B$5)&lt;='Read me'!$B$7,CEILING(F54*(1+'Read me'!$B$5)+0.5,1)-0.5,CEILING(F54*(1+'Read me'!$B$5),5)))+'Read me'!$B$6)&lt;='Read me'!$B$7,CEILING(MAX((IF(F54*(1+'Read me'!$B$5)&lt;='Read me'!$B$7,CEILING(F54*(1+'Read me'!$B$5)+0.5,1)-0.5,CEILING(F54*(1+'Read me'!$B$5),5)))*L54,(IF(F54*(1+'Read me'!$B$5)&lt;='Read me'!$B$7,CEILING(F54*(1+'Read me'!$B$5)+0.5,1)-0.5,CEILING(F54*(1+'Read me'!$B$5),5)))+'Read me'!$B$6)+0.5,1)-0.5,CEILING(MAX((IF(F54*(1+'Read me'!$B$5)&lt;='Read me'!$B$7,CEILING(F54*(1+'Read me'!$B$5)+0.5,1)-0.5,CEILING(F54*(1+'Read me'!$B$5),5)))*L54,(IF(F54*(1+'Read me'!$B$5)&lt;='Read me'!$B$7,CEILING(F54*(1+'Read me'!$B$5)+0.5,1)-0.5,CEILING(F54*(1+'Read me'!$B$5),5)))+'Read me'!$B$6),5))</f>
        <v>370</v>
      </c>
      <c r="O54" s="21" t="str">
        <f aca="false">IF(ISNUMBER(J54),M54-J54,"new")</f>
        <v>new</v>
      </c>
      <c r="P54" s="5" t="s">
        <v>140</v>
      </c>
    </row>
    <row r="55" customFormat="false" ht="15" hidden="false" customHeight="false" outlineLevel="0" collapsed="false">
      <c r="A55" s="2" t="s">
        <v>182</v>
      </c>
      <c r="B55" s="2" t="s">
        <v>125</v>
      </c>
      <c r="C55" s="2" t="s">
        <v>165</v>
      </c>
      <c r="D55" s="2" t="s">
        <v>16</v>
      </c>
      <c r="E55" s="2" t="s">
        <v>50</v>
      </c>
      <c r="F55" s="14" t="n">
        <v>357.47</v>
      </c>
      <c r="G55" s="2" t="n">
        <v>0</v>
      </c>
      <c r="H55" s="2" t="n">
        <v>5</v>
      </c>
      <c r="I55" s="20" t="n">
        <v>0.94</v>
      </c>
      <c r="J55" s="14"/>
      <c r="K55" s="14"/>
      <c r="L55" s="20" t="n">
        <f aca="false">INDEX('Read me'!$B$10:$B$15,6)</f>
        <v>1.2</v>
      </c>
      <c r="M55" s="14" t="n">
        <f aca="false">N55</f>
        <v>435</v>
      </c>
      <c r="N55" s="14" t="n">
        <f aca="false">IF(MAX((IF(F55*(1+'Read me'!$B$5)&lt;='Read me'!$B$7,CEILING(F55*(1+'Read me'!$B$5)+0.5,1)-0.5,CEILING(F55*(1+'Read me'!$B$5),5)))*L55,(IF(F55*(1+'Read me'!$B$5)&lt;='Read me'!$B$7,CEILING(F55*(1+'Read me'!$B$5)+0.5,1)-0.5,CEILING(F55*(1+'Read me'!$B$5),5)))+'Read me'!$B$6)&lt;='Read me'!$B$7,CEILING(MAX((IF(F55*(1+'Read me'!$B$5)&lt;='Read me'!$B$7,CEILING(F55*(1+'Read me'!$B$5)+0.5,1)-0.5,CEILING(F55*(1+'Read me'!$B$5),5)))*L55,(IF(F55*(1+'Read me'!$B$5)&lt;='Read me'!$B$7,CEILING(F55*(1+'Read me'!$B$5)+0.5,1)-0.5,CEILING(F55*(1+'Read me'!$B$5),5)))+'Read me'!$B$6)+0.5,1)-0.5,CEILING(MAX((IF(F55*(1+'Read me'!$B$5)&lt;='Read me'!$B$7,CEILING(F55*(1+'Read me'!$B$5)+0.5,1)-0.5,CEILING(F55*(1+'Read me'!$B$5),5)))*L55,(IF(F55*(1+'Read me'!$B$5)&lt;='Read me'!$B$7,CEILING(F55*(1+'Read me'!$B$5)+0.5,1)-0.5,CEILING(F55*(1+'Read me'!$B$5),5)))+'Read me'!$B$6),5))</f>
        <v>435</v>
      </c>
      <c r="O55" s="21" t="str">
        <f aca="false">IF(ISNUMBER(J55),M55-J55,"new")</f>
        <v>new</v>
      </c>
      <c r="P55" s="5" t="s">
        <v>140</v>
      </c>
    </row>
    <row r="56" customFormat="false" ht="15" hidden="false" customHeight="false" outlineLevel="0" collapsed="false">
      <c r="A56" s="2" t="s">
        <v>183</v>
      </c>
      <c r="B56" s="2" t="s">
        <v>125</v>
      </c>
      <c r="C56" s="2" t="s">
        <v>184</v>
      </c>
      <c r="D56" s="2" t="s">
        <v>10</v>
      </c>
      <c r="E56" s="2" t="s">
        <v>48</v>
      </c>
      <c r="F56" s="14" t="n">
        <v>11.46</v>
      </c>
      <c r="G56" s="2" t="n">
        <v>20</v>
      </c>
      <c r="H56" s="2" t="n">
        <v>42</v>
      </c>
      <c r="I56" s="20" t="n">
        <v>0.88</v>
      </c>
      <c r="J56" s="14" t="n">
        <v>14.5</v>
      </c>
      <c r="K56" s="14" t="n">
        <v>19.5</v>
      </c>
      <c r="L56" s="20" t="n">
        <f aca="false">INDEX('Read me'!$B$10:$B$15,1)</f>
        <v>1.34</v>
      </c>
      <c r="M56" s="14" t="n">
        <f aca="false">IF(F56*(1+'Read me'!$B$5)&lt;='Read me'!$B$7,CEILING(F56*(1+'Read me'!$B$5)+0.5,1)-0.5,CEILING(F56*(1+'Read me'!$B$5),5))</f>
        <v>11.5</v>
      </c>
      <c r="N56" s="14" t="n">
        <f aca="false">IF(MAX(M56*L56,M56+'Read me'!$B$6)&lt;='Read me'!$B$7,CEILING(MAX(M56*L56,M56+'Read me'!$B$6)+0.5,1)-0.5,CEILING(MAX(M56*L56,M56+'Read me'!$B$6),5))</f>
        <v>16.5</v>
      </c>
      <c r="O56" s="21" t="n">
        <f aca="false">IF(ISNUMBER(J56),M56-J56,"new")</f>
        <v>-3</v>
      </c>
    </row>
    <row r="57" customFormat="false" ht="15" hidden="false" customHeight="false" outlineLevel="0" collapsed="false">
      <c r="A57" s="2" t="s">
        <v>185</v>
      </c>
      <c r="B57" s="2" t="s">
        <v>125</v>
      </c>
      <c r="C57" s="2" t="s">
        <v>184</v>
      </c>
      <c r="D57" s="2" t="s">
        <v>10</v>
      </c>
      <c r="E57" s="2" t="s">
        <v>49</v>
      </c>
      <c r="F57" s="14" t="n">
        <v>13.43</v>
      </c>
      <c r="G57" s="2" t="n">
        <v>0</v>
      </c>
      <c r="H57" s="2" t="n">
        <v>42</v>
      </c>
      <c r="I57" s="20" t="n">
        <v>0.88</v>
      </c>
      <c r="J57" s="14" t="n">
        <v>14.5</v>
      </c>
      <c r="K57" s="14" t="n">
        <v>19.5</v>
      </c>
      <c r="L57" s="20" t="n">
        <f aca="false">INDEX('Read me'!$B$10:$B$15,1)</f>
        <v>1.34</v>
      </c>
      <c r="M57" s="14" t="n">
        <f aca="false">IF(F57*(1+'Read me'!$B$5)&lt;='Read me'!$B$7,CEILING(F57*(1+'Read me'!$B$5)+0.5,1)-0.5,CEILING(F57*(1+'Read me'!$B$5),5))</f>
        <v>13.5</v>
      </c>
      <c r="N57" s="14" t="n">
        <f aca="false">IF(MAX(M57*L57,M57+'Read me'!$B$6)&lt;='Read me'!$B$7,CEILING(MAX(M57*L57,M57+'Read me'!$B$6)+0.5,1)-0.5,CEILING(MAX(M57*L57,M57+'Read me'!$B$6),5))</f>
        <v>18.5</v>
      </c>
      <c r="O57" s="21" t="n">
        <f aca="false">IF(ISNUMBER(J57),M57-J57,"new")</f>
        <v>-1</v>
      </c>
    </row>
    <row r="58" customFormat="false" ht="15" hidden="false" customHeight="false" outlineLevel="0" collapsed="false">
      <c r="A58" s="2" t="s">
        <v>186</v>
      </c>
      <c r="B58" s="2" t="s">
        <v>125</v>
      </c>
      <c r="C58" s="2" t="s">
        <v>184</v>
      </c>
      <c r="D58" s="2" t="s">
        <v>10</v>
      </c>
      <c r="E58" s="2" t="s">
        <v>50</v>
      </c>
      <c r="F58" s="14" t="n">
        <v>17.72</v>
      </c>
      <c r="G58" s="2" t="n">
        <v>0</v>
      </c>
      <c r="H58" s="2" t="n">
        <v>42</v>
      </c>
      <c r="I58" s="20" t="n">
        <v>0.88</v>
      </c>
      <c r="J58" s="14" t="n">
        <v>17.5</v>
      </c>
      <c r="K58" s="14" t="n">
        <v>29.5</v>
      </c>
      <c r="L58" s="20" t="n">
        <f aca="false">INDEX('Read me'!$B$10:$B$15,1)</f>
        <v>1.34</v>
      </c>
      <c r="M58" s="14" t="n">
        <f aca="false">IF(F58*(1+'Read me'!$B$5)&lt;='Read me'!$B$7,CEILING(F58*(1+'Read me'!$B$5)+0.5,1)-0.5,CEILING(F58*(1+'Read me'!$B$5),5))</f>
        <v>18.5</v>
      </c>
      <c r="N58" s="14" t="n">
        <f aca="false">IF(MAX(M58*L58,M58+'Read me'!$B$6)&lt;='Read me'!$B$7,CEILING(MAX(M58*L58,M58+'Read me'!$B$6)+0.5,1)-0.5,CEILING(MAX(M58*L58,M58+'Read me'!$B$6),5))</f>
        <v>25.5</v>
      </c>
      <c r="O58" s="21" t="n">
        <f aca="false">IF(ISNUMBER(J58),M58-J58,"new")</f>
        <v>1</v>
      </c>
    </row>
    <row r="59" customFormat="false" ht="15" hidden="false" customHeight="false" outlineLevel="0" collapsed="false">
      <c r="A59" s="2" t="s">
        <v>187</v>
      </c>
      <c r="B59" s="2" t="s">
        <v>125</v>
      </c>
      <c r="C59" s="2" t="s">
        <v>184</v>
      </c>
      <c r="D59" s="2" t="s">
        <v>12</v>
      </c>
      <c r="E59" s="2" t="s">
        <v>48</v>
      </c>
      <c r="F59" s="14" t="n">
        <v>40.9</v>
      </c>
      <c r="G59" s="2" t="n">
        <v>16</v>
      </c>
      <c r="H59" s="2" t="n">
        <v>42</v>
      </c>
      <c r="I59" s="20" t="n">
        <v>0.88</v>
      </c>
      <c r="J59" s="14" t="n">
        <v>19.5</v>
      </c>
      <c r="K59" s="14" t="n">
        <v>24.5</v>
      </c>
      <c r="L59" s="20" t="n">
        <f aca="false">INDEX('Read me'!$B$10:$B$15,2)</f>
        <v>1.26</v>
      </c>
      <c r="M59" s="14" t="n">
        <f aca="false">IF(F59*(1+'Read me'!$B$5)&lt;='Read me'!$B$7,CEILING(F59*(1+'Read me'!$B$5)+0.5,1)-0.5,CEILING(F59*(1+'Read me'!$B$5),5))</f>
        <v>45</v>
      </c>
      <c r="N59" s="14" t="n">
        <f aca="false">IF(MAX(M59*L59,M59+'Read me'!$B$6)&lt;='Read me'!$B$7,CEILING(MAX(M59*L59,M59+'Read me'!$B$6)+0.5,1)-0.5,CEILING(MAX(M59*L59,M59+'Read me'!$B$6),5))</f>
        <v>60</v>
      </c>
      <c r="O59" s="21" t="n">
        <f aca="false">IF(ISNUMBER(J59),M59-J59,"new")</f>
        <v>25.5</v>
      </c>
    </row>
    <row r="60" customFormat="false" ht="15" hidden="false" customHeight="false" outlineLevel="0" collapsed="false">
      <c r="A60" s="2" t="s">
        <v>188</v>
      </c>
      <c r="B60" s="2" t="s">
        <v>125</v>
      </c>
      <c r="C60" s="2" t="s">
        <v>184</v>
      </c>
      <c r="D60" s="2" t="s">
        <v>12</v>
      </c>
      <c r="E60" s="2" t="s">
        <v>49</v>
      </c>
      <c r="F60" s="14" t="n">
        <v>46.33</v>
      </c>
      <c r="G60" s="2" t="n">
        <v>0</v>
      </c>
      <c r="H60" s="2" t="n">
        <v>42</v>
      </c>
      <c r="I60" s="20" t="n">
        <v>0.88</v>
      </c>
      <c r="J60" s="14" t="n">
        <v>19.5</v>
      </c>
      <c r="K60" s="14" t="n">
        <v>24.5</v>
      </c>
      <c r="L60" s="20" t="n">
        <f aca="false">INDEX('Read me'!$B$10:$B$15,2)</f>
        <v>1.26</v>
      </c>
      <c r="M60" s="14" t="n">
        <f aca="false">IF(F60*(1+'Read me'!$B$5)&lt;='Read me'!$B$7,CEILING(F60*(1+'Read me'!$B$5)+0.5,1)-0.5,CEILING(F60*(1+'Read me'!$B$5),5))</f>
        <v>50</v>
      </c>
      <c r="N60" s="14" t="n">
        <f aca="false">IF(MAX(M60*L60,M60+'Read me'!$B$6)&lt;='Read me'!$B$7,CEILING(MAX(M60*L60,M60+'Read me'!$B$6)+0.5,1)-0.5,CEILING(MAX(M60*L60,M60+'Read me'!$B$6),5))</f>
        <v>65</v>
      </c>
      <c r="O60" s="21" t="n">
        <f aca="false">IF(ISNUMBER(J60),M60-J60,"new")</f>
        <v>30.5</v>
      </c>
    </row>
    <row r="61" customFormat="false" ht="15" hidden="false" customHeight="false" outlineLevel="0" collapsed="false">
      <c r="A61" s="2" t="s">
        <v>189</v>
      </c>
      <c r="B61" s="2" t="s">
        <v>125</v>
      </c>
      <c r="C61" s="2" t="s">
        <v>184</v>
      </c>
      <c r="D61" s="2" t="s">
        <v>12</v>
      </c>
      <c r="E61" s="2" t="s">
        <v>50</v>
      </c>
      <c r="F61" s="14" t="n">
        <v>54.09</v>
      </c>
      <c r="G61" s="2" t="n">
        <v>0</v>
      </c>
      <c r="H61" s="2" t="n">
        <v>42</v>
      </c>
      <c r="I61" s="20" t="n">
        <v>0.88</v>
      </c>
      <c r="J61" s="14" t="n">
        <v>19.5</v>
      </c>
      <c r="K61" s="14" t="n">
        <v>34.5</v>
      </c>
      <c r="L61" s="20" t="n">
        <f aca="false">INDEX('Read me'!$B$10:$B$15,2)</f>
        <v>1.26</v>
      </c>
      <c r="M61" s="14" t="n">
        <f aca="false">IF(F61*(1+'Read me'!$B$5)&lt;='Read me'!$B$7,CEILING(F61*(1+'Read me'!$B$5)+0.5,1)-0.5,CEILING(F61*(1+'Read me'!$B$5),5))</f>
        <v>55</v>
      </c>
      <c r="N61" s="14" t="n">
        <f aca="false">IF(MAX(M61*L61,M61+'Read me'!$B$6)&lt;='Read me'!$B$7,CEILING(MAX(M61*L61,M61+'Read me'!$B$6)+0.5,1)-0.5,CEILING(MAX(M61*L61,M61+'Read me'!$B$6),5))</f>
        <v>70</v>
      </c>
      <c r="O61" s="21" t="n">
        <f aca="false">IF(ISNUMBER(J61),M61-J61,"new")</f>
        <v>35.5</v>
      </c>
    </row>
    <row r="62" customFormat="false" ht="15" hidden="false" customHeight="false" outlineLevel="0" collapsed="false">
      <c r="A62" s="2" t="s">
        <v>190</v>
      </c>
      <c r="B62" s="2" t="s">
        <v>125</v>
      </c>
      <c r="C62" s="2" t="s">
        <v>184</v>
      </c>
      <c r="D62" s="2" t="s">
        <v>13</v>
      </c>
      <c r="E62" s="2" t="s">
        <v>48</v>
      </c>
      <c r="F62" s="14" t="n">
        <v>75.16</v>
      </c>
      <c r="G62" s="2" t="n">
        <v>3</v>
      </c>
      <c r="H62" s="2" t="n">
        <v>42</v>
      </c>
      <c r="I62" s="20" t="n">
        <v>0.88</v>
      </c>
      <c r="J62" s="14" t="n">
        <v>24.5</v>
      </c>
      <c r="K62" s="14" t="n">
        <v>75</v>
      </c>
      <c r="L62" s="20" t="n">
        <f aca="false">INDEX('Read me'!$B$10:$B$15,3)</f>
        <v>1.35</v>
      </c>
      <c r="M62" s="14" t="n">
        <f aca="false">IF(F62*(1+'Read me'!$B$5)&lt;='Read me'!$B$7,CEILING(F62*(1+'Read me'!$B$5)+0.5,1)-0.5,CEILING(F62*(1+'Read me'!$B$5),5))</f>
        <v>80</v>
      </c>
      <c r="N62" s="14" t="n">
        <f aca="false">IF(MAX(M62*L62,M62+'Read me'!$B$6)&lt;='Read me'!$B$7,CEILING(MAX(M62*L62,M62+'Read me'!$B$6)+0.5,1)-0.5,CEILING(MAX(M62*L62,M62+'Read me'!$B$6),5))</f>
        <v>110</v>
      </c>
      <c r="O62" s="21" t="n">
        <f aca="false">IF(ISNUMBER(J62),M62-J62,"new")</f>
        <v>55.5</v>
      </c>
    </row>
    <row r="63" customFormat="false" ht="15" hidden="false" customHeight="false" outlineLevel="0" collapsed="false">
      <c r="A63" s="2" t="s">
        <v>191</v>
      </c>
      <c r="B63" s="2" t="s">
        <v>125</v>
      </c>
      <c r="C63" s="2" t="s">
        <v>184</v>
      </c>
      <c r="D63" s="2" t="s">
        <v>13</v>
      </c>
      <c r="E63" s="2" t="s">
        <v>49</v>
      </c>
      <c r="F63" s="14" t="n">
        <v>82.14</v>
      </c>
      <c r="G63" s="2" t="n">
        <v>0</v>
      </c>
      <c r="H63" s="2" t="n">
        <v>42</v>
      </c>
      <c r="I63" s="20" t="n">
        <v>0.88</v>
      </c>
      <c r="J63" s="14" t="n">
        <v>24.5</v>
      </c>
      <c r="K63" s="14" t="n">
        <v>75</v>
      </c>
      <c r="L63" s="20" t="n">
        <f aca="false">INDEX('Read me'!$B$10:$B$15,3)</f>
        <v>1.35</v>
      </c>
      <c r="M63" s="14" t="n">
        <f aca="false">IF(F63*(1+'Read me'!$B$5)&lt;='Read me'!$B$7,CEILING(F63*(1+'Read me'!$B$5)+0.5,1)-0.5,CEILING(F63*(1+'Read me'!$B$5),5))</f>
        <v>85</v>
      </c>
      <c r="N63" s="14" t="n">
        <f aca="false">IF(MAX(M63*L63,M63+'Read me'!$B$6)&lt;='Read me'!$B$7,CEILING(MAX(M63*L63,M63+'Read me'!$B$6)+0.5,1)-0.5,CEILING(MAX(M63*L63,M63+'Read me'!$B$6),5))</f>
        <v>115</v>
      </c>
      <c r="O63" s="21" t="n">
        <f aca="false">IF(ISNUMBER(J63),M63-J63,"new")</f>
        <v>60.5</v>
      </c>
    </row>
    <row r="64" customFormat="false" ht="15" hidden="false" customHeight="false" outlineLevel="0" collapsed="false">
      <c r="A64" s="2" t="s">
        <v>192</v>
      </c>
      <c r="B64" s="2" t="s">
        <v>125</v>
      </c>
      <c r="C64" s="2" t="s">
        <v>184</v>
      </c>
      <c r="D64" s="2" t="s">
        <v>13</v>
      </c>
      <c r="E64" s="2" t="s">
        <v>50</v>
      </c>
      <c r="F64" s="14" t="n">
        <v>110.46</v>
      </c>
      <c r="G64" s="2" t="n">
        <v>0</v>
      </c>
      <c r="H64" s="2" t="n">
        <v>42</v>
      </c>
      <c r="I64" s="20" t="n">
        <v>0.88</v>
      </c>
      <c r="J64" s="14" t="n">
        <v>85</v>
      </c>
      <c r="K64" s="14" t="n">
        <v>125</v>
      </c>
      <c r="L64" s="20" t="n">
        <f aca="false">INDEX('Read me'!$B$10:$B$15,3)</f>
        <v>1.35</v>
      </c>
      <c r="M64" s="14" t="n">
        <f aca="false">IF(F64*(1+'Read me'!$B$5)&lt;='Read me'!$B$7,CEILING(F64*(1+'Read me'!$B$5)+0.5,1)-0.5,CEILING(F64*(1+'Read me'!$B$5),5))</f>
        <v>115</v>
      </c>
      <c r="N64" s="14" t="n">
        <f aca="false">IF(MAX(M64*L64,M64+'Read me'!$B$6)&lt;='Read me'!$B$7,CEILING(MAX(M64*L64,M64+'Read me'!$B$6)+0.5,1)-0.5,CEILING(MAX(M64*L64,M64+'Read me'!$B$6),5))</f>
        <v>160</v>
      </c>
      <c r="O64" s="21" t="n">
        <f aca="false">IF(ISNUMBER(J64),M64-J64,"new")</f>
        <v>30</v>
      </c>
    </row>
    <row r="65" customFormat="false" ht="15" hidden="false" customHeight="false" outlineLevel="0" collapsed="false">
      <c r="A65" s="2" t="s">
        <v>193</v>
      </c>
      <c r="B65" s="2" t="s">
        <v>125</v>
      </c>
      <c r="C65" s="2" t="s">
        <v>184</v>
      </c>
      <c r="D65" s="2" t="s">
        <v>14</v>
      </c>
      <c r="E65" s="2" t="s">
        <v>48</v>
      </c>
      <c r="F65" s="14" t="n">
        <v>129.74</v>
      </c>
      <c r="G65" s="2" t="n">
        <v>2</v>
      </c>
      <c r="H65" s="2" t="n">
        <v>42</v>
      </c>
      <c r="I65" s="20" t="n">
        <v>0.88</v>
      </c>
      <c r="J65" s="14" t="n">
        <v>85</v>
      </c>
      <c r="K65" s="14" t="n">
        <v>125</v>
      </c>
      <c r="L65" s="20" t="n">
        <f aca="false">INDEX('Read me'!$B$10:$B$15,4)</f>
        <v>1.2</v>
      </c>
      <c r="M65" s="14" t="n">
        <f aca="false">IF(F65*(1+'Read me'!$B$5)&lt;='Read me'!$B$7,CEILING(F65*(1+'Read me'!$B$5)+0.5,1)-0.5,CEILING(F65*(1+'Read me'!$B$5),5))</f>
        <v>130</v>
      </c>
      <c r="N65" s="14" t="n">
        <f aca="false">IF(MAX(M65*L65,M65+'Read me'!$B$6)&lt;='Read me'!$B$7,CEILING(MAX(M65*L65,M65+'Read me'!$B$6)+0.5,1)-0.5,CEILING(MAX(M65*L65,M65+'Read me'!$B$6),5))</f>
        <v>160</v>
      </c>
      <c r="O65" s="21" t="n">
        <f aca="false">IF(ISNUMBER(J65),M65-J65,"new")</f>
        <v>45</v>
      </c>
    </row>
    <row r="66" customFormat="false" ht="15" hidden="false" customHeight="false" outlineLevel="0" collapsed="false">
      <c r="A66" s="2" t="s">
        <v>194</v>
      </c>
      <c r="B66" s="2" t="s">
        <v>125</v>
      </c>
      <c r="C66" s="2" t="s">
        <v>184</v>
      </c>
      <c r="D66" s="2" t="s">
        <v>14</v>
      </c>
      <c r="E66" s="2" t="s">
        <v>49</v>
      </c>
      <c r="F66" s="14" t="n">
        <v>151.8</v>
      </c>
      <c r="G66" s="2" t="n">
        <v>0</v>
      </c>
      <c r="H66" s="2" t="n">
        <v>42</v>
      </c>
      <c r="I66" s="20" t="n">
        <v>0.88</v>
      </c>
      <c r="J66" s="14" t="n">
        <v>125</v>
      </c>
      <c r="K66" s="14" t="n">
        <v>125</v>
      </c>
      <c r="L66" s="20" t="n">
        <f aca="false">INDEX('Read me'!$B$10:$B$15,4)</f>
        <v>1.2</v>
      </c>
      <c r="M66" s="14" t="n">
        <f aca="false">IF(F66*(1+'Read me'!$B$5)&lt;='Read me'!$B$7,CEILING(F66*(1+'Read me'!$B$5)+0.5,1)-0.5,CEILING(F66*(1+'Read me'!$B$5),5))</f>
        <v>155</v>
      </c>
      <c r="N66" s="14" t="n">
        <f aca="false">IF(MAX(M66*L66,M66+'Read me'!$B$6)&lt;='Read me'!$B$7,CEILING(MAX(M66*L66,M66+'Read me'!$B$6)+0.5,1)-0.5,CEILING(MAX(M66*L66,M66+'Read me'!$B$6),5))</f>
        <v>190</v>
      </c>
      <c r="O66" s="21" t="n">
        <f aca="false">IF(ISNUMBER(J66),M66-J66,"new")</f>
        <v>30</v>
      </c>
    </row>
    <row r="67" customFormat="false" ht="15" hidden="false" customHeight="false" outlineLevel="0" collapsed="false">
      <c r="A67" s="2" t="s">
        <v>195</v>
      </c>
      <c r="B67" s="2" t="s">
        <v>125</v>
      </c>
      <c r="C67" s="2" t="s">
        <v>184</v>
      </c>
      <c r="D67" s="2" t="s">
        <v>14</v>
      </c>
      <c r="E67" s="2" t="s">
        <v>50</v>
      </c>
      <c r="F67" s="14" t="n">
        <v>182.94</v>
      </c>
      <c r="G67" s="2" t="n">
        <v>0</v>
      </c>
      <c r="H67" s="2" t="n">
        <v>42</v>
      </c>
      <c r="I67" s="20" t="n">
        <v>0.88</v>
      </c>
      <c r="J67" s="14" t="n">
        <v>199</v>
      </c>
      <c r="K67" s="14" t="n">
        <v>175</v>
      </c>
      <c r="L67" s="20" t="n">
        <f aca="false">INDEX('Read me'!$B$10:$B$15,4)</f>
        <v>1.2</v>
      </c>
      <c r="M67" s="14" t="n">
        <f aca="false">IF(F67*(1+'Read me'!$B$5)&lt;='Read me'!$B$7,CEILING(F67*(1+'Read me'!$B$5)+0.5,1)-0.5,CEILING(F67*(1+'Read me'!$B$5),5))</f>
        <v>185</v>
      </c>
      <c r="N67" s="14" t="n">
        <f aca="false">IF(MAX(M67*L67,M67+'Read me'!$B$6)&lt;='Read me'!$B$7,CEILING(MAX(M67*L67,M67+'Read me'!$B$6)+0.5,1)-0.5,CEILING(MAX(M67*L67,M67+'Read me'!$B$6),5))</f>
        <v>225</v>
      </c>
      <c r="O67" s="21" t="n">
        <f aca="false">IF(ISNUMBER(J67),M67-J67,"new")</f>
        <v>-14</v>
      </c>
    </row>
    <row r="68" customFormat="false" ht="15" hidden="false" customHeight="false" outlineLevel="0" collapsed="false">
      <c r="A68" s="2" t="s">
        <v>196</v>
      </c>
      <c r="B68" s="2" t="s">
        <v>125</v>
      </c>
      <c r="C68" s="2" t="s">
        <v>184</v>
      </c>
      <c r="D68" s="2" t="s">
        <v>15</v>
      </c>
      <c r="E68" s="2" t="s">
        <v>48</v>
      </c>
      <c r="F68" s="14" t="n">
        <v>163.03</v>
      </c>
      <c r="G68" s="2" t="n">
        <v>1</v>
      </c>
      <c r="H68" s="2" t="n">
        <v>42</v>
      </c>
      <c r="I68" s="20" t="n">
        <v>0.88</v>
      </c>
      <c r="J68" s="14" t="n">
        <v>250</v>
      </c>
      <c r="K68" s="14" t="n">
        <v>300</v>
      </c>
      <c r="L68" s="20" t="n">
        <f aca="false">INDEX('Read me'!$B$10:$B$15,5)</f>
        <v>1.2</v>
      </c>
      <c r="M68" s="14" t="n">
        <f aca="false">IF(F68*(1+'Read me'!$B$5)&lt;='Read me'!$B$7,CEILING(F68*(1+'Read me'!$B$5)+0.5,1)-0.5,CEILING(F68*(1+'Read me'!$B$5),5))</f>
        <v>165</v>
      </c>
      <c r="N68" s="14" t="n">
        <f aca="false">IF(MAX(M68*L68,M68+'Read me'!$B$6)&lt;='Read me'!$B$7,CEILING(MAX(M68*L68,M68+'Read me'!$B$6)+0.5,1)-0.5,CEILING(MAX(M68*L68,M68+'Read me'!$B$6),5))</f>
        <v>200</v>
      </c>
      <c r="O68" s="21" t="n">
        <f aca="false">IF(ISNUMBER(J68),M68-J68,"new")</f>
        <v>-85</v>
      </c>
    </row>
    <row r="69" customFormat="false" ht="15" hidden="false" customHeight="false" outlineLevel="0" collapsed="false">
      <c r="A69" s="2" t="s">
        <v>197</v>
      </c>
      <c r="B69" s="2" t="s">
        <v>125</v>
      </c>
      <c r="C69" s="2" t="s">
        <v>184</v>
      </c>
      <c r="D69" s="2" t="s">
        <v>15</v>
      </c>
      <c r="E69" s="2" t="s">
        <v>49</v>
      </c>
      <c r="F69" s="14" t="n">
        <v>197.98</v>
      </c>
      <c r="G69" s="2" t="n">
        <v>0</v>
      </c>
      <c r="H69" s="2" t="n">
        <v>42</v>
      </c>
      <c r="I69" s="20" t="n">
        <v>0.88</v>
      </c>
      <c r="J69" s="14" t="n">
        <v>250</v>
      </c>
      <c r="K69" s="14" t="n">
        <v>300</v>
      </c>
      <c r="L69" s="20" t="n">
        <f aca="false">INDEX('Read me'!$B$10:$B$15,5)</f>
        <v>1.2</v>
      </c>
      <c r="M69" s="14" t="n">
        <f aca="false">N69</f>
        <v>240</v>
      </c>
      <c r="N69" s="14" t="n">
        <f aca="false">IF(MAX((IF(F69*(1+'Read me'!$B$5)&lt;='Read me'!$B$7,CEILING(F69*(1+'Read me'!$B$5)+0.5,1)-0.5,CEILING(F69*(1+'Read me'!$B$5),5)))*L69,(IF(F69*(1+'Read me'!$B$5)&lt;='Read me'!$B$7,CEILING(F69*(1+'Read me'!$B$5)+0.5,1)-0.5,CEILING(F69*(1+'Read me'!$B$5),5)))+'Read me'!$B$6)&lt;='Read me'!$B$7,CEILING(MAX((IF(F69*(1+'Read me'!$B$5)&lt;='Read me'!$B$7,CEILING(F69*(1+'Read me'!$B$5)+0.5,1)-0.5,CEILING(F69*(1+'Read me'!$B$5),5)))*L69,(IF(F69*(1+'Read me'!$B$5)&lt;='Read me'!$B$7,CEILING(F69*(1+'Read me'!$B$5)+0.5,1)-0.5,CEILING(F69*(1+'Read me'!$B$5),5)))+'Read me'!$B$6)+0.5,1)-0.5,CEILING(MAX((IF(F69*(1+'Read me'!$B$5)&lt;='Read me'!$B$7,CEILING(F69*(1+'Read me'!$B$5)+0.5,1)-0.5,CEILING(F69*(1+'Read me'!$B$5),5)))*L69,(IF(F69*(1+'Read me'!$B$5)&lt;='Read me'!$B$7,CEILING(F69*(1+'Read me'!$B$5)+0.5,1)-0.5,CEILING(F69*(1+'Read me'!$B$5),5)))+'Read me'!$B$6),5))</f>
        <v>240</v>
      </c>
      <c r="O69" s="21" t="n">
        <f aca="false">IF(ISNUMBER(J69),M69-J69,"new")</f>
        <v>-10</v>
      </c>
      <c r="P69" s="5" t="s">
        <v>140</v>
      </c>
    </row>
    <row r="70" customFormat="false" ht="15" hidden="false" customHeight="false" outlineLevel="0" collapsed="false">
      <c r="A70" s="2" t="s">
        <v>198</v>
      </c>
      <c r="B70" s="2" t="s">
        <v>125</v>
      </c>
      <c r="C70" s="2" t="s">
        <v>184</v>
      </c>
      <c r="D70" s="2" t="s">
        <v>15</v>
      </c>
      <c r="E70" s="2" t="s">
        <v>50</v>
      </c>
      <c r="F70" s="14" t="n">
        <v>237.88</v>
      </c>
      <c r="G70" s="2" t="n">
        <v>0</v>
      </c>
      <c r="H70" s="2" t="n">
        <v>42</v>
      </c>
      <c r="I70" s="20" t="n">
        <v>0.88</v>
      </c>
      <c r="J70" s="14" t="n">
        <v>300</v>
      </c>
      <c r="K70" s="14" t="n">
        <v>400</v>
      </c>
      <c r="L70" s="20" t="n">
        <f aca="false">INDEX('Read me'!$B$10:$B$15,5)</f>
        <v>1.2</v>
      </c>
      <c r="M70" s="14" t="n">
        <f aca="false">N70</f>
        <v>290</v>
      </c>
      <c r="N70" s="14" t="n">
        <f aca="false">IF(MAX((IF(F70*(1+'Read me'!$B$5)&lt;='Read me'!$B$7,CEILING(F70*(1+'Read me'!$B$5)+0.5,1)-0.5,CEILING(F70*(1+'Read me'!$B$5),5)))*L70,(IF(F70*(1+'Read me'!$B$5)&lt;='Read me'!$B$7,CEILING(F70*(1+'Read me'!$B$5)+0.5,1)-0.5,CEILING(F70*(1+'Read me'!$B$5),5)))+'Read me'!$B$6)&lt;='Read me'!$B$7,CEILING(MAX((IF(F70*(1+'Read me'!$B$5)&lt;='Read me'!$B$7,CEILING(F70*(1+'Read me'!$B$5)+0.5,1)-0.5,CEILING(F70*(1+'Read me'!$B$5),5)))*L70,(IF(F70*(1+'Read me'!$B$5)&lt;='Read me'!$B$7,CEILING(F70*(1+'Read me'!$B$5)+0.5,1)-0.5,CEILING(F70*(1+'Read me'!$B$5),5)))+'Read me'!$B$6)+0.5,1)-0.5,CEILING(MAX((IF(F70*(1+'Read me'!$B$5)&lt;='Read me'!$B$7,CEILING(F70*(1+'Read me'!$B$5)+0.5,1)-0.5,CEILING(F70*(1+'Read me'!$B$5),5)))*L70,(IF(F70*(1+'Read me'!$B$5)&lt;='Read me'!$B$7,CEILING(F70*(1+'Read me'!$B$5)+0.5,1)-0.5,CEILING(F70*(1+'Read me'!$B$5),5)))+'Read me'!$B$6),5))</f>
        <v>290</v>
      </c>
      <c r="O70" s="21" t="n">
        <f aca="false">IF(ISNUMBER(J70),M70-J70,"new")</f>
        <v>-10</v>
      </c>
      <c r="P70" s="5" t="s">
        <v>140</v>
      </c>
    </row>
    <row r="71" customFormat="false" ht="15" hidden="false" customHeight="false" outlineLevel="0" collapsed="false">
      <c r="A71" s="2" t="s">
        <v>199</v>
      </c>
      <c r="B71" s="2" t="s">
        <v>125</v>
      </c>
      <c r="C71" s="2" t="s">
        <v>184</v>
      </c>
      <c r="D71" s="2" t="s">
        <v>16</v>
      </c>
      <c r="E71" s="2" t="s">
        <v>48</v>
      </c>
      <c r="F71" s="14" t="n">
        <v>222.83</v>
      </c>
      <c r="G71" s="2" t="n">
        <v>0</v>
      </c>
      <c r="H71" s="2" t="n">
        <v>42</v>
      </c>
      <c r="I71" s="20" t="n">
        <v>0.88</v>
      </c>
      <c r="J71" s="14"/>
      <c r="K71" s="14"/>
      <c r="L71" s="20" t="n">
        <f aca="false">INDEX('Read me'!$B$10:$B$15,6)</f>
        <v>1.2</v>
      </c>
      <c r="M71" s="14" t="n">
        <f aca="false">IF(F71*(1+'Read me'!$B$5)&lt;='Read me'!$B$7,CEILING(F71*(1+'Read me'!$B$5)+0.5,1)-0.5,CEILING(F71*(1+'Read me'!$B$5),5))</f>
        <v>225</v>
      </c>
      <c r="N71" s="14" t="n">
        <f aca="false">IF(MAX(M71*L71,M71+'Read me'!$B$6)&lt;='Read me'!$B$7,CEILING(MAX(M71*L71,M71+'Read me'!$B$6)+0.5,1)-0.5,CEILING(MAX(M71*L71,M71+'Read me'!$B$6),5))</f>
        <v>270</v>
      </c>
      <c r="O71" s="21" t="str">
        <f aca="false">IF(ISNUMBER(J71),M71-J71,"new")</f>
        <v>new</v>
      </c>
    </row>
    <row r="72" customFormat="false" ht="15" hidden="false" customHeight="false" outlineLevel="0" collapsed="false">
      <c r="A72" s="2" t="s">
        <v>200</v>
      </c>
      <c r="B72" s="2" t="s">
        <v>125</v>
      </c>
      <c r="C72" s="2" t="s">
        <v>184</v>
      </c>
      <c r="D72" s="2" t="s">
        <v>16</v>
      </c>
      <c r="E72" s="2" t="s">
        <v>49</v>
      </c>
      <c r="F72" s="14" t="n">
        <v>286.33</v>
      </c>
      <c r="G72" s="2" t="n">
        <v>0</v>
      </c>
      <c r="H72" s="2" t="n">
        <v>42</v>
      </c>
      <c r="I72" s="20" t="n">
        <v>0.88</v>
      </c>
      <c r="J72" s="14"/>
      <c r="K72" s="14"/>
      <c r="L72" s="20" t="n">
        <f aca="false">INDEX('Read me'!$B$10:$B$15,6)</f>
        <v>1.2</v>
      </c>
      <c r="M72" s="14" t="n">
        <f aca="false">N72</f>
        <v>350</v>
      </c>
      <c r="N72" s="14" t="n">
        <f aca="false">IF(MAX((IF(F72*(1+'Read me'!$B$5)&lt;='Read me'!$B$7,CEILING(F72*(1+'Read me'!$B$5)+0.5,1)-0.5,CEILING(F72*(1+'Read me'!$B$5),5)))*L72,(IF(F72*(1+'Read me'!$B$5)&lt;='Read me'!$B$7,CEILING(F72*(1+'Read me'!$B$5)+0.5,1)-0.5,CEILING(F72*(1+'Read me'!$B$5),5)))+'Read me'!$B$6)&lt;='Read me'!$B$7,CEILING(MAX((IF(F72*(1+'Read me'!$B$5)&lt;='Read me'!$B$7,CEILING(F72*(1+'Read me'!$B$5)+0.5,1)-0.5,CEILING(F72*(1+'Read me'!$B$5),5)))*L72,(IF(F72*(1+'Read me'!$B$5)&lt;='Read me'!$B$7,CEILING(F72*(1+'Read me'!$B$5)+0.5,1)-0.5,CEILING(F72*(1+'Read me'!$B$5),5)))+'Read me'!$B$6)+0.5,1)-0.5,CEILING(MAX((IF(F72*(1+'Read me'!$B$5)&lt;='Read me'!$B$7,CEILING(F72*(1+'Read me'!$B$5)+0.5,1)-0.5,CEILING(F72*(1+'Read me'!$B$5),5)))*L72,(IF(F72*(1+'Read me'!$B$5)&lt;='Read me'!$B$7,CEILING(F72*(1+'Read me'!$B$5)+0.5,1)-0.5,CEILING(F72*(1+'Read me'!$B$5),5)))+'Read me'!$B$6),5))</f>
        <v>350</v>
      </c>
      <c r="O72" s="21" t="str">
        <f aca="false">IF(ISNUMBER(J72),M72-J72,"new")</f>
        <v>new</v>
      </c>
      <c r="P72" s="5" t="s">
        <v>140</v>
      </c>
    </row>
    <row r="73" customFormat="false" ht="15" hidden="false" customHeight="false" outlineLevel="0" collapsed="false">
      <c r="A73" s="2" t="s">
        <v>201</v>
      </c>
      <c r="B73" s="2" t="s">
        <v>125</v>
      </c>
      <c r="C73" s="2" t="s">
        <v>184</v>
      </c>
      <c r="D73" s="2" t="s">
        <v>16</v>
      </c>
      <c r="E73" s="2" t="s">
        <v>50</v>
      </c>
      <c r="F73" s="14" t="n">
        <v>336.54</v>
      </c>
      <c r="G73" s="2" t="n">
        <v>0</v>
      </c>
      <c r="H73" s="2" t="n">
        <v>42</v>
      </c>
      <c r="I73" s="20" t="n">
        <v>0.88</v>
      </c>
      <c r="J73" s="14"/>
      <c r="K73" s="14"/>
      <c r="L73" s="20" t="n">
        <f aca="false">INDEX('Read me'!$B$10:$B$15,6)</f>
        <v>1.2</v>
      </c>
      <c r="M73" s="14" t="n">
        <f aca="false">N73</f>
        <v>410</v>
      </c>
      <c r="N73" s="14" t="n">
        <f aca="false">IF(MAX((IF(F73*(1+'Read me'!$B$5)&lt;='Read me'!$B$7,CEILING(F73*(1+'Read me'!$B$5)+0.5,1)-0.5,CEILING(F73*(1+'Read me'!$B$5),5)))*L73,(IF(F73*(1+'Read me'!$B$5)&lt;='Read me'!$B$7,CEILING(F73*(1+'Read me'!$B$5)+0.5,1)-0.5,CEILING(F73*(1+'Read me'!$B$5),5)))+'Read me'!$B$6)&lt;='Read me'!$B$7,CEILING(MAX((IF(F73*(1+'Read me'!$B$5)&lt;='Read me'!$B$7,CEILING(F73*(1+'Read me'!$B$5)+0.5,1)-0.5,CEILING(F73*(1+'Read me'!$B$5),5)))*L73,(IF(F73*(1+'Read me'!$B$5)&lt;='Read me'!$B$7,CEILING(F73*(1+'Read me'!$B$5)+0.5,1)-0.5,CEILING(F73*(1+'Read me'!$B$5),5)))+'Read me'!$B$6)+0.5,1)-0.5,CEILING(MAX((IF(F73*(1+'Read me'!$B$5)&lt;='Read me'!$B$7,CEILING(F73*(1+'Read me'!$B$5)+0.5,1)-0.5,CEILING(F73*(1+'Read me'!$B$5),5)))*L73,(IF(F73*(1+'Read me'!$B$5)&lt;='Read me'!$B$7,CEILING(F73*(1+'Read me'!$B$5)+0.5,1)-0.5,CEILING(F73*(1+'Read me'!$B$5),5)))+'Read me'!$B$6),5))</f>
        <v>410</v>
      </c>
      <c r="O73" s="21" t="str">
        <f aca="false">IF(ISNUMBER(J73),M73-J73,"new")</f>
        <v>new</v>
      </c>
      <c r="P73" s="5" t="s">
        <v>140</v>
      </c>
    </row>
    <row r="74" customFormat="false" ht="15" hidden="false" customHeight="false" outlineLevel="0" collapsed="false">
      <c r="A74" s="2" t="s">
        <v>202</v>
      </c>
      <c r="B74" s="2" t="s">
        <v>125</v>
      </c>
      <c r="C74" s="2" t="s">
        <v>125</v>
      </c>
      <c r="D74" s="2" t="s">
        <v>10</v>
      </c>
      <c r="E74" s="2" t="s">
        <v>48</v>
      </c>
      <c r="F74" s="14" t="n">
        <v>20.61</v>
      </c>
      <c r="G74" s="2" t="n">
        <v>22</v>
      </c>
      <c r="H74" s="2" t="n">
        <v>38</v>
      </c>
      <c r="I74" s="20" t="n">
        <v>2.3</v>
      </c>
      <c r="J74" s="14" t="n">
        <v>9.5</v>
      </c>
      <c r="K74" s="14" t="n">
        <v>14.5</v>
      </c>
      <c r="L74" s="20" t="n">
        <f aca="false">INDEX('Read me'!$B$10:$B$15,1)</f>
        <v>1.34</v>
      </c>
      <c r="M74" s="14" t="n">
        <f aca="false">IF(F74*(1+'Read me'!$B$5)&lt;='Read me'!$B$7,CEILING(F74*(1+'Read me'!$B$5)+0.5,1)-0.5,CEILING(F74*(1+'Read me'!$B$5),5))</f>
        <v>21.5</v>
      </c>
      <c r="N74" s="14" t="n">
        <f aca="false">IF(MAX(M74*L74,M74+'Read me'!$B$6)&lt;='Read me'!$B$7,CEILING(MAX(M74*L74,M74+'Read me'!$B$6)+0.5,1)-0.5,CEILING(MAX(M74*L74,M74+'Read me'!$B$6),5))</f>
        <v>29.5</v>
      </c>
      <c r="O74" s="21" t="n">
        <f aca="false">IF(ISNUMBER(J74),M74-J74,"new")</f>
        <v>12</v>
      </c>
    </row>
    <row r="75" customFormat="false" ht="15" hidden="false" customHeight="false" outlineLevel="0" collapsed="false">
      <c r="A75" s="2" t="s">
        <v>203</v>
      </c>
      <c r="B75" s="2" t="s">
        <v>125</v>
      </c>
      <c r="C75" s="2" t="s">
        <v>125</v>
      </c>
      <c r="D75" s="2" t="s">
        <v>10</v>
      </c>
      <c r="E75" s="2" t="s">
        <v>49</v>
      </c>
      <c r="F75" s="14" t="n">
        <v>30.3</v>
      </c>
      <c r="G75" s="2" t="n">
        <v>0</v>
      </c>
      <c r="H75" s="2" t="n">
        <v>38</v>
      </c>
      <c r="I75" s="20" t="n">
        <v>2.3</v>
      </c>
      <c r="J75" s="14" t="n">
        <v>12.5</v>
      </c>
      <c r="K75" s="14" t="n">
        <v>17.5</v>
      </c>
      <c r="L75" s="20" t="n">
        <f aca="false">INDEX('Read me'!$B$10:$B$15,1)</f>
        <v>1.34</v>
      </c>
      <c r="M75" s="14" t="n">
        <f aca="false">IF(F75*(1+'Read me'!$B$5)&lt;='Read me'!$B$7,CEILING(F75*(1+'Read me'!$B$5)+0.5,1)-0.5,CEILING(F75*(1+'Read me'!$B$5),5))</f>
        <v>35</v>
      </c>
      <c r="N75" s="14" t="n">
        <f aca="false">IF(MAX(M75*L75,M75+'Read me'!$B$6)&lt;='Read me'!$B$7,CEILING(MAX(M75*L75,M75+'Read me'!$B$6)+0.5,1)-0.5,CEILING(MAX(M75*L75,M75+'Read me'!$B$6),5))</f>
        <v>50</v>
      </c>
      <c r="O75" s="21" t="n">
        <f aca="false">IF(ISNUMBER(J75),M75-J75,"new")</f>
        <v>22.5</v>
      </c>
    </row>
    <row r="76" customFormat="false" ht="15" hidden="false" customHeight="false" outlineLevel="0" collapsed="false">
      <c r="A76" s="2" t="s">
        <v>204</v>
      </c>
      <c r="B76" s="2" t="s">
        <v>125</v>
      </c>
      <c r="C76" s="2" t="s">
        <v>125</v>
      </c>
      <c r="D76" s="2" t="s">
        <v>10</v>
      </c>
      <c r="E76" s="2" t="s">
        <v>50</v>
      </c>
      <c r="F76" s="14" t="n">
        <v>39.86</v>
      </c>
      <c r="G76" s="2" t="n">
        <v>0</v>
      </c>
      <c r="H76" s="2" t="n">
        <v>38</v>
      </c>
      <c r="I76" s="20" t="n">
        <v>2.3</v>
      </c>
      <c r="J76" s="14" t="n">
        <v>17.5</v>
      </c>
      <c r="K76" s="14" t="n">
        <v>24.5</v>
      </c>
      <c r="L76" s="20" t="n">
        <f aca="false">INDEX('Read me'!$B$10:$B$15,1)</f>
        <v>1.34</v>
      </c>
      <c r="M76" s="14" t="n">
        <f aca="false">IF(F76*(1+'Read me'!$B$5)&lt;='Read me'!$B$7,CEILING(F76*(1+'Read me'!$B$5)+0.5,1)-0.5,CEILING(F76*(1+'Read me'!$B$5),5))</f>
        <v>40</v>
      </c>
      <c r="N76" s="14" t="n">
        <f aca="false">IF(MAX(M76*L76,M76+'Read me'!$B$6)&lt;='Read me'!$B$7,CEILING(MAX(M76*L76,M76+'Read me'!$B$6)+0.5,1)-0.5,CEILING(MAX(M76*L76,M76+'Read me'!$B$6),5))</f>
        <v>55</v>
      </c>
      <c r="O76" s="21" t="n">
        <f aca="false">IF(ISNUMBER(J76),M76-J76,"new")</f>
        <v>22.5</v>
      </c>
    </row>
    <row r="77" customFormat="false" ht="15" hidden="false" customHeight="false" outlineLevel="0" collapsed="false">
      <c r="A77" s="2" t="s">
        <v>205</v>
      </c>
      <c r="B77" s="2" t="s">
        <v>125</v>
      </c>
      <c r="C77" s="2" t="s">
        <v>125</v>
      </c>
      <c r="D77" s="2" t="s">
        <v>12</v>
      </c>
      <c r="E77" s="2" t="s">
        <v>48</v>
      </c>
      <c r="F77" s="14" t="n">
        <v>48.08</v>
      </c>
      <c r="G77" s="2" t="n">
        <v>12</v>
      </c>
      <c r="H77" s="2" t="n">
        <v>38</v>
      </c>
      <c r="I77" s="20" t="n">
        <v>2.3</v>
      </c>
      <c r="J77" s="14" t="n">
        <v>9.5</v>
      </c>
      <c r="K77" s="14" t="n">
        <v>19.5</v>
      </c>
      <c r="L77" s="20" t="n">
        <f aca="false">INDEX('Read me'!$B$10:$B$15,2)</f>
        <v>1.26</v>
      </c>
      <c r="M77" s="14" t="n">
        <f aca="false">IF(F77*(1+'Read me'!$B$5)&lt;='Read me'!$B$7,CEILING(F77*(1+'Read me'!$B$5)+0.5,1)-0.5,CEILING(F77*(1+'Read me'!$B$5),5))</f>
        <v>50</v>
      </c>
      <c r="N77" s="14" t="n">
        <f aca="false">IF(MAX(M77*L77,M77+'Read me'!$B$6)&lt;='Read me'!$B$7,CEILING(MAX(M77*L77,M77+'Read me'!$B$6)+0.5,1)-0.5,CEILING(MAX(M77*L77,M77+'Read me'!$B$6),5))</f>
        <v>65</v>
      </c>
      <c r="O77" s="21" t="n">
        <f aca="false">IF(ISNUMBER(J77),M77-J77,"new")</f>
        <v>40.5</v>
      </c>
    </row>
    <row r="78" customFormat="false" ht="15" hidden="false" customHeight="false" outlineLevel="0" collapsed="false">
      <c r="A78" s="2" t="s">
        <v>206</v>
      </c>
      <c r="B78" s="2" t="s">
        <v>125</v>
      </c>
      <c r="C78" s="2" t="s">
        <v>125</v>
      </c>
      <c r="D78" s="2" t="s">
        <v>12</v>
      </c>
      <c r="E78" s="2" t="s">
        <v>49</v>
      </c>
      <c r="F78" s="14" t="n">
        <v>99.91</v>
      </c>
      <c r="G78" s="2" t="n">
        <v>0</v>
      </c>
      <c r="H78" s="2" t="n">
        <v>38</v>
      </c>
      <c r="I78" s="20" t="n">
        <v>2.3</v>
      </c>
      <c r="J78" s="14" t="n">
        <v>12.5</v>
      </c>
      <c r="K78" s="14" t="n">
        <v>19.5</v>
      </c>
      <c r="L78" s="20" t="n">
        <f aca="false">INDEX('Read me'!$B$10:$B$15,2)</f>
        <v>1.26</v>
      </c>
      <c r="M78" s="14" t="n">
        <f aca="false">IF(F78*(1+'Read me'!$B$5)&lt;='Read me'!$B$7,CEILING(F78*(1+'Read me'!$B$5)+0.5,1)-0.5,CEILING(F78*(1+'Read me'!$B$5),5))</f>
        <v>100</v>
      </c>
      <c r="N78" s="14" t="n">
        <f aca="false">IF(MAX(M78*L78,M78+'Read me'!$B$6)&lt;='Read me'!$B$7,CEILING(MAX(M78*L78,M78+'Read me'!$B$6)+0.5,1)-0.5,CEILING(MAX(M78*L78,M78+'Read me'!$B$6),5))</f>
        <v>130</v>
      </c>
      <c r="O78" s="21" t="n">
        <f aca="false">IF(ISNUMBER(J78),M78-J78,"new")</f>
        <v>87.5</v>
      </c>
    </row>
    <row r="79" customFormat="false" ht="15" hidden="false" customHeight="false" outlineLevel="0" collapsed="false">
      <c r="A79" s="2" t="s">
        <v>207</v>
      </c>
      <c r="B79" s="2" t="s">
        <v>125</v>
      </c>
      <c r="C79" s="2" t="s">
        <v>125</v>
      </c>
      <c r="D79" s="2" t="s">
        <v>12</v>
      </c>
      <c r="E79" s="2" t="s">
        <v>50</v>
      </c>
      <c r="F79" s="14" t="n">
        <v>111.38</v>
      </c>
      <c r="G79" s="2" t="n">
        <v>0</v>
      </c>
      <c r="H79" s="2" t="n">
        <v>38</v>
      </c>
      <c r="I79" s="20" t="n">
        <v>2.3</v>
      </c>
      <c r="J79" s="14" t="n">
        <v>19.5</v>
      </c>
      <c r="K79" s="14" t="n">
        <v>29.5</v>
      </c>
      <c r="L79" s="20" t="n">
        <f aca="false">INDEX('Read me'!$B$10:$B$15,2)</f>
        <v>1.26</v>
      </c>
      <c r="M79" s="14" t="n">
        <f aca="false">IF(F79*(1+'Read me'!$B$5)&lt;='Read me'!$B$7,CEILING(F79*(1+'Read me'!$B$5)+0.5,1)-0.5,CEILING(F79*(1+'Read me'!$B$5),5))</f>
        <v>115</v>
      </c>
      <c r="N79" s="14" t="n">
        <f aca="false">IF(MAX(M79*L79,M79+'Read me'!$B$6)&lt;='Read me'!$B$7,CEILING(MAX(M79*L79,M79+'Read me'!$B$6)+0.5,1)-0.5,CEILING(MAX(M79*L79,M79+'Read me'!$B$6),5))</f>
        <v>145</v>
      </c>
      <c r="O79" s="21" t="n">
        <f aca="false">IF(ISNUMBER(J79),M79-J79,"new")</f>
        <v>95.5</v>
      </c>
    </row>
    <row r="80" customFormat="false" ht="15" hidden="false" customHeight="false" outlineLevel="0" collapsed="false">
      <c r="A80" s="2" t="s">
        <v>208</v>
      </c>
      <c r="B80" s="2" t="s">
        <v>125</v>
      </c>
      <c r="C80" s="2" t="s">
        <v>125</v>
      </c>
      <c r="D80" s="2" t="s">
        <v>13</v>
      </c>
      <c r="E80" s="2" t="s">
        <v>48</v>
      </c>
      <c r="F80" s="14" t="n">
        <v>114.01</v>
      </c>
      <c r="G80" s="2" t="n">
        <v>2</v>
      </c>
      <c r="H80" s="2" t="n">
        <v>38</v>
      </c>
      <c r="I80" s="20" t="n">
        <v>2.3</v>
      </c>
      <c r="J80" s="14" t="n">
        <v>19</v>
      </c>
      <c r="K80" s="14" t="n">
        <v>45</v>
      </c>
      <c r="L80" s="20" t="n">
        <f aca="false">INDEX('Read me'!$B$10:$B$15,3)</f>
        <v>1.35</v>
      </c>
      <c r="M80" s="14" t="n">
        <f aca="false">IF(F80*(1+'Read me'!$B$5)&lt;='Read me'!$B$7,CEILING(F80*(1+'Read me'!$B$5)+0.5,1)-0.5,CEILING(F80*(1+'Read me'!$B$5),5))</f>
        <v>115</v>
      </c>
      <c r="N80" s="14" t="n">
        <f aca="false">IF(MAX(M80*L80,M80+'Read me'!$B$6)&lt;='Read me'!$B$7,CEILING(MAX(M80*L80,M80+'Read me'!$B$6)+0.5,1)-0.5,CEILING(MAX(M80*L80,M80+'Read me'!$B$6),5))</f>
        <v>160</v>
      </c>
      <c r="O80" s="21" t="n">
        <f aca="false">IF(ISNUMBER(J80),M80-J80,"new")</f>
        <v>96</v>
      </c>
    </row>
    <row r="81" customFormat="false" ht="15" hidden="false" customHeight="false" outlineLevel="0" collapsed="false">
      <c r="A81" s="2" t="s">
        <v>209</v>
      </c>
      <c r="B81" s="2" t="s">
        <v>125</v>
      </c>
      <c r="C81" s="2" t="s">
        <v>125</v>
      </c>
      <c r="D81" s="2" t="s">
        <v>13</v>
      </c>
      <c r="E81" s="2" t="s">
        <v>49</v>
      </c>
      <c r="F81" s="14" t="n">
        <v>179.74</v>
      </c>
      <c r="G81" s="2" t="n">
        <v>0</v>
      </c>
      <c r="H81" s="2" t="n">
        <v>38</v>
      </c>
      <c r="I81" s="20" t="n">
        <v>2.3</v>
      </c>
      <c r="J81" s="14" t="n">
        <v>24.5</v>
      </c>
      <c r="K81" s="14" t="n">
        <v>45</v>
      </c>
      <c r="L81" s="20" t="n">
        <f aca="false">INDEX('Read me'!$B$10:$B$15,3)</f>
        <v>1.35</v>
      </c>
      <c r="M81" s="14" t="n">
        <f aca="false">IF(F81*(1+'Read me'!$B$5)&lt;='Read me'!$B$7,CEILING(F81*(1+'Read me'!$B$5)+0.5,1)-0.5,CEILING(F81*(1+'Read me'!$B$5),5))</f>
        <v>180</v>
      </c>
      <c r="N81" s="14" t="n">
        <f aca="false">IF(MAX(M81*L81,M81+'Read me'!$B$6)&lt;='Read me'!$B$7,CEILING(MAX(M81*L81,M81+'Read me'!$B$6)+0.5,1)-0.5,CEILING(MAX(M81*L81,M81+'Read me'!$B$6),5))</f>
        <v>245</v>
      </c>
      <c r="O81" s="21" t="n">
        <f aca="false">IF(ISNUMBER(J81),M81-J81,"new")</f>
        <v>155.5</v>
      </c>
    </row>
    <row r="82" customFormat="false" ht="15" hidden="false" customHeight="false" outlineLevel="0" collapsed="false">
      <c r="A82" s="2" t="s">
        <v>210</v>
      </c>
      <c r="B82" s="2" t="s">
        <v>125</v>
      </c>
      <c r="C82" s="2" t="s">
        <v>125</v>
      </c>
      <c r="D82" s="2" t="s">
        <v>13</v>
      </c>
      <c r="E82" s="2" t="s">
        <v>50</v>
      </c>
      <c r="F82" s="14" t="n">
        <v>220.97</v>
      </c>
      <c r="G82" s="2" t="n">
        <v>0</v>
      </c>
      <c r="H82" s="2" t="n">
        <v>38</v>
      </c>
      <c r="I82" s="20" t="n">
        <v>2.3</v>
      </c>
      <c r="J82" s="14" t="n">
        <v>50</v>
      </c>
      <c r="K82" s="14" t="n">
        <v>95</v>
      </c>
      <c r="L82" s="20" t="n">
        <f aca="false">INDEX('Read me'!$B$10:$B$15,3)</f>
        <v>1.35</v>
      </c>
      <c r="M82" s="14" t="n">
        <f aca="false">IF(F82*(1+'Read me'!$B$5)&lt;='Read me'!$B$7,CEILING(F82*(1+'Read me'!$B$5)+0.5,1)-0.5,CEILING(F82*(1+'Read me'!$B$5),5))</f>
        <v>225</v>
      </c>
      <c r="N82" s="14" t="n">
        <f aca="false">IF(MAX(M82*L82,M82+'Read me'!$B$6)&lt;='Read me'!$B$7,CEILING(MAX(M82*L82,M82+'Read me'!$B$6)+0.5,1)-0.5,CEILING(MAX(M82*L82,M82+'Read me'!$B$6),5))</f>
        <v>305</v>
      </c>
      <c r="O82" s="21" t="n">
        <f aca="false">IF(ISNUMBER(J82),M82-J82,"new")</f>
        <v>175</v>
      </c>
    </row>
    <row r="83" customFormat="false" ht="15" hidden="false" customHeight="false" outlineLevel="0" collapsed="false">
      <c r="A83" s="2" t="s">
        <v>211</v>
      </c>
      <c r="B83" s="2" t="s">
        <v>125</v>
      </c>
      <c r="C83" s="2" t="s">
        <v>125</v>
      </c>
      <c r="D83" s="2" t="s">
        <v>14</v>
      </c>
      <c r="E83" s="2" t="s">
        <v>48</v>
      </c>
      <c r="F83" s="14" t="n">
        <v>206.16</v>
      </c>
      <c r="G83" s="2" t="n">
        <v>2</v>
      </c>
      <c r="H83" s="2" t="n">
        <v>38</v>
      </c>
      <c r="I83" s="20" t="n">
        <v>2.3</v>
      </c>
      <c r="J83" s="14" t="n">
        <v>25</v>
      </c>
      <c r="K83" s="14" t="n">
        <v>85</v>
      </c>
      <c r="L83" s="20" t="n">
        <f aca="false">INDEX('Read me'!$B$10:$B$15,4)</f>
        <v>1.2</v>
      </c>
      <c r="M83" s="14" t="n">
        <f aca="false">IF(F83*(1+'Read me'!$B$5)&lt;='Read me'!$B$7,CEILING(F83*(1+'Read me'!$B$5)+0.5,1)-0.5,CEILING(F83*(1+'Read me'!$B$5),5))</f>
        <v>210</v>
      </c>
      <c r="N83" s="14" t="n">
        <f aca="false">IF(MAX(M83*L83,M83+'Read me'!$B$6)&lt;='Read me'!$B$7,CEILING(MAX(M83*L83,M83+'Read me'!$B$6)+0.5,1)-0.5,CEILING(MAX(M83*L83,M83+'Read me'!$B$6),5))</f>
        <v>255</v>
      </c>
      <c r="O83" s="21" t="n">
        <f aca="false">IF(ISNUMBER(J83),M83-J83,"new")</f>
        <v>185</v>
      </c>
    </row>
    <row r="84" customFormat="false" ht="15" hidden="false" customHeight="false" outlineLevel="0" collapsed="false">
      <c r="A84" s="2" t="s">
        <v>212</v>
      </c>
      <c r="B84" s="2" t="s">
        <v>125</v>
      </c>
      <c r="C84" s="2" t="s">
        <v>125</v>
      </c>
      <c r="D84" s="2" t="s">
        <v>14</v>
      </c>
      <c r="E84" s="2" t="s">
        <v>49</v>
      </c>
      <c r="F84" s="14" t="n">
        <v>293.71</v>
      </c>
      <c r="G84" s="2" t="n">
        <v>0</v>
      </c>
      <c r="H84" s="2" t="n">
        <v>38</v>
      </c>
      <c r="I84" s="20" t="n">
        <v>2.3</v>
      </c>
      <c r="J84" s="14" t="n">
        <v>45</v>
      </c>
      <c r="K84" s="14" t="n">
        <v>125</v>
      </c>
      <c r="L84" s="20" t="n">
        <f aca="false">INDEX('Read me'!$B$10:$B$15,4)</f>
        <v>1.2</v>
      </c>
      <c r="M84" s="14" t="n">
        <f aca="false">IF(F84*(1+'Read me'!$B$5)&lt;='Read me'!$B$7,CEILING(F84*(1+'Read me'!$B$5)+0.5,1)-0.5,CEILING(F84*(1+'Read me'!$B$5),5))</f>
        <v>295</v>
      </c>
      <c r="N84" s="14" t="n">
        <f aca="false">IF(MAX(M84*L84,M84+'Read me'!$B$6)&lt;='Read me'!$B$7,CEILING(MAX(M84*L84,M84+'Read me'!$B$6)+0.5,1)-0.5,CEILING(MAX(M84*L84,M84+'Read me'!$B$6),5))</f>
        <v>355</v>
      </c>
      <c r="O84" s="21" t="n">
        <f aca="false">IF(ISNUMBER(J84),M84-J84,"new")</f>
        <v>250</v>
      </c>
    </row>
    <row r="85" customFormat="false" ht="15" hidden="false" customHeight="false" outlineLevel="0" collapsed="false">
      <c r="A85" s="2" t="s">
        <v>213</v>
      </c>
      <c r="B85" s="2" t="s">
        <v>125</v>
      </c>
      <c r="C85" s="2" t="s">
        <v>125</v>
      </c>
      <c r="D85" s="2" t="s">
        <v>14</v>
      </c>
      <c r="E85" s="2" t="s">
        <v>50</v>
      </c>
      <c r="F85" s="14" t="n">
        <v>441.44</v>
      </c>
      <c r="G85" s="2" t="n">
        <v>0</v>
      </c>
      <c r="H85" s="2" t="n">
        <v>38</v>
      </c>
      <c r="I85" s="20" t="n">
        <v>2.3</v>
      </c>
      <c r="J85" s="14" t="n">
        <v>85</v>
      </c>
      <c r="K85" s="14" t="n">
        <v>150</v>
      </c>
      <c r="L85" s="20" t="n">
        <f aca="false">INDEX('Read me'!$B$10:$B$15,4)</f>
        <v>1.2</v>
      </c>
      <c r="M85" s="14" t="n">
        <f aca="false">IF(F85*(1+'Read me'!$B$5)&lt;='Read me'!$B$7,CEILING(F85*(1+'Read me'!$B$5)+0.5,1)-0.5,CEILING(F85*(1+'Read me'!$B$5),5))</f>
        <v>445</v>
      </c>
      <c r="N85" s="14" t="n">
        <f aca="false">IF(MAX(M85*L85,M85+'Read me'!$B$6)&lt;='Read me'!$B$7,CEILING(MAX(M85*L85,M85+'Read me'!$B$6)+0.5,1)-0.5,CEILING(MAX(M85*L85,M85+'Read me'!$B$6),5))</f>
        <v>535</v>
      </c>
      <c r="O85" s="21" t="n">
        <f aca="false">IF(ISNUMBER(J85),M85-J85,"new")</f>
        <v>360</v>
      </c>
    </row>
    <row r="86" customFormat="false" ht="15" hidden="false" customHeight="false" outlineLevel="0" collapsed="false">
      <c r="A86" s="2" t="s">
        <v>214</v>
      </c>
      <c r="B86" s="2" t="s">
        <v>125</v>
      </c>
      <c r="C86" s="2" t="s">
        <v>125</v>
      </c>
      <c r="D86" s="2" t="s">
        <v>15</v>
      </c>
      <c r="E86" s="2" t="s">
        <v>48</v>
      </c>
      <c r="F86" s="14" t="n">
        <v>263.33</v>
      </c>
      <c r="G86" s="2" t="n">
        <v>0</v>
      </c>
      <c r="H86" s="2" t="n">
        <v>38</v>
      </c>
      <c r="I86" s="20" t="n">
        <v>2.3</v>
      </c>
      <c r="J86" s="14" t="n">
        <v>45</v>
      </c>
      <c r="K86" s="14" t="n">
        <v>85</v>
      </c>
      <c r="L86" s="20" t="n">
        <f aca="false">INDEX('Read me'!$B$10:$B$15,5)</f>
        <v>1.2</v>
      </c>
      <c r="M86" s="14" t="n">
        <f aca="false">IF(F86*(1+'Read me'!$B$5)&lt;='Read me'!$B$7,CEILING(F86*(1+'Read me'!$B$5)+0.5,1)-0.5,CEILING(F86*(1+'Read me'!$B$5),5))</f>
        <v>265</v>
      </c>
      <c r="N86" s="14" t="n">
        <f aca="false">IF(MAX(M86*L86,M86+'Read me'!$B$6)&lt;='Read me'!$B$7,CEILING(MAX(M86*L86,M86+'Read me'!$B$6)+0.5,1)-0.5,CEILING(MAX(M86*L86,M86+'Read me'!$B$6),5))</f>
        <v>320</v>
      </c>
      <c r="O86" s="21" t="n">
        <f aca="false">IF(ISNUMBER(J86),M86-J86,"new")</f>
        <v>220</v>
      </c>
    </row>
    <row r="87" customFormat="false" ht="15" hidden="false" customHeight="false" outlineLevel="0" collapsed="false">
      <c r="A87" s="2" t="s">
        <v>215</v>
      </c>
      <c r="B87" s="2" t="s">
        <v>125</v>
      </c>
      <c r="C87" s="2" t="s">
        <v>125</v>
      </c>
      <c r="D87" s="2" t="s">
        <v>15</v>
      </c>
      <c r="E87" s="2" t="s">
        <v>49</v>
      </c>
      <c r="F87" s="14" t="n">
        <v>379.67</v>
      </c>
      <c r="G87" s="2" t="n">
        <v>0</v>
      </c>
      <c r="H87" s="2" t="n">
        <v>38</v>
      </c>
      <c r="I87" s="20" t="n">
        <v>2.3</v>
      </c>
      <c r="J87" s="14" t="n">
        <v>85</v>
      </c>
      <c r="K87" s="14" t="n">
        <v>125</v>
      </c>
      <c r="L87" s="20" t="n">
        <f aca="false">INDEX('Read me'!$B$10:$B$15,5)</f>
        <v>1.2</v>
      </c>
      <c r="M87" s="14" t="n">
        <f aca="false">IF(F87*(1+'Read me'!$B$5)&lt;='Read me'!$B$7,CEILING(F87*(1+'Read me'!$B$5)+0.5,1)-0.5,CEILING(F87*(1+'Read me'!$B$5),5))</f>
        <v>380</v>
      </c>
      <c r="N87" s="14" t="n">
        <f aca="false">IF(MAX(M87*L87,M87+'Read me'!$B$6)&lt;='Read me'!$B$7,CEILING(MAX(M87*L87,M87+'Read me'!$B$6)+0.5,1)-0.5,CEILING(MAX(M87*L87,M87+'Read me'!$B$6),5))</f>
        <v>460</v>
      </c>
      <c r="O87" s="21" t="n">
        <f aca="false">IF(ISNUMBER(J87),M87-J87,"new")</f>
        <v>295</v>
      </c>
    </row>
    <row r="88" customFormat="false" ht="15" hidden="false" customHeight="false" outlineLevel="0" collapsed="false">
      <c r="A88" s="2" t="s">
        <v>216</v>
      </c>
      <c r="B88" s="2" t="s">
        <v>125</v>
      </c>
      <c r="C88" s="2" t="s">
        <v>125</v>
      </c>
      <c r="D88" s="2" t="s">
        <v>15</v>
      </c>
      <c r="E88" s="2" t="s">
        <v>50</v>
      </c>
      <c r="F88" s="14" t="n">
        <v>562.64</v>
      </c>
      <c r="G88" s="2" t="n">
        <v>0</v>
      </c>
      <c r="H88" s="2" t="n">
        <v>38</v>
      </c>
      <c r="I88" s="20" t="n">
        <v>2.3</v>
      </c>
      <c r="J88" s="14" t="n">
        <v>250</v>
      </c>
      <c r="K88" s="14" t="n">
        <v>350</v>
      </c>
      <c r="L88" s="20" t="n">
        <f aca="false">INDEX('Read me'!$B$10:$B$15,5)</f>
        <v>1.2</v>
      </c>
      <c r="M88" s="14" t="n">
        <f aca="false">IF(F88*(1+'Read me'!$B$5)&lt;='Read me'!$B$7,CEILING(F88*(1+'Read me'!$B$5)+0.5,1)-0.5,CEILING(F88*(1+'Read me'!$B$5),5))</f>
        <v>565</v>
      </c>
      <c r="N88" s="14" t="n">
        <f aca="false">IF(MAX(M88*L88,M88+'Read me'!$B$6)&lt;='Read me'!$B$7,CEILING(MAX(M88*L88,M88+'Read me'!$B$6)+0.5,1)-0.5,CEILING(MAX(M88*L88,M88+'Read me'!$B$6),5))</f>
        <v>680</v>
      </c>
      <c r="O88" s="21" t="n">
        <f aca="false">IF(ISNUMBER(J88),M88-J88,"new")</f>
        <v>315</v>
      </c>
    </row>
    <row r="89" customFormat="false" ht="15" hidden="false" customHeight="false" outlineLevel="0" collapsed="false">
      <c r="A89" s="2" t="s">
        <v>217</v>
      </c>
      <c r="B89" s="2" t="s">
        <v>125</v>
      </c>
      <c r="C89" s="2" t="s">
        <v>125</v>
      </c>
      <c r="D89" s="2" t="s">
        <v>16</v>
      </c>
      <c r="E89" s="2" t="s">
        <v>48</v>
      </c>
      <c r="F89" s="14" t="n">
        <v>287.18</v>
      </c>
      <c r="G89" s="2" t="n">
        <v>0</v>
      </c>
      <c r="H89" s="2" t="n">
        <v>38</v>
      </c>
      <c r="I89" s="20" t="n">
        <v>2.3</v>
      </c>
      <c r="J89" s="14"/>
      <c r="K89" s="14"/>
      <c r="L89" s="20" t="n">
        <f aca="false">INDEX('Read me'!$B$10:$B$15,6)</f>
        <v>1.2</v>
      </c>
      <c r="M89" s="14" t="n">
        <f aca="false">IF(F89*(1+'Read me'!$B$5)&lt;='Read me'!$B$7,CEILING(F89*(1+'Read me'!$B$5)+0.5,1)-0.5,CEILING(F89*(1+'Read me'!$B$5),5))</f>
        <v>290</v>
      </c>
      <c r="N89" s="14" t="n">
        <f aca="false">IF(MAX(M89*L89,M89+'Read me'!$B$6)&lt;='Read me'!$B$7,CEILING(MAX(M89*L89,M89+'Read me'!$B$6)+0.5,1)-0.5,CEILING(MAX(M89*L89,M89+'Read me'!$B$6),5))</f>
        <v>350</v>
      </c>
      <c r="O89" s="21" t="str">
        <f aca="false">IF(ISNUMBER(J89),M89-J89,"new")</f>
        <v>new</v>
      </c>
    </row>
    <row r="90" customFormat="false" ht="15" hidden="false" customHeight="false" outlineLevel="0" collapsed="false">
      <c r="A90" s="2" t="s">
        <v>218</v>
      </c>
      <c r="B90" s="2" t="s">
        <v>125</v>
      </c>
      <c r="C90" s="2" t="s">
        <v>125</v>
      </c>
      <c r="D90" s="2" t="s">
        <v>16</v>
      </c>
      <c r="E90" s="2" t="s">
        <v>49</v>
      </c>
      <c r="F90" s="14" t="n">
        <v>517.22</v>
      </c>
      <c r="G90" s="2" t="n">
        <v>0</v>
      </c>
      <c r="H90" s="2" t="n">
        <v>38</v>
      </c>
      <c r="I90" s="20" t="n">
        <v>2.3</v>
      </c>
      <c r="J90" s="14"/>
      <c r="K90" s="14"/>
      <c r="L90" s="20" t="n">
        <f aca="false">INDEX('Read me'!$B$10:$B$15,6)</f>
        <v>1.2</v>
      </c>
      <c r="M90" s="14" t="n">
        <f aca="false">IF(F90*(1+'Read me'!$B$5)&lt;='Read me'!$B$7,CEILING(F90*(1+'Read me'!$B$5)+0.5,1)-0.5,CEILING(F90*(1+'Read me'!$B$5),5))</f>
        <v>520</v>
      </c>
      <c r="N90" s="14" t="n">
        <f aca="false">IF(MAX(M90*L90,M90+'Read me'!$B$6)&lt;='Read me'!$B$7,CEILING(MAX(M90*L90,M90+'Read me'!$B$6)+0.5,1)-0.5,CEILING(MAX(M90*L90,M90+'Read me'!$B$6),5))</f>
        <v>625</v>
      </c>
      <c r="O90" s="21" t="str">
        <f aca="false">IF(ISNUMBER(J90),M90-J90,"new")</f>
        <v>new</v>
      </c>
    </row>
    <row r="91" customFormat="false" ht="15" hidden="false" customHeight="false" outlineLevel="0" collapsed="false">
      <c r="A91" s="2" t="s">
        <v>219</v>
      </c>
      <c r="B91" s="2" t="s">
        <v>125</v>
      </c>
      <c r="C91" s="2" t="s">
        <v>125</v>
      </c>
      <c r="D91" s="2" t="s">
        <v>16</v>
      </c>
      <c r="E91" s="2" t="s">
        <v>50</v>
      </c>
      <c r="F91" s="14" t="n">
        <v>677.72</v>
      </c>
      <c r="G91" s="2" t="n">
        <v>0</v>
      </c>
      <c r="H91" s="2" t="n">
        <v>38</v>
      </c>
      <c r="I91" s="20" t="n">
        <v>2.3</v>
      </c>
      <c r="J91" s="14"/>
      <c r="K91" s="14"/>
      <c r="L91" s="20" t="n">
        <f aca="false">INDEX('Read me'!$B$10:$B$15,6)</f>
        <v>1.2</v>
      </c>
      <c r="M91" s="14" t="n">
        <f aca="false">IF(F91*(1+'Read me'!$B$5)&lt;='Read me'!$B$7,CEILING(F91*(1+'Read me'!$B$5)+0.5,1)-0.5,CEILING(F91*(1+'Read me'!$B$5),5))</f>
        <v>680</v>
      </c>
      <c r="N91" s="14" t="n">
        <f aca="false">IF(MAX(M91*L91,M91+'Read me'!$B$6)&lt;='Read me'!$B$7,CEILING(MAX(M91*L91,M91+'Read me'!$B$6)+0.5,1)-0.5,CEILING(MAX(M91*L91,M91+'Read me'!$B$6),5))</f>
        <v>820</v>
      </c>
      <c r="O91" s="21" t="str">
        <f aca="false">IF(ISNUMBER(J91),M91-J91,"new")</f>
        <v>new</v>
      </c>
    </row>
    <row r="92" customFormat="false" ht="15" hidden="false" customHeight="false" outlineLevel="0" collapsed="false">
      <c r="A92" s="2" t="s">
        <v>220</v>
      </c>
      <c r="B92" s="2" t="s">
        <v>125</v>
      </c>
      <c r="C92" s="2" t="s">
        <v>221</v>
      </c>
      <c r="D92" s="2" t="s">
        <v>10</v>
      </c>
      <c r="E92" s="2" t="s">
        <v>48</v>
      </c>
      <c r="F92" s="14" t="n">
        <v>13.16</v>
      </c>
      <c r="G92" s="2" t="n">
        <v>2</v>
      </c>
      <c r="H92" s="2" t="n">
        <v>2</v>
      </c>
      <c r="I92" s="20" t="n">
        <v>0.98</v>
      </c>
      <c r="J92" s="14" t="n">
        <v>19.5</v>
      </c>
      <c r="K92" s="14" t="n">
        <v>24.5</v>
      </c>
      <c r="L92" s="20" t="n">
        <f aca="false">INDEX('Read me'!$B$10:$B$15,1)</f>
        <v>1.34</v>
      </c>
      <c r="M92" s="14" t="n">
        <f aca="false">IF(F92*(1+'Read me'!$B$5)&lt;='Read me'!$B$7,CEILING(F92*(1+'Read me'!$B$5)+0.5,1)-0.5,CEILING(F92*(1+'Read me'!$B$5),5))</f>
        <v>13.5</v>
      </c>
      <c r="N92" s="14" t="n">
        <f aca="false">IF(MAX(M92*L92,M92+'Read me'!$B$6)&lt;='Read me'!$B$7,CEILING(MAX(M92*L92,M92+'Read me'!$B$6)+0.5,1)-0.5,CEILING(MAX(M92*L92,M92+'Read me'!$B$6),5))</f>
        <v>18.5</v>
      </c>
      <c r="O92" s="21" t="n">
        <f aca="false">IF(ISNUMBER(J92),M92-J92,"new")</f>
        <v>-6</v>
      </c>
    </row>
    <row r="93" customFormat="false" ht="15" hidden="false" customHeight="false" outlineLevel="0" collapsed="false">
      <c r="A93" s="2" t="s">
        <v>222</v>
      </c>
      <c r="B93" s="2" t="s">
        <v>125</v>
      </c>
      <c r="C93" s="2" t="s">
        <v>221</v>
      </c>
      <c r="D93" s="2" t="s">
        <v>10</v>
      </c>
      <c r="E93" s="2" t="s">
        <v>49</v>
      </c>
      <c r="F93" s="14" t="n">
        <v>14.85</v>
      </c>
      <c r="G93" s="2" t="n">
        <v>0</v>
      </c>
      <c r="H93" s="2" t="n">
        <v>2</v>
      </c>
      <c r="I93" s="20" t="n">
        <v>0.98</v>
      </c>
      <c r="J93" s="14" t="n">
        <v>19.5</v>
      </c>
      <c r="K93" s="14" t="n">
        <v>24.5</v>
      </c>
      <c r="L93" s="20" t="n">
        <f aca="false">INDEX('Read me'!$B$10:$B$15,1)</f>
        <v>1.34</v>
      </c>
      <c r="M93" s="14" t="n">
        <f aca="false">IF(F93*(1+'Read me'!$B$5)&lt;='Read me'!$B$7,CEILING(F93*(1+'Read me'!$B$5)+0.5,1)-0.5,CEILING(F93*(1+'Read me'!$B$5),5))</f>
        <v>15.5</v>
      </c>
      <c r="N93" s="14" t="n">
        <f aca="false">IF(MAX(M93*L93,M93+'Read me'!$B$6)&lt;='Read me'!$B$7,CEILING(MAX(M93*L93,M93+'Read me'!$B$6)+0.5,1)-0.5,CEILING(MAX(M93*L93,M93+'Read me'!$B$6),5))</f>
        <v>21.5</v>
      </c>
      <c r="O93" s="21" t="n">
        <f aca="false">IF(ISNUMBER(J93),M93-J93,"new")</f>
        <v>-4</v>
      </c>
    </row>
    <row r="94" customFormat="false" ht="15" hidden="false" customHeight="false" outlineLevel="0" collapsed="false">
      <c r="A94" s="2" t="s">
        <v>223</v>
      </c>
      <c r="B94" s="2" t="s">
        <v>125</v>
      </c>
      <c r="C94" s="2" t="s">
        <v>221</v>
      </c>
      <c r="D94" s="2" t="s">
        <v>10</v>
      </c>
      <c r="E94" s="2" t="s">
        <v>50</v>
      </c>
      <c r="F94" s="14" t="n">
        <v>19.59</v>
      </c>
      <c r="G94" s="2" t="n">
        <v>0</v>
      </c>
      <c r="H94" s="2" t="n">
        <v>2</v>
      </c>
      <c r="I94" s="20" t="n">
        <v>0.98</v>
      </c>
      <c r="J94" s="14" t="n">
        <v>19.5</v>
      </c>
      <c r="K94" s="14" t="n">
        <v>34.5</v>
      </c>
      <c r="L94" s="20" t="n">
        <f aca="false">INDEX('Read me'!$B$10:$B$15,1)</f>
        <v>1.34</v>
      </c>
      <c r="M94" s="14" t="n">
        <f aca="false">IF(F94*(1+'Read me'!$B$5)&lt;='Read me'!$B$7,CEILING(F94*(1+'Read me'!$B$5)+0.5,1)-0.5,CEILING(F94*(1+'Read me'!$B$5),5))</f>
        <v>20.5</v>
      </c>
      <c r="N94" s="14" t="n">
        <f aca="false">IF(MAX(M94*L94,M94+'Read me'!$B$6)&lt;='Read me'!$B$7,CEILING(MAX(M94*L94,M94+'Read me'!$B$6)+0.5,1)-0.5,CEILING(MAX(M94*L94,M94+'Read me'!$B$6),5))</f>
        <v>27.5</v>
      </c>
      <c r="O94" s="21" t="n">
        <f aca="false">IF(ISNUMBER(J94),M94-J94,"new")</f>
        <v>1</v>
      </c>
    </row>
    <row r="95" customFormat="false" ht="15" hidden="false" customHeight="false" outlineLevel="0" collapsed="false">
      <c r="A95" s="2" t="s">
        <v>224</v>
      </c>
      <c r="B95" s="2" t="s">
        <v>125</v>
      </c>
      <c r="C95" s="2" t="s">
        <v>221</v>
      </c>
      <c r="D95" s="2" t="s">
        <v>12</v>
      </c>
      <c r="E95" s="2" t="s">
        <v>48</v>
      </c>
      <c r="F95" s="14" t="n">
        <v>46.88</v>
      </c>
      <c r="G95" s="2" t="n">
        <v>0</v>
      </c>
      <c r="H95" s="2" t="n">
        <v>2</v>
      </c>
      <c r="I95" s="20" t="n">
        <v>0.98</v>
      </c>
      <c r="J95" s="14" t="n">
        <v>24.5</v>
      </c>
      <c r="K95" s="14" t="n">
        <v>29.5</v>
      </c>
      <c r="L95" s="20" t="n">
        <f aca="false">INDEX('Read me'!$B$10:$B$15,2)</f>
        <v>1.26</v>
      </c>
      <c r="M95" s="14" t="n">
        <f aca="false">IF(F95*(1+'Read me'!$B$5)&lt;='Read me'!$B$7,CEILING(F95*(1+'Read me'!$B$5)+0.5,1)-0.5,CEILING(F95*(1+'Read me'!$B$5),5))</f>
        <v>50</v>
      </c>
      <c r="N95" s="14" t="n">
        <f aca="false">IF(MAX(M95*L95,M95+'Read me'!$B$6)&lt;='Read me'!$B$7,CEILING(MAX(M95*L95,M95+'Read me'!$B$6)+0.5,1)-0.5,CEILING(MAX(M95*L95,M95+'Read me'!$B$6),5))</f>
        <v>65</v>
      </c>
      <c r="O95" s="21" t="n">
        <f aca="false">IF(ISNUMBER(J95),M95-J95,"new")</f>
        <v>25.5</v>
      </c>
    </row>
    <row r="96" customFormat="false" ht="15" hidden="false" customHeight="false" outlineLevel="0" collapsed="false">
      <c r="A96" s="2" t="s">
        <v>225</v>
      </c>
      <c r="B96" s="2" t="s">
        <v>125</v>
      </c>
      <c r="C96" s="2" t="s">
        <v>221</v>
      </c>
      <c r="D96" s="2" t="s">
        <v>12</v>
      </c>
      <c r="E96" s="2" t="s">
        <v>49</v>
      </c>
      <c r="F96" s="14" t="n">
        <v>51.2</v>
      </c>
      <c r="G96" s="2" t="n">
        <v>0</v>
      </c>
      <c r="H96" s="2" t="n">
        <v>2</v>
      </c>
      <c r="I96" s="20" t="n">
        <v>0.98</v>
      </c>
      <c r="J96" s="14" t="n">
        <v>24.5</v>
      </c>
      <c r="K96" s="14" t="n">
        <v>29.5</v>
      </c>
      <c r="L96" s="20" t="n">
        <f aca="false">INDEX('Read me'!$B$10:$B$15,2)</f>
        <v>1.26</v>
      </c>
      <c r="M96" s="14" t="n">
        <f aca="false">IF(F96*(1+'Read me'!$B$5)&lt;='Read me'!$B$7,CEILING(F96*(1+'Read me'!$B$5)+0.5,1)-0.5,CEILING(F96*(1+'Read me'!$B$5),5))</f>
        <v>55</v>
      </c>
      <c r="N96" s="14" t="n">
        <f aca="false">IF(MAX(M96*L96,M96+'Read me'!$B$6)&lt;='Read me'!$B$7,CEILING(MAX(M96*L96,M96+'Read me'!$B$6)+0.5,1)-0.5,CEILING(MAX(M96*L96,M96+'Read me'!$B$6),5))</f>
        <v>70</v>
      </c>
      <c r="O96" s="21" t="n">
        <f aca="false">IF(ISNUMBER(J96),M96-J96,"new")</f>
        <v>30.5</v>
      </c>
    </row>
    <row r="97" customFormat="false" ht="15" hidden="false" customHeight="false" outlineLevel="0" collapsed="false">
      <c r="A97" s="2" t="s">
        <v>226</v>
      </c>
      <c r="B97" s="2" t="s">
        <v>125</v>
      </c>
      <c r="C97" s="2" t="s">
        <v>221</v>
      </c>
      <c r="D97" s="2" t="s">
        <v>12</v>
      </c>
      <c r="E97" s="2" t="s">
        <v>50</v>
      </c>
      <c r="F97" s="14" t="n">
        <v>59.78</v>
      </c>
      <c r="G97" s="2" t="n">
        <v>0</v>
      </c>
      <c r="H97" s="2" t="n">
        <v>2</v>
      </c>
      <c r="I97" s="20" t="n">
        <v>0.98</v>
      </c>
      <c r="J97" s="14" t="n">
        <v>24.5</v>
      </c>
      <c r="K97" s="14" t="n">
        <v>45</v>
      </c>
      <c r="L97" s="20" t="n">
        <f aca="false">INDEX('Read me'!$B$10:$B$15,2)</f>
        <v>1.26</v>
      </c>
      <c r="M97" s="14" t="n">
        <f aca="false">IF(F97*(1+'Read me'!$B$5)&lt;='Read me'!$B$7,CEILING(F97*(1+'Read me'!$B$5)+0.5,1)-0.5,CEILING(F97*(1+'Read me'!$B$5),5))</f>
        <v>60</v>
      </c>
      <c r="N97" s="14" t="n">
        <f aca="false">IF(MAX(M97*L97,M97+'Read me'!$B$6)&lt;='Read me'!$B$7,CEILING(MAX(M97*L97,M97+'Read me'!$B$6)+0.5,1)-0.5,CEILING(MAX(M97*L97,M97+'Read me'!$B$6),5))</f>
        <v>80</v>
      </c>
      <c r="O97" s="21" t="n">
        <f aca="false">IF(ISNUMBER(J97),M97-J97,"new")</f>
        <v>35.5</v>
      </c>
    </row>
    <row r="98" customFormat="false" ht="15" hidden="false" customHeight="false" outlineLevel="0" collapsed="false">
      <c r="A98" s="2" t="s">
        <v>227</v>
      </c>
      <c r="B98" s="2" t="s">
        <v>125</v>
      </c>
      <c r="C98" s="2" t="s">
        <v>221</v>
      </c>
      <c r="D98" s="2" t="s">
        <v>13</v>
      </c>
      <c r="E98" s="2" t="s">
        <v>48</v>
      </c>
      <c r="F98" s="14" t="n">
        <v>80.69</v>
      </c>
      <c r="G98" s="2" t="n">
        <v>0</v>
      </c>
      <c r="H98" s="2" t="n">
        <v>2</v>
      </c>
      <c r="I98" s="20" t="n">
        <v>0.98</v>
      </c>
      <c r="J98" s="14" t="n">
        <v>45</v>
      </c>
      <c r="K98" s="14" t="n">
        <v>95</v>
      </c>
      <c r="L98" s="20" t="n">
        <f aca="false">INDEX('Read me'!$B$10:$B$15,3)</f>
        <v>1.35</v>
      </c>
      <c r="M98" s="14" t="n">
        <f aca="false">IF(F98*(1+'Read me'!$B$5)&lt;='Read me'!$B$7,CEILING(F98*(1+'Read me'!$B$5)+0.5,1)-0.5,CEILING(F98*(1+'Read me'!$B$5),5))</f>
        <v>85</v>
      </c>
      <c r="N98" s="14" t="n">
        <f aca="false">IF(MAX(M98*L98,M98+'Read me'!$B$6)&lt;='Read me'!$B$7,CEILING(MAX(M98*L98,M98+'Read me'!$B$6)+0.5,1)-0.5,CEILING(MAX(M98*L98,M98+'Read me'!$B$6),5))</f>
        <v>115</v>
      </c>
      <c r="O98" s="21" t="n">
        <f aca="false">IF(ISNUMBER(J98),M98-J98,"new")</f>
        <v>40</v>
      </c>
    </row>
    <row r="99" customFormat="false" ht="15" hidden="false" customHeight="false" outlineLevel="0" collapsed="false">
      <c r="A99" s="2" t="s">
        <v>228</v>
      </c>
      <c r="B99" s="2" t="s">
        <v>125</v>
      </c>
      <c r="C99" s="2" t="s">
        <v>221</v>
      </c>
      <c r="D99" s="2" t="s">
        <v>13</v>
      </c>
      <c r="E99" s="2" t="s">
        <v>49</v>
      </c>
      <c r="F99" s="14" t="n">
        <v>90.77</v>
      </c>
      <c r="G99" s="2" t="n">
        <v>0</v>
      </c>
      <c r="H99" s="2" t="n">
        <v>2</v>
      </c>
      <c r="I99" s="20" t="n">
        <v>0.98</v>
      </c>
      <c r="J99" s="14" t="n">
        <v>45</v>
      </c>
      <c r="K99" s="14" t="n">
        <v>95</v>
      </c>
      <c r="L99" s="20" t="n">
        <f aca="false">INDEX('Read me'!$B$10:$B$15,3)</f>
        <v>1.35</v>
      </c>
      <c r="M99" s="14" t="n">
        <f aca="false">IF(F99*(1+'Read me'!$B$5)&lt;='Read me'!$B$7,CEILING(F99*(1+'Read me'!$B$5)+0.5,1)-0.5,CEILING(F99*(1+'Read me'!$B$5),5))</f>
        <v>95</v>
      </c>
      <c r="N99" s="14" t="n">
        <f aca="false">IF(MAX(M99*L99,M99+'Read me'!$B$6)&lt;='Read me'!$B$7,CEILING(MAX(M99*L99,M99+'Read me'!$B$6)+0.5,1)-0.5,CEILING(MAX(M99*L99,M99+'Read me'!$B$6),5))</f>
        <v>130</v>
      </c>
      <c r="O99" s="21" t="n">
        <f aca="false">IF(ISNUMBER(J99),M99-J99,"new")</f>
        <v>50</v>
      </c>
    </row>
    <row r="100" customFormat="false" ht="15" hidden="false" customHeight="false" outlineLevel="0" collapsed="false">
      <c r="A100" s="2" t="s">
        <v>229</v>
      </c>
      <c r="B100" s="2" t="s">
        <v>125</v>
      </c>
      <c r="C100" s="2" t="s">
        <v>221</v>
      </c>
      <c r="D100" s="2" t="s">
        <v>13</v>
      </c>
      <c r="E100" s="2" t="s">
        <v>50</v>
      </c>
      <c r="F100" s="14" t="n">
        <v>122.08</v>
      </c>
      <c r="G100" s="2" t="n">
        <v>0</v>
      </c>
      <c r="H100" s="2" t="n">
        <v>2</v>
      </c>
      <c r="I100" s="20" t="n">
        <v>0.98</v>
      </c>
      <c r="J100" s="14" t="n">
        <v>99</v>
      </c>
      <c r="K100" s="14" t="n">
        <v>150</v>
      </c>
      <c r="L100" s="20" t="n">
        <f aca="false">INDEX('Read me'!$B$10:$B$15,3)</f>
        <v>1.35</v>
      </c>
      <c r="M100" s="14" t="n">
        <f aca="false">IF(F100*(1+'Read me'!$B$5)&lt;='Read me'!$B$7,CEILING(F100*(1+'Read me'!$B$5)+0.5,1)-0.5,CEILING(F100*(1+'Read me'!$B$5),5))</f>
        <v>125</v>
      </c>
      <c r="N100" s="14" t="n">
        <f aca="false">IF(MAX(M100*L100,M100+'Read me'!$B$6)&lt;='Read me'!$B$7,CEILING(MAX(M100*L100,M100+'Read me'!$B$6)+0.5,1)-0.5,CEILING(MAX(M100*L100,M100+'Read me'!$B$6),5))</f>
        <v>170</v>
      </c>
      <c r="O100" s="21" t="n">
        <f aca="false">IF(ISNUMBER(J100),M100-J100,"new")</f>
        <v>26</v>
      </c>
    </row>
    <row r="101" customFormat="false" ht="15" hidden="false" customHeight="false" outlineLevel="0" collapsed="false">
      <c r="A101" s="2" t="s">
        <v>230</v>
      </c>
      <c r="B101" s="2" t="s">
        <v>125</v>
      </c>
      <c r="C101" s="2" t="s">
        <v>221</v>
      </c>
      <c r="D101" s="2" t="s">
        <v>14</v>
      </c>
      <c r="E101" s="2" t="s">
        <v>48</v>
      </c>
      <c r="F101" s="14" t="n">
        <v>139.73</v>
      </c>
      <c r="G101" s="2" t="n">
        <v>0</v>
      </c>
      <c r="H101" s="2" t="n">
        <v>2</v>
      </c>
      <c r="I101" s="20" t="n">
        <v>0.98</v>
      </c>
      <c r="J101" s="14" t="n">
        <v>99</v>
      </c>
      <c r="K101" s="14" t="n">
        <v>150</v>
      </c>
      <c r="L101" s="20" t="n">
        <f aca="false">INDEX('Read me'!$B$10:$B$15,4)</f>
        <v>1.2</v>
      </c>
      <c r="M101" s="14" t="n">
        <f aca="false">IF(F101*(1+'Read me'!$B$5)&lt;='Read me'!$B$7,CEILING(F101*(1+'Read me'!$B$5)+0.5,1)-0.5,CEILING(F101*(1+'Read me'!$B$5),5))</f>
        <v>140</v>
      </c>
      <c r="N101" s="14" t="n">
        <f aca="false">IF(MAX(M101*L101,M101+'Read me'!$B$6)&lt;='Read me'!$B$7,CEILING(MAX(M101*L101,M101+'Read me'!$B$6)+0.5,1)-0.5,CEILING(MAX(M101*L101,M101+'Read me'!$B$6),5))</f>
        <v>170</v>
      </c>
      <c r="O101" s="21" t="n">
        <f aca="false">IF(ISNUMBER(J101),M101-J101,"new")</f>
        <v>41</v>
      </c>
    </row>
    <row r="102" customFormat="false" ht="15" hidden="false" customHeight="false" outlineLevel="0" collapsed="false">
      <c r="A102" s="2" t="s">
        <v>231</v>
      </c>
      <c r="B102" s="2" t="s">
        <v>125</v>
      </c>
      <c r="C102" s="2" t="s">
        <v>221</v>
      </c>
      <c r="D102" s="2" t="s">
        <v>14</v>
      </c>
      <c r="E102" s="2" t="s">
        <v>49</v>
      </c>
      <c r="F102" s="14" t="n">
        <v>167.77</v>
      </c>
      <c r="G102" s="2" t="n">
        <v>0</v>
      </c>
      <c r="H102" s="2" t="n">
        <v>2</v>
      </c>
      <c r="I102" s="20" t="n">
        <v>0.98</v>
      </c>
      <c r="J102" s="14" t="n">
        <v>150</v>
      </c>
      <c r="K102" s="14" t="n">
        <v>150</v>
      </c>
      <c r="L102" s="20" t="n">
        <f aca="false">INDEX('Read me'!$B$10:$B$15,4)</f>
        <v>1.2</v>
      </c>
      <c r="M102" s="14" t="n">
        <f aca="false">IF(F102*(1+'Read me'!$B$5)&lt;='Read me'!$B$7,CEILING(F102*(1+'Read me'!$B$5)+0.5,1)-0.5,CEILING(F102*(1+'Read me'!$B$5),5))</f>
        <v>170</v>
      </c>
      <c r="N102" s="14" t="n">
        <f aca="false">IF(MAX(M102*L102,M102+'Read me'!$B$6)&lt;='Read me'!$B$7,CEILING(MAX(M102*L102,M102+'Read me'!$B$6)+0.5,1)-0.5,CEILING(MAX(M102*L102,M102+'Read me'!$B$6),5))</f>
        <v>205</v>
      </c>
      <c r="O102" s="21" t="n">
        <f aca="false">IF(ISNUMBER(J102),M102-J102,"new")</f>
        <v>20</v>
      </c>
    </row>
    <row r="103" customFormat="false" ht="15" hidden="false" customHeight="false" outlineLevel="0" collapsed="false">
      <c r="A103" s="2" t="s">
        <v>232</v>
      </c>
      <c r="B103" s="2" t="s">
        <v>125</v>
      </c>
      <c r="C103" s="2" t="s">
        <v>221</v>
      </c>
      <c r="D103" s="2" t="s">
        <v>14</v>
      </c>
      <c r="E103" s="2" t="s">
        <v>50</v>
      </c>
      <c r="F103" s="14" t="n">
        <v>202.18</v>
      </c>
      <c r="G103" s="2" t="n">
        <v>0</v>
      </c>
      <c r="H103" s="2" t="n">
        <v>2</v>
      </c>
      <c r="I103" s="20" t="n">
        <v>0.98</v>
      </c>
      <c r="J103" s="14" t="n">
        <v>250</v>
      </c>
      <c r="K103" s="14" t="n">
        <v>195</v>
      </c>
      <c r="L103" s="20" t="n">
        <f aca="false">INDEX('Read me'!$B$10:$B$15,4)</f>
        <v>1.2</v>
      </c>
      <c r="M103" s="14" t="n">
        <f aca="false">IF(F103*(1+'Read me'!$B$5)&lt;='Read me'!$B$7,CEILING(F103*(1+'Read me'!$B$5)+0.5,1)-0.5,CEILING(F103*(1+'Read me'!$B$5),5))</f>
        <v>205</v>
      </c>
      <c r="N103" s="14" t="n">
        <f aca="false">IF(MAX(M103*L103,M103+'Read me'!$B$6)&lt;='Read me'!$B$7,CEILING(MAX(M103*L103,M103+'Read me'!$B$6)+0.5,1)-0.5,CEILING(MAX(M103*L103,M103+'Read me'!$B$6),5))</f>
        <v>250</v>
      </c>
      <c r="O103" s="21" t="n">
        <f aca="false">IF(ISNUMBER(J103),M103-J103,"new")</f>
        <v>-45</v>
      </c>
    </row>
    <row r="104" customFormat="false" ht="15" hidden="false" customHeight="false" outlineLevel="0" collapsed="false">
      <c r="A104" s="2" t="s">
        <v>233</v>
      </c>
      <c r="B104" s="2" t="s">
        <v>125</v>
      </c>
      <c r="C104" s="2" t="s">
        <v>221</v>
      </c>
      <c r="D104" s="2" t="s">
        <v>15</v>
      </c>
      <c r="E104" s="2" t="s">
        <v>48</v>
      </c>
      <c r="F104" s="14" t="n">
        <v>177.35</v>
      </c>
      <c r="G104" s="2" t="n">
        <v>0</v>
      </c>
      <c r="H104" s="2" t="n">
        <v>2</v>
      </c>
      <c r="I104" s="20" t="n">
        <v>0.98</v>
      </c>
      <c r="J104" s="14" t="n">
        <v>300</v>
      </c>
      <c r="K104" s="14" t="n">
        <v>300</v>
      </c>
      <c r="L104" s="20" t="n">
        <f aca="false">INDEX('Read me'!$B$10:$B$15,5)</f>
        <v>1.2</v>
      </c>
      <c r="M104" s="14" t="n">
        <f aca="false">IF(F104*(1+'Read me'!$B$5)&lt;='Read me'!$B$7,CEILING(F104*(1+'Read me'!$B$5)+0.5,1)-0.5,CEILING(F104*(1+'Read me'!$B$5),5))</f>
        <v>180</v>
      </c>
      <c r="N104" s="14" t="n">
        <f aca="false">IF(MAX(M104*L104,M104+'Read me'!$B$6)&lt;='Read me'!$B$7,CEILING(MAX(M104*L104,M104+'Read me'!$B$6)+0.5,1)-0.5,CEILING(MAX(M104*L104,M104+'Read me'!$B$6),5))</f>
        <v>220</v>
      </c>
      <c r="O104" s="21" t="n">
        <f aca="false">IF(ISNUMBER(J104),M104-J104,"new")</f>
        <v>-120</v>
      </c>
    </row>
    <row r="105" customFormat="false" ht="15" hidden="false" customHeight="false" outlineLevel="0" collapsed="false">
      <c r="A105" s="2" t="s">
        <v>234</v>
      </c>
      <c r="B105" s="2" t="s">
        <v>125</v>
      </c>
      <c r="C105" s="2" t="s">
        <v>221</v>
      </c>
      <c r="D105" s="2" t="s">
        <v>15</v>
      </c>
      <c r="E105" s="2" t="s">
        <v>49</v>
      </c>
      <c r="F105" s="14" t="n">
        <v>218.8</v>
      </c>
      <c r="G105" s="2" t="n">
        <v>0</v>
      </c>
      <c r="H105" s="2" t="n">
        <v>2</v>
      </c>
      <c r="I105" s="20" t="n">
        <v>0.98</v>
      </c>
      <c r="J105" s="14" t="n">
        <v>300</v>
      </c>
      <c r="K105" s="14" t="n">
        <v>300</v>
      </c>
      <c r="L105" s="20" t="n">
        <f aca="false">INDEX('Read me'!$B$10:$B$15,5)</f>
        <v>1.2</v>
      </c>
      <c r="M105" s="14" t="n">
        <f aca="false">N105</f>
        <v>265</v>
      </c>
      <c r="N105" s="14" t="n">
        <f aca="false">IF(MAX((IF(F105*(1+'Read me'!$B$5)&lt;='Read me'!$B$7,CEILING(F105*(1+'Read me'!$B$5)+0.5,1)-0.5,CEILING(F105*(1+'Read me'!$B$5),5)))*L105,(IF(F105*(1+'Read me'!$B$5)&lt;='Read me'!$B$7,CEILING(F105*(1+'Read me'!$B$5)+0.5,1)-0.5,CEILING(F105*(1+'Read me'!$B$5),5)))+'Read me'!$B$6)&lt;='Read me'!$B$7,CEILING(MAX((IF(F105*(1+'Read me'!$B$5)&lt;='Read me'!$B$7,CEILING(F105*(1+'Read me'!$B$5)+0.5,1)-0.5,CEILING(F105*(1+'Read me'!$B$5),5)))*L105,(IF(F105*(1+'Read me'!$B$5)&lt;='Read me'!$B$7,CEILING(F105*(1+'Read me'!$B$5)+0.5,1)-0.5,CEILING(F105*(1+'Read me'!$B$5),5)))+'Read me'!$B$6)+0.5,1)-0.5,CEILING(MAX((IF(F105*(1+'Read me'!$B$5)&lt;='Read me'!$B$7,CEILING(F105*(1+'Read me'!$B$5)+0.5,1)-0.5,CEILING(F105*(1+'Read me'!$B$5),5)))*L105,(IF(F105*(1+'Read me'!$B$5)&lt;='Read me'!$B$7,CEILING(F105*(1+'Read me'!$B$5)+0.5,1)-0.5,CEILING(F105*(1+'Read me'!$B$5),5)))+'Read me'!$B$6),5))</f>
        <v>265</v>
      </c>
      <c r="O105" s="21" t="n">
        <f aca="false">IF(ISNUMBER(J105),M105-J105,"new")</f>
        <v>-35</v>
      </c>
      <c r="P105" s="5" t="s">
        <v>140</v>
      </c>
    </row>
    <row r="106" customFormat="false" ht="15" hidden="false" customHeight="false" outlineLevel="0" collapsed="false">
      <c r="A106" s="2" t="s">
        <v>235</v>
      </c>
      <c r="B106" s="2" t="s">
        <v>125</v>
      </c>
      <c r="C106" s="2" t="s">
        <v>221</v>
      </c>
      <c r="D106" s="2" t="s">
        <v>15</v>
      </c>
      <c r="E106" s="2" t="s">
        <v>50</v>
      </c>
      <c r="F106" s="14" t="n">
        <v>262.9</v>
      </c>
      <c r="G106" s="2" t="n">
        <v>0</v>
      </c>
      <c r="H106" s="2" t="n">
        <v>2</v>
      </c>
      <c r="I106" s="20" t="n">
        <v>0.98</v>
      </c>
      <c r="J106" s="14" t="n">
        <v>350</v>
      </c>
      <c r="K106" s="14" t="n">
        <v>400</v>
      </c>
      <c r="L106" s="20" t="n">
        <f aca="false">INDEX('Read me'!$B$10:$B$15,5)</f>
        <v>1.2</v>
      </c>
      <c r="M106" s="14" t="n">
        <f aca="false">N106</f>
        <v>320</v>
      </c>
      <c r="N106" s="14" t="n">
        <f aca="false">IF(MAX((IF(F106*(1+'Read me'!$B$5)&lt;='Read me'!$B$7,CEILING(F106*(1+'Read me'!$B$5)+0.5,1)-0.5,CEILING(F106*(1+'Read me'!$B$5),5)))*L106,(IF(F106*(1+'Read me'!$B$5)&lt;='Read me'!$B$7,CEILING(F106*(1+'Read me'!$B$5)+0.5,1)-0.5,CEILING(F106*(1+'Read me'!$B$5),5)))+'Read me'!$B$6)&lt;='Read me'!$B$7,CEILING(MAX((IF(F106*(1+'Read me'!$B$5)&lt;='Read me'!$B$7,CEILING(F106*(1+'Read me'!$B$5)+0.5,1)-0.5,CEILING(F106*(1+'Read me'!$B$5),5)))*L106,(IF(F106*(1+'Read me'!$B$5)&lt;='Read me'!$B$7,CEILING(F106*(1+'Read me'!$B$5)+0.5,1)-0.5,CEILING(F106*(1+'Read me'!$B$5),5)))+'Read me'!$B$6)+0.5,1)-0.5,CEILING(MAX((IF(F106*(1+'Read me'!$B$5)&lt;='Read me'!$B$7,CEILING(F106*(1+'Read me'!$B$5)+0.5,1)-0.5,CEILING(F106*(1+'Read me'!$B$5),5)))*L106,(IF(F106*(1+'Read me'!$B$5)&lt;='Read me'!$B$7,CEILING(F106*(1+'Read me'!$B$5)+0.5,1)-0.5,CEILING(F106*(1+'Read me'!$B$5),5)))+'Read me'!$B$6),5))</f>
        <v>320</v>
      </c>
      <c r="O106" s="21" t="n">
        <f aca="false">IF(ISNUMBER(J106),M106-J106,"new")</f>
        <v>-30</v>
      </c>
      <c r="P106" s="5" t="s">
        <v>140</v>
      </c>
    </row>
    <row r="107" customFormat="false" ht="15" hidden="false" customHeight="false" outlineLevel="0" collapsed="false">
      <c r="A107" s="2" t="s">
        <v>236</v>
      </c>
      <c r="B107" s="2" t="s">
        <v>125</v>
      </c>
      <c r="C107" s="2" t="s">
        <v>221</v>
      </c>
      <c r="D107" s="2" t="s">
        <v>16</v>
      </c>
      <c r="E107" s="2" t="s">
        <v>48</v>
      </c>
      <c r="F107" s="14" t="n">
        <v>246.26</v>
      </c>
      <c r="G107" s="2" t="n">
        <v>0</v>
      </c>
      <c r="H107" s="2" t="n">
        <v>2</v>
      </c>
      <c r="I107" s="20" t="n">
        <v>0.98</v>
      </c>
      <c r="J107" s="14"/>
      <c r="K107" s="14"/>
      <c r="L107" s="20" t="n">
        <f aca="false">INDEX('Read me'!$B$10:$B$15,6)</f>
        <v>1.2</v>
      </c>
      <c r="M107" s="14" t="n">
        <f aca="false">IF(F107*(1+'Read me'!$B$5)&lt;='Read me'!$B$7,CEILING(F107*(1+'Read me'!$B$5)+0.5,1)-0.5,CEILING(F107*(1+'Read me'!$B$5),5))</f>
        <v>250</v>
      </c>
      <c r="N107" s="14" t="n">
        <f aca="false">IF(MAX(M107*L107,M107+'Read me'!$B$6)&lt;='Read me'!$B$7,CEILING(MAX(M107*L107,M107+'Read me'!$B$6)+0.5,1)-0.5,CEILING(MAX(M107*L107,M107+'Read me'!$B$6),5))</f>
        <v>300</v>
      </c>
      <c r="O107" s="21" t="str">
        <f aca="false">IF(ISNUMBER(J107),M107-J107,"new")</f>
        <v>new</v>
      </c>
    </row>
    <row r="108" customFormat="false" ht="15" hidden="false" customHeight="false" outlineLevel="0" collapsed="false">
      <c r="A108" s="2" t="s">
        <v>237</v>
      </c>
      <c r="B108" s="2" t="s">
        <v>125</v>
      </c>
      <c r="C108" s="2" t="s">
        <v>221</v>
      </c>
      <c r="D108" s="2" t="s">
        <v>16</v>
      </c>
      <c r="E108" s="2" t="s">
        <v>49</v>
      </c>
      <c r="F108" s="14" t="n">
        <v>316.43</v>
      </c>
      <c r="G108" s="2" t="n">
        <v>0</v>
      </c>
      <c r="H108" s="2" t="n">
        <v>2</v>
      </c>
      <c r="I108" s="20" t="n">
        <v>0.98</v>
      </c>
      <c r="J108" s="14"/>
      <c r="K108" s="14"/>
      <c r="L108" s="20" t="n">
        <f aca="false">INDEX('Read me'!$B$10:$B$15,6)</f>
        <v>1.2</v>
      </c>
      <c r="M108" s="14" t="n">
        <f aca="false">N108</f>
        <v>385</v>
      </c>
      <c r="N108" s="14" t="n">
        <f aca="false">IF(MAX((IF(F108*(1+'Read me'!$B$5)&lt;='Read me'!$B$7,CEILING(F108*(1+'Read me'!$B$5)+0.5,1)-0.5,CEILING(F108*(1+'Read me'!$B$5),5)))*L108,(IF(F108*(1+'Read me'!$B$5)&lt;='Read me'!$B$7,CEILING(F108*(1+'Read me'!$B$5)+0.5,1)-0.5,CEILING(F108*(1+'Read me'!$B$5),5)))+'Read me'!$B$6)&lt;='Read me'!$B$7,CEILING(MAX((IF(F108*(1+'Read me'!$B$5)&lt;='Read me'!$B$7,CEILING(F108*(1+'Read me'!$B$5)+0.5,1)-0.5,CEILING(F108*(1+'Read me'!$B$5),5)))*L108,(IF(F108*(1+'Read me'!$B$5)&lt;='Read me'!$B$7,CEILING(F108*(1+'Read me'!$B$5)+0.5,1)-0.5,CEILING(F108*(1+'Read me'!$B$5),5)))+'Read me'!$B$6)+0.5,1)-0.5,CEILING(MAX((IF(F108*(1+'Read me'!$B$5)&lt;='Read me'!$B$7,CEILING(F108*(1+'Read me'!$B$5)+0.5,1)-0.5,CEILING(F108*(1+'Read me'!$B$5),5)))*L108,(IF(F108*(1+'Read me'!$B$5)&lt;='Read me'!$B$7,CEILING(F108*(1+'Read me'!$B$5)+0.5,1)-0.5,CEILING(F108*(1+'Read me'!$B$5),5)))+'Read me'!$B$6),5))</f>
        <v>385</v>
      </c>
      <c r="O108" s="21" t="str">
        <f aca="false">IF(ISNUMBER(J108),M108-J108,"new")</f>
        <v>new</v>
      </c>
      <c r="P108" s="5" t="s">
        <v>140</v>
      </c>
    </row>
    <row r="109" customFormat="false" ht="15" hidden="false" customHeight="false" outlineLevel="0" collapsed="false">
      <c r="A109" s="2" t="s">
        <v>238</v>
      </c>
      <c r="B109" s="2" t="s">
        <v>125</v>
      </c>
      <c r="C109" s="2" t="s">
        <v>221</v>
      </c>
      <c r="D109" s="2" t="s">
        <v>16</v>
      </c>
      <c r="E109" s="2" t="s">
        <v>50</v>
      </c>
      <c r="F109" s="14" t="n">
        <v>371.92</v>
      </c>
      <c r="G109" s="2" t="n">
        <v>0</v>
      </c>
      <c r="H109" s="2" t="n">
        <v>2</v>
      </c>
      <c r="I109" s="20" t="n">
        <v>0.98</v>
      </c>
      <c r="J109" s="14"/>
      <c r="K109" s="14"/>
      <c r="L109" s="20" t="n">
        <f aca="false">INDEX('Read me'!$B$10:$B$15,6)</f>
        <v>1.2</v>
      </c>
      <c r="M109" s="14" t="n">
        <f aca="false">N109</f>
        <v>450</v>
      </c>
      <c r="N109" s="14" t="n">
        <f aca="false">IF(MAX((IF(F109*(1+'Read me'!$B$5)&lt;='Read me'!$B$7,CEILING(F109*(1+'Read me'!$B$5)+0.5,1)-0.5,CEILING(F109*(1+'Read me'!$B$5),5)))*L109,(IF(F109*(1+'Read me'!$B$5)&lt;='Read me'!$B$7,CEILING(F109*(1+'Read me'!$B$5)+0.5,1)-0.5,CEILING(F109*(1+'Read me'!$B$5),5)))+'Read me'!$B$6)&lt;='Read me'!$B$7,CEILING(MAX((IF(F109*(1+'Read me'!$B$5)&lt;='Read me'!$B$7,CEILING(F109*(1+'Read me'!$B$5)+0.5,1)-0.5,CEILING(F109*(1+'Read me'!$B$5),5)))*L109,(IF(F109*(1+'Read me'!$B$5)&lt;='Read me'!$B$7,CEILING(F109*(1+'Read me'!$B$5)+0.5,1)-0.5,CEILING(F109*(1+'Read me'!$B$5),5)))+'Read me'!$B$6)+0.5,1)-0.5,CEILING(MAX((IF(F109*(1+'Read me'!$B$5)&lt;='Read me'!$B$7,CEILING(F109*(1+'Read me'!$B$5)+0.5,1)-0.5,CEILING(F109*(1+'Read me'!$B$5),5)))*L109,(IF(F109*(1+'Read me'!$B$5)&lt;='Read me'!$B$7,CEILING(F109*(1+'Read me'!$B$5)+0.5,1)-0.5,CEILING(F109*(1+'Read me'!$B$5),5)))+'Read me'!$B$6),5))</f>
        <v>450</v>
      </c>
      <c r="O109" s="21" t="str">
        <f aca="false">IF(ISNUMBER(J109),M109-J109,"new")</f>
        <v>new</v>
      </c>
      <c r="P109" s="5" t="s">
        <v>140</v>
      </c>
    </row>
    <row r="110" customFormat="false" ht="15" hidden="false" customHeight="false" outlineLevel="0" collapsed="false">
      <c r="A110" s="2" t="s">
        <v>239</v>
      </c>
      <c r="B110" s="2" t="s">
        <v>125</v>
      </c>
      <c r="C110" s="2" t="s">
        <v>240</v>
      </c>
      <c r="D110" s="2" t="s">
        <v>10</v>
      </c>
      <c r="E110" s="2" t="s">
        <v>48</v>
      </c>
      <c r="F110" s="14" t="n">
        <v>13.48</v>
      </c>
      <c r="G110" s="2" t="n">
        <v>0</v>
      </c>
      <c r="H110" s="2" t="n">
        <v>3</v>
      </c>
      <c r="I110" s="20" t="n">
        <v>1.03</v>
      </c>
      <c r="J110" s="14" t="n">
        <v>19.5</v>
      </c>
      <c r="K110" s="14" t="n">
        <v>24.5</v>
      </c>
      <c r="L110" s="20" t="n">
        <f aca="false">INDEX('Read me'!$B$10:$B$15,1)</f>
        <v>1.34</v>
      </c>
      <c r="M110" s="14" t="n">
        <f aca="false">IF(F110*(1+'Read me'!$B$5)&lt;='Read me'!$B$7,CEILING(F110*(1+'Read me'!$B$5)+0.5,1)-0.5,CEILING(F110*(1+'Read me'!$B$5),5))</f>
        <v>13.5</v>
      </c>
      <c r="N110" s="14" t="n">
        <f aca="false">IF(MAX(M110*L110,M110+'Read me'!$B$6)&lt;='Read me'!$B$7,CEILING(MAX(M110*L110,M110+'Read me'!$B$6)+0.5,1)-0.5,CEILING(MAX(M110*L110,M110+'Read me'!$B$6),5))</f>
        <v>18.5</v>
      </c>
      <c r="O110" s="21" t="n">
        <f aca="false">IF(ISNUMBER(J110),M110-J110,"new")</f>
        <v>-6</v>
      </c>
    </row>
    <row r="111" customFormat="false" ht="15" hidden="false" customHeight="false" outlineLevel="0" collapsed="false">
      <c r="A111" s="2" t="s">
        <v>241</v>
      </c>
      <c r="B111" s="2" t="s">
        <v>125</v>
      </c>
      <c r="C111" s="2" t="s">
        <v>240</v>
      </c>
      <c r="D111" s="2" t="s">
        <v>10</v>
      </c>
      <c r="E111" s="2" t="s">
        <v>49</v>
      </c>
      <c r="F111" s="14" t="n">
        <v>15.72</v>
      </c>
      <c r="G111" s="2" t="n">
        <v>0</v>
      </c>
      <c r="H111" s="2" t="n">
        <v>3</v>
      </c>
      <c r="I111" s="20" t="n">
        <v>1.03</v>
      </c>
      <c r="J111" s="14" t="n">
        <v>19.5</v>
      </c>
      <c r="K111" s="14" t="n">
        <v>24.5</v>
      </c>
      <c r="L111" s="20" t="n">
        <f aca="false">INDEX('Read me'!$B$10:$B$15,1)</f>
        <v>1.34</v>
      </c>
      <c r="M111" s="14" t="n">
        <f aca="false">IF(F111*(1+'Read me'!$B$5)&lt;='Read me'!$B$7,CEILING(F111*(1+'Read me'!$B$5)+0.5,1)-0.5,CEILING(F111*(1+'Read me'!$B$5),5))</f>
        <v>16.5</v>
      </c>
      <c r="N111" s="14" t="n">
        <f aca="false">IF(MAX(M111*L111,M111+'Read me'!$B$6)&lt;='Read me'!$B$7,CEILING(MAX(M111*L111,M111+'Read me'!$B$6)+0.5,1)-0.5,CEILING(MAX(M111*L111,M111+'Read me'!$B$6),5))</f>
        <v>22.5</v>
      </c>
      <c r="O111" s="21" t="n">
        <f aca="false">IF(ISNUMBER(J111),M111-J111,"new")</f>
        <v>-3</v>
      </c>
    </row>
    <row r="112" customFormat="false" ht="15" hidden="false" customHeight="false" outlineLevel="0" collapsed="false">
      <c r="A112" s="2" t="s">
        <v>242</v>
      </c>
      <c r="B112" s="2" t="s">
        <v>125</v>
      </c>
      <c r="C112" s="2" t="s">
        <v>240</v>
      </c>
      <c r="D112" s="2" t="s">
        <v>10</v>
      </c>
      <c r="E112" s="2" t="s">
        <v>50</v>
      </c>
      <c r="F112" s="14" t="n">
        <v>20.74</v>
      </c>
      <c r="G112" s="2" t="n">
        <v>0</v>
      </c>
      <c r="H112" s="2" t="n">
        <v>3</v>
      </c>
      <c r="I112" s="20" t="n">
        <v>1.03</v>
      </c>
      <c r="J112" s="14" t="n">
        <v>19.5</v>
      </c>
      <c r="K112" s="14" t="n">
        <v>34.5</v>
      </c>
      <c r="L112" s="20" t="n">
        <f aca="false">INDEX('Read me'!$B$10:$B$15,1)</f>
        <v>1.34</v>
      </c>
      <c r="M112" s="14" t="n">
        <f aca="false">IF(F112*(1+'Read me'!$B$5)&lt;='Read me'!$B$7,CEILING(F112*(1+'Read me'!$B$5)+0.5,1)-0.5,CEILING(F112*(1+'Read me'!$B$5),5))</f>
        <v>21.5</v>
      </c>
      <c r="N112" s="14" t="n">
        <f aca="false">IF(MAX(M112*L112,M112+'Read me'!$B$6)&lt;='Read me'!$B$7,CEILING(MAX(M112*L112,M112+'Read me'!$B$6)+0.5,1)-0.5,CEILING(MAX(M112*L112,M112+'Read me'!$B$6),5))</f>
        <v>29.5</v>
      </c>
      <c r="O112" s="21" t="n">
        <f aca="false">IF(ISNUMBER(J112),M112-J112,"new")</f>
        <v>2</v>
      </c>
    </row>
    <row r="113" customFormat="false" ht="15" hidden="false" customHeight="false" outlineLevel="0" collapsed="false">
      <c r="A113" s="2" t="s">
        <v>243</v>
      </c>
      <c r="B113" s="2" t="s">
        <v>125</v>
      </c>
      <c r="C113" s="2" t="s">
        <v>240</v>
      </c>
      <c r="D113" s="2" t="s">
        <v>12</v>
      </c>
      <c r="E113" s="2" t="s">
        <v>48</v>
      </c>
      <c r="F113" s="14" t="n">
        <v>47.48</v>
      </c>
      <c r="G113" s="2" t="n">
        <v>3</v>
      </c>
      <c r="H113" s="2" t="n">
        <v>3</v>
      </c>
      <c r="I113" s="20" t="n">
        <v>1.03</v>
      </c>
      <c r="J113" s="14" t="n">
        <v>24.5</v>
      </c>
      <c r="K113" s="14" t="n">
        <v>29.5</v>
      </c>
      <c r="L113" s="20" t="n">
        <f aca="false">INDEX('Read me'!$B$10:$B$15,2)</f>
        <v>1.26</v>
      </c>
      <c r="M113" s="14" t="n">
        <f aca="false">IF(F113*(1+'Read me'!$B$5)&lt;='Read me'!$B$7,CEILING(F113*(1+'Read me'!$B$5)+0.5,1)-0.5,CEILING(F113*(1+'Read me'!$B$5),5))</f>
        <v>50</v>
      </c>
      <c r="N113" s="14" t="n">
        <f aca="false">IF(MAX(M113*L113,M113+'Read me'!$B$6)&lt;='Read me'!$B$7,CEILING(MAX(M113*L113,M113+'Read me'!$B$6)+0.5,1)-0.5,CEILING(MAX(M113*L113,M113+'Read me'!$B$6),5))</f>
        <v>65</v>
      </c>
      <c r="O113" s="21" t="n">
        <f aca="false">IF(ISNUMBER(J113),M113-J113,"new")</f>
        <v>25.5</v>
      </c>
    </row>
    <row r="114" customFormat="false" ht="15" hidden="false" customHeight="false" outlineLevel="0" collapsed="false">
      <c r="A114" s="2" t="s">
        <v>244</v>
      </c>
      <c r="B114" s="2" t="s">
        <v>125</v>
      </c>
      <c r="C114" s="2" t="s">
        <v>240</v>
      </c>
      <c r="D114" s="2" t="s">
        <v>12</v>
      </c>
      <c r="E114" s="2" t="s">
        <v>49</v>
      </c>
      <c r="F114" s="14" t="n">
        <v>54.22</v>
      </c>
      <c r="G114" s="2" t="n">
        <v>0</v>
      </c>
      <c r="H114" s="2" t="n">
        <v>3</v>
      </c>
      <c r="I114" s="20" t="n">
        <v>1.03</v>
      </c>
      <c r="J114" s="14" t="n">
        <v>24.5</v>
      </c>
      <c r="K114" s="14" t="n">
        <v>29.5</v>
      </c>
      <c r="L114" s="20" t="n">
        <f aca="false">INDEX('Read me'!$B$10:$B$15,2)</f>
        <v>1.26</v>
      </c>
      <c r="M114" s="14" t="n">
        <f aca="false">IF(F114*(1+'Read me'!$B$5)&lt;='Read me'!$B$7,CEILING(F114*(1+'Read me'!$B$5)+0.5,1)-0.5,CEILING(F114*(1+'Read me'!$B$5),5))</f>
        <v>55</v>
      </c>
      <c r="N114" s="14" t="n">
        <f aca="false">IF(MAX(M114*L114,M114+'Read me'!$B$6)&lt;='Read me'!$B$7,CEILING(MAX(M114*L114,M114+'Read me'!$B$6)+0.5,1)-0.5,CEILING(MAX(M114*L114,M114+'Read me'!$B$6),5))</f>
        <v>70</v>
      </c>
      <c r="O114" s="21" t="n">
        <f aca="false">IF(ISNUMBER(J114),M114-J114,"new")</f>
        <v>30.5</v>
      </c>
    </row>
    <row r="115" customFormat="false" ht="15" hidden="false" customHeight="false" outlineLevel="0" collapsed="false">
      <c r="A115" s="2" t="s">
        <v>245</v>
      </c>
      <c r="B115" s="2" t="s">
        <v>125</v>
      </c>
      <c r="C115" s="2" t="s">
        <v>240</v>
      </c>
      <c r="D115" s="2" t="s">
        <v>12</v>
      </c>
      <c r="E115" s="2" t="s">
        <v>50</v>
      </c>
      <c r="F115" s="14" t="n">
        <v>63.3</v>
      </c>
      <c r="G115" s="2" t="n">
        <v>0</v>
      </c>
      <c r="H115" s="2" t="n">
        <v>3</v>
      </c>
      <c r="I115" s="20" t="n">
        <v>1.03</v>
      </c>
      <c r="J115" s="14" t="n">
        <v>24.5</v>
      </c>
      <c r="K115" s="14" t="n">
        <v>45</v>
      </c>
      <c r="L115" s="20" t="n">
        <f aca="false">INDEX('Read me'!$B$10:$B$15,2)</f>
        <v>1.26</v>
      </c>
      <c r="M115" s="14" t="n">
        <f aca="false">IF(F115*(1+'Read me'!$B$5)&lt;='Read me'!$B$7,CEILING(F115*(1+'Read me'!$B$5)+0.5,1)-0.5,CEILING(F115*(1+'Read me'!$B$5),5))</f>
        <v>65</v>
      </c>
      <c r="N115" s="14" t="n">
        <f aca="false">IF(MAX(M115*L115,M115+'Read me'!$B$6)&lt;='Read me'!$B$7,CEILING(MAX(M115*L115,M115+'Read me'!$B$6)+0.5,1)-0.5,CEILING(MAX(M115*L115,M115+'Read me'!$B$6),5))</f>
        <v>85</v>
      </c>
      <c r="O115" s="21" t="n">
        <f aca="false">IF(ISNUMBER(J115),M115-J115,"new")</f>
        <v>40.5</v>
      </c>
    </row>
    <row r="116" customFormat="false" ht="15" hidden="false" customHeight="false" outlineLevel="0" collapsed="false">
      <c r="A116" s="2" t="s">
        <v>246</v>
      </c>
      <c r="B116" s="2" t="s">
        <v>125</v>
      </c>
      <c r="C116" s="2" t="s">
        <v>240</v>
      </c>
      <c r="D116" s="2" t="s">
        <v>13</v>
      </c>
      <c r="E116" s="2" t="s">
        <v>48</v>
      </c>
      <c r="F116" s="14" t="n">
        <v>85.44</v>
      </c>
      <c r="G116" s="2" t="n">
        <v>0</v>
      </c>
      <c r="H116" s="2" t="n">
        <v>3</v>
      </c>
      <c r="I116" s="20" t="n">
        <v>1.03</v>
      </c>
      <c r="J116" s="14" t="n">
        <v>45</v>
      </c>
      <c r="K116" s="14" t="n">
        <v>95</v>
      </c>
      <c r="L116" s="20" t="n">
        <f aca="false">INDEX('Read me'!$B$10:$B$15,3)</f>
        <v>1.35</v>
      </c>
      <c r="M116" s="14" t="n">
        <f aca="false">IF(F116*(1+'Read me'!$B$5)&lt;='Read me'!$B$7,CEILING(F116*(1+'Read me'!$B$5)+0.5,1)-0.5,CEILING(F116*(1+'Read me'!$B$5),5))</f>
        <v>90</v>
      </c>
      <c r="N116" s="14" t="n">
        <f aca="false">IF(MAX(M116*L116,M116+'Read me'!$B$6)&lt;='Read me'!$B$7,CEILING(MAX(M116*L116,M116+'Read me'!$B$6)+0.5,1)-0.5,CEILING(MAX(M116*L116,M116+'Read me'!$B$6),5))</f>
        <v>125</v>
      </c>
      <c r="O116" s="21" t="n">
        <f aca="false">IF(ISNUMBER(J116),M116-J116,"new")</f>
        <v>45</v>
      </c>
    </row>
    <row r="117" customFormat="false" ht="15" hidden="false" customHeight="false" outlineLevel="0" collapsed="false">
      <c r="A117" s="2" t="s">
        <v>247</v>
      </c>
      <c r="B117" s="2" t="s">
        <v>125</v>
      </c>
      <c r="C117" s="2" t="s">
        <v>240</v>
      </c>
      <c r="D117" s="2" t="s">
        <v>13</v>
      </c>
      <c r="E117" s="2" t="s">
        <v>49</v>
      </c>
      <c r="F117" s="14" t="n">
        <v>96.12</v>
      </c>
      <c r="G117" s="2" t="n">
        <v>0</v>
      </c>
      <c r="H117" s="2" t="n">
        <v>3</v>
      </c>
      <c r="I117" s="20" t="n">
        <v>1.03</v>
      </c>
      <c r="J117" s="14" t="n">
        <v>45</v>
      </c>
      <c r="K117" s="14" t="n">
        <v>95</v>
      </c>
      <c r="L117" s="20" t="n">
        <f aca="false">INDEX('Read me'!$B$10:$B$15,3)</f>
        <v>1.35</v>
      </c>
      <c r="M117" s="14" t="n">
        <f aca="false">IF(F117*(1+'Read me'!$B$5)&lt;='Read me'!$B$7,CEILING(F117*(1+'Read me'!$B$5)+0.5,1)-0.5,CEILING(F117*(1+'Read me'!$B$5),5))</f>
        <v>100</v>
      </c>
      <c r="N117" s="14" t="n">
        <f aca="false">IF(MAX(M117*L117,M117+'Read me'!$B$6)&lt;='Read me'!$B$7,CEILING(MAX(M117*L117,M117+'Read me'!$B$6)+0.5,1)-0.5,CEILING(MAX(M117*L117,M117+'Read me'!$B$6),5))</f>
        <v>135</v>
      </c>
      <c r="O117" s="21" t="n">
        <f aca="false">IF(ISNUMBER(J117),M117-J117,"new")</f>
        <v>55</v>
      </c>
    </row>
    <row r="118" customFormat="false" ht="15" hidden="false" customHeight="false" outlineLevel="0" collapsed="false">
      <c r="A118" s="2" t="s">
        <v>248</v>
      </c>
      <c r="B118" s="2" t="s">
        <v>125</v>
      </c>
      <c r="C118" s="2" t="s">
        <v>240</v>
      </c>
      <c r="D118" s="2" t="s">
        <v>13</v>
      </c>
      <c r="E118" s="2" t="s">
        <v>50</v>
      </c>
      <c r="F118" s="14" t="n">
        <v>129.26</v>
      </c>
      <c r="G118" s="2" t="n">
        <v>0</v>
      </c>
      <c r="H118" s="2" t="n">
        <v>3</v>
      </c>
      <c r="I118" s="20" t="n">
        <v>1.03</v>
      </c>
      <c r="J118" s="14" t="n">
        <v>99</v>
      </c>
      <c r="K118" s="14" t="n">
        <v>150</v>
      </c>
      <c r="L118" s="20" t="n">
        <f aca="false">INDEX('Read me'!$B$10:$B$15,3)</f>
        <v>1.35</v>
      </c>
      <c r="M118" s="14" t="n">
        <f aca="false">IF(F118*(1+'Read me'!$B$5)&lt;='Read me'!$B$7,CEILING(F118*(1+'Read me'!$B$5)+0.5,1)-0.5,CEILING(F118*(1+'Read me'!$B$5),5))</f>
        <v>130</v>
      </c>
      <c r="N118" s="14" t="n">
        <f aca="false">IF(MAX(M118*L118,M118+'Read me'!$B$6)&lt;='Read me'!$B$7,CEILING(MAX(M118*L118,M118+'Read me'!$B$6)+0.5,1)-0.5,CEILING(MAX(M118*L118,M118+'Read me'!$B$6),5))</f>
        <v>180</v>
      </c>
      <c r="O118" s="21" t="n">
        <f aca="false">IF(ISNUMBER(J118),M118-J118,"new")</f>
        <v>31</v>
      </c>
    </row>
    <row r="119" customFormat="false" ht="15" hidden="false" customHeight="false" outlineLevel="0" collapsed="false">
      <c r="A119" s="2" t="s">
        <v>249</v>
      </c>
      <c r="B119" s="2" t="s">
        <v>125</v>
      </c>
      <c r="C119" s="2" t="s">
        <v>240</v>
      </c>
      <c r="D119" s="2" t="s">
        <v>14</v>
      </c>
      <c r="E119" s="2" t="s">
        <v>48</v>
      </c>
      <c r="F119" s="14" t="n">
        <v>147.95</v>
      </c>
      <c r="G119" s="2" t="n">
        <v>0</v>
      </c>
      <c r="H119" s="2" t="n">
        <v>3</v>
      </c>
      <c r="I119" s="20" t="n">
        <v>1.03</v>
      </c>
      <c r="J119" s="14" t="n">
        <v>99</v>
      </c>
      <c r="K119" s="14" t="n">
        <v>150</v>
      </c>
      <c r="L119" s="20" t="n">
        <f aca="false">INDEX('Read me'!$B$10:$B$15,4)</f>
        <v>1.2</v>
      </c>
      <c r="M119" s="14" t="n">
        <f aca="false">IF(F119*(1+'Read me'!$B$5)&lt;='Read me'!$B$7,CEILING(F119*(1+'Read me'!$B$5)+0.5,1)-0.5,CEILING(F119*(1+'Read me'!$B$5),5))</f>
        <v>150</v>
      </c>
      <c r="N119" s="14" t="n">
        <f aca="false">IF(MAX(M119*L119,M119+'Read me'!$B$6)&lt;='Read me'!$B$7,CEILING(MAX(M119*L119,M119+'Read me'!$B$6)+0.5,1)-0.5,CEILING(MAX(M119*L119,M119+'Read me'!$B$6),5))</f>
        <v>180</v>
      </c>
      <c r="O119" s="21" t="n">
        <f aca="false">IF(ISNUMBER(J119),M119-J119,"new")</f>
        <v>51</v>
      </c>
    </row>
    <row r="120" customFormat="false" ht="15" hidden="false" customHeight="false" outlineLevel="0" collapsed="false">
      <c r="A120" s="2" t="s">
        <v>250</v>
      </c>
      <c r="B120" s="2" t="s">
        <v>125</v>
      </c>
      <c r="C120" s="2" t="s">
        <v>240</v>
      </c>
      <c r="D120" s="2" t="s">
        <v>14</v>
      </c>
      <c r="E120" s="2" t="s">
        <v>49</v>
      </c>
      <c r="F120" s="14" t="n">
        <v>177.64</v>
      </c>
      <c r="G120" s="2" t="n">
        <v>0</v>
      </c>
      <c r="H120" s="2" t="n">
        <v>3</v>
      </c>
      <c r="I120" s="20" t="n">
        <v>1.03</v>
      </c>
      <c r="J120" s="14" t="n">
        <v>150</v>
      </c>
      <c r="K120" s="14" t="n">
        <v>150</v>
      </c>
      <c r="L120" s="20" t="n">
        <f aca="false">INDEX('Read me'!$B$10:$B$15,4)</f>
        <v>1.2</v>
      </c>
      <c r="M120" s="14" t="n">
        <f aca="false">IF(F120*(1+'Read me'!$B$5)&lt;='Read me'!$B$7,CEILING(F120*(1+'Read me'!$B$5)+0.5,1)-0.5,CEILING(F120*(1+'Read me'!$B$5),5))</f>
        <v>180</v>
      </c>
      <c r="N120" s="14" t="n">
        <f aca="false">IF(MAX(M120*L120,M120+'Read me'!$B$6)&lt;='Read me'!$B$7,CEILING(MAX(M120*L120,M120+'Read me'!$B$6)+0.5,1)-0.5,CEILING(MAX(M120*L120,M120+'Read me'!$B$6),5))</f>
        <v>220</v>
      </c>
      <c r="O120" s="21" t="n">
        <f aca="false">IF(ISNUMBER(J120),M120-J120,"new")</f>
        <v>30</v>
      </c>
    </row>
    <row r="121" customFormat="false" ht="15" hidden="false" customHeight="false" outlineLevel="0" collapsed="false">
      <c r="A121" s="2" t="s">
        <v>251</v>
      </c>
      <c r="B121" s="2" t="s">
        <v>125</v>
      </c>
      <c r="C121" s="2" t="s">
        <v>240</v>
      </c>
      <c r="D121" s="2" t="s">
        <v>14</v>
      </c>
      <c r="E121" s="2" t="s">
        <v>50</v>
      </c>
      <c r="F121" s="14" t="n">
        <v>214.08</v>
      </c>
      <c r="G121" s="2" t="n">
        <v>0</v>
      </c>
      <c r="H121" s="2" t="n">
        <v>3</v>
      </c>
      <c r="I121" s="20" t="n">
        <v>1.03</v>
      </c>
      <c r="J121" s="14" t="n">
        <v>250</v>
      </c>
      <c r="K121" s="14" t="n">
        <v>195</v>
      </c>
      <c r="L121" s="20" t="n">
        <f aca="false">INDEX('Read me'!$B$10:$B$15,4)</f>
        <v>1.2</v>
      </c>
      <c r="M121" s="14" t="n">
        <f aca="false">IF(F121*(1+'Read me'!$B$5)&lt;='Read me'!$B$7,CEILING(F121*(1+'Read me'!$B$5)+0.5,1)-0.5,CEILING(F121*(1+'Read me'!$B$5),5))</f>
        <v>215</v>
      </c>
      <c r="N121" s="14" t="n">
        <f aca="false">IF(MAX(M121*L121,M121+'Read me'!$B$6)&lt;='Read me'!$B$7,CEILING(MAX(M121*L121,M121+'Read me'!$B$6)+0.5,1)-0.5,CEILING(MAX(M121*L121,M121+'Read me'!$B$6),5))</f>
        <v>260</v>
      </c>
      <c r="O121" s="21" t="n">
        <f aca="false">IF(ISNUMBER(J121),M121-J121,"new")</f>
        <v>-35</v>
      </c>
    </row>
    <row r="122" customFormat="false" ht="15" hidden="false" customHeight="false" outlineLevel="0" collapsed="false">
      <c r="A122" s="2" t="s">
        <v>252</v>
      </c>
      <c r="B122" s="2" t="s">
        <v>125</v>
      </c>
      <c r="C122" s="2" t="s">
        <v>240</v>
      </c>
      <c r="D122" s="2" t="s">
        <v>15</v>
      </c>
      <c r="E122" s="2" t="s">
        <v>48</v>
      </c>
      <c r="F122" s="14" t="n">
        <v>187.79</v>
      </c>
      <c r="G122" s="2" t="n">
        <v>0</v>
      </c>
      <c r="H122" s="2" t="n">
        <v>3</v>
      </c>
      <c r="I122" s="20" t="n">
        <v>1.03</v>
      </c>
      <c r="J122" s="14" t="n">
        <v>300</v>
      </c>
      <c r="K122" s="14" t="n">
        <v>300</v>
      </c>
      <c r="L122" s="20" t="n">
        <f aca="false">INDEX('Read me'!$B$10:$B$15,5)</f>
        <v>1.2</v>
      </c>
      <c r="M122" s="14" t="n">
        <f aca="false">IF(F122*(1+'Read me'!$B$5)&lt;='Read me'!$B$7,CEILING(F122*(1+'Read me'!$B$5)+0.5,1)-0.5,CEILING(F122*(1+'Read me'!$B$5),5))</f>
        <v>190</v>
      </c>
      <c r="N122" s="14" t="n">
        <f aca="false">IF(MAX(M122*L122,M122+'Read me'!$B$6)&lt;='Read me'!$B$7,CEILING(MAX(M122*L122,M122+'Read me'!$B$6)+0.5,1)-0.5,CEILING(MAX(M122*L122,M122+'Read me'!$B$6),5))</f>
        <v>230</v>
      </c>
      <c r="O122" s="21" t="n">
        <f aca="false">IF(ISNUMBER(J122),M122-J122,"new")</f>
        <v>-110</v>
      </c>
    </row>
    <row r="123" customFormat="false" ht="15" hidden="false" customHeight="false" outlineLevel="0" collapsed="false">
      <c r="A123" s="2" t="s">
        <v>253</v>
      </c>
      <c r="B123" s="2" t="s">
        <v>125</v>
      </c>
      <c r="C123" s="2" t="s">
        <v>240</v>
      </c>
      <c r="D123" s="2" t="s">
        <v>15</v>
      </c>
      <c r="E123" s="2" t="s">
        <v>49</v>
      </c>
      <c r="F123" s="14" t="n">
        <v>231.68</v>
      </c>
      <c r="G123" s="2" t="n">
        <v>0</v>
      </c>
      <c r="H123" s="2" t="n">
        <v>3</v>
      </c>
      <c r="I123" s="20" t="n">
        <v>1.03</v>
      </c>
      <c r="J123" s="14" t="n">
        <v>300</v>
      </c>
      <c r="K123" s="14" t="n">
        <v>300</v>
      </c>
      <c r="L123" s="20" t="n">
        <f aca="false">INDEX('Read me'!$B$10:$B$15,5)</f>
        <v>1.2</v>
      </c>
      <c r="M123" s="14" t="n">
        <f aca="false">N123</f>
        <v>285</v>
      </c>
      <c r="N123" s="14" t="n">
        <f aca="false">IF(MAX((IF(F123*(1+'Read me'!$B$5)&lt;='Read me'!$B$7,CEILING(F123*(1+'Read me'!$B$5)+0.5,1)-0.5,CEILING(F123*(1+'Read me'!$B$5),5)))*L123,(IF(F123*(1+'Read me'!$B$5)&lt;='Read me'!$B$7,CEILING(F123*(1+'Read me'!$B$5)+0.5,1)-0.5,CEILING(F123*(1+'Read me'!$B$5),5)))+'Read me'!$B$6)&lt;='Read me'!$B$7,CEILING(MAX((IF(F123*(1+'Read me'!$B$5)&lt;='Read me'!$B$7,CEILING(F123*(1+'Read me'!$B$5)+0.5,1)-0.5,CEILING(F123*(1+'Read me'!$B$5),5)))*L123,(IF(F123*(1+'Read me'!$B$5)&lt;='Read me'!$B$7,CEILING(F123*(1+'Read me'!$B$5)+0.5,1)-0.5,CEILING(F123*(1+'Read me'!$B$5),5)))+'Read me'!$B$6)+0.5,1)-0.5,CEILING(MAX((IF(F123*(1+'Read me'!$B$5)&lt;='Read me'!$B$7,CEILING(F123*(1+'Read me'!$B$5)+0.5,1)-0.5,CEILING(F123*(1+'Read me'!$B$5),5)))*L123,(IF(F123*(1+'Read me'!$B$5)&lt;='Read me'!$B$7,CEILING(F123*(1+'Read me'!$B$5)+0.5,1)-0.5,CEILING(F123*(1+'Read me'!$B$5),5)))+'Read me'!$B$6),5))</f>
        <v>285</v>
      </c>
      <c r="O123" s="21" t="n">
        <f aca="false">IF(ISNUMBER(J123),M123-J123,"new")</f>
        <v>-15</v>
      </c>
      <c r="P123" s="5" t="s">
        <v>140</v>
      </c>
    </row>
    <row r="124" customFormat="false" ht="15" hidden="false" customHeight="false" outlineLevel="0" collapsed="false">
      <c r="A124" s="2" t="s">
        <v>254</v>
      </c>
      <c r="B124" s="2" t="s">
        <v>125</v>
      </c>
      <c r="C124" s="2" t="s">
        <v>240</v>
      </c>
      <c r="D124" s="2" t="s">
        <v>15</v>
      </c>
      <c r="E124" s="2" t="s">
        <v>50</v>
      </c>
      <c r="F124" s="14" t="n">
        <v>278.37</v>
      </c>
      <c r="G124" s="2" t="n">
        <v>0</v>
      </c>
      <c r="H124" s="2" t="n">
        <v>3</v>
      </c>
      <c r="I124" s="20" t="n">
        <v>1.03</v>
      </c>
      <c r="J124" s="14" t="n">
        <v>350</v>
      </c>
      <c r="K124" s="14" t="n">
        <v>400</v>
      </c>
      <c r="L124" s="20" t="n">
        <f aca="false">INDEX('Read me'!$B$10:$B$15,5)</f>
        <v>1.2</v>
      </c>
      <c r="M124" s="14" t="n">
        <f aca="false">N124</f>
        <v>340</v>
      </c>
      <c r="N124" s="14" t="n">
        <f aca="false">IF(MAX((IF(F124*(1+'Read me'!$B$5)&lt;='Read me'!$B$7,CEILING(F124*(1+'Read me'!$B$5)+0.5,1)-0.5,CEILING(F124*(1+'Read me'!$B$5),5)))*L124,(IF(F124*(1+'Read me'!$B$5)&lt;='Read me'!$B$7,CEILING(F124*(1+'Read me'!$B$5)+0.5,1)-0.5,CEILING(F124*(1+'Read me'!$B$5),5)))+'Read me'!$B$6)&lt;='Read me'!$B$7,CEILING(MAX((IF(F124*(1+'Read me'!$B$5)&lt;='Read me'!$B$7,CEILING(F124*(1+'Read me'!$B$5)+0.5,1)-0.5,CEILING(F124*(1+'Read me'!$B$5),5)))*L124,(IF(F124*(1+'Read me'!$B$5)&lt;='Read me'!$B$7,CEILING(F124*(1+'Read me'!$B$5)+0.5,1)-0.5,CEILING(F124*(1+'Read me'!$B$5),5)))+'Read me'!$B$6)+0.5,1)-0.5,CEILING(MAX((IF(F124*(1+'Read me'!$B$5)&lt;='Read me'!$B$7,CEILING(F124*(1+'Read me'!$B$5)+0.5,1)-0.5,CEILING(F124*(1+'Read me'!$B$5),5)))*L124,(IF(F124*(1+'Read me'!$B$5)&lt;='Read me'!$B$7,CEILING(F124*(1+'Read me'!$B$5)+0.5,1)-0.5,CEILING(F124*(1+'Read me'!$B$5),5)))+'Read me'!$B$6),5))</f>
        <v>340</v>
      </c>
      <c r="O124" s="21" t="n">
        <f aca="false">IF(ISNUMBER(J124),M124-J124,"new")</f>
        <v>-10</v>
      </c>
      <c r="P124" s="5" t="s">
        <v>140</v>
      </c>
    </row>
    <row r="125" customFormat="false" ht="15" hidden="false" customHeight="false" outlineLevel="0" collapsed="false">
      <c r="A125" s="2" t="s">
        <v>255</v>
      </c>
      <c r="B125" s="2" t="s">
        <v>125</v>
      </c>
      <c r="C125" s="2" t="s">
        <v>240</v>
      </c>
      <c r="D125" s="2" t="s">
        <v>16</v>
      </c>
      <c r="E125" s="2" t="s">
        <v>48</v>
      </c>
      <c r="F125" s="14" t="n">
        <v>260.75</v>
      </c>
      <c r="G125" s="2" t="n">
        <v>0</v>
      </c>
      <c r="H125" s="2" t="n">
        <v>3</v>
      </c>
      <c r="I125" s="20" t="n">
        <v>1.03</v>
      </c>
      <c r="J125" s="14"/>
      <c r="K125" s="14"/>
      <c r="L125" s="20" t="n">
        <f aca="false">INDEX('Read me'!$B$10:$B$15,6)</f>
        <v>1.2</v>
      </c>
      <c r="M125" s="14" t="n">
        <f aca="false">IF(F125*(1+'Read me'!$B$5)&lt;='Read me'!$B$7,CEILING(F125*(1+'Read me'!$B$5)+0.5,1)-0.5,CEILING(F125*(1+'Read me'!$B$5),5))</f>
        <v>265</v>
      </c>
      <c r="N125" s="14" t="n">
        <f aca="false">IF(MAX(M125*L125,M125+'Read me'!$B$6)&lt;='Read me'!$B$7,CEILING(MAX(M125*L125,M125+'Read me'!$B$6)+0.5,1)-0.5,CEILING(MAX(M125*L125,M125+'Read me'!$B$6),5))</f>
        <v>320</v>
      </c>
      <c r="O125" s="21" t="str">
        <f aca="false">IF(ISNUMBER(J125),M125-J125,"new")</f>
        <v>new</v>
      </c>
    </row>
    <row r="126" customFormat="false" ht="15" hidden="false" customHeight="false" outlineLevel="0" collapsed="false">
      <c r="A126" s="2" t="s">
        <v>256</v>
      </c>
      <c r="B126" s="2" t="s">
        <v>125</v>
      </c>
      <c r="C126" s="2" t="s">
        <v>240</v>
      </c>
      <c r="D126" s="2" t="s">
        <v>16</v>
      </c>
      <c r="E126" s="2" t="s">
        <v>49</v>
      </c>
      <c r="F126" s="14" t="n">
        <v>335.06</v>
      </c>
      <c r="G126" s="2" t="n">
        <v>0</v>
      </c>
      <c r="H126" s="2" t="n">
        <v>3</v>
      </c>
      <c r="I126" s="20" t="n">
        <v>1.03</v>
      </c>
      <c r="J126" s="14"/>
      <c r="K126" s="14"/>
      <c r="L126" s="20" t="n">
        <f aca="false">INDEX('Read me'!$B$10:$B$15,6)</f>
        <v>1.2</v>
      </c>
      <c r="M126" s="14" t="n">
        <f aca="false">N126</f>
        <v>410</v>
      </c>
      <c r="N126" s="14" t="n">
        <f aca="false">IF(MAX((IF(F126*(1+'Read me'!$B$5)&lt;='Read me'!$B$7,CEILING(F126*(1+'Read me'!$B$5)+0.5,1)-0.5,CEILING(F126*(1+'Read me'!$B$5),5)))*L126,(IF(F126*(1+'Read me'!$B$5)&lt;='Read me'!$B$7,CEILING(F126*(1+'Read me'!$B$5)+0.5,1)-0.5,CEILING(F126*(1+'Read me'!$B$5),5)))+'Read me'!$B$6)&lt;='Read me'!$B$7,CEILING(MAX((IF(F126*(1+'Read me'!$B$5)&lt;='Read me'!$B$7,CEILING(F126*(1+'Read me'!$B$5)+0.5,1)-0.5,CEILING(F126*(1+'Read me'!$B$5),5)))*L126,(IF(F126*(1+'Read me'!$B$5)&lt;='Read me'!$B$7,CEILING(F126*(1+'Read me'!$B$5)+0.5,1)-0.5,CEILING(F126*(1+'Read me'!$B$5),5)))+'Read me'!$B$6)+0.5,1)-0.5,CEILING(MAX((IF(F126*(1+'Read me'!$B$5)&lt;='Read me'!$B$7,CEILING(F126*(1+'Read me'!$B$5)+0.5,1)-0.5,CEILING(F126*(1+'Read me'!$B$5),5)))*L126,(IF(F126*(1+'Read me'!$B$5)&lt;='Read me'!$B$7,CEILING(F126*(1+'Read me'!$B$5)+0.5,1)-0.5,CEILING(F126*(1+'Read me'!$B$5),5)))+'Read me'!$B$6),5))</f>
        <v>410</v>
      </c>
      <c r="O126" s="21" t="str">
        <f aca="false">IF(ISNUMBER(J126),M126-J126,"new")</f>
        <v>new</v>
      </c>
      <c r="P126" s="5" t="s">
        <v>140</v>
      </c>
    </row>
    <row r="127" customFormat="false" ht="15" hidden="false" customHeight="false" outlineLevel="0" collapsed="false">
      <c r="A127" s="2" t="s">
        <v>257</v>
      </c>
      <c r="B127" s="2" t="s">
        <v>125</v>
      </c>
      <c r="C127" s="2" t="s">
        <v>240</v>
      </c>
      <c r="D127" s="2" t="s">
        <v>16</v>
      </c>
      <c r="E127" s="2" t="s">
        <v>50</v>
      </c>
      <c r="F127" s="14" t="n">
        <v>393.81</v>
      </c>
      <c r="G127" s="2" t="n">
        <v>0</v>
      </c>
      <c r="H127" s="2" t="n">
        <v>3</v>
      </c>
      <c r="I127" s="20" t="n">
        <v>1.03</v>
      </c>
      <c r="J127" s="14"/>
      <c r="K127" s="14"/>
      <c r="L127" s="20" t="n">
        <f aca="false">INDEX('Read me'!$B$10:$B$15,6)</f>
        <v>1.2</v>
      </c>
      <c r="M127" s="14" t="n">
        <f aca="false">N127</f>
        <v>475</v>
      </c>
      <c r="N127" s="14" t="n">
        <f aca="false">IF(MAX((IF(F127*(1+'Read me'!$B$5)&lt;='Read me'!$B$7,CEILING(F127*(1+'Read me'!$B$5)+0.5,1)-0.5,CEILING(F127*(1+'Read me'!$B$5),5)))*L127,(IF(F127*(1+'Read me'!$B$5)&lt;='Read me'!$B$7,CEILING(F127*(1+'Read me'!$B$5)+0.5,1)-0.5,CEILING(F127*(1+'Read me'!$B$5),5)))+'Read me'!$B$6)&lt;='Read me'!$B$7,CEILING(MAX((IF(F127*(1+'Read me'!$B$5)&lt;='Read me'!$B$7,CEILING(F127*(1+'Read me'!$B$5)+0.5,1)-0.5,CEILING(F127*(1+'Read me'!$B$5),5)))*L127,(IF(F127*(1+'Read me'!$B$5)&lt;='Read me'!$B$7,CEILING(F127*(1+'Read me'!$B$5)+0.5,1)-0.5,CEILING(F127*(1+'Read me'!$B$5),5)))+'Read me'!$B$6)+0.5,1)-0.5,CEILING(MAX((IF(F127*(1+'Read me'!$B$5)&lt;='Read me'!$B$7,CEILING(F127*(1+'Read me'!$B$5)+0.5,1)-0.5,CEILING(F127*(1+'Read me'!$B$5),5)))*L127,(IF(F127*(1+'Read me'!$B$5)&lt;='Read me'!$B$7,CEILING(F127*(1+'Read me'!$B$5)+0.5,1)-0.5,CEILING(F127*(1+'Read me'!$B$5),5)))+'Read me'!$B$6),5))</f>
        <v>475</v>
      </c>
      <c r="O127" s="21" t="str">
        <f aca="false">IF(ISNUMBER(J127),M127-J127,"new")</f>
        <v>new</v>
      </c>
      <c r="P127" s="5" t="s">
        <v>140</v>
      </c>
    </row>
    <row r="128" customFormat="false" ht="15" hidden="false" customHeight="false" outlineLevel="0" collapsed="false">
      <c r="A128" s="2" t="s">
        <v>258</v>
      </c>
      <c r="B128" s="2" t="s">
        <v>184</v>
      </c>
      <c r="C128" s="2" t="s">
        <v>126</v>
      </c>
      <c r="D128" s="2" t="s">
        <v>10</v>
      </c>
      <c r="E128" s="2" t="s">
        <v>48</v>
      </c>
      <c r="F128" s="14" t="n">
        <v>10.4</v>
      </c>
      <c r="G128" s="2" t="n">
        <v>52</v>
      </c>
      <c r="H128" s="2" t="n">
        <v>234</v>
      </c>
      <c r="I128" s="20" t="n">
        <v>0.83</v>
      </c>
      <c r="J128" s="14" t="n">
        <v>9.5</v>
      </c>
      <c r="K128" s="14" t="n">
        <v>14.5</v>
      </c>
      <c r="L128" s="20" t="n">
        <f aca="false">INDEX('Read me'!$B$10:$B$15,1)</f>
        <v>1.34</v>
      </c>
      <c r="M128" s="14" t="n">
        <f aca="false">IF(F128*(1+'Read me'!$B$5)&lt;='Read me'!$B$7,CEILING(F128*(1+'Read me'!$B$5)+0.5,1)-0.5,CEILING(F128*(1+'Read me'!$B$5),5))</f>
        <v>10.5</v>
      </c>
      <c r="N128" s="14" t="n">
        <f aca="false">IF(MAX(M128*L128,M128+'Read me'!$B$6)&lt;='Read me'!$B$7,CEILING(MAX(M128*L128,M128+'Read me'!$B$6)+0.5,1)-0.5,CEILING(MAX(M128*L128,M128+'Read me'!$B$6),5))</f>
        <v>15.5</v>
      </c>
      <c r="O128" s="21" t="n">
        <f aca="false">IF(ISNUMBER(J128),M128-J128,"new")</f>
        <v>1</v>
      </c>
    </row>
    <row r="129" customFormat="false" ht="15" hidden="false" customHeight="false" outlineLevel="0" collapsed="false">
      <c r="A129" s="2" t="s">
        <v>259</v>
      </c>
      <c r="B129" s="2" t="s">
        <v>184</v>
      </c>
      <c r="C129" s="2" t="s">
        <v>126</v>
      </c>
      <c r="D129" s="2" t="s">
        <v>10</v>
      </c>
      <c r="E129" s="2" t="s">
        <v>49</v>
      </c>
      <c r="F129" s="14" t="n">
        <v>13.33</v>
      </c>
      <c r="G129" s="2" t="n">
        <v>34</v>
      </c>
      <c r="H129" s="2" t="n">
        <v>234</v>
      </c>
      <c r="I129" s="20" t="n">
        <v>0.83</v>
      </c>
      <c r="J129" s="14" t="n">
        <v>12.5</v>
      </c>
      <c r="K129" s="14" t="n">
        <v>17.5</v>
      </c>
      <c r="L129" s="20" t="n">
        <f aca="false">INDEX('Read me'!$B$10:$B$15,1)</f>
        <v>1.34</v>
      </c>
      <c r="M129" s="14" t="n">
        <f aca="false">IF(F129*(1+'Read me'!$B$5)&lt;='Read me'!$B$7,CEILING(F129*(1+'Read me'!$B$5)+0.5,1)-0.5,CEILING(F129*(1+'Read me'!$B$5),5))</f>
        <v>13.5</v>
      </c>
      <c r="N129" s="14" t="n">
        <f aca="false">IF(MAX(M129*L129,M129+'Read me'!$B$6)&lt;='Read me'!$B$7,CEILING(MAX(M129*L129,M129+'Read me'!$B$6)+0.5,1)-0.5,CEILING(MAX(M129*L129,M129+'Read me'!$B$6),5))</f>
        <v>18.5</v>
      </c>
      <c r="O129" s="21" t="n">
        <f aca="false">IF(ISNUMBER(J129),M129-J129,"new")</f>
        <v>1</v>
      </c>
    </row>
    <row r="130" customFormat="false" ht="15" hidden="false" customHeight="false" outlineLevel="0" collapsed="false">
      <c r="A130" s="2" t="s">
        <v>260</v>
      </c>
      <c r="B130" s="2" t="s">
        <v>184</v>
      </c>
      <c r="C130" s="2" t="s">
        <v>126</v>
      </c>
      <c r="D130" s="2" t="s">
        <v>10</v>
      </c>
      <c r="E130" s="2" t="s">
        <v>50</v>
      </c>
      <c r="F130" s="14" t="n">
        <v>17.94</v>
      </c>
      <c r="G130" s="2" t="n">
        <v>30</v>
      </c>
      <c r="H130" s="2" t="n">
        <v>234</v>
      </c>
      <c r="I130" s="20" t="n">
        <v>0.83</v>
      </c>
      <c r="J130" s="14" t="n">
        <v>17.5</v>
      </c>
      <c r="K130" s="14" t="n">
        <v>24.5</v>
      </c>
      <c r="L130" s="20" t="n">
        <f aca="false">INDEX('Read me'!$B$10:$B$15,1)</f>
        <v>1.34</v>
      </c>
      <c r="M130" s="14" t="n">
        <f aca="false">IF(F130*(1+'Read me'!$B$5)&lt;='Read me'!$B$7,CEILING(F130*(1+'Read me'!$B$5)+0.5,1)-0.5,CEILING(F130*(1+'Read me'!$B$5),5))</f>
        <v>18.5</v>
      </c>
      <c r="N130" s="14" t="n">
        <f aca="false">IF(MAX(M130*L130,M130+'Read me'!$B$6)&lt;='Read me'!$B$7,CEILING(MAX(M130*L130,M130+'Read me'!$B$6)+0.5,1)-0.5,CEILING(MAX(M130*L130,M130+'Read me'!$B$6),5))</f>
        <v>25.5</v>
      </c>
      <c r="O130" s="21" t="n">
        <f aca="false">IF(ISNUMBER(J130),M130-J130,"new")</f>
        <v>1</v>
      </c>
    </row>
    <row r="131" customFormat="false" ht="15" hidden="false" customHeight="false" outlineLevel="0" collapsed="false">
      <c r="A131" s="2" t="s">
        <v>261</v>
      </c>
      <c r="B131" s="2" t="s">
        <v>184</v>
      </c>
      <c r="C131" s="2" t="s">
        <v>126</v>
      </c>
      <c r="D131" s="2" t="s">
        <v>12</v>
      </c>
      <c r="E131" s="2" t="s">
        <v>48</v>
      </c>
      <c r="F131" s="14" t="n">
        <v>38.41</v>
      </c>
      <c r="G131" s="2" t="n">
        <v>36</v>
      </c>
      <c r="H131" s="2" t="n">
        <v>234</v>
      </c>
      <c r="I131" s="20" t="n">
        <v>0.83</v>
      </c>
      <c r="J131" s="14" t="n">
        <v>9.5</v>
      </c>
      <c r="K131" s="14" t="n">
        <v>19.5</v>
      </c>
      <c r="L131" s="20" t="n">
        <f aca="false">INDEX('Read me'!$B$10:$B$15,2)</f>
        <v>1.26</v>
      </c>
      <c r="M131" s="14" t="n">
        <f aca="false">IF(F131*(1+'Read me'!$B$5)&lt;='Read me'!$B$7,CEILING(F131*(1+'Read me'!$B$5)+0.5,1)-0.5,CEILING(F131*(1+'Read me'!$B$5),5))</f>
        <v>40</v>
      </c>
      <c r="N131" s="14" t="n">
        <f aca="false">IF(MAX(M131*L131,M131+'Read me'!$B$6)&lt;='Read me'!$B$7,CEILING(MAX(M131*L131,M131+'Read me'!$B$6)+0.5,1)-0.5,CEILING(MAX(M131*L131,M131+'Read me'!$B$6),5))</f>
        <v>55</v>
      </c>
      <c r="O131" s="21" t="n">
        <f aca="false">IF(ISNUMBER(J131),M131-J131,"new")</f>
        <v>30.5</v>
      </c>
    </row>
    <row r="132" customFormat="false" ht="15" hidden="false" customHeight="false" outlineLevel="0" collapsed="false">
      <c r="A132" s="2" t="s">
        <v>262</v>
      </c>
      <c r="B132" s="2" t="s">
        <v>184</v>
      </c>
      <c r="C132" s="2" t="s">
        <v>126</v>
      </c>
      <c r="D132" s="2" t="s">
        <v>12</v>
      </c>
      <c r="E132" s="2" t="s">
        <v>49</v>
      </c>
      <c r="F132" s="14" t="n">
        <v>48.35</v>
      </c>
      <c r="G132" s="2" t="n">
        <v>30</v>
      </c>
      <c r="H132" s="2" t="n">
        <v>234</v>
      </c>
      <c r="I132" s="20" t="n">
        <v>0.83</v>
      </c>
      <c r="J132" s="14" t="n">
        <v>12.5</v>
      </c>
      <c r="K132" s="14" t="n">
        <v>19.5</v>
      </c>
      <c r="L132" s="20" t="n">
        <f aca="false">INDEX('Read me'!$B$10:$B$15,2)</f>
        <v>1.26</v>
      </c>
      <c r="M132" s="14" t="n">
        <f aca="false">IF(F132*(1+'Read me'!$B$5)&lt;='Read me'!$B$7,CEILING(F132*(1+'Read me'!$B$5)+0.5,1)-0.5,CEILING(F132*(1+'Read me'!$B$5),5))</f>
        <v>50</v>
      </c>
      <c r="N132" s="14" t="n">
        <f aca="false">IF(MAX(M132*L132,M132+'Read me'!$B$6)&lt;='Read me'!$B$7,CEILING(MAX(M132*L132,M132+'Read me'!$B$6)+0.5,1)-0.5,CEILING(MAX(M132*L132,M132+'Read me'!$B$6),5))</f>
        <v>65</v>
      </c>
      <c r="O132" s="21" t="n">
        <f aca="false">IF(ISNUMBER(J132),M132-J132,"new")</f>
        <v>37.5</v>
      </c>
    </row>
    <row r="133" customFormat="false" ht="15" hidden="false" customHeight="false" outlineLevel="0" collapsed="false">
      <c r="A133" s="2" t="s">
        <v>263</v>
      </c>
      <c r="B133" s="2" t="s">
        <v>184</v>
      </c>
      <c r="C133" s="2" t="s">
        <v>126</v>
      </c>
      <c r="D133" s="2" t="s">
        <v>12</v>
      </c>
      <c r="E133" s="2" t="s">
        <v>50</v>
      </c>
      <c r="F133" s="14" t="n">
        <v>53.51</v>
      </c>
      <c r="G133" s="2" t="n">
        <v>24</v>
      </c>
      <c r="H133" s="2" t="n">
        <v>234</v>
      </c>
      <c r="I133" s="20" t="n">
        <v>0.83</v>
      </c>
      <c r="J133" s="14" t="n">
        <v>19.5</v>
      </c>
      <c r="K133" s="14" t="n">
        <v>29.5</v>
      </c>
      <c r="L133" s="20" t="n">
        <f aca="false">INDEX('Read me'!$B$10:$B$15,2)</f>
        <v>1.26</v>
      </c>
      <c r="M133" s="14" t="n">
        <f aca="false">IF(F133*(1+'Read me'!$B$5)&lt;='Read me'!$B$7,CEILING(F133*(1+'Read me'!$B$5)+0.5,1)-0.5,CEILING(F133*(1+'Read me'!$B$5),5))</f>
        <v>55</v>
      </c>
      <c r="N133" s="14" t="n">
        <f aca="false">IF(MAX(M133*L133,M133+'Read me'!$B$6)&lt;='Read me'!$B$7,CEILING(MAX(M133*L133,M133+'Read me'!$B$6)+0.5,1)-0.5,CEILING(MAX(M133*L133,M133+'Read me'!$B$6),5))</f>
        <v>70</v>
      </c>
      <c r="O133" s="21" t="n">
        <f aca="false">IF(ISNUMBER(J133),M133-J133,"new")</f>
        <v>35.5</v>
      </c>
    </row>
    <row r="134" customFormat="false" ht="15" hidden="false" customHeight="false" outlineLevel="0" collapsed="false">
      <c r="A134" s="2" t="s">
        <v>264</v>
      </c>
      <c r="B134" s="2" t="s">
        <v>184</v>
      </c>
      <c r="C134" s="2" t="s">
        <v>126</v>
      </c>
      <c r="D134" s="2" t="s">
        <v>13</v>
      </c>
      <c r="E134" s="2" t="s">
        <v>48</v>
      </c>
      <c r="F134" s="14" t="n">
        <v>77.56</v>
      </c>
      <c r="G134" s="2" t="n">
        <v>9</v>
      </c>
      <c r="H134" s="2" t="n">
        <v>234</v>
      </c>
      <c r="I134" s="20" t="n">
        <v>0.83</v>
      </c>
      <c r="J134" s="14" t="n">
        <v>19</v>
      </c>
      <c r="K134" s="14" t="n">
        <v>45</v>
      </c>
      <c r="L134" s="20" t="n">
        <f aca="false">INDEX('Read me'!$B$10:$B$15,3)</f>
        <v>1.35</v>
      </c>
      <c r="M134" s="14" t="n">
        <f aca="false">IF(F134*(1+'Read me'!$B$5)&lt;='Read me'!$B$7,CEILING(F134*(1+'Read me'!$B$5)+0.5,1)-0.5,CEILING(F134*(1+'Read me'!$B$5),5))</f>
        <v>80</v>
      </c>
      <c r="N134" s="14" t="n">
        <f aca="false">IF(MAX(M134*L134,M134+'Read me'!$B$6)&lt;='Read me'!$B$7,CEILING(MAX(M134*L134,M134+'Read me'!$B$6)+0.5,1)-0.5,CEILING(MAX(M134*L134,M134+'Read me'!$B$6),5))</f>
        <v>110</v>
      </c>
      <c r="O134" s="21" t="n">
        <f aca="false">IF(ISNUMBER(J134),M134-J134,"new")</f>
        <v>61</v>
      </c>
    </row>
    <row r="135" customFormat="false" ht="15" hidden="false" customHeight="false" outlineLevel="0" collapsed="false">
      <c r="A135" s="2" t="s">
        <v>265</v>
      </c>
      <c r="B135" s="2" t="s">
        <v>184</v>
      </c>
      <c r="C135" s="2" t="s">
        <v>126</v>
      </c>
      <c r="D135" s="2" t="s">
        <v>13</v>
      </c>
      <c r="E135" s="2" t="s">
        <v>49</v>
      </c>
      <c r="F135" s="14" t="n">
        <v>79.64</v>
      </c>
      <c r="G135" s="2" t="n">
        <v>6</v>
      </c>
      <c r="H135" s="2" t="n">
        <v>234</v>
      </c>
      <c r="I135" s="20" t="n">
        <v>0.83</v>
      </c>
      <c r="J135" s="14" t="n">
        <v>24.5</v>
      </c>
      <c r="K135" s="14" t="n">
        <v>45</v>
      </c>
      <c r="L135" s="20" t="n">
        <f aca="false">INDEX('Read me'!$B$10:$B$15,3)</f>
        <v>1.35</v>
      </c>
      <c r="M135" s="14" t="n">
        <f aca="false">IF(F135*(1+'Read me'!$B$5)&lt;='Read me'!$B$7,CEILING(F135*(1+'Read me'!$B$5)+0.5,1)-0.5,CEILING(F135*(1+'Read me'!$B$5),5))</f>
        <v>80</v>
      </c>
      <c r="N135" s="14" t="n">
        <f aca="false">IF(MAX(M135*L135,M135+'Read me'!$B$6)&lt;='Read me'!$B$7,CEILING(MAX(M135*L135,M135+'Read me'!$B$6)+0.5,1)-0.5,CEILING(MAX(M135*L135,M135+'Read me'!$B$6),5))</f>
        <v>110</v>
      </c>
      <c r="O135" s="21" t="n">
        <f aca="false">IF(ISNUMBER(J135),M135-J135,"new")</f>
        <v>55.5</v>
      </c>
    </row>
    <row r="136" customFormat="false" ht="15" hidden="false" customHeight="false" outlineLevel="0" collapsed="false">
      <c r="A136" s="2" t="s">
        <v>266</v>
      </c>
      <c r="B136" s="2" t="s">
        <v>184</v>
      </c>
      <c r="C136" s="2" t="s">
        <v>126</v>
      </c>
      <c r="D136" s="2" t="s">
        <v>13</v>
      </c>
      <c r="E136" s="2" t="s">
        <v>50</v>
      </c>
      <c r="F136" s="14" t="n">
        <v>104.37</v>
      </c>
      <c r="G136" s="2" t="n">
        <v>3</v>
      </c>
      <c r="H136" s="2" t="n">
        <v>234</v>
      </c>
      <c r="I136" s="20" t="n">
        <v>0.83</v>
      </c>
      <c r="J136" s="14" t="n">
        <v>50</v>
      </c>
      <c r="K136" s="14" t="n">
        <v>95</v>
      </c>
      <c r="L136" s="20" t="n">
        <f aca="false">INDEX('Read me'!$B$10:$B$15,3)</f>
        <v>1.35</v>
      </c>
      <c r="M136" s="14" t="n">
        <f aca="false">IF(F136*(1+'Read me'!$B$5)&lt;='Read me'!$B$7,CEILING(F136*(1+'Read me'!$B$5)+0.5,1)-0.5,CEILING(F136*(1+'Read me'!$B$5),5))</f>
        <v>105</v>
      </c>
      <c r="N136" s="14" t="n">
        <f aca="false">IF(MAX(M136*L136,M136+'Read me'!$B$6)&lt;='Read me'!$B$7,CEILING(MAX(M136*L136,M136+'Read me'!$B$6)+0.5,1)-0.5,CEILING(MAX(M136*L136,M136+'Read me'!$B$6),5))</f>
        <v>145</v>
      </c>
      <c r="O136" s="21" t="n">
        <f aca="false">IF(ISNUMBER(J136),M136-J136,"new")</f>
        <v>55</v>
      </c>
    </row>
    <row r="137" customFormat="false" ht="15" hidden="false" customHeight="false" outlineLevel="0" collapsed="false">
      <c r="A137" s="2" t="s">
        <v>267</v>
      </c>
      <c r="B137" s="2" t="s">
        <v>184</v>
      </c>
      <c r="C137" s="2" t="s">
        <v>126</v>
      </c>
      <c r="D137" s="2" t="s">
        <v>14</v>
      </c>
      <c r="E137" s="2" t="s">
        <v>48</v>
      </c>
      <c r="F137" s="14" t="n">
        <v>119.14</v>
      </c>
      <c r="G137" s="2" t="n">
        <v>1</v>
      </c>
      <c r="H137" s="2" t="n">
        <v>234</v>
      </c>
      <c r="I137" s="20" t="n">
        <v>0.83</v>
      </c>
      <c r="J137" s="14" t="n">
        <v>25</v>
      </c>
      <c r="K137" s="14" t="n">
        <v>85</v>
      </c>
      <c r="L137" s="20" t="n">
        <f aca="false">INDEX('Read me'!$B$10:$B$15,4)</f>
        <v>1.2</v>
      </c>
      <c r="M137" s="14" t="n">
        <f aca="false">IF(F137*(1+'Read me'!$B$5)&lt;='Read me'!$B$7,CEILING(F137*(1+'Read me'!$B$5)+0.5,1)-0.5,CEILING(F137*(1+'Read me'!$B$5),5))</f>
        <v>120</v>
      </c>
      <c r="N137" s="14" t="n">
        <f aca="false">IF(MAX(M137*L137,M137+'Read me'!$B$6)&lt;='Read me'!$B$7,CEILING(MAX(M137*L137,M137+'Read me'!$B$6)+0.5,1)-0.5,CEILING(MAX(M137*L137,M137+'Read me'!$B$6),5))</f>
        <v>145</v>
      </c>
      <c r="O137" s="21" t="n">
        <f aca="false">IF(ISNUMBER(J137),M137-J137,"new")</f>
        <v>95</v>
      </c>
    </row>
    <row r="138" customFormat="false" ht="15" hidden="false" customHeight="false" outlineLevel="0" collapsed="false">
      <c r="A138" s="2" t="s">
        <v>268</v>
      </c>
      <c r="B138" s="2" t="s">
        <v>184</v>
      </c>
      <c r="C138" s="2" t="s">
        <v>126</v>
      </c>
      <c r="D138" s="2" t="s">
        <v>14</v>
      </c>
      <c r="E138" s="2" t="s">
        <v>49</v>
      </c>
      <c r="F138" s="14" t="n">
        <v>146.35</v>
      </c>
      <c r="G138" s="2" t="n">
        <v>3</v>
      </c>
      <c r="H138" s="2" t="n">
        <v>234</v>
      </c>
      <c r="I138" s="20" t="n">
        <v>0.83</v>
      </c>
      <c r="J138" s="14" t="n">
        <v>45</v>
      </c>
      <c r="K138" s="14" t="n">
        <v>125</v>
      </c>
      <c r="L138" s="20" t="n">
        <f aca="false">INDEX('Read me'!$B$10:$B$15,4)</f>
        <v>1.2</v>
      </c>
      <c r="M138" s="14" t="n">
        <f aca="false">IF(F138*(1+'Read me'!$B$5)&lt;='Read me'!$B$7,CEILING(F138*(1+'Read me'!$B$5)+0.5,1)-0.5,CEILING(F138*(1+'Read me'!$B$5),5))</f>
        <v>150</v>
      </c>
      <c r="N138" s="14" t="n">
        <f aca="false">IF(MAX(M138*L138,M138+'Read me'!$B$6)&lt;='Read me'!$B$7,CEILING(MAX(M138*L138,M138+'Read me'!$B$6)+0.5,1)-0.5,CEILING(MAX(M138*L138,M138+'Read me'!$B$6),5))</f>
        <v>180</v>
      </c>
      <c r="O138" s="21" t="n">
        <f aca="false">IF(ISNUMBER(J138),M138-J138,"new")</f>
        <v>105</v>
      </c>
    </row>
    <row r="139" customFormat="false" ht="15" hidden="false" customHeight="false" outlineLevel="0" collapsed="false">
      <c r="A139" s="2" t="s">
        <v>269</v>
      </c>
      <c r="B139" s="2" t="s">
        <v>184</v>
      </c>
      <c r="C139" s="2" t="s">
        <v>126</v>
      </c>
      <c r="D139" s="2" t="s">
        <v>14</v>
      </c>
      <c r="E139" s="2" t="s">
        <v>50</v>
      </c>
      <c r="F139" s="14" t="n">
        <v>169.26</v>
      </c>
      <c r="G139" s="2" t="n">
        <v>2</v>
      </c>
      <c r="H139" s="2" t="n">
        <v>234</v>
      </c>
      <c r="I139" s="20" t="n">
        <v>0.83</v>
      </c>
      <c r="J139" s="14" t="n">
        <v>85</v>
      </c>
      <c r="K139" s="14" t="n">
        <v>150</v>
      </c>
      <c r="L139" s="20" t="n">
        <f aca="false">INDEX('Read me'!$B$10:$B$15,4)</f>
        <v>1.2</v>
      </c>
      <c r="M139" s="14" t="n">
        <f aca="false">IF(F139*(1+'Read me'!$B$5)&lt;='Read me'!$B$7,CEILING(F139*(1+'Read me'!$B$5)+0.5,1)-0.5,CEILING(F139*(1+'Read me'!$B$5),5))</f>
        <v>170</v>
      </c>
      <c r="N139" s="14" t="n">
        <f aca="false">IF(MAX(M139*L139,M139+'Read me'!$B$6)&lt;='Read me'!$B$7,CEILING(MAX(M139*L139,M139+'Read me'!$B$6)+0.5,1)-0.5,CEILING(MAX(M139*L139,M139+'Read me'!$B$6),5))</f>
        <v>205</v>
      </c>
      <c r="O139" s="21" t="n">
        <f aca="false">IF(ISNUMBER(J139),M139-J139,"new")</f>
        <v>85</v>
      </c>
    </row>
    <row r="140" customFormat="false" ht="15" hidden="false" customHeight="false" outlineLevel="0" collapsed="false">
      <c r="A140" s="2" t="s">
        <v>270</v>
      </c>
      <c r="B140" s="2" t="s">
        <v>184</v>
      </c>
      <c r="C140" s="2" t="s">
        <v>126</v>
      </c>
      <c r="D140" s="2" t="s">
        <v>15</v>
      </c>
      <c r="E140" s="2" t="s">
        <v>48</v>
      </c>
      <c r="F140" s="14" t="n">
        <v>150.59</v>
      </c>
      <c r="G140" s="2" t="n">
        <v>0</v>
      </c>
      <c r="H140" s="2" t="n">
        <v>234</v>
      </c>
      <c r="I140" s="20" t="n">
        <v>0.83</v>
      </c>
      <c r="J140" s="14" t="n">
        <v>45</v>
      </c>
      <c r="K140" s="14" t="n">
        <v>85</v>
      </c>
      <c r="L140" s="20" t="n">
        <f aca="false">INDEX('Read me'!$B$10:$B$15,5)</f>
        <v>1.2</v>
      </c>
      <c r="M140" s="14" t="n">
        <f aca="false">IF(F140*(1+'Read me'!$B$5)&lt;='Read me'!$B$7,CEILING(F140*(1+'Read me'!$B$5)+0.5,1)-0.5,CEILING(F140*(1+'Read me'!$B$5),5))</f>
        <v>155</v>
      </c>
      <c r="N140" s="14" t="n">
        <f aca="false">IF(MAX(M140*L140,M140+'Read me'!$B$6)&lt;='Read me'!$B$7,CEILING(MAX(M140*L140,M140+'Read me'!$B$6)+0.5,1)-0.5,CEILING(MAX(M140*L140,M140+'Read me'!$B$6),5))</f>
        <v>190</v>
      </c>
      <c r="O140" s="21" t="n">
        <f aca="false">IF(ISNUMBER(J140),M140-J140,"new")</f>
        <v>110</v>
      </c>
    </row>
    <row r="141" customFormat="false" ht="15" hidden="false" customHeight="false" outlineLevel="0" collapsed="false">
      <c r="A141" s="2" t="s">
        <v>271</v>
      </c>
      <c r="B141" s="2" t="s">
        <v>184</v>
      </c>
      <c r="C141" s="2" t="s">
        <v>126</v>
      </c>
      <c r="D141" s="2" t="s">
        <v>15</v>
      </c>
      <c r="E141" s="2" t="s">
        <v>49</v>
      </c>
      <c r="F141" s="14" t="n">
        <v>185.78</v>
      </c>
      <c r="G141" s="2" t="n">
        <v>0</v>
      </c>
      <c r="H141" s="2" t="n">
        <v>234</v>
      </c>
      <c r="I141" s="20" t="n">
        <v>0.83</v>
      </c>
      <c r="J141" s="14" t="n">
        <v>85</v>
      </c>
      <c r="K141" s="14" t="n">
        <v>125</v>
      </c>
      <c r="L141" s="20" t="n">
        <f aca="false">INDEX('Read me'!$B$10:$B$15,5)</f>
        <v>1.2</v>
      </c>
      <c r="M141" s="14" t="n">
        <f aca="false">N141</f>
        <v>230</v>
      </c>
      <c r="N141" s="14" t="n">
        <f aca="false">IF(MAX((IF(F141*(1+'Read me'!$B$5)&lt;='Read me'!$B$7,CEILING(F141*(1+'Read me'!$B$5)+0.5,1)-0.5,CEILING(F141*(1+'Read me'!$B$5),5)))*L141,(IF(F141*(1+'Read me'!$B$5)&lt;='Read me'!$B$7,CEILING(F141*(1+'Read me'!$B$5)+0.5,1)-0.5,CEILING(F141*(1+'Read me'!$B$5),5)))+'Read me'!$B$6)&lt;='Read me'!$B$7,CEILING(MAX((IF(F141*(1+'Read me'!$B$5)&lt;='Read me'!$B$7,CEILING(F141*(1+'Read me'!$B$5)+0.5,1)-0.5,CEILING(F141*(1+'Read me'!$B$5),5)))*L141,(IF(F141*(1+'Read me'!$B$5)&lt;='Read me'!$B$7,CEILING(F141*(1+'Read me'!$B$5)+0.5,1)-0.5,CEILING(F141*(1+'Read me'!$B$5),5)))+'Read me'!$B$6)+0.5,1)-0.5,CEILING(MAX((IF(F141*(1+'Read me'!$B$5)&lt;='Read me'!$B$7,CEILING(F141*(1+'Read me'!$B$5)+0.5,1)-0.5,CEILING(F141*(1+'Read me'!$B$5),5)))*L141,(IF(F141*(1+'Read me'!$B$5)&lt;='Read me'!$B$7,CEILING(F141*(1+'Read me'!$B$5)+0.5,1)-0.5,CEILING(F141*(1+'Read me'!$B$5),5)))+'Read me'!$B$6),5))</f>
        <v>230</v>
      </c>
      <c r="O141" s="21" t="n">
        <f aca="false">IF(ISNUMBER(J141),M141-J141,"new")</f>
        <v>145</v>
      </c>
      <c r="P141" s="5" t="s">
        <v>140</v>
      </c>
    </row>
    <row r="142" customFormat="false" ht="15" hidden="false" customHeight="false" outlineLevel="0" collapsed="false">
      <c r="A142" s="2" t="s">
        <v>272</v>
      </c>
      <c r="B142" s="2" t="s">
        <v>184</v>
      </c>
      <c r="C142" s="2" t="s">
        <v>126</v>
      </c>
      <c r="D142" s="2" t="s">
        <v>15</v>
      </c>
      <c r="E142" s="2" t="s">
        <v>50</v>
      </c>
      <c r="F142" s="14" t="n">
        <v>223.23</v>
      </c>
      <c r="G142" s="2" t="n">
        <v>0</v>
      </c>
      <c r="H142" s="2" t="n">
        <v>234</v>
      </c>
      <c r="I142" s="20" t="n">
        <v>0.83</v>
      </c>
      <c r="J142" s="14" t="n">
        <v>250</v>
      </c>
      <c r="K142" s="14" t="n">
        <v>350</v>
      </c>
      <c r="L142" s="20" t="n">
        <f aca="false">INDEX('Read me'!$B$10:$B$15,5)</f>
        <v>1.2</v>
      </c>
      <c r="M142" s="14" t="n">
        <f aca="false">N142</f>
        <v>270</v>
      </c>
      <c r="N142" s="14" t="n">
        <f aca="false">IF(MAX((IF(F142*(1+'Read me'!$B$5)&lt;='Read me'!$B$7,CEILING(F142*(1+'Read me'!$B$5)+0.5,1)-0.5,CEILING(F142*(1+'Read me'!$B$5),5)))*L142,(IF(F142*(1+'Read me'!$B$5)&lt;='Read me'!$B$7,CEILING(F142*(1+'Read me'!$B$5)+0.5,1)-0.5,CEILING(F142*(1+'Read me'!$B$5),5)))+'Read me'!$B$6)&lt;='Read me'!$B$7,CEILING(MAX((IF(F142*(1+'Read me'!$B$5)&lt;='Read me'!$B$7,CEILING(F142*(1+'Read me'!$B$5)+0.5,1)-0.5,CEILING(F142*(1+'Read me'!$B$5),5)))*L142,(IF(F142*(1+'Read me'!$B$5)&lt;='Read me'!$B$7,CEILING(F142*(1+'Read me'!$B$5)+0.5,1)-0.5,CEILING(F142*(1+'Read me'!$B$5),5)))+'Read me'!$B$6)+0.5,1)-0.5,CEILING(MAX((IF(F142*(1+'Read me'!$B$5)&lt;='Read me'!$B$7,CEILING(F142*(1+'Read me'!$B$5)+0.5,1)-0.5,CEILING(F142*(1+'Read me'!$B$5),5)))*L142,(IF(F142*(1+'Read me'!$B$5)&lt;='Read me'!$B$7,CEILING(F142*(1+'Read me'!$B$5)+0.5,1)-0.5,CEILING(F142*(1+'Read me'!$B$5),5)))+'Read me'!$B$6),5))</f>
        <v>270</v>
      </c>
      <c r="O142" s="21" t="n">
        <f aca="false">IF(ISNUMBER(J142),M142-J142,"new")</f>
        <v>20</v>
      </c>
      <c r="P142" s="5" t="s">
        <v>140</v>
      </c>
    </row>
    <row r="143" customFormat="false" ht="15" hidden="false" customHeight="false" outlineLevel="0" collapsed="false">
      <c r="A143" s="2" t="s">
        <v>273</v>
      </c>
      <c r="B143" s="2" t="s">
        <v>184</v>
      </c>
      <c r="C143" s="2" t="s">
        <v>126</v>
      </c>
      <c r="D143" s="2" t="s">
        <v>16</v>
      </c>
      <c r="E143" s="2" t="s">
        <v>48</v>
      </c>
      <c r="F143" s="14" t="n">
        <v>233.75</v>
      </c>
      <c r="G143" s="2" t="n">
        <v>2</v>
      </c>
      <c r="H143" s="2" t="n">
        <v>234</v>
      </c>
      <c r="I143" s="20" t="n">
        <v>0.83</v>
      </c>
      <c r="J143" s="14"/>
      <c r="K143" s="14"/>
      <c r="L143" s="20" t="n">
        <f aca="false">INDEX('Read me'!$B$10:$B$15,6)</f>
        <v>1.2</v>
      </c>
      <c r="M143" s="14" t="n">
        <f aca="false">IF(F143*(1+'Read me'!$B$5)&lt;='Read me'!$B$7,CEILING(F143*(1+'Read me'!$B$5)+0.5,1)-0.5,CEILING(F143*(1+'Read me'!$B$5),5))</f>
        <v>235</v>
      </c>
      <c r="N143" s="14" t="n">
        <f aca="false">IF(MAX(M143*L143,M143+'Read me'!$B$6)&lt;='Read me'!$B$7,CEILING(MAX(M143*L143,M143+'Read me'!$B$6)+0.5,1)-0.5,CEILING(MAX(M143*L143,M143+'Read me'!$B$6),5))</f>
        <v>285</v>
      </c>
      <c r="O143" s="21" t="str">
        <f aca="false">IF(ISNUMBER(J143),M143-J143,"new")</f>
        <v>new</v>
      </c>
    </row>
    <row r="144" customFormat="false" ht="15" hidden="false" customHeight="false" outlineLevel="0" collapsed="false">
      <c r="A144" s="2" t="s">
        <v>274</v>
      </c>
      <c r="B144" s="2" t="s">
        <v>184</v>
      </c>
      <c r="C144" s="2" t="s">
        <v>126</v>
      </c>
      <c r="D144" s="2" t="s">
        <v>16</v>
      </c>
      <c r="E144" s="2" t="s">
        <v>49</v>
      </c>
      <c r="F144" s="14" t="n">
        <v>274.96</v>
      </c>
      <c r="G144" s="2" t="n">
        <v>2</v>
      </c>
      <c r="H144" s="2" t="n">
        <v>234</v>
      </c>
      <c r="I144" s="20" t="n">
        <v>0.83</v>
      </c>
      <c r="J144" s="14"/>
      <c r="K144" s="14"/>
      <c r="L144" s="20" t="n">
        <f aca="false">INDEX('Read me'!$B$10:$B$15,6)</f>
        <v>1.2</v>
      </c>
      <c r="M144" s="14" t="n">
        <f aca="false">N144</f>
        <v>330</v>
      </c>
      <c r="N144" s="14" t="n">
        <f aca="false">IF(MAX((IF(F144*(1+'Read me'!$B$5)&lt;='Read me'!$B$7,CEILING(F144*(1+'Read me'!$B$5)+0.5,1)-0.5,CEILING(F144*(1+'Read me'!$B$5),5)))*L144,(IF(F144*(1+'Read me'!$B$5)&lt;='Read me'!$B$7,CEILING(F144*(1+'Read me'!$B$5)+0.5,1)-0.5,CEILING(F144*(1+'Read me'!$B$5),5)))+'Read me'!$B$6)&lt;='Read me'!$B$7,CEILING(MAX((IF(F144*(1+'Read me'!$B$5)&lt;='Read me'!$B$7,CEILING(F144*(1+'Read me'!$B$5)+0.5,1)-0.5,CEILING(F144*(1+'Read me'!$B$5),5)))*L144,(IF(F144*(1+'Read me'!$B$5)&lt;='Read me'!$B$7,CEILING(F144*(1+'Read me'!$B$5)+0.5,1)-0.5,CEILING(F144*(1+'Read me'!$B$5),5)))+'Read me'!$B$6)+0.5,1)-0.5,CEILING(MAX((IF(F144*(1+'Read me'!$B$5)&lt;='Read me'!$B$7,CEILING(F144*(1+'Read me'!$B$5)+0.5,1)-0.5,CEILING(F144*(1+'Read me'!$B$5),5)))*L144,(IF(F144*(1+'Read me'!$B$5)&lt;='Read me'!$B$7,CEILING(F144*(1+'Read me'!$B$5)+0.5,1)-0.5,CEILING(F144*(1+'Read me'!$B$5),5)))+'Read me'!$B$6),5))</f>
        <v>330</v>
      </c>
      <c r="O144" s="21" t="str">
        <f aca="false">IF(ISNUMBER(J144),M144-J144,"new")</f>
        <v>new</v>
      </c>
      <c r="P144" s="5" t="s">
        <v>140</v>
      </c>
    </row>
    <row r="145" customFormat="false" ht="15" hidden="false" customHeight="false" outlineLevel="0" collapsed="false">
      <c r="A145" s="2" t="s">
        <v>275</v>
      </c>
      <c r="B145" s="2" t="s">
        <v>184</v>
      </c>
      <c r="C145" s="2" t="s">
        <v>126</v>
      </c>
      <c r="D145" s="2" t="s">
        <v>16</v>
      </c>
      <c r="E145" s="2" t="s">
        <v>50</v>
      </c>
      <c r="F145" s="14" t="n">
        <v>315.8</v>
      </c>
      <c r="G145" s="2" t="n">
        <v>0</v>
      </c>
      <c r="H145" s="2" t="n">
        <v>234</v>
      </c>
      <c r="I145" s="20" t="n">
        <v>0.83</v>
      </c>
      <c r="J145" s="14"/>
      <c r="K145" s="14"/>
      <c r="L145" s="20" t="n">
        <f aca="false">INDEX('Read me'!$B$10:$B$15,6)</f>
        <v>1.2</v>
      </c>
      <c r="M145" s="14" t="n">
        <f aca="false">N145</f>
        <v>385</v>
      </c>
      <c r="N145" s="14" t="n">
        <f aca="false">IF(MAX((IF(F145*(1+'Read me'!$B$5)&lt;='Read me'!$B$7,CEILING(F145*(1+'Read me'!$B$5)+0.5,1)-0.5,CEILING(F145*(1+'Read me'!$B$5),5)))*L145,(IF(F145*(1+'Read me'!$B$5)&lt;='Read me'!$B$7,CEILING(F145*(1+'Read me'!$B$5)+0.5,1)-0.5,CEILING(F145*(1+'Read me'!$B$5),5)))+'Read me'!$B$6)&lt;='Read me'!$B$7,CEILING(MAX((IF(F145*(1+'Read me'!$B$5)&lt;='Read me'!$B$7,CEILING(F145*(1+'Read me'!$B$5)+0.5,1)-0.5,CEILING(F145*(1+'Read me'!$B$5),5)))*L145,(IF(F145*(1+'Read me'!$B$5)&lt;='Read me'!$B$7,CEILING(F145*(1+'Read me'!$B$5)+0.5,1)-0.5,CEILING(F145*(1+'Read me'!$B$5),5)))+'Read me'!$B$6)+0.5,1)-0.5,CEILING(MAX((IF(F145*(1+'Read me'!$B$5)&lt;='Read me'!$B$7,CEILING(F145*(1+'Read me'!$B$5)+0.5,1)-0.5,CEILING(F145*(1+'Read me'!$B$5),5)))*L145,(IF(F145*(1+'Read me'!$B$5)&lt;='Read me'!$B$7,CEILING(F145*(1+'Read me'!$B$5)+0.5,1)-0.5,CEILING(F145*(1+'Read me'!$B$5),5)))+'Read me'!$B$6),5))</f>
        <v>385</v>
      </c>
      <c r="O145" s="21" t="str">
        <f aca="false">IF(ISNUMBER(J145),M145-J145,"new")</f>
        <v>new</v>
      </c>
      <c r="P145" s="5" t="s">
        <v>140</v>
      </c>
    </row>
    <row r="146" customFormat="false" ht="15" hidden="false" customHeight="false" outlineLevel="0" collapsed="false">
      <c r="A146" s="2" t="s">
        <v>276</v>
      </c>
      <c r="B146" s="2" t="s">
        <v>184</v>
      </c>
      <c r="C146" s="2" t="s">
        <v>146</v>
      </c>
      <c r="D146" s="2" t="s">
        <v>10</v>
      </c>
      <c r="E146" s="2" t="s">
        <v>48</v>
      </c>
      <c r="F146" s="14" t="n">
        <v>12.03</v>
      </c>
      <c r="G146" s="2" t="n">
        <v>44</v>
      </c>
      <c r="H146" s="2" t="n">
        <v>266</v>
      </c>
      <c r="I146" s="20" t="n">
        <v>0.92</v>
      </c>
      <c r="J146" s="14" t="n">
        <v>9.5</v>
      </c>
      <c r="K146" s="14" t="n">
        <v>14.5</v>
      </c>
      <c r="L146" s="20" t="n">
        <f aca="false">INDEX('Read me'!$B$10:$B$15,1)</f>
        <v>1.34</v>
      </c>
      <c r="M146" s="14" t="n">
        <f aca="false">IF(F146*(1+'Read me'!$B$5)&lt;='Read me'!$B$7,CEILING(F146*(1+'Read me'!$B$5)+0.5,1)-0.5,CEILING(F146*(1+'Read me'!$B$5),5))</f>
        <v>12.5</v>
      </c>
      <c r="N146" s="14" t="n">
        <f aca="false">IF(MAX(M146*L146,M146+'Read me'!$B$6)&lt;='Read me'!$B$7,CEILING(MAX(M146*L146,M146+'Read me'!$B$6)+0.5,1)-0.5,CEILING(MAX(M146*L146,M146+'Read me'!$B$6),5))</f>
        <v>17.5</v>
      </c>
      <c r="O146" s="21" t="n">
        <f aca="false">IF(ISNUMBER(J146),M146-J146,"new")</f>
        <v>3</v>
      </c>
    </row>
    <row r="147" customFormat="false" ht="15" hidden="false" customHeight="false" outlineLevel="0" collapsed="false">
      <c r="A147" s="2" t="s">
        <v>277</v>
      </c>
      <c r="B147" s="2" t="s">
        <v>184</v>
      </c>
      <c r="C147" s="2" t="s">
        <v>146</v>
      </c>
      <c r="D147" s="2" t="s">
        <v>10</v>
      </c>
      <c r="E147" s="2" t="s">
        <v>49</v>
      </c>
      <c r="F147" s="14" t="n">
        <v>14.44</v>
      </c>
      <c r="G147" s="2" t="n">
        <v>23</v>
      </c>
      <c r="H147" s="2" t="n">
        <v>266</v>
      </c>
      <c r="I147" s="20" t="n">
        <v>0.92</v>
      </c>
      <c r="J147" s="14" t="n">
        <v>12.5</v>
      </c>
      <c r="K147" s="14" t="n">
        <v>17.5</v>
      </c>
      <c r="L147" s="20" t="n">
        <f aca="false">INDEX('Read me'!$B$10:$B$15,1)</f>
        <v>1.34</v>
      </c>
      <c r="M147" s="14" t="n">
        <f aca="false">IF(F147*(1+'Read me'!$B$5)&lt;='Read me'!$B$7,CEILING(F147*(1+'Read me'!$B$5)+0.5,1)-0.5,CEILING(F147*(1+'Read me'!$B$5),5))</f>
        <v>14.5</v>
      </c>
      <c r="N147" s="14" t="n">
        <f aca="false">IF(MAX(M147*L147,M147+'Read me'!$B$6)&lt;='Read me'!$B$7,CEILING(MAX(M147*L147,M147+'Read me'!$B$6)+0.5,1)-0.5,CEILING(MAX(M147*L147,M147+'Read me'!$B$6),5))</f>
        <v>19.5</v>
      </c>
      <c r="O147" s="21" t="n">
        <f aca="false">IF(ISNUMBER(J147),M147-J147,"new")</f>
        <v>2</v>
      </c>
    </row>
    <row r="148" customFormat="false" ht="15" hidden="false" customHeight="false" outlineLevel="0" collapsed="false">
      <c r="A148" s="2" t="s">
        <v>278</v>
      </c>
      <c r="B148" s="2" t="s">
        <v>184</v>
      </c>
      <c r="C148" s="2" t="s">
        <v>146</v>
      </c>
      <c r="D148" s="2" t="s">
        <v>10</v>
      </c>
      <c r="E148" s="2" t="s">
        <v>50</v>
      </c>
      <c r="F148" s="14" t="n">
        <v>21.41</v>
      </c>
      <c r="G148" s="2" t="n">
        <v>26</v>
      </c>
      <c r="H148" s="2" t="n">
        <v>266</v>
      </c>
      <c r="I148" s="20" t="n">
        <v>0.92</v>
      </c>
      <c r="J148" s="14" t="n">
        <v>17.5</v>
      </c>
      <c r="K148" s="14" t="n">
        <v>24.5</v>
      </c>
      <c r="L148" s="20" t="n">
        <f aca="false">INDEX('Read me'!$B$10:$B$15,1)</f>
        <v>1.34</v>
      </c>
      <c r="M148" s="14" t="n">
        <f aca="false">IF(F148*(1+'Read me'!$B$5)&lt;='Read me'!$B$7,CEILING(F148*(1+'Read me'!$B$5)+0.5,1)-0.5,CEILING(F148*(1+'Read me'!$B$5),5))</f>
        <v>21.5</v>
      </c>
      <c r="N148" s="14" t="n">
        <f aca="false">IF(MAX(M148*L148,M148+'Read me'!$B$6)&lt;='Read me'!$B$7,CEILING(MAX(M148*L148,M148+'Read me'!$B$6)+0.5,1)-0.5,CEILING(MAX(M148*L148,M148+'Read me'!$B$6),5))</f>
        <v>29.5</v>
      </c>
      <c r="O148" s="21" t="n">
        <f aca="false">IF(ISNUMBER(J148),M148-J148,"new")</f>
        <v>4</v>
      </c>
    </row>
    <row r="149" customFormat="false" ht="15" hidden="false" customHeight="false" outlineLevel="0" collapsed="false">
      <c r="A149" s="2" t="s">
        <v>279</v>
      </c>
      <c r="B149" s="2" t="s">
        <v>184</v>
      </c>
      <c r="C149" s="2" t="s">
        <v>146</v>
      </c>
      <c r="D149" s="2" t="s">
        <v>12</v>
      </c>
      <c r="E149" s="2" t="s">
        <v>48</v>
      </c>
      <c r="F149" s="14" t="n">
        <v>43.44</v>
      </c>
      <c r="G149" s="2" t="n">
        <v>58</v>
      </c>
      <c r="H149" s="2" t="n">
        <v>266</v>
      </c>
      <c r="I149" s="20" t="n">
        <v>0.92</v>
      </c>
      <c r="J149" s="14" t="n">
        <v>9.5</v>
      </c>
      <c r="K149" s="14" t="n">
        <v>19.5</v>
      </c>
      <c r="L149" s="20" t="n">
        <f aca="false">INDEX('Read me'!$B$10:$B$15,2)</f>
        <v>1.26</v>
      </c>
      <c r="M149" s="14" t="n">
        <f aca="false">IF(F149*(1+'Read me'!$B$5)&lt;='Read me'!$B$7,CEILING(F149*(1+'Read me'!$B$5)+0.5,1)-0.5,CEILING(F149*(1+'Read me'!$B$5),5))</f>
        <v>45</v>
      </c>
      <c r="N149" s="14" t="n">
        <f aca="false">IF(MAX(M149*L149,M149+'Read me'!$B$6)&lt;='Read me'!$B$7,CEILING(MAX(M149*L149,M149+'Read me'!$B$6)+0.5,1)-0.5,CEILING(MAX(M149*L149,M149+'Read me'!$B$6),5))</f>
        <v>60</v>
      </c>
      <c r="O149" s="21" t="n">
        <f aca="false">IF(ISNUMBER(J149),M149-J149,"new")</f>
        <v>35.5</v>
      </c>
    </row>
    <row r="150" customFormat="false" ht="15" hidden="false" customHeight="false" outlineLevel="0" collapsed="false">
      <c r="A150" s="2" t="s">
        <v>280</v>
      </c>
      <c r="B150" s="2" t="s">
        <v>184</v>
      </c>
      <c r="C150" s="2" t="s">
        <v>146</v>
      </c>
      <c r="D150" s="2" t="s">
        <v>12</v>
      </c>
      <c r="E150" s="2" t="s">
        <v>49</v>
      </c>
      <c r="F150" s="14" t="n">
        <v>53.11</v>
      </c>
      <c r="G150" s="2" t="n">
        <v>38</v>
      </c>
      <c r="H150" s="2" t="n">
        <v>266</v>
      </c>
      <c r="I150" s="20" t="n">
        <v>0.92</v>
      </c>
      <c r="J150" s="14" t="n">
        <v>12.5</v>
      </c>
      <c r="K150" s="14" t="n">
        <v>19.5</v>
      </c>
      <c r="L150" s="20" t="n">
        <f aca="false">INDEX('Read me'!$B$10:$B$15,2)</f>
        <v>1.26</v>
      </c>
      <c r="M150" s="14" t="n">
        <f aca="false">IF(F150*(1+'Read me'!$B$5)&lt;='Read me'!$B$7,CEILING(F150*(1+'Read me'!$B$5)+0.5,1)-0.5,CEILING(F150*(1+'Read me'!$B$5),5))</f>
        <v>55</v>
      </c>
      <c r="N150" s="14" t="n">
        <f aca="false">IF(MAX(M150*L150,M150+'Read me'!$B$6)&lt;='Read me'!$B$7,CEILING(MAX(M150*L150,M150+'Read me'!$B$6)+0.5,1)-0.5,CEILING(MAX(M150*L150,M150+'Read me'!$B$6),5))</f>
        <v>70</v>
      </c>
      <c r="O150" s="21" t="n">
        <f aca="false">IF(ISNUMBER(J150),M150-J150,"new")</f>
        <v>42.5</v>
      </c>
    </row>
    <row r="151" customFormat="false" ht="15" hidden="false" customHeight="false" outlineLevel="0" collapsed="false">
      <c r="A151" s="2" t="s">
        <v>281</v>
      </c>
      <c r="B151" s="2" t="s">
        <v>184</v>
      </c>
      <c r="C151" s="2" t="s">
        <v>146</v>
      </c>
      <c r="D151" s="2" t="s">
        <v>12</v>
      </c>
      <c r="E151" s="2" t="s">
        <v>50</v>
      </c>
      <c r="F151" s="14" t="n">
        <v>54.74</v>
      </c>
      <c r="G151" s="2" t="n">
        <v>40</v>
      </c>
      <c r="H151" s="2" t="n">
        <v>266</v>
      </c>
      <c r="I151" s="20" t="n">
        <v>0.92</v>
      </c>
      <c r="J151" s="14" t="n">
        <v>19.5</v>
      </c>
      <c r="K151" s="14" t="n">
        <v>29.5</v>
      </c>
      <c r="L151" s="20" t="n">
        <f aca="false">INDEX('Read me'!$B$10:$B$15,2)</f>
        <v>1.26</v>
      </c>
      <c r="M151" s="14" t="n">
        <f aca="false">IF(F151*(1+'Read me'!$B$5)&lt;='Read me'!$B$7,CEILING(F151*(1+'Read me'!$B$5)+0.5,1)-0.5,CEILING(F151*(1+'Read me'!$B$5),5))</f>
        <v>55</v>
      </c>
      <c r="N151" s="14" t="n">
        <f aca="false">IF(MAX(M151*L151,M151+'Read me'!$B$6)&lt;='Read me'!$B$7,CEILING(MAX(M151*L151,M151+'Read me'!$B$6)+0.5,1)-0.5,CEILING(MAX(M151*L151,M151+'Read me'!$B$6),5))</f>
        <v>70</v>
      </c>
      <c r="O151" s="21" t="n">
        <f aca="false">IF(ISNUMBER(J151),M151-J151,"new")</f>
        <v>35.5</v>
      </c>
    </row>
    <row r="152" customFormat="false" ht="15" hidden="false" customHeight="false" outlineLevel="0" collapsed="false">
      <c r="A152" s="2" t="s">
        <v>282</v>
      </c>
      <c r="B152" s="2" t="s">
        <v>184</v>
      </c>
      <c r="C152" s="2" t="s">
        <v>146</v>
      </c>
      <c r="D152" s="2" t="s">
        <v>13</v>
      </c>
      <c r="E152" s="2" t="s">
        <v>48</v>
      </c>
      <c r="F152" s="14" t="n">
        <v>64.77</v>
      </c>
      <c r="G152" s="2" t="n">
        <v>10</v>
      </c>
      <c r="H152" s="2" t="n">
        <v>266</v>
      </c>
      <c r="I152" s="20" t="n">
        <v>0.92</v>
      </c>
      <c r="J152" s="14" t="n">
        <v>19</v>
      </c>
      <c r="K152" s="14" t="n">
        <v>45</v>
      </c>
      <c r="L152" s="20" t="n">
        <f aca="false">INDEX('Read me'!$B$10:$B$15,3)</f>
        <v>1.35</v>
      </c>
      <c r="M152" s="14" t="n">
        <f aca="false">IF(F152*(1+'Read me'!$B$5)&lt;='Read me'!$B$7,CEILING(F152*(1+'Read me'!$B$5)+0.5,1)-0.5,CEILING(F152*(1+'Read me'!$B$5),5))</f>
        <v>65</v>
      </c>
      <c r="N152" s="14" t="n">
        <f aca="false">IF(MAX(M152*L152,M152+'Read me'!$B$6)&lt;='Read me'!$B$7,CEILING(MAX(M152*L152,M152+'Read me'!$B$6)+0.5,1)-0.5,CEILING(MAX(M152*L152,M152+'Read me'!$B$6),5))</f>
        <v>90</v>
      </c>
      <c r="O152" s="21" t="n">
        <f aca="false">IF(ISNUMBER(J152),M152-J152,"new")</f>
        <v>46</v>
      </c>
    </row>
    <row r="153" customFormat="false" ht="15" hidden="false" customHeight="false" outlineLevel="0" collapsed="false">
      <c r="A153" s="2" t="s">
        <v>283</v>
      </c>
      <c r="B153" s="2" t="s">
        <v>184</v>
      </c>
      <c r="C153" s="2" t="s">
        <v>146</v>
      </c>
      <c r="D153" s="2" t="s">
        <v>13</v>
      </c>
      <c r="E153" s="2" t="s">
        <v>49</v>
      </c>
      <c r="F153" s="14" t="n">
        <v>96.64</v>
      </c>
      <c r="G153" s="2" t="n">
        <v>6</v>
      </c>
      <c r="H153" s="2" t="n">
        <v>266</v>
      </c>
      <c r="I153" s="20" t="n">
        <v>0.92</v>
      </c>
      <c r="J153" s="14" t="n">
        <v>24.5</v>
      </c>
      <c r="K153" s="14" t="n">
        <v>45</v>
      </c>
      <c r="L153" s="20" t="n">
        <f aca="false">INDEX('Read me'!$B$10:$B$15,3)</f>
        <v>1.35</v>
      </c>
      <c r="M153" s="14" t="n">
        <f aca="false">IF(F153*(1+'Read me'!$B$5)&lt;='Read me'!$B$7,CEILING(F153*(1+'Read me'!$B$5)+0.5,1)-0.5,CEILING(F153*(1+'Read me'!$B$5),5))</f>
        <v>100</v>
      </c>
      <c r="N153" s="14" t="n">
        <f aca="false">IF(MAX(M153*L153,M153+'Read me'!$B$6)&lt;='Read me'!$B$7,CEILING(MAX(M153*L153,M153+'Read me'!$B$6)+0.5,1)-0.5,CEILING(MAX(M153*L153,M153+'Read me'!$B$6),5))</f>
        <v>135</v>
      </c>
      <c r="O153" s="21" t="n">
        <f aca="false">IF(ISNUMBER(J153),M153-J153,"new")</f>
        <v>75.5</v>
      </c>
    </row>
    <row r="154" customFormat="false" ht="15" hidden="false" customHeight="false" outlineLevel="0" collapsed="false">
      <c r="A154" s="2" t="s">
        <v>284</v>
      </c>
      <c r="B154" s="2" t="s">
        <v>184</v>
      </c>
      <c r="C154" s="2" t="s">
        <v>146</v>
      </c>
      <c r="D154" s="2" t="s">
        <v>13</v>
      </c>
      <c r="E154" s="2" t="s">
        <v>50</v>
      </c>
      <c r="F154" s="14" t="n">
        <v>128.07</v>
      </c>
      <c r="G154" s="2" t="n">
        <v>5</v>
      </c>
      <c r="H154" s="2" t="n">
        <v>266</v>
      </c>
      <c r="I154" s="20" t="n">
        <v>0.92</v>
      </c>
      <c r="J154" s="14" t="n">
        <v>50</v>
      </c>
      <c r="K154" s="14" t="n">
        <v>95</v>
      </c>
      <c r="L154" s="20" t="n">
        <f aca="false">INDEX('Read me'!$B$10:$B$15,3)</f>
        <v>1.35</v>
      </c>
      <c r="M154" s="14" t="n">
        <f aca="false">IF(F154*(1+'Read me'!$B$5)&lt;='Read me'!$B$7,CEILING(F154*(1+'Read me'!$B$5)+0.5,1)-0.5,CEILING(F154*(1+'Read me'!$B$5),5))</f>
        <v>130</v>
      </c>
      <c r="N154" s="14" t="n">
        <f aca="false">IF(MAX(M154*L154,M154+'Read me'!$B$6)&lt;='Read me'!$B$7,CEILING(MAX(M154*L154,M154+'Read me'!$B$6)+0.5,1)-0.5,CEILING(MAX(M154*L154,M154+'Read me'!$B$6),5))</f>
        <v>180</v>
      </c>
      <c r="O154" s="21" t="n">
        <f aca="false">IF(ISNUMBER(J154),M154-J154,"new")</f>
        <v>80</v>
      </c>
    </row>
    <row r="155" customFormat="false" ht="15" hidden="false" customHeight="false" outlineLevel="0" collapsed="false">
      <c r="A155" s="2" t="s">
        <v>285</v>
      </c>
      <c r="B155" s="2" t="s">
        <v>184</v>
      </c>
      <c r="C155" s="2" t="s">
        <v>146</v>
      </c>
      <c r="D155" s="2" t="s">
        <v>14</v>
      </c>
      <c r="E155" s="2" t="s">
        <v>48</v>
      </c>
      <c r="F155" s="14" t="n">
        <v>120.39</v>
      </c>
      <c r="G155" s="2" t="n">
        <v>5</v>
      </c>
      <c r="H155" s="2" t="n">
        <v>266</v>
      </c>
      <c r="I155" s="20" t="n">
        <v>0.92</v>
      </c>
      <c r="J155" s="14" t="n">
        <v>25</v>
      </c>
      <c r="K155" s="14" t="n">
        <v>85</v>
      </c>
      <c r="L155" s="20" t="n">
        <f aca="false">INDEX('Read me'!$B$10:$B$15,4)</f>
        <v>1.2</v>
      </c>
      <c r="M155" s="14" t="n">
        <f aca="false">IF(F155*(1+'Read me'!$B$5)&lt;='Read me'!$B$7,CEILING(F155*(1+'Read me'!$B$5)+0.5,1)-0.5,CEILING(F155*(1+'Read me'!$B$5),5))</f>
        <v>125</v>
      </c>
      <c r="N155" s="14" t="n">
        <f aca="false">IF(MAX(M155*L155,M155+'Read me'!$B$6)&lt;='Read me'!$B$7,CEILING(MAX(M155*L155,M155+'Read me'!$B$6)+0.5,1)-0.5,CEILING(MAX(M155*L155,M155+'Read me'!$B$6),5))</f>
        <v>150</v>
      </c>
      <c r="O155" s="21" t="n">
        <f aca="false">IF(ISNUMBER(J155),M155-J155,"new")</f>
        <v>100</v>
      </c>
    </row>
    <row r="156" customFormat="false" ht="15" hidden="false" customHeight="false" outlineLevel="0" collapsed="false">
      <c r="A156" s="2" t="s">
        <v>286</v>
      </c>
      <c r="B156" s="2" t="s">
        <v>184</v>
      </c>
      <c r="C156" s="2" t="s">
        <v>146</v>
      </c>
      <c r="D156" s="2" t="s">
        <v>14</v>
      </c>
      <c r="E156" s="2" t="s">
        <v>49</v>
      </c>
      <c r="F156" s="14" t="n">
        <v>144.23</v>
      </c>
      <c r="G156" s="2" t="n">
        <v>3</v>
      </c>
      <c r="H156" s="2" t="n">
        <v>266</v>
      </c>
      <c r="I156" s="20" t="n">
        <v>0.92</v>
      </c>
      <c r="J156" s="14" t="n">
        <v>45</v>
      </c>
      <c r="K156" s="14" t="n">
        <v>125</v>
      </c>
      <c r="L156" s="20" t="n">
        <f aca="false">INDEX('Read me'!$B$10:$B$15,4)</f>
        <v>1.2</v>
      </c>
      <c r="M156" s="14" t="n">
        <f aca="false">IF(F156*(1+'Read me'!$B$5)&lt;='Read me'!$B$7,CEILING(F156*(1+'Read me'!$B$5)+0.5,1)-0.5,CEILING(F156*(1+'Read me'!$B$5),5))</f>
        <v>145</v>
      </c>
      <c r="N156" s="14" t="n">
        <f aca="false">IF(MAX(M156*L156,M156+'Read me'!$B$6)&lt;='Read me'!$B$7,CEILING(MAX(M156*L156,M156+'Read me'!$B$6)+0.5,1)-0.5,CEILING(MAX(M156*L156,M156+'Read me'!$B$6),5))</f>
        <v>175</v>
      </c>
      <c r="O156" s="21" t="n">
        <f aca="false">IF(ISNUMBER(J156),M156-J156,"new")</f>
        <v>100</v>
      </c>
    </row>
    <row r="157" customFormat="false" ht="15" hidden="false" customHeight="false" outlineLevel="0" collapsed="false">
      <c r="A157" s="2" t="s">
        <v>287</v>
      </c>
      <c r="B157" s="2" t="s">
        <v>184</v>
      </c>
      <c r="C157" s="2" t="s">
        <v>146</v>
      </c>
      <c r="D157" s="2" t="s">
        <v>14</v>
      </c>
      <c r="E157" s="2" t="s">
        <v>50</v>
      </c>
      <c r="F157" s="14" t="n">
        <v>190.11</v>
      </c>
      <c r="G157" s="2" t="n">
        <v>0</v>
      </c>
      <c r="H157" s="2" t="n">
        <v>266</v>
      </c>
      <c r="I157" s="20" t="n">
        <v>0.92</v>
      </c>
      <c r="J157" s="14" t="n">
        <v>85</v>
      </c>
      <c r="K157" s="14" t="n">
        <v>150</v>
      </c>
      <c r="L157" s="20" t="n">
        <f aca="false">INDEX('Read me'!$B$10:$B$15,4)</f>
        <v>1.2</v>
      </c>
      <c r="M157" s="14" t="n">
        <f aca="false">IF(F157*(1+'Read me'!$B$5)&lt;='Read me'!$B$7,CEILING(F157*(1+'Read me'!$B$5)+0.5,1)-0.5,CEILING(F157*(1+'Read me'!$B$5),5))</f>
        <v>195</v>
      </c>
      <c r="N157" s="14" t="n">
        <f aca="false">IF(MAX(M157*L157,M157+'Read me'!$B$6)&lt;='Read me'!$B$7,CEILING(MAX(M157*L157,M157+'Read me'!$B$6)+0.5,1)-0.5,CEILING(MAX(M157*L157,M157+'Read me'!$B$6),5))</f>
        <v>235</v>
      </c>
      <c r="O157" s="21" t="n">
        <f aca="false">IF(ISNUMBER(J157),M157-J157,"new")</f>
        <v>110</v>
      </c>
    </row>
    <row r="158" customFormat="false" ht="15" hidden="false" customHeight="false" outlineLevel="0" collapsed="false">
      <c r="A158" s="2" t="s">
        <v>288</v>
      </c>
      <c r="B158" s="2" t="s">
        <v>184</v>
      </c>
      <c r="C158" s="2" t="s">
        <v>146</v>
      </c>
      <c r="D158" s="2" t="s">
        <v>15</v>
      </c>
      <c r="E158" s="2" t="s">
        <v>48</v>
      </c>
      <c r="F158" s="14" t="n">
        <v>172.32</v>
      </c>
      <c r="G158" s="2" t="n">
        <v>1</v>
      </c>
      <c r="H158" s="2" t="n">
        <v>266</v>
      </c>
      <c r="I158" s="20" t="n">
        <v>0.92</v>
      </c>
      <c r="J158" s="14" t="n">
        <v>45</v>
      </c>
      <c r="K158" s="14" t="n">
        <v>85</v>
      </c>
      <c r="L158" s="20" t="n">
        <f aca="false">INDEX('Read me'!$B$10:$B$15,5)</f>
        <v>1.2</v>
      </c>
      <c r="M158" s="14" t="n">
        <f aca="false">IF(F158*(1+'Read me'!$B$5)&lt;='Read me'!$B$7,CEILING(F158*(1+'Read me'!$B$5)+0.5,1)-0.5,CEILING(F158*(1+'Read me'!$B$5),5))</f>
        <v>175</v>
      </c>
      <c r="N158" s="14" t="n">
        <f aca="false">IF(MAX(M158*L158,M158+'Read me'!$B$6)&lt;='Read me'!$B$7,CEILING(MAX(M158*L158,M158+'Read me'!$B$6)+0.5,1)-0.5,CEILING(MAX(M158*L158,M158+'Read me'!$B$6),5))</f>
        <v>210</v>
      </c>
      <c r="O158" s="21" t="n">
        <f aca="false">IF(ISNUMBER(J158),M158-J158,"new")</f>
        <v>130</v>
      </c>
    </row>
    <row r="159" customFormat="false" ht="15" hidden="false" customHeight="false" outlineLevel="0" collapsed="false">
      <c r="A159" s="2" t="s">
        <v>289</v>
      </c>
      <c r="B159" s="2" t="s">
        <v>184</v>
      </c>
      <c r="C159" s="2" t="s">
        <v>146</v>
      </c>
      <c r="D159" s="2" t="s">
        <v>15</v>
      </c>
      <c r="E159" s="2" t="s">
        <v>49</v>
      </c>
      <c r="F159" s="14" t="n">
        <v>205.74</v>
      </c>
      <c r="G159" s="2" t="n">
        <v>0</v>
      </c>
      <c r="H159" s="2" t="n">
        <v>266</v>
      </c>
      <c r="I159" s="20" t="n">
        <v>0.92</v>
      </c>
      <c r="J159" s="14" t="n">
        <v>85</v>
      </c>
      <c r="K159" s="14" t="n">
        <v>125</v>
      </c>
      <c r="L159" s="20" t="n">
        <f aca="false">INDEX('Read me'!$B$10:$B$15,5)</f>
        <v>1.2</v>
      </c>
      <c r="M159" s="14" t="n">
        <f aca="false">N159</f>
        <v>255</v>
      </c>
      <c r="N159" s="14" t="n">
        <f aca="false">IF(MAX((IF(F159*(1+'Read me'!$B$5)&lt;='Read me'!$B$7,CEILING(F159*(1+'Read me'!$B$5)+0.5,1)-0.5,CEILING(F159*(1+'Read me'!$B$5),5)))*L159,(IF(F159*(1+'Read me'!$B$5)&lt;='Read me'!$B$7,CEILING(F159*(1+'Read me'!$B$5)+0.5,1)-0.5,CEILING(F159*(1+'Read me'!$B$5),5)))+'Read me'!$B$6)&lt;='Read me'!$B$7,CEILING(MAX((IF(F159*(1+'Read me'!$B$5)&lt;='Read me'!$B$7,CEILING(F159*(1+'Read me'!$B$5)+0.5,1)-0.5,CEILING(F159*(1+'Read me'!$B$5),5)))*L159,(IF(F159*(1+'Read me'!$B$5)&lt;='Read me'!$B$7,CEILING(F159*(1+'Read me'!$B$5)+0.5,1)-0.5,CEILING(F159*(1+'Read me'!$B$5),5)))+'Read me'!$B$6)+0.5,1)-0.5,CEILING(MAX((IF(F159*(1+'Read me'!$B$5)&lt;='Read me'!$B$7,CEILING(F159*(1+'Read me'!$B$5)+0.5,1)-0.5,CEILING(F159*(1+'Read me'!$B$5),5)))*L159,(IF(F159*(1+'Read me'!$B$5)&lt;='Read me'!$B$7,CEILING(F159*(1+'Read me'!$B$5)+0.5,1)-0.5,CEILING(F159*(1+'Read me'!$B$5),5)))+'Read me'!$B$6),5))</f>
        <v>255</v>
      </c>
      <c r="O159" s="21" t="n">
        <f aca="false">IF(ISNUMBER(J159),M159-J159,"new")</f>
        <v>170</v>
      </c>
      <c r="P159" s="5" t="s">
        <v>140</v>
      </c>
    </row>
    <row r="160" customFormat="false" ht="15" hidden="false" customHeight="false" outlineLevel="0" collapsed="false">
      <c r="A160" s="2" t="s">
        <v>290</v>
      </c>
      <c r="B160" s="2" t="s">
        <v>184</v>
      </c>
      <c r="C160" s="2" t="s">
        <v>146</v>
      </c>
      <c r="D160" s="2" t="s">
        <v>15</v>
      </c>
      <c r="E160" s="2" t="s">
        <v>50</v>
      </c>
      <c r="F160" s="14" t="n">
        <v>247.2</v>
      </c>
      <c r="G160" s="2" t="n">
        <v>0</v>
      </c>
      <c r="H160" s="2" t="n">
        <v>266</v>
      </c>
      <c r="I160" s="20" t="n">
        <v>0.92</v>
      </c>
      <c r="J160" s="14" t="n">
        <v>250</v>
      </c>
      <c r="K160" s="14" t="n">
        <v>350</v>
      </c>
      <c r="L160" s="20" t="n">
        <f aca="false">INDEX('Read me'!$B$10:$B$15,5)</f>
        <v>1.2</v>
      </c>
      <c r="M160" s="14" t="n">
        <f aca="false">N160</f>
        <v>300</v>
      </c>
      <c r="N160" s="14" t="n">
        <f aca="false">IF(MAX((IF(F160*(1+'Read me'!$B$5)&lt;='Read me'!$B$7,CEILING(F160*(1+'Read me'!$B$5)+0.5,1)-0.5,CEILING(F160*(1+'Read me'!$B$5),5)))*L160,(IF(F160*(1+'Read me'!$B$5)&lt;='Read me'!$B$7,CEILING(F160*(1+'Read me'!$B$5)+0.5,1)-0.5,CEILING(F160*(1+'Read me'!$B$5),5)))+'Read me'!$B$6)&lt;='Read me'!$B$7,CEILING(MAX((IF(F160*(1+'Read me'!$B$5)&lt;='Read me'!$B$7,CEILING(F160*(1+'Read me'!$B$5)+0.5,1)-0.5,CEILING(F160*(1+'Read me'!$B$5),5)))*L160,(IF(F160*(1+'Read me'!$B$5)&lt;='Read me'!$B$7,CEILING(F160*(1+'Read me'!$B$5)+0.5,1)-0.5,CEILING(F160*(1+'Read me'!$B$5),5)))+'Read me'!$B$6)+0.5,1)-0.5,CEILING(MAX((IF(F160*(1+'Read me'!$B$5)&lt;='Read me'!$B$7,CEILING(F160*(1+'Read me'!$B$5)+0.5,1)-0.5,CEILING(F160*(1+'Read me'!$B$5),5)))*L160,(IF(F160*(1+'Read me'!$B$5)&lt;='Read me'!$B$7,CEILING(F160*(1+'Read me'!$B$5)+0.5,1)-0.5,CEILING(F160*(1+'Read me'!$B$5),5)))+'Read me'!$B$6),5))</f>
        <v>300</v>
      </c>
      <c r="O160" s="21" t="n">
        <f aca="false">IF(ISNUMBER(J160),M160-J160,"new")</f>
        <v>50</v>
      </c>
      <c r="P160" s="5" t="s">
        <v>140</v>
      </c>
    </row>
    <row r="161" customFormat="false" ht="15" hidden="false" customHeight="false" outlineLevel="0" collapsed="false">
      <c r="A161" s="2" t="s">
        <v>291</v>
      </c>
      <c r="B161" s="2" t="s">
        <v>184</v>
      </c>
      <c r="C161" s="2" t="s">
        <v>146</v>
      </c>
      <c r="D161" s="2" t="s">
        <v>16</v>
      </c>
      <c r="E161" s="2" t="s">
        <v>48</v>
      </c>
      <c r="F161" s="14" t="n">
        <v>227.46</v>
      </c>
      <c r="G161" s="2" t="n">
        <v>5</v>
      </c>
      <c r="H161" s="2" t="n">
        <v>266</v>
      </c>
      <c r="I161" s="20" t="n">
        <v>0.92</v>
      </c>
      <c r="J161" s="14"/>
      <c r="K161" s="14"/>
      <c r="L161" s="20" t="n">
        <f aca="false">INDEX('Read me'!$B$10:$B$15,6)</f>
        <v>1.2</v>
      </c>
      <c r="M161" s="14" t="n">
        <f aca="false">IF(F161*(1+'Read me'!$B$5)&lt;='Read me'!$B$7,CEILING(F161*(1+'Read me'!$B$5)+0.5,1)-0.5,CEILING(F161*(1+'Read me'!$B$5),5))</f>
        <v>230</v>
      </c>
      <c r="N161" s="14" t="n">
        <f aca="false">IF(MAX(M161*L161,M161+'Read me'!$B$6)&lt;='Read me'!$B$7,CEILING(MAX(M161*L161,M161+'Read me'!$B$6)+0.5,1)-0.5,CEILING(MAX(M161*L161,M161+'Read me'!$B$6),5))</f>
        <v>280</v>
      </c>
      <c r="O161" s="21" t="str">
        <f aca="false">IF(ISNUMBER(J161),M161-J161,"new")</f>
        <v>new</v>
      </c>
    </row>
    <row r="162" customFormat="false" ht="15" hidden="false" customHeight="false" outlineLevel="0" collapsed="false">
      <c r="A162" s="2" t="s">
        <v>292</v>
      </c>
      <c r="B162" s="2" t="s">
        <v>184</v>
      </c>
      <c r="C162" s="2" t="s">
        <v>146</v>
      </c>
      <c r="D162" s="2" t="s">
        <v>16</v>
      </c>
      <c r="E162" s="2" t="s">
        <v>49</v>
      </c>
      <c r="F162" s="14" t="n">
        <v>294.97</v>
      </c>
      <c r="G162" s="2" t="n">
        <v>2</v>
      </c>
      <c r="H162" s="2" t="n">
        <v>266</v>
      </c>
      <c r="I162" s="20" t="n">
        <v>0.92</v>
      </c>
      <c r="J162" s="14"/>
      <c r="K162" s="14"/>
      <c r="L162" s="20" t="n">
        <f aca="false">INDEX('Read me'!$B$10:$B$15,6)</f>
        <v>1.2</v>
      </c>
      <c r="M162" s="14" t="n">
        <f aca="false">N162</f>
        <v>355</v>
      </c>
      <c r="N162" s="14" t="n">
        <f aca="false">IF(MAX((IF(F162*(1+'Read me'!$B$5)&lt;='Read me'!$B$7,CEILING(F162*(1+'Read me'!$B$5)+0.5,1)-0.5,CEILING(F162*(1+'Read me'!$B$5),5)))*L162,(IF(F162*(1+'Read me'!$B$5)&lt;='Read me'!$B$7,CEILING(F162*(1+'Read me'!$B$5)+0.5,1)-0.5,CEILING(F162*(1+'Read me'!$B$5),5)))+'Read me'!$B$6)&lt;='Read me'!$B$7,CEILING(MAX((IF(F162*(1+'Read me'!$B$5)&lt;='Read me'!$B$7,CEILING(F162*(1+'Read me'!$B$5)+0.5,1)-0.5,CEILING(F162*(1+'Read me'!$B$5),5)))*L162,(IF(F162*(1+'Read me'!$B$5)&lt;='Read me'!$B$7,CEILING(F162*(1+'Read me'!$B$5)+0.5,1)-0.5,CEILING(F162*(1+'Read me'!$B$5),5)))+'Read me'!$B$6)+0.5,1)-0.5,CEILING(MAX((IF(F162*(1+'Read me'!$B$5)&lt;='Read me'!$B$7,CEILING(F162*(1+'Read me'!$B$5)+0.5,1)-0.5,CEILING(F162*(1+'Read me'!$B$5),5)))*L162,(IF(F162*(1+'Read me'!$B$5)&lt;='Read me'!$B$7,CEILING(F162*(1+'Read me'!$B$5)+0.5,1)-0.5,CEILING(F162*(1+'Read me'!$B$5),5)))+'Read me'!$B$6),5))</f>
        <v>355</v>
      </c>
      <c r="O162" s="21" t="str">
        <f aca="false">IF(ISNUMBER(J162),M162-J162,"new")</f>
        <v>new</v>
      </c>
      <c r="P162" s="5" t="s">
        <v>140</v>
      </c>
    </row>
    <row r="163" customFormat="false" ht="15" hidden="false" customHeight="false" outlineLevel="0" collapsed="false">
      <c r="A163" s="2" t="s">
        <v>293</v>
      </c>
      <c r="B163" s="2" t="s">
        <v>184</v>
      </c>
      <c r="C163" s="2" t="s">
        <v>146</v>
      </c>
      <c r="D163" s="2" t="s">
        <v>16</v>
      </c>
      <c r="E163" s="2" t="s">
        <v>50</v>
      </c>
      <c r="F163" s="14" t="n">
        <v>349.71</v>
      </c>
      <c r="G163" s="2" t="n">
        <v>0</v>
      </c>
      <c r="H163" s="2" t="n">
        <v>266</v>
      </c>
      <c r="I163" s="20" t="n">
        <v>0.92</v>
      </c>
      <c r="J163" s="14"/>
      <c r="K163" s="14"/>
      <c r="L163" s="20" t="n">
        <f aca="false">INDEX('Read me'!$B$10:$B$15,6)</f>
        <v>1.2</v>
      </c>
      <c r="M163" s="14" t="n">
        <f aca="false">N163</f>
        <v>420</v>
      </c>
      <c r="N163" s="14" t="n">
        <f aca="false">IF(MAX((IF(F163*(1+'Read me'!$B$5)&lt;='Read me'!$B$7,CEILING(F163*(1+'Read me'!$B$5)+0.5,1)-0.5,CEILING(F163*(1+'Read me'!$B$5),5)))*L163,(IF(F163*(1+'Read me'!$B$5)&lt;='Read me'!$B$7,CEILING(F163*(1+'Read me'!$B$5)+0.5,1)-0.5,CEILING(F163*(1+'Read me'!$B$5),5)))+'Read me'!$B$6)&lt;='Read me'!$B$7,CEILING(MAX((IF(F163*(1+'Read me'!$B$5)&lt;='Read me'!$B$7,CEILING(F163*(1+'Read me'!$B$5)+0.5,1)-0.5,CEILING(F163*(1+'Read me'!$B$5),5)))*L163,(IF(F163*(1+'Read me'!$B$5)&lt;='Read me'!$B$7,CEILING(F163*(1+'Read me'!$B$5)+0.5,1)-0.5,CEILING(F163*(1+'Read me'!$B$5),5)))+'Read me'!$B$6)+0.5,1)-0.5,CEILING(MAX((IF(F163*(1+'Read me'!$B$5)&lt;='Read me'!$B$7,CEILING(F163*(1+'Read me'!$B$5)+0.5,1)-0.5,CEILING(F163*(1+'Read me'!$B$5),5)))*L163,(IF(F163*(1+'Read me'!$B$5)&lt;='Read me'!$B$7,CEILING(F163*(1+'Read me'!$B$5)+0.5,1)-0.5,CEILING(F163*(1+'Read me'!$B$5),5)))+'Read me'!$B$6),5))</f>
        <v>420</v>
      </c>
      <c r="O163" s="21" t="str">
        <f aca="false">IF(ISNUMBER(J163),M163-J163,"new")</f>
        <v>new</v>
      </c>
      <c r="P163" s="5" t="s">
        <v>140</v>
      </c>
    </row>
    <row r="164" customFormat="false" ht="15" hidden="false" customHeight="false" outlineLevel="0" collapsed="false">
      <c r="A164" s="2" t="s">
        <v>294</v>
      </c>
      <c r="B164" s="2" t="s">
        <v>184</v>
      </c>
      <c r="C164" s="2" t="s">
        <v>165</v>
      </c>
      <c r="D164" s="2" t="s">
        <v>10</v>
      </c>
      <c r="E164" s="2" t="s">
        <v>48</v>
      </c>
      <c r="F164" s="14" t="n">
        <v>10.95</v>
      </c>
      <c r="G164" s="2" t="n">
        <v>11</v>
      </c>
      <c r="H164" s="2" t="n">
        <v>71</v>
      </c>
      <c r="I164" s="20" t="n">
        <v>0.93</v>
      </c>
      <c r="J164" s="14" t="n">
        <v>14.5</v>
      </c>
      <c r="K164" s="14" t="n">
        <v>19.5</v>
      </c>
      <c r="L164" s="20" t="n">
        <f aca="false">INDEX('Read me'!$B$10:$B$15,1)</f>
        <v>1.34</v>
      </c>
      <c r="M164" s="14" t="n">
        <f aca="false">IF(F164*(1+'Read me'!$B$5)&lt;='Read me'!$B$7,CEILING(F164*(1+'Read me'!$B$5)+0.5,1)-0.5,CEILING(F164*(1+'Read me'!$B$5),5))</f>
        <v>11.5</v>
      </c>
      <c r="N164" s="14" t="n">
        <f aca="false">IF(MAX(M164*L164,M164+'Read me'!$B$6)&lt;='Read me'!$B$7,CEILING(MAX(M164*L164,M164+'Read me'!$B$6)+0.5,1)-0.5,CEILING(MAX(M164*L164,M164+'Read me'!$B$6),5))</f>
        <v>16.5</v>
      </c>
      <c r="O164" s="21" t="n">
        <f aca="false">IF(ISNUMBER(J164),M164-J164,"new")</f>
        <v>-3</v>
      </c>
    </row>
    <row r="165" customFormat="false" ht="15" hidden="false" customHeight="false" outlineLevel="0" collapsed="false">
      <c r="A165" s="2" t="s">
        <v>295</v>
      </c>
      <c r="B165" s="2" t="s">
        <v>184</v>
      </c>
      <c r="C165" s="2" t="s">
        <v>165</v>
      </c>
      <c r="D165" s="2" t="s">
        <v>10</v>
      </c>
      <c r="E165" s="2" t="s">
        <v>49</v>
      </c>
      <c r="F165" s="14" t="n">
        <v>15.27</v>
      </c>
      <c r="G165" s="2" t="n">
        <v>15</v>
      </c>
      <c r="H165" s="2" t="n">
        <v>71</v>
      </c>
      <c r="I165" s="20" t="n">
        <v>0.93</v>
      </c>
      <c r="J165" s="14" t="n">
        <v>14.5</v>
      </c>
      <c r="K165" s="14" t="n">
        <v>19.5</v>
      </c>
      <c r="L165" s="20" t="n">
        <f aca="false">INDEX('Read me'!$B$10:$B$15,1)</f>
        <v>1.34</v>
      </c>
      <c r="M165" s="14" t="n">
        <f aca="false">IF(F165*(1+'Read me'!$B$5)&lt;='Read me'!$B$7,CEILING(F165*(1+'Read me'!$B$5)+0.5,1)-0.5,CEILING(F165*(1+'Read me'!$B$5),5))</f>
        <v>15.5</v>
      </c>
      <c r="N165" s="14" t="n">
        <f aca="false">IF(MAX(M165*L165,M165+'Read me'!$B$6)&lt;='Read me'!$B$7,CEILING(MAX(M165*L165,M165+'Read me'!$B$6)+0.5,1)-0.5,CEILING(MAX(M165*L165,M165+'Read me'!$B$6),5))</f>
        <v>21.5</v>
      </c>
      <c r="O165" s="21" t="n">
        <f aca="false">IF(ISNUMBER(J165),M165-J165,"new")</f>
        <v>1</v>
      </c>
    </row>
    <row r="166" customFormat="false" ht="15" hidden="false" customHeight="false" outlineLevel="0" collapsed="false">
      <c r="A166" s="2" t="s">
        <v>296</v>
      </c>
      <c r="B166" s="2" t="s">
        <v>184</v>
      </c>
      <c r="C166" s="2" t="s">
        <v>165</v>
      </c>
      <c r="D166" s="2" t="s">
        <v>10</v>
      </c>
      <c r="E166" s="2" t="s">
        <v>50</v>
      </c>
      <c r="F166" s="14" t="n">
        <v>18.39</v>
      </c>
      <c r="G166" s="2" t="n">
        <v>10</v>
      </c>
      <c r="H166" s="2" t="n">
        <v>71</v>
      </c>
      <c r="I166" s="20" t="n">
        <v>0.93</v>
      </c>
      <c r="J166" s="14" t="n">
        <v>17.5</v>
      </c>
      <c r="K166" s="14" t="n">
        <v>29.5</v>
      </c>
      <c r="L166" s="20" t="n">
        <f aca="false">INDEX('Read me'!$B$10:$B$15,1)</f>
        <v>1.34</v>
      </c>
      <c r="M166" s="14" t="n">
        <f aca="false">IF(F166*(1+'Read me'!$B$5)&lt;='Read me'!$B$7,CEILING(F166*(1+'Read me'!$B$5)+0.5,1)-0.5,CEILING(F166*(1+'Read me'!$B$5),5))</f>
        <v>18.5</v>
      </c>
      <c r="N166" s="14" t="n">
        <f aca="false">IF(MAX(M166*L166,M166+'Read me'!$B$6)&lt;='Read me'!$B$7,CEILING(MAX(M166*L166,M166+'Read me'!$B$6)+0.5,1)-0.5,CEILING(MAX(M166*L166,M166+'Read me'!$B$6),5))</f>
        <v>25.5</v>
      </c>
      <c r="O166" s="21" t="n">
        <f aca="false">IF(ISNUMBER(J166),M166-J166,"new")</f>
        <v>1</v>
      </c>
    </row>
    <row r="167" customFormat="false" ht="15" hidden="false" customHeight="false" outlineLevel="0" collapsed="false">
      <c r="A167" s="2" t="s">
        <v>297</v>
      </c>
      <c r="B167" s="2" t="s">
        <v>184</v>
      </c>
      <c r="C167" s="2" t="s">
        <v>165</v>
      </c>
      <c r="D167" s="2" t="s">
        <v>12</v>
      </c>
      <c r="E167" s="2" t="s">
        <v>48</v>
      </c>
      <c r="F167" s="14" t="n">
        <v>56.59</v>
      </c>
      <c r="G167" s="2" t="n">
        <v>9</v>
      </c>
      <c r="H167" s="2" t="n">
        <v>71</v>
      </c>
      <c r="I167" s="20" t="n">
        <v>0.93</v>
      </c>
      <c r="J167" s="14" t="n">
        <v>19.5</v>
      </c>
      <c r="K167" s="14" t="n">
        <v>24.5</v>
      </c>
      <c r="L167" s="20" t="n">
        <f aca="false">INDEX('Read me'!$B$10:$B$15,2)</f>
        <v>1.26</v>
      </c>
      <c r="M167" s="14" t="n">
        <f aca="false">IF(F167*(1+'Read me'!$B$5)&lt;='Read me'!$B$7,CEILING(F167*(1+'Read me'!$B$5)+0.5,1)-0.5,CEILING(F167*(1+'Read me'!$B$5),5))</f>
        <v>60</v>
      </c>
      <c r="N167" s="14" t="n">
        <f aca="false">IF(MAX(M167*L167,M167+'Read me'!$B$6)&lt;='Read me'!$B$7,CEILING(MAX(M167*L167,M167+'Read me'!$B$6)+0.5,1)-0.5,CEILING(MAX(M167*L167,M167+'Read me'!$B$6),5))</f>
        <v>80</v>
      </c>
      <c r="O167" s="21" t="n">
        <f aca="false">IF(ISNUMBER(J167),M167-J167,"new")</f>
        <v>40.5</v>
      </c>
    </row>
    <row r="168" customFormat="false" ht="15" hidden="false" customHeight="false" outlineLevel="0" collapsed="false">
      <c r="A168" s="2" t="s">
        <v>298</v>
      </c>
      <c r="B168" s="2" t="s">
        <v>184</v>
      </c>
      <c r="C168" s="2" t="s">
        <v>165</v>
      </c>
      <c r="D168" s="2" t="s">
        <v>12</v>
      </c>
      <c r="E168" s="2" t="s">
        <v>49</v>
      </c>
      <c r="F168" s="14" t="n">
        <v>56.59</v>
      </c>
      <c r="G168" s="2" t="n">
        <v>7</v>
      </c>
      <c r="H168" s="2" t="n">
        <v>71</v>
      </c>
      <c r="I168" s="20" t="n">
        <v>0.93</v>
      </c>
      <c r="J168" s="14" t="n">
        <v>19.5</v>
      </c>
      <c r="K168" s="14" t="n">
        <v>24.5</v>
      </c>
      <c r="L168" s="20" t="n">
        <f aca="false">INDEX('Read me'!$B$10:$B$15,2)</f>
        <v>1.26</v>
      </c>
      <c r="M168" s="14" t="n">
        <f aca="false">IF(F168*(1+'Read me'!$B$5)&lt;='Read me'!$B$7,CEILING(F168*(1+'Read me'!$B$5)+0.5,1)-0.5,CEILING(F168*(1+'Read me'!$B$5),5))</f>
        <v>60</v>
      </c>
      <c r="N168" s="14" t="n">
        <f aca="false">IF(MAX(M168*L168,M168+'Read me'!$B$6)&lt;='Read me'!$B$7,CEILING(MAX(M168*L168,M168+'Read me'!$B$6)+0.5,1)-0.5,CEILING(MAX(M168*L168,M168+'Read me'!$B$6),5))</f>
        <v>80</v>
      </c>
      <c r="O168" s="21" t="n">
        <f aca="false">IF(ISNUMBER(J168),M168-J168,"new")</f>
        <v>40.5</v>
      </c>
    </row>
    <row r="169" customFormat="false" ht="15" hidden="false" customHeight="false" outlineLevel="0" collapsed="false">
      <c r="A169" s="2" t="s">
        <v>299</v>
      </c>
      <c r="B169" s="2" t="s">
        <v>184</v>
      </c>
      <c r="C169" s="2" t="s">
        <v>165</v>
      </c>
      <c r="D169" s="2" t="s">
        <v>12</v>
      </c>
      <c r="E169" s="2" t="s">
        <v>50</v>
      </c>
      <c r="F169" s="14" t="n">
        <v>58.97</v>
      </c>
      <c r="G169" s="2" t="n">
        <v>8</v>
      </c>
      <c r="H169" s="2" t="n">
        <v>71</v>
      </c>
      <c r="I169" s="20" t="n">
        <v>0.93</v>
      </c>
      <c r="J169" s="14" t="n">
        <v>19.5</v>
      </c>
      <c r="K169" s="14" t="n">
        <v>34.5</v>
      </c>
      <c r="L169" s="20" t="n">
        <f aca="false">INDEX('Read me'!$B$10:$B$15,2)</f>
        <v>1.26</v>
      </c>
      <c r="M169" s="14" t="n">
        <f aca="false">IF(F169*(1+'Read me'!$B$5)&lt;='Read me'!$B$7,CEILING(F169*(1+'Read me'!$B$5)+0.5,1)-0.5,CEILING(F169*(1+'Read me'!$B$5),5))</f>
        <v>60</v>
      </c>
      <c r="N169" s="14" t="n">
        <f aca="false">IF(MAX(M169*L169,M169+'Read me'!$B$6)&lt;='Read me'!$B$7,CEILING(MAX(M169*L169,M169+'Read me'!$B$6)+0.5,1)-0.5,CEILING(MAX(M169*L169,M169+'Read me'!$B$6),5))</f>
        <v>80</v>
      </c>
      <c r="O169" s="21" t="n">
        <f aca="false">IF(ISNUMBER(J169),M169-J169,"new")</f>
        <v>40.5</v>
      </c>
    </row>
    <row r="170" customFormat="false" ht="15" hidden="false" customHeight="false" outlineLevel="0" collapsed="false">
      <c r="A170" s="2" t="s">
        <v>300</v>
      </c>
      <c r="B170" s="2" t="s">
        <v>184</v>
      </c>
      <c r="C170" s="2" t="s">
        <v>165</v>
      </c>
      <c r="D170" s="2" t="s">
        <v>13</v>
      </c>
      <c r="E170" s="2" t="s">
        <v>48</v>
      </c>
      <c r="F170" s="14" t="n">
        <v>77.04</v>
      </c>
      <c r="G170" s="2" t="n">
        <v>0</v>
      </c>
      <c r="H170" s="2" t="n">
        <v>71</v>
      </c>
      <c r="I170" s="20" t="n">
        <v>0.93</v>
      </c>
      <c r="J170" s="14" t="n">
        <v>24.5</v>
      </c>
      <c r="K170" s="14" t="n">
        <v>75</v>
      </c>
      <c r="L170" s="20" t="n">
        <f aca="false">INDEX('Read me'!$B$10:$B$15,3)</f>
        <v>1.35</v>
      </c>
      <c r="M170" s="14" t="n">
        <f aca="false">IF(F170*(1+'Read me'!$B$5)&lt;='Read me'!$B$7,CEILING(F170*(1+'Read me'!$B$5)+0.5,1)-0.5,CEILING(F170*(1+'Read me'!$B$5),5))</f>
        <v>80</v>
      </c>
      <c r="N170" s="14" t="n">
        <f aca="false">IF(MAX(M170*L170,M170+'Read me'!$B$6)&lt;='Read me'!$B$7,CEILING(MAX(M170*L170,M170+'Read me'!$B$6)+0.5,1)-0.5,CEILING(MAX(M170*L170,M170+'Read me'!$B$6),5))</f>
        <v>110</v>
      </c>
      <c r="O170" s="21" t="n">
        <f aca="false">IF(ISNUMBER(J170),M170-J170,"new")</f>
        <v>55.5</v>
      </c>
    </row>
    <row r="171" customFormat="false" ht="15" hidden="false" customHeight="false" outlineLevel="0" collapsed="false">
      <c r="A171" s="2" t="s">
        <v>301</v>
      </c>
      <c r="B171" s="2" t="s">
        <v>184</v>
      </c>
      <c r="C171" s="2" t="s">
        <v>165</v>
      </c>
      <c r="D171" s="2" t="s">
        <v>13</v>
      </c>
      <c r="E171" s="2" t="s">
        <v>49</v>
      </c>
      <c r="F171" s="14" t="n">
        <v>86.67</v>
      </c>
      <c r="G171" s="2" t="n">
        <v>0</v>
      </c>
      <c r="H171" s="2" t="n">
        <v>71</v>
      </c>
      <c r="I171" s="20" t="n">
        <v>0.93</v>
      </c>
      <c r="J171" s="14" t="n">
        <v>24.5</v>
      </c>
      <c r="K171" s="14" t="n">
        <v>75</v>
      </c>
      <c r="L171" s="20" t="n">
        <f aca="false">INDEX('Read me'!$B$10:$B$15,3)</f>
        <v>1.35</v>
      </c>
      <c r="M171" s="14" t="n">
        <f aca="false">IF(F171*(1+'Read me'!$B$5)&lt;='Read me'!$B$7,CEILING(F171*(1+'Read me'!$B$5)+0.5,1)-0.5,CEILING(F171*(1+'Read me'!$B$5),5))</f>
        <v>90</v>
      </c>
      <c r="N171" s="14" t="n">
        <f aca="false">IF(MAX(M171*L171,M171+'Read me'!$B$6)&lt;='Read me'!$B$7,CEILING(MAX(M171*L171,M171+'Read me'!$B$6)+0.5,1)-0.5,CEILING(MAX(M171*L171,M171+'Read me'!$B$6),5))</f>
        <v>125</v>
      </c>
      <c r="O171" s="21" t="n">
        <f aca="false">IF(ISNUMBER(J171),M171-J171,"new")</f>
        <v>65.5</v>
      </c>
    </row>
    <row r="172" customFormat="false" ht="15" hidden="false" customHeight="false" outlineLevel="0" collapsed="false">
      <c r="A172" s="2" t="s">
        <v>302</v>
      </c>
      <c r="B172" s="2" t="s">
        <v>184</v>
      </c>
      <c r="C172" s="2" t="s">
        <v>165</v>
      </c>
      <c r="D172" s="2" t="s">
        <v>13</v>
      </c>
      <c r="E172" s="2" t="s">
        <v>50</v>
      </c>
      <c r="F172" s="14" t="n">
        <v>112.06</v>
      </c>
      <c r="G172" s="2" t="n">
        <v>2</v>
      </c>
      <c r="H172" s="2" t="n">
        <v>71</v>
      </c>
      <c r="I172" s="20" t="n">
        <v>0.93</v>
      </c>
      <c r="J172" s="14" t="n">
        <v>85</v>
      </c>
      <c r="K172" s="14" t="n">
        <v>125</v>
      </c>
      <c r="L172" s="20" t="n">
        <f aca="false">INDEX('Read me'!$B$10:$B$15,3)</f>
        <v>1.35</v>
      </c>
      <c r="M172" s="14" t="n">
        <f aca="false">IF(F172*(1+'Read me'!$B$5)&lt;='Read me'!$B$7,CEILING(F172*(1+'Read me'!$B$5)+0.5,1)-0.5,CEILING(F172*(1+'Read me'!$B$5),5))</f>
        <v>115</v>
      </c>
      <c r="N172" s="14" t="n">
        <f aca="false">IF(MAX(M172*L172,M172+'Read me'!$B$6)&lt;='Read me'!$B$7,CEILING(MAX(M172*L172,M172+'Read me'!$B$6)+0.5,1)-0.5,CEILING(MAX(M172*L172,M172+'Read me'!$B$6),5))</f>
        <v>160</v>
      </c>
      <c r="O172" s="21" t="n">
        <f aca="false">IF(ISNUMBER(J172),M172-J172,"new")</f>
        <v>30</v>
      </c>
    </row>
    <row r="173" customFormat="false" ht="15" hidden="false" customHeight="false" outlineLevel="0" collapsed="false">
      <c r="A173" s="2" t="s">
        <v>303</v>
      </c>
      <c r="B173" s="2" t="s">
        <v>184</v>
      </c>
      <c r="C173" s="2" t="s">
        <v>165</v>
      </c>
      <c r="D173" s="2" t="s">
        <v>14</v>
      </c>
      <c r="E173" s="2" t="s">
        <v>48</v>
      </c>
      <c r="F173" s="14" t="n">
        <v>120.56</v>
      </c>
      <c r="G173" s="2" t="n">
        <v>3</v>
      </c>
      <c r="H173" s="2" t="n">
        <v>71</v>
      </c>
      <c r="I173" s="20" t="n">
        <v>0.93</v>
      </c>
      <c r="J173" s="14" t="n">
        <v>85</v>
      </c>
      <c r="K173" s="14" t="n">
        <v>125</v>
      </c>
      <c r="L173" s="20" t="n">
        <f aca="false">INDEX('Read me'!$B$10:$B$15,4)</f>
        <v>1.2</v>
      </c>
      <c r="M173" s="14" t="n">
        <f aca="false">IF(F173*(1+'Read me'!$B$5)&lt;='Read me'!$B$7,CEILING(F173*(1+'Read me'!$B$5)+0.5,1)-0.5,CEILING(F173*(1+'Read me'!$B$5),5))</f>
        <v>125</v>
      </c>
      <c r="N173" s="14" t="n">
        <f aca="false">IF(MAX(M173*L173,M173+'Read me'!$B$6)&lt;='Read me'!$B$7,CEILING(MAX(M173*L173,M173+'Read me'!$B$6)+0.5,1)-0.5,CEILING(MAX(M173*L173,M173+'Read me'!$B$6),5))</f>
        <v>150</v>
      </c>
      <c r="O173" s="21" t="n">
        <f aca="false">IF(ISNUMBER(J173),M173-J173,"new")</f>
        <v>40</v>
      </c>
    </row>
    <row r="174" customFormat="false" ht="15" hidden="false" customHeight="false" outlineLevel="0" collapsed="false">
      <c r="A174" s="2" t="s">
        <v>304</v>
      </c>
      <c r="B174" s="2" t="s">
        <v>184</v>
      </c>
      <c r="C174" s="2" t="s">
        <v>165</v>
      </c>
      <c r="D174" s="2" t="s">
        <v>14</v>
      </c>
      <c r="E174" s="2" t="s">
        <v>49</v>
      </c>
      <c r="F174" s="14" t="n">
        <v>166.36</v>
      </c>
      <c r="G174" s="2" t="n">
        <v>3</v>
      </c>
      <c r="H174" s="2" t="n">
        <v>71</v>
      </c>
      <c r="I174" s="20" t="n">
        <v>0.93</v>
      </c>
      <c r="J174" s="14" t="n">
        <v>125</v>
      </c>
      <c r="K174" s="14" t="n">
        <v>125</v>
      </c>
      <c r="L174" s="20" t="n">
        <f aca="false">INDEX('Read me'!$B$10:$B$15,4)</f>
        <v>1.2</v>
      </c>
      <c r="M174" s="14" t="n">
        <f aca="false">IF(F174*(1+'Read me'!$B$5)&lt;='Read me'!$B$7,CEILING(F174*(1+'Read me'!$B$5)+0.5,1)-0.5,CEILING(F174*(1+'Read me'!$B$5),5))</f>
        <v>170</v>
      </c>
      <c r="N174" s="14" t="n">
        <f aca="false">IF(MAX(M174*L174,M174+'Read me'!$B$6)&lt;='Read me'!$B$7,CEILING(MAX(M174*L174,M174+'Read me'!$B$6)+0.5,1)-0.5,CEILING(MAX(M174*L174,M174+'Read me'!$B$6),5))</f>
        <v>205</v>
      </c>
      <c r="O174" s="21" t="n">
        <f aca="false">IF(ISNUMBER(J174),M174-J174,"new")</f>
        <v>45</v>
      </c>
    </row>
    <row r="175" customFormat="false" ht="15" hidden="false" customHeight="false" outlineLevel="0" collapsed="false">
      <c r="A175" s="2" t="s">
        <v>305</v>
      </c>
      <c r="B175" s="2" t="s">
        <v>184</v>
      </c>
      <c r="C175" s="2" t="s">
        <v>165</v>
      </c>
      <c r="D175" s="2" t="s">
        <v>14</v>
      </c>
      <c r="E175" s="2" t="s">
        <v>50</v>
      </c>
      <c r="F175" s="14" t="n">
        <v>193.04</v>
      </c>
      <c r="G175" s="2" t="n">
        <v>0</v>
      </c>
      <c r="H175" s="2" t="n">
        <v>71</v>
      </c>
      <c r="I175" s="20" t="n">
        <v>0.93</v>
      </c>
      <c r="J175" s="14" t="n">
        <v>199</v>
      </c>
      <c r="K175" s="14" t="n">
        <v>175</v>
      </c>
      <c r="L175" s="20" t="n">
        <f aca="false">INDEX('Read me'!$B$10:$B$15,4)</f>
        <v>1.2</v>
      </c>
      <c r="M175" s="14" t="n">
        <f aca="false">IF(F175*(1+'Read me'!$B$5)&lt;='Read me'!$B$7,CEILING(F175*(1+'Read me'!$B$5)+0.5,1)-0.5,CEILING(F175*(1+'Read me'!$B$5),5))</f>
        <v>195</v>
      </c>
      <c r="N175" s="14" t="n">
        <f aca="false">IF(MAX(M175*L175,M175+'Read me'!$B$6)&lt;='Read me'!$B$7,CEILING(MAX(M175*L175,M175+'Read me'!$B$6)+0.5,1)-0.5,CEILING(MAX(M175*L175,M175+'Read me'!$B$6),5))</f>
        <v>235</v>
      </c>
      <c r="O175" s="21" t="n">
        <f aca="false">IF(ISNUMBER(J175),M175-J175,"new")</f>
        <v>-4</v>
      </c>
    </row>
    <row r="176" customFormat="false" ht="15" hidden="false" customHeight="false" outlineLevel="0" collapsed="false">
      <c r="A176" s="2" t="s">
        <v>306</v>
      </c>
      <c r="B176" s="2" t="s">
        <v>184</v>
      </c>
      <c r="C176" s="2" t="s">
        <v>165</v>
      </c>
      <c r="D176" s="2" t="s">
        <v>15</v>
      </c>
      <c r="E176" s="2" t="s">
        <v>48</v>
      </c>
      <c r="F176" s="14" t="n">
        <v>169.33</v>
      </c>
      <c r="G176" s="2" t="n">
        <v>0</v>
      </c>
      <c r="H176" s="2" t="n">
        <v>71</v>
      </c>
      <c r="I176" s="20" t="n">
        <v>0.93</v>
      </c>
      <c r="J176" s="14" t="n">
        <v>250</v>
      </c>
      <c r="K176" s="14" t="n">
        <v>300</v>
      </c>
      <c r="L176" s="20" t="n">
        <f aca="false">INDEX('Read me'!$B$10:$B$15,5)</f>
        <v>1.2</v>
      </c>
      <c r="M176" s="14" t="n">
        <f aca="false">IF(F176*(1+'Read me'!$B$5)&lt;='Read me'!$B$7,CEILING(F176*(1+'Read me'!$B$5)+0.5,1)-0.5,CEILING(F176*(1+'Read me'!$B$5),5))</f>
        <v>170</v>
      </c>
      <c r="N176" s="14" t="n">
        <f aca="false">IF(MAX(M176*L176,M176+'Read me'!$B$6)&lt;='Read me'!$B$7,CEILING(MAX(M176*L176,M176+'Read me'!$B$6)+0.5,1)-0.5,CEILING(MAX(M176*L176,M176+'Read me'!$B$6),5))</f>
        <v>205</v>
      </c>
      <c r="O176" s="21" t="n">
        <f aca="false">IF(ISNUMBER(J176),M176-J176,"new")</f>
        <v>-80</v>
      </c>
    </row>
    <row r="177" customFormat="false" ht="15" hidden="false" customHeight="false" outlineLevel="0" collapsed="false">
      <c r="A177" s="2" t="s">
        <v>307</v>
      </c>
      <c r="B177" s="2" t="s">
        <v>184</v>
      </c>
      <c r="C177" s="2" t="s">
        <v>165</v>
      </c>
      <c r="D177" s="2" t="s">
        <v>15</v>
      </c>
      <c r="E177" s="2" t="s">
        <v>49</v>
      </c>
      <c r="F177" s="14" t="n">
        <v>208.9</v>
      </c>
      <c r="G177" s="2" t="n">
        <v>0</v>
      </c>
      <c r="H177" s="2" t="n">
        <v>71</v>
      </c>
      <c r="I177" s="20" t="n">
        <v>0.93</v>
      </c>
      <c r="J177" s="14" t="n">
        <v>250</v>
      </c>
      <c r="K177" s="14" t="n">
        <v>300</v>
      </c>
      <c r="L177" s="20" t="n">
        <f aca="false">INDEX('Read me'!$B$10:$B$15,5)</f>
        <v>1.2</v>
      </c>
      <c r="M177" s="14" t="n">
        <f aca="false">N177</f>
        <v>255</v>
      </c>
      <c r="N177" s="14" t="n">
        <f aca="false">IF(MAX((IF(F177*(1+'Read me'!$B$5)&lt;='Read me'!$B$7,CEILING(F177*(1+'Read me'!$B$5)+0.5,1)-0.5,CEILING(F177*(1+'Read me'!$B$5),5)))*L177,(IF(F177*(1+'Read me'!$B$5)&lt;='Read me'!$B$7,CEILING(F177*(1+'Read me'!$B$5)+0.5,1)-0.5,CEILING(F177*(1+'Read me'!$B$5),5)))+'Read me'!$B$6)&lt;='Read me'!$B$7,CEILING(MAX((IF(F177*(1+'Read me'!$B$5)&lt;='Read me'!$B$7,CEILING(F177*(1+'Read me'!$B$5)+0.5,1)-0.5,CEILING(F177*(1+'Read me'!$B$5),5)))*L177,(IF(F177*(1+'Read me'!$B$5)&lt;='Read me'!$B$7,CEILING(F177*(1+'Read me'!$B$5)+0.5,1)-0.5,CEILING(F177*(1+'Read me'!$B$5),5)))+'Read me'!$B$6)+0.5,1)-0.5,CEILING(MAX((IF(F177*(1+'Read me'!$B$5)&lt;='Read me'!$B$7,CEILING(F177*(1+'Read me'!$B$5)+0.5,1)-0.5,CEILING(F177*(1+'Read me'!$B$5),5)))*L177,(IF(F177*(1+'Read me'!$B$5)&lt;='Read me'!$B$7,CEILING(F177*(1+'Read me'!$B$5)+0.5,1)-0.5,CEILING(F177*(1+'Read me'!$B$5),5)))+'Read me'!$B$6),5))</f>
        <v>255</v>
      </c>
      <c r="O177" s="21" t="n">
        <f aca="false">IF(ISNUMBER(J177),M177-J177,"new")</f>
        <v>5</v>
      </c>
      <c r="P177" s="5" t="s">
        <v>140</v>
      </c>
    </row>
    <row r="178" customFormat="false" ht="15" hidden="false" customHeight="false" outlineLevel="0" collapsed="false">
      <c r="A178" s="2" t="s">
        <v>308</v>
      </c>
      <c r="B178" s="2" t="s">
        <v>184</v>
      </c>
      <c r="C178" s="2" t="s">
        <v>165</v>
      </c>
      <c r="D178" s="2" t="s">
        <v>15</v>
      </c>
      <c r="E178" s="2" t="s">
        <v>50</v>
      </c>
      <c r="F178" s="14" t="n">
        <v>251.01</v>
      </c>
      <c r="G178" s="2" t="n">
        <v>0</v>
      </c>
      <c r="H178" s="2" t="n">
        <v>71</v>
      </c>
      <c r="I178" s="20" t="n">
        <v>0.93</v>
      </c>
      <c r="J178" s="14" t="n">
        <v>300</v>
      </c>
      <c r="K178" s="14" t="n">
        <v>400</v>
      </c>
      <c r="L178" s="20" t="n">
        <f aca="false">INDEX('Read me'!$B$10:$B$15,5)</f>
        <v>1.2</v>
      </c>
      <c r="M178" s="14" t="n">
        <f aca="false">N178</f>
        <v>310</v>
      </c>
      <c r="N178" s="14" t="n">
        <f aca="false">IF(MAX((IF(F178*(1+'Read me'!$B$5)&lt;='Read me'!$B$7,CEILING(F178*(1+'Read me'!$B$5)+0.5,1)-0.5,CEILING(F178*(1+'Read me'!$B$5),5)))*L178,(IF(F178*(1+'Read me'!$B$5)&lt;='Read me'!$B$7,CEILING(F178*(1+'Read me'!$B$5)+0.5,1)-0.5,CEILING(F178*(1+'Read me'!$B$5),5)))+'Read me'!$B$6)&lt;='Read me'!$B$7,CEILING(MAX((IF(F178*(1+'Read me'!$B$5)&lt;='Read me'!$B$7,CEILING(F178*(1+'Read me'!$B$5)+0.5,1)-0.5,CEILING(F178*(1+'Read me'!$B$5),5)))*L178,(IF(F178*(1+'Read me'!$B$5)&lt;='Read me'!$B$7,CEILING(F178*(1+'Read me'!$B$5)+0.5,1)-0.5,CEILING(F178*(1+'Read me'!$B$5),5)))+'Read me'!$B$6)+0.5,1)-0.5,CEILING(MAX((IF(F178*(1+'Read me'!$B$5)&lt;='Read me'!$B$7,CEILING(F178*(1+'Read me'!$B$5)+0.5,1)-0.5,CEILING(F178*(1+'Read me'!$B$5),5)))*L178,(IF(F178*(1+'Read me'!$B$5)&lt;='Read me'!$B$7,CEILING(F178*(1+'Read me'!$B$5)+0.5,1)-0.5,CEILING(F178*(1+'Read me'!$B$5),5)))+'Read me'!$B$6),5))</f>
        <v>310</v>
      </c>
      <c r="O178" s="21" t="n">
        <f aca="false">IF(ISNUMBER(J178),M178-J178,"new")</f>
        <v>10</v>
      </c>
      <c r="P178" s="5" t="s">
        <v>140</v>
      </c>
    </row>
    <row r="179" customFormat="false" ht="15" hidden="false" customHeight="false" outlineLevel="0" collapsed="false">
      <c r="A179" s="2" t="s">
        <v>309</v>
      </c>
      <c r="B179" s="2" t="s">
        <v>184</v>
      </c>
      <c r="C179" s="2" t="s">
        <v>165</v>
      </c>
      <c r="D179" s="2" t="s">
        <v>16</v>
      </c>
      <c r="E179" s="2" t="s">
        <v>48</v>
      </c>
      <c r="F179" s="14" t="n">
        <v>235.12</v>
      </c>
      <c r="G179" s="2" t="n">
        <v>0</v>
      </c>
      <c r="H179" s="2" t="n">
        <v>71</v>
      </c>
      <c r="I179" s="20" t="n">
        <v>0.93</v>
      </c>
      <c r="J179" s="14"/>
      <c r="K179" s="14"/>
      <c r="L179" s="20" t="n">
        <f aca="false">INDEX('Read me'!$B$10:$B$15,6)</f>
        <v>1.2</v>
      </c>
      <c r="M179" s="14" t="n">
        <f aca="false">IF(F179*(1+'Read me'!$B$5)&lt;='Read me'!$B$7,CEILING(F179*(1+'Read me'!$B$5)+0.5,1)-0.5,CEILING(F179*(1+'Read me'!$B$5),5))</f>
        <v>240</v>
      </c>
      <c r="N179" s="14" t="n">
        <f aca="false">IF(MAX(M179*L179,M179+'Read me'!$B$6)&lt;='Read me'!$B$7,CEILING(MAX(M179*L179,M179+'Read me'!$B$6)+0.5,1)-0.5,CEILING(MAX(M179*L179,M179+'Read me'!$B$6),5))</f>
        <v>290</v>
      </c>
      <c r="O179" s="21" t="str">
        <f aca="false">IF(ISNUMBER(J179),M179-J179,"new")</f>
        <v>new</v>
      </c>
    </row>
    <row r="180" customFormat="false" ht="15" hidden="false" customHeight="false" outlineLevel="0" collapsed="false">
      <c r="A180" s="2" t="s">
        <v>310</v>
      </c>
      <c r="B180" s="2" t="s">
        <v>184</v>
      </c>
      <c r="C180" s="2" t="s">
        <v>165</v>
      </c>
      <c r="D180" s="2" t="s">
        <v>16</v>
      </c>
      <c r="E180" s="2" t="s">
        <v>49</v>
      </c>
      <c r="F180" s="14" t="n">
        <v>318.85</v>
      </c>
      <c r="G180" s="2" t="n">
        <v>2</v>
      </c>
      <c r="H180" s="2" t="n">
        <v>71</v>
      </c>
      <c r="I180" s="20" t="n">
        <v>0.93</v>
      </c>
      <c r="J180" s="14"/>
      <c r="K180" s="14"/>
      <c r="L180" s="20" t="n">
        <f aca="false">INDEX('Read me'!$B$10:$B$15,6)</f>
        <v>1.2</v>
      </c>
      <c r="M180" s="14" t="n">
        <f aca="false">N180</f>
        <v>385</v>
      </c>
      <c r="N180" s="14" t="n">
        <f aca="false">IF(MAX((IF(F180*(1+'Read me'!$B$5)&lt;='Read me'!$B$7,CEILING(F180*(1+'Read me'!$B$5)+0.5,1)-0.5,CEILING(F180*(1+'Read me'!$B$5),5)))*L180,(IF(F180*(1+'Read me'!$B$5)&lt;='Read me'!$B$7,CEILING(F180*(1+'Read me'!$B$5)+0.5,1)-0.5,CEILING(F180*(1+'Read me'!$B$5),5)))+'Read me'!$B$6)&lt;='Read me'!$B$7,CEILING(MAX((IF(F180*(1+'Read me'!$B$5)&lt;='Read me'!$B$7,CEILING(F180*(1+'Read me'!$B$5)+0.5,1)-0.5,CEILING(F180*(1+'Read me'!$B$5),5)))*L180,(IF(F180*(1+'Read me'!$B$5)&lt;='Read me'!$B$7,CEILING(F180*(1+'Read me'!$B$5)+0.5,1)-0.5,CEILING(F180*(1+'Read me'!$B$5),5)))+'Read me'!$B$6)+0.5,1)-0.5,CEILING(MAX((IF(F180*(1+'Read me'!$B$5)&lt;='Read me'!$B$7,CEILING(F180*(1+'Read me'!$B$5)+0.5,1)-0.5,CEILING(F180*(1+'Read me'!$B$5),5)))*L180,(IF(F180*(1+'Read me'!$B$5)&lt;='Read me'!$B$7,CEILING(F180*(1+'Read me'!$B$5)+0.5,1)-0.5,CEILING(F180*(1+'Read me'!$B$5),5)))+'Read me'!$B$6),5))</f>
        <v>385</v>
      </c>
      <c r="O180" s="21" t="str">
        <f aca="false">IF(ISNUMBER(J180),M180-J180,"new")</f>
        <v>new</v>
      </c>
      <c r="P180" s="5" t="s">
        <v>140</v>
      </c>
    </row>
    <row r="181" customFormat="false" ht="15" hidden="false" customHeight="false" outlineLevel="0" collapsed="false">
      <c r="A181" s="2" t="s">
        <v>311</v>
      </c>
      <c r="B181" s="2" t="s">
        <v>184</v>
      </c>
      <c r="C181" s="2" t="s">
        <v>165</v>
      </c>
      <c r="D181" s="2" t="s">
        <v>16</v>
      </c>
      <c r="E181" s="2" t="s">
        <v>50</v>
      </c>
      <c r="F181" s="14" t="n">
        <v>375.91</v>
      </c>
      <c r="G181" s="2" t="n">
        <v>1</v>
      </c>
      <c r="H181" s="2" t="n">
        <v>71</v>
      </c>
      <c r="I181" s="20" t="n">
        <v>0.93</v>
      </c>
      <c r="J181" s="14"/>
      <c r="K181" s="14"/>
      <c r="L181" s="20" t="n">
        <f aca="false">INDEX('Read me'!$B$10:$B$15,6)</f>
        <v>1.2</v>
      </c>
      <c r="M181" s="14" t="n">
        <f aca="false">N181</f>
        <v>460</v>
      </c>
      <c r="N181" s="14" t="n">
        <f aca="false">IF(MAX((IF(F181*(1+'Read me'!$B$5)&lt;='Read me'!$B$7,CEILING(F181*(1+'Read me'!$B$5)+0.5,1)-0.5,CEILING(F181*(1+'Read me'!$B$5),5)))*L181,(IF(F181*(1+'Read me'!$B$5)&lt;='Read me'!$B$7,CEILING(F181*(1+'Read me'!$B$5)+0.5,1)-0.5,CEILING(F181*(1+'Read me'!$B$5),5)))+'Read me'!$B$6)&lt;='Read me'!$B$7,CEILING(MAX((IF(F181*(1+'Read me'!$B$5)&lt;='Read me'!$B$7,CEILING(F181*(1+'Read me'!$B$5)+0.5,1)-0.5,CEILING(F181*(1+'Read me'!$B$5),5)))*L181,(IF(F181*(1+'Read me'!$B$5)&lt;='Read me'!$B$7,CEILING(F181*(1+'Read me'!$B$5)+0.5,1)-0.5,CEILING(F181*(1+'Read me'!$B$5),5)))+'Read me'!$B$6)+0.5,1)-0.5,CEILING(MAX((IF(F181*(1+'Read me'!$B$5)&lt;='Read me'!$B$7,CEILING(F181*(1+'Read me'!$B$5)+0.5,1)-0.5,CEILING(F181*(1+'Read me'!$B$5),5)))*L181,(IF(F181*(1+'Read me'!$B$5)&lt;='Read me'!$B$7,CEILING(F181*(1+'Read me'!$B$5)+0.5,1)-0.5,CEILING(F181*(1+'Read me'!$B$5),5)))+'Read me'!$B$6),5))</f>
        <v>460</v>
      </c>
      <c r="O181" s="21" t="str">
        <f aca="false">IF(ISNUMBER(J181),M181-J181,"new")</f>
        <v>new</v>
      </c>
      <c r="P181" s="5" t="s">
        <v>140</v>
      </c>
    </row>
    <row r="182" customFormat="false" ht="15" hidden="false" customHeight="false" outlineLevel="0" collapsed="false">
      <c r="A182" s="2" t="s">
        <v>312</v>
      </c>
      <c r="B182" s="2" t="s">
        <v>184</v>
      </c>
      <c r="C182" s="2" t="s">
        <v>240</v>
      </c>
      <c r="D182" s="2" t="s">
        <v>10</v>
      </c>
      <c r="E182" s="2" t="s">
        <v>48</v>
      </c>
      <c r="F182" s="14" t="n">
        <v>15.17</v>
      </c>
      <c r="G182" s="2" t="n">
        <v>4</v>
      </c>
      <c r="H182" s="2" t="n">
        <v>21</v>
      </c>
      <c r="I182" s="20" t="n">
        <v>1.1</v>
      </c>
      <c r="J182" s="14" t="n">
        <v>19.5</v>
      </c>
      <c r="K182" s="14" t="n">
        <v>24.5</v>
      </c>
      <c r="L182" s="20" t="n">
        <f aca="false">INDEX('Read me'!$B$10:$B$15,1)</f>
        <v>1.34</v>
      </c>
      <c r="M182" s="14" t="n">
        <f aca="false">IF(F182*(1+'Read me'!$B$5)&lt;='Read me'!$B$7,CEILING(F182*(1+'Read me'!$B$5)+0.5,1)-0.5,CEILING(F182*(1+'Read me'!$B$5),5))</f>
        <v>15.5</v>
      </c>
      <c r="N182" s="14" t="n">
        <f aca="false">IF(MAX(M182*L182,M182+'Read me'!$B$6)&lt;='Read me'!$B$7,CEILING(MAX(M182*L182,M182+'Read me'!$B$6)+0.5,1)-0.5,CEILING(MAX(M182*L182,M182+'Read me'!$B$6),5))</f>
        <v>21.5</v>
      </c>
      <c r="O182" s="21" t="n">
        <f aca="false">IF(ISNUMBER(J182),M182-J182,"new")</f>
        <v>-4</v>
      </c>
    </row>
    <row r="183" customFormat="false" ht="15" hidden="false" customHeight="false" outlineLevel="0" collapsed="false">
      <c r="A183" s="2" t="s">
        <v>313</v>
      </c>
      <c r="B183" s="2" t="s">
        <v>184</v>
      </c>
      <c r="C183" s="2" t="s">
        <v>240</v>
      </c>
      <c r="D183" s="2" t="s">
        <v>10</v>
      </c>
      <c r="E183" s="2" t="s">
        <v>49</v>
      </c>
      <c r="F183" s="14" t="n">
        <v>16.72</v>
      </c>
      <c r="G183" s="2" t="n">
        <v>0</v>
      </c>
      <c r="H183" s="2" t="n">
        <v>21</v>
      </c>
      <c r="I183" s="20" t="n">
        <v>1.1</v>
      </c>
      <c r="J183" s="14" t="n">
        <v>19.5</v>
      </c>
      <c r="K183" s="14" t="n">
        <v>24.5</v>
      </c>
      <c r="L183" s="20" t="n">
        <f aca="false">INDEX('Read me'!$B$10:$B$15,1)</f>
        <v>1.34</v>
      </c>
      <c r="M183" s="14" t="n">
        <f aca="false">IF(F183*(1+'Read me'!$B$5)&lt;='Read me'!$B$7,CEILING(F183*(1+'Read me'!$B$5)+0.5,1)-0.5,CEILING(F183*(1+'Read me'!$B$5),5))</f>
        <v>17.5</v>
      </c>
      <c r="N183" s="14" t="n">
        <f aca="false">IF(MAX(M183*L183,M183+'Read me'!$B$6)&lt;='Read me'!$B$7,CEILING(MAX(M183*L183,M183+'Read me'!$B$6)+0.5,1)-0.5,CEILING(MAX(M183*L183,M183+'Read me'!$B$6),5))</f>
        <v>23.5</v>
      </c>
      <c r="O183" s="21" t="n">
        <f aca="false">IF(ISNUMBER(J183),M183-J183,"new")</f>
        <v>-2</v>
      </c>
    </row>
    <row r="184" customFormat="false" ht="15" hidden="false" customHeight="false" outlineLevel="0" collapsed="false">
      <c r="A184" s="2" t="s">
        <v>314</v>
      </c>
      <c r="B184" s="2" t="s">
        <v>184</v>
      </c>
      <c r="C184" s="2" t="s">
        <v>240</v>
      </c>
      <c r="D184" s="2" t="s">
        <v>10</v>
      </c>
      <c r="E184" s="2" t="s">
        <v>50</v>
      </c>
      <c r="F184" s="14" t="n">
        <v>21.63</v>
      </c>
      <c r="G184" s="2" t="n">
        <v>2</v>
      </c>
      <c r="H184" s="2" t="n">
        <v>21</v>
      </c>
      <c r="I184" s="20" t="n">
        <v>1.1</v>
      </c>
      <c r="J184" s="14" t="n">
        <v>19.5</v>
      </c>
      <c r="K184" s="14" t="n">
        <v>34.5</v>
      </c>
      <c r="L184" s="20" t="n">
        <f aca="false">INDEX('Read me'!$B$10:$B$15,1)</f>
        <v>1.34</v>
      </c>
      <c r="M184" s="14" t="n">
        <f aca="false">IF(F184*(1+'Read me'!$B$5)&lt;='Read me'!$B$7,CEILING(F184*(1+'Read me'!$B$5)+0.5,1)-0.5,CEILING(F184*(1+'Read me'!$B$5),5))</f>
        <v>22.5</v>
      </c>
      <c r="N184" s="14" t="n">
        <f aca="false">IF(MAX(M184*L184,M184+'Read me'!$B$6)&lt;='Read me'!$B$7,CEILING(MAX(M184*L184,M184+'Read me'!$B$6)+0.5,1)-0.5,CEILING(MAX(M184*L184,M184+'Read me'!$B$6),5))</f>
        <v>35</v>
      </c>
      <c r="O184" s="21" t="n">
        <f aca="false">IF(ISNUMBER(J184),M184-J184,"new")</f>
        <v>3</v>
      </c>
    </row>
    <row r="185" customFormat="false" ht="15" hidden="false" customHeight="false" outlineLevel="0" collapsed="false">
      <c r="A185" s="2" t="s">
        <v>315</v>
      </c>
      <c r="B185" s="2" t="s">
        <v>184</v>
      </c>
      <c r="C185" s="2" t="s">
        <v>240</v>
      </c>
      <c r="D185" s="2" t="s">
        <v>12</v>
      </c>
      <c r="E185" s="2" t="s">
        <v>48</v>
      </c>
      <c r="F185" s="14" t="n">
        <v>54.96</v>
      </c>
      <c r="G185" s="2" t="n">
        <v>7</v>
      </c>
      <c r="H185" s="2" t="n">
        <v>21</v>
      </c>
      <c r="I185" s="20" t="n">
        <v>1.1</v>
      </c>
      <c r="J185" s="14" t="n">
        <v>24.5</v>
      </c>
      <c r="K185" s="14" t="n">
        <v>29.5</v>
      </c>
      <c r="L185" s="20" t="n">
        <f aca="false">INDEX('Read me'!$B$10:$B$15,2)</f>
        <v>1.26</v>
      </c>
      <c r="M185" s="14" t="n">
        <f aca="false">IF(F185*(1+'Read me'!$B$5)&lt;='Read me'!$B$7,CEILING(F185*(1+'Read me'!$B$5)+0.5,1)-0.5,CEILING(F185*(1+'Read me'!$B$5),5))</f>
        <v>55</v>
      </c>
      <c r="N185" s="14" t="n">
        <f aca="false">IF(MAX(M185*L185,M185+'Read me'!$B$6)&lt;='Read me'!$B$7,CEILING(MAX(M185*L185,M185+'Read me'!$B$6)+0.5,1)-0.5,CEILING(MAX(M185*L185,M185+'Read me'!$B$6),5))</f>
        <v>70</v>
      </c>
      <c r="O185" s="21" t="n">
        <f aca="false">IF(ISNUMBER(J185),M185-J185,"new")</f>
        <v>30.5</v>
      </c>
    </row>
    <row r="186" customFormat="false" ht="15" hidden="false" customHeight="false" outlineLevel="0" collapsed="false">
      <c r="A186" s="2" t="s">
        <v>316</v>
      </c>
      <c r="B186" s="2" t="s">
        <v>184</v>
      </c>
      <c r="C186" s="2" t="s">
        <v>240</v>
      </c>
      <c r="D186" s="2" t="s">
        <v>12</v>
      </c>
      <c r="E186" s="2" t="s">
        <v>49</v>
      </c>
      <c r="F186" s="14" t="n">
        <v>54.96</v>
      </c>
      <c r="G186" s="2" t="n">
        <v>4</v>
      </c>
      <c r="H186" s="2" t="n">
        <v>21</v>
      </c>
      <c r="I186" s="20" t="n">
        <v>1.1</v>
      </c>
      <c r="J186" s="14" t="n">
        <v>24.5</v>
      </c>
      <c r="K186" s="14" t="n">
        <v>29.5</v>
      </c>
      <c r="L186" s="20" t="n">
        <f aca="false">INDEX('Read me'!$B$10:$B$15,2)</f>
        <v>1.26</v>
      </c>
      <c r="M186" s="14" t="n">
        <f aca="false">IF(F186*(1+'Read me'!$B$5)&lt;='Read me'!$B$7,CEILING(F186*(1+'Read me'!$B$5)+0.5,1)-0.5,CEILING(F186*(1+'Read me'!$B$5),5))</f>
        <v>55</v>
      </c>
      <c r="N186" s="14" t="n">
        <f aca="false">IF(MAX(M186*L186,M186+'Read me'!$B$6)&lt;='Read me'!$B$7,CEILING(MAX(M186*L186,M186+'Read me'!$B$6)+0.5,1)-0.5,CEILING(MAX(M186*L186,M186+'Read me'!$B$6),5))</f>
        <v>70</v>
      </c>
      <c r="O186" s="21" t="n">
        <f aca="false">IF(ISNUMBER(J186),M186-J186,"new")</f>
        <v>30.5</v>
      </c>
    </row>
    <row r="187" customFormat="false" ht="15" hidden="false" customHeight="false" outlineLevel="0" collapsed="false">
      <c r="A187" s="2" t="s">
        <v>317</v>
      </c>
      <c r="B187" s="2" t="s">
        <v>184</v>
      </c>
      <c r="C187" s="2" t="s">
        <v>240</v>
      </c>
      <c r="D187" s="2" t="s">
        <v>12</v>
      </c>
      <c r="E187" s="2" t="s">
        <v>50</v>
      </c>
      <c r="F187" s="14" t="n">
        <v>71.08</v>
      </c>
      <c r="G187" s="2" t="n">
        <v>3</v>
      </c>
      <c r="H187" s="2" t="n">
        <v>21</v>
      </c>
      <c r="I187" s="20" t="n">
        <v>1.1</v>
      </c>
      <c r="J187" s="14" t="n">
        <v>24.5</v>
      </c>
      <c r="K187" s="14" t="n">
        <v>45</v>
      </c>
      <c r="L187" s="20" t="n">
        <f aca="false">INDEX('Read me'!$B$10:$B$15,2)</f>
        <v>1.26</v>
      </c>
      <c r="M187" s="14" t="n">
        <f aca="false">IF(F187*(1+'Read me'!$B$5)&lt;='Read me'!$B$7,CEILING(F187*(1+'Read me'!$B$5)+0.5,1)-0.5,CEILING(F187*(1+'Read me'!$B$5),5))</f>
        <v>75</v>
      </c>
      <c r="N187" s="14" t="n">
        <f aca="false">IF(MAX(M187*L187,M187+'Read me'!$B$6)&lt;='Read me'!$B$7,CEILING(MAX(M187*L187,M187+'Read me'!$B$6)+0.5,1)-0.5,CEILING(MAX(M187*L187,M187+'Read me'!$B$6),5))</f>
        <v>95</v>
      </c>
      <c r="O187" s="21" t="n">
        <f aca="false">IF(ISNUMBER(J187),M187-J187,"new")</f>
        <v>50.5</v>
      </c>
    </row>
    <row r="188" customFormat="false" ht="15" hidden="false" customHeight="false" outlineLevel="0" collapsed="false">
      <c r="A188" s="2" t="s">
        <v>318</v>
      </c>
      <c r="B188" s="2" t="s">
        <v>184</v>
      </c>
      <c r="C188" s="2" t="s">
        <v>240</v>
      </c>
      <c r="D188" s="2" t="s">
        <v>13</v>
      </c>
      <c r="E188" s="2" t="s">
        <v>48</v>
      </c>
      <c r="F188" s="14" t="n">
        <v>90.89</v>
      </c>
      <c r="G188" s="2" t="n">
        <v>0</v>
      </c>
      <c r="H188" s="2" t="n">
        <v>21</v>
      </c>
      <c r="I188" s="20" t="n">
        <v>1.1</v>
      </c>
      <c r="J188" s="14" t="n">
        <v>45</v>
      </c>
      <c r="K188" s="14" t="n">
        <v>95</v>
      </c>
      <c r="L188" s="20" t="n">
        <f aca="false">INDEX('Read me'!$B$10:$B$15,3)</f>
        <v>1.35</v>
      </c>
      <c r="M188" s="14" t="n">
        <f aca="false">IF(F188*(1+'Read me'!$B$5)&lt;='Read me'!$B$7,CEILING(F188*(1+'Read me'!$B$5)+0.5,1)-0.5,CEILING(F188*(1+'Read me'!$B$5),5))</f>
        <v>95</v>
      </c>
      <c r="N188" s="14" t="n">
        <f aca="false">IF(MAX(M188*L188,M188+'Read me'!$B$6)&lt;='Read me'!$B$7,CEILING(MAX(M188*L188,M188+'Read me'!$B$6)+0.5,1)-0.5,CEILING(MAX(M188*L188,M188+'Read me'!$B$6),5))</f>
        <v>130</v>
      </c>
      <c r="O188" s="21" t="n">
        <f aca="false">IF(ISNUMBER(J188),M188-J188,"new")</f>
        <v>50</v>
      </c>
    </row>
    <row r="189" customFormat="false" ht="15" hidden="false" customHeight="false" outlineLevel="0" collapsed="false">
      <c r="A189" s="2" t="s">
        <v>319</v>
      </c>
      <c r="B189" s="2" t="s">
        <v>184</v>
      </c>
      <c r="C189" s="2" t="s">
        <v>240</v>
      </c>
      <c r="D189" s="2" t="s">
        <v>13</v>
      </c>
      <c r="E189" s="2" t="s">
        <v>49</v>
      </c>
      <c r="F189" s="14" t="n">
        <v>102.25</v>
      </c>
      <c r="G189" s="2" t="n">
        <v>0</v>
      </c>
      <c r="H189" s="2" t="n">
        <v>21</v>
      </c>
      <c r="I189" s="20" t="n">
        <v>1.1</v>
      </c>
      <c r="J189" s="14" t="n">
        <v>45</v>
      </c>
      <c r="K189" s="14" t="n">
        <v>95</v>
      </c>
      <c r="L189" s="20" t="n">
        <f aca="false">INDEX('Read me'!$B$10:$B$15,3)</f>
        <v>1.35</v>
      </c>
      <c r="M189" s="14" t="n">
        <f aca="false">IF(F189*(1+'Read me'!$B$5)&lt;='Read me'!$B$7,CEILING(F189*(1+'Read me'!$B$5)+0.5,1)-0.5,CEILING(F189*(1+'Read me'!$B$5),5))</f>
        <v>105</v>
      </c>
      <c r="N189" s="14" t="n">
        <f aca="false">IF(MAX(M189*L189,M189+'Read me'!$B$6)&lt;='Read me'!$B$7,CEILING(MAX(M189*L189,M189+'Read me'!$B$6)+0.5,1)-0.5,CEILING(MAX(M189*L189,M189+'Read me'!$B$6),5))</f>
        <v>145</v>
      </c>
      <c r="O189" s="21" t="n">
        <f aca="false">IF(ISNUMBER(J189),M189-J189,"new")</f>
        <v>60</v>
      </c>
    </row>
    <row r="190" customFormat="false" ht="15" hidden="false" customHeight="false" outlineLevel="0" collapsed="false">
      <c r="A190" s="2" t="s">
        <v>320</v>
      </c>
      <c r="B190" s="2" t="s">
        <v>184</v>
      </c>
      <c r="C190" s="2" t="s">
        <v>240</v>
      </c>
      <c r="D190" s="2" t="s">
        <v>13</v>
      </c>
      <c r="E190" s="2" t="s">
        <v>50</v>
      </c>
      <c r="F190" s="14" t="n">
        <v>137.5</v>
      </c>
      <c r="G190" s="2" t="n">
        <v>0</v>
      </c>
      <c r="H190" s="2" t="n">
        <v>21</v>
      </c>
      <c r="I190" s="20" t="n">
        <v>1.1</v>
      </c>
      <c r="J190" s="14" t="n">
        <v>99</v>
      </c>
      <c r="K190" s="14" t="n">
        <v>150</v>
      </c>
      <c r="L190" s="20" t="n">
        <f aca="false">INDEX('Read me'!$B$10:$B$15,3)</f>
        <v>1.35</v>
      </c>
      <c r="M190" s="14" t="n">
        <f aca="false">IF(F190*(1+'Read me'!$B$5)&lt;='Read me'!$B$7,CEILING(F190*(1+'Read me'!$B$5)+0.5,1)-0.5,CEILING(F190*(1+'Read me'!$B$5),5))</f>
        <v>140</v>
      </c>
      <c r="N190" s="14" t="n">
        <f aca="false">IF(MAX(M190*L190,M190+'Read me'!$B$6)&lt;='Read me'!$B$7,CEILING(MAX(M190*L190,M190+'Read me'!$B$6)+0.5,1)-0.5,CEILING(MAX(M190*L190,M190+'Read me'!$B$6),5))</f>
        <v>190</v>
      </c>
      <c r="O190" s="21" t="n">
        <f aca="false">IF(ISNUMBER(J190),M190-J190,"new")</f>
        <v>41</v>
      </c>
    </row>
    <row r="191" customFormat="false" ht="15" hidden="false" customHeight="false" outlineLevel="0" collapsed="false">
      <c r="A191" s="2" t="s">
        <v>321</v>
      </c>
      <c r="B191" s="2" t="s">
        <v>184</v>
      </c>
      <c r="C191" s="2" t="s">
        <v>240</v>
      </c>
      <c r="D191" s="2" t="s">
        <v>14</v>
      </c>
      <c r="E191" s="2" t="s">
        <v>48</v>
      </c>
      <c r="F191" s="14" t="n">
        <v>157.38</v>
      </c>
      <c r="G191" s="2" t="n">
        <v>0</v>
      </c>
      <c r="H191" s="2" t="n">
        <v>21</v>
      </c>
      <c r="I191" s="20" t="n">
        <v>1.1</v>
      </c>
      <c r="J191" s="14" t="n">
        <v>99</v>
      </c>
      <c r="K191" s="14" t="n">
        <v>150</v>
      </c>
      <c r="L191" s="20" t="n">
        <f aca="false">INDEX('Read me'!$B$10:$B$15,4)</f>
        <v>1.2</v>
      </c>
      <c r="M191" s="14" t="n">
        <f aca="false">IF(F191*(1+'Read me'!$B$5)&lt;='Read me'!$B$7,CEILING(F191*(1+'Read me'!$B$5)+0.5,1)-0.5,CEILING(F191*(1+'Read me'!$B$5),5))</f>
        <v>160</v>
      </c>
      <c r="N191" s="14" t="n">
        <f aca="false">IF(MAX(M191*L191,M191+'Read me'!$B$6)&lt;='Read me'!$B$7,CEILING(MAX(M191*L191,M191+'Read me'!$B$6)+0.5,1)-0.5,CEILING(MAX(M191*L191,M191+'Read me'!$B$6),5))</f>
        <v>195</v>
      </c>
      <c r="O191" s="21" t="n">
        <f aca="false">IF(ISNUMBER(J191),M191-J191,"new")</f>
        <v>61</v>
      </c>
    </row>
    <row r="192" customFormat="false" ht="15" hidden="false" customHeight="false" outlineLevel="0" collapsed="false">
      <c r="A192" s="2" t="s">
        <v>322</v>
      </c>
      <c r="B192" s="2" t="s">
        <v>184</v>
      </c>
      <c r="C192" s="2" t="s">
        <v>240</v>
      </c>
      <c r="D192" s="2" t="s">
        <v>14</v>
      </c>
      <c r="E192" s="2" t="s">
        <v>49</v>
      </c>
      <c r="F192" s="14" t="n">
        <v>188.97</v>
      </c>
      <c r="G192" s="2" t="n">
        <v>0</v>
      </c>
      <c r="H192" s="2" t="n">
        <v>21</v>
      </c>
      <c r="I192" s="20" t="n">
        <v>1.1</v>
      </c>
      <c r="J192" s="14" t="n">
        <v>150</v>
      </c>
      <c r="K192" s="14" t="n">
        <v>150</v>
      </c>
      <c r="L192" s="20" t="n">
        <f aca="false">INDEX('Read me'!$B$10:$B$15,4)</f>
        <v>1.2</v>
      </c>
      <c r="M192" s="14" t="n">
        <f aca="false">IF(F192*(1+'Read me'!$B$5)&lt;='Read me'!$B$7,CEILING(F192*(1+'Read me'!$B$5)+0.5,1)-0.5,CEILING(F192*(1+'Read me'!$B$5),5))</f>
        <v>190</v>
      </c>
      <c r="N192" s="14" t="n">
        <f aca="false">IF(MAX(M192*L192,M192+'Read me'!$B$6)&lt;='Read me'!$B$7,CEILING(MAX(M192*L192,M192+'Read me'!$B$6)+0.5,1)-0.5,CEILING(MAX(M192*L192,M192+'Read me'!$B$6),5))</f>
        <v>230</v>
      </c>
      <c r="O192" s="21" t="n">
        <f aca="false">IF(ISNUMBER(J192),M192-J192,"new")</f>
        <v>40</v>
      </c>
    </row>
    <row r="193" customFormat="false" ht="15" hidden="false" customHeight="false" outlineLevel="0" collapsed="false">
      <c r="A193" s="2" t="s">
        <v>323</v>
      </c>
      <c r="B193" s="2" t="s">
        <v>184</v>
      </c>
      <c r="C193" s="2" t="s">
        <v>240</v>
      </c>
      <c r="D193" s="2" t="s">
        <v>14</v>
      </c>
      <c r="E193" s="2" t="s">
        <v>50</v>
      </c>
      <c r="F193" s="14" t="n">
        <v>227.73</v>
      </c>
      <c r="G193" s="2" t="n">
        <v>0</v>
      </c>
      <c r="H193" s="2" t="n">
        <v>21</v>
      </c>
      <c r="I193" s="20" t="n">
        <v>1.1</v>
      </c>
      <c r="J193" s="14" t="n">
        <v>250</v>
      </c>
      <c r="K193" s="14" t="n">
        <v>195</v>
      </c>
      <c r="L193" s="20" t="n">
        <f aca="false">INDEX('Read me'!$B$10:$B$15,4)</f>
        <v>1.2</v>
      </c>
      <c r="M193" s="14" t="n">
        <f aca="false">IF(F193*(1+'Read me'!$B$5)&lt;='Read me'!$B$7,CEILING(F193*(1+'Read me'!$B$5)+0.5,1)-0.5,CEILING(F193*(1+'Read me'!$B$5),5))</f>
        <v>230</v>
      </c>
      <c r="N193" s="14" t="n">
        <f aca="false">IF(MAX(M193*L193,M193+'Read me'!$B$6)&lt;='Read me'!$B$7,CEILING(MAX(M193*L193,M193+'Read me'!$B$6)+0.5,1)-0.5,CEILING(MAX(M193*L193,M193+'Read me'!$B$6),5))</f>
        <v>280</v>
      </c>
      <c r="O193" s="21" t="n">
        <f aca="false">IF(ISNUMBER(J193),M193-J193,"new")</f>
        <v>-20</v>
      </c>
    </row>
    <row r="194" customFormat="false" ht="15" hidden="false" customHeight="false" outlineLevel="0" collapsed="false">
      <c r="A194" s="2" t="s">
        <v>324</v>
      </c>
      <c r="B194" s="2" t="s">
        <v>184</v>
      </c>
      <c r="C194" s="2" t="s">
        <v>240</v>
      </c>
      <c r="D194" s="2" t="s">
        <v>15</v>
      </c>
      <c r="E194" s="2" t="s">
        <v>48</v>
      </c>
      <c r="F194" s="14" t="n">
        <v>199.76</v>
      </c>
      <c r="G194" s="2" t="n">
        <v>0</v>
      </c>
      <c r="H194" s="2" t="n">
        <v>21</v>
      </c>
      <c r="I194" s="20" t="n">
        <v>1.1</v>
      </c>
      <c r="J194" s="14" t="n">
        <v>300</v>
      </c>
      <c r="K194" s="14" t="n">
        <v>300</v>
      </c>
      <c r="L194" s="20" t="n">
        <f aca="false">INDEX('Read me'!$B$10:$B$15,5)</f>
        <v>1.2</v>
      </c>
      <c r="M194" s="14" t="n">
        <f aca="false">IF(F194*(1+'Read me'!$B$5)&lt;='Read me'!$B$7,CEILING(F194*(1+'Read me'!$B$5)+0.5,1)-0.5,CEILING(F194*(1+'Read me'!$B$5),5))</f>
        <v>200</v>
      </c>
      <c r="N194" s="14" t="n">
        <f aca="false">IF(MAX(M194*L194,M194+'Read me'!$B$6)&lt;='Read me'!$B$7,CEILING(MAX(M194*L194,M194+'Read me'!$B$6)+0.5,1)-0.5,CEILING(MAX(M194*L194,M194+'Read me'!$B$6),5))</f>
        <v>240</v>
      </c>
      <c r="O194" s="21" t="n">
        <f aca="false">IF(ISNUMBER(J194),M194-J194,"new")</f>
        <v>-100</v>
      </c>
    </row>
    <row r="195" customFormat="false" ht="15" hidden="false" customHeight="false" outlineLevel="0" collapsed="false">
      <c r="A195" s="2" t="s">
        <v>325</v>
      </c>
      <c r="B195" s="2" t="s">
        <v>184</v>
      </c>
      <c r="C195" s="2" t="s">
        <v>240</v>
      </c>
      <c r="D195" s="2" t="s">
        <v>15</v>
      </c>
      <c r="E195" s="2" t="s">
        <v>49</v>
      </c>
      <c r="F195" s="14" t="n">
        <v>246.45</v>
      </c>
      <c r="G195" s="2" t="n">
        <v>0</v>
      </c>
      <c r="H195" s="2" t="n">
        <v>21</v>
      </c>
      <c r="I195" s="20" t="n">
        <v>1.1</v>
      </c>
      <c r="J195" s="14" t="n">
        <v>300</v>
      </c>
      <c r="K195" s="14" t="n">
        <v>300</v>
      </c>
      <c r="L195" s="20" t="n">
        <f aca="false">INDEX('Read me'!$B$10:$B$15,5)</f>
        <v>1.2</v>
      </c>
      <c r="M195" s="14" t="n">
        <f aca="false">N195</f>
        <v>300</v>
      </c>
      <c r="N195" s="14" t="n">
        <f aca="false">IF(MAX((IF(F195*(1+'Read me'!$B$5)&lt;='Read me'!$B$7,CEILING(F195*(1+'Read me'!$B$5)+0.5,1)-0.5,CEILING(F195*(1+'Read me'!$B$5),5)))*L195,(IF(F195*(1+'Read me'!$B$5)&lt;='Read me'!$B$7,CEILING(F195*(1+'Read me'!$B$5)+0.5,1)-0.5,CEILING(F195*(1+'Read me'!$B$5),5)))+'Read me'!$B$6)&lt;='Read me'!$B$7,CEILING(MAX((IF(F195*(1+'Read me'!$B$5)&lt;='Read me'!$B$7,CEILING(F195*(1+'Read me'!$B$5)+0.5,1)-0.5,CEILING(F195*(1+'Read me'!$B$5),5)))*L195,(IF(F195*(1+'Read me'!$B$5)&lt;='Read me'!$B$7,CEILING(F195*(1+'Read me'!$B$5)+0.5,1)-0.5,CEILING(F195*(1+'Read me'!$B$5),5)))+'Read me'!$B$6)+0.5,1)-0.5,CEILING(MAX((IF(F195*(1+'Read me'!$B$5)&lt;='Read me'!$B$7,CEILING(F195*(1+'Read me'!$B$5)+0.5,1)-0.5,CEILING(F195*(1+'Read me'!$B$5),5)))*L195,(IF(F195*(1+'Read me'!$B$5)&lt;='Read me'!$B$7,CEILING(F195*(1+'Read me'!$B$5)+0.5,1)-0.5,CEILING(F195*(1+'Read me'!$B$5),5)))+'Read me'!$B$6),5))</f>
        <v>300</v>
      </c>
      <c r="O195" s="21" t="n">
        <f aca="false">IF(ISNUMBER(J195),M195-J195,"new")</f>
        <v>0</v>
      </c>
      <c r="P195" s="5" t="s">
        <v>140</v>
      </c>
    </row>
    <row r="196" customFormat="false" ht="15" hidden="false" customHeight="false" outlineLevel="0" collapsed="false">
      <c r="A196" s="2" t="s">
        <v>326</v>
      </c>
      <c r="B196" s="2" t="s">
        <v>184</v>
      </c>
      <c r="C196" s="2" t="s">
        <v>240</v>
      </c>
      <c r="D196" s="2" t="s">
        <v>15</v>
      </c>
      <c r="E196" s="2" t="s">
        <v>50</v>
      </c>
      <c r="F196" s="14" t="n">
        <v>296.12</v>
      </c>
      <c r="G196" s="2" t="n">
        <v>0</v>
      </c>
      <c r="H196" s="2" t="n">
        <v>21</v>
      </c>
      <c r="I196" s="20" t="n">
        <v>1.1</v>
      </c>
      <c r="J196" s="14" t="n">
        <v>350</v>
      </c>
      <c r="K196" s="14" t="n">
        <v>400</v>
      </c>
      <c r="L196" s="20" t="n">
        <f aca="false">INDEX('Read me'!$B$10:$B$15,5)</f>
        <v>1.2</v>
      </c>
      <c r="M196" s="14" t="n">
        <f aca="false">N196</f>
        <v>360</v>
      </c>
      <c r="N196" s="14" t="n">
        <f aca="false">IF(MAX((IF(F196*(1+'Read me'!$B$5)&lt;='Read me'!$B$7,CEILING(F196*(1+'Read me'!$B$5)+0.5,1)-0.5,CEILING(F196*(1+'Read me'!$B$5),5)))*L196,(IF(F196*(1+'Read me'!$B$5)&lt;='Read me'!$B$7,CEILING(F196*(1+'Read me'!$B$5)+0.5,1)-0.5,CEILING(F196*(1+'Read me'!$B$5),5)))+'Read me'!$B$6)&lt;='Read me'!$B$7,CEILING(MAX((IF(F196*(1+'Read me'!$B$5)&lt;='Read me'!$B$7,CEILING(F196*(1+'Read me'!$B$5)+0.5,1)-0.5,CEILING(F196*(1+'Read me'!$B$5),5)))*L196,(IF(F196*(1+'Read me'!$B$5)&lt;='Read me'!$B$7,CEILING(F196*(1+'Read me'!$B$5)+0.5,1)-0.5,CEILING(F196*(1+'Read me'!$B$5),5)))+'Read me'!$B$6)+0.5,1)-0.5,CEILING(MAX((IF(F196*(1+'Read me'!$B$5)&lt;='Read me'!$B$7,CEILING(F196*(1+'Read me'!$B$5)+0.5,1)-0.5,CEILING(F196*(1+'Read me'!$B$5),5)))*L196,(IF(F196*(1+'Read me'!$B$5)&lt;='Read me'!$B$7,CEILING(F196*(1+'Read me'!$B$5)+0.5,1)-0.5,CEILING(F196*(1+'Read me'!$B$5),5)))+'Read me'!$B$6),5))</f>
        <v>360</v>
      </c>
      <c r="O196" s="21" t="n">
        <f aca="false">IF(ISNUMBER(J196),M196-J196,"new")</f>
        <v>10</v>
      </c>
      <c r="P196" s="5" t="s">
        <v>140</v>
      </c>
    </row>
    <row r="197" customFormat="false" ht="15" hidden="false" customHeight="false" outlineLevel="0" collapsed="false">
      <c r="A197" s="2" t="s">
        <v>327</v>
      </c>
      <c r="B197" s="2" t="s">
        <v>184</v>
      </c>
      <c r="C197" s="2" t="s">
        <v>240</v>
      </c>
      <c r="D197" s="2" t="s">
        <v>16</v>
      </c>
      <c r="E197" s="2" t="s">
        <v>48</v>
      </c>
      <c r="F197" s="14" t="n">
        <v>277.38</v>
      </c>
      <c r="G197" s="2" t="n">
        <v>0</v>
      </c>
      <c r="H197" s="2" t="n">
        <v>21</v>
      </c>
      <c r="I197" s="20" t="n">
        <v>1.1</v>
      </c>
      <c r="J197" s="14"/>
      <c r="K197" s="14"/>
      <c r="L197" s="20" t="n">
        <f aca="false">INDEX('Read me'!$B$10:$B$15,6)</f>
        <v>1.2</v>
      </c>
      <c r="M197" s="14" t="n">
        <f aca="false">IF(F197*(1+'Read me'!$B$5)&lt;='Read me'!$B$7,CEILING(F197*(1+'Read me'!$B$5)+0.5,1)-0.5,CEILING(F197*(1+'Read me'!$B$5),5))</f>
        <v>280</v>
      </c>
      <c r="N197" s="14" t="n">
        <f aca="false">IF(MAX(M197*L197,M197+'Read me'!$B$6)&lt;='Read me'!$B$7,CEILING(MAX(M197*L197,M197+'Read me'!$B$6)+0.5,1)-0.5,CEILING(MAX(M197*L197,M197+'Read me'!$B$6),5))</f>
        <v>340</v>
      </c>
      <c r="O197" s="21" t="str">
        <f aca="false">IF(ISNUMBER(J197),M197-J197,"new")</f>
        <v>new</v>
      </c>
    </row>
    <row r="198" customFormat="false" ht="15" hidden="false" customHeight="false" outlineLevel="0" collapsed="false">
      <c r="A198" s="2" t="s">
        <v>328</v>
      </c>
      <c r="B198" s="2" t="s">
        <v>184</v>
      </c>
      <c r="C198" s="2" t="s">
        <v>240</v>
      </c>
      <c r="D198" s="2" t="s">
        <v>16</v>
      </c>
      <c r="E198" s="2" t="s">
        <v>49</v>
      </c>
      <c r="F198" s="14" t="n">
        <v>380.36</v>
      </c>
      <c r="G198" s="2" t="n">
        <v>1</v>
      </c>
      <c r="H198" s="2" t="n">
        <v>21</v>
      </c>
      <c r="I198" s="20" t="n">
        <v>1.1</v>
      </c>
      <c r="J198" s="14"/>
      <c r="K198" s="14"/>
      <c r="L198" s="20" t="n">
        <f aca="false">INDEX('Read me'!$B$10:$B$15,6)</f>
        <v>1.2</v>
      </c>
      <c r="M198" s="14" t="n">
        <f aca="false">N198</f>
        <v>465</v>
      </c>
      <c r="N198" s="14" t="n">
        <f aca="false">IF(MAX((IF(F198*(1+'Read me'!$B$5)&lt;='Read me'!$B$7,CEILING(F198*(1+'Read me'!$B$5)+0.5,1)-0.5,CEILING(F198*(1+'Read me'!$B$5),5)))*L198,(IF(F198*(1+'Read me'!$B$5)&lt;='Read me'!$B$7,CEILING(F198*(1+'Read me'!$B$5)+0.5,1)-0.5,CEILING(F198*(1+'Read me'!$B$5),5)))+'Read me'!$B$6)&lt;='Read me'!$B$7,CEILING(MAX((IF(F198*(1+'Read me'!$B$5)&lt;='Read me'!$B$7,CEILING(F198*(1+'Read me'!$B$5)+0.5,1)-0.5,CEILING(F198*(1+'Read me'!$B$5),5)))*L198,(IF(F198*(1+'Read me'!$B$5)&lt;='Read me'!$B$7,CEILING(F198*(1+'Read me'!$B$5)+0.5,1)-0.5,CEILING(F198*(1+'Read me'!$B$5),5)))+'Read me'!$B$6)+0.5,1)-0.5,CEILING(MAX((IF(F198*(1+'Read me'!$B$5)&lt;='Read me'!$B$7,CEILING(F198*(1+'Read me'!$B$5)+0.5,1)-0.5,CEILING(F198*(1+'Read me'!$B$5),5)))*L198,(IF(F198*(1+'Read me'!$B$5)&lt;='Read me'!$B$7,CEILING(F198*(1+'Read me'!$B$5)+0.5,1)-0.5,CEILING(F198*(1+'Read me'!$B$5),5)))+'Read me'!$B$6),5))</f>
        <v>465</v>
      </c>
      <c r="O198" s="21" t="str">
        <f aca="false">IF(ISNUMBER(J198),M198-J198,"new")</f>
        <v>new</v>
      </c>
      <c r="P198" s="5" t="s">
        <v>140</v>
      </c>
    </row>
    <row r="199" customFormat="false" ht="15" hidden="false" customHeight="false" outlineLevel="0" collapsed="false">
      <c r="A199" s="2" t="s">
        <v>329</v>
      </c>
      <c r="B199" s="2" t="s">
        <v>184</v>
      </c>
      <c r="C199" s="2" t="s">
        <v>240</v>
      </c>
      <c r="D199" s="2" t="s">
        <v>16</v>
      </c>
      <c r="E199" s="2" t="s">
        <v>50</v>
      </c>
      <c r="F199" s="14" t="n">
        <v>418.92</v>
      </c>
      <c r="G199" s="2" t="n">
        <v>0</v>
      </c>
      <c r="H199" s="2" t="n">
        <v>21</v>
      </c>
      <c r="I199" s="20" t="n">
        <v>1.1</v>
      </c>
      <c r="J199" s="14"/>
      <c r="K199" s="14"/>
      <c r="L199" s="20" t="n">
        <f aca="false">INDEX('Read me'!$B$10:$B$15,6)</f>
        <v>1.2</v>
      </c>
      <c r="M199" s="14" t="n">
        <f aca="false">N199</f>
        <v>505</v>
      </c>
      <c r="N199" s="14" t="n">
        <f aca="false">IF(MAX((IF(F199*(1+'Read me'!$B$5)&lt;='Read me'!$B$7,CEILING(F199*(1+'Read me'!$B$5)+0.5,1)-0.5,CEILING(F199*(1+'Read me'!$B$5),5)))*L199,(IF(F199*(1+'Read me'!$B$5)&lt;='Read me'!$B$7,CEILING(F199*(1+'Read me'!$B$5)+0.5,1)-0.5,CEILING(F199*(1+'Read me'!$B$5),5)))+'Read me'!$B$6)&lt;='Read me'!$B$7,CEILING(MAX((IF(F199*(1+'Read me'!$B$5)&lt;='Read me'!$B$7,CEILING(F199*(1+'Read me'!$B$5)+0.5,1)-0.5,CEILING(F199*(1+'Read me'!$B$5),5)))*L199,(IF(F199*(1+'Read me'!$B$5)&lt;='Read me'!$B$7,CEILING(F199*(1+'Read me'!$B$5)+0.5,1)-0.5,CEILING(F199*(1+'Read me'!$B$5),5)))+'Read me'!$B$6)+0.5,1)-0.5,CEILING(MAX((IF(F199*(1+'Read me'!$B$5)&lt;='Read me'!$B$7,CEILING(F199*(1+'Read me'!$B$5)+0.5,1)-0.5,CEILING(F199*(1+'Read me'!$B$5),5)))*L199,(IF(F199*(1+'Read me'!$B$5)&lt;='Read me'!$B$7,CEILING(F199*(1+'Read me'!$B$5)+0.5,1)-0.5,CEILING(F199*(1+'Read me'!$B$5),5)))+'Read me'!$B$6),5))</f>
        <v>505</v>
      </c>
      <c r="O199" s="21" t="str">
        <f aca="false">IF(ISNUMBER(J199),M199-J199,"new")</f>
        <v>new</v>
      </c>
      <c r="P199" s="5" t="s">
        <v>140</v>
      </c>
    </row>
    <row r="200" customFormat="false" ht="15" hidden="false" customHeight="false" outlineLevel="0" collapsed="false">
      <c r="A200" s="2" t="s">
        <v>330</v>
      </c>
      <c r="B200" s="2" t="s">
        <v>184</v>
      </c>
      <c r="C200" s="2" t="s">
        <v>184</v>
      </c>
      <c r="D200" s="2" t="s">
        <v>10</v>
      </c>
      <c r="E200" s="2" t="s">
        <v>48</v>
      </c>
      <c r="F200" s="14" t="n">
        <v>7.3</v>
      </c>
      <c r="G200" s="2" t="n">
        <v>276</v>
      </c>
      <c r="H200" s="2" t="n">
        <v>1433</v>
      </c>
      <c r="I200" s="20" t="n">
        <v>0.97</v>
      </c>
      <c r="J200" s="14" t="n">
        <v>9.5</v>
      </c>
      <c r="K200" s="14" t="n">
        <v>14.5</v>
      </c>
      <c r="L200" s="20" t="n">
        <f aca="false">INDEX('Read me'!$B$10:$B$15,1)</f>
        <v>1.34</v>
      </c>
      <c r="M200" s="14" t="n">
        <f aca="false">IF(F200*(1+'Read me'!$B$5)&lt;='Read me'!$B$7,CEILING(F200*(1+'Read me'!$B$5)+0.5,1)-0.5,CEILING(F200*(1+'Read me'!$B$5),5))</f>
        <v>7.5</v>
      </c>
      <c r="N200" s="14" t="n">
        <f aca="false">IF(MAX(M200*L200,M200+'Read me'!$B$6)&lt;='Read me'!$B$7,CEILING(MAX(M200*L200,M200+'Read me'!$B$6)+0.5,1)-0.5,CEILING(MAX(M200*L200,M200+'Read me'!$B$6),5))</f>
        <v>12.5</v>
      </c>
      <c r="O200" s="21" t="n">
        <f aca="false">IF(ISNUMBER(J200),M200-J200,"new")</f>
        <v>-2</v>
      </c>
    </row>
    <row r="201" customFormat="false" ht="15" hidden="false" customHeight="false" outlineLevel="0" collapsed="false">
      <c r="A201" s="2" t="s">
        <v>331</v>
      </c>
      <c r="B201" s="2" t="s">
        <v>184</v>
      </c>
      <c r="C201" s="2" t="s">
        <v>184</v>
      </c>
      <c r="D201" s="2" t="s">
        <v>10</v>
      </c>
      <c r="E201" s="2" t="s">
        <v>49</v>
      </c>
      <c r="F201" s="14" t="n">
        <v>11.94</v>
      </c>
      <c r="G201" s="2" t="n">
        <v>204</v>
      </c>
      <c r="H201" s="2" t="n">
        <v>1433</v>
      </c>
      <c r="I201" s="20" t="n">
        <v>0.97</v>
      </c>
      <c r="J201" s="14" t="n">
        <v>12.5</v>
      </c>
      <c r="K201" s="14" t="n">
        <v>17.5</v>
      </c>
      <c r="L201" s="20" t="n">
        <f aca="false">INDEX('Read me'!$B$10:$B$15,1)</f>
        <v>1.34</v>
      </c>
      <c r="M201" s="14" t="n">
        <f aca="false">IF(F201*(1+'Read me'!$B$5)&lt;='Read me'!$B$7,CEILING(F201*(1+'Read me'!$B$5)+0.5,1)-0.5,CEILING(F201*(1+'Read me'!$B$5),5))</f>
        <v>12.5</v>
      </c>
      <c r="N201" s="14" t="n">
        <f aca="false">IF(MAX(M201*L201,M201+'Read me'!$B$6)&lt;='Read me'!$B$7,CEILING(MAX(M201*L201,M201+'Read me'!$B$6)+0.5,1)-0.5,CEILING(MAX(M201*L201,M201+'Read me'!$B$6),5))</f>
        <v>17.5</v>
      </c>
      <c r="O201" s="21" t="n">
        <f aca="false">IF(ISNUMBER(J201),M201-J201,"new")</f>
        <v>0</v>
      </c>
    </row>
    <row r="202" customFormat="false" ht="15" hidden="false" customHeight="false" outlineLevel="0" collapsed="false">
      <c r="A202" s="2" t="s">
        <v>332</v>
      </c>
      <c r="B202" s="2" t="s">
        <v>184</v>
      </c>
      <c r="C202" s="2" t="s">
        <v>184</v>
      </c>
      <c r="D202" s="2" t="s">
        <v>10</v>
      </c>
      <c r="E202" s="2" t="s">
        <v>50</v>
      </c>
      <c r="F202" s="14" t="n">
        <v>16.71</v>
      </c>
      <c r="G202" s="2" t="n">
        <v>140</v>
      </c>
      <c r="H202" s="2" t="n">
        <v>1433</v>
      </c>
      <c r="I202" s="20" t="n">
        <v>0.97</v>
      </c>
      <c r="J202" s="14" t="n">
        <v>17.5</v>
      </c>
      <c r="K202" s="14" t="n">
        <v>24.5</v>
      </c>
      <c r="L202" s="20" t="n">
        <f aca="false">INDEX('Read me'!$B$10:$B$15,1)</f>
        <v>1.34</v>
      </c>
      <c r="M202" s="14" t="n">
        <f aca="false">IF(F202*(1+'Read me'!$B$5)&lt;='Read me'!$B$7,CEILING(F202*(1+'Read me'!$B$5)+0.5,1)-0.5,CEILING(F202*(1+'Read me'!$B$5),5))</f>
        <v>17.5</v>
      </c>
      <c r="N202" s="14" t="n">
        <f aca="false">IF(MAX(M202*L202,M202+'Read me'!$B$6)&lt;='Read me'!$B$7,CEILING(MAX(M202*L202,M202+'Read me'!$B$6)+0.5,1)-0.5,CEILING(MAX(M202*L202,M202+'Read me'!$B$6),5))</f>
        <v>23.5</v>
      </c>
      <c r="O202" s="21" t="n">
        <f aca="false">IF(ISNUMBER(J202),M202-J202,"new")</f>
        <v>0</v>
      </c>
    </row>
    <row r="203" customFormat="false" ht="15" hidden="false" customHeight="false" outlineLevel="0" collapsed="false">
      <c r="A203" s="2" t="s">
        <v>333</v>
      </c>
      <c r="B203" s="2" t="s">
        <v>184</v>
      </c>
      <c r="C203" s="2" t="s">
        <v>184</v>
      </c>
      <c r="D203" s="2" t="s">
        <v>12</v>
      </c>
      <c r="E203" s="2" t="s">
        <v>48</v>
      </c>
      <c r="F203" s="14" t="n">
        <v>26.09</v>
      </c>
      <c r="G203" s="2" t="n">
        <v>247</v>
      </c>
      <c r="H203" s="2" t="n">
        <v>1433</v>
      </c>
      <c r="I203" s="20" t="n">
        <v>0.97</v>
      </c>
      <c r="J203" s="14" t="n">
        <v>9.5</v>
      </c>
      <c r="K203" s="14" t="n">
        <v>19.5</v>
      </c>
      <c r="L203" s="20" t="n">
        <f aca="false">INDEX('Read me'!$B$10:$B$15,2)</f>
        <v>1.26</v>
      </c>
      <c r="M203" s="14" t="n">
        <f aca="false">IF(F203*(1+'Read me'!$B$5)&lt;='Read me'!$B$7,CEILING(F203*(1+'Read me'!$B$5)+0.5,1)-0.5,CEILING(F203*(1+'Read me'!$B$5),5))</f>
        <v>26.5</v>
      </c>
      <c r="N203" s="14" t="n">
        <f aca="false">IF(MAX(M203*L203,M203+'Read me'!$B$6)&lt;='Read me'!$B$7,CEILING(MAX(M203*L203,M203+'Read me'!$B$6)+0.5,1)-0.5,CEILING(MAX(M203*L203,M203+'Read me'!$B$6),5))</f>
        <v>35</v>
      </c>
      <c r="O203" s="21" t="n">
        <f aca="false">IF(ISNUMBER(J203),M203-J203,"new")</f>
        <v>17</v>
      </c>
    </row>
    <row r="204" customFormat="false" ht="15" hidden="false" customHeight="false" outlineLevel="0" collapsed="false">
      <c r="A204" s="2" t="s">
        <v>334</v>
      </c>
      <c r="B204" s="2" t="s">
        <v>184</v>
      </c>
      <c r="C204" s="2" t="s">
        <v>184</v>
      </c>
      <c r="D204" s="2" t="s">
        <v>12</v>
      </c>
      <c r="E204" s="2" t="s">
        <v>49</v>
      </c>
      <c r="F204" s="14" t="n">
        <v>43.42</v>
      </c>
      <c r="G204" s="2" t="n">
        <v>236</v>
      </c>
      <c r="H204" s="2" t="n">
        <v>1433</v>
      </c>
      <c r="I204" s="20" t="n">
        <v>0.97</v>
      </c>
      <c r="J204" s="14" t="n">
        <v>12.5</v>
      </c>
      <c r="K204" s="14" t="n">
        <v>19.5</v>
      </c>
      <c r="L204" s="20" t="n">
        <f aca="false">INDEX('Read me'!$B$10:$B$15,2)</f>
        <v>1.26</v>
      </c>
      <c r="M204" s="14" t="n">
        <f aca="false">IF(F204*(1+'Read me'!$B$5)&lt;='Read me'!$B$7,CEILING(F204*(1+'Read me'!$B$5)+0.5,1)-0.5,CEILING(F204*(1+'Read me'!$B$5),5))</f>
        <v>45</v>
      </c>
      <c r="N204" s="14" t="n">
        <f aca="false">IF(MAX(M204*L204,M204+'Read me'!$B$6)&lt;='Read me'!$B$7,CEILING(MAX(M204*L204,M204+'Read me'!$B$6)+0.5,1)-0.5,CEILING(MAX(M204*L204,M204+'Read me'!$B$6),5))</f>
        <v>60</v>
      </c>
      <c r="O204" s="21" t="n">
        <f aca="false">IF(ISNUMBER(J204),M204-J204,"new")</f>
        <v>32.5</v>
      </c>
    </row>
    <row r="205" customFormat="false" ht="15" hidden="false" customHeight="false" outlineLevel="0" collapsed="false">
      <c r="A205" s="2" t="s">
        <v>335</v>
      </c>
      <c r="B205" s="2" t="s">
        <v>184</v>
      </c>
      <c r="C205" s="2" t="s">
        <v>184</v>
      </c>
      <c r="D205" s="2" t="s">
        <v>12</v>
      </c>
      <c r="E205" s="2" t="s">
        <v>50</v>
      </c>
      <c r="F205" s="14" t="n">
        <v>48.83</v>
      </c>
      <c r="G205" s="2" t="n">
        <v>178</v>
      </c>
      <c r="H205" s="2" t="n">
        <v>1433</v>
      </c>
      <c r="I205" s="20" t="n">
        <v>0.97</v>
      </c>
      <c r="J205" s="14" t="n">
        <v>19.5</v>
      </c>
      <c r="K205" s="14" t="n">
        <v>29.5</v>
      </c>
      <c r="L205" s="20" t="n">
        <f aca="false">INDEX('Read me'!$B$10:$B$15,2)</f>
        <v>1.26</v>
      </c>
      <c r="M205" s="14" t="n">
        <f aca="false">IF(F205*(1+'Read me'!$B$5)&lt;='Read me'!$B$7,CEILING(F205*(1+'Read me'!$B$5)+0.5,1)-0.5,CEILING(F205*(1+'Read me'!$B$5),5))</f>
        <v>50</v>
      </c>
      <c r="N205" s="14" t="n">
        <f aca="false">IF(MAX(M205*L205,M205+'Read me'!$B$6)&lt;='Read me'!$B$7,CEILING(MAX(M205*L205,M205+'Read me'!$B$6)+0.5,1)-0.5,CEILING(MAX(M205*L205,M205+'Read me'!$B$6),5))</f>
        <v>65</v>
      </c>
      <c r="O205" s="21" t="n">
        <f aca="false">IF(ISNUMBER(J205),M205-J205,"new")</f>
        <v>30.5</v>
      </c>
    </row>
    <row r="206" customFormat="false" ht="15" hidden="false" customHeight="false" outlineLevel="0" collapsed="false">
      <c r="A206" s="2" t="s">
        <v>336</v>
      </c>
      <c r="B206" s="2" t="s">
        <v>184</v>
      </c>
      <c r="C206" s="2" t="s">
        <v>184</v>
      </c>
      <c r="D206" s="2" t="s">
        <v>13</v>
      </c>
      <c r="E206" s="2" t="s">
        <v>48</v>
      </c>
      <c r="F206" s="14" t="n">
        <v>50.19</v>
      </c>
      <c r="G206" s="2" t="n">
        <v>25</v>
      </c>
      <c r="H206" s="2" t="n">
        <v>1433</v>
      </c>
      <c r="I206" s="20" t="n">
        <v>0.97</v>
      </c>
      <c r="J206" s="14" t="n">
        <v>19</v>
      </c>
      <c r="K206" s="14" t="n">
        <v>45</v>
      </c>
      <c r="L206" s="20" t="n">
        <f aca="false">INDEX('Read me'!$B$10:$B$15,3)</f>
        <v>1.35</v>
      </c>
      <c r="M206" s="14" t="n">
        <f aca="false">IF(F206*(1+'Read me'!$B$5)&lt;='Read me'!$B$7,CEILING(F206*(1+'Read me'!$B$5)+0.5,1)-0.5,CEILING(F206*(1+'Read me'!$B$5),5))</f>
        <v>55</v>
      </c>
      <c r="N206" s="14" t="n">
        <f aca="false">IF(MAX(M206*L206,M206+'Read me'!$B$6)&lt;='Read me'!$B$7,CEILING(MAX(M206*L206,M206+'Read me'!$B$6)+0.5,1)-0.5,CEILING(MAX(M206*L206,M206+'Read me'!$B$6),5))</f>
        <v>75</v>
      </c>
      <c r="O206" s="21" t="n">
        <f aca="false">IF(ISNUMBER(J206),M206-J206,"new")</f>
        <v>36</v>
      </c>
    </row>
    <row r="207" customFormat="false" ht="15" hidden="false" customHeight="false" outlineLevel="0" collapsed="false">
      <c r="A207" s="2" t="s">
        <v>337</v>
      </c>
      <c r="B207" s="2" t="s">
        <v>184</v>
      </c>
      <c r="C207" s="2" t="s">
        <v>184</v>
      </c>
      <c r="D207" s="2" t="s">
        <v>13</v>
      </c>
      <c r="E207" s="2" t="s">
        <v>49</v>
      </c>
      <c r="F207" s="14" t="n">
        <v>70.87</v>
      </c>
      <c r="G207" s="2" t="n">
        <v>29</v>
      </c>
      <c r="H207" s="2" t="n">
        <v>1433</v>
      </c>
      <c r="I207" s="20" t="n">
        <v>0.97</v>
      </c>
      <c r="J207" s="14" t="n">
        <v>24.5</v>
      </c>
      <c r="K207" s="14" t="n">
        <v>45</v>
      </c>
      <c r="L207" s="20" t="n">
        <f aca="false">INDEX('Read me'!$B$10:$B$15,3)</f>
        <v>1.35</v>
      </c>
      <c r="M207" s="14" t="n">
        <f aca="false">IF(F207*(1+'Read me'!$B$5)&lt;='Read me'!$B$7,CEILING(F207*(1+'Read me'!$B$5)+0.5,1)-0.5,CEILING(F207*(1+'Read me'!$B$5),5))</f>
        <v>75</v>
      </c>
      <c r="N207" s="14" t="n">
        <f aca="false">IF(MAX(M207*L207,M207+'Read me'!$B$6)&lt;='Read me'!$B$7,CEILING(MAX(M207*L207,M207+'Read me'!$B$6)+0.5,1)-0.5,CEILING(MAX(M207*L207,M207+'Read me'!$B$6),5))</f>
        <v>105</v>
      </c>
      <c r="O207" s="21" t="n">
        <f aca="false">IF(ISNUMBER(J207),M207-J207,"new")</f>
        <v>50.5</v>
      </c>
    </row>
    <row r="208" customFormat="false" ht="15" hidden="false" customHeight="false" outlineLevel="0" collapsed="false">
      <c r="A208" s="2" t="s">
        <v>338</v>
      </c>
      <c r="B208" s="2" t="s">
        <v>184</v>
      </c>
      <c r="C208" s="2" t="s">
        <v>184</v>
      </c>
      <c r="D208" s="2" t="s">
        <v>13</v>
      </c>
      <c r="E208" s="2" t="s">
        <v>50</v>
      </c>
      <c r="F208" s="14" t="n">
        <v>79.86</v>
      </c>
      <c r="G208" s="2" t="n">
        <v>23</v>
      </c>
      <c r="H208" s="2" t="n">
        <v>1433</v>
      </c>
      <c r="I208" s="20" t="n">
        <v>0.97</v>
      </c>
      <c r="J208" s="14" t="n">
        <v>50</v>
      </c>
      <c r="K208" s="14" t="n">
        <v>95</v>
      </c>
      <c r="L208" s="20" t="n">
        <f aca="false">INDEX('Read me'!$B$10:$B$15,3)</f>
        <v>1.35</v>
      </c>
      <c r="M208" s="14" t="n">
        <f aca="false">IF(F208*(1+'Read me'!$B$5)&lt;='Read me'!$B$7,CEILING(F208*(1+'Read me'!$B$5)+0.5,1)-0.5,CEILING(F208*(1+'Read me'!$B$5),5))</f>
        <v>80</v>
      </c>
      <c r="N208" s="14" t="n">
        <f aca="false">IF(MAX(M208*L208,M208+'Read me'!$B$6)&lt;='Read me'!$B$7,CEILING(MAX(M208*L208,M208+'Read me'!$B$6)+0.5,1)-0.5,CEILING(MAX(M208*L208,M208+'Read me'!$B$6),5))</f>
        <v>110</v>
      </c>
      <c r="O208" s="21" t="n">
        <f aca="false">IF(ISNUMBER(J208),M208-J208,"new")</f>
        <v>30</v>
      </c>
    </row>
    <row r="209" customFormat="false" ht="15" hidden="false" customHeight="false" outlineLevel="0" collapsed="false">
      <c r="A209" s="2" t="s">
        <v>339</v>
      </c>
      <c r="B209" s="2" t="s">
        <v>184</v>
      </c>
      <c r="C209" s="2" t="s">
        <v>184</v>
      </c>
      <c r="D209" s="2" t="s">
        <v>14</v>
      </c>
      <c r="E209" s="2" t="s">
        <v>48</v>
      </c>
      <c r="F209" s="14" t="n">
        <v>104.14</v>
      </c>
      <c r="G209" s="2" t="n">
        <v>19</v>
      </c>
      <c r="H209" s="2" t="n">
        <v>1433</v>
      </c>
      <c r="I209" s="20" t="n">
        <v>0.97</v>
      </c>
      <c r="J209" s="14" t="n">
        <v>25</v>
      </c>
      <c r="K209" s="14" t="n">
        <v>85</v>
      </c>
      <c r="L209" s="20" t="n">
        <f aca="false">INDEX('Read me'!$B$10:$B$15,4)</f>
        <v>1.2</v>
      </c>
      <c r="M209" s="14" t="n">
        <f aca="false">IF(F209*(1+'Read me'!$B$5)&lt;='Read me'!$B$7,CEILING(F209*(1+'Read me'!$B$5)+0.5,1)-0.5,CEILING(F209*(1+'Read me'!$B$5),5))</f>
        <v>105</v>
      </c>
      <c r="N209" s="14" t="n">
        <f aca="false">IF(MAX(M209*L209,M209+'Read me'!$B$6)&lt;='Read me'!$B$7,CEILING(MAX(M209*L209,M209+'Read me'!$B$6)+0.5,1)-0.5,CEILING(MAX(M209*L209,M209+'Read me'!$B$6),5))</f>
        <v>130</v>
      </c>
      <c r="O209" s="21" t="n">
        <f aca="false">IF(ISNUMBER(J209),M209-J209,"new")</f>
        <v>80</v>
      </c>
    </row>
    <row r="210" customFormat="false" ht="15" hidden="false" customHeight="false" outlineLevel="0" collapsed="false">
      <c r="A210" s="2" t="s">
        <v>340</v>
      </c>
      <c r="B210" s="2" t="s">
        <v>184</v>
      </c>
      <c r="C210" s="2" t="s">
        <v>184</v>
      </c>
      <c r="D210" s="2" t="s">
        <v>14</v>
      </c>
      <c r="E210" s="2" t="s">
        <v>49</v>
      </c>
      <c r="F210" s="14" t="n">
        <v>131.82</v>
      </c>
      <c r="G210" s="2" t="n">
        <v>21</v>
      </c>
      <c r="H210" s="2" t="n">
        <v>1433</v>
      </c>
      <c r="I210" s="20" t="n">
        <v>0.97</v>
      </c>
      <c r="J210" s="14" t="n">
        <v>45</v>
      </c>
      <c r="K210" s="14" t="n">
        <v>125</v>
      </c>
      <c r="L210" s="20" t="n">
        <f aca="false">INDEX('Read me'!$B$10:$B$15,4)</f>
        <v>1.2</v>
      </c>
      <c r="M210" s="14" t="n">
        <f aca="false">IF(F210*(1+'Read me'!$B$5)&lt;='Read me'!$B$7,CEILING(F210*(1+'Read me'!$B$5)+0.5,1)-0.5,CEILING(F210*(1+'Read me'!$B$5),5))</f>
        <v>135</v>
      </c>
      <c r="N210" s="14" t="n">
        <f aca="false">IF(MAX(M210*L210,M210+'Read me'!$B$6)&lt;='Read me'!$B$7,CEILING(MAX(M210*L210,M210+'Read me'!$B$6)+0.5,1)-0.5,CEILING(MAX(M210*L210,M210+'Read me'!$B$6),5))</f>
        <v>165</v>
      </c>
      <c r="O210" s="21" t="n">
        <f aca="false">IF(ISNUMBER(J210),M210-J210,"new")</f>
        <v>90</v>
      </c>
    </row>
    <row r="211" customFormat="false" ht="15" hidden="false" customHeight="false" outlineLevel="0" collapsed="false">
      <c r="A211" s="2" t="s">
        <v>341</v>
      </c>
      <c r="B211" s="2" t="s">
        <v>184</v>
      </c>
      <c r="C211" s="2" t="s">
        <v>184</v>
      </c>
      <c r="D211" s="2" t="s">
        <v>14</v>
      </c>
      <c r="E211" s="2" t="s">
        <v>50</v>
      </c>
      <c r="F211" s="14" t="n">
        <v>174.77</v>
      </c>
      <c r="G211" s="2" t="n">
        <v>11</v>
      </c>
      <c r="H211" s="2" t="n">
        <v>1433</v>
      </c>
      <c r="I211" s="20" t="n">
        <v>0.97</v>
      </c>
      <c r="J211" s="14" t="n">
        <v>85</v>
      </c>
      <c r="K211" s="14" t="n">
        <v>150</v>
      </c>
      <c r="L211" s="20" t="n">
        <f aca="false">INDEX('Read me'!$B$10:$B$15,4)</f>
        <v>1.2</v>
      </c>
      <c r="M211" s="14" t="n">
        <f aca="false">IF(F211*(1+'Read me'!$B$5)&lt;='Read me'!$B$7,CEILING(F211*(1+'Read me'!$B$5)+0.5,1)-0.5,CEILING(F211*(1+'Read me'!$B$5),5))</f>
        <v>175</v>
      </c>
      <c r="N211" s="14" t="n">
        <f aca="false">IF(MAX(M211*L211,M211+'Read me'!$B$6)&lt;='Read me'!$B$7,CEILING(MAX(M211*L211,M211+'Read me'!$B$6)+0.5,1)-0.5,CEILING(MAX(M211*L211,M211+'Read me'!$B$6),5))</f>
        <v>210</v>
      </c>
      <c r="O211" s="21" t="n">
        <f aca="false">IF(ISNUMBER(J211),M211-J211,"new")</f>
        <v>90</v>
      </c>
    </row>
    <row r="212" customFormat="false" ht="15" hidden="false" customHeight="false" outlineLevel="0" collapsed="false">
      <c r="A212" s="2" t="s">
        <v>342</v>
      </c>
      <c r="B212" s="2" t="s">
        <v>184</v>
      </c>
      <c r="C212" s="2" t="s">
        <v>184</v>
      </c>
      <c r="D212" s="2" t="s">
        <v>15</v>
      </c>
      <c r="E212" s="2" t="s">
        <v>48</v>
      </c>
      <c r="F212" s="14" t="n">
        <v>115.58</v>
      </c>
      <c r="G212" s="2" t="n">
        <v>2</v>
      </c>
      <c r="H212" s="2" t="n">
        <v>1433</v>
      </c>
      <c r="I212" s="20" t="n">
        <v>0.97</v>
      </c>
      <c r="J212" s="14" t="n">
        <v>45</v>
      </c>
      <c r="K212" s="14" t="n">
        <v>85</v>
      </c>
      <c r="L212" s="20" t="n">
        <f aca="false">INDEX('Read me'!$B$10:$B$15,5)</f>
        <v>1.2</v>
      </c>
      <c r="M212" s="14" t="n">
        <f aca="false">IF(F212*(1+'Read me'!$B$5)&lt;='Read me'!$B$7,CEILING(F212*(1+'Read me'!$B$5)+0.5,1)-0.5,CEILING(F212*(1+'Read me'!$B$5),5))</f>
        <v>120</v>
      </c>
      <c r="N212" s="14" t="n">
        <f aca="false">IF(MAX(M212*L212,M212+'Read me'!$B$6)&lt;='Read me'!$B$7,CEILING(MAX(M212*L212,M212+'Read me'!$B$6)+0.5,1)-0.5,CEILING(MAX(M212*L212,M212+'Read me'!$B$6),5))</f>
        <v>145</v>
      </c>
      <c r="O212" s="21" t="n">
        <f aca="false">IF(ISNUMBER(J212),M212-J212,"new")</f>
        <v>75</v>
      </c>
    </row>
    <row r="213" customFormat="false" ht="15" hidden="false" customHeight="false" outlineLevel="0" collapsed="false">
      <c r="A213" s="2" t="s">
        <v>343</v>
      </c>
      <c r="B213" s="2" t="s">
        <v>184</v>
      </c>
      <c r="C213" s="2" t="s">
        <v>184</v>
      </c>
      <c r="D213" s="2" t="s">
        <v>15</v>
      </c>
      <c r="E213" s="2" t="s">
        <v>49</v>
      </c>
      <c r="F213" s="14" t="n">
        <v>150.81</v>
      </c>
      <c r="G213" s="2" t="n">
        <v>2</v>
      </c>
      <c r="H213" s="2" t="n">
        <v>1433</v>
      </c>
      <c r="I213" s="20" t="n">
        <v>0.97</v>
      </c>
      <c r="J213" s="14" t="n">
        <v>85</v>
      </c>
      <c r="K213" s="14" t="n">
        <v>125</v>
      </c>
      <c r="L213" s="20" t="n">
        <f aca="false">INDEX('Read me'!$B$10:$B$15,5)</f>
        <v>1.2</v>
      </c>
      <c r="M213" s="14" t="n">
        <f aca="false">IF(F213*(1+'Read me'!$B$5)&lt;='Read me'!$B$7,CEILING(F213*(1+'Read me'!$B$5)+0.5,1)-0.5,CEILING(F213*(1+'Read me'!$B$5),5))</f>
        <v>155</v>
      </c>
      <c r="N213" s="14" t="n">
        <f aca="false">IF(MAX(M213*L213,M213+'Read me'!$B$6)&lt;='Read me'!$B$7,CEILING(MAX(M213*L213,M213+'Read me'!$B$6)+0.5,1)-0.5,CEILING(MAX(M213*L213,M213+'Read me'!$B$6),5))</f>
        <v>190</v>
      </c>
      <c r="O213" s="21" t="n">
        <f aca="false">IF(ISNUMBER(J213),M213-J213,"new")</f>
        <v>70</v>
      </c>
    </row>
    <row r="214" customFormat="false" ht="15" hidden="false" customHeight="false" outlineLevel="0" collapsed="false">
      <c r="A214" s="2" t="s">
        <v>344</v>
      </c>
      <c r="B214" s="2" t="s">
        <v>184</v>
      </c>
      <c r="C214" s="2" t="s">
        <v>184</v>
      </c>
      <c r="D214" s="2" t="s">
        <v>15</v>
      </c>
      <c r="E214" s="2" t="s">
        <v>50</v>
      </c>
      <c r="F214" s="14" t="n">
        <v>238.53</v>
      </c>
      <c r="G214" s="2" t="n">
        <v>0</v>
      </c>
      <c r="H214" s="2" t="n">
        <v>1433</v>
      </c>
      <c r="I214" s="20" t="n">
        <v>0.97</v>
      </c>
      <c r="J214" s="14" t="n">
        <v>250</v>
      </c>
      <c r="K214" s="14" t="n">
        <v>350</v>
      </c>
      <c r="L214" s="20" t="n">
        <f aca="false">INDEX('Read me'!$B$10:$B$15,5)</f>
        <v>1.2</v>
      </c>
      <c r="M214" s="14" t="n">
        <f aca="false">IF(F214*(1+'Read me'!$B$5)&lt;='Read me'!$B$7,CEILING(F214*(1+'Read me'!$B$5)+0.5,1)-0.5,CEILING(F214*(1+'Read me'!$B$5),5))</f>
        <v>240</v>
      </c>
      <c r="N214" s="14" t="n">
        <f aca="false">IF(MAX(M214*L214,M214+'Read me'!$B$6)&lt;='Read me'!$B$7,CEILING(MAX(M214*L214,M214+'Read me'!$B$6)+0.5,1)-0.5,CEILING(MAX(M214*L214,M214+'Read me'!$B$6),5))</f>
        <v>290</v>
      </c>
      <c r="O214" s="21" t="n">
        <f aca="false">IF(ISNUMBER(J214),M214-J214,"new")</f>
        <v>-10</v>
      </c>
    </row>
    <row r="215" customFormat="false" ht="15" hidden="false" customHeight="false" outlineLevel="0" collapsed="false">
      <c r="A215" s="2" t="s">
        <v>345</v>
      </c>
      <c r="B215" s="2" t="s">
        <v>184</v>
      </c>
      <c r="C215" s="2" t="s">
        <v>184</v>
      </c>
      <c r="D215" s="2" t="s">
        <v>16</v>
      </c>
      <c r="E215" s="2" t="s">
        <v>48</v>
      </c>
      <c r="F215" s="14" t="n">
        <v>134.92</v>
      </c>
      <c r="G215" s="2" t="n">
        <v>10</v>
      </c>
      <c r="H215" s="2" t="n">
        <v>1433</v>
      </c>
      <c r="I215" s="20" t="n">
        <v>0.97</v>
      </c>
      <c r="J215" s="14"/>
      <c r="K215" s="14"/>
      <c r="L215" s="20" t="n">
        <f aca="false">INDEX('Read me'!$B$10:$B$15,6)</f>
        <v>1.2</v>
      </c>
      <c r="M215" s="14" t="n">
        <f aca="false">IF(F215*(1+'Read me'!$B$5)&lt;='Read me'!$B$7,CEILING(F215*(1+'Read me'!$B$5)+0.5,1)-0.5,CEILING(F215*(1+'Read me'!$B$5),5))</f>
        <v>135</v>
      </c>
      <c r="N215" s="14" t="n">
        <f aca="false">IF(MAX(M215*L215,M215+'Read me'!$B$6)&lt;='Read me'!$B$7,CEILING(MAX(M215*L215,M215+'Read me'!$B$6)+0.5,1)-0.5,CEILING(MAX(M215*L215,M215+'Read me'!$B$6),5))</f>
        <v>165</v>
      </c>
      <c r="O215" s="21" t="str">
        <f aca="false">IF(ISNUMBER(J215),M215-J215,"new")</f>
        <v>new</v>
      </c>
    </row>
    <row r="216" customFormat="false" ht="15" hidden="false" customHeight="false" outlineLevel="0" collapsed="false">
      <c r="A216" s="2" t="s">
        <v>346</v>
      </c>
      <c r="B216" s="2" t="s">
        <v>184</v>
      </c>
      <c r="C216" s="2" t="s">
        <v>184</v>
      </c>
      <c r="D216" s="2" t="s">
        <v>16</v>
      </c>
      <c r="E216" s="2" t="s">
        <v>49</v>
      </c>
      <c r="F216" s="14" t="n">
        <v>214.1</v>
      </c>
      <c r="G216" s="2" t="n">
        <v>8</v>
      </c>
      <c r="H216" s="2" t="n">
        <v>1433</v>
      </c>
      <c r="I216" s="20" t="n">
        <v>0.97</v>
      </c>
      <c r="J216" s="14"/>
      <c r="K216" s="14"/>
      <c r="L216" s="20" t="n">
        <f aca="false">INDEX('Read me'!$B$10:$B$15,6)</f>
        <v>1.2</v>
      </c>
      <c r="M216" s="14" t="n">
        <f aca="false">IF(F216*(1+'Read me'!$B$5)&lt;='Read me'!$B$7,CEILING(F216*(1+'Read me'!$B$5)+0.5,1)-0.5,CEILING(F216*(1+'Read me'!$B$5),5))</f>
        <v>215</v>
      </c>
      <c r="N216" s="14" t="n">
        <f aca="false">IF(MAX(M216*L216,M216+'Read me'!$B$6)&lt;='Read me'!$B$7,CEILING(MAX(M216*L216,M216+'Read me'!$B$6)+0.5,1)-0.5,CEILING(MAX(M216*L216,M216+'Read me'!$B$6),5))</f>
        <v>260</v>
      </c>
      <c r="O216" s="21" t="str">
        <f aca="false">IF(ISNUMBER(J216),M216-J216,"new")</f>
        <v>new</v>
      </c>
    </row>
    <row r="217" customFormat="false" ht="15" hidden="false" customHeight="false" outlineLevel="0" collapsed="false">
      <c r="A217" s="2" t="s">
        <v>347</v>
      </c>
      <c r="B217" s="2" t="s">
        <v>184</v>
      </c>
      <c r="C217" s="2" t="s">
        <v>184</v>
      </c>
      <c r="D217" s="2" t="s">
        <v>16</v>
      </c>
      <c r="E217" s="2" t="s">
        <v>50</v>
      </c>
      <c r="F217" s="14" t="n">
        <v>284.79</v>
      </c>
      <c r="G217" s="2" t="n">
        <v>2</v>
      </c>
      <c r="H217" s="2" t="n">
        <v>1433</v>
      </c>
      <c r="I217" s="20" t="n">
        <v>0.97</v>
      </c>
      <c r="J217" s="14"/>
      <c r="K217" s="14"/>
      <c r="L217" s="20" t="n">
        <f aca="false">INDEX('Read me'!$B$10:$B$15,6)</f>
        <v>1.2</v>
      </c>
      <c r="M217" s="14" t="n">
        <f aca="false">IF(F217*(1+'Read me'!$B$5)&lt;='Read me'!$B$7,CEILING(F217*(1+'Read me'!$B$5)+0.5,1)-0.5,CEILING(F217*(1+'Read me'!$B$5),5))</f>
        <v>285</v>
      </c>
      <c r="N217" s="14" t="n">
        <f aca="false">IF(MAX(M217*L217,M217+'Read me'!$B$6)&lt;='Read me'!$B$7,CEILING(MAX(M217*L217,M217+'Read me'!$B$6)+0.5,1)-0.5,CEILING(MAX(M217*L217,M217+'Read me'!$B$6),5))</f>
        <v>345</v>
      </c>
      <c r="O217" s="21" t="str">
        <f aca="false">IF(ISNUMBER(J217),M217-J217,"new")</f>
        <v>new</v>
      </c>
    </row>
    <row r="218" customFormat="false" ht="15" hidden="false" customHeight="false" outlineLevel="0" collapsed="false">
      <c r="A218" s="2" t="s">
        <v>348</v>
      </c>
      <c r="B218" s="2" t="s">
        <v>184</v>
      </c>
      <c r="C218" s="2" t="s">
        <v>221</v>
      </c>
      <c r="D218" s="2" t="s">
        <v>10</v>
      </c>
      <c r="E218" s="2" t="s">
        <v>48</v>
      </c>
      <c r="F218" s="14" t="n">
        <v>11.98</v>
      </c>
      <c r="G218" s="2" t="n">
        <v>5</v>
      </c>
      <c r="H218" s="2" t="n">
        <v>21</v>
      </c>
      <c r="I218" s="20" t="n">
        <v>0.99</v>
      </c>
      <c r="J218" s="14" t="n">
        <v>19.5</v>
      </c>
      <c r="K218" s="14" t="n">
        <v>24.5</v>
      </c>
      <c r="L218" s="20" t="n">
        <f aca="false">INDEX('Read me'!$B$10:$B$15,1)</f>
        <v>1.34</v>
      </c>
      <c r="M218" s="14" t="n">
        <f aca="false">IF(F218*(1+'Read me'!$B$5)&lt;='Read me'!$B$7,CEILING(F218*(1+'Read me'!$B$5)+0.5,1)-0.5,CEILING(F218*(1+'Read me'!$B$5),5))</f>
        <v>12.5</v>
      </c>
      <c r="N218" s="14" t="n">
        <f aca="false">IF(MAX(M218*L218,M218+'Read me'!$B$6)&lt;='Read me'!$B$7,CEILING(MAX(M218*L218,M218+'Read me'!$B$6)+0.5,1)-0.5,CEILING(MAX(M218*L218,M218+'Read me'!$B$6),5))</f>
        <v>17.5</v>
      </c>
      <c r="O218" s="21" t="n">
        <f aca="false">IF(ISNUMBER(J218),M218-J218,"new")</f>
        <v>-7</v>
      </c>
    </row>
    <row r="219" customFormat="false" ht="15" hidden="false" customHeight="false" outlineLevel="0" collapsed="false">
      <c r="A219" s="2" t="s">
        <v>349</v>
      </c>
      <c r="B219" s="2" t="s">
        <v>184</v>
      </c>
      <c r="C219" s="2" t="s">
        <v>221</v>
      </c>
      <c r="D219" s="2" t="s">
        <v>10</v>
      </c>
      <c r="E219" s="2" t="s">
        <v>49</v>
      </c>
      <c r="F219" s="14" t="n">
        <v>14.27</v>
      </c>
      <c r="G219" s="2" t="n">
        <v>3</v>
      </c>
      <c r="H219" s="2" t="n">
        <v>21</v>
      </c>
      <c r="I219" s="20" t="n">
        <v>0.99</v>
      </c>
      <c r="J219" s="14" t="n">
        <v>19.5</v>
      </c>
      <c r="K219" s="14" t="n">
        <v>24.5</v>
      </c>
      <c r="L219" s="20" t="n">
        <f aca="false">INDEX('Read me'!$B$10:$B$15,1)</f>
        <v>1.34</v>
      </c>
      <c r="M219" s="14" t="n">
        <f aca="false">IF(F219*(1+'Read me'!$B$5)&lt;='Read me'!$B$7,CEILING(F219*(1+'Read me'!$B$5)+0.5,1)-0.5,CEILING(F219*(1+'Read me'!$B$5),5))</f>
        <v>14.5</v>
      </c>
      <c r="N219" s="14" t="n">
        <f aca="false">IF(MAX(M219*L219,M219+'Read me'!$B$6)&lt;='Read me'!$B$7,CEILING(MAX(M219*L219,M219+'Read me'!$B$6)+0.5,1)-0.5,CEILING(MAX(M219*L219,M219+'Read me'!$B$6),5))</f>
        <v>19.5</v>
      </c>
      <c r="O219" s="21" t="n">
        <f aca="false">IF(ISNUMBER(J219),M219-J219,"new")</f>
        <v>-5</v>
      </c>
    </row>
    <row r="220" customFormat="false" ht="15" hidden="false" customHeight="false" outlineLevel="0" collapsed="false">
      <c r="A220" s="2" t="s">
        <v>350</v>
      </c>
      <c r="B220" s="2" t="s">
        <v>184</v>
      </c>
      <c r="C220" s="2" t="s">
        <v>221</v>
      </c>
      <c r="D220" s="2" t="s">
        <v>10</v>
      </c>
      <c r="E220" s="2" t="s">
        <v>50</v>
      </c>
      <c r="F220" s="14" t="n">
        <v>25.02</v>
      </c>
      <c r="G220" s="2" t="n">
        <v>5</v>
      </c>
      <c r="H220" s="2" t="n">
        <v>21</v>
      </c>
      <c r="I220" s="20" t="n">
        <v>0.99</v>
      </c>
      <c r="J220" s="14" t="n">
        <v>19.5</v>
      </c>
      <c r="K220" s="14" t="n">
        <v>34.5</v>
      </c>
      <c r="L220" s="20" t="n">
        <f aca="false">INDEX('Read me'!$B$10:$B$15,1)</f>
        <v>1.34</v>
      </c>
      <c r="M220" s="14" t="n">
        <f aca="false">IF(F220*(1+'Read me'!$B$5)&lt;='Read me'!$B$7,CEILING(F220*(1+'Read me'!$B$5)+0.5,1)-0.5,CEILING(F220*(1+'Read me'!$B$5),5))</f>
        <v>25.5</v>
      </c>
      <c r="N220" s="14" t="n">
        <f aca="false">IF(MAX(M220*L220,M220+'Read me'!$B$6)&lt;='Read me'!$B$7,CEILING(MAX(M220*L220,M220+'Read me'!$B$6)+0.5,1)-0.5,CEILING(MAX(M220*L220,M220+'Read me'!$B$6),5))</f>
        <v>35</v>
      </c>
      <c r="O220" s="21" t="n">
        <f aca="false">IF(ISNUMBER(J220),M220-J220,"new")</f>
        <v>6</v>
      </c>
    </row>
    <row r="221" customFormat="false" ht="15" hidden="false" customHeight="false" outlineLevel="0" collapsed="false">
      <c r="A221" s="2" t="s">
        <v>351</v>
      </c>
      <c r="B221" s="2" t="s">
        <v>184</v>
      </c>
      <c r="C221" s="2" t="s">
        <v>221</v>
      </c>
      <c r="D221" s="2" t="s">
        <v>12</v>
      </c>
      <c r="E221" s="2" t="s">
        <v>48</v>
      </c>
      <c r="F221" s="14" t="n">
        <v>47.5</v>
      </c>
      <c r="G221" s="2" t="n">
        <v>0</v>
      </c>
      <c r="H221" s="2" t="n">
        <v>21</v>
      </c>
      <c r="I221" s="20" t="n">
        <v>0.99</v>
      </c>
      <c r="J221" s="14" t="n">
        <v>24.5</v>
      </c>
      <c r="K221" s="14" t="n">
        <v>29.5</v>
      </c>
      <c r="L221" s="20" t="n">
        <f aca="false">INDEX('Read me'!$B$10:$B$15,2)</f>
        <v>1.26</v>
      </c>
      <c r="M221" s="14" t="n">
        <f aca="false">IF(F221*(1+'Read me'!$B$5)&lt;='Read me'!$B$7,CEILING(F221*(1+'Read me'!$B$5)+0.5,1)-0.5,CEILING(F221*(1+'Read me'!$B$5),5))</f>
        <v>50</v>
      </c>
      <c r="N221" s="14" t="n">
        <f aca="false">IF(MAX(M221*L221,M221+'Read me'!$B$6)&lt;='Read me'!$B$7,CEILING(MAX(M221*L221,M221+'Read me'!$B$6)+0.5,1)-0.5,CEILING(MAX(M221*L221,M221+'Read me'!$B$6),5))</f>
        <v>65</v>
      </c>
      <c r="O221" s="21" t="n">
        <f aca="false">IF(ISNUMBER(J221),M221-J221,"new")</f>
        <v>25.5</v>
      </c>
    </row>
    <row r="222" customFormat="false" ht="15" hidden="false" customHeight="false" outlineLevel="0" collapsed="false">
      <c r="A222" s="2" t="s">
        <v>352</v>
      </c>
      <c r="B222" s="2" t="s">
        <v>184</v>
      </c>
      <c r="C222" s="2" t="s">
        <v>221</v>
      </c>
      <c r="D222" s="2" t="s">
        <v>12</v>
      </c>
      <c r="E222" s="2" t="s">
        <v>49</v>
      </c>
      <c r="F222" s="14" t="n">
        <v>55.67</v>
      </c>
      <c r="G222" s="2" t="n">
        <v>5</v>
      </c>
      <c r="H222" s="2" t="n">
        <v>21</v>
      </c>
      <c r="I222" s="20" t="n">
        <v>0.99</v>
      </c>
      <c r="J222" s="14" t="n">
        <v>24.5</v>
      </c>
      <c r="K222" s="14" t="n">
        <v>29.5</v>
      </c>
      <c r="L222" s="20" t="n">
        <f aca="false">INDEX('Read me'!$B$10:$B$15,2)</f>
        <v>1.26</v>
      </c>
      <c r="M222" s="14" t="n">
        <f aca="false">IF(F222*(1+'Read me'!$B$5)&lt;='Read me'!$B$7,CEILING(F222*(1+'Read me'!$B$5)+0.5,1)-0.5,CEILING(F222*(1+'Read me'!$B$5),5))</f>
        <v>60</v>
      </c>
      <c r="N222" s="14" t="n">
        <f aca="false">IF(MAX(M222*L222,M222+'Read me'!$B$6)&lt;='Read me'!$B$7,CEILING(MAX(M222*L222,M222+'Read me'!$B$6)+0.5,1)-0.5,CEILING(MAX(M222*L222,M222+'Read me'!$B$6),5))</f>
        <v>80</v>
      </c>
      <c r="O222" s="21" t="n">
        <f aca="false">IF(ISNUMBER(J222),M222-J222,"new")</f>
        <v>35.5</v>
      </c>
    </row>
    <row r="223" customFormat="false" ht="15" hidden="false" customHeight="false" outlineLevel="0" collapsed="false">
      <c r="A223" s="2" t="s">
        <v>353</v>
      </c>
      <c r="B223" s="2" t="s">
        <v>184</v>
      </c>
      <c r="C223" s="2" t="s">
        <v>221</v>
      </c>
      <c r="D223" s="2" t="s">
        <v>12</v>
      </c>
      <c r="E223" s="2" t="s">
        <v>50</v>
      </c>
      <c r="F223" s="14" t="n">
        <v>66.34</v>
      </c>
      <c r="G223" s="2" t="n">
        <v>2</v>
      </c>
      <c r="H223" s="2" t="n">
        <v>21</v>
      </c>
      <c r="I223" s="20" t="n">
        <v>0.99</v>
      </c>
      <c r="J223" s="14" t="n">
        <v>24.5</v>
      </c>
      <c r="K223" s="14" t="n">
        <v>45</v>
      </c>
      <c r="L223" s="20" t="n">
        <f aca="false">INDEX('Read me'!$B$10:$B$15,2)</f>
        <v>1.26</v>
      </c>
      <c r="M223" s="14" t="n">
        <f aca="false">IF(F223*(1+'Read me'!$B$5)&lt;='Read me'!$B$7,CEILING(F223*(1+'Read me'!$B$5)+0.5,1)-0.5,CEILING(F223*(1+'Read me'!$B$5),5))</f>
        <v>70</v>
      </c>
      <c r="N223" s="14" t="n">
        <f aca="false">IF(MAX(M223*L223,M223+'Read me'!$B$6)&lt;='Read me'!$B$7,CEILING(MAX(M223*L223,M223+'Read me'!$B$6)+0.5,1)-0.5,CEILING(MAX(M223*L223,M223+'Read me'!$B$6),5))</f>
        <v>90</v>
      </c>
      <c r="O223" s="21" t="n">
        <f aca="false">IF(ISNUMBER(J223),M223-J223,"new")</f>
        <v>45.5</v>
      </c>
    </row>
    <row r="224" customFormat="false" ht="15" hidden="false" customHeight="false" outlineLevel="0" collapsed="false">
      <c r="A224" s="2" t="s">
        <v>354</v>
      </c>
      <c r="B224" s="2" t="s">
        <v>184</v>
      </c>
      <c r="C224" s="2" t="s">
        <v>221</v>
      </c>
      <c r="D224" s="2" t="s">
        <v>13</v>
      </c>
      <c r="E224" s="2" t="s">
        <v>48</v>
      </c>
      <c r="F224" s="14" t="n">
        <v>81.75</v>
      </c>
      <c r="G224" s="2" t="n">
        <v>0</v>
      </c>
      <c r="H224" s="2" t="n">
        <v>21</v>
      </c>
      <c r="I224" s="20" t="n">
        <v>0.99</v>
      </c>
      <c r="J224" s="14" t="n">
        <v>45</v>
      </c>
      <c r="K224" s="14" t="n">
        <v>95</v>
      </c>
      <c r="L224" s="20" t="n">
        <f aca="false">INDEX('Read me'!$B$10:$B$15,3)</f>
        <v>1.35</v>
      </c>
      <c r="M224" s="14" t="n">
        <f aca="false">IF(F224*(1+'Read me'!$B$5)&lt;='Read me'!$B$7,CEILING(F224*(1+'Read me'!$B$5)+0.5,1)-0.5,CEILING(F224*(1+'Read me'!$B$5),5))</f>
        <v>85</v>
      </c>
      <c r="N224" s="14" t="n">
        <f aca="false">IF(MAX(M224*L224,M224+'Read me'!$B$6)&lt;='Read me'!$B$7,CEILING(MAX(M224*L224,M224+'Read me'!$B$6)+0.5,1)-0.5,CEILING(MAX(M224*L224,M224+'Read me'!$B$6),5))</f>
        <v>115</v>
      </c>
      <c r="O224" s="21" t="n">
        <f aca="false">IF(ISNUMBER(J224),M224-J224,"new")</f>
        <v>40</v>
      </c>
    </row>
    <row r="225" customFormat="false" ht="15" hidden="false" customHeight="false" outlineLevel="0" collapsed="false">
      <c r="A225" s="2" t="s">
        <v>355</v>
      </c>
      <c r="B225" s="2" t="s">
        <v>184</v>
      </c>
      <c r="C225" s="2" t="s">
        <v>221</v>
      </c>
      <c r="D225" s="2" t="s">
        <v>13</v>
      </c>
      <c r="E225" s="2" t="s">
        <v>49</v>
      </c>
      <c r="F225" s="14" t="n">
        <v>91.97</v>
      </c>
      <c r="G225" s="2" t="n">
        <v>0</v>
      </c>
      <c r="H225" s="2" t="n">
        <v>21</v>
      </c>
      <c r="I225" s="20" t="n">
        <v>0.99</v>
      </c>
      <c r="J225" s="14" t="n">
        <v>45</v>
      </c>
      <c r="K225" s="14" t="n">
        <v>95</v>
      </c>
      <c r="L225" s="20" t="n">
        <f aca="false">INDEX('Read me'!$B$10:$B$15,3)</f>
        <v>1.35</v>
      </c>
      <c r="M225" s="14" t="n">
        <f aca="false">IF(F225*(1+'Read me'!$B$5)&lt;='Read me'!$B$7,CEILING(F225*(1+'Read me'!$B$5)+0.5,1)-0.5,CEILING(F225*(1+'Read me'!$B$5),5))</f>
        <v>95</v>
      </c>
      <c r="N225" s="14" t="n">
        <f aca="false">IF(MAX(M225*L225,M225+'Read me'!$B$6)&lt;='Read me'!$B$7,CEILING(MAX(M225*L225,M225+'Read me'!$B$6)+0.5,1)-0.5,CEILING(MAX(M225*L225,M225+'Read me'!$B$6),5))</f>
        <v>130</v>
      </c>
      <c r="O225" s="21" t="n">
        <f aca="false">IF(ISNUMBER(J225),M225-J225,"new")</f>
        <v>50</v>
      </c>
    </row>
    <row r="226" customFormat="false" ht="15" hidden="false" customHeight="false" outlineLevel="0" collapsed="false">
      <c r="A226" s="2" t="s">
        <v>356</v>
      </c>
      <c r="B226" s="2" t="s">
        <v>184</v>
      </c>
      <c r="C226" s="2" t="s">
        <v>221</v>
      </c>
      <c r="D226" s="2" t="s">
        <v>13</v>
      </c>
      <c r="E226" s="2" t="s">
        <v>50</v>
      </c>
      <c r="F226" s="14" t="n">
        <v>122.16</v>
      </c>
      <c r="G226" s="2" t="n">
        <v>1</v>
      </c>
      <c r="H226" s="2" t="n">
        <v>21</v>
      </c>
      <c r="I226" s="20" t="n">
        <v>0.99</v>
      </c>
      <c r="J226" s="14" t="n">
        <v>99</v>
      </c>
      <c r="K226" s="14" t="n">
        <v>150</v>
      </c>
      <c r="L226" s="20" t="n">
        <f aca="false">INDEX('Read me'!$B$10:$B$15,3)</f>
        <v>1.35</v>
      </c>
      <c r="M226" s="14" t="n">
        <f aca="false">IF(F226*(1+'Read me'!$B$5)&lt;='Read me'!$B$7,CEILING(F226*(1+'Read me'!$B$5)+0.5,1)-0.5,CEILING(F226*(1+'Read me'!$B$5),5))</f>
        <v>125</v>
      </c>
      <c r="N226" s="14" t="n">
        <f aca="false">IF(MAX(M226*L226,M226+'Read me'!$B$6)&lt;='Read me'!$B$7,CEILING(MAX(M226*L226,M226+'Read me'!$B$6)+0.5,1)-0.5,CEILING(MAX(M226*L226,M226+'Read me'!$B$6),5))</f>
        <v>170</v>
      </c>
      <c r="O226" s="21" t="n">
        <f aca="false">IF(ISNUMBER(J226),M226-J226,"new")</f>
        <v>26</v>
      </c>
    </row>
    <row r="227" customFormat="false" ht="15" hidden="false" customHeight="false" outlineLevel="0" collapsed="false">
      <c r="A227" s="2" t="s">
        <v>357</v>
      </c>
      <c r="B227" s="2" t="s">
        <v>184</v>
      </c>
      <c r="C227" s="2" t="s">
        <v>221</v>
      </c>
      <c r="D227" s="2" t="s">
        <v>14</v>
      </c>
      <c r="E227" s="2" t="s">
        <v>48</v>
      </c>
      <c r="F227" s="14" t="n">
        <v>141.56</v>
      </c>
      <c r="G227" s="2" t="n">
        <v>0</v>
      </c>
      <c r="H227" s="2" t="n">
        <v>21</v>
      </c>
      <c r="I227" s="20" t="n">
        <v>0.99</v>
      </c>
      <c r="J227" s="14" t="n">
        <v>99</v>
      </c>
      <c r="K227" s="14" t="n">
        <v>150</v>
      </c>
      <c r="L227" s="20" t="n">
        <f aca="false">INDEX('Read me'!$B$10:$B$15,4)</f>
        <v>1.2</v>
      </c>
      <c r="M227" s="14" t="n">
        <f aca="false">IF(F227*(1+'Read me'!$B$5)&lt;='Read me'!$B$7,CEILING(F227*(1+'Read me'!$B$5)+0.5,1)-0.5,CEILING(F227*(1+'Read me'!$B$5),5))</f>
        <v>145</v>
      </c>
      <c r="N227" s="14" t="n">
        <f aca="false">IF(MAX(M227*L227,M227+'Read me'!$B$6)&lt;='Read me'!$B$7,CEILING(MAX(M227*L227,M227+'Read me'!$B$6)+0.5,1)-0.5,CEILING(MAX(M227*L227,M227+'Read me'!$B$6),5))</f>
        <v>175</v>
      </c>
      <c r="O227" s="21" t="n">
        <f aca="false">IF(ISNUMBER(J227),M227-J227,"new")</f>
        <v>46</v>
      </c>
    </row>
    <row r="228" customFormat="false" ht="15" hidden="false" customHeight="false" outlineLevel="0" collapsed="false">
      <c r="A228" s="2" t="s">
        <v>358</v>
      </c>
      <c r="B228" s="2" t="s">
        <v>184</v>
      </c>
      <c r="C228" s="2" t="s">
        <v>221</v>
      </c>
      <c r="D228" s="2" t="s">
        <v>14</v>
      </c>
      <c r="E228" s="2" t="s">
        <v>49</v>
      </c>
      <c r="F228" s="14" t="n">
        <v>169.97</v>
      </c>
      <c r="G228" s="2" t="n">
        <v>0</v>
      </c>
      <c r="H228" s="2" t="n">
        <v>21</v>
      </c>
      <c r="I228" s="20" t="n">
        <v>0.99</v>
      </c>
      <c r="J228" s="14" t="n">
        <v>150</v>
      </c>
      <c r="K228" s="14" t="n">
        <v>150</v>
      </c>
      <c r="L228" s="20" t="n">
        <f aca="false">INDEX('Read me'!$B$10:$B$15,4)</f>
        <v>1.2</v>
      </c>
      <c r="M228" s="14" t="n">
        <f aca="false">IF(F228*(1+'Read me'!$B$5)&lt;='Read me'!$B$7,CEILING(F228*(1+'Read me'!$B$5)+0.5,1)-0.5,CEILING(F228*(1+'Read me'!$B$5),5))</f>
        <v>170</v>
      </c>
      <c r="N228" s="14" t="n">
        <f aca="false">IF(MAX(M228*L228,M228+'Read me'!$B$6)&lt;='Read me'!$B$7,CEILING(MAX(M228*L228,M228+'Read me'!$B$6)+0.5,1)-0.5,CEILING(MAX(M228*L228,M228+'Read me'!$B$6),5))</f>
        <v>205</v>
      </c>
      <c r="O228" s="21" t="n">
        <f aca="false">IF(ISNUMBER(J228),M228-J228,"new")</f>
        <v>20</v>
      </c>
    </row>
    <row r="229" customFormat="false" ht="15" hidden="false" customHeight="false" outlineLevel="0" collapsed="false">
      <c r="A229" s="2" t="s">
        <v>359</v>
      </c>
      <c r="B229" s="2" t="s">
        <v>184</v>
      </c>
      <c r="C229" s="2" t="s">
        <v>221</v>
      </c>
      <c r="D229" s="2" t="s">
        <v>14</v>
      </c>
      <c r="E229" s="2" t="s">
        <v>50</v>
      </c>
      <c r="F229" s="14" t="n">
        <v>204.84</v>
      </c>
      <c r="G229" s="2" t="n">
        <v>0</v>
      </c>
      <c r="H229" s="2" t="n">
        <v>21</v>
      </c>
      <c r="I229" s="20" t="n">
        <v>0.99</v>
      </c>
      <c r="J229" s="14" t="n">
        <v>250</v>
      </c>
      <c r="K229" s="14" t="n">
        <v>195</v>
      </c>
      <c r="L229" s="20" t="n">
        <f aca="false">INDEX('Read me'!$B$10:$B$15,4)</f>
        <v>1.2</v>
      </c>
      <c r="M229" s="14" t="n">
        <f aca="false">IF(F229*(1+'Read me'!$B$5)&lt;='Read me'!$B$7,CEILING(F229*(1+'Read me'!$B$5)+0.5,1)-0.5,CEILING(F229*(1+'Read me'!$B$5),5))</f>
        <v>205</v>
      </c>
      <c r="N229" s="14" t="n">
        <f aca="false">IF(MAX(M229*L229,M229+'Read me'!$B$6)&lt;='Read me'!$B$7,CEILING(MAX(M229*L229,M229+'Read me'!$B$6)+0.5,1)-0.5,CEILING(MAX(M229*L229,M229+'Read me'!$B$6),5))</f>
        <v>250</v>
      </c>
      <c r="O229" s="21" t="n">
        <f aca="false">IF(ISNUMBER(J229),M229-J229,"new")</f>
        <v>-45</v>
      </c>
    </row>
    <row r="230" customFormat="false" ht="15" hidden="false" customHeight="false" outlineLevel="0" collapsed="false">
      <c r="A230" s="2" t="s">
        <v>360</v>
      </c>
      <c r="B230" s="2" t="s">
        <v>184</v>
      </c>
      <c r="C230" s="2" t="s">
        <v>221</v>
      </c>
      <c r="D230" s="2" t="s">
        <v>15</v>
      </c>
      <c r="E230" s="2" t="s">
        <v>48</v>
      </c>
      <c r="F230" s="14" t="n">
        <v>179.68</v>
      </c>
      <c r="G230" s="2" t="n">
        <v>0</v>
      </c>
      <c r="H230" s="2" t="n">
        <v>21</v>
      </c>
      <c r="I230" s="20" t="n">
        <v>0.99</v>
      </c>
      <c r="J230" s="14" t="n">
        <v>300</v>
      </c>
      <c r="K230" s="14" t="n">
        <v>300</v>
      </c>
      <c r="L230" s="20" t="n">
        <f aca="false">INDEX('Read me'!$B$10:$B$15,5)</f>
        <v>1.2</v>
      </c>
      <c r="M230" s="14" t="n">
        <f aca="false">IF(F230*(1+'Read me'!$B$5)&lt;='Read me'!$B$7,CEILING(F230*(1+'Read me'!$B$5)+0.5,1)-0.5,CEILING(F230*(1+'Read me'!$B$5),5))</f>
        <v>180</v>
      </c>
      <c r="N230" s="14" t="n">
        <f aca="false">IF(MAX(M230*L230,M230+'Read me'!$B$6)&lt;='Read me'!$B$7,CEILING(MAX(M230*L230,M230+'Read me'!$B$6)+0.5,1)-0.5,CEILING(MAX(M230*L230,M230+'Read me'!$B$6),5))</f>
        <v>220</v>
      </c>
      <c r="O230" s="21" t="n">
        <f aca="false">IF(ISNUMBER(J230),M230-J230,"new")</f>
        <v>-120</v>
      </c>
    </row>
    <row r="231" customFormat="false" ht="15" hidden="false" customHeight="false" outlineLevel="0" collapsed="false">
      <c r="A231" s="2" t="s">
        <v>361</v>
      </c>
      <c r="B231" s="2" t="s">
        <v>184</v>
      </c>
      <c r="C231" s="2" t="s">
        <v>221</v>
      </c>
      <c r="D231" s="2" t="s">
        <v>15</v>
      </c>
      <c r="E231" s="2" t="s">
        <v>49</v>
      </c>
      <c r="F231" s="14" t="n">
        <v>221.68</v>
      </c>
      <c r="G231" s="2" t="n">
        <v>0</v>
      </c>
      <c r="H231" s="2" t="n">
        <v>21</v>
      </c>
      <c r="I231" s="20" t="n">
        <v>0.99</v>
      </c>
      <c r="J231" s="14" t="n">
        <v>300</v>
      </c>
      <c r="K231" s="14" t="n">
        <v>300</v>
      </c>
      <c r="L231" s="20" t="n">
        <f aca="false">INDEX('Read me'!$B$10:$B$15,5)</f>
        <v>1.2</v>
      </c>
      <c r="M231" s="14" t="n">
        <f aca="false">N231</f>
        <v>270</v>
      </c>
      <c r="N231" s="14" t="n">
        <f aca="false">IF(MAX((IF(F231*(1+'Read me'!$B$5)&lt;='Read me'!$B$7,CEILING(F231*(1+'Read me'!$B$5)+0.5,1)-0.5,CEILING(F231*(1+'Read me'!$B$5),5)))*L231,(IF(F231*(1+'Read me'!$B$5)&lt;='Read me'!$B$7,CEILING(F231*(1+'Read me'!$B$5)+0.5,1)-0.5,CEILING(F231*(1+'Read me'!$B$5),5)))+'Read me'!$B$6)&lt;='Read me'!$B$7,CEILING(MAX((IF(F231*(1+'Read me'!$B$5)&lt;='Read me'!$B$7,CEILING(F231*(1+'Read me'!$B$5)+0.5,1)-0.5,CEILING(F231*(1+'Read me'!$B$5),5)))*L231,(IF(F231*(1+'Read me'!$B$5)&lt;='Read me'!$B$7,CEILING(F231*(1+'Read me'!$B$5)+0.5,1)-0.5,CEILING(F231*(1+'Read me'!$B$5),5)))+'Read me'!$B$6)+0.5,1)-0.5,CEILING(MAX((IF(F231*(1+'Read me'!$B$5)&lt;='Read me'!$B$7,CEILING(F231*(1+'Read me'!$B$5)+0.5,1)-0.5,CEILING(F231*(1+'Read me'!$B$5),5)))*L231,(IF(F231*(1+'Read me'!$B$5)&lt;='Read me'!$B$7,CEILING(F231*(1+'Read me'!$B$5)+0.5,1)-0.5,CEILING(F231*(1+'Read me'!$B$5),5)))+'Read me'!$B$6),5))</f>
        <v>270</v>
      </c>
      <c r="O231" s="21" t="n">
        <f aca="false">IF(ISNUMBER(J231),M231-J231,"new")</f>
        <v>-30</v>
      </c>
      <c r="P231" s="5" t="s">
        <v>140</v>
      </c>
    </row>
    <row r="232" customFormat="false" ht="15" hidden="false" customHeight="false" outlineLevel="0" collapsed="false">
      <c r="A232" s="2" t="s">
        <v>362</v>
      </c>
      <c r="B232" s="2" t="s">
        <v>184</v>
      </c>
      <c r="C232" s="2" t="s">
        <v>221</v>
      </c>
      <c r="D232" s="2" t="s">
        <v>15</v>
      </c>
      <c r="E232" s="2" t="s">
        <v>50</v>
      </c>
      <c r="F232" s="14" t="n">
        <v>266.35</v>
      </c>
      <c r="G232" s="2" t="n">
        <v>0</v>
      </c>
      <c r="H232" s="2" t="n">
        <v>21</v>
      </c>
      <c r="I232" s="20" t="n">
        <v>0.99</v>
      </c>
      <c r="J232" s="14" t="n">
        <v>350</v>
      </c>
      <c r="K232" s="14" t="n">
        <v>400</v>
      </c>
      <c r="L232" s="20" t="n">
        <f aca="false">INDEX('Read me'!$B$10:$B$15,5)</f>
        <v>1.2</v>
      </c>
      <c r="M232" s="14" t="n">
        <f aca="false">N232</f>
        <v>325</v>
      </c>
      <c r="N232" s="14" t="n">
        <f aca="false">IF(MAX((IF(F232*(1+'Read me'!$B$5)&lt;='Read me'!$B$7,CEILING(F232*(1+'Read me'!$B$5)+0.5,1)-0.5,CEILING(F232*(1+'Read me'!$B$5),5)))*L232,(IF(F232*(1+'Read me'!$B$5)&lt;='Read me'!$B$7,CEILING(F232*(1+'Read me'!$B$5)+0.5,1)-0.5,CEILING(F232*(1+'Read me'!$B$5),5)))+'Read me'!$B$6)&lt;='Read me'!$B$7,CEILING(MAX((IF(F232*(1+'Read me'!$B$5)&lt;='Read me'!$B$7,CEILING(F232*(1+'Read me'!$B$5)+0.5,1)-0.5,CEILING(F232*(1+'Read me'!$B$5),5)))*L232,(IF(F232*(1+'Read me'!$B$5)&lt;='Read me'!$B$7,CEILING(F232*(1+'Read me'!$B$5)+0.5,1)-0.5,CEILING(F232*(1+'Read me'!$B$5),5)))+'Read me'!$B$6)+0.5,1)-0.5,CEILING(MAX((IF(F232*(1+'Read me'!$B$5)&lt;='Read me'!$B$7,CEILING(F232*(1+'Read me'!$B$5)+0.5,1)-0.5,CEILING(F232*(1+'Read me'!$B$5),5)))*L232,(IF(F232*(1+'Read me'!$B$5)&lt;='Read me'!$B$7,CEILING(F232*(1+'Read me'!$B$5)+0.5,1)-0.5,CEILING(F232*(1+'Read me'!$B$5),5)))+'Read me'!$B$6),5))</f>
        <v>325</v>
      </c>
      <c r="O232" s="21" t="n">
        <f aca="false">IF(ISNUMBER(J232),M232-J232,"new")</f>
        <v>-25</v>
      </c>
      <c r="P232" s="5" t="s">
        <v>140</v>
      </c>
    </row>
    <row r="233" customFormat="false" ht="15" hidden="false" customHeight="false" outlineLevel="0" collapsed="false">
      <c r="A233" s="2" t="s">
        <v>363</v>
      </c>
      <c r="B233" s="2" t="s">
        <v>184</v>
      </c>
      <c r="C233" s="2" t="s">
        <v>221</v>
      </c>
      <c r="D233" s="2" t="s">
        <v>16</v>
      </c>
      <c r="E233" s="2" t="s">
        <v>48</v>
      </c>
      <c r="F233" s="14" t="n">
        <v>249.49</v>
      </c>
      <c r="G233" s="2" t="n">
        <v>0</v>
      </c>
      <c r="H233" s="2" t="n">
        <v>21</v>
      </c>
      <c r="I233" s="20" t="n">
        <v>0.99</v>
      </c>
      <c r="J233" s="14"/>
      <c r="K233" s="14"/>
      <c r="L233" s="20" t="n">
        <f aca="false">INDEX('Read me'!$B$10:$B$15,6)</f>
        <v>1.2</v>
      </c>
      <c r="M233" s="14" t="n">
        <f aca="false">IF(F233*(1+'Read me'!$B$5)&lt;='Read me'!$B$7,CEILING(F233*(1+'Read me'!$B$5)+0.5,1)-0.5,CEILING(F233*(1+'Read me'!$B$5),5))</f>
        <v>250</v>
      </c>
      <c r="N233" s="14" t="n">
        <f aca="false">IF(MAX(M233*L233,M233+'Read me'!$B$6)&lt;='Read me'!$B$7,CEILING(MAX(M233*L233,M233+'Read me'!$B$6)+0.5,1)-0.5,CEILING(MAX(M233*L233,M233+'Read me'!$B$6),5))</f>
        <v>300</v>
      </c>
      <c r="O233" s="21" t="str">
        <f aca="false">IF(ISNUMBER(J233),M233-J233,"new")</f>
        <v>new</v>
      </c>
    </row>
    <row r="234" customFormat="false" ht="15" hidden="false" customHeight="false" outlineLevel="0" collapsed="false">
      <c r="A234" s="2" t="s">
        <v>364</v>
      </c>
      <c r="B234" s="2" t="s">
        <v>184</v>
      </c>
      <c r="C234" s="2" t="s">
        <v>221</v>
      </c>
      <c r="D234" s="2" t="s">
        <v>16</v>
      </c>
      <c r="E234" s="2" t="s">
        <v>49</v>
      </c>
      <c r="F234" s="14" t="n">
        <v>320.59</v>
      </c>
      <c r="G234" s="2" t="n">
        <v>0</v>
      </c>
      <c r="H234" s="2" t="n">
        <v>21</v>
      </c>
      <c r="I234" s="20" t="n">
        <v>0.99</v>
      </c>
      <c r="J234" s="14"/>
      <c r="K234" s="14"/>
      <c r="L234" s="20" t="n">
        <f aca="false">INDEX('Read me'!$B$10:$B$15,6)</f>
        <v>1.2</v>
      </c>
      <c r="M234" s="14" t="n">
        <f aca="false">N234</f>
        <v>390</v>
      </c>
      <c r="N234" s="14" t="n">
        <f aca="false">IF(MAX((IF(F234*(1+'Read me'!$B$5)&lt;='Read me'!$B$7,CEILING(F234*(1+'Read me'!$B$5)+0.5,1)-0.5,CEILING(F234*(1+'Read me'!$B$5),5)))*L234,(IF(F234*(1+'Read me'!$B$5)&lt;='Read me'!$B$7,CEILING(F234*(1+'Read me'!$B$5)+0.5,1)-0.5,CEILING(F234*(1+'Read me'!$B$5),5)))+'Read me'!$B$6)&lt;='Read me'!$B$7,CEILING(MAX((IF(F234*(1+'Read me'!$B$5)&lt;='Read me'!$B$7,CEILING(F234*(1+'Read me'!$B$5)+0.5,1)-0.5,CEILING(F234*(1+'Read me'!$B$5),5)))*L234,(IF(F234*(1+'Read me'!$B$5)&lt;='Read me'!$B$7,CEILING(F234*(1+'Read me'!$B$5)+0.5,1)-0.5,CEILING(F234*(1+'Read me'!$B$5),5)))+'Read me'!$B$6)+0.5,1)-0.5,CEILING(MAX((IF(F234*(1+'Read me'!$B$5)&lt;='Read me'!$B$7,CEILING(F234*(1+'Read me'!$B$5)+0.5,1)-0.5,CEILING(F234*(1+'Read me'!$B$5),5)))*L234,(IF(F234*(1+'Read me'!$B$5)&lt;='Read me'!$B$7,CEILING(F234*(1+'Read me'!$B$5)+0.5,1)-0.5,CEILING(F234*(1+'Read me'!$B$5),5)))+'Read me'!$B$6),5))</f>
        <v>390</v>
      </c>
      <c r="O234" s="21" t="str">
        <f aca="false">IF(ISNUMBER(J234),M234-J234,"new")</f>
        <v>new</v>
      </c>
      <c r="P234" s="5" t="s">
        <v>140</v>
      </c>
    </row>
    <row r="235" customFormat="false" ht="15" hidden="false" customHeight="false" outlineLevel="0" collapsed="false">
      <c r="A235" s="2" t="s">
        <v>365</v>
      </c>
      <c r="B235" s="2" t="s">
        <v>184</v>
      </c>
      <c r="C235" s="2" t="s">
        <v>221</v>
      </c>
      <c r="D235" s="2" t="s">
        <v>16</v>
      </c>
      <c r="E235" s="2" t="s">
        <v>50</v>
      </c>
      <c r="F235" s="14" t="n">
        <v>376.81</v>
      </c>
      <c r="G235" s="2" t="n">
        <v>0</v>
      </c>
      <c r="H235" s="2" t="n">
        <v>21</v>
      </c>
      <c r="I235" s="20" t="n">
        <v>0.99</v>
      </c>
      <c r="J235" s="14"/>
      <c r="K235" s="14"/>
      <c r="L235" s="20" t="n">
        <f aca="false">INDEX('Read me'!$B$10:$B$15,6)</f>
        <v>1.2</v>
      </c>
      <c r="M235" s="14" t="n">
        <f aca="false">N235</f>
        <v>460</v>
      </c>
      <c r="N235" s="14" t="n">
        <f aca="false">IF(MAX((IF(F235*(1+'Read me'!$B$5)&lt;='Read me'!$B$7,CEILING(F235*(1+'Read me'!$B$5)+0.5,1)-0.5,CEILING(F235*(1+'Read me'!$B$5),5)))*L235,(IF(F235*(1+'Read me'!$B$5)&lt;='Read me'!$B$7,CEILING(F235*(1+'Read me'!$B$5)+0.5,1)-0.5,CEILING(F235*(1+'Read me'!$B$5),5)))+'Read me'!$B$6)&lt;='Read me'!$B$7,CEILING(MAX((IF(F235*(1+'Read me'!$B$5)&lt;='Read me'!$B$7,CEILING(F235*(1+'Read me'!$B$5)+0.5,1)-0.5,CEILING(F235*(1+'Read me'!$B$5),5)))*L235,(IF(F235*(1+'Read me'!$B$5)&lt;='Read me'!$B$7,CEILING(F235*(1+'Read me'!$B$5)+0.5,1)-0.5,CEILING(F235*(1+'Read me'!$B$5),5)))+'Read me'!$B$6)+0.5,1)-0.5,CEILING(MAX((IF(F235*(1+'Read me'!$B$5)&lt;='Read me'!$B$7,CEILING(F235*(1+'Read me'!$B$5)+0.5,1)-0.5,CEILING(F235*(1+'Read me'!$B$5),5)))*L235,(IF(F235*(1+'Read me'!$B$5)&lt;='Read me'!$B$7,CEILING(F235*(1+'Read me'!$B$5)+0.5,1)-0.5,CEILING(F235*(1+'Read me'!$B$5),5)))+'Read me'!$B$6),5))</f>
        <v>460</v>
      </c>
      <c r="O235" s="21" t="str">
        <f aca="false">IF(ISNUMBER(J235),M235-J235,"new")</f>
        <v>new</v>
      </c>
      <c r="P235" s="5" t="s">
        <v>140</v>
      </c>
    </row>
    <row r="236" customFormat="false" ht="15" hidden="false" customHeight="false" outlineLevel="0" collapsed="false">
      <c r="A236" s="2" t="s">
        <v>366</v>
      </c>
      <c r="B236" s="2" t="s">
        <v>184</v>
      </c>
      <c r="C236" s="2" t="s">
        <v>125</v>
      </c>
      <c r="D236" s="2" t="s">
        <v>10</v>
      </c>
      <c r="E236" s="2" t="s">
        <v>48</v>
      </c>
      <c r="F236" s="14" t="n">
        <v>16.98</v>
      </c>
      <c r="G236" s="2" t="n">
        <v>4</v>
      </c>
      <c r="H236" s="2" t="n">
        <v>16</v>
      </c>
      <c r="I236" s="20" t="n">
        <v>1.13</v>
      </c>
      <c r="J236" s="14" t="n">
        <v>19.5</v>
      </c>
      <c r="K236" s="14" t="n">
        <v>24.5</v>
      </c>
      <c r="L236" s="20" t="n">
        <f aca="false">INDEX('Read me'!$B$10:$B$15,1)</f>
        <v>1.34</v>
      </c>
      <c r="M236" s="14" t="n">
        <f aca="false">IF(F236*(1+'Read me'!$B$5)&lt;='Read me'!$B$7,CEILING(F236*(1+'Read me'!$B$5)+0.5,1)-0.5,CEILING(F236*(1+'Read me'!$B$5),5))</f>
        <v>17.5</v>
      </c>
      <c r="N236" s="14" t="n">
        <f aca="false">IF(MAX(M236*L236,M236+'Read me'!$B$6)&lt;='Read me'!$B$7,CEILING(MAX(M236*L236,M236+'Read me'!$B$6)+0.5,1)-0.5,CEILING(MAX(M236*L236,M236+'Read me'!$B$6),5))</f>
        <v>23.5</v>
      </c>
      <c r="O236" s="21" t="n">
        <f aca="false">IF(ISNUMBER(J236),M236-J236,"new")</f>
        <v>-2</v>
      </c>
    </row>
    <row r="237" customFormat="false" ht="15" hidden="false" customHeight="false" outlineLevel="0" collapsed="false">
      <c r="A237" s="2" t="s">
        <v>367</v>
      </c>
      <c r="B237" s="2" t="s">
        <v>184</v>
      </c>
      <c r="C237" s="2" t="s">
        <v>125</v>
      </c>
      <c r="D237" s="2" t="s">
        <v>10</v>
      </c>
      <c r="E237" s="2" t="s">
        <v>49</v>
      </c>
      <c r="F237" s="14" t="n">
        <v>18.21</v>
      </c>
      <c r="G237" s="2" t="n">
        <v>2</v>
      </c>
      <c r="H237" s="2" t="n">
        <v>16</v>
      </c>
      <c r="I237" s="20" t="n">
        <v>1.13</v>
      </c>
      <c r="J237" s="14" t="n">
        <v>19.5</v>
      </c>
      <c r="K237" s="14" t="n">
        <v>24.5</v>
      </c>
      <c r="L237" s="20" t="n">
        <f aca="false">INDEX('Read me'!$B$10:$B$15,1)</f>
        <v>1.34</v>
      </c>
      <c r="M237" s="14" t="n">
        <f aca="false">IF(F237*(1+'Read me'!$B$5)&lt;='Read me'!$B$7,CEILING(F237*(1+'Read me'!$B$5)+0.5,1)-0.5,CEILING(F237*(1+'Read me'!$B$5),5))</f>
        <v>18.5</v>
      </c>
      <c r="N237" s="14" t="n">
        <f aca="false">IF(MAX(M237*L237,M237+'Read me'!$B$6)&lt;='Read me'!$B$7,CEILING(MAX(M237*L237,M237+'Read me'!$B$6)+0.5,1)-0.5,CEILING(MAX(M237*L237,M237+'Read me'!$B$6),5))</f>
        <v>25.5</v>
      </c>
      <c r="O237" s="21" t="n">
        <f aca="false">IF(ISNUMBER(J237),M237-J237,"new")</f>
        <v>-1</v>
      </c>
    </row>
    <row r="238" customFormat="false" ht="15" hidden="false" customHeight="false" outlineLevel="0" collapsed="false">
      <c r="A238" s="2" t="s">
        <v>368</v>
      </c>
      <c r="B238" s="2" t="s">
        <v>184</v>
      </c>
      <c r="C238" s="2" t="s">
        <v>125</v>
      </c>
      <c r="D238" s="2" t="s">
        <v>10</v>
      </c>
      <c r="E238" s="2" t="s">
        <v>50</v>
      </c>
      <c r="F238" s="14" t="n">
        <v>21.93</v>
      </c>
      <c r="G238" s="2" t="n">
        <v>2</v>
      </c>
      <c r="H238" s="2" t="n">
        <v>16</v>
      </c>
      <c r="I238" s="20" t="n">
        <v>1.13</v>
      </c>
      <c r="J238" s="14" t="n">
        <v>19.5</v>
      </c>
      <c r="K238" s="14" t="n">
        <v>34.5</v>
      </c>
      <c r="L238" s="20" t="n">
        <f aca="false">INDEX('Read me'!$B$10:$B$15,1)</f>
        <v>1.34</v>
      </c>
      <c r="M238" s="14" t="n">
        <f aca="false">IF(F238*(1+'Read me'!$B$5)&lt;='Read me'!$B$7,CEILING(F238*(1+'Read me'!$B$5)+0.5,1)-0.5,CEILING(F238*(1+'Read me'!$B$5),5))</f>
        <v>22.5</v>
      </c>
      <c r="N238" s="14" t="n">
        <f aca="false">IF(MAX(M238*L238,M238+'Read me'!$B$6)&lt;='Read me'!$B$7,CEILING(MAX(M238*L238,M238+'Read me'!$B$6)+0.5,1)-0.5,CEILING(MAX(M238*L238,M238+'Read me'!$B$6),5))</f>
        <v>35</v>
      </c>
      <c r="O238" s="21" t="n">
        <f aca="false">IF(ISNUMBER(J238),M238-J238,"new")</f>
        <v>3</v>
      </c>
    </row>
    <row r="239" customFormat="false" ht="15" hidden="false" customHeight="false" outlineLevel="0" collapsed="false">
      <c r="A239" s="2" t="s">
        <v>369</v>
      </c>
      <c r="B239" s="2" t="s">
        <v>184</v>
      </c>
      <c r="C239" s="2" t="s">
        <v>125</v>
      </c>
      <c r="D239" s="2" t="s">
        <v>12</v>
      </c>
      <c r="E239" s="2" t="s">
        <v>48</v>
      </c>
      <c r="F239" s="14" t="n">
        <v>54.97</v>
      </c>
      <c r="G239" s="2" t="n">
        <v>3</v>
      </c>
      <c r="H239" s="2" t="n">
        <v>16</v>
      </c>
      <c r="I239" s="20" t="n">
        <v>1.13</v>
      </c>
      <c r="J239" s="14" t="n">
        <v>24.5</v>
      </c>
      <c r="K239" s="14" t="n">
        <v>29.5</v>
      </c>
      <c r="L239" s="20" t="n">
        <f aca="false">INDEX('Read me'!$B$10:$B$15,2)</f>
        <v>1.26</v>
      </c>
      <c r="M239" s="14" t="n">
        <f aca="false">IF(F239*(1+'Read me'!$B$5)&lt;='Read me'!$B$7,CEILING(F239*(1+'Read me'!$B$5)+0.5,1)-0.5,CEILING(F239*(1+'Read me'!$B$5),5))</f>
        <v>55</v>
      </c>
      <c r="N239" s="14" t="n">
        <f aca="false">IF(MAX(M239*L239,M239+'Read me'!$B$6)&lt;='Read me'!$B$7,CEILING(MAX(M239*L239,M239+'Read me'!$B$6)+0.5,1)-0.5,CEILING(MAX(M239*L239,M239+'Read me'!$B$6),5))</f>
        <v>70</v>
      </c>
      <c r="O239" s="21" t="n">
        <f aca="false">IF(ISNUMBER(J239),M239-J239,"new")</f>
        <v>30.5</v>
      </c>
    </row>
    <row r="240" customFormat="false" ht="15" hidden="false" customHeight="false" outlineLevel="0" collapsed="false">
      <c r="A240" s="2" t="s">
        <v>370</v>
      </c>
      <c r="B240" s="2" t="s">
        <v>184</v>
      </c>
      <c r="C240" s="2" t="s">
        <v>125</v>
      </c>
      <c r="D240" s="2" t="s">
        <v>12</v>
      </c>
      <c r="E240" s="2" t="s">
        <v>49</v>
      </c>
      <c r="F240" s="14" t="n">
        <v>54.97</v>
      </c>
      <c r="G240" s="2" t="n">
        <v>2</v>
      </c>
      <c r="H240" s="2" t="n">
        <v>16</v>
      </c>
      <c r="I240" s="20" t="n">
        <v>1.13</v>
      </c>
      <c r="J240" s="14" t="n">
        <v>24.5</v>
      </c>
      <c r="K240" s="14" t="n">
        <v>29.5</v>
      </c>
      <c r="L240" s="20" t="n">
        <f aca="false">INDEX('Read me'!$B$10:$B$15,2)</f>
        <v>1.26</v>
      </c>
      <c r="M240" s="14" t="n">
        <f aca="false">IF(F240*(1+'Read me'!$B$5)&lt;='Read me'!$B$7,CEILING(F240*(1+'Read me'!$B$5)+0.5,1)-0.5,CEILING(F240*(1+'Read me'!$B$5),5))</f>
        <v>55</v>
      </c>
      <c r="N240" s="14" t="n">
        <f aca="false">IF(MAX(M240*L240,M240+'Read me'!$B$6)&lt;='Read me'!$B$7,CEILING(MAX(M240*L240,M240+'Read me'!$B$6)+0.5,1)-0.5,CEILING(MAX(M240*L240,M240+'Read me'!$B$6),5))</f>
        <v>70</v>
      </c>
      <c r="O240" s="21" t="n">
        <f aca="false">IF(ISNUMBER(J240),M240-J240,"new")</f>
        <v>30.5</v>
      </c>
    </row>
    <row r="241" customFormat="false" ht="15" hidden="false" customHeight="false" outlineLevel="0" collapsed="false">
      <c r="A241" s="2" t="s">
        <v>371</v>
      </c>
      <c r="B241" s="2" t="s">
        <v>184</v>
      </c>
      <c r="C241" s="2" t="s">
        <v>125</v>
      </c>
      <c r="D241" s="2" t="s">
        <v>12</v>
      </c>
      <c r="E241" s="2" t="s">
        <v>50</v>
      </c>
      <c r="F241" s="14" t="n">
        <v>70.33</v>
      </c>
      <c r="G241" s="2" t="n">
        <v>1</v>
      </c>
      <c r="H241" s="2" t="n">
        <v>16</v>
      </c>
      <c r="I241" s="20" t="n">
        <v>1.13</v>
      </c>
      <c r="J241" s="14" t="n">
        <v>24.5</v>
      </c>
      <c r="K241" s="14" t="n">
        <v>45</v>
      </c>
      <c r="L241" s="20" t="n">
        <f aca="false">INDEX('Read me'!$B$10:$B$15,2)</f>
        <v>1.26</v>
      </c>
      <c r="M241" s="14" t="n">
        <f aca="false">IF(F241*(1+'Read me'!$B$5)&lt;='Read me'!$B$7,CEILING(F241*(1+'Read me'!$B$5)+0.5,1)-0.5,CEILING(F241*(1+'Read me'!$B$5),5))</f>
        <v>75</v>
      </c>
      <c r="N241" s="14" t="n">
        <f aca="false">IF(MAX(M241*L241,M241+'Read me'!$B$6)&lt;='Read me'!$B$7,CEILING(MAX(M241*L241,M241+'Read me'!$B$6)+0.5,1)-0.5,CEILING(MAX(M241*L241,M241+'Read me'!$B$6),5))</f>
        <v>95</v>
      </c>
      <c r="O241" s="21" t="n">
        <f aca="false">IF(ISNUMBER(J241),M241-J241,"new")</f>
        <v>50.5</v>
      </c>
    </row>
    <row r="242" customFormat="false" ht="15" hidden="false" customHeight="false" outlineLevel="0" collapsed="false">
      <c r="A242" s="2" t="s">
        <v>372</v>
      </c>
      <c r="B242" s="2" t="s">
        <v>184</v>
      </c>
      <c r="C242" s="2" t="s">
        <v>125</v>
      </c>
      <c r="D242" s="2" t="s">
        <v>13</v>
      </c>
      <c r="E242" s="2" t="s">
        <v>48</v>
      </c>
      <c r="F242" s="14" t="n">
        <v>93.77</v>
      </c>
      <c r="G242" s="2" t="n">
        <v>0</v>
      </c>
      <c r="H242" s="2" t="n">
        <v>16</v>
      </c>
      <c r="I242" s="20" t="n">
        <v>1.13</v>
      </c>
      <c r="J242" s="14" t="n">
        <v>45</v>
      </c>
      <c r="K242" s="14" t="n">
        <v>95</v>
      </c>
      <c r="L242" s="20" t="n">
        <f aca="false">INDEX('Read me'!$B$10:$B$15,3)</f>
        <v>1.35</v>
      </c>
      <c r="M242" s="14" t="n">
        <f aca="false">IF(F242*(1+'Read me'!$B$5)&lt;='Read me'!$B$7,CEILING(F242*(1+'Read me'!$B$5)+0.5,1)-0.5,CEILING(F242*(1+'Read me'!$B$5),5))</f>
        <v>95</v>
      </c>
      <c r="N242" s="14" t="n">
        <f aca="false">IF(MAX(M242*L242,M242+'Read me'!$B$6)&lt;='Read me'!$B$7,CEILING(MAX(M242*L242,M242+'Read me'!$B$6)+0.5,1)-0.5,CEILING(MAX(M242*L242,M242+'Read me'!$B$6),5))</f>
        <v>130</v>
      </c>
      <c r="O242" s="21" t="n">
        <f aca="false">IF(ISNUMBER(J242),M242-J242,"new")</f>
        <v>50</v>
      </c>
    </row>
    <row r="243" customFormat="false" ht="15" hidden="false" customHeight="false" outlineLevel="0" collapsed="false">
      <c r="A243" s="2" t="s">
        <v>373</v>
      </c>
      <c r="B243" s="2" t="s">
        <v>184</v>
      </c>
      <c r="C243" s="2" t="s">
        <v>125</v>
      </c>
      <c r="D243" s="2" t="s">
        <v>13</v>
      </c>
      <c r="E243" s="2" t="s">
        <v>49</v>
      </c>
      <c r="F243" s="14" t="n">
        <v>107.71</v>
      </c>
      <c r="G243" s="2" t="n">
        <v>1</v>
      </c>
      <c r="H243" s="2" t="n">
        <v>16</v>
      </c>
      <c r="I243" s="20" t="n">
        <v>1.13</v>
      </c>
      <c r="J243" s="14" t="n">
        <v>45</v>
      </c>
      <c r="K243" s="14" t="n">
        <v>95</v>
      </c>
      <c r="L243" s="20" t="n">
        <f aca="false">INDEX('Read me'!$B$10:$B$15,3)</f>
        <v>1.35</v>
      </c>
      <c r="M243" s="14" t="n">
        <f aca="false">IF(F243*(1+'Read me'!$B$5)&lt;='Read me'!$B$7,CEILING(F243*(1+'Read me'!$B$5)+0.5,1)-0.5,CEILING(F243*(1+'Read me'!$B$5),5))</f>
        <v>110</v>
      </c>
      <c r="N243" s="14" t="n">
        <f aca="false">IF(MAX(M243*L243,M243+'Read me'!$B$6)&lt;='Read me'!$B$7,CEILING(MAX(M243*L243,M243+'Read me'!$B$6)+0.5,1)-0.5,CEILING(MAX(M243*L243,M243+'Read me'!$B$6),5))</f>
        <v>150</v>
      </c>
      <c r="O243" s="21" t="n">
        <f aca="false">IF(ISNUMBER(J243),M243-J243,"new")</f>
        <v>65</v>
      </c>
    </row>
    <row r="244" customFormat="false" ht="15" hidden="false" customHeight="false" outlineLevel="0" collapsed="false">
      <c r="A244" s="2" t="s">
        <v>374</v>
      </c>
      <c r="B244" s="2" t="s">
        <v>184</v>
      </c>
      <c r="C244" s="2" t="s">
        <v>125</v>
      </c>
      <c r="D244" s="2" t="s">
        <v>13</v>
      </c>
      <c r="E244" s="2" t="s">
        <v>50</v>
      </c>
      <c r="F244" s="14" t="n">
        <v>141.86</v>
      </c>
      <c r="G244" s="2" t="n">
        <v>0</v>
      </c>
      <c r="H244" s="2" t="n">
        <v>16</v>
      </c>
      <c r="I244" s="20" t="n">
        <v>1.13</v>
      </c>
      <c r="J244" s="14" t="n">
        <v>99</v>
      </c>
      <c r="K244" s="14" t="n">
        <v>150</v>
      </c>
      <c r="L244" s="20" t="n">
        <f aca="false">INDEX('Read me'!$B$10:$B$15,3)</f>
        <v>1.35</v>
      </c>
      <c r="M244" s="14" t="n">
        <f aca="false">IF(F244*(1+'Read me'!$B$5)&lt;='Read me'!$B$7,CEILING(F244*(1+'Read me'!$B$5)+0.5,1)-0.5,CEILING(F244*(1+'Read me'!$B$5),5))</f>
        <v>145</v>
      </c>
      <c r="N244" s="14" t="n">
        <f aca="false">IF(MAX(M244*L244,M244+'Read me'!$B$6)&lt;='Read me'!$B$7,CEILING(MAX(M244*L244,M244+'Read me'!$B$6)+0.5,1)-0.5,CEILING(MAX(M244*L244,M244+'Read me'!$B$6),5))</f>
        <v>200</v>
      </c>
      <c r="O244" s="21" t="n">
        <f aca="false">IF(ISNUMBER(J244),M244-J244,"new")</f>
        <v>46</v>
      </c>
    </row>
    <row r="245" customFormat="false" ht="15" hidden="false" customHeight="false" outlineLevel="0" collapsed="false">
      <c r="A245" s="2" t="s">
        <v>375</v>
      </c>
      <c r="B245" s="2" t="s">
        <v>184</v>
      </c>
      <c r="C245" s="2" t="s">
        <v>125</v>
      </c>
      <c r="D245" s="2" t="s">
        <v>14</v>
      </c>
      <c r="E245" s="2" t="s">
        <v>48</v>
      </c>
      <c r="F245" s="14" t="n">
        <v>162.36</v>
      </c>
      <c r="G245" s="2" t="n">
        <v>0</v>
      </c>
      <c r="H245" s="2" t="n">
        <v>16</v>
      </c>
      <c r="I245" s="20" t="n">
        <v>1.13</v>
      </c>
      <c r="J245" s="14" t="n">
        <v>99</v>
      </c>
      <c r="K245" s="14" t="n">
        <v>150</v>
      </c>
      <c r="L245" s="20" t="n">
        <f aca="false">INDEX('Read me'!$B$10:$B$15,4)</f>
        <v>1.2</v>
      </c>
      <c r="M245" s="14" t="n">
        <f aca="false">IF(F245*(1+'Read me'!$B$5)&lt;='Read me'!$B$7,CEILING(F245*(1+'Read me'!$B$5)+0.5,1)-0.5,CEILING(F245*(1+'Read me'!$B$5),5))</f>
        <v>165</v>
      </c>
      <c r="N245" s="14" t="n">
        <f aca="false">IF(MAX(M245*L245,M245+'Read me'!$B$6)&lt;='Read me'!$B$7,CEILING(MAX(M245*L245,M245+'Read me'!$B$6)+0.5,1)-0.5,CEILING(MAX(M245*L245,M245+'Read me'!$B$6),5))</f>
        <v>200</v>
      </c>
      <c r="O245" s="21" t="n">
        <f aca="false">IF(ISNUMBER(J245),M245-J245,"new")</f>
        <v>66</v>
      </c>
    </row>
    <row r="246" customFormat="false" ht="15" hidden="false" customHeight="false" outlineLevel="0" collapsed="false">
      <c r="A246" s="2" t="s">
        <v>376</v>
      </c>
      <c r="B246" s="2" t="s">
        <v>184</v>
      </c>
      <c r="C246" s="2" t="s">
        <v>125</v>
      </c>
      <c r="D246" s="2" t="s">
        <v>14</v>
      </c>
      <c r="E246" s="2" t="s">
        <v>49</v>
      </c>
      <c r="F246" s="14" t="n">
        <v>194.95</v>
      </c>
      <c r="G246" s="2" t="n">
        <v>0</v>
      </c>
      <c r="H246" s="2" t="n">
        <v>16</v>
      </c>
      <c r="I246" s="20" t="n">
        <v>1.13</v>
      </c>
      <c r="J246" s="14" t="n">
        <v>150</v>
      </c>
      <c r="K246" s="14" t="n">
        <v>150</v>
      </c>
      <c r="L246" s="20" t="n">
        <f aca="false">INDEX('Read me'!$B$10:$B$15,4)</f>
        <v>1.2</v>
      </c>
      <c r="M246" s="14" t="n">
        <f aca="false">IF(F246*(1+'Read me'!$B$5)&lt;='Read me'!$B$7,CEILING(F246*(1+'Read me'!$B$5)+0.5,1)-0.5,CEILING(F246*(1+'Read me'!$B$5),5))</f>
        <v>195</v>
      </c>
      <c r="N246" s="14" t="n">
        <f aca="false">IF(MAX(M246*L246,M246+'Read me'!$B$6)&lt;='Read me'!$B$7,CEILING(MAX(M246*L246,M246+'Read me'!$B$6)+0.5,1)-0.5,CEILING(MAX(M246*L246,M246+'Read me'!$B$6),5))</f>
        <v>235</v>
      </c>
      <c r="O246" s="21" t="n">
        <f aca="false">IF(ISNUMBER(J246),M246-J246,"new")</f>
        <v>45</v>
      </c>
    </row>
    <row r="247" customFormat="false" ht="15" hidden="false" customHeight="false" outlineLevel="0" collapsed="false">
      <c r="A247" s="2" t="s">
        <v>377</v>
      </c>
      <c r="B247" s="2" t="s">
        <v>184</v>
      </c>
      <c r="C247" s="2" t="s">
        <v>125</v>
      </c>
      <c r="D247" s="2" t="s">
        <v>14</v>
      </c>
      <c r="E247" s="2" t="s">
        <v>50</v>
      </c>
      <c r="F247" s="14" t="n">
        <v>234.94</v>
      </c>
      <c r="G247" s="2" t="n">
        <v>0</v>
      </c>
      <c r="H247" s="2" t="n">
        <v>16</v>
      </c>
      <c r="I247" s="20" t="n">
        <v>1.13</v>
      </c>
      <c r="J247" s="14" t="n">
        <v>250</v>
      </c>
      <c r="K247" s="14" t="n">
        <v>195</v>
      </c>
      <c r="L247" s="20" t="n">
        <f aca="false">INDEX('Read me'!$B$10:$B$15,4)</f>
        <v>1.2</v>
      </c>
      <c r="M247" s="14" t="n">
        <f aca="false">IF(F247*(1+'Read me'!$B$5)&lt;='Read me'!$B$7,CEILING(F247*(1+'Read me'!$B$5)+0.5,1)-0.5,CEILING(F247*(1+'Read me'!$B$5),5))</f>
        <v>235</v>
      </c>
      <c r="N247" s="14" t="n">
        <f aca="false">IF(MAX(M247*L247,M247+'Read me'!$B$6)&lt;='Read me'!$B$7,CEILING(MAX(M247*L247,M247+'Read me'!$B$6)+0.5,1)-0.5,CEILING(MAX(M247*L247,M247+'Read me'!$B$6),5))</f>
        <v>285</v>
      </c>
      <c r="O247" s="21" t="n">
        <f aca="false">IF(ISNUMBER(J247),M247-J247,"new")</f>
        <v>-15</v>
      </c>
    </row>
    <row r="248" customFormat="false" ht="15" hidden="false" customHeight="false" outlineLevel="0" collapsed="false">
      <c r="A248" s="2" t="s">
        <v>378</v>
      </c>
      <c r="B248" s="2" t="s">
        <v>184</v>
      </c>
      <c r="C248" s="2" t="s">
        <v>125</v>
      </c>
      <c r="D248" s="2" t="s">
        <v>15</v>
      </c>
      <c r="E248" s="2" t="s">
        <v>48</v>
      </c>
      <c r="F248" s="14" t="n">
        <v>206.09</v>
      </c>
      <c r="G248" s="2" t="n">
        <v>0</v>
      </c>
      <c r="H248" s="2" t="n">
        <v>16</v>
      </c>
      <c r="I248" s="20" t="n">
        <v>1.13</v>
      </c>
      <c r="J248" s="14" t="n">
        <v>300</v>
      </c>
      <c r="K248" s="14" t="n">
        <v>300</v>
      </c>
      <c r="L248" s="20" t="n">
        <f aca="false">INDEX('Read me'!$B$10:$B$15,5)</f>
        <v>1.2</v>
      </c>
      <c r="M248" s="14" t="n">
        <f aca="false">IF(F248*(1+'Read me'!$B$5)&lt;='Read me'!$B$7,CEILING(F248*(1+'Read me'!$B$5)+0.5,1)-0.5,CEILING(F248*(1+'Read me'!$B$5),5))</f>
        <v>210</v>
      </c>
      <c r="N248" s="14" t="n">
        <f aca="false">IF(MAX(M248*L248,M248+'Read me'!$B$6)&lt;='Read me'!$B$7,CEILING(MAX(M248*L248,M248+'Read me'!$B$6)+0.5,1)-0.5,CEILING(MAX(M248*L248,M248+'Read me'!$B$6),5))</f>
        <v>255</v>
      </c>
      <c r="O248" s="21" t="n">
        <f aca="false">IF(ISNUMBER(J248),M248-J248,"new")</f>
        <v>-90</v>
      </c>
    </row>
    <row r="249" customFormat="false" ht="15" hidden="false" customHeight="false" outlineLevel="0" collapsed="false">
      <c r="A249" s="2" t="s">
        <v>379</v>
      </c>
      <c r="B249" s="2" t="s">
        <v>184</v>
      </c>
      <c r="C249" s="2" t="s">
        <v>125</v>
      </c>
      <c r="D249" s="2" t="s">
        <v>15</v>
      </c>
      <c r="E249" s="2" t="s">
        <v>49</v>
      </c>
      <c r="F249" s="14" t="n">
        <v>254.25</v>
      </c>
      <c r="G249" s="2" t="n">
        <v>0</v>
      </c>
      <c r="H249" s="2" t="n">
        <v>16</v>
      </c>
      <c r="I249" s="20" t="n">
        <v>1.13</v>
      </c>
      <c r="J249" s="14" t="n">
        <v>300</v>
      </c>
      <c r="K249" s="14" t="n">
        <v>300</v>
      </c>
      <c r="L249" s="20" t="n">
        <f aca="false">INDEX('Read me'!$B$10:$B$15,5)</f>
        <v>1.2</v>
      </c>
      <c r="M249" s="14" t="n">
        <f aca="false">N249</f>
        <v>310</v>
      </c>
      <c r="N249" s="14" t="n">
        <f aca="false">IF(MAX((IF(F249*(1+'Read me'!$B$5)&lt;='Read me'!$B$7,CEILING(F249*(1+'Read me'!$B$5)+0.5,1)-0.5,CEILING(F249*(1+'Read me'!$B$5),5)))*L249,(IF(F249*(1+'Read me'!$B$5)&lt;='Read me'!$B$7,CEILING(F249*(1+'Read me'!$B$5)+0.5,1)-0.5,CEILING(F249*(1+'Read me'!$B$5),5)))+'Read me'!$B$6)&lt;='Read me'!$B$7,CEILING(MAX((IF(F249*(1+'Read me'!$B$5)&lt;='Read me'!$B$7,CEILING(F249*(1+'Read me'!$B$5)+0.5,1)-0.5,CEILING(F249*(1+'Read me'!$B$5),5)))*L249,(IF(F249*(1+'Read me'!$B$5)&lt;='Read me'!$B$7,CEILING(F249*(1+'Read me'!$B$5)+0.5,1)-0.5,CEILING(F249*(1+'Read me'!$B$5),5)))+'Read me'!$B$6)+0.5,1)-0.5,CEILING(MAX((IF(F249*(1+'Read me'!$B$5)&lt;='Read me'!$B$7,CEILING(F249*(1+'Read me'!$B$5)+0.5,1)-0.5,CEILING(F249*(1+'Read me'!$B$5),5)))*L249,(IF(F249*(1+'Read me'!$B$5)&lt;='Read me'!$B$7,CEILING(F249*(1+'Read me'!$B$5)+0.5,1)-0.5,CEILING(F249*(1+'Read me'!$B$5),5)))+'Read me'!$B$6),5))</f>
        <v>310</v>
      </c>
      <c r="O249" s="21" t="n">
        <f aca="false">IF(ISNUMBER(J249),M249-J249,"new")</f>
        <v>10</v>
      </c>
      <c r="P249" s="5" t="s">
        <v>140</v>
      </c>
    </row>
    <row r="250" customFormat="false" ht="15" hidden="false" customHeight="false" outlineLevel="0" collapsed="false">
      <c r="A250" s="2" t="s">
        <v>380</v>
      </c>
      <c r="B250" s="2" t="s">
        <v>184</v>
      </c>
      <c r="C250" s="2" t="s">
        <v>125</v>
      </c>
      <c r="D250" s="2" t="s">
        <v>15</v>
      </c>
      <c r="E250" s="2" t="s">
        <v>50</v>
      </c>
      <c r="F250" s="14" t="n">
        <v>305.5</v>
      </c>
      <c r="G250" s="2" t="n">
        <v>0</v>
      </c>
      <c r="H250" s="2" t="n">
        <v>16</v>
      </c>
      <c r="I250" s="20" t="n">
        <v>1.13</v>
      </c>
      <c r="J250" s="14" t="n">
        <v>350</v>
      </c>
      <c r="K250" s="14" t="n">
        <v>400</v>
      </c>
      <c r="L250" s="20" t="n">
        <f aca="false">INDEX('Read me'!$B$10:$B$15,5)</f>
        <v>1.2</v>
      </c>
      <c r="M250" s="14" t="n">
        <f aca="false">N250</f>
        <v>375</v>
      </c>
      <c r="N250" s="14" t="n">
        <f aca="false">IF(MAX((IF(F250*(1+'Read me'!$B$5)&lt;='Read me'!$B$7,CEILING(F250*(1+'Read me'!$B$5)+0.5,1)-0.5,CEILING(F250*(1+'Read me'!$B$5),5)))*L250,(IF(F250*(1+'Read me'!$B$5)&lt;='Read me'!$B$7,CEILING(F250*(1+'Read me'!$B$5)+0.5,1)-0.5,CEILING(F250*(1+'Read me'!$B$5),5)))+'Read me'!$B$6)&lt;='Read me'!$B$7,CEILING(MAX((IF(F250*(1+'Read me'!$B$5)&lt;='Read me'!$B$7,CEILING(F250*(1+'Read me'!$B$5)+0.5,1)-0.5,CEILING(F250*(1+'Read me'!$B$5),5)))*L250,(IF(F250*(1+'Read me'!$B$5)&lt;='Read me'!$B$7,CEILING(F250*(1+'Read me'!$B$5)+0.5,1)-0.5,CEILING(F250*(1+'Read me'!$B$5),5)))+'Read me'!$B$6)+0.5,1)-0.5,CEILING(MAX((IF(F250*(1+'Read me'!$B$5)&lt;='Read me'!$B$7,CEILING(F250*(1+'Read me'!$B$5)+0.5,1)-0.5,CEILING(F250*(1+'Read me'!$B$5),5)))*L250,(IF(F250*(1+'Read me'!$B$5)&lt;='Read me'!$B$7,CEILING(F250*(1+'Read me'!$B$5)+0.5,1)-0.5,CEILING(F250*(1+'Read me'!$B$5),5)))+'Read me'!$B$6),5))</f>
        <v>375</v>
      </c>
      <c r="O250" s="21" t="n">
        <f aca="false">IF(ISNUMBER(J250),M250-J250,"new")</f>
        <v>25</v>
      </c>
      <c r="P250" s="5" t="s">
        <v>140</v>
      </c>
    </row>
    <row r="251" customFormat="false" ht="15" hidden="false" customHeight="false" outlineLevel="0" collapsed="false">
      <c r="A251" s="2" t="s">
        <v>381</v>
      </c>
      <c r="B251" s="2" t="s">
        <v>184</v>
      </c>
      <c r="C251" s="2" t="s">
        <v>125</v>
      </c>
      <c r="D251" s="2" t="s">
        <v>16</v>
      </c>
      <c r="E251" s="2" t="s">
        <v>48</v>
      </c>
      <c r="F251" s="14" t="n">
        <v>274.44</v>
      </c>
      <c r="G251" s="2" t="n">
        <v>1</v>
      </c>
      <c r="H251" s="2" t="n">
        <v>16</v>
      </c>
      <c r="I251" s="20" t="n">
        <v>1.13</v>
      </c>
      <c r="J251" s="14"/>
      <c r="K251" s="14"/>
      <c r="L251" s="20" t="n">
        <f aca="false">INDEX('Read me'!$B$10:$B$15,6)</f>
        <v>1.2</v>
      </c>
      <c r="M251" s="14" t="n">
        <f aca="false">IF(F251*(1+'Read me'!$B$5)&lt;='Read me'!$B$7,CEILING(F251*(1+'Read me'!$B$5)+0.5,1)-0.5,CEILING(F251*(1+'Read me'!$B$5),5))</f>
        <v>275</v>
      </c>
      <c r="N251" s="14" t="n">
        <f aca="false">IF(MAX(M251*L251,M251+'Read me'!$B$6)&lt;='Read me'!$B$7,CEILING(MAX(M251*L251,M251+'Read me'!$B$6)+0.5,1)-0.5,CEILING(MAX(M251*L251,M251+'Read me'!$B$6),5))</f>
        <v>330</v>
      </c>
      <c r="O251" s="21" t="str">
        <f aca="false">IF(ISNUMBER(J251),M251-J251,"new")</f>
        <v>new</v>
      </c>
    </row>
    <row r="252" customFormat="false" ht="15" hidden="false" customHeight="false" outlineLevel="0" collapsed="false">
      <c r="A252" s="2" t="s">
        <v>382</v>
      </c>
      <c r="B252" s="2" t="s">
        <v>184</v>
      </c>
      <c r="C252" s="2" t="s">
        <v>125</v>
      </c>
      <c r="D252" s="2" t="s">
        <v>16</v>
      </c>
      <c r="E252" s="2" t="s">
        <v>49</v>
      </c>
      <c r="F252" s="14" t="n">
        <v>367.71</v>
      </c>
      <c r="G252" s="2" t="n">
        <v>0</v>
      </c>
      <c r="H252" s="2" t="n">
        <v>16</v>
      </c>
      <c r="I252" s="20" t="n">
        <v>1.13</v>
      </c>
      <c r="J252" s="14"/>
      <c r="K252" s="14"/>
      <c r="L252" s="20" t="n">
        <f aca="false">INDEX('Read me'!$B$10:$B$15,6)</f>
        <v>1.2</v>
      </c>
      <c r="M252" s="14" t="n">
        <f aca="false">N252</f>
        <v>445</v>
      </c>
      <c r="N252" s="14" t="n">
        <f aca="false">IF(MAX((IF(F252*(1+'Read me'!$B$5)&lt;='Read me'!$B$7,CEILING(F252*(1+'Read me'!$B$5)+0.5,1)-0.5,CEILING(F252*(1+'Read me'!$B$5),5)))*L252,(IF(F252*(1+'Read me'!$B$5)&lt;='Read me'!$B$7,CEILING(F252*(1+'Read me'!$B$5)+0.5,1)-0.5,CEILING(F252*(1+'Read me'!$B$5),5)))+'Read me'!$B$6)&lt;='Read me'!$B$7,CEILING(MAX((IF(F252*(1+'Read me'!$B$5)&lt;='Read me'!$B$7,CEILING(F252*(1+'Read me'!$B$5)+0.5,1)-0.5,CEILING(F252*(1+'Read me'!$B$5),5)))*L252,(IF(F252*(1+'Read me'!$B$5)&lt;='Read me'!$B$7,CEILING(F252*(1+'Read me'!$B$5)+0.5,1)-0.5,CEILING(F252*(1+'Read me'!$B$5),5)))+'Read me'!$B$6)+0.5,1)-0.5,CEILING(MAX((IF(F252*(1+'Read me'!$B$5)&lt;='Read me'!$B$7,CEILING(F252*(1+'Read me'!$B$5)+0.5,1)-0.5,CEILING(F252*(1+'Read me'!$B$5),5)))*L252,(IF(F252*(1+'Read me'!$B$5)&lt;='Read me'!$B$7,CEILING(F252*(1+'Read me'!$B$5)+0.5,1)-0.5,CEILING(F252*(1+'Read me'!$B$5),5)))+'Read me'!$B$6),5))</f>
        <v>445</v>
      </c>
      <c r="O252" s="21" t="str">
        <f aca="false">IF(ISNUMBER(J252),M252-J252,"new")</f>
        <v>new</v>
      </c>
      <c r="P252" s="5" t="s">
        <v>140</v>
      </c>
    </row>
    <row r="253" customFormat="false" ht="15" hidden="false" customHeight="false" outlineLevel="0" collapsed="false">
      <c r="A253" s="2" t="s">
        <v>383</v>
      </c>
      <c r="B253" s="2" t="s">
        <v>184</v>
      </c>
      <c r="C253" s="2" t="s">
        <v>125</v>
      </c>
      <c r="D253" s="2" t="s">
        <v>16</v>
      </c>
      <c r="E253" s="2" t="s">
        <v>50</v>
      </c>
      <c r="F253" s="14" t="n">
        <v>432.18</v>
      </c>
      <c r="G253" s="2" t="n">
        <v>0</v>
      </c>
      <c r="H253" s="2" t="n">
        <v>16</v>
      </c>
      <c r="I253" s="20" t="n">
        <v>1.13</v>
      </c>
      <c r="J253" s="14"/>
      <c r="K253" s="14"/>
      <c r="L253" s="20" t="n">
        <f aca="false">INDEX('Read me'!$B$10:$B$15,6)</f>
        <v>1.2</v>
      </c>
      <c r="M253" s="14" t="n">
        <f aca="false">N253</f>
        <v>525</v>
      </c>
      <c r="N253" s="14" t="n">
        <f aca="false">IF(MAX((IF(F253*(1+'Read me'!$B$5)&lt;='Read me'!$B$7,CEILING(F253*(1+'Read me'!$B$5)+0.5,1)-0.5,CEILING(F253*(1+'Read me'!$B$5),5)))*L253,(IF(F253*(1+'Read me'!$B$5)&lt;='Read me'!$B$7,CEILING(F253*(1+'Read me'!$B$5)+0.5,1)-0.5,CEILING(F253*(1+'Read me'!$B$5),5)))+'Read me'!$B$6)&lt;='Read me'!$B$7,CEILING(MAX((IF(F253*(1+'Read me'!$B$5)&lt;='Read me'!$B$7,CEILING(F253*(1+'Read me'!$B$5)+0.5,1)-0.5,CEILING(F253*(1+'Read me'!$B$5),5)))*L253,(IF(F253*(1+'Read me'!$B$5)&lt;='Read me'!$B$7,CEILING(F253*(1+'Read me'!$B$5)+0.5,1)-0.5,CEILING(F253*(1+'Read me'!$B$5),5)))+'Read me'!$B$6)+0.5,1)-0.5,CEILING(MAX((IF(F253*(1+'Read me'!$B$5)&lt;='Read me'!$B$7,CEILING(F253*(1+'Read me'!$B$5)+0.5,1)-0.5,CEILING(F253*(1+'Read me'!$B$5),5)))*L253,(IF(F253*(1+'Read me'!$B$5)&lt;='Read me'!$B$7,CEILING(F253*(1+'Read me'!$B$5)+0.5,1)-0.5,CEILING(F253*(1+'Read me'!$B$5),5)))+'Read me'!$B$6),5))</f>
        <v>525</v>
      </c>
      <c r="O253" s="21" t="str">
        <f aca="false">IF(ISNUMBER(J253),M253-J253,"new")</f>
        <v>new</v>
      </c>
      <c r="P253" s="5" t="s">
        <v>140</v>
      </c>
    </row>
    <row r="254" customFormat="false" ht="15" hidden="false" customHeight="false" outlineLevel="0" collapsed="false">
      <c r="A254" s="2" t="s">
        <v>384</v>
      </c>
      <c r="B254" s="2" t="s">
        <v>385</v>
      </c>
      <c r="C254" s="2" t="s">
        <v>165</v>
      </c>
      <c r="D254" s="2" t="s">
        <v>10</v>
      </c>
      <c r="E254" s="2" t="s">
        <v>48</v>
      </c>
      <c r="F254" s="14" t="n">
        <v>20.21</v>
      </c>
      <c r="G254" s="2" t="n">
        <v>10</v>
      </c>
      <c r="H254" s="2" t="n">
        <v>40</v>
      </c>
      <c r="I254" s="20" t="n">
        <v>1.28</v>
      </c>
      <c r="J254" s="14" t="n">
        <v>19.5</v>
      </c>
      <c r="K254" s="14" t="n">
        <v>24.5</v>
      </c>
      <c r="L254" s="20" t="n">
        <f aca="false">INDEX('Read me'!$B$10:$B$15,1)</f>
        <v>1.34</v>
      </c>
      <c r="M254" s="14" t="n">
        <f aca="false">IF(F254*(1+'Read me'!$B$5)&lt;='Read me'!$B$7,CEILING(F254*(1+'Read me'!$B$5)+0.5,1)-0.5,CEILING(F254*(1+'Read me'!$B$5),5))</f>
        <v>20.5</v>
      </c>
      <c r="N254" s="14" t="n">
        <f aca="false">IF(MAX(M254*L254,M254+'Read me'!$B$6)&lt;='Read me'!$B$7,CEILING(MAX(M254*L254,M254+'Read me'!$B$6)+0.5,1)-0.5,CEILING(MAX(M254*L254,M254+'Read me'!$B$6),5))</f>
        <v>27.5</v>
      </c>
      <c r="O254" s="21" t="n">
        <f aca="false">IF(ISNUMBER(J254),M254-J254,"new")</f>
        <v>1</v>
      </c>
    </row>
    <row r="255" customFormat="false" ht="15" hidden="false" customHeight="false" outlineLevel="0" collapsed="false">
      <c r="A255" s="2" t="s">
        <v>386</v>
      </c>
      <c r="B255" s="2" t="s">
        <v>385</v>
      </c>
      <c r="C255" s="2" t="s">
        <v>165</v>
      </c>
      <c r="D255" s="2" t="s">
        <v>10</v>
      </c>
      <c r="E255" s="2" t="s">
        <v>49</v>
      </c>
      <c r="F255" s="14" t="n">
        <v>20.21</v>
      </c>
      <c r="G255" s="2" t="n">
        <v>0</v>
      </c>
      <c r="H255" s="2" t="n">
        <v>40</v>
      </c>
      <c r="I255" s="20" t="n">
        <v>1.28</v>
      </c>
      <c r="J255" s="14" t="n">
        <v>19.5</v>
      </c>
      <c r="K255" s="14" t="n">
        <v>24.5</v>
      </c>
      <c r="L255" s="20" t="n">
        <f aca="false">INDEX('Read me'!$B$10:$B$15,1)</f>
        <v>1.34</v>
      </c>
      <c r="M255" s="14" t="n">
        <f aca="false">IF(F255*(1+'Read me'!$B$5)&lt;='Read me'!$B$7,CEILING(F255*(1+'Read me'!$B$5)+0.5,1)-0.5,CEILING(F255*(1+'Read me'!$B$5),5))</f>
        <v>20.5</v>
      </c>
      <c r="N255" s="14" t="n">
        <f aca="false">IF(MAX(M255*L255,M255+'Read me'!$B$6)&lt;='Read me'!$B$7,CEILING(MAX(M255*L255,M255+'Read me'!$B$6)+0.5,1)-0.5,CEILING(MAX(M255*L255,M255+'Read me'!$B$6),5))</f>
        <v>27.5</v>
      </c>
      <c r="O255" s="21" t="n">
        <f aca="false">IF(ISNUMBER(J255),M255-J255,"new")</f>
        <v>1</v>
      </c>
    </row>
    <row r="256" customFormat="false" ht="15" hidden="false" customHeight="false" outlineLevel="0" collapsed="false">
      <c r="A256" s="2" t="s">
        <v>387</v>
      </c>
      <c r="B256" s="2" t="s">
        <v>385</v>
      </c>
      <c r="C256" s="2" t="s">
        <v>165</v>
      </c>
      <c r="D256" s="2" t="s">
        <v>10</v>
      </c>
      <c r="E256" s="2" t="s">
        <v>50</v>
      </c>
      <c r="F256" s="14" t="n">
        <v>25.5</v>
      </c>
      <c r="G256" s="2" t="n">
        <v>3</v>
      </c>
      <c r="H256" s="2" t="n">
        <v>40</v>
      </c>
      <c r="I256" s="20" t="n">
        <v>1.28</v>
      </c>
      <c r="J256" s="14" t="n">
        <v>19.5</v>
      </c>
      <c r="K256" s="14" t="n">
        <v>34.5</v>
      </c>
      <c r="L256" s="20" t="n">
        <f aca="false">INDEX('Read me'!$B$10:$B$15,1)</f>
        <v>1.34</v>
      </c>
      <c r="M256" s="14" t="n">
        <f aca="false">IF(F256*(1+'Read me'!$B$5)&lt;='Read me'!$B$7,CEILING(F256*(1+'Read me'!$B$5)+0.5,1)-0.5,CEILING(F256*(1+'Read me'!$B$5),5))</f>
        <v>25.5</v>
      </c>
      <c r="N256" s="14" t="n">
        <f aca="false">IF(MAX(M256*L256,M256+'Read me'!$B$6)&lt;='Read me'!$B$7,CEILING(MAX(M256*L256,M256+'Read me'!$B$6)+0.5,1)-0.5,CEILING(MAX(M256*L256,M256+'Read me'!$B$6),5))</f>
        <v>35</v>
      </c>
      <c r="O256" s="21" t="n">
        <f aca="false">IF(ISNUMBER(J256),M256-J256,"new")</f>
        <v>6</v>
      </c>
    </row>
    <row r="257" customFormat="false" ht="15" hidden="false" customHeight="false" outlineLevel="0" collapsed="false">
      <c r="A257" s="2" t="s">
        <v>388</v>
      </c>
      <c r="B257" s="2" t="s">
        <v>385</v>
      </c>
      <c r="C257" s="2" t="s">
        <v>165</v>
      </c>
      <c r="D257" s="2" t="s">
        <v>12</v>
      </c>
      <c r="E257" s="2" t="s">
        <v>48</v>
      </c>
      <c r="F257" s="14" t="n">
        <v>59.74</v>
      </c>
      <c r="G257" s="2" t="n">
        <v>14</v>
      </c>
      <c r="H257" s="2" t="n">
        <v>40</v>
      </c>
      <c r="I257" s="20" t="n">
        <v>1.28</v>
      </c>
      <c r="J257" s="14" t="n">
        <v>24.5</v>
      </c>
      <c r="K257" s="14" t="n">
        <v>29.5</v>
      </c>
      <c r="L257" s="20" t="n">
        <f aca="false">INDEX('Read me'!$B$10:$B$15,2)</f>
        <v>1.26</v>
      </c>
      <c r="M257" s="14" t="n">
        <f aca="false">IF(F257*(1+'Read me'!$B$5)&lt;='Read me'!$B$7,CEILING(F257*(1+'Read me'!$B$5)+0.5,1)-0.5,CEILING(F257*(1+'Read me'!$B$5),5))</f>
        <v>60</v>
      </c>
      <c r="N257" s="14" t="n">
        <f aca="false">IF(MAX(M257*L257,M257+'Read me'!$B$6)&lt;='Read me'!$B$7,CEILING(MAX(M257*L257,M257+'Read me'!$B$6)+0.5,1)-0.5,CEILING(MAX(M257*L257,M257+'Read me'!$B$6),5))</f>
        <v>80</v>
      </c>
      <c r="O257" s="21" t="n">
        <f aca="false">IF(ISNUMBER(J257),M257-J257,"new")</f>
        <v>35.5</v>
      </c>
    </row>
    <row r="258" customFormat="false" ht="15" hidden="false" customHeight="false" outlineLevel="0" collapsed="false">
      <c r="A258" s="2" t="s">
        <v>389</v>
      </c>
      <c r="B258" s="2" t="s">
        <v>385</v>
      </c>
      <c r="C258" s="2" t="s">
        <v>165</v>
      </c>
      <c r="D258" s="2" t="s">
        <v>12</v>
      </c>
      <c r="E258" s="2" t="s">
        <v>49</v>
      </c>
      <c r="F258" s="14" t="n">
        <v>67.03</v>
      </c>
      <c r="G258" s="2" t="n">
        <v>0</v>
      </c>
      <c r="H258" s="2" t="n">
        <v>40</v>
      </c>
      <c r="I258" s="20" t="n">
        <v>1.28</v>
      </c>
      <c r="J258" s="14" t="n">
        <v>24.5</v>
      </c>
      <c r="K258" s="14" t="n">
        <v>29.5</v>
      </c>
      <c r="L258" s="20" t="n">
        <f aca="false">INDEX('Read me'!$B$10:$B$15,2)</f>
        <v>1.26</v>
      </c>
      <c r="M258" s="14" t="n">
        <f aca="false">IF(F258*(1+'Read me'!$B$5)&lt;='Read me'!$B$7,CEILING(F258*(1+'Read me'!$B$5)+0.5,1)-0.5,CEILING(F258*(1+'Read me'!$B$5),5))</f>
        <v>70</v>
      </c>
      <c r="N258" s="14" t="n">
        <f aca="false">IF(MAX(M258*L258,M258+'Read me'!$B$6)&lt;='Read me'!$B$7,CEILING(MAX(M258*L258,M258+'Read me'!$B$6)+0.5,1)-0.5,CEILING(MAX(M258*L258,M258+'Read me'!$B$6),5))</f>
        <v>90</v>
      </c>
      <c r="O258" s="21" t="n">
        <f aca="false">IF(ISNUMBER(J258),M258-J258,"new")</f>
        <v>45.5</v>
      </c>
    </row>
    <row r="259" customFormat="false" ht="15" hidden="false" customHeight="false" outlineLevel="0" collapsed="false">
      <c r="A259" s="2" t="s">
        <v>390</v>
      </c>
      <c r="B259" s="2" t="s">
        <v>385</v>
      </c>
      <c r="C259" s="2" t="s">
        <v>165</v>
      </c>
      <c r="D259" s="2" t="s">
        <v>12</v>
      </c>
      <c r="E259" s="2" t="s">
        <v>50</v>
      </c>
      <c r="F259" s="14" t="n">
        <v>74.72</v>
      </c>
      <c r="G259" s="2" t="n">
        <v>6</v>
      </c>
      <c r="H259" s="2" t="n">
        <v>40</v>
      </c>
      <c r="I259" s="20" t="n">
        <v>1.28</v>
      </c>
      <c r="J259" s="14" t="n">
        <v>24.5</v>
      </c>
      <c r="K259" s="14" t="n">
        <v>45</v>
      </c>
      <c r="L259" s="20" t="n">
        <f aca="false">INDEX('Read me'!$B$10:$B$15,2)</f>
        <v>1.26</v>
      </c>
      <c r="M259" s="14" t="n">
        <f aca="false">IF(F259*(1+'Read me'!$B$5)&lt;='Read me'!$B$7,CEILING(F259*(1+'Read me'!$B$5)+0.5,1)-0.5,CEILING(F259*(1+'Read me'!$B$5),5))</f>
        <v>75</v>
      </c>
      <c r="N259" s="14" t="n">
        <f aca="false">IF(MAX(M259*L259,M259+'Read me'!$B$6)&lt;='Read me'!$B$7,CEILING(MAX(M259*L259,M259+'Read me'!$B$6)+0.5,1)-0.5,CEILING(MAX(M259*L259,M259+'Read me'!$B$6),5))</f>
        <v>95</v>
      </c>
      <c r="O259" s="21" t="n">
        <f aca="false">IF(ISNUMBER(J259),M259-J259,"new")</f>
        <v>50.5</v>
      </c>
    </row>
    <row r="260" customFormat="false" ht="15" hidden="false" customHeight="false" outlineLevel="0" collapsed="false">
      <c r="A260" s="2" t="s">
        <v>391</v>
      </c>
      <c r="B260" s="2" t="s">
        <v>385</v>
      </c>
      <c r="C260" s="2" t="s">
        <v>165</v>
      </c>
      <c r="D260" s="2" t="s">
        <v>13</v>
      </c>
      <c r="E260" s="2" t="s">
        <v>48</v>
      </c>
      <c r="F260" s="14" t="n">
        <v>114.37</v>
      </c>
      <c r="G260" s="2" t="n">
        <v>4</v>
      </c>
      <c r="H260" s="2" t="n">
        <v>40</v>
      </c>
      <c r="I260" s="20" t="n">
        <v>1.28</v>
      </c>
      <c r="J260" s="14" t="n">
        <v>45</v>
      </c>
      <c r="K260" s="14" t="n">
        <v>95</v>
      </c>
      <c r="L260" s="20" t="n">
        <f aca="false">INDEX('Read me'!$B$10:$B$15,3)</f>
        <v>1.35</v>
      </c>
      <c r="M260" s="14" t="n">
        <f aca="false">IF(F260*(1+'Read me'!$B$5)&lt;='Read me'!$B$7,CEILING(F260*(1+'Read me'!$B$5)+0.5,1)-0.5,CEILING(F260*(1+'Read me'!$B$5),5))</f>
        <v>115</v>
      </c>
      <c r="N260" s="14" t="n">
        <f aca="false">IF(MAX(M260*L260,M260+'Read me'!$B$6)&lt;='Read me'!$B$7,CEILING(MAX(M260*L260,M260+'Read me'!$B$6)+0.5,1)-0.5,CEILING(MAX(M260*L260,M260+'Read me'!$B$6),5))</f>
        <v>160</v>
      </c>
      <c r="O260" s="21" t="n">
        <f aca="false">IF(ISNUMBER(J260),M260-J260,"new")</f>
        <v>70</v>
      </c>
    </row>
    <row r="261" customFormat="false" ht="15" hidden="false" customHeight="false" outlineLevel="0" collapsed="false">
      <c r="A261" s="2" t="s">
        <v>392</v>
      </c>
      <c r="B261" s="2" t="s">
        <v>385</v>
      </c>
      <c r="C261" s="2" t="s">
        <v>165</v>
      </c>
      <c r="D261" s="2" t="s">
        <v>13</v>
      </c>
      <c r="E261" s="2" t="s">
        <v>49</v>
      </c>
      <c r="F261" s="14" t="n">
        <v>118.82</v>
      </c>
      <c r="G261" s="2" t="n">
        <v>0</v>
      </c>
      <c r="H261" s="2" t="n">
        <v>40</v>
      </c>
      <c r="I261" s="20" t="n">
        <v>1.28</v>
      </c>
      <c r="J261" s="14" t="n">
        <v>45</v>
      </c>
      <c r="K261" s="14" t="n">
        <v>95</v>
      </c>
      <c r="L261" s="20" t="n">
        <f aca="false">INDEX('Read me'!$B$10:$B$15,3)</f>
        <v>1.35</v>
      </c>
      <c r="M261" s="14" t="n">
        <f aca="false">IF(F261*(1+'Read me'!$B$5)&lt;='Read me'!$B$7,CEILING(F261*(1+'Read me'!$B$5)+0.5,1)-0.5,CEILING(F261*(1+'Read me'!$B$5),5))</f>
        <v>120</v>
      </c>
      <c r="N261" s="14" t="n">
        <f aca="false">IF(MAX(M261*L261,M261+'Read me'!$B$6)&lt;='Read me'!$B$7,CEILING(MAX(M261*L261,M261+'Read me'!$B$6)+0.5,1)-0.5,CEILING(MAX(M261*L261,M261+'Read me'!$B$6),5))</f>
        <v>165</v>
      </c>
      <c r="O261" s="21" t="n">
        <f aca="false">IF(ISNUMBER(J261),M261-J261,"new")</f>
        <v>75</v>
      </c>
    </row>
    <row r="262" customFormat="false" ht="15" hidden="false" customHeight="false" outlineLevel="0" collapsed="false">
      <c r="A262" s="2" t="s">
        <v>393</v>
      </c>
      <c r="B262" s="2" t="s">
        <v>385</v>
      </c>
      <c r="C262" s="2" t="s">
        <v>165</v>
      </c>
      <c r="D262" s="2" t="s">
        <v>13</v>
      </c>
      <c r="E262" s="2" t="s">
        <v>50</v>
      </c>
      <c r="F262" s="14" t="n">
        <v>154.18</v>
      </c>
      <c r="G262" s="2" t="n">
        <v>1</v>
      </c>
      <c r="H262" s="2" t="n">
        <v>40</v>
      </c>
      <c r="I262" s="20" t="n">
        <v>1.28</v>
      </c>
      <c r="J262" s="14" t="n">
        <v>95</v>
      </c>
      <c r="K262" s="14" t="n">
        <v>150</v>
      </c>
      <c r="L262" s="20" t="n">
        <f aca="false">INDEX('Read me'!$B$10:$B$15,3)</f>
        <v>1.35</v>
      </c>
      <c r="M262" s="14" t="n">
        <f aca="false">IF(F262*(1+'Read me'!$B$5)&lt;='Read me'!$B$7,CEILING(F262*(1+'Read me'!$B$5)+0.5,1)-0.5,CEILING(F262*(1+'Read me'!$B$5),5))</f>
        <v>155</v>
      </c>
      <c r="N262" s="14" t="n">
        <f aca="false">IF(MAX(M262*L262,M262+'Read me'!$B$6)&lt;='Read me'!$B$7,CEILING(MAX(M262*L262,M262+'Read me'!$B$6)+0.5,1)-0.5,CEILING(MAX(M262*L262,M262+'Read me'!$B$6),5))</f>
        <v>210</v>
      </c>
      <c r="O262" s="21" t="n">
        <f aca="false">IF(ISNUMBER(J262),M262-J262,"new")</f>
        <v>60</v>
      </c>
    </row>
    <row r="263" customFormat="false" ht="15" hidden="false" customHeight="false" outlineLevel="0" collapsed="false">
      <c r="A263" s="2" t="s">
        <v>394</v>
      </c>
      <c r="B263" s="2" t="s">
        <v>385</v>
      </c>
      <c r="C263" s="2" t="s">
        <v>165</v>
      </c>
      <c r="D263" s="2" t="s">
        <v>14</v>
      </c>
      <c r="E263" s="2" t="s">
        <v>48</v>
      </c>
      <c r="F263" s="14" t="n">
        <v>181.84</v>
      </c>
      <c r="G263" s="2" t="n">
        <v>2</v>
      </c>
      <c r="H263" s="2" t="n">
        <v>40</v>
      </c>
      <c r="I263" s="20" t="n">
        <v>1.28</v>
      </c>
      <c r="J263" s="14" t="n">
        <v>95</v>
      </c>
      <c r="K263" s="14"/>
      <c r="L263" s="20" t="n">
        <f aca="false">INDEX('Read me'!$B$10:$B$15,4)</f>
        <v>1.2</v>
      </c>
      <c r="M263" s="14" t="n">
        <f aca="false">IF(F263*(1+'Read me'!$B$5)&lt;='Read me'!$B$7,CEILING(F263*(1+'Read me'!$B$5)+0.5,1)-0.5,CEILING(F263*(1+'Read me'!$B$5),5))</f>
        <v>185</v>
      </c>
      <c r="N263" s="14" t="n">
        <f aca="false">IF(MAX(M263*L263,M263+'Read me'!$B$6)&lt;='Read me'!$B$7,CEILING(MAX(M263*L263,M263+'Read me'!$B$6)+0.5,1)-0.5,CEILING(MAX(M263*L263,M263+'Read me'!$B$6),5))</f>
        <v>225</v>
      </c>
      <c r="O263" s="21" t="n">
        <f aca="false">IF(ISNUMBER(J263),M263-J263,"new")</f>
        <v>90</v>
      </c>
    </row>
    <row r="264" customFormat="false" ht="15" hidden="false" customHeight="false" outlineLevel="0" collapsed="false">
      <c r="A264" s="2" t="s">
        <v>395</v>
      </c>
      <c r="B264" s="2" t="s">
        <v>385</v>
      </c>
      <c r="C264" s="2" t="s">
        <v>165</v>
      </c>
      <c r="D264" s="2" t="s">
        <v>14</v>
      </c>
      <c r="E264" s="2" t="s">
        <v>49</v>
      </c>
      <c r="F264" s="14" t="n">
        <v>219.61</v>
      </c>
      <c r="G264" s="2" t="n">
        <v>0</v>
      </c>
      <c r="H264" s="2" t="n">
        <v>40</v>
      </c>
      <c r="I264" s="20" t="n">
        <v>1.28</v>
      </c>
      <c r="J264" s="14" t="n">
        <v>150</v>
      </c>
      <c r="K264" s="14"/>
      <c r="L264" s="20" t="n">
        <f aca="false">INDEX('Read me'!$B$10:$B$15,4)</f>
        <v>1.2</v>
      </c>
      <c r="M264" s="14" t="n">
        <f aca="false">IF(F264*(1+'Read me'!$B$5)&lt;='Read me'!$B$7,CEILING(F264*(1+'Read me'!$B$5)+0.5,1)-0.5,CEILING(F264*(1+'Read me'!$B$5),5))</f>
        <v>220</v>
      </c>
      <c r="N264" s="14" t="n">
        <f aca="false">IF(MAX(M264*L264,M264+'Read me'!$B$6)&lt;='Read me'!$B$7,CEILING(MAX(M264*L264,M264+'Read me'!$B$6)+0.5,1)-0.5,CEILING(MAX(M264*L264,M264+'Read me'!$B$6),5))</f>
        <v>265</v>
      </c>
      <c r="O264" s="21" t="n">
        <f aca="false">IF(ISNUMBER(J264),M264-J264,"new")</f>
        <v>70</v>
      </c>
    </row>
    <row r="265" customFormat="false" ht="15" hidden="false" customHeight="false" outlineLevel="0" collapsed="false">
      <c r="A265" s="2" t="s">
        <v>396</v>
      </c>
      <c r="B265" s="2" t="s">
        <v>385</v>
      </c>
      <c r="C265" s="2" t="s">
        <v>165</v>
      </c>
      <c r="D265" s="2" t="s">
        <v>14</v>
      </c>
      <c r="E265" s="2" t="s">
        <v>50</v>
      </c>
      <c r="F265" s="14" t="n">
        <v>264.65</v>
      </c>
      <c r="G265" s="2" t="n">
        <v>0</v>
      </c>
      <c r="H265" s="2" t="n">
        <v>40</v>
      </c>
      <c r="I265" s="20" t="n">
        <v>1.28</v>
      </c>
      <c r="J265" s="14" t="n">
        <v>250</v>
      </c>
      <c r="K265" s="14"/>
      <c r="L265" s="20" t="n">
        <f aca="false">INDEX('Read me'!$B$10:$B$15,4)</f>
        <v>1.2</v>
      </c>
      <c r="M265" s="14" t="n">
        <f aca="false">IF(F265*(1+'Read me'!$B$5)&lt;='Read me'!$B$7,CEILING(F265*(1+'Read me'!$B$5)+0.5,1)-0.5,CEILING(F265*(1+'Read me'!$B$5),5))</f>
        <v>265</v>
      </c>
      <c r="N265" s="14" t="n">
        <f aca="false">IF(MAX(M265*L265,M265+'Read me'!$B$6)&lt;='Read me'!$B$7,CEILING(MAX(M265*L265,M265+'Read me'!$B$6)+0.5,1)-0.5,CEILING(MAX(M265*L265,M265+'Read me'!$B$6),5))</f>
        <v>320</v>
      </c>
      <c r="O265" s="21" t="n">
        <f aca="false">IF(ISNUMBER(J265),M265-J265,"new")</f>
        <v>15</v>
      </c>
    </row>
    <row r="266" customFormat="false" ht="15" hidden="false" customHeight="false" outlineLevel="0" collapsed="false">
      <c r="A266" s="2" t="s">
        <v>397</v>
      </c>
      <c r="B266" s="2" t="s">
        <v>385</v>
      </c>
      <c r="C266" s="2" t="s">
        <v>165</v>
      </c>
      <c r="D266" s="2" t="s">
        <v>15</v>
      </c>
      <c r="E266" s="2" t="s">
        <v>48</v>
      </c>
      <c r="F266" s="14" t="n">
        <v>232.15</v>
      </c>
      <c r="G266" s="2" t="n">
        <v>0</v>
      </c>
      <c r="H266" s="2" t="n">
        <v>40</v>
      </c>
      <c r="I266" s="20" t="n">
        <v>1.28</v>
      </c>
      <c r="J266" s="14" t="n">
        <v>300</v>
      </c>
      <c r="K266" s="14"/>
      <c r="L266" s="20" t="n">
        <f aca="false">INDEX('Read me'!$B$10:$B$15,5)</f>
        <v>1.2</v>
      </c>
      <c r="M266" s="14" t="n">
        <f aca="false">IF(F266*(1+'Read me'!$B$5)&lt;='Read me'!$B$7,CEILING(F266*(1+'Read me'!$B$5)+0.5,1)-0.5,CEILING(F266*(1+'Read me'!$B$5),5))</f>
        <v>235</v>
      </c>
      <c r="N266" s="14" t="n">
        <f aca="false">IF(MAX(M266*L266,M266+'Read me'!$B$6)&lt;='Read me'!$B$7,CEILING(MAX(M266*L266,M266+'Read me'!$B$6)+0.5,1)-0.5,CEILING(MAX(M266*L266,M266+'Read me'!$B$6),5))</f>
        <v>285</v>
      </c>
      <c r="O266" s="21" t="n">
        <f aca="false">IF(ISNUMBER(J266),M266-J266,"new")</f>
        <v>-65</v>
      </c>
    </row>
    <row r="267" customFormat="false" ht="15" hidden="false" customHeight="false" outlineLevel="0" collapsed="false">
      <c r="A267" s="2" t="s">
        <v>398</v>
      </c>
      <c r="B267" s="2" t="s">
        <v>385</v>
      </c>
      <c r="C267" s="2" t="s">
        <v>165</v>
      </c>
      <c r="D267" s="2" t="s">
        <v>15</v>
      </c>
      <c r="E267" s="2" t="s">
        <v>49</v>
      </c>
      <c r="F267" s="14" t="n">
        <v>286.41</v>
      </c>
      <c r="G267" s="2" t="n">
        <v>0</v>
      </c>
      <c r="H267" s="2" t="n">
        <v>40</v>
      </c>
      <c r="I267" s="20" t="n">
        <v>1.28</v>
      </c>
      <c r="J267" s="14" t="n">
        <v>300</v>
      </c>
      <c r="K267" s="14"/>
      <c r="L267" s="20" t="n">
        <f aca="false">INDEX('Read me'!$B$10:$B$15,5)</f>
        <v>1.2</v>
      </c>
      <c r="M267" s="14" t="n">
        <f aca="false">N267</f>
        <v>350</v>
      </c>
      <c r="N267" s="14" t="n">
        <f aca="false">IF(MAX((IF(F267*(1+'Read me'!$B$5)&lt;='Read me'!$B$7,CEILING(F267*(1+'Read me'!$B$5)+0.5,1)-0.5,CEILING(F267*(1+'Read me'!$B$5),5)))*L267,(IF(F267*(1+'Read me'!$B$5)&lt;='Read me'!$B$7,CEILING(F267*(1+'Read me'!$B$5)+0.5,1)-0.5,CEILING(F267*(1+'Read me'!$B$5),5)))+'Read me'!$B$6)&lt;='Read me'!$B$7,CEILING(MAX((IF(F267*(1+'Read me'!$B$5)&lt;='Read me'!$B$7,CEILING(F267*(1+'Read me'!$B$5)+0.5,1)-0.5,CEILING(F267*(1+'Read me'!$B$5),5)))*L267,(IF(F267*(1+'Read me'!$B$5)&lt;='Read me'!$B$7,CEILING(F267*(1+'Read me'!$B$5)+0.5,1)-0.5,CEILING(F267*(1+'Read me'!$B$5),5)))+'Read me'!$B$6)+0.5,1)-0.5,CEILING(MAX((IF(F267*(1+'Read me'!$B$5)&lt;='Read me'!$B$7,CEILING(F267*(1+'Read me'!$B$5)+0.5,1)-0.5,CEILING(F267*(1+'Read me'!$B$5),5)))*L267,(IF(F267*(1+'Read me'!$B$5)&lt;='Read me'!$B$7,CEILING(F267*(1+'Read me'!$B$5)+0.5,1)-0.5,CEILING(F267*(1+'Read me'!$B$5),5)))+'Read me'!$B$6),5))</f>
        <v>350</v>
      </c>
      <c r="O267" s="21" t="n">
        <f aca="false">IF(ISNUMBER(J267),M267-J267,"new")</f>
        <v>50</v>
      </c>
      <c r="P267" s="5" t="s">
        <v>140</v>
      </c>
    </row>
    <row r="268" customFormat="false" ht="15" hidden="false" customHeight="false" outlineLevel="0" collapsed="false">
      <c r="A268" s="2" t="s">
        <v>399</v>
      </c>
      <c r="B268" s="2" t="s">
        <v>385</v>
      </c>
      <c r="C268" s="2" t="s">
        <v>165</v>
      </c>
      <c r="D268" s="2" t="s">
        <v>15</v>
      </c>
      <c r="E268" s="2" t="s">
        <v>50</v>
      </c>
      <c r="F268" s="14" t="n">
        <v>344.13</v>
      </c>
      <c r="G268" s="2" t="n">
        <v>0</v>
      </c>
      <c r="H268" s="2" t="n">
        <v>40</v>
      </c>
      <c r="I268" s="20" t="n">
        <v>1.28</v>
      </c>
      <c r="J268" s="14" t="n">
        <v>350</v>
      </c>
      <c r="K268" s="14"/>
      <c r="L268" s="20" t="n">
        <f aca="false">INDEX('Read me'!$B$10:$B$15,5)</f>
        <v>1.2</v>
      </c>
      <c r="M268" s="14" t="n">
        <f aca="false">N268</f>
        <v>415</v>
      </c>
      <c r="N268" s="14" t="n">
        <f aca="false">IF(MAX((IF(F268*(1+'Read me'!$B$5)&lt;='Read me'!$B$7,CEILING(F268*(1+'Read me'!$B$5)+0.5,1)-0.5,CEILING(F268*(1+'Read me'!$B$5),5)))*L268,(IF(F268*(1+'Read me'!$B$5)&lt;='Read me'!$B$7,CEILING(F268*(1+'Read me'!$B$5)+0.5,1)-0.5,CEILING(F268*(1+'Read me'!$B$5),5)))+'Read me'!$B$6)&lt;='Read me'!$B$7,CEILING(MAX((IF(F268*(1+'Read me'!$B$5)&lt;='Read me'!$B$7,CEILING(F268*(1+'Read me'!$B$5)+0.5,1)-0.5,CEILING(F268*(1+'Read me'!$B$5),5)))*L268,(IF(F268*(1+'Read me'!$B$5)&lt;='Read me'!$B$7,CEILING(F268*(1+'Read me'!$B$5)+0.5,1)-0.5,CEILING(F268*(1+'Read me'!$B$5),5)))+'Read me'!$B$6)+0.5,1)-0.5,CEILING(MAX((IF(F268*(1+'Read me'!$B$5)&lt;='Read me'!$B$7,CEILING(F268*(1+'Read me'!$B$5)+0.5,1)-0.5,CEILING(F268*(1+'Read me'!$B$5),5)))*L268,(IF(F268*(1+'Read me'!$B$5)&lt;='Read me'!$B$7,CEILING(F268*(1+'Read me'!$B$5)+0.5,1)-0.5,CEILING(F268*(1+'Read me'!$B$5),5)))+'Read me'!$B$6),5))</f>
        <v>415</v>
      </c>
      <c r="O268" s="21" t="n">
        <f aca="false">IF(ISNUMBER(J268),M268-J268,"new")</f>
        <v>65</v>
      </c>
      <c r="P268" s="5" t="s">
        <v>140</v>
      </c>
    </row>
    <row r="269" customFormat="false" ht="15" hidden="false" customHeight="false" outlineLevel="0" collapsed="false">
      <c r="A269" s="2" t="s">
        <v>400</v>
      </c>
      <c r="B269" s="2" t="s">
        <v>385</v>
      </c>
      <c r="C269" s="2" t="s">
        <v>165</v>
      </c>
      <c r="D269" s="2" t="s">
        <v>16</v>
      </c>
      <c r="E269" s="2" t="s">
        <v>48</v>
      </c>
      <c r="F269" s="14" t="n">
        <v>322.35</v>
      </c>
      <c r="G269" s="2" t="n">
        <v>0</v>
      </c>
      <c r="H269" s="2" t="n">
        <v>40</v>
      </c>
      <c r="I269" s="20" t="n">
        <v>1.28</v>
      </c>
      <c r="J269" s="14"/>
      <c r="K269" s="14"/>
      <c r="L269" s="20" t="n">
        <f aca="false">INDEX('Read me'!$B$10:$B$15,6)</f>
        <v>1.2</v>
      </c>
      <c r="M269" s="14" t="n">
        <f aca="false">IF(F269*(1+'Read me'!$B$5)&lt;='Read me'!$B$7,CEILING(F269*(1+'Read me'!$B$5)+0.5,1)-0.5,CEILING(F269*(1+'Read me'!$B$5),5))</f>
        <v>325</v>
      </c>
      <c r="N269" s="14" t="n">
        <f aca="false">IF(MAX(M269*L269,M269+'Read me'!$B$6)&lt;='Read me'!$B$7,CEILING(MAX(M269*L269,M269+'Read me'!$B$6)+0.5,1)-0.5,CEILING(MAX(M269*L269,M269+'Read me'!$B$6),5))</f>
        <v>390</v>
      </c>
      <c r="O269" s="21" t="str">
        <f aca="false">IF(ISNUMBER(J269),M269-J269,"new")</f>
        <v>new</v>
      </c>
    </row>
    <row r="270" customFormat="false" ht="15" hidden="false" customHeight="false" outlineLevel="0" collapsed="false">
      <c r="A270" s="2" t="s">
        <v>401</v>
      </c>
      <c r="B270" s="2" t="s">
        <v>385</v>
      </c>
      <c r="C270" s="2" t="s">
        <v>165</v>
      </c>
      <c r="D270" s="2" t="s">
        <v>16</v>
      </c>
      <c r="E270" s="2" t="s">
        <v>49</v>
      </c>
      <c r="F270" s="14" t="n">
        <v>414.21</v>
      </c>
      <c r="G270" s="2" t="n">
        <v>0</v>
      </c>
      <c r="H270" s="2" t="n">
        <v>40</v>
      </c>
      <c r="I270" s="20" t="n">
        <v>1.28</v>
      </c>
      <c r="J270" s="14"/>
      <c r="K270" s="14"/>
      <c r="L270" s="20" t="n">
        <f aca="false">INDEX('Read me'!$B$10:$B$15,6)</f>
        <v>1.2</v>
      </c>
      <c r="M270" s="14" t="n">
        <f aca="false">N270</f>
        <v>500</v>
      </c>
      <c r="N270" s="14" t="n">
        <f aca="false">IF(MAX((IF(F270*(1+'Read me'!$B$5)&lt;='Read me'!$B$7,CEILING(F270*(1+'Read me'!$B$5)+0.5,1)-0.5,CEILING(F270*(1+'Read me'!$B$5),5)))*L270,(IF(F270*(1+'Read me'!$B$5)&lt;='Read me'!$B$7,CEILING(F270*(1+'Read me'!$B$5)+0.5,1)-0.5,CEILING(F270*(1+'Read me'!$B$5),5)))+'Read me'!$B$6)&lt;='Read me'!$B$7,CEILING(MAX((IF(F270*(1+'Read me'!$B$5)&lt;='Read me'!$B$7,CEILING(F270*(1+'Read me'!$B$5)+0.5,1)-0.5,CEILING(F270*(1+'Read me'!$B$5),5)))*L270,(IF(F270*(1+'Read me'!$B$5)&lt;='Read me'!$B$7,CEILING(F270*(1+'Read me'!$B$5)+0.5,1)-0.5,CEILING(F270*(1+'Read me'!$B$5),5)))+'Read me'!$B$6)+0.5,1)-0.5,CEILING(MAX((IF(F270*(1+'Read me'!$B$5)&lt;='Read me'!$B$7,CEILING(F270*(1+'Read me'!$B$5)+0.5,1)-0.5,CEILING(F270*(1+'Read me'!$B$5),5)))*L270,(IF(F270*(1+'Read me'!$B$5)&lt;='Read me'!$B$7,CEILING(F270*(1+'Read me'!$B$5)+0.5,1)-0.5,CEILING(F270*(1+'Read me'!$B$5),5)))+'Read me'!$B$6),5))</f>
        <v>500</v>
      </c>
      <c r="O270" s="21" t="str">
        <f aca="false">IF(ISNUMBER(J270),M270-J270,"new")</f>
        <v>new</v>
      </c>
      <c r="P270" s="5" t="s">
        <v>140</v>
      </c>
    </row>
    <row r="271" customFormat="false" ht="15" hidden="false" customHeight="false" outlineLevel="0" collapsed="false">
      <c r="A271" s="2" t="s">
        <v>402</v>
      </c>
      <c r="B271" s="2" t="s">
        <v>385</v>
      </c>
      <c r="C271" s="2" t="s">
        <v>165</v>
      </c>
      <c r="D271" s="2" t="s">
        <v>16</v>
      </c>
      <c r="E271" s="2" t="s">
        <v>50</v>
      </c>
      <c r="F271" s="14" t="n">
        <v>486.85</v>
      </c>
      <c r="G271" s="2" t="n">
        <v>0</v>
      </c>
      <c r="H271" s="2" t="n">
        <v>40</v>
      </c>
      <c r="I271" s="20" t="n">
        <v>1.28</v>
      </c>
      <c r="J271" s="14"/>
      <c r="K271" s="14"/>
      <c r="L271" s="20" t="n">
        <f aca="false">INDEX('Read me'!$B$10:$B$15,6)</f>
        <v>1.2</v>
      </c>
      <c r="M271" s="14" t="n">
        <f aca="false">N271</f>
        <v>590</v>
      </c>
      <c r="N271" s="14" t="n">
        <f aca="false">IF(MAX((IF(F271*(1+'Read me'!$B$5)&lt;='Read me'!$B$7,CEILING(F271*(1+'Read me'!$B$5)+0.5,1)-0.5,CEILING(F271*(1+'Read me'!$B$5),5)))*L271,(IF(F271*(1+'Read me'!$B$5)&lt;='Read me'!$B$7,CEILING(F271*(1+'Read me'!$B$5)+0.5,1)-0.5,CEILING(F271*(1+'Read me'!$B$5),5)))+'Read me'!$B$6)&lt;='Read me'!$B$7,CEILING(MAX((IF(F271*(1+'Read me'!$B$5)&lt;='Read me'!$B$7,CEILING(F271*(1+'Read me'!$B$5)+0.5,1)-0.5,CEILING(F271*(1+'Read me'!$B$5),5)))*L271,(IF(F271*(1+'Read me'!$B$5)&lt;='Read me'!$B$7,CEILING(F271*(1+'Read me'!$B$5)+0.5,1)-0.5,CEILING(F271*(1+'Read me'!$B$5),5)))+'Read me'!$B$6)+0.5,1)-0.5,CEILING(MAX((IF(F271*(1+'Read me'!$B$5)&lt;='Read me'!$B$7,CEILING(F271*(1+'Read me'!$B$5)+0.5,1)-0.5,CEILING(F271*(1+'Read me'!$B$5),5)))*L271,(IF(F271*(1+'Read me'!$B$5)&lt;='Read me'!$B$7,CEILING(F271*(1+'Read me'!$B$5)+0.5,1)-0.5,CEILING(F271*(1+'Read me'!$B$5),5)))+'Read me'!$B$6),5))</f>
        <v>590</v>
      </c>
      <c r="O271" s="21" t="str">
        <f aca="false">IF(ISNUMBER(J271),M271-J271,"new")</f>
        <v>new</v>
      </c>
      <c r="P271" s="5" t="s">
        <v>140</v>
      </c>
    </row>
    <row r="272" customFormat="false" ht="15" hidden="false" customHeight="false" outlineLevel="0" collapsed="false">
      <c r="A272" s="2" t="s">
        <v>403</v>
      </c>
      <c r="B272" s="2" t="s">
        <v>385</v>
      </c>
      <c r="C272" s="2" t="s">
        <v>146</v>
      </c>
      <c r="D272" s="2" t="s">
        <v>10</v>
      </c>
      <c r="E272" s="2" t="s">
        <v>48</v>
      </c>
      <c r="F272" s="14" t="n">
        <v>21.84</v>
      </c>
      <c r="G272" s="2" t="n">
        <v>1</v>
      </c>
      <c r="H272" s="2" t="n">
        <v>6</v>
      </c>
      <c r="I272" s="20" t="n">
        <v>1.29</v>
      </c>
      <c r="J272" s="14" t="n">
        <v>19.5</v>
      </c>
      <c r="K272" s="14" t="n">
        <v>24.5</v>
      </c>
      <c r="L272" s="20" t="n">
        <f aca="false">INDEX('Read me'!$B$10:$B$15,1)</f>
        <v>1.34</v>
      </c>
      <c r="M272" s="14" t="n">
        <f aca="false">IF(F272*(1+'Read me'!$B$5)&lt;='Read me'!$B$7,CEILING(F272*(1+'Read me'!$B$5)+0.5,1)-0.5,CEILING(F272*(1+'Read me'!$B$5),5))</f>
        <v>22.5</v>
      </c>
      <c r="N272" s="14" t="n">
        <f aca="false">IF(MAX(M272*L272,M272+'Read me'!$B$6)&lt;='Read me'!$B$7,CEILING(MAX(M272*L272,M272+'Read me'!$B$6)+0.5,1)-0.5,CEILING(MAX(M272*L272,M272+'Read me'!$B$6),5))</f>
        <v>35</v>
      </c>
      <c r="O272" s="21" t="n">
        <f aca="false">IF(ISNUMBER(J272),M272-J272,"new")</f>
        <v>3</v>
      </c>
    </row>
    <row r="273" customFormat="false" ht="15" hidden="false" customHeight="false" outlineLevel="0" collapsed="false">
      <c r="A273" s="2" t="s">
        <v>404</v>
      </c>
      <c r="B273" s="2" t="s">
        <v>385</v>
      </c>
      <c r="C273" s="2" t="s">
        <v>146</v>
      </c>
      <c r="D273" s="2" t="s">
        <v>10</v>
      </c>
      <c r="E273" s="2" t="s">
        <v>49</v>
      </c>
      <c r="F273" s="14" t="n">
        <v>21.84</v>
      </c>
      <c r="G273" s="2" t="n">
        <v>0</v>
      </c>
      <c r="H273" s="2" t="n">
        <v>6</v>
      </c>
      <c r="I273" s="20" t="n">
        <v>1.29</v>
      </c>
      <c r="J273" s="14" t="n">
        <v>19.5</v>
      </c>
      <c r="K273" s="14" t="n">
        <v>24.5</v>
      </c>
      <c r="L273" s="20" t="n">
        <f aca="false">INDEX('Read me'!$B$10:$B$15,1)</f>
        <v>1.34</v>
      </c>
      <c r="M273" s="14" t="n">
        <f aca="false">IF(F273*(1+'Read me'!$B$5)&lt;='Read me'!$B$7,CEILING(F273*(1+'Read me'!$B$5)+0.5,1)-0.5,CEILING(F273*(1+'Read me'!$B$5),5))</f>
        <v>22.5</v>
      </c>
      <c r="N273" s="14" t="n">
        <f aca="false">IF(MAX(M273*L273,M273+'Read me'!$B$6)&lt;='Read me'!$B$7,CEILING(MAX(M273*L273,M273+'Read me'!$B$6)+0.5,1)-0.5,CEILING(MAX(M273*L273,M273+'Read me'!$B$6),5))</f>
        <v>35</v>
      </c>
      <c r="O273" s="21" t="n">
        <f aca="false">IF(ISNUMBER(J273),M273-J273,"new")</f>
        <v>3</v>
      </c>
    </row>
    <row r="274" customFormat="false" ht="15" hidden="false" customHeight="false" outlineLevel="0" collapsed="false">
      <c r="A274" s="2" t="s">
        <v>405</v>
      </c>
      <c r="B274" s="2" t="s">
        <v>385</v>
      </c>
      <c r="C274" s="2" t="s">
        <v>146</v>
      </c>
      <c r="D274" s="2" t="s">
        <v>10</v>
      </c>
      <c r="E274" s="2" t="s">
        <v>50</v>
      </c>
      <c r="F274" s="14" t="n">
        <v>25.64</v>
      </c>
      <c r="G274" s="2" t="n">
        <v>2</v>
      </c>
      <c r="H274" s="2" t="n">
        <v>6</v>
      </c>
      <c r="I274" s="20" t="n">
        <v>1.29</v>
      </c>
      <c r="J274" s="14" t="n">
        <v>19.5</v>
      </c>
      <c r="K274" s="14" t="n">
        <v>34.5</v>
      </c>
      <c r="L274" s="20" t="n">
        <f aca="false">INDEX('Read me'!$B$10:$B$15,1)</f>
        <v>1.34</v>
      </c>
      <c r="M274" s="14" t="n">
        <f aca="false">IF(F274*(1+'Read me'!$B$5)&lt;='Read me'!$B$7,CEILING(F274*(1+'Read me'!$B$5)+0.5,1)-0.5,CEILING(F274*(1+'Read me'!$B$5),5))</f>
        <v>26.5</v>
      </c>
      <c r="N274" s="14" t="n">
        <f aca="false">IF(MAX(M274*L274,M274+'Read me'!$B$6)&lt;='Read me'!$B$7,CEILING(MAX(M274*L274,M274+'Read me'!$B$6)+0.5,1)-0.5,CEILING(MAX(M274*L274,M274+'Read me'!$B$6),5))</f>
        <v>40</v>
      </c>
      <c r="O274" s="21" t="n">
        <f aca="false">IF(ISNUMBER(J274),M274-J274,"new")</f>
        <v>7</v>
      </c>
    </row>
    <row r="275" customFormat="false" ht="15" hidden="false" customHeight="false" outlineLevel="0" collapsed="false">
      <c r="A275" s="2" t="s">
        <v>406</v>
      </c>
      <c r="B275" s="2" t="s">
        <v>385</v>
      </c>
      <c r="C275" s="2" t="s">
        <v>146</v>
      </c>
      <c r="D275" s="2" t="s">
        <v>12</v>
      </c>
      <c r="E275" s="2" t="s">
        <v>48</v>
      </c>
      <c r="F275" s="14" t="n">
        <v>67.08</v>
      </c>
      <c r="G275" s="2" t="n">
        <v>2</v>
      </c>
      <c r="H275" s="2" t="n">
        <v>6</v>
      </c>
      <c r="I275" s="20" t="n">
        <v>1.29</v>
      </c>
      <c r="J275" s="14" t="n">
        <v>24.5</v>
      </c>
      <c r="K275" s="14" t="n">
        <v>29.5</v>
      </c>
      <c r="L275" s="20" t="n">
        <f aca="false">INDEX('Read me'!$B$10:$B$15,2)</f>
        <v>1.26</v>
      </c>
      <c r="M275" s="14" t="n">
        <f aca="false">IF(F275*(1+'Read me'!$B$5)&lt;='Read me'!$B$7,CEILING(F275*(1+'Read me'!$B$5)+0.5,1)-0.5,CEILING(F275*(1+'Read me'!$B$5),5))</f>
        <v>70</v>
      </c>
      <c r="N275" s="14" t="n">
        <f aca="false">IF(MAX(M275*L275,M275+'Read me'!$B$6)&lt;='Read me'!$B$7,CEILING(MAX(M275*L275,M275+'Read me'!$B$6)+0.5,1)-0.5,CEILING(MAX(M275*L275,M275+'Read me'!$B$6),5))</f>
        <v>90</v>
      </c>
      <c r="O275" s="21" t="n">
        <f aca="false">IF(ISNUMBER(J275),M275-J275,"new")</f>
        <v>45.5</v>
      </c>
    </row>
    <row r="276" customFormat="false" ht="15" hidden="false" customHeight="false" outlineLevel="0" collapsed="false">
      <c r="A276" s="2" t="s">
        <v>407</v>
      </c>
      <c r="B276" s="2" t="s">
        <v>385</v>
      </c>
      <c r="C276" s="2" t="s">
        <v>146</v>
      </c>
      <c r="D276" s="2" t="s">
        <v>12</v>
      </c>
      <c r="E276" s="2" t="s">
        <v>49</v>
      </c>
      <c r="F276" s="14" t="n">
        <v>67.7</v>
      </c>
      <c r="G276" s="2" t="n">
        <v>0</v>
      </c>
      <c r="H276" s="2" t="n">
        <v>6</v>
      </c>
      <c r="I276" s="20" t="n">
        <v>1.29</v>
      </c>
      <c r="J276" s="14" t="n">
        <v>24.5</v>
      </c>
      <c r="K276" s="14" t="n">
        <v>29.5</v>
      </c>
      <c r="L276" s="20" t="n">
        <f aca="false">INDEX('Read me'!$B$10:$B$15,2)</f>
        <v>1.26</v>
      </c>
      <c r="M276" s="14" t="n">
        <f aca="false">IF(F276*(1+'Read me'!$B$5)&lt;='Read me'!$B$7,CEILING(F276*(1+'Read me'!$B$5)+0.5,1)-0.5,CEILING(F276*(1+'Read me'!$B$5),5))</f>
        <v>70</v>
      </c>
      <c r="N276" s="14" t="n">
        <f aca="false">IF(MAX(M276*L276,M276+'Read me'!$B$6)&lt;='Read me'!$B$7,CEILING(MAX(M276*L276,M276+'Read me'!$B$6)+0.5,1)-0.5,CEILING(MAX(M276*L276,M276+'Read me'!$B$6),5))</f>
        <v>90</v>
      </c>
      <c r="O276" s="21" t="n">
        <f aca="false">IF(ISNUMBER(J276),M276-J276,"new")</f>
        <v>45.5</v>
      </c>
    </row>
    <row r="277" customFormat="false" ht="15" hidden="false" customHeight="false" outlineLevel="0" collapsed="false">
      <c r="A277" s="2" t="s">
        <v>408</v>
      </c>
      <c r="B277" s="2" t="s">
        <v>385</v>
      </c>
      <c r="C277" s="2" t="s">
        <v>146</v>
      </c>
      <c r="D277" s="2" t="s">
        <v>12</v>
      </c>
      <c r="E277" s="2" t="s">
        <v>50</v>
      </c>
      <c r="F277" s="14" t="n">
        <v>79.41</v>
      </c>
      <c r="G277" s="2" t="n">
        <v>1</v>
      </c>
      <c r="H277" s="2" t="n">
        <v>6</v>
      </c>
      <c r="I277" s="20" t="n">
        <v>1.29</v>
      </c>
      <c r="J277" s="14" t="n">
        <v>24.5</v>
      </c>
      <c r="K277" s="14" t="n">
        <v>45</v>
      </c>
      <c r="L277" s="20" t="n">
        <f aca="false">INDEX('Read me'!$B$10:$B$15,2)</f>
        <v>1.26</v>
      </c>
      <c r="M277" s="14" t="n">
        <f aca="false">IF(F277*(1+'Read me'!$B$5)&lt;='Read me'!$B$7,CEILING(F277*(1+'Read me'!$B$5)+0.5,1)-0.5,CEILING(F277*(1+'Read me'!$B$5),5))</f>
        <v>80</v>
      </c>
      <c r="N277" s="14" t="n">
        <f aca="false">IF(MAX(M277*L277,M277+'Read me'!$B$6)&lt;='Read me'!$B$7,CEILING(MAX(M277*L277,M277+'Read me'!$B$6)+0.5,1)-0.5,CEILING(MAX(M277*L277,M277+'Read me'!$B$6),5))</f>
        <v>105</v>
      </c>
      <c r="O277" s="21" t="n">
        <f aca="false">IF(ISNUMBER(J277),M277-J277,"new")</f>
        <v>55.5</v>
      </c>
    </row>
    <row r="278" customFormat="false" ht="15" hidden="false" customHeight="false" outlineLevel="0" collapsed="false">
      <c r="A278" s="2" t="s">
        <v>409</v>
      </c>
      <c r="B278" s="2" t="s">
        <v>385</v>
      </c>
      <c r="C278" s="2" t="s">
        <v>146</v>
      </c>
      <c r="D278" s="2" t="s">
        <v>13</v>
      </c>
      <c r="E278" s="2" t="s">
        <v>48</v>
      </c>
      <c r="F278" s="14" t="n">
        <v>106.68</v>
      </c>
      <c r="G278" s="2" t="n">
        <v>0</v>
      </c>
      <c r="H278" s="2" t="n">
        <v>6</v>
      </c>
      <c r="I278" s="20" t="n">
        <v>1.29</v>
      </c>
      <c r="J278" s="14" t="n">
        <v>45</v>
      </c>
      <c r="K278" s="14" t="n">
        <v>95</v>
      </c>
      <c r="L278" s="20" t="n">
        <f aca="false">INDEX('Read me'!$B$10:$B$15,3)</f>
        <v>1.35</v>
      </c>
      <c r="M278" s="14" t="n">
        <f aca="false">IF(F278*(1+'Read me'!$B$5)&lt;='Read me'!$B$7,CEILING(F278*(1+'Read me'!$B$5)+0.5,1)-0.5,CEILING(F278*(1+'Read me'!$B$5),5))</f>
        <v>110</v>
      </c>
      <c r="N278" s="14" t="n">
        <f aca="false">IF(MAX(M278*L278,M278+'Read me'!$B$6)&lt;='Read me'!$B$7,CEILING(MAX(M278*L278,M278+'Read me'!$B$6)+0.5,1)-0.5,CEILING(MAX(M278*L278,M278+'Read me'!$B$6),5))</f>
        <v>150</v>
      </c>
      <c r="O278" s="21" t="n">
        <f aca="false">IF(ISNUMBER(J278),M278-J278,"new")</f>
        <v>65</v>
      </c>
    </row>
    <row r="279" customFormat="false" ht="15" hidden="false" customHeight="false" outlineLevel="0" collapsed="false">
      <c r="A279" s="2" t="s">
        <v>410</v>
      </c>
      <c r="B279" s="2" t="s">
        <v>385</v>
      </c>
      <c r="C279" s="2" t="s">
        <v>146</v>
      </c>
      <c r="D279" s="2" t="s">
        <v>13</v>
      </c>
      <c r="E279" s="2" t="s">
        <v>49</v>
      </c>
      <c r="F279" s="14" t="n">
        <v>120.01</v>
      </c>
      <c r="G279" s="2" t="n">
        <v>0</v>
      </c>
      <c r="H279" s="2" t="n">
        <v>6</v>
      </c>
      <c r="I279" s="20" t="n">
        <v>1.29</v>
      </c>
      <c r="J279" s="14" t="n">
        <v>45</v>
      </c>
      <c r="K279" s="14" t="n">
        <v>95</v>
      </c>
      <c r="L279" s="20" t="n">
        <f aca="false">INDEX('Read me'!$B$10:$B$15,3)</f>
        <v>1.35</v>
      </c>
      <c r="M279" s="14" t="n">
        <f aca="false">IF(F279*(1+'Read me'!$B$5)&lt;='Read me'!$B$7,CEILING(F279*(1+'Read me'!$B$5)+0.5,1)-0.5,CEILING(F279*(1+'Read me'!$B$5),5))</f>
        <v>125</v>
      </c>
      <c r="N279" s="14" t="n">
        <f aca="false">IF(MAX(M279*L279,M279+'Read me'!$B$6)&lt;='Read me'!$B$7,CEILING(MAX(M279*L279,M279+'Read me'!$B$6)+0.5,1)-0.5,CEILING(MAX(M279*L279,M279+'Read me'!$B$6),5))</f>
        <v>170</v>
      </c>
      <c r="O279" s="21" t="n">
        <f aca="false">IF(ISNUMBER(J279),M279-J279,"new")</f>
        <v>80</v>
      </c>
    </row>
    <row r="280" customFormat="false" ht="15" hidden="false" customHeight="false" outlineLevel="0" collapsed="false">
      <c r="A280" s="2" t="s">
        <v>411</v>
      </c>
      <c r="B280" s="2" t="s">
        <v>385</v>
      </c>
      <c r="C280" s="2" t="s">
        <v>146</v>
      </c>
      <c r="D280" s="2" t="s">
        <v>13</v>
      </c>
      <c r="E280" s="2" t="s">
        <v>50</v>
      </c>
      <c r="F280" s="14" t="n">
        <v>161.4</v>
      </c>
      <c r="G280" s="2" t="n">
        <v>0</v>
      </c>
      <c r="H280" s="2" t="n">
        <v>6</v>
      </c>
      <c r="I280" s="20" t="n">
        <v>1.29</v>
      </c>
      <c r="J280" s="14" t="n">
        <v>95</v>
      </c>
      <c r="K280" s="14" t="n">
        <v>150</v>
      </c>
      <c r="L280" s="20" t="n">
        <f aca="false">INDEX('Read me'!$B$10:$B$15,3)</f>
        <v>1.35</v>
      </c>
      <c r="M280" s="14" t="n">
        <f aca="false">IF(F280*(1+'Read me'!$B$5)&lt;='Read me'!$B$7,CEILING(F280*(1+'Read me'!$B$5)+0.5,1)-0.5,CEILING(F280*(1+'Read me'!$B$5),5))</f>
        <v>165</v>
      </c>
      <c r="N280" s="14" t="n">
        <f aca="false">IF(MAX(M280*L280,M280+'Read me'!$B$6)&lt;='Read me'!$B$7,CEILING(MAX(M280*L280,M280+'Read me'!$B$6)+0.5,1)-0.5,CEILING(MAX(M280*L280,M280+'Read me'!$B$6),5))</f>
        <v>225</v>
      </c>
      <c r="O280" s="21" t="n">
        <f aca="false">IF(ISNUMBER(J280),M280-J280,"new")</f>
        <v>70</v>
      </c>
    </row>
    <row r="281" customFormat="false" ht="15" hidden="false" customHeight="false" outlineLevel="0" collapsed="false">
      <c r="A281" s="2" t="s">
        <v>412</v>
      </c>
      <c r="B281" s="2" t="s">
        <v>385</v>
      </c>
      <c r="C281" s="2" t="s">
        <v>146</v>
      </c>
      <c r="D281" s="2" t="s">
        <v>14</v>
      </c>
      <c r="E281" s="2" t="s">
        <v>48</v>
      </c>
      <c r="F281" s="14" t="n">
        <v>184.73</v>
      </c>
      <c r="G281" s="2" t="n">
        <v>0</v>
      </c>
      <c r="H281" s="2" t="n">
        <v>6</v>
      </c>
      <c r="I281" s="20" t="n">
        <v>1.29</v>
      </c>
      <c r="J281" s="14" t="n">
        <v>95</v>
      </c>
      <c r="K281" s="14"/>
      <c r="L281" s="20" t="n">
        <f aca="false">INDEX('Read me'!$B$10:$B$15,4)</f>
        <v>1.2</v>
      </c>
      <c r="M281" s="14" t="n">
        <f aca="false">IF(F281*(1+'Read me'!$B$5)&lt;='Read me'!$B$7,CEILING(F281*(1+'Read me'!$B$5)+0.5,1)-0.5,CEILING(F281*(1+'Read me'!$B$5),5))</f>
        <v>185</v>
      </c>
      <c r="N281" s="14" t="n">
        <f aca="false">IF(MAX(M281*L281,M281+'Read me'!$B$6)&lt;='Read me'!$B$7,CEILING(MAX(M281*L281,M281+'Read me'!$B$6)+0.5,1)-0.5,CEILING(MAX(M281*L281,M281+'Read me'!$B$6),5))</f>
        <v>225</v>
      </c>
      <c r="O281" s="21" t="n">
        <f aca="false">IF(ISNUMBER(J281),M281-J281,"new")</f>
        <v>90</v>
      </c>
    </row>
    <row r="282" customFormat="false" ht="15" hidden="false" customHeight="false" outlineLevel="0" collapsed="false">
      <c r="A282" s="2" t="s">
        <v>413</v>
      </c>
      <c r="B282" s="2" t="s">
        <v>385</v>
      </c>
      <c r="C282" s="2" t="s">
        <v>146</v>
      </c>
      <c r="D282" s="2" t="s">
        <v>14</v>
      </c>
      <c r="E282" s="2" t="s">
        <v>49</v>
      </c>
      <c r="F282" s="14" t="n">
        <v>221.8</v>
      </c>
      <c r="G282" s="2" t="n">
        <v>0</v>
      </c>
      <c r="H282" s="2" t="n">
        <v>6</v>
      </c>
      <c r="I282" s="20" t="n">
        <v>1.29</v>
      </c>
      <c r="J282" s="14" t="n">
        <v>150</v>
      </c>
      <c r="K282" s="14"/>
      <c r="L282" s="20" t="n">
        <f aca="false">INDEX('Read me'!$B$10:$B$15,4)</f>
        <v>1.2</v>
      </c>
      <c r="M282" s="14" t="n">
        <f aca="false">IF(F282*(1+'Read me'!$B$5)&lt;='Read me'!$B$7,CEILING(F282*(1+'Read me'!$B$5)+0.5,1)-0.5,CEILING(F282*(1+'Read me'!$B$5),5))</f>
        <v>225</v>
      </c>
      <c r="N282" s="14" t="n">
        <f aca="false">IF(MAX(M282*L282,M282+'Read me'!$B$6)&lt;='Read me'!$B$7,CEILING(MAX(M282*L282,M282+'Read me'!$B$6)+0.5,1)-0.5,CEILING(MAX(M282*L282,M282+'Read me'!$B$6),5))</f>
        <v>270</v>
      </c>
      <c r="O282" s="21" t="n">
        <f aca="false">IF(ISNUMBER(J282),M282-J282,"new")</f>
        <v>75</v>
      </c>
    </row>
    <row r="283" customFormat="false" ht="15" hidden="false" customHeight="false" outlineLevel="0" collapsed="false">
      <c r="A283" s="2" t="s">
        <v>414</v>
      </c>
      <c r="B283" s="2" t="s">
        <v>385</v>
      </c>
      <c r="C283" s="2" t="s">
        <v>146</v>
      </c>
      <c r="D283" s="2" t="s">
        <v>14</v>
      </c>
      <c r="E283" s="2" t="s">
        <v>50</v>
      </c>
      <c r="F283" s="14" t="n">
        <v>267.3</v>
      </c>
      <c r="G283" s="2" t="n">
        <v>0</v>
      </c>
      <c r="H283" s="2" t="n">
        <v>6</v>
      </c>
      <c r="I283" s="20" t="n">
        <v>1.29</v>
      </c>
      <c r="J283" s="14" t="n">
        <v>250</v>
      </c>
      <c r="K283" s="14"/>
      <c r="L283" s="20" t="n">
        <f aca="false">INDEX('Read me'!$B$10:$B$15,4)</f>
        <v>1.2</v>
      </c>
      <c r="M283" s="14" t="n">
        <f aca="false">IF(F283*(1+'Read me'!$B$5)&lt;='Read me'!$B$7,CEILING(F283*(1+'Read me'!$B$5)+0.5,1)-0.5,CEILING(F283*(1+'Read me'!$B$5),5))</f>
        <v>270</v>
      </c>
      <c r="N283" s="14" t="n">
        <f aca="false">IF(MAX(M283*L283,M283+'Read me'!$B$6)&lt;='Read me'!$B$7,CEILING(MAX(M283*L283,M283+'Read me'!$B$6)+0.5,1)-0.5,CEILING(MAX(M283*L283,M283+'Read me'!$B$6),5))</f>
        <v>325</v>
      </c>
      <c r="O283" s="21" t="n">
        <f aca="false">IF(ISNUMBER(J283),M283-J283,"new")</f>
        <v>20</v>
      </c>
    </row>
    <row r="284" customFormat="false" ht="15" hidden="false" customHeight="false" outlineLevel="0" collapsed="false">
      <c r="A284" s="2" t="s">
        <v>415</v>
      </c>
      <c r="B284" s="2" t="s">
        <v>385</v>
      </c>
      <c r="C284" s="2" t="s">
        <v>146</v>
      </c>
      <c r="D284" s="2" t="s">
        <v>15</v>
      </c>
      <c r="E284" s="2" t="s">
        <v>48</v>
      </c>
      <c r="F284" s="14" t="n">
        <v>234.47</v>
      </c>
      <c r="G284" s="2" t="n">
        <v>0</v>
      </c>
      <c r="H284" s="2" t="n">
        <v>6</v>
      </c>
      <c r="I284" s="20" t="n">
        <v>1.29</v>
      </c>
      <c r="J284" s="14" t="n">
        <v>300</v>
      </c>
      <c r="K284" s="14"/>
      <c r="L284" s="20" t="n">
        <f aca="false">INDEX('Read me'!$B$10:$B$15,5)</f>
        <v>1.2</v>
      </c>
      <c r="M284" s="14" t="n">
        <f aca="false">IF(F284*(1+'Read me'!$B$5)&lt;='Read me'!$B$7,CEILING(F284*(1+'Read me'!$B$5)+0.5,1)-0.5,CEILING(F284*(1+'Read me'!$B$5),5))</f>
        <v>235</v>
      </c>
      <c r="N284" s="14" t="n">
        <f aca="false">IF(MAX(M284*L284,M284+'Read me'!$B$6)&lt;='Read me'!$B$7,CEILING(MAX(M284*L284,M284+'Read me'!$B$6)+0.5,1)-0.5,CEILING(MAX(M284*L284,M284+'Read me'!$B$6),5))</f>
        <v>285</v>
      </c>
      <c r="O284" s="21" t="n">
        <f aca="false">IF(ISNUMBER(J284),M284-J284,"new")</f>
        <v>-65</v>
      </c>
    </row>
    <row r="285" customFormat="false" ht="15" hidden="false" customHeight="false" outlineLevel="0" collapsed="false">
      <c r="A285" s="2" t="s">
        <v>416</v>
      </c>
      <c r="B285" s="2" t="s">
        <v>385</v>
      </c>
      <c r="C285" s="2" t="s">
        <v>146</v>
      </c>
      <c r="D285" s="2" t="s">
        <v>15</v>
      </c>
      <c r="E285" s="2" t="s">
        <v>49</v>
      </c>
      <c r="F285" s="14" t="n">
        <v>289.27</v>
      </c>
      <c r="G285" s="2" t="n">
        <v>0</v>
      </c>
      <c r="H285" s="2" t="n">
        <v>6</v>
      </c>
      <c r="I285" s="20" t="n">
        <v>1.29</v>
      </c>
      <c r="J285" s="14" t="n">
        <v>300</v>
      </c>
      <c r="K285" s="14"/>
      <c r="L285" s="20" t="n">
        <f aca="false">INDEX('Read me'!$B$10:$B$15,5)</f>
        <v>1.2</v>
      </c>
      <c r="M285" s="14" t="n">
        <f aca="false">N285</f>
        <v>350</v>
      </c>
      <c r="N285" s="14" t="n">
        <f aca="false">IF(MAX((IF(F285*(1+'Read me'!$B$5)&lt;='Read me'!$B$7,CEILING(F285*(1+'Read me'!$B$5)+0.5,1)-0.5,CEILING(F285*(1+'Read me'!$B$5),5)))*L285,(IF(F285*(1+'Read me'!$B$5)&lt;='Read me'!$B$7,CEILING(F285*(1+'Read me'!$B$5)+0.5,1)-0.5,CEILING(F285*(1+'Read me'!$B$5),5)))+'Read me'!$B$6)&lt;='Read me'!$B$7,CEILING(MAX((IF(F285*(1+'Read me'!$B$5)&lt;='Read me'!$B$7,CEILING(F285*(1+'Read me'!$B$5)+0.5,1)-0.5,CEILING(F285*(1+'Read me'!$B$5),5)))*L285,(IF(F285*(1+'Read me'!$B$5)&lt;='Read me'!$B$7,CEILING(F285*(1+'Read me'!$B$5)+0.5,1)-0.5,CEILING(F285*(1+'Read me'!$B$5),5)))+'Read me'!$B$6)+0.5,1)-0.5,CEILING(MAX((IF(F285*(1+'Read me'!$B$5)&lt;='Read me'!$B$7,CEILING(F285*(1+'Read me'!$B$5)+0.5,1)-0.5,CEILING(F285*(1+'Read me'!$B$5),5)))*L285,(IF(F285*(1+'Read me'!$B$5)&lt;='Read me'!$B$7,CEILING(F285*(1+'Read me'!$B$5)+0.5,1)-0.5,CEILING(F285*(1+'Read me'!$B$5),5)))+'Read me'!$B$6),5))</f>
        <v>350</v>
      </c>
      <c r="O285" s="21" t="n">
        <f aca="false">IF(ISNUMBER(J285),M285-J285,"new")</f>
        <v>50</v>
      </c>
      <c r="P285" s="5" t="s">
        <v>140</v>
      </c>
    </row>
    <row r="286" customFormat="false" ht="15" hidden="false" customHeight="false" outlineLevel="0" collapsed="false">
      <c r="A286" s="2" t="s">
        <v>417</v>
      </c>
      <c r="B286" s="2" t="s">
        <v>385</v>
      </c>
      <c r="C286" s="2" t="s">
        <v>146</v>
      </c>
      <c r="D286" s="2" t="s">
        <v>15</v>
      </c>
      <c r="E286" s="2" t="s">
        <v>50</v>
      </c>
      <c r="F286" s="14" t="n">
        <v>347.57</v>
      </c>
      <c r="G286" s="2" t="n">
        <v>0</v>
      </c>
      <c r="H286" s="2" t="n">
        <v>6</v>
      </c>
      <c r="I286" s="20" t="n">
        <v>1.29</v>
      </c>
      <c r="J286" s="14" t="n">
        <v>350</v>
      </c>
      <c r="K286" s="14"/>
      <c r="L286" s="20" t="n">
        <f aca="false">INDEX('Read me'!$B$10:$B$15,5)</f>
        <v>1.2</v>
      </c>
      <c r="M286" s="14" t="n">
        <f aca="false">N286</f>
        <v>420</v>
      </c>
      <c r="N286" s="14" t="n">
        <f aca="false">IF(MAX((IF(F286*(1+'Read me'!$B$5)&lt;='Read me'!$B$7,CEILING(F286*(1+'Read me'!$B$5)+0.5,1)-0.5,CEILING(F286*(1+'Read me'!$B$5),5)))*L286,(IF(F286*(1+'Read me'!$B$5)&lt;='Read me'!$B$7,CEILING(F286*(1+'Read me'!$B$5)+0.5,1)-0.5,CEILING(F286*(1+'Read me'!$B$5),5)))+'Read me'!$B$6)&lt;='Read me'!$B$7,CEILING(MAX((IF(F286*(1+'Read me'!$B$5)&lt;='Read me'!$B$7,CEILING(F286*(1+'Read me'!$B$5)+0.5,1)-0.5,CEILING(F286*(1+'Read me'!$B$5),5)))*L286,(IF(F286*(1+'Read me'!$B$5)&lt;='Read me'!$B$7,CEILING(F286*(1+'Read me'!$B$5)+0.5,1)-0.5,CEILING(F286*(1+'Read me'!$B$5),5)))+'Read me'!$B$6)+0.5,1)-0.5,CEILING(MAX((IF(F286*(1+'Read me'!$B$5)&lt;='Read me'!$B$7,CEILING(F286*(1+'Read me'!$B$5)+0.5,1)-0.5,CEILING(F286*(1+'Read me'!$B$5),5)))*L286,(IF(F286*(1+'Read me'!$B$5)&lt;='Read me'!$B$7,CEILING(F286*(1+'Read me'!$B$5)+0.5,1)-0.5,CEILING(F286*(1+'Read me'!$B$5),5)))+'Read me'!$B$6),5))</f>
        <v>420</v>
      </c>
      <c r="O286" s="21" t="n">
        <f aca="false">IF(ISNUMBER(J286),M286-J286,"new")</f>
        <v>70</v>
      </c>
      <c r="P286" s="5" t="s">
        <v>140</v>
      </c>
    </row>
    <row r="287" customFormat="false" ht="15" hidden="false" customHeight="false" outlineLevel="0" collapsed="false">
      <c r="A287" s="2" t="s">
        <v>418</v>
      </c>
      <c r="B287" s="2" t="s">
        <v>385</v>
      </c>
      <c r="C287" s="2" t="s">
        <v>146</v>
      </c>
      <c r="D287" s="2" t="s">
        <v>16</v>
      </c>
      <c r="E287" s="2" t="s">
        <v>48</v>
      </c>
      <c r="F287" s="14" t="n">
        <v>325.57</v>
      </c>
      <c r="G287" s="2" t="n">
        <v>0</v>
      </c>
      <c r="H287" s="2" t="n">
        <v>6</v>
      </c>
      <c r="I287" s="20" t="n">
        <v>1.29</v>
      </c>
      <c r="J287" s="14"/>
      <c r="K287" s="14"/>
      <c r="L287" s="20" t="n">
        <f aca="false">INDEX('Read me'!$B$10:$B$15,6)</f>
        <v>1.2</v>
      </c>
      <c r="M287" s="14" t="n">
        <f aca="false">IF(F287*(1+'Read me'!$B$5)&lt;='Read me'!$B$7,CEILING(F287*(1+'Read me'!$B$5)+0.5,1)-0.5,CEILING(F287*(1+'Read me'!$B$5),5))</f>
        <v>330</v>
      </c>
      <c r="N287" s="14" t="n">
        <f aca="false">IF(MAX(M287*L287,M287+'Read me'!$B$6)&lt;='Read me'!$B$7,CEILING(MAX(M287*L287,M287+'Read me'!$B$6)+0.5,1)-0.5,CEILING(MAX(M287*L287,M287+'Read me'!$B$6),5))</f>
        <v>400</v>
      </c>
      <c r="O287" s="21" t="str">
        <f aca="false">IF(ISNUMBER(J287),M287-J287,"new")</f>
        <v>new</v>
      </c>
    </row>
    <row r="288" customFormat="false" ht="15" hidden="false" customHeight="false" outlineLevel="0" collapsed="false">
      <c r="A288" s="2" t="s">
        <v>419</v>
      </c>
      <c r="B288" s="2" t="s">
        <v>385</v>
      </c>
      <c r="C288" s="2" t="s">
        <v>146</v>
      </c>
      <c r="D288" s="2" t="s">
        <v>16</v>
      </c>
      <c r="E288" s="2" t="s">
        <v>49</v>
      </c>
      <c r="F288" s="14" t="n">
        <v>418.35</v>
      </c>
      <c r="G288" s="2" t="n">
        <v>0</v>
      </c>
      <c r="H288" s="2" t="n">
        <v>6</v>
      </c>
      <c r="I288" s="20" t="n">
        <v>1.29</v>
      </c>
      <c r="J288" s="14"/>
      <c r="K288" s="14"/>
      <c r="L288" s="20" t="n">
        <f aca="false">INDEX('Read me'!$B$10:$B$15,6)</f>
        <v>1.2</v>
      </c>
      <c r="M288" s="14" t="n">
        <f aca="false">N288</f>
        <v>505</v>
      </c>
      <c r="N288" s="14" t="n">
        <f aca="false">IF(MAX((IF(F288*(1+'Read me'!$B$5)&lt;='Read me'!$B$7,CEILING(F288*(1+'Read me'!$B$5)+0.5,1)-0.5,CEILING(F288*(1+'Read me'!$B$5),5)))*L288,(IF(F288*(1+'Read me'!$B$5)&lt;='Read me'!$B$7,CEILING(F288*(1+'Read me'!$B$5)+0.5,1)-0.5,CEILING(F288*(1+'Read me'!$B$5),5)))+'Read me'!$B$6)&lt;='Read me'!$B$7,CEILING(MAX((IF(F288*(1+'Read me'!$B$5)&lt;='Read me'!$B$7,CEILING(F288*(1+'Read me'!$B$5)+0.5,1)-0.5,CEILING(F288*(1+'Read me'!$B$5),5)))*L288,(IF(F288*(1+'Read me'!$B$5)&lt;='Read me'!$B$7,CEILING(F288*(1+'Read me'!$B$5)+0.5,1)-0.5,CEILING(F288*(1+'Read me'!$B$5),5)))+'Read me'!$B$6)+0.5,1)-0.5,CEILING(MAX((IF(F288*(1+'Read me'!$B$5)&lt;='Read me'!$B$7,CEILING(F288*(1+'Read me'!$B$5)+0.5,1)-0.5,CEILING(F288*(1+'Read me'!$B$5),5)))*L288,(IF(F288*(1+'Read me'!$B$5)&lt;='Read me'!$B$7,CEILING(F288*(1+'Read me'!$B$5)+0.5,1)-0.5,CEILING(F288*(1+'Read me'!$B$5),5)))+'Read me'!$B$6),5))</f>
        <v>505</v>
      </c>
      <c r="O288" s="21" t="str">
        <f aca="false">IF(ISNUMBER(J288),M288-J288,"new")</f>
        <v>new</v>
      </c>
      <c r="P288" s="5" t="s">
        <v>140</v>
      </c>
    </row>
    <row r="289" customFormat="false" ht="15" hidden="false" customHeight="false" outlineLevel="0" collapsed="false">
      <c r="A289" s="2" t="s">
        <v>420</v>
      </c>
      <c r="B289" s="2" t="s">
        <v>385</v>
      </c>
      <c r="C289" s="2" t="s">
        <v>146</v>
      </c>
      <c r="D289" s="2" t="s">
        <v>16</v>
      </c>
      <c r="E289" s="2" t="s">
        <v>50</v>
      </c>
      <c r="F289" s="14" t="n">
        <v>491.71</v>
      </c>
      <c r="G289" s="2" t="n">
        <v>0</v>
      </c>
      <c r="H289" s="2" t="n">
        <v>6</v>
      </c>
      <c r="I289" s="20" t="n">
        <v>1.29</v>
      </c>
      <c r="J289" s="14"/>
      <c r="K289" s="14"/>
      <c r="L289" s="20" t="n">
        <f aca="false">INDEX('Read me'!$B$10:$B$15,6)</f>
        <v>1.2</v>
      </c>
      <c r="M289" s="14" t="n">
        <f aca="false">N289</f>
        <v>595</v>
      </c>
      <c r="N289" s="14" t="n">
        <f aca="false">IF(MAX((IF(F289*(1+'Read me'!$B$5)&lt;='Read me'!$B$7,CEILING(F289*(1+'Read me'!$B$5)+0.5,1)-0.5,CEILING(F289*(1+'Read me'!$B$5),5)))*L289,(IF(F289*(1+'Read me'!$B$5)&lt;='Read me'!$B$7,CEILING(F289*(1+'Read me'!$B$5)+0.5,1)-0.5,CEILING(F289*(1+'Read me'!$B$5),5)))+'Read me'!$B$6)&lt;='Read me'!$B$7,CEILING(MAX((IF(F289*(1+'Read me'!$B$5)&lt;='Read me'!$B$7,CEILING(F289*(1+'Read me'!$B$5)+0.5,1)-0.5,CEILING(F289*(1+'Read me'!$B$5),5)))*L289,(IF(F289*(1+'Read me'!$B$5)&lt;='Read me'!$B$7,CEILING(F289*(1+'Read me'!$B$5)+0.5,1)-0.5,CEILING(F289*(1+'Read me'!$B$5),5)))+'Read me'!$B$6)+0.5,1)-0.5,CEILING(MAX((IF(F289*(1+'Read me'!$B$5)&lt;='Read me'!$B$7,CEILING(F289*(1+'Read me'!$B$5)+0.5,1)-0.5,CEILING(F289*(1+'Read me'!$B$5),5)))*L289,(IF(F289*(1+'Read me'!$B$5)&lt;='Read me'!$B$7,CEILING(F289*(1+'Read me'!$B$5)+0.5,1)-0.5,CEILING(F289*(1+'Read me'!$B$5),5)))+'Read me'!$B$6),5))</f>
        <v>595</v>
      </c>
      <c r="O289" s="21" t="str">
        <f aca="false">IF(ISNUMBER(J289),M289-J289,"new")</f>
        <v>new</v>
      </c>
      <c r="P289" s="5" t="s">
        <v>140</v>
      </c>
    </row>
    <row r="290" customFormat="false" ht="15" hidden="false" customHeight="false" outlineLevel="0" collapsed="false">
      <c r="A290" s="2" t="s">
        <v>421</v>
      </c>
      <c r="B290" s="2" t="s">
        <v>385</v>
      </c>
      <c r="C290" s="2" t="s">
        <v>240</v>
      </c>
      <c r="D290" s="2" t="s">
        <v>10</v>
      </c>
      <c r="E290" s="2" t="s">
        <v>48</v>
      </c>
      <c r="F290" s="14" t="n">
        <v>21.92</v>
      </c>
      <c r="G290" s="2" t="n">
        <v>1</v>
      </c>
      <c r="H290" s="2" t="n">
        <v>5</v>
      </c>
      <c r="I290" s="20" t="n">
        <v>1.22</v>
      </c>
      <c r="J290" s="14" t="n">
        <v>24.5</v>
      </c>
      <c r="K290" s="14" t="n">
        <v>24.5</v>
      </c>
      <c r="L290" s="20" t="n">
        <f aca="false">INDEX('Read me'!$B$10:$B$15,1)</f>
        <v>1.34</v>
      </c>
      <c r="M290" s="14" t="n">
        <f aca="false">IF(F290*(1+'Read me'!$B$5)&lt;='Read me'!$B$7,CEILING(F290*(1+'Read me'!$B$5)+0.5,1)-0.5,CEILING(F290*(1+'Read me'!$B$5),5))</f>
        <v>22.5</v>
      </c>
      <c r="N290" s="14" t="n">
        <f aca="false">IF(MAX(M290*L290,M290+'Read me'!$B$6)&lt;='Read me'!$B$7,CEILING(MAX(M290*L290,M290+'Read me'!$B$6)+0.5,1)-0.5,CEILING(MAX(M290*L290,M290+'Read me'!$B$6),5))</f>
        <v>35</v>
      </c>
      <c r="O290" s="21" t="n">
        <f aca="false">IF(ISNUMBER(J290),M290-J290,"new")</f>
        <v>-2</v>
      </c>
    </row>
    <row r="291" customFormat="false" ht="15" hidden="false" customHeight="false" outlineLevel="0" collapsed="false">
      <c r="A291" s="2" t="s">
        <v>422</v>
      </c>
      <c r="B291" s="2" t="s">
        <v>385</v>
      </c>
      <c r="C291" s="2" t="s">
        <v>240</v>
      </c>
      <c r="D291" s="2" t="s">
        <v>10</v>
      </c>
      <c r="E291" s="2" t="s">
        <v>49</v>
      </c>
      <c r="F291" s="14" t="n">
        <v>21.92</v>
      </c>
      <c r="G291" s="2" t="n">
        <v>0</v>
      </c>
      <c r="H291" s="2" t="n">
        <v>5</v>
      </c>
      <c r="I291" s="20" t="n">
        <v>1.22</v>
      </c>
      <c r="J291" s="14" t="n">
        <v>24.5</v>
      </c>
      <c r="K291" s="14" t="n">
        <v>24.5</v>
      </c>
      <c r="L291" s="20" t="n">
        <f aca="false">INDEX('Read me'!$B$10:$B$15,1)</f>
        <v>1.34</v>
      </c>
      <c r="M291" s="14" t="n">
        <f aca="false">IF(F291*(1+'Read me'!$B$5)&lt;='Read me'!$B$7,CEILING(F291*(1+'Read me'!$B$5)+0.5,1)-0.5,CEILING(F291*(1+'Read me'!$B$5),5))</f>
        <v>22.5</v>
      </c>
      <c r="N291" s="14" t="n">
        <f aca="false">IF(MAX(M291*L291,M291+'Read me'!$B$6)&lt;='Read me'!$B$7,CEILING(MAX(M291*L291,M291+'Read me'!$B$6)+0.5,1)-0.5,CEILING(MAX(M291*L291,M291+'Read me'!$B$6),5))</f>
        <v>35</v>
      </c>
      <c r="O291" s="21" t="n">
        <f aca="false">IF(ISNUMBER(J291),M291-J291,"new")</f>
        <v>-2</v>
      </c>
    </row>
    <row r="292" customFormat="false" ht="15" hidden="false" customHeight="false" outlineLevel="0" collapsed="false">
      <c r="A292" s="2" t="s">
        <v>423</v>
      </c>
      <c r="B292" s="2" t="s">
        <v>385</v>
      </c>
      <c r="C292" s="2" t="s">
        <v>240</v>
      </c>
      <c r="D292" s="2" t="s">
        <v>10</v>
      </c>
      <c r="E292" s="2" t="s">
        <v>50</v>
      </c>
      <c r="F292" s="14" t="n">
        <v>24.46</v>
      </c>
      <c r="G292" s="2" t="n">
        <v>0</v>
      </c>
      <c r="H292" s="2" t="n">
        <v>5</v>
      </c>
      <c r="I292" s="20" t="n">
        <v>1.22</v>
      </c>
      <c r="J292" s="14" t="n">
        <v>34.5</v>
      </c>
      <c r="K292" s="14" t="n">
        <v>34.5</v>
      </c>
      <c r="L292" s="20" t="n">
        <f aca="false">INDEX('Read me'!$B$10:$B$15,1)</f>
        <v>1.34</v>
      </c>
      <c r="M292" s="14" t="n">
        <f aca="false">IF(F292*(1+'Read me'!$B$5)&lt;='Read me'!$B$7,CEILING(F292*(1+'Read me'!$B$5)+0.5,1)-0.5,CEILING(F292*(1+'Read me'!$B$5),5))</f>
        <v>24.5</v>
      </c>
      <c r="N292" s="14" t="n">
        <f aca="false">IF(MAX(M292*L292,M292+'Read me'!$B$6)&lt;='Read me'!$B$7,CEILING(MAX(M292*L292,M292+'Read me'!$B$6)+0.5,1)-0.5,CEILING(MAX(M292*L292,M292+'Read me'!$B$6),5))</f>
        <v>35</v>
      </c>
      <c r="O292" s="21" t="n">
        <f aca="false">IF(ISNUMBER(J292),M292-J292,"new")</f>
        <v>-10</v>
      </c>
    </row>
    <row r="293" customFormat="false" ht="15" hidden="false" customHeight="false" outlineLevel="0" collapsed="false">
      <c r="A293" s="2" t="s">
        <v>424</v>
      </c>
      <c r="B293" s="2" t="s">
        <v>385</v>
      </c>
      <c r="C293" s="2" t="s">
        <v>240</v>
      </c>
      <c r="D293" s="2" t="s">
        <v>12</v>
      </c>
      <c r="E293" s="2" t="s">
        <v>48</v>
      </c>
      <c r="F293" s="14" t="n">
        <v>73.71</v>
      </c>
      <c r="G293" s="2" t="n">
        <v>1</v>
      </c>
      <c r="H293" s="2" t="n">
        <v>5</v>
      </c>
      <c r="I293" s="20" t="n">
        <v>1.22</v>
      </c>
      <c r="J293" s="14" t="n">
        <v>29.5</v>
      </c>
      <c r="K293" s="14" t="n">
        <v>29.5</v>
      </c>
      <c r="L293" s="20" t="n">
        <f aca="false">INDEX('Read me'!$B$10:$B$15,2)</f>
        <v>1.26</v>
      </c>
      <c r="M293" s="14" t="n">
        <f aca="false">IF(F293*(1+'Read me'!$B$5)&lt;='Read me'!$B$7,CEILING(F293*(1+'Read me'!$B$5)+0.5,1)-0.5,CEILING(F293*(1+'Read me'!$B$5),5))</f>
        <v>75</v>
      </c>
      <c r="N293" s="14" t="n">
        <f aca="false">IF(MAX(M293*L293,M293+'Read me'!$B$6)&lt;='Read me'!$B$7,CEILING(MAX(M293*L293,M293+'Read me'!$B$6)+0.5,1)-0.5,CEILING(MAX(M293*L293,M293+'Read me'!$B$6),5))</f>
        <v>95</v>
      </c>
      <c r="O293" s="21" t="n">
        <f aca="false">IF(ISNUMBER(J293),M293-J293,"new")</f>
        <v>45.5</v>
      </c>
    </row>
    <row r="294" customFormat="false" ht="15" hidden="false" customHeight="false" outlineLevel="0" collapsed="false">
      <c r="A294" s="2" t="s">
        <v>425</v>
      </c>
      <c r="B294" s="2" t="s">
        <v>385</v>
      </c>
      <c r="C294" s="2" t="s">
        <v>240</v>
      </c>
      <c r="D294" s="2" t="s">
        <v>12</v>
      </c>
      <c r="E294" s="2" t="s">
        <v>49</v>
      </c>
      <c r="F294" s="14" t="n">
        <v>73.71</v>
      </c>
      <c r="G294" s="2" t="n">
        <v>0</v>
      </c>
      <c r="H294" s="2" t="n">
        <v>5</v>
      </c>
      <c r="I294" s="20" t="n">
        <v>1.22</v>
      </c>
      <c r="J294" s="14" t="n">
        <v>29.5</v>
      </c>
      <c r="K294" s="14" t="n">
        <v>29.5</v>
      </c>
      <c r="L294" s="20" t="n">
        <f aca="false">INDEX('Read me'!$B$10:$B$15,2)</f>
        <v>1.26</v>
      </c>
      <c r="M294" s="14" t="n">
        <f aca="false">IF(F294*(1+'Read me'!$B$5)&lt;='Read me'!$B$7,CEILING(F294*(1+'Read me'!$B$5)+0.5,1)-0.5,CEILING(F294*(1+'Read me'!$B$5),5))</f>
        <v>75</v>
      </c>
      <c r="N294" s="14" t="n">
        <f aca="false">IF(MAX(M294*L294,M294+'Read me'!$B$6)&lt;='Read me'!$B$7,CEILING(MAX(M294*L294,M294+'Read me'!$B$6)+0.5,1)-0.5,CEILING(MAX(M294*L294,M294+'Read me'!$B$6),5))</f>
        <v>95</v>
      </c>
      <c r="O294" s="21" t="n">
        <f aca="false">IF(ISNUMBER(J294),M294-J294,"new")</f>
        <v>45.5</v>
      </c>
    </row>
    <row r="295" customFormat="false" ht="15" hidden="false" customHeight="false" outlineLevel="0" collapsed="false">
      <c r="A295" s="2" t="s">
        <v>426</v>
      </c>
      <c r="B295" s="2" t="s">
        <v>385</v>
      </c>
      <c r="C295" s="2" t="s">
        <v>240</v>
      </c>
      <c r="D295" s="2" t="s">
        <v>12</v>
      </c>
      <c r="E295" s="2" t="s">
        <v>50</v>
      </c>
      <c r="F295" s="14" t="n">
        <v>74.64</v>
      </c>
      <c r="G295" s="2" t="n">
        <v>0</v>
      </c>
      <c r="H295" s="2" t="n">
        <v>5</v>
      </c>
      <c r="I295" s="20" t="n">
        <v>1.22</v>
      </c>
      <c r="J295" s="14" t="n">
        <v>45</v>
      </c>
      <c r="K295" s="14" t="n">
        <v>45</v>
      </c>
      <c r="L295" s="20" t="n">
        <f aca="false">INDEX('Read me'!$B$10:$B$15,2)</f>
        <v>1.26</v>
      </c>
      <c r="M295" s="14" t="n">
        <f aca="false">IF(F295*(1+'Read me'!$B$5)&lt;='Read me'!$B$7,CEILING(F295*(1+'Read me'!$B$5)+0.5,1)-0.5,CEILING(F295*(1+'Read me'!$B$5),5))</f>
        <v>75</v>
      </c>
      <c r="N295" s="14" t="n">
        <f aca="false">IF(MAX(M295*L295,M295+'Read me'!$B$6)&lt;='Read me'!$B$7,CEILING(MAX(M295*L295,M295+'Read me'!$B$6)+0.5,1)-0.5,CEILING(MAX(M295*L295,M295+'Read me'!$B$6),5))</f>
        <v>95</v>
      </c>
      <c r="O295" s="21" t="n">
        <f aca="false">IF(ISNUMBER(J295),M295-J295,"new")</f>
        <v>30</v>
      </c>
    </row>
    <row r="296" customFormat="false" ht="15" hidden="false" customHeight="false" outlineLevel="0" collapsed="false">
      <c r="A296" s="2" t="s">
        <v>427</v>
      </c>
      <c r="B296" s="2" t="s">
        <v>385</v>
      </c>
      <c r="C296" s="2" t="s">
        <v>240</v>
      </c>
      <c r="D296" s="2" t="s">
        <v>13</v>
      </c>
      <c r="E296" s="2" t="s">
        <v>48</v>
      </c>
      <c r="F296" s="14" t="n">
        <v>102</v>
      </c>
      <c r="G296" s="2" t="n">
        <v>1</v>
      </c>
      <c r="H296" s="2" t="n">
        <v>5</v>
      </c>
      <c r="I296" s="20" t="n">
        <v>1.22</v>
      </c>
      <c r="J296" s="14" t="n">
        <v>95</v>
      </c>
      <c r="K296" s="14" t="n">
        <v>95</v>
      </c>
      <c r="L296" s="20" t="n">
        <f aca="false">INDEX('Read me'!$B$10:$B$15,3)</f>
        <v>1.35</v>
      </c>
      <c r="M296" s="14" t="n">
        <f aca="false">IF(F296*(1+'Read me'!$B$5)&lt;='Read me'!$B$7,CEILING(F296*(1+'Read me'!$B$5)+0.5,1)-0.5,CEILING(F296*(1+'Read me'!$B$5),5))</f>
        <v>105</v>
      </c>
      <c r="N296" s="14" t="n">
        <f aca="false">IF(MAX(M296*L296,M296+'Read me'!$B$6)&lt;='Read me'!$B$7,CEILING(MAX(M296*L296,M296+'Read me'!$B$6)+0.5,1)-0.5,CEILING(MAX(M296*L296,M296+'Read me'!$B$6),5))</f>
        <v>145</v>
      </c>
      <c r="O296" s="21" t="n">
        <f aca="false">IF(ISNUMBER(J296),M296-J296,"new")</f>
        <v>10</v>
      </c>
    </row>
    <row r="297" customFormat="false" ht="15" hidden="false" customHeight="false" outlineLevel="0" collapsed="false">
      <c r="A297" s="2" t="s">
        <v>428</v>
      </c>
      <c r="B297" s="2" t="s">
        <v>385</v>
      </c>
      <c r="C297" s="2" t="s">
        <v>240</v>
      </c>
      <c r="D297" s="2" t="s">
        <v>13</v>
      </c>
      <c r="E297" s="2" t="s">
        <v>49</v>
      </c>
      <c r="F297" s="14" t="n">
        <v>113.35</v>
      </c>
      <c r="G297" s="2" t="n">
        <v>0</v>
      </c>
      <c r="H297" s="2" t="n">
        <v>5</v>
      </c>
      <c r="I297" s="20" t="n">
        <v>1.22</v>
      </c>
      <c r="J297" s="14" t="n">
        <v>95</v>
      </c>
      <c r="K297" s="14" t="n">
        <v>95</v>
      </c>
      <c r="L297" s="20" t="n">
        <f aca="false">INDEX('Read me'!$B$10:$B$15,3)</f>
        <v>1.35</v>
      </c>
      <c r="M297" s="14" t="n">
        <f aca="false">IF(F297*(1+'Read me'!$B$5)&lt;='Read me'!$B$7,CEILING(F297*(1+'Read me'!$B$5)+0.5,1)-0.5,CEILING(F297*(1+'Read me'!$B$5),5))</f>
        <v>115</v>
      </c>
      <c r="N297" s="14" t="n">
        <f aca="false">IF(MAX(M297*L297,M297+'Read me'!$B$6)&lt;='Read me'!$B$7,CEILING(MAX(M297*L297,M297+'Read me'!$B$6)+0.5,1)-0.5,CEILING(MAX(M297*L297,M297+'Read me'!$B$6),5))</f>
        <v>160</v>
      </c>
      <c r="O297" s="21" t="n">
        <f aca="false">IF(ISNUMBER(J297),M297-J297,"new")</f>
        <v>20</v>
      </c>
    </row>
    <row r="298" customFormat="false" ht="15" hidden="false" customHeight="false" outlineLevel="0" collapsed="false">
      <c r="A298" s="2" t="s">
        <v>429</v>
      </c>
      <c r="B298" s="2" t="s">
        <v>385</v>
      </c>
      <c r="C298" s="2" t="s">
        <v>240</v>
      </c>
      <c r="D298" s="2" t="s">
        <v>13</v>
      </c>
      <c r="E298" s="2" t="s">
        <v>50</v>
      </c>
      <c r="F298" s="14" t="n">
        <v>152.43</v>
      </c>
      <c r="G298" s="2" t="n">
        <v>0</v>
      </c>
      <c r="H298" s="2" t="n">
        <v>5</v>
      </c>
      <c r="I298" s="20" t="n">
        <v>1.22</v>
      </c>
      <c r="J298" s="14" t="n">
        <v>150</v>
      </c>
      <c r="K298" s="14" t="n">
        <v>150</v>
      </c>
      <c r="L298" s="20" t="n">
        <f aca="false">INDEX('Read me'!$B$10:$B$15,3)</f>
        <v>1.35</v>
      </c>
      <c r="M298" s="14" t="n">
        <f aca="false">IF(F298*(1+'Read me'!$B$5)&lt;='Read me'!$B$7,CEILING(F298*(1+'Read me'!$B$5)+0.5,1)-0.5,CEILING(F298*(1+'Read me'!$B$5),5))</f>
        <v>155</v>
      </c>
      <c r="N298" s="14" t="n">
        <f aca="false">IF(MAX(M298*L298,M298+'Read me'!$B$6)&lt;='Read me'!$B$7,CEILING(MAX(M298*L298,M298+'Read me'!$B$6)+0.5,1)-0.5,CEILING(MAX(M298*L298,M298+'Read me'!$B$6),5))</f>
        <v>210</v>
      </c>
      <c r="O298" s="21" t="n">
        <f aca="false">IF(ISNUMBER(J298),M298-J298,"new")</f>
        <v>5</v>
      </c>
    </row>
    <row r="299" customFormat="false" ht="15" hidden="false" customHeight="false" outlineLevel="0" collapsed="false">
      <c r="A299" s="2" t="s">
        <v>430</v>
      </c>
      <c r="B299" s="2" t="s">
        <v>385</v>
      </c>
      <c r="C299" s="2" t="s">
        <v>240</v>
      </c>
      <c r="D299" s="2" t="s">
        <v>14</v>
      </c>
      <c r="E299" s="2" t="s">
        <v>48</v>
      </c>
      <c r="F299" s="14" t="n">
        <v>178.06</v>
      </c>
      <c r="G299" s="2" t="n">
        <v>1</v>
      </c>
      <c r="H299" s="2" t="n">
        <v>5</v>
      </c>
      <c r="I299" s="20" t="n">
        <v>1.22</v>
      </c>
      <c r="J299" s="14" t="n">
        <v>150</v>
      </c>
      <c r="K299" s="14"/>
      <c r="L299" s="20" t="n">
        <f aca="false">INDEX('Read me'!$B$10:$B$15,4)</f>
        <v>1.2</v>
      </c>
      <c r="M299" s="14" t="n">
        <f aca="false">IF(F299*(1+'Read me'!$B$5)&lt;='Read me'!$B$7,CEILING(F299*(1+'Read me'!$B$5)+0.5,1)-0.5,CEILING(F299*(1+'Read me'!$B$5),5))</f>
        <v>180</v>
      </c>
      <c r="N299" s="14" t="n">
        <f aca="false">IF(MAX(M299*L299,M299+'Read me'!$B$6)&lt;='Read me'!$B$7,CEILING(MAX(M299*L299,M299+'Read me'!$B$6)+0.5,1)-0.5,CEILING(MAX(M299*L299,M299+'Read me'!$B$6),5))</f>
        <v>220</v>
      </c>
      <c r="O299" s="21" t="n">
        <f aca="false">IF(ISNUMBER(J299),M299-J299,"new")</f>
        <v>30</v>
      </c>
    </row>
    <row r="300" customFormat="false" ht="15" hidden="false" customHeight="false" outlineLevel="0" collapsed="false">
      <c r="A300" s="2" t="s">
        <v>431</v>
      </c>
      <c r="B300" s="2" t="s">
        <v>385</v>
      </c>
      <c r="C300" s="2" t="s">
        <v>240</v>
      </c>
      <c r="D300" s="2" t="s">
        <v>14</v>
      </c>
      <c r="E300" s="2" t="s">
        <v>49</v>
      </c>
      <c r="F300" s="14" t="n">
        <v>209.48</v>
      </c>
      <c r="G300" s="2" t="n">
        <v>0</v>
      </c>
      <c r="H300" s="2" t="n">
        <v>5</v>
      </c>
      <c r="I300" s="20" t="n">
        <v>1.22</v>
      </c>
      <c r="J300" s="14" t="n">
        <v>150</v>
      </c>
      <c r="K300" s="14"/>
      <c r="L300" s="20" t="n">
        <f aca="false">INDEX('Read me'!$B$10:$B$15,4)</f>
        <v>1.2</v>
      </c>
      <c r="M300" s="14" t="n">
        <f aca="false">IF(F300*(1+'Read me'!$B$5)&lt;='Read me'!$B$7,CEILING(F300*(1+'Read me'!$B$5)+0.5,1)-0.5,CEILING(F300*(1+'Read me'!$B$5),5))</f>
        <v>210</v>
      </c>
      <c r="N300" s="14" t="n">
        <f aca="false">IF(MAX(M300*L300,M300+'Read me'!$B$6)&lt;='Read me'!$B$7,CEILING(MAX(M300*L300,M300+'Read me'!$B$6)+0.5,1)-0.5,CEILING(MAX(M300*L300,M300+'Read me'!$B$6),5))</f>
        <v>255</v>
      </c>
      <c r="O300" s="21" t="n">
        <f aca="false">IF(ISNUMBER(J300),M300-J300,"new")</f>
        <v>60</v>
      </c>
    </row>
    <row r="301" customFormat="false" ht="15" hidden="false" customHeight="false" outlineLevel="0" collapsed="false">
      <c r="A301" s="2" t="s">
        <v>432</v>
      </c>
      <c r="B301" s="2" t="s">
        <v>385</v>
      </c>
      <c r="C301" s="2" t="s">
        <v>240</v>
      </c>
      <c r="D301" s="2" t="s">
        <v>14</v>
      </c>
      <c r="E301" s="2" t="s">
        <v>50</v>
      </c>
      <c r="F301" s="14" t="n">
        <v>240.17</v>
      </c>
      <c r="G301" s="2" t="n">
        <v>1</v>
      </c>
      <c r="H301" s="2" t="n">
        <v>5</v>
      </c>
      <c r="I301" s="20" t="n">
        <v>1.22</v>
      </c>
      <c r="J301" s="14" t="n">
        <v>195</v>
      </c>
      <c r="K301" s="14"/>
      <c r="L301" s="20" t="n">
        <f aca="false">INDEX('Read me'!$B$10:$B$15,4)</f>
        <v>1.2</v>
      </c>
      <c r="M301" s="14" t="n">
        <f aca="false">IF(F301*(1+'Read me'!$B$5)&lt;='Read me'!$B$7,CEILING(F301*(1+'Read me'!$B$5)+0.5,1)-0.5,CEILING(F301*(1+'Read me'!$B$5),5))</f>
        <v>245</v>
      </c>
      <c r="N301" s="14" t="n">
        <f aca="false">IF(MAX(M301*L301,M301+'Read me'!$B$6)&lt;='Read me'!$B$7,CEILING(MAX(M301*L301,M301+'Read me'!$B$6)+0.5,1)-0.5,CEILING(MAX(M301*L301,M301+'Read me'!$B$6),5))</f>
        <v>295</v>
      </c>
      <c r="O301" s="21" t="n">
        <f aca="false">IF(ISNUMBER(J301),M301-J301,"new")</f>
        <v>50</v>
      </c>
    </row>
    <row r="302" customFormat="false" ht="15" hidden="false" customHeight="false" outlineLevel="0" collapsed="false">
      <c r="A302" s="2" t="s">
        <v>433</v>
      </c>
      <c r="B302" s="2" t="s">
        <v>385</v>
      </c>
      <c r="C302" s="2" t="s">
        <v>240</v>
      </c>
      <c r="D302" s="2" t="s">
        <v>15</v>
      </c>
      <c r="E302" s="2" t="s">
        <v>48</v>
      </c>
      <c r="F302" s="14" t="n">
        <v>221.45</v>
      </c>
      <c r="G302" s="2" t="n">
        <v>0</v>
      </c>
      <c r="H302" s="2" t="n">
        <v>5</v>
      </c>
      <c r="I302" s="20" t="n">
        <v>1.22</v>
      </c>
      <c r="J302" s="14" t="n">
        <v>300</v>
      </c>
      <c r="K302" s="14"/>
      <c r="L302" s="20" t="n">
        <f aca="false">INDEX('Read me'!$B$10:$B$15,5)</f>
        <v>1.2</v>
      </c>
      <c r="M302" s="14" t="n">
        <f aca="false">IF(F302*(1+'Read me'!$B$5)&lt;='Read me'!$B$7,CEILING(F302*(1+'Read me'!$B$5)+0.5,1)-0.5,CEILING(F302*(1+'Read me'!$B$5),5))</f>
        <v>225</v>
      </c>
      <c r="N302" s="14" t="n">
        <f aca="false">IF(MAX(M302*L302,M302+'Read me'!$B$6)&lt;='Read me'!$B$7,CEILING(MAX(M302*L302,M302+'Read me'!$B$6)+0.5,1)-0.5,CEILING(MAX(M302*L302,M302+'Read me'!$B$6),5))</f>
        <v>270</v>
      </c>
      <c r="O302" s="21" t="n">
        <f aca="false">IF(ISNUMBER(J302),M302-J302,"new")</f>
        <v>-75</v>
      </c>
    </row>
    <row r="303" customFormat="false" ht="15" hidden="false" customHeight="false" outlineLevel="0" collapsed="false">
      <c r="A303" s="2" t="s">
        <v>434</v>
      </c>
      <c r="B303" s="2" t="s">
        <v>385</v>
      </c>
      <c r="C303" s="2" t="s">
        <v>240</v>
      </c>
      <c r="D303" s="2" t="s">
        <v>15</v>
      </c>
      <c r="E303" s="2" t="s">
        <v>49</v>
      </c>
      <c r="F303" s="14" t="n">
        <v>273.21</v>
      </c>
      <c r="G303" s="2" t="n">
        <v>0</v>
      </c>
      <c r="H303" s="2" t="n">
        <v>5</v>
      </c>
      <c r="I303" s="20" t="n">
        <v>1.22</v>
      </c>
      <c r="J303" s="14" t="n">
        <v>300</v>
      </c>
      <c r="K303" s="14"/>
      <c r="L303" s="20" t="n">
        <f aca="false">INDEX('Read me'!$B$10:$B$15,5)</f>
        <v>1.2</v>
      </c>
      <c r="M303" s="14" t="n">
        <f aca="false">N303</f>
        <v>330</v>
      </c>
      <c r="N303" s="14" t="n">
        <f aca="false">IF(MAX((IF(F303*(1+'Read me'!$B$5)&lt;='Read me'!$B$7,CEILING(F303*(1+'Read me'!$B$5)+0.5,1)-0.5,CEILING(F303*(1+'Read me'!$B$5),5)))*L303,(IF(F303*(1+'Read me'!$B$5)&lt;='Read me'!$B$7,CEILING(F303*(1+'Read me'!$B$5)+0.5,1)-0.5,CEILING(F303*(1+'Read me'!$B$5),5)))+'Read me'!$B$6)&lt;='Read me'!$B$7,CEILING(MAX((IF(F303*(1+'Read me'!$B$5)&lt;='Read me'!$B$7,CEILING(F303*(1+'Read me'!$B$5)+0.5,1)-0.5,CEILING(F303*(1+'Read me'!$B$5),5)))*L303,(IF(F303*(1+'Read me'!$B$5)&lt;='Read me'!$B$7,CEILING(F303*(1+'Read me'!$B$5)+0.5,1)-0.5,CEILING(F303*(1+'Read me'!$B$5),5)))+'Read me'!$B$6)+0.5,1)-0.5,CEILING(MAX((IF(F303*(1+'Read me'!$B$5)&lt;='Read me'!$B$7,CEILING(F303*(1+'Read me'!$B$5)+0.5,1)-0.5,CEILING(F303*(1+'Read me'!$B$5),5)))*L303,(IF(F303*(1+'Read me'!$B$5)&lt;='Read me'!$B$7,CEILING(F303*(1+'Read me'!$B$5)+0.5,1)-0.5,CEILING(F303*(1+'Read me'!$B$5),5)))+'Read me'!$B$6),5))</f>
        <v>330</v>
      </c>
      <c r="O303" s="21" t="n">
        <f aca="false">IF(ISNUMBER(J303),M303-J303,"new")</f>
        <v>30</v>
      </c>
      <c r="P303" s="5" t="s">
        <v>140</v>
      </c>
    </row>
    <row r="304" customFormat="false" ht="15" hidden="false" customHeight="false" outlineLevel="0" collapsed="false">
      <c r="A304" s="2" t="s">
        <v>435</v>
      </c>
      <c r="B304" s="2" t="s">
        <v>385</v>
      </c>
      <c r="C304" s="2" t="s">
        <v>240</v>
      </c>
      <c r="D304" s="2" t="s">
        <v>15</v>
      </c>
      <c r="E304" s="2" t="s">
        <v>50</v>
      </c>
      <c r="F304" s="14" t="n">
        <v>328.27</v>
      </c>
      <c r="G304" s="2" t="n">
        <v>0</v>
      </c>
      <c r="H304" s="2" t="n">
        <v>5</v>
      </c>
      <c r="I304" s="20" t="n">
        <v>1.22</v>
      </c>
      <c r="J304" s="14" t="n">
        <v>400</v>
      </c>
      <c r="K304" s="14"/>
      <c r="L304" s="20" t="n">
        <f aca="false">INDEX('Read me'!$B$10:$B$15,5)</f>
        <v>1.2</v>
      </c>
      <c r="M304" s="14" t="n">
        <f aca="false">N304</f>
        <v>400</v>
      </c>
      <c r="N304" s="14" t="n">
        <f aca="false">IF(MAX((IF(F304*(1+'Read me'!$B$5)&lt;='Read me'!$B$7,CEILING(F304*(1+'Read me'!$B$5)+0.5,1)-0.5,CEILING(F304*(1+'Read me'!$B$5),5)))*L304,(IF(F304*(1+'Read me'!$B$5)&lt;='Read me'!$B$7,CEILING(F304*(1+'Read me'!$B$5)+0.5,1)-0.5,CEILING(F304*(1+'Read me'!$B$5),5)))+'Read me'!$B$6)&lt;='Read me'!$B$7,CEILING(MAX((IF(F304*(1+'Read me'!$B$5)&lt;='Read me'!$B$7,CEILING(F304*(1+'Read me'!$B$5)+0.5,1)-0.5,CEILING(F304*(1+'Read me'!$B$5),5)))*L304,(IF(F304*(1+'Read me'!$B$5)&lt;='Read me'!$B$7,CEILING(F304*(1+'Read me'!$B$5)+0.5,1)-0.5,CEILING(F304*(1+'Read me'!$B$5),5)))+'Read me'!$B$6)+0.5,1)-0.5,CEILING(MAX((IF(F304*(1+'Read me'!$B$5)&lt;='Read me'!$B$7,CEILING(F304*(1+'Read me'!$B$5)+0.5,1)-0.5,CEILING(F304*(1+'Read me'!$B$5),5)))*L304,(IF(F304*(1+'Read me'!$B$5)&lt;='Read me'!$B$7,CEILING(F304*(1+'Read me'!$B$5)+0.5,1)-0.5,CEILING(F304*(1+'Read me'!$B$5),5)))+'Read me'!$B$6),5))</f>
        <v>400</v>
      </c>
      <c r="O304" s="21" t="n">
        <f aca="false">IF(ISNUMBER(J304),M304-J304,"new")</f>
        <v>0</v>
      </c>
      <c r="P304" s="5" t="s">
        <v>140</v>
      </c>
    </row>
    <row r="305" customFormat="false" ht="15" hidden="false" customHeight="false" outlineLevel="0" collapsed="false">
      <c r="A305" s="2" t="s">
        <v>436</v>
      </c>
      <c r="B305" s="2" t="s">
        <v>385</v>
      </c>
      <c r="C305" s="2" t="s">
        <v>240</v>
      </c>
      <c r="D305" s="2" t="s">
        <v>16</v>
      </c>
      <c r="E305" s="2" t="s">
        <v>48</v>
      </c>
      <c r="F305" s="14" t="n">
        <v>307.49</v>
      </c>
      <c r="G305" s="2" t="n">
        <v>0</v>
      </c>
      <c r="H305" s="2" t="n">
        <v>5</v>
      </c>
      <c r="I305" s="20" t="n">
        <v>1.22</v>
      </c>
      <c r="J305" s="14"/>
      <c r="K305" s="14"/>
      <c r="L305" s="20" t="n">
        <f aca="false">INDEX('Read me'!$B$10:$B$15,6)</f>
        <v>1.2</v>
      </c>
      <c r="M305" s="14" t="n">
        <f aca="false">IF(F305*(1+'Read me'!$B$5)&lt;='Read me'!$B$7,CEILING(F305*(1+'Read me'!$B$5)+0.5,1)-0.5,CEILING(F305*(1+'Read me'!$B$5),5))</f>
        <v>310</v>
      </c>
      <c r="N305" s="14" t="n">
        <f aca="false">IF(MAX(M305*L305,M305+'Read me'!$B$6)&lt;='Read me'!$B$7,CEILING(MAX(M305*L305,M305+'Read me'!$B$6)+0.5,1)-0.5,CEILING(MAX(M305*L305,M305+'Read me'!$B$6),5))</f>
        <v>375</v>
      </c>
      <c r="O305" s="21" t="str">
        <f aca="false">IF(ISNUMBER(J305),M305-J305,"new")</f>
        <v>new</v>
      </c>
    </row>
    <row r="306" customFormat="false" ht="15" hidden="false" customHeight="false" outlineLevel="0" collapsed="false">
      <c r="A306" s="2" t="s">
        <v>437</v>
      </c>
      <c r="B306" s="2" t="s">
        <v>385</v>
      </c>
      <c r="C306" s="2" t="s">
        <v>240</v>
      </c>
      <c r="D306" s="2" t="s">
        <v>16</v>
      </c>
      <c r="E306" s="2" t="s">
        <v>49</v>
      </c>
      <c r="F306" s="14" t="n">
        <v>395.12</v>
      </c>
      <c r="G306" s="2" t="n">
        <v>0</v>
      </c>
      <c r="H306" s="2" t="n">
        <v>5</v>
      </c>
      <c r="I306" s="20" t="n">
        <v>1.22</v>
      </c>
      <c r="J306" s="14"/>
      <c r="K306" s="14"/>
      <c r="L306" s="20" t="n">
        <f aca="false">INDEX('Read me'!$B$10:$B$15,6)</f>
        <v>1.2</v>
      </c>
      <c r="M306" s="14" t="n">
        <f aca="false">N306</f>
        <v>480</v>
      </c>
      <c r="N306" s="14" t="n">
        <f aca="false">IF(MAX((IF(F306*(1+'Read me'!$B$5)&lt;='Read me'!$B$7,CEILING(F306*(1+'Read me'!$B$5)+0.5,1)-0.5,CEILING(F306*(1+'Read me'!$B$5),5)))*L306,(IF(F306*(1+'Read me'!$B$5)&lt;='Read me'!$B$7,CEILING(F306*(1+'Read me'!$B$5)+0.5,1)-0.5,CEILING(F306*(1+'Read me'!$B$5),5)))+'Read me'!$B$6)&lt;='Read me'!$B$7,CEILING(MAX((IF(F306*(1+'Read me'!$B$5)&lt;='Read me'!$B$7,CEILING(F306*(1+'Read me'!$B$5)+0.5,1)-0.5,CEILING(F306*(1+'Read me'!$B$5),5)))*L306,(IF(F306*(1+'Read me'!$B$5)&lt;='Read me'!$B$7,CEILING(F306*(1+'Read me'!$B$5)+0.5,1)-0.5,CEILING(F306*(1+'Read me'!$B$5),5)))+'Read me'!$B$6)+0.5,1)-0.5,CEILING(MAX((IF(F306*(1+'Read me'!$B$5)&lt;='Read me'!$B$7,CEILING(F306*(1+'Read me'!$B$5)+0.5,1)-0.5,CEILING(F306*(1+'Read me'!$B$5),5)))*L306,(IF(F306*(1+'Read me'!$B$5)&lt;='Read me'!$B$7,CEILING(F306*(1+'Read me'!$B$5)+0.5,1)-0.5,CEILING(F306*(1+'Read me'!$B$5),5)))+'Read me'!$B$6),5))</f>
        <v>480</v>
      </c>
      <c r="O306" s="21" t="str">
        <f aca="false">IF(ISNUMBER(J306),M306-J306,"new")</f>
        <v>new</v>
      </c>
      <c r="P306" s="5" t="s">
        <v>140</v>
      </c>
    </row>
    <row r="307" customFormat="false" ht="15" hidden="false" customHeight="false" outlineLevel="0" collapsed="false">
      <c r="A307" s="2" t="s">
        <v>438</v>
      </c>
      <c r="B307" s="2" t="s">
        <v>385</v>
      </c>
      <c r="C307" s="2" t="s">
        <v>240</v>
      </c>
      <c r="D307" s="2" t="s">
        <v>16</v>
      </c>
      <c r="E307" s="2" t="s">
        <v>50</v>
      </c>
      <c r="F307" s="14" t="n">
        <v>464.4</v>
      </c>
      <c r="G307" s="2" t="n">
        <v>0</v>
      </c>
      <c r="H307" s="2" t="n">
        <v>5</v>
      </c>
      <c r="I307" s="20" t="n">
        <v>1.22</v>
      </c>
      <c r="J307" s="14"/>
      <c r="K307" s="14"/>
      <c r="L307" s="20" t="n">
        <f aca="false">INDEX('Read me'!$B$10:$B$15,6)</f>
        <v>1.2</v>
      </c>
      <c r="M307" s="14" t="n">
        <f aca="false">N307</f>
        <v>560</v>
      </c>
      <c r="N307" s="14" t="n">
        <f aca="false">IF(MAX((IF(F307*(1+'Read me'!$B$5)&lt;='Read me'!$B$7,CEILING(F307*(1+'Read me'!$B$5)+0.5,1)-0.5,CEILING(F307*(1+'Read me'!$B$5),5)))*L307,(IF(F307*(1+'Read me'!$B$5)&lt;='Read me'!$B$7,CEILING(F307*(1+'Read me'!$B$5)+0.5,1)-0.5,CEILING(F307*(1+'Read me'!$B$5),5)))+'Read me'!$B$6)&lt;='Read me'!$B$7,CEILING(MAX((IF(F307*(1+'Read me'!$B$5)&lt;='Read me'!$B$7,CEILING(F307*(1+'Read me'!$B$5)+0.5,1)-0.5,CEILING(F307*(1+'Read me'!$B$5),5)))*L307,(IF(F307*(1+'Read me'!$B$5)&lt;='Read me'!$B$7,CEILING(F307*(1+'Read me'!$B$5)+0.5,1)-0.5,CEILING(F307*(1+'Read me'!$B$5),5)))+'Read me'!$B$6)+0.5,1)-0.5,CEILING(MAX((IF(F307*(1+'Read me'!$B$5)&lt;='Read me'!$B$7,CEILING(F307*(1+'Read me'!$B$5)+0.5,1)-0.5,CEILING(F307*(1+'Read me'!$B$5),5)))*L307,(IF(F307*(1+'Read me'!$B$5)&lt;='Read me'!$B$7,CEILING(F307*(1+'Read me'!$B$5)+0.5,1)-0.5,CEILING(F307*(1+'Read me'!$B$5),5)))+'Read me'!$B$6),5))</f>
        <v>560</v>
      </c>
      <c r="O307" s="21" t="str">
        <f aca="false">IF(ISNUMBER(J307),M307-J307,"new")</f>
        <v>new</v>
      </c>
      <c r="P307" s="5" t="s">
        <v>140</v>
      </c>
    </row>
    <row r="308" customFormat="false" ht="15" hidden="false" customHeight="false" outlineLevel="0" collapsed="false">
      <c r="A308" s="2" t="s">
        <v>439</v>
      </c>
      <c r="B308" s="2" t="s">
        <v>385</v>
      </c>
      <c r="C308" s="2" t="s">
        <v>126</v>
      </c>
      <c r="D308" s="2" t="s">
        <v>10</v>
      </c>
      <c r="E308" s="2" t="s">
        <v>48</v>
      </c>
      <c r="F308" s="14" t="n">
        <v>15.2</v>
      </c>
      <c r="G308" s="2" t="n">
        <v>1</v>
      </c>
      <c r="H308" s="2" t="n">
        <v>4</v>
      </c>
      <c r="I308" s="20" t="n">
        <v>1.09</v>
      </c>
      <c r="J308" s="14" t="n">
        <v>24.5</v>
      </c>
      <c r="K308" s="14" t="n">
        <v>24.5</v>
      </c>
      <c r="L308" s="20" t="n">
        <f aca="false">INDEX('Read me'!$B$10:$B$15,1)</f>
        <v>1.34</v>
      </c>
      <c r="M308" s="14" t="n">
        <f aca="false">IF(F308*(1+'Read me'!$B$5)&lt;='Read me'!$B$7,CEILING(F308*(1+'Read me'!$B$5)+0.5,1)-0.5,CEILING(F308*(1+'Read me'!$B$5),5))</f>
        <v>15.5</v>
      </c>
      <c r="N308" s="14" t="n">
        <f aca="false">IF(MAX(M308*L308,M308+'Read me'!$B$6)&lt;='Read me'!$B$7,CEILING(MAX(M308*L308,M308+'Read me'!$B$6)+0.5,1)-0.5,CEILING(MAX(M308*L308,M308+'Read me'!$B$6),5))</f>
        <v>21.5</v>
      </c>
      <c r="O308" s="21" t="n">
        <f aca="false">IF(ISNUMBER(J308),M308-J308,"new")</f>
        <v>-9</v>
      </c>
    </row>
    <row r="309" customFormat="false" ht="15" hidden="false" customHeight="false" outlineLevel="0" collapsed="false">
      <c r="A309" s="2" t="s">
        <v>440</v>
      </c>
      <c r="B309" s="2" t="s">
        <v>385</v>
      </c>
      <c r="C309" s="2" t="s">
        <v>126</v>
      </c>
      <c r="D309" s="2" t="s">
        <v>10</v>
      </c>
      <c r="E309" s="2" t="s">
        <v>49</v>
      </c>
      <c r="F309" s="14" t="n">
        <v>16.63</v>
      </c>
      <c r="G309" s="2" t="n">
        <v>0</v>
      </c>
      <c r="H309" s="2" t="n">
        <v>4</v>
      </c>
      <c r="I309" s="20" t="n">
        <v>1.09</v>
      </c>
      <c r="J309" s="14" t="n">
        <v>24.5</v>
      </c>
      <c r="K309" s="14" t="n">
        <v>24.5</v>
      </c>
      <c r="L309" s="20" t="n">
        <f aca="false">INDEX('Read me'!$B$10:$B$15,1)</f>
        <v>1.34</v>
      </c>
      <c r="M309" s="14" t="n">
        <f aca="false">IF(F309*(1+'Read me'!$B$5)&lt;='Read me'!$B$7,CEILING(F309*(1+'Read me'!$B$5)+0.5,1)-0.5,CEILING(F309*(1+'Read me'!$B$5),5))</f>
        <v>17.5</v>
      </c>
      <c r="N309" s="14" t="n">
        <f aca="false">IF(MAX(M309*L309,M309+'Read me'!$B$6)&lt;='Read me'!$B$7,CEILING(MAX(M309*L309,M309+'Read me'!$B$6)+0.5,1)-0.5,CEILING(MAX(M309*L309,M309+'Read me'!$B$6),5))</f>
        <v>23.5</v>
      </c>
      <c r="O309" s="21" t="n">
        <f aca="false">IF(ISNUMBER(J309),M309-J309,"new")</f>
        <v>-7</v>
      </c>
    </row>
    <row r="310" customFormat="false" ht="15" hidden="false" customHeight="false" outlineLevel="0" collapsed="false">
      <c r="A310" s="2" t="s">
        <v>441</v>
      </c>
      <c r="B310" s="2" t="s">
        <v>385</v>
      </c>
      <c r="C310" s="2" t="s">
        <v>126</v>
      </c>
      <c r="D310" s="2" t="s">
        <v>10</v>
      </c>
      <c r="E310" s="2" t="s">
        <v>50</v>
      </c>
      <c r="F310" s="14" t="n">
        <v>21.04</v>
      </c>
      <c r="G310" s="2" t="n">
        <v>1</v>
      </c>
      <c r="H310" s="2" t="n">
        <v>4</v>
      </c>
      <c r="I310" s="20" t="n">
        <v>1.09</v>
      </c>
      <c r="J310" s="14" t="n">
        <v>34.5</v>
      </c>
      <c r="K310" s="14" t="n">
        <v>34.5</v>
      </c>
      <c r="L310" s="20" t="n">
        <f aca="false">INDEX('Read me'!$B$10:$B$15,1)</f>
        <v>1.34</v>
      </c>
      <c r="M310" s="14" t="n">
        <f aca="false">IF(F310*(1+'Read me'!$B$5)&lt;='Read me'!$B$7,CEILING(F310*(1+'Read me'!$B$5)+0.5,1)-0.5,CEILING(F310*(1+'Read me'!$B$5),5))</f>
        <v>21.5</v>
      </c>
      <c r="N310" s="14" t="n">
        <f aca="false">IF(MAX(M310*L310,M310+'Read me'!$B$6)&lt;='Read me'!$B$7,CEILING(MAX(M310*L310,M310+'Read me'!$B$6)+0.5,1)-0.5,CEILING(MAX(M310*L310,M310+'Read me'!$B$6),5))</f>
        <v>29.5</v>
      </c>
      <c r="O310" s="21" t="n">
        <f aca="false">IF(ISNUMBER(J310),M310-J310,"new")</f>
        <v>-13</v>
      </c>
    </row>
    <row r="311" customFormat="false" ht="15" hidden="false" customHeight="false" outlineLevel="0" collapsed="false">
      <c r="A311" s="2" t="s">
        <v>442</v>
      </c>
      <c r="B311" s="2" t="s">
        <v>385</v>
      </c>
      <c r="C311" s="2" t="s">
        <v>126</v>
      </c>
      <c r="D311" s="2" t="s">
        <v>12</v>
      </c>
      <c r="E311" s="2" t="s">
        <v>48</v>
      </c>
      <c r="F311" s="14" t="n">
        <v>52.51</v>
      </c>
      <c r="G311" s="2" t="n">
        <v>0</v>
      </c>
      <c r="H311" s="2" t="n">
        <v>4</v>
      </c>
      <c r="I311" s="20" t="n">
        <v>1.09</v>
      </c>
      <c r="J311" s="14" t="n">
        <v>29.5</v>
      </c>
      <c r="K311" s="14" t="n">
        <v>29.5</v>
      </c>
      <c r="L311" s="20" t="n">
        <f aca="false">INDEX('Read me'!$B$10:$B$15,2)</f>
        <v>1.26</v>
      </c>
      <c r="M311" s="14" t="n">
        <f aca="false">IF(F311*(1+'Read me'!$B$5)&lt;='Read me'!$B$7,CEILING(F311*(1+'Read me'!$B$5)+0.5,1)-0.5,CEILING(F311*(1+'Read me'!$B$5),5))</f>
        <v>55</v>
      </c>
      <c r="N311" s="14" t="n">
        <f aca="false">IF(MAX(M311*L311,M311+'Read me'!$B$6)&lt;='Read me'!$B$7,CEILING(MAX(M311*L311,M311+'Read me'!$B$6)+0.5,1)-0.5,CEILING(MAX(M311*L311,M311+'Read me'!$B$6),5))</f>
        <v>70</v>
      </c>
      <c r="O311" s="21" t="n">
        <f aca="false">IF(ISNUMBER(J311),M311-J311,"new")</f>
        <v>25.5</v>
      </c>
    </row>
    <row r="312" customFormat="false" ht="15" hidden="false" customHeight="false" outlineLevel="0" collapsed="false">
      <c r="A312" s="2" t="s">
        <v>443</v>
      </c>
      <c r="B312" s="2" t="s">
        <v>385</v>
      </c>
      <c r="C312" s="2" t="s">
        <v>126</v>
      </c>
      <c r="D312" s="2" t="s">
        <v>12</v>
      </c>
      <c r="E312" s="2" t="s">
        <v>49</v>
      </c>
      <c r="F312" s="14" t="n">
        <v>57.35</v>
      </c>
      <c r="G312" s="2" t="n">
        <v>0</v>
      </c>
      <c r="H312" s="2" t="n">
        <v>4</v>
      </c>
      <c r="I312" s="20" t="n">
        <v>1.09</v>
      </c>
      <c r="J312" s="14" t="n">
        <v>29.5</v>
      </c>
      <c r="K312" s="14" t="n">
        <v>29.5</v>
      </c>
      <c r="L312" s="20" t="n">
        <f aca="false">INDEX('Read me'!$B$10:$B$15,2)</f>
        <v>1.26</v>
      </c>
      <c r="M312" s="14" t="n">
        <f aca="false">IF(F312*(1+'Read me'!$B$5)&lt;='Read me'!$B$7,CEILING(F312*(1+'Read me'!$B$5)+0.5,1)-0.5,CEILING(F312*(1+'Read me'!$B$5),5))</f>
        <v>60</v>
      </c>
      <c r="N312" s="14" t="n">
        <f aca="false">IF(MAX(M312*L312,M312+'Read me'!$B$6)&lt;='Read me'!$B$7,CEILING(MAX(M312*L312,M312+'Read me'!$B$6)+0.5,1)-0.5,CEILING(MAX(M312*L312,M312+'Read me'!$B$6),5))</f>
        <v>80</v>
      </c>
      <c r="O312" s="21" t="n">
        <f aca="false">IF(ISNUMBER(J312),M312-J312,"new")</f>
        <v>30.5</v>
      </c>
    </row>
    <row r="313" customFormat="false" ht="15" hidden="false" customHeight="false" outlineLevel="0" collapsed="false">
      <c r="A313" s="2" t="s">
        <v>444</v>
      </c>
      <c r="B313" s="2" t="s">
        <v>385</v>
      </c>
      <c r="C313" s="2" t="s">
        <v>126</v>
      </c>
      <c r="D313" s="2" t="s">
        <v>12</v>
      </c>
      <c r="E313" s="2" t="s">
        <v>50</v>
      </c>
      <c r="F313" s="14" t="n">
        <v>65.68</v>
      </c>
      <c r="G313" s="2" t="n">
        <v>2</v>
      </c>
      <c r="H313" s="2" t="n">
        <v>4</v>
      </c>
      <c r="I313" s="20" t="n">
        <v>1.09</v>
      </c>
      <c r="J313" s="14" t="n">
        <v>45</v>
      </c>
      <c r="K313" s="14" t="n">
        <v>45</v>
      </c>
      <c r="L313" s="20" t="n">
        <f aca="false">INDEX('Read me'!$B$10:$B$15,2)</f>
        <v>1.26</v>
      </c>
      <c r="M313" s="14" t="n">
        <f aca="false">IF(F313*(1+'Read me'!$B$5)&lt;='Read me'!$B$7,CEILING(F313*(1+'Read me'!$B$5)+0.5,1)-0.5,CEILING(F313*(1+'Read me'!$B$5),5))</f>
        <v>70</v>
      </c>
      <c r="N313" s="14" t="n">
        <f aca="false">IF(MAX(M313*L313,M313+'Read me'!$B$6)&lt;='Read me'!$B$7,CEILING(MAX(M313*L313,M313+'Read me'!$B$6)+0.5,1)-0.5,CEILING(MAX(M313*L313,M313+'Read me'!$B$6),5))</f>
        <v>90</v>
      </c>
      <c r="O313" s="21" t="n">
        <f aca="false">IF(ISNUMBER(J313),M313-J313,"new")</f>
        <v>25</v>
      </c>
    </row>
    <row r="314" customFormat="false" ht="15" hidden="false" customHeight="false" outlineLevel="0" collapsed="false">
      <c r="A314" s="2" t="s">
        <v>445</v>
      </c>
      <c r="B314" s="2" t="s">
        <v>385</v>
      </c>
      <c r="C314" s="2" t="s">
        <v>126</v>
      </c>
      <c r="D314" s="2" t="s">
        <v>13</v>
      </c>
      <c r="E314" s="2" t="s">
        <v>48</v>
      </c>
      <c r="F314" s="14" t="n">
        <v>90.39</v>
      </c>
      <c r="G314" s="2" t="n">
        <v>0</v>
      </c>
      <c r="H314" s="2" t="n">
        <v>4</v>
      </c>
      <c r="I314" s="20" t="n">
        <v>1.09</v>
      </c>
      <c r="J314" s="14" t="n">
        <v>95</v>
      </c>
      <c r="K314" s="14" t="n">
        <v>95</v>
      </c>
      <c r="L314" s="20" t="n">
        <f aca="false">INDEX('Read me'!$B$10:$B$15,3)</f>
        <v>1.35</v>
      </c>
      <c r="M314" s="14" t="n">
        <f aca="false">IF(F314*(1+'Read me'!$B$5)&lt;='Read me'!$B$7,CEILING(F314*(1+'Read me'!$B$5)+0.5,1)-0.5,CEILING(F314*(1+'Read me'!$B$5),5))</f>
        <v>95</v>
      </c>
      <c r="N314" s="14" t="n">
        <f aca="false">IF(MAX(M314*L314,M314+'Read me'!$B$6)&lt;='Read me'!$B$7,CEILING(MAX(M314*L314,M314+'Read me'!$B$6)+0.5,1)-0.5,CEILING(MAX(M314*L314,M314+'Read me'!$B$6),5))</f>
        <v>130</v>
      </c>
      <c r="O314" s="21" t="n">
        <f aca="false">IF(ISNUMBER(J314),M314-J314,"new")</f>
        <v>0</v>
      </c>
    </row>
    <row r="315" customFormat="false" ht="15" hidden="false" customHeight="false" outlineLevel="0" collapsed="false">
      <c r="A315" s="2" t="s">
        <v>446</v>
      </c>
      <c r="B315" s="2" t="s">
        <v>385</v>
      </c>
      <c r="C315" s="2" t="s">
        <v>126</v>
      </c>
      <c r="D315" s="2" t="s">
        <v>13</v>
      </c>
      <c r="E315" s="2" t="s">
        <v>49</v>
      </c>
      <c r="F315" s="14" t="n">
        <v>101.68</v>
      </c>
      <c r="G315" s="2" t="n">
        <v>0</v>
      </c>
      <c r="H315" s="2" t="n">
        <v>4</v>
      </c>
      <c r="I315" s="20" t="n">
        <v>1.09</v>
      </c>
      <c r="J315" s="14" t="n">
        <v>95</v>
      </c>
      <c r="K315" s="14" t="n">
        <v>95</v>
      </c>
      <c r="L315" s="20" t="n">
        <f aca="false">INDEX('Read me'!$B$10:$B$15,3)</f>
        <v>1.35</v>
      </c>
      <c r="M315" s="14" t="n">
        <f aca="false">IF(F315*(1+'Read me'!$B$5)&lt;='Read me'!$B$7,CEILING(F315*(1+'Read me'!$B$5)+0.5,1)-0.5,CEILING(F315*(1+'Read me'!$B$5),5))</f>
        <v>105</v>
      </c>
      <c r="N315" s="14" t="n">
        <f aca="false">IF(MAX(M315*L315,M315+'Read me'!$B$6)&lt;='Read me'!$B$7,CEILING(MAX(M315*L315,M315+'Read me'!$B$6)+0.5,1)-0.5,CEILING(MAX(M315*L315,M315+'Read me'!$B$6),5))</f>
        <v>145</v>
      </c>
      <c r="O315" s="21" t="n">
        <f aca="false">IF(ISNUMBER(J315),M315-J315,"new")</f>
        <v>10</v>
      </c>
    </row>
    <row r="316" customFormat="false" ht="15" hidden="false" customHeight="false" outlineLevel="0" collapsed="false">
      <c r="A316" s="2" t="s">
        <v>447</v>
      </c>
      <c r="B316" s="2" t="s">
        <v>385</v>
      </c>
      <c r="C316" s="2" t="s">
        <v>126</v>
      </c>
      <c r="D316" s="2" t="s">
        <v>13</v>
      </c>
      <c r="E316" s="2" t="s">
        <v>50</v>
      </c>
      <c r="F316" s="14" t="n">
        <v>136.74</v>
      </c>
      <c r="G316" s="2" t="n">
        <v>0</v>
      </c>
      <c r="H316" s="2" t="n">
        <v>4</v>
      </c>
      <c r="I316" s="20" t="n">
        <v>1.09</v>
      </c>
      <c r="J316" s="14" t="n">
        <v>150</v>
      </c>
      <c r="K316" s="14" t="n">
        <v>150</v>
      </c>
      <c r="L316" s="20" t="n">
        <f aca="false">INDEX('Read me'!$B$10:$B$15,3)</f>
        <v>1.35</v>
      </c>
      <c r="M316" s="14" t="n">
        <f aca="false">IF(F316*(1+'Read me'!$B$5)&lt;='Read me'!$B$7,CEILING(F316*(1+'Read me'!$B$5)+0.5,1)-0.5,CEILING(F316*(1+'Read me'!$B$5),5))</f>
        <v>140</v>
      </c>
      <c r="N316" s="14" t="n">
        <f aca="false">IF(MAX(M316*L316,M316+'Read me'!$B$6)&lt;='Read me'!$B$7,CEILING(MAX(M316*L316,M316+'Read me'!$B$6)+0.5,1)-0.5,CEILING(MAX(M316*L316,M316+'Read me'!$B$6),5))</f>
        <v>190</v>
      </c>
      <c r="O316" s="21" t="n">
        <f aca="false">IF(ISNUMBER(J316),M316-J316,"new")</f>
        <v>-10</v>
      </c>
    </row>
    <row r="317" customFormat="false" ht="15" hidden="false" customHeight="false" outlineLevel="0" collapsed="false">
      <c r="A317" s="2" t="s">
        <v>448</v>
      </c>
      <c r="B317" s="2" t="s">
        <v>385</v>
      </c>
      <c r="C317" s="2" t="s">
        <v>126</v>
      </c>
      <c r="D317" s="2" t="s">
        <v>14</v>
      </c>
      <c r="E317" s="2" t="s">
        <v>48</v>
      </c>
      <c r="F317" s="14" t="n">
        <v>156.51</v>
      </c>
      <c r="G317" s="2" t="n">
        <v>0</v>
      </c>
      <c r="H317" s="2" t="n">
        <v>4</v>
      </c>
      <c r="I317" s="20" t="n">
        <v>1.09</v>
      </c>
      <c r="J317" s="14" t="n">
        <v>150</v>
      </c>
      <c r="K317" s="14"/>
      <c r="L317" s="20" t="n">
        <f aca="false">INDEX('Read me'!$B$10:$B$15,4)</f>
        <v>1.2</v>
      </c>
      <c r="M317" s="14" t="n">
        <f aca="false">IF(F317*(1+'Read me'!$B$5)&lt;='Read me'!$B$7,CEILING(F317*(1+'Read me'!$B$5)+0.5,1)-0.5,CEILING(F317*(1+'Read me'!$B$5),5))</f>
        <v>160</v>
      </c>
      <c r="N317" s="14" t="n">
        <f aca="false">IF(MAX(M317*L317,M317+'Read me'!$B$6)&lt;='Read me'!$B$7,CEILING(MAX(M317*L317,M317+'Read me'!$B$6)+0.5,1)-0.5,CEILING(MAX(M317*L317,M317+'Read me'!$B$6),5))</f>
        <v>195</v>
      </c>
      <c r="O317" s="21" t="n">
        <f aca="false">IF(ISNUMBER(J317),M317-J317,"new")</f>
        <v>10</v>
      </c>
    </row>
    <row r="318" customFormat="false" ht="15" hidden="false" customHeight="false" outlineLevel="0" collapsed="false">
      <c r="A318" s="2" t="s">
        <v>449</v>
      </c>
      <c r="B318" s="2" t="s">
        <v>385</v>
      </c>
      <c r="C318" s="2" t="s">
        <v>126</v>
      </c>
      <c r="D318" s="2" t="s">
        <v>14</v>
      </c>
      <c r="E318" s="2" t="s">
        <v>49</v>
      </c>
      <c r="F318" s="14" t="n">
        <v>187.92</v>
      </c>
      <c r="G318" s="2" t="n">
        <v>0</v>
      </c>
      <c r="H318" s="2" t="n">
        <v>4</v>
      </c>
      <c r="I318" s="20" t="n">
        <v>1.09</v>
      </c>
      <c r="J318" s="14" t="n">
        <v>150</v>
      </c>
      <c r="K318" s="14"/>
      <c r="L318" s="20" t="n">
        <f aca="false">INDEX('Read me'!$B$10:$B$15,4)</f>
        <v>1.2</v>
      </c>
      <c r="M318" s="14" t="n">
        <f aca="false">IF(F318*(1+'Read me'!$B$5)&lt;='Read me'!$B$7,CEILING(F318*(1+'Read me'!$B$5)+0.5,1)-0.5,CEILING(F318*(1+'Read me'!$B$5),5))</f>
        <v>190</v>
      </c>
      <c r="N318" s="14" t="n">
        <f aca="false">IF(MAX(M318*L318,M318+'Read me'!$B$6)&lt;='Read me'!$B$7,CEILING(MAX(M318*L318,M318+'Read me'!$B$6)+0.5,1)-0.5,CEILING(MAX(M318*L318,M318+'Read me'!$B$6),5))</f>
        <v>230</v>
      </c>
      <c r="O318" s="21" t="n">
        <f aca="false">IF(ISNUMBER(J318),M318-J318,"new")</f>
        <v>40</v>
      </c>
    </row>
    <row r="319" customFormat="false" ht="15" hidden="false" customHeight="false" outlineLevel="0" collapsed="false">
      <c r="A319" s="2" t="s">
        <v>450</v>
      </c>
      <c r="B319" s="2" t="s">
        <v>385</v>
      </c>
      <c r="C319" s="2" t="s">
        <v>126</v>
      </c>
      <c r="D319" s="2" t="s">
        <v>14</v>
      </c>
      <c r="E319" s="2" t="s">
        <v>50</v>
      </c>
      <c r="F319" s="14" t="n">
        <v>226.47</v>
      </c>
      <c r="G319" s="2" t="n">
        <v>0</v>
      </c>
      <c r="H319" s="2" t="n">
        <v>4</v>
      </c>
      <c r="I319" s="20" t="n">
        <v>1.09</v>
      </c>
      <c r="J319" s="14" t="n">
        <v>195</v>
      </c>
      <c r="K319" s="14"/>
      <c r="L319" s="20" t="n">
        <f aca="false">INDEX('Read me'!$B$10:$B$15,4)</f>
        <v>1.2</v>
      </c>
      <c r="M319" s="14" t="n">
        <f aca="false">IF(F319*(1+'Read me'!$B$5)&lt;='Read me'!$B$7,CEILING(F319*(1+'Read me'!$B$5)+0.5,1)-0.5,CEILING(F319*(1+'Read me'!$B$5),5))</f>
        <v>230</v>
      </c>
      <c r="N319" s="14" t="n">
        <f aca="false">IF(MAX(M319*L319,M319+'Read me'!$B$6)&lt;='Read me'!$B$7,CEILING(MAX(M319*L319,M319+'Read me'!$B$6)+0.5,1)-0.5,CEILING(MAX(M319*L319,M319+'Read me'!$B$6),5))</f>
        <v>280</v>
      </c>
      <c r="O319" s="21" t="n">
        <f aca="false">IF(ISNUMBER(J319),M319-J319,"new")</f>
        <v>35</v>
      </c>
    </row>
    <row r="320" customFormat="false" ht="15" hidden="false" customHeight="false" outlineLevel="0" collapsed="false">
      <c r="A320" s="2" t="s">
        <v>451</v>
      </c>
      <c r="B320" s="2" t="s">
        <v>385</v>
      </c>
      <c r="C320" s="2" t="s">
        <v>126</v>
      </c>
      <c r="D320" s="2" t="s">
        <v>15</v>
      </c>
      <c r="E320" s="2" t="s">
        <v>48</v>
      </c>
      <c r="F320" s="14" t="n">
        <v>198.65</v>
      </c>
      <c r="G320" s="2" t="n">
        <v>0</v>
      </c>
      <c r="H320" s="2" t="n">
        <v>4</v>
      </c>
      <c r="I320" s="20" t="n">
        <v>1.09</v>
      </c>
      <c r="J320" s="14" t="n">
        <v>300</v>
      </c>
      <c r="K320" s="14"/>
      <c r="L320" s="20" t="n">
        <f aca="false">INDEX('Read me'!$B$10:$B$15,5)</f>
        <v>1.2</v>
      </c>
      <c r="M320" s="14" t="n">
        <f aca="false">IF(F320*(1+'Read me'!$B$5)&lt;='Read me'!$B$7,CEILING(F320*(1+'Read me'!$B$5)+0.5,1)-0.5,CEILING(F320*(1+'Read me'!$B$5),5))</f>
        <v>200</v>
      </c>
      <c r="N320" s="14" t="n">
        <f aca="false">IF(MAX(M320*L320,M320+'Read me'!$B$6)&lt;='Read me'!$B$7,CEILING(MAX(M320*L320,M320+'Read me'!$B$6)+0.5,1)-0.5,CEILING(MAX(M320*L320,M320+'Read me'!$B$6),5))</f>
        <v>240</v>
      </c>
      <c r="O320" s="21" t="n">
        <f aca="false">IF(ISNUMBER(J320),M320-J320,"new")</f>
        <v>-100</v>
      </c>
    </row>
    <row r="321" customFormat="false" ht="15" hidden="false" customHeight="false" outlineLevel="0" collapsed="false">
      <c r="A321" s="2" t="s">
        <v>452</v>
      </c>
      <c r="B321" s="2" t="s">
        <v>385</v>
      </c>
      <c r="C321" s="2" t="s">
        <v>126</v>
      </c>
      <c r="D321" s="2" t="s">
        <v>15</v>
      </c>
      <c r="E321" s="2" t="s">
        <v>49</v>
      </c>
      <c r="F321" s="14" t="n">
        <v>245.08</v>
      </c>
      <c r="G321" s="2" t="n">
        <v>0</v>
      </c>
      <c r="H321" s="2" t="n">
        <v>4</v>
      </c>
      <c r="I321" s="20" t="n">
        <v>1.09</v>
      </c>
      <c r="J321" s="14" t="n">
        <v>300</v>
      </c>
      <c r="K321" s="14"/>
      <c r="L321" s="20" t="n">
        <f aca="false">INDEX('Read me'!$B$10:$B$15,5)</f>
        <v>1.2</v>
      </c>
      <c r="M321" s="14" t="n">
        <f aca="false">N321</f>
        <v>300</v>
      </c>
      <c r="N321" s="14" t="n">
        <f aca="false">IF(MAX((IF(F321*(1+'Read me'!$B$5)&lt;='Read me'!$B$7,CEILING(F321*(1+'Read me'!$B$5)+0.5,1)-0.5,CEILING(F321*(1+'Read me'!$B$5),5)))*L321,(IF(F321*(1+'Read me'!$B$5)&lt;='Read me'!$B$7,CEILING(F321*(1+'Read me'!$B$5)+0.5,1)-0.5,CEILING(F321*(1+'Read me'!$B$5),5)))+'Read me'!$B$6)&lt;='Read me'!$B$7,CEILING(MAX((IF(F321*(1+'Read me'!$B$5)&lt;='Read me'!$B$7,CEILING(F321*(1+'Read me'!$B$5)+0.5,1)-0.5,CEILING(F321*(1+'Read me'!$B$5),5)))*L321,(IF(F321*(1+'Read me'!$B$5)&lt;='Read me'!$B$7,CEILING(F321*(1+'Read me'!$B$5)+0.5,1)-0.5,CEILING(F321*(1+'Read me'!$B$5),5)))+'Read me'!$B$6)+0.5,1)-0.5,CEILING(MAX((IF(F321*(1+'Read me'!$B$5)&lt;='Read me'!$B$7,CEILING(F321*(1+'Read me'!$B$5)+0.5,1)-0.5,CEILING(F321*(1+'Read me'!$B$5),5)))*L321,(IF(F321*(1+'Read me'!$B$5)&lt;='Read me'!$B$7,CEILING(F321*(1+'Read me'!$B$5)+0.5,1)-0.5,CEILING(F321*(1+'Read me'!$B$5),5)))+'Read me'!$B$6),5))</f>
        <v>300</v>
      </c>
      <c r="O321" s="21" t="n">
        <f aca="false">IF(ISNUMBER(J321),M321-J321,"new")</f>
        <v>0</v>
      </c>
      <c r="P321" s="5" t="s">
        <v>140</v>
      </c>
    </row>
    <row r="322" customFormat="false" ht="15" hidden="false" customHeight="false" outlineLevel="0" collapsed="false">
      <c r="A322" s="2" t="s">
        <v>453</v>
      </c>
      <c r="B322" s="2" t="s">
        <v>385</v>
      </c>
      <c r="C322" s="2" t="s">
        <v>126</v>
      </c>
      <c r="D322" s="2" t="s">
        <v>15</v>
      </c>
      <c r="E322" s="2" t="s">
        <v>50</v>
      </c>
      <c r="F322" s="14" t="n">
        <v>294.48</v>
      </c>
      <c r="G322" s="2" t="n">
        <v>0</v>
      </c>
      <c r="H322" s="2" t="n">
        <v>4</v>
      </c>
      <c r="I322" s="20" t="n">
        <v>1.09</v>
      </c>
      <c r="J322" s="14" t="n">
        <v>400</v>
      </c>
      <c r="K322" s="14"/>
      <c r="L322" s="20" t="n">
        <f aca="false">INDEX('Read me'!$B$10:$B$15,5)</f>
        <v>1.2</v>
      </c>
      <c r="M322" s="14" t="n">
        <f aca="false">N322</f>
        <v>355</v>
      </c>
      <c r="N322" s="14" t="n">
        <f aca="false">IF(MAX((IF(F322*(1+'Read me'!$B$5)&lt;='Read me'!$B$7,CEILING(F322*(1+'Read me'!$B$5)+0.5,1)-0.5,CEILING(F322*(1+'Read me'!$B$5),5)))*L322,(IF(F322*(1+'Read me'!$B$5)&lt;='Read me'!$B$7,CEILING(F322*(1+'Read me'!$B$5)+0.5,1)-0.5,CEILING(F322*(1+'Read me'!$B$5),5)))+'Read me'!$B$6)&lt;='Read me'!$B$7,CEILING(MAX((IF(F322*(1+'Read me'!$B$5)&lt;='Read me'!$B$7,CEILING(F322*(1+'Read me'!$B$5)+0.5,1)-0.5,CEILING(F322*(1+'Read me'!$B$5),5)))*L322,(IF(F322*(1+'Read me'!$B$5)&lt;='Read me'!$B$7,CEILING(F322*(1+'Read me'!$B$5)+0.5,1)-0.5,CEILING(F322*(1+'Read me'!$B$5),5)))+'Read me'!$B$6)+0.5,1)-0.5,CEILING(MAX((IF(F322*(1+'Read me'!$B$5)&lt;='Read me'!$B$7,CEILING(F322*(1+'Read me'!$B$5)+0.5,1)-0.5,CEILING(F322*(1+'Read me'!$B$5),5)))*L322,(IF(F322*(1+'Read me'!$B$5)&lt;='Read me'!$B$7,CEILING(F322*(1+'Read me'!$B$5)+0.5,1)-0.5,CEILING(F322*(1+'Read me'!$B$5),5)))+'Read me'!$B$6),5))</f>
        <v>355</v>
      </c>
      <c r="O322" s="21" t="n">
        <f aca="false">IF(ISNUMBER(J322),M322-J322,"new")</f>
        <v>-45</v>
      </c>
      <c r="P322" s="5" t="s">
        <v>140</v>
      </c>
    </row>
    <row r="323" customFormat="false" ht="15" hidden="false" customHeight="false" outlineLevel="0" collapsed="false">
      <c r="A323" s="2" t="s">
        <v>454</v>
      </c>
      <c r="B323" s="2" t="s">
        <v>385</v>
      </c>
      <c r="C323" s="2" t="s">
        <v>126</v>
      </c>
      <c r="D323" s="2" t="s">
        <v>16</v>
      </c>
      <c r="E323" s="2" t="s">
        <v>48</v>
      </c>
      <c r="F323" s="14" t="n">
        <v>275.84</v>
      </c>
      <c r="G323" s="2" t="n">
        <v>0</v>
      </c>
      <c r="H323" s="2" t="n">
        <v>4</v>
      </c>
      <c r="I323" s="20" t="n">
        <v>1.09</v>
      </c>
      <c r="J323" s="14"/>
      <c r="K323" s="14"/>
      <c r="L323" s="20" t="n">
        <f aca="false">INDEX('Read me'!$B$10:$B$15,6)</f>
        <v>1.2</v>
      </c>
      <c r="M323" s="14" t="n">
        <f aca="false">IF(F323*(1+'Read me'!$B$5)&lt;='Read me'!$B$7,CEILING(F323*(1+'Read me'!$B$5)+0.5,1)-0.5,CEILING(F323*(1+'Read me'!$B$5),5))</f>
        <v>280</v>
      </c>
      <c r="N323" s="14" t="n">
        <f aca="false">IF(MAX(M323*L323,M323+'Read me'!$B$6)&lt;='Read me'!$B$7,CEILING(MAX(M323*L323,M323+'Read me'!$B$6)+0.5,1)-0.5,CEILING(MAX(M323*L323,M323+'Read me'!$B$6),5))</f>
        <v>340</v>
      </c>
      <c r="O323" s="21" t="str">
        <f aca="false">IF(ISNUMBER(J323),M323-J323,"new")</f>
        <v>new</v>
      </c>
    </row>
    <row r="324" customFormat="false" ht="15" hidden="false" customHeight="false" outlineLevel="0" collapsed="false">
      <c r="A324" s="2" t="s">
        <v>455</v>
      </c>
      <c r="B324" s="2" t="s">
        <v>385</v>
      </c>
      <c r="C324" s="2" t="s">
        <v>126</v>
      </c>
      <c r="D324" s="2" t="s">
        <v>16</v>
      </c>
      <c r="E324" s="2" t="s">
        <v>49</v>
      </c>
      <c r="F324" s="14" t="n">
        <v>354.44</v>
      </c>
      <c r="G324" s="2" t="n">
        <v>0</v>
      </c>
      <c r="H324" s="2" t="n">
        <v>4</v>
      </c>
      <c r="I324" s="20" t="n">
        <v>1.09</v>
      </c>
      <c r="J324" s="14"/>
      <c r="K324" s="14"/>
      <c r="L324" s="20" t="n">
        <f aca="false">INDEX('Read me'!$B$10:$B$15,6)</f>
        <v>1.2</v>
      </c>
      <c r="M324" s="14" t="n">
        <f aca="false">N324</f>
        <v>430</v>
      </c>
      <c r="N324" s="14" t="n">
        <f aca="false">IF(MAX((IF(F324*(1+'Read me'!$B$5)&lt;='Read me'!$B$7,CEILING(F324*(1+'Read me'!$B$5)+0.5,1)-0.5,CEILING(F324*(1+'Read me'!$B$5),5)))*L324,(IF(F324*(1+'Read me'!$B$5)&lt;='Read me'!$B$7,CEILING(F324*(1+'Read me'!$B$5)+0.5,1)-0.5,CEILING(F324*(1+'Read me'!$B$5),5)))+'Read me'!$B$6)&lt;='Read me'!$B$7,CEILING(MAX((IF(F324*(1+'Read me'!$B$5)&lt;='Read me'!$B$7,CEILING(F324*(1+'Read me'!$B$5)+0.5,1)-0.5,CEILING(F324*(1+'Read me'!$B$5),5)))*L324,(IF(F324*(1+'Read me'!$B$5)&lt;='Read me'!$B$7,CEILING(F324*(1+'Read me'!$B$5)+0.5,1)-0.5,CEILING(F324*(1+'Read me'!$B$5),5)))+'Read me'!$B$6)+0.5,1)-0.5,CEILING(MAX((IF(F324*(1+'Read me'!$B$5)&lt;='Read me'!$B$7,CEILING(F324*(1+'Read me'!$B$5)+0.5,1)-0.5,CEILING(F324*(1+'Read me'!$B$5),5)))*L324,(IF(F324*(1+'Read me'!$B$5)&lt;='Read me'!$B$7,CEILING(F324*(1+'Read me'!$B$5)+0.5,1)-0.5,CEILING(F324*(1+'Read me'!$B$5),5)))+'Read me'!$B$6),5))</f>
        <v>430</v>
      </c>
      <c r="O324" s="21" t="str">
        <f aca="false">IF(ISNUMBER(J324),M324-J324,"new")</f>
        <v>new</v>
      </c>
      <c r="P324" s="5" t="s">
        <v>140</v>
      </c>
    </row>
    <row r="325" customFormat="false" ht="15" hidden="false" customHeight="false" outlineLevel="0" collapsed="false">
      <c r="A325" s="2" t="s">
        <v>456</v>
      </c>
      <c r="B325" s="2" t="s">
        <v>385</v>
      </c>
      <c r="C325" s="2" t="s">
        <v>126</v>
      </c>
      <c r="D325" s="2" t="s">
        <v>16</v>
      </c>
      <c r="E325" s="2" t="s">
        <v>50</v>
      </c>
      <c r="F325" s="14" t="n">
        <v>416.6</v>
      </c>
      <c r="G325" s="2" t="n">
        <v>0</v>
      </c>
      <c r="H325" s="2" t="n">
        <v>4</v>
      </c>
      <c r="I325" s="20" t="n">
        <v>1.09</v>
      </c>
      <c r="J325" s="14"/>
      <c r="K325" s="14"/>
      <c r="L325" s="20" t="n">
        <f aca="false">INDEX('Read me'!$B$10:$B$15,6)</f>
        <v>1.2</v>
      </c>
      <c r="M325" s="14" t="n">
        <f aca="false">N325</f>
        <v>505</v>
      </c>
      <c r="N325" s="14" t="n">
        <f aca="false">IF(MAX((IF(F325*(1+'Read me'!$B$5)&lt;='Read me'!$B$7,CEILING(F325*(1+'Read me'!$B$5)+0.5,1)-0.5,CEILING(F325*(1+'Read me'!$B$5),5)))*L325,(IF(F325*(1+'Read me'!$B$5)&lt;='Read me'!$B$7,CEILING(F325*(1+'Read me'!$B$5)+0.5,1)-0.5,CEILING(F325*(1+'Read me'!$B$5),5)))+'Read me'!$B$6)&lt;='Read me'!$B$7,CEILING(MAX((IF(F325*(1+'Read me'!$B$5)&lt;='Read me'!$B$7,CEILING(F325*(1+'Read me'!$B$5)+0.5,1)-0.5,CEILING(F325*(1+'Read me'!$B$5),5)))*L325,(IF(F325*(1+'Read me'!$B$5)&lt;='Read me'!$B$7,CEILING(F325*(1+'Read me'!$B$5)+0.5,1)-0.5,CEILING(F325*(1+'Read me'!$B$5),5)))+'Read me'!$B$6)+0.5,1)-0.5,CEILING(MAX((IF(F325*(1+'Read me'!$B$5)&lt;='Read me'!$B$7,CEILING(F325*(1+'Read me'!$B$5)+0.5,1)-0.5,CEILING(F325*(1+'Read me'!$B$5),5)))*L325,(IF(F325*(1+'Read me'!$B$5)&lt;='Read me'!$B$7,CEILING(F325*(1+'Read me'!$B$5)+0.5,1)-0.5,CEILING(F325*(1+'Read me'!$B$5),5)))+'Read me'!$B$6),5))</f>
        <v>505</v>
      </c>
      <c r="O325" s="21" t="str">
        <f aca="false">IF(ISNUMBER(J325),M325-J325,"new")</f>
        <v>new</v>
      </c>
      <c r="P325" s="5" t="s">
        <v>140</v>
      </c>
    </row>
    <row r="326" customFormat="false" ht="15" hidden="false" customHeight="false" outlineLevel="0" collapsed="false">
      <c r="A326" s="2" t="s">
        <v>457</v>
      </c>
      <c r="B326" s="2" t="s">
        <v>385</v>
      </c>
      <c r="C326" s="2" t="s">
        <v>184</v>
      </c>
      <c r="D326" s="2" t="s">
        <v>10</v>
      </c>
      <c r="E326" s="2" t="s">
        <v>48</v>
      </c>
      <c r="F326" s="14" t="n">
        <v>14.77</v>
      </c>
      <c r="G326" s="2" t="n">
        <v>0</v>
      </c>
      <c r="H326" s="2" t="n">
        <v>1</v>
      </c>
      <c r="I326" s="20" t="n">
        <v>1.13</v>
      </c>
      <c r="J326" s="14" t="n">
        <v>24.5</v>
      </c>
      <c r="K326" s="14" t="n">
        <v>24.5</v>
      </c>
      <c r="L326" s="20" t="n">
        <f aca="false">INDEX('Read me'!$B$10:$B$15,1)</f>
        <v>1.34</v>
      </c>
      <c r="M326" s="14" t="n">
        <f aca="false">IF(F326*(1+'Read me'!$B$5)&lt;='Read me'!$B$7,CEILING(F326*(1+'Read me'!$B$5)+0.5,1)-0.5,CEILING(F326*(1+'Read me'!$B$5),5))</f>
        <v>15.5</v>
      </c>
      <c r="N326" s="14" t="n">
        <f aca="false">IF(MAX(M326*L326,M326+'Read me'!$B$6)&lt;='Read me'!$B$7,CEILING(MAX(M326*L326,M326+'Read me'!$B$6)+0.5,1)-0.5,CEILING(MAX(M326*L326,M326+'Read me'!$B$6),5))</f>
        <v>21.5</v>
      </c>
      <c r="O326" s="21" t="n">
        <f aca="false">IF(ISNUMBER(J326),M326-J326,"new")</f>
        <v>-9</v>
      </c>
    </row>
    <row r="327" customFormat="false" ht="15" hidden="false" customHeight="false" outlineLevel="0" collapsed="false">
      <c r="A327" s="2" t="s">
        <v>458</v>
      </c>
      <c r="B327" s="2" t="s">
        <v>385</v>
      </c>
      <c r="C327" s="2" t="s">
        <v>184</v>
      </c>
      <c r="D327" s="2" t="s">
        <v>10</v>
      </c>
      <c r="E327" s="2" t="s">
        <v>49</v>
      </c>
      <c r="F327" s="14" t="n">
        <v>17.23</v>
      </c>
      <c r="G327" s="2" t="n">
        <v>0</v>
      </c>
      <c r="H327" s="2" t="n">
        <v>1</v>
      </c>
      <c r="I327" s="20" t="n">
        <v>1.13</v>
      </c>
      <c r="J327" s="14" t="n">
        <v>24.5</v>
      </c>
      <c r="K327" s="14" t="n">
        <v>24.5</v>
      </c>
      <c r="L327" s="20" t="n">
        <f aca="false">INDEX('Read me'!$B$10:$B$15,1)</f>
        <v>1.34</v>
      </c>
      <c r="M327" s="14" t="n">
        <f aca="false">IF(F327*(1+'Read me'!$B$5)&lt;='Read me'!$B$7,CEILING(F327*(1+'Read me'!$B$5)+0.5,1)-0.5,CEILING(F327*(1+'Read me'!$B$5),5))</f>
        <v>17.5</v>
      </c>
      <c r="N327" s="14" t="n">
        <f aca="false">IF(MAX(M327*L327,M327+'Read me'!$B$6)&lt;='Read me'!$B$7,CEILING(MAX(M327*L327,M327+'Read me'!$B$6)+0.5,1)-0.5,CEILING(MAX(M327*L327,M327+'Read me'!$B$6),5))</f>
        <v>23.5</v>
      </c>
      <c r="O327" s="21" t="n">
        <f aca="false">IF(ISNUMBER(J327),M327-J327,"new")</f>
        <v>-7</v>
      </c>
    </row>
    <row r="328" customFormat="false" ht="15" hidden="false" customHeight="false" outlineLevel="0" collapsed="false">
      <c r="A328" s="2" t="s">
        <v>459</v>
      </c>
      <c r="B328" s="2" t="s">
        <v>385</v>
      </c>
      <c r="C328" s="2" t="s">
        <v>184</v>
      </c>
      <c r="D328" s="2" t="s">
        <v>10</v>
      </c>
      <c r="E328" s="2" t="s">
        <v>50</v>
      </c>
      <c r="F328" s="14" t="n">
        <v>22.73</v>
      </c>
      <c r="G328" s="2" t="n">
        <v>0</v>
      </c>
      <c r="H328" s="2" t="n">
        <v>1</v>
      </c>
      <c r="I328" s="20" t="n">
        <v>1.13</v>
      </c>
      <c r="J328" s="14" t="n">
        <v>34.5</v>
      </c>
      <c r="K328" s="14" t="n">
        <v>34.5</v>
      </c>
      <c r="L328" s="20" t="n">
        <f aca="false">INDEX('Read me'!$B$10:$B$15,1)</f>
        <v>1.34</v>
      </c>
      <c r="M328" s="14" t="n">
        <f aca="false">IF(F328*(1+'Read me'!$B$5)&lt;='Read me'!$B$7,CEILING(F328*(1+'Read me'!$B$5)+0.5,1)-0.5,CEILING(F328*(1+'Read me'!$B$5),5))</f>
        <v>23.5</v>
      </c>
      <c r="N328" s="14" t="n">
        <f aca="false">IF(MAX(M328*L328,M328+'Read me'!$B$6)&lt;='Read me'!$B$7,CEILING(MAX(M328*L328,M328+'Read me'!$B$6)+0.5,1)-0.5,CEILING(MAX(M328*L328,M328+'Read me'!$B$6),5))</f>
        <v>35</v>
      </c>
      <c r="O328" s="21" t="n">
        <f aca="false">IF(ISNUMBER(J328),M328-J328,"new")</f>
        <v>-11</v>
      </c>
    </row>
    <row r="329" customFormat="false" ht="15" hidden="false" customHeight="false" outlineLevel="0" collapsed="false">
      <c r="A329" s="2" t="s">
        <v>460</v>
      </c>
      <c r="B329" s="2" t="s">
        <v>385</v>
      </c>
      <c r="C329" s="2" t="s">
        <v>184</v>
      </c>
      <c r="D329" s="2" t="s">
        <v>12</v>
      </c>
      <c r="E329" s="2" t="s">
        <v>48</v>
      </c>
      <c r="F329" s="14" t="n">
        <v>54.41</v>
      </c>
      <c r="G329" s="2" t="n">
        <v>0</v>
      </c>
      <c r="H329" s="2" t="n">
        <v>1</v>
      </c>
      <c r="I329" s="20" t="n">
        <v>1.13</v>
      </c>
      <c r="J329" s="14" t="n">
        <v>29.5</v>
      </c>
      <c r="K329" s="14" t="n">
        <v>29.5</v>
      </c>
      <c r="L329" s="20" t="n">
        <f aca="false">INDEX('Read me'!$B$10:$B$15,2)</f>
        <v>1.26</v>
      </c>
      <c r="M329" s="14" t="n">
        <f aca="false">IF(F329*(1+'Read me'!$B$5)&lt;='Read me'!$B$7,CEILING(F329*(1+'Read me'!$B$5)+0.5,1)-0.5,CEILING(F329*(1+'Read me'!$B$5),5))</f>
        <v>55</v>
      </c>
      <c r="N329" s="14" t="n">
        <f aca="false">IF(MAX(M329*L329,M329+'Read me'!$B$6)&lt;='Read me'!$B$7,CEILING(MAX(M329*L329,M329+'Read me'!$B$6)+0.5,1)-0.5,CEILING(MAX(M329*L329,M329+'Read me'!$B$6),5))</f>
        <v>70</v>
      </c>
      <c r="O329" s="21" t="n">
        <f aca="false">IF(ISNUMBER(J329),M329-J329,"new")</f>
        <v>25.5</v>
      </c>
    </row>
    <row r="330" customFormat="false" ht="15" hidden="false" customHeight="false" outlineLevel="0" collapsed="false">
      <c r="A330" s="2" t="s">
        <v>461</v>
      </c>
      <c r="B330" s="2" t="s">
        <v>385</v>
      </c>
      <c r="C330" s="2" t="s">
        <v>184</v>
      </c>
      <c r="D330" s="2" t="s">
        <v>12</v>
      </c>
      <c r="E330" s="2" t="s">
        <v>49</v>
      </c>
      <c r="F330" s="14" t="n">
        <v>59.43</v>
      </c>
      <c r="G330" s="2" t="n">
        <v>0</v>
      </c>
      <c r="H330" s="2" t="n">
        <v>1</v>
      </c>
      <c r="I330" s="20" t="n">
        <v>1.13</v>
      </c>
      <c r="J330" s="14" t="n">
        <v>29.5</v>
      </c>
      <c r="K330" s="14" t="n">
        <v>29.5</v>
      </c>
      <c r="L330" s="20" t="n">
        <f aca="false">INDEX('Read me'!$B$10:$B$15,2)</f>
        <v>1.26</v>
      </c>
      <c r="M330" s="14" t="n">
        <f aca="false">IF(F330*(1+'Read me'!$B$5)&lt;='Read me'!$B$7,CEILING(F330*(1+'Read me'!$B$5)+0.5,1)-0.5,CEILING(F330*(1+'Read me'!$B$5),5))</f>
        <v>60</v>
      </c>
      <c r="N330" s="14" t="n">
        <f aca="false">IF(MAX(M330*L330,M330+'Read me'!$B$6)&lt;='Read me'!$B$7,CEILING(MAX(M330*L330,M330+'Read me'!$B$6)+0.5,1)-0.5,CEILING(MAX(M330*L330,M330+'Read me'!$B$6),5))</f>
        <v>80</v>
      </c>
      <c r="O330" s="21" t="n">
        <f aca="false">IF(ISNUMBER(J330),M330-J330,"new")</f>
        <v>30.5</v>
      </c>
    </row>
    <row r="331" customFormat="false" ht="15" hidden="false" customHeight="false" outlineLevel="0" collapsed="false">
      <c r="A331" s="2" t="s">
        <v>462</v>
      </c>
      <c r="B331" s="2" t="s">
        <v>385</v>
      </c>
      <c r="C331" s="2" t="s">
        <v>184</v>
      </c>
      <c r="D331" s="2" t="s">
        <v>12</v>
      </c>
      <c r="E331" s="2" t="s">
        <v>50</v>
      </c>
      <c r="F331" s="14" t="n">
        <v>69.38</v>
      </c>
      <c r="G331" s="2" t="n">
        <v>0</v>
      </c>
      <c r="H331" s="2" t="n">
        <v>1</v>
      </c>
      <c r="I331" s="20" t="n">
        <v>1.13</v>
      </c>
      <c r="J331" s="14" t="n">
        <v>45</v>
      </c>
      <c r="K331" s="14" t="n">
        <v>45</v>
      </c>
      <c r="L331" s="20" t="n">
        <f aca="false">INDEX('Read me'!$B$10:$B$15,2)</f>
        <v>1.26</v>
      </c>
      <c r="M331" s="14" t="n">
        <f aca="false">IF(F331*(1+'Read me'!$B$5)&lt;='Read me'!$B$7,CEILING(F331*(1+'Read me'!$B$5)+0.5,1)-0.5,CEILING(F331*(1+'Read me'!$B$5),5))</f>
        <v>70</v>
      </c>
      <c r="N331" s="14" t="n">
        <f aca="false">IF(MAX(M331*L331,M331+'Read me'!$B$6)&lt;='Read me'!$B$7,CEILING(MAX(M331*L331,M331+'Read me'!$B$6)+0.5,1)-0.5,CEILING(MAX(M331*L331,M331+'Read me'!$B$6),5))</f>
        <v>90</v>
      </c>
      <c r="O331" s="21" t="n">
        <f aca="false">IF(ISNUMBER(J331),M331-J331,"new")</f>
        <v>25</v>
      </c>
    </row>
    <row r="332" customFormat="false" ht="15" hidden="false" customHeight="false" outlineLevel="0" collapsed="false">
      <c r="A332" s="2" t="s">
        <v>463</v>
      </c>
      <c r="B332" s="2" t="s">
        <v>385</v>
      </c>
      <c r="C332" s="2" t="s">
        <v>184</v>
      </c>
      <c r="D332" s="2" t="s">
        <v>13</v>
      </c>
      <c r="E332" s="2" t="s">
        <v>48</v>
      </c>
      <c r="F332" s="14" t="n">
        <v>93.65</v>
      </c>
      <c r="G332" s="2" t="n">
        <v>0</v>
      </c>
      <c r="H332" s="2" t="n">
        <v>1</v>
      </c>
      <c r="I332" s="20" t="n">
        <v>1.13</v>
      </c>
      <c r="J332" s="14" t="n">
        <v>95</v>
      </c>
      <c r="K332" s="14" t="n">
        <v>95</v>
      </c>
      <c r="L332" s="20" t="n">
        <f aca="false">INDEX('Read me'!$B$10:$B$15,3)</f>
        <v>1.35</v>
      </c>
      <c r="M332" s="14" t="n">
        <f aca="false">IF(F332*(1+'Read me'!$B$5)&lt;='Read me'!$B$7,CEILING(F332*(1+'Read me'!$B$5)+0.5,1)-0.5,CEILING(F332*(1+'Read me'!$B$5),5))</f>
        <v>95</v>
      </c>
      <c r="N332" s="14" t="n">
        <f aca="false">IF(MAX(M332*L332,M332+'Read me'!$B$6)&lt;='Read me'!$B$7,CEILING(MAX(M332*L332,M332+'Read me'!$B$6)+0.5,1)-0.5,CEILING(MAX(M332*L332,M332+'Read me'!$B$6),5))</f>
        <v>130</v>
      </c>
      <c r="O332" s="21" t="n">
        <f aca="false">IF(ISNUMBER(J332),M332-J332,"new")</f>
        <v>0</v>
      </c>
    </row>
    <row r="333" customFormat="false" ht="15" hidden="false" customHeight="false" outlineLevel="0" collapsed="false">
      <c r="A333" s="2" t="s">
        <v>464</v>
      </c>
      <c r="B333" s="2" t="s">
        <v>385</v>
      </c>
      <c r="C333" s="2" t="s">
        <v>184</v>
      </c>
      <c r="D333" s="2" t="s">
        <v>13</v>
      </c>
      <c r="E333" s="2" t="s">
        <v>49</v>
      </c>
      <c r="F333" s="14" t="n">
        <v>105.35</v>
      </c>
      <c r="G333" s="2" t="n">
        <v>0</v>
      </c>
      <c r="H333" s="2" t="n">
        <v>1</v>
      </c>
      <c r="I333" s="20" t="n">
        <v>1.13</v>
      </c>
      <c r="J333" s="14" t="n">
        <v>95</v>
      </c>
      <c r="K333" s="14" t="n">
        <v>95</v>
      </c>
      <c r="L333" s="20" t="n">
        <f aca="false">INDEX('Read me'!$B$10:$B$15,3)</f>
        <v>1.35</v>
      </c>
      <c r="M333" s="14" t="n">
        <f aca="false">IF(F333*(1+'Read me'!$B$5)&lt;='Read me'!$B$7,CEILING(F333*(1+'Read me'!$B$5)+0.5,1)-0.5,CEILING(F333*(1+'Read me'!$B$5),5))</f>
        <v>110</v>
      </c>
      <c r="N333" s="14" t="n">
        <f aca="false">IF(MAX(M333*L333,M333+'Read me'!$B$6)&lt;='Read me'!$B$7,CEILING(MAX(M333*L333,M333+'Read me'!$B$6)+0.5,1)-0.5,CEILING(MAX(M333*L333,M333+'Read me'!$B$6),5))</f>
        <v>150</v>
      </c>
      <c r="O333" s="21" t="n">
        <f aca="false">IF(ISNUMBER(J333),M333-J333,"new")</f>
        <v>15</v>
      </c>
    </row>
    <row r="334" customFormat="false" ht="15" hidden="false" customHeight="false" outlineLevel="0" collapsed="false">
      <c r="A334" s="2" t="s">
        <v>465</v>
      </c>
      <c r="B334" s="2" t="s">
        <v>385</v>
      </c>
      <c r="C334" s="2" t="s">
        <v>184</v>
      </c>
      <c r="D334" s="2" t="s">
        <v>13</v>
      </c>
      <c r="E334" s="2" t="s">
        <v>50</v>
      </c>
      <c r="F334" s="14" t="n">
        <v>141.68</v>
      </c>
      <c r="G334" s="2" t="n">
        <v>0</v>
      </c>
      <c r="H334" s="2" t="n">
        <v>1</v>
      </c>
      <c r="I334" s="20" t="n">
        <v>1.13</v>
      </c>
      <c r="J334" s="14" t="n">
        <v>150</v>
      </c>
      <c r="K334" s="14" t="n">
        <v>150</v>
      </c>
      <c r="L334" s="20" t="n">
        <f aca="false">INDEX('Read me'!$B$10:$B$15,3)</f>
        <v>1.35</v>
      </c>
      <c r="M334" s="14" t="n">
        <f aca="false">IF(F334*(1+'Read me'!$B$5)&lt;='Read me'!$B$7,CEILING(F334*(1+'Read me'!$B$5)+0.5,1)-0.5,CEILING(F334*(1+'Read me'!$B$5),5))</f>
        <v>145</v>
      </c>
      <c r="N334" s="14" t="n">
        <f aca="false">IF(MAX(M334*L334,M334+'Read me'!$B$6)&lt;='Read me'!$B$7,CEILING(MAX(M334*L334,M334+'Read me'!$B$6)+0.5,1)-0.5,CEILING(MAX(M334*L334,M334+'Read me'!$B$6),5))</f>
        <v>200</v>
      </c>
      <c r="O334" s="21" t="n">
        <f aca="false">IF(ISNUMBER(J334),M334-J334,"new")</f>
        <v>-5</v>
      </c>
    </row>
    <row r="335" customFormat="false" ht="15" hidden="false" customHeight="false" outlineLevel="0" collapsed="false">
      <c r="A335" s="2" t="s">
        <v>466</v>
      </c>
      <c r="B335" s="2" t="s">
        <v>385</v>
      </c>
      <c r="C335" s="2" t="s">
        <v>184</v>
      </c>
      <c r="D335" s="2" t="s">
        <v>14</v>
      </c>
      <c r="E335" s="2" t="s">
        <v>48</v>
      </c>
      <c r="F335" s="14" t="n">
        <v>165.79</v>
      </c>
      <c r="G335" s="2" t="n">
        <v>1</v>
      </c>
      <c r="H335" s="2" t="n">
        <v>1</v>
      </c>
      <c r="I335" s="20" t="n">
        <v>1.13</v>
      </c>
      <c r="J335" s="14" t="n">
        <v>150</v>
      </c>
      <c r="K335" s="14"/>
      <c r="L335" s="20" t="n">
        <f aca="false">INDEX('Read me'!$B$10:$B$15,4)</f>
        <v>1.2</v>
      </c>
      <c r="M335" s="14" t="n">
        <f aca="false">IF(F335*(1+'Read me'!$B$5)&lt;='Read me'!$B$7,CEILING(F335*(1+'Read me'!$B$5)+0.5,1)-0.5,CEILING(F335*(1+'Read me'!$B$5),5))</f>
        <v>170</v>
      </c>
      <c r="N335" s="14" t="n">
        <f aca="false">IF(MAX(M335*L335,M335+'Read me'!$B$6)&lt;='Read me'!$B$7,CEILING(MAX(M335*L335,M335+'Read me'!$B$6)+0.5,1)-0.5,CEILING(MAX(M335*L335,M335+'Read me'!$B$6),5))</f>
        <v>205</v>
      </c>
      <c r="O335" s="21" t="n">
        <f aca="false">IF(ISNUMBER(J335),M335-J335,"new")</f>
        <v>20</v>
      </c>
    </row>
    <row r="336" customFormat="false" ht="15" hidden="false" customHeight="false" outlineLevel="0" collapsed="false">
      <c r="A336" s="2" t="s">
        <v>467</v>
      </c>
      <c r="B336" s="2" t="s">
        <v>385</v>
      </c>
      <c r="C336" s="2" t="s">
        <v>184</v>
      </c>
      <c r="D336" s="2" t="s">
        <v>14</v>
      </c>
      <c r="E336" s="2" t="s">
        <v>49</v>
      </c>
      <c r="F336" s="14" t="n">
        <v>194.71</v>
      </c>
      <c r="G336" s="2" t="n">
        <v>0</v>
      </c>
      <c r="H336" s="2" t="n">
        <v>1</v>
      </c>
      <c r="I336" s="20" t="n">
        <v>1.13</v>
      </c>
      <c r="J336" s="14" t="n">
        <v>150</v>
      </c>
      <c r="K336" s="14"/>
      <c r="L336" s="20" t="n">
        <f aca="false">INDEX('Read me'!$B$10:$B$15,4)</f>
        <v>1.2</v>
      </c>
      <c r="M336" s="14" t="n">
        <f aca="false">IF(F336*(1+'Read me'!$B$5)&lt;='Read me'!$B$7,CEILING(F336*(1+'Read me'!$B$5)+0.5,1)-0.5,CEILING(F336*(1+'Read me'!$B$5),5))</f>
        <v>195</v>
      </c>
      <c r="N336" s="14" t="n">
        <f aca="false">IF(MAX(M336*L336,M336+'Read me'!$B$6)&lt;='Read me'!$B$7,CEILING(MAX(M336*L336,M336+'Read me'!$B$6)+0.5,1)-0.5,CEILING(MAX(M336*L336,M336+'Read me'!$B$6),5))</f>
        <v>235</v>
      </c>
      <c r="O336" s="21" t="n">
        <f aca="false">IF(ISNUMBER(J336),M336-J336,"new")</f>
        <v>45</v>
      </c>
    </row>
    <row r="337" customFormat="false" ht="15" hidden="false" customHeight="false" outlineLevel="0" collapsed="false">
      <c r="A337" s="2" t="s">
        <v>468</v>
      </c>
      <c r="B337" s="2" t="s">
        <v>385</v>
      </c>
      <c r="C337" s="2" t="s">
        <v>184</v>
      </c>
      <c r="D337" s="2" t="s">
        <v>14</v>
      </c>
      <c r="E337" s="2" t="s">
        <v>50</v>
      </c>
      <c r="F337" s="14" t="n">
        <v>234.65</v>
      </c>
      <c r="G337" s="2" t="n">
        <v>0</v>
      </c>
      <c r="H337" s="2" t="n">
        <v>1</v>
      </c>
      <c r="I337" s="20" t="n">
        <v>1.13</v>
      </c>
      <c r="J337" s="14" t="n">
        <v>195</v>
      </c>
      <c r="K337" s="14"/>
      <c r="L337" s="20" t="n">
        <f aca="false">INDEX('Read me'!$B$10:$B$15,4)</f>
        <v>1.2</v>
      </c>
      <c r="M337" s="14" t="n">
        <f aca="false">IF(F337*(1+'Read me'!$B$5)&lt;='Read me'!$B$7,CEILING(F337*(1+'Read me'!$B$5)+0.5,1)-0.5,CEILING(F337*(1+'Read me'!$B$5),5))</f>
        <v>235</v>
      </c>
      <c r="N337" s="14" t="n">
        <f aca="false">IF(MAX(M337*L337,M337+'Read me'!$B$6)&lt;='Read me'!$B$7,CEILING(MAX(M337*L337,M337+'Read me'!$B$6)+0.5,1)-0.5,CEILING(MAX(M337*L337,M337+'Read me'!$B$6),5))</f>
        <v>285</v>
      </c>
      <c r="O337" s="21" t="n">
        <f aca="false">IF(ISNUMBER(J337),M337-J337,"new")</f>
        <v>40</v>
      </c>
    </row>
    <row r="338" customFormat="false" ht="15" hidden="false" customHeight="false" outlineLevel="0" collapsed="false">
      <c r="A338" s="2" t="s">
        <v>469</v>
      </c>
      <c r="B338" s="2" t="s">
        <v>385</v>
      </c>
      <c r="C338" s="2" t="s">
        <v>184</v>
      </c>
      <c r="D338" s="2" t="s">
        <v>15</v>
      </c>
      <c r="E338" s="2" t="s">
        <v>48</v>
      </c>
      <c r="F338" s="14" t="n">
        <v>205.83</v>
      </c>
      <c r="G338" s="2" t="n">
        <v>0</v>
      </c>
      <c r="H338" s="2" t="n">
        <v>1</v>
      </c>
      <c r="I338" s="20" t="n">
        <v>1.13</v>
      </c>
      <c r="J338" s="14" t="n">
        <v>300</v>
      </c>
      <c r="K338" s="14"/>
      <c r="L338" s="20" t="n">
        <f aca="false">INDEX('Read me'!$B$10:$B$15,5)</f>
        <v>1.2</v>
      </c>
      <c r="M338" s="14" t="n">
        <f aca="false">IF(F338*(1+'Read me'!$B$5)&lt;='Read me'!$B$7,CEILING(F338*(1+'Read me'!$B$5)+0.5,1)-0.5,CEILING(F338*(1+'Read me'!$B$5),5))</f>
        <v>210</v>
      </c>
      <c r="N338" s="14" t="n">
        <f aca="false">IF(MAX(M338*L338,M338+'Read me'!$B$6)&lt;='Read me'!$B$7,CEILING(MAX(M338*L338,M338+'Read me'!$B$6)+0.5,1)-0.5,CEILING(MAX(M338*L338,M338+'Read me'!$B$6),5))</f>
        <v>255</v>
      </c>
      <c r="O338" s="21" t="n">
        <f aca="false">IF(ISNUMBER(J338),M338-J338,"new")</f>
        <v>-90</v>
      </c>
    </row>
    <row r="339" customFormat="false" ht="15" hidden="false" customHeight="false" outlineLevel="0" collapsed="false">
      <c r="A339" s="2" t="s">
        <v>470</v>
      </c>
      <c r="B339" s="2" t="s">
        <v>385</v>
      </c>
      <c r="C339" s="2" t="s">
        <v>184</v>
      </c>
      <c r="D339" s="2" t="s">
        <v>15</v>
      </c>
      <c r="E339" s="2" t="s">
        <v>49</v>
      </c>
      <c r="F339" s="14" t="n">
        <v>253.94</v>
      </c>
      <c r="G339" s="2" t="n">
        <v>0</v>
      </c>
      <c r="H339" s="2" t="n">
        <v>1</v>
      </c>
      <c r="I339" s="20" t="n">
        <v>1.13</v>
      </c>
      <c r="J339" s="14" t="n">
        <v>300</v>
      </c>
      <c r="K339" s="14"/>
      <c r="L339" s="20" t="n">
        <f aca="false">INDEX('Read me'!$B$10:$B$15,5)</f>
        <v>1.2</v>
      </c>
      <c r="M339" s="14" t="n">
        <f aca="false">N339</f>
        <v>310</v>
      </c>
      <c r="N339" s="14" t="n">
        <f aca="false">IF(MAX((IF(F339*(1+'Read me'!$B$5)&lt;='Read me'!$B$7,CEILING(F339*(1+'Read me'!$B$5)+0.5,1)-0.5,CEILING(F339*(1+'Read me'!$B$5),5)))*L339,(IF(F339*(1+'Read me'!$B$5)&lt;='Read me'!$B$7,CEILING(F339*(1+'Read me'!$B$5)+0.5,1)-0.5,CEILING(F339*(1+'Read me'!$B$5),5)))+'Read me'!$B$6)&lt;='Read me'!$B$7,CEILING(MAX((IF(F339*(1+'Read me'!$B$5)&lt;='Read me'!$B$7,CEILING(F339*(1+'Read me'!$B$5)+0.5,1)-0.5,CEILING(F339*(1+'Read me'!$B$5),5)))*L339,(IF(F339*(1+'Read me'!$B$5)&lt;='Read me'!$B$7,CEILING(F339*(1+'Read me'!$B$5)+0.5,1)-0.5,CEILING(F339*(1+'Read me'!$B$5),5)))+'Read me'!$B$6)+0.5,1)-0.5,CEILING(MAX((IF(F339*(1+'Read me'!$B$5)&lt;='Read me'!$B$7,CEILING(F339*(1+'Read me'!$B$5)+0.5,1)-0.5,CEILING(F339*(1+'Read me'!$B$5),5)))*L339,(IF(F339*(1+'Read me'!$B$5)&lt;='Read me'!$B$7,CEILING(F339*(1+'Read me'!$B$5)+0.5,1)-0.5,CEILING(F339*(1+'Read me'!$B$5),5)))+'Read me'!$B$6),5))</f>
        <v>310</v>
      </c>
      <c r="O339" s="21" t="n">
        <f aca="false">IF(ISNUMBER(J339),M339-J339,"new")</f>
        <v>10</v>
      </c>
      <c r="P339" s="5" t="s">
        <v>140</v>
      </c>
    </row>
    <row r="340" customFormat="false" ht="15" hidden="false" customHeight="false" outlineLevel="0" collapsed="false">
      <c r="A340" s="2" t="s">
        <v>471</v>
      </c>
      <c r="B340" s="2" t="s">
        <v>385</v>
      </c>
      <c r="C340" s="2" t="s">
        <v>184</v>
      </c>
      <c r="D340" s="2" t="s">
        <v>15</v>
      </c>
      <c r="E340" s="2" t="s">
        <v>50</v>
      </c>
      <c r="F340" s="14" t="n">
        <v>305.12</v>
      </c>
      <c r="G340" s="2" t="n">
        <v>0</v>
      </c>
      <c r="H340" s="2" t="n">
        <v>1</v>
      </c>
      <c r="I340" s="20" t="n">
        <v>1.13</v>
      </c>
      <c r="J340" s="14" t="n">
        <v>400</v>
      </c>
      <c r="K340" s="14"/>
      <c r="L340" s="20" t="n">
        <f aca="false">INDEX('Read me'!$B$10:$B$15,5)</f>
        <v>1.2</v>
      </c>
      <c r="M340" s="14" t="n">
        <f aca="false">N340</f>
        <v>375</v>
      </c>
      <c r="N340" s="14" t="n">
        <f aca="false">IF(MAX((IF(F340*(1+'Read me'!$B$5)&lt;='Read me'!$B$7,CEILING(F340*(1+'Read me'!$B$5)+0.5,1)-0.5,CEILING(F340*(1+'Read me'!$B$5),5)))*L340,(IF(F340*(1+'Read me'!$B$5)&lt;='Read me'!$B$7,CEILING(F340*(1+'Read me'!$B$5)+0.5,1)-0.5,CEILING(F340*(1+'Read me'!$B$5),5)))+'Read me'!$B$6)&lt;='Read me'!$B$7,CEILING(MAX((IF(F340*(1+'Read me'!$B$5)&lt;='Read me'!$B$7,CEILING(F340*(1+'Read me'!$B$5)+0.5,1)-0.5,CEILING(F340*(1+'Read me'!$B$5),5)))*L340,(IF(F340*(1+'Read me'!$B$5)&lt;='Read me'!$B$7,CEILING(F340*(1+'Read me'!$B$5)+0.5,1)-0.5,CEILING(F340*(1+'Read me'!$B$5),5)))+'Read me'!$B$6)+0.5,1)-0.5,CEILING(MAX((IF(F340*(1+'Read me'!$B$5)&lt;='Read me'!$B$7,CEILING(F340*(1+'Read me'!$B$5)+0.5,1)-0.5,CEILING(F340*(1+'Read me'!$B$5),5)))*L340,(IF(F340*(1+'Read me'!$B$5)&lt;='Read me'!$B$7,CEILING(F340*(1+'Read me'!$B$5)+0.5,1)-0.5,CEILING(F340*(1+'Read me'!$B$5),5)))+'Read me'!$B$6),5))</f>
        <v>375</v>
      </c>
      <c r="O340" s="21" t="n">
        <f aca="false">IF(ISNUMBER(J340),M340-J340,"new")</f>
        <v>-25</v>
      </c>
      <c r="P340" s="5" t="s">
        <v>140</v>
      </c>
    </row>
    <row r="341" customFormat="false" ht="15" hidden="false" customHeight="false" outlineLevel="0" collapsed="false">
      <c r="A341" s="2" t="s">
        <v>472</v>
      </c>
      <c r="B341" s="2" t="s">
        <v>385</v>
      </c>
      <c r="C341" s="2" t="s">
        <v>184</v>
      </c>
      <c r="D341" s="2" t="s">
        <v>16</v>
      </c>
      <c r="E341" s="2" t="s">
        <v>48</v>
      </c>
      <c r="F341" s="14" t="n">
        <v>285.8</v>
      </c>
      <c r="G341" s="2" t="n">
        <v>0</v>
      </c>
      <c r="H341" s="2" t="n">
        <v>1</v>
      </c>
      <c r="I341" s="20" t="n">
        <v>1.13</v>
      </c>
      <c r="J341" s="14"/>
      <c r="K341" s="14"/>
      <c r="L341" s="20" t="n">
        <f aca="false">INDEX('Read me'!$B$10:$B$15,6)</f>
        <v>1.2</v>
      </c>
      <c r="M341" s="14" t="n">
        <f aca="false">IF(F341*(1+'Read me'!$B$5)&lt;='Read me'!$B$7,CEILING(F341*(1+'Read me'!$B$5)+0.5,1)-0.5,CEILING(F341*(1+'Read me'!$B$5),5))</f>
        <v>290</v>
      </c>
      <c r="N341" s="14" t="n">
        <f aca="false">IF(MAX(M341*L341,M341+'Read me'!$B$6)&lt;='Read me'!$B$7,CEILING(MAX(M341*L341,M341+'Read me'!$B$6)+0.5,1)-0.5,CEILING(MAX(M341*L341,M341+'Read me'!$B$6),5))</f>
        <v>350</v>
      </c>
      <c r="O341" s="21" t="str">
        <f aca="false">IF(ISNUMBER(J341),M341-J341,"new")</f>
        <v>new</v>
      </c>
    </row>
    <row r="342" customFormat="false" ht="15" hidden="false" customHeight="false" outlineLevel="0" collapsed="false">
      <c r="A342" s="2" t="s">
        <v>473</v>
      </c>
      <c r="B342" s="2" t="s">
        <v>385</v>
      </c>
      <c r="C342" s="2" t="s">
        <v>184</v>
      </c>
      <c r="D342" s="2" t="s">
        <v>16</v>
      </c>
      <c r="E342" s="2" t="s">
        <v>49</v>
      </c>
      <c r="F342" s="14" t="n">
        <v>367.25</v>
      </c>
      <c r="G342" s="2" t="n">
        <v>0</v>
      </c>
      <c r="H342" s="2" t="n">
        <v>1</v>
      </c>
      <c r="I342" s="20" t="n">
        <v>1.13</v>
      </c>
      <c r="J342" s="14"/>
      <c r="K342" s="14"/>
      <c r="L342" s="20" t="n">
        <f aca="false">INDEX('Read me'!$B$10:$B$15,6)</f>
        <v>1.2</v>
      </c>
      <c r="M342" s="14" t="n">
        <f aca="false">N342</f>
        <v>445</v>
      </c>
      <c r="N342" s="14" t="n">
        <f aca="false">IF(MAX((IF(F342*(1+'Read me'!$B$5)&lt;='Read me'!$B$7,CEILING(F342*(1+'Read me'!$B$5)+0.5,1)-0.5,CEILING(F342*(1+'Read me'!$B$5),5)))*L342,(IF(F342*(1+'Read me'!$B$5)&lt;='Read me'!$B$7,CEILING(F342*(1+'Read me'!$B$5)+0.5,1)-0.5,CEILING(F342*(1+'Read me'!$B$5),5)))+'Read me'!$B$6)&lt;='Read me'!$B$7,CEILING(MAX((IF(F342*(1+'Read me'!$B$5)&lt;='Read me'!$B$7,CEILING(F342*(1+'Read me'!$B$5)+0.5,1)-0.5,CEILING(F342*(1+'Read me'!$B$5),5)))*L342,(IF(F342*(1+'Read me'!$B$5)&lt;='Read me'!$B$7,CEILING(F342*(1+'Read me'!$B$5)+0.5,1)-0.5,CEILING(F342*(1+'Read me'!$B$5),5)))+'Read me'!$B$6)+0.5,1)-0.5,CEILING(MAX((IF(F342*(1+'Read me'!$B$5)&lt;='Read me'!$B$7,CEILING(F342*(1+'Read me'!$B$5)+0.5,1)-0.5,CEILING(F342*(1+'Read me'!$B$5),5)))*L342,(IF(F342*(1+'Read me'!$B$5)&lt;='Read me'!$B$7,CEILING(F342*(1+'Read me'!$B$5)+0.5,1)-0.5,CEILING(F342*(1+'Read me'!$B$5),5)))+'Read me'!$B$6),5))</f>
        <v>445</v>
      </c>
      <c r="O342" s="21" t="str">
        <f aca="false">IF(ISNUMBER(J342),M342-J342,"new")</f>
        <v>new</v>
      </c>
      <c r="P342" s="5" t="s">
        <v>140</v>
      </c>
    </row>
    <row r="343" customFormat="false" ht="15" hidden="false" customHeight="false" outlineLevel="0" collapsed="false">
      <c r="A343" s="2" t="s">
        <v>474</v>
      </c>
      <c r="B343" s="2" t="s">
        <v>385</v>
      </c>
      <c r="C343" s="2" t="s">
        <v>184</v>
      </c>
      <c r="D343" s="2" t="s">
        <v>16</v>
      </c>
      <c r="E343" s="2" t="s">
        <v>50</v>
      </c>
      <c r="F343" s="14" t="n">
        <v>431.65</v>
      </c>
      <c r="G343" s="2" t="n">
        <v>0</v>
      </c>
      <c r="H343" s="2" t="n">
        <v>1</v>
      </c>
      <c r="I343" s="20" t="n">
        <v>1.13</v>
      </c>
      <c r="J343" s="14"/>
      <c r="K343" s="14"/>
      <c r="L343" s="20" t="n">
        <f aca="false">INDEX('Read me'!$B$10:$B$15,6)</f>
        <v>1.2</v>
      </c>
      <c r="M343" s="14" t="n">
        <f aca="false">N343</f>
        <v>525</v>
      </c>
      <c r="N343" s="14" t="n">
        <f aca="false">IF(MAX((IF(F343*(1+'Read me'!$B$5)&lt;='Read me'!$B$7,CEILING(F343*(1+'Read me'!$B$5)+0.5,1)-0.5,CEILING(F343*(1+'Read me'!$B$5),5)))*L343,(IF(F343*(1+'Read me'!$B$5)&lt;='Read me'!$B$7,CEILING(F343*(1+'Read me'!$B$5)+0.5,1)-0.5,CEILING(F343*(1+'Read me'!$B$5),5)))+'Read me'!$B$6)&lt;='Read me'!$B$7,CEILING(MAX((IF(F343*(1+'Read me'!$B$5)&lt;='Read me'!$B$7,CEILING(F343*(1+'Read me'!$B$5)+0.5,1)-0.5,CEILING(F343*(1+'Read me'!$B$5),5)))*L343,(IF(F343*(1+'Read me'!$B$5)&lt;='Read me'!$B$7,CEILING(F343*(1+'Read me'!$B$5)+0.5,1)-0.5,CEILING(F343*(1+'Read me'!$B$5),5)))+'Read me'!$B$6)+0.5,1)-0.5,CEILING(MAX((IF(F343*(1+'Read me'!$B$5)&lt;='Read me'!$B$7,CEILING(F343*(1+'Read me'!$B$5)+0.5,1)-0.5,CEILING(F343*(1+'Read me'!$B$5),5)))*L343,(IF(F343*(1+'Read me'!$B$5)&lt;='Read me'!$B$7,CEILING(F343*(1+'Read me'!$B$5)+0.5,1)-0.5,CEILING(F343*(1+'Read me'!$B$5),5)))+'Read me'!$B$6),5))</f>
        <v>525</v>
      </c>
      <c r="O343" s="21" t="str">
        <f aca="false">IF(ISNUMBER(J343),M343-J343,"new")</f>
        <v>new</v>
      </c>
      <c r="P343" s="5" t="s">
        <v>140</v>
      </c>
    </row>
    <row r="344" customFormat="false" ht="15" hidden="false" customHeight="false" outlineLevel="0" collapsed="false">
      <c r="A344" s="2" t="s">
        <v>475</v>
      </c>
      <c r="B344" s="2" t="s">
        <v>385</v>
      </c>
      <c r="C344" s="2" t="s">
        <v>221</v>
      </c>
      <c r="D344" s="2" t="s">
        <v>10</v>
      </c>
      <c r="E344" s="2" t="s">
        <v>48</v>
      </c>
      <c r="F344" s="14" t="n">
        <v>14.73</v>
      </c>
      <c r="G344" s="2" t="n">
        <v>0</v>
      </c>
      <c r="H344" s="2" t="n">
        <v>0</v>
      </c>
      <c r="I344" s="20" t="n">
        <v>1.13</v>
      </c>
      <c r="J344" s="14" t="n">
        <v>19.5</v>
      </c>
      <c r="K344" s="14" t="n">
        <v>24.5</v>
      </c>
      <c r="L344" s="20" t="n">
        <f aca="false">INDEX('Read me'!$B$10:$B$15,1)</f>
        <v>1.34</v>
      </c>
      <c r="M344" s="14" t="n">
        <f aca="false">IF(F344*(1+'Read me'!$B$5)&lt;='Read me'!$B$7,CEILING(F344*(1+'Read me'!$B$5)+0.5,1)-0.5,CEILING(F344*(1+'Read me'!$B$5),5))</f>
        <v>15.5</v>
      </c>
      <c r="N344" s="14" t="n">
        <f aca="false">IF(MAX(M344*L344,M344+'Read me'!$B$6)&lt;='Read me'!$B$7,CEILING(MAX(M344*L344,M344+'Read me'!$B$6)+0.5,1)-0.5,CEILING(MAX(M344*L344,M344+'Read me'!$B$6),5))</f>
        <v>21.5</v>
      </c>
      <c r="O344" s="21" t="n">
        <f aca="false">IF(ISNUMBER(J344),M344-J344,"new")</f>
        <v>-4</v>
      </c>
    </row>
    <row r="345" customFormat="false" ht="15" hidden="false" customHeight="false" outlineLevel="0" collapsed="false">
      <c r="A345" s="2" t="s">
        <v>476</v>
      </c>
      <c r="B345" s="2" t="s">
        <v>385</v>
      </c>
      <c r="C345" s="2" t="s">
        <v>221</v>
      </c>
      <c r="D345" s="2" t="s">
        <v>10</v>
      </c>
      <c r="E345" s="2" t="s">
        <v>49</v>
      </c>
      <c r="F345" s="14" t="n">
        <v>17.18</v>
      </c>
      <c r="G345" s="2" t="n">
        <v>0</v>
      </c>
      <c r="H345" s="2" t="n">
        <v>0</v>
      </c>
      <c r="I345" s="20" t="n">
        <v>1.13</v>
      </c>
      <c r="J345" s="14" t="n">
        <v>19.5</v>
      </c>
      <c r="K345" s="14" t="n">
        <v>24.5</v>
      </c>
      <c r="L345" s="20" t="n">
        <f aca="false">INDEX('Read me'!$B$10:$B$15,1)</f>
        <v>1.34</v>
      </c>
      <c r="M345" s="14" t="n">
        <f aca="false">IF(F345*(1+'Read me'!$B$5)&lt;='Read me'!$B$7,CEILING(F345*(1+'Read me'!$B$5)+0.5,1)-0.5,CEILING(F345*(1+'Read me'!$B$5),5))</f>
        <v>17.5</v>
      </c>
      <c r="N345" s="14" t="n">
        <f aca="false">IF(MAX(M345*L345,M345+'Read me'!$B$6)&lt;='Read me'!$B$7,CEILING(MAX(M345*L345,M345+'Read me'!$B$6)+0.5,1)-0.5,CEILING(MAX(M345*L345,M345+'Read me'!$B$6),5))</f>
        <v>23.5</v>
      </c>
      <c r="O345" s="21" t="n">
        <f aca="false">IF(ISNUMBER(J345),M345-J345,"new")</f>
        <v>-2</v>
      </c>
    </row>
    <row r="346" customFormat="false" ht="15" hidden="false" customHeight="false" outlineLevel="0" collapsed="false">
      <c r="A346" s="2" t="s">
        <v>477</v>
      </c>
      <c r="B346" s="2" t="s">
        <v>385</v>
      </c>
      <c r="C346" s="2" t="s">
        <v>221</v>
      </c>
      <c r="D346" s="2" t="s">
        <v>10</v>
      </c>
      <c r="E346" s="2" t="s">
        <v>50</v>
      </c>
      <c r="F346" s="14" t="n">
        <v>22.67</v>
      </c>
      <c r="G346" s="2" t="n">
        <v>0</v>
      </c>
      <c r="H346" s="2" t="n">
        <v>0</v>
      </c>
      <c r="I346" s="20" t="n">
        <v>1.13</v>
      </c>
      <c r="J346" s="14" t="n">
        <v>19.5</v>
      </c>
      <c r="K346" s="14" t="n">
        <v>34.5</v>
      </c>
      <c r="L346" s="20" t="n">
        <f aca="false">INDEX('Read me'!$B$10:$B$15,1)</f>
        <v>1.34</v>
      </c>
      <c r="M346" s="14" t="n">
        <f aca="false">IF(F346*(1+'Read me'!$B$5)&lt;='Read me'!$B$7,CEILING(F346*(1+'Read me'!$B$5)+0.5,1)-0.5,CEILING(F346*(1+'Read me'!$B$5),5))</f>
        <v>23.5</v>
      </c>
      <c r="N346" s="14" t="n">
        <f aca="false">IF(MAX(M346*L346,M346+'Read me'!$B$6)&lt;='Read me'!$B$7,CEILING(MAX(M346*L346,M346+'Read me'!$B$6)+0.5,1)-0.5,CEILING(MAX(M346*L346,M346+'Read me'!$B$6),5))</f>
        <v>35</v>
      </c>
      <c r="O346" s="21" t="n">
        <f aca="false">IF(ISNUMBER(J346),M346-J346,"new")</f>
        <v>4</v>
      </c>
    </row>
    <row r="347" customFormat="false" ht="15" hidden="false" customHeight="false" outlineLevel="0" collapsed="false">
      <c r="A347" s="2" t="s">
        <v>478</v>
      </c>
      <c r="B347" s="2" t="s">
        <v>385</v>
      </c>
      <c r="C347" s="2" t="s">
        <v>221</v>
      </c>
      <c r="D347" s="2" t="s">
        <v>12</v>
      </c>
      <c r="E347" s="2" t="s">
        <v>48</v>
      </c>
      <c r="F347" s="14" t="n">
        <v>54.26</v>
      </c>
      <c r="G347" s="2" t="n">
        <v>0</v>
      </c>
      <c r="H347" s="2" t="n">
        <v>0</v>
      </c>
      <c r="I347" s="20" t="n">
        <v>1.13</v>
      </c>
      <c r="J347" s="14" t="n">
        <v>24.5</v>
      </c>
      <c r="K347" s="14" t="n">
        <v>29.5</v>
      </c>
      <c r="L347" s="20" t="n">
        <f aca="false">INDEX('Read me'!$B$10:$B$15,2)</f>
        <v>1.26</v>
      </c>
      <c r="M347" s="14" t="n">
        <f aca="false">IF(F347*(1+'Read me'!$B$5)&lt;='Read me'!$B$7,CEILING(F347*(1+'Read me'!$B$5)+0.5,1)-0.5,CEILING(F347*(1+'Read me'!$B$5),5))</f>
        <v>55</v>
      </c>
      <c r="N347" s="14" t="n">
        <f aca="false">IF(MAX(M347*L347,M347+'Read me'!$B$6)&lt;='Read me'!$B$7,CEILING(MAX(M347*L347,M347+'Read me'!$B$6)+0.5,1)-0.5,CEILING(MAX(M347*L347,M347+'Read me'!$B$6),5))</f>
        <v>70</v>
      </c>
      <c r="O347" s="21" t="n">
        <f aca="false">IF(ISNUMBER(J347),M347-J347,"new")</f>
        <v>30.5</v>
      </c>
    </row>
    <row r="348" customFormat="false" ht="15" hidden="false" customHeight="false" outlineLevel="0" collapsed="false">
      <c r="A348" s="2" t="s">
        <v>479</v>
      </c>
      <c r="B348" s="2" t="s">
        <v>385</v>
      </c>
      <c r="C348" s="2" t="s">
        <v>221</v>
      </c>
      <c r="D348" s="2" t="s">
        <v>12</v>
      </c>
      <c r="E348" s="2" t="s">
        <v>49</v>
      </c>
      <c r="F348" s="14" t="n">
        <v>59.27</v>
      </c>
      <c r="G348" s="2" t="n">
        <v>0</v>
      </c>
      <c r="H348" s="2" t="n">
        <v>0</v>
      </c>
      <c r="I348" s="20" t="n">
        <v>1.13</v>
      </c>
      <c r="J348" s="14" t="n">
        <v>24.5</v>
      </c>
      <c r="K348" s="14" t="n">
        <v>29.5</v>
      </c>
      <c r="L348" s="20" t="n">
        <f aca="false">INDEX('Read me'!$B$10:$B$15,2)</f>
        <v>1.26</v>
      </c>
      <c r="M348" s="14" t="n">
        <f aca="false">IF(F348*(1+'Read me'!$B$5)&lt;='Read me'!$B$7,CEILING(F348*(1+'Read me'!$B$5)+0.5,1)-0.5,CEILING(F348*(1+'Read me'!$B$5),5))</f>
        <v>60</v>
      </c>
      <c r="N348" s="14" t="n">
        <f aca="false">IF(MAX(M348*L348,M348+'Read me'!$B$6)&lt;='Read me'!$B$7,CEILING(MAX(M348*L348,M348+'Read me'!$B$6)+0.5,1)-0.5,CEILING(MAX(M348*L348,M348+'Read me'!$B$6),5))</f>
        <v>80</v>
      </c>
      <c r="O348" s="21" t="n">
        <f aca="false">IF(ISNUMBER(J348),M348-J348,"new")</f>
        <v>35.5</v>
      </c>
    </row>
    <row r="349" customFormat="false" ht="15" hidden="false" customHeight="false" outlineLevel="0" collapsed="false">
      <c r="A349" s="2" t="s">
        <v>480</v>
      </c>
      <c r="B349" s="2" t="s">
        <v>385</v>
      </c>
      <c r="C349" s="2" t="s">
        <v>221</v>
      </c>
      <c r="D349" s="2" t="s">
        <v>12</v>
      </c>
      <c r="E349" s="2" t="s">
        <v>50</v>
      </c>
      <c r="F349" s="14" t="n">
        <v>69.19</v>
      </c>
      <c r="G349" s="2" t="n">
        <v>0</v>
      </c>
      <c r="H349" s="2" t="n">
        <v>0</v>
      </c>
      <c r="I349" s="20" t="n">
        <v>1.13</v>
      </c>
      <c r="J349" s="14" t="n">
        <v>24.5</v>
      </c>
      <c r="K349" s="14" t="n">
        <v>45</v>
      </c>
      <c r="L349" s="20" t="n">
        <f aca="false">INDEX('Read me'!$B$10:$B$15,2)</f>
        <v>1.26</v>
      </c>
      <c r="M349" s="14" t="n">
        <f aca="false">IF(F349*(1+'Read me'!$B$5)&lt;='Read me'!$B$7,CEILING(F349*(1+'Read me'!$B$5)+0.5,1)-0.5,CEILING(F349*(1+'Read me'!$B$5),5))</f>
        <v>70</v>
      </c>
      <c r="N349" s="14" t="n">
        <f aca="false">IF(MAX(M349*L349,M349+'Read me'!$B$6)&lt;='Read me'!$B$7,CEILING(MAX(M349*L349,M349+'Read me'!$B$6)+0.5,1)-0.5,CEILING(MAX(M349*L349,M349+'Read me'!$B$6),5))</f>
        <v>90</v>
      </c>
      <c r="O349" s="21" t="n">
        <f aca="false">IF(ISNUMBER(J349),M349-J349,"new")</f>
        <v>45.5</v>
      </c>
    </row>
    <row r="350" customFormat="false" ht="15" hidden="false" customHeight="false" outlineLevel="0" collapsed="false">
      <c r="A350" s="2" t="s">
        <v>481</v>
      </c>
      <c r="B350" s="2" t="s">
        <v>385</v>
      </c>
      <c r="C350" s="2" t="s">
        <v>221</v>
      </c>
      <c r="D350" s="2" t="s">
        <v>13</v>
      </c>
      <c r="E350" s="2" t="s">
        <v>48</v>
      </c>
      <c r="F350" s="14" t="n">
        <v>93.4</v>
      </c>
      <c r="G350" s="2" t="n">
        <v>0</v>
      </c>
      <c r="H350" s="2" t="n">
        <v>0</v>
      </c>
      <c r="I350" s="20" t="n">
        <v>1.13</v>
      </c>
      <c r="J350" s="14" t="n">
        <v>45</v>
      </c>
      <c r="K350" s="14" t="n">
        <v>95</v>
      </c>
      <c r="L350" s="20" t="n">
        <f aca="false">INDEX('Read me'!$B$10:$B$15,3)</f>
        <v>1.35</v>
      </c>
      <c r="M350" s="14" t="n">
        <f aca="false">IF(F350*(1+'Read me'!$B$5)&lt;='Read me'!$B$7,CEILING(F350*(1+'Read me'!$B$5)+0.5,1)-0.5,CEILING(F350*(1+'Read me'!$B$5),5))</f>
        <v>95</v>
      </c>
      <c r="N350" s="14" t="n">
        <f aca="false">IF(MAX(M350*L350,M350+'Read me'!$B$6)&lt;='Read me'!$B$7,CEILING(MAX(M350*L350,M350+'Read me'!$B$6)+0.5,1)-0.5,CEILING(MAX(M350*L350,M350+'Read me'!$B$6),5))</f>
        <v>130</v>
      </c>
      <c r="O350" s="21" t="n">
        <f aca="false">IF(ISNUMBER(J350),M350-J350,"new")</f>
        <v>50</v>
      </c>
    </row>
    <row r="351" customFormat="false" ht="15" hidden="false" customHeight="false" outlineLevel="0" collapsed="false">
      <c r="A351" s="2" t="s">
        <v>482</v>
      </c>
      <c r="B351" s="2" t="s">
        <v>385</v>
      </c>
      <c r="C351" s="2" t="s">
        <v>221</v>
      </c>
      <c r="D351" s="2" t="s">
        <v>13</v>
      </c>
      <c r="E351" s="2" t="s">
        <v>49</v>
      </c>
      <c r="F351" s="14" t="n">
        <v>105.07</v>
      </c>
      <c r="G351" s="2" t="n">
        <v>0</v>
      </c>
      <c r="H351" s="2" t="n">
        <v>0</v>
      </c>
      <c r="I351" s="20" t="n">
        <v>1.13</v>
      </c>
      <c r="J351" s="14" t="n">
        <v>45</v>
      </c>
      <c r="K351" s="14" t="n">
        <v>95</v>
      </c>
      <c r="L351" s="20" t="n">
        <f aca="false">INDEX('Read me'!$B$10:$B$15,3)</f>
        <v>1.35</v>
      </c>
      <c r="M351" s="14" t="n">
        <f aca="false">IF(F351*(1+'Read me'!$B$5)&lt;='Read me'!$B$7,CEILING(F351*(1+'Read me'!$B$5)+0.5,1)-0.5,CEILING(F351*(1+'Read me'!$B$5),5))</f>
        <v>110</v>
      </c>
      <c r="N351" s="14" t="n">
        <f aca="false">IF(MAX(M351*L351,M351+'Read me'!$B$6)&lt;='Read me'!$B$7,CEILING(MAX(M351*L351,M351+'Read me'!$B$6)+0.5,1)-0.5,CEILING(MAX(M351*L351,M351+'Read me'!$B$6),5))</f>
        <v>150</v>
      </c>
      <c r="O351" s="21" t="n">
        <f aca="false">IF(ISNUMBER(J351),M351-J351,"new")</f>
        <v>65</v>
      </c>
    </row>
    <row r="352" customFormat="false" ht="15" hidden="false" customHeight="false" outlineLevel="0" collapsed="false">
      <c r="A352" s="2" t="s">
        <v>483</v>
      </c>
      <c r="B352" s="2" t="s">
        <v>385</v>
      </c>
      <c r="C352" s="2" t="s">
        <v>221</v>
      </c>
      <c r="D352" s="2" t="s">
        <v>13</v>
      </c>
      <c r="E352" s="2" t="s">
        <v>50</v>
      </c>
      <c r="F352" s="14" t="n">
        <v>141.3</v>
      </c>
      <c r="G352" s="2" t="n">
        <v>0</v>
      </c>
      <c r="H352" s="2" t="n">
        <v>0</v>
      </c>
      <c r="I352" s="20" t="n">
        <v>1.13</v>
      </c>
      <c r="J352" s="14" t="n">
        <v>99</v>
      </c>
      <c r="K352" s="14" t="n">
        <v>150</v>
      </c>
      <c r="L352" s="20" t="n">
        <f aca="false">INDEX('Read me'!$B$10:$B$15,3)</f>
        <v>1.35</v>
      </c>
      <c r="M352" s="14" t="n">
        <f aca="false">IF(F352*(1+'Read me'!$B$5)&lt;='Read me'!$B$7,CEILING(F352*(1+'Read me'!$B$5)+0.5,1)-0.5,CEILING(F352*(1+'Read me'!$B$5),5))</f>
        <v>145</v>
      </c>
      <c r="N352" s="14" t="n">
        <f aca="false">IF(MAX(M352*L352,M352+'Read me'!$B$6)&lt;='Read me'!$B$7,CEILING(MAX(M352*L352,M352+'Read me'!$B$6)+0.5,1)-0.5,CEILING(MAX(M352*L352,M352+'Read me'!$B$6),5))</f>
        <v>200</v>
      </c>
      <c r="O352" s="21" t="n">
        <f aca="false">IF(ISNUMBER(J352),M352-J352,"new")</f>
        <v>46</v>
      </c>
    </row>
    <row r="353" customFormat="false" ht="15" hidden="false" customHeight="false" outlineLevel="0" collapsed="false">
      <c r="A353" s="2" t="s">
        <v>484</v>
      </c>
      <c r="B353" s="2" t="s">
        <v>385</v>
      </c>
      <c r="C353" s="2" t="s">
        <v>221</v>
      </c>
      <c r="D353" s="2" t="s">
        <v>14</v>
      </c>
      <c r="E353" s="2" t="s">
        <v>48</v>
      </c>
      <c r="F353" s="14" t="n">
        <v>161.73</v>
      </c>
      <c r="G353" s="2" t="n">
        <v>0</v>
      </c>
      <c r="H353" s="2" t="n">
        <v>0</v>
      </c>
      <c r="I353" s="20" t="n">
        <v>1.13</v>
      </c>
      <c r="J353" s="14" t="n">
        <v>99</v>
      </c>
      <c r="K353" s="14" t="n">
        <v>150</v>
      </c>
      <c r="L353" s="20" t="n">
        <f aca="false">INDEX('Read me'!$B$10:$B$15,4)</f>
        <v>1.2</v>
      </c>
      <c r="M353" s="14" t="n">
        <f aca="false">IF(F353*(1+'Read me'!$B$5)&lt;='Read me'!$B$7,CEILING(F353*(1+'Read me'!$B$5)+0.5,1)-0.5,CEILING(F353*(1+'Read me'!$B$5),5))</f>
        <v>165</v>
      </c>
      <c r="N353" s="14" t="n">
        <f aca="false">IF(MAX(M353*L353,M353+'Read me'!$B$6)&lt;='Read me'!$B$7,CEILING(MAX(M353*L353,M353+'Read me'!$B$6)+0.5,1)-0.5,CEILING(MAX(M353*L353,M353+'Read me'!$B$6),5))</f>
        <v>200</v>
      </c>
      <c r="O353" s="21" t="n">
        <f aca="false">IF(ISNUMBER(J353),M353-J353,"new")</f>
        <v>66</v>
      </c>
    </row>
    <row r="354" customFormat="false" ht="15" hidden="false" customHeight="false" outlineLevel="0" collapsed="false">
      <c r="A354" s="2" t="s">
        <v>485</v>
      </c>
      <c r="B354" s="2" t="s">
        <v>385</v>
      </c>
      <c r="C354" s="2" t="s">
        <v>221</v>
      </c>
      <c r="D354" s="2" t="s">
        <v>14</v>
      </c>
      <c r="E354" s="2" t="s">
        <v>49</v>
      </c>
      <c r="F354" s="14" t="n">
        <v>194.19</v>
      </c>
      <c r="G354" s="2" t="n">
        <v>0</v>
      </c>
      <c r="H354" s="2" t="n">
        <v>0</v>
      </c>
      <c r="I354" s="20" t="n">
        <v>1.13</v>
      </c>
      <c r="J354" s="14" t="n">
        <v>150</v>
      </c>
      <c r="K354" s="14" t="n">
        <v>150</v>
      </c>
      <c r="L354" s="20" t="n">
        <f aca="false">INDEX('Read me'!$B$10:$B$15,4)</f>
        <v>1.2</v>
      </c>
      <c r="M354" s="14" t="n">
        <f aca="false">IF(F354*(1+'Read me'!$B$5)&lt;='Read me'!$B$7,CEILING(F354*(1+'Read me'!$B$5)+0.5,1)-0.5,CEILING(F354*(1+'Read me'!$B$5),5))</f>
        <v>195</v>
      </c>
      <c r="N354" s="14" t="n">
        <f aca="false">IF(MAX(M354*L354,M354+'Read me'!$B$6)&lt;='Read me'!$B$7,CEILING(MAX(M354*L354,M354+'Read me'!$B$6)+0.5,1)-0.5,CEILING(MAX(M354*L354,M354+'Read me'!$B$6),5))</f>
        <v>235</v>
      </c>
      <c r="O354" s="21" t="n">
        <f aca="false">IF(ISNUMBER(J354),M354-J354,"new")</f>
        <v>45</v>
      </c>
    </row>
    <row r="355" customFormat="false" ht="15" hidden="false" customHeight="false" outlineLevel="0" collapsed="false">
      <c r="A355" s="2" t="s">
        <v>486</v>
      </c>
      <c r="B355" s="2" t="s">
        <v>385</v>
      </c>
      <c r="C355" s="2" t="s">
        <v>221</v>
      </c>
      <c r="D355" s="2" t="s">
        <v>14</v>
      </c>
      <c r="E355" s="2" t="s">
        <v>50</v>
      </c>
      <c r="F355" s="14" t="n">
        <v>234.02</v>
      </c>
      <c r="G355" s="2" t="n">
        <v>0</v>
      </c>
      <c r="H355" s="2" t="n">
        <v>0</v>
      </c>
      <c r="I355" s="20" t="n">
        <v>1.13</v>
      </c>
      <c r="J355" s="14" t="n">
        <v>250</v>
      </c>
      <c r="K355" s="14" t="n">
        <v>195</v>
      </c>
      <c r="L355" s="20" t="n">
        <f aca="false">INDEX('Read me'!$B$10:$B$15,4)</f>
        <v>1.2</v>
      </c>
      <c r="M355" s="14" t="n">
        <f aca="false">IF(F355*(1+'Read me'!$B$5)&lt;='Read me'!$B$7,CEILING(F355*(1+'Read me'!$B$5)+0.5,1)-0.5,CEILING(F355*(1+'Read me'!$B$5),5))</f>
        <v>235</v>
      </c>
      <c r="N355" s="14" t="n">
        <f aca="false">IF(MAX(M355*L355,M355+'Read me'!$B$6)&lt;='Read me'!$B$7,CEILING(MAX(M355*L355,M355+'Read me'!$B$6)+0.5,1)-0.5,CEILING(MAX(M355*L355,M355+'Read me'!$B$6),5))</f>
        <v>285</v>
      </c>
      <c r="O355" s="21" t="n">
        <f aca="false">IF(ISNUMBER(J355),M355-J355,"new")</f>
        <v>-15</v>
      </c>
    </row>
    <row r="356" customFormat="false" ht="15" hidden="false" customHeight="false" outlineLevel="0" collapsed="false">
      <c r="A356" s="2" t="s">
        <v>487</v>
      </c>
      <c r="B356" s="2" t="s">
        <v>385</v>
      </c>
      <c r="C356" s="2" t="s">
        <v>221</v>
      </c>
      <c r="D356" s="2" t="s">
        <v>15</v>
      </c>
      <c r="E356" s="2" t="s">
        <v>48</v>
      </c>
      <c r="F356" s="14" t="n">
        <v>205.28</v>
      </c>
      <c r="G356" s="2" t="n">
        <v>0</v>
      </c>
      <c r="H356" s="2" t="n">
        <v>0</v>
      </c>
      <c r="I356" s="20" t="n">
        <v>1.13</v>
      </c>
      <c r="J356" s="14" t="n">
        <v>300</v>
      </c>
      <c r="K356" s="14" t="n">
        <v>300</v>
      </c>
      <c r="L356" s="20" t="n">
        <f aca="false">INDEX('Read me'!$B$10:$B$15,5)</f>
        <v>1.2</v>
      </c>
      <c r="M356" s="14" t="n">
        <f aca="false">IF(F356*(1+'Read me'!$B$5)&lt;='Read me'!$B$7,CEILING(F356*(1+'Read me'!$B$5)+0.5,1)-0.5,CEILING(F356*(1+'Read me'!$B$5),5))</f>
        <v>210</v>
      </c>
      <c r="N356" s="14" t="n">
        <f aca="false">IF(MAX(M356*L356,M356+'Read me'!$B$6)&lt;='Read me'!$B$7,CEILING(MAX(M356*L356,M356+'Read me'!$B$6)+0.5,1)-0.5,CEILING(MAX(M356*L356,M356+'Read me'!$B$6),5))</f>
        <v>255</v>
      </c>
      <c r="O356" s="21" t="n">
        <f aca="false">IF(ISNUMBER(J356),M356-J356,"new")</f>
        <v>-90</v>
      </c>
    </row>
    <row r="357" customFormat="false" ht="15" hidden="false" customHeight="false" outlineLevel="0" collapsed="false">
      <c r="A357" s="2" t="s">
        <v>488</v>
      </c>
      <c r="B357" s="2" t="s">
        <v>385</v>
      </c>
      <c r="C357" s="2" t="s">
        <v>221</v>
      </c>
      <c r="D357" s="2" t="s">
        <v>15</v>
      </c>
      <c r="E357" s="2" t="s">
        <v>49</v>
      </c>
      <c r="F357" s="14" t="n">
        <v>253.26</v>
      </c>
      <c r="G357" s="2" t="n">
        <v>0</v>
      </c>
      <c r="H357" s="2" t="n">
        <v>0</v>
      </c>
      <c r="I357" s="20" t="n">
        <v>1.13</v>
      </c>
      <c r="J357" s="14" t="n">
        <v>300</v>
      </c>
      <c r="K357" s="14" t="n">
        <v>300</v>
      </c>
      <c r="L357" s="20" t="n">
        <f aca="false">INDEX('Read me'!$B$10:$B$15,5)</f>
        <v>1.2</v>
      </c>
      <c r="M357" s="14" t="n">
        <f aca="false">N357</f>
        <v>310</v>
      </c>
      <c r="N357" s="14" t="n">
        <f aca="false">IF(MAX((IF(F357*(1+'Read me'!$B$5)&lt;='Read me'!$B$7,CEILING(F357*(1+'Read me'!$B$5)+0.5,1)-0.5,CEILING(F357*(1+'Read me'!$B$5),5)))*L357,(IF(F357*(1+'Read me'!$B$5)&lt;='Read me'!$B$7,CEILING(F357*(1+'Read me'!$B$5)+0.5,1)-0.5,CEILING(F357*(1+'Read me'!$B$5),5)))+'Read me'!$B$6)&lt;='Read me'!$B$7,CEILING(MAX((IF(F357*(1+'Read me'!$B$5)&lt;='Read me'!$B$7,CEILING(F357*(1+'Read me'!$B$5)+0.5,1)-0.5,CEILING(F357*(1+'Read me'!$B$5),5)))*L357,(IF(F357*(1+'Read me'!$B$5)&lt;='Read me'!$B$7,CEILING(F357*(1+'Read me'!$B$5)+0.5,1)-0.5,CEILING(F357*(1+'Read me'!$B$5),5)))+'Read me'!$B$6)+0.5,1)-0.5,CEILING(MAX((IF(F357*(1+'Read me'!$B$5)&lt;='Read me'!$B$7,CEILING(F357*(1+'Read me'!$B$5)+0.5,1)-0.5,CEILING(F357*(1+'Read me'!$B$5),5)))*L357,(IF(F357*(1+'Read me'!$B$5)&lt;='Read me'!$B$7,CEILING(F357*(1+'Read me'!$B$5)+0.5,1)-0.5,CEILING(F357*(1+'Read me'!$B$5),5)))+'Read me'!$B$6),5))</f>
        <v>310</v>
      </c>
      <c r="O357" s="21" t="n">
        <f aca="false">IF(ISNUMBER(J357),M357-J357,"new")</f>
        <v>10</v>
      </c>
      <c r="P357" s="5" t="s">
        <v>140</v>
      </c>
    </row>
    <row r="358" customFormat="false" ht="15" hidden="false" customHeight="false" outlineLevel="0" collapsed="false">
      <c r="A358" s="2" t="s">
        <v>489</v>
      </c>
      <c r="B358" s="2" t="s">
        <v>385</v>
      </c>
      <c r="C358" s="2" t="s">
        <v>221</v>
      </c>
      <c r="D358" s="2" t="s">
        <v>15</v>
      </c>
      <c r="E358" s="2" t="s">
        <v>50</v>
      </c>
      <c r="F358" s="14" t="n">
        <v>304.3</v>
      </c>
      <c r="G358" s="2" t="n">
        <v>0</v>
      </c>
      <c r="H358" s="2" t="n">
        <v>0</v>
      </c>
      <c r="I358" s="20" t="n">
        <v>1.13</v>
      </c>
      <c r="J358" s="14" t="n">
        <v>350</v>
      </c>
      <c r="K358" s="14" t="n">
        <v>400</v>
      </c>
      <c r="L358" s="20" t="n">
        <f aca="false">INDEX('Read me'!$B$10:$B$15,5)</f>
        <v>1.2</v>
      </c>
      <c r="M358" s="14" t="n">
        <f aca="false">N358</f>
        <v>370</v>
      </c>
      <c r="N358" s="14" t="n">
        <f aca="false">IF(MAX((IF(F358*(1+'Read me'!$B$5)&lt;='Read me'!$B$7,CEILING(F358*(1+'Read me'!$B$5)+0.5,1)-0.5,CEILING(F358*(1+'Read me'!$B$5),5)))*L358,(IF(F358*(1+'Read me'!$B$5)&lt;='Read me'!$B$7,CEILING(F358*(1+'Read me'!$B$5)+0.5,1)-0.5,CEILING(F358*(1+'Read me'!$B$5),5)))+'Read me'!$B$6)&lt;='Read me'!$B$7,CEILING(MAX((IF(F358*(1+'Read me'!$B$5)&lt;='Read me'!$B$7,CEILING(F358*(1+'Read me'!$B$5)+0.5,1)-0.5,CEILING(F358*(1+'Read me'!$B$5),5)))*L358,(IF(F358*(1+'Read me'!$B$5)&lt;='Read me'!$B$7,CEILING(F358*(1+'Read me'!$B$5)+0.5,1)-0.5,CEILING(F358*(1+'Read me'!$B$5),5)))+'Read me'!$B$6)+0.5,1)-0.5,CEILING(MAX((IF(F358*(1+'Read me'!$B$5)&lt;='Read me'!$B$7,CEILING(F358*(1+'Read me'!$B$5)+0.5,1)-0.5,CEILING(F358*(1+'Read me'!$B$5),5)))*L358,(IF(F358*(1+'Read me'!$B$5)&lt;='Read me'!$B$7,CEILING(F358*(1+'Read me'!$B$5)+0.5,1)-0.5,CEILING(F358*(1+'Read me'!$B$5),5)))+'Read me'!$B$6),5))</f>
        <v>370</v>
      </c>
      <c r="O358" s="21" t="n">
        <f aca="false">IF(ISNUMBER(J358),M358-J358,"new")</f>
        <v>20</v>
      </c>
      <c r="P358" s="5" t="s">
        <v>140</v>
      </c>
    </row>
    <row r="359" customFormat="false" ht="15" hidden="false" customHeight="false" outlineLevel="0" collapsed="false">
      <c r="A359" s="2" t="s">
        <v>490</v>
      </c>
      <c r="B359" s="2" t="s">
        <v>385</v>
      </c>
      <c r="C359" s="2" t="s">
        <v>221</v>
      </c>
      <c r="D359" s="2" t="s">
        <v>16</v>
      </c>
      <c r="E359" s="2" t="s">
        <v>48</v>
      </c>
      <c r="F359" s="14" t="n">
        <v>285.04</v>
      </c>
      <c r="G359" s="2" t="n">
        <v>0</v>
      </c>
      <c r="H359" s="2" t="n">
        <v>0</v>
      </c>
      <c r="I359" s="20" t="n">
        <v>1.13</v>
      </c>
      <c r="J359" s="14"/>
      <c r="K359" s="14"/>
      <c r="L359" s="20" t="n">
        <f aca="false">INDEX('Read me'!$B$10:$B$15,6)</f>
        <v>1.2</v>
      </c>
      <c r="M359" s="14" t="n">
        <f aca="false">IF(F359*(1+'Read me'!$B$5)&lt;='Read me'!$B$7,CEILING(F359*(1+'Read me'!$B$5)+0.5,1)-0.5,CEILING(F359*(1+'Read me'!$B$5),5))</f>
        <v>290</v>
      </c>
      <c r="N359" s="14" t="n">
        <f aca="false">IF(MAX(M359*L359,M359+'Read me'!$B$6)&lt;='Read me'!$B$7,CEILING(MAX(M359*L359,M359+'Read me'!$B$6)+0.5,1)-0.5,CEILING(MAX(M359*L359,M359+'Read me'!$B$6),5))</f>
        <v>350</v>
      </c>
      <c r="O359" s="21" t="str">
        <f aca="false">IF(ISNUMBER(J359),M359-J359,"new")</f>
        <v>new</v>
      </c>
    </row>
    <row r="360" customFormat="false" ht="15" hidden="false" customHeight="false" outlineLevel="0" collapsed="false">
      <c r="A360" s="2" t="s">
        <v>491</v>
      </c>
      <c r="B360" s="2" t="s">
        <v>385</v>
      </c>
      <c r="C360" s="2" t="s">
        <v>221</v>
      </c>
      <c r="D360" s="2" t="s">
        <v>16</v>
      </c>
      <c r="E360" s="2" t="s">
        <v>49</v>
      </c>
      <c r="F360" s="14" t="n">
        <v>366.27</v>
      </c>
      <c r="G360" s="2" t="n">
        <v>0</v>
      </c>
      <c r="H360" s="2" t="n">
        <v>0</v>
      </c>
      <c r="I360" s="20" t="n">
        <v>1.13</v>
      </c>
      <c r="J360" s="14"/>
      <c r="K360" s="14"/>
      <c r="L360" s="20" t="n">
        <f aca="false">INDEX('Read me'!$B$10:$B$15,6)</f>
        <v>1.2</v>
      </c>
      <c r="M360" s="14" t="n">
        <f aca="false">N360</f>
        <v>445</v>
      </c>
      <c r="N360" s="14" t="n">
        <f aca="false">IF(MAX((IF(F360*(1+'Read me'!$B$5)&lt;='Read me'!$B$7,CEILING(F360*(1+'Read me'!$B$5)+0.5,1)-0.5,CEILING(F360*(1+'Read me'!$B$5),5)))*L360,(IF(F360*(1+'Read me'!$B$5)&lt;='Read me'!$B$7,CEILING(F360*(1+'Read me'!$B$5)+0.5,1)-0.5,CEILING(F360*(1+'Read me'!$B$5),5)))+'Read me'!$B$6)&lt;='Read me'!$B$7,CEILING(MAX((IF(F360*(1+'Read me'!$B$5)&lt;='Read me'!$B$7,CEILING(F360*(1+'Read me'!$B$5)+0.5,1)-0.5,CEILING(F360*(1+'Read me'!$B$5),5)))*L360,(IF(F360*(1+'Read me'!$B$5)&lt;='Read me'!$B$7,CEILING(F360*(1+'Read me'!$B$5)+0.5,1)-0.5,CEILING(F360*(1+'Read me'!$B$5),5)))+'Read me'!$B$6)+0.5,1)-0.5,CEILING(MAX((IF(F360*(1+'Read me'!$B$5)&lt;='Read me'!$B$7,CEILING(F360*(1+'Read me'!$B$5)+0.5,1)-0.5,CEILING(F360*(1+'Read me'!$B$5),5)))*L360,(IF(F360*(1+'Read me'!$B$5)&lt;='Read me'!$B$7,CEILING(F360*(1+'Read me'!$B$5)+0.5,1)-0.5,CEILING(F360*(1+'Read me'!$B$5),5)))+'Read me'!$B$6),5))</f>
        <v>445</v>
      </c>
      <c r="O360" s="21" t="str">
        <f aca="false">IF(ISNUMBER(J360),M360-J360,"new")</f>
        <v>new</v>
      </c>
      <c r="P360" s="5" t="s">
        <v>140</v>
      </c>
    </row>
    <row r="361" customFormat="false" ht="15" hidden="false" customHeight="false" outlineLevel="0" collapsed="false">
      <c r="A361" s="2" t="s">
        <v>492</v>
      </c>
      <c r="B361" s="2" t="s">
        <v>385</v>
      </c>
      <c r="C361" s="2" t="s">
        <v>221</v>
      </c>
      <c r="D361" s="2" t="s">
        <v>16</v>
      </c>
      <c r="E361" s="2" t="s">
        <v>50</v>
      </c>
      <c r="F361" s="14" t="n">
        <v>430.49</v>
      </c>
      <c r="G361" s="2" t="n">
        <v>0</v>
      </c>
      <c r="H361" s="2" t="n">
        <v>0</v>
      </c>
      <c r="I361" s="20" t="n">
        <v>1.13</v>
      </c>
      <c r="J361" s="14"/>
      <c r="K361" s="14"/>
      <c r="L361" s="20" t="n">
        <f aca="false">INDEX('Read me'!$B$10:$B$15,6)</f>
        <v>1.2</v>
      </c>
      <c r="M361" s="14" t="n">
        <f aca="false">N361</f>
        <v>525</v>
      </c>
      <c r="N361" s="14" t="n">
        <f aca="false">IF(MAX((IF(F361*(1+'Read me'!$B$5)&lt;='Read me'!$B$7,CEILING(F361*(1+'Read me'!$B$5)+0.5,1)-0.5,CEILING(F361*(1+'Read me'!$B$5),5)))*L361,(IF(F361*(1+'Read me'!$B$5)&lt;='Read me'!$B$7,CEILING(F361*(1+'Read me'!$B$5)+0.5,1)-0.5,CEILING(F361*(1+'Read me'!$B$5),5)))+'Read me'!$B$6)&lt;='Read me'!$B$7,CEILING(MAX((IF(F361*(1+'Read me'!$B$5)&lt;='Read me'!$B$7,CEILING(F361*(1+'Read me'!$B$5)+0.5,1)-0.5,CEILING(F361*(1+'Read me'!$B$5),5)))*L361,(IF(F361*(1+'Read me'!$B$5)&lt;='Read me'!$B$7,CEILING(F361*(1+'Read me'!$B$5)+0.5,1)-0.5,CEILING(F361*(1+'Read me'!$B$5),5)))+'Read me'!$B$6)+0.5,1)-0.5,CEILING(MAX((IF(F361*(1+'Read me'!$B$5)&lt;='Read me'!$B$7,CEILING(F361*(1+'Read me'!$B$5)+0.5,1)-0.5,CEILING(F361*(1+'Read me'!$B$5),5)))*L361,(IF(F361*(1+'Read me'!$B$5)&lt;='Read me'!$B$7,CEILING(F361*(1+'Read me'!$B$5)+0.5,1)-0.5,CEILING(F361*(1+'Read me'!$B$5),5)))+'Read me'!$B$6),5))</f>
        <v>525</v>
      </c>
      <c r="O361" s="21" t="str">
        <f aca="false">IF(ISNUMBER(J361),M361-J361,"new")</f>
        <v>new</v>
      </c>
      <c r="P361" s="5" t="s">
        <v>140</v>
      </c>
    </row>
    <row r="362" customFormat="false" ht="15" hidden="false" customHeight="false" outlineLevel="0" collapsed="false">
      <c r="A362" s="2" t="s">
        <v>493</v>
      </c>
      <c r="B362" s="2" t="s">
        <v>385</v>
      </c>
      <c r="C362" s="2" t="s">
        <v>125</v>
      </c>
      <c r="D362" s="2" t="s">
        <v>10</v>
      </c>
      <c r="E362" s="2" t="s">
        <v>48</v>
      </c>
      <c r="F362" s="14" t="n">
        <v>20.87</v>
      </c>
      <c r="G362" s="2" t="n">
        <v>1</v>
      </c>
      <c r="H362" s="2" t="n">
        <v>1</v>
      </c>
      <c r="I362" s="20" t="n">
        <v>1.36</v>
      </c>
      <c r="J362" s="14" t="n">
        <v>19.5</v>
      </c>
      <c r="K362" s="14" t="n">
        <v>24.5</v>
      </c>
      <c r="L362" s="20" t="n">
        <f aca="false">INDEX('Read me'!$B$10:$B$15,1)</f>
        <v>1.34</v>
      </c>
      <c r="M362" s="14" t="n">
        <f aca="false">IF(F362*(1+'Read me'!$B$5)&lt;='Read me'!$B$7,CEILING(F362*(1+'Read me'!$B$5)+0.5,1)-0.5,CEILING(F362*(1+'Read me'!$B$5),5))</f>
        <v>21.5</v>
      </c>
      <c r="N362" s="14" t="n">
        <f aca="false">IF(MAX(M362*L362,M362+'Read me'!$B$6)&lt;='Read me'!$B$7,CEILING(MAX(M362*L362,M362+'Read me'!$B$6)+0.5,1)-0.5,CEILING(MAX(M362*L362,M362+'Read me'!$B$6),5))</f>
        <v>29.5</v>
      </c>
      <c r="O362" s="21" t="n">
        <f aca="false">IF(ISNUMBER(J362),M362-J362,"new")</f>
        <v>2</v>
      </c>
    </row>
    <row r="363" customFormat="false" ht="15" hidden="false" customHeight="false" outlineLevel="0" collapsed="false">
      <c r="A363" s="2" t="s">
        <v>494</v>
      </c>
      <c r="B363" s="2" t="s">
        <v>385</v>
      </c>
      <c r="C363" s="2" t="s">
        <v>125</v>
      </c>
      <c r="D363" s="2" t="s">
        <v>10</v>
      </c>
      <c r="E363" s="2" t="s">
        <v>49</v>
      </c>
      <c r="F363" s="14" t="n">
        <v>20.87</v>
      </c>
      <c r="G363" s="2" t="n">
        <v>0</v>
      </c>
      <c r="H363" s="2" t="n">
        <v>1</v>
      </c>
      <c r="I363" s="20" t="n">
        <v>1.36</v>
      </c>
      <c r="J363" s="14" t="n">
        <v>19.5</v>
      </c>
      <c r="K363" s="14" t="n">
        <v>24.5</v>
      </c>
      <c r="L363" s="20" t="n">
        <f aca="false">INDEX('Read me'!$B$10:$B$15,1)</f>
        <v>1.34</v>
      </c>
      <c r="M363" s="14" t="n">
        <f aca="false">IF(F363*(1+'Read me'!$B$5)&lt;='Read me'!$B$7,CEILING(F363*(1+'Read me'!$B$5)+0.5,1)-0.5,CEILING(F363*(1+'Read me'!$B$5),5))</f>
        <v>21.5</v>
      </c>
      <c r="N363" s="14" t="n">
        <f aca="false">IF(MAX(M363*L363,M363+'Read me'!$B$6)&lt;='Read me'!$B$7,CEILING(MAX(M363*L363,M363+'Read me'!$B$6)+0.5,1)-0.5,CEILING(MAX(M363*L363,M363+'Read me'!$B$6),5))</f>
        <v>29.5</v>
      </c>
      <c r="O363" s="21" t="n">
        <f aca="false">IF(ISNUMBER(J363),M363-J363,"new")</f>
        <v>2</v>
      </c>
    </row>
    <row r="364" customFormat="false" ht="15" hidden="false" customHeight="false" outlineLevel="0" collapsed="false">
      <c r="A364" s="2" t="s">
        <v>495</v>
      </c>
      <c r="B364" s="2" t="s">
        <v>385</v>
      </c>
      <c r="C364" s="2" t="s">
        <v>125</v>
      </c>
      <c r="D364" s="2" t="s">
        <v>10</v>
      </c>
      <c r="E364" s="2" t="s">
        <v>50</v>
      </c>
      <c r="F364" s="14" t="n">
        <v>27.38</v>
      </c>
      <c r="G364" s="2" t="n">
        <v>0</v>
      </c>
      <c r="H364" s="2" t="n">
        <v>1</v>
      </c>
      <c r="I364" s="20" t="n">
        <v>1.36</v>
      </c>
      <c r="J364" s="14" t="n">
        <v>19.5</v>
      </c>
      <c r="K364" s="14" t="n">
        <v>34.5</v>
      </c>
      <c r="L364" s="20" t="n">
        <f aca="false">INDEX('Read me'!$B$10:$B$15,1)</f>
        <v>1.34</v>
      </c>
      <c r="M364" s="14" t="n">
        <f aca="false">IF(F364*(1+'Read me'!$B$5)&lt;='Read me'!$B$7,CEILING(F364*(1+'Read me'!$B$5)+0.5,1)-0.5,CEILING(F364*(1+'Read me'!$B$5),5))</f>
        <v>27.5</v>
      </c>
      <c r="N364" s="14" t="n">
        <f aca="false">IF(MAX(M364*L364,M364+'Read me'!$B$6)&lt;='Read me'!$B$7,CEILING(MAX(M364*L364,M364+'Read me'!$B$6)+0.5,1)-0.5,CEILING(MAX(M364*L364,M364+'Read me'!$B$6),5))</f>
        <v>40</v>
      </c>
      <c r="O364" s="21" t="n">
        <f aca="false">IF(ISNUMBER(J364),M364-J364,"new")</f>
        <v>8</v>
      </c>
    </row>
    <row r="365" customFormat="false" ht="15" hidden="false" customHeight="false" outlineLevel="0" collapsed="false">
      <c r="A365" s="2" t="s">
        <v>496</v>
      </c>
      <c r="B365" s="2" t="s">
        <v>385</v>
      </c>
      <c r="C365" s="2" t="s">
        <v>125</v>
      </c>
      <c r="D365" s="2" t="s">
        <v>12</v>
      </c>
      <c r="E365" s="2" t="s">
        <v>48</v>
      </c>
      <c r="F365" s="14" t="n">
        <v>65.53</v>
      </c>
      <c r="G365" s="2" t="n">
        <v>0</v>
      </c>
      <c r="H365" s="2" t="n">
        <v>1</v>
      </c>
      <c r="I365" s="20" t="n">
        <v>1.36</v>
      </c>
      <c r="J365" s="14" t="n">
        <v>24.5</v>
      </c>
      <c r="K365" s="14" t="n">
        <v>29.5</v>
      </c>
      <c r="L365" s="20" t="n">
        <f aca="false">INDEX('Read me'!$B$10:$B$15,2)</f>
        <v>1.26</v>
      </c>
      <c r="M365" s="14" t="n">
        <f aca="false">IF(F365*(1+'Read me'!$B$5)&lt;='Read me'!$B$7,CEILING(F365*(1+'Read me'!$B$5)+0.5,1)-0.5,CEILING(F365*(1+'Read me'!$B$5),5))</f>
        <v>70</v>
      </c>
      <c r="N365" s="14" t="n">
        <f aca="false">IF(MAX(M365*L365,M365+'Read me'!$B$6)&lt;='Read me'!$B$7,CEILING(MAX(M365*L365,M365+'Read me'!$B$6)+0.5,1)-0.5,CEILING(MAX(M365*L365,M365+'Read me'!$B$6),5))</f>
        <v>90</v>
      </c>
      <c r="O365" s="21" t="n">
        <f aca="false">IF(ISNUMBER(J365),M365-J365,"new")</f>
        <v>45.5</v>
      </c>
    </row>
    <row r="366" customFormat="false" ht="15" hidden="false" customHeight="false" outlineLevel="0" collapsed="false">
      <c r="A366" s="2" t="s">
        <v>497</v>
      </c>
      <c r="B366" s="2" t="s">
        <v>385</v>
      </c>
      <c r="C366" s="2" t="s">
        <v>125</v>
      </c>
      <c r="D366" s="2" t="s">
        <v>12</v>
      </c>
      <c r="E366" s="2" t="s">
        <v>49</v>
      </c>
      <c r="F366" s="14" t="n">
        <v>71.57</v>
      </c>
      <c r="G366" s="2" t="n">
        <v>0</v>
      </c>
      <c r="H366" s="2" t="n">
        <v>1</v>
      </c>
      <c r="I366" s="20" t="n">
        <v>1.36</v>
      </c>
      <c r="J366" s="14" t="n">
        <v>24.5</v>
      </c>
      <c r="K366" s="14" t="n">
        <v>29.5</v>
      </c>
      <c r="L366" s="20" t="n">
        <f aca="false">INDEX('Read me'!$B$10:$B$15,2)</f>
        <v>1.26</v>
      </c>
      <c r="M366" s="14" t="n">
        <f aca="false">IF(F366*(1+'Read me'!$B$5)&lt;='Read me'!$B$7,CEILING(F366*(1+'Read me'!$B$5)+0.5,1)-0.5,CEILING(F366*(1+'Read me'!$B$5),5))</f>
        <v>75</v>
      </c>
      <c r="N366" s="14" t="n">
        <f aca="false">IF(MAX(M366*L366,M366+'Read me'!$B$6)&lt;='Read me'!$B$7,CEILING(MAX(M366*L366,M366+'Read me'!$B$6)+0.5,1)-0.5,CEILING(MAX(M366*L366,M366+'Read me'!$B$6),5))</f>
        <v>95</v>
      </c>
      <c r="O366" s="21" t="n">
        <f aca="false">IF(ISNUMBER(J366),M366-J366,"new")</f>
        <v>50.5</v>
      </c>
    </row>
    <row r="367" customFormat="false" ht="15" hidden="false" customHeight="false" outlineLevel="0" collapsed="false">
      <c r="A367" s="2" t="s">
        <v>498</v>
      </c>
      <c r="B367" s="2" t="s">
        <v>385</v>
      </c>
      <c r="C367" s="2" t="s">
        <v>125</v>
      </c>
      <c r="D367" s="2" t="s">
        <v>12</v>
      </c>
      <c r="E367" s="2" t="s">
        <v>50</v>
      </c>
      <c r="F367" s="14" t="n">
        <v>83.56</v>
      </c>
      <c r="G367" s="2" t="n">
        <v>0</v>
      </c>
      <c r="H367" s="2" t="n">
        <v>1</v>
      </c>
      <c r="I367" s="20" t="n">
        <v>1.36</v>
      </c>
      <c r="J367" s="14" t="n">
        <v>24.5</v>
      </c>
      <c r="K367" s="14" t="n">
        <v>45</v>
      </c>
      <c r="L367" s="20" t="n">
        <f aca="false">INDEX('Read me'!$B$10:$B$15,2)</f>
        <v>1.26</v>
      </c>
      <c r="M367" s="14" t="n">
        <f aca="false">IF(F367*(1+'Read me'!$B$5)&lt;='Read me'!$B$7,CEILING(F367*(1+'Read me'!$B$5)+0.5,1)-0.5,CEILING(F367*(1+'Read me'!$B$5),5))</f>
        <v>85</v>
      </c>
      <c r="N367" s="14" t="n">
        <f aca="false">IF(MAX(M367*L367,M367+'Read me'!$B$6)&lt;='Read me'!$B$7,CEILING(MAX(M367*L367,M367+'Read me'!$B$6)+0.5,1)-0.5,CEILING(MAX(M367*L367,M367+'Read me'!$B$6),5))</f>
        <v>110</v>
      </c>
      <c r="O367" s="21" t="n">
        <f aca="false">IF(ISNUMBER(J367),M367-J367,"new")</f>
        <v>60.5</v>
      </c>
    </row>
    <row r="368" customFormat="false" ht="15" hidden="false" customHeight="false" outlineLevel="0" collapsed="false">
      <c r="A368" s="2" t="s">
        <v>499</v>
      </c>
      <c r="B368" s="2" t="s">
        <v>385</v>
      </c>
      <c r="C368" s="2" t="s">
        <v>125</v>
      </c>
      <c r="D368" s="2" t="s">
        <v>13</v>
      </c>
      <c r="E368" s="2" t="s">
        <v>48</v>
      </c>
      <c r="F368" s="14" t="n">
        <v>112.79</v>
      </c>
      <c r="G368" s="2" t="n">
        <v>0</v>
      </c>
      <c r="H368" s="2" t="n">
        <v>1</v>
      </c>
      <c r="I368" s="20" t="n">
        <v>1.36</v>
      </c>
      <c r="J368" s="14" t="n">
        <v>45</v>
      </c>
      <c r="K368" s="14" t="n">
        <v>95</v>
      </c>
      <c r="L368" s="20" t="n">
        <f aca="false">INDEX('Read me'!$B$10:$B$15,3)</f>
        <v>1.35</v>
      </c>
      <c r="M368" s="14" t="n">
        <f aca="false">IF(F368*(1+'Read me'!$B$5)&lt;='Read me'!$B$7,CEILING(F368*(1+'Read me'!$B$5)+0.5,1)-0.5,CEILING(F368*(1+'Read me'!$B$5),5))</f>
        <v>115</v>
      </c>
      <c r="N368" s="14" t="n">
        <f aca="false">IF(MAX(M368*L368,M368+'Read me'!$B$6)&lt;='Read me'!$B$7,CEILING(MAX(M368*L368,M368+'Read me'!$B$6)+0.5,1)-0.5,CEILING(MAX(M368*L368,M368+'Read me'!$B$6),5))</f>
        <v>160</v>
      </c>
      <c r="O368" s="21" t="n">
        <f aca="false">IF(ISNUMBER(J368),M368-J368,"new")</f>
        <v>70</v>
      </c>
    </row>
    <row r="369" customFormat="false" ht="15" hidden="false" customHeight="false" outlineLevel="0" collapsed="false">
      <c r="A369" s="2" t="s">
        <v>500</v>
      </c>
      <c r="B369" s="2" t="s">
        <v>385</v>
      </c>
      <c r="C369" s="2" t="s">
        <v>125</v>
      </c>
      <c r="D369" s="2" t="s">
        <v>13</v>
      </c>
      <c r="E369" s="2" t="s">
        <v>49</v>
      </c>
      <c r="F369" s="14" t="n">
        <v>126.89</v>
      </c>
      <c r="G369" s="2" t="n">
        <v>0</v>
      </c>
      <c r="H369" s="2" t="n">
        <v>1</v>
      </c>
      <c r="I369" s="20" t="n">
        <v>1.36</v>
      </c>
      <c r="J369" s="14" t="n">
        <v>45</v>
      </c>
      <c r="K369" s="14" t="n">
        <v>95</v>
      </c>
      <c r="L369" s="20" t="n">
        <f aca="false">INDEX('Read me'!$B$10:$B$15,3)</f>
        <v>1.35</v>
      </c>
      <c r="M369" s="14" t="n">
        <f aca="false">IF(F369*(1+'Read me'!$B$5)&lt;='Read me'!$B$7,CEILING(F369*(1+'Read me'!$B$5)+0.5,1)-0.5,CEILING(F369*(1+'Read me'!$B$5),5))</f>
        <v>130</v>
      </c>
      <c r="N369" s="14" t="n">
        <f aca="false">IF(MAX(M369*L369,M369+'Read me'!$B$6)&lt;='Read me'!$B$7,CEILING(MAX(M369*L369,M369+'Read me'!$B$6)+0.5,1)-0.5,CEILING(MAX(M369*L369,M369+'Read me'!$B$6),5))</f>
        <v>180</v>
      </c>
      <c r="O369" s="21" t="n">
        <f aca="false">IF(ISNUMBER(J369),M369-J369,"new")</f>
        <v>85</v>
      </c>
    </row>
    <row r="370" customFormat="false" ht="15" hidden="false" customHeight="false" outlineLevel="0" collapsed="false">
      <c r="A370" s="2" t="s">
        <v>501</v>
      </c>
      <c r="B370" s="2" t="s">
        <v>385</v>
      </c>
      <c r="C370" s="2" t="s">
        <v>125</v>
      </c>
      <c r="D370" s="2" t="s">
        <v>13</v>
      </c>
      <c r="E370" s="2" t="s">
        <v>50</v>
      </c>
      <c r="F370" s="14" t="n">
        <v>170.64</v>
      </c>
      <c r="G370" s="2" t="n">
        <v>0</v>
      </c>
      <c r="H370" s="2" t="n">
        <v>1</v>
      </c>
      <c r="I370" s="20" t="n">
        <v>1.36</v>
      </c>
      <c r="J370" s="14" t="n">
        <v>99</v>
      </c>
      <c r="K370" s="14" t="n">
        <v>150</v>
      </c>
      <c r="L370" s="20" t="n">
        <f aca="false">INDEX('Read me'!$B$10:$B$15,3)</f>
        <v>1.35</v>
      </c>
      <c r="M370" s="14" t="n">
        <f aca="false">IF(F370*(1+'Read me'!$B$5)&lt;='Read me'!$B$7,CEILING(F370*(1+'Read me'!$B$5)+0.5,1)-0.5,CEILING(F370*(1+'Read me'!$B$5),5))</f>
        <v>175</v>
      </c>
      <c r="N370" s="14" t="n">
        <f aca="false">IF(MAX(M370*L370,M370+'Read me'!$B$6)&lt;='Read me'!$B$7,CEILING(MAX(M370*L370,M370+'Read me'!$B$6)+0.5,1)-0.5,CEILING(MAX(M370*L370,M370+'Read me'!$B$6),5))</f>
        <v>240</v>
      </c>
      <c r="O370" s="21" t="n">
        <f aca="false">IF(ISNUMBER(J370),M370-J370,"new")</f>
        <v>76</v>
      </c>
    </row>
    <row r="371" customFormat="false" ht="15" hidden="false" customHeight="false" outlineLevel="0" collapsed="false">
      <c r="A371" s="2" t="s">
        <v>502</v>
      </c>
      <c r="B371" s="2" t="s">
        <v>385</v>
      </c>
      <c r="C371" s="2" t="s">
        <v>125</v>
      </c>
      <c r="D371" s="2" t="s">
        <v>14</v>
      </c>
      <c r="E371" s="2" t="s">
        <v>48</v>
      </c>
      <c r="F371" s="14" t="n">
        <v>195.31</v>
      </c>
      <c r="G371" s="2" t="n">
        <v>0</v>
      </c>
      <c r="H371" s="2" t="n">
        <v>1</v>
      </c>
      <c r="I371" s="20" t="n">
        <v>1.36</v>
      </c>
      <c r="J371" s="14" t="n">
        <v>99</v>
      </c>
      <c r="K371" s="14" t="n">
        <v>150</v>
      </c>
      <c r="L371" s="20" t="n">
        <f aca="false">INDEX('Read me'!$B$10:$B$15,4)</f>
        <v>1.2</v>
      </c>
      <c r="M371" s="14" t="n">
        <f aca="false">IF(F371*(1+'Read me'!$B$5)&lt;='Read me'!$B$7,CEILING(F371*(1+'Read me'!$B$5)+0.5,1)-0.5,CEILING(F371*(1+'Read me'!$B$5),5))</f>
        <v>200</v>
      </c>
      <c r="N371" s="14" t="n">
        <f aca="false">IF(MAX(M371*L371,M371+'Read me'!$B$6)&lt;='Read me'!$B$7,CEILING(MAX(M371*L371,M371+'Read me'!$B$6)+0.5,1)-0.5,CEILING(MAX(M371*L371,M371+'Read me'!$B$6),5))</f>
        <v>240</v>
      </c>
      <c r="O371" s="21" t="n">
        <f aca="false">IF(ISNUMBER(J371),M371-J371,"new")</f>
        <v>101</v>
      </c>
    </row>
    <row r="372" customFormat="false" ht="15" hidden="false" customHeight="false" outlineLevel="0" collapsed="false">
      <c r="A372" s="2" t="s">
        <v>503</v>
      </c>
      <c r="B372" s="2" t="s">
        <v>385</v>
      </c>
      <c r="C372" s="2" t="s">
        <v>125</v>
      </c>
      <c r="D372" s="2" t="s">
        <v>14</v>
      </c>
      <c r="E372" s="2" t="s">
        <v>49</v>
      </c>
      <c r="F372" s="14" t="n">
        <v>234.51</v>
      </c>
      <c r="G372" s="2" t="n">
        <v>0</v>
      </c>
      <c r="H372" s="2" t="n">
        <v>1</v>
      </c>
      <c r="I372" s="20" t="n">
        <v>1.36</v>
      </c>
      <c r="J372" s="14" t="n">
        <v>150</v>
      </c>
      <c r="K372" s="14" t="n">
        <v>150</v>
      </c>
      <c r="L372" s="20" t="n">
        <f aca="false">INDEX('Read me'!$B$10:$B$15,4)</f>
        <v>1.2</v>
      </c>
      <c r="M372" s="14" t="n">
        <f aca="false">IF(F372*(1+'Read me'!$B$5)&lt;='Read me'!$B$7,CEILING(F372*(1+'Read me'!$B$5)+0.5,1)-0.5,CEILING(F372*(1+'Read me'!$B$5),5))</f>
        <v>235</v>
      </c>
      <c r="N372" s="14" t="n">
        <f aca="false">IF(MAX(M372*L372,M372+'Read me'!$B$6)&lt;='Read me'!$B$7,CEILING(MAX(M372*L372,M372+'Read me'!$B$6)+0.5,1)-0.5,CEILING(MAX(M372*L372,M372+'Read me'!$B$6),5))</f>
        <v>285</v>
      </c>
      <c r="O372" s="21" t="n">
        <f aca="false">IF(ISNUMBER(J372),M372-J372,"new")</f>
        <v>85</v>
      </c>
    </row>
    <row r="373" customFormat="false" ht="15" hidden="false" customHeight="false" outlineLevel="0" collapsed="false">
      <c r="A373" s="2" t="s">
        <v>504</v>
      </c>
      <c r="B373" s="2" t="s">
        <v>385</v>
      </c>
      <c r="C373" s="2" t="s">
        <v>125</v>
      </c>
      <c r="D373" s="2" t="s">
        <v>14</v>
      </c>
      <c r="E373" s="2" t="s">
        <v>50</v>
      </c>
      <c r="F373" s="14" t="n">
        <v>282.61</v>
      </c>
      <c r="G373" s="2" t="n">
        <v>0</v>
      </c>
      <c r="H373" s="2" t="n">
        <v>1</v>
      </c>
      <c r="I373" s="20" t="n">
        <v>1.36</v>
      </c>
      <c r="J373" s="14" t="n">
        <v>250</v>
      </c>
      <c r="K373" s="14" t="n">
        <v>195</v>
      </c>
      <c r="L373" s="20" t="n">
        <f aca="false">INDEX('Read me'!$B$10:$B$15,4)</f>
        <v>1.2</v>
      </c>
      <c r="M373" s="14" t="n">
        <f aca="false">IF(F373*(1+'Read me'!$B$5)&lt;='Read me'!$B$7,CEILING(F373*(1+'Read me'!$B$5)+0.5,1)-0.5,CEILING(F373*(1+'Read me'!$B$5),5))</f>
        <v>285</v>
      </c>
      <c r="N373" s="14" t="n">
        <f aca="false">IF(MAX(M373*L373,M373+'Read me'!$B$6)&lt;='Read me'!$B$7,CEILING(MAX(M373*L373,M373+'Read me'!$B$6)+0.5,1)-0.5,CEILING(MAX(M373*L373,M373+'Read me'!$B$6),5))</f>
        <v>345</v>
      </c>
      <c r="O373" s="21" t="n">
        <f aca="false">IF(ISNUMBER(J373),M373-J373,"new")</f>
        <v>35</v>
      </c>
    </row>
    <row r="374" customFormat="false" ht="15" hidden="false" customHeight="false" outlineLevel="0" collapsed="false">
      <c r="A374" s="2" t="s">
        <v>505</v>
      </c>
      <c r="B374" s="2" t="s">
        <v>385</v>
      </c>
      <c r="C374" s="2" t="s">
        <v>125</v>
      </c>
      <c r="D374" s="2" t="s">
        <v>15</v>
      </c>
      <c r="E374" s="2" t="s">
        <v>48</v>
      </c>
      <c r="F374" s="14" t="n">
        <v>247.9</v>
      </c>
      <c r="G374" s="2" t="n">
        <v>0</v>
      </c>
      <c r="H374" s="2" t="n">
        <v>1</v>
      </c>
      <c r="I374" s="20" t="n">
        <v>1.36</v>
      </c>
      <c r="J374" s="14" t="n">
        <v>300</v>
      </c>
      <c r="K374" s="14" t="n">
        <v>300</v>
      </c>
      <c r="L374" s="20" t="n">
        <f aca="false">INDEX('Read me'!$B$10:$B$15,5)</f>
        <v>1.2</v>
      </c>
      <c r="M374" s="14" t="n">
        <f aca="false">IF(F374*(1+'Read me'!$B$5)&lt;='Read me'!$B$7,CEILING(F374*(1+'Read me'!$B$5)+0.5,1)-0.5,CEILING(F374*(1+'Read me'!$B$5),5))</f>
        <v>250</v>
      </c>
      <c r="N374" s="14" t="n">
        <f aca="false">IF(MAX(M374*L374,M374+'Read me'!$B$6)&lt;='Read me'!$B$7,CEILING(MAX(M374*L374,M374+'Read me'!$B$6)+0.5,1)-0.5,CEILING(MAX(M374*L374,M374+'Read me'!$B$6),5))</f>
        <v>300</v>
      </c>
      <c r="O374" s="21" t="n">
        <f aca="false">IF(ISNUMBER(J374),M374-J374,"new")</f>
        <v>-50</v>
      </c>
    </row>
    <row r="375" customFormat="false" ht="15" hidden="false" customHeight="false" outlineLevel="0" collapsed="false">
      <c r="A375" s="2" t="s">
        <v>506</v>
      </c>
      <c r="B375" s="2" t="s">
        <v>385</v>
      </c>
      <c r="C375" s="2" t="s">
        <v>125</v>
      </c>
      <c r="D375" s="2" t="s">
        <v>15</v>
      </c>
      <c r="E375" s="2" t="s">
        <v>49</v>
      </c>
      <c r="F375" s="14" t="n">
        <v>305.85</v>
      </c>
      <c r="G375" s="2" t="n">
        <v>0</v>
      </c>
      <c r="H375" s="2" t="n">
        <v>1</v>
      </c>
      <c r="I375" s="20" t="n">
        <v>1.36</v>
      </c>
      <c r="J375" s="14" t="n">
        <v>300</v>
      </c>
      <c r="K375" s="14" t="n">
        <v>300</v>
      </c>
      <c r="L375" s="20" t="n">
        <f aca="false">INDEX('Read me'!$B$10:$B$15,5)</f>
        <v>1.2</v>
      </c>
      <c r="M375" s="14" t="n">
        <f aca="false">N375</f>
        <v>375</v>
      </c>
      <c r="N375" s="14" t="n">
        <f aca="false">IF(MAX((IF(F375*(1+'Read me'!$B$5)&lt;='Read me'!$B$7,CEILING(F375*(1+'Read me'!$B$5)+0.5,1)-0.5,CEILING(F375*(1+'Read me'!$B$5),5)))*L375,(IF(F375*(1+'Read me'!$B$5)&lt;='Read me'!$B$7,CEILING(F375*(1+'Read me'!$B$5)+0.5,1)-0.5,CEILING(F375*(1+'Read me'!$B$5),5)))+'Read me'!$B$6)&lt;='Read me'!$B$7,CEILING(MAX((IF(F375*(1+'Read me'!$B$5)&lt;='Read me'!$B$7,CEILING(F375*(1+'Read me'!$B$5)+0.5,1)-0.5,CEILING(F375*(1+'Read me'!$B$5),5)))*L375,(IF(F375*(1+'Read me'!$B$5)&lt;='Read me'!$B$7,CEILING(F375*(1+'Read me'!$B$5)+0.5,1)-0.5,CEILING(F375*(1+'Read me'!$B$5),5)))+'Read me'!$B$6)+0.5,1)-0.5,CEILING(MAX((IF(F375*(1+'Read me'!$B$5)&lt;='Read me'!$B$7,CEILING(F375*(1+'Read me'!$B$5)+0.5,1)-0.5,CEILING(F375*(1+'Read me'!$B$5),5)))*L375,(IF(F375*(1+'Read me'!$B$5)&lt;='Read me'!$B$7,CEILING(F375*(1+'Read me'!$B$5)+0.5,1)-0.5,CEILING(F375*(1+'Read me'!$B$5),5)))+'Read me'!$B$6),5))</f>
        <v>375</v>
      </c>
      <c r="O375" s="21" t="n">
        <f aca="false">IF(ISNUMBER(J375),M375-J375,"new")</f>
        <v>75</v>
      </c>
      <c r="P375" s="5" t="s">
        <v>140</v>
      </c>
    </row>
    <row r="376" customFormat="false" ht="15" hidden="false" customHeight="false" outlineLevel="0" collapsed="false">
      <c r="A376" s="2" t="s">
        <v>507</v>
      </c>
      <c r="B376" s="2" t="s">
        <v>385</v>
      </c>
      <c r="C376" s="2" t="s">
        <v>125</v>
      </c>
      <c r="D376" s="2" t="s">
        <v>15</v>
      </c>
      <c r="E376" s="2" t="s">
        <v>50</v>
      </c>
      <c r="F376" s="14" t="n">
        <v>367.49</v>
      </c>
      <c r="G376" s="2" t="n">
        <v>0</v>
      </c>
      <c r="H376" s="2" t="n">
        <v>1</v>
      </c>
      <c r="I376" s="20" t="n">
        <v>1.36</v>
      </c>
      <c r="J376" s="14" t="n">
        <v>350</v>
      </c>
      <c r="K376" s="14" t="n">
        <v>400</v>
      </c>
      <c r="L376" s="20" t="n">
        <f aca="false">INDEX('Read me'!$B$10:$B$15,5)</f>
        <v>1.2</v>
      </c>
      <c r="M376" s="14" t="n">
        <f aca="false">N376</f>
        <v>445</v>
      </c>
      <c r="N376" s="14" t="n">
        <f aca="false">IF(MAX((IF(F376*(1+'Read me'!$B$5)&lt;='Read me'!$B$7,CEILING(F376*(1+'Read me'!$B$5)+0.5,1)-0.5,CEILING(F376*(1+'Read me'!$B$5),5)))*L376,(IF(F376*(1+'Read me'!$B$5)&lt;='Read me'!$B$7,CEILING(F376*(1+'Read me'!$B$5)+0.5,1)-0.5,CEILING(F376*(1+'Read me'!$B$5),5)))+'Read me'!$B$6)&lt;='Read me'!$B$7,CEILING(MAX((IF(F376*(1+'Read me'!$B$5)&lt;='Read me'!$B$7,CEILING(F376*(1+'Read me'!$B$5)+0.5,1)-0.5,CEILING(F376*(1+'Read me'!$B$5),5)))*L376,(IF(F376*(1+'Read me'!$B$5)&lt;='Read me'!$B$7,CEILING(F376*(1+'Read me'!$B$5)+0.5,1)-0.5,CEILING(F376*(1+'Read me'!$B$5),5)))+'Read me'!$B$6)+0.5,1)-0.5,CEILING(MAX((IF(F376*(1+'Read me'!$B$5)&lt;='Read me'!$B$7,CEILING(F376*(1+'Read me'!$B$5)+0.5,1)-0.5,CEILING(F376*(1+'Read me'!$B$5),5)))*L376,(IF(F376*(1+'Read me'!$B$5)&lt;='Read me'!$B$7,CEILING(F376*(1+'Read me'!$B$5)+0.5,1)-0.5,CEILING(F376*(1+'Read me'!$B$5),5)))+'Read me'!$B$6),5))</f>
        <v>445</v>
      </c>
      <c r="O376" s="21" t="n">
        <f aca="false">IF(ISNUMBER(J376),M376-J376,"new")</f>
        <v>95</v>
      </c>
      <c r="P376" s="5" t="s">
        <v>140</v>
      </c>
    </row>
    <row r="377" customFormat="false" ht="15" hidden="false" customHeight="false" outlineLevel="0" collapsed="false">
      <c r="A377" s="2" t="s">
        <v>508</v>
      </c>
      <c r="B377" s="2" t="s">
        <v>385</v>
      </c>
      <c r="C377" s="2" t="s">
        <v>125</v>
      </c>
      <c r="D377" s="2" t="s">
        <v>16</v>
      </c>
      <c r="E377" s="2" t="s">
        <v>48</v>
      </c>
      <c r="F377" s="14" t="n">
        <v>344.23</v>
      </c>
      <c r="G377" s="2" t="n">
        <v>0</v>
      </c>
      <c r="H377" s="2" t="n">
        <v>1</v>
      </c>
      <c r="I377" s="20" t="n">
        <v>1.36</v>
      </c>
      <c r="J377" s="14"/>
      <c r="K377" s="14"/>
      <c r="L377" s="20" t="n">
        <f aca="false">INDEX('Read me'!$B$10:$B$15,6)</f>
        <v>1.2</v>
      </c>
      <c r="M377" s="14" t="n">
        <f aca="false">IF(F377*(1+'Read me'!$B$5)&lt;='Read me'!$B$7,CEILING(F377*(1+'Read me'!$B$5)+0.5,1)-0.5,CEILING(F377*(1+'Read me'!$B$5),5))</f>
        <v>345</v>
      </c>
      <c r="N377" s="14" t="n">
        <f aca="false">IF(MAX(M377*L377,M377+'Read me'!$B$6)&lt;='Read me'!$B$7,CEILING(MAX(M377*L377,M377+'Read me'!$B$6)+0.5,1)-0.5,CEILING(MAX(M377*L377,M377+'Read me'!$B$6),5))</f>
        <v>415</v>
      </c>
      <c r="O377" s="21" t="str">
        <f aca="false">IF(ISNUMBER(J377),M377-J377,"new")</f>
        <v>new</v>
      </c>
    </row>
    <row r="378" customFormat="false" ht="15" hidden="false" customHeight="false" outlineLevel="0" collapsed="false">
      <c r="A378" s="2" t="s">
        <v>509</v>
      </c>
      <c r="B378" s="2" t="s">
        <v>385</v>
      </c>
      <c r="C378" s="2" t="s">
        <v>125</v>
      </c>
      <c r="D378" s="2" t="s">
        <v>16</v>
      </c>
      <c r="E378" s="2" t="s">
        <v>49</v>
      </c>
      <c r="F378" s="14" t="n">
        <v>442.32</v>
      </c>
      <c r="G378" s="2" t="n">
        <v>0</v>
      </c>
      <c r="H378" s="2" t="n">
        <v>1</v>
      </c>
      <c r="I378" s="20" t="n">
        <v>1.36</v>
      </c>
      <c r="J378" s="14"/>
      <c r="K378" s="14"/>
      <c r="L378" s="20" t="n">
        <f aca="false">INDEX('Read me'!$B$10:$B$15,6)</f>
        <v>1.2</v>
      </c>
      <c r="M378" s="14" t="n">
        <f aca="false">N378</f>
        <v>535</v>
      </c>
      <c r="N378" s="14" t="n">
        <f aca="false">IF(MAX((IF(F378*(1+'Read me'!$B$5)&lt;='Read me'!$B$7,CEILING(F378*(1+'Read me'!$B$5)+0.5,1)-0.5,CEILING(F378*(1+'Read me'!$B$5),5)))*L378,(IF(F378*(1+'Read me'!$B$5)&lt;='Read me'!$B$7,CEILING(F378*(1+'Read me'!$B$5)+0.5,1)-0.5,CEILING(F378*(1+'Read me'!$B$5),5)))+'Read me'!$B$6)&lt;='Read me'!$B$7,CEILING(MAX((IF(F378*(1+'Read me'!$B$5)&lt;='Read me'!$B$7,CEILING(F378*(1+'Read me'!$B$5)+0.5,1)-0.5,CEILING(F378*(1+'Read me'!$B$5),5)))*L378,(IF(F378*(1+'Read me'!$B$5)&lt;='Read me'!$B$7,CEILING(F378*(1+'Read me'!$B$5)+0.5,1)-0.5,CEILING(F378*(1+'Read me'!$B$5),5)))+'Read me'!$B$6)+0.5,1)-0.5,CEILING(MAX((IF(F378*(1+'Read me'!$B$5)&lt;='Read me'!$B$7,CEILING(F378*(1+'Read me'!$B$5)+0.5,1)-0.5,CEILING(F378*(1+'Read me'!$B$5),5)))*L378,(IF(F378*(1+'Read me'!$B$5)&lt;='Read me'!$B$7,CEILING(F378*(1+'Read me'!$B$5)+0.5,1)-0.5,CEILING(F378*(1+'Read me'!$B$5),5)))+'Read me'!$B$6),5))</f>
        <v>535</v>
      </c>
      <c r="O378" s="21" t="str">
        <f aca="false">IF(ISNUMBER(J378),M378-J378,"new")</f>
        <v>new</v>
      </c>
      <c r="P378" s="5" t="s">
        <v>140</v>
      </c>
    </row>
    <row r="379" customFormat="false" ht="15" hidden="false" customHeight="false" outlineLevel="0" collapsed="false">
      <c r="A379" s="2" t="s">
        <v>510</v>
      </c>
      <c r="B379" s="2" t="s">
        <v>385</v>
      </c>
      <c r="C379" s="2" t="s">
        <v>125</v>
      </c>
      <c r="D379" s="2" t="s">
        <v>16</v>
      </c>
      <c r="E379" s="2" t="s">
        <v>50</v>
      </c>
      <c r="F379" s="14" t="n">
        <v>519.88</v>
      </c>
      <c r="G379" s="2" t="n">
        <v>0</v>
      </c>
      <c r="H379" s="2" t="n">
        <v>1</v>
      </c>
      <c r="I379" s="20" t="n">
        <v>1.36</v>
      </c>
      <c r="J379" s="14"/>
      <c r="K379" s="14"/>
      <c r="L379" s="20" t="n">
        <f aca="false">INDEX('Read me'!$B$10:$B$15,6)</f>
        <v>1.2</v>
      </c>
      <c r="M379" s="14" t="n">
        <f aca="false">N379</f>
        <v>625</v>
      </c>
      <c r="N379" s="14" t="n">
        <f aca="false">IF(MAX((IF(F379*(1+'Read me'!$B$5)&lt;='Read me'!$B$7,CEILING(F379*(1+'Read me'!$B$5)+0.5,1)-0.5,CEILING(F379*(1+'Read me'!$B$5),5)))*L379,(IF(F379*(1+'Read me'!$B$5)&lt;='Read me'!$B$7,CEILING(F379*(1+'Read me'!$B$5)+0.5,1)-0.5,CEILING(F379*(1+'Read me'!$B$5),5)))+'Read me'!$B$6)&lt;='Read me'!$B$7,CEILING(MAX((IF(F379*(1+'Read me'!$B$5)&lt;='Read me'!$B$7,CEILING(F379*(1+'Read me'!$B$5)+0.5,1)-0.5,CEILING(F379*(1+'Read me'!$B$5),5)))*L379,(IF(F379*(1+'Read me'!$B$5)&lt;='Read me'!$B$7,CEILING(F379*(1+'Read me'!$B$5)+0.5,1)-0.5,CEILING(F379*(1+'Read me'!$B$5),5)))+'Read me'!$B$6)+0.5,1)-0.5,CEILING(MAX((IF(F379*(1+'Read me'!$B$5)&lt;='Read me'!$B$7,CEILING(F379*(1+'Read me'!$B$5)+0.5,1)-0.5,CEILING(F379*(1+'Read me'!$B$5),5)))*L379,(IF(F379*(1+'Read me'!$B$5)&lt;='Read me'!$B$7,CEILING(F379*(1+'Read me'!$B$5)+0.5,1)-0.5,CEILING(F379*(1+'Read me'!$B$5),5)))+'Read me'!$B$6),5))</f>
        <v>625</v>
      </c>
      <c r="O379" s="21" t="str">
        <f aca="false">IF(ISNUMBER(J379),M379-J379,"new")</f>
        <v>new</v>
      </c>
      <c r="P379" s="5" t="s">
        <v>140</v>
      </c>
    </row>
    <row r="380" customFormat="false" ht="15" hidden="false" customHeight="false" outlineLevel="0" collapsed="false">
      <c r="A380" s="2" t="s">
        <v>511</v>
      </c>
      <c r="B380" s="2" t="s">
        <v>126</v>
      </c>
      <c r="C380" s="2" t="s">
        <v>126</v>
      </c>
      <c r="D380" s="2" t="s">
        <v>10</v>
      </c>
      <c r="E380" s="2" t="s">
        <v>48</v>
      </c>
      <c r="F380" s="14" t="n">
        <v>8.26</v>
      </c>
      <c r="G380" s="2" t="n">
        <v>190</v>
      </c>
      <c r="H380" s="2" t="n">
        <v>1141</v>
      </c>
      <c r="I380" s="20" t="n">
        <v>1</v>
      </c>
      <c r="J380" s="14" t="n">
        <v>9.5</v>
      </c>
      <c r="K380" s="14" t="n">
        <v>14.5</v>
      </c>
      <c r="L380" s="20" t="n">
        <f aca="false">INDEX('Read me'!$B$10:$B$15,1)</f>
        <v>1.34</v>
      </c>
      <c r="M380" s="14" t="n">
        <f aca="false">IF(F380*(1+'Read me'!$B$5)&lt;='Read me'!$B$7,CEILING(F380*(1+'Read me'!$B$5)+0.5,1)-0.5,CEILING(F380*(1+'Read me'!$B$5),5))</f>
        <v>8.5</v>
      </c>
      <c r="N380" s="14" t="n">
        <f aca="false">IF(MAX(M380*L380,M380+'Read me'!$B$6)&lt;='Read me'!$B$7,CEILING(MAX(M380*L380,M380+'Read me'!$B$6)+0.5,1)-0.5,CEILING(MAX(M380*L380,M380+'Read me'!$B$6),5))</f>
        <v>13.5</v>
      </c>
      <c r="O380" s="21" t="n">
        <f aca="false">IF(ISNUMBER(J380),M380-J380,"new")</f>
        <v>-1</v>
      </c>
    </row>
    <row r="381" customFormat="false" ht="15" hidden="false" customHeight="false" outlineLevel="0" collapsed="false">
      <c r="A381" s="2" t="s">
        <v>512</v>
      </c>
      <c r="B381" s="2" t="s">
        <v>126</v>
      </c>
      <c r="C381" s="2" t="s">
        <v>126</v>
      </c>
      <c r="D381" s="2" t="s">
        <v>10</v>
      </c>
      <c r="E381" s="2" t="s">
        <v>49</v>
      </c>
      <c r="F381" s="14" t="n">
        <v>13.56</v>
      </c>
      <c r="G381" s="2" t="n">
        <v>237</v>
      </c>
      <c r="H381" s="2" t="n">
        <v>1141</v>
      </c>
      <c r="I381" s="20" t="n">
        <v>1</v>
      </c>
      <c r="J381" s="14" t="n">
        <v>12.5</v>
      </c>
      <c r="K381" s="14" t="n">
        <v>17.5</v>
      </c>
      <c r="L381" s="20" t="n">
        <f aca="false">INDEX('Read me'!$B$10:$B$15,1)</f>
        <v>1.34</v>
      </c>
      <c r="M381" s="14" t="n">
        <f aca="false">IF(F381*(1+'Read me'!$B$5)&lt;='Read me'!$B$7,CEILING(F381*(1+'Read me'!$B$5)+0.5,1)-0.5,CEILING(F381*(1+'Read me'!$B$5),5))</f>
        <v>14.5</v>
      </c>
      <c r="N381" s="14" t="n">
        <f aca="false">IF(MAX(M381*L381,M381+'Read me'!$B$6)&lt;='Read me'!$B$7,CEILING(MAX(M381*L381,M381+'Read me'!$B$6)+0.5,1)-0.5,CEILING(MAX(M381*L381,M381+'Read me'!$B$6),5))</f>
        <v>19.5</v>
      </c>
      <c r="O381" s="21" t="n">
        <f aca="false">IF(ISNUMBER(J381),M381-J381,"new")</f>
        <v>2</v>
      </c>
    </row>
    <row r="382" customFormat="false" ht="15" hidden="false" customHeight="false" outlineLevel="0" collapsed="false">
      <c r="A382" s="2" t="s">
        <v>513</v>
      </c>
      <c r="B382" s="2" t="s">
        <v>126</v>
      </c>
      <c r="C382" s="2" t="s">
        <v>126</v>
      </c>
      <c r="D382" s="2" t="s">
        <v>10</v>
      </c>
      <c r="E382" s="2" t="s">
        <v>50</v>
      </c>
      <c r="F382" s="14" t="n">
        <v>17.84</v>
      </c>
      <c r="G382" s="2" t="n">
        <v>106</v>
      </c>
      <c r="H382" s="2" t="n">
        <v>1141</v>
      </c>
      <c r="I382" s="20" t="n">
        <v>1</v>
      </c>
      <c r="J382" s="14" t="n">
        <v>17.5</v>
      </c>
      <c r="K382" s="14" t="n">
        <v>24.5</v>
      </c>
      <c r="L382" s="20" t="n">
        <f aca="false">INDEX('Read me'!$B$10:$B$15,1)</f>
        <v>1.34</v>
      </c>
      <c r="M382" s="14" t="n">
        <f aca="false">IF(F382*(1+'Read me'!$B$5)&lt;='Read me'!$B$7,CEILING(F382*(1+'Read me'!$B$5)+0.5,1)-0.5,CEILING(F382*(1+'Read me'!$B$5),5))</f>
        <v>18.5</v>
      </c>
      <c r="N382" s="14" t="n">
        <f aca="false">IF(MAX(M382*L382,M382+'Read me'!$B$6)&lt;='Read me'!$B$7,CEILING(MAX(M382*L382,M382+'Read me'!$B$6)+0.5,1)-0.5,CEILING(MAX(M382*L382,M382+'Read me'!$B$6),5))</f>
        <v>25.5</v>
      </c>
      <c r="O382" s="21" t="n">
        <f aca="false">IF(ISNUMBER(J382),M382-J382,"new")</f>
        <v>1</v>
      </c>
    </row>
    <row r="383" customFormat="false" ht="15" hidden="false" customHeight="false" outlineLevel="0" collapsed="false">
      <c r="A383" s="2" t="s">
        <v>514</v>
      </c>
      <c r="B383" s="2" t="s">
        <v>126</v>
      </c>
      <c r="C383" s="2" t="s">
        <v>126</v>
      </c>
      <c r="D383" s="2" t="s">
        <v>12</v>
      </c>
      <c r="E383" s="2" t="s">
        <v>48</v>
      </c>
      <c r="F383" s="14" t="n">
        <v>26.87</v>
      </c>
      <c r="G383" s="2" t="n">
        <v>158</v>
      </c>
      <c r="H383" s="2" t="n">
        <v>1141</v>
      </c>
      <c r="I383" s="20" t="n">
        <v>1</v>
      </c>
      <c r="J383" s="14" t="n">
        <v>9.5</v>
      </c>
      <c r="K383" s="14" t="n">
        <v>19.5</v>
      </c>
      <c r="L383" s="20" t="n">
        <f aca="false">INDEX('Read me'!$B$10:$B$15,2)</f>
        <v>1.26</v>
      </c>
      <c r="M383" s="14" t="n">
        <f aca="false">IF(F383*(1+'Read me'!$B$5)&lt;='Read me'!$B$7,CEILING(F383*(1+'Read me'!$B$5)+0.5,1)-0.5,CEILING(F383*(1+'Read me'!$B$5),5))</f>
        <v>27.5</v>
      </c>
      <c r="N383" s="14" t="n">
        <f aca="false">IF(MAX(M383*L383,M383+'Read me'!$B$6)&lt;='Read me'!$B$7,CEILING(MAX(M383*L383,M383+'Read me'!$B$6)+0.5,1)-0.5,CEILING(MAX(M383*L383,M383+'Read me'!$B$6),5))</f>
        <v>35</v>
      </c>
      <c r="O383" s="21" t="n">
        <f aca="false">IF(ISNUMBER(J383),M383-J383,"new")</f>
        <v>18</v>
      </c>
    </row>
    <row r="384" customFormat="false" ht="15" hidden="false" customHeight="false" outlineLevel="0" collapsed="false">
      <c r="A384" s="2" t="s">
        <v>515</v>
      </c>
      <c r="B384" s="2" t="s">
        <v>126</v>
      </c>
      <c r="C384" s="2" t="s">
        <v>126</v>
      </c>
      <c r="D384" s="2" t="s">
        <v>12</v>
      </c>
      <c r="E384" s="2" t="s">
        <v>49</v>
      </c>
      <c r="F384" s="14" t="n">
        <v>44.09</v>
      </c>
      <c r="G384" s="2" t="n">
        <v>213</v>
      </c>
      <c r="H384" s="2" t="n">
        <v>1141</v>
      </c>
      <c r="I384" s="20" t="n">
        <v>1</v>
      </c>
      <c r="J384" s="14" t="n">
        <v>12.5</v>
      </c>
      <c r="K384" s="14" t="n">
        <v>19.5</v>
      </c>
      <c r="L384" s="20" t="n">
        <f aca="false">INDEX('Read me'!$B$10:$B$15,2)</f>
        <v>1.26</v>
      </c>
      <c r="M384" s="14" t="n">
        <f aca="false">IF(F384*(1+'Read me'!$B$5)&lt;='Read me'!$B$7,CEILING(F384*(1+'Read me'!$B$5)+0.5,1)-0.5,CEILING(F384*(1+'Read me'!$B$5),5))</f>
        <v>45</v>
      </c>
      <c r="N384" s="14" t="n">
        <f aca="false">IF(MAX(M384*L384,M384+'Read me'!$B$6)&lt;='Read me'!$B$7,CEILING(MAX(M384*L384,M384+'Read me'!$B$6)+0.5,1)-0.5,CEILING(MAX(M384*L384,M384+'Read me'!$B$6),5))</f>
        <v>60</v>
      </c>
      <c r="O384" s="21" t="n">
        <f aca="false">IF(ISNUMBER(J384),M384-J384,"new")</f>
        <v>32.5</v>
      </c>
    </row>
    <row r="385" customFormat="false" ht="15" hidden="false" customHeight="false" outlineLevel="0" collapsed="false">
      <c r="A385" s="2" t="s">
        <v>516</v>
      </c>
      <c r="B385" s="2" t="s">
        <v>126</v>
      </c>
      <c r="C385" s="2" t="s">
        <v>126</v>
      </c>
      <c r="D385" s="2" t="s">
        <v>12</v>
      </c>
      <c r="E385" s="2" t="s">
        <v>50</v>
      </c>
      <c r="F385" s="14" t="n">
        <v>54.99</v>
      </c>
      <c r="G385" s="2" t="n">
        <v>101</v>
      </c>
      <c r="H385" s="2" t="n">
        <v>1141</v>
      </c>
      <c r="I385" s="20" t="n">
        <v>1</v>
      </c>
      <c r="J385" s="14" t="n">
        <v>19.5</v>
      </c>
      <c r="K385" s="14" t="n">
        <v>29.5</v>
      </c>
      <c r="L385" s="20" t="n">
        <f aca="false">INDEX('Read me'!$B$10:$B$15,2)</f>
        <v>1.26</v>
      </c>
      <c r="M385" s="14" t="n">
        <f aca="false">IF(F385*(1+'Read me'!$B$5)&lt;='Read me'!$B$7,CEILING(F385*(1+'Read me'!$B$5)+0.5,1)-0.5,CEILING(F385*(1+'Read me'!$B$5),5))</f>
        <v>55</v>
      </c>
      <c r="N385" s="14" t="n">
        <f aca="false">IF(MAX(M385*L385,M385+'Read me'!$B$6)&lt;='Read me'!$B$7,CEILING(MAX(M385*L385,M385+'Read me'!$B$6)+0.5,1)-0.5,CEILING(MAX(M385*L385,M385+'Read me'!$B$6),5))</f>
        <v>70</v>
      </c>
      <c r="O385" s="21" t="n">
        <f aca="false">IF(ISNUMBER(J385),M385-J385,"new")</f>
        <v>35.5</v>
      </c>
    </row>
    <row r="386" customFormat="false" ht="15" hidden="false" customHeight="false" outlineLevel="0" collapsed="false">
      <c r="A386" s="2" t="s">
        <v>517</v>
      </c>
      <c r="B386" s="2" t="s">
        <v>126</v>
      </c>
      <c r="C386" s="2" t="s">
        <v>126</v>
      </c>
      <c r="D386" s="2" t="s">
        <v>13</v>
      </c>
      <c r="E386" s="2" t="s">
        <v>48</v>
      </c>
      <c r="F386" s="14" t="n">
        <v>53.96</v>
      </c>
      <c r="G386" s="2" t="n">
        <v>18</v>
      </c>
      <c r="H386" s="2" t="n">
        <v>1141</v>
      </c>
      <c r="I386" s="20" t="n">
        <v>1</v>
      </c>
      <c r="J386" s="14" t="n">
        <v>19</v>
      </c>
      <c r="K386" s="14" t="n">
        <v>45</v>
      </c>
      <c r="L386" s="20" t="n">
        <f aca="false">INDEX('Read me'!$B$10:$B$15,3)</f>
        <v>1.35</v>
      </c>
      <c r="M386" s="14" t="n">
        <f aca="false">IF(F386*(1+'Read me'!$B$5)&lt;='Read me'!$B$7,CEILING(F386*(1+'Read me'!$B$5)+0.5,1)-0.5,CEILING(F386*(1+'Read me'!$B$5),5))</f>
        <v>55</v>
      </c>
      <c r="N386" s="14" t="n">
        <f aca="false">IF(MAX(M386*L386,M386+'Read me'!$B$6)&lt;='Read me'!$B$7,CEILING(MAX(M386*L386,M386+'Read me'!$B$6)+0.5,1)-0.5,CEILING(MAX(M386*L386,M386+'Read me'!$B$6),5))</f>
        <v>75</v>
      </c>
      <c r="O386" s="21" t="n">
        <f aca="false">IF(ISNUMBER(J386),M386-J386,"new")</f>
        <v>36</v>
      </c>
    </row>
    <row r="387" customFormat="false" ht="15" hidden="false" customHeight="false" outlineLevel="0" collapsed="false">
      <c r="A387" s="2" t="s">
        <v>518</v>
      </c>
      <c r="B387" s="2" t="s">
        <v>126</v>
      </c>
      <c r="C387" s="2" t="s">
        <v>126</v>
      </c>
      <c r="D387" s="2" t="s">
        <v>13</v>
      </c>
      <c r="E387" s="2" t="s">
        <v>49</v>
      </c>
      <c r="F387" s="14" t="n">
        <v>92.41</v>
      </c>
      <c r="G387" s="2" t="n">
        <v>22</v>
      </c>
      <c r="H387" s="2" t="n">
        <v>1141</v>
      </c>
      <c r="I387" s="20" t="n">
        <v>1</v>
      </c>
      <c r="J387" s="14" t="n">
        <v>24.5</v>
      </c>
      <c r="K387" s="14" t="n">
        <v>45</v>
      </c>
      <c r="L387" s="20" t="n">
        <f aca="false">INDEX('Read me'!$B$10:$B$15,3)</f>
        <v>1.35</v>
      </c>
      <c r="M387" s="14" t="n">
        <f aca="false">IF(F387*(1+'Read me'!$B$5)&lt;='Read me'!$B$7,CEILING(F387*(1+'Read me'!$B$5)+0.5,1)-0.5,CEILING(F387*(1+'Read me'!$B$5),5))</f>
        <v>95</v>
      </c>
      <c r="N387" s="14" t="n">
        <f aca="false">IF(MAX(M387*L387,M387+'Read me'!$B$6)&lt;='Read me'!$B$7,CEILING(MAX(M387*L387,M387+'Read me'!$B$6)+0.5,1)-0.5,CEILING(MAX(M387*L387,M387+'Read me'!$B$6),5))</f>
        <v>130</v>
      </c>
      <c r="O387" s="21" t="n">
        <f aca="false">IF(ISNUMBER(J387),M387-J387,"new")</f>
        <v>70.5</v>
      </c>
    </row>
    <row r="388" customFormat="false" ht="15" hidden="false" customHeight="false" outlineLevel="0" collapsed="false">
      <c r="A388" s="2" t="s">
        <v>519</v>
      </c>
      <c r="B388" s="2" t="s">
        <v>126</v>
      </c>
      <c r="C388" s="2" t="s">
        <v>126</v>
      </c>
      <c r="D388" s="2" t="s">
        <v>13</v>
      </c>
      <c r="E388" s="2" t="s">
        <v>50</v>
      </c>
      <c r="F388" s="14" t="n">
        <v>108.52</v>
      </c>
      <c r="G388" s="2" t="n">
        <v>17</v>
      </c>
      <c r="H388" s="2" t="n">
        <v>1141</v>
      </c>
      <c r="I388" s="20" t="n">
        <v>1</v>
      </c>
      <c r="J388" s="14" t="n">
        <v>50</v>
      </c>
      <c r="K388" s="14" t="n">
        <v>95</v>
      </c>
      <c r="L388" s="20" t="n">
        <f aca="false">INDEX('Read me'!$B$10:$B$15,3)</f>
        <v>1.35</v>
      </c>
      <c r="M388" s="14" t="n">
        <f aca="false">IF(F388*(1+'Read me'!$B$5)&lt;='Read me'!$B$7,CEILING(F388*(1+'Read me'!$B$5)+0.5,1)-0.5,CEILING(F388*(1+'Read me'!$B$5),5))</f>
        <v>110</v>
      </c>
      <c r="N388" s="14" t="n">
        <f aca="false">IF(MAX(M388*L388,M388+'Read me'!$B$6)&lt;='Read me'!$B$7,CEILING(MAX(M388*L388,M388+'Read me'!$B$6)+0.5,1)-0.5,CEILING(MAX(M388*L388,M388+'Read me'!$B$6),5))</f>
        <v>150</v>
      </c>
      <c r="O388" s="21" t="n">
        <f aca="false">IF(ISNUMBER(J388),M388-J388,"new")</f>
        <v>60</v>
      </c>
    </row>
    <row r="389" customFormat="false" ht="15" hidden="false" customHeight="false" outlineLevel="0" collapsed="false">
      <c r="A389" s="2" t="s">
        <v>520</v>
      </c>
      <c r="B389" s="2" t="s">
        <v>126</v>
      </c>
      <c r="C389" s="2" t="s">
        <v>126</v>
      </c>
      <c r="D389" s="2" t="s">
        <v>14</v>
      </c>
      <c r="E389" s="2" t="s">
        <v>48</v>
      </c>
      <c r="F389" s="14" t="n">
        <v>93.9</v>
      </c>
      <c r="G389" s="2" t="n">
        <v>15</v>
      </c>
      <c r="H389" s="2" t="n">
        <v>1141</v>
      </c>
      <c r="I389" s="20" t="n">
        <v>1</v>
      </c>
      <c r="J389" s="14" t="n">
        <v>25</v>
      </c>
      <c r="K389" s="14" t="n">
        <v>85</v>
      </c>
      <c r="L389" s="20" t="n">
        <f aca="false">INDEX('Read me'!$B$10:$B$15,4)</f>
        <v>1.2</v>
      </c>
      <c r="M389" s="14" t="n">
        <f aca="false">IF(F389*(1+'Read me'!$B$5)&lt;='Read me'!$B$7,CEILING(F389*(1+'Read me'!$B$5)+0.5,1)-0.5,CEILING(F389*(1+'Read me'!$B$5),5))</f>
        <v>95</v>
      </c>
      <c r="N389" s="14" t="n">
        <f aca="false">IF(MAX(M389*L389,M389+'Read me'!$B$6)&lt;='Read me'!$B$7,CEILING(MAX(M389*L389,M389+'Read me'!$B$6)+0.5,1)-0.5,CEILING(MAX(M389*L389,M389+'Read me'!$B$6),5))</f>
        <v>115</v>
      </c>
      <c r="O389" s="21" t="n">
        <f aca="false">IF(ISNUMBER(J389),M389-J389,"new")</f>
        <v>70</v>
      </c>
    </row>
    <row r="390" customFormat="false" ht="15" hidden="false" customHeight="false" outlineLevel="0" collapsed="false">
      <c r="A390" s="2" t="s">
        <v>521</v>
      </c>
      <c r="B390" s="2" t="s">
        <v>126</v>
      </c>
      <c r="C390" s="2" t="s">
        <v>126</v>
      </c>
      <c r="D390" s="2" t="s">
        <v>14</v>
      </c>
      <c r="E390" s="2" t="s">
        <v>49</v>
      </c>
      <c r="F390" s="14" t="n">
        <v>113.25</v>
      </c>
      <c r="G390" s="2" t="n">
        <v>28</v>
      </c>
      <c r="H390" s="2" t="n">
        <v>1141</v>
      </c>
      <c r="I390" s="20" t="n">
        <v>1</v>
      </c>
      <c r="J390" s="14" t="n">
        <v>45</v>
      </c>
      <c r="K390" s="14" t="n">
        <v>125</v>
      </c>
      <c r="L390" s="20" t="n">
        <f aca="false">INDEX('Read me'!$B$10:$B$15,4)</f>
        <v>1.2</v>
      </c>
      <c r="M390" s="14" t="n">
        <f aca="false">IF(F390*(1+'Read me'!$B$5)&lt;='Read me'!$B$7,CEILING(F390*(1+'Read me'!$B$5)+0.5,1)-0.5,CEILING(F390*(1+'Read me'!$B$5),5))</f>
        <v>115</v>
      </c>
      <c r="N390" s="14" t="n">
        <f aca="false">IF(MAX(M390*L390,M390+'Read me'!$B$6)&lt;='Read me'!$B$7,CEILING(MAX(M390*L390,M390+'Read me'!$B$6)+0.5,1)-0.5,CEILING(MAX(M390*L390,M390+'Read me'!$B$6),5))</f>
        <v>140</v>
      </c>
      <c r="O390" s="21" t="n">
        <f aca="false">IF(ISNUMBER(J390),M390-J390,"new")</f>
        <v>70</v>
      </c>
    </row>
    <row r="391" customFormat="false" ht="15" hidden="false" customHeight="false" outlineLevel="0" collapsed="false">
      <c r="A391" s="2" t="s">
        <v>522</v>
      </c>
      <c r="B391" s="2" t="s">
        <v>126</v>
      </c>
      <c r="C391" s="2" t="s">
        <v>126</v>
      </c>
      <c r="D391" s="2" t="s">
        <v>14</v>
      </c>
      <c r="E391" s="2" t="s">
        <v>50</v>
      </c>
      <c r="F391" s="14" t="n">
        <v>169.44</v>
      </c>
      <c r="G391" s="2" t="n">
        <v>13</v>
      </c>
      <c r="H391" s="2" t="n">
        <v>1141</v>
      </c>
      <c r="I391" s="20" t="n">
        <v>1</v>
      </c>
      <c r="J391" s="14" t="n">
        <v>85</v>
      </c>
      <c r="K391" s="14" t="n">
        <v>150</v>
      </c>
      <c r="L391" s="20" t="n">
        <f aca="false">INDEX('Read me'!$B$10:$B$15,4)</f>
        <v>1.2</v>
      </c>
      <c r="M391" s="14" t="n">
        <f aca="false">IF(F391*(1+'Read me'!$B$5)&lt;='Read me'!$B$7,CEILING(F391*(1+'Read me'!$B$5)+0.5,1)-0.5,CEILING(F391*(1+'Read me'!$B$5),5))</f>
        <v>170</v>
      </c>
      <c r="N391" s="14" t="n">
        <f aca="false">IF(MAX(M391*L391,M391+'Read me'!$B$6)&lt;='Read me'!$B$7,CEILING(MAX(M391*L391,M391+'Read me'!$B$6)+0.5,1)-0.5,CEILING(MAX(M391*L391,M391+'Read me'!$B$6),5))</f>
        <v>205</v>
      </c>
      <c r="O391" s="21" t="n">
        <f aca="false">IF(ISNUMBER(J391),M391-J391,"new")</f>
        <v>85</v>
      </c>
    </row>
    <row r="392" customFormat="false" ht="15" hidden="false" customHeight="false" outlineLevel="0" collapsed="false">
      <c r="A392" s="2" t="s">
        <v>523</v>
      </c>
      <c r="B392" s="2" t="s">
        <v>126</v>
      </c>
      <c r="C392" s="2" t="s">
        <v>126</v>
      </c>
      <c r="D392" s="2" t="s">
        <v>15</v>
      </c>
      <c r="E392" s="2" t="s">
        <v>48</v>
      </c>
      <c r="F392" s="14" t="n">
        <v>111.52</v>
      </c>
      <c r="G392" s="2" t="n">
        <v>5</v>
      </c>
      <c r="H392" s="2" t="n">
        <v>1141</v>
      </c>
      <c r="I392" s="20" t="n">
        <v>1</v>
      </c>
      <c r="J392" s="14" t="n">
        <v>45</v>
      </c>
      <c r="K392" s="14" t="n">
        <v>85</v>
      </c>
      <c r="L392" s="20" t="n">
        <f aca="false">INDEX('Read me'!$B$10:$B$15,5)</f>
        <v>1.2</v>
      </c>
      <c r="M392" s="14" t="n">
        <f aca="false">IF(F392*(1+'Read me'!$B$5)&lt;='Read me'!$B$7,CEILING(F392*(1+'Read me'!$B$5)+0.5,1)-0.5,CEILING(F392*(1+'Read me'!$B$5),5))</f>
        <v>115</v>
      </c>
      <c r="N392" s="14" t="n">
        <f aca="false">IF(MAX(M392*L392,M392+'Read me'!$B$6)&lt;='Read me'!$B$7,CEILING(MAX(M392*L392,M392+'Read me'!$B$6)+0.5,1)-0.5,CEILING(MAX(M392*L392,M392+'Read me'!$B$6),5))</f>
        <v>140</v>
      </c>
      <c r="O392" s="21" t="n">
        <f aca="false">IF(ISNUMBER(J392),M392-J392,"new")</f>
        <v>70</v>
      </c>
    </row>
    <row r="393" customFormat="false" ht="15" hidden="false" customHeight="false" outlineLevel="0" collapsed="false">
      <c r="A393" s="2" t="s">
        <v>524</v>
      </c>
      <c r="B393" s="2" t="s">
        <v>126</v>
      </c>
      <c r="C393" s="2" t="s">
        <v>126</v>
      </c>
      <c r="D393" s="2" t="s">
        <v>15</v>
      </c>
      <c r="E393" s="2" t="s">
        <v>49</v>
      </c>
      <c r="F393" s="14" t="n">
        <v>157.43</v>
      </c>
      <c r="G393" s="2" t="n">
        <v>4</v>
      </c>
      <c r="H393" s="2" t="n">
        <v>1141</v>
      </c>
      <c r="I393" s="20" t="n">
        <v>1</v>
      </c>
      <c r="J393" s="14" t="n">
        <v>85</v>
      </c>
      <c r="K393" s="14" t="n">
        <v>125</v>
      </c>
      <c r="L393" s="20" t="n">
        <f aca="false">INDEX('Read me'!$B$10:$B$15,5)</f>
        <v>1.2</v>
      </c>
      <c r="M393" s="14" t="n">
        <f aca="false">IF(F393*(1+'Read me'!$B$5)&lt;='Read me'!$B$7,CEILING(F393*(1+'Read me'!$B$5)+0.5,1)-0.5,CEILING(F393*(1+'Read me'!$B$5),5))</f>
        <v>160</v>
      </c>
      <c r="N393" s="14" t="n">
        <f aca="false">IF(MAX(M393*L393,M393+'Read me'!$B$6)&lt;='Read me'!$B$7,CEILING(MAX(M393*L393,M393+'Read me'!$B$6)+0.5,1)-0.5,CEILING(MAX(M393*L393,M393+'Read me'!$B$6),5))</f>
        <v>195</v>
      </c>
      <c r="O393" s="21" t="n">
        <f aca="false">IF(ISNUMBER(J393),M393-J393,"new")</f>
        <v>75</v>
      </c>
    </row>
    <row r="394" customFormat="false" ht="15" hidden="false" customHeight="false" outlineLevel="0" collapsed="false">
      <c r="A394" s="2" t="s">
        <v>525</v>
      </c>
      <c r="B394" s="2" t="s">
        <v>126</v>
      </c>
      <c r="C394" s="2" t="s">
        <v>126</v>
      </c>
      <c r="D394" s="2" t="s">
        <v>15</v>
      </c>
      <c r="E394" s="2" t="s">
        <v>50</v>
      </c>
      <c r="F394" s="14" t="n">
        <v>232.12</v>
      </c>
      <c r="G394" s="2" t="n">
        <v>1</v>
      </c>
      <c r="H394" s="2" t="n">
        <v>1141</v>
      </c>
      <c r="I394" s="20" t="n">
        <v>1</v>
      </c>
      <c r="J394" s="14" t="n">
        <v>250</v>
      </c>
      <c r="K394" s="14" t="n">
        <v>350</v>
      </c>
      <c r="L394" s="20" t="n">
        <f aca="false">INDEX('Read me'!$B$10:$B$15,5)</f>
        <v>1.2</v>
      </c>
      <c r="M394" s="14" t="n">
        <f aca="false">IF(F394*(1+'Read me'!$B$5)&lt;='Read me'!$B$7,CEILING(F394*(1+'Read me'!$B$5)+0.5,1)-0.5,CEILING(F394*(1+'Read me'!$B$5),5))</f>
        <v>235</v>
      </c>
      <c r="N394" s="14" t="n">
        <f aca="false">IF(MAX(M394*L394,M394+'Read me'!$B$6)&lt;='Read me'!$B$7,CEILING(MAX(M394*L394,M394+'Read me'!$B$6)+0.5,1)-0.5,CEILING(MAX(M394*L394,M394+'Read me'!$B$6),5))</f>
        <v>285</v>
      </c>
      <c r="O394" s="21" t="n">
        <f aca="false">IF(ISNUMBER(J394),M394-J394,"new")</f>
        <v>-15</v>
      </c>
    </row>
    <row r="395" customFormat="false" ht="15" hidden="false" customHeight="false" outlineLevel="0" collapsed="false">
      <c r="A395" s="2" t="s">
        <v>526</v>
      </c>
      <c r="B395" s="2" t="s">
        <v>126</v>
      </c>
      <c r="C395" s="2" t="s">
        <v>126</v>
      </c>
      <c r="D395" s="2" t="s">
        <v>16</v>
      </c>
      <c r="E395" s="2" t="s">
        <v>48</v>
      </c>
      <c r="F395" s="14" t="n">
        <v>116.23</v>
      </c>
      <c r="G395" s="2" t="n">
        <v>1</v>
      </c>
      <c r="H395" s="2" t="n">
        <v>1141</v>
      </c>
      <c r="I395" s="20" t="n">
        <v>1</v>
      </c>
      <c r="J395" s="14"/>
      <c r="K395" s="14"/>
      <c r="L395" s="20" t="n">
        <f aca="false">INDEX('Read me'!$B$10:$B$15,6)</f>
        <v>1.2</v>
      </c>
      <c r="M395" s="14" t="n">
        <f aca="false">IF(F395*(1+'Read me'!$B$5)&lt;='Read me'!$B$7,CEILING(F395*(1+'Read me'!$B$5)+0.5,1)-0.5,CEILING(F395*(1+'Read me'!$B$5),5))</f>
        <v>120</v>
      </c>
      <c r="N395" s="14" t="n">
        <f aca="false">IF(MAX(M395*L395,M395+'Read me'!$B$6)&lt;='Read me'!$B$7,CEILING(MAX(M395*L395,M395+'Read me'!$B$6)+0.5,1)-0.5,CEILING(MAX(M395*L395,M395+'Read me'!$B$6),5))</f>
        <v>145</v>
      </c>
      <c r="O395" s="21" t="str">
        <f aca="false">IF(ISNUMBER(J395),M395-J395,"new")</f>
        <v>new</v>
      </c>
    </row>
    <row r="396" customFormat="false" ht="15" hidden="false" customHeight="false" outlineLevel="0" collapsed="false">
      <c r="A396" s="2" t="s">
        <v>527</v>
      </c>
      <c r="B396" s="2" t="s">
        <v>126</v>
      </c>
      <c r="C396" s="2" t="s">
        <v>126</v>
      </c>
      <c r="D396" s="2" t="s">
        <v>16</v>
      </c>
      <c r="E396" s="2" t="s">
        <v>49</v>
      </c>
      <c r="F396" s="14" t="n">
        <v>241.85</v>
      </c>
      <c r="G396" s="2" t="n">
        <v>8</v>
      </c>
      <c r="H396" s="2" t="n">
        <v>1141</v>
      </c>
      <c r="I396" s="20" t="n">
        <v>1</v>
      </c>
      <c r="J396" s="14"/>
      <c r="K396" s="14"/>
      <c r="L396" s="20" t="n">
        <f aca="false">INDEX('Read me'!$B$10:$B$15,6)</f>
        <v>1.2</v>
      </c>
      <c r="M396" s="14" t="n">
        <f aca="false">IF(F396*(1+'Read me'!$B$5)&lt;='Read me'!$B$7,CEILING(F396*(1+'Read me'!$B$5)+0.5,1)-0.5,CEILING(F396*(1+'Read me'!$B$5),5))</f>
        <v>245</v>
      </c>
      <c r="N396" s="14" t="n">
        <f aca="false">IF(MAX(M396*L396,M396+'Read me'!$B$6)&lt;='Read me'!$B$7,CEILING(MAX(M396*L396,M396+'Read me'!$B$6)+0.5,1)-0.5,CEILING(MAX(M396*L396,M396+'Read me'!$B$6),5))</f>
        <v>295</v>
      </c>
      <c r="O396" s="21" t="str">
        <f aca="false">IF(ISNUMBER(J396),M396-J396,"new")</f>
        <v>new</v>
      </c>
    </row>
    <row r="397" customFormat="false" ht="15" hidden="false" customHeight="false" outlineLevel="0" collapsed="false">
      <c r="A397" s="2" t="s">
        <v>528</v>
      </c>
      <c r="B397" s="2" t="s">
        <v>126</v>
      </c>
      <c r="C397" s="2" t="s">
        <v>126</v>
      </c>
      <c r="D397" s="2" t="s">
        <v>16</v>
      </c>
      <c r="E397" s="2" t="s">
        <v>50</v>
      </c>
      <c r="F397" s="14" t="n">
        <v>290.24</v>
      </c>
      <c r="G397" s="2" t="n">
        <v>4</v>
      </c>
      <c r="H397" s="2" t="n">
        <v>1141</v>
      </c>
      <c r="I397" s="20" t="n">
        <v>1</v>
      </c>
      <c r="J397" s="14"/>
      <c r="K397" s="14"/>
      <c r="L397" s="20" t="n">
        <f aca="false">INDEX('Read me'!$B$10:$B$15,6)</f>
        <v>1.2</v>
      </c>
      <c r="M397" s="14" t="n">
        <f aca="false">IF(F397*(1+'Read me'!$B$5)&lt;='Read me'!$B$7,CEILING(F397*(1+'Read me'!$B$5)+0.5,1)-0.5,CEILING(F397*(1+'Read me'!$B$5),5))</f>
        <v>295</v>
      </c>
      <c r="N397" s="14" t="n">
        <f aca="false">IF(MAX(M397*L397,M397+'Read me'!$B$6)&lt;='Read me'!$B$7,CEILING(MAX(M397*L397,M397+'Read me'!$B$6)+0.5,1)-0.5,CEILING(MAX(M397*L397,M397+'Read me'!$B$6),5))</f>
        <v>355</v>
      </c>
      <c r="O397" s="21" t="str">
        <f aca="false">IF(ISNUMBER(J397),M397-J397,"new")</f>
        <v>new</v>
      </c>
    </row>
    <row r="398" customFormat="false" ht="15" hidden="false" customHeight="false" outlineLevel="0" collapsed="false">
      <c r="A398" s="2" t="s">
        <v>529</v>
      </c>
      <c r="B398" s="2" t="s">
        <v>126</v>
      </c>
      <c r="C398" s="2" t="s">
        <v>146</v>
      </c>
      <c r="D398" s="2" t="s">
        <v>10</v>
      </c>
      <c r="E398" s="2" t="s">
        <v>48</v>
      </c>
      <c r="F398" s="14" t="n">
        <v>15.46</v>
      </c>
      <c r="G398" s="2" t="n">
        <v>5</v>
      </c>
      <c r="H398" s="2" t="n">
        <v>61</v>
      </c>
      <c r="I398" s="20" t="n">
        <v>1.06</v>
      </c>
      <c r="J398" s="14" t="n">
        <v>14.5</v>
      </c>
      <c r="K398" s="14" t="n">
        <v>19.5</v>
      </c>
      <c r="L398" s="20" t="n">
        <f aca="false">INDEX('Read me'!$B$10:$B$15,1)</f>
        <v>1.34</v>
      </c>
      <c r="M398" s="14" t="n">
        <f aca="false">IF(F398*(1+'Read me'!$B$5)&lt;='Read me'!$B$7,CEILING(F398*(1+'Read me'!$B$5)+0.5,1)-0.5,CEILING(F398*(1+'Read me'!$B$5),5))</f>
        <v>15.5</v>
      </c>
      <c r="N398" s="14" t="n">
        <f aca="false">IF(MAX(M398*L398,M398+'Read me'!$B$6)&lt;='Read me'!$B$7,CEILING(MAX(M398*L398,M398+'Read me'!$B$6)+0.5,1)-0.5,CEILING(MAX(M398*L398,M398+'Read me'!$B$6),5))</f>
        <v>21.5</v>
      </c>
      <c r="O398" s="21" t="n">
        <f aca="false">IF(ISNUMBER(J398),M398-J398,"new")</f>
        <v>1</v>
      </c>
    </row>
    <row r="399" customFormat="false" ht="15" hidden="false" customHeight="false" outlineLevel="0" collapsed="false">
      <c r="A399" s="2" t="s">
        <v>530</v>
      </c>
      <c r="B399" s="2" t="s">
        <v>126</v>
      </c>
      <c r="C399" s="2" t="s">
        <v>146</v>
      </c>
      <c r="D399" s="2" t="s">
        <v>10</v>
      </c>
      <c r="E399" s="2" t="s">
        <v>49</v>
      </c>
      <c r="F399" s="14" t="n">
        <v>16.95</v>
      </c>
      <c r="G399" s="2" t="n">
        <v>13</v>
      </c>
      <c r="H399" s="2" t="n">
        <v>61</v>
      </c>
      <c r="I399" s="20" t="n">
        <v>1.06</v>
      </c>
      <c r="J399" s="14" t="n">
        <v>14.5</v>
      </c>
      <c r="K399" s="14" t="n">
        <v>19.5</v>
      </c>
      <c r="L399" s="20" t="n">
        <f aca="false">INDEX('Read me'!$B$10:$B$15,1)</f>
        <v>1.34</v>
      </c>
      <c r="M399" s="14" t="n">
        <f aca="false">IF(F399*(1+'Read me'!$B$5)&lt;='Read me'!$B$7,CEILING(F399*(1+'Read me'!$B$5)+0.5,1)-0.5,CEILING(F399*(1+'Read me'!$B$5),5))</f>
        <v>17.5</v>
      </c>
      <c r="N399" s="14" t="n">
        <f aca="false">IF(MAX(M399*L399,M399+'Read me'!$B$6)&lt;='Read me'!$B$7,CEILING(MAX(M399*L399,M399+'Read me'!$B$6)+0.5,1)-0.5,CEILING(MAX(M399*L399,M399+'Read me'!$B$6),5))</f>
        <v>23.5</v>
      </c>
      <c r="O399" s="21" t="n">
        <f aca="false">IF(ISNUMBER(J399),M399-J399,"new")</f>
        <v>3</v>
      </c>
    </row>
    <row r="400" customFormat="false" ht="15" hidden="false" customHeight="false" outlineLevel="0" collapsed="false">
      <c r="A400" s="2" t="s">
        <v>531</v>
      </c>
      <c r="B400" s="2" t="s">
        <v>126</v>
      </c>
      <c r="C400" s="2" t="s">
        <v>146</v>
      </c>
      <c r="D400" s="2" t="s">
        <v>10</v>
      </c>
      <c r="E400" s="2" t="s">
        <v>50</v>
      </c>
      <c r="F400" s="14" t="n">
        <v>20.27</v>
      </c>
      <c r="G400" s="2" t="n">
        <v>6</v>
      </c>
      <c r="H400" s="2" t="n">
        <v>61</v>
      </c>
      <c r="I400" s="20" t="n">
        <v>1.06</v>
      </c>
      <c r="J400" s="14" t="n">
        <v>17.5</v>
      </c>
      <c r="K400" s="14" t="n">
        <v>29.5</v>
      </c>
      <c r="L400" s="20" t="n">
        <f aca="false">INDEX('Read me'!$B$10:$B$15,1)</f>
        <v>1.34</v>
      </c>
      <c r="M400" s="14" t="n">
        <f aca="false">IF(F400*(1+'Read me'!$B$5)&lt;='Read me'!$B$7,CEILING(F400*(1+'Read me'!$B$5)+0.5,1)-0.5,CEILING(F400*(1+'Read me'!$B$5),5))</f>
        <v>20.5</v>
      </c>
      <c r="N400" s="14" t="n">
        <f aca="false">IF(MAX(M400*L400,M400+'Read me'!$B$6)&lt;='Read me'!$B$7,CEILING(MAX(M400*L400,M400+'Read me'!$B$6)+0.5,1)-0.5,CEILING(MAX(M400*L400,M400+'Read me'!$B$6),5))</f>
        <v>27.5</v>
      </c>
      <c r="O400" s="21" t="n">
        <f aca="false">IF(ISNUMBER(J400),M400-J400,"new")</f>
        <v>3</v>
      </c>
    </row>
    <row r="401" customFormat="false" ht="15" hidden="false" customHeight="false" outlineLevel="0" collapsed="false">
      <c r="A401" s="2" t="s">
        <v>532</v>
      </c>
      <c r="B401" s="2" t="s">
        <v>126</v>
      </c>
      <c r="C401" s="2" t="s">
        <v>146</v>
      </c>
      <c r="D401" s="2" t="s">
        <v>12</v>
      </c>
      <c r="E401" s="2" t="s">
        <v>48</v>
      </c>
      <c r="F401" s="14" t="n">
        <v>55.7</v>
      </c>
      <c r="G401" s="2" t="n">
        <v>10</v>
      </c>
      <c r="H401" s="2" t="n">
        <v>61</v>
      </c>
      <c r="I401" s="20" t="n">
        <v>1.06</v>
      </c>
      <c r="J401" s="14" t="n">
        <v>19.5</v>
      </c>
      <c r="K401" s="14" t="n">
        <v>24.5</v>
      </c>
      <c r="L401" s="20" t="n">
        <f aca="false">INDEX('Read me'!$B$10:$B$15,2)</f>
        <v>1.26</v>
      </c>
      <c r="M401" s="14" t="n">
        <f aca="false">IF(F401*(1+'Read me'!$B$5)&lt;='Read me'!$B$7,CEILING(F401*(1+'Read me'!$B$5)+0.5,1)-0.5,CEILING(F401*(1+'Read me'!$B$5),5))</f>
        <v>60</v>
      </c>
      <c r="N401" s="14" t="n">
        <f aca="false">IF(MAX(M401*L401,M401+'Read me'!$B$6)&lt;='Read me'!$B$7,CEILING(MAX(M401*L401,M401+'Read me'!$B$6)+0.5,1)-0.5,CEILING(MAX(M401*L401,M401+'Read me'!$B$6),5))</f>
        <v>80</v>
      </c>
      <c r="O401" s="21" t="n">
        <f aca="false">IF(ISNUMBER(J401),M401-J401,"new")</f>
        <v>40.5</v>
      </c>
    </row>
    <row r="402" customFormat="false" ht="15" hidden="false" customHeight="false" outlineLevel="0" collapsed="false">
      <c r="A402" s="2" t="s">
        <v>533</v>
      </c>
      <c r="B402" s="2" t="s">
        <v>126</v>
      </c>
      <c r="C402" s="2" t="s">
        <v>146</v>
      </c>
      <c r="D402" s="2" t="s">
        <v>12</v>
      </c>
      <c r="E402" s="2" t="s">
        <v>49</v>
      </c>
      <c r="F402" s="14" t="n">
        <v>56.41</v>
      </c>
      <c r="G402" s="2" t="n">
        <v>14</v>
      </c>
      <c r="H402" s="2" t="n">
        <v>61</v>
      </c>
      <c r="I402" s="20" t="n">
        <v>1.06</v>
      </c>
      <c r="J402" s="14" t="n">
        <v>19.5</v>
      </c>
      <c r="K402" s="14" t="n">
        <v>24.5</v>
      </c>
      <c r="L402" s="20" t="n">
        <f aca="false">INDEX('Read me'!$B$10:$B$15,2)</f>
        <v>1.26</v>
      </c>
      <c r="M402" s="14" t="n">
        <f aca="false">IF(F402*(1+'Read me'!$B$5)&lt;='Read me'!$B$7,CEILING(F402*(1+'Read me'!$B$5)+0.5,1)-0.5,CEILING(F402*(1+'Read me'!$B$5),5))</f>
        <v>60</v>
      </c>
      <c r="N402" s="14" t="n">
        <f aca="false">IF(MAX(M402*L402,M402+'Read me'!$B$6)&lt;='Read me'!$B$7,CEILING(MAX(M402*L402,M402+'Read me'!$B$6)+0.5,1)-0.5,CEILING(MAX(M402*L402,M402+'Read me'!$B$6),5))</f>
        <v>80</v>
      </c>
      <c r="O402" s="21" t="n">
        <f aca="false">IF(ISNUMBER(J402),M402-J402,"new")</f>
        <v>40.5</v>
      </c>
    </row>
    <row r="403" customFormat="false" ht="15" hidden="false" customHeight="false" outlineLevel="0" collapsed="false">
      <c r="A403" s="2" t="s">
        <v>534</v>
      </c>
      <c r="B403" s="2" t="s">
        <v>126</v>
      </c>
      <c r="C403" s="2" t="s">
        <v>146</v>
      </c>
      <c r="D403" s="2" t="s">
        <v>12</v>
      </c>
      <c r="E403" s="2" t="s">
        <v>50</v>
      </c>
      <c r="F403" s="14" t="n">
        <v>72.8</v>
      </c>
      <c r="G403" s="2" t="n">
        <v>5</v>
      </c>
      <c r="H403" s="2" t="n">
        <v>61</v>
      </c>
      <c r="I403" s="20" t="n">
        <v>1.06</v>
      </c>
      <c r="J403" s="14" t="n">
        <v>19.5</v>
      </c>
      <c r="K403" s="14" t="n">
        <v>34.5</v>
      </c>
      <c r="L403" s="20" t="n">
        <f aca="false">INDEX('Read me'!$B$10:$B$15,2)</f>
        <v>1.26</v>
      </c>
      <c r="M403" s="14" t="n">
        <f aca="false">IF(F403*(1+'Read me'!$B$5)&lt;='Read me'!$B$7,CEILING(F403*(1+'Read me'!$B$5)+0.5,1)-0.5,CEILING(F403*(1+'Read me'!$B$5),5))</f>
        <v>75</v>
      </c>
      <c r="N403" s="14" t="n">
        <f aca="false">IF(MAX(M403*L403,M403+'Read me'!$B$6)&lt;='Read me'!$B$7,CEILING(MAX(M403*L403,M403+'Read me'!$B$6)+0.5,1)-0.5,CEILING(MAX(M403*L403,M403+'Read me'!$B$6),5))</f>
        <v>95</v>
      </c>
      <c r="O403" s="21" t="n">
        <f aca="false">IF(ISNUMBER(J403),M403-J403,"new")</f>
        <v>55.5</v>
      </c>
    </row>
    <row r="404" customFormat="false" ht="15" hidden="false" customHeight="false" outlineLevel="0" collapsed="false">
      <c r="A404" s="2" t="s">
        <v>535</v>
      </c>
      <c r="B404" s="2" t="s">
        <v>126</v>
      </c>
      <c r="C404" s="2" t="s">
        <v>146</v>
      </c>
      <c r="D404" s="2" t="s">
        <v>13</v>
      </c>
      <c r="E404" s="2" t="s">
        <v>48</v>
      </c>
      <c r="F404" s="14" t="n">
        <v>118.42</v>
      </c>
      <c r="G404" s="2" t="n">
        <v>2</v>
      </c>
      <c r="H404" s="2" t="n">
        <v>61</v>
      </c>
      <c r="I404" s="20" t="n">
        <v>1.06</v>
      </c>
      <c r="J404" s="14" t="n">
        <v>24.5</v>
      </c>
      <c r="K404" s="14" t="n">
        <v>75</v>
      </c>
      <c r="L404" s="20" t="n">
        <f aca="false">INDEX('Read me'!$B$10:$B$15,3)</f>
        <v>1.35</v>
      </c>
      <c r="M404" s="14" t="n">
        <f aca="false">IF(F404*(1+'Read me'!$B$5)&lt;='Read me'!$B$7,CEILING(F404*(1+'Read me'!$B$5)+0.5,1)-0.5,CEILING(F404*(1+'Read me'!$B$5),5))</f>
        <v>120</v>
      </c>
      <c r="N404" s="14" t="n">
        <f aca="false">IF(MAX(M404*L404,M404+'Read me'!$B$6)&lt;='Read me'!$B$7,CEILING(MAX(M404*L404,M404+'Read me'!$B$6)+0.5,1)-0.5,CEILING(MAX(M404*L404,M404+'Read me'!$B$6),5))</f>
        <v>165</v>
      </c>
      <c r="O404" s="21" t="n">
        <f aca="false">IF(ISNUMBER(J404),M404-J404,"new")</f>
        <v>95.5</v>
      </c>
    </row>
    <row r="405" customFormat="false" ht="15" hidden="false" customHeight="false" outlineLevel="0" collapsed="false">
      <c r="A405" s="2" t="s">
        <v>536</v>
      </c>
      <c r="B405" s="2" t="s">
        <v>126</v>
      </c>
      <c r="C405" s="2" t="s">
        <v>146</v>
      </c>
      <c r="D405" s="2" t="s">
        <v>13</v>
      </c>
      <c r="E405" s="2" t="s">
        <v>49</v>
      </c>
      <c r="F405" s="14" t="n">
        <v>118.42</v>
      </c>
      <c r="G405" s="2" t="n">
        <v>1</v>
      </c>
      <c r="H405" s="2" t="n">
        <v>61</v>
      </c>
      <c r="I405" s="20" t="n">
        <v>1.06</v>
      </c>
      <c r="J405" s="14" t="n">
        <v>24.5</v>
      </c>
      <c r="K405" s="14" t="n">
        <v>75</v>
      </c>
      <c r="L405" s="20" t="n">
        <f aca="false">INDEX('Read me'!$B$10:$B$15,3)</f>
        <v>1.35</v>
      </c>
      <c r="M405" s="14" t="n">
        <f aca="false">IF(F405*(1+'Read me'!$B$5)&lt;='Read me'!$B$7,CEILING(F405*(1+'Read me'!$B$5)+0.5,1)-0.5,CEILING(F405*(1+'Read me'!$B$5),5))</f>
        <v>120</v>
      </c>
      <c r="N405" s="14" t="n">
        <f aca="false">IF(MAX(M405*L405,M405+'Read me'!$B$6)&lt;='Read me'!$B$7,CEILING(MAX(M405*L405,M405+'Read me'!$B$6)+0.5,1)-0.5,CEILING(MAX(M405*L405,M405+'Read me'!$B$6),5))</f>
        <v>165</v>
      </c>
      <c r="O405" s="21" t="n">
        <f aca="false">IF(ISNUMBER(J405),M405-J405,"new")</f>
        <v>95.5</v>
      </c>
    </row>
    <row r="406" customFormat="false" ht="15" hidden="false" customHeight="false" outlineLevel="0" collapsed="false">
      <c r="A406" s="2" t="s">
        <v>537</v>
      </c>
      <c r="B406" s="2" t="s">
        <v>126</v>
      </c>
      <c r="C406" s="2" t="s">
        <v>146</v>
      </c>
      <c r="D406" s="2" t="s">
        <v>13</v>
      </c>
      <c r="E406" s="2" t="s">
        <v>50</v>
      </c>
      <c r="F406" s="14" t="n">
        <v>139.21</v>
      </c>
      <c r="G406" s="2" t="n">
        <v>2</v>
      </c>
      <c r="H406" s="2" t="n">
        <v>61</v>
      </c>
      <c r="I406" s="20" t="n">
        <v>1.06</v>
      </c>
      <c r="J406" s="14" t="n">
        <v>85</v>
      </c>
      <c r="K406" s="14" t="n">
        <v>125</v>
      </c>
      <c r="L406" s="20" t="n">
        <f aca="false">INDEX('Read me'!$B$10:$B$15,3)</f>
        <v>1.35</v>
      </c>
      <c r="M406" s="14" t="n">
        <f aca="false">IF(F406*(1+'Read me'!$B$5)&lt;='Read me'!$B$7,CEILING(F406*(1+'Read me'!$B$5)+0.5,1)-0.5,CEILING(F406*(1+'Read me'!$B$5),5))</f>
        <v>140</v>
      </c>
      <c r="N406" s="14" t="n">
        <f aca="false">IF(MAX(M406*L406,M406+'Read me'!$B$6)&lt;='Read me'!$B$7,CEILING(MAX(M406*L406,M406+'Read me'!$B$6)+0.5,1)-0.5,CEILING(MAX(M406*L406,M406+'Read me'!$B$6),5))</f>
        <v>190</v>
      </c>
      <c r="O406" s="21" t="n">
        <f aca="false">IF(ISNUMBER(J406),M406-J406,"new")</f>
        <v>55</v>
      </c>
    </row>
    <row r="407" customFormat="false" ht="15" hidden="false" customHeight="false" outlineLevel="0" collapsed="false">
      <c r="A407" s="2" t="s">
        <v>538</v>
      </c>
      <c r="B407" s="2" t="s">
        <v>126</v>
      </c>
      <c r="C407" s="2" t="s">
        <v>146</v>
      </c>
      <c r="D407" s="2" t="s">
        <v>14</v>
      </c>
      <c r="E407" s="2" t="s">
        <v>48</v>
      </c>
      <c r="F407" s="14" t="n">
        <v>154.82</v>
      </c>
      <c r="G407" s="2" t="n">
        <v>1</v>
      </c>
      <c r="H407" s="2" t="n">
        <v>61</v>
      </c>
      <c r="I407" s="20" t="n">
        <v>1.06</v>
      </c>
      <c r="J407" s="14" t="n">
        <v>85</v>
      </c>
      <c r="K407" s="14" t="n">
        <v>125</v>
      </c>
      <c r="L407" s="20" t="n">
        <f aca="false">INDEX('Read me'!$B$10:$B$15,4)</f>
        <v>1.2</v>
      </c>
      <c r="M407" s="14" t="n">
        <f aca="false">IF(F407*(1+'Read me'!$B$5)&lt;='Read me'!$B$7,CEILING(F407*(1+'Read me'!$B$5)+0.5,1)-0.5,CEILING(F407*(1+'Read me'!$B$5),5))</f>
        <v>155</v>
      </c>
      <c r="N407" s="14" t="n">
        <f aca="false">IF(MAX(M407*L407,M407+'Read me'!$B$6)&lt;='Read me'!$B$7,CEILING(MAX(M407*L407,M407+'Read me'!$B$6)+0.5,1)-0.5,CEILING(MAX(M407*L407,M407+'Read me'!$B$6),5))</f>
        <v>190</v>
      </c>
      <c r="O407" s="21" t="n">
        <f aca="false">IF(ISNUMBER(J407),M407-J407,"new")</f>
        <v>70</v>
      </c>
    </row>
    <row r="408" customFormat="false" ht="15" hidden="false" customHeight="false" outlineLevel="0" collapsed="false">
      <c r="A408" s="2" t="s">
        <v>539</v>
      </c>
      <c r="B408" s="2" t="s">
        <v>126</v>
      </c>
      <c r="C408" s="2" t="s">
        <v>146</v>
      </c>
      <c r="D408" s="2" t="s">
        <v>14</v>
      </c>
      <c r="E408" s="2" t="s">
        <v>49</v>
      </c>
      <c r="F408" s="14" t="n">
        <v>175.07</v>
      </c>
      <c r="G408" s="2" t="n">
        <v>1</v>
      </c>
      <c r="H408" s="2" t="n">
        <v>61</v>
      </c>
      <c r="I408" s="20" t="n">
        <v>1.06</v>
      </c>
      <c r="J408" s="14" t="n">
        <v>125</v>
      </c>
      <c r="K408" s="14" t="n">
        <v>125</v>
      </c>
      <c r="L408" s="20" t="n">
        <f aca="false">INDEX('Read me'!$B$10:$B$15,4)</f>
        <v>1.2</v>
      </c>
      <c r="M408" s="14" t="n">
        <f aca="false">IF(F408*(1+'Read me'!$B$5)&lt;='Read me'!$B$7,CEILING(F408*(1+'Read me'!$B$5)+0.5,1)-0.5,CEILING(F408*(1+'Read me'!$B$5),5))</f>
        <v>180</v>
      </c>
      <c r="N408" s="14" t="n">
        <f aca="false">IF(MAX(M408*L408,M408+'Read me'!$B$6)&lt;='Read me'!$B$7,CEILING(MAX(M408*L408,M408+'Read me'!$B$6)+0.5,1)-0.5,CEILING(MAX(M408*L408,M408+'Read me'!$B$6),5))</f>
        <v>220</v>
      </c>
      <c r="O408" s="21" t="n">
        <f aca="false">IF(ISNUMBER(J408),M408-J408,"new")</f>
        <v>55</v>
      </c>
    </row>
    <row r="409" customFormat="false" ht="15" hidden="false" customHeight="false" outlineLevel="0" collapsed="false">
      <c r="A409" s="2" t="s">
        <v>540</v>
      </c>
      <c r="B409" s="2" t="s">
        <v>126</v>
      </c>
      <c r="C409" s="2" t="s">
        <v>146</v>
      </c>
      <c r="D409" s="2" t="s">
        <v>14</v>
      </c>
      <c r="E409" s="2" t="s">
        <v>50</v>
      </c>
      <c r="F409" s="14" t="n">
        <v>220.11</v>
      </c>
      <c r="G409" s="2" t="n">
        <v>0</v>
      </c>
      <c r="H409" s="2" t="n">
        <v>61</v>
      </c>
      <c r="I409" s="20" t="n">
        <v>1.06</v>
      </c>
      <c r="J409" s="14" t="n">
        <v>199</v>
      </c>
      <c r="K409" s="14" t="n">
        <v>175</v>
      </c>
      <c r="L409" s="20" t="n">
        <f aca="false">INDEX('Read me'!$B$10:$B$15,4)</f>
        <v>1.2</v>
      </c>
      <c r="M409" s="14" t="n">
        <f aca="false">IF(F409*(1+'Read me'!$B$5)&lt;='Read me'!$B$7,CEILING(F409*(1+'Read me'!$B$5)+0.5,1)-0.5,CEILING(F409*(1+'Read me'!$B$5),5))</f>
        <v>225</v>
      </c>
      <c r="N409" s="14" t="n">
        <f aca="false">IF(MAX(M409*L409,M409+'Read me'!$B$6)&lt;='Read me'!$B$7,CEILING(MAX(M409*L409,M409+'Read me'!$B$6)+0.5,1)-0.5,CEILING(MAX(M409*L409,M409+'Read me'!$B$6),5))</f>
        <v>270</v>
      </c>
      <c r="O409" s="21" t="n">
        <f aca="false">IF(ISNUMBER(J409),M409-J409,"new")</f>
        <v>26</v>
      </c>
    </row>
    <row r="410" customFormat="false" ht="15" hidden="false" customHeight="false" outlineLevel="0" collapsed="false">
      <c r="A410" s="2" t="s">
        <v>541</v>
      </c>
      <c r="B410" s="2" t="s">
        <v>126</v>
      </c>
      <c r="C410" s="2" t="s">
        <v>146</v>
      </c>
      <c r="D410" s="2" t="s">
        <v>15</v>
      </c>
      <c r="E410" s="2" t="s">
        <v>48</v>
      </c>
      <c r="F410" s="14" t="n">
        <v>193.08</v>
      </c>
      <c r="G410" s="2" t="n">
        <v>0</v>
      </c>
      <c r="H410" s="2" t="n">
        <v>61</v>
      </c>
      <c r="I410" s="20" t="n">
        <v>1.06</v>
      </c>
      <c r="J410" s="14" t="n">
        <v>250</v>
      </c>
      <c r="K410" s="14" t="n">
        <v>300</v>
      </c>
      <c r="L410" s="20" t="n">
        <f aca="false">INDEX('Read me'!$B$10:$B$15,5)</f>
        <v>1.2</v>
      </c>
      <c r="M410" s="14" t="n">
        <f aca="false">IF(F410*(1+'Read me'!$B$5)&lt;='Read me'!$B$7,CEILING(F410*(1+'Read me'!$B$5)+0.5,1)-0.5,CEILING(F410*(1+'Read me'!$B$5),5))</f>
        <v>195</v>
      </c>
      <c r="N410" s="14" t="n">
        <f aca="false">IF(MAX(M410*L410,M410+'Read me'!$B$6)&lt;='Read me'!$B$7,CEILING(MAX(M410*L410,M410+'Read me'!$B$6)+0.5,1)-0.5,CEILING(MAX(M410*L410,M410+'Read me'!$B$6),5))</f>
        <v>235</v>
      </c>
      <c r="O410" s="21" t="n">
        <f aca="false">IF(ISNUMBER(J410),M410-J410,"new")</f>
        <v>-55</v>
      </c>
    </row>
    <row r="411" customFormat="false" ht="15" hidden="false" customHeight="false" outlineLevel="0" collapsed="false">
      <c r="A411" s="2" t="s">
        <v>542</v>
      </c>
      <c r="B411" s="2" t="s">
        <v>126</v>
      </c>
      <c r="C411" s="2" t="s">
        <v>146</v>
      </c>
      <c r="D411" s="2" t="s">
        <v>15</v>
      </c>
      <c r="E411" s="2" t="s">
        <v>49</v>
      </c>
      <c r="F411" s="14" t="n">
        <v>250.17</v>
      </c>
      <c r="G411" s="2" t="n">
        <v>1</v>
      </c>
      <c r="H411" s="2" t="n">
        <v>61</v>
      </c>
      <c r="I411" s="20" t="n">
        <v>1.06</v>
      </c>
      <c r="J411" s="14" t="n">
        <v>250</v>
      </c>
      <c r="K411" s="14" t="n">
        <v>300</v>
      </c>
      <c r="L411" s="20" t="n">
        <f aca="false">INDEX('Read me'!$B$10:$B$15,5)</f>
        <v>1.2</v>
      </c>
      <c r="M411" s="14" t="n">
        <f aca="false">N411</f>
        <v>310</v>
      </c>
      <c r="N411" s="14" t="n">
        <f aca="false">IF(MAX((IF(F411*(1+'Read me'!$B$5)&lt;='Read me'!$B$7,CEILING(F411*(1+'Read me'!$B$5)+0.5,1)-0.5,CEILING(F411*(1+'Read me'!$B$5),5)))*L411,(IF(F411*(1+'Read me'!$B$5)&lt;='Read me'!$B$7,CEILING(F411*(1+'Read me'!$B$5)+0.5,1)-0.5,CEILING(F411*(1+'Read me'!$B$5),5)))+'Read me'!$B$6)&lt;='Read me'!$B$7,CEILING(MAX((IF(F411*(1+'Read me'!$B$5)&lt;='Read me'!$B$7,CEILING(F411*(1+'Read me'!$B$5)+0.5,1)-0.5,CEILING(F411*(1+'Read me'!$B$5),5)))*L411,(IF(F411*(1+'Read me'!$B$5)&lt;='Read me'!$B$7,CEILING(F411*(1+'Read me'!$B$5)+0.5,1)-0.5,CEILING(F411*(1+'Read me'!$B$5),5)))+'Read me'!$B$6)+0.5,1)-0.5,CEILING(MAX((IF(F411*(1+'Read me'!$B$5)&lt;='Read me'!$B$7,CEILING(F411*(1+'Read me'!$B$5)+0.5,1)-0.5,CEILING(F411*(1+'Read me'!$B$5),5)))*L411,(IF(F411*(1+'Read me'!$B$5)&lt;='Read me'!$B$7,CEILING(F411*(1+'Read me'!$B$5)+0.5,1)-0.5,CEILING(F411*(1+'Read me'!$B$5),5)))+'Read me'!$B$6),5))</f>
        <v>310</v>
      </c>
      <c r="O411" s="21" t="n">
        <f aca="false">IF(ISNUMBER(J411),M411-J411,"new")</f>
        <v>60</v>
      </c>
      <c r="P411" s="5" t="s">
        <v>140</v>
      </c>
    </row>
    <row r="412" customFormat="false" ht="15" hidden="false" customHeight="false" outlineLevel="0" collapsed="false">
      <c r="A412" s="2" t="s">
        <v>543</v>
      </c>
      <c r="B412" s="2" t="s">
        <v>126</v>
      </c>
      <c r="C412" s="2" t="s">
        <v>146</v>
      </c>
      <c r="D412" s="2" t="s">
        <v>15</v>
      </c>
      <c r="E412" s="2" t="s">
        <v>50</v>
      </c>
      <c r="F412" s="14" t="n">
        <v>286.22</v>
      </c>
      <c r="G412" s="2" t="n">
        <v>0</v>
      </c>
      <c r="H412" s="2" t="n">
        <v>61</v>
      </c>
      <c r="I412" s="20" t="n">
        <v>1.06</v>
      </c>
      <c r="J412" s="14" t="n">
        <v>300</v>
      </c>
      <c r="K412" s="14" t="n">
        <v>400</v>
      </c>
      <c r="L412" s="20" t="n">
        <f aca="false">INDEX('Read me'!$B$10:$B$15,5)</f>
        <v>1.2</v>
      </c>
      <c r="M412" s="14" t="n">
        <f aca="false">N412</f>
        <v>350</v>
      </c>
      <c r="N412" s="14" t="n">
        <f aca="false">IF(MAX((IF(F412*(1+'Read me'!$B$5)&lt;='Read me'!$B$7,CEILING(F412*(1+'Read me'!$B$5)+0.5,1)-0.5,CEILING(F412*(1+'Read me'!$B$5),5)))*L412,(IF(F412*(1+'Read me'!$B$5)&lt;='Read me'!$B$7,CEILING(F412*(1+'Read me'!$B$5)+0.5,1)-0.5,CEILING(F412*(1+'Read me'!$B$5),5)))+'Read me'!$B$6)&lt;='Read me'!$B$7,CEILING(MAX((IF(F412*(1+'Read me'!$B$5)&lt;='Read me'!$B$7,CEILING(F412*(1+'Read me'!$B$5)+0.5,1)-0.5,CEILING(F412*(1+'Read me'!$B$5),5)))*L412,(IF(F412*(1+'Read me'!$B$5)&lt;='Read me'!$B$7,CEILING(F412*(1+'Read me'!$B$5)+0.5,1)-0.5,CEILING(F412*(1+'Read me'!$B$5),5)))+'Read me'!$B$6)+0.5,1)-0.5,CEILING(MAX((IF(F412*(1+'Read me'!$B$5)&lt;='Read me'!$B$7,CEILING(F412*(1+'Read me'!$B$5)+0.5,1)-0.5,CEILING(F412*(1+'Read me'!$B$5),5)))*L412,(IF(F412*(1+'Read me'!$B$5)&lt;='Read me'!$B$7,CEILING(F412*(1+'Read me'!$B$5)+0.5,1)-0.5,CEILING(F412*(1+'Read me'!$B$5),5)))+'Read me'!$B$6),5))</f>
        <v>350</v>
      </c>
      <c r="O412" s="21" t="n">
        <f aca="false">IF(ISNUMBER(J412),M412-J412,"new")</f>
        <v>50</v>
      </c>
      <c r="P412" s="5" t="s">
        <v>140</v>
      </c>
    </row>
    <row r="413" customFormat="false" ht="15" hidden="false" customHeight="false" outlineLevel="0" collapsed="false">
      <c r="A413" s="2" t="s">
        <v>544</v>
      </c>
      <c r="B413" s="2" t="s">
        <v>126</v>
      </c>
      <c r="C413" s="2" t="s">
        <v>146</v>
      </c>
      <c r="D413" s="2" t="s">
        <v>16</v>
      </c>
      <c r="E413" s="2" t="s">
        <v>48</v>
      </c>
      <c r="F413" s="14" t="n">
        <v>268.1</v>
      </c>
      <c r="G413" s="2" t="n">
        <v>0</v>
      </c>
      <c r="H413" s="2" t="n">
        <v>61</v>
      </c>
      <c r="I413" s="20" t="n">
        <v>1.06</v>
      </c>
      <c r="J413" s="14"/>
      <c r="K413" s="14"/>
      <c r="L413" s="20" t="n">
        <f aca="false">INDEX('Read me'!$B$10:$B$15,6)</f>
        <v>1.2</v>
      </c>
      <c r="M413" s="14" t="n">
        <f aca="false">IF(F413*(1+'Read me'!$B$5)&lt;='Read me'!$B$7,CEILING(F413*(1+'Read me'!$B$5)+0.5,1)-0.5,CEILING(F413*(1+'Read me'!$B$5),5))</f>
        <v>270</v>
      </c>
      <c r="N413" s="14" t="n">
        <f aca="false">IF(MAX(M413*L413,M413+'Read me'!$B$6)&lt;='Read me'!$B$7,CEILING(MAX(M413*L413,M413+'Read me'!$B$6)+0.5,1)-0.5,CEILING(MAX(M413*L413,M413+'Read me'!$B$6),5))</f>
        <v>325</v>
      </c>
      <c r="O413" s="21" t="str">
        <f aca="false">IF(ISNUMBER(J413),M413-J413,"new")</f>
        <v>new</v>
      </c>
    </row>
    <row r="414" customFormat="false" ht="15" hidden="false" customHeight="false" outlineLevel="0" collapsed="false">
      <c r="A414" s="2" t="s">
        <v>545</v>
      </c>
      <c r="B414" s="2" t="s">
        <v>126</v>
      </c>
      <c r="C414" s="2" t="s">
        <v>146</v>
      </c>
      <c r="D414" s="2" t="s">
        <v>16</v>
      </c>
      <c r="E414" s="2" t="s">
        <v>49</v>
      </c>
      <c r="F414" s="14" t="n">
        <v>344.5</v>
      </c>
      <c r="G414" s="2" t="n">
        <v>0</v>
      </c>
      <c r="H414" s="2" t="n">
        <v>61</v>
      </c>
      <c r="I414" s="20" t="n">
        <v>1.06</v>
      </c>
      <c r="J414" s="14"/>
      <c r="K414" s="14"/>
      <c r="L414" s="20" t="n">
        <f aca="false">INDEX('Read me'!$B$10:$B$15,6)</f>
        <v>1.2</v>
      </c>
      <c r="M414" s="14" t="n">
        <f aca="false">N414</f>
        <v>415</v>
      </c>
      <c r="N414" s="14" t="n">
        <f aca="false">IF(MAX((IF(F414*(1+'Read me'!$B$5)&lt;='Read me'!$B$7,CEILING(F414*(1+'Read me'!$B$5)+0.5,1)-0.5,CEILING(F414*(1+'Read me'!$B$5),5)))*L414,(IF(F414*(1+'Read me'!$B$5)&lt;='Read me'!$B$7,CEILING(F414*(1+'Read me'!$B$5)+0.5,1)-0.5,CEILING(F414*(1+'Read me'!$B$5),5)))+'Read me'!$B$6)&lt;='Read me'!$B$7,CEILING(MAX((IF(F414*(1+'Read me'!$B$5)&lt;='Read me'!$B$7,CEILING(F414*(1+'Read me'!$B$5)+0.5,1)-0.5,CEILING(F414*(1+'Read me'!$B$5),5)))*L414,(IF(F414*(1+'Read me'!$B$5)&lt;='Read me'!$B$7,CEILING(F414*(1+'Read me'!$B$5)+0.5,1)-0.5,CEILING(F414*(1+'Read me'!$B$5),5)))+'Read me'!$B$6)+0.5,1)-0.5,CEILING(MAX((IF(F414*(1+'Read me'!$B$5)&lt;='Read me'!$B$7,CEILING(F414*(1+'Read me'!$B$5)+0.5,1)-0.5,CEILING(F414*(1+'Read me'!$B$5),5)))*L414,(IF(F414*(1+'Read me'!$B$5)&lt;='Read me'!$B$7,CEILING(F414*(1+'Read me'!$B$5)+0.5,1)-0.5,CEILING(F414*(1+'Read me'!$B$5),5)))+'Read me'!$B$6),5))</f>
        <v>415</v>
      </c>
      <c r="O414" s="21" t="str">
        <f aca="false">IF(ISNUMBER(J414),M414-J414,"new")</f>
        <v>new</v>
      </c>
      <c r="P414" s="5" t="s">
        <v>140</v>
      </c>
    </row>
    <row r="415" customFormat="false" ht="15" hidden="false" customHeight="false" outlineLevel="0" collapsed="false">
      <c r="A415" s="2" t="s">
        <v>546</v>
      </c>
      <c r="B415" s="2" t="s">
        <v>126</v>
      </c>
      <c r="C415" s="2" t="s">
        <v>146</v>
      </c>
      <c r="D415" s="2" t="s">
        <v>16</v>
      </c>
      <c r="E415" s="2" t="s">
        <v>50</v>
      </c>
      <c r="F415" s="14" t="n">
        <v>404.91</v>
      </c>
      <c r="G415" s="2" t="n">
        <v>0</v>
      </c>
      <c r="H415" s="2" t="n">
        <v>61</v>
      </c>
      <c r="I415" s="20" t="n">
        <v>1.06</v>
      </c>
      <c r="J415" s="14"/>
      <c r="K415" s="14"/>
      <c r="L415" s="20" t="n">
        <f aca="false">INDEX('Read me'!$B$10:$B$15,6)</f>
        <v>1.2</v>
      </c>
      <c r="M415" s="14" t="n">
        <f aca="false">N415</f>
        <v>490</v>
      </c>
      <c r="N415" s="14" t="n">
        <f aca="false">IF(MAX((IF(F415*(1+'Read me'!$B$5)&lt;='Read me'!$B$7,CEILING(F415*(1+'Read me'!$B$5)+0.5,1)-0.5,CEILING(F415*(1+'Read me'!$B$5),5)))*L415,(IF(F415*(1+'Read me'!$B$5)&lt;='Read me'!$B$7,CEILING(F415*(1+'Read me'!$B$5)+0.5,1)-0.5,CEILING(F415*(1+'Read me'!$B$5),5)))+'Read me'!$B$6)&lt;='Read me'!$B$7,CEILING(MAX((IF(F415*(1+'Read me'!$B$5)&lt;='Read me'!$B$7,CEILING(F415*(1+'Read me'!$B$5)+0.5,1)-0.5,CEILING(F415*(1+'Read me'!$B$5),5)))*L415,(IF(F415*(1+'Read me'!$B$5)&lt;='Read me'!$B$7,CEILING(F415*(1+'Read me'!$B$5)+0.5,1)-0.5,CEILING(F415*(1+'Read me'!$B$5),5)))+'Read me'!$B$6)+0.5,1)-0.5,CEILING(MAX((IF(F415*(1+'Read me'!$B$5)&lt;='Read me'!$B$7,CEILING(F415*(1+'Read me'!$B$5)+0.5,1)-0.5,CEILING(F415*(1+'Read me'!$B$5),5)))*L415,(IF(F415*(1+'Read me'!$B$5)&lt;='Read me'!$B$7,CEILING(F415*(1+'Read me'!$B$5)+0.5,1)-0.5,CEILING(F415*(1+'Read me'!$B$5),5)))+'Read me'!$B$6),5))</f>
        <v>490</v>
      </c>
      <c r="O415" s="21" t="str">
        <f aca="false">IF(ISNUMBER(J415),M415-J415,"new")</f>
        <v>new</v>
      </c>
      <c r="P415" s="5" t="s">
        <v>140</v>
      </c>
    </row>
    <row r="416" customFormat="false" ht="15" hidden="false" customHeight="false" outlineLevel="0" collapsed="false">
      <c r="A416" s="2" t="s">
        <v>547</v>
      </c>
      <c r="B416" s="2" t="s">
        <v>126</v>
      </c>
      <c r="C416" s="2" t="s">
        <v>165</v>
      </c>
      <c r="D416" s="2" t="s">
        <v>10</v>
      </c>
      <c r="E416" s="2" t="s">
        <v>48</v>
      </c>
      <c r="F416" s="14" t="n">
        <v>15.53</v>
      </c>
      <c r="G416" s="2" t="n">
        <v>7</v>
      </c>
      <c r="H416" s="2" t="n">
        <v>51</v>
      </c>
      <c r="I416" s="20" t="n">
        <v>1.11</v>
      </c>
      <c r="J416" s="14" t="n">
        <v>14.5</v>
      </c>
      <c r="K416" s="14" t="n">
        <v>19.5</v>
      </c>
      <c r="L416" s="20" t="n">
        <f aca="false">INDEX('Read me'!$B$10:$B$15,1)</f>
        <v>1.34</v>
      </c>
      <c r="M416" s="14" t="n">
        <f aca="false">IF(F416*(1+'Read me'!$B$5)&lt;='Read me'!$B$7,CEILING(F416*(1+'Read me'!$B$5)+0.5,1)-0.5,CEILING(F416*(1+'Read me'!$B$5),5))</f>
        <v>16.5</v>
      </c>
      <c r="N416" s="14" t="n">
        <f aca="false">IF(MAX(M416*L416,M416+'Read me'!$B$6)&lt;='Read me'!$B$7,CEILING(MAX(M416*L416,M416+'Read me'!$B$6)+0.5,1)-0.5,CEILING(MAX(M416*L416,M416+'Read me'!$B$6),5))</f>
        <v>22.5</v>
      </c>
      <c r="O416" s="21" t="n">
        <f aca="false">IF(ISNUMBER(J416),M416-J416,"new")</f>
        <v>2</v>
      </c>
    </row>
    <row r="417" customFormat="false" ht="15" hidden="false" customHeight="false" outlineLevel="0" collapsed="false">
      <c r="A417" s="2" t="s">
        <v>548</v>
      </c>
      <c r="B417" s="2" t="s">
        <v>126</v>
      </c>
      <c r="C417" s="2" t="s">
        <v>165</v>
      </c>
      <c r="D417" s="2" t="s">
        <v>10</v>
      </c>
      <c r="E417" s="2" t="s">
        <v>49</v>
      </c>
      <c r="F417" s="14" t="n">
        <v>17.96</v>
      </c>
      <c r="G417" s="2" t="n">
        <v>10</v>
      </c>
      <c r="H417" s="2" t="n">
        <v>51</v>
      </c>
      <c r="I417" s="20" t="n">
        <v>1.11</v>
      </c>
      <c r="J417" s="14" t="n">
        <v>14.5</v>
      </c>
      <c r="K417" s="14" t="n">
        <v>19.5</v>
      </c>
      <c r="L417" s="20" t="n">
        <f aca="false">INDEX('Read me'!$B$10:$B$15,1)</f>
        <v>1.34</v>
      </c>
      <c r="M417" s="14" t="n">
        <f aca="false">IF(F417*(1+'Read me'!$B$5)&lt;='Read me'!$B$7,CEILING(F417*(1+'Read me'!$B$5)+0.5,1)-0.5,CEILING(F417*(1+'Read me'!$B$5),5))</f>
        <v>18.5</v>
      </c>
      <c r="N417" s="14" t="n">
        <f aca="false">IF(MAX(M417*L417,M417+'Read me'!$B$6)&lt;='Read me'!$B$7,CEILING(MAX(M417*L417,M417+'Read me'!$B$6)+0.5,1)-0.5,CEILING(MAX(M417*L417,M417+'Read me'!$B$6),5))</f>
        <v>25.5</v>
      </c>
      <c r="O417" s="21" t="n">
        <f aca="false">IF(ISNUMBER(J417),M417-J417,"new")</f>
        <v>4</v>
      </c>
    </row>
    <row r="418" customFormat="false" ht="15" hidden="false" customHeight="false" outlineLevel="0" collapsed="false">
      <c r="A418" s="2" t="s">
        <v>549</v>
      </c>
      <c r="B418" s="2" t="s">
        <v>126</v>
      </c>
      <c r="C418" s="2" t="s">
        <v>165</v>
      </c>
      <c r="D418" s="2" t="s">
        <v>10</v>
      </c>
      <c r="E418" s="2" t="s">
        <v>50</v>
      </c>
      <c r="F418" s="14" t="n">
        <v>21.37</v>
      </c>
      <c r="G418" s="2" t="n">
        <v>3</v>
      </c>
      <c r="H418" s="2" t="n">
        <v>51</v>
      </c>
      <c r="I418" s="20" t="n">
        <v>1.11</v>
      </c>
      <c r="J418" s="14" t="n">
        <v>17.5</v>
      </c>
      <c r="K418" s="14" t="n">
        <v>29.5</v>
      </c>
      <c r="L418" s="20" t="n">
        <f aca="false">INDEX('Read me'!$B$10:$B$15,1)</f>
        <v>1.34</v>
      </c>
      <c r="M418" s="14" t="n">
        <f aca="false">IF(F418*(1+'Read me'!$B$5)&lt;='Read me'!$B$7,CEILING(F418*(1+'Read me'!$B$5)+0.5,1)-0.5,CEILING(F418*(1+'Read me'!$B$5),5))</f>
        <v>21.5</v>
      </c>
      <c r="N418" s="14" t="n">
        <f aca="false">IF(MAX(M418*L418,M418+'Read me'!$B$6)&lt;='Read me'!$B$7,CEILING(MAX(M418*L418,M418+'Read me'!$B$6)+0.5,1)-0.5,CEILING(MAX(M418*L418,M418+'Read me'!$B$6),5))</f>
        <v>29.5</v>
      </c>
      <c r="O418" s="21" t="n">
        <f aca="false">IF(ISNUMBER(J418),M418-J418,"new")</f>
        <v>4</v>
      </c>
    </row>
    <row r="419" customFormat="false" ht="15" hidden="false" customHeight="false" outlineLevel="0" collapsed="false">
      <c r="A419" s="2" t="s">
        <v>550</v>
      </c>
      <c r="B419" s="2" t="s">
        <v>126</v>
      </c>
      <c r="C419" s="2" t="s">
        <v>165</v>
      </c>
      <c r="D419" s="2" t="s">
        <v>12</v>
      </c>
      <c r="E419" s="2" t="s">
        <v>48</v>
      </c>
      <c r="F419" s="14" t="n">
        <v>52.3</v>
      </c>
      <c r="G419" s="2" t="n">
        <v>8</v>
      </c>
      <c r="H419" s="2" t="n">
        <v>51</v>
      </c>
      <c r="I419" s="20" t="n">
        <v>1.11</v>
      </c>
      <c r="J419" s="14" t="n">
        <v>19.5</v>
      </c>
      <c r="K419" s="14" t="n">
        <v>24.5</v>
      </c>
      <c r="L419" s="20" t="n">
        <f aca="false">INDEX('Read me'!$B$10:$B$15,2)</f>
        <v>1.26</v>
      </c>
      <c r="M419" s="14" t="n">
        <f aca="false">IF(F419*(1+'Read me'!$B$5)&lt;='Read me'!$B$7,CEILING(F419*(1+'Read me'!$B$5)+0.5,1)-0.5,CEILING(F419*(1+'Read me'!$B$5),5))</f>
        <v>55</v>
      </c>
      <c r="N419" s="14" t="n">
        <f aca="false">IF(MAX(M419*L419,M419+'Read me'!$B$6)&lt;='Read me'!$B$7,CEILING(MAX(M419*L419,M419+'Read me'!$B$6)+0.5,1)-0.5,CEILING(MAX(M419*L419,M419+'Read me'!$B$6),5))</f>
        <v>70</v>
      </c>
      <c r="O419" s="21" t="n">
        <f aca="false">IF(ISNUMBER(J419),M419-J419,"new")</f>
        <v>35.5</v>
      </c>
    </row>
    <row r="420" customFormat="false" ht="15" hidden="false" customHeight="false" outlineLevel="0" collapsed="false">
      <c r="A420" s="2" t="s">
        <v>551</v>
      </c>
      <c r="B420" s="2" t="s">
        <v>126</v>
      </c>
      <c r="C420" s="2" t="s">
        <v>165</v>
      </c>
      <c r="D420" s="2" t="s">
        <v>12</v>
      </c>
      <c r="E420" s="2" t="s">
        <v>49</v>
      </c>
      <c r="F420" s="14" t="n">
        <v>56.69</v>
      </c>
      <c r="G420" s="2" t="n">
        <v>10</v>
      </c>
      <c r="H420" s="2" t="n">
        <v>51</v>
      </c>
      <c r="I420" s="20" t="n">
        <v>1.11</v>
      </c>
      <c r="J420" s="14" t="n">
        <v>19.5</v>
      </c>
      <c r="K420" s="14" t="n">
        <v>24.5</v>
      </c>
      <c r="L420" s="20" t="n">
        <f aca="false">INDEX('Read me'!$B$10:$B$15,2)</f>
        <v>1.26</v>
      </c>
      <c r="M420" s="14" t="n">
        <f aca="false">IF(F420*(1+'Read me'!$B$5)&lt;='Read me'!$B$7,CEILING(F420*(1+'Read me'!$B$5)+0.5,1)-0.5,CEILING(F420*(1+'Read me'!$B$5),5))</f>
        <v>60</v>
      </c>
      <c r="N420" s="14" t="n">
        <f aca="false">IF(MAX(M420*L420,M420+'Read me'!$B$6)&lt;='Read me'!$B$7,CEILING(MAX(M420*L420,M420+'Read me'!$B$6)+0.5,1)-0.5,CEILING(MAX(M420*L420,M420+'Read me'!$B$6),5))</f>
        <v>80</v>
      </c>
      <c r="O420" s="21" t="n">
        <f aca="false">IF(ISNUMBER(J420),M420-J420,"new")</f>
        <v>40.5</v>
      </c>
    </row>
    <row r="421" customFormat="false" ht="15" hidden="false" customHeight="false" outlineLevel="0" collapsed="false">
      <c r="A421" s="2" t="s">
        <v>552</v>
      </c>
      <c r="B421" s="2" t="s">
        <v>126</v>
      </c>
      <c r="C421" s="2" t="s">
        <v>165</v>
      </c>
      <c r="D421" s="2" t="s">
        <v>12</v>
      </c>
      <c r="E421" s="2" t="s">
        <v>50</v>
      </c>
      <c r="F421" s="14" t="n">
        <v>67.69</v>
      </c>
      <c r="G421" s="2" t="n">
        <v>4</v>
      </c>
      <c r="H421" s="2" t="n">
        <v>51</v>
      </c>
      <c r="I421" s="20" t="n">
        <v>1.11</v>
      </c>
      <c r="J421" s="14" t="n">
        <v>19.5</v>
      </c>
      <c r="K421" s="14" t="n">
        <v>34.5</v>
      </c>
      <c r="L421" s="20" t="n">
        <f aca="false">INDEX('Read me'!$B$10:$B$15,2)</f>
        <v>1.26</v>
      </c>
      <c r="M421" s="14" t="n">
        <f aca="false">IF(F421*(1+'Read me'!$B$5)&lt;='Read me'!$B$7,CEILING(F421*(1+'Read me'!$B$5)+0.5,1)-0.5,CEILING(F421*(1+'Read me'!$B$5),5))</f>
        <v>70</v>
      </c>
      <c r="N421" s="14" t="n">
        <f aca="false">IF(MAX(M421*L421,M421+'Read me'!$B$6)&lt;='Read me'!$B$7,CEILING(MAX(M421*L421,M421+'Read me'!$B$6)+0.5,1)-0.5,CEILING(MAX(M421*L421,M421+'Read me'!$B$6),5))</f>
        <v>90</v>
      </c>
      <c r="O421" s="21" t="n">
        <f aca="false">IF(ISNUMBER(J421),M421-J421,"new")</f>
        <v>50.5</v>
      </c>
    </row>
    <row r="422" customFormat="false" ht="15" hidden="false" customHeight="false" outlineLevel="0" collapsed="false">
      <c r="A422" s="2" t="s">
        <v>553</v>
      </c>
      <c r="B422" s="2" t="s">
        <v>126</v>
      </c>
      <c r="C422" s="2" t="s">
        <v>165</v>
      </c>
      <c r="D422" s="2" t="s">
        <v>13</v>
      </c>
      <c r="E422" s="2" t="s">
        <v>48</v>
      </c>
      <c r="F422" s="14" t="n">
        <v>97.68</v>
      </c>
      <c r="G422" s="2" t="n">
        <v>2</v>
      </c>
      <c r="H422" s="2" t="n">
        <v>51</v>
      </c>
      <c r="I422" s="20" t="n">
        <v>1.11</v>
      </c>
      <c r="J422" s="14" t="n">
        <v>24.5</v>
      </c>
      <c r="K422" s="14" t="n">
        <v>75</v>
      </c>
      <c r="L422" s="20" t="n">
        <f aca="false">INDEX('Read me'!$B$10:$B$15,3)</f>
        <v>1.35</v>
      </c>
      <c r="M422" s="14" t="n">
        <f aca="false">IF(F422*(1+'Read me'!$B$5)&lt;='Read me'!$B$7,CEILING(F422*(1+'Read me'!$B$5)+0.5,1)-0.5,CEILING(F422*(1+'Read me'!$B$5),5))</f>
        <v>100</v>
      </c>
      <c r="N422" s="14" t="n">
        <f aca="false">IF(MAX(M422*L422,M422+'Read me'!$B$6)&lt;='Read me'!$B$7,CEILING(MAX(M422*L422,M422+'Read me'!$B$6)+0.5,1)-0.5,CEILING(MAX(M422*L422,M422+'Read me'!$B$6),5))</f>
        <v>135</v>
      </c>
      <c r="O422" s="21" t="n">
        <f aca="false">IF(ISNUMBER(J422),M422-J422,"new")</f>
        <v>75.5</v>
      </c>
    </row>
    <row r="423" customFormat="false" ht="15" hidden="false" customHeight="false" outlineLevel="0" collapsed="false">
      <c r="A423" s="2" t="s">
        <v>554</v>
      </c>
      <c r="B423" s="2" t="s">
        <v>126</v>
      </c>
      <c r="C423" s="2" t="s">
        <v>165</v>
      </c>
      <c r="D423" s="2" t="s">
        <v>13</v>
      </c>
      <c r="E423" s="2" t="s">
        <v>49</v>
      </c>
      <c r="F423" s="14" t="n">
        <v>103.72</v>
      </c>
      <c r="G423" s="2" t="n">
        <v>0</v>
      </c>
      <c r="H423" s="2" t="n">
        <v>51</v>
      </c>
      <c r="I423" s="20" t="n">
        <v>1.11</v>
      </c>
      <c r="J423" s="14" t="n">
        <v>24.5</v>
      </c>
      <c r="K423" s="14" t="n">
        <v>75</v>
      </c>
      <c r="L423" s="20" t="n">
        <f aca="false">INDEX('Read me'!$B$10:$B$15,3)</f>
        <v>1.35</v>
      </c>
      <c r="M423" s="14" t="n">
        <f aca="false">IF(F423*(1+'Read me'!$B$5)&lt;='Read me'!$B$7,CEILING(F423*(1+'Read me'!$B$5)+0.5,1)-0.5,CEILING(F423*(1+'Read me'!$B$5),5))</f>
        <v>105</v>
      </c>
      <c r="N423" s="14" t="n">
        <f aca="false">IF(MAX(M423*L423,M423+'Read me'!$B$6)&lt;='Read me'!$B$7,CEILING(MAX(M423*L423,M423+'Read me'!$B$6)+0.5,1)-0.5,CEILING(MAX(M423*L423,M423+'Read me'!$B$6),5))</f>
        <v>145</v>
      </c>
      <c r="O423" s="21" t="n">
        <f aca="false">IF(ISNUMBER(J423),M423-J423,"new")</f>
        <v>80.5</v>
      </c>
    </row>
    <row r="424" customFormat="false" ht="15" hidden="false" customHeight="false" outlineLevel="0" collapsed="false">
      <c r="A424" s="2" t="s">
        <v>555</v>
      </c>
      <c r="B424" s="2" t="s">
        <v>126</v>
      </c>
      <c r="C424" s="2" t="s">
        <v>165</v>
      </c>
      <c r="D424" s="2" t="s">
        <v>13</v>
      </c>
      <c r="E424" s="2" t="s">
        <v>50</v>
      </c>
      <c r="F424" s="14" t="n">
        <v>139.48</v>
      </c>
      <c r="G424" s="2" t="n">
        <v>0</v>
      </c>
      <c r="H424" s="2" t="n">
        <v>51</v>
      </c>
      <c r="I424" s="20" t="n">
        <v>1.11</v>
      </c>
      <c r="J424" s="14" t="n">
        <v>85</v>
      </c>
      <c r="K424" s="14" t="n">
        <v>125</v>
      </c>
      <c r="L424" s="20" t="n">
        <f aca="false">INDEX('Read me'!$B$10:$B$15,3)</f>
        <v>1.35</v>
      </c>
      <c r="M424" s="14" t="n">
        <f aca="false">IF(F424*(1+'Read me'!$B$5)&lt;='Read me'!$B$7,CEILING(F424*(1+'Read me'!$B$5)+0.5,1)-0.5,CEILING(F424*(1+'Read me'!$B$5),5))</f>
        <v>140</v>
      </c>
      <c r="N424" s="14" t="n">
        <f aca="false">IF(MAX(M424*L424,M424+'Read me'!$B$6)&lt;='Read me'!$B$7,CEILING(MAX(M424*L424,M424+'Read me'!$B$6)+0.5,1)-0.5,CEILING(MAX(M424*L424,M424+'Read me'!$B$6),5))</f>
        <v>190</v>
      </c>
      <c r="O424" s="21" t="n">
        <f aca="false">IF(ISNUMBER(J424),M424-J424,"new")</f>
        <v>55</v>
      </c>
    </row>
    <row r="425" customFormat="false" ht="15" hidden="false" customHeight="false" outlineLevel="0" collapsed="false">
      <c r="A425" s="2" t="s">
        <v>556</v>
      </c>
      <c r="B425" s="2" t="s">
        <v>126</v>
      </c>
      <c r="C425" s="2" t="s">
        <v>165</v>
      </c>
      <c r="D425" s="2" t="s">
        <v>14</v>
      </c>
      <c r="E425" s="2" t="s">
        <v>48</v>
      </c>
      <c r="F425" s="14" t="n">
        <v>159.65</v>
      </c>
      <c r="G425" s="2" t="n">
        <v>0</v>
      </c>
      <c r="H425" s="2" t="n">
        <v>51</v>
      </c>
      <c r="I425" s="20" t="n">
        <v>1.11</v>
      </c>
      <c r="J425" s="14" t="n">
        <v>85</v>
      </c>
      <c r="K425" s="14" t="n">
        <v>125</v>
      </c>
      <c r="L425" s="20" t="n">
        <f aca="false">INDEX('Read me'!$B$10:$B$15,4)</f>
        <v>1.2</v>
      </c>
      <c r="M425" s="14" t="n">
        <f aca="false">IF(F425*(1+'Read me'!$B$5)&lt;='Read me'!$B$7,CEILING(F425*(1+'Read me'!$B$5)+0.5,1)-0.5,CEILING(F425*(1+'Read me'!$B$5),5))</f>
        <v>160</v>
      </c>
      <c r="N425" s="14" t="n">
        <f aca="false">IF(MAX(M425*L425,M425+'Read me'!$B$6)&lt;='Read me'!$B$7,CEILING(MAX(M425*L425,M425+'Read me'!$B$6)+0.5,1)-0.5,CEILING(MAX(M425*L425,M425+'Read me'!$B$6),5))</f>
        <v>195</v>
      </c>
      <c r="O425" s="21" t="n">
        <f aca="false">IF(ISNUMBER(J425),M425-J425,"new")</f>
        <v>75</v>
      </c>
    </row>
    <row r="426" customFormat="false" ht="15" hidden="false" customHeight="false" outlineLevel="0" collapsed="false">
      <c r="A426" s="2" t="s">
        <v>557</v>
      </c>
      <c r="B426" s="2" t="s">
        <v>126</v>
      </c>
      <c r="C426" s="2" t="s">
        <v>165</v>
      </c>
      <c r="D426" s="2" t="s">
        <v>14</v>
      </c>
      <c r="E426" s="2" t="s">
        <v>49</v>
      </c>
      <c r="F426" s="14" t="n">
        <v>215.32</v>
      </c>
      <c r="G426" s="2" t="n">
        <v>3</v>
      </c>
      <c r="H426" s="2" t="n">
        <v>51</v>
      </c>
      <c r="I426" s="20" t="n">
        <v>1.11</v>
      </c>
      <c r="J426" s="14" t="n">
        <v>125</v>
      </c>
      <c r="K426" s="14" t="n">
        <v>125</v>
      </c>
      <c r="L426" s="20" t="n">
        <f aca="false">INDEX('Read me'!$B$10:$B$15,4)</f>
        <v>1.2</v>
      </c>
      <c r="M426" s="14" t="n">
        <f aca="false">IF(F426*(1+'Read me'!$B$5)&lt;='Read me'!$B$7,CEILING(F426*(1+'Read me'!$B$5)+0.5,1)-0.5,CEILING(F426*(1+'Read me'!$B$5),5))</f>
        <v>220</v>
      </c>
      <c r="N426" s="14" t="n">
        <f aca="false">IF(MAX(M426*L426,M426+'Read me'!$B$6)&lt;='Read me'!$B$7,CEILING(MAX(M426*L426,M426+'Read me'!$B$6)+0.5,1)-0.5,CEILING(MAX(M426*L426,M426+'Read me'!$B$6),5))</f>
        <v>265</v>
      </c>
      <c r="O426" s="21" t="n">
        <f aca="false">IF(ISNUMBER(J426),M426-J426,"new")</f>
        <v>95</v>
      </c>
    </row>
    <row r="427" customFormat="false" ht="15" hidden="false" customHeight="false" outlineLevel="0" collapsed="false">
      <c r="A427" s="2" t="s">
        <v>558</v>
      </c>
      <c r="B427" s="2" t="s">
        <v>126</v>
      </c>
      <c r="C427" s="2" t="s">
        <v>165</v>
      </c>
      <c r="D427" s="2" t="s">
        <v>14</v>
      </c>
      <c r="E427" s="2" t="s">
        <v>50</v>
      </c>
      <c r="F427" s="14" t="n">
        <v>230.58</v>
      </c>
      <c r="G427" s="2" t="n">
        <v>1</v>
      </c>
      <c r="H427" s="2" t="n">
        <v>51</v>
      </c>
      <c r="I427" s="20" t="n">
        <v>1.11</v>
      </c>
      <c r="J427" s="14" t="n">
        <v>199</v>
      </c>
      <c r="K427" s="14" t="n">
        <v>175</v>
      </c>
      <c r="L427" s="20" t="n">
        <f aca="false">INDEX('Read me'!$B$10:$B$15,4)</f>
        <v>1.2</v>
      </c>
      <c r="M427" s="14" t="n">
        <f aca="false">IF(F427*(1+'Read me'!$B$5)&lt;='Read me'!$B$7,CEILING(F427*(1+'Read me'!$B$5)+0.5,1)-0.5,CEILING(F427*(1+'Read me'!$B$5),5))</f>
        <v>235</v>
      </c>
      <c r="N427" s="14" t="n">
        <f aca="false">IF(MAX(M427*L427,M427+'Read me'!$B$6)&lt;='Read me'!$B$7,CEILING(MAX(M427*L427,M427+'Read me'!$B$6)+0.5,1)-0.5,CEILING(MAX(M427*L427,M427+'Read me'!$B$6),5))</f>
        <v>285</v>
      </c>
      <c r="O427" s="21" t="n">
        <f aca="false">IF(ISNUMBER(J427),M427-J427,"new")</f>
        <v>36</v>
      </c>
    </row>
    <row r="428" customFormat="false" ht="15" hidden="false" customHeight="false" outlineLevel="0" collapsed="false">
      <c r="A428" s="2" t="s">
        <v>559</v>
      </c>
      <c r="B428" s="2" t="s">
        <v>126</v>
      </c>
      <c r="C428" s="2" t="s">
        <v>165</v>
      </c>
      <c r="D428" s="2" t="s">
        <v>15</v>
      </c>
      <c r="E428" s="2" t="s">
        <v>48</v>
      </c>
      <c r="F428" s="14" t="n">
        <v>202.63</v>
      </c>
      <c r="G428" s="2" t="n">
        <v>0</v>
      </c>
      <c r="H428" s="2" t="n">
        <v>51</v>
      </c>
      <c r="I428" s="20" t="n">
        <v>1.11</v>
      </c>
      <c r="J428" s="14" t="n">
        <v>250</v>
      </c>
      <c r="K428" s="14" t="n">
        <v>300</v>
      </c>
      <c r="L428" s="20" t="n">
        <f aca="false">INDEX('Read me'!$B$10:$B$15,5)</f>
        <v>1.2</v>
      </c>
      <c r="M428" s="14" t="n">
        <f aca="false">IF(F428*(1+'Read me'!$B$5)&lt;='Read me'!$B$7,CEILING(F428*(1+'Read me'!$B$5)+0.5,1)-0.5,CEILING(F428*(1+'Read me'!$B$5),5))</f>
        <v>205</v>
      </c>
      <c r="N428" s="14" t="n">
        <f aca="false">IF(MAX(M428*L428,M428+'Read me'!$B$6)&lt;='Read me'!$B$7,CEILING(MAX(M428*L428,M428+'Read me'!$B$6)+0.5,1)-0.5,CEILING(MAX(M428*L428,M428+'Read me'!$B$6),5))</f>
        <v>250</v>
      </c>
      <c r="O428" s="21" t="n">
        <f aca="false">IF(ISNUMBER(J428),M428-J428,"new")</f>
        <v>-45</v>
      </c>
    </row>
    <row r="429" customFormat="false" ht="15" hidden="false" customHeight="false" outlineLevel="0" collapsed="false">
      <c r="A429" s="2" t="s">
        <v>560</v>
      </c>
      <c r="B429" s="2" t="s">
        <v>126</v>
      </c>
      <c r="C429" s="2" t="s">
        <v>165</v>
      </c>
      <c r="D429" s="2" t="s">
        <v>15</v>
      </c>
      <c r="E429" s="2" t="s">
        <v>49</v>
      </c>
      <c r="F429" s="14" t="n">
        <v>249.99</v>
      </c>
      <c r="G429" s="2" t="n">
        <v>0</v>
      </c>
      <c r="H429" s="2" t="n">
        <v>51</v>
      </c>
      <c r="I429" s="20" t="n">
        <v>1.11</v>
      </c>
      <c r="J429" s="14" t="n">
        <v>250</v>
      </c>
      <c r="K429" s="14" t="n">
        <v>300</v>
      </c>
      <c r="L429" s="20" t="n">
        <f aca="false">INDEX('Read me'!$B$10:$B$15,5)</f>
        <v>1.2</v>
      </c>
      <c r="M429" s="14" t="n">
        <f aca="false">N429</f>
        <v>300</v>
      </c>
      <c r="N429" s="14" t="n">
        <f aca="false">IF(MAX((IF(F429*(1+'Read me'!$B$5)&lt;='Read me'!$B$7,CEILING(F429*(1+'Read me'!$B$5)+0.5,1)-0.5,CEILING(F429*(1+'Read me'!$B$5),5)))*L429,(IF(F429*(1+'Read me'!$B$5)&lt;='Read me'!$B$7,CEILING(F429*(1+'Read me'!$B$5)+0.5,1)-0.5,CEILING(F429*(1+'Read me'!$B$5),5)))+'Read me'!$B$6)&lt;='Read me'!$B$7,CEILING(MAX((IF(F429*(1+'Read me'!$B$5)&lt;='Read me'!$B$7,CEILING(F429*(1+'Read me'!$B$5)+0.5,1)-0.5,CEILING(F429*(1+'Read me'!$B$5),5)))*L429,(IF(F429*(1+'Read me'!$B$5)&lt;='Read me'!$B$7,CEILING(F429*(1+'Read me'!$B$5)+0.5,1)-0.5,CEILING(F429*(1+'Read me'!$B$5),5)))+'Read me'!$B$6)+0.5,1)-0.5,CEILING(MAX((IF(F429*(1+'Read me'!$B$5)&lt;='Read me'!$B$7,CEILING(F429*(1+'Read me'!$B$5)+0.5,1)-0.5,CEILING(F429*(1+'Read me'!$B$5),5)))*L429,(IF(F429*(1+'Read me'!$B$5)&lt;='Read me'!$B$7,CEILING(F429*(1+'Read me'!$B$5)+0.5,1)-0.5,CEILING(F429*(1+'Read me'!$B$5),5)))+'Read me'!$B$6),5))</f>
        <v>300</v>
      </c>
      <c r="O429" s="21" t="n">
        <f aca="false">IF(ISNUMBER(J429),M429-J429,"new")</f>
        <v>50</v>
      </c>
      <c r="P429" s="5" t="s">
        <v>140</v>
      </c>
    </row>
    <row r="430" customFormat="false" ht="15" hidden="false" customHeight="false" outlineLevel="0" collapsed="false">
      <c r="A430" s="2" t="s">
        <v>561</v>
      </c>
      <c r="B430" s="2" t="s">
        <v>126</v>
      </c>
      <c r="C430" s="2" t="s">
        <v>165</v>
      </c>
      <c r="D430" s="2" t="s">
        <v>15</v>
      </c>
      <c r="E430" s="2" t="s">
        <v>50</v>
      </c>
      <c r="F430" s="14" t="n">
        <v>300.86</v>
      </c>
      <c r="G430" s="2" t="n">
        <v>1</v>
      </c>
      <c r="H430" s="2" t="n">
        <v>51</v>
      </c>
      <c r="I430" s="20" t="n">
        <v>1.11</v>
      </c>
      <c r="J430" s="14" t="n">
        <v>300</v>
      </c>
      <c r="K430" s="14" t="n">
        <v>400</v>
      </c>
      <c r="L430" s="20" t="n">
        <f aca="false">INDEX('Read me'!$B$10:$B$15,5)</f>
        <v>1.2</v>
      </c>
      <c r="M430" s="14" t="n">
        <f aca="false">N430</f>
        <v>370</v>
      </c>
      <c r="N430" s="14" t="n">
        <f aca="false">IF(MAX((IF(F430*(1+'Read me'!$B$5)&lt;='Read me'!$B$7,CEILING(F430*(1+'Read me'!$B$5)+0.5,1)-0.5,CEILING(F430*(1+'Read me'!$B$5),5)))*L430,(IF(F430*(1+'Read me'!$B$5)&lt;='Read me'!$B$7,CEILING(F430*(1+'Read me'!$B$5)+0.5,1)-0.5,CEILING(F430*(1+'Read me'!$B$5),5)))+'Read me'!$B$6)&lt;='Read me'!$B$7,CEILING(MAX((IF(F430*(1+'Read me'!$B$5)&lt;='Read me'!$B$7,CEILING(F430*(1+'Read me'!$B$5)+0.5,1)-0.5,CEILING(F430*(1+'Read me'!$B$5),5)))*L430,(IF(F430*(1+'Read me'!$B$5)&lt;='Read me'!$B$7,CEILING(F430*(1+'Read me'!$B$5)+0.5,1)-0.5,CEILING(F430*(1+'Read me'!$B$5),5)))+'Read me'!$B$6)+0.5,1)-0.5,CEILING(MAX((IF(F430*(1+'Read me'!$B$5)&lt;='Read me'!$B$7,CEILING(F430*(1+'Read me'!$B$5)+0.5,1)-0.5,CEILING(F430*(1+'Read me'!$B$5),5)))*L430,(IF(F430*(1+'Read me'!$B$5)&lt;='Read me'!$B$7,CEILING(F430*(1+'Read me'!$B$5)+0.5,1)-0.5,CEILING(F430*(1+'Read me'!$B$5),5)))+'Read me'!$B$6),5))</f>
        <v>370</v>
      </c>
      <c r="O430" s="21" t="n">
        <f aca="false">IF(ISNUMBER(J430),M430-J430,"new")</f>
        <v>70</v>
      </c>
      <c r="P430" s="5" t="s">
        <v>140</v>
      </c>
    </row>
    <row r="431" customFormat="false" ht="15" hidden="false" customHeight="false" outlineLevel="0" collapsed="false">
      <c r="A431" s="2" t="s">
        <v>562</v>
      </c>
      <c r="B431" s="2" t="s">
        <v>126</v>
      </c>
      <c r="C431" s="2" t="s">
        <v>165</v>
      </c>
      <c r="D431" s="2" t="s">
        <v>16</v>
      </c>
      <c r="E431" s="2" t="s">
        <v>48</v>
      </c>
      <c r="F431" s="14" t="n">
        <v>281.37</v>
      </c>
      <c r="G431" s="2" t="n">
        <v>0</v>
      </c>
      <c r="H431" s="2" t="n">
        <v>51</v>
      </c>
      <c r="I431" s="20" t="n">
        <v>1.11</v>
      </c>
      <c r="J431" s="14"/>
      <c r="K431" s="14"/>
      <c r="L431" s="20" t="n">
        <f aca="false">INDEX('Read me'!$B$10:$B$15,6)</f>
        <v>1.2</v>
      </c>
      <c r="M431" s="14" t="n">
        <f aca="false">IF(F431*(1+'Read me'!$B$5)&lt;='Read me'!$B$7,CEILING(F431*(1+'Read me'!$B$5)+0.5,1)-0.5,CEILING(F431*(1+'Read me'!$B$5),5))</f>
        <v>285</v>
      </c>
      <c r="N431" s="14" t="n">
        <f aca="false">IF(MAX(M431*L431,M431+'Read me'!$B$6)&lt;='Read me'!$B$7,CEILING(MAX(M431*L431,M431+'Read me'!$B$6)+0.5,1)-0.5,CEILING(MAX(M431*L431,M431+'Read me'!$B$6),5))</f>
        <v>345</v>
      </c>
      <c r="O431" s="21" t="str">
        <f aca="false">IF(ISNUMBER(J431),M431-J431,"new")</f>
        <v>new</v>
      </c>
    </row>
    <row r="432" customFormat="false" ht="15" hidden="false" customHeight="false" outlineLevel="0" collapsed="false">
      <c r="A432" s="2" t="s">
        <v>563</v>
      </c>
      <c r="B432" s="2" t="s">
        <v>126</v>
      </c>
      <c r="C432" s="2" t="s">
        <v>165</v>
      </c>
      <c r="D432" s="2" t="s">
        <v>16</v>
      </c>
      <c r="E432" s="2" t="s">
        <v>49</v>
      </c>
      <c r="F432" s="14" t="n">
        <v>355.29</v>
      </c>
      <c r="G432" s="2" t="n">
        <v>2</v>
      </c>
      <c r="H432" s="2" t="n">
        <v>51</v>
      </c>
      <c r="I432" s="20" t="n">
        <v>1.11</v>
      </c>
      <c r="J432" s="14"/>
      <c r="K432" s="14"/>
      <c r="L432" s="20" t="n">
        <f aca="false">INDEX('Read me'!$B$10:$B$15,6)</f>
        <v>1.2</v>
      </c>
      <c r="M432" s="14" t="n">
        <f aca="false">N432</f>
        <v>435</v>
      </c>
      <c r="N432" s="14" t="n">
        <f aca="false">IF(MAX((IF(F432*(1+'Read me'!$B$5)&lt;='Read me'!$B$7,CEILING(F432*(1+'Read me'!$B$5)+0.5,1)-0.5,CEILING(F432*(1+'Read me'!$B$5),5)))*L432,(IF(F432*(1+'Read me'!$B$5)&lt;='Read me'!$B$7,CEILING(F432*(1+'Read me'!$B$5)+0.5,1)-0.5,CEILING(F432*(1+'Read me'!$B$5),5)))+'Read me'!$B$6)&lt;='Read me'!$B$7,CEILING(MAX((IF(F432*(1+'Read me'!$B$5)&lt;='Read me'!$B$7,CEILING(F432*(1+'Read me'!$B$5)+0.5,1)-0.5,CEILING(F432*(1+'Read me'!$B$5),5)))*L432,(IF(F432*(1+'Read me'!$B$5)&lt;='Read me'!$B$7,CEILING(F432*(1+'Read me'!$B$5)+0.5,1)-0.5,CEILING(F432*(1+'Read me'!$B$5),5)))+'Read me'!$B$6)+0.5,1)-0.5,CEILING(MAX((IF(F432*(1+'Read me'!$B$5)&lt;='Read me'!$B$7,CEILING(F432*(1+'Read me'!$B$5)+0.5,1)-0.5,CEILING(F432*(1+'Read me'!$B$5),5)))*L432,(IF(F432*(1+'Read me'!$B$5)&lt;='Read me'!$B$7,CEILING(F432*(1+'Read me'!$B$5)+0.5,1)-0.5,CEILING(F432*(1+'Read me'!$B$5),5)))+'Read me'!$B$6),5))</f>
        <v>435</v>
      </c>
      <c r="O432" s="21" t="str">
        <f aca="false">IF(ISNUMBER(J432),M432-J432,"new")</f>
        <v>new</v>
      </c>
      <c r="P432" s="5" t="s">
        <v>140</v>
      </c>
    </row>
    <row r="433" customFormat="false" ht="15" hidden="false" customHeight="false" outlineLevel="0" collapsed="false">
      <c r="A433" s="2" t="s">
        <v>564</v>
      </c>
      <c r="B433" s="2" t="s">
        <v>126</v>
      </c>
      <c r="C433" s="2" t="s">
        <v>165</v>
      </c>
      <c r="D433" s="2" t="s">
        <v>16</v>
      </c>
      <c r="E433" s="2" t="s">
        <v>50</v>
      </c>
      <c r="F433" s="14" t="n">
        <v>424.95</v>
      </c>
      <c r="G433" s="2" t="n">
        <v>0</v>
      </c>
      <c r="H433" s="2" t="n">
        <v>51</v>
      </c>
      <c r="I433" s="20" t="n">
        <v>1.11</v>
      </c>
      <c r="J433" s="14"/>
      <c r="K433" s="14"/>
      <c r="L433" s="20" t="n">
        <f aca="false">INDEX('Read me'!$B$10:$B$15,6)</f>
        <v>1.2</v>
      </c>
      <c r="M433" s="14" t="n">
        <f aca="false">N433</f>
        <v>510</v>
      </c>
      <c r="N433" s="14" t="n">
        <f aca="false">IF(MAX((IF(F433*(1+'Read me'!$B$5)&lt;='Read me'!$B$7,CEILING(F433*(1+'Read me'!$B$5)+0.5,1)-0.5,CEILING(F433*(1+'Read me'!$B$5),5)))*L433,(IF(F433*(1+'Read me'!$B$5)&lt;='Read me'!$B$7,CEILING(F433*(1+'Read me'!$B$5)+0.5,1)-0.5,CEILING(F433*(1+'Read me'!$B$5),5)))+'Read me'!$B$6)&lt;='Read me'!$B$7,CEILING(MAX((IF(F433*(1+'Read me'!$B$5)&lt;='Read me'!$B$7,CEILING(F433*(1+'Read me'!$B$5)+0.5,1)-0.5,CEILING(F433*(1+'Read me'!$B$5),5)))*L433,(IF(F433*(1+'Read me'!$B$5)&lt;='Read me'!$B$7,CEILING(F433*(1+'Read me'!$B$5)+0.5,1)-0.5,CEILING(F433*(1+'Read me'!$B$5),5)))+'Read me'!$B$6)+0.5,1)-0.5,CEILING(MAX((IF(F433*(1+'Read me'!$B$5)&lt;='Read me'!$B$7,CEILING(F433*(1+'Read me'!$B$5)+0.5,1)-0.5,CEILING(F433*(1+'Read me'!$B$5),5)))*L433,(IF(F433*(1+'Read me'!$B$5)&lt;='Read me'!$B$7,CEILING(F433*(1+'Read me'!$B$5)+0.5,1)-0.5,CEILING(F433*(1+'Read me'!$B$5),5)))+'Read me'!$B$6),5))</f>
        <v>510</v>
      </c>
      <c r="O433" s="21" t="str">
        <f aca="false">IF(ISNUMBER(J433),M433-J433,"new")</f>
        <v>new</v>
      </c>
      <c r="P433" s="5" t="s">
        <v>140</v>
      </c>
    </row>
    <row r="434" customFormat="false" ht="15" hidden="false" customHeight="false" outlineLevel="0" collapsed="false">
      <c r="A434" s="2" t="s">
        <v>565</v>
      </c>
      <c r="B434" s="2" t="s">
        <v>126</v>
      </c>
      <c r="C434" s="2" t="s">
        <v>184</v>
      </c>
      <c r="D434" s="2" t="s">
        <v>10</v>
      </c>
      <c r="E434" s="2" t="s">
        <v>48</v>
      </c>
      <c r="F434" s="14" t="n">
        <v>12.6</v>
      </c>
      <c r="G434" s="2" t="n">
        <v>16</v>
      </c>
      <c r="H434" s="2" t="n">
        <v>131</v>
      </c>
      <c r="I434" s="20" t="n">
        <v>1.01</v>
      </c>
      <c r="J434" s="14" t="n">
        <v>14.5</v>
      </c>
      <c r="K434" s="14" t="n">
        <v>19.5</v>
      </c>
      <c r="L434" s="20" t="n">
        <f aca="false">INDEX('Read me'!$B$10:$B$15,1)</f>
        <v>1.34</v>
      </c>
      <c r="M434" s="14" t="n">
        <f aca="false">IF(F434*(1+'Read me'!$B$5)&lt;='Read me'!$B$7,CEILING(F434*(1+'Read me'!$B$5)+0.5,1)-0.5,CEILING(F434*(1+'Read me'!$B$5),5))</f>
        <v>13.5</v>
      </c>
      <c r="N434" s="14" t="n">
        <f aca="false">IF(MAX(M434*L434,M434+'Read me'!$B$6)&lt;='Read me'!$B$7,CEILING(MAX(M434*L434,M434+'Read me'!$B$6)+0.5,1)-0.5,CEILING(MAX(M434*L434,M434+'Read me'!$B$6),5))</f>
        <v>18.5</v>
      </c>
      <c r="O434" s="21" t="n">
        <f aca="false">IF(ISNUMBER(J434),M434-J434,"new")</f>
        <v>-1</v>
      </c>
    </row>
    <row r="435" customFormat="false" ht="15" hidden="false" customHeight="false" outlineLevel="0" collapsed="false">
      <c r="A435" s="2" t="s">
        <v>566</v>
      </c>
      <c r="B435" s="2" t="s">
        <v>126</v>
      </c>
      <c r="C435" s="2" t="s">
        <v>184</v>
      </c>
      <c r="D435" s="2" t="s">
        <v>10</v>
      </c>
      <c r="E435" s="2" t="s">
        <v>49</v>
      </c>
      <c r="F435" s="14" t="n">
        <v>14.54</v>
      </c>
      <c r="G435" s="2" t="n">
        <v>28</v>
      </c>
      <c r="H435" s="2" t="n">
        <v>131</v>
      </c>
      <c r="I435" s="20" t="n">
        <v>1.01</v>
      </c>
      <c r="J435" s="14" t="n">
        <v>14.5</v>
      </c>
      <c r="K435" s="14" t="n">
        <v>19.5</v>
      </c>
      <c r="L435" s="20" t="n">
        <f aca="false">INDEX('Read me'!$B$10:$B$15,1)</f>
        <v>1.34</v>
      </c>
      <c r="M435" s="14" t="n">
        <f aca="false">IF(F435*(1+'Read me'!$B$5)&lt;='Read me'!$B$7,CEILING(F435*(1+'Read me'!$B$5)+0.5,1)-0.5,CEILING(F435*(1+'Read me'!$B$5),5))</f>
        <v>15.5</v>
      </c>
      <c r="N435" s="14" t="n">
        <f aca="false">IF(MAX(M435*L435,M435+'Read me'!$B$6)&lt;='Read me'!$B$7,CEILING(MAX(M435*L435,M435+'Read me'!$B$6)+0.5,1)-0.5,CEILING(MAX(M435*L435,M435+'Read me'!$B$6),5))</f>
        <v>21.5</v>
      </c>
      <c r="O435" s="21" t="n">
        <f aca="false">IF(ISNUMBER(J435),M435-J435,"new")</f>
        <v>1</v>
      </c>
    </row>
    <row r="436" customFormat="false" ht="15" hidden="false" customHeight="false" outlineLevel="0" collapsed="false">
      <c r="A436" s="2" t="s">
        <v>567</v>
      </c>
      <c r="B436" s="2" t="s">
        <v>126</v>
      </c>
      <c r="C436" s="2" t="s">
        <v>184</v>
      </c>
      <c r="D436" s="2" t="s">
        <v>10</v>
      </c>
      <c r="E436" s="2" t="s">
        <v>50</v>
      </c>
      <c r="F436" s="14" t="n">
        <v>18.53</v>
      </c>
      <c r="G436" s="2" t="n">
        <v>6</v>
      </c>
      <c r="H436" s="2" t="n">
        <v>131</v>
      </c>
      <c r="I436" s="20" t="n">
        <v>1.01</v>
      </c>
      <c r="J436" s="14" t="n">
        <v>17.5</v>
      </c>
      <c r="K436" s="14" t="n">
        <v>29.5</v>
      </c>
      <c r="L436" s="20" t="n">
        <f aca="false">INDEX('Read me'!$B$10:$B$15,1)</f>
        <v>1.34</v>
      </c>
      <c r="M436" s="14" t="n">
        <f aca="false">IF(F436*(1+'Read me'!$B$5)&lt;='Read me'!$B$7,CEILING(F436*(1+'Read me'!$B$5)+0.5,1)-0.5,CEILING(F436*(1+'Read me'!$B$5),5))</f>
        <v>19.5</v>
      </c>
      <c r="N436" s="14" t="n">
        <f aca="false">IF(MAX(M436*L436,M436+'Read me'!$B$6)&lt;='Read me'!$B$7,CEILING(MAX(M436*L436,M436+'Read me'!$B$6)+0.5,1)-0.5,CEILING(MAX(M436*L436,M436+'Read me'!$B$6),5))</f>
        <v>26.5</v>
      </c>
      <c r="O436" s="21" t="n">
        <f aca="false">IF(ISNUMBER(J436),M436-J436,"new")</f>
        <v>2</v>
      </c>
    </row>
    <row r="437" customFormat="false" ht="15" hidden="false" customHeight="false" outlineLevel="0" collapsed="false">
      <c r="A437" s="2" t="s">
        <v>568</v>
      </c>
      <c r="B437" s="2" t="s">
        <v>126</v>
      </c>
      <c r="C437" s="2" t="s">
        <v>184</v>
      </c>
      <c r="D437" s="2" t="s">
        <v>12</v>
      </c>
      <c r="E437" s="2" t="s">
        <v>48</v>
      </c>
      <c r="F437" s="14" t="n">
        <v>47.93</v>
      </c>
      <c r="G437" s="2" t="n">
        <v>19</v>
      </c>
      <c r="H437" s="2" t="n">
        <v>131</v>
      </c>
      <c r="I437" s="20" t="n">
        <v>1.01</v>
      </c>
      <c r="J437" s="14" t="n">
        <v>19.5</v>
      </c>
      <c r="K437" s="14" t="n">
        <v>24.5</v>
      </c>
      <c r="L437" s="20" t="n">
        <f aca="false">INDEX('Read me'!$B$10:$B$15,2)</f>
        <v>1.26</v>
      </c>
      <c r="M437" s="14" t="n">
        <f aca="false">IF(F437*(1+'Read me'!$B$5)&lt;='Read me'!$B$7,CEILING(F437*(1+'Read me'!$B$5)+0.5,1)-0.5,CEILING(F437*(1+'Read me'!$B$5),5))</f>
        <v>50</v>
      </c>
      <c r="N437" s="14" t="n">
        <f aca="false">IF(MAX(M437*L437,M437+'Read me'!$B$6)&lt;='Read me'!$B$7,CEILING(MAX(M437*L437,M437+'Read me'!$B$6)+0.5,1)-0.5,CEILING(MAX(M437*L437,M437+'Read me'!$B$6),5))</f>
        <v>65</v>
      </c>
      <c r="O437" s="21" t="n">
        <f aca="false">IF(ISNUMBER(J437),M437-J437,"new")</f>
        <v>30.5</v>
      </c>
    </row>
    <row r="438" customFormat="false" ht="15" hidden="false" customHeight="false" outlineLevel="0" collapsed="false">
      <c r="A438" s="2" t="s">
        <v>569</v>
      </c>
      <c r="B438" s="2" t="s">
        <v>126</v>
      </c>
      <c r="C438" s="2" t="s">
        <v>184</v>
      </c>
      <c r="D438" s="2" t="s">
        <v>12</v>
      </c>
      <c r="E438" s="2" t="s">
        <v>49</v>
      </c>
      <c r="F438" s="14" t="n">
        <v>51.25</v>
      </c>
      <c r="G438" s="2" t="n">
        <v>34</v>
      </c>
      <c r="H438" s="2" t="n">
        <v>131</v>
      </c>
      <c r="I438" s="20" t="n">
        <v>1.01</v>
      </c>
      <c r="J438" s="14" t="n">
        <v>19.5</v>
      </c>
      <c r="K438" s="14" t="n">
        <v>24.5</v>
      </c>
      <c r="L438" s="20" t="n">
        <f aca="false">INDEX('Read me'!$B$10:$B$15,2)</f>
        <v>1.26</v>
      </c>
      <c r="M438" s="14" t="n">
        <f aca="false">IF(F438*(1+'Read me'!$B$5)&lt;='Read me'!$B$7,CEILING(F438*(1+'Read me'!$B$5)+0.5,1)-0.5,CEILING(F438*(1+'Read me'!$B$5),5))</f>
        <v>55</v>
      </c>
      <c r="N438" s="14" t="n">
        <f aca="false">IF(MAX(M438*L438,M438+'Read me'!$B$6)&lt;='Read me'!$B$7,CEILING(MAX(M438*L438,M438+'Read me'!$B$6)+0.5,1)-0.5,CEILING(MAX(M438*L438,M438+'Read me'!$B$6),5))</f>
        <v>70</v>
      </c>
      <c r="O438" s="21" t="n">
        <f aca="false">IF(ISNUMBER(J438),M438-J438,"new")</f>
        <v>35.5</v>
      </c>
    </row>
    <row r="439" customFormat="false" ht="15" hidden="false" customHeight="false" outlineLevel="0" collapsed="false">
      <c r="A439" s="2" t="s">
        <v>570</v>
      </c>
      <c r="B439" s="2" t="s">
        <v>126</v>
      </c>
      <c r="C439" s="2" t="s">
        <v>184</v>
      </c>
      <c r="D439" s="2" t="s">
        <v>12</v>
      </c>
      <c r="E439" s="2" t="s">
        <v>50</v>
      </c>
      <c r="F439" s="14" t="n">
        <v>59.48</v>
      </c>
      <c r="G439" s="2" t="n">
        <v>11</v>
      </c>
      <c r="H439" s="2" t="n">
        <v>131</v>
      </c>
      <c r="I439" s="20" t="n">
        <v>1.01</v>
      </c>
      <c r="J439" s="14" t="n">
        <v>19.5</v>
      </c>
      <c r="K439" s="14" t="n">
        <v>34.5</v>
      </c>
      <c r="L439" s="20" t="n">
        <f aca="false">INDEX('Read me'!$B$10:$B$15,2)</f>
        <v>1.26</v>
      </c>
      <c r="M439" s="14" t="n">
        <f aca="false">IF(F439*(1+'Read me'!$B$5)&lt;='Read me'!$B$7,CEILING(F439*(1+'Read me'!$B$5)+0.5,1)-0.5,CEILING(F439*(1+'Read me'!$B$5),5))</f>
        <v>60</v>
      </c>
      <c r="N439" s="14" t="n">
        <f aca="false">IF(MAX(M439*L439,M439+'Read me'!$B$6)&lt;='Read me'!$B$7,CEILING(MAX(M439*L439,M439+'Read me'!$B$6)+0.5,1)-0.5,CEILING(MAX(M439*L439,M439+'Read me'!$B$6),5))</f>
        <v>80</v>
      </c>
      <c r="O439" s="21" t="n">
        <f aca="false">IF(ISNUMBER(J439),M439-J439,"new")</f>
        <v>40.5</v>
      </c>
    </row>
    <row r="440" customFormat="false" ht="15" hidden="false" customHeight="false" outlineLevel="0" collapsed="false">
      <c r="A440" s="2" t="s">
        <v>571</v>
      </c>
      <c r="B440" s="2" t="s">
        <v>126</v>
      </c>
      <c r="C440" s="2" t="s">
        <v>184</v>
      </c>
      <c r="D440" s="2" t="s">
        <v>13</v>
      </c>
      <c r="E440" s="2" t="s">
        <v>48</v>
      </c>
      <c r="F440" s="14" t="n">
        <v>86.66</v>
      </c>
      <c r="G440" s="2" t="n">
        <v>5</v>
      </c>
      <c r="H440" s="2" t="n">
        <v>131</v>
      </c>
      <c r="I440" s="20" t="n">
        <v>1.01</v>
      </c>
      <c r="J440" s="14" t="n">
        <v>24.5</v>
      </c>
      <c r="K440" s="14" t="n">
        <v>75</v>
      </c>
      <c r="L440" s="20" t="n">
        <f aca="false">INDEX('Read me'!$B$10:$B$15,3)</f>
        <v>1.35</v>
      </c>
      <c r="M440" s="14" t="n">
        <f aca="false">IF(F440*(1+'Read me'!$B$5)&lt;='Read me'!$B$7,CEILING(F440*(1+'Read me'!$B$5)+0.5,1)-0.5,CEILING(F440*(1+'Read me'!$B$5),5))</f>
        <v>90</v>
      </c>
      <c r="N440" s="14" t="n">
        <f aca="false">IF(MAX(M440*L440,M440+'Read me'!$B$6)&lt;='Read me'!$B$7,CEILING(MAX(M440*L440,M440+'Read me'!$B$6)+0.5,1)-0.5,CEILING(MAX(M440*L440,M440+'Read me'!$B$6),5))</f>
        <v>125</v>
      </c>
      <c r="O440" s="21" t="n">
        <f aca="false">IF(ISNUMBER(J440),M440-J440,"new")</f>
        <v>65.5</v>
      </c>
    </row>
    <row r="441" customFormat="false" ht="15" hidden="false" customHeight="false" outlineLevel="0" collapsed="false">
      <c r="A441" s="2" t="s">
        <v>572</v>
      </c>
      <c r="B441" s="2" t="s">
        <v>126</v>
      </c>
      <c r="C441" s="2" t="s">
        <v>184</v>
      </c>
      <c r="D441" s="2" t="s">
        <v>13</v>
      </c>
      <c r="E441" s="2" t="s">
        <v>49</v>
      </c>
      <c r="F441" s="14" t="n">
        <v>94.32</v>
      </c>
      <c r="G441" s="2" t="n">
        <v>5</v>
      </c>
      <c r="H441" s="2" t="n">
        <v>131</v>
      </c>
      <c r="I441" s="20" t="n">
        <v>1.01</v>
      </c>
      <c r="J441" s="14" t="n">
        <v>24.5</v>
      </c>
      <c r="K441" s="14" t="n">
        <v>75</v>
      </c>
      <c r="L441" s="20" t="n">
        <f aca="false">INDEX('Read me'!$B$10:$B$15,3)</f>
        <v>1.35</v>
      </c>
      <c r="M441" s="14" t="n">
        <f aca="false">IF(F441*(1+'Read me'!$B$5)&lt;='Read me'!$B$7,CEILING(F441*(1+'Read me'!$B$5)+0.5,1)-0.5,CEILING(F441*(1+'Read me'!$B$5),5))</f>
        <v>95</v>
      </c>
      <c r="N441" s="14" t="n">
        <f aca="false">IF(MAX(M441*L441,M441+'Read me'!$B$6)&lt;='Read me'!$B$7,CEILING(MAX(M441*L441,M441+'Read me'!$B$6)+0.5,1)-0.5,CEILING(MAX(M441*L441,M441+'Read me'!$B$6),5))</f>
        <v>130</v>
      </c>
      <c r="O441" s="21" t="n">
        <f aca="false">IF(ISNUMBER(J441),M441-J441,"new")</f>
        <v>70.5</v>
      </c>
    </row>
    <row r="442" customFormat="false" ht="15" hidden="false" customHeight="false" outlineLevel="0" collapsed="false">
      <c r="A442" s="2" t="s">
        <v>573</v>
      </c>
      <c r="B442" s="2" t="s">
        <v>126</v>
      </c>
      <c r="C442" s="2" t="s">
        <v>184</v>
      </c>
      <c r="D442" s="2" t="s">
        <v>13</v>
      </c>
      <c r="E442" s="2" t="s">
        <v>50</v>
      </c>
      <c r="F442" s="14" t="n">
        <v>135.97</v>
      </c>
      <c r="G442" s="2" t="n">
        <v>4</v>
      </c>
      <c r="H442" s="2" t="n">
        <v>131</v>
      </c>
      <c r="I442" s="20" t="n">
        <v>1.01</v>
      </c>
      <c r="J442" s="14" t="n">
        <v>85</v>
      </c>
      <c r="K442" s="14" t="n">
        <v>125</v>
      </c>
      <c r="L442" s="20" t="n">
        <f aca="false">INDEX('Read me'!$B$10:$B$15,3)</f>
        <v>1.35</v>
      </c>
      <c r="M442" s="14" t="n">
        <f aca="false">IF(F442*(1+'Read me'!$B$5)&lt;='Read me'!$B$7,CEILING(F442*(1+'Read me'!$B$5)+0.5,1)-0.5,CEILING(F442*(1+'Read me'!$B$5),5))</f>
        <v>140</v>
      </c>
      <c r="N442" s="14" t="n">
        <f aca="false">IF(MAX(M442*L442,M442+'Read me'!$B$6)&lt;='Read me'!$B$7,CEILING(MAX(M442*L442,M442+'Read me'!$B$6)+0.5,1)-0.5,CEILING(MAX(M442*L442,M442+'Read me'!$B$6),5))</f>
        <v>190</v>
      </c>
      <c r="O442" s="21" t="n">
        <f aca="false">IF(ISNUMBER(J442),M442-J442,"new")</f>
        <v>55</v>
      </c>
    </row>
    <row r="443" customFormat="false" ht="15" hidden="false" customHeight="false" outlineLevel="0" collapsed="false">
      <c r="A443" s="2" t="s">
        <v>574</v>
      </c>
      <c r="B443" s="2" t="s">
        <v>126</v>
      </c>
      <c r="C443" s="2" t="s">
        <v>184</v>
      </c>
      <c r="D443" s="2" t="s">
        <v>14</v>
      </c>
      <c r="E443" s="2" t="s">
        <v>48</v>
      </c>
      <c r="F443" s="14" t="n">
        <v>154.28</v>
      </c>
      <c r="G443" s="2" t="n">
        <v>1</v>
      </c>
      <c r="H443" s="2" t="n">
        <v>131</v>
      </c>
      <c r="I443" s="20" t="n">
        <v>1.01</v>
      </c>
      <c r="J443" s="14" t="n">
        <v>85</v>
      </c>
      <c r="K443" s="14" t="n">
        <v>125</v>
      </c>
      <c r="L443" s="20" t="n">
        <f aca="false">INDEX('Read me'!$B$10:$B$15,4)</f>
        <v>1.2</v>
      </c>
      <c r="M443" s="14" t="n">
        <f aca="false">IF(F443*(1+'Read me'!$B$5)&lt;='Read me'!$B$7,CEILING(F443*(1+'Read me'!$B$5)+0.5,1)-0.5,CEILING(F443*(1+'Read me'!$B$5),5))</f>
        <v>155</v>
      </c>
      <c r="N443" s="14" t="n">
        <f aca="false">IF(MAX(M443*L443,M443+'Read me'!$B$6)&lt;='Read me'!$B$7,CEILING(MAX(M443*L443,M443+'Read me'!$B$6)+0.5,1)-0.5,CEILING(MAX(M443*L443,M443+'Read me'!$B$6),5))</f>
        <v>190</v>
      </c>
      <c r="O443" s="21" t="n">
        <f aca="false">IF(ISNUMBER(J443),M443-J443,"new")</f>
        <v>70</v>
      </c>
    </row>
    <row r="444" customFormat="false" ht="15" hidden="false" customHeight="false" outlineLevel="0" collapsed="false">
      <c r="A444" s="2" t="s">
        <v>575</v>
      </c>
      <c r="B444" s="2" t="s">
        <v>126</v>
      </c>
      <c r="C444" s="2" t="s">
        <v>184</v>
      </c>
      <c r="D444" s="2" t="s">
        <v>14</v>
      </c>
      <c r="E444" s="2" t="s">
        <v>49</v>
      </c>
      <c r="F444" s="14" t="n">
        <v>183.84</v>
      </c>
      <c r="G444" s="2" t="n">
        <v>1</v>
      </c>
      <c r="H444" s="2" t="n">
        <v>131</v>
      </c>
      <c r="I444" s="20" t="n">
        <v>1.01</v>
      </c>
      <c r="J444" s="14" t="n">
        <v>125</v>
      </c>
      <c r="K444" s="14" t="n">
        <v>125</v>
      </c>
      <c r="L444" s="20" t="n">
        <f aca="false">INDEX('Read me'!$B$10:$B$15,4)</f>
        <v>1.2</v>
      </c>
      <c r="M444" s="14" t="n">
        <f aca="false">IF(F444*(1+'Read me'!$B$5)&lt;='Read me'!$B$7,CEILING(F444*(1+'Read me'!$B$5)+0.5,1)-0.5,CEILING(F444*(1+'Read me'!$B$5),5))</f>
        <v>185</v>
      </c>
      <c r="N444" s="14" t="n">
        <f aca="false">IF(MAX(M444*L444,M444+'Read me'!$B$6)&lt;='Read me'!$B$7,CEILING(MAX(M444*L444,M444+'Read me'!$B$6)+0.5,1)-0.5,CEILING(MAX(M444*L444,M444+'Read me'!$B$6),5))</f>
        <v>225</v>
      </c>
      <c r="O444" s="21" t="n">
        <f aca="false">IF(ISNUMBER(J444),M444-J444,"new")</f>
        <v>60</v>
      </c>
    </row>
    <row r="445" customFormat="false" ht="15" hidden="false" customHeight="false" outlineLevel="0" collapsed="false">
      <c r="A445" s="2" t="s">
        <v>576</v>
      </c>
      <c r="B445" s="2" t="s">
        <v>126</v>
      </c>
      <c r="C445" s="2" t="s">
        <v>184</v>
      </c>
      <c r="D445" s="2" t="s">
        <v>14</v>
      </c>
      <c r="E445" s="2" t="s">
        <v>50</v>
      </c>
      <c r="F445" s="14" t="n">
        <v>249.49</v>
      </c>
      <c r="G445" s="2" t="n">
        <v>1</v>
      </c>
      <c r="H445" s="2" t="n">
        <v>131</v>
      </c>
      <c r="I445" s="20" t="n">
        <v>1.01</v>
      </c>
      <c r="J445" s="14" t="n">
        <v>199</v>
      </c>
      <c r="K445" s="14" t="n">
        <v>175</v>
      </c>
      <c r="L445" s="20" t="n">
        <f aca="false">INDEX('Read me'!$B$10:$B$15,4)</f>
        <v>1.2</v>
      </c>
      <c r="M445" s="14" t="n">
        <f aca="false">IF(F445*(1+'Read me'!$B$5)&lt;='Read me'!$B$7,CEILING(F445*(1+'Read me'!$B$5)+0.5,1)-0.5,CEILING(F445*(1+'Read me'!$B$5),5))</f>
        <v>250</v>
      </c>
      <c r="N445" s="14" t="n">
        <f aca="false">IF(MAX(M445*L445,M445+'Read me'!$B$6)&lt;='Read me'!$B$7,CEILING(MAX(M445*L445,M445+'Read me'!$B$6)+0.5,1)-0.5,CEILING(MAX(M445*L445,M445+'Read me'!$B$6),5))</f>
        <v>300</v>
      </c>
      <c r="O445" s="21" t="n">
        <f aca="false">IF(ISNUMBER(J445),M445-J445,"new")</f>
        <v>51</v>
      </c>
    </row>
    <row r="446" customFormat="false" ht="15" hidden="false" customHeight="false" outlineLevel="0" collapsed="false">
      <c r="A446" s="2" t="s">
        <v>577</v>
      </c>
      <c r="B446" s="2" t="s">
        <v>126</v>
      </c>
      <c r="C446" s="2" t="s">
        <v>184</v>
      </c>
      <c r="D446" s="2" t="s">
        <v>15</v>
      </c>
      <c r="E446" s="2" t="s">
        <v>48</v>
      </c>
      <c r="F446" s="14" t="n">
        <v>183.06</v>
      </c>
      <c r="G446" s="2" t="n">
        <v>0</v>
      </c>
      <c r="H446" s="2" t="n">
        <v>131</v>
      </c>
      <c r="I446" s="20" t="n">
        <v>1.01</v>
      </c>
      <c r="J446" s="14" t="n">
        <v>250</v>
      </c>
      <c r="K446" s="14" t="n">
        <v>300</v>
      </c>
      <c r="L446" s="20" t="n">
        <f aca="false">INDEX('Read me'!$B$10:$B$15,5)</f>
        <v>1.2</v>
      </c>
      <c r="M446" s="14" t="n">
        <f aca="false">IF(F446*(1+'Read me'!$B$5)&lt;='Read me'!$B$7,CEILING(F446*(1+'Read me'!$B$5)+0.5,1)-0.5,CEILING(F446*(1+'Read me'!$B$5),5))</f>
        <v>185</v>
      </c>
      <c r="N446" s="14" t="n">
        <f aca="false">IF(MAX(M446*L446,M446+'Read me'!$B$6)&lt;='Read me'!$B$7,CEILING(MAX(M446*L446,M446+'Read me'!$B$6)+0.5,1)-0.5,CEILING(MAX(M446*L446,M446+'Read me'!$B$6),5))</f>
        <v>225</v>
      </c>
      <c r="O446" s="21" t="n">
        <f aca="false">IF(ISNUMBER(J446),M446-J446,"new")</f>
        <v>-65</v>
      </c>
    </row>
    <row r="447" customFormat="false" ht="15" hidden="false" customHeight="false" outlineLevel="0" collapsed="false">
      <c r="A447" s="2" t="s">
        <v>578</v>
      </c>
      <c r="B447" s="2" t="s">
        <v>126</v>
      </c>
      <c r="C447" s="2" t="s">
        <v>184</v>
      </c>
      <c r="D447" s="2" t="s">
        <v>15</v>
      </c>
      <c r="E447" s="2" t="s">
        <v>49</v>
      </c>
      <c r="F447" s="14" t="n">
        <v>225.84</v>
      </c>
      <c r="G447" s="2" t="n">
        <v>0</v>
      </c>
      <c r="H447" s="2" t="n">
        <v>131</v>
      </c>
      <c r="I447" s="20" t="n">
        <v>1.01</v>
      </c>
      <c r="J447" s="14" t="n">
        <v>250</v>
      </c>
      <c r="K447" s="14" t="n">
        <v>300</v>
      </c>
      <c r="L447" s="20" t="n">
        <f aca="false">INDEX('Read me'!$B$10:$B$15,5)</f>
        <v>1.2</v>
      </c>
      <c r="M447" s="14" t="n">
        <f aca="false">N447</f>
        <v>280</v>
      </c>
      <c r="N447" s="14" t="n">
        <f aca="false">IF(MAX((IF(F447*(1+'Read me'!$B$5)&lt;='Read me'!$B$7,CEILING(F447*(1+'Read me'!$B$5)+0.5,1)-0.5,CEILING(F447*(1+'Read me'!$B$5),5)))*L447,(IF(F447*(1+'Read me'!$B$5)&lt;='Read me'!$B$7,CEILING(F447*(1+'Read me'!$B$5)+0.5,1)-0.5,CEILING(F447*(1+'Read me'!$B$5),5)))+'Read me'!$B$6)&lt;='Read me'!$B$7,CEILING(MAX((IF(F447*(1+'Read me'!$B$5)&lt;='Read me'!$B$7,CEILING(F447*(1+'Read me'!$B$5)+0.5,1)-0.5,CEILING(F447*(1+'Read me'!$B$5),5)))*L447,(IF(F447*(1+'Read me'!$B$5)&lt;='Read me'!$B$7,CEILING(F447*(1+'Read me'!$B$5)+0.5,1)-0.5,CEILING(F447*(1+'Read me'!$B$5),5)))+'Read me'!$B$6)+0.5,1)-0.5,CEILING(MAX((IF(F447*(1+'Read me'!$B$5)&lt;='Read me'!$B$7,CEILING(F447*(1+'Read me'!$B$5)+0.5,1)-0.5,CEILING(F447*(1+'Read me'!$B$5),5)))*L447,(IF(F447*(1+'Read me'!$B$5)&lt;='Read me'!$B$7,CEILING(F447*(1+'Read me'!$B$5)+0.5,1)-0.5,CEILING(F447*(1+'Read me'!$B$5),5)))+'Read me'!$B$6),5))</f>
        <v>280</v>
      </c>
      <c r="O447" s="21" t="n">
        <f aca="false">IF(ISNUMBER(J447),M447-J447,"new")</f>
        <v>30</v>
      </c>
      <c r="P447" s="5" t="s">
        <v>140</v>
      </c>
    </row>
    <row r="448" customFormat="false" ht="15" hidden="false" customHeight="false" outlineLevel="0" collapsed="false">
      <c r="A448" s="2" t="s">
        <v>579</v>
      </c>
      <c r="B448" s="2" t="s">
        <v>126</v>
      </c>
      <c r="C448" s="2" t="s">
        <v>184</v>
      </c>
      <c r="D448" s="2" t="s">
        <v>15</v>
      </c>
      <c r="E448" s="2" t="s">
        <v>50</v>
      </c>
      <c r="F448" s="14" t="n">
        <v>271.36</v>
      </c>
      <c r="G448" s="2" t="n">
        <v>0</v>
      </c>
      <c r="H448" s="2" t="n">
        <v>131</v>
      </c>
      <c r="I448" s="20" t="n">
        <v>1.01</v>
      </c>
      <c r="J448" s="14" t="n">
        <v>300</v>
      </c>
      <c r="K448" s="14" t="n">
        <v>400</v>
      </c>
      <c r="L448" s="20" t="n">
        <f aca="false">INDEX('Read me'!$B$10:$B$15,5)</f>
        <v>1.2</v>
      </c>
      <c r="M448" s="14" t="n">
        <f aca="false">N448</f>
        <v>330</v>
      </c>
      <c r="N448" s="14" t="n">
        <f aca="false">IF(MAX((IF(F448*(1+'Read me'!$B$5)&lt;='Read me'!$B$7,CEILING(F448*(1+'Read me'!$B$5)+0.5,1)-0.5,CEILING(F448*(1+'Read me'!$B$5),5)))*L448,(IF(F448*(1+'Read me'!$B$5)&lt;='Read me'!$B$7,CEILING(F448*(1+'Read me'!$B$5)+0.5,1)-0.5,CEILING(F448*(1+'Read me'!$B$5),5)))+'Read me'!$B$6)&lt;='Read me'!$B$7,CEILING(MAX((IF(F448*(1+'Read me'!$B$5)&lt;='Read me'!$B$7,CEILING(F448*(1+'Read me'!$B$5)+0.5,1)-0.5,CEILING(F448*(1+'Read me'!$B$5),5)))*L448,(IF(F448*(1+'Read me'!$B$5)&lt;='Read me'!$B$7,CEILING(F448*(1+'Read me'!$B$5)+0.5,1)-0.5,CEILING(F448*(1+'Read me'!$B$5),5)))+'Read me'!$B$6)+0.5,1)-0.5,CEILING(MAX((IF(F448*(1+'Read me'!$B$5)&lt;='Read me'!$B$7,CEILING(F448*(1+'Read me'!$B$5)+0.5,1)-0.5,CEILING(F448*(1+'Read me'!$B$5),5)))*L448,(IF(F448*(1+'Read me'!$B$5)&lt;='Read me'!$B$7,CEILING(F448*(1+'Read me'!$B$5)+0.5,1)-0.5,CEILING(F448*(1+'Read me'!$B$5),5)))+'Read me'!$B$6),5))</f>
        <v>330</v>
      </c>
      <c r="O448" s="21" t="n">
        <f aca="false">IF(ISNUMBER(J448),M448-J448,"new")</f>
        <v>30</v>
      </c>
      <c r="P448" s="5" t="s">
        <v>140</v>
      </c>
    </row>
    <row r="449" customFormat="false" ht="15" hidden="false" customHeight="false" outlineLevel="0" collapsed="false">
      <c r="A449" s="2" t="s">
        <v>580</v>
      </c>
      <c r="B449" s="2" t="s">
        <v>126</v>
      </c>
      <c r="C449" s="2" t="s">
        <v>184</v>
      </c>
      <c r="D449" s="2" t="s">
        <v>16</v>
      </c>
      <c r="E449" s="2" t="s">
        <v>48</v>
      </c>
      <c r="F449" s="14" t="n">
        <v>254.18</v>
      </c>
      <c r="G449" s="2" t="n">
        <v>0</v>
      </c>
      <c r="H449" s="2" t="n">
        <v>131</v>
      </c>
      <c r="I449" s="20" t="n">
        <v>1.01</v>
      </c>
      <c r="J449" s="14"/>
      <c r="K449" s="14"/>
      <c r="L449" s="20" t="n">
        <f aca="false">INDEX('Read me'!$B$10:$B$15,6)</f>
        <v>1.2</v>
      </c>
      <c r="M449" s="14" t="n">
        <f aca="false">IF(F449*(1+'Read me'!$B$5)&lt;='Read me'!$B$7,CEILING(F449*(1+'Read me'!$B$5)+0.5,1)-0.5,CEILING(F449*(1+'Read me'!$B$5),5))</f>
        <v>255</v>
      </c>
      <c r="N449" s="14" t="n">
        <f aca="false">IF(MAX(M449*L449,M449+'Read me'!$B$6)&lt;='Read me'!$B$7,CEILING(MAX(M449*L449,M449+'Read me'!$B$6)+0.5,1)-0.5,CEILING(MAX(M449*L449,M449+'Read me'!$B$6),5))</f>
        <v>310</v>
      </c>
      <c r="O449" s="21" t="str">
        <f aca="false">IF(ISNUMBER(J449),M449-J449,"new")</f>
        <v>new</v>
      </c>
    </row>
    <row r="450" customFormat="false" ht="15" hidden="false" customHeight="false" outlineLevel="0" collapsed="false">
      <c r="A450" s="2" t="s">
        <v>581</v>
      </c>
      <c r="B450" s="2" t="s">
        <v>126</v>
      </c>
      <c r="C450" s="2" t="s">
        <v>184</v>
      </c>
      <c r="D450" s="2" t="s">
        <v>16</v>
      </c>
      <c r="E450" s="2" t="s">
        <v>49</v>
      </c>
      <c r="F450" s="14" t="n">
        <v>326.62</v>
      </c>
      <c r="G450" s="2" t="n">
        <v>0</v>
      </c>
      <c r="H450" s="2" t="n">
        <v>131</v>
      </c>
      <c r="I450" s="20" t="n">
        <v>1.01</v>
      </c>
      <c r="J450" s="14"/>
      <c r="K450" s="14"/>
      <c r="L450" s="20" t="n">
        <f aca="false">INDEX('Read me'!$B$10:$B$15,6)</f>
        <v>1.2</v>
      </c>
      <c r="M450" s="14" t="n">
        <f aca="false">N450</f>
        <v>400</v>
      </c>
      <c r="N450" s="14" t="n">
        <f aca="false">IF(MAX((IF(F450*(1+'Read me'!$B$5)&lt;='Read me'!$B$7,CEILING(F450*(1+'Read me'!$B$5)+0.5,1)-0.5,CEILING(F450*(1+'Read me'!$B$5),5)))*L450,(IF(F450*(1+'Read me'!$B$5)&lt;='Read me'!$B$7,CEILING(F450*(1+'Read me'!$B$5)+0.5,1)-0.5,CEILING(F450*(1+'Read me'!$B$5),5)))+'Read me'!$B$6)&lt;='Read me'!$B$7,CEILING(MAX((IF(F450*(1+'Read me'!$B$5)&lt;='Read me'!$B$7,CEILING(F450*(1+'Read me'!$B$5)+0.5,1)-0.5,CEILING(F450*(1+'Read me'!$B$5),5)))*L450,(IF(F450*(1+'Read me'!$B$5)&lt;='Read me'!$B$7,CEILING(F450*(1+'Read me'!$B$5)+0.5,1)-0.5,CEILING(F450*(1+'Read me'!$B$5),5)))+'Read me'!$B$6)+0.5,1)-0.5,CEILING(MAX((IF(F450*(1+'Read me'!$B$5)&lt;='Read me'!$B$7,CEILING(F450*(1+'Read me'!$B$5)+0.5,1)-0.5,CEILING(F450*(1+'Read me'!$B$5),5)))*L450,(IF(F450*(1+'Read me'!$B$5)&lt;='Read me'!$B$7,CEILING(F450*(1+'Read me'!$B$5)+0.5,1)-0.5,CEILING(F450*(1+'Read me'!$B$5),5)))+'Read me'!$B$6),5))</f>
        <v>400</v>
      </c>
      <c r="O450" s="21" t="str">
        <f aca="false">IF(ISNUMBER(J450),M450-J450,"new")</f>
        <v>new</v>
      </c>
      <c r="P450" s="5" t="s">
        <v>140</v>
      </c>
    </row>
    <row r="451" customFormat="false" ht="15" hidden="false" customHeight="false" outlineLevel="0" collapsed="false">
      <c r="A451" s="2" t="s">
        <v>582</v>
      </c>
      <c r="B451" s="2" t="s">
        <v>126</v>
      </c>
      <c r="C451" s="2" t="s">
        <v>184</v>
      </c>
      <c r="D451" s="2" t="s">
        <v>16</v>
      </c>
      <c r="E451" s="2" t="s">
        <v>50</v>
      </c>
      <c r="F451" s="14" t="n">
        <v>383.89</v>
      </c>
      <c r="G451" s="2" t="n">
        <v>0</v>
      </c>
      <c r="H451" s="2" t="n">
        <v>131</v>
      </c>
      <c r="I451" s="20" t="n">
        <v>1.01</v>
      </c>
      <c r="J451" s="14"/>
      <c r="K451" s="14"/>
      <c r="L451" s="20" t="n">
        <f aca="false">INDEX('Read me'!$B$10:$B$15,6)</f>
        <v>1.2</v>
      </c>
      <c r="M451" s="14" t="n">
        <f aca="false">N451</f>
        <v>465</v>
      </c>
      <c r="N451" s="14" t="n">
        <f aca="false">IF(MAX((IF(F451*(1+'Read me'!$B$5)&lt;='Read me'!$B$7,CEILING(F451*(1+'Read me'!$B$5)+0.5,1)-0.5,CEILING(F451*(1+'Read me'!$B$5),5)))*L451,(IF(F451*(1+'Read me'!$B$5)&lt;='Read me'!$B$7,CEILING(F451*(1+'Read me'!$B$5)+0.5,1)-0.5,CEILING(F451*(1+'Read me'!$B$5),5)))+'Read me'!$B$6)&lt;='Read me'!$B$7,CEILING(MAX((IF(F451*(1+'Read me'!$B$5)&lt;='Read me'!$B$7,CEILING(F451*(1+'Read me'!$B$5)+0.5,1)-0.5,CEILING(F451*(1+'Read me'!$B$5),5)))*L451,(IF(F451*(1+'Read me'!$B$5)&lt;='Read me'!$B$7,CEILING(F451*(1+'Read me'!$B$5)+0.5,1)-0.5,CEILING(F451*(1+'Read me'!$B$5),5)))+'Read me'!$B$6)+0.5,1)-0.5,CEILING(MAX((IF(F451*(1+'Read me'!$B$5)&lt;='Read me'!$B$7,CEILING(F451*(1+'Read me'!$B$5)+0.5,1)-0.5,CEILING(F451*(1+'Read me'!$B$5),5)))*L451,(IF(F451*(1+'Read me'!$B$5)&lt;='Read me'!$B$7,CEILING(F451*(1+'Read me'!$B$5)+0.5,1)-0.5,CEILING(F451*(1+'Read me'!$B$5),5)))+'Read me'!$B$6),5))</f>
        <v>465</v>
      </c>
      <c r="O451" s="21" t="str">
        <f aca="false">IF(ISNUMBER(J451),M451-J451,"new")</f>
        <v>new</v>
      </c>
      <c r="P451" s="5" t="s">
        <v>140</v>
      </c>
    </row>
    <row r="452" customFormat="false" ht="15" hidden="false" customHeight="false" outlineLevel="0" collapsed="false">
      <c r="A452" s="2" t="s">
        <v>583</v>
      </c>
      <c r="B452" s="2" t="s">
        <v>126</v>
      </c>
      <c r="C452" s="2" t="s">
        <v>221</v>
      </c>
      <c r="D452" s="2" t="s">
        <v>10</v>
      </c>
      <c r="E452" s="2" t="s">
        <v>48</v>
      </c>
      <c r="F452" s="14" t="n">
        <v>13.35</v>
      </c>
      <c r="G452" s="2" t="n">
        <v>4</v>
      </c>
      <c r="H452" s="2" t="n">
        <v>14</v>
      </c>
      <c r="I452" s="20" t="n">
        <v>1.08</v>
      </c>
      <c r="J452" s="14" t="n">
        <v>19.5</v>
      </c>
      <c r="K452" s="14" t="n">
        <v>24.5</v>
      </c>
      <c r="L452" s="20" t="n">
        <f aca="false">INDEX('Read me'!$B$10:$B$15,1)</f>
        <v>1.34</v>
      </c>
      <c r="M452" s="14" t="n">
        <f aca="false">IF(F452*(1+'Read me'!$B$5)&lt;='Read me'!$B$7,CEILING(F452*(1+'Read me'!$B$5)+0.5,1)-0.5,CEILING(F452*(1+'Read me'!$B$5),5))</f>
        <v>13.5</v>
      </c>
      <c r="N452" s="14" t="n">
        <f aca="false">IF(MAX(M452*L452,M452+'Read me'!$B$6)&lt;='Read me'!$B$7,CEILING(MAX(M452*L452,M452+'Read me'!$B$6)+0.5,1)-0.5,CEILING(MAX(M452*L452,M452+'Read me'!$B$6),5))</f>
        <v>18.5</v>
      </c>
      <c r="O452" s="21" t="n">
        <f aca="false">IF(ISNUMBER(J452),M452-J452,"new")</f>
        <v>-6</v>
      </c>
    </row>
    <row r="453" customFormat="false" ht="15" hidden="false" customHeight="false" outlineLevel="0" collapsed="false">
      <c r="A453" s="2" t="s">
        <v>584</v>
      </c>
      <c r="B453" s="2" t="s">
        <v>126</v>
      </c>
      <c r="C453" s="2" t="s">
        <v>221</v>
      </c>
      <c r="D453" s="2" t="s">
        <v>10</v>
      </c>
      <c r="E453" s="2" t="s">
        <v>49</v>
      </c>
      <c r="F453" s="14" t="n">
        <v>16.23</v>
      </c>
      <c r="G453" s="2" t="n">
        <v>5</v>
      </c>
      <c r="H453" s="2" t="n">
        <v>14</v>
      </c>
      <c r="I453" s="20" t="n">
        <v>1.08</v>
      </c>
      <c r="J453" s="14" t="n">
        <v>19.5</v>
      </c>
      <c r="K453" s="14" t="n">
        <v>24.5</v>
      </c>
      <c r="L453" s="20" t="n">
        <f aca="false">INDEX('Read me'!$B$10:$B$15,1)</f>
        <v>1.34</v>
      </c>
      <c r="M453" s="14" t="n">
        <f aca="false">IF(F453*(1+'Read me'!$B$5)&lt;='Read me'!$B$7,CEILING(F453*(1+'Read me'!$B$5)+0.5,1)-0.5,CEILING(F453*(1+'Read me'!$B$5),5))</f>
        <v>16.5</v>
      </c>
      <c r="N453" s="14" t="n">
        <f aca="false">IF(MAX(M453*L453,M453+'Read me'!$B$6)&lt;='Read me'!$B$7,CEILING(MAX(M453*L453,M453+'Read me'!$B$6)+0.5,1)-0.5,CEILING(MAX(M453*L453,M453+'Read me'!$B$6),5))</f>
        <v>22.5</v>
      </c>
      <c r="O453" s="21" t="n">
        <f aca="false">IF(ISNUMBER(J453),M453-J453,"new")</f>
        <v>-3</v>
      </c>
    </row>
    <row r="454" customFormat="false" ht="15" hidden="false" customHeight="false" outlineLevel="0" collapsed="false">
      <c r="A454" s="2" t="s">
        <v>585</v>
      </c>
      <c r="B454" s="2" t="s">
        <v>126</v>
      </c>
      <c r="C454" s="2" t="s">
        <v>221</v>
      </c>
      <c r="D454" s="2" t="s">
        <v>10</v>
      </c>
      <c r="E454" s="2" t="s">
        <v>50</v>
      </c>
      <c r="F454" s="14" t="n">
        <v>21.75</v>
      </c>
      <c r="G454" s="2" t="n">
        <v>1</v>
      </c>
      <c r="H454" s="2" t="n">
        <v>14</v>
      </c>
      <c r="I454" s="20" t="n">
        <v>1.08</v>
      </c>
      <c r="J454" s="14" t="n">
        <v>19.5</v>
      </c>
      <c r="K454" s="14" t="n">
        <v>34.5</v>
      </c>
      <c r="L454" s="20" t="n">
        <f aca="false">INDEX('Read me'!$B$10:$B$15,1)</f>
        <v>1.34</v>
      </c>
      <c r="M454" s="14" t="n">
        <f aca="false">IF(F454*(1+'Read me'!$B$5)&lt;='Read me'!$B$7,CEILING(F454*(1+'Read me'!$B$5)+0.5,1)-0.5,CEILING(F454*(1+'Read me'!$B$5),5))</f>
        <v>22.5</v>
      </c>
      <c r="N454" s="14" t="n">
        <f aca="false">IF(MAX(M454*L454,M454+'Read me'!$B$6)&lt;='Read me'!$B$7,CEILING(MAX(M454*L454,M454+'Read me'!$B$6)+0.5,1)-0.5,CEILING(MAX(M454*L454,M454+'Read me'!$B$6),5))</f>
        <v>35</v>
      </c>
      <c r="O454" s="21" t="n">
        <f aca="false">IF(ISNUMBER(J454),M454-J454,"new")</f>
        <v>3</v>
      </c>
    </row>
    <row r="455" customFormat="false" ht="15" hidden="false" customHeight="false" outlineLevel="0" collapsed="false">
      <c r="A455" s="2" t="s">
        <v>586</v>
      </c>
      <c r="B455" s="2" t="s">
        <v>126</v>
      </c>
      <c r="C455" s="2" t="s">
        <v>221</v>
      </c>
      <c r="D455" s="2" t="s">
        <v>12</v>
      </c>
      <c r="E455" s="2" t="s">
        <v>48</v>
      </c>
      <c r="F455" s="14" t="n">
        <v>57.52</v>
      </c>
      <c r="G455" s="2" t="n">
        <v>1</v>
      </c>
      <c r="H455" s="2" t="n">
        <v>14</v>
      </c>
      <c r="I455" s="20" t="n">
        <v>1.08</v>
      </c>
      <c r="J455" s="14" t="n">
        <v>24.5</v>
      </c>
      <c r="K455" s="14" t="n">
        <v>29.5</v>
      </c>
      <c r="L455" s="20" t="n">
        <f aca="false">INDEX('Read me'!$B$10:$B$15,2)</f>
        <v>1.26</v>
      </c>
      <c r="M455" s="14" t="n">
        <f aca="false">IF(F455*(1+'Read me'!$B$5)&lt;='Read me'!$B$7,CEILING(F455*(1+'Read me'!$B$5)+0.5,1)-0.5,CEILING(F455*(1+'Read me'!$B$5),5))</f>
        <v>60</v>
      </c>
      <c r="N455" s="14" t="n">
        <f aca="false">IF(MAX(M455*L455,M455+'Read me'!$B$6)&lt;='Read me'!$B$7,CEILING(MAX(M455*L455,M455+'Read me'!$B$6)+0.5,1)-0.5,CEILING(MAX(M455*L455,M455+'Read me'!$B$6),5))</f>
        <v>80</v>
      </c>
      <c r="O455" s="21" t="n">
        <f aca="false">IF(ISNUMBER(J455),M455-J455,"new")</f>
        <v>35.5</v>
      </c>
    </row>
    <row r="456" customFormat="false" ht="15" hidden="false" customHeight="false" outlineLevel="0" collapsed="false">
      <c r="A456" s="2" t="s">
        <v>587</v>
      </c>
      <c r="B456" s="2" t="s">
        <v>126</v>
      </c>
      <c r="C456" s="2" t="s">
        <v>221</v>
      </c>
      <c r="D456" s="2" t="s">
        <v>12</v>
      </c>
      <c r="E456" s="2" t="s">
        <v>49</v>
      </c>
      <c r="F456" s="14" t="n">
        <v>57.52</v>
      </c>
      <c r="G456" s="2" t="n">
        <v>0</v>
      </c>
      <c r="H456" s="2" t="n">
        <v>14</v>
      </c>
      <c r="I456" s="20" t="n">
        <v>1.08</v>
      </c>
      <c r="J456" s="14" t="n">
        <v>24.5</v>
      </c>
      <c r="K456" s="14" t="n">
        <v>29.5</v>
      </c>
      <c r="L456" s="20" t="n">
        <f aca="false">INDEX('Read me'!$B$10:$B$15,2)</f>
        <v>1.26</v>
      </c>
      <c r="M456" s="14" t="n">
        <f aca="false">IF(F456*(1+'Read me'!$B$5)&lt;='Read me'!$B$7,CEILING(F456*(1+'Read me'!$B$5)+0.5,1)-0.5,CEILING(F456*(1+'Read me'!$B$5),5))</f>
        <v>60</v>
      </c>
      <c r="N456" s="14" t="n">
        <f aca="false">IF(MAX(M456*L456,M456+'Read me'!$B$6)&lt;='Read me'!$B$7,CEILING(MAX(M456*L456,M456+'Read me'!$B$6)+0.5,1)-0.5,CEILING(MAX(M456*L456,M456+'Read me'!$B$6),5))</f>
        <v>80</v>
      </c>
      <c r="O456" s="21" t="n">
        <f aca="false">IF(ISNUMBER(J456),M456-J456,"new")</f>
        <v>35.5</v>
      </c>
    </row>
    <row r="457" customFormat="false" ht="15" hidden="false" customHeight="false" outlineLevel="0" collapsed="false">
      <c r="A457" s="2" t="s">
        <v>588</v>
      </c>
      <c r="B457" s="2" t="s">
        <v>126</v>
      </c>
      <c r="C457" s="2" t="s">
        <v>221</v>
      </c>
      <c r="D457" s="2" t="s">
        <v>12</v>
      </c>
      <c r="E457" s="2" t="s">
        <v>50</v>
      </c>
      <c r="F457" s="14" t="n">
        <v>103.07</v>
      </c>
      <c r="G457" s="2" t="n">
        <v>1</v>
      </c>
      <c r="H457" s="2" t="n">
        <v>14</v>
      </c>
      <c r="I457" s="20" t="n">
        <v>1.08</v>
      </c>
      <c r="J457" s="14" t="n">
        <v>24.5</v>
      </c>
      <c r="K457" s="14" t="n">
        <v>45</v>
      </c>
      <c r="L457" s="20" t="n">
        <f aca="false">INDEX('Read me'!$B$10:$B$15,2)</f>
        <v>1.26</v>
      </c>
      <c r="M457" s="14" t="n">
        <f aca="false">IF(F457*(1+'Read me'!$B$5)&lt;='Read me'!$B$7,CEILING(F457*(1+'Read me'!$B$5)+0.5,1)-0.5,CEILING(F457*(1+'Read me'!$B$5),5))</f>
        <v>105</v>
      </c>
      <c r="N457" s="14" t="n">
        <f aca="false">IF(MAX(M457*L457,M457+'Read me'!$B$6)&lt;='Read me'!$B$7,CEILING(MAX(M457*L457,M457+'Read me'!$B$6)+0.5,1)-0.5,CEILING(MAX(M457*L457,M457+'Read me'!$B$6),5))</f>
        <v>135</v>
      </c>
      <c r="O457" s="21" t="n">
        <f aca="false">IF(ISNUMBER(J457),M457-J457,"new")</f>
        <v>80.5</v>
      </c>
    </row>
    <row r="458" customFormat="false" ht="15" hidden="false" customHeight="false" outlineLevel="0" collapsed="false">
      <c r="A458" s="2" t="s">
        <v>589</v>
      </c>
      <c r="B458" s="2" t="s">
        <v>126</v>
      </c>
      <c r="C458" s="2" t="s">
        <v>221</v>
      </c>
      <c r="D458" s="2" t="s">
        <v>13</v>
      </c>
      <c r="E458" s="2" t="s">
        <v>48</v>
      </c>
      <c r="F458" s="14" t="n">
        <v>83.32</v>
      </c>
      <c r="G458" s="2" t="n">
        <v>1</v>
      </c>
      <c r="H458" s="2" t="n">
        <v>14</v>
      </c>
      <c r="I458" s="20" t="n">
        <v>1.08</v>
      </c>
      <c r="J458" s="14" t="n">
        <v>45</v>
      </c>
      <c r="K458" s="14" t="n">
        <v>95</v>
      </c>
      <c r="L458" s="20" t="n">
        <f aca="false">INDEX('Read me'!$B$10:$B$15,3)</f>
        <v>1.35</v>
      </c>
      <c r="M458" s="14" t="n">
        <f aca="false">IF(F458*(1+'Read me'!$B$5)&lt;='Read me'!$B$7,CEILING(F458*(1+'Read me'!$B$5)+0.5,1)-0.5,CEILING(F458*(1+'Read me'!$B$5),5))</f>
        <v>85</v>
      </c>
      <c r="N458" s="14" t="n">
        <f aca="false">IF(MAX(M458*L458,M458+'Read me'!$B$6)&lt;='Read me'!$B$7,CEILING(MAX(M458*L458,M458+'Read me'!$B$6)+0.5,1)-0.5,CEILING(MAX(M458*L458,M458+'Read me'!$B$6),5))</f>
        <v>115</v>
      </c>
      <c r="O458" s="21" t="n">
        <f aca="false">IF(ISNUMBER(J458),M458-J458,"new")</f>
        <v>40</v>
      </c>
    </row>
    <row r="459" customFormat="false" ht="15" hidden="false" customHeight="false" outlineLevel="0" collapsed="false">
      <c r="A459" s="2" t="s">
        <v>590</v>
      </c>
      <c r="B459" s="2" t="s">
        <v>126</v>
      </c>
      <c r="C459" s="2" t="s">
        <v>221</v>
      </c>
      <c r="D459" s="2" t="s">
        <v>13</v>
      </c>
      <c r="E459" s="2" t="s">
        <v>49</v>
      </c>
      <c r="F459" s="14" t="n">
        <v>100.8</v>
      </c>
      <c r="G459" s="2" t="n">
        <v>0</v>
      </c>
      <c r="H459" s="2" t="n">
        <v>14</v>
      </c>
      <c r="I459" s="20" t="n">
        <v>1.08</v>
      </c>
      <c r="J459" s="14" t="n">
        <v>45</v>
      </c>
      <c r="K459" s="14" t="n">
        <v>95</v>
      </c>
      <c r="L459" s="20" t="n">
        <f aca="false">INDEX('Read me'!$B$10:$B$15,3)</f>
        <v>1.35</v>
      </c>
      <c r="M459" s="14" t="n">
        <f aca="false">IF(F459*(1+'Read me'!$B$5)&lt;='Read me'!$B$7,CEILING(F459*(1+'Read me'!$B$5)+0.5,1)-0.5,CEILING(F459*(1+'Read me'!$B$5),5))</f>
        <v>105</v>
      </c>
      <c r="N459" s="14" t="n">
        <f aca="false">IF(MAX(M459*L459,M459+'Read me'!$B$6)&lt;='Read me'!$B$7,CEILING(MAX(M459*L459,M459+'Read me'!$B$6)+0.5,1)-0.5,CEILING(MAX(M459*L459,M459+'Read me'!$B$6),5))</f>
        <v>145</v>
      </c>
      <c r="O459" s="21" t="n">
        <f aca="false">IF(ISNUMBER(J459),M459-J459,"new")</f>
        <v>60</v>
      </c>
    </row>
    <row r="460" customFormat="false" ht="15" hidden="false" customHeight="false" outlineLevel="0" collapsed="false">
      <c r="A460" s="2" t="s">
        <v>591</v>
      </c>
      <c r="B460" s="2" t="s">
        <v>126</v>
      </c>
      <c r="C460" s="2" t="s">
        <v>221</v>
      </c>
      <c r="D460" s="2" t="s">
        <v>13</v>
      </c>
      <c r="E460" s="2" t="s">
        <v>50</v>
      </c>
      <c r="F460" s="14" t="n">
        <v>135.56</v>
      </c>
      <c r="G460" s="2" t="n">
        <v>0</v>
      </c>
      <c r="H460" s="2" t="n">
        <v>14</v>
      </c>
      <c r="I460" s="20" t="n">
        <v>1.08</v>
      </c>
      <c r="J460" s="14" t="n">
        <v>99</v>
      </c>
      <c r="K460" s="14" t="n">
        <v>150</v>
      </c>
      <c r="L460" s="20" t="n">
        <f aca="false">INDEX('Read me'!$B$10:$B$15,3)</f>
        <v>1.35</v>
      </c>
      <c r="M460" s="14" t="n">
        <f aca="false">IF(F460*(1+'Read me'!$B$5)&lt;='Read me'!$B$7,CEILING(F460*(1+'Read me'!$B$5)+0.5,1)-0.5,CEILING(F460*(1+'Read me'!$B$5),5))</f>
        <v>140</v>
      </c>
      <c r="N460" s="14" t="n">
        <f aca="false">IF(MAX(M460*L460,M460+'Read me'!$B$6)&lt;='Read me'!$B$7,CEILING(MAX(M460*L460,M460+'Read me'!$B$6)+0.5,1)-0.5,CEILING(MAX(M460*L460,M460+'Read me'!$B$6),5))</f>
        <v>190</v>
      </c>
      <c r="O460" s="21" t="n">
        <f aca="false">IF(ISNUMBER(J460),M460-J460,"new")</f>
        <v>41</v>
      </c>
    </row>
    <row r="461" customFormat="false" ht="15" hidden="false" customHeight="false" outlineLevel="0" collapsed="false">
      <c r="A461" s="2" t="s">
        <v>592</v>
      </c>
      <c r="B461" s="2" t="s">
        <v>126</v>
      </c>
      <c r="C461" s="2" t="s">
        <v>221</v>
      </c>
      <c r="D461" s="2" t="s">
        <v>14</v>
      </c>
      <c r="E461" s="2" t="s">
        <v>48</v>
      </c>
      <c r="F461" s="14" t="n">
        <v>155.16</v>
      </c>
      <c r="G461" s="2" t="n">
        <v>0</v>
      </c>
      <c r="H461" s="2" t="n">
        <v>14</v>
      </c>
      <c r="I461" s="20" t="n">
        <v>1.08</v>
      </c>
      <c r="J461" s="14" t="n">
        <v>99</v>
      </c>
      <c r="K461" s="14" t="n">
        <v>150</v>
      </c>
      <c r="L461" s="20" t="n">
        <f aca="false">INDEX('Read me'!$B$10:$B$15,4)</f>
        <v>1.2</v>
      </c>
      <c r="M461" s="14" t="n">
        <f aca="false">IF(F461*(1+'Read me'!$B$5)&lt;='Read me'!$B$7,CEILING(F461*(1+'Read me'!$B$5)+0.5,1)-0.5,CEILING(F461*(1+'Read me'!$B$5),5))</f>
        <v>160</v>
      </c>
      <c r="N461" s="14" t="n">
        <f aca="false">IF(MAX(M461*L461,M461+'Read me'!$B$6)&lt;='Read me'!$B$7,CEILING(MAX(M461*L461,M461+'Read me'!$B$6)+0.5,1)-0.5,CEILING(MAX(M461*L461,M461+'Read me'!$B$6),5))</f>
        <v>195</v>
      </c>
      <c r="O461" s="21" t="n">
        <f aca="false">IF(ISNUMBER(J461),M461-J461,"new")</f>
        <v>61</v>
      </c>
    </row>
    <row r="462" customFormat="false" ht="15" hidden="false" customHeight="false" outlineLevel="0" collapsed="false">
      <c r="A462" s="2" t="s">
        <v>593</v>
      </c>
      <c r="B462" s="2" t="s">
        <v>126</v>
      </c>
      <c r="C462" s="2" t="s">
        <v>221</v>
      </c>
      <c r="D462" s="2" t="s">
        <v>14</v>
      </c>
      <c r="E462" s="2" t="s">
        <v>49</v>
      </c>
      <c r="F462" s="14" t="n">
        <v>186.3</v>
      </c>
      <c r="G462" s="2" t="n">
        <v>0</v>
      </c>
      <c r="H462" s="2" t="n">
        <v>14</v>
      </c>
      <c r="I462" s="20" t="n">
        <v>1.08</v>
      </c>
      <c r="J462" s="14" t="n">
        <v>150</v>
      </c>
      <c r="K462" s="14" t="n">
        <v>150</v>
      </c>
      <c r="L462" s="20" t="n">
        <f aca="false">INDEX('Read me'!$B$10:$B$15,4)</f>
        <v>1.2</v>
      </c>
      <c r="M462" s="14" t="n">
        <f aca="false">IF(F462*(1+'Read me'!$B$5)&lt;='Read me'!$B$7,CEILING(F462*(1+'Read me'!$B$5)+0.5,1)-0.5,CEILING(F462*(1+'Read me'!$B$5),5))</f>
        <v>190</v>
      </c>
      <c r="N462" s="14" t="n">
        <f aca="false">IF(MAX(M462*L462,M462+'Read me'!$B$6)&lt;='Read me'!$B$7,CEILING(MAX(M462*L462,M462+'Read me'!$B$6)+0.5,1)-0.5,CEILING(MAX(M462*L462,M462+'Read me'!$B$6),5))</f>
        <v>230</v>
      </c>
      <c r="O462" s="21" t="n">
        <f aca="false">IF(ISNUMBER(J462),M462-J462,"new")</f>
        <v>40</v>
      </c>
    </row>
    <row r="463" customFormat="false" ht="15" hidden="false" customHeight="false" outlineLevel="0" collapsed="false">
      <c r="A463" s="2" t="s">
        <v>594</v>
      </c>
      <c r="B463" s="2" t="s">
        <v>126</v>
      </c>
      <c r="C463" s="2" t="s">
        <v>221</v>
      </c>
      <c r="D463" s="2" t="s">
        <v>14</v>
      </c>
      <c r="E463" s="2" t="s">
        <v>50</v>
      </c>
      <c r="F463" s="14" t="n">
        <v>245.99</v>
      </c>
      <c r="G463" s="2" t="n">
        <v>1</v>
      </c>
      <c r="H463" s="2" t="n">
        <v>14</v>
      </c>
      <c r="I463" s="20" t="n">
        <v>1.08</v>
      </c>
      <c r="J463" s="14" t="n">
        <v>250</v>
      </c>
      <c r="K463" s="14" t="n">
        <v>195</v>
      </c>
      <c r="L463" s="20" t="n">
        <f aca="false">INDEX('Read me'!$B$10:$B$15,4)</f>
        <v>1.2</v>
      </c>
      <c r="M463" s="14" t="n">
        <f aca="false">IF(F463*(1+'Read me'!$B$5)&lt;='Read me'!$B$7,CEILING(F463*(1+'Read me'!$B$5)+0.5,1)-0.5,CEILING(F463*(1+'Read me'!$B$5),5))</f>
        <v>250</v>
      </c>
      <c r="N463" s="14" t="n">
        <f aca="false">IF(MAX(M463*L463,M463+'Read me'!$B$6)&lt;='Read me'!$B$7,CEILING(MAX(M463*L463,M463+'Read me'!$B$6)+0.5,1)-0.5,CEILING(MAX(M463*L463,M463+'Read me'!$B$6),5))</f>
        <v>300</v>
      </c>
      <c r="O463" s="21" t="n">
        <f aca="false">IF(ISNUMBER(J463),M463-J463,"new")</f>
        <v>0</v>
      </c>
    </row>
    <row r="464" customFormat="false" ht="15" hidden="false" customHeight="false" outlineLevel="0" collapsed="false">
      <c r="A464" s="2" t="s">
        <v>595</v>
      </c>
      <c r="B464" s="2" t="s">
        <v>126</v>
      </c>
      <c r="C464" s="2" t="s">
        <v>221</v>
      </c>
      <c r="D464" s="2" t="s">
        <v>15</v>
      </c>
      <c r="E464" s="2" t="s">
        <v>48</v>
      </c>
      <c r="F464" s="14" t="n">
        <v>196.94</v>
      </c>
      <c r="G464" s="2" t="n">
        <v>0</v>
      </c>
      <c r="H464" s="2" t="n">
        <v>14</v>
      </c>
      <c r="I464" s="20" t="n">
        <v>1.08</v>
      </c>
      <c r="J464" s="14" t="n">
        <v>300</v>
      </c>
      <c r="K464" s="14" t="n">
        <v>300</v>
      </c>
      <c r="L464" s="20" t="n">
        <f aca="false">INDEX('Read me'!$B$10:$B$15,5)</f>
        <v>1.2</v>
      </c>
      <c r="M464" s="14" t="n">
        <f aca="false">IF(F464*(1+'Read me'!$B$5)&lt;='Read me'!$B$7,CEILING(F464*(1+'Read me'!$B$5)+0.5,1)-0.5,CEILING(F464*(1+'Read me'!$B$5),5))</f>
        <v>200</v>
      </c>
      <c r="N464" s="14" t="n">
        <f aca="false">IF(MAX(M464*L464,M464+'Read me'!$B$6)&lt;='Read me'!$B$7,CEILING(MAX(M464*L464,M464+'Read me'!$B$6)+0.5,1)-0.5,CEILING(MAX(M464*L464,M464+'Read me'!$B$6),5))</f>
        <v>240</v>
      </c>
      <c r="O464" s="21" t="n">
        <f aca="false">IF(ISNUMBER(J464),M464-J464,"new")</f>
        <v>-100</v>
      </c>
    </row>
    <row r="465" customFormat="false" ht="15" hidden="false" customHeight="false" outlineLevel="0" collapsed="false">
      <c r="A465" s="2" t="s">
        <v>596</v>
      </c>
      <c r="B465" s="2" t="s">
        <v>126</v>
      </c>
      <c r="C465" s="2" t="s">
        <v>221</v>
      </c>
      <c r="D465" s="2" t="s">
        <v>15</v>
      </c>
      <c r="E465" s="2" t="s">
        <v>49</v>
      </c>
      <c r="F465" s="14" t="n">
        <v>242.97</v>
      </c>
      <c r="G465" s="2" t="n">
        <v>0</v>
      </c>
      <c r="H465" s="2" t="n">
        <v>14</v>
      </c>
      <c r="I465" s="20" t="n">
        <v>1.08</v>
      </c>
      <c r="J465" s="14" t="n">
        <v>300</v>
      </c>
      <c r="K465" s="14" t="n">
        <v>300</v>
      </c>
      <c r="L465" s="20" t="n">
        <f aca="false">INDEX('Read me'!$B$10:$B$15,5)</f>
        <v>1.2</v>
      </c>
      <c r="M465" s="14" t="n">
        <f aca="false">N465</f>
        <v>295</v>
      </c>
      <c r="N465" s="14" t="n">
        <f aca="false">IF(MAX((IF(F465*(1+'Read me'!$B$5)&lt;='Read me'!$B$7,CEILING(F465*(1+'Read me'!$B$5)+0.5,1)-0.5,CEILING(F465*(1+'Read me'!$B$5),5)))*L465,(IF(F465*(1+'Read me'!$B$5)&lt;='Read me'!$B$7,CEILING(F465*(1+'Read me'!$B$5)+0.5,1)-0.5,CEILING(F465*(1+'Read me'!$B$5),5)))+'Read me'!$B$6)&lt;='Read me'!$B$7,CEILING(MAX((IF(F465*(1+'Read me'!$B$5)&lt;='Read me'!$B$7,CEILING(F465*(1+'Read me'!$B$5)+0.5,1)-0.5,CEILING(F465*(1+'Read me'!$B$5),5)))*L465,(IF(F465*(1+'Read me'!$B$5)&lt;='Read me'!$B$7,CEILING(F465*(1+'Read me'!$B$5)+0.5,1)-0.5,CEILING(F465*(1+'Read me'!$B$5),5)))+'Read me'!$B$6)+0.5,1)-0.5,CEILING(MAX((IF(F465*(1+'Read me'!$B$5)&lt;='Read me'!$B$7,CEILING(F465*(1+'Read me'!$B$5)+0.5,1)-0.5,CEILING(F465*(1+'Read me'!$B$5),5)))*L465,(IF(F465*(1+'Read me'!$B$5)&lt;='Read me'!$B$7,CEILING(F465*(1+'Read me'!$B$5)+0.5,1)-0.5,CEILING(F465*(1+'Read me'!$B$5),5)))+'Read me'!$B$6),5))</f>
        <v>295</v>
      </c>
      <c r="O465" s="21" t="n">
        <f aca="false">IF(ISNUMBER(J465),M465-J465,"new")</f>
        <v>-5</v>
      </c>
      <c r="P465" s="5" t="s">
        <v>140</v>
      </c>
    </row>
    <row r="466" customFormat="false" ht="15" hidden="false" customHeight="false" outlineLevel="0" collapsed="false">
      <c r="A466" s="2" t="s">
        <v>597</v>
      </c>
      <c r="B466" s="2" t="s">
        <v>126</v>
      </c>
      <c r="C466" s="2" t="s">
        <v>221</v>
      </c>
      <c r="D466" s="2" t="s">
        <v>15</v>
      </c>
      <c r="E466" s="2" t="s">
        <v>50</v>
      </c>
      <c r="F466" s="14" t="n">
        <v>291.94</v>
      </c>
      <c r="G466" s="2" t="n">
        <v>0</v>
      </c>
      <c r="H466" s="2" t="n">
        <v>14</v>
      </c>
      <c r="I466" s="20" t="n">
        <v>1.08</v>
      </c>
      <c r="J466" s="14" t="n">
        <v>350</v>
      </c>
      <c r="K466" s="14" t="n">
        <v>400</v>
      </c>
      <c r="L466" s="20" t="n">
        <f aca="false">INDEX('Read me'!$B$10:$B$15,5)</f>
        <v>1.2</v>
      </c>
      <c r="M466" s="14" t="n">
        <f aca="false">N466</f>
        <v>355</v>
      </c>
      <c r="N466" s="14" t="n">
        <f aca="false">IF(MAX((IF(F466*(1+'Read me'!$B$5)&lt;='Read me'!$B$7,CEILING(F466*(1+'Read me'!$B$5)+0.5,1)-0.5,CEILING(F466*(1+'Read me'!$B$5),5)))*L466,(IF(F466*(1+'Read me'!$B$5)&lt;='Read me'!$B$7,CEILING(F466*(1+'Read me'!$B$5)+0.5,1)-0.5,CEILING(F466*(1+'Read me'!$B$5),5)))+'Read me'!$B$6)&lt;='Read me'!$B$7,CEILING(MAX((IF(F466*(1+'Read me'!$B$5)&lt;='Read me'!$B$7,CEILING(F466*(1+'Read me'!$B$5)+0.5,1)-0.5,CEILING(F466*(1+'Read me'!$B$5),5)))*L466,(IF(F466*(1+'Read me'!$B$5)&lt;='Read me'!$B$7,CEILING(F466*(1+'Read me'!$B$5)+0.5,1)-0.5,CEILING(F466*(1+'Read me'!$B$5),5)))+'Read me'!$B$6)+0.5,1)-0.5,CEILING(MAX((IF(F466*(1+'Read me'!$B$5)&lt;='Read me'!$B$7,CEILING(F466*(1+'Read me'!$B$5)+0.5,1)-0.5,CEILING(F466*(1+'Read me'!$B$5),5)))*L466,(IF(F466*(1+'Read me'!$B$5)&lt;='Read me'!$B$7,CEILING(F466*(1+'Read me'!$B$5)+0.5,1)-0.5,CEILING(F466*(1+'Read me'!$B$5),5)))+'Read me'!$B$6),5))</f>
        <v>355</v>
      </c>
      <c r="O466" s="21" t="n">
        <f aca="false">IF(ISNUMBER(J466),M466-J466,"new")</f>
        <v>5</v>
      </c>
      <c r="P466" s="5" t="s">
        <v>140</v>
      </c>
    </row>
    <row r="467" customFormat="false" ht="15" hidden="false" customHeight="false" outlineLevel="0" collapsed="false">
      <c r="A467" s="2" t="s">
        <v>598</v>
      </c>
      <c r="B467" s="2" t="s">
        <v>126</v>
      </c>
      <c r="C467" s="2" t="s">
        <v>221</v>
      </c>
      <c r="D467" s="2" t="s">
        <v>16</v>
      </c>
      <c r="E467" s="2" t="s">
        <v>48</v>
      </c>
      <c r="F467" s="14" t="n">
        <v>273.46</v>
      </c>
      <c r="G467" s="2" t="n">
        <v>0</v>
      </c>
      <c r="H467" s="2" t="n">
        <v>14</v>
      </c>
      <c r="I467" s="20" t="n">
        <v>1.08</v>
      </c>
      <c r="J467" s="14"/>
      <c r="K467" s="14"/>
      <c r="L467" s="20" t="n">
        <f aca="false">INDEX('Read me'!$B$10:$B$15,6)</f>
        <v>1.2</v>
      </c>
      <c r="M467" s="14" t="n">
        <f aca="false">IF(F467*(1+'Read me'!$B$5)&lt;='Read me'!$B$7,CEILING(F467*(1+'Read me'!$B$5)+0.5,1)-0.5,CEILING(F467*(1+'Read me'!$B$5),5))</f>
        <v>275</v>
      </c>
      <c r="N467" s="14" t="n">
        <f aca="false">IF(MAX(M467*L467,M467+'Read me'!$B$6)&lt;='Read me'!$B$7,CEILING(MAX(M467*L467,M467+'Read me'!$B$6)+0.5,1)-0.5,CEILING(MAX(M467*L467,M467+'Read me'!$B$6),5))</f>
        <v>330</v>
      </c>
      <c r="O467" s="21" t="str">
        <f aca="false">IF(ISNUMBER(J467),M467-J467,"new")</f>
        <v>new</v>
      </c>
    </row>
    <row r="468" customFormat="false" ht="15" hidden="false" customHeight="false" outlineLevel="0" collapsed="false">
      <c r="A468" s="2" t="s">
        <v>599</v>
      </c>
      <c r="B468" s="2" t="s">
        <v>126</v>
      </c>
      <c r="C468" s="2" t="s">
        <v>221</v>
      </c>
      <c r="D468" s="2" t="s">
        <v>16</v>
      </c>
      <c r="E468" s="2" t="s">
        <v>49</v>
      </c>
      <c r="F468" s="14" t="n">
        <v>351.39</v>
      </c>
      <c r="G468" s="2" t="n">
        <v>0</v>
      </c>
      <c r="H468" s="2" t="n">
        <v>14</v>
      </c>
      <c r="I468" s="20" t="n">
        <v>1.08</v>
      </c>
      <c r="J468" s="14"/>
      <c r="K468" s="14"/>
      <c r="L468" s="20" t="n">
        <f aca="false">INDEX('Read me'!$B$10:$B$15,6)</f>
        <v>1.2</v>
      </c>
      <c r="M468" s="14" t="n">
        <f aca="false">N468</f>
        <v>430</v>
      </c>
      <c r="N468" s="14" t="n">
        <f aca="false">IF(MAX((IF(F468*(1+'Read me'!$B$5)&lt;='Read me'!$B$7,CEILING(F468*(1+'Read me'!$B$5)+0.5,1)-0.5,CEILING(F468*(1+'Read me'!$B$5),5)))*L468,(IF(F468*(1+'Read me'!$B$5)&lt;='Read me'!$B$7,CEILING(F468*(1+'Read me'!$B$5)+0.5,1)-0.5,CEILING(F468*(1+'Read me'!$B$5),5)))+'Read me'!$B$6)&lt;='Read me'!$B$7,CEILING(MAX((IF(F468*(1+'Read me'!$B$5)&lt;='Read me'!$B$7,CEILING(F468*(1+'Read me'!$B$5)+0.5,1)-0.5,CEILING(F468*(1+'Read me'!$B$5),5)))*L468,(IF(F468*(1+'Read me'!$B$5)&lt;='Read me'!$B$7,CEILING(F468*(1+'Read me'!$B$5)+0.5,1)-0.5,CEILING(F468*(1+'Read me'!$B$5),5)))+'Read me'!$B$6)+0.5,1)-0.5,CEILING(MAX((IF(F468*(1+'Read me'!$B$5)&lt;='Read me'!$B$7,CEILING(F468*(1+'Read me'!$B$5)+0.5,1)-0.5,CEILING(F468*(1+'Read me'!$B$5),5)))*L468,(IF(F468*(1+'Read me'!$B$5)&lt;='Read me'!$B$7,CEILING(F468*(1+'Read me'!$B$5)+0.5,1)-0.5,CEILING(F468*(1+'Read me'!$B$5),5)))+'Read me'!$B$6),5))</f>
        <v>430</v>
      </c>
      <c r="O468" s="21" t="str">
        <f aca="false">IF(ISNUMBER(J468),M468-J468,"new")</f>
        <v>new</v>
      </c>
      <c r="P468" s="5" t="s">
        <v>140</v>
      </c>
    </row>
    <row r="469" customFormat="false" ht="15" hidden="false" customHeight="false" outlineLevel="0" collapsed="false">
      <c r="A469" s="2" t="s">
        <v>600</v>
      </c>
      <c r="B469" s="2" t="s">
        <v>126</v>
      </c>
      <c r="C469" s="2" t="s">
        <v>221</v>
      </c>
      <c r="D469" s="2" t="s">
        <v>16</v>
      </c>
      <c r="E469" s="2" t="s">
        <v>50</v>
      </c>
      <c r="F469" s="14" t="n">
        <v>413.01</v>
      </c>
      <c r="G469" s="2" t="n">
        <v>0</v>
      </c>
      <c r="H469" s="2" t="n">
        <v>14</v>
      </c>
      <c r="I469" s="20" t="n">
        <v>1.08</v>
      </c>
      <c r="J469" s="14"/>
      <c r="K469" s="14"/>
      <c r="L469" s="20" t="n">
        <f aca="false">INDEX('Read me'!$B$10:$B$15,6)</f>
        <v>1.2</v>
      </c>
      <c r="M469" s="14" t="n">
        <f aca="false">N469</f>
        <v>500</v>
      </c>
      <c r="N469" s="14" t="n">
        <f aca="false">IF(MAX((IF(F469*(1+'Read me'!$B$5)&lt;='Read me'!$B$7,CEILING(F469*(1+'Read me'!$B$5)+0.5,1)-0.5,CEILING(F469*(1+'Read me'!$B$5),5)))*L469,(IF(F469*(1+'Read me'!$B$5)&lt;='Read me'!$B$7,CEILING(F469*(1+'Read me'!$B$5)+0.5,1)-0.5,CEILING(F469*(1+'Read me'!$B$5),5)))+'Read me'!$B$6)&lt;='Read me'!$B$7,CEILING(MAX((IF(F469*(1+'Read me'!$B$5)&lt;='Read me'!$B$7,CEILING(F469*(1+'Read me'!$B$5)+0.5,1)-0.5,CEILING(F469*(1+'Read me'!$B$5),5)))*L469,(IF(F469*(1+'Read me'!$B$5)&lt;='Read me'!$B$7,CEILING(F469*(1+'Read me'!$B$5)+0.5,1)-0.5,CEILING(F469*(1+'Read me'!$B$5),5)))+'Read me'!$B$6)+0.5,1)-0.5,CEILING(MAX((IF(F469*(1+'Read me'!$B$5)&lt;='Read me'!$B$7,CEILING(F469*(1+'Read me'!$B$5)+0.5,1)-0.5,CEILING(F469*(1+'Read me'!$B$5),5)))*L469,(IF(F469*(1+'Read me'!$B$5)&lt;='Read me'!$B$7,CEILING(F469*(1+'Read me'!$B$5)+0.5,1)-0.5,CEILING(F469*(1+'Read me'!$B$5),5)))+'Read me'!$B$6),5))</f>
        <v>500</v>
      </c>
      <c r="O469" s="21" t="str">
        <f aca="false">IF(ISNUMBER(J469),M469-J469,"new")</f>
        <v>new</v>
      </c>
      <c r="P469" s="5" t="s">
        <v>140</v>
      </c>
    </row>
    <row r="470" customFormat="false" ht="15" hidden="false" customHeight="false" outlineLevel="0" collapsed="false">
      <c r="A470" s="2" t="s">
        <v>601</v>
      </c>
      <c r="B470" s="2" t="s">
        <v>126</v>
      </c>
      <c r="C470" s="2" t="s">
        <v>125</v>
      </c>
      <c r="D470" s="2" t="s">
        <v>10</v>
      </c>
      <c r="E470" s="2" t="s">
        <v>48</v>
      </c>
      <c r="F470" s="14" t="n">
        <v>18.82</v>
      </c>
      <c r="G470" s="2" t="n">
        <v>5</v>
      </c>
      <c r="H470" s="2" t="n">
        <v>21</v>
      </c>
      <c r="I470" s="20" t="n">
        <v>1.27</v>
      </c>
      <c r="J470" s="14" t="n">
        <v>19.5</v>
      </c>
      <c r="K470" s="14" t="n">
        <v>24.5</v>
      </c>
      <c r="L470" s="20" t="n">
        <f aca="false">INDEX('Read me'!$B$10:$B$15,1)</f>
        <v>1.34</v>
      </c>
      <c r="M470" s="14" t="n">
        <f aca="false">IF(F470*(1+'Read me'!$B$5)&lt;='Read me'!$B$7,CEILING(F470*(1+'Read me'!$B$5)+0.5,1)-0.5,CEILING(F470*(1+'Read me'!$B$5),5))</f>
        <v>19.5</v>
      </c>
      <c r="N470" s="14" t="n">
        <f aca="false">IF(MAX(M470*L470,M470+'Read me'!$B$6)&lt;='Read me'!$B$7,CEILING(MAX(M470*L470,M470+'Read me'!$B$6)+0.5,1)-0.5,CEILING(MAX(M470*L470,M470+'Read me'!$B$6),5))</f>
        <v>26.5</v>
      </c>
      <c r="O470" s="21" t="n">
        <f aca="false">IF(ISNUMBER(J470),M470-J470,"new")</f>
        <v>0</v>
      </c>
    </row>
    <row r="471" customFormat="false" ht="15" hidden="false" customHeight="false" outlineLevel="0" collapsed="false">
      <c r="A471" s="2" t="s">
        <v>602</v>
      </c>
      <c r="B471" s="2" t="s">
        <v>126</v>
      </c>
      <c r="C471" s="2" t="s">
        <v>125</v>
      </c>
      <c r="D471" s="2" t="s">
        <v>10</v>
      </c>
      <c r="E471" s="2" t="s">
        <v>49</v>
      </c>
      <c r="F471" s="14" t="n">
        <v>33.37</v>
      </c>
      <c r="G471" s="2" t="n">
        <v>3</v>
      </c>
      <c r="H471" s="2" t="n">
        <v>21</v>
      </c>
      <c r="I471" s="20" t="n">
        <v>1.27</v>
      </c>
      <c r="J471" s="14" t="n">
        <v>19.5</v>
      </c>
      <c r="K471" s="14" t="n">
        <v>24.5</v>
      </c>
      <c r="L471" s="20" t="n">
        <f aca="false">INDEX('Read me'!$B$10:$B$15,1)</f>
        <v>1.34</v>
      </c>
      <c r="M471" s="14" t="n">
        <f aca="false">IF(F471*(1+'Read me'!$B$5)&lt;='Read me'!$B$7,CEILING(F471*(1+'Read me'!$B$5)+0.5,1)-0.5,CEILING(F471*(1+'Read me'!$B$5),5))</f>
        <v>35</v>
      </c>
      <c r="N471" s="14" t="n">
        <f aca="false">IF(MAX(M471*L471,M471+'Read me'!$B$6)&lt;='Read me'!$B$7,CEILING(MAX(M471*L471,M471+'Read me'!$B$6)+0.5,1)-0.5,CEILING(MAX(M471*L471,M471+'Read me'!$B$6),5))</f>
        <v>50</v>
      </c>
      <c r="O471" s="21" t="n">
        <f aca="false">IF(ISNUMBER(J471),M471-J471,"new")</f>
        <v>15.5</v>
      </c>
    </row>
    <row r="472" customFormat="false" ht="15" hidden="false" customHeight="false" outlineLevel="0" collapsed="false">
      <c r="A472" s="2" t="s">
        <v>603</v>
      </c>
      <c r="B472" s="2" t="s">
        <v>126</v>
      </c>
      <c r="C472" s="2" t="s">
        <v>125</v>
      </c>
      <c r="D472" s="2" t="s">
        <v>10</v>
      </c>
      <c r="E472" s="2" t="s">
        <v>50</v>
      </c>
      <c r="F472" s="14" t="n">
        <v>33.37</v>
      </c>
      <c r="G472" s="2" t="n">
        <v>1</v>
      </c>
      <c r="H472" s="2" t="n">
        <v>21</v>
      </c>
      <c r="I472" s="20" t="n">
        <v>1.27</v>
      </c>
      <c r="J472" s="14" t="n">
        <v>19.5</v>
      </c>
      <c r="K472" s="14" t="n">
        <v>34.5</v>
      </c>
      <c r="L472" s="20" t="n">
        <f aca="false">INDEX('Read me'!$B$10:$B$15,1)</f>
        <v>1.34</v>
      </c>
      <c r="M472" s="14" t="n">
        <f aca="false">IF(F472*(1+'Read me'!$B$5)&lt;='Read me'!$B$7,CEILING(F472*(1+'Read me'!$B$5)+0.5,1)-0.5,CEILING(F472*(1+'Read me'!$B$5),5))</f>
        <v>35</v>
      </c>
      <c r="N472" s="14" t="n">
        <f aca="false">IF(MAX(M472*L472,M472+'Read me'!$B$6)&lt;='Read me'!$B$7,CEILING(MAX(M472*L472,M472+'Read me'!$B$6)+0.5,1)-0.5,CEILING(MAX(M472*L472,M472+'Read me'!$B$6),5))</f>
        <v>50</v>
      </c>
      <c r="O472" s="21" t="n">
        <f aca="false">IF(ISNUMBER(J472),M472-J472,"new")</f>
        <v>15.5</v>
      </c>
    </row>
    <row r="473" customFormat="false" ht="15" hidden="false" customHeight="false" outlineLevel="0" collapsed="false">
      <c r="A473" s="2" t="s">
        <v>604</v>
      </c>
      <c r="B473" s="2" t="s">
        <v>126</v>
      </c>
      <c r="C473" s="2" t="s">
        <v>125</v>
      </c>
      <c r="D473" s="2" t="s">
        <v>12</v>
      </c>
      <c r="E473" s="2" t="s">
        <v>48</v>
      </c>
      <c r="F473" s="14" t="n">
        <v>61.13</v>
      </c>
      <c r="G473" s="2" t="n">
        <v>3</v>
      </c>
      <c r="H473" s="2" t="n">
        <v>21</v>
      </c>
      <c r="I473" s="20" t="n">
        <v>1.27</v>
      </c>
      <c r="J473" s="14" t="n">
        <v>24.5</v>
      </c>
      <c r="K473" s="14" t="n">
        <v>29.5</v>
      </c>
      <c r="L473" s="20" t="n">
        <f aca="false">INDEX('Read me'!$B$10:$B$15,2)</f>
        <v>1.26</v>
      </c>
      <c r="M473" s="14" t="n">
        <f aca="false">IF(F473*(1+'Read me'!$B$5)&lt;='Read me'!$B$7,CEILING(F473*(1+'Read me'!$B$5)+0.5,1)-0.5,CEILING(F473*(1+'Read me'!$B$5),5))</f>
        <v>65</v>
      </c>
      <c r="N473" s="14" t="n">
        <f aca="false">IF(MAX(M473*L473,M473+'Read me'!$B$6)&lt;='Read me'!$B$7,CEILING(MAX(M473*L473,M473+'Read me'!$B$6)+0.5,1)-0.5,CEILING(MAX(M473*L473,M473+'Read me'!$B$6),5))</f>
        <v>85</v>
      </c>
      <c r="O473" s="21" t="n">
        <f aca="false">IF(ISNUMBER(J473),M473-J473,"new")</f>
        <v>40.5</v>
      </c>
    </row>
    <row r="474" customFormat="false" ht="15" hidden="false" customHeight="false" outlineLevel="0" collapsed="false">
      <c r="A474" s="2" t="s">
        <v>605</v>
      </c>
      <c r="B474" s="2" t="s">
        <v>126</v>
      </c>
      <c r="C474" s="2" t="s">
        <v>125</v>
      </c>
      <c r="D474" s="2" t="s">
        <v>12</v>
      </c>
      <c r="E474" s="2" t="s">
        <v>49</v>
      </c>
      <c r="F474" s="14" t="n">
        <v>63.73</v>
      </c>
      <c r="G474" s="2" t="n">
        <v>3</v>
      </c>
      <c r="H474" s="2" t="n">
        <v>21</v>
      </c>
      <c r="I474" s="20" t="n">
        <v>1.27</v>
      </c>
      <c r="J474" s="14" t="n">
        <v>24.5</v>
      </c>
      <c r="K474" s="14" t="n">
        <v>29.5</v>
      </c>
      <c r="L474" s="20" t="n">
        <f aca="false">INDEX('Read me'!$B$10:$B$15,2)</f>
        <v>1.26</v>
      </c>
      <c r="M474" s="14" t="n">
        <f aca="false">IF(F474*(1+'Read me'!$B$5)&lt;='Read me'!$B$7,CEILING(F474*(1+'Read me'!$B$5)+0.5,1)-0.5,CEILING(F474*(1+'Read me'!$B$5),5))</f>
        <v>65</v>
      </c>
      <c r="N474" s="14" t="n">
        <f aca="false">IF(MAX(M474*L474,M474+'Read me'!$B$6)&lt;='Read me'!$B$7,CEILING(MAX(M474*L474,M474+'Read me'!$B$6)+0.5,1)-0.5,CEILING(MAX(M474*L474,M474+'Read me'!$B$6),5))</f>
        <v>85</v>
      </c>
      <c r="O474" s="21" t="n">
        <f aca="false">IF(ISNUMBER(J474),M474-J474,"new")</f>
        <v>40.5</v>
      </c>
    </row>
    <row r="475" customFormat="false" ht="15" hidden="false" customHeight="false" outlineLevel="0" collapsed="false">
      <c r="A475" s="2" t="s">
        <v>606</v>
      </c>
      <c r="B475" s="2" t="s">
        <v>126</v>
      </c>
      <c r="C475" s="2" t="s">
        <v>125</v>
      </c>
      <c r="D475" s="2" t="s">
        <v>12</v>
      </c>
      <c r="E475" s="2" t="s">
        <v>50</v>
      </c>
      <c r="F475" s="14" t="n">
        <v>72.49</v>
      </c>
      <c r="G475" s="2" t="n">
        <v>3</v>
      </c>
      <c r="H475" s="2" t="n">
        <v>21</v>
      </c>
      <c r="I475" s="20" t="n">
        <v>1.27</v>
      </c>
      <c r="J475" s="14" t="n">
        <v>24.5</v>
      </c>
      <c r="K475" s="14" t="n">
        <v>45</v>
      </c>
      <c r="L475" s="20" t="n">
        <f aca="false">INDEX('Read me'!$B$10:$B$15,2)</f>
        <v>1.26</v>
      </c>
      <c r="M475" s="14" t="n">
        <f aca="false">IF(F475*(1+'Read me'!$B$5)&lt;='Read me'!$B$7,CEILING(F475*(1+'Read me'!$B$5)+0.5,1)-0.5,CEILING(F475*(1+'Read me'!$B$5),5))</f>
        <v>75</v>
      </c>
      <c r="N475" s="14" t="n">
        <f aca="false">IF(MAX(M475*L475,M475+'Read me'!$B$6)&lt;='Read me'!$B$7,CEILING(MAX(M475*L475,M475+'Read me'!$B$6)+0.5,1)-0.5,CEILING(MAX(M475*L475,M475+'Read me'!$B$6),5))</f>
        <v>95</v>
      </c>
      <c r="O475" s="21" t="n">
        <f aca="false">IF(ISNUMBER(J475),M475-J475,"new")</f>
        <v>50.5</v>
      </c>
    </row>
    <row r="476" customFormat="false" ht="15" hidden="false" customHeight="false" outlineLevel="0" collapsed="false">
      <c r="A476" s="2" t="s">
        <v>607</v>
      </c>
      <c r="B476" s="2" t="s">
        <v>126</v>
      </c>
      <c r="C476" s="2" t="s">
        <v>125</v>
      </c>
      <c r="D476" s="2" t="s">
        <v>13</v>
      </c>
      <c r="E476" s="2" t="s">
        <v>48</v>
      </c>
      <c r="F476" s="14" t="n">
        <v>105.41</v>
      </c>
      <c r="G476" s="2" t="n">
        <v>0</v>
      </c>
      <c r="H476" s="2" t="n">
        <v>21</v>
      </c>
      <c r="I476" s="20" t="n">
        <v>1.27</v>
      </c>
      <c r="J476" s="14" t="n">
        <v>45</v>
      </c>
      <c r="K476" s="14" t="n">
        <v>95</v>
      </c>
      <c r="L476" s="20" t="n">
        <f aca="false">INDEX('Read me'!$B$10:$B$15,3)</f>
        <v>1.35</v>
      </c>
      <c r="M476" s="14" t="n">
        <f aca="false">IF(F476*(1+'Read me'!$B$5)&lt;='Read me'!$B$7,CEILING(F476*(1+'Read me'!$B$5)+0.5,1)-0.5,CEILING(F476*(1+'Read me'!$B$5),5))</f>
        <v>110</v>
      </c>
      <c r="N476" s="14" t="n">
        <f aca="false">IF(MAX(M476*L476,M476+'Read me'!$B$6)&lt;='Read me'!$B$7,CEILING(MAX(M476*L476,M476+'Read me'!$B$6)+0.5,1)-0.5,CEILING(MAX(M476*L476,M476+'Read me'!$B$6),5))</f>
        <v>150</v>
      </c>
      <c r="O476" s="21" t="n">
        <f aca="false">IF(ISNUMBER(J476),M476-J476,"new")</f>
        <v>65</v>
      </c>
    </row>
    <row r="477" customFormat="false" ht="15" hidden="false" customHeight="false" outlineLevel="0" collapsed="false">
      <c r="A477" s="2" t="s">
        <v>608</v>
      </c>
      <c r="B477" s="2" t="s">
        <v>126</v>
      </c>
      <c r="C477" s="2" t="s">
        <v>125</v>
      </c>
      <c r="D477" s="2" t="s">
        <v>13</v>
      </c>
      <c r="E477" s="2" t="s">
        <v>49</v>
      </c>
      <c r="F477" s="14" t="n">
        <v>118.58</v>
      </c>
      <c r="G477" s="2" t="n">
        <v>0</v>
      </c>
      <c r="H477" s="2" t="n">
        <v>21</v>
      </c>
      <c r="I477" s="20" t="n">
        <v>1.27</v>
      </c>
      <c r="J477" s="14" t="n">
        <v>45</v>
      </c>
      <c r="K477" s="14" t="n">
        <v>95</v>
      </c>
      <c r="L477" s="20" t="n">
        <f aca="false">INDEX('Read me'!$B$10:$B$15,3)</f>
        <v>1.35</v>
      </c>
      <c r="M477" s="14" t="n">
        <f aca="false">IF(F477*(1+'Read me'!$B$5)&lt;='Read me'!$B$7,CEILING(F477*(1+'Read me'!$B$5)+0.5,1)-0.5,CEILING(F477*(1+'Read me'!$B$5),5))</f>
        <v>120</v>
      </c>
      <c r="N477" s="14" t="n">
        <f aca="false">IF(MAX(M477*L477,M477+'Read me'!$B$6)&lt;='Read me'!$B$7,CEILING(MAX(M477*L477,M477+'Read me'!$B$6)+0.5,1)-0.5,CEILING(MAX(M477*L477,M477+'Read me'!$B$6),5))</f>
        <v>165</v>
      </c>
      <c r="O477" s="21" t="n">
        <f aca="false">IF(ISNUMBER(J477),M477-J477,"new")</f>
        <v>75</v>
      </c>
    </row>
    <row r="478" customFormat="false" ht="15" hidden="false" customHeight="false" outlineLevel="0" collapsed="false">
      <c r="A478" s="2" t="s">
        <v>609</v>
      </c>
      <c r="B478" s="2" t="s">
        <v>126</v>
      </c>
      <c r="C478" s="2" t="s">
        <v>125</v>
      </c>
      <c r="D478" s="2" t="s">
        <v>13</v>
      </c>
      <c r="E478" s="2" t="s">
        <v>50</v>
      </c>
      <c r="F478" s="14" t="n">
        <v>154.74</v>
      </c>
      <c r="G478" s="2" t="n">
        <v>1</v>
      </c>
      <c r="H478" s="2" t="n">
        <v>21</v>
      </c>
      <c r="I478" s="20" t="n">
        <v>1.27</v>
      </c>
      <c r="J478" s="14" t="n">
        <v>99</v>
      </c>
      <c r="K478" s="14" t="n">
        <v>150</v>
      </c>
      <c r="L478" s="20" t="n">
        <f aca="false">INDEX('Read me'!$B$10:$B$15,3)</f>
        <v>1.35</v>
      </c>
      <c r="M478" s="14" t="n">
        <f aca="false">IF(F478*(1+'Read me'!$B$5)&lt;='Read me'!$B$7,CEILING(F478*(1+'Read me'!$B$5)+0.5,1)-0.5,CEILING(F478*(1+'Read me'!$B$5),5))</f>
        <v>155</v>
      </c>
      <c r="N478" s="14" t="n">
        <f aca="false">IF(MAX(M478*L478,M478+'Read me'!$B$6)&lt;='Read me'!$B$7,CEILING(MAX(M478*L478,M478+'Read me'!$B$6)+0.5,1)-0.5,CEILING(MAX(M478*L478,M478+'Read me'!$B$6),5))</f>
        <v>210</v>
      </c>
      <c r="O478" s="21" t="n">
        <f aca="false">IF(ISNUMBER(J478),M478-J478,"new")</f>
        <v>56</v>
      </c>
    </row>
    <row r="479" customFormat="false" ht="15" hidden="false" customHeight="false" outlineLevel="0" collapsed="false">
      <c r="A479" s="2" t="s">
        <v>610</v>
      </c>
      <c r="B479" s="2" t="s">
        <v>126</v>
      </c>
      <c r="C479" s="2" t="s">
        <v>125</v>
      </c>
      <c r="D479" s="2" t="s">
        <v>14</v>
      </c>
      <c r="E479" s="2" t="s">
        <v>48</v>
      </c>
      <c r="F479" s="14" t="n">
        <v>185.88</v>
      </c>
      <c r="G479" s="2" t="n">
        <v>1</v>
      </c>
      <c r="H479" s="2" t="n">
        <v>21</v>
      </c>
      <c r="I479" s="20" t="n">
        <v>1.27</v>
      </c>
      <c r="J479" s="14" t="n">
        <v>99</v>
      </c>
      <c r="K479" s="14" t="n">
        <v>150</v>
      </c>
      <c r="L479" s="20" t="n">
        <f aca="false">INDEX('Read me'!$B$10:$B$15,4)</f>
        <v>1.2</v>
      </c>
      <c r="M479" s="14" t="n">
        <f aca="false">IF(F479*(1+'Read me'!$B$5)&lt;='Read me'!$B$7,CEILING(F479*(1+'Read me'!$B$5)+0.5,1)-0.5,CEILING(F479*(1+'Read me'!$B$5),5))</f>
        <v>190</v>
      </c>
      <c r="N479" s="14" t="n">
        <f aca="false">IF(MAX(M479*L479,M479+'Read me'!$B$6)&lt;='Read me'!$B$7,CEILING(MAX(M479*L479,M479+'Read me'!$B$6)+0.5,1)-0.5,CEILING(MAX(M479*L479,M479+'Read me'!$B$6),5))</f>
        <v>230</v>
      </c>
      <c r="O479" s="21" t="n">
        <f aca="false">IF(ISNUMBER(J479),M479-J479,"new")</f>
        <v>91</v>
      </c>
    </row>
    <row r="480" customFormat="false" ht="15" hidden="false" customHeight="false" outlineLevel="0" collapsed="false">
      <c r="A480" s="2" t="s">
        <v>611</v>
      </c>
      <c r="B480" s="2" t="s">
        <v>126</v>
      </c>
      <c r="C480" s="2" t="s">
        <v>125</v>
      </c>
      <c r="D480" s="2" t="s">
        <v>14</v>
      </c>
      <c r="E480" s="2" t="s">
        <v>49</v>
      </c>
      <c r="F480" s="14" t="n">
        <v>219.15</v>
      </c>
      <c r="G480" s="2" t="n">
        <v>0</v>
      </c>
      <c r="H480" s="2" t="n">
        <v>21</v>
      </c>
      <c r="I480" s="20" t="n">
        <v>1.27</v>
      </c>
      <c r="J480" s="14" t="n">
        <v>150</v>
      </c>
      <c r="K480" s="14" t="n">
        <v>150</v>
      </c>
      <c r="L480" s="20" t="n">
        <f aca="false">INDEX('Read me'!$B$10:$B$15,4)</f>
        <v>1.2</v>
      </c>
      <c r="M480" s="14" t="n">
        <f aca="false">IF(F480*(1+'Read me'!$B$5)&lt;='Read me'!$B$7,CEILING(F480*(1+'Read me'!$B$5)+0.5,1)-0.5,CEILING(F480*(1+'Read me'!$B$5),5))</f>
        <v>220</v>
      </c>
      <c r="N480" s="14" t="n">
        <f aca="false">IF(MAX(M480*L480,M480+'Read me'!$B$6)&lt;='Read me'!$B$7,CEILING(MAX(M480*L480,M480+'Read me'!$B$6)+0.5,1)-0.5,CEILING(MAX(M480*L480,M480+'Read me'!$B$6),5))</f>
        <v>265</v>
      </c>
      <c r="O480" s="21" t="n">
        <f aca="false">IF(ISNUMBER(J480),M480-J480,"new")</f>
        <v>70</v>
      </c>
    </row>
    <row r="481" customFormat="false" ht="15" hidden="false" customHeight="false" outlineLevel="0" collapsed="false">
      <c r="A481" s="2" t="s">
        <v>612</v>
      </c>
      <c r="B481" s="2" t="s">
        <v>126</v>
      </c>
      <c r="C481" s="2" t="s">
        <v>125</v>
      </c>
      <c r="D481" s="2" t="s">
        <v>14</v>
      </c>
      <c r="E481" s="2" t="s">
        <v>50</v>
      </c>
      <c r="F481" s="14" t="n">
        <v>264.1</v>
      </c>
      <c r="G481" s="2" t="n">
        <v>0</v>
      </c>
      <c r="H481" s="2" t="n">
        <v>21</v>
      </c>
      <c r="I481" s="20" t="n">
        <v>1.27</v>
      </c>
      <c r="J481" s="14" t="n">
        <v>250</v>
      </c>
      <c r="K481" s="14" t="n">
        <v>195</v>
      </c>
      <c r="L481" s="20" t="n">
        <f aca="false">INDEX('Read me'!$B$10:$B$15,4)</f>
        <v>1.2</v>
      </c>
      <c r="M481" s="14" t="n">
        <f aca="false">IF(F481*(1+'Read me'!$B$5)&lt;='Read me'!$B$7,CEILING(F481*(1+'Read me'!$B$5)+0.5,1)-0.5,CEILING(F481*(1+'Read me'!$B$5),5))</f>
        <v>265</v>
      </c>
      <c r="N481" s="14" t="n">
        <f aca="false">IF(MAX(M481*L481,M481+'Read me'!$B$6)&lt;='Read me'!$B$7,CEILING(MAX(M481*L481,M481+'Read me'!$B$6)+0.5,1)-0.5,CEILING(MAX(M481*L481,M481+'Read me'!$B$6),5))</f>
        <v>320</v>
      </c>
      <c r="O481" s="21" t="n">
        <f aca="false">IF(ISNUMBER(J481),M481-J481,"new")</f>
        <v>15</v>
      </c>
    </row>
    <row r="482" customFormat="false" ht="15" hidden="false" customHeight="false" outlineLevel="0" collapsed="false">
      <c r="A482" s="2" t="s">
        <v>613</v>
      </c>
      <c r="B482" s="2" t="s">
        <v>126</v>
      </c>
      <c r="C482" s="2" t="s">
        <v>125</v>
      </c>
      <c r="D482" s="2" t="s">
        <v>15</v>
      </c>
      <c r="E482" s="2" t="s">
        <v>48</v>
      </c>
      <c r="F482" s="14" t="n">
        <v>231.66</v>
      </c>
      <c r="G482" s="2" t="n">
        <v>0</v>
      </c>
      <c r="H482" s="2" t="n">
        <v>21</v>
      </c>
      <c r="I482" s="20" t="n">
        <v>1.27</v>
      </c>
      <c r="J482" s="14" t="n">
        <v>300</v>
      </c>
      <c r="K482" s="14" t="n">
        <v>300</v>
      </c>
      <c r="L482" s="20" t="n">
        <f aca="false">INDEX('Read me'!$B$10:$B$15,5)</f>
        <v>1.2</v>
      </c>
      <c r="M482" s="14" t="n">
        <f aca="false">IF(F482*(1+'Read me'!$B$5)&lt;='Read me'!$B$7,CEILING(F482*(1+'Read me'!$B$5)+0.5,1)-0.5,CEILING(F482*(1+'Read me'!$B$5),5))</f>
        <v>235</v>
      </c>
      <c r="N482" s="14" t="n">
        <f aca="false">IF(MAX(M482*L482,M482+'Read me'!$B$6)&lt;='Read me'!$B$7,CEILING(MAX(M482*L482,M482+'Read me'!$B$6)+0.5,1)-0.5,CEILING(MAX(M482*L482,M482+'Read me'!$B$6),5))</f>
        <v>285</v>
      </c>
      <c r="O482" s="21" t="n">
        <f aca="false">IF(ISNUMBER(J482),M482-J482,"new")</f>
        <v>-65</v>
      </c>
    </row>
    <row r="483" customFormat="false" ht="15" hidden="false" customHeight="false" outlineLevel="0" collapsed="false">
      <c r="A483" s="2" t="s">
        <v>614</v>
      </c>
      <c r="B483" s="2" t="s">
        <v>126</v>
      </c>
      <c r="C483" s="2" t="s">
        <v>125</v>
      </c>
      <c r="D483" s="2" t="s">
        <v>15</v>
      </c>
      <c r="E483" s="2" t="s">
        <v>49</v>
      </c>
      <c r="F483" s="14" t="n">
        <v>285.81</v>
      </c>
      <c r="G483" s="2" t="n">
        <v>0</v>
      </c>
      <c r="H483" s="2" t="n">
        <v>21</v>
      </c>
      <c r="I483" s="20" t="n">
        <v>1.27</v>
      </c>
      <c r="J483" s="14" t="n">
        <v>300</v>
      </c>
      <c r="K483" s="14" t="n">
        <v>300</v>
      </c>
      <c r="L483" s="20" t="n">
        <f aca="false">INDEX('Read me'!$B$10:$B$15,5)</f>
        <v>1.2</v>
      </c>
      <c r="M483" s="14" t="n">
        <f aca="false">N483</f>
        <v>350</v>
      </c>
      <c r="N483" s="14" t="n">
        <f aca="false">IF(MAX((IF(F483*(1+'Read me'!$B$5)&lt;='Read me'!$B$7,CEILING(F483*(1+'Read me'!$B$5)+0.5,1)-0.5,CEILING(F483*(1+'Read me'!$B$5),5)))*L483,(IF(F483*(1+'Read me'!$B$5)&lt;='Read me'!$B$7,CEILING(F483*(1+'Read me'!$B$5)+0.5,1)-0.5,CEILING(F483*(1+'Read me'!$B$5),5)))+'Read me'!$B$6)&lt;='Read me'!$B$7,CEILING(MAX((IF(F483*(1+'Read me'!$B$5)&lt;='Read me'!$B$7,CEILING(F483*(1+'Read me'!$B$5)+0.5,1)-0.5,CEILING(F483*(1+'Read me'!$B$5),5)))*L483,(IF(F483*(1+'Read me'!$B$5)&lt;='Read me'!$B$7,CEILING(F483*(1+'Read me'!$B$5)+0.5,1)-0.5,CEILING(F483*(1+'Read me'!$B$5),5)))+'Read me'!$B$6)+0.5,1)-0.5,CEILING(MAX((IF(F483*(1+'Read me'!$B$5)&lt;='Read me'!$B$7,CEILING(F483*(1+'Read me'!$B$5)+0.5,1)-0.5,CEILING(F483*(1+'Read me'!$B$5),5)))*L483,(IF(F483*(1+'Read me'!$B$5)&lt;='Read me'!$B$7,CEILING(F483*(1+'Read me'!$B$5)+0.5,1)-0.5,CEILING(F483*(1+'Read me'!$B$5),5)))+'Read me'!$B$6),5))</f>
        <v>350</v>
      </c>
      <c r="O483" s="21" t="n">
        <f aca="false">IF(ISNUMBER(J483),M483-J483,"new")</f>
        <v>50</v>
      </c>
      <c r="P483" s="5" t="s">
        <v>140</v>
      </c>
    </row>
    <row r="484" customFormat="false" ht="15" hidden="false" customHeight="false" outlineLevel="0" collapsed="false">
      <c r="A484" s="2" t="s">
        <v>615</v>
      </c>
      <c r="B484" s="2" t="s">
        <v>126</v>
      </c>
      <c r="C484" s="2" t="s">
        <v>125</v>
      </c>
      <c r="D484" s="2" t="s">
        <v>15</v>
      </c>
      <c r="E484" s="2" t="s">
        <v>50</v>
      </c>
      <c r="F484" s="14" t="n">
        <v>343.41</v>
      </c>
      <c r="G484" s="2" t="n">
        <v>0</v>
      </c>
      <c r="H484" s="2" t="n">
        <v>21</v>
      </c>
      <c r="I484" s="20" t="n">
        <v>1.27</v>
      </c>
      <c r="J484" s="14" t="n">
        <v>350</v>
      </c>
      <c r="K484" s="14" t="n">
        <v>400</v>
      </c>
      <c r="L484" s="20" t="n">
        <f aca="false">INDEX('Read me'!$B$10:$B$15,5)</f>
        <v>1.2</v>
      </c>
      <c r="M484" s="14" t="n">
        <f aca="false">N484</f>
        <v>415</v>
      </c>
      <c r="N484" s="14" t="n">
        <f aca="false">IF(MAX((IF(F484*(1+'Read me'!$B$5)&lt;='Read me'!$B$7,CEILING(F484*(1+'Read me'!$B$5)+0.5,1)-0.5,CEILING(F484*(1+'Read me'!$B$5),5)))*L484,(IF(F484*(1+'Read me'!$B$5)&lt;='Read me'!$B$7,CEILING(F484*(1+'Read me'!$B$5)+0.5,1)-0.5,CEILING(F484*(1+'Read me'!$B$5),5)))+'Read me'!$B$6)&lt;='Read me'!$B$7,CEILING(MAX((IF(F484*(1+'Read me'!$B$5)&lt;='Read me'!$B$7,CEILING(F484*(1+'Read me'!$B$5)+0.5,1)-0.5,CEILING(F484*(1+'Read me'!$B$5),5)))*L484,(IF(F484*(1+'Read me'!$B$5)&lt;='Read me'!$B$7,CEILING(F484*(1+'Read me'!$B$5)+0.5,1)-0.5,CEILING(F484*(1+'Read me'!$B$5),5)))+'Read me'!$B$6)+0.5,1)-0.5,CEILING(MAX((IF(F484*(1+'Read me'!$B$5)&lt;='Read me'!$B$7,CEILING(F484*(1+'Read me'!$B$5)+0.5,1)-0.5,CEILING(F484*(1+'Read me'!$B$5),5)))*L484,(IF(F484*(1+'Read me'!$B$5)&lt;='Read me'!$B$7,CEILING(F484*(1+'Read me'!$B$5)+0.5,1)-0.5,CEILING(F484*(1+'Read me'!$B$5),5)))+'Read me'!$B$6),5))</f>
        <v>415</v>
      </c>
      <c r="O484" s="21" t="n">
        <f aca="false">IF(ISNUMBER(J484),M484-J484,"new")</f>
        <v>65</v>
      </c>
      <c r="P484" s="5" t="s">
        <v>140</v>
      </c>
    </row>
    <row r="485" customFormat="false" ht="15" hidden="false" customHeight="false" outlineLevel="0" collapsed="false">
      <c r="A485" s="2" t="s">
        <v>616</v>
      </c>
      <c r="B485" s="2" t="s">
        <v>126</v>
      </c>
      <c r="C485" s="2" t="s">
        <v>125</v>
      </c>
      <c r="D485" s="2" t="s">
        <v>16</v>
      </c>
      <c r="E485" s="2" t="s">
        <v>48</v>
      </c>
      <c r="F485" s="14" t="n">
        <v>321.68</v>
      </c>
      <c r="G485" s="2" t="n">
        <v>0</v>
      </c>
      <c r="H485" s="2" t="n">
        <v>21</v>
      </c>
      <c r="I485" s="20" t="n">
        <v>1.27</v>
      </c>
      <c r="J485" s="14"/>
      <c r="K485" s="14"/>
      <c r="L485" s="20" t="n">
        <f aca="false">INDEX('Read me'!$B$10:$B$15,6)</f>
        <v>1.2</v>
      </c>
      <c r="M485" s="14" t="n">
        <f aca="false">IF(F485*(1+'Read me'!$B$5)&lt;='Read me'!$B$7,CEILING(F485*(1+'Read me'!$B$5)+0.5,1)-0.5,CEILING(F485*(1+'Read me'!$B$5),5))</f>
        <v>325</v>
      </c>
      <c r="N485" s="14" t="n">
        <f aca="false">IF(MAX(M485*L485,M485+'Read me'!$B$6)&lt;='Read me'!$B$7,CEILING(MAX(M485*L485,M485+'Read me'!$B$6)+0.5,1)-0.5,CEILING(MAX(M485*L485,M485+'Read me'!$B$6),5))</f>
        <v>390</v>
      </c>
      <c r="O485" s="21" t="str">
        <f aca="false">IF(ISNUMBER(J485),M485-J485,"new")</f>
        <v>new</v>
      </c>
    </row>
    <row r="486" customFormat="false" ht="15" hidden="false" customHeight="false" outlineLevel="0" collapsed="false">
      <c r="A486" s="2" t="s">
        <v>617</v>
      </c>
      <c r="B486" s="2" t="s">
        <v>126</v>
      </c>
      <c r="C486" s="2" t="s">
        <v>125</v>
      </c>
      <c r="D486" s="2" t="s">
        <v>16</v>
      </c>
      <c r="E486" s="2" t="s">
        <v>49</v>
      </c>
      <c r="F486" s="14" t="n">
        <v>403.68</v>
      </c>
      <c r="G486" s="2" t="n">
        <v>1</v>
      </c>
      <c r="H486" s="2" t="n">
        <v>21</v>
      </c>
      <c r="I486" s="20" t="n">
        <v>1.27</v>
      </c>
      <c r="J486" s="14"/>
      <c r="K486" s="14"/>
      <c r="L486" s="20" t="n">
        <f aca="false">INDEX('Read me'!$B$10:$B$15,6)</f>
        <v>1.2</v>
      </c>
      <c r="M486" s="14" t="n">
        <f aca="false">N486</f>
        <v>490</v>
      </c>
      <c r="N486" s="14" t="n">
        <f aca="false">IF(MAX((IF(F486*(1+'Read me'!$B$5)&lt;='Read me'!$B$7,CEILING(F486*(1+'Read me'!$B$5)+0.5,1)-0.5,CEILING(F486*(1+'Read me'!$B$5),5)))*L486,(IF(F486*(1+'Read me'!$B$5)&lt;='Read me'!$B$7,CEILING(F486*(1+'Read me'!$B$5)+0.5,1)-0.5,CEILING(F486*(1+'Read me'!$B$5),5)))+'Read me'!$B$6)&lt;='Read me'!$B$7,CEILING(MAX((IF(F486*(1+'Read me'!$B$5)&lt;='Read me'!$B$7,CEILING(F486*(1+'Read me'!$B$5)+0.5,1)-0.5,CEILING(F486*(1+'Read me'!$B$5),5)))*L486,(IF(F486*(1+'Read me'!$B$5)&lt;='Read me'!$B$7,CEILING(F486*(1+'Read me'!$B$5)+0.5,1)-0.5,CEILING(F486*(1+'Read me'!$B$5),5)))+'Read me'!$B$6)+0.5,1)-0.5,CEILING(MAX((IF(F486*(1+'Read me'!$B$5)&lt;='Read me'!$B$7,CEILING(F486*(1+'Read me'!$B$5)+0.5,1)-0.5,CEILING(F486*(1+'Read me'!$B$5),5)))*L486,(IF(F486*(1+'Read me'!$B$5)&lt;='Read me'!$B$7,CEILING(F486*(1+'Read me'!$B$5)+0.5,1)-0.5,CEILING(F486*(1+'Read me'!$B$5),5)))+'Read me'!$B$6),5))</f>
        <v>490</v>
      </c>
      <c r="O486" s="21" t="str">
        <f aca="false">IF(ISNUMBER(J486),M486-J486,"new")</f>
        <v>new</v>
      </c>
      <c r="P486" s="5" t="s">
        <v>140</v>
      </c>
    </row>
    <row r="487" customFormat="false" ht="15" hidden="false" customHeight="false" outlineLevel="0" collapsed="false">
      <c r="A487" s="2" t="s">
        <v>618</v>
      </c>
      <c r="B487" s="2" t="s">
        <v>126</v>
      </c>
      <c r="C487" s="2" t="s">
        <v>125</v>
      </c>
      <c r="D487" s="2" t="s">
        <v>16</v>
      </c>
      <c r="E487" s="2" t="s">
        <v>50</v>
      </c>
      <c r="F487" s="14" t="n">
        <v>485.83</v>
      </c>
      <c r="G487" s="2" t="n">
        <v>0</v>
      </c>
      <c r="H487" s="2" t="n">
        <v>21</v>
      </c>
      <c r="I487" s="20" t="n">
        <v>1.27</v>
      </c>
      <c r="J487" s="14"/>
      <c r="K487" s="14"/>
      <c r="L487" s="20" t="n">
        <f aca="false">INDEX('Read me'!$B$10:$B$15,6)</f>
        <v>1.2</v>
      </c>
      <c r="M487" s="14" t="n">
        <f aca="false">N487</f>
        <v>590</v>
      </c>
      <c r="N487" s="14" t="n">
        <f aca="false">IF(MAX((IF(F487*(1+'Read me'!$B$5)&lt;='Read me'!$B$7,CEILING(F487*(1+'Read me'!$B$5)+0.5,1)-0.5,CEILING(F487*(1+'Read me'!$B$5),5)))*L487,(IF(F487*(1+'Read me'!$B$5)&lt;='Read me'!$B$7,CEILING(F487*(1+'Read me'!$B$5)+0.5,1)-0.5,CEILING(F487*(1+'Read me'!$B$5),5)))+'Read me'!$B$6)&lt;='Read me'!$B$7,CEILING(MAX((IF(F487*(1+'Read me'!$B$5)&lt;='Read me'!$B$7,CEILING(F487*(1+'Read me'!$B$5)+0.5,1)-0.5,CEILING(F487*(1+'Read me'!$B$5),5)))*L487,(IF(F487*(1+'Read me'!$B$5)&lt;='Read me'!$B$7,CEILING(F487*(1+'Read me'!$B$5)+0.5,1)-0.5,CEILING(F487*(1+'Read me'!$B$5),5)))+'Read me'!$B$6)+0.5,1)-0.5,CEILING(MAX((IF(F487*(1+'Read me'!$B$5)&lt;='Read me'!$B$7,CEILING(F487*(1+'Read me'!$B$5)+0.5,1)-0.5,CEILING(F487*(1+'Read me'!$B$5),5)))*L487,(IF(F487*(1+'Read me'!$B$5)&lt;='Read me'!$B$7,CEILING(F487*(1+'Read me'!$B$5)+0.5,1)-0.5,CEILING(F487*(1+'Read me'!$B$5),5)))+'Read me'!$B$6),5))</f>
        <v>590</v>
      </c>
      <c r="O487" s="21" t="str">
        <f aca="false">IF(ISNUMBER(J487),M487-J487,"new")</f>
        <v>new</v>
      </c>
      <c r="P487" s="5" t="s">
        <v>140</v>
      </c>
    </row>
    <row r="488" customFormat="false" ht="15" hidden="false" customHeight="false" outlineLevel="0" collapsed="false">
      <c r="A488" s="2" t="s">
        <v>619</v>
      </c>
      <c r="B488" s="2" t="s">
        <v>126</v>
      </c>
      <c r="C488" s="2" t="s">
        <v>240</v>
      </c>
      <c r="D488" s="2" t="s">
        <v>10</v>
      </c>
      <c r="E488" s="2" t="s">
        <v>48</v>
      </c>
      <c r="F488" s="14" t="n">
        <v>13.78</v>
      </c>
      <c r="G488" s="2" t="n">
        <v>1</v>
      </c>
      <c r="H488" s="2" t="n">
        <v>13</v>
      </c>
      <c r="I488" s="20" t="n">
        <v>1.1</v>
      </c>
      <c r="J488" s="14" t="n">
        <v>19.5</v>
      </c>
      <c r="K488" s="14" t="n">
        <v>24.5</v>
      </c>
      <c r="L488" s="20" t="n">
        <f aca="false">INDEX('Read me'!$B$10:$B$15,1)</f>
        <v>1.34</v>
      </c>
      <c r="M488" s="14" t="n">
        <f aca="false">IF(F488*(1+'Read me'!$B$5)&lt;='Read me'!$B$7,CEILING(F488*(1+'Read me'!$B$5)+0.5,1)-0.5,CEILING(F488*(1+'Read me'!$B$5),5))</f>
        <v>14.5</v>
      </c>
      <c r="N488" s="14" t="n">
        <f aca="false">IF(MAX(M488*L488,M488+'Read me'!$B$6)&lt;='Read me'!$B$7,CEILING(MAX(M488*L488,M488+'Read me'!$B$6)+0.5,1)-0.5,CEILING(MAX(M488*L488,M488+'Read me'!$B$6),5))</f>
        <v>19.5</v>
      </c>
      <c r="O488" s="21" t="n">
        <f aca="false">IF(ISNUMBER(J488),M488-J488,"new")</f>
        <v>-5</v>
      </c>
    </row>
    <row r="489" customFormat="false" ht="15" hidden="false" customHeight="false" outlineLevel="0" collapsed="false">
      <c r="A489" s="2" t="s">
        <v>620</v>
      </c>
      <c r="B489" s="2" t="s">
        <v>126</v>
      </c>
      <c r="C489" s="2" t="s">
        <v>240</v>
      </c>
      <c r="D489" s="2" t="s">
        <v>10</v>
      </c>
      <c r="E489" s="2" t="s">
        <v>49</v>
      </c>
      <c r="F489" s="14" t="n">
        <v>25.65</v>
      </c>
      <c r="G489" s="2" t="n">
        <v>1</v>
      </c>
      <c r="H489" s="2" t="n">
        <v>13</v>
      </c>
      <c r="I489" s="20" t="n">
        <v>1.1</v>
      </c>
      <c r="J489" s="14" t="n">
        <v>19.5</v>
      </c>
      <c r="K489" s="14" t="n">
        <v>24.5</v>
      </c>
      <c r="L489" s="20" t="n">
        <f aca="false">INDEX('Read me'!$B$10:$B$15,1)</f>
        <v>1.34</v>
      </c>
      <c r="M489" s="14" t="n">
        <f aca="false">IF(F489*(1+'Read me'!$B$5)&lt;='Read me'!$B$7,CEILING(F489*(1+'Read me'!$B$5)+0.5,1)-0.5,CEILING(F489*(1+'Read me'!$B$5),5))</f>
        <v>26.5</v>
      </c>
      <c r="N489" s="14" t="n">
        <f aca="false">IF(MAX(M489*L489,M489+'Read me'!$B$6)&lt;='Read me'!$B$7,CEILING(MAX(M489*L489,M489+'Read me'!$B$6)+0.5,1)-0.5,CEILING(MAX(M489*L489,M489+'Read me'!$B$6),5))</f>
        <v>40</v>
      </c>
      <c r="O489" s="21" t="n">
        <f aca="false">IF(ISNUMBER(J489),M489-J489,"new")</f>
        <v>7</v>
      </c>
    </row>
    <row r="490" customFormat="false" ht="15" hidden="false" customHeight="false" outlineLevel="0" collapsed="false">
      <c r="A490" s="2" t="s">
        <v>621</v>
      </c>
      <c r="B490" s="2" t="s">
        <v>126</v>
      </c>
      <c r="C490" s="2" t="s">
        <v>240</v>
      </c>
      <c r="D490" s="2" t="s">
        <v>10</v>
      </c>
      <c r="E490" s="2" t="s">
        <v>50</v>
      </c>
      <c r="F490" s="14" t="n">
        <v>25.65</v>
      </c>
      <c r="G490" s="2" t="n">
        <v>3</v>
      </c>
      <c r="H490" s="2" t="n">
        <v>13</v>
      </c>
      <c r="I490" s="20" t="n">
        <v>1.1</v>
      </c>
      <c r="J490" s="14" t="n">
        <v>19.5</v>
      </c>
      <c r="K490" s="14" t="n">
        <v>34.5</v>
      </c>
      <c r="L490" s="20" t="n">
        <f aca="false">INDEX('Read me'!$B$10:$B$15,1)</f>
        <v>1.34</v>
      </c>
      <c r="M490" s="14" t="n">
        <f aca="false">IF(F490*(1+'Read me'!$B$5)&lt;='Read me'!$B$7,CEILING(F490*(1+'Read me'!$B$5)+0.5,1)-0.5,CEILING(F490*(1+'Read me'!$B$5),5))</f>
        <v>26.5</v>
      </c>
      <c r="N490" s="14" t="n">
        <f aca="false">IF(MAX(M490*L490,M490+'Read me'!$B$6)&lt;='Read me'!$B$7,CEILING(MAX(M490*L490,M490+'Read me'!$B$6)+0.5,1)-0.5,CEILING(MAX(M490*L490,M490+'Read me'!$B$6),5))</f>
        <v>40</v>
      </c>
      <c r="O490" s="21" t="n">
        <f aca="false">IF(ISNUMBER(J490),M490-J490,"new")</f>
        <v>7</v>
      </c>
    </row>
    <row r="491" customFormat="false" ht="15" hidden="false" customHeight="false" outlineLevel="0" collapsed="false">
      <c r="A491" s="2" t="s">
        <v>622</v>
      </c>
      <c r="B491" s="2" t="s">
        <v>126</v>
      </c>
      <c r="C491" s="2" t="s">
        <v>240</v>
      </c>
      <c r="D491" s="2" t="s">
        <v>12</v>
      </c>
      <c r="E491" s="2" t="s">
        <v>48</v>
      </c>
      <c r="F491" s="14" t="n">
        <v>52.69</v>
      </c>
      <c r="G491" s="2" t="n">
        <v>2</v>
      </c>
      <c r="H491" s="2" t="n">
        <v>13</v>
      </c>
      <c r="I491" s="20" t="n">
        <v>1.1</v>
      </c>
      <c r="J491" s="14" t="n">
        <v>24.5</v>
      </c>
      <c r="K491" s="14" t="n">
        <v>29.5</v>
      </c>
      <c r="L491" s="20" t="n">
        <f aca="false">INDEX('Read me'!$B$10:$B$15,2)</f>
        <v>1.26</v>
      </c>
      <c r="M491" s="14" t="n">
        <f aca="false">IF(F491*(1+'Read me'!$B$5)&lt;='Read me'!$B$7,CEILING(F491*(1+'Read me'!$B$5)+0.5,1)-0.5,CEILING(F491*(1+'Read me'!$B$5),5))</f>
        <v>55</v>
      </c>
      <c r="N491" s="14" t="n">
        <f aca="false">IF(MAX(M491*L491,M491+'Read me'!$B$6)&lt;='Read me'!$B$7,CEILING(MAX(M491*L491,M491+'Read me'!$B$6)+0.5,1)-0.5,CEILING(MAX(M491*L491,M491+'Read me'!$B$6),5))</f>
        <v>70</v>
      </c>
      <c r="O491" s="21" t="n">
        <f aca="false">IF(ISNUMBER(J491),M491-J491,"new")</f>
        <v>30.5</v>
      </c>
    </row>
    <row r="492" customFormat="false" ht="15" hidden="false" customHeight="false" outlineLevel="0" collapsed="false">
      <c r="A492" s="2" t="s">
        <v>623</v>
      </c>
      <c r="B492" s="2" t="s">
        <v>126</v>
      </c>
      <c r="C492" s="2" t="s">
        <v>240</v>
      </c>
      <c r="D492" s="2" t="s">
        <v>12</v>
      </c>
      <c r="E492" s="2" t="s">
        <v>49</v>
      </c>
      <c r="F492" s="14" t="n">
        <v>55.41</v>
      </c>
      <c r="G492" s="2" t="n">
        <v>5</v>
      </c>
      <c r="H492" s="2" t="n">
        <v>13</v>
      </c>
      <c r="I492" s="20" t="n">
        <v>1.1</v>
      </c>
      <c r="J492" s="14" t="n">
        <v>24.5</v>
      </c>
      <c r="K492" s="14" t="n">
        <v>29.5</v>
      </c>
      <c r="L492" s="20" t="n">
        <f aca="false">INDEX('Read me'!$B$10:$B$15,2)</f>
        <v>1.26</v>
      </c>
      <c r="M492" s="14" t="n">
        <f aca="false">IF(F492*(1+'Read me'!$B$5)&lt;='Read me'!$B$7,CEILING(F492*(1+'Read me'!$B$5)+0.5,1)-0.5,CEILING(F492*(1+'Read me'!$B$5),5))</f>
        <v>60</v>
      </c>
      <c r="N492" s="14" t="n">
        <f aca="false">IF(MAX(M492*L492,M492+'Read me'!$B$6)&lt;='Read me'!$B$7,CEILING(MAX(M492*L492,M492+'Read me'!$B$6)+0.5,1)-0.5,CEILING(MAX(M492*L492,M492+'Read me'!$B$6),5))</f>
        <v>80</v>
      </c>
      <c r="O492" s="21" t="n">
        <f aca="false">IF(ISNUMBER(J492),M492-J492,"new")</f>
        <v>35.5</v>
      </c>
    </row>
    <row r="493" customFormat="false" ht="15" hidden="false" customHeight="false" outlineLevel="0" collapsed="false">
      <c r="A493" s="2" t="s">
        <v>624</v>
      </c>
      <c r="B493" s="2" t="s">
        <v>126</v>
      </c>
      <c r="C493" s="2" t="s">
        <v>240</v>
      </c>
      <c r="D493" s="2" t="s">
        <v>12</v>
      </c>
      <c r="E493" s="2" t="s">
        <v>50</v>
      </c>
      <c r="F493" s="14" t="n">
        <v>67.24</v>
      </c>
      <c r="G493" s="2" t="n">
        <v>0</v>
      </c>
      <c r="H493" s="2" t="n">
        <v>13</v>
      </c>
      <c r="I493" s="20" t="n">
        <v>1.1</v>
      </c>
      <c r="J493" s="14" t="n">
        <v>24.5</v>
      </c>
      <c r="K493" s="14" t="n">
        <v>45</v>
      </c>
      <c r="L493" s="20" t="n">
        <f aca="false">INDEX('Read me'!$B$10:$B$15,2)</f>
        <v>1.26</v>
      </c>
      <c r="M493" s="14" t="n">
        <f aca="false">IF(F493*(1+'Read me'!$B$5)&lt;='Read me'!$B$7,CEILING(F493*(1+'Read me'!$B$5)+0.5,1)-0.5,CEILING(F493*(1+'Read me'!$B$5),5))</f>
        <v>70</v>
      </c>
      <c r="N493" s="14" t="n">
        <f aca="false">IF(MAX(M493*L493,M493+'Read me'!$B$6)&lt;='Read me'!$B$7,CEILING(MAX(M493*L493,M493+'Read me'!$B$6)+0.5,1)-0.5,CEILING(MAX(M493*L493,M493+'Read me'!$B$6),5))</f>
        <v>90</v>
      </c>
      <c r="O493" s="21" t="n">
        <f aca="false">IF(ISNUMBER(J493),M493-J493,"new")</f>
        <v>45.5</v>
      </c>
    </row>
    <row r="494" customFormat="false" ht="15" hidden="false" customHeight="false" outlineLevel="0" collapsed="false">
      <c r="A494" s="2" t="s">
        <v>625</v>
      </c>
      <c r="B494" s="2" t="s">
        <v>126</v>
      </c>
      <c r="C494" s="2" t="s">
        <v>240</v>
      </c>
      <c r="D494" s="2" t="s">
        <v>13</v>
      </c>
      <c r="E494" s="2" t="s">
        <v>48</v>
      </c>
      <c r="F494" s="14" t="n">
        <v>90.77</v>
      </c>
      <c r="G494" s="2" t="n">
        <v>0</v>
      </c>
      <c r="H494" s="2" t="n">
        <v>13</v>
      </c>
      <c r="I494" s="20" t="n">
        <v>1.1</v>
      </c>
      <c r="J494" s="14" t="n">
        <v>45</v>
      </c>
      <c r="K494" s="14" t="n">
        <v>95</v>
      </c>
      <c r="L494" s="20" t="n">
        <f aca="false">INDEX('Read me'!$B$10:$B$15,3)</f>
        <v>1.35</v>
      </c>
      <c r="M494" s="14" t="n">
        <f aca="false">IF(F494*(1+'Read me'!$B$5)&lt;='Read me'!$B$7,CEILING(F494*(1+'Read me'!$B$5)+0.5,1)-0.5,CEILING(F494*(1+'Read me'!$B$5),5))</f>
        <v>95</v>
      </c>
      <c r="N494" s="14" t="n">
        <f aca="false">IF(MAX(M494*L494,M494+'Read me'!$B$6)&lt;='Read me'!$B$7,CEILING(MAX(M494*L494,M494+'Read me'!$B$6)+0.5,1)-0.5,CEILING(MAX(M494*L494,M494+'Read me'!$B$6),5))</f>
        <v>130</v>
      </c>
      <c r="O494" s="21" t="n">
        <f aca="false">IF(ISNUMBER(J494),M494-J494,"new")</f>
        <v>50</v>
      </c>
    </row>
    <row r="495" customFormat="false" ht="15" hidden="false" customHeight="false" outlineLevel="0" collapsed="false">
      <c r="A495" s="2" t="s">
        <v>626</v>
      </c>
      <c r="B495" s="2" t="s">
        <v>126</v>
      </c>
      <c r="C495" s="2" t="s">
        <v>240</v>
      </c>
      <c r="D495" s="2" t="s">
        <v>13</v>
      </c>
      <c r="E495" s="2" t="s">
        <v>49</v>
      </c>
      <c r="F495" s="14" t="n">
        <v>100.33</v>
      </c>
      <c r="G495" s="2" t="n">
        <v>1</v>
      </c>
      <c r="H495" s="2" t="n">
        <v>13</v>
      </c>
      <c r="I495" s="20" t="n">
        <v>1.1</v>
      </c>
      <c r="J495" s="14" t="n">
        <v>45</v>
      </c>
      <c r="K495" s="14" t="n">
        <v>95</v>
      </c>
      <c r="L495" s="20" t="n">
        <f aca="false">INDEX('Read me'!$B$10:$B$15,3)</f>
        <v>1.35</v>
      </c>
      <c r="M495" s="14" t="n">
        <f aca="false">IF(F495*(1+'Read me'!$B$5)&lt;='Read me'!$B$7,CEILING(F495*(1+'Read me'!$B$5)+0.5,1)-0.5,CEILING(F495*(1+'Read me'!$B$5),5))</f>
        <v>105</v>
      </c>
      <c r="N495" s="14" t="n">
        <f aca="false">IF(MAX(M495*L495,M495+'Read me'!$B$6)&lt;='Read me'!$B$7,CEILING(MAX(M495*L495,M495+'Read me'!$B$6)+0.5,1)-0.5,CEILING(MAX(M495*L495,M495+'Read me'!$B$6),5))</f>
        <v>145</v>
      </c>
      <c r="O495" s="21" t="n">
        <f aca="false">IF(ISNUMBER(J495),M495-J495,"new")</f>
        <v>60</v>
      </c>
    </row>
    <row r="496" customFormat="false" ht="15" hidden="false" customHeight="false" outlineLevel="0" collapsed="false">
      <c r="A496" s="2" t="s">
        <v>627</v>
      </c>
      <c r="B496" s="2" t="s">
        <v>126</v>
      </c>
      <c r="C496" s="2" t="s">
        <v>240</v>
      </c>
      <c r="D496" s="2" t="s">
        <v>13</v>
      </c>
      <c r="E496" s="2" t="s">
        <v>50</v>
      </c>
      <c r="F496" s="14" t="n">
        <v>137.32</v>
      </c>
      <c r="G496" s="2" t="n">
        <v>0</v>
      </c>
      <c r="H496" s="2" t="n">
        <v>13</v>
      </c>
      <c r="I496" s="20" t="n">
        <v>1.1</v>
      </c>
      <c r="J496" s="14" t="n">
        <v>99</v>
      </c>
      <c r="K496" s="14" t="n">
        <v>150</v>
      </c>
      <c r="L496" s="20" t="n">
        <f aca="false">INDEX('Read me'!$B$10:$B$15,3)</f>
        <v>1.35</v>
      </c>
      <c r="M496" s="14" t="n">
        <f aca="false">IF(F496*(1+'Read me'!$B$5)&lt;='Read me'!$B$7,CEILING(F496*(1+'Read me'!$B$5)+0.5,1)-0.5,CEILING(F496*(1+'Read me'!$B$5),5))</f>
        <v>140</v>
      </c>
      <c r="N496" s="14" t="n">
        <f aca="false">IF(MAX(M496*L496,M496+'Read me'!$B$6)&lt;='Read me'!$B$7,CEILING(MAX(M496*L496,M496+'Read me'!$B$6)+0.5,1)-0.5,CEILING(MAX(M496*L496,M496+'Read me'!$B$6),5))</f>
        <v>190</v>
      </c>
      <c r="O496" s="21" t="n">
        <f aca="false">IF(ISNUMBER(J496),M496-J496,"new")</f>
        <v>41</v>
      </c>
    </row>
    <row r="497" customFormat="false" ht="15" hidden="false" customHeight="false" outlineLevel="0" collapsed="false">
      <c r="A497" s="2" t="s">
        <v>628</v>
      </c>
      <c r="B497" s="2" t="s">
        <v>126</v>
      </c>
      <c r="C497" s="2" t="s">
        <v>240</v>
      </c>
      <c r="D497" s="2" t="s">
        <v>14</v>
      </c>
      <c r="E497" s="2" t="s">
        <v>48</v>
      </c>
      <c r="F497" s="14" t="n">
        <v>157.17</v>
      </c>
      <c r="G497" s="2" t="n">
        <v>0</v>
      </c>
      <c r="H497" s="2" t="n">
        <v>13</v>
      </c>
      <c r="I497" s="20" t="n">
        <v>1.1</v>
      </c>
      <c r="J497" s="14" t="n">
        <v>99</v>
      </c>
      <c r="K497" s="14" t="n">
        <v>150</v>
      </c>
      <c r="L497" s="20" t="n">
        <f aca="false">INDEX('Read me'!$B$10:$B$15,4)</f>
        <v>1.2</v>
      </c>
      <c r="M497" s="14" t="n">
        <f aca="false">IF(F497*(1+'Read me'!$B$5)&lt;='Read me'!$B$7,CEILING(F497*(1+'Read me'!$B$5)+0.5,1)-0.5,CEILING(F497*(1+'Read me'!$B$5),5))</f>
        <v>160</v>
      </c>
      <c r="N497" s="14" t="n">
        <f aca="false">IF(MAX(M497*L497,M497+'Read me'!$B$6)&lt;='Read me'!$B$7,CEILING(MAX(M497*L497,M497+'Read me'!$B$6)+0.5,1)-0.5,CEILING(MAX(M497*L497,M497+'Read me'!$B$6),5))</f>
        <v>195</v>
      </c>
      <c r="O497" s="21" t="n">
        <f aca="false">IF(ISNUMBER(J497),M497-J497,"new")</f>
        <v>61</v>
      </c>
    </row>
    <row r="498" customFormat="false" ht="15" hidden="false" customHeight="false" outlineLevel="0" collapsed="false">
      <c r="A498" s="2" t="s">
        <v>629</v>
      </c>
      <c r="B498" s="2" t="s">
        <v>126</v>
      </c>
      <c r="C498" s="2" t="s">
        <v>240</v>
      </c>
      <c r="D498" s="2" t="s">
        <v>14</v>
      </c>
      <c r="E498" s="2" t="s">
        <v>49</v>
      </c>
      <c r="F498" s="14" t="n">
        <v>188.72</v>
      </c>
      <c r="G498" s="2" t="n">
        <v>0</v>
      </c>
      <c r="H498" s="2" t="n">
        <v>13</v>
      </c>
      <c r="I498" s="20" t="n">
        <v>1.1</v>
      </c>
      <c r="J498" s="14" t="n">
        <v>150</v>
      </c>
      <c r="K498" s="14" t="n">
        <v>150</v>
      </c>
      <c r="L498" s="20" t="n">
        <f aca="false">INDEX('Read me'!$B$10:$B$15,4)</f>
        <v>1.2</v>
      </c>
      <c r="M498" s="14" t="n">
        <f aca="false">IF(F498*(1+'Read me'!$B$5)&lt;='Read me'!$B$7,CEILING(F498*(1+'Read me'!$B$5)+0.5,1)-0.5,CEILING(F498*(1+'Read me'!$B$5),5))</f>
        <v>190</v>
      </c>
      <c r="N498" s="14" t="n">
        <f aca="false">IF(MAX(M498*L498,M498+'Read me'!$B$6)&lt;='Read me'!$B$7,CEILING(MAX(M498*L498,M498+'Read me'!$B$6)+0.5,1)-0.5,CEILING(MAX(M498*L498,M498+'Read me'!$B$6),5))</f>
        <v>230</v>
      </c>
      <c r="O498" s="21" t="n">
        <f aca="false">IF(ISNUMBER(J498),M498-J498,"new")</f>
        <v>40</v>
      </c>
    </row>
    <row r="499" customFormat="false" ht="15" hidden="false" customHeight="false" outlineLevel="0" collapsed="false">
      <c r="A499" s="2" t="s">
        <v>630</v>
      </c>
      <c r="B499" s="2" t="s">
        <v>126</v>
      </c>
      <c r="C499" s="2" t="s">
        <v>240</v>
      </c>
      <c r="D499" s="2" t="s">
        <v>14</v>
      </c>
      <c r="E499" s="2" t="s">
        <v>50</v>
      </c>
      <c r="F499" s="14" t="n">
        <v>227.43</v>
      </c>
      <c r="G499" s="2" t="n">
        <v>0</v>
      </c>
      <c r="H499" s="2" t="n">
        <v>13</v>
      </c>
      <c r="I499" s="20" t="n">
        <v>1.1</v>
      </c>
      <c r="J499" s="14" t="n">
        <v>250</v>
      </c>
      <c r="K499" s="14" t="n">
        <v>195</v>
      </c>
      <c r="L499" s="20" t="n">
        <f aca="false">INDEX('Read me'!$B$10:$B$15,4)</f>
        <v>1.2</v>
      </c>
      <c r="M499" s="14" t="n">
        <f aca="false">IF(F499*(1+'Read me'!$B$5)&lt;='Read me'!$B$7,CEILING(F499*(1+'Read me'!$B$5)+0.5,1)-0.5,CEILING(F499*(1+'Read me'!$B$5),5))</f>
        <v>230</v>
      </c>
      <c r="N499" s="14" t="n">
        <f aca="false">IF(MAX(M499*L499,M499+'Read me'!$B$6)&lt;='Read me'!$B$7,CEILING(MAX(M499*L499,M499+'Read me'!$B$6)+0.5,1)-0.5,CEILING(MAX(M499*L499,M499+'Read me'!$B$6),5))</f>
        <v>280</v>
      </c>
      <c r="O499" s="21" t="n">
        <f aca="false">IF(ISNUMBER(J499),M499-J499,"new")</f>
        <v>-20</v>
      </c>
    </row>
    <row r="500" customFormat="false" ht="15" hidden="false" customHeight="false" outlineLevel="0" collapsed="false">
      <c r="A500" s="2" t="s">
        <v>631</v>
      </c>
      <c r="B500" s="2" t="s">
        <v>126</v>
      </c>
      <c r="C500" s="2" t="s">
        <v>240</v>
      </c>
      <c r="D500" s="2" t="s">
        <v>15</v>
      </c>
      <c r="E500" s="2" t="s">
        <v>48</v>
      </c>
      <c r="F500" s="14" t="n">
        <v>199.49</v>
      </c>
      <c r="G500" s="2" t="n">
        <v>0</v>
      </c>
      <c r="H500" s="2" t="n">
        <v>13</v>
      </c>
      <c r="I500" s="20" t="n">
        <v>1.1</v>
      </c>
      <c r="J500" s="14" t="n">
        <v>300</v>
      </c>
      <c r="K500" s="14" t="n">
        <v>300</v>
      </c>
      <c r="L500" s="20" t="n">
        <f aca="false">INDEX('Read me'!$B$10:$B$15,5)</f>
        <v>1.2</v>
      </c>
      <c r="M500" s="14" t="n">
        <f aca="false">IF(F500*(1+'Read me'!$B$5)&lt;='Read me'!$B$7,CEILING(F500*(1+'Read me'!$B$5)+0.5,1)-0.5,CEILING(F500*(1+'Read me'!$B$5),5))</f>
        <v>200</v>
      </c>
      <c r="N500" s="14" t="n">
        <f aca="false">IF(MAX(M500*L500,M500+'Read me'!$B$6)&lt;='Read me'!$B$7,CEILING(MAX(M500*L500,M500+'Read me'!$B$6)+0.5,1)-0.5,CEILING(MAX(M500*L500,M500+'Read me'!$B$6),5))</f>
        <v>240</v>
      </c>
      <c r="O500" s="21" t="n">
        <f aca="false">IF(ISNUMBER(J500),M500-J500,"new")</f>
        <v>-100</v>
      </c>
    </row>
    <row r="501" customFormat="false" ht="15" hidden="false" customHeight="false" outlineLevel="0" collapsed="false">
      <c r="A501" s="2" t="s">
        <v>632</v>
      </c>
      <c r="B501" s="2" t="s">
        <v>126</v>
      </c>
      <c r="C501" s="2" t="s">
        <v>240</v>
      </c>
      <c r="D501" s="2" t="s">
        <v>15</v>
      </c>
      <c r="E501" s="2" t="s">
        <v>49</v>
      </c>
      <c r="F501" s="14" t="n">
        <v>246.12</v>
      </c>
      <c r="G501" s="2" t="n">
        <v>0</v>
      </c>
      <c r="H501" s="2" t="n">
        <v>13</v>
      </c>
      <c r="I501" s="20" t="n">
        <v>1.1</v>
      </c>
      <c r="J501" s="14" t="n">
        <v>300</v>
      </c>
      <c r="K501" s="14" t="n">
        <v>300</v>
      </c>
      <c r="L501" s="20" t="n">
        <f aca="false">INDEX('Read me'!$B$10:$B$15,5)</f>
        <v>1.2</v>
      </c>
      <c r="M501" s="14" t="n">
        <f aca="false">N501</f>
        <v>300</v>
      </c>
      <c r="N501" s="14" t="n">
        <f aca="false">IF(MAX((IF(F501*(1+'Read me'!$B$5)&lt;='Read me'!$B$7,CEILING(F501*(1+'Read me'!$B$5)+0.5,1)-0.5,CEILING(F501*(1+'Read me'!$B$5),5)))*L501,(IF(F501*(1+'Read me'!$B$5)&lt;='Read me'!$B$7,CEILING(F501*(1+'Read me'!$B$5)+0.5,1)-0.5,CEILING(F501*(1+'Read me'!$B$5),5)))+'Read me'!$B$6)&lt;='Read me'!$B$7,CEILING(MAX((IF(F501*(1+'Read me'!$B$5)&lt;='Read me'!$B$7,CEILING(F501*(1+'Read me'!$B$5)+0.5,1)-0.5,CEILING(F501*(1+'Read me'!$B$5),5)))*L501,(IF(F501*(1+'Read me'!$B$5)&lt;='Read me'!$B$7,CEILING(F501*(1+'Read me'!$B$5)+0.5,1)-0.5,CEILING(F501*(1+'Read me'!$B$5),5)))+'Read me'!$B$6)+0.5,1)-0.5,CEILING(MAX((IF(F501*(1+'Read me'!$B$5)&lt;='Read me'!$B$7,CEILING(F501*(1+'Read me'!$B$5)+0.5,1)-0.5,CEILING(F501*(1+'Read me'!$B$5),5)))*L501,(IF(F501*(1+'Read me'!$B$5)&lt;='Read me'!$B$7,CEILING(F501*(1+'Read me'!$B$5)+0.5,1)-0.5,CEILING(F501*(1+'Read me'!$B$5),5)))+'Read me'!$B$6),5))</f>
        <v>300</v>
      </c>
      <c r="O501" s="21" t="n">
        <f aca="false">IF(ISNUMBER(J501),M501-J501,"new")</f>
        <v>0</v>
      </c>
      <c r="P501" s="5" t="s">
        <v>140</v>
      </c>
    </row>
    <row r="502" customFormat="false" ht="15" hidden="false" customHeight="false" outlineLevel="0" collapsed="false">
      <c r="A502" s="2" t="s">
        <v>633</v>
      </c>
      <c r="B502" s="2" t="s">
        <v>126</v>
      </c>
      <c r="C502" s="2" t="s">
        <v>240</v>
      </c>
      <c r="D502" s="2" t="s">
        <v>15</v>
      </c>
      <c r="E502" s="2" t="s">
        <v>50</v>
      </c>
      <c r="F502" s="14" t="n">
        <v>295.73</v>
      </c>
      <c r="G502" s="2" t="n">
        <v>0</v>
      </c>
      <c r="H502" s="2" t="n">
        <v>13</v>
      </c>
      <c r="I502" s="20" t="n">
        <v>1.1</v>
      </c>
      <c r="J502" s="14" t="n">
        <v>350</v>
      </c>
      <c r="K502" s="14" t="n">
        <v>400</v>
      </c>
      <c r="L502" s="20" t="n">
        <f aca="false">INDEX('Read me'!$B$10:$B$15,5)</f>
        <v>1.2</v>
      </c>
      <c r="M502" s="14" t="n">
        <f aca="false">N502</f>
        <v>360</v>
      </c>
      <c r="N502" s="14" t="n">
        <f aca="false">IF(MAX((IF(F502*(1+'Read me'!$B$5)&lt;='Read me'!$B$7,CEILING(F502*(1+'Read me'!$B$5)+0.5,1)-0.5,CEILING(F502*(1+'Read me'!$B$5),5)))*L502,(IF(F502*(1+'Read me'!$B$5)&lt;='Read me'!$B$7,CEILING(F502*(1+'Read me'!$B$5)+0.5,1)-0.5,CEILING(F502*(1+'Read me'!$B$5),5)))+'Read me'!$B$6)&lt;='Read me'!$B$7,CEILING(MAX((IF(F502*(1+'Read me'!$B$5)&lt;='Read me'!$B$7,CEILING(F502*(1+'Read me'!$B$5)+0.5,1)-0.5,CEILING(F502*(1+'Read me'!$B$5),5)))*L502,(IF(F502*(1+'Read me'!$B$5)&lt;='Read me'!$B$7,CEILING(F502*(1+'Read me'!$B$5)+0.5,1)-0.5,CEILING(F502*(1+'Read me'!$B$5),5)))+'Read me'!$B$6)+0.5,1)-0.5,CEILING(MAX((IF(F502*(1+'Read me'!$B$5)&lt;='Read me'!$B$7,CEILING(F502*(1+'Read me'!$B$5)+0.5,1)-0.5,CEILING(F502*(1+'Read me'!$B$5),5)))*L502,(IF(F502*(1+'Read me'!$B$5)&lt;='Read me'!$B$7,CEILING(F502*(1+'Read me'!$B$5)+0.5,1)-0.5,CEILING(F502*(1+'Read me'!$B$5),5)))+'Read me'!$B$6),5))</f>
        <v>360</v>
      </c>
      <c r="O502" s="21" t="n">
        <f aca="false">IF(ISNUMBER(J502),M502-J502,"new")</f>
        <v>10</v>
      </c>
      <c r="P502" s="5" t="s">
        <v>140</v>
      </c>
    </row>
    <row r="503" customFormat="false" ht="15" hidden="false" customHeight="false" outlineLevel="0" collapsed="false">
      <c r="A503" s="2" t="s">
        <v>634</v>
      </c>
      <c r="B503" s="2" t="s">
        <v>126</v>
      </c>
      <c r="C503" s="2" t="s">
        <v>240</v>
      </c>
      <c r="D503" s="2" t="s">
        <v>16</v>
      </c>
      <c r="E503" s="2" t="s">
        <v>48</v>
      </c>
      <c r="F503" s="14" t="n">
        <v>277.01</v>
      </c>
      <c r="G503" s="2" t="n">
        <v>0</v>
      </c>
      <c r="H503" s="2" t="n">
        <v>13</v>
      </c>
      <c r="I503" s="20" t="n">
        <v>1.1</v>
      </c>
      <c r="J503" s="14"/>
      <c r="K503" s="14"/>
      <c r="L503" s="20" t="n">
        <f aca="false">INDEX('Read me'!$B$10:$B$15,6)</f>
        <v>1.2</v>
      </c>
      <c r="M503" s="14" t="n">
        <f aca="false">IF(F503*(1+'Read me'!$B$5)&lt;='Read me'!$B$7,CEILING(F503*(1+'Read me'!$B$5)+0.5,1)-0.5,CEILING(F503*(1+'Read me'!$B$5),5))</f>
        <v>280</v>
      </c>
      <c r="N503" s="14" t="n">
        <f aca="false">IF(MAX(M503*L503,M503+'Read me'!$B$6)&lt;='Read me'!$B$7,CEILING(MAX(M503*L503,M503+'Read me'!$B$6)+0.5,1)-0.5,CEILING(MAX(M503*L503,M503+'Read me'!$B$6),5))</f>
        <v>340</v>
      </c>
      <c r="O503" s="21" t="str">
        <f aca="false">IF(ISNUMBER(J503),M503-J503,"new")</f>
        <v>new</v>
      </c>
    </row>
    <row r="504" customFormat="false" ht="15" hidden="false" customHeight="false" outlineLevel="0" collapsed="false">
      <c r="A504" s="2" t="s">
        <v>635</v>
      </c>
      <c r="B504" s="2" t="s">
        <v>126</v>
      </c>
      <c r="C504" s="2" t="s">
        <v>240</v>
      </c>
      <c r="D504" s="2" t="s">
        <v>16</v>
      </c>
      <c r="E504" s="2" t="s">
        <v>49</v>
      </c>
      <c r="F504" s="14" t="n">
        <v>355.95</v>
      </c>
      <c r="G504" s="2" t="n">
        <v>0</v>
      </c>
      <c r="H504" s="2" t="n">
        <v>13</v>
      </c>
      <c r="I504" s="20" t="n">
        <v>1.1</v>
      </c>
      <c r="J504" s="14"/>
      <c r="K504" s="14"/>
      <c r="L504" s="20" t="n">
        <f aca="false">INDEX('Read me'!$B$10:$B$15,6)</f>
        <v>1.2</v>
      </c>
      <c r="M504" s="14" t="n">
        <f aca="false">N504</f>
        <v>435</v>
      </c>
      <c r="N504" s="14" t="n">
        <f aca="false">IF(MAX((IF(F504*(1+'Read me'!$B$5)&lt;='Read me'!$B$7,CEILING(F504*(1+'Read me'!$B$5)+0.5,1)-0.5,CEILING(F504*(1+'Read me'!$B$5),5)))*L504,(IF(F504*(1+'Read me'!$B$5)&lt;='Read me'!$B$7,CEILING(F504*(1+'Read me'!$B$5)+0.5,1)-0.5,CEILING(F504*(1+'Read me'!$B$5),5)))+'Read me'!$B$6)&lt;='Read me'!$B$7,CEILING(MAX((IF(F504*(1+'Read me'!$B$5)&lt;='Read me'!$B$7,CEILING(F504*(1+'Read me'!$B$5)+0.5,1)-0.5,CEILING(F504*(1+'Read me'!$B$5),5)))*L504,(IF(F504*(1+'Read me'!$B$5)&lt;='Read me'!$B$7,CEILING(F504*(1+'Read me'!$B$5)+0.5,1)-0.5,CEILING(F504*(1+'Read me'!$B$5),5)))+'Read me'!$B$6)+0.5,1)-0.5,CEILING(MAX((IF(F504*(1+'Read me'!$B$5)&lt;='Read me'!$B$7,CEILING(F504*(1+'Read me'!$B$5)+0.5,1)-0.5,CEILING(F504*(1+'Read me'!$B$5),5)))*L504,(IF(F504*(1+'Read me'!$B$5)&lt;='Read me'!$B$7,CEILING(F504*(1+'Read me'!$B$5)+0.5,1)-0.5,CEILING(F504*(1+'Read me'!$B$5),5)))+'Read me'!$B$6),5))</f>
        <v>435</v>
      </c>
      <c r="O504" s="21" t="str">
        <f aca="false">IF(ISNUMBER(J504),M504-J504,"new")</f>
        <v>new</v>
      </c>
      <c r="P504" s="5" t="s">
        <v>140</v>
      </c>
    </row>
    <row r="505" customFormat="false" ht="15" hidden="false" customHeight="false" outlineLevel="0" collapsed="false">
      <c r="A505" s="2" t="s">
        <v>636</v>
      </c>
      <c r="B505" s="2" t="s">
        <v>126</v>
      </c>
      <c r="C505" s="2" t="s">
        <v>240</v>
      </c>
      <c r="D505" s="2" t="s">
        <v>16</v>
      </c>
      <c r="E505" s="2" t="s">
        <v>50</v>
      </c>
      <c r="F505" s="14" t="n">
        <v>418.36</v>
      </c>
      <c r="G505" s="2" t="n">
        <v>0</v>
      </c>
      <c r="H505" s="2" t="n">
        <v>13</v>
      </c>
      <c r="I505" s="20" t="n">
        <v>1.1</v>
      </c>
      <c r="J505" s="14"/>
      <c r="K505" s="14"/>
      <c r="L505" s="20" t="n">
        <f aca="false">INDEX('Read me'!$B$10:$B$15,6)</f>
        <v>1.2</v>
      </c>
      <c r="M505" s="14" t="n">
        <f aca="false">N505</f>
        <v>505</v>
      </c>
      <c r="N505" s="14" t="n">
        <f aca="false">IF(MAX((IF(F505*(1+'Read me'!$B$5)&lt;='Read me'!$B$7,CEILING(F505*(1+'Read me'!$B$5)+0.5,1)-0.5,CEILING(F505*(1+'Read me'!$B$5),5)))*L505,(IF(F505*(1+'Read me'!$B$5)&lt;='Read me'!$B$7,CEILING(F505*(1+'Read me'!$B$5)+0.5,1)-0.5,CEILING(F505*(1+'Read me'!$B$5),5)))+'Read me'!$B$6)&lt;='Read me'!$B$7,CEILING(MAX((IF(F505*(1+'Read me'!$B$5)&lt;='Read me'!$B$7,CEILING(F505*(1+'Read me'!$B$5)+0.5,1)-0.5,CEILING(F505*(1+'Read me'!$B$5),5)))*L505,(IF(F505*(1+'Read me'!$B$5)&lt;='Read me'!$B$7,CEILING(F505*(1+'Read me'!$B$5)+0.5,1)-0.5,CEILING(F505*(1+'Read me'!$B$5),5)))+'Read me'!$B$6)+0.5,1)-0.5,CEILING(MAX((IF(F505*(1+'Read me'!$B$5)&lt;='Read me'!$B$7,CEILING(F505*(1+'Read me'!$B$5)+0.5,1)-0.5,CEILING(F505*(1+'Read me'!$B$5),5)))*L505,(IF(F505*(1+'Read me'!$B$5)&lt;='Read me'!$B$7,CEILING(F505*(1+'Read me'!$B$5)+0.5,1)-0.5,CEILING(F505*(1+'Read me'!$B$5),5)))+'Read me'!$B$6),5))</f>
        <v>505</v>
      </c>
      <c r="O505" s="21" t="str">
        <f aca="false">IF(ISNUMBER(J505),M505-J505,"new")</f>
        <v>new</v>
      </c>
      <c r="P505" s="5" t="s">
        <v>140</v>
      </c>
    </row>
    <row r="506" customFormat="false" ht="15" hidden="false" customHeight="false" outlineLevel="0" collapsed="false">
      <c r="A506" s="2" t="s">
        <v>637</v>
      </c>
      <c r="B506" s="2" t="s">
        <v>165</v>
      </c>
      <c r="C506" s="2" t="s">
        <v>165</v>
      </c>
      <c r="D506" s="2" t="s">
        <v>10</v>
      </c>
      <c r="E506" s="2" t="s">
        <v>48</v>
      </c>
      <c r="F506" s="14" t="n">
        <v>7.09</v>
      </c>
      <c r="G506" s="2" t="n">
        <v>61</v>
      </c>
      <c r="H506" s="2" t="n">
        <v>211</v>
      </c>
      <c r="I506" s="20" t="n">
        <v>0.8</v>
      </c>
      <c r="J506" s="14" t="n">
        <v>9.5</v>
      </c>
      <c r="K506" s="14" t="n">
        <v>14.5</v>
      </c>
      <c r="L506" s="20" t="n">
        <f aca="false">INDEX('Read me'!$B$10:$B$15,1)</f>
        <v>1.34</v>
      </c>
      <c r="M506" s="14" t="n">
        <f aca="false">IF(F506*(1+'Read me'!$B$5)&lt;='Read me'!$B$7,CEILING(F506*(1+'Read me'!$B$5)+0.5,1)-0.5,CEILING(F506*(1+'Read me'!$B$5),5))</f>
        <v>7.5</v>
      </c>
      <c r="N506" s="14" t="n">
        <f aca="false">IF(MAX(M506*L506,M506+'Read me'!$B$6)&lt;='Read me'!$B$7,CEILING(MAX(M506*L506,M506+'Read me'!$B$6)+0.5,1)-0.5,CEILING(MAX(M506*L506,M506+'Read me'!$B$6),5))</f>
        <v>12.5</v>
      </c>
      <c r="O506" s="21" t="n">
        <f aca="false">IF(ISNUMBER(J506),M506-J506,"new")</f>
        <v>-2</v>
      </c>
    </row>
    <row r="507" customFormat="false" ht="15" hidden="false" customHeight="false" outlineLevel="0" collapsed="false">
      <c r="A507" s="2" t="s">
        <v>638</v>
      </c>
      <c r="B507" s="2" t="s">
        <v>165</v>
      </c>
      <c r="C507" s="2" t="s">
        <v>165</v>
      </c>
      <c r="D507" s="2" t="s">
        <v>10</v>
      </c>
      <c r="E507" s="2" t="s">
        <v>49</v>
      </c>
      <c r="F507" s="14" t="n">
        <v>11.22</v>
      </c>
      <c r="G507" s="2" t="n">
        <v>6</v>
      </c>
      <c r="H507" s="2" t="n">
        <v>211</v>
      </c>
      <c r="I507" s="20" t="n">
        <v>0.8</v>
      </c>
      <c r="J507" s="14" t="n">
        <v>12.5</v>
      </c>
      <c r="K507" s="14" t="n">
        <v>17.5</v>
      </c>
      <c r="L507" s="20" t="n">
        <f aca="false">INDEX('Read me'!$B$10:$B$15,1)</f>
        <v>1.34</v>
      </c>
      <c r="M507" s="14" t="n">
        <f aca="false">IF(F507*(1+'Read me'!$B$5)&lt;='Read me'!$B$7,CEILING(F507*(1+'Read me'!$B$5)+0.5,1)-0.5,CEILING(F507*(1+'Read me'!$B$5),5))</f>
        <v>11.5</v>
      </c>
      <c r="N507" s="14" t="n">
        <f aca="false">IF(MAX(M507*L507,M507+'Read me'!$B$6)&lt;='Read me'!$B$7,CEILING(MAX(M507*L507,M507+'Read me'!$B$6)+0.5,1)-0.5,CEILING(MAX(M507*L507,M507+'Read me'!$B$6),5))</f>
        <v>16.5</v>
      </c>
      <c r="O507" s="21" t="n">
        <f aca="false">IF(ISNUMBER(J507),M507-J507,"new")</f>
        <v>-1</v>
      </c>
    </row>
    <row r="508" customFormat="false" ht="15" hidden="false" customHeight="false" outlineLevel="0" collapsed="false">
      <c r="A508" s="2" t="s">
        <v>639</v>
      </c>
      <c r="B508" s="2" t="s">
        <v>165</v>
      </c>
      <c r="C508" s="2" t="s">
        <v>165</v>
      </c>
      <c r="D508" s="2" t="s">
        <v>10</v>
      </c>
      <c r="E508" s="2" t="s">
        <v>50</v>
      </c>
      <c r="F508" s="14" t="n">
        <v>16.55</v>
      </c>
      <c r="G508" s="2" t="n">
        <v>50</v>
      </c>
      <c r="H508" s="2" t="n">
        <v>211</v>
      </c>
      <c r="I508" s="20" t="n">
        <v>0.8</v>
      </c>
      <c r="J508" s="14" t="n">
        <v>17.5</v>
      </c>
      <c r="K508" s="14" t="n">
        <v>24.5</v>
      </c>
      <c r="L508" s="20" t="n">
        <f aca="false">INDEX('Read me'!$B$10:$B$15,1)</f>
        <v>1.34</v>
      </c>
      <c r="M508" s="14" t="n">
        <f aca="false">IF(F508*(1+'Read me'!$B$5)&lt;='Read me'!$B$7,CEILING(F508*(1+'Read me'!$B$5)+0.5,1)-0.5,CEILING(F508*(1+'Read me'!$B$5),5))</f>
        <v>17.5</v>
      </c>
      <c r="N508" s="14" t="n">
        <f aca="false">IF(MAX(M508*L508,M508+'Read me'!$B$6)&lt;='Read me'!$B$7,CEILING(MAX(M508*L508,M508+'Read me'!$B$6)+0.5,1)-0.5,CEILING(MAX(M508*L508,M508+'Read me'!$B$6),5))</f>
        <v>23.5</v>
      </c>
      <c r="O508" s="21" t="n">
        <f aca="false">IF(ISNUMBER(J508),M508-J508,"new")</f>
        <v>0</v>
      </c>
    </row>
    <row r="509" customFormat="false" ht="15" hidden="false" customHeight="false" outlineLevel="0" collapsed="false">
      <c r="A509" s="2" t="s">
        <v>640</v>
      </c>
      <c r="B509" s="2" t="s">
        <v>165</v>
      </c>
      <c r="C509" s="2" t="s">
        <v>165</v>
      </c>
      <c r="D509" s="2" t="s">
        <v>12</v>
      </c>
      <c r="E509" s="2" t="s">
        <v>48</v>
      </c>
      <c r="F509" s="14" t="n">
        <v>17.15</v>
      </c>
      <c r="G509" s="2" t="n">
        <v>38</v>
      </c>
      <c r="H509" s="2" t="n">
        <v>211</v>
      </c>
      <c r="I509" s="20" t="n">
        <v>0.8</v>
      </c>
      <c r="J509" s="14" t="n">
        <v>9.5</v>
      </c>
      <c r="K509" s="14" t="n">
        <v>19.5</v>
      </c>
      <c r="L509" s="20" t="n">
        <f aca="false">INDEX('Read me'!$B$10:$B$15,2)</f>
        <v>1.26</v>
      </c>
      <c r="M509" s="14" t="n">
        <f aca="false">IF(F509*(1+'Read me'!$B$5)&lt;='Read me'!$B$7,CEILING(F509*(1+'Read me'!$B$5)+0.5,1)-0.5,CEILING(F509*(1+'Read me'!$B$5),5))</f>
        <v>17.5</v>
      </c>
      <c r="N509" s="14" t="n">
        <f aca="false">IF(MAX(M509*L509,M509+'Read me'!$B$6)&lt;='Read me'!$B$7,CEILING(MAX(M509*L509,M509+'Read me'!$B$6)+0.5,1)-0.5,CEILING(MAX(M509*L509,M509+'Read me'!$B$6),5))</f>
        <v>22.5</v>
      </c>
      <c r="O509" s="21" t="n">
        <f aca="false">IF(ISNUMBER(J509),M509-J509,"new")</f>
        <v>8</v>
      </c>
    </row>
    <row r="510" customFormat="false" ht="15" hidden="false" customHeight="false" outlineLevel="0" collapsed="false">
      <c r="A510" s="2" t="s">
        <v>641</v>
      </c>
      <c r="B510" s="2" t="s">
        <v>165</v>
      </c>
      <c r="C510" s="2" t="s">
        <v>165</v>
      </c>
      <c r="D510" s="2" t="s">
        <v>12</v>
      </c>
      <c r="E510" s="2" t="s">
        <v>49</v>
      </c>
      <c r="F510" s="14" t="n">
        <v>32.01</v>
      </c>
      <c r="G510" s="2" t="n">
        <v>2</v>
      </c>
      <c r="H510" s="2" t="n">
        <v>211</v>
      </c>
      <c r="I510" s="20" t="n">
        <v>0.8</v>
      </c>
      <c r="J510" s="14" t="n">
        <v>12.5</v>
      </c>
      <c r="K510" s="14" t="n">
        <v>19.5</v>
      </c>
      <c r="L510" s="20" t="n">
        <f aca="false">INDEX('Read me'!$B$10:$B$15,2)</f>
        <v>1.26</v>
      </c>
      <c r="M510" s="14" t="n">
        <f aca="false">IF(F510*(1+'Read me'!$B$5)&lt;='Read me'!$B$7,CEILING(F510*(1+'Read me'!$B$5)+0.5,1)-0.5,CEILING(F510*(1+'Read me'!$B$5),5))</f>
        <v>35</v>
      </c>
      <c r="N510" s="14" t="n">
        <f aca="false">IF(MAX(M510*L510,M510+'Read me'!$B$6)&lt;='Read me'!$B$7,CEILING(MAX(M510*L510,M510+'Read me'!$B$6)+0.5,1)-0.5,CEILING(MAX(M510*L510,M510+'Read me'!$B$6),5))</f>
        <v>45</v>
      </c>
      <c r="O510" s="21" t="n">
        <f aca="false">IF(ISNUMBER(J510),M510-J510,"new")</f>
        <v>22.5</v>
      </c>
    </row>
    <row r="511" customFormat="false" ht="15" hidden="false" customHeight="false" outlineLevel="0" collapsed="false">
      <c r="A511" s="2" t="s">
        <v>642</v>
      </c>
      <c r="B511" s="2" t="s">
        <v>165</v>
      </c>
      <c r="C511" s="2" t="s">
        <v>165</v>
      </c>
      <c r="D511" s="2" t="s">
        <v>12</v>
      </c>
      <c r="E511" s="2" t="s">
        <v>50</v>
      </c>
      <c r="F511" s="14" t="n">
        <v>32.01</v>
      </c>
      <c r="G511" s="2" t="n">
        <v>33</v>
      </c>
      <c r="H511" s="2" t="n">
        <v>211</v>
      </c>
      <c r="I511" s="20" t="n">
        <v>0.8</v>
      </c>
      <c r="J511" s="14" t="n">
        <v>19.5</v>
      </c>
      <c r="K511" s="14" t="n">
        <v>29.5</v>
      </c>
      <c r="L511" s="20" t="n">
        <f aca="false">INDEX('Read me'!$B$10:$B$15,2)</f>
        <v>1.26</v>
      </c>
      <c r="M511" s="14" t="n">
        <f aca="false">IF(F511*(1+'Read me'!$B$5)&lt;='Read me'!$B$7,CEILING(F511*(1+'Read me'!$B$5)+0.5,1)-0.5,CEILING(F511*(1+'Read me'!$B$5),5))</f>
        <v>35</v>
      </c>
      <c r="N511" s="14" t="n">
        <f aca="false">IF(MAX(M511*L511,M511+'Read me'!$B$6)&lt;='Read me'!$B$7,CEILING(MAX(M511*L511,M511+'Read me'!$B$6)+0.5,1)-0.5,CEILING(MAX(M511*L511,M511+'Read me'!$B$6),5))</f>
        <v>45</v>
      </c>
      <c r="O511" s="21" t="n">
        <f aca="false">IF(ISNUMBER(J511),M511-J511,"new")</f>
        <v>15.5</v>
      </c>
    </row>
    <row r="512" customFormat="false" ht="15" hidden="false" customHeight="false" outlineLevel="0" collapsed="false">
      <c r="A512" s="2" t="s">
        <v>643</v>
      </c>
      <c r="B512" s="2" t="s">
        <v>165</v>
      </c>
      <c r="C512" s="2" t="s">
        <v>165</v>
      </c>
      <c r="D512" s="2" t="s">
        <v>13</v>
      </c>
      <c r="E512" s="2" t="s">
        <v>48</v>
      </c>
      <c r="F512" s="14" t="n">
        <v>32.93</v>
      </c>
      <c r="G512" s="2" t="n">
        <v>7</v>
      </c>
      <c r="H512" s="2" t="n">
        <v>211</v>
      </c>
      <c r="I512" s="20" t="n">
        <v>0.8</v>
      </c>
      <c r="J512" s="14" t="n">
        <v>19</v>
      </c>
      <c r="K512" s="14" t="n">
        <v>45</v>
      </c>
      <c r="L512" s="20" t="n">
        <f aca="false">INDEX('Read me'!$B$10:$B$15,3)</f>
        <v>1.35</v>
      </c>
      <c r="M512" s="14" t="n">
        <f aca="false">IF(F512*(1+'Read me'!$B$5)&lt;='Read me'!$B$7,CEILING(F512*(1+'Read me'!$B$5)+0.5,1)-0.5,CEILING(F512*(1+'Read me'!$B$5),5))</f>
        <v>35</v>
      </c>
      <c r="N512" s="14" t="n">
        <f aca="false">IF(MAX(M512*L512,M512+'Read me'!$B$6)&lt;='Read me'!$B$7,CEILING(MAX(M512*L512,M512+'Read me'!$B$6)+0.5,1)-0.5,CEILING(MAX(M512*L512,M512+'Read me'!$B$6),5))</f>
        <v>50</v>
      </c>
      <c r="O512" s="21" t="n">
        <f aca="false">IF(ISNUMBER(J512),M512-J512,"new")</f>
        <v>16</v>
      </c>
    </row>
    <row r="513" customFormat="false" ht="15" hidden="false" customHeight="false" outlineLevel="0" collapsed="false">
      <c r="A513" s="2" t="s">
        <v>644</v>
      </c>
      <c r="B513" s="2" t="s">
        <v>165</v>
      </c>
      <c r="C513" s="2" t="s">
        <v>165</v>
      </c>
      <c r="D513" s="2" t="s">
        <v>13</v>
      </c>
      <c r="E513" s="2" t="s">
        <v>49</v>
      </c>
      <c r="F513" s="14" t="n">
        <v>62.86</v>
      </c>
      <c r="G513" s="2" t="n">
        <v>0</v>
      </c>
      <c r="H513" s="2" t="n">
        <v>211</v>
      </c>
      <c r="I513" s="20" t="n">
        <v>0.8</v>
      </c>
      <c r="J513" s="14" t="n">
        <v>24.5</v>
      </c>
      <c r="K513" s="14" t="n">
        <v>45</v>
      </c>
      <c r="L513" s="20" t="n">
        <f aca="false">INDEX('Read me'!$B$10:$B$15,3)</f>
        <v>1.35</v>
      </c>
      <c r="M513" s="14" t="n">
        <f aca="false">IF(F513*(1+'Read me'!$B$5)&lt;='Read me'!$B$7,CEILING(F513*(1+'Read me'!$B$5)+0.5,1)-0.5,CEILING(F513*(1+'Read me'!$B$5),5))</f>
        <v>65</v>
      </c>
      <c r="N513" s="14" t="n">
        <f aca="false">IF(MAX(M513*L513,M513+'Read me'!$B$6)&lt;='Read me'!$B$7,CEILING(MAX(M513*L513,M513+'Read me'!$B$6)+0.5,1)-0.5,CEILING(MAX(M513*L513,M513+'Read me'!$B$6),5))</f>
        <v>90</v>
      </c>
      <c r="O513" s="21" t="n">
        <f aca="false">IF(ISNUMBER(J513),M513-J513,"new")</f>
        <v>40.5</v>
      </c>
    </row>
    <row r="514" customFormat="false" ht="15" hidden="false" customHeight="false" outlineLevel="0" collapsed="false">
      <c r="A514" s="2" t="s">
        <v>645</v>
      </c>
      <c r="B514" s="2" t="s">
        <v>165</v>
      </c>
      <c r="C514" s="2" t="s">
        <v>165</v>
      </c>
      <c r="D514" s="2" t="s">
        <v>13</v>
      </c>
      <c r="E514" s="2" t="s">
        <v>50</v>
      </c>
      <c r="F514" s="14" t="n">
        <v>65.78</v>
      </c>
      <c r="G514" s="2" t="n">
        <v>7</v>
      </c>
      <c r="H514" s="2" t="n">
        <v>211</v>
      </c>
      <c r="I514" s="20" t="n">
        <v>0.8</v>
      </c>
      <c r="J514" s="14" t="n">
        <v>50</v>
      </c>
      <c r="K514" s="14" t="n">
        <v>95</v>
      </c>
      <c r="L514" s="20" t="n">
        <f aca="false">INDEX('Read me'!$B$10:$B$15,3)</f>
        <v>1.35</v>
      </c>
      <c r="M514" s="14" t="n">
        <f aca="false">IF(F514*(1+'Read me'!$B$5)&lt;='Read me'!$B$7,CEILING(F514*(1+'Read me'!$B$5)+0.5,1)-0.5,CEILING(F514*(1+'Read me'!$B$5),5))</f>
        <v>70</v>
      </c>
      <c r="N514" s="14" t="n">
        <f aca="false">IF(MAX(M514*L514,M514+'Read me'!$B$6)&lt;='Read me'!$B$7,CEILING(MAX(M514*L514,M514+'Read me'!$B$6)+0.5,1)-0.5,CEILING(MAX(M514*L514,M514+'Read me'!$B$6),5))</f>
        <v>95</v>
      </c>
      <c r="O514" s="21" t="n">
        <f aca="false">IF(ISNUMBER(J514),M514-J514,"new")</f>
        <v>20</v>
      </c>
    </row>
    <row r="515" customFormat="false" ht="15" hidden="false" customHeight="false" outlineLevel="0" collapsed="false">
      <c r="A515" s="2" t="s">
        <v>646</v>
      </c>
      <c r="B515" s="2" t="s">
        <v>165</v>
      </c>
      <c r="C515" s="2" t="s">
        <v>165</v>
      </c>
      <c r="D515" s="2" t="s">
        <v>14</v>
      </c>
      <c r="E515" s="2" t="s">
        <v>48</v>
      </c>
      <c r="F515" s="14" t="n">
        <v>70.59</v>
      </c>
      <c r="G515" s="2" t="n">
        <v>3</v>
      </c>
      <c r="H515" s="2" t="n">
        <v>211</v>
      </c>
      <c r="I515" s="20" t="n">
        <v>0.8</v>
      </c>
      <c r="J515" s="14" t="n">
        <v>25</v>
      </c>
      <c r="K515" s="14" t="n">
        <v>85</v>
      </c>
      <c r="L515" s="20" t="n">
        <f aca="false">INDEX('Read me'!$B$10:$B$15,4)</f>
        <v>1.2</v>
      </c>
      <c r="M515" s="14" t="n">
        <f aca="false">IF(F515*(1+'Read me'!$B$5)&lt;='Read me'!$B$7,CEILING(F515*(1+'Read me'!$B$5)+0.5,1)-0.5,CEILING(F515*(1+'Read me'!$B$5),5))</f>
        <v>75</v>
      </c>
      <c r="N515" s="14" t="n">
        <f aca="false">IF(MAX(M515*L515,M515+'Read me'!$B$6)&lt;='Read me'!$B$7,CEILING(MAX(M515*L515,M515+'Read me'!$B$6)+0.5,1)-0.5,CEILING(MAX(M515*L515,M515+'Read me'!$B$6),5))</f>
        <v>90</v>
      </c>
      <c r="O515" s="21" t="n">
        <f aca="false">IF(ISNUMBER(J515),M515-J515,"new")</f>
        <v>50</v>
      </c>
    </row>
    <row r="516" customFormat="false" ht="15" hidden="false" customHeight="false" outlineLevel="0" collapsed="false">
      <c r="A516" s="2" t="s">
        <v>647</v>
      </c>
      <c r="B516" s="2" t="s">
        <v>165</v>
      </c>
      <c r="C516" s="2" t="s">
        <v>165</v>
      </c>
      <c r="D516" s="2" t="s">
        <v>14</v>
      </c>
      <c r="E516" s="2" t="s">
        <v>49</v>
      </c>
      <c r="F516" s="14" t="n">
        <v>102.72</v>
      </c>
      <c r="G516" s="2" t="n">
        <v>0</v>
      </c>
      <c r="H516" s="2" t="n">
        <v>211</v>
      </c>
      <c r="I516" s="20" t="n">
        <v>0.8</v>
      </c>
      <c r="J516" s="14" t="n">
        <v>45</v>
      </c>
      <c r="K516" s="14" t="n">
        <v>125</v>
      </c>
      <c r="L516" s="20" t="n">
        <f aca="false">INDEX('Read me'!$B$10:$B$15,4)</f>
        <v>1.2</v>
      </c>
      <c r="M516" s="14" t="n">
        <f aca="false">IF(F516*(1+'Read me'!$B$5)&lt;='Read me'!$B$7,CEILING(F516*(1+'Read me'!$B$5)+0.5,1)-0.5,CEILING(F516*(1+'Read me'!$B$5),5))</f>
        <v>105</v>
      </c>
      <c r="N516" s="14" t="n">
        <f aca="false">IF(MAX(M516*L516,M516+'Read me'!$B$6)&lt;='Read me'!$B$7,CEILING(MAX(M516*L516,M516+'Read me'!$B$6)+0.5,1)-0.5,CEILING(MAX(M516*L516,M516+'Read me'!$B$6),5))</f>
        <v>130</v>
      </c>
      <c r="O516" s="21" t="n">
        <f aca="false">IF(ISNUMBER(J516),M516-J516,"new")</f>
        <v>60</v>
      </c>
    </row>
    <row r="517" customFormat="false" ht="15" hidden="false" customHeight="false" outlineLevel="0" collapsed="false">
      <c r="A517" s="2" t="s">
        <v>648</v>
      </c>
      <c r="B517" s="2" t="s">
        <v>165</v>
      </c>
      <c r="C517" s="2" t="s">
        <v>165</v>
      </c>
      <c r="D517" s="2" t="s">
        <v>14</v>
      </c>
      <c r="E517" s="2" t="s">
        <v>50</v>
      </c>
      <c r="F517" s="14" t="n">
        <v>135.19</v>
      </c>
      <c r="G517" s="2" t="n">
        <v>3</v>
      </c>
      <c r="H517" s="2" t="n">
        <v>211</v>
      </c>
      <c r="I517" s="20" t="n">
        <v>0.8</v>
      </c>
      <c r="J517" s="14" t="n">
        <v>85</v>
      </c>
      <c r="K517" s="14" t="n">
        <v>150</v>
      </c>
      <c r="L517" s="20" t="n">
        <f aca="false">INDEX('Read me'!$B$10:$B$15,4)</f>
        <v>1.2</v>
      </c>
      <c r="M517" s="14" t="n">
        <f aca="false">IF(F517*(1+'Read me'!$B$5)&lt;='Read me'!$B$7,CEILING(F517*(1+'Read me'!$B$5)+0.5,1)-0.5,CEILING(F517*(1+'Read me'!$B$5),5))</f>
        <v>140</v>
      </c>
      <c r="N517" s="14" t="n">
        <f aca="false">IF(MAX(M517*L517,M517+'Read me'!$B$6)&lt;='Read me'!$B$7,CEILING(MAX(M517*L517,M517+'Read me'!$B$6)+0.5,1)-0.5,CEILING(MAX(M517*L517,M517+'Read me'!$B$6),5))</f>
        <v>170</v>
      </c>
      <c r="O517" s="21" t="n">
        <f aca="false">IF(ISNUMBER(J517),M517-J517,"new")</f>
        <v>55</v>
      </c>
    </row>
    <row r="518" customFormat="false" ht="15" hidden="false" customHeight="false" outlineLevel="0" collapsed="false">
      <c r="A518" s="2" t="s">
        <v>649</v>
      </c>
      <c r="B518" s="2" t="s">
        <v>165</v>
      </c>
      <c r="C518" s="2" t="s">
        <v>165</v>
      </c>
      <c r="D518" s="2" t="s">
        <v>15</v>
      </c>
      <c r="E518" s="2" t="s">
        <v>48</v>
      </c>
      <c r="F518" s="14" t="n">
        <v>92.09</v>
      </c>
      <c r="G518" s="2" t="n">
        <v>0</v>
      </c>
      <c r="H518" s="2" t="n">
        <v>211</v>
      </c>
      <c r="I518" s="20" t="n">
        <v>0.8</v>
      </c>
      <c r="J518" s="14" t="n">
        <v>45</v>
      </c>
      <c r="K518" s="14" t="n">
        <v>85</v>
      </c>
      <c r="L518" s="20" t="n">
        <f aca="false">INDEX('Read me'!$B$10:$B$15,5)</f>
        <v>1.2</v>
      </c>
      <c r="M518" s="14" t="n">
        <f aca="false">IF(F518*(1+'Read me'!$B$5)&lt;='Read me'!$B$7,CEILING(F518*(1+'Read me'!$B$5)+0.5,1)-0.5,CEILING(F518*(1+'Read me'!$B$5),5))</f>
        <v>95</v>
      </c>
      <c r="N518" s="14" t="n">
        <f aca="false">IF(MAX(M518*L518,M518+'Read me'!$B$6)&lt;='Read me'!$B$7,CEILING(MAX(M518*L518,M518+'Read me'!$B$6)+0.5,1)-0.5,CEILING(MAX(M518*L518,M518+'Read me'!$B$6),5))</f>
        <v>115</v>
      </c>
      <c r="O518" s="21" t="n">
        <f aca="false">IF(ISNUMBER(J518),M518-J518,"new")</f>
        <v>50</v>
      </c>
    </row>
    <row r="519" customFormat="false" ht="15" hidden="false" customHeight="false" outlineLevel="0" collapsed="false">
      <c r="A519" s="2" t="s">
        <v>650</v>
      </c>
      <c r="B519" s="2" t="s">
        <v>165</v>
      </c>
      <c r="C519" s="2" t="s">
        <v>165</v>
      </c>
      <c r="D519" s="2" t="s">
        <v>15</v>
      </c>
      <c r="E519" s="2" t="s">
        <v>49</v>
      </c>
      <c r="F519" s="14" t="n">
        <v>132.78</v>
      </c>
      <c r="G519" s="2" t="n">
        <v>0</v>
      </c>
      <c r="H519" s="2" t="n">
        <v>211</v>
      </c>
      <c r="I519" s="20" t="n">
        <v>0.8</v>
      </c>
      <c r="J519" s="14" t="n">
        <v>85</v>
      </c>
      <c r="K519" s="14" t="n">
        <v>125</v>
      </c>
      <c r="L519" s="20" t="n">
        <f aca="false">INDEX('Read me'!$B$10:$B$15,5)</f>
        <v>1.2</v>
      </c>
      <c r="M519" s="14" t="n">
        <f aca="false">IF(F519*(1+'Read me'!$B$5)&lt;='Read me'!$B$7,CEILING(F519*(1+'Read me'!$B$5)+0.5,1)-0.5,CEILING(F519*(1+'Read me'!$B$5),5))</f>
        <v>135</v>
      </c>
      <c r="N519" s="14" t="n">
        <f aca="false">IF(MAX(M519*L519,M519+'Read me'!$B$6)&lt;='Read me'!$B$7,CEILING(MAX(M519*L519,M519+'Read me'!$B$6)+0.5,1)-0.5,CEILING(MAX(M519*L519,M519+'Read me'!$B$6),5))</f>
        <v>165</v>
      </c>
      <c r="O519" s="21" t="n">
        <f aca="false">IF(ISNUMBER(J519),M519-J519,"new")</f>
        <v>50</v>
      </c>
    </row>
    <row r="520" customFormat="false" ht="15" hidden="false" customHeight="false" outlineLevel="0" collapsed="false">
      <c r="A520" s="2" t="s">
        <v>651</v>
      </c>
      <c r="B520" s="2" t="s">
        <v>165</v>
      </c>
      <c r="C520" s="2" t="s">
        <v>165</v>
      </c>
      <c r="D520" s="2" t="s">
        <v>15</v>
      </c>
      <c r="E520" s="2" t="s">
        <v>50</v>
      </c>
      <c r="F520" s="14" t="n">
        <v>196.77</v>
      </c>
      <c r="G520" s="2" t="n">
        <v>0</v>
      </c>
      <c r="H520" s="2" t="n">
        <v>211</v>
      </c>
      <c r="I520" s="20" t="n">
        <v>0.8</v>
      </c>
      <c r="J520" s="14" t="n">
        <v>250</v>
      </c>
      <c r="K520" s="14" t="n">
        <v>350</v>
      </c>
      <c r="L520" s="20" t="n">
        <f aca="false">INDEX('Read me'!$B$10:$B$15,5)</f>
        <v>1.2</v>
      </c>
      <c r="M520" s="14" t="n">
        <f aca="false">IF(F520*(1+'Read me'!$B$5)&lt;='Read me'!$B$7,CEILING(F520*(1+'Read me'!$B$5)+0.5,1)-0.5,CEILING(F520*(1+'Read me'!$B$5),5))</f>
        <v>200</v>
      </c>
      <c r="N520" s="14" t="n">
        <f aca="false">IF(MAX(M520*L520,M520+'Read me'!$B$6)&lt;='Read me'!$B$7,CEILING(MAX(M520*L520,M520+'Read me'!$B$6)+0.5,1)-0.5,CEILING(MAX(M520*L520,M520+'Read me'!$B$6),5))</f>
        <v>240</v>
      </c>
      <c r="O520" s="21" t="n">
        <f aca="false">IF(ISNUMBER(J520),M520-J520,"new")</f>
        <v>-50</v>
      </c>
    </row>
    <row r="521" customFormat="false" ht="15" hidden="false" customHeight="false" outlineLevel="0" collapsed="false">
      <c r="A521" s="2" t="s">
        <v>652</v>
      </c>
      <c r="B521" s="2" t="s">
        <v>165</v>
      </c>
      <c r="C521" s="2" t="s">
        <v>165</v>
      </c>
      <c r="D521" s="2" t="s">
        <v>16</v>
      </c>
      <c r="E521" s="2" t="s">
        <v>48</v>
      </c>
      <c r="F521" s="14" t="n">
        <v>100.43</v>
      </c>
      <c r="G521" s="2" t="n">
        <v>0</v>
      </c>
      <c r="H521" s="2" t="n">
        <v>211</v>
      </c>
      <c r="I521" s="20" t="n">
        <v>0.8</v>
      </c>
      <c r="J521" s="14"/>
      <c r="K521" s="14"/>
      <c r="L521" s="20" t="n">
        <f aca="false">INDEX('Read me'!$B$10:$B$15,6)</f>
        <v>1.2</v>
      </c>
      <c r="M521" s="14" t="n">
        <f aca="false">IF(F521*(1+'Read me'!$B$5)&lt;='Read me'!$B$7,CEILING(F521*(1+'Read me'!$B$5)+0.5,1)-0.5,CEILING(F521*(1+'Read me'!$B$5),5))</f>
        <v>105</v>
      </c>
      <c r="N521" s="14" t="n">
        <f aca="false">IF(MAX(M521*L521,M521+'Read me'!$B$6)&lt;='Read me'!$B$7,CEILING(MAX(M521*L521,M521+'Read me'!$B$6)+0.5,1)-0.5,CEILING(MAX(M521*L521,M521+'Read me'!$B$6),5))</f>
        <v>130</v>
      </c>
      <c r="O521" s="21" t="str">
        <f aca="false">IF(ISNUMBER(J521),M521-J521,"new")</f>
        <v>new</v>
      </c>
    </row>
    <row r="522" customFormat="false" ht="15" hidden="false" customHeight="false" outlineLevel="0" collapsed="false">
      <c r="A522" s="2" t="s">
        <v>653</v>
      </c>
      <c r="B522" s="2" t="s">
        <v>165</v>
      </c>
      <c r="C522" s="2" t="s">
        <v>165</v>
      </c>
      <c r="D522" s="2" t="s">
        <v>16</v>
      </c>
      <c r="E522" s="2" t="s">
        <v>49</v>
      </c>
      <c r="F522" s="14" t="n">
        <v>180.88</v>
      </c>
      <c r="G522" s="2" t="n">
        <v>0</v>
      </c>
      <c r="H522" s="2" t="n">
        <v>211</v>
      </c>
      <c r="I522" s="20" t="n">
        <v>0.8</v>
      </c>
      <c r="J522" s="14"/>
      <c r="K522" s="14"/>
      <c r="L522" s="20" t="n">
        <f aca="false">INDEX('Read me'!$B$10:$B$15,6)</f>
        <v>1.2</v>
      </c>
      <c r="M522" s="14" t="n">
        <f aca="false">IF(F522*(1+'Read me'!$B$5)&lt;='Read me'!$B$7,CEILING(F522*(1+'Read me'!$B$5)+0.5,1)-0.5,CEILING(F522*(1+'Read me'!$B$5),5))</f>
        <v>185</v>
      </c>
      <c r="N522" s="14" t="n">
        <f aca="false">IF(MAX(M522*L522,M522+'Read me'!$B$6)&lt;='Read me'!$B$7,CEILING(MAX(M522*L522,M522+'Read me'!$B$6)+0.5,1)-0.5,CEILING(MAX(M522*L522,M522+'Read me'!$B$6),5))</f>
        <v>225</v>
      </c>
      <c r="O522" s="21" t="str">
        <f aca="false">IF(ISNUMBER(J522),M522-J522,"new")</f>
        <v>new</v>
      </c>
    </row>
    <row r="523" customFormat="false" ht="15" hidden="false" customHeight="false" outlineLevel="0" collapsed="false">
      <c r="A523" s="2" t="s">
        <v>654</v>
      </c>
      <c r="B523" s="2" t="s">
        <v>165</v>
      </c>
      <c r="C523" s="2" t="s">
        <v>165</v>
      </c>
      <c r="D523" s="2" t="s">
        <v>16</v>
      </c>
      <c r="E523" s="2" t="s">
        <v>50</v>
      </c>
      <c r="F523" s="14" t="n">
        <v>249.76</v>
      </c>
      <c r="G523" s="2" t="n">
        <v>1</v>
      </c>
      <c r="H523" s="2" t="n">
        <v>211</v>
      </c>
      <c r="I523" s="20" t="n">
        <v>0.8</v>
      </c>
      <c r="J523" s="14"/>
      <c r="K523" s="14"/>
      <c r="L523" s="20" t="n">
        <f aca="false">INDEX('Read me'!$B$10:$B$15,6)</f>
        <v>1.2</v>
      </c>
      <c r="M523" s="14" t="n">
        <f aca="false">IF(F523*(1+'Read me'!$B$5)&lt;='Read me'!$B$7,CEILING(F523*(1+'Read me'!$B$5)+0.5,1)-0.5,CEILING(F523*(1+'Read me'!$B$5),5))</f>
        <v>250</v>
      </c>
      <c r="N523" s="14" t="n">
        <f aca="false">IF(MAX(M523*L523,M523+'Read me'!$B$6)&lt;='Read me'!$B$7,CEILING(MAX(M523*L523,M523+'Read me'!$B$6)+0.5,1)-0.5,CEILING(MAX(M523*L523,M523+'Read me'!$B$6),5))</f>
        <v>300</v>
      </c>
      <c r="O523" s="21" t="str">
        <f aca="false">IF(ISNUMBER(J523),M523-J523,"new")</f>
        <v>new</v>
      </c>
    </row>
    <row r="524" customFormat="false" ht="15" hidden="false" customHeight="false" outlineLevel="0" collapsed="false">
      <c r="A524" s="2" t="s">
        <v>655</v>
      </c>
      <c r="B524" s="2" t="s">
        <v>165</v>
      </c>
      <c r="C524" s="2" t="s">
        <v>146</v>
      </c>
      <c r="D524" s="2" t="s">
        <v>10</v>
      </c>
      <c r="E524" s="2" t="s">
        <v>48</v>
      </c>
      <c r="F524" s="14" t="n">
        <v>14.41</v>
      </c>
      <c r="G524" s="2" t="n">
        <v>5</v>
      </c>
      <c r="H524" s="2" t="n">
        <v>29</v>
      </c>
      <c r="I524" s="20" t="n">
        <v>0.96</v>
      </c>
      <c r="J524" s="14" t="n">
        <v>14.5</v>
      </c>
      <c r="K524" s="14" t="n">
        <v>19.5</v>
      </c>
      <c r="L524" s="20" t="n">
        <f aca="false">INDEX('Read me'!$B$10:$B$15,1)</f>
        <v>1.34</v>
      </c>
      <c r="M524" s="14" t="n">
        <f aca="false">IF(F524*(1+'Read me'!$B$5)&lt;='Read me'!$B$7,CEILING(F524*(1+'Read me'!$B$5)+0.5,1)-0.5,CEILING(F524*(1+'Read me'!$B$5),5))</f>
        <v>14.5</v>
      </c>
      <c r="N524" s="14" t="n">
        <f aca="false">IF(MAX(M524*L524,M524+'Read me'!$B$6)&lt;='Read me'!$B$7,CEILING(MAX(M524*L524,M524+'Read me'!$B$6)+0.5,1)-0.5,CEILING(MAX(M524*L524,M524+'Read me'!$B$6),5))</f>
        <v>19.5</v>
      </c>
      <c r="O524" s="21" t="n">
        <f aca="false">IF(ISNUMBER(J524),M524-J524,"new")</f>
        <v>0</v>
      </c>
    </row>
    <row r="525" customFormat="false" ht="15" hidden="false" customHeight="false" outlineLevel="0" collapsed="false">
      <c r="A525" s="2" t="s">
        <v>656</v>
      </c>
      <c r="B525" s="2" t="s">
        <v>165</v>
      </c>
      <c r="C525" s="2" t="s">
        <v>146</v>
      </c>
      <c r="D525" s="2" t="s">
        <v>10</v>
      </c>
      <c r="E525" s="2" t="s">
        <v>49</v>
      </c>
      <c r="F525" s="14" t="n">
        <v>14.63</v>
      </c>
      <c r="G525" s="2" t="n">
        <v>0</v>
      </c>
      <c r="H525" s="2" t="n">
        <v>29</v>
      </c>
      <c r="I525" s="20" t="n">
        <v>0.96</v>
      </c>
      <c r="J525" s="14" t="n">
        <v>14.5</v>
      </c>
      <c r="K525" s="14" t="n">
        <v>19.5</v>
      </c>
      <c r="L525" s="20" t="n">
        <f aca="false">INDEX('Read me'!$B$10:$B$15,1)</f>
        <v>1.34</v>
      </c>
      <c r="M525" s="14" t="n">
        <f aca="false">IF(F525*(1+'Read me'!$B$5)&lt;='Read me'!$B$7,CEILING(F525*(1+'Read me'!$B$5)+0.5,1)-0.5,CEILING(F525*(1+'Read me'!$B$5),5))</f>
        <v>15.5</v>
      </c>
      <c r="N525" s="14" t="n">
        <f aca="false">IF(MAX(M525*L525,M525+'Read me'!$B$6)&lt;='Read me'!$B$7,CEILING(MAX(M525*L525,M525+'Read me'!$B$6)+0.5,1)-0.5,CEILING(MAX(M525*L525,M525+'Read me'!$B$6),5))</f>
        <v>21.5</v>
      </c>
      <c r="O525" s="21" t="n">
        <f aca="false">IF(ISNUMBER(J525),M525-J525,"new")</f>
        <v>1</v>
      </c>
    </row>
    <row r="526" customFormat="false" ht="15" hidden="false" customHeight="false" outlineLevel="0" collapsed="false">
      <c r="A526" s="2" t="s">
        <v>657</v>
      </c>
      <c r="B526" s="2" t="s">
        <v>165</v>
      </c>
      <c r="C526" s="2" t="s">
        <v>146</v>
      </c>
      <c r="D526" s="2" t="s">
        <v>10</v>
      </c>
      <c r="E526" s="2" t="s">
        <v>50</v>
      </c>
      <c r="F526" s="14" t="n">
        <v>20.39</v>
      </c>
      <c r="G526" s="2" t="n">
        <v>5</v>
      </c>
      <c r="H526" s="2" t="n">
        <v>29</v>
      </c>
      <c r="I526" s="20" t="n">
        <v>0.96</v>
      </c>
      <c r="J526" s="14" t="n">
        <v>17.5</v>
      </c>
      <c r="K526" s="14" t="n">
        <v>29.5</v>
      </c>
      <c r="L526" s="20" t="n">
        <f aca="false">INDEX('Read me'!$B$10:$B$15,1)</f>
        <v>1.34</v>
      </c>
      <c r="M526" s="14" t="n">
        <f aca="false">IF(F526*(1+'Read me'!$B$5)&lt;='Read me'!$B$7,CEILING(F526*(1+'Read me'!$B$5)+0.5,1)-0.5,CEILING(F526*(1+'Read me'!$B$5),5))</f>
        <v>20.5</v>
      </c>
      <c r="N526" s="14" t="n">
        <f aca="false">IF(MAX(M526*L526,M526+'Read me'!$B$6)&lt;='Read me'!$B$7,CEILING(MAX(M526*L526,M526+'Read me'!$B$6)+0.5,1)-0.5,CEILING(MAX(M526*L526,M526+'Read me'!$B$6),5))</f>
        <v>27.5</v>
      </c>
      <c r="O526" s="21" t="n">
        <f aca="false">IF(ISNUMBER(J526),M526-J526,"new")</f>
        <v>3</v>
      </c>
    </row>
    <row r="527" customFormat="false" ht="15" hidden="false" customHeight="false" outlineLevel="0" collapsed="false">
      <c r="A527" s="2" t="s">
        <v>658</v>
      </c>
      <c r="B527" s="2" t="s">
        <v>165</v>
      </c>
      <c r="C527" s="2" t="s">
        <v>146</v>
      </c>
      <c r="D527" s="2" t="s">
        <v>12</v>
      </c>
      <c r="E527" s="2" t="s">
        <v>48</v>
      </c>
      <c r="F527" s="14" t="n">
        <v>52.32</v>
      </c>
      <c r="G527" s="2" t="n">
        <v>7</v>
      </c>
      <c r="H527" s="2" t="n">
        <v>29</v>
      </c>
      <c r="I527" s="20" t="n">
        <v>0.96</v>
      </c>
      <c r="J527" s="14" t="n">
        <v>19.5</v>
      </c>
      <c r="K527" s="14" t="n">
        <v>24.5</v>
      </c>
      <c r="L527" s="20" t="n">
        <f aca="false">INDEX('Read me'!$B$10:$B$15,2)</f>
        <v>1.26</v>
      </c>
      <c r="M527" s="14" t="n">
        <f aca="false">IF(F527*(1+'Read me'!$B$5)&lt;='Read me'!$B$7,CEILING(F527*(1+'Read me'!$B$5)+0.5,1)-0.5,CEILING(F527*(1+'Read me'!$B$5),5))</f>
        <v>55</v>
      </c>
      <c r="N527" s="14" t="n">
        <f aca="false">IF(MAX(M527*L527,M527+'Read me'!$B$6)&lt;='Read me'!$B$7,CEILING(MAX(M527*L527,M527+'Read me'!$B$6)+0.5,1)-0.5,CEILING(MAX(M527*L527,M527+'Read me'!$B$6),5))</f>
        <v>70</v>
      </c>
      <c r="O527" s="21" t="n">
        <f aca="false">IF(ISNUMBER(J527),M527-J527,"new")</f>
        <v>35.5</v>
      </c>
    </row>
    <row r="528" customFormat="false" ht="15" hidden="false" customHeight="false" outlineLevel="0" collapsed="false">
      <c r="A528" s="2" t="s">
        <v>659</v>
      </c>
      <c r="B528" s="2" t="s">
        <v>165</v>
      </c>
      <c r="C528" s="2" t="s">
        <v>146</v>
      </c>
      <c r="D528" s="2" t="s">
        <v>12</v>
      </c>
      <c r="E528" s="2" t="s">
        <v>49</v>
      </c>
      <c r="F528" s="14" t="n">
        <v>52.32</v>
      </c>
      <c r="G528" s="2" t="n">
        <v>0</v>
      </c>
      <c r="H528" s="2" t="n">
        <v>29</v>
      </c>
      <c r="I528" s="20" t="n">
        <v>0.96</v>
      </c>
      <c r="J528" s="14" t="n">
        <v>19.5</v>
      </c>
      <c r="K528" s="14" t="n">
        <v>24.5</v>
      </c>
      <c r="L528" s="20" t="n">
        <f aca="false">INDEX('Read me'!$B$10:$B$15,2)</f>
        <v>1.26</v>
      </c>
      <c r="M528" s="14" t="n">
        <f aca="false">IF(F528*(1+'Read me'!$B$5)&lt;='Read me'!$B$7,CEILING(F528*(1+'Read me'!$B$5)+0.5,1)-0.5,CEILING(F528*(1+'Read me'!$B$5),5))</f>
        <v>55</v>
      </c>
      <c r="N528" s="14" t="n">
        <f aca="false">IF(MAX(M528*L528,M528+'Read me'!$B$6)&lt;='Read me'!$B$7,CEILING(MAX(M528*L528,M528+'Read me'!$B$6)+0.5,1)-0.5,CEILING(MAX(M528*L528,M528+'Read me'!$B$6),5))</f>
        <v>70</v>
      </c>
      <c r="O528" s="21" t="n">
        <f aca="false">IF(ISNUMBER(J528),M528-J528,"new")</f>
        <v>35.5</v>
      </c>
    </row>
    <row r="529" customFormat="false" ht="15" hidden="false" customHeight="false" outlineLevel="0" collapsed="false">
      <c r="A529" s="2" t="s">
        <v>660</v>
      </c>
      <c r="B529" s="2" t="s">
        <v>165</v>
      </c>
      <c r="C529" s="2" t="s">
        <v>146</v>
      </c>
      <c r="D529" s="2" t="s">
        <v>12</v>
      </c>
      <c r="E529" s="2" t="s">
        <v>50</v>
      </c>
      <c r="F529" s="14" t="n">
        <v>63.39</v>
      </c>
      <c r="G529" s="2" t="n">
        <v>5</v>
      </c>
      <c r="H529" s="2" t="n">
        <v>29</v>
      </c>
      <c r="I529" s="20" t="n">
        <v>0.96</v>
      </c>
      <c r="J529" s="14" t="n">
        <v>19.5</v>
      </c>
      <c r="K529" s="14" t="n">
        <v>34.5</v>
      </c>
      <c r="L529" s="20" t="n">
        <f aca="false">INDEX('Read me'!$B$10:$B$15,2)</f>
        <v>1.26</v>
      </c>
      <c r="M529" s="14" t="n">
        <f aca="false">IF(F529*(1+'Read me'!$B$5)&lt;='Read me'!$B$7,CEILING(F529*(1+'Read me'!$B$5)+0.5,1)-0.5,CEILING(F529*(1+'Read me'!$B$5),5))</f>
        <v>65</v>
      </c>
      <c r="N529" s="14" t="n">
        <f aca="false">IF(MAX(M529*L529,M529+'Read me'!$B$6)&lt;='Read me'!$B$7,CEILING(MAX(M529*L529,M529+'Read me'!$B$6)+0.5,1)-0.5,CEILING(MAX(M529*L529,M529+'Read me'!$B$6),5))</f>
        <v>85</v>
      </c>
      <c r="O529" s="21" t="n">
        <f aca="false">IF(ISNUMBER(J529),M529-J529,"new")</f>
        <v>45.5</v>
      </c>
    </row>
    <row r="530" customFormat="false" ht="15" hidden="false" customHeight="false" outlineLevel="0" collapsed="false">
      <c r="A530" s="2" t="s">
        <v>661</v>
      </c>
      <c r="B530" s="2" t="s">
        <v>165</v>
      </c>
      <c r="C530" s="2" t="s">
        <v>146</v>
      </c>
      <c r="D530" s="2" t="s">
        <v>13</v>
      </c>
      <c r="E530" s="2" t="s">
        <v>48</v>
      </c>
      <c r="F530" s="14" t="n">
        <v>78.52</v>
      </c>
      <c r="G530" s="2" t="n">
        <v>3</v>
      </c>
      <c r="H530" s="2" t="n">
        <v>29</v>
      </c>
      <c r="I530" s="20" t="n">
        <v>0.96</v>
      </c>
      <c r="J530" s="14" t="n">
        <v>24.5</v>
      </c>
      <c r="K530" s="14" t="n">
        <v>75</v>
      </c>
      <c r="L530" s="20" t="n">
        <f aca="false">INDEX('Read me'!$B$10:$B$15,3)</f>
        <v>1.35</v>
      </c>
      <c r="M530" s="14" t="n">
        <f aca="false">IF(F530*(1+'Read me'!$B$5)&lt;='Read me'!$B$7,CEILING(F530*(1+'Read me'!$B$5)+0.5,1)-0.5,CEILING(F530*(1+'Read me'!$B$5),5))</f>
        <v>80</v>
      </c>
      <c r="N530" s="14" t="n">
        <f aca="false">IF(MAX(M530*L530,M530+'Read me'!$B$6)&lt;='Read me'!$B$7,CEILING(MAX(M530*L530,M530+'Read me'!$B$6)+0.5,1)-0.5,CEILING(MAX(M530*L530,M530+'Read me'!$B$6),5))</f>
        <v>110</v>
      </c>
      <c r="O530" s="21" t="n">
        <f aca="false">IF(ISNUMBER(J530),M530-J530,"new")</f>
        <v>55.5</v>
      </c>
    </row>
    <row r="531" customFormat="false" ht="15" hidden="false" customHeight="false" outlineLevel="0" collapsed="false">
      <c r="A531" s="2" t="s">
        <v>662</v>
      </c>
      <c r="B531" s="2" t="s">
        <v>165</v>
      </c>
      <c r="C531" s="2" t="s">
        <v>146</v>
      </c>
      <c r="D531" s="2" t="s">
        <v>13</v>
      </c>
      <c r="E531" s="2" t="s">
        <v>49</v>
      </c>
      <c r="F531" s="14" t="n">
        <v>89.44</v>
      </c>
      <c r="G531" s="2" t="n">
        <v>0</v>
      </c>
      <c r="H531" s="2" t="n">
        <v>29</v>
      </c>
      <c r="I531" s="20" t="n">
        <v>0.96</v>
      </c>
      <c r="J531" s="14" t="n">
        <v>24.5</v>
      </c>
      <c r="K531" s="14" t="n">
        <v>75</v>
      </c>
      <c r="L531" s="20" t="n">
        <f aca="false">INDEX('Read me'!$B$10:$B$15,3)</f>
        <v>1.35</v>
      </c>
      <c r="M531" s="14" t="n">
        <f aca="false">IF(F531*(1+'Read me'!$B$5)&lt;='Read me'!$B$7,CEILING(F531*(1+'Read me'!$B$5)+0.5,1)-0.5,CEILING(F531*(1+'Read me'!$B$5),5))</f>
        <v>90</v>
      </c>
      <c r="N531" s="14" t="n">
        <f aca="false">IF(MAX(M531*L531,M531+'Read me'!$B$6)&lt;='Read me'!$B$7,CEILING(MAX(M531*L531,M531+'Read me'!$B$6)+0.5,1)-0.5,CEILING(MAX(M531*L531,M531+'Read me'!$B$6),5))</f>
        <v>125</v>
      </c>
      <c r="O531" s="21" t="n">
        <f aca="false">IF(ISNUMBER(J531),M531-J531,"new")</f>
        <v>65.5</v>
      </c>
    </row>
    <row r="532" customFormat="false" ht="15" hidden="false" customHeight="false" outlineLevel="0" collapsed="false">
      <c r="A532" s="2" t="s">
        <v>663</v>
      </c>
      <c r="B532" s="2" t="s">
        <v>165</v>
      </c>
      <c r="C532" s="2" t="s">
        <v>146</v>
      </c>
      <c r="D532" s="2" t="s">
        <v>13</v>
      </c>
      <c r="E532" s="2" t="s">
        <v>50</v>
      </c>
      <c r="F532" s="14" t="n">
        <v>116.09</v>
      </c>
      <c r="G532" s="2" t="n">
        <v>1</v>
      </c>
      <c r="H532" s="2" t="n">
        <v>29</v>
      </c>
      <c r="I532" s="20" t="n">
        <v>0.96</v>
      </c>
      <c r="J532" s="14" t="n">
        <v>85</v>
      </c>
      <c r="K532" s="14" t="n">
        <v>125</v>
      </c>
      <c r="L532" s="20" t="n">
        <f aca="false">INDEX('Read me'!$B$10:$B$15,3)</f>
        <v>1.35</v>
      </c>
      <c r="M532" s="14" t="n">
        <f aca="false">IF(F532*(1+'Read me'!$B$5)&lt;='Read me'!$B$7,CEILING(F532*(1+'Read me'!$B$5)+0.5,1)-0.5,CEILING(F532*(1+'Read me'!$B$5),5))</f>
        <v>120</v>
      </c>
      <c r="N532" s="14" t="n">
        <f aca="false">IF(MAX(M532*L532,M532+'Read me'!$B$6)&lt;='Read me'!$B$7,CEILING(MAX(M532*L532,M532+'Read me'!$B$6)+0.5,1)-0.5,CEILING(MAX(M532*L532,M532+'Read me'!$B$6),5))</f>
        <v>165</v>
      </c>
      <c r="O532" s="21" t="n">
        <f aca="false">IF(ISNUMBER(J532),M532-J532,"new")</f>
        <v>35</v>
      </c>
    </row>
    <row r="533" customFormat="false" ht="15" hidden="false" customHeight="false" outlineLevel="0" collapsed="false">
      <c r="A533" s="2" t="s">
        <v>664</v>
      </c>
      <c r="B533" s="2" t="s">
        <v>165</v>
      </c>
      <c r="C533" s="2" t="s">
        <v>146</v>
      </c>
      <c r="D533" s="2" t="s">
        <v>14</v>
      </c>
      <c r="E533" s="2" t="s">
        <v>48</v>
      </c>
      <c r="F533" s="14" t="n">
        <v>132.96</v>
      </c>
      <c r="G533" s="2" t="n">
        <v>1</v>
      </c>
      <c r="H533" s="2" t="n">
        <v>29</v>
      </c>
      <c r="I533" s="20" t="n">
        <v>0.96</v>
      </c>
      <c r="J533" s="14" t="n">
        <v>85</v>
      </c>
      <c r="K533" s="14" t="n">
        <v>125</v>
      </c>
      <c r="L533" s="20" t="n">
        <f aca="false">INDEX('Read me'!$B$10:$B$15,4)</f>
        <v>1.2</v>
      </c>
      <c r="M533" s="14" t="n">
        <f aca="false">IF(F533*(1+'Read me'!$B$5)&lt;='Read me'!$B$7,CEILING(F533*(1+'Read me'!$B$5)+0.5,1)-0.5,CEILING(F533*(1+'Read me'!$B$5),5))</f>
        <v>135</v>
      </c>
      <c r="N533" s="14" t="n">
        <f aca="false">IF(MAX(M533*L533,M533+'Read me'!$B$6)&lt;='Read me'!$B$7,CEILING(MAX(M533*L533,M533+'Read me'!$B$6)+0.5,1)-0.5,CEILING(MAX(M533*L533,M533+'Read me'!$B$6),5))</f>
        <v>165</v>
      </c>
      <c r="O533" s="21" t="n">
        <f aca="false">IF(ISNUMBER(J533),M533-J533,"new")</f>
        <v>50</v>
      </c>
    </row>
    <row r="534" customFormat="false" ht="15" hidden="false" customHeight="false" outlineLevel="0" collapsed="false">
      <c r="A534" s="2" t="s">
        <v>665</v>
      </c>
      <c r="B534" s="2" t="s">
        <v>165</v>
      </c>
      <c r="C534" s="2" t="s">
        <v>146</v>
      </c>
      <c r="D534" s="2" t="s">
        <v>14</v>
      </c>
      <c r="E534" s="2" t="s">
        <v>49</v>
      </c>
      <c r="F534" s="14" t="n">
        <v>165.3</v>
      </c>
      <c r="G534" s="2" t="n">
        <v>0</v>
      </c>
      <c r="H534" s="2" t="n">
        <v>29</v>
      </c>
      <c r="I534" s="20" t="n">
        <v>0.96</v>
      </c>
      <c r="J534" s="14" t="n">
        <v>125</v>
      </c>
      <c r="K534" s="14" t="n">
        <v>125</v>
      </c>
      <c r="L534" s="20" t="n">
        <f aca="false">INDEX('Read me'!$B$10:$B$15,4)</f>
        <v>1.2</v>
      </c>
      <c r="M534" s="14" t="n">
        <f aca="false">IF(F534*(1+'Read me'!$B$5)&lt;='Read me'!$B$7,CEILING(F534*(1+'Read me'!$B$5)+0.5,1)-0.5,CEILING(F534*(1+'Read me'!$B$5),5))</f>
        <v>170</v>
      </c>
      <c r="N534" s="14" t="n">
        <f aca="false">IF(MAX(M534*L534,M534+'Read me'!$B$6)&lt;='Read me'!$B$7,CEILING(MAX(M534*L534,M534+'Read me'!$B$6)+0.5,1)-0.5,CEILING(MAX(M534*L534,M534+'Read me'!$B$6),5))</f>
        <v>205</v>
      </c>
      <c r="O534" s="21" t="n">
        <f aca="false">IF(ISNUMBER(J534),M534-J534,"new")</f>
        <v>45</v>
      </c>
    </row>
    <row r="535" customFormat="false" ht="15" hidden="false" customHeight="false" outlineLevel="0" collapsed="false">
      <c r="A535" s="2" t="s">
        <v>666</v>
      </c>
      <c r="B535" s="2" t="s">
        <v>165</v>
      </c>
      <c r="C535" s="2" t="s">
        <v>146</v>
      </c>
      <c r="D535" s="2" t="s">
        <v>14</v>
      </c>
      <c r="E535" s="2" t="s">
        <v>50</v>
      </c>
      <c r="F535" s="14" t="n">
        <v>199.59</v>
      </c>
      <c r="G535" s="2" t="n">
        <v>1</v>
      </c>
      <c r="H535" s="2" t="n">
        <v>29</v>
      </c>
      <c r="I535" s="20" t="n">
        <v>0.96</v>
      </c>
      <c r="J535" s="14" t="n">
        <v>199</v>
      </c>
      <c r="K535" s="14" t="n">
        <v>175</v>
      </c>
      <c r="L535" s="20" t="n">
        <f aca="false">INDEX('Read me'!$B$10:$B$15,4)</f>
        <v>1.2</v>
      </c>
      <c r="M535" s="14" t="n">
        <f aca="false">IF(F535*(1+'Read me'!$B$5)&lt;='Read me'!$B$7,CEILING(F535*(1+'Read me'!$B$5)+0.5,1)-0.5,CEILING(F535*(1+'Read me'!$B$5),5))</f>
        <v>200</v>
      </c>
      <c r="N535" s="14" t="n">
        <f aca="false">IF(MAX(M535*L535,M535+'Read me'!$B$6)&lt;='Read me'!$B$7,CEILING(MAX(M535*L535,M535+'Read me'!$B$6)+0.5,1)-0.5,CEILING(MAX(M535*L535,M535+'Read me'!$B$6),5))</f>
        <v>240</v>
      </c>
      <c r="O535" s="21" t="n">
        <f aca="false">IF(ISNUMBER(J535),M535-J535,"new")</f>
        <v>1</v>
      </c>
    </row>
    <row r="536" customFormat="false" ht="15" hidden="false" customHeight="false" outlineLevel="0" collapsed="false">
      <c r="A536" s="2" t="s">
        <v>667</v>
      </c>
      <c r="B536" s="2" t="s">
        <v>165</v>
      </c>
      <c r="C536" s="2" t="s">
        <v>146</v>
      </c>
      <c r="D536" s="2" t="s">
        <v>15</v>
      </c>
      <c r="E536" s="2" t="s">
        <v>48</v>
      </c>
      <c r="F536" s="14" t="n">
        <v>174.75</v>
      </c>
      <c r="G536" s="2" t="n">
        <v>0</v>
      </c>
      <c r="H536" s="2" t="n">
        <v>29</v>
      </c>
      <c r="I536" s="20" t="n">
        <v>0.96</v>
      </c>
      <c r="J536" s="14" t="n">
        <v>250</v>
      </c>
      <c r="K536" s="14" t="n">
        <v>300</v>
      </c>
      <c r="L536" s="20" t="n">
        <f aca="false">INDEX('Read me'!$B$10:$B$15,5)</f>
        <v>1.2</v>
      </c>
      <c r="M536" s="14" t="n">
        <f aca="false">IF(F536*(1+'Read me'!$B$5)&lt;='Read me'!$B$7,CEILING(F536*(1+'Read me'!$B$5)+0.5,1)-0.5,CEILING(F536*(1+'Read me'!$B$5),5))</f>
        <v>175</v>
      </c>
      <c r="N536" s="14" t="n">
        <f aca="false">IF(MAX(M536*L536,M536+'Read me'!$B$6)&lt;='Read me'!$B$7,CEILING(MAX(M536*L536,M536+'Read me'!$B$6)+0.5,1)-0.5,CEILING(MAX(M536*L536,M536+'Read me'!$B$6),5))</f>
        <v>210</v>
      </c>
      <c r="O536" s="21" t="n">
        <f aca="false">IF(ISNUMBER(J536),M536-J536,"new")</f>
        <v>-75</v>
      </c>
    </row>
    <row r="537" customFormat="false" ht="15" hidden="false" customHeight="false" outlineLevel="0" collapsed="false">
      <c r="A537" s="2" t="s">
        <v>668</v>
      </c>
      <c r="B537" s="2" t="s">
        <v>165</v>
      </c>
      <c r="C537" s="2" t="s">
        <v>146</v>
      </c>
      <c r="D537" s="2" t="s">
        <v>15</v>
      </c>
      <c r="E537" s="2" t="s">
        <v>49</v>
      </c>
      <c r="F537" s="14" t="n">
        <v>215.59</v>
      </c>
      <c r="G537" s="2" t="n">
        <v>0</v>
      </c>
      <c r="H537" s="2" t="n">
        <v>29</v>
      </c>
      <c r="I537" s="20" t="n">
        <v>0.96</v>
      </c>
      <c r="J537" s="14" t="n">
        <v>250</v>
      </c>
      <c r="K537" s="14" t="n">
        <v>300</v>
      </c>
      <c r="L537" s="20" t="n">
        <f aca="false">INDEX('Read me'!$B$10:$B$15,5)</f>
        <v>1.2</v>
      </c>
      <c r="M537" s="14" t="n">
        <f aca="false">N537</f>
        <v>265</v>
      </c>
      <c r="N537" s="14" t="n">
        <f aca="false">IF(MAX((IF(F537*(1+'Read me'!$B$5)&lt;='Read me'!$B$7,CEILING(F537*(1+'Read me'!$B$5)+0.5,1)-0.5,CEILING(F537*(1+'Read me'!$B$5),5)))*L537,(IF(F537*(1+'Read me'!$B$5)&lt;='Read me'!$B$7,CEILING(F537*(1+'Read me'!$B$5)+0.5,1)-0.5,CEILING(F537*(1+'Read me'!$B$5),5)))+'Read me'!$B$6)&lt;='Read me'!$B$7,CEILING(MAX((IF(F537*(1+'Read me'!$B$5)&lt;='Read me'!$B$7,CEILING(F537*(1+'Read me'!$B$5)+0.5,1)-0.5,CEILING(F537*(1+'Read me'!$B$5),5)))*L537,(IF(F537*(1+'Read me'!$B$5)&lt;='Read me'!$B$7,CEILING(F537*(1+'Read me'!$B$5)+0.5,1)-0.5,CEILING(F537*(1+'Read me'!$B$5),5)))+'Read me'!$B$6)+0.5,1)-0.5,CEILING(MAX((IF(F537*(1+'Read me'!$B$5)&lt;='Read me'!$B$7,CEILING(F537*(1+'Read me'!$B$5)+0.5,1)-0.5,CEILING(F537*(1+'Read me'!$B$5),5)))*L537,(IF(F537*(1+'Read me'!$B$5)&lt;='Read me'!$B$7,CEILING(F537*(1+'Read me'!$B$5)+0.5,1)-0.5,CEILING(F537*(1+'Read me'!$B$5),5)))+'Read me'!$B$6),5))</f>
        <v>265</v>
      </c>
      <c r="O537" s="21" t="n">
        <f aca="false">IF(ISNUMBER(J537),M537-J537,"new")</f>
        <v>15</v>
      </c>
      <c r="P537" s="5" t="s">
        <v>140</v>
      </c>
    </row>
    <row r="538" customFormat="false" ht="15" hidden="false" customHeight="false" outlineLevel="0" collapsed="false">
      <c r="A538" s="2" t="s">
        <v>669</v>
      </c>
      <c r="B538" s="2" t="s">
        <v>165</v>
      </c>
      <c r="C538" s="2" t="s">
        <v>146</v>
      </c>
      <c r="D538" s="2" t="s">
        <v>15</v>
      </c>
      <c r="E538" s="2" t="s">
        <v>50</v>
      </c>
      <c r="F538" s="14" t="n">
        <v>259.04</v>
      </c>
      <c r="G538" s="2" t="n">
        <v>0</v>
      </c>
      <c r="H538" s="2" t="n">
        <v>29</v>
      </c>
      <c r="I538" s="20" t="n">
        <v>0.96</v>
      </c>
      <c r="J538" s="14" t="n">
        <v>300</v>
      </c>
      <c r="K538" s="14" t="n">
        <v>400</v>
      </c>
      <c r="L538" s="20" t="n">
        <f aca="false">INDEX('Read me'!$B$10:$B$15,5)</f>
        <v>1.2</v>
      </c>
      <c r="M538" s="14" t="n">
        <f aca="false">N538</f>
        <v>315</v>
      </c>
      <c r="N538" s="14" t="n">
        <f aca="false">IF(MAX((IF(F538*(1+'Read me'!$B$5)&lt;='Read me'!$B$7,CEILING(F538*(1+'Read me'!$B$5)+0.5,1)-0.5,CEILING(F538*(1+'Read me'!$B$5),5)))*L538,(IF(F538*(1+'Read me'!$B$5)&lt;='Read me'!$B$7,CEILING(F538*(1+'Read me'!$B$5)+0.5,1)-0.5,CEILING(F538*(1+'Read me'!$B$5),5)))+'Read me'!$B$6)&lt;='Read me'!$B$7,CEILING(MAX((IF(F538*(1+'Read me'!$B$5)&lt;='Read me'!$B$7,CEILING(F538*(1+'Read me'!$B$5)+0.5,1)-0.5,CEILING(F538*(1+'Read me'!$B$5),5)))*L538,(IF(F538*(1+'Read me'!$B$5)&lt;='Read me'!$B$7,CEILING(F538*(1+'Read me'!$B$5)+0.5,1)-0.5,CEILING(F538*(1+'Read me'!$B$5),5)))+'Read me'!$B$6)+0.5,1)-0.5,CEILING(MAX((IF(F538*(1+'Read me'!$B$5)&lt;='Read me'!$B$7,CEILING(F538*(1+'Read me'!$B$5)+0.5,1)-0.5,CEILING(F538*(1+'Read me'!$B$5),5)))*L538,(IF(F538*(1+'Read me'!$B$5)&lt;='Read me'!$B$7,CEILING(F538*(1+'Read me'!$B$5)+0.5,1)-0.5,CEILING(F538*(1+'Read me'!$B$5),5)))+'Read me'!$B$6),5))</f>
        <v>315</v>
      </c>
      <c r="O538" s="21" t="n">
        <f aca="false">IF(ISNUMBER(J538),M538-J538,"new")</f>
        <v>15</v>
      </c>
      <c r="P538" s="5" t="s">
        <v>140</v>
      </c>
    </row>
    <row r="539" customFormat="false" ht="15" hidden="false" customHeight="false" outlineLevel="0" collapsed="false">
      <c r="A539" s="2" t="s">
        <v>670</v>
      </c>
      <c r="B539" s="2" t="s">
        <v>165</v>
      </c>
      <c r="C539" s="2" t="s">
        <v>146</v>
      </c>
      <c r="D539" s="2" t="s">
        <v>16</v>
      </c>
      <c r="E539" s="2" t="s">
        <v>48</v>
      </c>
      <c r="F539" s="14" t="n">
        <v>236.38</v>
      </c>
      <c r="G539" s="2" t="n">
        <v>1</v>
      </c>
      <c r="H539" s="2" t="n">
        <v>29</v>
      </c>
      <c r="I539" s="20" t="n">
        <v>0.96</v>
      </c>
      <c r="J539" s="14"/>
      <c r="K539" s="14"/>
      <c r="L539" s="20" t="n">
        <f aca="false">INDEX('Read me'!$B$10:$B$15,6)</f>
        <v>1.2</v>
      </c>
      <c r="M539" s="14" t="n">
        <f aca="false">IF(F539*(1+'Read me'!$B$5)&lt;='Read me'!$B$7,CEILING(F539*(1+'Read me'!$B$5)+0.5,1)-0.5,CEILING(F539*(1+'Read me'!$B$5),5))</f>
        <v>240</v>
      </c>
      <c r="N539" s="14" t="n">
        <f aca="false">IF(MAX(M539*L539,M539+'Read me'!$B$6)&lt;='Read me'!$B$7,CEILING(MAX(M539*L539,M539+'Read me'!$B$6)+0.5,1)-0.5,CEILING(MAX(M539*L539,M539+'Read me'!$B$6),5))</f>
        <v>290</v>
      </c>
      <c r="O539" s="21" t="str">
        <f aca="false">IF(ISNUMBER(J539),M539-J539,"new")</f>
        <v>new</v>
      </c>
    </row>
    <row r="540" customFormat="false" ht="15" hidden="false" customHeight="false" outlineLevel="0" collapsed="false">
      <c r="A540" s="2" t="s">
        <v>671</v>
      </c>
      <c r="B540" s="2" t="s">
        <v>165</v>
      </c>
      <c r="C540" s="2" t="s">
        <v>146</v>
      </c>
      <c r="D540" s="2" t="s">
        <v>16</v>
      </c>
      <c r="E540" s="2" t="s">
        <v>49</v>
      </c>
      <c r="F540" s="14" t="n">
        <v>311.79</v>
      </c>
      <c r="G540" s="2" t="n">
        <v>0</v>
      </c>
      <c r="H540" s="2" t="n">
        <v>29</v>
      </c>
      <c r="I540" s="20" t="n">
        <v>0.96</v>
      </c>
      <c r="J540" s="14"/>
      <c r="K540" s="14"/>
      <c r="L540" s="20" t="n">
        <f aca="false">INDEX('Read me'!$B$10:$B$15,6)</f>
        <v>1.2</v>
      </c>
      <c r="M540" s="14" t="n">
        <f aca="false">N540</f>
        <v>380</v>
      </c>
      <c r="N540" s="14" t="n">
        <f aca="false">IF(MAX((IF(F540*(1+'Read me'!$B$5)&lt;='Read me'!$B$7,CEILING(F540*(1+'Read me'!$B$5)+0.5,1)-0.5,CEILING(F540*(1+'Read me'!$B$5),5)))*L540,(IF(F540*(1+'Read me'!$B$5)&lt;='Read me'!$B$7,CEILING(F540*(1+'Read me'!$B$5)+0.5,1)-0.5,CEILING(F540*(1+'Read me'!$B$5),5)))+'Read me'!$B$6)&lt;='Read me'!$B$7,CEILING(MAX((IF(F540*(1+'Read me'!$B$5)&lt;='Read me'!$B$7,CEILING(F540*(1+'Read me'!$B$5)+0.5,1)-0.5,CEILING(F540*(1+'Read me'!$B$5),5)))*L540,(IF(F540*(1+'Read me'!$B$5)&lt;='Read me'!$B$7,CEILING(F540*(1+'Read me'!$B$5)+0.5,1)-0.5,CEILING(F540*(1+'Read me'!$B$5),5)))+'Read me'!$B$6)+0.5,1)-0.5,CEILING(MAX((IF(F540*(1+'Read me'!$B$5)&lt;='Read me'!$B$7,CEILING(F540*(1+'Read me'!$B$5)+0.5,1)-0.5,CEILING(F540*(1+'Read me'!$B$5),5)))*L540,(IF(F540*(1+'Read me'!$B$5)&lt;='Read me'!$B$7,CEILING(F540*(1+'Read me'!$B$5)+0.5,1)-0.5,CEILING(F540*(1+'Read me'!$B$5),5)))+'Read me'!$B$6),5))</f>
        <v>380</v>
      </c>
      <c r="O540" s="21" t="str">
        <f aca="false">IF(ISNUMBER(J540),M540-J540,"new")</f>
        <v>new</v>
      </c>
      <c r="P540" s="5" t="s">
        <v>140</v>
      </c>
    </row>
    <row r="541" customFormat="false" ht="15" hidden="false" customHeight="false" outlineLevel="0" collapsed="false">
      <c r="A541" s="2" t="s">
        <v>672</v>
      </c>
      <c r="B541" s="2" t="s">
        <v>165</v>
      </c>
      <c r="C541" s="2" t="s">
        <v>146</v>
      </c>
      <c r="D541" s="2" t="s">
        <v>16</v>
      </c>
      <c r="E541" s="2" t="s">
        <v>50</v>
      </c>
      <c r="F541" s="14" t="n">
        <v>366.46</v>
      </c>
      <c r="G541" s="2" t="n">
        <v>0</v>
      </c>
      <c r="H541" s="2" t="n">
        <v>29</v>
      </c>
      <c r="I541" s="20" t="n">
        <v>0.96</v>
      </c>
      <c r="J541" s="14"/>
      <c r="K541" s="14"/>
      <c r="L541" s="20" t="n">
        <f aca="false">INDEX('Read me'!$B$10:$B$15,6)</f>
        <v>1.2</v>
      </c>
      <c r="M541" s="14" t="n">
        <f aca="false">N541</f>
        <v>445</v>
      </c>
      <c r="N541" s="14" t="n">
        <f aca="false">IF(MAX((IF(F541*(1+'Read me'!$B$5)&lt;='Read me'!$B$7,CEILING(F541*(1+'Read me'!$B$5)+0.5,1)-0.5,CEILING(F541*(1+'Read me'!$B$5),5)))*L541,(IF(F541*(1+'Read me'!$B$5)&lt;='Read me'!$B$7,CEILING(F541*(1+'Read me'!$B$5)+0.5,1)-0.5,CEILING(F541*(1+'Read me'!$B$5),5)))+'Read me'!$B$6)&lt;='Read me'!$B$7,CEILING(MAX((IF(F541*(1+'Read me'!$B$5)&lt;='Read me'!$B$7,CEILING(F541*(1+'Read me'!$B$5)+0.5,1)-0.5,CEILING(F541*(1+'Read me'!$B$5),5)))*L541,(IF(F541*(1+'Read me'!$B$5)&lt;='Read me'!$B$7,CEILING(F541*(1+'Read me'!$B$5)+0.5,1)-0.5,CEILING(F541*(1+'Read me'!$B$5),5)))+'Read me'!$B$6)+0.5,1)-0.5,CEILING(MAX((IF(F541*(1+'Read me'!$B$5)&lt;='Read me'!$B$7,CEILING(F541*(1+'Read me'!$B$5)+0.5,1)-0.5,CEILING(F541*(1+'Read me'!$B$5),5)))*L541,(IF(F541*(1+'Read me'!$B$5)&lt;='Read me'!$B$7,CEILING(F541*(1+'Read me'!$B$5)+0.5,1)-0.5,CEILING(F541*(1+'Read me'!$B$5),5)))+'Read me'!$B$6),5))</f>
        <v>445</v>
      </c>
      <c r="O541" s="21" t="str">
        <f aca="false">IF(ISNUMBER(J541),M541-J541,"new")</f>
        <v>new</v>
      </c>
      <c r="P541" s="5" t="s">
        <v>140</v>
      </c>
    </row>
    <row r="542" customFormat="false" ht="15" hidden="false" customHeight="false" outlineLevel="0" collapsed="false">
      <c r="A542" s="2" t="s">
        <v>673</v>
      </c>
      <c r="B542" s="2" t="s">
        <v>165</v>
      </c>
      <c r="C542" s="2" t="s">
        <v>126</v>
      </c>
      <c r="D542" s="2" t="s">
        <v>10</v>
      </c>
      <c r="E542" s="2" t="s">
        <v>48</v>
      </c>
      <c r="F542" s="14" t="n">
        <v>13.52</v>
      </c>
      <c r="G542" s="2" t="n">
        <v>9</v>
      </c>
      <c r="H542" s="2" t="n">
        <v>32</v>
      </c>
      <c r="I542" s="20" t="n">
        <v>0.98</v>
      </c>
      <c r="J542" s="14" t="n">
        <v>14.5</v>
      </c>
      <c r="K542" s="14" t="n">
        <v>19.5</v>
      </c>
      <c r="L542" s="20" t="n">
        <f aca="false">INDEX('Read me'!$B$10:$B$15,1)</f>
        <v>1.34</v>
      </c>
      <c r="M542" s="14" t="n">
        <f aca="false">IF(F542*(1+'Read me'!$B$5)&lt;='Read me'!$B$7,CEILING(F542*(1+'Read me'!$B$5)+0.5,1)-0.5,CEILING(F542*(1+'Read me'!$B$5),5))</f>
        <v>14.5</v>
      </c>
      <c r="N542" s="14" t="n">
        <f aca="false">IF(MAX(M542*L542,M542+'Read me'!$B$6)&lt;='Read me'!$B$7,CEILING(MAX(M542*L542,M542+'Read me'!$B$6)+0.5,1)-0.5,CEILING(MAX(M542*L542,M542+'Read me'!$B$6),5))</f>
        <v>19.5</v>
      </c>
      <c r="O542" s="21" t="n">
        <f aca="false">IF(ISNUMBER(J542),M542-J542,"new")</f>
        <v>0</v>
      </c>
    </row>
    <row r="543" customFormat="false" ht="15" hidden="false" customHeight="false" outlineLevel="0" collapsed="false">
      <c r="A543" s="2" t="s">
        <v>674</v>
      </c>
      <c r="B543" s="2" t="s">
        <v>165</v>
      </c>
      <c r="C543" s="2" t="s">
        <v>126</v>
      </c>
      <c r="D543" s="2" t="s">
        <v>10</v>
      </c>
      <c r="E543" s="2" t="s">
        <v>49</v>
      </c>
      <c r="F543" s="14" t="n">
        <v>14.85</v>
      </c>
      <c r="G543" s="2" t="n">
        <v>0</v>
      </c>
      <c r="H543" s="2" t="n">
        <v>32</v>
      </c>
      <c r="I543" s="20" t="n">
        <v>0.98</v>
      </c>
      <c r="J543" s="14" t="n">
        <v>14.5</v>
      </c>
      <c r="K543" s="14" t="n">
        <v>19.5</v>
      </c>
      <c r="L543" s="20" t="n">
        <f aca="false">INDEX('Read me'!$B$10:$B$15,1)</f>
        <v>1.34</v>
      </c>
      <c r="M543" s="14" t="n">
        <f aca="false">IF(F543*(1+'Read me'!$B$5)&lt;='Read me'!$B$7,CEILING(F543*(1+'Read me'!$B$5)+0.5,1)-0.5,CEILING(F543*(1+'Read me'!$B$5),5))</f>
        <v>15.5</v>
      </c>
      <c r="N543" s="14" t="n">
        <f aca="false">IF(MAX(M543*L543,M543+'Read me'!$B$6)&lt;='Read me'!$B$7,CEILING(MAX(M543*L543,M543+'Read me'!$B$6)+0.5,1)-0.5,CEILING(MAX(M543*L543,M543+'Read me'!$B$6),5))</f>
        <v>21.5</v>
      </c>
      <c r="O543" s="21" t="n">
        <f aca="false">IF(ISNUMBER(J543),M543-J543,"new")</f>
        <v>1</v>
      </c>
    </row>
    <row r="544" customFormat="false" ht="15" hidden="false" customHeight="false" outlineLevel="0" collapsed="false">
      <c r="A544" s="2" t="s">
        <v>675</v>
      </c>
      <c r="B544" s="2" t="s">
        <v>165</v>
      </c>
      <c r="C544" s="2" t="s">
        <v>126</v>
      </c>
      <c r="D544" s="2" t="s">
        <v>10</v>
      </c>
      <c r="E544" s="2" t="s">
        <v>50</v>
      </c>
      <c r="F544" s="14" t="n">
        <v>20.69</v>
      </c>
      <c r="G544" s="2" t="n">
        <v>7</v>
      </c>
      <c r="H544" s="2" t="n">
        <v>32</v>
      </c>
      <c r="I544" s="20" t="n">
        <v>0.98</v>
      </c>
      <c r="J544" s="14" t="n">
        <v>17.5</v>
      </c>
      <c r="K544" s="14" t="n">
        <v>29.5</v>
      </c>
      <c r="L544" s="20" t="n">
        <f aca="false">INDEX('Read me'!$B$10:$B$15,1)</f>
        <v>1.34</v>
      </c>
      <c r="M544" s="14" t="n">
        <f aca="false">IF(F544*(1+'Read me'!$B$5)&lt;='Read me'!$B$7,CEILING(F544*(1+'Read me'!$B$5)+0.5,1)-0.5,CEILING(F544*(1+'Read me'!$B$5),5))</f>
        <v>21.5</v>
      </c>
      <c r="N544" s="14" t="n">
        <f aca="false">IF(MAX(M544*L544,M544+'Read me'!$B$6)&lt;='Read me'!$B$7,CEILING(MAX(M544*L544,M544+'Read me'!$B$6)+0.5,1)-0.5,CEILING(MAX(M544*L544,M544+'Read me'!$B$6),5))</f>
        <v>29.5</v>
      </c>
      <c r="O544" s="21" t="n">
        <f aca="false">IF(ISNUMBER(J544),M544-J544,"new")</f>
        <v>4</v>
      </c>
    </row>
    <row r="545" customFormat="false" ht="15" hidden="false" customHeight="false" outlineLevel="0" collapsed="false">
      <c r="A545" s="2" t="s">
        <v>676</v>
      </c>
      <c r="B545" s="2" t="s">
        <v>165</v>
      </c>
      <c r="C545" s="2" t="s">
        <v>126</v>
      </c>
      <c r="D545" s="2" t="s">
        <v>12</v>
      </c>
      <c r="E545" s="2" t="s">
        <v>48</v>
      </c>
      <c r="F545" s="14" t="n">
        <v>48.01</v>
      </c>
      <c r="G545" s="2" t="n">
        <v>7</v>
      </c>
      <c r="H545" s="2" t="n">
        <v>32</v>
      </c>
      <c r="I545" s="20" t="n">
        <v>0.98</v>
      </c>
      <c r="J545" s="14" t="n">
        <v>19.5</v>
      </c>
      <c r="K545" s="14" t="n">
        <v>24.5</v>
      </c>
      <c r="L545" s="20" t="n">
        <f aca="false">INDEX('Read me'!$B$10:$B$15,2)</f>
        <v>1.26</v>
      </c>
      <c r="M545" s="14" t="n">
        <f aca="false">IF(F545*(1+'Read me'!$B$5)&lt;='Read me'!$B$7,CEILING(F545*(1+'Read me'!$B$5)+0.5,1)-0.5,CEILING(F545*(1+'Read me'!$B$5),5))</f>
        <v>50</v>
      </c>
      <c r="N545" s="14" t="n">
        <f aca="false">IF(MAX(M545*L545,M545+'Read me'!$B$6)&lt;='Read me'!$B$7,CEILING(MAX(M545*L545,M545+'Read me'!$B$6)+0.5,1)-0.5,CEILING(MAX(M545*L545,M545+'Read me'!$B$6),5))</f>
        <v>65</v>
      </c>
      <c r="O545" s="21" t="n">
        <f aca="false">IF(ISNUMBER(J545),M545-J545,"new")</f>
        <v>30.5</v>
      </c>
    </row>
    <row r="546" customFormat="false" ht="15" hidden="false" customHeight="false" outlineLevel="0" collapsed="false">
      <c r="A546" s="2" t="s">
        <v>677</v>
      </c>
      <c r="B546" s="2" t="s">
        <v>165</v>
      </c>
      <c r="C546" s="2" t="s">
        <v>126</v>
      </c>
      <c r="D546" s="2" t="s">
        <v>12</v>
      </c>
      <c r="E546" s="2" t="s">
        <v>49</v>
      </c>
      <c r="F546" s="14" t="n">
        <v>51.21</v>
      </c>
      <c r="G546" s="2" t="n">
        <v>0</v>
      </c>
      <c r="H546" s="2" t="n">
        <v>32</v>
      </c>
      <c r="I546" s="20" t="n">
        <v>0.98</v>
      </c>
      <c r="J546" s="14" t="n">
        <v>19.5</v>
      </c>
      <c r="K546" s="14" t="n">
        <v>24.5</v>
      </c>
      <c r="L546" s="20" t="n">
        <f aca="false">INDEX('Read me'!$B$10:$B$15,2)</f>
        <v>1.26</v>
      </c>
      <c r="M546" s="14" t="n">
        <f aca="false">IF(F546*(1+'Read me'!$B$5)&lt;='Read me'!$B$7,CEILING(F546*(1+'Read me'!$B$5)+0.5,1)-0.5,CEILING(F546*(1+'Read me'!$B$5),5))</f>
        <v>55</v>
      </c>
      <c r="N546" s="14" t="n">
        <f aca="false">IF(MAX(M546*L546,M546+'Read me'!$B$6)&lt;='Read me'!$B$7,CEILING(MAX(M546*L546,M546+'Read me'!$B$6)+0.5,1)-0.5,CEILING(MAX(M546*L546,M546+'Read me'!$B$6),5))</f>
        <v>70</v>
      </c>
      <c r="O546" s="21" t="n">
        <f aca="false">IF(ISNUMBER(J546),M546-J546,"new")</f>
        <v>35.5</v>
      </c>
    </row>
    <row r="547" customFormat="false" ht="15" hidden="false" customHeight="false" outlineLevel="0" collapsed="false">
      <c r="A547" s="2" t="s">
        <v>678</v>
      </c>
      <c r="B547" s="2" t="s">
        <v>165</v>
      </c>
      <c r="C547" s="2" t="s">
        <v>126</v>
      </c>
      <c r="D547" s="2" t="s">
        <v>12</v>
      </c>
      <c r="E547" s="2" t="s">
        <v>50</v>
      </c>
      <c r="F547" s="14" t="n">
        <v>55.79</v>
      </c>
      <c r="G547" s="2" t="n">
        <v>6</v>
      </c>
      <c r="H547" s="2" t="n">
        <v>32</v>
      </c>
      <c r="I547" s="20" t="n">
        <v>0.98</v>
      </c>
      <c r="J547" s="14" t="n">
        <v>19.5</v>
      </c>
      <c r="K547" s="14" t="n">
        <v>34.5</v>
      </c>
      <c r="L547" s="20" t="n">
        <f aca="false">INDEX('Read me'!$B$10:$B$15,2)</f>
        <v>1.26</v>
      </c>
      <c r="M547" s="14" t="n">
        <f aca="false">IF(F547*(1+'Read me'!$B$5)&lt;='Read me'!$B$7,CEILING(F547*(1+'Read me'!$B$5)+0.5,1)-0.5,CEILING(F547*(1+'Read me'!$B$5),5))</f>
        <v>60</v>
      </c>
      <c r="N547" s="14" t="n">
        <f aca="false">IF(MAX(M547*L547,M547+'Read me'!$B$6)&lt;='Read me'!$B$7,CEILING(MAX(M547*L547,M547+'Read me'!$B$6)+0.5,1)-0.5,CEILING(MAX(M547*L547,M547+'Read me'!$B$6),5))</f>
        <v>80</v>
      </c>
      <c r="O547" s="21" t="n">
        <f aca="false">IF(ISNUMBER(J547),M547-J547,"new")</f>
        <v>40.5</v>
      </c>
    </row>
    <row r="548" customFormat="false" ht="15" hidden="false" customHeight="false" outlineLevel="0" collapsed="false">
      <c r="A548" s="2" t="s">
        <v>679</v>
      </c>
      <c r="B548" s="2" t="s">
        <v>165</v>
      </c>
      <c r="C548" s="2" t="s">
        <v>126</v>
      </c>
      <c r="D548" s="2" t="s">
        <v>13</v>
      </c>
      <c r="E548" s="2" t="s">
        <v>48</v>
      </c>
      <c r="F548" s="14" t="n">
        <v>79.35</v>
      </c>
      <c r="G548" s="2" t="n">
        <v>2</v>
      </c>
      <c r="H548" s="2" t="n">
        <v>32</v>
      </c>
      <c r="I548" s="20" t="n">
        <v>0.98</v>
      </c>
      <c r="J548" s="14" t="n">
        <v>24.5</v>
      </c>
      <c r="K548" s="14" t="n">
        <v>75</v>
      </c>
      <c r="L548" s="20" t="n">
        <f aca="false">INDEX('Read me'!$B$10:$B$15,3)</f>
        <v>1.35</v>
      </c>
      <c r="M548" s="14" t="n">
        <f aca="false">IF(F548*(1+'Read me'!$B$5)&lt;='Read me'!$B$7,CEILING(F548*(1+'Read me'!$B$5)+0.5,1)-0.5,CEILING(F548*(1+'Read me'!$B$5),5))</f>
        <v>80</v>
      </c>
      <c r="N548" s="14" t="n">
        <f aca="false">IF(MAX(M548*L548,M548+'Read me'!$B$6)&lt;='Read me'!$B$7,CEILING(MAX(M548*L548,M548+'Read me'!$B$6)+0.5,1)-0.5,CEILING(MAX(M548*L548,M548+'Read me'!$B$6),5))</f>
        <v>110</v>
      </c>
      <c r="O548" s="21" t="n">
        <f aca="false">IF(ISNUMBER(J548),M548-J548,"new")</f>
        <v>55.5</v>
      </c>
    </row>
    <row r="549" customFormat="false" ht="15" hidden="false" customHeight="false" outlineLevel="0" collapsed="false">
      <c r="A549" s="2" t="s">
        <v>680</v>
      </c>
      <c r="B549" s="2" t="s">
        <v>165</v>
      </c>
      <c r="C549" s="2" t="s">
        <v>126</v>
      </c>
      <c r="D549" s="2" t="s">
        <v>13</v>
      </c>
      <c r="E549" s="2" t="s">
        <v>49</v>
      </c>
      <c r="F549" s="14" t="n">
        <v>90.78</v>
      </c>
      <c r="G549" s="2" t="n">
        <v>0</v>
      </c>
      <c r="H549" s="2" t="n">
        <v>32</v>
      </c>
      <c r="I549" s="20" t="n">
        <v>0.98</v>
      </c>
      <c r="J549" s="14" t="n">
        <v>24.5</v>
      </c>
      <c r="K549" s="14" t="n">
        <v>75</v>
      </c>
      <c r="L549" s="20" t="n">
        <f aca="false">INDEX('Read me'!$B$10:$B$15,3)</f>
        <v>1.35</v>
      </c>
      <c r="M549" s="14" t="n">
        <f aca="false">IF(F549*(1+'Read me'!$B$5)&lt;='Read me'!$B$7,CEILING(F549*(1+'Read me'!$B$5)+0.5,1)-0.5,CEILING(F549*(1+'Read me'!$B$5),5))</f>
        <v>95</v>
      </c>
      <c r="N549" s="14" t="n">
        <f aca="false">IF(MAX(M549*L549,M549+'Read me'!$B$6)&lt;='Read me'!$B$7,CEILING(MAX(M549*L549,M549+'Read me'!$B$6)+0.5,1)-0.5,CEILING(MAX(M549*L549,M549+'Read me'!$B$6),5))</f>
        <v>130</v>
      </c>
      <c r="O549" s="21" t="n">
        <f aca="false">IF(ISNUMBER(J549),M549-J549,"new")</f>
        <v>70.5</v>
      </c>
    </row>
    <row r="550" customFormat="false" ht="15" hidden="false" customHeight="false" outlineLevel="0" collapsed="false">
      <c r="A550" s="2" t="s">
        <v>681</v>
      </c>
      <c r="B550" s="2" t="s">
        <v>165</v>
      </c>
      <c r="C550" s="2" t="s">
        <v>126</v>
      </c>
      <c r="D550" s="2" t="s">
        <v>13</v>
      </c>
      <c r="E550" s="2" t="s">
        <v>50</v>
      </c>
      <c r="F550" s="14" t="n">
        <v>122.08</v>
      </c>
      <c r="G550" s="2" t="n">
        <v>0</v>
      </c>
      <c r="H550" s="2" t="n">
        <v>32</v>
      </c>
      <c r="I550" s="20" t="n">
        <v>0.98</v>
      </c>
      <c r="J550" s="14" t="n">
        <v>85</v>
      </c>
      <c r="K550" s="14" t="n">
        <v>125</v>
      </c>
      <c r="L550" s="20" t="n">
        <f aca="false">INDEX('Read me'!$B$10:$B$15,3)</f>
        <v>1.35</v>
      </c>
      <c r="M550" s="14" t="n">
        <f aca="false">IF(F550*(1+'Read me'!$B$5)&lt;='Read me'!$B$7,CEILING(F550*(1+'Read me'!$B$5)+0.5,1)-0.5,CEILING(F550*(1+'Read me'!$B$5),5))</f>
        <v>125</v>
      </c>
      <c r="N550" s="14" t="n">
        <f aca="false">IF(MAX(M550*L550,M550+'Read me'!$B$6)&lt;='Read me'!$B$7,CEILING(MAX(M550*L550,M550+'Read me'!$B$6)+0.5,1)-0.5,CEILING(MAX(M550*L550,M550+'Read me'!$B$6),5))</f>
        <v>170</v>
      </c>
      <c r="O550" s="21" t="n">
        <f aca="false">IF(ISNUMBER(J550),M550-J550,"new")</f>
        <v>40</v>
      </c>
    </row>
    <row r="551" customFormat="false" ht="15" hidden="false" customHeight="false" outlineLevel="0" collapsed="false">
      <c r="A551" s="2" t="s">
        <v>682</v>
      </c>
      <c r="B551" s="2" t="s">
        <v>165</v>
      </c>
      <c r="C551" s="2" t="s">
        <v>126</v>
      </c>
      <c r="D551" s="2" t="s">
        <v>14</v>
      </c>
      <c r="E551" s="2" t="s">
        <v>48</v>
      </c>
      <c r="F551" s="14" t="n">
        <v>139.73</v>
      </c>
      <c r="G551" s="2" t="n">
        <v>0</v>
      </c>
      <c r="H551" s="2" t="n">
        <v>32</v>
      </c>
      <c r="I551" s="20" t="n">
        <v>0.98</v>
      </c>
      <c r="J551" s="14" t="n">
        <v>85</v>
      </c>
      <c r="K551" s="14" t="n">
        <v>125</v>
      </c>
      <c r="L551" s="20" t="n">
        <f aca="false">INDEX('Read me'!$B$10:$B$15,4)</f>
        <v>1.2</v>
      </c>
      <c r="M551" s="14" t="n">
        <f aca="false">IF(F551*(1+'Read me'!$B$5)&lt;='Read me'!$B$7,CEILING(F551*(1+'Read me'!$B$5)+0.5,1)-0.5,CEILING(F551*(1+'Read me'!$B$5),5))</f>
        <v>140</v>
      </c>
      <c r="N551" s="14" t="n">
        <f aca="false">IF(MAX(M551*L551,M551+'Read me'!$B$6)&lt;='Read me'!$B$7,CEILING(MAX(M551*L551,M551+'Read me'!$B$6)+0.5,1)-0.5,CEILING(MAX(M551*L551,M551+'Read me'!$B$6),5))</f>
        <v>170</v>
      </c>
      <c r="O551" s="21" t="n">
        <f aca="false">IF(ISNUMBER(J551),M551-J551,"new")</f>
        <v>55</v>
      </c>
    </row>
    <row r="552" customFormat="false" ht="15" hidden="false" customHeight="false" outlineLevel="0" collapsed="false">
      <c r="A552" s="2" t="s">
        <v>683</v>
      </c>
      <c r="B552" s="2" t="s">
        <v>165</v>
      </c>
      <c r="C552" s="2" t="s">
        <v>126</v>
      </c>
      <c r="D552" s="2" t="s">
        <v>14</v>
      </c>
      <c r="E552" s="2" t="s">
        <v>49</v>
      </c>
      <c r="F552" s="14" t="n">
        <v>167.77</v>
      </c>
      <c r="G552" s="2" t="n">
        <v>0</v>
      </c>
      <c r="H552" s="2" t="n">
        <v>32</v>
      </c>
      <c r="I552" s="20" t="n">
        <v>0.98</v>
      </c>
      <c r="J552" s="14" t="n">
        <v>125</v>
      </c>
      <c r="K552" s="14" t="n">
        <v>125</v>
      </c>
      <c r="L552" s="20" t="n">
        <f aca="false">INDEX('Read me'!$B$10:$B$15,4)</f>
        <v>1.2</v>
      </c>
      <c r="M552" s="14" t="n">
        <f aca="false">IF(F552*(1+'Read me'!$B$5)&lt;='Read me'!$B$7,CEILING(F552*(1+'Read me'!$B$5)+0.5,1)-0.5,CEILING(F552*(1+'Read me'!$B$5),5))</f>
        <v>170</v>
      </c>
      <c r="N552" s="14" t="n">
        <f aca="false">IF(MAX(M552*L552,M552+'Read me'!$B$6)&lt;='Read me'!$B$7,CEILING(MAX(M552*L552,M552+'Read me'!$B$6)+0.5,1)-0.5,CEILING(MAX(M552*L552,M552+'Read me'!$B$6),5))</f>
        <v>205</v>
      </c>
      <c r="O552" s="21" t="n">
        <f aca="false">IF(ISNUMBER(J552),M552-J552,"new")</f>
        <v>45</v>
      </c>
    </row>
    <row r="553" customFormat="false" ht="15" hidden="false" customHeight="false" outlineLevel="0" collapsed="false">
      <c r="A553" s="2" t="s">
        <v>684</v>
      </c>
      <c r="B553" s="2" t="s">
        <v>165</v>
      </c>
      <c r="C553" s="2" t="s">
        <v>126</v>
      </c>
      <c r="D553" s="2" t="s">
        <v>14</v>
      </c>
      <c r="E553" s="2" t="s">
        <v>50</v>
      </c>
      <c r="F553" s="14" t="n">
        <v>202.19</v>
      </c>
      <c r="G553" s="2" t="n">
        <v>0</v>
      </c>
      <c r="H553" s="2" t="n">
        <v>32</v>
      </c>
      <c r="I553" s="20" t="n">
        <v>0.98</v>
      </c>
      <c r="J553" s="14" t="n">
        <v>199</v>
      </c>
      <c r="K553" s="14" t="n">
        <v>175</v>
      </c>
      <c r="L553" s="20" t="n">
        <f aca="false">INDEX('Read me'!$B$10:$B$15,4)</f>
        <v>1.2</v>
      </c>
      <c r="M553" s="14" t="n">
        <f aca="false">IF(F553*(1+'Read me'!$B$5)&lt;='Read me'!$B$7,CEILING(F553*(1+'Read me'!$B$5)+0.5,1)-0.5,CEILING(F553*(1+'Read me'!$B$5),5))</f>
        <v>205</v>
      </c>
      <c r="N553" s="14" t="n">
        <f aca="false">IF(MAX(M553*L553,M553+'Read me'!$B$6)&lt;='Read me'!$B$7,CEILING(MAX(M553*L553,M553+'Read me'!$B$6)+0.5,1)-0.5,CEILING(MAX(M553*L553,M553+'Read me'!$B$6),5))</f>
        <v>250</v>
      </c>
      <c r="O553" s="21" t="n">
        <f aca="false">IF(ISNUMBER(J553),M553-J553,"new")</f>
        <v>6</v>
      </c>
    </row>
    <row r="554" customFormat="false" ht="15" hidden="false" customHeight="false" outlineLevel="0" collapsed="false">
      <c r="A554" s="2" t="s">
        <v>685</v>
      </c>
      <c r="B554" s="2" t="s">
        <v>165</v>
      </c>
      <c r="C554" s="2" t="s">
        <v>126</v>
      </c>
      <c r="D554" s="2" t="s">
        <v>15</v>
      </c>
      <c r="E554" s="2" t="s">
        <v>48</v>
      </c>
      <c r="F554" s="14" t="n">
        <v>177.35</v>
      </c>
      <c r="G554" s="2" t="n">
        <v>0</v>
      </c>
      <c r="H554" s="2" t="n">
        <v>32</v>
      </c>
      <c r="I554" s="20" t="n">
        <v>0.98</v>
      </c>
      <c r="J554" s="14" t="n">
        <v>250</v>
      </c>
      <c r="K554" s="14" t="n">
        <v>300</v>
      </c>
      <c r="L554" s="20" t="n">
        <f aca="false">INDEX('Read me'!$B$10:$B$15,5)</f>
        <v>1.2</v>
      </c>
      <c r="M554" s="14" t="n">
        <f aca="false">IF(F554*(1+'Read me'!$B$5)&lt;='Read me'!$B$7,CEILING(F554*(1+'Read me'!$B$5)+0.5,1)-0.5,CEILING(F554*(1+'Read me'!$B$5),5))</f>
        <v>180</v>
      </c>
      <c r="N554" s="14" t="n">
        <f aca="false">IF(MAX(M554*L554,M554+'Read me'!$B$6)&lt;='Read me'!$B$7,CEILING(MAX(M554*L554,M554+'Read me'!$B$6)+0.5,1)-0.5,CEILING(MAX(M554*L554,M554+'Read me'!$B$6),5))</f>
        <v>220</v>
      </c>
      <c r="O554" s="21" t="n">
        <f aca="false">IF(ISNUMBER(J554),M554-J554,"new")</f>
        <v>-70</v>
      </c>
    </row>
    <row r="555" customFormat="false" ht="15" hidden="false" customHeight="false" outlineLevel="0" collapsed="false">
      <c r="A555" s="2" t="s">
        <v>686</v>
      </c>
      <c r="B555" s="2" t="s">
        <v>165</v>
      </c>
      <c r="C555" s="2" t="s">
        <v>126</v>
      </c>
      <c r="D555" s="2" t="s">
        <v>15</v>
      </c>
      <c r="E555" s="2" t="s">
        <v>49</v>
      </c>
      <c r="F555" s="14" t="n">
        <v>218.81</v>
      </c>
      <c r="G555" s="2" t="n">
        <v>0</v>
      </c>
      <c r="H555" s="2" t="n">
        <v>32</v>
      </c>
      <c r="I555" s="20" t="n">
        <v>0.98</v>
      </c>
      <c r="J555" s="14" t="n">
        <v>250</v>
      </c>
      <c r="K555" s="14" t="n">
        <v>300</v>
      </c>
      <c r="L555" s="20" t="n">
        <f aca="false">INDEX('Read me'!$B$10:$B$15,5)</f>
        <v>1.2</v>
      </c>
      <c r="M555" s="14" t="n">
        <f aca="false">N555</f>
        <v>265</v>
      </c>
      <c r="N555" s="14" t="n">
        <f aca="false">IF(MAX((IF(F555*(1+'Read me'!$B$5)&lt;='Read me'!$B$7,CEILING(F555*(1+'Read me'!$B$5)+0.5,1)-0.5,CEILING(F555*(1+'Read me'!$B$5),5)))*L555,(IF(F555*(1+'Read me'!$B$5)&lt;='Read me'!$B$7,CEILING(F555*(1+'Read me'!$B$5)+0.5,1)-0.5,CEILING(F555*(1+'Read me'!$B$5),5)))+'Read me'!$B$6)&lt;='Read me'!$B$7,CEILING(MAX((IF(F555*(1+'Read me'!$B$5)&lt;='Read me'!$B$7,CEILING(F555*(1+'Read me'!$B$5)+0.5,1)-0.5,CEILING(F555*(1+'Read me'!$B$5),5)))*L555,(IF(F555*(1+'Read me'!$B$5)&lt;='Read me'!$B$7,CEILING(F555*(1+'Read me'!$B$5)+0.5,1)-0.5,CEILING(F555*(1+'Read me'!$B$5),5)))+'Read me'!$B$6)+0.5,1)-0.5,CEILING(MAX((IF(F555*(1+'Read me'!$B$5)&lt;='Read me'!$B$7,CEILING(F555*(1+'Read me'!$B$5)+0.5,1)-0.5,CEILING(F555*(1+'Read me'!$B$5),5)))*L555,(IF(F555*(1+'Read me'!$B$5)&lt;='Read me'!$B$7,CEILING(F555*(1+'Read me'!$B$5)+0.5,1)-0.5,CEILING(F555*(1+'Read me'!$B$5),5)))+'Read me'!$B$6),5))</f>
        <v>265</v>
      </c>
      <c r="O555" s="21" t="n">
        <f aca="false">IF(ISNUMBER(J555),M555-J555,"new")</f>
        <v>15</v>
      </c>
      <c r="P555" s="5" t="s">
        <v>140</v>
      </c>
    </row>
    <row r="556" customFormat="false" ht="15" hidden="false" customHeight="false" outlineLevel="0" collapsed="false">
      <c r="A556" s="2" t="s">
        <v>687</v>
      </c>
      <c r="B556" s="2" t="s">
        <v>165</v>
      </c>
      <c r="C556" s="2" t="s">
        <v>126</v>
      </c>
      <c r="D556" s="2" t="s">
        <v>15</v>
      </c>
      <c r="E556" s="2" t="s">
        <v>50</v>
      </c>
      <c r="F556" s="14" t="n">
        <v>262.91</v>
      </c>
      <c r="G556" s="2" t="n">
        <v>0</v>
      </c>
      <c r="H556" s="2" t="n">
        <v>32</v>
      </c>
      <c r="I556" s="20" t="n">
        <v>0.98</v>
      </c>
      <c r="J556" s="14" t="n">
        <v>300</v>
      </c>
      <c r="K556" s="14" t="n">
        <v>400</v>
      </c>
      <c r="L556" s="20" t="n">
        <f aca="false">INDEX('Read me'!$B$10:$B$15,5)</f>
        <v>1.2</v>
      </c>
      <c r="M556" s="14" t="n">
        <f aca="false">N556</f>
        <v>320</v>
      </c>
      <c r="N556" s="14" t="n">
        <f aca="false">IF(MAX((IF(F556*(1+'Read me'!$B$5)&lt;='Read me'!$B$7,CEILING(F556*(1+'Read me'!$B$5)+0.5,1)-0.5,CEILING(F556*(1+'Read me'!$B$5),5)))*L556,(IF(F556*(1+'Read me'!$B$5)&lt;='Read me'!$B$7,CEILING(F556*(1+'Read me'!$B$5)+0.5,1)-0.5,CEILING(F556*(1+'Read me'!$B$5),5)))+'Read me'!$B$6)&lt;='Read me'!$B$7,CEILING(MAX((IF(F556*(1+'Read me'!$B$5)&lt;='Read me'!$B$7,CEILING(F556*(1+'Read me'!$B$5)+0.5,1)-0.5,CEILING(F556*(1+'Read me'!$B$5),5)))*L556,(IF(F556*(1+'Read me'!$B$5)&lt;='Read me'!$B$7,CEILING(F556*(1+'Read me'!$B$5)+0.5,1)-0.5,CEILING(F556*(1+'Read me'!$B$5),5)))+'Read me'!$B$6)+0.5,1)-0.5,CEILING(MAX((IF(F556*(1+'Read me'!$B$5)&lt;='Read me'!$B$7,CEILING(F556*(1+'Read me'!$B$5)+0.5,1)-0.5,CEILING(F556*(1+'Read me'!$B$5),5)))*L556,(IF(F556*(1+'Read me'!$B$5)&lt;='Read me'!$B$7,CEILING(F556*(1+'Read me'!$B$5)+0.5,1)-0.5,CEILING(F556*(1+'Read me'!$B$5),5)))+'Read me'!$B$6),5))</f>
        <v>320</v>
      </c>
      <c r="O556" s="21" t="n">
        <f aca="false">IF(ISNUMBER(J556),M556-J556,"new")</f>
        <v>20</v>
      </c>
      <c r="P556" s="5" t="s">
        <v>140</v>
      </c>
    </row>
    <row r="557" customFormat="false" ht="15" hidden="false" customHeight="false" outlineLevel="0" collapsed="false">
      <c r="A557" s="2" t="s">
        <v>688</v>
      </c>
      <c r="B557" s="2" t="s">
        <v>165</v>
      </c>
      <c r="C557" s="2" t="s">
        <v>126</v>
      </c>
      <c r="D557" s="2" t="s">
        <v>16</v>
      </c>
      <c r="E557" s="2" t="s">
        <v>48</v>
      </c>
      <c r="F557" s="14" t="n">
        <v>257.19</v>
      </c>
      <c r="G557" s="2" t="n">
        <v>1</v>
      </c>
      <c r="H557" s="2" t="n">
        <v>32</v>
      </c>
      <c r="I557" s="20" t="n">
        <v>0.98</v>
      </c>
      <c r="J557" s="14"/>
      <c r="K557" s="14"/>
      <c r="L557" s="20" t="n">
        <f aca="false">INDEX('Read me'!$B$10:$B$15,6)</f>
        <v>1.2</v>
      </c>
      <c r="M557" s="14" t="n">
        <f aca="false">IF(F557*(1+'Read me'!$B$5)&lt;='Read me'!$B$7,CEILING(F557*(1+'Read me'!$B$5)+0.5,1)-0.5,CEILING(F557*(1+'Read me'!$B$5),5))</f>
        <v>260</v>
      </c>
      <c r="N557" s="14" t="n">
        <f aca="false">IF(MAX(M557*L557,M557+'Read me'!$B$6)&lt;='Read me'!$B$7,CEILING(MAX(M557*L557,M557+'Read me'!$B$6)+0.5,1)-0.5,CEILING(MAX(M557*L557,M557+'Read me'!$B$6),5))</f>
        <v>315</v>
      </c>
      <c r="O557" s="21" t="str">
        <f aca="false">IF(ISNUMBER(J557),M557-J557,"new")</f>
        <v>new</v>
      </c>
    </row>
    <row r="558" customFormat="false" ht="15" hidden="false" customHeight="false" outlineLevel="0" collapsed="false">
      <c r="A558" s="2" t="s">
        <v>689</v>
      </c>
      <c r="B558" s="2" t="s">
        <v>165</v>
      </c>
      <c r="C558" s="2" t="s">
        <v>126</v>
      </c>
      <c r="D558" s="2" t="s">
        <v>16</v>
      </c>
      <c r="E558" s="2" t="s">
        <v>49</v>
      </c>
      <c r="F558" s="14" t="n">
        <v>316.44</v>
      </c>
      <c r="G558" s="2" t="n">
        <v>0</v>
      </c>
      <c r="H558" s="2" t="n">
        <v>32</v>
      </c>
      <c r="I558" s="20" t="n">
        <v>0.98</v>
      </c>
      <c r="J558" s="14"/>
      <c r="K558" s="14"/>
      <c r="L558" s="20" t="n">
        <f aca="false">INDEX('Read me'!$B$10:$B$15,6)</f>
        <v>1.2</v>
      </c>
      <c r="M558" s="14" t="n">
        <f aca="false">N558</f>
        <v>385</v>
      </c>
      <c r="N558" s="14" t="n">
        <f aca="false">IF(MAX((IF(F558*(1+'Read me'!$B$5)&lt;='Read me'!$B$7,CEILING(F558*(1+'Read me'!$B$5)+0.5,1)-0.5,CEILING(F558*(1+'Read me'!$B$5),5)))*L558,(IF(F558*(1+'Read me'!$B$5)&lt;='Read me'!$B$7,CEILING(F558*(1+'Read me'!$B$5)+0.5,1)-0.5,CEILING(F558*(1+'Read me'!$B$5),5)))+'Read me'!$B$6)&lt;='Read me'!$B$7,CEILING(MAX((IF(F558*(1+'Read me'!$B$5)&lt;='Read me'!$B$7,CEILING(F558*(1+'Read me'!$B$5)+0.5,1)-0.5,CEILING(F558*(1+'Read me'!$B$5),5)))*L558,(IF(F558*(1+'Read me'!$B$5)&lt;='Read me'!$B$7,CEILING(F558*(1+'Read me'!$B$5)+0.5,1)-0.5,CEILING(F558*(1+'Read me'!$B$5),5)))+'Read me'!$B$6)+0.5,1)-0.5,CEILING(MAX((IF(F558*(1+'Read me'!$B$5)&lt;='Read me'!$B$7,CEILING(F558*(1+'Read me'!$B$5)+0.5,1)-0.5,CEILING(F558*(1+'Read me'!$B$5),5)))*L558,(IF(F558*(1+'Read me'!$B$5)&lt;='Read me'!$B$7,CEILING(F558*(1+'Read me'!$B$5)+0.5,1)-0.5,CEILING(F558*(1+'Read me'!$B$5),5)))+'Read me'!$B$6),5))</f>
        <v>385</v>
      </c>
      <c r="O558" s="21" t="str">
        <f aca="false">IF(ISNUMBER(J558),M558-J558,"new")</f>
        <v>new</v>
      </c>
      <c r="P558" s="5" t="s">
        <v>140</v>
      </c>
    </row>
    <row r="559" customFormat="false" ht="15" hidden="false" customHeight="false" outlineLevel="0" collapsed="false">
      <c r="A559" s="2" t="s">
        <v>690</v>
      </c>
      <c r="B559" s="2" t="s">
        <v>165</v>
      </c>
      <c r="C559" s="2" t="s">
        <v>126</v>
      </c>
      <c r="D559" s="2" t="s">
        <v>16</v>
      </c>
      <c r="E559" s="2" t="s">
        <v>50</v>
      </c>
      <c r="F559" s="14" t="n">
        <v>371.93</v>
      </c>
      <c r="G559" s="2" t="n">
        <v>0</v>
      </c>
      <c r="H559" s="2" t="n">
        <v>32</v>
      </c>
      <c r="I559" s="20" t="n">
        <v>0.98</v>
      </c>
      <c r="J559" s="14"/>
      <c r="K559" s="14"/>
      <c r="L559" s="20" t="n">
        <f aca="false">INDEX('Read me'!$B$10:$B$15,6)</f>
        <v>1.2</v>
      </c>
      <c r="M559" s="14" t="n">
        <f aca="false">N559</f>
        <v>450</v>
      </c>
      <c r="N559" s="14" t="n">
        <f aca="false">IF(MAX((IF(F559*(1+'Read me'!$B$5)&lt;='Read me'!$B$7,CEILING(F559*(1+'Read me'!$B$5)+0.5,1)-0.5,CEILING(F559*(1+'Read me'!$B$5),5)))*L559,(IF(F559*(1+'Read me'!$B$5)&lt;='Read me'!$B$7,CEILING(F559*(1+'Read me'!$B$5)+0.5,1)-0.5,CEILING(F559*(1+'Read me'!$B$5),5)))+'Read me'!$B$6)&lt;='Read me'!$B$7,CEILING(MAX((IF(F559*(1+'Read me'!$B$5)&lt;='Read me'!$B$7,CEILING(F559*(1+'Read me'!$B$5)+0.5,1)-0.5,CEILING(F559*(1+'Read me'!$B$5),5)))*L559,(IF(F559*(1+'Read me'!$B$5)&lt;='Read me'!$B$7,CEILING(F559*(1+'Read me'!$B$5)+0.5,1)-0.5,CEILING(F559*(1+'Read me'!$B$5),5)))+'Read me'!$B$6)+0.5,1)-0.5,CEILING(MAX((IF(F559*(1+'Read me'!$B$5)&lt;='Read me'!$B$7,CEILING(F559*(1+'Read me'!$B$5)+0.5,1)-0.5,CEILING(F559*(1+'Read me'!$B$5),5)))*L559,(IF(F559*(1+'Read me'!$B$5)&lt;='Read me'!$B$7,CEILING(F559*(1+'Read me'!$B$5)+0.5,1)-0.5,CEILING(F559*(1+'Read me'!$B$5),5)))+'Read me'!$B$6),5))</f>
        <v>450</v>
      </c>
      <c r="O559" s="21" t="str">
        <f aca="false">IF(ISNUMBER(J559),M559-J559,"new")</f>
        <v>new</v>
      </c>
      <c r="P559" s="5" t="s">
        <v>140</v>
      </c>
    </row>
    <row r="560" customFormat="false" ht="15" hidden="false" customHeight="false" outlineLevel="0" collapsed="false">
      <c r="A560" s="2" t="s">
        <v>691</v>
      </c>
      <c r="B560" s="2" t="s">
        <v>165</v>
      </c>
      <c r="C560" s="2" t="s">
        <v>240</v>
      </c>
      <c r="D560" s="2" t="s">
        <v>10</v>
      </c>
      <c r="E560" s="2" t="s">
        <v>48</v>
      </c>
      <c r="F560" s="14" t="n">
        <v>12.69</v>
      </c>
      <c r="G560" s="2" t="n">
        <v>2</v>
      </c>
      <c r="H560" s="2" t="n">
        <v>10</v>
      </c>
      <c r="I560" s="20" t="n">
        <v>1.03</v>
      </c>
      <c r="J560" s="14" t="n">
        <v>19.5</v>
      </c>
      <c r="K560" s="14" t="n">
        <v>24.5</v>
      </c>
      <c r="L560" s="20" t="n">
        <f aca="false">INDEX('Read me'!$B$10:$B$15,1)</f>
        <v>1.34</v>
      </c>
      <c r="M560" s="14" t="n">
        <f aca="false">IF(F560*(1+'Read me'!$B$5)&lt;='Read me'!$B$7,CEILING(F560*(1+'Read me'!$B$5)+0.5,1)-0.5,CEILING(F560*(1+'Read me'!$B$5),5))</f>
        <v>13.5</v>
      </c>
      <c r="N560" s="14" t="n">
        <f aca="false">IF(MAX(M560*L560,M560+'Read me'!$B$6)&lt;='Read me'!$B$7,CEILING(MAX(M560*L560,M560+'Read me'!$B$6)+0.5,1)-0.5,CEILING(MAX(M560*L560,M560+'Read me'!$B$6),5))</f>
        <v>18.5</v>
      </c>
      <c r="O560" s="21" t="n">
        <f aca="false">IF(ISNUMBER(J560),M560-J560,"new")</f>
        <v>-6</v>
      </c>
    </row>
    <row r="561" customFormat="false" ht="15" hidden="false" customHeight="false" outlineLevel="0" collapsed="false">
      <c r="A561" s="2" t="s">
        <v>692</v>
      </c>
      <c r="B561" s="2" t="s">
        <v>165</v>
      </c>
      <c r="C561" s="2" t="s">
        <v>240</v>
      </c>
      <c r="D561" s="2" t="s">
        <v>10</v>
      </c>
      <c r="E561" s="2" t="s">
        <v>49</v>
      </c>
      <c r="F561" s="14" t="n">
        <v>15.64</v>
      </c>
      <c r="G561" s="2" t="n">
        <v>0</v>
      </c>
      <c r="H561" s="2" t="n">
        <v>10</v>
      </c>
      <c r="I561" s="20" t="n">
        <v>1.03</v>
      </c>
      <c r="J561" s="14" t="n">
        <v>19.5</v>
      </c>
      <c r="K561" s="14" t="n">
        <v>24.5</v>
      </c>
      <c r="L561" s="20" t="n">
        <f aca="false">INDEX('Read me'!$B$10:$B$15,1)</f>
        <v>1.34</v>
      </c>
      <c r="M561" s="14" t="n">
        <f aca="false">IF(F561*(1+'Read me'!$B$5)&lt;='Read me'!$B$7,CEILING(F561*(1+'Read me'!$B$5)+0.5,1)-0.5,CEILING(F561*(1+'Read me'!$B$5),5))</f>
        <v>16.5</v>
      </c>
      <c r="N561" s="14" t="n">
        <f aca="false">IF(MAX(M561*L561,M561+'Read me'!$B$6)&lt;='Read me'!$B$7,CEILING(MAX(M561*L561,M561+'Read me'!$B$6)+0.5,1)-0.5,CEILING(MAX(M561*L561,M561+'Read me'!$B$6),5))</f>
        <v>22.5</v>
      </c>
      <c r="O561" s="21" t="n">
        <f aca="false">IF(ISNUMBER(J561),M561-J561,"new")</f>
        <v>-3</v>
      </c>
    </row>
    <row r="562" customFormat="false" ht="15" hidden="false" customHeight="false" outlineLevel="0" collapsed="false">
      <c r="A562" s="2" t="s">
        <v>693</v>
      </c>
      <c r="B562" s="2" t="s">
        <v>165</v>
      </c>
      <c r="C562" s="2" t="s">
        <v>240</v>
      </c>
      <c r="D562" s="2" t="s">
        <v>10</v>
      </c>
      <c r="E562" s="2" t="s">
        <v>50</v>
      </c>
      <c r="F562" s="14" t="n">
        <v>22.73</v>
      </c>
      <c r="G562" s="2" t="n">
        <v>3</v>
      </c>
      <c r="H562" s="2" t="n">
        <v>10</v>
      </c>
      <c r="I562" s="20" t="n">
        <v>1.03</v>
      </c>
      <c r="J562" s="14" t="n">
        <v>19.5</v>
      </c>
      <c r="K562" s="14" t="n">
        <v>34.5</v>
      </c>
      <c r="L562" s="20" t="n">
        <f aca="false">INDEX('Read me'!$B$10:$B$15,1)</f>
        <v>1.34</v>
      </c>
      <c r="M562" s="14" t="n">
        <f aca="false">IF(F562*(1+'Read me'!$B$5)&lt;='Read me'!$B$7,CEILING(F562*(1+'Read me'!$B$5)+0.5,1)-0.5,CEILING(F562*(1+'Read me'!$B$5),5))</f>
        <v>23.5</v>
      </c>
      <c r="N562" s="14" t="n">
        <f aca="false">IF(MAX(M562*L562,M562+'Read me'!$B$6)&lt;='Read me'!$B$7,CEILING(MAX(M562*L562,M562+'Read me'!$B$6)+0.5,1)-0.5,CEILING(MAX(M562*L562,M562+'Read me'!$B$6),5))</f>
        <v>35</v>
      </c>
      <c r="O562" s="21" t="n">
        <f aca="false">IF(ISNUMBER(J562),M562-J562,"new")</f>
        <v>4</v>
      </c>
    </row>
    <row r="563" customFormat="false" ht="15" hidden="false" customHeight="false" outlineLevel="0" collapsed="false">
      <c r="A563" s="2" t="s">
        <v>694</v>
      </c>
      <c r="B563" s="2" t="s">
        <v>165</v>
      </c>
      <c r="C563" s="2" t="s">
        <v>240</v>
      </c>
      <c r="D563" s="2" t="s">
        <v>12</v>
      </c>
      <c r="E563" s="2" t="s">
        <v>48</v>
      </c>
      <c r="F563" s="14" t="n">
        <v>52.98</v>
      </c>
      <c r="G563" s="2" t="n">
        <v>3</v>
      </c>
      <c r="H563" s="2" t="n">
        <v>10</v>
      </c>
      <c r="I563" s="20" t="n">
        <v>1.03</v>
      </c>
      <c r="J563" s="14" t="n">
        <v>24.5</v>
      </c>
      <c r="K563" s="14" t="n">
        <v>29.5</v>
      </c>
      <c r="L563" s="20" t="n">
        <f aca="false">INDEX('Read me'!$B$10:$B$15,2)</f>
        <v>1.26</v>
      </c>
      <c r="M563" s="14" t="n">
        <f aca="false">IF(F563*(1+'Read me'!$B$5)&lt;='Read me'!$B$7,CEILING(F563*(1+'Read me'!$B$5)+0.5,1)-0.5,CEILING(F563*(1+'Read me'!$B$5),5))</f>
        <v>55</v>
      </c>
      <c r="N563" s="14" t="n">
        <f aca="false">IF(MAX(M563*L563,M563+'Read me'!$B$6)&lt;='Read me'!$B$7,CEILING(MAX(M563*L563,M563+'Read me'!$B$6)+0.5,1)-0.5,CEILING(MAX(M563*L563,M563+'Read me'!$B$6),5))</f>
        <v>70</v>
      </c>
      <c r="O563" s="21" t="n">
        <f aca="false">IF(ISNUMBER(J563),M563-J563,"new")</f>
        <v>30.5</v>
      </c>
    </row>
    <row r="564" customFormat="false" ht="15" hidden="false" customHeight="false" outlineLevel="0" collapsed="false">
      <c r="A564" s="2" t="s">
        <v>695</v>
      </c>
      <c r="B564" s="2" t="s">
        <v>165</v>
      </c>
      <c r="C564" s="2" t="s">
        <v>240</v>
      </c>
      <c r="D564" s="2" t="s">
        <v>12</v>
      </c>
      <c r="E564" s="2" t="s">
        <v>49</v>
      </c>
      <c r="F564" s="14" t="n">
        <v>53.95</v>
      </c>
      <c r="G564" s="2" t="n">
        <v>0</v>
      </c>
      <c r="H564" s="2" t="n">
        <v>10</v>
      </c>
      <c r="I564" s="20" t="n">
        <v>1.03</v>
      </c>
      <c r="J564" s="14" t="n">
        <v>24.5</v>
      </c>
      <c r="K564" s="14" t="n">
        <v>29.5</v>
      </c>
      <c r="L564" s="20" t="n">
        <f aca="false">INDEX('Read me'!$B$10:$B$15,2)</f>
        <v>1.26</v>
      </c>
      <c r="M564" s="14" t="n">
        <f aca="false">IF(F564*(1+'Read me'!$B$5)&lt;='Read me'!$B$7,CEILING(F564*(1+'Read me'!$B$5)+0.5,1)-0.5,CEILING(F564*(1+'Read me'!$B$5),5))</f>
        <v>55</v>
      </c>
      <c r="N564" s="14" t="n">
        <f aca="false">IF(MAX(M564*L564,M564+'Read me'!$B$6)&lt;='Read me'!$B$7,CEILING(MAX(M564*L564,M564+'Read me'!$B$6)+0.5,1)-0.5,CEILING(MAX(M564*L564,M564+'Read me'!$B$6),5))</f>
        <v>70</v>
      </c>
      <c r="O564" s="21" t="n">
        <f aca="false">IF(ISNUMBER(J564),M564-J564,"new")</f>
        <v>30.5</v>
      </c>
    </row>
    <row r="565" customFormat="false" ht="15" hidden="false" customHeight="false" outlineLevel="0" collapsed="false">
      <c r="A565" s="2" t="s">
        <v>696</v>
      </c>
      <c r="B565" s="2" t="s">
        <v>165</v>
      </c>
      <c r="C565" s="2" t="s">
        <v>240</v>
      </c>
      <c r="D565" s="2" t="s">
        <v>12</v>
      </c>
      <c r="E565" s="2" t="s">
        <v>50</v>
      </c>
      <c r="F565" s="14" t="n">
        <v>63.73</v>
      </c>
      <c r="G565" s="2" t="n">
        <v>2</v>
      </c>
      <c r="H565" s="2" t="n">
        <v>10</v>
      </c>
      <c r="I565" s="20" t="n">
        <v>1.03</v>
      </c>
      <c r="J565" s="14" t="n">
        <v>24.5</v>
      </c>
      <c r="K565" s="14" t="n">
        <v>45</v>
      </c>
      <c r="L565" s="20" t="n">
        <f aca="false">INDEX('Read me'!$B$10:$B$15,2)</f>
        <v>1.26</v>
      </c>
      <c r="M565" s="14" t="n">
        <f aca="false">IF(F565*(1+'Read me'!$B$5)&lt;='Read me'!$B$7,CEILING(F565*(1+'Read me'!$B$5)+0.5,1)-0.5,CEILING(F565*(1+'Read me'!$B$5),5))</f>
        <v>65</v>
      </c>
      <c r="N565" s="14" t="n">
        <f aca="false">IF(MAX(M565*L565,M565+'Read me'!$B$6)&lt;='Read me'!$B$7,CEILING(MAX(M565*L565,M565+'Read me'!$B$6)+0.5,1)-0.5,CEILING(MAX(M565*L565,M565+'Read me'!$B$6),5))</f>
        <v>85</v>
      </c>
      <c r="O565" s="21" t="n">
        <f aca="false">IF(ISNUMBER(J565),M565-J565,"new")</f>
        <v>40.5</v>
      </c>
    </row>
    <row r="566" customFormat="false" ht="15" hidden="false" customHeight="false" outlineLevel="0" collapsed="false">
      <c r="A566" s="2" t="s">
        <v>697</v>
      </c>
      <c r="B566" s="2" t="s">
        <v>165</v>
      </c>
      <c r="C566" s="2" t="s">
        <v>240</v>
      </c>
      <c r="D566" s="2" t="s">
        <v>13</v>
      </c>
      <c r="E566" s="2" t="s">
        <v>48</v>
      </c>
      <c r="F566" s="14" t="n">
        <v>85.02</v>
      </c>
      <c r="G566" s="2" t="n">
        <v>0</v>
      </c>
      <c r="H566" s="2" t="n">
        <v>10</v>
      </c>
      <c r="I566" s="20" t="n">
        <v>1.03</v>
      </c>
      <c r="J566" s="14" t="n">
        <v>45</v>
      </c>
      <c r="K566" s="14" t="n">
        <v>95</v>
      </c>
      <c r="L566" s="20" t="n">
        <f aca="false">INDEX('Read me'!$B$10:$B$15,3)</f>
        <v>1.35</v>
      </c>
      <c r="M566" s="14" t="n">
        <f aca="false">IF(F566*(1+'Read me'!$B$5)&lt;='Read me'!$B$7,CEILING(F566*(1+'Read me'!$B$5)+0.5,1)-0.5,CEILING(F566*(1+'Read me'!$B$5),5))</f>
        <v>90</v>
      </c>
      <c r="N566" s="14" t="n">
        <f aca="false">IF(MAX(M566*L566,M566+'Read me'!$B$6)&lt;='Read me'!$B$7,CEILING(MAX(M566*L566,M566+'Read me'!$B$6)+0.5,1)-0.5,CEILING(MAX(M566*L566,M566+'Read me'!$B$6),5))</f>
        <v>125</v>
      </c>
      <c r="O566" s="21" t="n">
        <f aca="false">IF(ISNUMBER(J566),M566-J566,"new")</f>
        <v>45</v>
      </c>
    </row>
    <row r="567" customFormat="false" ht="15" hidden="false" customHeight="false" outlineLevel="0" collapsed="false">
      <c r="A567" s="2" t="s">
        <v>698</v>
      </c>
      <c r="B567" s="2" t="s">
        <v>165</v>
      </c>
      <c r="C567" s="2" t="s">
        <v>240</v>
      </c>
      <c r="D567" s="2" t="s">
        <v>13</v>
      </c>
      <c r="E567" s="2" t="s">
        <v>49</v>
      </c>
      <c r="F567" s="14" t="n">
        <v>95.64</v>
      </c>
      <c r="G567" s="2" t="n">
        <v>0</v>
      </c>
      <c r="H567" s="2" t="n">
        <v>10</v>
      </c>
      <c r="I567" s="20" t="n">
        <v>1.03</v>
      </c>
      <c r="J567" s="14" t="n">
        <v>45</v>
      </c>
      <c r="K567" s="14" t="n">
        <v>95</v>
      </c>
      <c r="L567" s="20" t="n">
        <f aca="false">INDEX('Read me'!$B$10:$B$15,3)</f>
        <v>1.35</v>
      </c>
      <c r="M567" s="14" t="n">
        <f aca="false">IF(F567*(1+'Read me'!$B$5)&lt;='Read me'!$B$7,CEILING(F567*(1+'Read me'!$B$5)+0.5,1)-0.5,CEILING(F567*(1+'Read me'!$B$5),5))</f>
        <v>100</v>
      </c>
      <c r="N567" s="14" t="n">
        <f aca="false">IF(MAX(M567*L567,M567+'Read me'!$B$6)&lt;='Read me'!$B$7,CEILING(MAX(M567*L567,M567+'Read me'!$B$6)+0.5,1)-0.5,CEILING(MAX(M567*L567,M567+'Read me'!$B$6),5))</f>
        <v>135</v>
      </c>
      <c r="O567" s="21" t="n">
        <f aca="false">IF(ISNUMBER(J567),M567-J567,"new")</f>
        <v>55</v>
      </c>
    </row>
    <row r="568" customFormat="false" ht="15" hidden="false" customHeight="false" outlineLevel="0" collapsed="false">
      <c r="A568" s="2" t="s">
        <v>699</v>
      </c>
      <c r="B568" s="2" t="s">
        <v>165</v>
      </c>
      <c r="C568" s="2" t="s">
        <v>240</v>
      </c>
      <c r="D568" s="2" t="s">
        <v>13</v>
      </c>
      <c r="E568" s="2" t="s">
        <v>50</v>
      </c>
      <c r="F568" s="14" t="n">
        <v>128.62</v>
      </c>
      <c r="G568" s="2" t="n">
        <v>0</v>
      </c>
      <c r="H568" s="2" t="n">
        <v>10</v>
      </c>
      <c r="I568" s="20" t="n">
        <v>1.03</v>
      </c>
      <c r="J568" s="14" t="n">
        <v>99</v>
      </c>
      <c r="K568" s="14" t="n">
        <v>150</v>
      </c>
      <c r="L568" s="20" t="n">
        <f aca="false">INDEX('Read me'!$B$10:$B$15,3)</f>
        <v>1.35</v>
      </c>
      <c r="M568" s="14" t="n">
        <f aca="false">IF(F568*(1+'Read me'!$B$5)&lt;='Read me'!$B$7,CEILING(F568*(1+'Read me'!$B$5)+0.5,1)-0.5,CEILING(F568*(1+'Read me'!$B$5),5))</f>
        <v>130</v>
      </c>
      <c r="N568" s="14" t="n">
        <f aca="false">IF(MAX(M568*L568,M568+'Read me'!$B$6)&lt;='Read me'!$B$7,CEILING(MAX(M568*L568,M568+'Read me'!$B$6)+0.5,1)-0.5,CEILING(MAX(M568*L568,M568+'Read me'!$B$6),5))</f>
        <v>180</v>
      </c>
      <c r="O568" s="21" t="n">
        <f aca="false">IF(ISNUMBER(J568),M568-J568,"new")</f>
        <v>31</v>
      </c>
    </row>
    <row r="569" customFormat="false" ht="15" hidden="false" customHeight="false" outlineLevel="0" collapsed="false">
      <c r="A569" s="2" t="s">
        <v>700</v>
      </c>
      <c r="B569" s="2" t="s">
        <v>165</v>
      </c>
      <c r="C569" s="2" t="s">
        <v>240</v>
      </c>
      <c r="D569" s="2" t="s">
        <v>14</v>
      </c>
      <c r="E569" s="2" t="s">
        <v>48</v>
      </c>
      <c r="F569" s="14" t="n">
        <v>147.22</v>
      </c>
      <c r="G569" s="2" t="n">
        <v>0</v>
      </c>
      <c r="H569" s="2" t="n">
        <v>10</v>
      </c>
      <c r="I569" s="20" t="n">
        <v>1.03</v>
      </c>
      <c r="J569" s="14" t="n">
        <v>99</v>
      </c>
      <c r="K569" s="14" t="n">
        <v>150</v>
      </c>
      <c r="L569" s="20" t="n">
        <f aca="false">INDEX('Read me'!$B$10:$B$15,4)</f>
        <v>1.2</v>
      </c>
      <c r="M569" s="14" t="n">
        <f aca="false">IF(F569*(1+'Read me'!$B$5)&lt;='Read me'!$B$7,CEILING(F569*(1+'Read me'!$B$5)+0.5,1)-0.5,CEILING(F569*(1+'Read me'!$B$5),5))</f>
        <v>150</v>
      </c>
      <c r="N569" s="14" t="n">
        <f aca="false">IF(MAX(M569*L569,M569+'Read me'!$B$6)&lt;='Read me'!$B$7,CEILING(MAX(M569*L569,M569+'Read me'!$B$6)+0.5,1)-0.5,CEILING(MAX(M569*L569,M569+'Read me'!$B$6),5))</f>
        <v>180</v>
      </c>
      <c r="O569" s="21" t="n">
        <f aca="false">IF(ISNUMBER(J569),M569-J569,"new")</f>
        <v>51</v>
      </c>
    </row>
    <row r="570" customFormat="false" ht="15" hidden="false" customHeight="false" outlineLevel="0" collapsed="false">
      <c r="A570" s="2" t="s">
        <v>701</v>
      </c>
      <c r="B570" s="2" t="s">
        <v>165</v>
      </c>
      <c r="C570" s="2" t="s">
        <v>240</v>
      </c>
      <c r="D570" s="2" t="s">
        <v>14</v>
      </c>
      <c r="E570" s="2" t="s">
        <v>49</v>
      </c>
      <c r="F570" s="14" t="n">
        <v>176.76</v>
      </c>
      <c r="G570" s="2" t="n">
        <v>0</v>
      </c>
      <c r="H570" s="2" t="n">
        <v>10</v>
      </c>
      <c r="I570" s="20" t="n">
        <v>1.03</v>
      </c>
      <c r="J570" s="14" t="n">
        <v>150</v>
      </c>
      <c r="K570" s="14" t="n">
        <v>150</v>
      </c>
      <c r="L570" s="20" t="n">
        <f aca="false">INDEX('Read me'!$B$10:$B$15,4)</f>
        <v>1.2</v>
      </c>
      <c r="M570" s="14" t="n">
        <f aca="false">IF(F570*(1+'Read me'!$B$5)&lt;='Read me'!$B$7,CEILING(F570*(1+'Read me'!$B$5)+0.5,1)-0.5,CEILING(F570*(1+'Read me'!$B$5),5))</f>
        <v>180</v>
      </c>
      <c r="N570" s="14" t="n">
        <f aca="false">IF(MAX(M570*L570,M570+'Read me'!$B$6)&lt;='Read me'!$B$7,CEILING(MAX(M570*L570,M570+'Read me'!$B$6)+0.5,1)-0.5,CEILING(MAX(M570*L570,M570+'Read me'!$B$6),5))</f>
        <v>220</v>
      </c>
      <c r="O570" s="21" t="n">
        <f aca="false">IF(ISNUMBER(J570),M570-J570,"new")</f>
        <v>30</v>
      </c>
    </row>
    <row r="571" customFormat="false" ht="15" hidden="false" customHeight="false" outlineLevel="0" collapsed="false">
      <c r="A571" s="2" t="s">
        <v>702</v>
      </c>
      <c r="B571" s="2" t="s">
        <v>165</v>
      </c>
      <c r="C571" s="2" t="s">
        <v>240</v>
      </c>
      <c r="D571" s="2" t="s">
        <v>14</v>
      </c>
      <c r="E571" s="2" t="s">
        <v>50</v>
      </c>
      <c r="F571" s="14" t="n">
        <v>213.02</v>
      </c>
      <c r="G571" s="2" t="n">
        <v>0</v>
      </c>
      <c r="H571" s="2" t="n">
        <v>10</v>
      </c>
      <c r="I571" s="20" t="n">
        <v>1.03</v>
      </c>
      <c r="J571" s="14" t="n">
        <v>250</v>
      </c>
      <c r="K571" s="14" t="n">
        <v>195</v>
      </c>
      <c r="L571" s="20" t="n">
        <f aca="false">INDEX('Read me'!$B$10:$B$15,4)</f>
        <v>1.2</v>
      </c>
      <c r="M571" s="14" t="n">
        <f aca="false">IF(F571*(1+'Read me'!$B$5)&lt;='Read me'!$B$7,CEILING(F571*(1+'Read me'!$B$5)+0.5,1)-0.5,CEILING(F571*(1+'Read me'!$B$5),5))</f>
        <v>215</v>
      </c>
      <c r="N571" s="14" t="n">
        <f aca="false">IF(MAX(M571*L571,M571+'Read me'!$B$6)&lt;='Read me'!$B$7,CEILING(MAX(M571*L571,M571+'Read me'!$B$6)+0.5,1)-0.5,CEILING(MAX(M571*L571,M571+'Read me'!$B$6),5))</f>
        <v>260</v>
      </c>
      <c r="O571" s="21" t="n">
        <f aca="false">IF(ISNUMBER(J571),M571-J571,"new")</f>
        <v>-35</v>
      </c>
    </row>
    <row r="572" customFormat="false" ht="15" hidden="false" customHeight="false" outlineLevel="0" collapsed="false">
      <c r="A572" s="2" t="s">
        <v>703</v>
      </c>
      <c r="B572" s="2" t="s">
        <v>165</v>
      </c>
      <c r="C572" s="2" t="s">
        <v>240</v>
      </c>
      <c r="D572" s="2" t="s">
        <v>15</v>
      </c>
      <c r="E572" s="2" t="s">
        <v>48</v>
      </c>
      <c r="F572" s="14" t="n">
        <v>186.86</v>
      </c>
      <c r="G572" s="2" t="n">
        <v>0</v>
      </c>
      <c r="H572" s="2" t="n">
        <v>10</v>
      </c>
      <c r="I572" s="20" t="n">
        <v>1.03</v>
      </c>
      <c r="J572" s="14" t="n">
        <v>300</v>
      </c>
      <c r="K572" s="14" t="n">
        <v>300</v>
      </c>
      <c r="L572" s="20" t="n">
        <f aca="false">INDEX('Read me'!$B$10:$B$15,5)</f>
        <v>1.2</v>
      </c>
      <c r="M572" s="14" t="n">
        <f aca="false">IF(F572*(1+'Read me'!$B$5)&lt;='Read me'!$B$7,CEILING(F572*(1+'Read me'!$B$5)+0.5,1)-0.5,CEILING(F572*(1+'Read me'!$B$5),5))</f>
        <v>190</v>
      </c>
      <c r="N572" s="14" t="n">
        <f aca="false">IF(MAX(M572*L572,M572+'Read me'!$B$6)&lt;='Read me'!$B$7,CEILING(MAX(M572*L572,M572+'Read me'!$B$6)+0.5,1)-0.5,CEILING(MAX(M572*L572,M572+'Read me'!$B$6),5))</f>
        <v>230</v>
      </c>
      <c r="O572" s="21" t="n">
        <f aca="false">IF(ISNUMBER(J572),M572-J572,"new")</f>
        <v>-110</v>
      </c>
    </row>
    <row r="573" customFormat="false" ht="15" hidden="false" customHeight="false" outlineLevel="0" collapsed="false">
      <c r="A573" s="2" t="s">
        <v>704</v>
      </c>
      <c r="B573" s="2" t="s">
        <v>165</v>
      </c>
      <c r="C573" s="2" t="s">
        <v>240</v>
      </c>
      <c r="D573" s="2" t="s">
        <v>15</v>
      </c>
      <c r="E573" s="2" t="s">
        <v>49</v>
      </c>
      <c r="F573" s="14" t="n">
        <v>230.53</v>
      </c>
      <c r="G573" s="2" t="n">
        <v>0</v>
      </c>
      <c r="H573" s="2" t="n">
        <v>10</v>
      </c>
      <c r="I573" s="20" t="n">
        <v>1.03</v>
      </c>
      <c r="J573" s="14" t="n">
        <v>300</v>
      </c>
      <c r="K573" s="14" t="n">
        <v>300</v>
      </c>
      <c r="L573" s="20" t="n">
        <f aca="false">INDEX('Read me'!$B$10:$B$15,5)</f>
        <v>1.2</v>
      </c>
      <c r="M573" s="14" t="n">
        <f aca="false">N573</f>
        <v>285</v>
      </c>
      <c r="N573" s="14" t="n">
        <f aca="false">IF(MAX((IF(F573*(1+'Read me'!$B$5)&lt;='Read me'!$B$7,CEILING(F573*(1+'Read me'!$B$5)+0.5,1)-0.5,CEILING(F573*(1+'Read me'!$B$5),5)))*L573,(IF(F573*(1+'Read me'!$B$5)&lt;='Read me'!$B$7,CEILING(F573*(1+'Read me'!$B$5)+0.5,1)-0.5,CEILING(F573*(1+'Read me'!$B$5),5)))+'Read me'!$B$6)&lt;='Read me'!$B$7,CEILING(MAX((IF(F573*(1+'Read me'!$B$5)&lt;='Read me'!$B$7,CEILING(F573*(1+'Read me'!$B$5)+0.5,1)-0.5,CEILING(F573*(1+'Read me'!$B$5),5)))*L573,(IF(F573*(1+'Read me'!$B$5)&lt;='Read me'!$B$7,CEILING(F573*(1+'Read me'!$B$5)+0.5,1)-0.5,CEILING(F573*(1+'Read me'!$B$5),5)))+'Read me'!$B$6)+0.5,1)-0.5,CEILING(MAX((IF(F573*(1+'Read me'!$B$5)&lt;='Read me'!$B$7,CEILING(F573*(1+'Read me'!$B$5)+0.5,1)-0.5,CEILING(F573*(1+'Read me'!$B$5),5)))*L573,(IF(F573*(1+'Read me'!$B$5)&lt;='Read me'!$B$7,CEILING(F573*(1+'Read me'!$B$5)+0.5,1)-0.5,CEILING(F573*(1+'Read me'!$B$5),5)))+'Read me'!$B$6),5))</f>
        <v>285</v>
      </c>
      <c r="O573" s="21" t="n">
        <f aca="false">IF(ISNUMBER(J573),M573-J573,"new")</f>
        <v>-15</v>
      </c>
      <c r="P573" s="5" t="s">
        <v>140</v>
      </c>
    </row>
    <row r="574" customFormat="false" ht="15" hidden="false" customHeight="false" outlineLevel="0" collapsed="false">
      <c r="A574" s="2" t="s">
        <v>705</v>
      </c>
      <c r="B574" s="2" t="s">
        <v>165</v>
      </c>
      <c r="C574" s="2" t="s">
        <v>240</v>
      </c>
      <c r="D574" s="2" t="s">
        <v>15</v>
      </c>
      <c r="E574" s="2" t="s">
        <v>50</v>
      </c>
      <c r="F574" s="14" t="n">
        <v>276.99</v>
      </c>
      <c r="G574" s="2" t="n">
        <v>0</v>
      </c>
      <c r="H574" s="2" t="n">
        <v>10</v>
      </c>
      <c r="I574" s="20" t="n">
        <v>1.03</v>
      </c>
      <c r="J574" s="14" t="n">
        <v>350</v>
      </c>
      <c r="K574" s="14" t="n">
        <v>400</v>
      </c>
      <c r="L574" s="20" t="n">
        <f aca="false">INDEX('Read me'!$B$10:$B$15,5)</f>
        <v>1.2</v>
      </c>
      <c r="M574" s="14" t="n">
        <f aca="false">N574</f>
        <v>340</v>
      </c>
      <c r="N574" s="14" t="n">
        <f aca="false">IF(MAX((IF(F574*(1+'Read me'!$B$5)&lt;='Read me'!$B$7,CEILING(F574*(1+'Read me'!$B$5)+0.5,1)-0.5,CEILING(F574*(1+'Read me'!$B$5),5)))*L574,(IF(F574*(1+'Read me'!$B$5)&lt;='Read me'!$B$7,CEILING(F574*(1+'Read me'!$B$5)+0.5,1)-0.5,CEILING(F574*(1+'Read me'!$B$5),5)))+'Read me'!$B$6)&lt;='Read me'!$B$7,CEILING(MAX((IF(F574*(1+'Read me'!$B$5)&lt;='Read me'!$B$7,CEILING(F574*(1+'Read me'!$B$5)+0.5,1)-0.5,CEILING(F574*(1+'Read me'!$B$5),5)))*L574,(IF(F574*(1+'Read me'!$B$5)&lt;='Read me'!$B$7,CEILING(F574*(1+'Read me'!$B$5)+0.5,1)-0.5,CEILING(F574*(1+'Read me'!$B$5),5)))+'Read me'!$B$6)+0.5,1)-0.5,CEILING(MAX((IF(F574*(1+'Read me'!$B$5)&lt;='Read me'!$B$7,CEILING(F574*(1+'Read me'!$B$5)+0.5,1)-0.5,CEILING(F574*(1+'Read me'!$B$5),5)))*L574,(IF(F574*(1+'Read me'!$B$5)&lt;='Read me'!$B$7,CEILING(F574*(1+'Read me'!$B$5)+0.5,1)-0.5,CEILING(F574*(1+'Read me'!$B$5),5)))+'Read me'!$B$6),5))</f>
        <v>340</v>
      </c>
      <c r="O574" s="21" t="n">
        <f aca="false">IF(ISNUMBER(J574),M574-J574,"new")</f>
        <v>-10</v>
      </c>
      <c r="P574" s="5" t="s">
        <v>140</v>
      </c>
    </row>
    <row r="575" customFormat="false" ht="15" hidden="false" customHeight="false" outlineLevel="0" collapsed="false">
      <c r="A575" s="2" t="s">
        <v>706</v>
      </c>
      <c r="B575" s="2" t="s">
        <v>165</v>
      </c>
      <c r="C575" s="2" t="s">
        <v>240</v>
      </c>
      <c r="D575" s="2" t="s">
        <v>16</v>
      </c>
      <c r="E575" s="2" t="s">
        <v>48</v>
      </c>
      <c r="F575" s="14" t="n">
        <v>259.46</v>
      </c>
      <c r="G575" s="2" t="n">
        <v>0</v>
      </c>
      <c r="H575" s="2" t="n">
        <v>10</v>
      </c>
      <c r="I575" s="20" t="n">
        <v>1.03</v>
      </c>
      <c r="J575" s="14"/>
      <c r="K575" s="14"/>
      <c r="L575" s="20" t="n">
        <f aca="false">INDEX('Read me'!$B$10:$B$15,6)</f>
        <v>1.2</v>
      </c>
      <c r="M575" s="14" t="n">
        <f aca="false">IF(F575*(1+'Read me'!$B$5)&lt;='Read me'!$B$7,CEILING(F575*(1+'Read me'!$B$5)+0.5,1)-0.5,CEILING(F575*(1+'Read me'!$B$5),5))</f>
        <v>260</v>
      </c>
      <c r="N575" s="14" t="n">
        <f aca="false">IF(MAX(M575*L575,M575+'Read me'!$B$6)&lt;='Read me'!$B$7,CEILING(MAX(M575*L575,M575+'Read me'!$B$6)+0.5,1)-0.5,CEILING(MAX(M575*L575,M575+'Read me'!$B$6),5))</f>
        <v>315</v>
      </c>
      <c r="O575" s="21" t="str">
        <f aca="false">IF(ISNUMBER(J575),M575-J575,"new")</f>
        <v>new</v>
      </c>
    </row>
    <row r="576" customFormat="false" ht="15" hidden="false" customHeight="false" outlineLevel="0" collapsed="false">
      <c r="A576" s="2" t="s">
        <v>707</v>
      </c>
      <c r="B576" s="2" t="s">
        <v>165</v>
      </c>
      <c r="C576" s="2" t="s">
        <v>240</v>
      </c>
      <c r="D576" s="2" t="s">
        <v>16</v>
      </c>
      <c r="E576" s="2" t="s">
        <v>49</v>
      </c>
      <c r="F576" s="14" t="n">
        <v>333.4</v>
      </c>
      <c r="G576" s="2" t="n">
        <v>0</v>
      </c>
      <c r="H576" s="2" t="n">
        <v>10</v>
      </c>
      <c r="I576" s="20" t="n">
        <v>1.03</v>
      </c>
      <c r="J576" s="14"/>
      <c r="K576" s="14"/>
      <c r="L576" s="20" t="n">
        <f aca="false">INDEX('Read me'!$B$10:$B$15,6)</f>
        <v>1.2</v>
      </c>
      <c r="M576" s="14" t="n">
        <f aca="false">N576</f>
        <v>405</v>
      </c>
      <c r="N576" s="14" t="n">
        <f aca="false">IF(MAX((IF(F576*(1+'Read me'!$B$5)&lt;='Read me'!$B$7,CEILING(F576*(1+'Read me'!$B$5)+0.5,1)-0.5,CEILING(F576*(1+'Read me'!$B$5),5)))*L576,(IF(F576*(1+'Read me'!$B$5)&lt;='Read me'!$B$7,CEILING(F576*(1+'Read me'!$B$5)+0.5,1)-0.5,CEILING(F576*(1+'Read me'!$B$5),5)))+'Read me'!$B$6)&lt;='Read me'!$B$7,CEILING(MAX((IF(F576*(1+'Read me'!$B$5)&lt;='Read me'!$B$7,CEILING(F576*(1+'Read me'!$B$5)+0.5,1)-0.5,CEILING(F576*(1+'Read me'!$B$5),5)))*L576,(IF(F576*(1+'Read me'!$B$5)&lt;='Read me'!$B$7,CEILING(F576*(1+'Read me'!$B$5)+0.5,1)-0.5,CEILING(F576*(1+'Read me'!$B$5),5)))+'Read me'!$B$6)+0.5,1)-0.5,CEILING(MAX((IF(F576*(1+'Read me'!$B$5)&lt;='Read me'!$B$7,CEILING(F576*(1+'Read me'!$B$5)+0.5,1)-0.5,CEILING(F576*(1+'Read me'!$B$5),5)))*L576,(IF(F576*(1+'Read me'!$B$5)&lt;='Read me'!$B$7,CEILING(F576*(1+'Read me'!$B$5)+0.5,1)-0.5,CEILING(F576*(1+'Read me'!$B$5),5)))+'Read me'!$B$6),5))</f>
        <v>405</v>
      </c>
      <c r="O576" s="21" t="str">
        <f aca="false">IF(ISNUMBER(J576),M576-J576,"new")</f>
        <v>new</v>
      </c>
      <c r="P576" s="5" t="s">
        <v>140</v>
      </c>
    </row>
    <row r="577" customFormat="false" ht="15" hidden="false" customHeight="false" outlineLevel="0" collapsed="false">
      <c r="A577" s="2" t="s">
        <v>708</v>
      </c>
      <c r="B577" s="2" t="s">
        <v>165</v>
      </c>
      <c r="C577" s="2" t="s">
        <v>240</v>
      </c>
      <c r="D577" s="2" t="s">
        <v>16</v>
      </c>
      <c r="E577" s="2" t="s">
        <v>50</v>
      </c>
      <c r="F577" s="14" t="n">
        <v>391.86</v>
      </c>
      <c r="G577" s="2" t="n">
        <v>0</v>
      </c>
      <c r="H577" s="2" t="n">
        <v>10</v>
      </c>
      <c r="I577" s="20" t="n">
        <v>1.03</v>
      </c>
      <c r="J577" s="14"/>
      <c r="K577" s="14"/>
      <c r="L577" s="20" t="n">
        <f aca="false">INDEX('Read me'!$B$10:$B$15,6)</f>
        <v>1.2</v>
      </c>
      <c r="M577" s="14" t="n">
        <f aca="false">N577</f>
        <v>475</v>
      </c>
      <c r="N577" s="14" t="n">
        <f aca="false">IF(MAX((IF(F577*(1+'Read me'!$B$5)&lt;='Read me'!$B$7,CEILING(F577*(1+'Read me'!$B$5)+0.5,1)-0.5,CEILING(F577*(1+'Read me'!$B$5),5)))*L577,(IF(F577*(1+'Read me'!$B$5)&lt;='Read me'!$B$7,CEILING(F577*(1+'Read me'!$B$5)+0.5,1)-0.5,CEILING(F577*(1+'Read me'!$B$5),5)))+'Read me'!$B$6)&lt;='Read me'!$B$7,CEILING(MAX((IF(F577*(1+'Read me'!$B$5)&lt;='Read me'!$B$7,CEILING(F577*(1+'Read me'!$B$5)+0.5,1)-0.5,CEILING(F577*(1+'Read me'!$B$5),5)))*L577,(IF(F577*(1+'Read me'!$B$5)&lt;='Read me'!$B$7,CEILING(F577*(1+'Read me'!$B$5)+0.5,1)-0.5,CEILING(F577*(1+'Read me'!$B$5),5)))+'Read me'!$B$6)+0.5,1)-0.5,CEILING(MAX((IF(F577*(1+'Read me'!$B$5)&lt;='Read me'!$B$7,CEILING(F577*(1+'Read me'!$B$5)+0.5,1)-0.5,CEILING(F577*(1+'Read me'!$B$5),5)))*L577,(IF(F577*(1+'Read me'!$B$5)&lt;='Read me'!$B$7,CEILING(F577*(1+'Read me'!$B$5)+0.5,1)-0.5,CEILING(F577*(1+'Read me'!$B$5),5)))+'Read me'!$B$6),5))</f>
        <v>475</v>
      </c>
      <c r="O577" s="21" t="str">
        <f aca="false">IF(ISNUMBER(J577),M577-J577,"new")</f>
        <v>new</v>
      </c>
      <c r="P577" s="5" t="s">
        <v>140</v>
      </c>
    </row>
    <row r="578" customFormat="false" ht="15" hidden="false" customHeight="false" outlineLevel="0" collapsed="false">
      <c r="A578" s="2" t="s">
        <v>709</v>
      </c>
      <c r="B578" s="2" t="s">
        <v>165</v>
      </c>
      <c r="C578" s="2" t="s">
        <v>184</v>
      </c>
      <c r="D578" s="2" t="s">
        <v>10</v>
      </c>
      <c r="E578" s="2" t="s">
        <v>48</v>
      </c>
      <c r="F578" s="14" t="n">
        <v>10.32</v>
      </c>
      <c r="G578" s="2" t="n">
        <v>3</v>
      </c>
      <c r="H578" s="2" t="n">
        <v>16</v>
      </c>
      <c r="I578" s="20" t="n">
        <v>0.9</v>
      </c>
      <c r="J578" s="14" t="n">
        <v>14.5</v>
      </c>
      <c r="K578" s="14" t="n">
        <v>19.5</v>
      </c>
      <c r="L578" s="20" t="n">
        <f aca="false">INDEX('Read me'!$B$10:$B$15,1)</f>
        <v>1.34</v>
      </c>
      <c r="M578" s="14" t="n">
        <f aca="false">IF(F578*(1+'Read me'!$B$5)&lt;='Read me'!$B$7,CEILING(F578*(1+'Read me'!$B$5)+0.5,1)-0.5,CEILING(F578*(1+'Read me'!$B$5),5))</f>
        <v>10.5</v>
      </c>
      <c r="N578" s="14" t="n">
        <f aca="false">IF(MAX(M578*L578,M578+'Read me'!$B$6)&lt;='Read me'!$B$7,CEILING(MAX(M578*L578,M578+'Read me'!$B$6)+0.5,1)-0.5,CEILING(MAX(M578*L578,M578+'Read me'!$B$6),5))</f>
        <v>15.5</v>
      </c>
      <c r="O578" s="21" t="n">
        <f aca="false">IF(ISNUMBER(J578),M578-J578,"new")</f>
        <v>-4</v>
      </c>
    </row>
    <row r="579" customFormat="false" ht="15" hidden="false" customHeight="false" outlineLevel="0" collapsed="false">
      <c r="A579" s="2" t="s">
        <v>710</v>
      </c>
      <c r="B579" s="2" t="s">
        <v>165</v>
      </c>
      <c r="C579" s="2" t="s">
        <v>184</v>
      </c>
      <c r="D579" s="2" t="s">
        <v>10</v>
      </c>
      <c r="E579" s="2" t="s">
        <v>49</v>
      </c>
      <c r="F579" s="14" t="n">
        <v>13.72</v>
      </c>
      <c r="G579" s="2" t="n">
        <v>0</v>
      </c>
      <c r="H579" s="2" t="n">
        <v>16</v>
      </c>
      <c r="I579" s="20" t="n">
        <v>0.9</v>
      </c>
      <c r="J579" s="14" t="n">
        <v>14.5</v>
      </c>
      <c r="K579" s="14" t="n">
        <v>19.5</v>
      </c>
      <c r="L579" s="20" t="n">
        <f aca="false">INDEX('Read me'!$B$10:$B$15,1)</f>
        <v>1.34</v>
      </c>
      <c r="M579" s="14" t="n">
        <f aca="false">IF(F579*(1+'Read me'!$B$5)&lt;='Read me'!$B$7,CEILING(F579*(1+'Read me'!$B$5)+0.5,1)-0.5,CEILING(F579*(1+'Read me'!$B$5),5))</f>
        <v>14.5</v>
      </c>
      <c r="N579" s="14" t="n">
        <f aca="false">IF(MAX(M579*L579,M579+'Read me'!$B$6)&lt;='Read me'!$B$7,CEILING(MAX(M579*L579,M579+'Read me'!$B$6)+0.5,1)-0.5,CEILING(MAX(M579*L579,M579+'Read me'!$B$6),5))</f>
        <v>19.5</v>
      </c>
      <c r="O579" s="21" t="n">
        <f aca="false">IF(ISNUMBER(J579),M579-J579,"new")</f>
        <v>0</v>
      </c>
    </row>
    <row r="580" customFormat="false" ht="15" hidden="false" customHeight="false" outlineLevel="0" collapsed="false">
      <c r="A580" s="2" t="s">
        <v>711</v>
      </c>
      <c r="B580" s="2" t="s">
        <v>165</v>
      </c>
      <c r="C580" s="2" t="s">
        <v>184</v>
      </c>
      <c r="D580" s="2" t="s">
        <v>10</v>
      </c>
      <c r="E580" s="2" t="s">
        <v>50</v>
      </c>
      <c r="F580" s="14" t="n">
        <v>18.44</v>
      </c>
      <c r="G580" s="2" t="n">
        <v>3</v>
      </c>
      <c r="H580" s="2" t="n">
        <v>16</v>
      </c>
      <c r="I580" s="20" t="n">
        <v>0.9</v>
      </c>
      <c r="J580" s="14" t="n">
        <v>17.5</v>
      </c>
      <c r="K580" s="14" t="n">
        <v>29.5</v>
      </c>
      <c r="L580" s="20" t="n">
        <f aca="false">INDEX('Read me'!$B$10:$B$15,1)</f>
        <v>1.34</v>
      </c>
      <c r="M580" s="14" t="n">
        <f aca="false">IF(F580*(1+'Read me'!$B$5)&lt;='Read me'!$B$7,CEILING(F580*(1+'Read me'!$B$5)+0.5,1)-0.5,CEILING(F580*(1+'Read me'!$B$5),5))</f>
        <v>18.5</v>
      </c>
      <c r="N580" s="14" t="n">
        <f aca="false">IF(MAX(M580*L580,M580+'Read me'!$B$6)&lt;='Read me'!$B$7,CEILING(MAX(M580*L580,M580+'Read me'!$B$6)+0.5,1)-0.5,CEILING(MAX(M580*L580,M580+'Read me'!$B$6),5))</f>
        <v>25.5</v>
      </c>
      <c r="O580" s="21" t="n">
        <f aca="false">IF(ISNUMBER(J580),M580-J580,"new")</f>
        <v>1</v>
      </c>
    </row>
    <row r="581" customFormat="false" ht="15" hidden="false" customHeight="false" outlineLevel="0" collapsed="false">
      <c r="A581" s="2" t="s">
        <v>712</v>
      </c>
      <c r="B581" s="2" t="s">
        <v>165</v>
      </c>
      <c r="C581" s="2" t="s">
        <v>184</v>
      </c>
      <c r="D581" s="2" t="s">
        <v>12</v>
      </c>
      <c r="E581" s="2" t="s">
        <v>48</v>
      </c>
      <c r="F581" s="14" t="n">
        <v>43.32</v>
      </c>
      <c r="G581" s="2" t="n">
        <v>4</v>
      </c>
      <c r="H581" s="2" t="n">
        <v>16</v>
      </c>
      <c r="I581" s="20" t="n">
        <v>0.9</v>
      </c>
      <c r="J581" s="14" t="n">
        <v>19.5</v>
      </c>
      <c r="K581" s="14" t="n">
        <v>24.5</v>
      </c>
      <c r="L581" s="20" t="n">
        <f aca="false">INDEX('Read me'!$B$10:$B$15,2)</f>
        <v>1.26</v>
      </c>
      <c r="M581" s="14" t="n">
        <f aca="false">IF(F581*(1+'Read me'!$B$5)&lt;='Read me'!$B$7,CEILING(F581*(1+'Read me'!$B$5)+0.5,1)-0.5,CEILING(F581*(1+'Read me'!$B$5),5))</f>
        <v>45</v>
      </c>
      <c r="N581" s="14" t="n">
        <f aca="false">IF(MAX(M581*L581,M581+'Read me'!$B$6)&lt;='Read me'!$B$7,CEILING(MAX(M581*L581,M581+'Read me'!$B$6)+0.5,1)-0.5,CEILING(MAX(M581*L581,M581+'Read me'!$B$6),5))</f>
        <v>60</v>
      </c>
      <c r="O581" s="21" t="n">
        <f aca="false">IF(ISNUMBER(J581),M581-J581,"new")</f>
        <v>25.5</v>
      </c>
    </row>
    <row r="582" customFormat="false" ht="15" hidden="false" customHeight="false" outlineLevel="0" collapsed="false">
      <c r="A582" s="2" t="s">
        <v>713</v>
      </c>
      <c r="B582" s="2" t="s">
        <v>165</v>
      </c>
      <c r="C582" s="2" t="s">
        <v>184</v>
      </c>
      <c r="D582" s="2" t="s">
        <v>12</v>
      </c>
      <c r="E582" s="2" t="s">
        <v>49</v>
      </c>
      <c r="F582" s="14" t="n">
        <v>47.31</v>
      </c>
      <c r="G582" s="2" t="n">
        <v>0</v>
      </c>
      <c r="H582" s="2" t="n">
        <v>16</v>
      </c>
      <c r="I582" s="20" t="n">
        <v>0.9</v>
      </c>
      <c r="J582" s="14" t="n">
        <v>19.5</v>
      </c>
      <c r="K582" s="14" t="n">
        <v>24.5</v>
      </c>
      <c r="L582" s="20" t="n">
        <f aca="false">INDEX('Read me'!$B$10:$B$15,2)</f>
        <v>1.26</v>
      </c>
      <c r="M582" s="14" t="n">
        <f aca="false">IF(F582*(1+'Read me'!$B$5)&lt;='Read me'!$B$7,CEILING(F582*(1+'Read me'!$B$5)+0.5,1)-0.5,CEILING(F582*(1+'Read me'!$B$5),5))</f>
        <v>50</v>
      </c>
      <c r="N582" s="14" t="n">
        <f aca="false">IF(MAX(M582*L582,M582+'Read me'!$B$6)&lt;='Read me'!$B$7,CEILING(MAX(M582*L582,M582+'Read me'!$B$6)+0.5,1)-0.5,CEILING(MAX(M582*L582,M582+'Read me'!$B$6),5))</f>
        <v>65</v>
      </c>
      <c r="O582" s="21" t="n">
        <f aca="false">IF(ISNUMBER(J582),M582-J582,"new")</f>
        <v>30.5</v>
      </c>
    </row>
    <row r="583" customFormat="false" ht="15" hidden="false" customHeight="false" outlineLevel="0" collapsed="false">
      <c r="A583" s="2" t="s">
        <v>714</v>
      </c>
      <c r="B583" s="2" t="s">
        <v>165</v>
      </c>
      <c r="C583" s="2" t="s">
        <v>184</v>
      </c>
      <c r="D583" s="2" t="s">
        <v>12</v>
      </c>
      <c r="E583" s="2" t="s">
        <v>50</v>
      </c>
      <c r="F583" s="14" t="n">
        <v>54.3</v>
      </c>
      <c r="G583" s="2" t="n">
        <v>4</v>
      </c>
      <c r="H583" s="2" t="n">
        <v>16</v>
      </c>
      <c r="I583" s="20" t="n">
        <v>0.9</v>
      </c>
      <c r="J583" s="14" t="n">
        <v>19.5</v>
      </c>
      <c r="K583" s="14" t="n">
        <v>34.5</v>
      </c>
      <c r="L583" s="20" t="n">
        <f aca="false">INDEX('Read me'!$B$10:$B$15,2)</f>
        <v>1.26</v>
      </c>
      <c r="M583" s="14" t="n">
        <f aca="false">IF(F583*(1+'Read me'!$B$5)&lt;='Read me'!$B$7,CEILING(F583*(1+'Read me'!$B$5)+0.5,1)-0.5,CEILING(F583*(1+'Read me'!$B$5),5))</f>
        <v>55</v>
      </c>
      <c r="N583" s="14" t="n">
        <f aca="false">IF(MAX(M583*L583,M583+'Read me'!$B$6)&lt;='Read me'!$B$7,CEILING(MAX(M583*L583,M583+'Read me'!$B$6)+0.5,1)-0.5,CEILING(MAX(M583*L583,M583+'Read me'!$B$6),5))</f>
        <v>70</v>
      </c>
      <c r="O583" s="21" t="n">
        <f aca="false">IF(ISNUMBER(J583),M583-J583,"new")</f>
        <v>35.5</v>
      </c>
    </row>
    <row r="584" customFormat="false" ht="15" hidden="false" customHeight="false" outlineLevel="0" collapsed="false">
      <c r="A584" s="2" t="s">
        <v>715</v>
      </c>
      <c r="B584" s="2" t="s">
        <v>165</v>
      </c>
      <c r="C584" s="2" t="s">
        <v>184</v>
      </c>
      <c r="D584" s="2" t="s">
        <v>13</v>
      </c>
      <c r="E584" s="2" t="s">
        <v>48</v>
      </c>
      <c r="F584" s="14" t="n">
        <v>74.55</v>
      </c>
      <c r="G584" s="2" t="n">
        <v>0</v>
      </c>
      <c r="H584" s="2" t="n">
        <v>16</v>
      </c>
      <c r="I584" s="20" t="n">
        <v>0.9</v>
      </c>
      <c r="J584" s="14" t="n">
        <v>24.5</v>
      </c>
      <c r="K584" s="14" t="n">
        <v>75</v>
      </c>
      <c r="L584" s="20" t="n">
        <f aca="false">INDEX('Read me'!$B$10:$B$15,3)</f>
        <v>1.35</v>
      </c>
      <c r="M584" s="14" t="n">
        <f aca="false">IF(F584*(1+'Read me'!$B$5)&lt;='Read me'!$B$7,CEILING(F584*(1+'Read me'!$B$5)+0.5,1)-0.5,CEILING(F584*(1+'Read me'!$B$5),5))</f>
        <v>75</v>
      </c>
      <c r="N584" s="14" t="n">
        <f aca="false">IF(MAX(M584*L584,M584+'Read me'!$B$6)&lt;='Read me'!$B$7,CEILING(MAX(M584*L584,M584+'Read me'!$B$6)+0.5,1)-0.5,CEILING(MAX(M584*L584,M584+'Read me'!$B$6),5))</f>
        <v>105</v>
      </c>
      <c r="O584" s="21" t="n">
        <f aca="false">IF(ISNUMBER(J584),M584-J584,"new")</f>
        <v>50.5</v>
      </c>
    </row>
    <row r="585" customFormat="false" ht="15" hidden="false" customHeight="false" outlineLevel="0" collapsed="false">
      <c r="A585" s="2" t="s">
        <v>716</v>
      </c>
      <c r="B585" s="2" t="s">
        <v>165</v>
      </c>
      <c r="C585" s="2" t="s">
        <v>184</v>
      </c>
      <c r="D585" s="2" t="s">
        <v>13</v>
      </c>
      <c r="E585" s="2" t="s">
        <v>49</v>
      </c>
      <c r="F585" s="14" t="n">
        <v>83.86</v>
      </c>
      <c r="G585" s="2" t="n">
        <v>0</v>
      </c>
      <c r="H585" s="2" t="n">
        <v>16</v>
      </c>
      <c r="I585" s="20" t="n">
        <v>0.9</v>
      </c>
      <c r="J585" s="14" t="n">
        <v>24.5</v>
      </c>
      <c r="K585" s="14" t="n">
        <v>75</v>
      </c>
      <c r="L585" s="20" t="n">
        <f aca="false">INDEX('Read me'!$B$10:$B$15,3)</f>
        <v>1.35</v>
      </c>
      <c r="M585" s="14" t="n">
        <f aca="false">IF(F585*(1+'Read me'!$B$5)&lt;='Read me'!$B$7,CEILING(F585*(1+'Read me'!$B$5)+0.5,1)-0.5,CEILING(F585*(1+'Read me'!$B$5),5))</f>
        <v>85</v>
      </c>
      <c r="N585" s="14" t="n">
        <f aca="false">IF(MAX(M585*L585,M585+'Read me'!$B$6)&lt;='Read me'!$B$7,CEILING(MAX(M585*L585,M585+'Read me'!$B$6)+0.5,1)-0.5,CEILING(MAX(M585*L585,M585+'Read me'!$B$6),5))</f>
        <v>115</v>
      </c>
      <c r="O585" s="21" t="n">
        <f aca="false">IF(ISNUMBER(J585),M585-J585,"new")</f>
        <v>60.5</v>
      </c>
    </row>
    <row r="586" customFormat="false" ht="15" hidden="false" customHeight="false" outlineLevel="0" collapsed="false">
      <c r="A586" s="2" t="s">
        <v>717</v>
      </c>
      <c r="B586" s="2" t="s">
        <v>165</v>
      </c>
      <c r="C586" s="2" t="s">
        <v>184</v>
      </c>
      <c r="D586" s="2" t="s">
        <v>13</v>
      </c>
      <c r="E586" s="2" t="s">
        <v>50</v>
      </c>
      <c r="F586" s="14" t="n">
        <v>113.35</v>
      </c>
      <c r="G586" s="2" t="n">
        <v>1</v>
      </c>
      <c r="H586" s="2" t="n">
        <v>16</v>
      </c>
      <c r="I586" s="20" t="n">
        <v>0.9</v>
      </c>
      <c r="J586" s="14" t="n">
        <v>85</v>
      </c>
      <c r="K586" s="14" t="n">
        <v>125</v>
      </c>
      <c r="L586" s="20" t="n">
        <f aca="false">INDEX('Read me'!$B$10:$B$15,3)</f>
        <v>1.35</v>
      </c>
      <c r="M586" s="14" t="n">
        <f aca="false">IF(F586*(1+'Read me'!$B$5)&lt;='Read me'!$B$7,CEILING(F586*(1+'Read me'!$B$5)+0.5,1)-0.5,CEILING(F586*(1+'Read me'!$B$5),5))</f>
        <v>115</v>
      </c>
      <c r="N586" s="14" t="n">
        <f aca="false">IF(MAX(M586*L586,M586+'Read me'!$B$6)&lt;='Read me'!$B$7,CEILING(MAX(M586*L586,M586+'Read me'!$B$6)+0.5,1)-0.5,CEILING(MAX(M586*L586,M586+'Read me'!$B$6),5))</f>
        <v>160</v>
      </c>
      <c r="O586" s="21" t="n">
        <f aca="false">IF(ISNUMBER(J586),M586-J586,"new")</f>
        <v>30</v>
      </c>
    </row>
    <row r="587" customFormat="false" ht="15" hidden="false" customHeight="false" outlineLevel="0" collapsed="false">
      <c r="A587" s="2" t="s">
        <v>718</v>
      </c>
      <c r="B587" s="2" t="s">
        <v>165</v>
      </c>
      <c r="C587" s="2" t="s">
        <v>184</v>
      </c>
      <c r="D587" s="2" t="s">
        <v>14</v>
      </c>
      <c r="E587" s="2" t="s">
        <v>48</v>
      </c>
      <c r="F587" s="14" t="n">
        <v>129.09</v>
      </c>
      <c r="G587" s="2" t="n">
        <v>0</v>
      </c>
      <c r="H587" s="2" t="n">
        <v>16</v>
      </c>
      <c r="I587" s="20" t="n">
        <v>0.9</v>
      </c>
      <c r="J587" s="14" t="n">
        <v>85</v>
      </c>
      <c r="K587" s="14" t="n">
        <v>125</v>
      </c>
      <c r="L587" s="20" t="n">
        <f aca="false">INDEX('Read me'!$B$10:$B$15,4)</f>
        <v>1.2</v>
      </c>
      <c r="M587" s="14" t="n">
        <f aca="false">IF(F587*(1+'Read me'!$B$5)&lt;='Read me'!$B$7,CEILING(F587*(1+'Read me'!$B$5)+0.5,1)-0.5,CEILING(F587*(1+'Read me'!$B$5),5))</f>
        <v>130</v>
      </c>
      <c r="N587" s="14" t="n">
        <f aca="false">IF(MAX(M587*L587,M587+'Read me'!$B$6)&lt;='Read me'!$B$7,CEILING(MAX(M587*L587,M587+'Read me'!$B$6)+0.5,1)-0.5,CEILING(MAX(M587*L587,M587+'Read me'!$B$6),5))</f>
        <v>160</v>
      </c>
      <c r="O587" s="21" t="n">
        <f aca="false">IF(ISNUMBER(J587),M587-J587,"new")</f>
        <v>45</v>
      </c>
    </row>
    <row r="588" customFormat="false" ht="15" hidden="false" customHeight="false" outlineLevel="0" collapsed="false">
      <c r="A588" s="2" t="s">
        <v>719</v>
      </c>
      <c r="B588" s="2" t="s">
        <v>165</v>
      </c>
      <c r="C588" s="2" t="s">
        <v>184</v>
      </c>
      <c r="D588" s="2" t="s">
        <v>14</v>
      </c>
      <c r="E588" s="2" t="s">
        <v>49</v>
      </c>
      <c r="F588" s="14" t="n">
        <v>155</v>
      </c>
      <c r="G588" s="2" t="n">
        <v>0</v>
      </c>
      <c r="H588" s="2" t="n">
        <v>16</v>
      </c>
      <c r="I588" s="20" t="n">
        <v>0.9</v>
      </c>
      <c r="J588" s="14" t="n">
        <v>125</v>
      </c>
      <c r="K588" s="14" t="n">
        <v>125</v>
      </c>
      <c r="L588" s="20" t="n">
        <f aca="false">INDEX('Read me'!$B$10:$B$15,4)</f>
        <v>1.2</v>
      </c>
      <c r="M588" s="14" t="n">
        <f aca="false">IF(F588*(1+'Read me'!$B$5)&lt;='Read me'!$B$7,CEILING(F588*(1+'Read me'!$B$5)+0.5,1)-0.5,CEILING(F588*(1+'Read me'!$B$5),5))</f>
        <v>155</v>
      </c>
      <c r="N588" s="14" t="n">
        <f aca="false">IF(MAX(M588*L588,M588+'Read me'!$B$6)&lt;='Read me'!$B$7,CEILING(MAX(M588*L588,M588+'Read me'!$B$6)+0.5,1)-0.5,CEILING(MAX(M588*L588,M588+'Read me'!$B$6),5))</f>
        <v>190</v>
      </c>
      <c r="O588" s="21" t="n">
        <f aca="false">IF(ISNUMBER(J588),M588-J588,"new")</f>
        <v>30</v>
      </c>
    </row>
    <row r="589" customFormat="false" ht="15" hidden="false" customHeight="false" outlineLevel="0" collapsed="false">
      <c r="A589" s="2" t="s">
        <v>720</v>
      </c>
      <c r="B589" s="2" t="s">
        <v>165</v>
      </c>
      <c r="C589" s="2" t="s">
        <v>184</v>
      </c>
      <c r="D589" s="2" t="s">
        <v>14</v>
      </c>
      <c r="E589" s="2" t="s">
        <v>50</v>
      </c>
      <c r="F589" s="14" t="n">
        <v>186.35</v>
      </c>
      <c r="G589" s="2" t="n">
        <v>1</v>
      </c>
      <c r="H589" s="2" t="n">
        <v>16</v>
      </c>
      <c r="I589" s="20" t="n">
        <v>0.9</v>
      </c>
      <c r="J589" s="14" t="n">
        <v>199</v>
      </c>
      <c r="K589" s="14" t="n">
        <v>175</v>
      </c>
      <c r="L589" s="20" t="n">
        <f aca="false">INDEX('Read me'!$B$10:$B$15,4)</f>
        <v>1.2</v>
      </c>
      <c r="M589" s="14" t="n">
        <f aca="false">IF(F589*(1+'Read me'!$B$5)&lt;='Read me'!$B$7,CEILING(F589*(1+'Read me'!$B$5)+0.5,1)-0.5,CEILING(F589*(1+'Read me'!$B$5),5))</f>
        <v>190</v>
      </c>
      <c r="N589" s="14" t="n">
        <f aca="false">IF(MAX(M589*L589,M589+'Read me'!$B$6)&lt;='Read me'!$B$7,CEILING(MAX(M589*L589,M589+'Read me'!$B$6)+0.5,1)-0.5,CEILING(MAX(M589*L589,M589+'Read me'!$B$6),5))</f>
        <v>230</v>
      </c>
      <c r="O589" s="21" t="n">
        <f aca="false">IF(ISNUMBER(J589),M589-J589,"new")</f>
        <v>-9</v>
      </c>
    </row>
    <row r="590" customFormat="false" ht="15" hidden="false" customHeight="false" outlineLevel="0" collapsed="false">
      <c r="A590" s="2" t="s">
        <v>721</v>
      </c>
      <c r="B590" s="2" t="s">
        <v>165</v>
      </c>
      <c r="C590" s="2" t="s">
        <v>184</v>
      </c>
      <c r="D590" s="2" t="s">
        <v>15</v>
      </c>
      <c r="E590" s="2" t="s">
        <v>48</v>
      </c>
      <c r="F590" s="14" t="n">
        <v>163.85</v>
      </c>
      <c r="G590" s="2" t="n">
        <v>0</v>
      </c>
      <c r="H590" s="2" t="n">
        <v>16</v>
      </c>
      <c r="I590" s="20" t="n">
        <v>0.9</v>
      </c>
      <c r="J590" s="14" t="n">
        <v>250</v>
      </c>
      <c r="K590" s="14" t="n">
        <v>300</v>
      </c>
      <c r="L590" s="20" t="n">
        <f aca="false">INDEX('Read me'!$B$10:$B$15,5)</f>
        <v>1.2</v>
      </c>
      <c r="M590" s="14" t="n">
        <f aca="false">IF(F590*(1+'Read me'!$B$5)&lt;='Read me'!$B$7,CEILING(F590*(1+'Read me'!$B$5)+0.5,1)-0.5,CEILING(F590*(1+'Read me'!$B$5),5))</f>
        <v>165</v>
      </c>
      <c r="N590" s="14" t="n">
        <f aca="false">IF(MAX(M590*L590,M590+'Read me'!$B$6)&lt;='Read me'!$B$7,CEILING(MAX(M590*L590,M590+'Read me'!$B$6)+0.5,1)-0.5,CEILING(MAX(M590*L590,M590+'Read me'!$B$6),5))</f>
        <v>200</v>
      </c>
      <c r="O590" s="21" t="n">
        <f aca="false">IF(ISNUMBER(J590),M590-J590,"new")</f>
        <v>-85</v>
      </c>
    </row>
    <row r="591" customFormat="false" ht="15" hidden="false" customHeight="false" outlineLevel="0" collapsed="false">
      <c r="A591" s="2" t="s">
        <v>722</v>
      </c>
      <c r="B591" s="2" t="s">
        <v>165</v>
      </c>
      <c r="C591" s="2" t="s">
        <v>184</v>
      </c>
      <c r="D591" s="2" t="s">
        <v>15</v>
      </c>
      <c r="E591" s="2" t="s">
        <v>49</v>
      </c>
      <c r="F591" s="14" t="n">
        <v>202.14</v>
      </c>
      <c r="G591" s="2" t="n">
        <v>0</v>
      </c>
      <c r="H591" s="2" t="n">
        <v>16</v>
      </c>
      <c r="I591" s="20" t="n">
        <v>0.9</v>
      </c>
      <c r="J591" s="14" t="n">
        <v>250</v>
      </c>
      <c r="K591" s="14" t="n">
        <v>300</v>
      </c>
      <c r="L591" s="20" t="n">
        <f aca="false">INDEX('Read me'!$B$10:$B$15,5)</f>
        <v>1.2</v>
      </c>
      <c r="M591" s="14" t="n">
        <f aca="false">N591</f>
        <v>250</v>
      </c>
      <c r="N591" s="14" t="n">
        <f aca="false">IF(MAX((IF(F591*(1+'Read me'!$B$5)&lt;='Read me'!$B$7,CEILING(F591*(1+'Read me'!$B$5)+0.5,1)-0.5,CEILING(F591*(1+'Read me'!$B$5),5)))*L591,(IF(F591*(1+'Read me'!$B$5)&lt;='Read me'!$B$7,CEILING(F591*(1+'Read me'!$B$5)+0.5,1)-0.5,CEILING(F591*(1+'Read me'!$B$5),5)))+'Read me'!$B$6)&lt;='Read me'!$B$7,CEILING(MAX((IF(F591*(1+'Read me'!$B$5)&lt;='Read me'!$B$7,CEILING(F591*(1+'Read me'!$B$5)+0.5,1)-0.5,CEILING(F591*(1+'Read me'!$B$5),5)))*L591,(IF(F591*(1+'Read me'!$B$5)&lt;='Read me'!$B$7,CEILING(F591*(1+'Read me'!$B$5)+0.5,1)-0.5,CEILING(F591*(1+'Read me'!$B$5),5)))+'Read me'!$B$6)+0.5,1)-0.5,CEILING(MAX((IF(F591*(1+'Read me'!$B$5)&lt;='Read me'!$B$7,CEILING(F591*(1+'Read me'!$B$5)+0.5,1)-0.5,CEILING(F591*(1+'Read me'!$B$5),5)))*L591,(IF(F591*(1+'Read me'!$B$5)&lt;='Read me'!$B$7,CEILING(F591*(1+'Read me'!$B$5)+0.5,1)-0.5,CEILING(F591*(1+'Read me'!$B$5),5)))+'Read me'!$B$6),5))</f>
        <v>250</v>
      </c>
      <c r="O591" s="21" t="n">
        <f aca="false">IF(ISNUMBER(J591),M591-J591,"new")</f>
        <v>0</v>
      </c>
      <c r="P591" s="5" t="s">
        <v>140</v>
      </c>
    </row>
    <row r="592" customFormat="false" ht="15" hidden="false" customHeight="false" outlineLevel="0" collapsed="false">
      <c r="A592" s="2" t="s">
        <v>723</v>
      </c>
      <c r="B592" s="2" t="s">
        <v>165</v>
      </c>
      <c r="C592" s="2" t="s">
        <v>184</v>
      </c>
      <c r="D592" s="2" t="s">
        <v>15</v>
      </c>
      <c r="E592" s="2" t="s">
        <v>50</v>
      </c>
      <c r="F592" s="14" t="n">
        <v>242.89</v>
      </c>
      <c r="G592" s="2" t="n">
        <v>0</v>
      </c>
      <c r="H592" s="2" t="n">
        <v>16</v>
      </c>
      <c r="I592" s="20" t="n">
        <v>0.9</v>
      </c>
      <c r="J592" s="14" t="n">
        <v>300</v>
      </c>
      <c r="K592" s="14" t="n">
        <v>400</v>
      </c>
      <c r="L592" s="20" t="n">
        <f aca="false">INDEX('Read me'!$B$10:$B$15,5)</f>
        <v>1.2</v>
      </c>
      <c r="M592" s="14" t="n">
        <f aca="false">N592</f>
        <v>295</v>
      </c>
      <c r="N592" s="14" t="n">
        <f aca="false">IF(MAX((IF(F592*(1+'Read me'!$B$5)&lt;='Read me'!$B$7,CEILING(F592*(1+'Read me'!$B$5)+0.5,1)-0.5,CEILING(F592*(1+'Read me'!$B$5),5)))*L592,(IF(F592*(1+'Read me'!$B$5)&lt;='Read me'!$B$7,CEILING(F592*(1+'Read me'!$B$5)+0.5,1)-0.5,CEILING(F592*(1+'Read me'!$B$5),5)))+'Read me'!$B$6)&lt;='Read me'!$B$7,CEILING(MAX((IF(F592*(1+'Read me'!$B$5)&lt;='Read me'!$B$7,CEILING(F592*(1+'Read me'!$B$5)+0.5,1)-0.5,CEILING(F592*(1+'Read me'!$B$5),5)))*L592,(IF(F592*(1+'Read me'!$B$5)&lt;='Read me'!$B$7,CEILING(F592*(1+'Read me'!$B$5)+0.5,1)-0.5,CEILING(F592*(1+'Read me'!$B$5),5)))+'Read me'!$B$6)+0.5,1)-0.5,CEILING(MAX((IF(F592*(1+'Read me'!$B$5)&lt;='Read me'!$B$7,CEILING(F592*(1+'Read me'!$B$5)+0.5,1)-0.5,CEILING(F592*(1+'Read me'!$B$5),5)))*L592,(IF(F592*(1+'Read me'!$B$5)&lt;='Read me'!$B$7,CEILING(F592*(1+'Read me'!$B$5)+0.5,1)-0.5,CEILING(F592*(1+'Read me'!$B$5),5)))+'Read me'!$B$6),5))</f>
        <v>295</v>
      </c>
      <c r="O592" s="21" t="n">
        <f aca="false">IF(ISNUMBER(J592),M592-J592,"new")</f>
        <v>-5</v>
      </c>
      <c r="P592" s="5" t="s">
        <v>140</v>
      </c>
    </row>
    <row r="593" customFormat="false" ht="15" hidden="false" customHeight="false" outlineLevel="0" collapsed="false">
      <c r="A593" s="2" t="s">
        <v>724</v>
      </c>
      <c r="B593" s="2" t="s">
        <v>165</v>
      </c>
      <c r="C593" s="2" t="s">
        <v>184</v>
      </c>
      <c r="D593" s="2" t="s">
        <v>16</v>
      </c>
      <c r="E593" s="2" t="s">
        <v>48</v>
      </c>
      <c r="F593" s="14" t="n">
        <v>227.51</v>
      </c>
      <c r="G593" s="2" t="n">
        <v>0</v>
      </c>
      <c r="H593" s="2" t="n">
        <v>16</v>
      </c>
      <c r="I593" s="20" t="n">
        <v>0.9</v>
      </c>
      <c r="J593" s="14"/>
      <c r="K593" s="14"/>
      <c r="L593" s="20" t="n">
        <f aca="false">INDEX('Read me'!$B$10:$B$15,6)</f>
        <v>1.2</v>
      </c>
      <c r="M593" s="14" t="n">
        <f aca="false">IF(F593*(1+'Read me'!$B$5)&lt;='Read me'!$B$7,CEILING(F593*(1+'Read me'!$B$5)+0.5,1)-0.5,CEILING(F593*(1+'Read me'!$B$5),5))</f>
        <v>230</v>
      </c>
      <c r="N593" s="14" t="n">
        <f aca="false">IF(MAX(M593*L593,M593+'Read me'!$B$6)&lt;='Read me'!$B$7,CEILING(MAX(M593*L593,M593+'Read me'!$B$6)+0.5,1)-0.5,CEILING(MAX(M593*L593,M593+'Read me'!$B$6),5))</f>
        <v>280</v>
      </c>
      <c r="O593" s="21" t="str">
        <f aca="false">IF(ISNUMBER(J593),M593-J593,"new")</f>
        <v>new</v>
      </c>
    </row>
    <row r="594" customFormat="false" ht="15" hidden="false" customHeight="false" outlineLevel="0" collapsed="false">
      <c r="A594" s="2" t="s">
        <v>725</v>
      </c>
      <c r="B594" s="2" t="s">
        <v>165</v>
      </c>
      <c r="C594" s="2" t="s">
        <v>184</v>
      </c>
      <c r="D594" s="2" t="s">
        <v>16</v>
      </c>
      <c r="E594" s="2" t="s">
        <v>49</v>
      </c>
      <c r="F594" s="14" t="n">
        <v>292.35</v>
      </c>
      <c r="G594" s="2" t="n">
        <v>0</v>
      </c>
      <c r="H594" s="2" t="n">
        <v>16</v>
      </c>
      <c r="I594" s="20" t="n">
        <v>0.9</v>
      </c>
      <c r="J594" s="14"/>
      <c r="K594" s="14"/>
      <c r="L594" s="20" t="n">
        <f aca="false">INDEX('Read me'!$B$10:$B$15,6)</f>
        <v>1.2</v>
      </c>
      <c r="M594" s="14" t="n">
        <f aca="false">N594</f>
        <v>355</v>
      </c>
      <c r="N594" s="14" t="n">
        <f aca="false">IF(MAX((IF(F594*(1+'Read me'!$B$5)&lt;='Read me'!$B$7,CEILING(F594*(1+'Read me'!$B$5)+0.5,1)-0.5,CEILING(F594*(1+'Read me'!$B$5),5)))*L594,(IF(F594*(1+'Read me'!$B$5)&lt;='Read me'!$B$7,CEILING(F594*(1+'Read me'!$B$5)+0.5,1)-0.5,CEILING(F594*(1+'Read me'!$B$5),5)))+'Read me'!$B$6)&lt;='Read me'!$B$7,CEILING(MAX((IF(F594*(1+'Read me'!$B$5)&lt;='Read me'!$B$7,CEILING(F594*(1+'Read me'!$B$5)+0.5,1)-0.5,CEILING(F594*(1+'Read me'!$B$5),5)))*L594,(IF(F594*(1+'Read me'!$B$5)&lt;='Read me'!$B$7,CEILING(F594*(1+'Read me'!$B$5)+0.5,1)-0.5,CEILING(F594*(1+'Read me'!$B$5),5)))+'Read me'!$B$6)+0.5,1)-0.5,CEILING(MAX((IF(F594*(1+'Read me'!$B$5)&lt;='Read me'!$B$7,CEILING(F594*(1+'Read me'!$B$5)+0.5,1)-0.5,CEILING(F594*(1+'Read me'!$B$5),5)))*L594,(IF(F594*(1+'Read me'!$B$5)&lt;='Read me'!$B$7,CEILING(F594*(1+'Read me'!$B$5)+0.5,1)-0.5,CEILING(F594*(1+'Read me'!$B$5),5)))+'Read me'!$B$6),5))</f>
        <v>355</v>
      </c>
      <c r="O594" s="21" t="str">
        <f aca="false">IF(ISNUMBER(J594),M594-J594,"new")</f>
        <v>new</v>
      </c>
      <c r="P594" s="5" t="s">
        <v>140</v>
      </c>
    </row>
    <row r="595" customFormat="false" ht="15" hidden="false" customHeight="false" outlineLevel="0" collapsed="false">
      <c r="A595" s="2" t="s">
        <v>726</v>
      </c>
      <c r="B595" s="2" t="s">
        <v>165</v>
      </c>
      <c r="C595" s="2" t="s">
        <v>184</v>
      </c>
      <c r="D595" s="2" t="s">
        <v>16</v>
      </c>
      <c r="E595" s="2" t="s">
        <v>50</v>
      </c>
      <c r="F595" s="14" t="n">
        <v>343.61</v>
      </c>
      <c r="G595" s="2" t="n">
        <v>0</v>
      </c>
      <c r="H595" s="2" t="n">
        <v>16</v>
      </c>
      <c r="I595" s="20" t="n">
        <v>0.9</v>
      </c>
      <c r="J595" s="14"/>
      <c r="K595" s="14"/>
      <c r="L595" s="20" t="n">
        <f aca="false">INDEX('Read me'!$B$10:$B$15,6)</f>
        <v>1.2</v>
      </c>
      <c r="M595" s="14" t="n">
        <f aca="false">N595</f>
        <v>415</v>
      </c>
      <c r="N595" s="14" t="n">
        <f aca="false">IF(MAX((IF(F595*(1+'Read me'!$B$5)&lt;='Read me'!$B$7,CEILING(F595*(1+'Read me'!$B$5)+0.5,1)-0.5,CEILING(F595*(1+'Read me'!$B$5),5)))*L595,(IF(F595*(1+'Read me'!$B$5)&lt;='Read me'!$B$7,CEILING(F595*(1+'Read me'!$B$5)+0.5,1)-0.5,CEILING(F595*(1+'Read me'!$B$5),5)))+'Read me'!$B$6)&lt;='Read me'!$B$7,CEILING(MAX((IF(F595*(1+'Read me'!$B$5)&lt;='Read me'!$B$7,CEILING(F595*(1+'Read me'!$B$5)+0.5,1)-0.5,CEILING(F595*(1+'Read me'!$B$5),5)))*L595,(IF(F595*(1+'Read me'!$B$5)&lt;='Read me'!$B$7,CEILING(F595*(1+'Read me'!$B$5)+0.5,1)-0.5,CEILING(F595*(1+'Read me'!$B$5),5)))+'Read me'!$B$6)+0.5,1)-0.5,CEILING(MAX((IF(F595*(1+'Read me'!$B$5)&lt;='Read me'!$B$7,CEILING(F595*(1+'Read me'!$B$5)+0.5,1)-0.5,CEILING(F595*(1+'Read me'!$B$5),5)))*L595,(IF(F595*(1+'Read me'!$B$5)&lt;='Read me'!$B$7,CEILING(F595*(1+'Read me'!$B$5)+0.5,1)-0.5,CEILING(F595*(1+'Read me'!$B$5),5)))+'Read me'!$B$6),5))</f>
        <v>415</v>
      </c>
      <c r="O595" s="21" t="str">
        <f aca="false">IF(ISNUMBER(J595),M595-J595,"new")</f>
        <v>new</v>
      </c>
      <c r="P595" s="5" t="s">
        <v>140</v>
      </c>
    </row>
    <row r="596" customFormat="false" ht="15" hidden="false" customHeight="false" outlineLevel="0" collapsed="false">
      <c r="A596" s="2" t="s">
        <v>727</v>
      </c>
      <c r="B596" s="2" t="s">
        <v>165</v>
      </c>
      <c r="C596" s="2" t="s">
        <v>221</v>
      </c>
      <c r="D596" s="2" t="s">
        <v>10</v>
      </c>
      <c r="E596" s="2" t="s">
        <v>48</v>
      </c>
      <c r="F596" s="14" t="n">
        <v>14.8</v>
      </c>
      <c r="G596" s="2" t="n">
        <v>0</v>
      </c>
      <c r="H596" s="2" t="n">
        <v>2</v>
      </c>
      <c r="I596" s="20" t="n">
        <v>1.13</v>
      </c>
      <c r="J596" s="14" t="n">
        <v>19.5</v>
      </c>
      <c r="K596" s="14" t="n">
        <v>24.5</v>
      </c>
      <c r="L596" s="20" t="n">
        <f aca="false">INDEX('Read me'!$B$10:$B$15,1)</f>
        <v>1.34</v>
      </c>
      <c r="M596" s="14" t="n">
        <f aca="false">IF(F596*(1+'Read me'!$B$5)&lt;='Read me'!$B$7,CEILING(F596*(1+'Read me'!$B$5)+0.5,1)-0.5,CEILING(F596*(1+'Read me'!$B$5),5))</f>
        <v>15.5</v>
      </c>
      <c r="N596" s="14" t="n">
        <f aca="false">IF(MAX(M596*L596,M596+'Read me'!$B$6)&lt;='Read me'!$B$7,CEILING(MAX(M596*L596,M596+'Read me'!$B$6)+0.5,1)-0.5,CEILING(MAX(M596*L596,M596+'Read me'!$B$6),5))</f>
        <v>21.5</v>
      </c>
      <c r="O596" s="21" t="n">
        <f aca="false">IF(ISNUMBER(J596),M596-J596,"new")</f>
        <v>-4</v>
      </c>
    </row>
    <row r="597" customFormat="false" ht="15" hidden="false" customHeight="false" outlineLevel="0" collapsed="false">
      <c r="A597" s="2" t="s">
        <v>728</v>
      </c>
      <c r="B597" s="2" t="s">
        <v>165</v>
      </c>
      <c r="C597" s="2" t="s">
        <v>221</v>
      </c>
      <c r="D597" s="2" t="s">
        <v>10</v>
      </c>
      <c r="E597" s="2" t="s">
        <v>49</v>
      </c>
      <c r="F597" s="14" t="n">
        <v>17.25</v>
      </c>
      <c r="G597" s="2" t="n">
        <v>0</v>
      </c>
      <c r="H597" s="2" t="n">
        <v>2</v>
      </c>
      <c r="I597" s="20" t="n">
        <v>1.13</v>
      </c>
      <c r="J597" s="14" t="n">
        <v>19.5</v>
      </c>
      <c r="K597" s="14" t="n">
        <v>24.5</v>
      </c>
      <c r="L597" s="20" t="n">
        <f aca="false">INDEX('Read me'!$B$10:$B$15,1)</f>
        <v>1.34</v>
      </c>
      <c r="M597" s="14" t="n">
        <f aca="false">IF(F597*(1+'Read me'!$B$5)&lt;='Read me'!$B$7,CEILING(F597*(1+'Read me'!$B$5)+0.5,1)-0.5,CEILING(F597*(1+'Read me'!$B$5),5))</f>
        <v>17.5</v>
      </c>
      <c r="N597" s="14" t="n">
        <f aca="false">IF(MAX(M597*L597,M597+'Read me'!$B$6)&lt;='Read me'!$B$7,CEILING(MAX(M597*L597,M597+'Read me'!$B$6)+0.5,1)-0.5,CEILING(MAX(M597*L597,M597+'Read me'!$B$6),5))</f>
        <v>23.5</v>
      </c>
      <c r="O597" s="21" t="n">
        <f aca="false">IF(ISNUMBER(J597),M597-J597,"new")</f>
        <v>-2</v>
      </c>
    </row>
    <row r="598" customFormat="false" ht="15" hidden="false" customHeight="false" outlineLevel="0" collapsed="false">
      <c r="A598" s="2" t="s">
        <v>729</v>
      </c>
      <c r="B598" s="2" t="s">
        <v>165</v>
      </c>
      <c r="C598" s="2" t="s">
        <v>221</v>
      </c>
      <c r="D598" s="2" t="s">
        <v>10</v>
      </c>
      <c r="E598" s="2" t="s">
        <v>50</v>
      </c>
      <c r="F598" s="14" t="n">
        <v>22.76</v>
      </c>
      <c r="G598" s="2" t="n">
        <v>0</v>
      </c>
      <c r="H598" s="2" t="n">
        <v>2</v>
      </c>
      <c r="I598" s="20" t="n">
        <v>1.13</v>
      </c>
      <c r="J598" s="14" t="n">
        <v>19.5</v>
      </c>
      <c r="K598" s="14" t="n">
        <v>34.5</v>
      </c>
      <c r="L598" s="20" t="n">
        <f aca="false">INDEX('Read me'!$B$10:$B$15,1)</f>
        <v>1.34</v>
      </c>
      <c r="M598" s="14" t="n">
        <f aca="false">IF(F598*(1+'Read me'!$B$5)&lt;='Read me'!$B$7,CEILING(F598*(1+'Read me'!$B$5)+0.5,1)-0.5,CEILING(F598*(1+'Read me'!$B$5),5))</f>
        <v>23.5</v>
      </c>
      <c r="N598" s="14" t="n">
        <f aca="false">IF(MAX(M598*L598,M598+'Read me'!$B$6)&lt;='Read me'!$B$7,CEILING(MAX(M598*L598,M598+'Read me'!$B$6)+0.5,1)-0.5,CEILING(MAX(M598*L598,M598+'Read me'!$B$6),5))</f>
        <v>35</v>
      </c>
      <c r="O598" s="21" t="n">
        <f aca="false">IF(ISNUMBER(J598),M598-J598,"new")</f>
        <v>4</v>
      </c>
    </row>
    <row r="599" customFormat="false" ht="15" hidden="false" customHeight="false" outlineLevel="0" collapsed="false">
      <c r="A599" s="2" t="s">
        <v>730</v>
      </c>
      <c r="B599" s="2" t="s">
        <v>165</v>
      </c>
      <c r="C599" s="2" t="s">
        <v>221</v>
      </c>
      <c r="D599" s="2" t="s">
        <v>12</v>
      </c>
      <c r="E599" s="2" t="s">
        <v>48</v>
      </c>
      <c r="F599" s="14" t="n">
        <v>57.1</v>
      </c>
      <c r="G599" s="2" t="n">
        <v>1</v>
      </c>
      <c r="H599" s="2" t="n">
        <v>2</v>
      </c>
      <c r="I599" s="20" t="n">
        <v>1.13</v>
      </c>
      <c r="J599" s="14" t="n">
        <v>24.5</v>
      </c>
      <c r="K599" s="14" t="n">
        <v>29.5</v>
      </c>
      <c r="L599" s="20" t="n">
        <f aca="false">INDEX('Read me'!$B$10:$B$15,2)</f>
        <v>1.26</v>
      </c>
      <c r="M599" s="14" t="n">
        <f aca="false">IF(F599*(1+'Read me'!$B$5)&lt;='Read me'!$B$7,CEILING(F599*(1+'Read me'!$B$5)+0.5,1)-0.5,CEILING(F599*(1+'Read me'!$B$5),5))</f>
        <v>60</v>
      </c>
      <c r="N599" s="14" t="n">
        <f aca="false">IF(MAX(M599*L599,M599+'Read me'!$B$6)&lt;='Read me'!$B$7,CEILING(MAX(M599*L599,M599+'Read me'!$B$6)+0.5,1)-0.5,CEILING(MAX(M599*L599,M599+'Read me'!$B$6),5))</f>
        <v>80</v>
      </c>
      <c r="O599" s="21" t="n">
        <f aca="false">IF(ISNUMBER(J599),M599-J599,"new")</f>
        <v>35.5</v>
      </c>
    </row>
    <row r="600" customFormat="false" ht="15" hidden="false" customHeight="false" outlineLevel="0" collapsed="false">
      <c r="A600" s="2" t="s">
        <v>731</v>
      </c>
      <c r="B600" s="2" t="s">
        <v>165</v>
      </c>
      <c r="C600" s="2" t="s">
        <v>221</v>
      </c>
      <c r="D600" s="2" t="s">
        <v>12</v>
      </c>
      <c r="E600" s="2" t="s">
        <v>49</v>
      </c>
      <c r="F600" s="14" t="n">
        <v>59.51</v>
      </c>
      <c r="G600" s="2" t="n">
        <v>0</v>
      </c>
      <c r="H600" s="2" t="n">
        <v>2</v>
      </c>
      <c r="I600" s="20" t="n">
        <v>1.13</v>
      </c>
      <c r="J600" s="14" t="n">
        <v>24.5</v>
      </c>
      <c r="K600" s="14" t="n">
        <v>29.5</v>
      </c>
      <c r="L600" s="20" t="n">
        <f aca="false">INDEX('Read me'!$B$10:$B$15,2)</f>
        <v>1.26</v>
      </c>
      <c r="M600" s="14" t="n">
        <f aca="false">IF(F600*(1+'Read me'!$B$5)&lt;='Read me'!$B$7,CEILING(F600*(1+'Read me'!$B$5)+0.5,1)-0.5,CEILING(F600*(1+'Read me'!$B$5),5))</f>
        <v>60</v>
      </c>
      <c r="N600" s="14" t="n">
        <f aca="false">IF(MAX(M600*L600,M600+'Read me'!$B$6)&lt;='Read me'!$B$7,CEILING(MAX(M600*L600,M600+'Read me'!$B$6)+0.5,1)-0.5,CEILING(MAX(M600*L600,M600+'Read me'!$B$6),5))</f>
        <v>80</v>
      </c>
      <c r="O600" s="21" t="n">
        <f aca="false">IF(ISNUMBER(J600),M600-J600,"new")</f>
        <v>35.5</v>
      </c>
    </row>
    <row r="601" customFormat="false" ht="15" hidden="false" customHeight="false" outlineLevel="0" collapsed="false">
      <c r="A601" s="2" t="s">
        <v>732</v>
      </c>
      <c r="B601" s="2" t="s">
        <v>165</v>
      </c>
      <c r="C601" s="2" t="s">
        <v>221</v>
      </c>
      <c r="D601" s="2" t="s">
        <v>12</v>
      </c>
      <c r="E601" s="2" t="s">
        <v>50</v>
      </c>
      <c r="F601" s="14" t="n">
        <v>69.48</v>
      </c>
      <c r="G601" s="2" t="n">
        <v>0</v>
      </c>
      <c r="H601" s="2" t="n">
        <v>2</v>
      </c>
      <c r="I601" s="20" t="n">
        <v>1.13</v>
      </c>
      <c r="J601" s="14" t="n">
        <v>24.5</v>
      </c>
      <c r="K601" s="14" t="n">
        <v>45</v>
      </c>
      <c r="L601" s="20" t="n">
        <f aca="false">INDEX('Read me'!$B$10:$B$15,2)</f>
        <v>1.26</v>
      </c>
      <c r="M601" s="14" t="n">
        <f aca="false">IF(F601*(1+'Read me'!$B$5)&lt;='Read me'!$B$7,CEILING(F601*(1+'Read me'!$B$5)+0.5,1)-0.5,CEILING(F601*(1+'Read me'!$B$5),5))</f>
        <v>70</v>
      </c>
      <c r="N601" s="14" t="n">
        <f aca="false">IF(MAX(M601*L601,M601+'Read me'!$B$6)&lt;='Read me'!$B$7,CEILING(MAX(M601*L601,M601+'Read me'!$B$6)+0.5,1)-0.5,CEILING(MAX(M601*L601,M601+'Read me'!$B$6),5))</f>
        <v>90</v>
      </c>
      <c r="O601" s="21" t="n">
        <f aca="false">IF(ISNUMBER(J601),M601-J601,"new")</f>
        <v>45.5</v>
      </c>
    </row>
    <row r="602" customFormat="false" ht="15" hidden="false" customHeight="false" outlineLevel="0" collapsed="false">
      <c r="A602" s="2" t="s">
        <v>733</v>
      </c>
      <c r="B602" s="2" t="s">
        <v>165</v>
      </c>
      <c r="C602" s="2" t="s">
        <v>221</v>
      </c>
      <c r="D602" s="2" t="s">
        <v>13</v>
      </c>
      <c r="E602" s="2" t="s">
        <v>48</v>
      </c>
      <c r="F602" s="14" t="n">
        <v>93.78</v>
      </c>
      <c r="G602" s="2" t="n">
        <v>0</v>
      </c>
      <c r="H602" s="2" t="n">
        <v>2</v>
      </c>
      <c r="I602" s="20" t="n">
        <v>1.13</v>
      </c>
      <c r="J602" s="14" t="n">
        <v>45</v>
      </c>
      <c r="K602" s="14" t="n">
        <v>95</v>
      </c>
      <c r="L602" s="20" t="n">
        <f aca="false">INDEX('Read me'!$B$10:$B$15,3)</f>
        <v>1.35</v>
      </c>
      <c r="M602" s="14" t="n">
        <f aca="false">IF(F602*(1+'Read me'!$B$5)&lt;='Read me'!$B$7,CEILING(F602*(1+'Read me'!$B$5)+0.5,1)-0.5,CEILING(F602*(1+'Read me'!$B$5),5))</f>
        <v>95</v>
      </c>
      <c r="N602" s="14" t="n">
        <f aca="false">IF(MAX(M602*L602,M602+'Read me'!$B$6)&lt;='Read me'!$B$7,CEILING(MAX(M602*L602,M602+'Read me'!$B$6)+0.5,1)-0.5,CEILING(MAX(M602*L602,M602+'Read me'!$B$6),5))</f>
        <v>130</v>
      </c>
      <c r="O602" s="21" t="n">
        <f aca="false">IF(ISNUMBER(J602),M602-J602,"new")</f>
        <v>50</v>
      </c>
    </row>
    <row r="603" customFormat="false" ht="15" hidden="false" customHeight="false" outlineLevel="0" collapsed="false">
      <c r="A603" s="2" t="s">
        <v>734</v>
      </c>
      <c r="B603" s="2" t="s">
        <v>165</v>
      </c>
      <c r="C603" s="2" t="s">
        <v>221</v>
      </c>
      <c r="D603" s="2" t="s">
        <v>13</v>
      </c>
      <c r="E603" s="2" t="s">
        <v>49</v>
      </c>
      <c r="F603" s="14" t="n">
        <v>105.5</v>
      </c>
      <c r="G603" s="2" t="n">
        <v>0</v>
      </c>
      <c r="H603" s="2" t="n">
        <v>2</v>
      </c>
      <c r="I603" s="20" t="n">
        <v>1.13</v>
      </c>
      <c r="J603" s="14" t="n">
        <v>45</v>
      </c>
      <c r="K603" s="14" t="n">
        <v>95</v>
      </c>
      <c r="L603" s="20" t="n">
        <f aca="false">INDEX('Read me'!$B$10:$B$15,3)</f>
        <v>1.35</v>
      </c>
      <c r="M603" s="14" t="n">
        <f aca="false">IF(F603*(1+'Read me'!$B$5)&lt;='Read me'!$B$7,CEILING(F603*(1+'Read me'!$B$5)+0.5,1)-0.5,CEILING(F603*(1+'Read me'!$B$5),5))</f>
        <v>110</v>
      </c>
      <c r="N603" s="14" t="n">
        <f aca="false">IF(MAX(M603*L603,M603+'Read me'!$B$6)&lt;='Read me'!$B$7,CEILING(MAX(M603*L603,M603+'Read me'!$B$6)+0.5,1)-0.5,CEILING(MAX(M603*L603,M603+'Read me'!$B$6),5))</f>
        <v>150</v>
      </c>
      <c r="O603" s="21" t="n">
        <f aca="false">IF(ISNUMBER(J603),M603-J603,"new")</f>
        <v>65</v>
      </c>
    </row>
    <row r="604" customFormat="false" ht="15" hidden="false" customHeight="false" outlineLevel="0" collapsed="false">
      <c r="A604" s="2" t="s">
        <v>735</v>
      </c>
      <c r="B604" s="2" t="s">
        <v>165</v>
      </c>
      <c r="C604" s="2" t="s">
        <v>221</v>
      </c>
      <c r="D604" s="2" t="s">
        <v>13</v>
      </c>
      <c r="E604" s="2" t="s">
        <v>50</v>
      </c>
      <c r="F604" s="14" t="n">
        <v>141.88</v>
      </c>
      <c r="G604" s="2" t="n">
        <v>0</v>
      </c>
      <c r="H604" s="2" t="n">
        <v>2</v>
      </c>
      <c r="I604" s="20" t="n">
        <v>1.13</v>
      </c>
      <c r="J604" s="14" t="n">
        <v>99</v>
      </c>
      <c r="K604" s="14" t="n">
        <v>150</v>
      </c>
      <c r="L604" s="20" t="n">
        <f aca="false">INDEX('Read me'!$B$10:$B$15,3)</f>
        <v>1.35</v>
      </c>
      <c r="M604" s="14" t="n">
        <f aca="false">IF(F604*(1+'Read me'!$B$5)&lt;='Read me'!$B$7,CEILING(F604*(1+'Read me'!$B$5)+0.5,1)-0.5,CEILING(F604*(1+'Read me'!$B$5),5))</f>
        <v>145</v>
      </c>
      <c r="N604" s="14" t="n">
        <f aca="false">IF(MAX(M604*L604,M604+'Read me'!$B$6)&lt;='Read me'!$B$7,CEILING(MAX(M604*L604,M604+'Read me'!$B$6)+0.5,1)-0.5,CEILING(MAX(M604*L604,M604+'Read me'!$B$6),5))</f>
        <v>200</v>
      </c>
      <c r="O604" s="21" t="n">
        <f aca="false">IF(ISNUMBER(J604),M604-J604,"new")</f>
        <v>46</v>
      </c>
    </row>
    <row r="605" customFormat="false" ht="15" hidden="false" customHeight="false" outlineLevel="0" collapsed="false">
      <c r="A605" s="2" t="s">
        <v>736</v>
      </c>
      <c r="B605" s="2" t="s">
        <v>165</v>
      </c>
      <c r="C605" s="2" t="s">
        <v>221</v>
      </c>
      <c r="D605" s="2" t="s">
        <v>14</v>
      </c>
      <c r="E605" s="2" t="s">
        <v>48</v>
      </c>
      <c r="F605" s="14" t="n">
        <v>175.64</v>
      </c>
      <c r="G605" s="2" t="n">
        <v>1</v>
      </c>
      <c r="H605" s="2" t="n">
        <v>2</v>
      </c>
      <c r="I605" s="20" t="n">
        <v>1.13</v>
      </c>
      <c r="J605" s="14" t="n">
        <v>99</v>
      </c>
      <c r="K605" s="14" t="n">
        <v>150</v>
      </c>
      <c r="L605" s="20" t="n">
        <f aca="false">INDEX('Read me'!$B$10:$B$15,4)</f>
        <v>1.2</v>
      </c>
      <c r="M605" s="14" t="n">
        <f aca="false">IF(F605*(1+'Read me'!$B$5)&lt;='Read me'!$B$7,CEILING(F605*(1+'Read me'!$B$5)+0.5,1)-0.5,CEILING(F605*(1+'Read me'!$B$5),5))</f>
        <v>180</v>
      </c>
      <c r="N605" s="14" t="n">
        <f aca="false">IF(MAX(M605*L605,M605+'Read me'!$B$6)&lt;='Read me'!$B$7,CEILING(MAX(M605*L605,M605+'Read me'!$B$6)+0.5,1)-0.5,CEILING(MAX(M605*L605,M605+'Read me'!$B$6),5))</f>
        <v>220</v>
      </c>
      <c r="O605" s="21" t="n">
        <f aca="false">IF(ISNUMBER(J605),M605-J605,"new")</f>
        <v>81</v>
      </c>
    </row>
    <row r="606" customFormat="false" ht="15" hidden="false" customHeight="false" outlineLevel="0" collapsed="false">
      <c r="A606" s="2" t="s">
        <v>737</v>
      </c>
      <c r="B606" s="2" t="s">
        <v>165</v>
      </c>
      <c r="C606" s="2" t="s">
        <v>221</v>
      </c>
      <c r="D606" s="2" t="s">
        <v>14</v>
      </c>
      <c r="E606" s="2" t="s">
        <v>49</v>
      </c>
      <c r="F606" s="14" t="n">
        <v>194.99</v>
      </c>
      <c r="G606" s="2" t="n">
        <v>0</v>
      </c>
      <c r="H606" s="2" t="n">
        <v>2</v>
      </c>
      <c r="I606" s="20" t="n">
        <v>1.13</v>
      </c>
      <c r="J606" s="14" t="n">
        <v>150</v>
      </c>
      <c r="K606" s="14" t="n">
        <v>150</v>
      </c>
      <c r="L606" s="20" t="n">
        <f aca="false">INDEX('Read me'!$B$10:$B$15,4)</f>
        <v>1.2</v>
      </c>
      <c r="M606" s="14" t="n">
        <f aca="false">IF(F606*(1+'Read me'!$B$5)&lt;='Read me'!$B$7,CEILING(F606*(1+'Read me'!$B$5)+0.5,1)-0.5,CEILING(F606*(1+'Read me'!$B$5),5))</f>
        <v>195</v>
      </c>
      <c r="N606" s="14" t="n">
        <f aca="false">IF(MAX(M606*L606,M606+'Read me'!$B$6)&lt;='Read me'!$B$7,CEILING(MAX(M606*L606,M606+'Read me'!$B$6)+0.5,1)-0.5,CEILING(MAX(M606*L606,M606+'Read me'!$B$6),5))</f>
        <v>235</v>
      </c>
      <c r="O606" s="21" t="n">
        <f aca="false">IF(ISNUMBER(J606),M606-J606,"new")</f>
        <v>45</v>
      </c>
    </row>
    <row r="607" customFormat="false" ht="15" hidden="false" customHeight="false" outlineLevel="0" collapsed="false">
      <c r="A607" s="2" t="s">
        <v>738</v>
      </c>
      <c r="B607" s="2" t="s">
        <v>165</v>
      </c>
      <c r="C607" s="2" t="s">
        <v>221</v>
      </c>
      <c r="D607" s="2" t="s">
        <v>14</v>
      </c>
      <c r="E607" s="2" t="s">
        <v>50</v>
      </c>
      <c r="F607" s="14" t="n">
        <v>234.98</v>
      </c>
      <c r="G607" s="2" t="n">
        <v>0</v>
      </c>
      <c r="H607" s="2" t="n">
        <v>2</v>
      </c>
      <c r="I607" s="20" t="n">
        <v>1.13</v>
      </c>
      <c r="J607" s="14" t="n">
        <v>250</v>
      </c>
      <c r="K607" s="14" t="n">
        <v>195</v>
      </c>
      <c r="L607" s="20" t="n">
        <f aca="false">INDEX('Read me'!$B$10:$B$15,4)</f>
        <v>1.2</v>
      </c>
      <c r="M607" s="14" t="n">
        <f aca="false">IF(F607*(1+'Read me'!$B$5)&lt;='Read me'!$B$7,CEILING(F607*(1+'Read me'!$B$5)+0.5,1)-0.5,CEILING(F607*(1+'Read me'!$B$5),5))</f>
        <v>235</v>
      </c>
      <c r="N607" s="14" t="n">
        <f aca="false">IF(MAX(M607*L607,M607+'Read me'!$B$6)&lt;='Read me'!$B$7,CEILING(MAX(M607*L607,M607+'Read me'!$B$6)+0.5,1)-0.5,CEILING(MAX(M607*L607,M607+'Read me'!$B$6),5))</f>
        <v>285</v>
      </c>
      <c r="O607" s="21" t="n">
        <f aca="false">IF(ISNUMBER(J607),M607-J607,"new")</f>
        <v>-15</v>
      </c>
    </row>
    <row r="608" customFormat="false" ht="15" hidden="false" customHeight="false" outlineLevel="0" collapsed="false">
      <c r="A608" s="2" t="s">
        <v>739</v>
      </c>
      <c r="B608" s="2" t="s">
        <v>165</v>
      </c>
      <c r="C608" s="2" t="s">
        <v>221</v>
      </c>
      <c r="D608" s="2" t="s">
        <v>15</v>
      </c>
      <c r="E608" s="2" t="s">
        <v>48</v>
      </c>
      <c r="F608" s="14" t="n">
        <v>206.12</v>
      </c>
      <c r="G608" s="2" t="n">
        <v>0</v>
      </c>
      <c r="H608" s="2" t="n">
        <v>2</v>
      </c>
      <c r="I608" s="20" t="n">
        <v>1.13</v>
      </c>
      <c r="J608" s="14" t="n">
        <v>300</v>
      </c>
      <c r="K608" s="14" t="n">
        <v>300</v>
      </c>
      <c r="L608" s="20" t="n">
        <f aca="false">INDEX('Read me'!$B$10:$B$15,5)</f>
        <v>1.2</v>
      </c>
      <c r="M608" s="14" t="n">
        <f aca="false">IF(F608*(1+'Read me'!$B$5)&lt;='Read me'!$B$7,CEILING(F608*(1+'Read me'!$B$5)+0.5,1)-0.5,CEILING(F608*(1+'Read me'!$B$5),5))</f>
        <v>210</v>
      </c>
      <c r="N608" s="14" t="n">
        <f aca="false">IF(MAX(M608*L608,M608+'Read me'!$B$6)&lt;='Read me'!$B$7,CEILING(MAX(M608*L608,M608+'Read me'!$B$6)+0.5,1)-0.5,CEILING(MAX(M608*L608,M608+'Read me'!$B$6),5))</f>
        <v>255</v>
      </c>
      <c r="O608" s="21" t="n">
        <f aca="false">IF(ISNUMBER(J608),M608-J608,"new")</f>
        <v>-90</v>
      </c>
    </row>
    <row r="609" customFormat="false" ht="15" hidden="false" customHeight="false" outlineLevel="0" collapsed="false">
      <c r="A609" s="2" t="s">
        <v>740</v>
      </c>
      <c r="B609" s="2" t="s">
        <v>165</v>
      </c>
      <c r="C609" s="2" t="s">
        <v>221</v>
      </c>
      <c r="D609" s="2" t="s">
        <v>15</v>
      </c>
      <c r="E609" s="2" t="s">
        <v>49</v>
      </c>
      <c r="F609" s="14" t="n">
        <v>254.3</v>
      </c>
      <c r="G609" s="2" t="n">
        <v>0</v>
      </c>
      <c r="H609" s="2" t="n">
        <v>2</v>
      </c>
      <c r="I609" s="20" t="n">
        <v>1.13</v>
      </c>
      <c r="J609" s="14" t="n">
        <v>300</v>
      </c>
      <c r="K609" s="14" t="n">
        <v>300</v>
      </c>
      <c r="L609" s="20" t="n">
        <f aca="false">INDEX('Read me'!$B$10:$B$15,5)</f>
        <v>1.2</v>
      </c>
      <c r="M609" s="14" t="n">
        <f aca="false">N609</f>
        <v>310</v>
      </c>
      <c r="N609" s="14" t="n">
        <f aca="false">IF(MAX((IF(F609*(1+'Read me'!$B$5)&lt;='Read me'!$B$7,CEILING(F609*(1+'Read me'!$B$5)+0.5,1)-0.5,CEILING(F609*(1+'Read me'!$B$5),5)))*L609,(IF(F609*(1+'Read me'!$B$5)&lt;='Read me'!$B$7,CEILING(F609*(1+'Read me'!$B$5)+0.5,1)-0.5,CEILING(F609*(1+'Read me'!$B$5),5)))+'Read me'!$B$6)&lt;='Read me'!$B$7,CEILING(MAX((IF(F609*(1+'Read me'!$B$5)&lt;='Read me'!$B$7,CEILING(F609*(1+'Read me'!$B$5)+0.5,1)-0.5,CEILING(F609*(1+'Read me'!$B$5),5)))*L609,(IF(F609*(1+'Read me'!$B$5)&lt;='Read me'!$B$7,CEILING(F609*(1+'Read me'!$B$5)+0.5,1)-0.5,CEILING(F609*(1+'Read me'!$B$5),5)))+'Read me'!$B$6)+0.5,1)-0.5,CEILING(MAX((IF(F609*(1+'Read me'!$B$5)&lt;='Read me'!$B$7,CEILING(F609*(1+'Read me'!$B$5)+0.5,1)-0.5,CEILING(F609*(1+'Read me'!$B$5),5)))*L609,(IF(F609*(1+'Read me'!$B$5)&lt;='Read me'!$B$7,CEILING(F609*(1+'Read me'!$B$5)+0.5,1)-0.5,CEILING(F609*(1+'Read me'!$B$5),5)))+'Read me'!$B$6),5))</f>
        <v>310</v>
      </c>
      <c r="O609" s="21" t="n">
        <f aca="false">IF(ISNUMBER(J609),M609-J609,"new")</f>
        <v>10</v>
      </c>
      <c r="P609" s="5" t="s">
        <v>140</v>
      </c>
    </row>
    <row r="610" customFormat="false" ht="15" hidden="false" customHeight="false" outlineLevel="0" collapsed="false">
      <c r="A610" s="2" t="s">
        <v>741</v>
      </c>
      <c r="B610" s="2" t="s">
        <v>165</v>
      </c>
      <c r="C610" s="2" t="s">
        <v>221</v>
      </c>
      <c r="D610" s="2" t="s">
        <v>15</v>
      </c>
      <c r="E610" s="2" t="s">
        <v>50</v>
      </c>
      <c r="F610" s="14" t="n">
        <v>305.55</v>
      </c>
      <c r="G610" s="2" t="n">
        <v>0</v>
      </c>
      <c r="H610" s="2" t="n">
        <v>2</v>
      </c>
      <c r="I610" s="20" t="n">
        <v>1.13</v>
      </c>
      <c r="J610" s="14" t="n">
        <v>350</v>
      </c>
      <c r="K610" s="14" t="n">
        <v>400</v>
      </c>
      <c r="L610" s="20" t="n">
        <f aca="false">INDEX('Read me'!$B$10:$B$15,5)</f>
        <v>1.2</v>
      </c>
      <c r="M610" s="14" t="n">
        <f aca="false">N610</f>
        <v>375</v>
      </c>
      <c r="N610" s="14" t="n">
        <f aca="false">IF(MAX((IF(F610*(1+'Read me'!$B$5)&lt;='Read me'!$B$7,CEILING(F610*(1+'Read me'!$B$5)+0.5,1)-0.5,CEILING(F610*(1+'Read me'!$B$5),5)))*L610,(IF(F610*(1+'Read me'!$B$5)&lt;='Read me'!$B$7,CEILING(F610*(1+'Read me'!$B$5)+0.5,1)-0.5,CEILING(F610*(1+'Read me'!$B$5),5)))+'Read me'!$B$6)&lt;='Read me'!$B$7,CEILING(MAX((IF(F610*(1+'Read me'!$B$5)&lt;='Read me'!$B$7,CEILING(F610*(1+'Read me'!$B$5)+0.5,1)-0.5,CEILING(F610*(1+'Read me'!$B$5),5)))*L610,(IF(F610*(1+'Read me'!$B$5)&lt;='Read me'!$B$7,CEILING(F610*(1+'Read me'!$B$5)+0.5,1)-0.5,CEILING(F610*(1+'Read me'!$B$5),5)))+'Read me'!$B$6)+0.5,1)-0.5,CEILING(MAX((IF(F610*(1+'Read me'!$B$5)&lt;='Read me'!$B$7,CEILING(F610*(1+'Read me'!$B$5)+0.5,1)-0.5,CEILING(F610*(1+'Read me'!$B$5),5)))*L610,(IF(F610*(1+'Read me'!$B$5)&lt;='Read me'!$B$7,CEILING(F610*(1+'Read me'!$B$5)+0.5,1)-0.5,CEILING(F610*(1+'Read me'!$B$5),5)))+'Read me'!$B$6),5))</f>
        <v>375</v>
      </c>
      <c r="O610" s="21" t="n">
        <f aca="false">IF(ISNUMBER(J610),M610-J610,"new")</f>
        <v>25</v>
      </c>
      <c r="P610" s="5" t="s">
        <v>140</v>
      </c>
    </row>
    <row r="611" customFormat="false" ht="15" hidden="false" customHeight="false" outlineLevel="0" collapsed="false">
      <c r="A611" s="2" t="s">
        <v>742</v>
      </c>
      <c r="B611" s="2" t="s">
        <v>165</v>
      </c>
      <c r="C611" s="2" t="s">
        <v>221</v>
      </c>
      <c r="D611" s="2" t="s">
        <v>16</v>
      </c>
      <c r="E611" s="2" t="s">
        <v>48</v>
      </c>
      <c r="F611" s="14" t="n">
        <v>286.21</v>
      </c>
      <c r="G611" s="2" t="n">
        <v>0</v>
      </c>
      <c r="H611" s="2" t="n">
        <v>2</v>
      </c>
      <c r="I611" s="20" t="n">
        <v>1.13</v>
      </c>
      <c r="J611" s="14"/>
      <c r="K611" s="14"/>
      <c r="L611" s="20" t="n">
        <f aca="false">INDEX('Read me'!$B$10:$B$15,6)</f>
        <v>1.2</v>
      </c>
      <c r="M611" s="14" t="n">
        <f aca="false">IF(F611*(1+'Read me'!$B$5)&lt;='Read me'!$B$7,CEILING(F611*(1+'Read me'!$B$5)+0.5,1)-0.5,CEILING(F611*(1+'Read me'!$B$5),5))</f>
        <v>290</v>
      </c>
      <c r="N611" s="14" t="n">
        <f aca="false">IF(MAX(M611*L611,M611+'Read me'!$B$6)&lt;='Read me'!$B$7,CEILING(MAX(M611*L611,M611+'Read me'!$B$6)+0.5,1)-0.5,CEILING(MAX(M611*L611,M611+'Read me'!$B$6),5))</f>
        <v>350</v>
      </c>
      <c r="O611" s="21" t="str">
        <f aca="false">IF(ISNUMBER(J611),M611-J611,"new")</f>
        <v>new</v>
      </c>
    </row>
    <row r="612" customFormat="false" ht="15" hidden="false" customHeight="false" outlineLevel="0" collapsed="false">
      <c r="A612" s="2" t="s">
        <v>743</v>
      </c>
      <c r="B612" s="2" t="s">
        <v>165</v>
      </c>
      <c r="C612" s="2" t="s">
        <v>221</v>
      </c>
      <c r="D612" s="2" t="s">
        <v>16</v>
      </c>
      <c r="E612" s="2" t="s">
        <v>49</v>
      </c>
      <c r="F612" s="14" t="n">
        <v>367.77</v>
      </c>
      <c r="G612" s="2" t="n">
        <v>0</v>
      </c>
      <c r="H612" s="2" t="n">
        <v>2</v>
      </c>
      <c r="I612" s="20" t="n">
        <v>1.13</v>
      </c>
      <c r="J612" s="14"/>
      <c r="K612" s="14"/>
      <c r="L612" s="20" t="n">
        <f aca="false">INDEX('Read me'!$B$10:$B$15,6)</f>
        <v>1.2</v>
      </c>
      <c r="M612" s="14" t="n">
        <f aca="false">N612</f>
        <v>445</v>
      </c>
      <c r="N612" s="14" t="n">
        <f aca="false">IF(MAX((IF(F612*(1+'Read me'!$B$5)&lt;='Read me'!$B$7,CEILING(F612*(1+'Read me'!$B$5)+0.5,1)-0.5,CEILING(F612*(1+'Read me'!$B$5),5)))*L612,(IF(F612*(1+'Read me'!$B$5)&lt;='Read me'!$B$7,CEILING(F612*(1+'Read me'!$B$5)+0.5,1)-0.5,CEILING(F612*(1+'Read me'!$B$5),5)))+'Read me'!$B$6)&lt;='Read me'!$B$7,CEILING(MAX((IF(F612*(1+'Read me'!$B$5)&lt;='Read me'!$B$7,CEILING(F612*(1+'Read me'!$B$5)+0.5,1)-0.5,CEILING(F612*(1+'Read me'!$B$5),5)))*L612,(IF(F612*(1+'Read me'!$B$5)&lt;='Read me'!$B$7,CEILING(F612*(1+'Read me'!$B$5)+0.5,1)-0.5,CEILING(F612*(1+'Read me'!$B$5),5)))+'Read me'!$B$6)+0.5,1)-0.5,CEILING(MAX((IF(F612*(1+'Read me'!$B$5)&lt;='Read me'!$B$7,CEILING(F612*(1+'Read me'!$B$5)+0.5,1)-0.5,CEILING(F612*(1+'Read me'!$B$5),5)))*L612,(IF(F612*(1+'Read me'!$B$5)&lt;='Read me'!$B$7,CEILING(F612*(1+'Read me'!$B$5)+0.5,1)-0.5,CEILING(F612*(1+'Read me'!$B$5),5)))+'Read me'!$B$6),5))</f>
        <v>445</v>
      </c>
      <c r="O612" s="21" t="str">
        <f aca="false">IF(ISNUMBER(J612),M612-J612,"new")</f>
        <v>new</v>
      </c>
      <c r="P612" s="5" t="s">
        <v>140</v>
      </c>
    </row>
    <row r="613" customFormat="false" ht="15" hidden="false" customHeight="false" outlineLevel="0" collapsed="false">
      <c r="A613" s="2" t="s">
        <v>744</v>
      </c>
      <c r="B613" s="2" t="s">
        <v>165</v>
      </c>
      <c r="C613" s="2" t="s">
        <v>221</v>
      </c>
      <c r="D613" s="2" t="s">
        <v>16</v>
      </c>
      <c r="E613" s="2" t="s">
        <v>50</v>
      </c>
      <c r="F613" s="14" t="n">
        <v>432.26</v>
      </c>
      <c r="G613" s="2" t="n">
        <v>0</v>
      </c>
      <c r="H613" s="2" t="n">
        <v>2</v>
      </c>
      <c r="I613" s="20" t="n">
        <v>1.13</v>
      </c>
      <c r="J613" s="14"/>
      <c r="K613" s="14"/>
      <c r="L613" s="20" t="n">
        <f aca="false">INDEX('Read me'!$B$10:$B$15,6)</f>
        <v>1.2</v>
      </c>
      <c r="M613" s="14" t="n">
        <f aca="false">N613</f>
        <v>525</v>
      </c>
      <c r="N613" s="14" t="n">
        <f aca="false">IF(MAX((IF(F613*(1+'Read me'!$B$5)&lt;='Read me'!$B$7,CEILING(F613*(1+'Read me'!$B$5)+0.5,1)-0.5,CEILING(F613*(1+'Read me'!$B$5),5)))*L613,(IF(F613*(1+'Read me'!$B$5)&lt;='Read me'!$B$7,CEILING(F613*(1+'Read me'!$B$5)+0.5,1)-0.5,CEILING(F613*(1+'Read me'!$B$5),5)))+'Read me'!$B$6)&lt;='Read me'!$B$7,CEILING(MAX((IF(F613*(1+'Read me'!$B$5)&lt;='Read me'!$B$7,CEILING(F613*(1+'Read me'!$B$5)+0.5,1)-0.5,CEILING(F613*(1+'Read me'!$B$5),5)))*L613,(IF(F613*(1+'Read me'!$B$5)&lt;='Read me'!$B$7,CEILING(F613*(1+'Read me'!$B$5)+0.5,1)-0.5,CEILING(F613*(1+'Read me'!$B$5),5)))+'Read me'!$B$6)+0.5,1)-0.5,CEILING(MAX((IF(F613*(1+'Read me'!$B$5)&lt;='Read me'!$B$7,CEILING(F613*(1+'Read me'!$B$5)+0.5,1)-0.5,CEILING(F613*(1+'Read me'!$B$5),5)))*L613,(IF(F613*(1+'Read me'!$B$5)&lt;='Read me'!$B$7,CEILING(F613*(1+'Read me'!$B$5)+0.5,1)-0.5,CEILING(F613*(1+'Read me'!$B$5),5)))+'Read me'!$B$6),5))</f>
        <v>525</v>
      </c>
      <c r="O613" s="21" t="str">
        <f aca="false">IF(ISNUMBER(J613),M613-J613,"new")</f>
        <v>new</v>
      </c>
      <c r="P613" s="5" t="s">
        <v>140</v>
      </c>
    </row>
    <row r="614" customFormat="false" ht="15" hidden="false" customHeight="false" outlineLevel="0" collapsed="false">
      <c r="A614" s="2" t="s">
        <v>745</v>
      </c>
      <c r="B614" s="2" t="s">
        <v>165</v>
      </c>
      <c r="C614" s="2" t="s">
        <v>125</v>
      </c>
      <c r="D614" s="2" t="s">
        <v>10</v>
      </c>
      <c r="E614" s="2" t="s">
        <v>48</v>
      </c>
      <c r="F614" s="14" t="n">
        <v>12.15</v>
      </c>
      <c r="G614" s="2" t="n">
        <v>0</v>
      </c>
      <c r="H614" s="2" t="n">
        <v>3</v>
      </c>
      <c r="I614" s="20" t="n">
        <v>0.93</v>
      </c>
      <c r="J614" s="14" t="n">
        <v>19.5</v>
      </c>
      <c r="K614" s="14" t="n">
        <v>24.5</v>
      </c>
      <c r="L614" s="20" t="n">
        <f aca="false">INDEX('Read me'!$B$10:$B$15,1)</f>
        <v>1.34</v>
      </c>
      <c r="M614" s="14" t="n">
        <f aca="false">IF(F614*(1+'Read me'!$B$5)&lt;='Read me'!$B$7,CEILING(F614*(1+'Read me'!$B$5)+0.5,1)-0.5,CEILING(F614*(1+'Read me'!$B$5),5))</f>
        <v>12.5</v>
      </c>
      <c r="N614" s="14" t="n">
        <f aca="false">IF(MAX(M614*L614,M614+'Read me'!$B$6)&lt;='Read me'!$B$7,CEILING(MAX(M614*L614,M614+'Read me'!$B$6)+0.5,1)-0.5,CEILING(MAX(M614*L614,M614+'Read me'!$B$6),5))</f>
        <v>17.5</v>
      </c>
      <c r="O614" s="21" t="n">
        <f aca="false">IF(ISNUMBER(J614),M614-J614,"new")</f>
        <v>-7</v>
      </c>
    </row>
    <row r="615" customFormat="false" ht="15" hidden="false" customHeight="false" outlineLevel="0" collapsed="false">
      <c r="A615" s="2" t="s">
        <v>746</v>
      </c>
      <c r="B615" s="2" t="s">
        <v>165</v>
      </c>
      <c r="C615" s="2" t="s">
        <v>125</v>
      </c>
      <c r="D615" s="2" t="s">
        <v>10</v>
      </c>
      <c r="E615" s="2" t="s">
        <v>49</v>
      </c>
      <c r="F615" s="14" t="n">
        <v>14.17</v>
      </c>
      <c r="G615" s="2" t="n">
        <v>0</v>
      </c>
      <c r="H615" s="2" t="n">
        <v>3</v>
      </c>
      <c r="I615" s="20" t="n">
        <v>0.93</v>
      </c>
      <c r="J615" s="14" t="n">
        <v>19.5</v>
      </c>
      <c r="K615" s="14" t="n">
        <v>24.5</v>
      </c>
      <c r="L615" s="20" t="n">
        <f aca="false">INDEX('Read me'!$B$10:$B$15,1)</f>
        <v>1.34</v>
      </c>
      <c r="M615" s="14" t="n">
        <f aca="false">IF(F615*(1+'Read me'!$B$5)&lt;='Read me'!$B$7,CEILING(F615*(1+'Read me'!$B$5)+0.5,1)-0.5,CEILING(F615*(1+'Read me'!$B$5),5))</f>
        <v>14.5</v>
      </c>
      <c r="N615" s="14" t="n">
        <f aca="false">IF(MAX(M615*L615,M615+'Read me'!$B$6)&lt;='Read me'!$B$7,CEILING(MAX(M615*L615,M615+'Read me'!$B$6)+0.5,1)-0.5,CEILING(MAX(M615*L615,M615+'Read me'!$B$6),5))</f>
        <v>19.5</v>
      </c>
      <c r="O615" s="21" t="n">
        <f aca="false">IF(ISNUMBER(J615),M615-J615,"new")</f>
        <v>-5</v>
      </c>
    </row>
    <row r="616" customFormat="false" ht="15" hidden="false" customHeight="false" outlineLevel="0" collapsed="false">
      <c r="A616" s="2" t="s">
        <v>747</v>
      </c>
      <c r="B616" s="2" t="s">
        <v>165</v>
      </c>
      <c r="C616" s="2" t="s">
        <v>125</v>
      </c>
      <c r="D616" s="2" t="s">
        <v>10</v>
      </c>
      <c r="E616" s="2" t="s">
        <v>50</v>
      </c>
      <c r="F616" s="14" t="n">
        <v>18.7</v>
      </c>
      <c r="G616" s="2" t="n">
        <v>0</v>
      </c>
      <c r="H616" s="2" t="n">
        <v>3</v>
      </c>
      <c r="I616" s="20" t="n">
        <v>0.93</v>
      </c>
      <c r="J616" s="14" t="n">
        <v>19.5</v>
      </c>
      <c r="K616" s="14" t="n">
        <v>34.5</v>
      </c>
      <c r="L616" s="20" t="n">
        <f aca="false">INDEX('Read me'!$B$10:$B$15,1)</f>
        <v>1.34</v>
      </c>
      <c r="M616" s="14" t="n">
        <f aca="false">IF(F616*(1+'Read me'!$B$5)&lt;='Read me'!$B$7,CEILING(F616*(1+'Read me'!$B$5)+0.5,1)-0.5,CEILING(F616*(1+'Read me'!$B$5),5))</f>
        <v>19.5</v>
      </c>
      <c r="N616" s="14" t="n">
        <f aca="false">IF(MAX(M616*L616,M616+'Read me'!$B$6)&lt;='Read me'!$B$7,CEILING(MAX(M616*L616,M616+'Read me'!$B$6)+0.5,1)-0.5,CEILING(MAX(M616*L616,M616+'Read me'!$B$6),5))</f>
        <v>26.5</v>
      </c>
      <c r="O616" s="21" t="n">
        <f aca="false">IF(ISNUMBER(J616),M616-J616,"new")</f>
        <v>0</v>
      </c>
    </row>
    <row r="617" customFormat="false" ht="15" hidden="false" customHeight="false" outlineLevel="0" collapsed="false">
      <c r="A617" s="2" t="s">
        <v>748</v>
      </c>
      <c r="B617" s="2" t="s">
        <v>165</v>
      </c>
      <c r="C617" s="2" t="s">
        <v>125</v>
      </c>
      <c r="D617" s="2" t="s">
        <v>12</v>
      </c>
      <c r="E617" s="2" t="s">
        <v>48</v>
      </c>
      <c r="F617" s="14" t="n">
        <v>44.27</v>
      </c>
      <c r="G617" s="2" t="n">
        <v>2</v>
      </c>
      <c r="H617" s="2" t="n">
        <v>3</v>
      </c>
      <c r="I617" s="20" t="n">
        <v>0.93</v>
      </c>
      <c r="J617" s="14" t="n">
        <v>24.5</v>
      </c>
      <c r="K617" s="14" t="n">
        <v>29.5</v>
      </c>
      <c r="L617" s="20" t="n">
        <f aca="false">INDEX('Read me'!$B$10:$B$15,2)</f>
        <v>1.26</v>
      </c>
      <c r="M617" s="14" t="n">
        <f aca="false">IF(F617*(1+'Read me'!$B$5)&lt;='Read me'!$B$7,CEILING(F617*(1+'Read me'!$B$5)+0.5,1)-0.5,CEILING(F617*(1+'Read me'!$B$5),5))</f>
        <v>45</v>
      </c>
      <c r="N617" s="14" t="n">
        <f aca="false">IF(MAX(M617*L617,M617+'Read me'!$B$6)&lt;='Read me'!$B$7,CEILING(MAX(M617*L617,M617+'Read me'!$B$6)+0.5,1)-0.5,CEILING(MAX(M617*L617,M617+'Read me'!$B$6),5))</f>
        <v>60</v>
      </c>
      <c r="O617" s="21" t="n">
        <f aca="false">IF(ISNUMBER(J617),M617-J617,"new")</f>
        <v>20.5</v>
      </c>
    </row>
    <row r="618" customFormat="false" ht="15" hidden="false" customHeight="false" outlineLevel="0" collapsed="false">
      <c r="A618" s="2" t="s">
        <v>749</v>
      </c>
      <c r="B618" s="2" t="s">
        <v>165</v>
      </c>
      <c r="C618" s="2" t="s">
        <v>125</v>
      </c>
      <c r="D618" s="2" t="s">
        <v>12</v>
      </c>
      <c r="E618" s="2" t="s">
        <v>49</v>
      </c>
      <c r="F618" s="14" t="n">
        <v>48.88</v>
      </c>
      <c r="G618" s="2" t="n">
        <v>0</v>
      </c>
      <c r="H618" s="2" t="n">
        <v>3</v>
      </c>
      <c r="I618" s="20" t="n">
        <v>0.93</v>
      </c>
      <c r="J618" s="14" t="n">
        <v>24.5</v>
      </c>
      <c r="K618" s="14" t="n">
        <v>29.5</v>
      </c>
      <c r="L618" s="20" t="n">
        <f aca="false">INDEX('Read me'!$B$10:$B$15,2)</f>
        <v>1.26</v>
      </c>
      <c r="M618" s="14" t="n">
        <f aca="false">IF(F618*(1+'Read me'!$B$5)&lt;='Read me'!$B$7,CEILING(F618*(1+'Read me'!$B$5)+0.5,1)-0.5,CEILING(F618*(1+'Read me'!$B$5),5))</f>
        <v>50</v>
      </c>
      <c r="N618" s="14" t="n">
        <f aca="false">IF(MAX(M618*L618,M618+'Read me'!$B$6)&lt;='Read me'!$B$7,CEILING(MAX(M618*L618,M618+'Read me'!$B$6)+0.5,1)-0.5,CEILING(MAX(M618*L618,M618+'Read me'!$B$6),5))</f>
        <v>65</v>
      </c>
      <c r="O618" s="21" t="n">
        <f aca="false">IF(ISNUMBER(J618),M618-J618,"new")</f>
        <v>25.5</v>
      </c>
    </row>
    <row r="619" customFormat="false" ht="15" hidden="false" customHeight="false" outlineLevel="0" collapsed="false">
      <c r="A619" s="2" t="s">
        <v>750</v>
      </c>
      <c r="B619" s="2" t="s">
        <v>165</v>
      </c>
      <c r="C619" s="2" t="s">
        <v>125</v>
      </c>
      <c r="D619" s="2" t="s">
        <v>12</v>
      </c>
      <c r="E619" s="2" t="s">
        <v>50</v>
      </c>
      <c r="F619" s="14" t="n">
        <v>55.67</v>
      </c>
      <c r="G619" s="2" t="n">
        <v>1</v>
      </c>
      <c r="H619" s="2" t="n">
        <v>3</v>
      </c>
      <c r="I619" s="20" t="n">
        <v>0.93</v>
      </c>
      <c r="J619" s="14" t="n">
        <v>24.5</v>
      </c>
      <c r="K619" s="14" t="n">
        <v>45</v>
      </c>
      <c r="L619" s="20" t="n">
        <f aca="false">INDEX('Read me'!$B$10:$B$15,2)</f>
        <v>1.26</v>
      </c>
      <c r="M619" s="14" t="n">
        <f aca="false">IF(F619*(1+'Read me'!$B$5)&lt;='Read me'!$B$7,CEILING(F619*(1+'Read me'!$B$5)+0.5,1)-0.5,CEILING(F619*(1+'Read me'!$B$5),5))</f>
        <v>60</v>
      </c>
      <c r="N619" s="14" t="n">
        <f aca="false">IF(MAX(M619*L619,M619+'Read me'!$B$6)&lt;='Read me'!$B$7,CEILING(MAX(M619*L619,M619+'Read me'!$B$6)+0.5,1)-0.5,CEILING(MAX(M619*L619,M619+'Read me'!$B$6),5))</f>
        <v>80</v>
      </c>
      <c r="O619" s="21" t="n">
        <f aca="false">IF(ISNUMBER(J619),M619-J619,"new")</f>
        <v>35.5</v>
      </c>
    </row>
    <row r="620" customFormat="false" ht="15" hidden="false" customHeight="false" outlineLevel="0" collapsed="false">
      <c r="A620" s="2" t="s">
        <v>751</v>
      </c>
      <c r="B620" s="2" t="s">
        <v>165</v>
      </c>
      <c r="C620" s="2" t="s">
        <v>125</v>
      </c>
      <c r="D620" s="2" t="s">
        <v>13</v>
      </c>
      <c r="E620" s="2" t="s">
        <v>48</v>
      </c>
      <c r="F620" s="14" t="n">
        <v>77.03</v>
      </c>
      <c r="G620" s="2" t="n">
        <v>0</v>
      </c>
      <c r="H620" s="2" t="n">
        <v>3</v>
      </c>
      <c r="I620" s="20" t="n">
        <v>0.93</v>
      </c>
      <c r="J620" s="14" t="n">
        <v>45</v>
      </c>
      <c r="K620" s="14" t="n">
        <v>95</v>
      </c>
      <c r="L620" s="20" t="n">
        <f aca="false">INDEX('Read me'!$B$10:$B$15,3)</f>
        <v>1.35</v>
      </c>
      <c r="M620" s="14" t="n">
        <f aca="false">IF(F620*(1+'Read me'!$B$5)&lt;='Read me'!$B$7,CEILING(F620*(1+'Read me'!$B$5)+0.5,1)-0.5,CEILING(F620*(1+'Read me'!$B$5),5))</f>
        <v>80</v>
      </c>
      <c r="N620" s="14" t="n">
        <f aca="false">IF(MAX(M620*L620,M620+'Read me'!$B$6)&lt;='Read me'!$B$7,CEILING(MAX(M620*L620,M620+'Read me'!$B$6)+0.5,1)-0.5,CEILING(MAX(M620*L620,M620+'Read me'!$B$6),5))</f>
        <v>110</v>
      </c>
      <c r="O620" s="21" t="n">
        <f aca="false">IF(ISNUMBER(J620),M620-J620,"new")</f>
        <v>35</v>
      </c>
    </row>
    <row r="621" customFormat="false" ht="15" hidden="false" customHeight="false" outlineLevel="0" collapsed="false">
      <c r="A621" s="2" t="s">
        <v>752</v>
      </c>
      <c r="B621" s="2" t="s">
        <v>165</v>
      </c>
      <c r="C621" s="2" t="s">
        <v>125</v>
      </c>
      <c r="D621" s="2" t="s">
        <v>13</v>
      </c>
      <c r="E621" s="2" t="s">
        <v>49</v>
      </c>
      <c r="F621" s="14" t="n">
        <v>86.66</v>
      </c>
      <c r="G621" s="2" t="n">
        <v>0</v>
      </c>
      <c r="H621" s="2" t="n">
        <v>3</v>
      </c>
      <c r="I621" s="20" t="n">
        <v>0.93</v>
      </c>
      <c r="J621" s="14" t="n">
        <v>45</v>
      </c>
      <c r="K621" s="14" t="n">
        <v>95</v>
      </c>
      <c r="L621" s="20" t="n">
        <f aca="false">INDEX('Read me'!$B$10:$B$15,3)</f>
        <v>1.35</v>
      </c>
      <c r="M621" s="14" t="n">
        <f aca="false">IF(F621*(1+'Read me'!$B$5)&lt;='Read me'!$B$7,CEILING(F621*(1+'Read me'!$B$5)+0.5,1)-0.5,CEILING(F621*(1+'Read me'!$B$5),5))</f>
        <v>90</v>
      </c>
      <c r="N621" s="14" t="n">
        <f aca="false">IF(MAX(M621*L621,M621+'Read me'!$B$6)&lt;='Read me'!$B$7,CEILING(MAX(M621*L621,M621+'Read me'!$B$6)+0.5,1)-0.5,CEILING(MAX(M621*L621,M621+'Read me'!$B$6),5))</f>
        <v>125</v>
      </c>
      <c r="O621" s="21" t="n">
        <f aca="false">IF(ISNUMBER(J621),M621-J621,"new")</f>
        <v>45</v>
      </c>
    </row>
    <row r="622" customFormat="false" ht="15" hidden="false" customHeight="false" outlineLevel="0" collapsed="false">
      <c r="A622" s="2" t="s">
        <v>753</v>
      </c>
      <c r="B622" s="2" t="s">
        <v>165</v>
      </c>
      <c r="C622" s="2" t="s">
        <v>125</v>
      </c>
      <c r="D622" s="2" t="s">
        <v>13</v>
      </c>
      <c r="E622" s="2" t="s">
        <v>50</v>
      </c>
      <c r="F622" s="14" t="n">
        <v>116.54</v>
      </c>
      <c r="G622" s="2" t="n">
        <v>0</v>
      </c>
      <c r="H622" s="2" t="n">
        <v>3</v>
      </c>
      <c r="I622" s="20" t="n">
        <v>0.93</v>
      </c>
      <c r="J622" s="14" t="n">
        <v>99</v>
      </c>
      <c r="K622" s="14" t="n">
        <v>150</v>
      </c>
      <c r="L622" s="20" t="n">
        <f aca="false">INDEX('Read me'!$B$10:$B$15,3)</f>
        <v>1.35</v>
      </c>
      <c r="M622" s="14" t="n">
        <f aca="false">IF(F622*(1+'Read me'!$B$5)&lt;='Read me'!$B$7,CEILING(F622*(1+'Read me'!$B$5)+0.5,1)-0.5,CEILING(F622*(1+'Read me'!$B$5),5))</f>
        <v>120</v>
      </c>
      <c r="N622" s="14" t="n">
        <f aca="false">IF(MAX(M622*L622,M622+'Read me'!$B$6)&lt;='Read me'!$B$7,CEILING(MAX(M622*L622,M622+'Read me'!$B$6)+0.5,1)-0.5,CEILING(MAX(M622*L622,M622+'Read me'!$B$6),5))</f>
        <v>165</v>
      </c>
      <c r="O622" s="21" t="n">
        <f aca="false">IF(ISNUMBER(J622),M622-J622,"new")</f>
        <v>21</v>
      </c>
    </row>
    <row r="623" customFormat="false" ht="15" hidden="false" customHeight="false" outlineLevel="0" collapsed="false">
      <c r="A623" s="2" t="s">
        <v>754</v>
      </c>
      <c r="B623" s="2" t="s">
        <v>165</v>
      </c>
      <c r="C623" s="2" t="s">
        <v>125</v>
      </c>
      <c r="D623" s="2" t="s">
        <v>14</v>
      </c>
      <c r="E623" s="2" t="s">
        <v>48</v>
      </c>
      <c r="F623" s="14" t="n">
        <v>133.39</v>
      </c>
      <c r="G623" s="2" t="n">
        <v>0</v>
      </c>
      <c r="H623" s="2" t="n">
        <v>3</v>
      </c>
      <c r="I623" s="20" t="n">
        <v>0.93</v>
      </c>
      <c r="J623" s="14" t="n">
        <v>99</v>
      </c>
      <c r="K623" s="14" t="n">
        <v>150</v>
      </c>
      <c r="L623" s="20" t="n">
        <f aca="false">INDEX('Read me'!$B$10:$B$15,4)</f>
        <v>1.2</v>
      </c>
      <c r="M623" s="14" t="n">
        <f aca="false">IF(F623*(1+'Read me'!$B$5)&lt;='Read me'!$B$7,CEILING(F623*(1+'Read me'!$B$5)+0.5,1)-0.5,CEILING(F623*(1+'Read me'!$B$5),5))</f>
        <v>135</v>
      </c>
      <c r="N623" s="14" t="n">
        <f aca="false">IF(MAX(M623*L623,M623+'Read me'!$B$6)&lt;='Read me'!$B$7,CEILING(MAX(M623*L623,M623+'Read me'!$B$6)+0.5,1)-0.5,CEILING(MAX(M623*L623,M623+'Read me'!$B$6),5))</f>
        <v>165</v>
      </c>
      <c r="O623" s="21" t="n">
        <f aca="false">IF(ISNUMBER(J623),M623-J623,"new")</f>
        <v>36</v>
      </c>
    </row>
    <row r="624" customFormat="false" ht="15" hidden="false" customHeight="false" outlineLevel="0" collapsed="false">
      <c r="A624" s="2" t="s">
        <v>755</v>
      </c>
      <c r="B624" s="2" t="s">
        <v>165</v>
      </c>
      <c r="C624" s="2" t="s">
        <v>125</v>
      </c>
      <c r="D624" s="2" t="s">
        <v>14</v>
      </c>
      <c r="E624" s="2" t="s">
        <v>49</v>
      </c>
      <c r="F624" s="14" t="n">
        <v>160.16</v>
      </c>
      <c r="G624" s="2" t="n">
        <v>0</v>
      </c>
      <c r="H624" s="2" t="n">
        <v>3</v>
      </c>
      <c r="I624" s="20" t="n">
        <v>0.93</v>
      </c>
      <c r="J624" s="14" t="n">
        <v>150</v>
      </c>
      <c r="K624" s="14" t="n">
        <v>150</v>
      </c>
      <c r="L624" s="20" t="n">
        <f aca="false">INDEX('Read me'!$B$10:$B$15,4)</f>
        <v>1.2</v>
      </c>
      <c r="M624" s="14" t="n">
        <f aca="false">IF(F624*(1+'Read me'!$B$5)&lt;='Read me'!$B$7,CEILING(F624*(1+'Read me'!$B$5)+0.5,1)-0.5,CEILING(F624*(1+'Read me'!$B$5),5))</f>
        <v>165</v>
      </c>
      <c r="N624" s="14" t="n">
        <f aca="false">IF(MAX(M624*L624,M624+'Read me'!$B$6)&lt;='Read me'!$B$7,CEILING(MAX(M624*L624,M624+'Read me'!$B$6)+0.5,1)-0.5,CEILING(MAX(M624*L624,M624+'Read me'!$B$6),5))</f>
        <v>200</v>
      </c>
      <c r="O624" s="21" t="n">
        <f aca="false">IF(ISNUMBER(J624),M624-J624,"new")</f>
        <v>15</v>
      </c>
    </row>
    <row r="625" customFormat="false" ht="15" hidden="false" customHeight="false" outlineLevel="0" collapsed="false">
      <c r="A625" s="2" t="s">
        <v>756</v>
      </c>
      <c r="B625" s="2" t="s">
        <v>165</v>
      </c>
      <c r="C625" s="2" t="s">
        <v>125</v>
      </c>
      <c r="D625" s="2" t="s">
        <v>14</v>
      </c>
      <c r="E625" s="2" t="s">
        <v>50</v>
      </c>
      <c r="F625" s="14" t="n">
        <v>193.01</v>
      </c>
      <c r="G625" s="2" t="n">
        <v>0</v>
      </c>
      <c r="H625" s="2" t="n">
        <v>3</v>
      </c>
      <c r="I625" s="20" t="n">
        <v>0.93</v>
      </c>
      <c r="J625" s="14" t="n">
        <v>250</v>
      </c>
      <c r="K625" s="14" t="n">
        <v>195</v>
      </c>
      <c r="L625" s="20" t="n">
        <f aca="false">INDEX('Read me'!$B$10:$B$15,4)</f>
        <v>1.2</v>
      </c>
      <c r="M625" s="14" t="n">
        <f aca="false">IF(F625*(1+'Read me'!$B$5)&lt;='Read me'!$B$7,CEILING(F625*(1+'Read me'!$B$5)+0.5,1)-0.5,CEILING(F625*(1+'Read me'!$B$5),5))</f>
        <v>195</v>
      </c>
      <c r="N625" s="14" t="n">
        <f aca="false">IF(MAX(M625*L625,M625+'Read me'!$B$6)&lt;='Read me'!$B$7,CEILING(MAX(M625*L625,M625+'Read me'!$B$6)+0.5,1)-0.5,CEILING(MAX(M625*L625,M625+'Read me'!$B$6),5))</f>
        <v>235</v>
      </c>
      <c r="O625" s="21" t="n">
        <f aca="false">IF(ISNUMBER(J625),M625-J625,"new")</f>
        <v>-55</v>
      </c>
    </row>
    <row r="626" customFormat="false" ht="15" hidden="false" customHeight="false" outlineLevel="0" collapsed="false">
      <c r="A626" s="2" t="s">
        <v>757</v>
      </c>
      <c r="B626" s="2" t="s">
        <v>165</v>
      </c>
      <c r="C626" s="2" t="s">
        <v>125</v>
      </c>
      <c r="D626" s="2" t="s">
        <v>15</v>
      </c>
      <c r="E626" s="2" t="s">
        <v>48</v>
      </c>
      <c r="F626" s="14" t="n">
        <v>169.31</v>
      </c>
      <c r="G626" s="2" t="n">
        <v>0</v>
      </c>
      <c r="H626" s="2" t="n">
        <v>3</v>
      </c>
      <c r="I626" s="20" t="n">
        <v>0.93</v>
      </c>
      <c r="J626" s="14" t="n">
        <v>300</v>
      </c>
      <c r="K626" s="14" t="n">
        <v>300</v>
      </c>
      <c r="L626" s="20" t="n">
        <f aca="false">INDEX('Read me'!$B$10:$B$15,5)</f>
        <v>1.2</v>
      </c>
      <c r="M626" s="14" t="n">
        <f aca="false">IF(F626*(1+'Read me'!$B$5)&lt;='Read me'!$B$7,CEILING(F626*(1+'Read me'!$B$5)+0.5,1)-0.5,CEILING(F626*(1+'Read me'!$B$5),5))</f>
        <v>170</v>
      </c>
      <c r="N626" s="14" t="n">
        <f aca="false">IF(MAX(M626*L626,M626+'Read me'!$B$6)&lt;='Read me'!$B$7,CEILING(MAX(M626*L626,M626+'Read me'!$B$6)+0.5,1)-0.5,CEILING(MAX(M626*L626,M626+'Read me'!$B$6),5))</f>
        <v>205</v>
      </c>
      <c r="O626" s="21" t="n">
        <f aca="false">IF(ISNUMBER(J626),M626-J626,"new")</f>
        <v>-130</v>
      </c>
    </row>
    <row r="627" customFormat="false" ht="15" hidden="false" customHeight="false" outlineLevel="0" collapsed="false">
      <c r="A627" s="2" t="s">
        <v>758</v>
      </c>
      <c r="B627" s="2" t="s">
        <v>165</v>
      </c>
      <c r="C627" s="2" t="s">
        <v>125</v>
      </c>
      <c r="D627" s="2" t="s">
        <v>15</v>
      </c>
      <c r="E627" s="2" t="s">
        <v>49</v>
      </c>
      <c r="F627" s="14" t="n">
        <v>208.88</v>
      </c>
      <c r="G627" s="2" t="n">
        <v>0</v>
      </c>
      <c r="H627" s="2" t="n">
        <v>3</v>
      </c>
      <c r="I627" s="20" t="n">
        <v>0.93</v>
      </c>
      <c r="J627" s="14" t="n">
        <v>300</v>
      </c>
      <c r="K627" s="14" t="n">
        <v>300</v>
      </c>
      <c r="L627" s="20" t="n">
        <f aca="false">INDEX('Read me'!$B$10:$B$15,5)</f>
        <v>1.2</v>
      </c>
      <c r="M627" s="14" t="n">
        <f aca="false">N627</f>
        <v>255</v>
      </c>
      <c r="N627" s="14" t="n">
        <f aca="false">IF(MAX((IF(F627*(1+'Read me'!$B$5)&lt;='Read me'!$B$7,CEILING(F627*(1+'Read me'!$B$5)+0.5,1)-0.5,CEILING(F627*(1+'Read me'!$B$5),5)))*L627,(IF(F627*(1+'Read me'!$B$5)&lt;='Read me'!$B$7,CEILING(F627*(1+'Read me'!$B$5)+0.5,1)-0.5,CEILING(F627*(1+'Read me'!$B$5),5)))+'Read me'!$B$6)&lt;='Read me'!$B$7,CEILING(MAX((IF(F627*(1+'Read me'!$B$5)&lt;='Read me'!$B$7,CEILING(F627*(1+'Read me'!$B$5)+0.5,1)-0.5,CEILING(F627*(1+'Read me'!$B$5),5)))*L627,(IF(F627*(1+'Read me'!$B$5)&lt;='Read me'!$B$7,CEILING(F627*(1+'Read me'!$B$5)+0.5,1)-0.5,CEILING(F627*(1+'Read me'!$B$5),5)))+'Read me'!$B$6)+0.5,1)-0.5,CEILING(MAX((IF(F627*(1+'Read me'!$B$5)&lt;='Read me'!$B$7,CEILING(F627*(1+'Read me'!$B$5)+0.5,1)-0.5,CEILING(F627*(1+'Read me'!$B$5),5)))*L627,(IF(F627*(1+'Read me'!$B$5)&lt;='Read me'!$B$7,CEILING(F627*(1+'Read me'!$B$5)+0.5,1)-0.5,CEILING(F627*(1+'Read me'!$B$5),5)))+'Read me'!$B$6),5))</f>
        <v>255</v>
      </c>
      <c r="O627" s="21" t="n">
        <f aca="false">IF(ISNUMBER(J627),M627-J627,"new")</f>
        <v>-45</v>
      </c>
      <c r="P627" s="5" t="s">
        <v>140</v>
      </c>
    </row>
    <row r="628" customFormat="false" ht="15" hidden="false" customHeight="false" outlineLevel="0" collapsed="false">
      <c r="A628" s="2" t="s">
        <v>759</v>
      </c>
      <c r="B628" s="2" t="s">
        <v>165</v>
      </c>
      <c r="C628" s="2" t="s">
        <v>125</v>
      </c>
      <c r="D628" s="2" t="s">
        <v>15</v>
      </c>
      <c r="E628" s="2" t="s">
        <v>50</v>
      </c>
      <c r="F628" s="14" t="n">
        <v>250.98</v>
      </c>
      <c r="G628" s="2" t="n">
        <v>0</v>
      </c>
      <c r="H628" s="2" t="n">
        <v>3</v>
      </c>
      <c r="I628" s="20" t="n">
        <v>0.93</v>
      </c>
      <c r="J628" s="14" t="n">
        <v>350</v>
      </c>
      <c r="K628" s="14" t="n">
        <v>400</v>
      </c>
      <c r="L628" s="20" t="n">
        <f aca="false">INDEX('Read me'!$B$10:$B$15,5)</f>
        <v>1.2</v>
      </c>
      <c r="M628" s="14" t="n">
        <f aca="false">N628</f>
        <v>310</v>
      </c>
      <c r="N628" s="14" t="n">
        <f aca="false">IF(MAX((IF(F628*(1+'Read me'!$B$5)&lt;='Read me'!$B$7,CEILING(F628*(1+'Read me'!$B$5)+0.5,1)-0.5,CEILING(F628*(1+'Read me'!$B$5),5)))*L628,(IF(F628*(1+'Read me'!$B$5)&lt;='Read me'!$B$7,CEILING(F628*(1+'Read me'!$B$5)+0.5,1)-0.5,CEILING(F628*(1+'Read me'!$B$5),5)))+'Read me'!$B$6)&lt;='Read me'!$B$7,CEILING(MAX((IF(F628*(1+'Read me'!$B$5)&lt;='Read me'!$B$7,CEILING(F628*(1+'Read me'!$B$5)+0.5,1)-0.5,CEILING(F628*(1+'Read me'!$B$5),5)))*L628,(IF(F628*(1+'Read me'!$B$5)&lt;='Read me'!$B$7,CEILING(F628*(1+'Read me'!$B$5)+0.5,1)-0.5,CEILING(F628*(1+'Read me'!$B$5),5)))+'Read me'!$B$6)+0.5,1)-0.5,CEILING(MAX((IF(F628*(1+'Read me'!$B$5)&lt;='Read me'!$B$7,CEILING(F628*(1+'Read me'!$B$5)+0.5,1)-0.5,CEILING(F628*(1+'Read me'!$B$5),5)))*L628,(IF(F628*(1+'Read me'!$B$5)&lt;='Read me'!$B$7,CEILING(F628*(1+'Read me'!$B$5)+0.5,1)-0.5,CEILING(F628*(1+'Read me'!$B$5),5)))+'Read me'!$B$6),5))</f>
        <v>310</v>
      </c>
      <c r="O628" s="21" t="n">
        <f aca="false">IF(ISNUMBER(J628),M628-J628,"new")</f>
        <v>-40</v>
      </c>
      <c r="P628" s="5" t="s">
        <v>140</v>
      </c>
    </row>
    <row r="629" customFormat="false" ht="15" hidden="false" customHeight="false" outlineLevel="0" collapsed="false">
      <c r="A629" s="2" t="s">
        <v>760</v>
      </c>
      <c r="B629" s="2" t="s">
        <v>165</v>
      </c>
      <c r="C629" s="2" t="s">
        <v>125</v>
      </c>
      <c r="D629" s="2" t="s">
        <v>16</v>
      </c>
      <c r="E629" s="2" t="s">
        <v>48</v>
      </c>
      <c r="F629" s="14" t="n">
        <v>235.09</v>
      </c>
      <c r="G629" s="2" t="n">
        <v>0</v>
      </c>
      <c r="H629" s="2" t="n">
        <v>3</v>
      </c>
      <c r="I629" s="20" t="n">
        <v>0.93</v>
      </c>
      <c r="J629" s="14"/>
      <c r="K629" s="14"/>
      <c r="L629" s="20" t="n">
        <f aca="false">INDEX('Read me'!$B$10:$B$15,6)</f>
        <v>1.2</v>
      </c>
      <c r="M629" s="14" t="n">
        <f aca="false">IF(F629*(1+'Read me'!$B$5)&lt;='Read me'!$B$7,CEILING(F629*(1+'Read me'!$B$5)+0.5,1)-0.5,CEILING(F629*(1+'Read me'!$B$5),5))</f>
        <v>240</v>
      </c>
      <c r="N629" s="14" t="n">
        <f aca="false">IF(MAX(M629*L629,M629+'Read me'!$B$6)&lt;='Read me'!$B$7,CEILING(MAX(M629*L629,M629+'Read me'!$B$6)+0.5,1)-0.5,CEILING(MAX(M629*L629,M629+'Read me'!$B$6),5))</f>
        <v>290</v>
      </c>
      <c r="O629" s="21" t="str">
        <f aca="false">IF(ISNUMBER(J629),M629-J629,"new")</f>
        <v>new</v>
      </c>
    </row>
    <row r="630" customFormat="false" ht="15" hidden="false" customHeight="false" outlineLevel="0" collapsed="false">
      <c r="A630" s="2" t="s">
        <v>761</v>
      </c>
      <c r="B630" s="2" t="s">
        <v>165</v>
      </c>
      <c r="C630" s="2" t="s">
        <v>125</v>
      </c>
      <c r="D630" s="2" t="s">
        <v>16</v>
      </c>
      <c r="E630" s="2" t="s">
        <v>49</v>
      </c>
      <c r="F630" s="14" t="n">
        <v>302.08</v>
      </c>
      <c r="G630" s="2" t="n">
        <v>0</v>
      </c>
      <c r="H630" s="2" t="n">
        <v>3</v>
      </c>
      <c r="I630" s="20" t="n">
        <v>0.93</v>
      </c>
      <c r="J630" s="14"/>
      <c r="K630" s="14"/>
      <c r="L630" s="20" t="n">
        <f aca="false">INDEX('Read me'!$B$10:$B$15,6)</f>
        <v>1.2</v>
      </c>
      <c r="M630" s="14" t="n">
        <f aca="false">N630</f>
        <v>370</v>
      </c>
      <c r="N630" s="14" t="n">
        <f aca="false">IF(MAX((IF(F630*(1+'Read me'!$B$5)&lt;='Read me'!$B$7,CEILING(F630*(1+'Read me'!$B$5)+0.5,1)-0.5,CEILING(F630*(1+'Read me'!$B$5),5)))*L630,(IF(F630*(1+'Read me'!$B$5)&lt;='Read me'!$B$7,CEILING(F630*(1+'Read me'!$B$5)+0.5,1)-0.5,CEILING(F630*(1+'Read me'!$B$5),5)))+'Read me'!$B$6)&lt;='Read me'!$B$7,CEILING(MAX((IF(F630*(1+'Read me'!$B$5)&lt;='Read me'!$B$7,CEILING(F630*(1+'Read me'!$B$5)+0.5,1)-0.5,CEILING(F630*(1+'Read me'!$B$5),5)))*L630,(IF(F630*(1+'Read me'!$B$5)&lt;='Read me'!$B$7,CEILING(F630*(1+'Read me'!$B$5)+0.5,1)-0.5,CEILING(F630*(1+'Read me'!$B$5),5)))+'Read me'!$B$6)+0.5,1)-0.5,CEILING(MAX((IF(F630*(1+'Read me'!$B$5)&lt;='Read me'!$B$7,CEILING(F630*(1+'Read me'!$B$5)+0.5,1)-0.5,CEILING(F630*(1+'Read me'!$B$5),5)))*L630,(IF(F630*(1+'Read me'!$B$5)&lt;='Read me'!$B$7,CEILING(F630*(1+'Read me'!$B$5)+0.5,1)-0.5,CEILING(F630*(1+'Read me'!$B$5),5)))+'Read me'!$B$6),5))</f>
        <v>370</v>
      </c>
      <c r="O630" s="21" t="str">
        <f aca="false">IF(ISNUMBER(J630),M630-J630,"new")</f>
        <v>new</v>
      </c>
      <c r="P630" s="5" t="s">
        <v>140</v>
      </c>
    </row>
    <row r="631" customFormat="false" ht="15" hidden="false" customHeight="false" outlineLevel="0" collapsed="false">
      <c r="A631" s="2" t="s">
        <v>762</v>
      </c>
      <c r="B631" s="2" t="s">
        <v>165</v>
      </c>
      <c r="C631" s="2" t="s">
        <v>125</v>
      </c>
      <c r="D631" s="2" t="s">
        <v>16</v>
      </c>
      <c r="E631" s="2" t="s">
        <v>50</v>
      </c>
      <c r="F631" s="14" t="n">
        <v>355.06</v>
      </c>
      <c r="G631" s="2" t="n">
        <v>0</v>
      </c>
      <c r="H631" s="2" t="n">
        <v>3</v>
      </c>
      <c r="I631" s="20" t="n">
        <v>0.93</v>
      </c>
      <c r="J631" s="14"/>
      <c r="K631" s="14"/>
      <c r="L631" s="20" t="n">
        <f aca="false">INDEX('Read me'!$B$10:$B$15,6)</f>
        <v>1.2</v>
      </c>
      <c r="M631" s="14" t="n">
        <f aca="false">N631</f>
        <v>435</v>
      </c>
      <c r="N631" s="14" t="n">
        <f aca="false">IF(MAX((IF(F631*(1+'Read me'!$B$5)&lt;='Read me'!$B$7,CEILING(F631*(1+'Read me'!$B$5)+0.5,1)-0.5,CEILING(F631*(1+'Read me'!$B$5),5)))*L631,(IF(F631*(1+'Read me'!$B$5)&lt;='Read me'!$B$7,CEILING(F631*(1+'Read me'!$B$5)+0.5,1)-0.5,CEILING(F631*(1+'Read me'!$B$5),5)))+'Read me'!$B$6)&lt;='Read me'!$B$7,CEILING(MAX((IF(F631*(1+'Read me'!$B$5)&lt;='Read me'!$B$7,CEILING(F631*(1+'Read me'!$B$5)+0.5,1)-0.5,CEILING(F631*(1+'Read me'!$B$5),5)))*L631,(IF(F631*(1+'Read me'!$B$5)&lt;='Read me'!$B$7,CEILING(F631*(1+'Read me'!$B$5)+0.5,1)-0.5,CEILING(F631*(1+'Read me'!$B$5),5)))+'Read me'!$B$6)+0.5,1)-0.5,CEILING(MAX((IF(F631*(1+'Read me'!$B$5)&lt;='Read me'!$B$7,CEILING(F631*(1+'Read me'!$B$5)+0.5,1)-0.5,CEILING(F631*(1+'Read me'!$B$5),5)))*L631,(IF(F631*(1+'Read me'!$B$5)&lt;='Read me'!$B$7,CEILING(F631*(1+'Read me'!$B$5)+0.5,1)-0.5,CEILING(F631*(1+'Read me'!$B$5),5)))+'Read me'!$B$6),5))</f>
        <v>435</v>
      </c>
      <c r="O631" s="21" t="str">
        <f aca="false">IF(ISNUMBER(J631),M631-J631,"new")</f>
        <v>new</v>
      </c>
      <c r="P631" s="5" t="s">
        <v>140</v>
      </c>
    </row>
    <row r="632" customFormat="false" ht="15" hidden="false" customHeight="false" outlineLevel="0" collapsed="false">
      <c r="A632" s="2" t="s">
        <v>763</v>
      </c>
      <c r="B632" s="2" t="s">
        <v>221</v>
      </c>
      <c r="C632" s="2" t="s">
        <v>221</v>
      </c>
      <c r="D632" s="2" t="s">
        <v>10</v>
      </c>
      <c r="E632" s="2" t="s">
        <v>48</v>
      </c>
      <c r="F632" s="14" t="n">
        <v>10.21</v>
      </c>
      <c r="G632" s="2" t="n">
        <v>3</v>
      </c>
      <c r="H632" s="2" t="n">
        <v>76</v>
      </c>
      <c r="I632" s="20" t="n">
        <v>1.1</v>
      </c>
      <c r="J632" s="14" t="n">
        <v>9.5</v>
      </c>
      <c r="K632" s="14" t="n">
        <v>14.5</v>
      </c>
      <c r="L632" s="20" t="n">
        <f aca="false">INDEX('Read me'!$B$10:$B$15,1)</f>
        <v>1.34</v>
      </c>
      <c r="M632" s="14" t="n">
        <f aca="false">IF(F632*(1+'Read me'!$B$5)&lt;='Read me'!$B$7,CEILING(F632*(1+'Read me'!$B$5)+0.5,1)-0.5,CEILING(F632*(1+'Read me'!$B$5),5))</f>
        <v>10.5</v>
      </c>
      <c r="N632" s="14" t="n">
        <f aca="false">IF(MAX(M632*L632,M632+'Read me'!$B$6)&lt;='Read me'!$B$7,CEILING(MAX(M632*L632,M632+'Read me'!$B$6)+0.5,1)-0.5,CEILING(MAX(M632*L632,M632+'Read me'!$B$6),5))</f>
        <v>15.5</v>
      </c>
      <c r="O632" s="21" t="n">
        <f aca="false">IF(ISNUMBER(J632),M632-J632,"new")</f>
        <v>1</v>
      </c>
    </row>
    <row r="633" customFormat="false" ht="15" hidden="false" customHeight="false" outlineLevel="0" collapsed="false">
      <c r="A633" s="2" t="s">
        <v>764</v>
      </c>
      <c r="B633" s="2" t="s">
        <v>221</v>
      </c>
      <c r="C633" s="2" t="s">
        <v>221</v>
      </c>
      <c r="D633" s="2" t="s">
        <v>10</v>
      </c>
      <c r="E633" s="2" t="s">
        <v>49</v>
      </c>
      <c r="F633" s="14" t="n">
        <v>13.48</v>
      </c>
      <c r="G633" s="2" t="n">
        <v>24</v>
      </c>
      <c r="H633" s="2" t="n">
        <v>76</v>
      </c>
      <c r="I633" s="20" t="n">
        <v>1.1</v>
      </c>
      <c r="J633" s="14" t="n">
        <v>12.5</v>
      </c>
      <c r="K633" s="14" t="n">
        <v>17.5</v>
      </c>
      <c r="L633" s="20" t="n">
        <f aca="false">INDEX('Read me'!$B$10:$B$15,1)</f>
        <v>1.34</v>
      </c>
      <c r="M633" s="14" t="n">
        <f aca="false">IF(F633*(1+'Read me'!$B$5)&lt;='Read me'!$B$7,CEILING(F633*(1+'Read me'!$B$5)+0.5,1)-0.5,CEILING(F633*(1+'Read me'!$B$5),5))</f>
        <v>13.5</v>
      </c>
      <c r="N633" s="14" t="n">
        <f aca="false">IF(MAX(M633*L633,M633+'Read me'!$B$6)&lt;='Read me'!$B$7,CEILING(MAX(M633*L633,M633+'Read me'!$B$6)+0.5,1)-0.5,CEILING(MAX(M633*L633,M633+'Read me'!$B$6),5))</f>
        <v>18.5</v>
      </c>
      <c r="O633" s="21" t="n">
        <f aca="false">IF(ISNUMBER(J633),M633-J633,"new")</f>
        <v>1</v>
      </c>
    </row>
    <row r="634" customFormat="false" ht="15" hidden="false" customHeight="false" outlineLevel="0" collapsed="false">
      <c r="A634" s="2" t="s">
        <v>765</v>
      </c>
      <c r="B634" s="2" t="s">
        <v>221</v>
      </c>
      <c r="C634" s="2" t="s">
        <v>221</v>
      </c>
      <c r="D634" s="2" t="s">
        <v>10</v>
      </c>
      <c r="E634" s="2" t="s">
        <v>50</v>
      </c>
      <c r="F634" s="14" t="n">
        <v>19.15</v>
      </c>
      <c r="G634" s="2" t="n">
        <v>0</v>
      </c>
      <c r="H634" s="2" t="n">
        <v>76</v>
      </c>
      <c r="I634" s="20" t="n">
        <v>1.1</v>
      </c>
      <c r="J634" s="14" t="n">
        <v>17.5</v>
      </c>
      <c r="K634" s="14" t="n">
        <v>24.5</v>
      </c>
      <c r="L634" s="20" t="n">
        <f aca="false">INDEX('Read me'!$B$10:$B$15,1)</f>
        <v>1.34</v>
      </c>
      <c r="M634" s="14" t="n">
        <f aca="false">IF(F634*(1+'Read me'!$B$5)&lt;='Read me'!$B$7,CEILING(F634*(1+'Read me'!$B$5)+0.5,1)-0.5,CEILING(F634*(1+'Read me'!$B$5),5))</f>
        <v>19.5</v>
      </c>
      <c r="N634" s="14" t="n">
        <f aca="false">IF(MAX(M634*L634,M634+'Read me'!$B$6)&lt;='Read me'!$B$7,CEILING(MAX(M634*L634,M634+'Read me'!$B$6)+0.5,1)-0.5,CEILING(MAX(M634*L634,M634+'Read me'!$B$6),5))</f>
        <v>26.5</v>
      </c>
      <c r="O634" s="21" t="n">
        <f aca="false">IF(ISNUMBER(J634),M634-J634,"new")</f>
        <v>2</v>
      </c>
    </row>
    <row r="635" customFormat="false" ht="15" hidden="false" customHeight="false" outlineLevel="0" collapsed="false">
      <c r="A635" s="2" t="s">
        <v>766</v>
      </c>
      <c r="B635" s="2" t="s">
        <v>221</v>
      </c>
      <c r="C635" s="2" t="s">
        <v>221</v>
      </c>
      <c r="D635" s="2" t="s">
        <v>12</v>
      </c>
      <c r="E635" s="2" t="s">
        <v>48</v>
      </c>
      <c r="F635" s="14" t="n">
        <v>28.78</v>
      </c>
      <c r="G635" s="2" t="n">
        <v>3</v>
      </c>
      <c r="H635" s="2" t="n">
        <v>76</v>
      </c>
      <c r="I635" s="20" t="n">
        <v>1.1</v>
      </c>
      <c r="J635" s="14" t="n">
        <v>9.5</v>
      </c>
      <c r="K635" s="14" t="n">
        <v>19.5</v>
      </c>
      <c r="L635" s="20" t="n">
        <f aca="false">INDEX('Read me'!$B$10:$B$15,2)</f>
        <v>1.26</v>
      </c>
      <c r="M635" s="14" t="n">
        <f aca="false">IF(F635*(1+'Read me'!$B$5)&lt;='Read me'!$B$7,CEILING(F635*(1+'Read me'!$B$5)+0.5,1)-0.5,CEILING(F635*(1+'Read me'!$B$5),5))</f>
        <v>29.5</v>
      </c>
      <c r="N635" s="14" t="n">
        <f aca="false">IF(MAX(M635*L635,M635+'Read me'!$B$6)&lt;='Read me'!$B$7,CEILING(MAX(M635*L635,M635+'Read me'!$B$6)+0.5,1)-0.5,CEILING(MAX(M635*L635,M635+'Read me'!$B$6),5))</f>
        <v>40</v>
      </c>
      <c r="O635" s="21" t="n">
        <f aca="false">IF(ISNUMBER(J635),M635-J635,"new")</f>
        <v>20</v>
      </c>
    </row>
    <row r="636" customFormat="false" ht="15" hidden="false" customHeight="false" outlineLevel="0" collapsed="false">
      <c r="A636" s="2" t="s">
        <v>767</v>
      </c>
      <c r="B636" s="2" t="s">
        <v>221</v>
      </c>
      <c r="C636" s="2" t="s">
        <v>221</v>
      </c>
      <c r="D636" s="2" t="s">
        <v>12</v>
      </c>
      <c r="E636" s="2" t="s">
        <v>49</v>
      </c>
      <c r="F636" s="14" t="n">
        <v>51.65</v>
      </c>
      <c r="G636" s="2" t="n">
        <v>36</v>
      </c>
      <c r="H636" s="2" t="n">
        <v>76</v>
      </c>
      <c r="I636" s="20" t="n">
        <v>1.1</v>
      </c>
      <c r="J636" s="14" t="n">
        <v>12.5</v>
      </c>
      <c r="K636" s="14" t="n">
        <v>19.5</v>
      </c>
      <c r="L636" s="20" t="n">
        <f aca="false">INDEX('Read me'!$B$10:$B$15,2)</f>
        <v>1.26</v>
      </c>
      <c r="M636" s="14" t="n">
        <f aca="false">IF(F636*(1+'Read me'!$B$5)&lt;='Read me'!$B$7,CEILING(F636*(1+'Read me'!$B$5)+0.5,1)-0.5,CEILING(F636*(1+'Read me'!$B$5),5))</f>
        <v>55</v>
      </c>
      <c r="N636" s="14" t="n">
        <f aca="false">IF(MAX(M636*L636,M636+'Read me'!$B$6)&lt;='Read me'!$B$7,CEILING(MAX(M636*L636,M636+'Read me'!$B$6)+0.5,1)-0.5,CEILING(MAX(M636*L636,M636+'Read me'!$B$6),5))</f>
        <v>70</v>
      </c>
      <c r="O636" s="21" t="n">
        <f aca="false">IF(ISNUMBER(J636),M636-J636,"new")</f>
        <v>42.5</v>
      </c>
    </row>
    <row r="637" customFormat="false" ht="15" hidden="false" customHeight="false" outlineLevel="0" collapsed="false">
      <c r="A637" s="2" t="s">
        <v>768</v>
      </c>
      <c r="B637" s="2" t="s">
        <v>221</v>
      </c>
      <c r="C637" s="2" t="s">
        <v>221</v>
      </c>
      <c r="D637" s="2" t="s">
        <v>12</v>
      </c>
      <c r="E637" s="2" t="s">
        <v>50</v>
      </c>
      <c r="F637" s="14" t="n">
        <v>53.5</v>
      </c>
      <c r="G637" s="2" t="n">
        <v>0</v>
      </c>
      <c r="H637" s="2" t="n">
        <v>76</v>
      </c>
      <c r="I637" s="20" t="n">
        <v>1.1</v>
      </c>
      <c r="J637" s="14" t="n">
        <v>19.5</v>
      </c>
      <c r="K637" s="14" t="n">
        <v>29.5</v>
      </c>
      <c r="L637" s="20" t="n">
        <f aca="false">INDEX('Read me'!$B$10:$B$15,2)</f>
        <v>1.26</v>
      </c>
      <c r="M637" s="14" t="n">
        <f aca="false">IF(F637*(1+'Read me'!$B$5)&lt;='Read me'!$B$7,CEILING(F637*(1+'Read me'!$B$5)+0.5,1)-0.5,CEILING(F637*(1+'Read me'!$B$5),5))</f>
        <v>55</v>
      </c>
      <c r="N637" s="14" t="n">
        <f aca="false">IF(MAX(M637*L637,M637+'Read me'!$B$6)&lt;='Read me'!$B$7,CEILING(MAX(M637*L637,M637+'Read me'!$B$6)+0.5,1)-0.5,CEILING(MAX(M637*L637,M637+'Read me'!$B$6),5))</f>
        <v>70</v>
      </c>
      <c r="O637" s="21" t="n">
        <f aca="false">IF(ISNUMBER(J637),M637-J637,"new")</f>
        <v>35.5</v>
      </c>
    </row>
    <row r="638" customFormat="false" ht="15" hidden="false" customHeight="false" outlineLevel="0" collapsed="false">
      <c r="A638" s="2" t="s">
        <v>769</v>
      </c>
      <c r="B638" s="2" t="s">
        <v>221</v>
      </c>
      <c r="C638" s="2" t="s">
        <v>221</v>
      </c>
      <c r="D638" s="2" t="s">
        <v>13</v>
      </c>
      <c r="E638" s="2" t="s">
        <v>48</v>
      </c>
      <c r="F638" s="14" t="n">
        <v>51.43</v>
      </c>
      <c r="G638" s="2" t="n">
        <v>1</v>
      </c>
      <c r="H638" s="2" t="n">
        <v>76</v>
      </c>
      <c r="I638" s="20" t="n">
        <v>1.1</v>
      </c>
      <c r="J638" s="14" t="n">
        <v>19</v>
      </c>
      <c r="K638" s="14" t="n">
        <v>45</v>
      </c>
      <c r="L638" s="20" t="n">
        <f aca="false">INDEX('Read me'!$B$10:$B$15,3)</f>
        <v>1.35</v>
      </c>
      <c r="M638" s="14" t="n">
        <f aca="false">IF(F638*(1+'Read me'!$B$5)&lt;='Read me'!$B$7,CEILING(F638*(1+'Read me'!$B$5)+0.5,1)-0.5,CEILING(F638*(1+'Read me'!$B$5),5))</f>
        <v>55</v>
      </c>
      <c r="N638" s="14" t="n">
        <f aca="false">IF(MAX(M638*L638,M638+'Read me'!$B$6)&lt;='Read me'!$B$7,CEILING(MAX(M638*L638,M638+'Read me'!$B$6)+0.5,1)-0.5,CEILING(MAX(M638*L638,M638+'Read me'!$B$6),5))</f>
        <v>75</v>
      </c>
      <c r="O638" s="21" t="n">
        <f aca="false">IF(ISNUMBER(J638),M638-J638,"new")</f>
        <v>36</v>
      </c>
    </row>
    <row r="639" customFormat="false" ht="15" hidden="false" customHeight="false" outlineLevel="0" collapsed="false">
      <c r="A639" s="2" t="s">
        <v>770</v>
      </c>
      <c r="B639" s="2" t="s">
        <v>221</v>
      </c>
      <c r="C639" s="2" t="s">
        <v>221</v>
      </c>
      <c r="D639" s="2" t="s">
        <v>13</v>
      </c>
      <c r="E639" s="2" t="s">
        <v>49</v>
      </c>
      <c r="F639" s="14" t="n">
        <v>89.57</v>
      </c>
      <c r="G639" s="2" t="n">
        <v>5</v>
      </c>
      <c r="H639" s="2" t="n">
        <v>76</v>
      </c>
      <c r="I639" s="20" t="n">
        <v>1.1</v>
      </c>
      <c r="J639" s="14" t="n">
        <v>24.5</v>
      </c>
      <c r="K639" s="14" t="n">
        <v>45</v>
      </c>
      <c r="L639" s="20" t="n">
        <f aca="false">INDEX('Read me'!$B$10:$B$15,3)</f>
        <v>1.35</v>
      </c>
      <c r="M639" s="14" t="n">
        <f aca="false">IF(F639*(1+'Read me'!$B$5)&lt;='Read me'!$B$7,CEILING(F639*(1+'Read me'!$B$5)+0.5,1)-0.5,CEILING(F639*(1+'Read me'!$B$5),5))</f>
        <v>90</v>
      </c>
      <c r="N639" s="14" t="n">
        <f aca="false">IF(MAX(M639*L639,M639+'Read me'!$B$6)&lt;='Read me'!$B$7,CEILING(MAX(M639*L639,M639+'Read me'!$B$6)+0.5,1)-0.5,CEILING(MAX(M639*L639,M639+'Read me'!$B$6),5))</f>
        <v>125</v>
      </c>
      <c r="O639" s="21" t="n">
        <f aca="false">IF(ISNUMBER(J639),M639-J639,"new")</f>
        <v>65.5</v>
      </c>
    </row>
    <row r="640" customFormat="false" ht="15" hidden="false" customHeight="false" outlineLevel="0" collapsed="false">
      <c r="A640" s="2" t="s">
        <v>771</v>
      </c>
      <c r="B640" s="2" t="s">
        <v>221</v>
      </c>
      <c r="C640" s="2" t="s">
        <v>221</v>
      </c>
      <c r="D640" s="2" t="s">
        <v>13</v>
      </c>
      <c r="E640" s="2" t="s">
        <v>50</v>
      </c>
      <c r="F640" s="14" t="n">
        <v>106.15</v>
      </c>
      <c r="G640" s="2" t="n">
        <v>0</v>
      </c>
      <c r="H640" s="2" t="n">
        <v>76</v>
      </c>
      <c r="I640" s="20" t="n">
        <v>1.1</v>
      </c>
      <c r="J640" s="14" t="n">
        <v>50</v>
      </c>
      <c r="K640" s="14" t="n">
        <v>95</v>
      </c>
      <c r="L640" s="20" t="n">
        <f aca="false">INDEX('Read me'!$B$10:$B$15,3)</f>
        <v>1.35</v>
      </c>
      <c r="M640" s="14" t="n">
        <f aca="false">IF(F640*(1+'Read me'!$B$5)&lt;='Read me'!$B$7,CEILING(F640*(1+'Read me'!$B$5)+0.5,1)-0.5,CEILING(F640*(1+'Read me'!$B$5),5))</f>
        <v>110</v>
      </c>
      <c r="N640" s="14" t="n">
        <f aca="false">IF(MAX(M640*L640,M640+'Read me'!$B$6)&lt;='Read me'!$B$7,CEILING(MAX(M640*L640,M640+'Read me'!$B$6)+0.5,1)-0.5,CEILING(MAX(M640*L640,M640+'Read me'!$B$6),5))</f>
        <v>150</v>
      </c>
      <c r="O640" s="21" t="n">
        <f aca="false">IF(ISNUMBER(J640),M640-J640,"new")</f>
        <v>60</v>
      </c>
    </row>
    <row r="641" customFormat="false" ht="15" hidden="false" customHeight="false" outlineLevel="0" collapsed="false">
      <c r="A641" s="2" t="s">
        <v>772</v>
      </c>
      <c r="B641" s="2" t="s">
        <v>221</v>
      </c>
      <c r="C641" s="2" t="s">
        <v>221</v>
      </c>
      <c r="D641" s="2" t="s">
        <v>14</v>
      </c>
      <c r="E641" s="2" t="s">
        <v>48</v>
      </c>
      <c r="F641" s="14" t="n">
        <v>110.92</v>
      </c>
      <c r="G641" s="2" t="n">
        <v>0</v>
      </c>
      <c r="H641" s="2" t="n">
        <v>76</v>
      </c>
      <c r="I641" s="20" t="n">
        <v>1.1</v>
      </c>
      <c r="J641" s="14" t="n">
        <v>25</v>
      </c>
      <c r="K641" s="14" t="n">
        <v>85</v>
      </c>
      <c r="L641" s="20" t="n">
        <f aca="false">INDEX('Read me'!$B$10:$B$15,4)</f>
        <v>1.2</v>
      </c>
      <c r="M641" s="14" t="n">
        <f aca="false">IF(F641*(1+'Read me'!$B$5)&lt;='Read me'!$B$7,CEILING(F641*(1+'Read me'!$B$5)+0.5,1)-0.5,CEILING(F641*(1+'Read me'!$B$5),5))</f>
        <v>115</v>
      </c>
      <c r="N641" s="14" t="n">
        <f aca="false">IF(MAX(M641*L641,M641+'Read me'!$B$6)&lt;='Read me'!$B$7,CEILING(MAX(M641*L641,M641+'Read me'!$B$6)+0.5,1)-0.5,CEILING(MAX(M641*L641,M641+'Read me'!$B$6),5))</f>
        <v>140</v>
      </c>
      <c r="O641" s="21" t="n">
        <f aca="false">IF(ISNUMBER(J641),M641-J641,"new")</f>
        <v>90</v>
      </c>
    </row>
    <row r="642" customFormat="false" ht="15" hidden="false" customHeight="false" outlineLevel="0" collapsed="false">
      <c r="A642" s="2" t="s">
        <v>773</v>
      </c>
      <c r="B642" s="2" t="s">
        <v>221</v>
      </c>
      <c r="C642" s="2" t="s">
        <v>221</v>
      </c>
      <c r="D642" s="2" t="s">
        <v>14</v>
      </c>
      <c r="E642" s="2" t="s">
        <v>49</v>
      </c>
      <c r="F642" s="14" t="n">
        <v>145.72</v>
      </c>
      <c r="G642" s="2" t="n">
        <v>3</v>
      </c>
      <c r="H642" s="2" t="n">
        <v>76</v>
      </c>
      <c r="I642" s="20" t="n">
        <v>1.1</v>
      </c>
      <c r="J642" s="14" t="n">
        <v>45</v>
      </c>
      <c r="K642" s="14" t="n">
        <v>125</v>
      </c>
      <c r="L642" s="20" t="n">
        <f aca="false">INDEX('Read me'!$B$10:$B$15,4)</f>
        <v>1.2</v>
      </c>
      <c r="M642" s="14" t="n">
        <f aca="false">IF(F642*(1+'Read me'!$B$5)&lt;='Read me'!$B$7,CEILING(F642*(1+'Read me'!$B$5)+0.5,1)-0.5,CEILING(F642*(1+'Read me'!$B$5),5))</f>
        <v>150</v>
      </c>
      <c r="N642" s="14" t="n">
        <f aca="false">IF(MAX(M642*L642,M642+'Read me'!$B$6)&lt;='Read me'!$B$7,CEILING(MAX(M642*L642,M642+'Read me'!$B$6)+0.5,1)-0.5,CEILING(MAX(M642*L642,M642+'Read me'!$B$6),5))</f>
        <v>180</v>
      </c>
      <c r="O642" s="21" t="n">
        <f aca="false">IF(ISNUMBER(J642),M642-J642,"new")</f>
        <v>105</v>
      </c>
    </row>
    <row r="643" customFormat="false" ht="15" hidden="false" customHeight="false" outlineLevel="0" collapsed="false">
      <c r="A643" s="2" t="s">
        <v>774</v>
      </c>
      <c r="B643" s="2" t="s">
        <v>221</v>
      </c>
      <c r="C643" s="2" t="s">
        <v>221</v>
      </c>
      <c r="D643" s="2" t="s">
        <v>14</v>
      </c>
      <c r="E643" s="2" t="s">
        <v>50</v>
      </c>
      <c r="F643" s="14" t="n">
        <v>212.06</v>
      </c>
      <c r="G643" s="2" t="n">
        <v>0</v>
      </c>
      <c r="H643" s="2" t="n">
        <v>76</v>
      </c>
      <c r="I643" s="20" t="n">
        <v>1.1</v>
      </c>
      <c r="J643" s="14" t="n">
        <v>85</v>
      </c>
      <c r="K643" s="14" t="n">
        <v>150</v>
      </c>
      <c r="L643" s="20" t="n">
        <f aca="false">INDEX('Read me'!$B$10:$B$15,4)</f>
        <v>1.2</v>
      </c>
      <c r="M643" s="14" t="n">
        <f aca="false">IF(F643*(1+'Read me'!$B$5)&lt;='Read me'!$B$7,CEILING(F643*(1+'Read me'!$B$5)+0.5,1)-0.5,CEILING(F643*(1+'Read me'!$B$5),5))</f>
        <v>215</v>
      </c>
      <c r="N643" s="14" t="n">
        <f aca="false">IF(MAX(M643*L643,M643+'Read me'!$B$6)&lt;='Read me'!$B$7,CEILING(MAX(M643*L643,M643+'Read me'!$B$6)+0.5,1)-0.5,CEILING(MAX(M643*L643,M643+'Read me'!$B$6),5))</f>
        <v>260</v>
      </c>
      <c r="O643" s="21" t="n">
        <f aca="false">IF(ISNUMBER(J643),M643-J643,"new")</f>
        <v>130</v>
      </c>
    </row>
    <row r="644" customFormat="false" ht="15" hidden="false" customHeight="false" outlineLevel="0" collapsed="false">
      <c r="A644" s="2" t="s">
        <v>775</v>
      </c>
      <c r="B644" s="2" t="s">
        <v>221</v>
      </c>
      <c r="C644" s="2" t="s">
        <v>221</v>
      </c>
      <c r="D644" s="2" t="s">
        <v>15</v>
      </c>
      <c r="E644" s="2" t="s">
        <v>48</v>
      </c>
      <c r="F644" s="14" t="n">
        <v>126.5</v>
      </c>
      <c r="G644" s="2" t="n">
        <v>0</v>
      </c>
      <c r="H644" s="2" t="n">
        <v>76</v>
      </c>
      <c r="I644" s="20" t="n">
        <v>1.1</v>
      </c>
      <c r="J644" s="14" t="n">
        <v>45</v>
      </c>
      <c r="K644" s="14" t="n">
        <v>85</v>
      </c>
      <c r="L644" s="20" t="n">
        <f aca="false">INDEX('Read me'!$B$10:$B$15,5)</f>
        <v>1.2</v>
      </c>
      <c r="M644" s="14" t="n">
        <f aca="false">IF(F644*(1+'Read me'!$B$5)&lt;='Read me'!$B$7,CEILING(F644*(1+'Read me'!$B$5)+0.5,1)-0.5,CEILING(F644*(1+'Read me'!$B$5),5))</f>
        <v>130</v>
      </c>
      <c r="N644" s="14" t="n">
        <f aca="false">IF(MAX(M644*L644,M644+'Read me'!$B$6)&lt;='Read me'!$B$7,CEILING(MAX(M644*L644,M644+'Read me'!$B$6)+0.5,1)-0.5,CEILING(MAX(M644*L644,M644+'Read me'!$B$6),5))</f>
        <v>160</v>
      </c>
      <c r="O644" s="21" t="n">
        <f aca="false">IF(ISNUMBER(J644),M644-J644,"new")</f>
        <v>85</v>
      </c>
    </row>
    <row r="645" customFormat="false" ht="15" hidden="false" customHeight="false" outlineLevel="0" collapsed="false">
      <c r="A645" s="2" t="s">
        <v>776</v>
      </c>
      <c r="B645" s="2" t="s">
        <v>221</v>
      </c>
      <c r="C645" s="2" t="s">
        <v>221</v>
      </c>
      <c r="D645" s="2" t="s">
        <v>15</v>
      </c>
      <c r="E645" s="2" t="s">
        <v>49</v>
      </c>
      <c r="F645" s="14" t="n">
        <v>182.38</v>
      </c>
      <c r="G645" s="2" t="n">
        <v>0</v>
      </c>
      <c r="H645" s="2" t="n">
        <v>76</v>
      </c>
      <c r="I645" s="20" t="n">
        <v>1.1</v>
      </c>
      <c r="J645" s="14" t="n">
        <v>85</v>
      </c>
      <c r="K645" s="14" t="n">
        <v>125</v>
      </c>
      <c r="L645" s="20" t="n">
        <f aca="false">INDEX('Read me'!$B$10:$B$15,5)</f>
        <v>1.2</v>
      </c>
      <c r="M645" s="14" t="n">
        <f aca="false">IF(F645*(1+'Read me'!$B$5)&lt;='Read me'!$B$7,CEILING(F645*(1+'Read me'!$B$5)+0.5,1)-0.5,CEILING(F645*(1+'Read me'!$B$5),5))</f>
        <v>185</v>
      </c>
      <c r="N645" s="14" t="n">
        <f aca="false">IF(MAX(M645*L645,M645+'Read me'!$B$6)&lt;='Read me'!$B$7,CEILING(MAX(M645*L645,M645+'Read me'!$B$6)+0.5,1)-0.5,CEILING(MAX(M645*L645,M645+'Read me'!$B$6),5))</f>
        <v>225</v>
      </c>
      <c r="O645" s="21" t="n">
        <f aca="false">IF(ISNUMBER(J645),M645-J645,"new")</f>
        <v>100</v>
      </c>
    </row>
    <row r="646" customFormat="false" ht="15" hidden="false" customHeight="false" outlineLevel="0" collapsed="false">
      <c r="A646" s="2" t="s">
        <v>777</v>
      </c>
      <c r="B646" s="2" t="s">
        <v>221</v>
      </c>
      <c r="C646" s="2" t="s">
        <v>221</v>
      </c>
      <c r="D646" s="2" t="s">
        <v>15</v>
      </c>
      <c r="E646" s="2" t="s">
        <v>50</v>
      </c>
      <c r="F646" s="14" t="n">
        <v>270.28</v>
      </c>
      <c r="G646" s="2" t="n">
        <v>0</v>
      </c>
      <c r="H646" s="2" t="n">
        <v>76</v>
      </c>
      <c r="I646" s="20" t="n">
        <v>1.1</v>
      </c>
      <c r="J646" s="14" t="n">
        <v>250</v>
      </c>
      <c r="K646" s="14" t="n">
        <v>350</v>
      </c>
      <c r="L646" s="20" t="n">
        <f aca="false">INDEX('Read me'!$B$10:$B$15,5)</f>
        <v>1.2</v>
      </c>
      <c r="M646" s="14" t="n">
        <f aca="false">IF(F646*(1+'Read me'!$B$5)&lt;='Read me'!$B$7,CEILING(F646*(1+'Read me'!$B$5)+0.5,1)-0.5,CEILING(F646*(1+'Read me'!$B$5),5))</f>
        <v>275</v>
      </c>
      <c r="N646" s="14" t="n">
        <f aca="false">IF(MAX(M646*L646,M646+'Read me'!$B$6)&lt;='Read me'!$B$7,CEILING(MAX(M646*L646,M646+'Read me'!$B$6)+0.5,1)-0.5,CEILING(MAX(M646*L646,M646+'Read me'!$B$6),5))</f>
        <v>330</v>
      </c>
      <c r="O646" s="21" t="n">
        <f aca="false">IF(ISNUMBER(J646),M646-J646,"new")</f>
        <v>25</v>
      </c>
    </row>
    <row r="647" customFormat="false" ht="15" hidden="false" customHeight="false" outlineLevel="0" collapsed="false">
      <c r="A647" s="2" t="s">
        <v>778</v>
      </c>
      <c r="B647" s="2" t="s">
        <v>221</v>
      </c>
      <c r="C647" s="2" t="s">
        <v>221</v>
      </c>
      <c r="D647" s="2" t="s">
        <v>16</v>
      </c>
      <c r="E647" s="2" t="s">
        <v>48</v>
      </c>
      <c r="F647" s="14" t="n">
        <v>137.96</v>
      </c>
      <c r="G647" s="2" t="n">
        <v>0</v>
      </c>
      <c r="H647" s="2" t="n">
        <v>76</v>
      </c>
      <c r="I647" s="20" t="n">
        <v>1.1</v>
      </c>
      <c r="J647" s="14"/>
      <c r="K647" s="14"/>
      <c r="L647" s="20" t="n">
        <f aca="false">INDEX('Read me'!$B$10:$B$15,6)</f>
        <v>1.2</v>
      </c>
      <c r="M647" s="14" t="n">
        <f aca="false">IF(F647*(1+'Read me'!$B$5)&lt;='Read me'!$B$7,CEILING(F647*(1+'Read me'!$B$5)+0.5,1)-0.5,CEILING(F647*(1+'Read me'!$B$5),5))</f>
        <v>140</v>
      </c>
      <c r="N647" s="14" t="n">
        <f aca="false">IF(MAX(M647*L647,M647+'Read me'!$B$6)&lt;='Read me'!$B$7,CEILING(MAX(M647*L647,M647+'Read me'!$B$6)+0.5,1)-0.5,CEILING(MAX(M647*L647,M647+'Read me'!$B$6),5))</f>
        <v>170</v>
      </c>
      <c r="O647" s="21" t="str">
        <f aca="false">IF(ISNUMBER(J647),M647-J647,"new")</f>
        <v>new</v>
      </c>
    </row>
    <row r="648" customFormat="false" ht="15" hidden="false" customHeight="false" outlineLevel="0" collapsed="false">
      <c r="A648" s="2" t="s">
        <v>779</v>
      </c>
      <c r="B648" s="2" t="s">
        <v>221</v>
      </c>
      <c r="C648" s="2" t="s">
        <v>221</v>
      </c>
      <c r="D648" s="2" t="s">
        <v>16</v>
      </c>
      <c r="E648" s="2" t="s">
        <v>49</v>
      </c>
      <c r="F648" s="14" t="n">
        <v>256.54</v>
      </c>
      <c r="G648" s="2" t="n">
        <v>1</v>
      </c>
      <c r="H648" s="2" t="n">
        <v>76</v>
      </c>
      <c r="I648" s="20" t="n">
        <v>1.1</v>
      </c>
      <c r="J648" s="14"/>
      <c r="K648" s="14"/>
      <c r="L648" s="20" t="n">
        <f aca="false">INDEX('Read me'!$B$10:$B$15,6)</f>
        <v>1.2</v>
      </c>
      <c r="M648" s="14" t="n">
        <f aca="false">IF(F648*(1+'Read me'!$B$5)&lt;='Read me'!$B$7,CEILING(F648*(1+'Read me'!$B$5)+0.5,1)-0.5,CEILING(F648*(1+'Read me'!$B$5),5))</f>
        <v>260</v>
      </c>
      <c r="N648" s="14" t="n">
        <f aca="false">IF(MAX(M648*L648,M648+'Read me'!$B$6)&lt;='Read me'!$B$7,CEILING(MAX(M648*L648,M648+'Read me'!$B$6)+0.5,1)-0.5,CEILING(MAX(M648*L648,M648+'Read me'!$B$6),5))</f>
        <v>315</v>
      </c>
      <c r="O648" s="21" t="str">
        <f aca="false">IF(ISNUMBER(J648),M648-J648,"new")</f>
        <v>new</v>
      </c>
    </row>
    <row r="649" customFormat="false" ht="15" hidden="false" customHeight="false" outlineLevel="0" collapsed="false">
      <c r="A649" s="2" t="s">
        <v>780</v>
      </c>
      <c r="B649" s="2" t="s">
        <v>221</v>
      </c>
      <c r="C649" s="2" t="s">
        <v>221</v>
      </c>
      <c r="D649" s="2" t="s">
        <v>16</v>
      </c>
      <c r="E649" s="2" t="s">
        <v>50</v>
      </c>
      <c r="F649" s="14" t="n">
        <v>325.56</v>
      </c>
      <c r="G649" s="2" t="n">
        <v>0</v>
      </c>
      <c r="H649" s="2" t="n">
        <v>76</v>
      </c>
      <c r="I649" s="20" t="n">
        <v>1.1</v>
      </c>
      <c r="J649" s="14"/>
      <c r="K649" s="14"/>
      <c r="L649" s="20" t="n">
        <f aca="false">INDEX('Read me'!$B$10:$B$15,6)</f>
        <v>1.2</v>
      </c>
      <c r="M649" s="14" t="n">
        <f aca="false">IF(F649*(1+'Read me'!$B$5)&lt;='Read me'!$B$7,CEILING(F649*(1+'Read me'!$B$5)+0.5,1)-0.5,CEILING(F649*(1+'Read me'!$B$5),5))</f>
        <v>330</v>
      </c>
      <c r="N649" s="14" t="n">
        <f aca="false">IF(MAX(M649*L649,M649+'Read me'!$B$6)&lt;='Read me'!$B$7,CEILING(MAX(M649*L649,M649+'Read me'!$B$6)+0.5,1)-0.5,CEILING(MAX(M649*L649,M649+'Read me'!$B$6),5))</f>
        <v>400</v>
      </c>
      <c r="O649" s="21" t="str">
        <f aca="false">IF(ISNUMBER(J649),M649-J649,"new")</f>
        <v>new</v>
      </c>
    </row>
    <row r="650" customFormat="false" ht="15" hidden="false" customHeight="false" outlineLevel="0" collapsed="false">
      <c r="A650" s="2" t="s">
        <v>781</v>
      </c>
      <c r="B650" s="2" t="s">
        <v>221</v>
      </c>
      <c r="C650" s="2" t="s">
        <v>146</v>
      </c>
      <c r="D650" s="2" t="s">
        <v>10</v>
      </c>
      <c r="E650" s="2" t="s">
        <v>48</v>
      </c>
      <c r="F650" s="14" t="n">
        <v>16.35</v>
      </c>
      <c r="G650" s="2" t="n">
        <v>7</v>
      </c>
      <c r="H650" s="2" t="n">
        <v>29</v>
      </c>
      <c r="I650" s="20" t="n">
        <v>1.26</v>
      </c>
      <c r="J650" s="14" t="n">
        <v>14.5</v>
      </c>
      <c r="K650" s="14" t="n">
        <v>19.5</v>
      </c>
      <c r="L650" s="20" t="n">
        <f aca="false">INDEX('Read me'!$B$10:$B$15,1)</f>
        <v>1.34</v>
      </c>
      <c r="M650" s="14" t="n">
        <f aca="false">IF(F650*(1+'Read me'!$B$5)&lt;='Read me'!$B$7,CEILING(F650*(1+'Read me'!$B$5)+0.5,1)-0.5,CEILING(F650*(1+'Read me'!$B$5),5))</f>
        <v>16.5</v>
      </c>
      <c r="N650" s="14" t="n">
        <f aca="false">IF(MAX(M650*L650,M650+'Read me'!$B$6)&lt;='Read me'!$B$7,CEILING(MAX(M650*L650,M650+'Read me'!$B$6)+0.5,1)-0.5,CEILING(MAX(M650*L650,M650+'Read me'!$B$6),5))</f>
        <v>22.5</v>
      </c>
      <c r="O650" s="21" t="n">
        <f aca="false">IF(ISNUMBER(J650),M650-J650,"new")</f>
        <v>2</v>
      </c>
    </row>
    <row r="651" customFormat="false" ht="15" hidden="false" customHeight="false" outlineLevel="0" collapsed="false">
      <c r="A651" s="2" t="s">
        <v>782</v>
      </c>
      <c r="B651" s="2" t="s">
        <v>221</v>
      </c>
      <c r="C651" s="2" t="s">
        <v>146</v>
      </c>
      <c r="D651" s="2" t="s">
        <v>10</v>
      </c>
      <c r="E651" s="2" t="s">
        <v>49</v>
      </c>
      <c r="F651" s="14" t="n">
        <v>19.53</v>
      </c>
      <c r="G651" s="2" t="n">
        <v>4</v>
      </c>
      <c r="H651" s="2" t="n">
        <v>29</v>
      </c>
      <c r="I651" s="20" t="n">
        <v>1.26</v>
      </c>
      <c r="J651" s="14" t="n">
        <v>14.5</v>
      </c>
      <c r="K651" s="14" t="n">
        <v>19.5</v>
      </c>
      <c r="L651" s="20" t="n">
        <f aca="false">INDEX('Read me'!$B$10:$B$15,1)</f>
        <v>1.34</v>
      </c>
      <c r="M651" s="14" t="n">
        <f aca="false">IF(F651*(1+'Read me'!$B$5)&lt;='Read me'!$B$7,CEILING(F651*(1+'Read me'!$B$5)+0.5,1)-0.5,CEILING(F651*(1+'Read me'!$B$5),5))</f>
        <v>20.5</v>
      </c>
      <c r="N651" s="14" t="n">
        <f aca="false">IF(MAX(M651*L651,M651+'Read me'!$B$6)&lt;='Read me'!$B$7,CEILING(MAX(M651*L651,M651+'Read me'!$B$6)+0.5,1)-0.5,CEILING(MAX(M651*L651,M651+'Read me'!$B$6),5))</f>
        <v>27.5</v>
      </c>
      <c r="O651" s="21" t="n">
        <f aca="false">IF(ISNUMBER(J651),M651-J651,"new")</f>
        <v>6</v>
      </c>
    </row>
    <row r="652" customFormat="false" ht="15" hidden="false" customHeight="false" outlineLevel="0" collapsed="false">
      <c r="A652" s="2" t="s">
        <v>783</v>
      </c>
      <c r="B652" s="2" t="s">
        <v>221</v>
      </c>
      <c r="C652" s="2" t="s">
        <v>146</v>
      </c>
      <c r="D652" s="2" t="s">
        <v>10</v>
      </c>
      <c r="E652" s="2" t="s">
        <v>50</v>
      </c>
      <c r="F652" s="14" t="n">
        <v>25.31</v>
      </c>
      <c r="G652" s="2" t="n">
        <v>0</v>
      </c>
      <c r="H652" s="2" t="n">
        <v>29</v>
      </c>
      <c r="I652" s="20" t="n">
        <v>1.26</v>
      </c>
      <c r="J652" s="14" t="n">
        <v>17.5</v>
      </c>
      <c r="K652" s="14" t="n">
        <v>29.5</v>
      </c>
      <c r="L652" s="20" t="n">
        <f aca="false">INDEX('Read me'!$B$10:$B$15,1)</f>
        <v>1.34</v>
      </c>
      <c r="M652" s="14" t="n">
        <f aca="false">IF(F652*(1+'Read me'!$B$5)&lt;='Read me'!$B$7,CEILING(F652*(1+'Read me'!$B$5)+0.5,1)-0.5,CEILING(F652*(1+'Read me'!$B$5),5))</f>
        <v>25.5</v>
      </c>
      <c r="N652" s="14" t="n">
        <f aca="false">IF(MAX(M652*L652,M652+'Read me'!$B$6)&lt;='Read me'!$B$7,CEILING(MAX(M652*L652,M652+'Read me'!$B$6)+0.5,1)-0.5,CEILING(MAX(M652*L652,M652+'Read me'!$B$6),5))</f>
        <v>35</v>
      </c>
      <c r="O652" s="21" t="n">
        <f aca="false">IF(ISNUMBER(J652),M652-J652,"new")</f>
        <v>8</v>
      </c>
    </row>
    <row r="653" customFormat="false" ht="15" hidden="false" customHeight="false" outlineLevel="0" collapsed="false">
      <c r="A653" s="2" t="s">
        <v>784</v>
      </c>
      <c r="B653" s="2" t="s">
        <v>221</v>
      </c>
      <c r="C653" s="2" t="s">
        <v>146</v>
      </c>
      <c r="D653" s="2" t="s">
        <v>12</v>
      </c>
      <c r="E653" s="2" t="s">
        <v>48</v>
      </c>
      <c r="F653" s="14" t="n">
        <v>60.23</v>
      </c>
      <c r="G653" s="2" t="n">
        <v>5</v>
      </c>
      <c r="H653" s="2" t="n">
        <v>29</v>
      </c>
      <c r="I653" s="20" t="n">
        <v>1.26</v>
      </c>
      <c r="J653" s="14" t="n">
        <v>19.5</v>
      </c>
      <c r="K653" s="14" t="n">
        <v>24.5</v>
      </c>
      <c r="L653" s="20" t="n">
        <f aca="false">INDEX('Read me'!$B$10:$B$15,2)</f>
        <v>1.26</v>
      </c>
      <c r="M653" s="14" t="n">
        <f aca="false">IF(F653*(1+'Read me'!$B$5)&lt;='Read me'!$B$7,CEILING(F653*(1+'Read me'!$B$5)+0.5,1)-0.5,CEILING(F653*(1+'Read me'!$B$5),5))</f>
        <v>65</v>
      </c>
      <c r="N653" s="14" t="n">
        <f aca="false">IF(MAX(M653*L653,M653+'Read me'!$B$6)&lt;='Read me'!$B$7,CEILING(MAX(M653*L653,M653+'Read me'!$B$6)+0.5,1)-0.5,CEILING(MAX(M653*L653,M653+'Read me'!$B$6),5))</f>
        <v>85</v>
      </c>
      <c r="O653" s="21" t="n">
        <f aca="false">IF(ISNUMBER(J653),M653-J653,"new")</f>
        <v>45.5</v>
      </c>
    </row>
    <row r="654" customFormat="false" ht="15" hidden="false" customHeight="false" outlineLevel="0" collapsed="false">
      <c r="A654" s="2" t="s">
        <v>785</v>
      </c>
      <c r="B654" s="2" t="s">
        <v>221</v>
      </c>
      <c r="C654" s="2" t="s">
        <v>146</v>
      </c>
      <c r="D654" s="2" t="s">
        <v>12</v>
      </c>
      <c r="E654" s="2" t="s">
        <v>49</v>
      </c>
      <c r="F654" s="14" t="n">
        <v>78.99</v>
      </c>
      <c r="G654" s="2" t="n">
        <v>8</v>
      </c>
      <c r="H654" s="2" t="n">
        <v>29</v>
      </c>
      <c r="I654" s="20" t="n">
        <v>1.26</v>
      </c>
      <c r="J654" s="14" t="n">
        <v>19.5</v>
      </c>
      <c r="K654" s="14" t="n">
        <v>24.5</v>
      </c>
      <c r="L654" s="20" t="n">
        <f aca="false">INDEX('Read me'!$B$10:$B$15,2)</f>
        <v>1.26</v>
      </c>
      <c r="M654" s="14" t="n">
        <f aca="false">IF(F654*(1+'Read me'!$B$5)&lt;='Read me'!$B$7,CEILING(F654*(1+'Read me'!$B$5)+0.5,1)-0.5,CEILING(F654*(1+'Read me'!$B$5),5))</f>
        <v>80</v>
      </c>
      <c r="N654" s="14" t="n">
        <f aca="false">IF(MAX(M654*L654,M654+'Read me'!$B$6)&lt;='Read me'!$B$7,CEILING(MAX(M654*L654,M654+'Read me'!$B$6)+0.5,1)-0.5,CEILING(MAX(M654*L654,M654+'Read me'!$B$6),5))</f>
        <v>105</v>
      </c>
      <c r="O654" s="21" t="n">
        <f aca="false">IF(ISNUMBER(J654),M654-J654,"new")</f>
        <v>60.5</v>
      </c>
    </row>
    <row r="655" customFormat="false" ht="15" hidden="false" customHeight="false" outlineLevel="0" collapsed="false">
      <c r="A655" s="2" t="s">
        <v>786</v>
      </c>
      <c r="B655" s="2" t="s">
        <v>221</v>
      </c>
      <c r="C655" s="2" t="s">
        <v>146</v>
      </c>
      <c r="D655" s="2" t="s">
        <v>12</v>
      </c>
      <c r="E655" s="2" t="s">
        <v>50</v>
      </c>
      <c r="F655" s="14" t="n">
        <v>78.99</v>
      </c>
      <c r="G655" s="2" t="n">
        <v>0</v>
      </c>
      <c r="H655" s="2" t="n">
        <v>29</v>
      </c>
      <c r="I655" s="20" t="n">
        <v>1.26</v>
      </c>
      <c r="J655" s="14" t="n">
        <v>19.5</v>
      </c>
      <c r="K655" s="14" t="n">
        <v>34.5</v>
      </c>
      <c r="L655" s="20" t="n">
        <f aca="false">INDEX('Read me'!$B$10:$B$15,2)</f>
        <v>1.26</v>
      </c>
      <c r="M655" s="14" t="n">
        <f aca="false">IF(F655*(1+'Read me'!$B$5)&lt;='Read me'!$B$7,CEILING(F655*(1+'Read me'!$B$5)+0.5,1)-0.5,CEILING(F655*(1+'Read me'!$B$5),5))</f>
        <v>80</v>
      </c>
      <c r="N655" s="14" t="n">
        <f aca="false">IF(MAX(M655*L655,M655+'Read me'!$B$6)&lt;='Read me'!$B$7,CEILING(MAX(M655*L655,M655+'Read me'!$B$6)+0.5,1)-0.5,CEILING(MAX(M655*L655,M655+'Read me'!$B$6),5))</f>
        <v>105</v>
      </c>
      <c r="O655" s="21" t="n">
        <f aca="false">IF(ISNUMBER(J655),M655-J655,"new")</f>
        <v>60.5</v>
      </c>
    </row>
    <row r="656" customFormat="false" ht="15" hidden="false" customHeight="false" outlineLevel="0" collapsed="false">
      <c r="A656" s="2" t="s">
        <v>787</v>
      </c>
      <c r="B656" s="2" t="s">
        <v>221</v>
      </c>
      <c r="C656" s="2" t="s">
        <v>146</v>
      </c>
      <c r="D656" s="2" t="s">
        <v>13</v>
      </c>
      <c r="E656" s="2" t="s">
        <v>48</v>
      </c>
      <c r="F656" s="14" t="n">
        <v>104.27</v>
      </c>
      <c r="G656" s="2" t="n">
        <v>0</v>
      </c>
      <c r="H656" s="2" t="n">
        <v>29</v>
      </c>
      <c r="I656" s="20" t="n">
        <v>1.26</v>
      </c>
      <c r="J656" s="14" t="n">
        <v>24.5</v>
      </c>
      <c r="K656" s="14" t="n">
        <v>75</v>
      </c>
      <c r="L656" s="20" t="n">
        <f aca="false">INDEX('Read me'!$B$10:$B$15,3)</f>
        <v>1.35</v>
      </c>
      <c r="M656" s="14" t="n">
        <f aca="false">IF(F656*(1+'Read me'!$B$5)&lt;='Read me'!$B$7,CEILING(F656*(1+'Read me'!$B$5)+0.5,1)-0.5,CEILING(F656*(1+'Read me'!$B$5),5))</f>
        <v>105</v>
      </c>
      <c r="N656" s="14" t="n">
        <f aca="false">IF(MAX(M656*L656,M656+'Read me'!$B$6)&lt;='Read me'!$B$7,CEILING(MAX(M656*L656,M656+'Read me'!$B$6)+0.5,1)-0.5,CEILING(MAX(M656*L656,M656+'Read me'!$B$6),5))</f>
        <v>145</v>
      </c>
      <c r="O656" s="21" t="n">
        <f aca="false">IF(ISNUMBER(J656),M656-J656,"new")</f>
        <v>80.5</v>
      </c>
    </row>
    <row r="657" customFormat="false" ht="15" hidden="false" customHeight="false" outlineLevel="0" collapsed="false">
      <c r="A657" s="2" t="s">
        <v>788</v>
      </c>
      <c r="B657" s="2" t="s">
        <v>221</v>
      </c>
      <c r="C657" s="2" t="s">
        <v>146</v>
      </c>
      <c r="D657" s="2" t="s">
        <v>13</v>
      </c>
      <c r="E657" s="2" t="s">
        <v>49</v>
      </c>
      <c r="F657" s="14" t="n">
        <v>130.65</v>
      </c>
      <c r="G657" s="2" t="n">
        <v>3</v>
      </c>
      <c r="H657" s="2" t="n">
        <v>29</v>
      </c>
      <c r="I657" s="20" t="n">
        <v>1.26</v>
      </c>
      <c r="J657" s="14" t="n">
        <v>24.5</v>
      </c>
      <c r="K657" s="14" t="n">
        <v>75</v>
      </c>
      <c r="L657" s="20" t="n">
        <f aca="false">INDEX('Read me'!$B$10:$B$15,3)</f>
        <v>1.35</v>
      </c>
      <c r="M657" s="14" t="n">
        <f aca="false">IF(F657*(1+'Read me'!$B$5)&lt;='Read me'!$B$7,CEILING(F657*(1+'Read me'!$B$5)+0.5,1)-0.5,CEILING(F657*(1+'Read me'!$B$5),5))</f>
        <v>135</v>
      </c>
      <c r="N657" s="14" t="n">
        <f aca="false">IF(MAX(M657*L657,M657+'Read me'!$B$6)&lt;='Read me'!$B$7,CEILING(MAX(M657*L657,M657+'Read me'!$B$6)+0.5,1)-0.5,CEILING(MAX(M657*L657,M657+'Read me'!$B$6),5))</f>
        <v>185</v>
      </c>
      <c r="O657" s="21" t="n">
        <f aca="false">IF(ISNUMBER(J657),M657-J657,"new")</f>
        <v>110.5</v>
      </c>
    </row>
    <row r="658" customFormat="false" ht="15" hidden="false" customHeight="false" outlineLevel="0" collapsed="false">
      <c r="A658" s="2" t="s">
        <v>789</v>
      </c>
      <c r="B658" s="2" t="s">
        <v>221</v>
      </c>
      <c r="C658" s="2" t="s">
        <v>146</v>
      </c>
      <c r="D658" s="2" t="s">
        <v>13</v>
      </c>
      <c r="E658" s="2" t="s">
        <v>50</v>
      </c>
      <c r="F658" s="14" t="n">
        <v>157.75</v>
      </c>
      <c r="G658" s="2" t="n">
        <v>0</v>
      </c>
      <c r="H658" s="2" t="n">
        <v>29</v>
      </c>
      <c r="I658" s="20" t="n">
        <v>1.26</v>
      </c>
      <c r="J658" s="14" t="n">
        <v>85</v>
      </c>
      <c r="K658" s="14" t="n">
        <v>125</v>
      </c>
      <c r="L658" s="20" t="n">
        <f aca="false">INDEX('Read me'!$B$10:$B$15,3)</f>
        <v>1.35</v>
      </c>
      <c r="M658" s="14" t="n">
        <f aca="false">IF(F658*(1+'Read me'!$B$5)&lt;='Read me'!$B$7,CEILING(F658*(1+'Read me'!$B$5)+0.5,1)-0.5,CEILING(F658*(1+'Read me'!$B$5),5))</f>
        <v>160</v>
      </c>
      <c r="N658" s="14" t="n">
        <f aca="false">IF(MAX(M658*L658,M658+'Read me'!$B$6)&lt;='Read me'!$B$7,CEILING(MAX(M658*L658,M658+'Read me'!$B$6)+0.5,1)-0.5,CEILING(MAX(M658*L658,M658+'Read me'!$B$6),5))</f>
        <v>220</v>
      </c>
      <c r="O658" s="21" t="n">
        <f aca="false">IF(ISNUMBER(J658),M658-J658,"new")</f>
        <v>75</v>
      </c>
    </row>
    <row r="659" customFormat="false" ht="15" hidden="false" customHeight="false" outlineLevel="0" collapsed="false">
      <c r="A659" s="2" t="s">
        <v>790</v>
      </c>
      <c r="B659" s="2" t="s">
        <v>221</v>
      </c>
      <c r="C659" s="2" t="s">
        <v>146</v>
      </c>
      <c r="D659" s="2" t="s">
        <v>14</v>
      </c>
      <c r="E659" s="2" t="s">
        <v>48</v>
      </c>
      <c r="F659" s="14" t="n">
        <v>180.56</v>
      </c>
      <c r="G659" s="2" t="n">
        <v>0</v>
      </c>
      <c r="H659" s="2" t="n">
        <v>29</v>
      </c>
      <c r="I659" s="20" t="n">
        <v>1.26</v>
      </c>
      <c r="J659" s="14" t="n">
        <v>85</v>
      </c>
      <c r="K659" s="14" t="n">
        <v>125</v>
      </c>
      <c r="L659" s="20" t="n">
        <f aca="false">INDEX('Read me'!$B$10:$B$15,4)</f>
        <v>1.2</v>
      </c>
      <c r="M659" s="14" t="n">
        <f aca="false">IF(F659*(1+'Read me'!$B$5)&lt;='Read me'!$B$7,CEILING(F659*(1+'Read me'!$B$5)+0.5,1)-0.5,CEILING(F659*(1+'Read me'!$B$5),5))</f>
        <v>185</v>
      </c>
      <c r="N659" s="14" t="n">
        <f aca="false">IF(MAX(M659*L659,M659+'Read me'!$B$6)&lt;='Read me'!$B$7,CEILING(MAX(M659*L659,M659+'Read me'!$B$6)+0.5,1)-0.5,CEILING(MAX(M659*L659,M659+'Read me'!$B$6),5))</f>
        <v>225</v>
      </c>
      <c r="O659" s="21" t="n">
        <f aca="false">IF(ISNUMBER(J659),M659-J659,"new")</f>
        <v>100</v>
      </c>
    </row>
    <row r="660" customFormat="false" ht="15" hidden="false" customHeight="false" outlineLevel="0" collapsed="false">
      <c r="A660" s="2" t="s">
        <v>791</v>
      </c>
      <c r="B660" s="2" t="s">
        <v>221</v>
      </c>
      <c r="C660" s="2" t="s">
        <v>146</v>
      </c>
      <c r="D660" s="2" t="s">
        <v>14</v>
      </c>
      <c r="E660" s="2" t="s">
        <v>49</v>
      </c>
      <c r="F660" s="14" t="n">
        <v>208.27</v>
      </c>
      <c r="G660" s="2" t="n">
        <v>2</v>
      </c>
      <c r="H660" s="2" t="n">
        <v>29</v>
      </c>
      <c r="I660" s="20" t="n">
        <v>1.26</v>
      </c>
      <c r="J660" s="14" t="n">
        <v>125</v>
      </c>
      <c r="K660" s="14" t="n">
        <v>125</v>
      </c>
      <c r="L660" s="20" t="n">
        <f aca="false">INDEX('Read me'!$B$10:$B$15,4)</f>
        <v>1.2</v>
      </c>
      <c r="M660" s="14" t="n">
        <f aca="false">IF(F660*(1+'Read me'!$B$5)&lt;='Read me'!$B$7,CEILING(F660*(1+'Read me'!$B$5)+0.5,1)-0.5,CEILING(F660*(1+'Read me'!$B$5),5))</f>
        <v>210</v>
      </c>
      <c r="N660" s="14" t="n">
        <f aca="false">IF(MAX(M660*L660,M660+'Read me'!$B$6)&lt;='Read me'!$B$7,CEILING(MAX(M660*L660,M660+'Read me'!$B$6)+0.5,1)-0.5,CEILING(MAX(M660*L660,M660+'Read me'!$B$6),5))</f>
        <v>255</v>
      </c>
      <c r="O660" s="21" t="n">
        <f aca="false">IF(ISNUMBER(J660),M660-J660,"new")</f>
        <v>85</v>
      </c>
    </row>
    <row r="661" customFormat="false" ht="15" hidden="false" customHeight="false" outlineLevel="0" collapsed="false">
      <c r="A661" s="2" t="s">
        <v>792</v>
      </c>
      <c r="B661" s="2" t="s">
        <v>221</v>
      </c>
      <c r="C661" s="2" t="s">
        <v>146</v>
      </c>
      <c r="D661" s="2" t="s">
        <v>14</v>
      </c>
      <c r="E661" s="2" t="s">
        <v>50</v>
      </c>
      <c r="F661" s="14" t="n">
        <v>261.26</v>
      </c>
      <c r="G661" s="2" t="n">
        <v>0</v>
      </c>
      <c r="H661" s="2" t="n">
        <v>29</v>
      </c>
      <c r="I661" s="20" t="n">
        <v>1.26</v>
      </c>
      <c r="J661" s="14" t="n">
        <v>199</v>
      </c>
      <c r="K661" s="14" t="n">
        <v>175</v>
      </c>
      <c r="L661" s="20" t="n">
        <f aca="false">INDEX('Read me'!$B$10:$B$15,4)</f>
        <v>1.2</v>
      </c>
      <c r="M661" s="14" t="n">
        <f aca="false">IF(F661*(1+'Read me'!$B$5)&lt;='Read me'!$B$7,CEILING(F661*(1+'Read me'!$B$5)+0.5,1)-0.5,CEILING(F661*(1+'Read me'!$B$5),5))</f>
        <v>265</v>
      </c>
      <c r="N661" s="14" t="n">
        <f aca="false">IF(MAX(M661*L661,M661+'Read me'!$B$6)&lt;='Read me'!$B$7,CEILING(MAX(M661*L661,M661+'Read me'!$B$6)+0.5,1)-0.5,CEILING(MAX(M661*L661,M661+'Read me'!$B$6),5))</f>
        <v>320</v>
      </c>
      <c r="O661" s="21" t="n">
        <f aca="false">IF(ISNUMBER(J661),M661-J661,"new")</f>
        <v>66</v>
      </c>
    </row>
    <row r="662" customFormat="false" ht="15" hidden="false" customHeight="false" outlineLevel="0" collapsed="false">
      <c r="A662" s="2" t="s">
        <v>793</v>
      </c>
      <c r="B662" s="2" t="s">
        <v>221</v>
      </c>
      <c r="C662" s="2" t="s">
        <v>146</v>
      </c>
      <c r="D662" s="2" t="s">
        <v>15</v>
      </c>
      <c r="E662" s="2" t="s">
        <v>48</v>
      </c>
      <c r="F662" s="14" t="n">
        <v>229.17</v>
      </c>
      <c r="G662" s="2" t="n">
        <v>0</v>
      </c>
      <c r="H662" s="2" t="n">
        <v>29</v>
      </c>
      <c r="I662" s="20" t="n">
        <v>1.26</v>
      </c>
      <c r="J662" s="14" t="n">
        <v>250</v>
      </c>
      <c r="K662" s="14" t="n">
        <v>300</v>
      </c>
      <c r="L662" s="20" t="n">
        <f aca="false">INDEX('Read me'!$B$10:$B$15,5)</f>
        <v>1.2</v>
      </c>
      <c r="M662" s="14" t="n">
        <f aca="false">IF(F662*(1+'Read me'!$B$5)&lt;='Read me'!$B$7,CEILING(F662*(1+'Read me'!$B$5)+0.5,1)-0.5,CEILING(F662*(1+'Read me'!$B$5),5))</f>
        <v>230</v>
      </c>
      <c r="N662" s="14" t="n">
        <f aca="false">IF(MAX(M662*L662,M662+'Read me'!$B$6)&lt;='Read me'!$B$7,CEILING(MAX(M662*L662,M662+'Read me'!$B$6)+0.5,1)-0.5,CEILING(MAX(M662*L662,M662+'Read me'!$B$6),5))</f>
        <v>280</v>
      </c>
      <c r="O662" s="21" t="n">
        <f aca="false">IF(ISNUMBER(J662),M662-J662,"new")</f>
        <v>-20</v>
      </c>
    </row>
    <row r="663" customFormat="false" ht="15" hidden="false" customHeight="false" outlineLevel="0" collapsed="false">
      <c r="A663" s="2" t="s">
        <v>794</v>
      </c>
      <c r="B663" s="2" t="s">
        <v>221</v>
      </c>
      <c r="C663" s="2" t="s">
        <v>146</v>
      </c>
      <c r="D663" s="2" t="s">
        <v>15</v>
      </c>
      <c r="E663" s="2" t="s">
        <v>49</v>
      </c>
      <c r="F663" s="14" t="n">
        <v>282.74</v>
      </c>
      <c r="G663" s="2" t="n">
        <v>0</v>
      </c>
      <c r="H663" s="2" t="n">
        <v>29</v>
      </c>
      <c r="I663" s="20" t="n">
        <v>1.26</v>
      </c>
      <c r="J663" s="14" t="n">
        <v>250</v>
      </c>
      <c r="K663" s="14" t="n">
        <v>300</v>
      </c>
      <c r="L663" s="20" t="n">
        <f aca="false">INDEX('Read me'!$B$10:$B$15,5)</f>
        <v>1.2</v>
      </c>
      <c r="M663" s="14" t="n">
        <f aca="false">N663</f>
        <v>345</v>
      </c>
      <c r="N663" s="14" t="n">
        <f aca="false">IF(MAX((IF(F663*(1+'Read me'!$B$5)&lt;='Read me'!$B$7,CEILING(F663*(1+'Read me'!$B$5)+0.5,1)-0.5,CEILING(F663*(1+'Read me'!$B$5),5)))*L663,(IF(F663*(1+'Read me'!$B$5)&lt;='Read me'!$B$7,CEILING(F663*(1+'Read me'!$B$5)+0.5,1)-0.5,CEILING(F663*(1+'Read me'!$B$5),5)))+'Read me'!$B$6)&lt;='Read me'!$B$7,CEILING(MAX((IF(F663*(1+'Read me'!$B$5)&lt;='Read me'!$B$7,CEILING(F663*(1+'Read me'!$B$5)+0.5,1)-0.5,CEILING(F663*(1+'Read me'!$B$5),5)))*L663,(IF(F663*(1+'Read me'!$B$5)&lt;='Read me'!$B$7,CEILING(F663*(1+'Read me'!$B$5)+0.5,1)-0.5,CEILING(F663*(1+'Read me'!$B$5),5)))+'Read me'!$B$6)+0.5,1)-0.5,CEILING(MAX((IF(F663*(1+'Read me'!$B$5)&lt;='Read me'!$B$7,CEILING(F663*(1+'Read me'!$B$5)+0.5,1)-0.5,CEILING(F663*(1+'Read me'!$B$5),5)))*L663,(IF(F663*(1+'Read me'!$B$5)&lt;='Read me'!$B$7,CEILING(F663*(1+'Read me'!$B$5)+0.5,1)-0.5,CEILING(F663*(1+'Read me'!$B$5),5)))+'Read me'!$B$6),5))</f>
        <v>345</v>
      </c>
      <c r="O663" s="21" t="n">
        <f aca="false">IF(ISNUMBER(J663),M663-J663,"new")</f>
        <v>95</v>
      </c>
      <c r="P663" s="5" t="s">
        <v>140</v>
      </c>
    </row>
    <row r="664" customFormat="false" ht="15" hidden="false" customHeight="false" outlineLevel="0" collapsed="false">
      <c r="A664" s="2" t="s">
        <v>795</v>
      </c>
      <c r="B664" s="2" t="s">
        <v>221</v>
      </c>
      <c r="C664" s="2" t="s">
        <v>146</v>
      </c>
      <c r="D664" s="2" t="s">
        <v>15</v>
      </c>
      <c r="E664" s="2" t="s">
        <v>50</v>
      </c>
      <c r="F664" s="14" t="n">
        <v>339.72</v>
      </c>
      <c r="G664" s="2" t="n">
        <v>0</v>
      </c>
      <c r="H664" s="2" t="n">
        <v>29</v>
      </c>
      <c r="I664" s="20" t="n">
        <v>1.26</v>
      </c>
      <c r="J664" s="14" t="n">
        <v>300</v>
      </c>
      <c r="K664" s="14" t="n">
        <v>400</v>
      </c>
      <c r="L664" s="20" t="n">
        <f aca="false">INDEX('Read me'!$B$10:$B$15,5)</f>
        <v>1.2</v>
      </c>
      <c r="M664" s="14" t="n">
        <f aca="false">N664</f>
        <v>410</v>
      </c>
      <c r="N664" s="14" t="n">
        <f aca="false">IF(MAX((IF(F664*(1+'Read me'!$B$5)&lt;='Read me'!$B$7,CEILING(F664*(1+'Read me'!$B$5)+0.5,1)-0.5,CEILING(F664*(1+'Read me'!$B$5),5)))*L664,(IF(F664*(1+'Read me'!$B$5)&lt;='Read me'!$B$7,CEILING(F664*(1+'Read me'!$B$5)+0.5,1)-0.5,CEILING(F664*(1+'Read me'!$B$5),5)))+'Read me'!$B$6)&lt;='Read me'!$B$7,CEILING(MAX((IF(F664*(1+'Read me'!$B$5)&lt;='Read me'!$B$7,CEILING(F664*(1+'Read me'!$B$5)+0.5,1)-0.5,CEILING(F664*(1+'Read me'!$B$5),5)))*L664,(IF(F664*(1+'Read me'!$B$5)&lt;='Read me'!$B$7,CEILING(F664*(1+'Read me'!$B$5)+0.5,1)-0.5,CEILING(F664*(1+'Read me'!$B$5),5)))+'Read me'!$B$6)+0.5,1)-0.5,CEILING(MAX((IF(F664*(1+'Read me'!$B$5)&lt;='Read me'!$B$7,CEILING(F664*(1+'Read me'!$B$5)+0.5,1)-0.5,CEILING(F664*(1+'Read me'!$B$5),5)))*L664,(IF(F664*(1+'Read me'!$B$5)&lt;='Read me'!$B$7,CEILING(F664*(1+'Read me'!$B$5)+0.5,1)-0.5,CEILING(F664*(1+'Read me'!$B$5),5)))+'Read me'!$B$6),5))</f>
        <v>410</v>
      </c>
      <c r="O664" s="21" t="n">
        <f aca="false">IF(ISNUMBER(J664),M664-J664,"new")</f>
        <v>110</v>
      </c>
      <c r="P664" s="5" t="s">
        <v>140</v>
      </c>
    </row>
    <row r="665" customFormat="false" ht="15" hidden="false" customHeight="false" outlineLevel="0" collapsed="false">
      <c r="A665" s="2" t="s">
        <v>796</v>
      </c>
      <c r="B665" s="2" t="s">
        <v>221</v>
      </c>
      <c r="C665" s="2" t="s">
        <v>146</v>
      </c>
      <c r="D665" s="2" t="s">
        <v>16</v>
      </c>
      <c r="E665" s="2" t="s">
        <v>48</v>
      </c>
      <c r="F665" s="14" t="n">
        <v>318.22</v>
      </c>
      <c r="G665" s="2" t="n">
        <v>0</v>
      </c>
      <c r="H665" s="2" t="n">
        <v>29</v>
      </c>
      <c r="I665" s="20" t="n">
        <v>1.26</v>
      </c>
      <c r="J665" s="14"/>
      <c r="K665" s="14"/>
      <c r="L665" s="20" t="n">
        <f aca="false">INDEX('Read me'!$B$10:$B$15,6)</f>
        <v>1.2</v>
      </c>
      <c r="M665" s="14" t="n">
        <f aca="false">IF(F665*(1+'Read me'!$B$5)&lt;='Read me'!$B$7,CEILING(F665*(1+'Read me'!$B$5)+0.5,1)-0.5,CEILING(F665*(1+'Read me'!$B$5),5))</f>
        <v>320</v>
      </c>
      <c r="N665" s="14" t="n">
        <f aca="false">IF(MAX(M665*L665,M665+'Read me'!$B$6)&lt;='Read me'!$B$7,CEILING(MAX(M665*L665,M665+'Read me'!$B$6)+0.5,1)-0.5,CEILING(MAX(M665*L665,M665+'Read me'!$B$6),5))</f>
        <v>385</v>
      </c>
      <c r="O665" s="21" t="str">
        <f aca="false">IF(ISNUMBER(J665),M665-J665,"new")</f>
        <v>new</v>
      </c>
    </row>
    <row r="666" customFormat="false" ht="15" hidden="false" customHeight="false" outlineLevel="0" collapsed="false">
      <c r="A666" s="2" t="s">
        <v>797</v>
      </c>
      <c r="B666" s="2" t="s">
        <v>221</v>
      </c>
      <c r="C666" s="2" t="s">
        <v>146</v>
      </c>
      <c r="D666" s="2" t="s">
        <v>16</v>
      </c>
      <c r="E666" s="2" t="s">
        <v>49</v>
      </c>
      <c r="F666" s="14" t="n">
        <v>408.9</v>
      </c>
      <c r="G666" s="2" t="n">
        <v>0</v>
      </c>
      <c r="H666" s="2" t="n">
        <v>29</v>
      </c>
      <c r="I666" s="20" t="n">
        <v>1.26</v>
      </c>
      <c r="J666" s="14"/>
      <c r="K666" s="14"/>
      <c r="L666" s="20" t="n">
        <f aca="false">INDEX('Read me'!$B$10:$B$15,6)</f>
        <v>1.2</v>
      </c>
      <c r="M666" s="14" t="n">
        <f aca="false">N666</f>
        <v>495</v>
      </c>
      <c r="N666" s="14" t="n">
        <f aca="false">IF(MAX((IF(F666*(1+'Read me'!$B$5)&lt;='Read me'!$B$7,CEILING(F666*(1+'Read me'!$B$5)+0.5,1)-0.5,CEILING(F666*(1+'Read me'!$B$5),5)))*L666,(IF(F666*(1+'Read me'!$B$5)&lt;='Read me'!$B$7,CEILING(F666*(1+'Read me'!$B$5)+0.5,1)-0.5,CEILING(F666*(1+'Read me'!$B$5),5)))+'Read me'!$B$6)&lt;='Read me'!$B$7,CEILING(MAX((IF(F666*(1+'Read me'!$B$5)&lt;='Read me'!$B$7,CEILING(F666*(1+'Read me'!$B$5)+0.5,1)-0.5,CEILING(F666*(1+'Read me'!$B$5),5)))*L666,(IF(F666*(1+'Read me'!$B$5)&lt;='Read me'!$B$7,CEILING(F666*(1+'Read me'!$B$5)+0.5,1)-0.5,CEILING(F666*(1+'Read me'!$B$5),5)))+'Read me'!$B$6)+0.5,1)-0.5,CEILING(MAX((IF(F666*(1+'Read me'!$B$5)&lt;='Read me'!$B$7,CEILING(F666*(1+'Read me'!$B$5)+0.5,1)-0.5,CEILING(F666*(1+'Read me'!$B$5),5)))*L666,(IF(F666*(1+'Read me'!$B$5)&lt;='Read me'!$B$7,CEILING(F666*(1+'Read me'!$B$5)+0.5,1)-0.5,CEILING(F666*(1+'Read me'!$B$5),5)))+'Read me'!$B$6),5))</f>
        <v>495</v>
      </c>
      <c r="O666" s="21" t="str">
        <f aca="false">IF(ISNUMBER(J666),M666-J666,"new")</f>
        <v>new</v>
      </c>
      <c r="P666" s="5" t="s">
        <v>140</v>
      </c>
    </row>
    <row r="667" customFormat="false" ht="15" hidden="false" customHeight="false" outlineLevel="0" collapsed="false">
      <c r="A667" s="2" t="s">
        <v>798</v>
      </c>
      <c r="B667" s="2" t="s">
        <v>221</v>
      </c>
      <c r="C667" s="2" t="s">
        <v>146</v>
      </c>
      <c r="D667" s="2" t="s">
        <v>16</v>
      </c>
      <c r="E667" s="2" t="s">
        <v>50</v>
      </c>
      <c r="F667" s="14" t="n">
        <v>480.61</v>
      </c>
      <c r="G667" s="2" t="n">
        <v>0</v>
      </c>
      <c r="H667" s="2" t="n">
        <v>29</v>
      </c>
      <c r="I667" s="20" t="n">
        <v>1.26</v>
      </c>
      <c r="J667" s="14"/>
      <c r="K667" s="14"/>
      <c r="L667" s="20" t="n">
        <f aca="false">INDEX('Read me'!$B$10:$B$15,6)</f>
        <v>1.2</v>
      </c>
      <c r="M667" s="14" t="n">
        <f aca="false">N667</f>
        <v>585</v>
      </c>
      <c r="N667" s="14" t="n">
        <f aca="false">IF(MAX((IF(F667*(1+'Read me'!$B$5)&lt;='Read me'!$B$7,CEILING(F667*(1+'Read me'!$B$5)+0.5,1)-0.5,CEILING(F667*(1+'Read me'!$B$5),5)))*L667,(IF(F667*(1+'Read me'!$B$5)&lt;='Read me'!$B$7,CEILING(F667*(1+'Read me'!$B$5)+0.5,1)-0.5,CEILING(F667*(1+'Read me'!$B$5),5)))+'Read me'!$B$6)&lt;='Read me'!$B$7,CEILING(MAX((IF(F667*(1+'Read me'!$B$5)&lt;='Read me'!$B$7,CEILING(F667*(1+'Read me'!$B$5)+0.5,1)-0.5,CEILING(F667*(1+'Read me'!$B$5),5)))*L667,(IF(F667*(1+'Read me'!$B$5)&lt;='Read me'!$B$7,CEILING(F667*(1+'Read me'!$B$5)+0.5,1)-0.5,CEILING(F667*(1+'Read me'!$B$5),5)))+'Read me'!$B$6)+0.5,1)-0.5,CEILING(MAX((IF(F667*(1+'Read me'!$B$5)&lt;='Read me'!$B$7,CEILING(F667*(1+'Read me'!$B$5)+0.5,1)-0.5,CEILING(F667*(1+'Read me'!$B$5),5)))*L667,(IF(F667*(1+'Read me'!$B$5)&lt;='Read me'!$B$7,CEILING(F667*(1+'Read me'!$B$5)+0.5,1)-0.5,CEILING(F667*(1+'Read me'!$B$5),5)))+'Read me'!$B$6),5))</f>
        <v>585</v>
      </c>
      <c r="O667" s="21" t="str">
        <f aca="false">IF(ISNUMBER(J667),M667-J667,"new")</f>
        <v>new</v>
      </c>
      <c r="P667" s="5" t="s">
        <v>140</v>
      </c>
    </row>
    <row r="668" customFormat="false" ht="15" hidden="false" customHeight="false" outlineLevel="0" collapsed="false">
      <c r="A668" s="2" t="s">
        <v>799</v>
      </c>
      <c r="B668" s="2" t="s">
        <v>221</v>
      </c>
      <c r="C668" s="2" t="s">
        <v>184</v>
      </c>
      <c r="D668" s="2" t="s">
        <v>10</v>
      </c>
      <c r="E668" s="2" t="s">
        <v>48</v>
      </c>
      <c r="F668" s="14" t="n">
        <v>15.25</v>
      </c>
      <c r="G668" s="2" t="n">
        <v>1</v>
      </c>
      <c r="H668" s="2" t="n">
        <v>3</v>
      </c>
      <c r="I668" s="20" t="n">
        <v>1.12</v>
      </c>
      <c r="J668" s="14" t="n">
        <v>14.5</v>
      </c>
      <c r="K668" s="14" t="n">
        <v>19.5</v>
      </c>
      <c r="L668" s="20" t="n">
        <f aca="false">INDEX('Read me'!$B$10:$B$15,1)</f>
        <v>1.34</v>
      </c>
      <c r="M668" s="14" t="n">
        <f aca="false">IF(F668*(1+'Read me'!$B$5)&lt;='Read me'!$B$7,CEILING(F668*(1+'Read me'!$B$5)+0.5,1)-0.5,CEILING(F668*(1+'Read me'!$B$5),5))</f>
        <v>15.5</v>
      </c>
      <c r="N668" s="14" t="n">
        <f aca="false">IF(MAX(M668*L668,M668+'Read me'!$B$6)&lt;='Read me'!$B$7,CEILING(MAX(M668*L668,M668+'Read me'!$B$6)+0.5,1)-0.5,CEILING(MAX(M668*L668,M668+'Read me'!$B$6),5))</f>
        <v>21.5</v>
      </c>
      <c r="O668" s="21" t="n">
        <f aca="false">IF(ISNUMBER(J668),M668-J668,"new")</f>
        <v>1</v>
      </c>
    </row>
    <row r="669" customFormat="false" ht="15" hidden="false" customHeight="false" outlineLevel="0" collapsed="false">
      <c r="A669" s="2" t="s">
        <v>800</v>
      </c>
      <c r="B669" s="2" t="s">
        <v>221</v>
      </c>
      <c r="C669" s="2" t="s">
        <v>184</v>
      </c>
      <c r="D669" s="2" t="s">
        <v>10</v>
      </c>
      <c r="E669" s="2" t="s">
        <v>49</v>
      </c>
      <c r="F669" s="14" t="n">
        <v>16.57</v>
      </c>
      <c r="G669" s="2" t="n">
        <v>1</v>
      </c>
      <c r="H669" s="2" t="n">
        <v>3</v>
      </c>
      <c r="I669" s="20" t="n">
        <v>1.12</v>
      </c>
      <c r="J669" s="14" t="n">
        <v>14.5</v>
      </c>
      <c r="K669" s="14" t="n">
        <v>19.5</v>
      </c>
      <c r="L669" s="20" t="n">
        <f aca="false">INDEX('Read me'!$B$10:$B$15,1)</f>
        <v>1.34</v>
      </c>
      <c r="M669" s="14" t="n">
        <f aca="false">IF(F669*(1+'Read me'!$B$5)&lt;='Read me'!$B$7,CEILING(F669*(1+'Read me'!$B$5)+0.5,1)-0.5,CEILING(F669*(1+'Read me'!$B$5),5))</f>
        <v>17.5</v>
      </c>
      <c r="N669" s="14" t="n">
        <f aca="false">IF(MAX(M669*L669,M669+'Read me'!$B$6)&lt;='Read me'!$B$7,CEILING(MAX(M669*L669,M669+'Read me'!$B$6)+0.5,1)-0.5,CEILING(MAX(M669*L669,M669+'Read me'!$B$6),5))</f>
        <v>23.5</v>
      </c>
      <c r="O669" s="21" t="n">
        <f aca="false">IF(ISNUMBER(J669),M669-J669,"new")</f>
        <v>3</v>
      </c>
    </row>
    <row r="670" customFormat="false" ht="15" hidden="false" customHeight="false" outlineLevel="0" collapsed="false">
      <c r="A670" s="2" t="s">
        <v>801</v>
      </c>
      <c r="B670" s="2" t="s">
        <v>221</v>
      </c>
      <c r="C670" s="2" t="s">
        <v>184</v>
      </c>
      <c r="D670" s="2" t="s">
        <v>10</v>
      </c>
      <c r="E670" s="2" t="s">
        <v>50</v>
      </c>
      <c r="F670" s="14" t="n">
        <v>22.49</v>
      </c>
      <c r="G670" s="2" t="n">
        <v>0</v>
      </c>
      <c r="H670" s="2" t="n">
        <v>3</v>
      </c>
      <c r="I670" s="20" t="n">
        <v>1.12</v>
      </c>
      <c r="J670" s="14" t="n">
        <v>17.5</v>
      </c>
      <c r="K670" s="14" t="n">
        <v>29.5</v>
      </c>
      <c r="L670" s="20" t="n">
        <f aca="false">INDEX('Read me'!$B$10:$B$15,1)</f>
        <v>1.34</v>
      </c>
      <c r="M670" s="14" t="n">
        <f aca="false">IF(F670*(1+'Read me'!$B$5)&lt;='Read me'!$B$7,CEILING(F670*(1+'Read me'!$B$5)+0.5,1)-0.5,CEILING(F670*(1+'Read me'!$B$5),5))</f>
        <v>22.5</v>
      </c>
      <c r="N670" s="14" t="n">
        <f aca="false">IF(MAX(M670*L670,M670+'Read me'!$B$6)&lt;='Read me'!$B$7,CEILING(MAX(M670*L670,M670+'Read me'!$B$6)+0.5,1)-0.5,CEILING(MAX(M670*L670,M670+'Read me'!$B$6),5))</f>
        <v>35</v>
      </c>
      <c r="O670" s="21" t="n">
        <f aca="false">IF(ISNUMBER(J670),M670-J670,"new")</f>
        <v>5</v>
      </c>
    </row>
    <row r="671" customFormat="false" ht="15" hidden="false" customHeight="false" outlineLevel="0" collapsed="false">
      <c r="A671" s="2" t="s">
        <v>802</v>
      </c>
      <c r="B671" s="2" t="s">
        <v>221</v>
      </c>
      <c r="C671" s="2" t="s">
        <v>184</v>
      </c>
      <c r="D671" s="2" t="s">
        <v>12</v>
      </c>
      <c r="E671" s="2" t="s">
        <v>48</v>
      </c>
      <c r="F671" s="14" t="n">
        <v>53.83</v>
      </c>
      <c r="G671" s="2" t="n">
        <v>0</v>
      </c>
      <c r="H671" s="2" t="n">
        <v>3</v>
      </c>
      <c r="I671" s="20" t="n">
        <v>1.12</v>
      </c>
      <c r="J671" s="14" t="n">
        <v>19.5</v>
      </c>
      <c r="K671" s="14" t="n">
        <v>24.5</v>
      </c>
      <c r="L671" s="20" t="n">
        <f aca="false">INDEX('Read me'!$B$10:$B$15,2)</f>
        <v>1.26</v>
      </c>
      <c r="M671" s="14" t="n">
        <f aca="false">IF(F671*(1+'Read me'!$B$5)&lt;='Read me'!$B$7,CEILING(F671*(1+'Read me'!$B$5)+0.5,1)-0.5,CEILING(F671*(1+'Read me'!$B$5),5))</f>
        <v>55</v>
      </c>
      <c r="N671" s="14" t="n">
        <f aca="false">IF(MAX(M671*L671,M671+'Read me'!$B$6)&lt;='Read me'!$B$7,CEILING(MAX(M671*L671,M671+'Read me'!$B$6)+0.5,1)-0.5,CEILING(MAX(M671*L671,M671+'Read me'!$B$6),5))</f>
        <v>70</v>
      </c>
      <c r="O671" s="21" t="n">
        <f aca="false">IF(ISNUMBER(J671),M671-J671,"new")</f>
        <v>35.5</v>
      </c>
    </row>
    <row r="672" customFormat="false" ht="15" hidden="false" customHeight="false" outlineLevel="0" collapsed="false">
      <c r="A672" s="2" t="s">
        <v>803</v>
      </c>
      <c r="B672" s="2" t="s">
        <v>221</v>
      </c>
      <c r="C672" s="2" t="s">
        <v>184</v>
      </c>
      <c r="D672" s="2" t="s">
        <v>12</v>
      </c>
      <c r="E672" s="2" t="s">
        <v>49</v>
      </c>
      <c r="F672" s="14" t="n">
        <v>61.97</v>
      </c>
      <c r="G672" s="2" t="n">
        <v>1</v>
      </c>
      <c r="H672" s="2" t="n">
        <v>3</v>
      </c>
      <c r="I672" s="20" t="n">
        <v>1.12</v>
      </c>
      <c r="J672" s="14" t="n">
        <v>19.5</v>
      </c>
      <c r="K672" s="14" t="n">
        <v>24.5</v>
      </c>
      <c r="L672" s="20" t="n">
        <f aca="false">INDEX('Read me'!$B$10:$B$15,2)</f>
        <v>1.26</v>
      </c>
      <c r="M672" s="14" t="n">
        <f aca="false">IF(F672*(1+'Read me'!$B$5)&lt;='Read me'!$B$7,CEILING(F672*(1+'Read me'!$B$5)+0.5,1)-0.5,CEILING(F672*(1+'Read me'!$B$5),5))</f>
        <v>65</v>
      </c>
      <c r="N672" s="14" t="n">
        <f aca="false">IF(MAX(M672*L672,M672+'Read me'!$B$6)&lt;='Read me'!$B$7,CEILING(MAX(M672*L672,M672+'Read me'!$B$6)+0.5,1)-0.5,CEILING(MAX(M672*L672,M672+'Read me'!$B$6),5))</f>
        <v>85</v>
      </c>
      <c r="O672" s="21" t="n">
        <f aca="false">IF(ISNUMBER(J672),M672-J672,"new")</f>
        <v>45.5</v>
      </c>
    </row>
    <row r="673" customFormat="false" ht="15" hidden="false" customHeight="false" outlineLevel="0" collapsed="false">
      <c r="A673" s="2" t="s">
        <v>804</v>
      </c>
      <c r="B673" s="2" t="s">
        <v>221</v>
      </c>
      <c r="C673" s="2" t="s">
        <v>184</v>
      </c>
      <c r="D673" s="2" t="s">
        <v>12</v>
      </c>
      <c r="E673" s="2" t="s">
        <v>50</v>
      </c>
      <c r="F673" s="14" t="n">
        <v>68.64</v>
      </c>
      <c r="G673" s="2" t="n">
        <v>0</v>
      </c>
      <c r="H673" s="2" t="n">
        <v>3</v>
      </c>
      <c r="I673" s="20" t="n">
        <v>1.12</v>
      </c>
      <c r="J673" s="14" t="n">
        <v>19.5</v>
      </c>
      <c r="K673" s="14" t="n">
        <v>34.5</v>
      </c>
      <c r="L673" s="20" t="n">
        <f aca="false">INDEX('Read me'!$B$10:$B$15,2)</f>
        <v>1.26</v>
      </c>
      <c r="M673" s="14" t="n">
        <f aca="false">IF(F673*(1+'Read me'!$B$5)&lt;='Read me'!$B$7,CEILING(F673*(1+'Read me'!$B$5)+0.5,1)-0.5,CEILING(F673*(1+'Read me'!$B$5),5))</f>
        <v>70</v>
      </c>
      <c r="N673" s="14" t="n">
        <f aca="false">IF(MAX(M673*L673,M673+'Read me'!$B$6)&lt;='Read me'!$B$7,CEILING(MAX(M673*L673,M673+'Read me'!$B$6)+0.5,1)-0.5,CEILING(MAX(M673*L673,M673+'Read me'!$B$6),5))</f>
        <v>90</v>
      </c>
      <c r="O673" s="21" t="n">
        <f aca="false">IF(ISNUMBER(J673),M673-J673,"new")</f>
        <v>50.5</v>
      </c>
    </row>
    <row r="674" customFormat="false" ht="15" hidden="false" customHeight="false" outlineLevel="0" collapsed="false">
      <c r="A674" s="2" t="s">
        <v>805</v>
      </c>
      <c r="B674" s="2" t="s">
        <v>221</v>
      </c>
      <c r="C674" s="2" t="s">
        <v>184</v>
      </c>
      <c r="D674" s="2" t="s">
        <v>13</v>
      </c>
      <c r="E674" s="2" t="s">
        <v>48</v>
      </c>
      <c r="F674" s="14" t="n">
        <v>92.66</v>
      </c>
      <c r="G674" s="2" t="n">
        <v>0</v>
      </c>
      <c r="H674" s="2" t="n">
        <v>3</v>
      </c>
      <c r="I674" s="20" t="n">
        <v>1.12</v>
      </c>
      <c r="J674" s="14" t="n">
        <v>24.5</v>
      </c>
      <c r="K674" s="14" t="n">
        <v>75</v>
      </c>
      <c r="L674" s="20" t="n">
        <f aca="false">INDEX('Read me'!$B$10:$B$15,3)</f>
        <v>1.35</v>
      </c>
      <c r="M674" s="14" t="n">
        <f aca="false">IF(F674*(1+'Read me'!$B$5)&lt;='Read me'!$B$7,CEILING(F674*(1+'Read me'!$B$5)+0.5,1)-0.5,CEILING(F674*(1+'Read me'!$B$5),5))</f>
        <v>95</v>
      </c>
      <c r="N674" s="14" t="n">
        <f aca="false">IF(MAX(M674*L674,M674+'Read me'!$B$6)&lt;='Read me'!$B$7,CEILING(MAX(M674*L674,M674+'Read me'!$B$6)+0.5,1)-0.5,CEILING(MAX(M674*L674,M674+'Read me'!$B$6),5))</f>
        <v>130</v>
      </c>
      <c r="O674" s="21" t="n">
        <f aca="false">IF(ISNUMBER(J674),M674-J674,"new")</f>
        <v>70.5</v>
      </c>
    </row>
    <row r="675" customFormat="false" ht="15" hidden="false" customHeight="false" outlineLevel="0" collapsed="false">
      <c r="A675" s="2" t="s">
        <v>806</v>
      </c>
      <c r="B675" s="2" t="s">
        <v>221</v>
      </c>
      <c r="C675" s="2" t="s">
        <v>184</v>
      </c>
      <c r="D675" s="2" t="s">
        <v>13</v>
      </c>
      <c r="E675" s="2" t="s">
        <v>49</v>
      </c>
      <c r="F675" s="14" t="n">
        <v>104.24</v>
      </c>
      <c r="G675" s="2" t="n">
        <v>0</v>
      </c>
      <c r="H675" s="2" t="n">
        <v>3</v>
      </c>
      <c r="I675" s="20" t="n">
        <v>1.12</v>
      </c>
      <c r="J675" s="14" t="n">
        <v>24.5</v>
      </c>
      <c r="K675" s="14" t="n">
        <v>75</v>
      </c>
      <c r="L675" s="20" t="n">
        <f aca="false">INDEX('Read me'!$B$10:$B$15,3)</f>
        <v>1.35</v>
      </c>
      <c r="M675" s="14" t="n">
        <f aca="false">IF(F675*(1+'Read me'!$B$5)&lt;='Read me'!$B$7,CEILING(F675*(1+'Read me'!$B$5)+0.5,1)-0.5,CEILING(F675*(1+'Read me'!$B$5),5))</f>
        <v>105</v>
      </c>
      <c r="N675" s="14" t="n">
        <f aca="false">IF(MAX(M675*L675,M675+'Read me'!$B$6)&lt;='Read me'!$B$7,CEILING(MAX(M675*L675,M675+'Read me'!$B$6)+0.5,1)-0.5,CEILING(MAX(M675*L675,M675+'Read me'!$B$6),5))</f>
        <v>145</v>
      </c>
      <c r="O675" s="21" t="n">
        <f aca="false">IF(ISNUMBER(J675),M675-J675,"new")</f>
        <v>80.5</v>
      </c>
    </row>
    <row r="676" customFormat="false" ht="15" hidden="false" customHeight="false" outlineLevel="0" collapsed="false">
      <c r="A676" s="2" t="s">
        <v>807</v>
      </c>
      <c r="B676" s="2" t="s">
        <v>221</v>
      </c>
      <c r="C676" s="2" t="s">
        <v>184</v>
      </c>
      <c r="D676" s="2" t="s">
        <v>13</v>
      </c>
      <c r="E676" s="2" t="s">
        <v>50</v>
      </c>
      <c r="F676" s="14" t="n">
        <v>140.19</v>
      </c>
      <c r="G676" s="2" t="n">
        <v>0</v>
      </c>
      <c r="H676" s="2" t="n">
        <v>3</v>
      </c>
      <c r="I676" s="20" t="n">
        <v>1.12</v>
      </c>
      <c r="J676" s="14" t="n">
        <v>85</v>
      </c>
      <c r="K676" s="14" t="n">
        <v>125</v>
      </c>
      <c r="L676" s="20" t="n">
        <f aca="false">INDEX('Read me'!$B$10:$B$15,3)</f>
        <v>1.35</v>
      </c>
      <c r="M676" s="14" t="n">
        <f aca="false">IF(F676*(1+'Read me'!$B$5)&lt;='Read me'!$B$7,CEILING(F676*(1+'Read me'!$B$5)+0.5,1)-0.5,CEILING(F676*(1+'Read me'!$B$5),5))</f>
        <v>145</v>
      </c>
      <c r="N676" s="14" t="n">
        <f aca="false">IF(MAX(M676*L676,M676+'Read me'!$B$6)&lt;='Read me'!$B$7,CEILING(MAX(M676*L676,M676+'Read me'!$B$6)+0.5,1)-0.5,CEILING(MAX(M676*L676,M676+'Read me'!$B$6),5))</f>
        <v>200</v>
      </c>
      <c r="O676" s="21" t="n">
        <f aca="false">IF(ISNUMBER(J676),M676-J676,"new")</f>
        <v>60</v>
      </c>
    </row>
    <row r="677" customFormat="false" ht="15" hidden="false" customHeight="false" outlineLevel="0" collapsed="false">
      <c r="A677" s="2" t="s">
        <v>808</v>
      </c>
      <c r="B677" s="2" t="s">
        <v>221</v>
      </c>
      <c r="C677" s="2" t="s">
        <v>184</v>
      </c>
      <c r="D677" s="2" t="s">
        <v>14</v>
      </c>
      <c r="E677" s="2" t="s">
        <v>48</v>
      </c>
      <c r="F677" s="14" t="n">
        <v>160.45</v>
      </c>
      <c r="G677" s="2" t="n">
        <v>0</v>
      </c>
      <c r="H677" s="2" t="n">
        <v>3</v>
      </c>
      <c r="I677" s="20" t="n">
        <v>1.12</v>
      </c>
      <c r="J677" s="14" t="n">
        <v>85</v>
      </c>
      <c r="K677" s="14" t="n">
        <v>125</v>
      </c>
      <c r="L677" s="20" t="n">
        <f aca="false">INDEX('Read me'!$B$10:$B$15,4)</f>
        <v>1.2</v>
      </c>
      <c r="M677" s="14" t="n">
        <f aca="false">IF(F677*(1+'Read me'!$B$5)&lt;='Read me'!$B$7,CEILING(F677*(1+'Read me'!$B$5)+0.5,1)-0.5,CEILING(F677*(1+'Read me'!$B$5),5))</f>
        <v>165</v>
      </c>
      <c r="N677" s="14" t="n">
        <f aca="false">IF(MAX(M677*L677,M677+'Read me'!$B$6)&lt;='Read me'!$B$7,CEILING(MAX(M677*L677,M677+'Read me'!$B$6)+0.5,1)-0.5,CEILING(MAX(M677*L677,M677+'Read me'!$B$6),5))</f>
        <v>200</v>
      </c>
      <c r="O677" s="21" t="n">
        <f aca="false">IF(ISNUMBER(J677),M677-J677,"new")</f>
        <v>80</v>
      </c>
    </row>
    <row r="678" customFormat="false" ht="15" hidden="false" customHeight="false" outlineLevel="0" collapsed="false">
      <c r="A678" s="2" t="s">
        <v>809</v>
      </c>
      <c r="B678" s="2" t="s">
        <v>221</v>
      </c>
      <c r="C678" s="2" t="s">
        <v>184</v>
      </c>
      <c r="D678" s="2" t="s">
        <v>14</v>
      </c>
      <c r="E678" s="2" t="s">
        <v>49</v>
      </c>
      <c r="F678" s="14" t="n">
        <v>192.65</v>
      </c>
      <c r="G678" s="2" t="n">
        <v>0</v>
      </c>
      <c r="H678" s="2" t="n">
        <v>3</v>
      </c>
      <c r="I678" s="20" t="n">
        <v>1.12</v>
      </c>
      <c r="J678" s="14" t="n">
        <v>125</v>
      </c>
      <c r="K678" s="14" t="n">
        <v>125</v>
      </c>
      <c r="L678" s="20" t="n">
        <f aca="false">INDEX('Read me'!$B$10:$B$15,4)</f>
        <v>1.2</v>
      </c>
      <c r="M678" s="14" t="n">
        <f aca="false">IF(F678*(1+'Read me'!$B$5)&lt;='Read me'!$B$7,CEILING(F678*(1+'Read me'!$B$5)+0.5,1)-0.5,CEILING(F678*(1+'Read me'!$B$5),5))</f>
        <v>195</v>
      </c>
      <c r="N678" s="14" t="n">
        <f aca="false">IF(MAX(M678*L678,M678+'Read me'!$B$6)&lt;='Read me'!$B$7,CEILING(MAX(M678*L678,M678+'Read me'!$B$6)+0.5,1)-0.5,CEILING(MAX(M678*L678,M678+'Read me'!$B$6),5))</f>
        <v>235</v>
      </c>
      <c r="O678" s="21" t="n">
        <f aca="false">IF(ISNUMBER(J678),M678-J678,"new")</f>
        <v>70</v>
      </c>
    </row>
    <row r="679" customFormat="false" ht="15" hidden="false" customHeight="false" outlineLevel="0" collapsed="false">
      <c r="A679" s="2" t="s">
        <v>810</v>
      </c>
      <c r="B679" s="2" t="s">
        <v>221</v>
      </c>
      <c r="C679" s="2" t="s">
        <v>184</v>
      </c>
      <c r="D679" s="2" t="s">
        <v>14</v>
      </c>
      <c r="E679" s="2" t="s">
        <v>50</v>
      </c>
      <c r="F679" s="14" t="n">
        <v>232.17</v>
      </c>
      <c r="G679" s="2" t="n">
        <v>0</v>
      </c>
      <c r="H679" s="2" t="n">
        <v>3</v>
      </c>
      <c r="I679" s="20" t="n">
        <v>1.12</v>
      </c>
      <c r="J679" s="14" t="n">
        <v>199</v>
      </c>
      <c r="K679" s="14" t="n">
        <v>175</v>
      </c>
      <c r="L679" s="20" t="n">
        <f aca="false">INDEX('Read me'!$B$10:$B$15,4)</f>
        <v>1.2</v>
      </c>
      <c r="M679" s="14" t="n">
        <f aca="false">IF(F679*(1+'Read me'!$B$5)&lt;='Read me'!$B$7,CEILING(F679*(1+'Read me'!$B$5)+0.5,1)-0.5,CEILING(F679*(1+'Read me'!$B$5),5))</f>
        <v>235</v>
      </c>
      <c r="N679" s="14" t="n">
        <f aca="false">IF(MAX(M679*L679,M679+'Read me'!$B$6)&lt;='Read me'!$B$7,CEILING(MAX(M679*L679,M679+'Read me'!$B$6)+0.5,1)-0.5,CEILING(MAX(M679*L679,M679+'Read me'!$B$6),5))</f>
        <v>285</v>
      </c>
      <c r="O679" s="21" t="n">
        <f aca="false">IF(ISNUMBER(J679),M679-J679,"new")</f>
        <v>36</v>
      </c>
    </row>
    <row r="680" customFormat="false" ht="15" hidden="false" customHeight="false" outlineLevel="0" collapsed="false">
      <c r="A680" s="2" t="s">
        <v>811</v>
      </c>
      <c r="B680" s="2" t="s">
        <v>221</v>
      </c>
      <c r="C680" s="2" t="s">
        <v>184</v>
      </c>
      <c r="D680" s="2" t="s">
        <v>15</v>
      </c>
      <c r="E680" s="2" t="s">
        <v>48</v>
      </c>
      <c r="F680" s="14" t="n">
        <v>203.66</v>
      </c>
      <c r="G680" s="2" t="n">
        <v>0</v>
      </c>
      <c r="H680" s="2" t="n">
        <v>3</v>
      </c>
      <c r="I680" s="20" t="n">
        <v>1.12</v>
      </c>
      <c r="J680" s="14" t="n">
        <v>250</v>
      </c>
      <c r="K680" s="14" t="n">
        <v>300</v>
      </c>
      <c r="L680" s="20" t="n">
        <f aca="false">INDEX('Read me'!$B$10:$B$15,5)</f>
        <v>1.2</v>
      </c>
      <c r="M680" s="14" t="n">
        <f aca="false">IF(F680*(1+'Read me'!$B$5)&lt;='Read me'!$B$7,CEILING(F680*(1+'Read me'!$B$5)+0.5,1)-0.5,CEILING(F680*(1+'Read me'!$B$5),5))</f>
        <v>205</v>
      </c>
      <c r="N680" s="14" t="n">
        <f aca="false">IF(MAX(M680*L680,M680+'Read me'!$B$6)&lt;='Read me'!$B$7,CEILING(MAX(M680*L680,M680+'Read me'!$B$6)+0.5,1)-0.5,CEILING(MAX(M680*L680,M680+'Read me'!$B$6),5))</f>
        <v>250</v>
      </c>
      <c r="O680" s="21" t="n">
        <f aca="false">IF(ISNUMBER(J680),M680-J680,"new")</f>
        <v>-45</v>
      </c>
    </row>
    <row r="681" customFormat="false" ht="15" hidden="false" customHeight="false" outlineLevel="0" collapsed="false">
      <c r="A681" s="2" t="s">
        <v>812</v>
      </c>
      <c r="B681" s="2" t="s">
        <v>221</v>
      </c>
      <c r="C681" s="2" t="s">
        <v>184</v>
      </c>
      <c r="D681" s="2" t="s">
        <v>15</v>
      </c>
      <c r="E681" s="2" t="s">
        <v>49</v>
      </c>
      <c r="F681" s="14" t="n">
        <v>251.26</v>
      </c>
      <c r="G681" s="2" t="n">
        <v>0</v>
      </c>
      <c r="H681" s="2" t="n">
        <v>3</v>
      </c>
      <c r="I681" s="20" t="n">
        <v>1.12</v>
      </c>
      <c r="J681" s="14" t="n">
        <v>250</v>
      </c>
      <c r="K681" s="14" t="n">
        <v>300</v>
      </c>
      <c r="L681" s="20" t="n">
        <f aca="false">INDEX('Read me'!$B$10:$B$15,5)</f>
        <v>1.2</v>
      </c>
      <c r="M681" s="14" t="n">
        <f aca="false">N681</f>
        <v>310</v>
      </c>
      <c r="N681" s="14" t="n">
        <f aca="false">IF(MAX((IF(F681*(1+'Read me'!$B$5)&lt;='Read me'!$B$7,CEILING(F681*(1+'Read me'!$B$5)+0.5,1)-0.5,CEILING(F681*(1+'Read me'!$B$5),5)))*L681,(IF(F681*(1+'Read me'!$B$5)&lt;='Read me'!$B$7,CEILING(F681*(1+'Read me'!$B$5)+0.5,1)-0.5,CEILING(F681*(1+'Read me'!$B$5),5)))+'Read me'!$B$6)&lt;='Read me'!$B$7,CEILING(MAX((IF(F681*(1+'Read me'!$B$5)&lt;='Read me'!$B$7,CEILING(F681*(1+'Read me'!$B$5)+0.5,1)-0.5,CEILING(F681*(1+'Read me'!$B$5),5)))*L681,(IF(F681*(1+'Read me'!$B$5)&lt;='Read me'!$B$7,CEILING(F681*(1+'Read me'!$B$5)+0.5,1)-0.5,CEILING(F681*(1+'Read me'!$B$5),5)))+'Read me'!$B$6)+0.5,1)-0.5,CEILING(MAX((IF(F681*(1+'Read me'!$B$5)&lt;='Read me'!$B$7,CEILING(F681*(1+'Read me'!$B$5)+0.5,1)-0.5,CEILING(F681*(1+'Read me'!$B$5),5)))*L681,(IF(F681*(1+'Read me'!$B$5)&lt;='Read me'!$B$7,CEILING(F681*(1+'Read me'!$B$5)+0.5,1)-0.5,CEILING(F681*(1+'Read me'!$B$5),5)))+'Read me'!$B$6),5))</f>
        <v>310</v>
      </c>
      <c r="O681" s="21" t="n">
        <f aca="false">IF(ISNUMBER(J681),M681-J681,"new")</f>
        <v>60</v>
      </c>
      <c r="P681" s="5" t="s">
        <v>140</v>
      </c>
    </row>
    <row r="682" customFormat="false" ht="15" hidden="false" customHeight="false" outlineLevel="0" collapsed="false">
      <c r="A682" s="2" t="s">
        <v>813</v>
      </c>
      <c r="B682" s="2" t="s">
        <v>221</v>
      </c>
      <c r="C682" s="2" t="s">
        <v>184</v>
      </c>
      <c r="D682" s="2" t="s">
        <v>15</v>
      </c>
      <c r="E682" s="2" t="s">
        <v>50</v>
      </c>
      <c r="F682" s="14" t="n">
        <v>301.9</v>
      </c>
      <c r="G682" s="2" t="n">
        <v>0</v>
      </c>
      <c r="H682" s="2" t="n">
        <v>3</v>
      </c>
      <c r="I682" s="20" t="n">
        <v>1.12</v>
      </c>
      <c r="J682" s="14" t="n">
        <v>300</v>
      </c>
      <c r="K682" s="14" t="n">
        <v>400</v>
      </c>
      <c r="L682" s="20" t="n">
        <f aca="false">INDEX('Read me'!$B$10:$B$15,5)</f>
        <v>1.2</v>
      </c>
      <c r="M682" s="14" t="n">
        <f aca="false">N682</f>
        <v>370</v>
      </c>
      <c r="N682" s="14" t="n">
        <f aca="false">IF(MAX((IF(F682*(1+'Read me'!$B$5)&lt;='Read me'!$B$7,CEILING(F682*(1+'Read me'!$B$5)+0.5,1)-0.5,CEILING(F682*(1+'Read me'!$B$5),5)))*L682,(IF(F682*(1+'Read me'!$B$5)&lt;='Read me'!$B$7,CEILING(F682*(1+'Read me'!$B$5)+0.5,1)-0.5,CEILING(F682*(1+'Read me'!$B$5),5)))+'Read me'!$B$6)&lt;='Read me'!$B$7,CEILING(MAX((IF(F682*(1+'Read me'!$B$5)&lt;='Read me'!$B$7,CEILING(F682*(1+'Read me'!$B$5)+0.5,1)-0.5,CEILING(F682*(1+'Read me'!$B$5),5)))*L682,(IF(F682*(1+'Read me'!$B$5)&lt;='Read me'!$B$7,CEILING(F682*(1+'Read me'!$B$5)+0.5,1)-0.5,CEILING(F682*(1+'Read me'!$B$5),5)))+'Read me'!$B$6)+0.5,1)-0.5,CEILING(MAX((IF(F682*(1+'Read me'!$B$5)&lt;='Read me'!$B$7,CEILING(F682*(1+'Read me'!$B$5)+0.5,1)-0.5,CEILING(F682*(1+'Read me'!$B$5),5)))*L682,(IF(F682*(1+'Read me'!$B$5)&lt;='Read me'!$B$7,CEILING(F682*(1+'Read me'!$B$5)+0.5,1)-0.5,CEILING(F682*(1+'Read me'!$B$5),5)))+'Read me'!$B$6),5))</f>
        <v>370</v>
      </c>
      <c r="O682" s="21" t="n">
        <f aca="false">IF(ISNUMBER(J682),M682-J682,"new")</f>
        <v>70</v>
      </c>
      <c r="P682" s="5" t="s">
        <v>140</v>
      </c>
    </row>
    <row r="683" customFormat="false" ht="15" hidden="false" customHeight="false" outlineLevel="0" collapsed="false">
      <c r="A683" s="2" t="s">
        <v>814</v>
      </c>
      <c r="B683" s="2" t="s">
        <v>221</v>
      </c>
      <c r="C683" s="2" t="s">
        <v>184</v>
      </c>
      <c r="D683" s="2" t="s">
        <v>16</v>
      </c>
      <c r="E683" s="2" t="s">
        <v>48</v>
      </c>
      <c r="F683" s="14" t="n">
        <v>282.79</v>
      </c>
      <c r="G683" s="2" t="n">
        <v>0</v>
      </c>
      <c r="H683" s="2" t="n">
        <v>3</v>
      </c>
      <c r="I683" s="20" t="n">
        <v>1.12</v>
      </c>
      <c r="J683" s="14"/>
      <c r="K683" s="14"/>
      <c r="L683" s="20" t="n">
        <f aca="false">INDEX('Read me'!$B$10:$B$15,6)</f>
        <v>1.2</v>
      </c>
      <c r="M683" s="14" t="n">
        <f aca="false">IF(F683*(1+'Read me'!$B$5)&lt;='Read me'!$B$7,CEILING(F683*(1+'Read me'!$B$5)+0.5,1)-0.5,CEILING(F683*(1+'Read me'!$B$5),5))</f>
        <v>285</v>
      </c>
      <c r="N683" s="14" t="n">
        <f aca="false">IF(MAX(M683*L683,M683+'Read me'!$B$6)&lt;='Read me'!$B$7,CEILING(MAX(M683*L683,M683+'Read me'!$B$6)+0.5,1)-0.5,CEILING(MAX(M683*L683,M683+'Read me'!$B$6),5))</f>
        <v>345</v>
      </c>
      <c r="O683" s="21" t="str">
        <f aca="false">IF(ISNUMBER(J683),M683-J683,"new")</f>
        <v>new</v>
      </c>
    </row>
    <row r="684" customFormat="false" ht="15" hidden="false" customHeight="false" outlineLevel="0" collapsed="false">
      <c r="A684" s="2" t="s">
        <v>815</v>
      </c>
      <c r="B684" s="2" t="s">
        <v>221</v>
      </c>
      <c r="C684" s="2" t="s">
        <v>184</v>
      </c>
      <c r="D684" s="2" t="s">
        <v>16</v>
      </c>
      <c r="E684" s="2" t="s">
        <v>49</v>
      </c>
      <c r="F684" s="14" t="n">
        <v>363.37</v>
      </c>
      <c r="G684" s="2" t="n">
        <v>0</v>
      </c>
      <c r="H684" s="2" t="n">
        <v>3</v>
      </c>
      <c r="I684" s="20" t="n">
        <v>1.12</v>
      </c>
      <c r="J684" s="14"/>
      <c r="K684" s="14"/>
      <c r="L684" s="20" t="n">
        <f aca="false">INDEX('Read me'!$B$10:$B$15,6)</f>
        <v>1.2</v>
      </c>
      <c r="M684" s="14" t="n">
        <f aca="false">N684</f>
        <v>440</v>
      </c>
      <c r="N684" s="14" t="n">
        <f aca="false">IF(MAX((IF(F684*(1+'Read me'!$B$5)&lt;='Read me'!$B$7,CEILING(F684*(1+'Read me'!$B$5)+0.5,1)-0.5,CEILING(F684*(1+'Read me'!$B$5),5)))*L684,(IF(F684*(1+'Read me'!$B$5)&lt;='Read me'!$B$7,CEILING(F684*(1+'Read me'!$B$5)+0.5,1)-0.5,CEILING(F684*(1+'Read me'!$B$5),5)))+'Read me'!$B$6)&lt;='Read me'!$B$7,CEILING(MAX((IF(F684*(1+'Read me'!$B$5)&lt;='Read me'!$B$7,CEILING(F684*(1+'Read me'!$B$5)+0.5,1)-0.5,CEILING(F684*(1+'Read me'!$B$5),5)))*L684,(IF(F684*(1+'Read me'!$B$5)&lt;='Read me'!$B$7,CEILING(F684*(1+'Read me'!$B$5)+0.5,1)-0.5,CEILING(F684*(1+'Read me'!$B$5),5)))+'Read me'!$B$6)+0.5,1)-0.5,CEILING(MAX((IF(F684*(1+'Read me'!$B$5)&lt;='Read me'!$B$7,CEILING(F684*(1+'Read me'!$B$5)+0.5,1)-0.5,CEILING(F684*(1+'Read me'!$B$5),5)))*L684,(IF(F684*(1+'Read me'!$B$5)&lt;='Read me'!$B$7,CEILING(F684*(1+'Read me'!$B$5)+0.5,1)-0.5,CEILING(F684*(1+'Read me'!$B$5),5)))+'Read me'!$B$6),5))</f>
        <v>440</v>
      </c>
      <c r="O684" s="21" t="str">
        <f aca="false">IF(ISNUMBER(J684),M684-J684,"new")</f>
        <v>new</v>
      </c>
      <c r="P684" s="5" t="s">
        <v>140</v>
      </c>
    </row>
    <row r="685" customFormat="false" ht="15" hidden="false" customHeight="false" outlineLevel="0" collapsed="false">
      <c r="A685" s="2" t="s">
        <v>816</v>
      </c>
      <c r="B685" s="2" t="s">
        <v>221</v>
      </c>
      <c r="C685" s="2" t="s">
        <v>184</v>
      </c>
      <c r="D685" s="2" t="s">
        <v>16</v>
      </c>
      <c r="E685" s="2" t="s">
        <v>50</v>
      </c>
      <c r="F685" s="14" t="n">
        <v>427.09</v>
      </c>
      <c r="G685" s="2" t="n">
        <v>0</v>
      </c>
      <c r="H685" s="2" t="n">
        <v>3</v>
      </c>
      <c r="I685" s="20" t="n">
        <v>1.12</v>
      </c>
      <c r="J685" s="14"/>
      <c r="K685" s="14"/>
      <c r="L685" s="20" t="n">
        <f aca="false">INDEX('Read me'!$B$10:$B$15,6)</f>
        <v>1.2</v>
      </c>
      <c r="M685" s="14" t="n">
        <f aca="false">N685</f>
        <v>520</v>
      </c>
      <c r="N685" s="14" t="n">
        <f aca="false">IF(MAX((IF(F685*(1+'Read me'!$B$5)&lt;='Read me'!$B$7,CEILING(F685*(1+'Read me'!$B$5)+0.5,1)-0.5,CEILING(F685*(1+'Read me'!$B$5),5)))*L685,(IF(F685*(1+'Read me'!$B$5)&lt;='Read me'!$B$7,CEILING(F685*(1+'Read me'!$B$5)+0.5,1)-0.5,CEILING(F685*(1+'Read me'!$B$5),5)))+'Read me'!$B$6)&lt;='Read me'!$B$7,CEILING(MAX((IF(F685*(1+'Read me'!$B$5)&lt;='Read me'!$B$7,CEILING(F685*(1+'Read me'!$B$5)+0.5,1)-0.5,CEILING(F685*(1+'Read me'!$B$5),5)))*L685,(IF(F685*(1+'Read me'!$B$5)&lt;='Read me'!$B$7,CEILING(F685*(1+'Read me'!$B$5)+0.5,1)-0.5,CEILING(F685*(1+'Read me'!$B$5),5)))+'Read me'!$B$6)+0.5,1)-0.5,CEILING(MAX((IF(F685*(1+'Read me'!$B$5)&lt;='Read me'!$B$7,CEILING(F685*(1+'Read me'!$B$5)+0.5,1)-0.5,CEILING(F685*(1+'Read me'!$B$5),5)))*L685,(IF(F685*(1+'Read me'!$B$5)&lt;='Read me'!$B$7,CEILING(F685*(1+'Read me'!$B$5)+0.5,1)-0.5,CEILING(F685*(1+'Read me'!$B$5),5)))+'Read me'!$B$6),5))</f>
        <v>520</v>
      </c>
      <c r="O685" s="21" t="str">
        <f aca="false">IF(ISNUMBER(J685),M685-J685,"new")</f>
        <v>new</v>
      </c>
      <c r="P685" s="5" t="s">
        <v>140</v>
      </c>
    </row>
    <row r="686" customFormat="false" ht="15" hidden="false" customHeight="false" outlineLevel="0" collapsed="false">
      <c r="A686" s="2" t="s">
        <v>817</v>
      </c>
      <c r="B686" s="2" t="s">
        <v>221</v>
      </c>
      <c r="C686" s="2" t="s">
        <v>126</v>
      </c>
      <c r="D686" s="2" t="s">
        <v>10</v>
      </c>
      <c r="E686" s="2" t="s">
        <v>48</v>
      </c>
      <c r="F686" s="14" t="n">
        <v>14.5</v>
      </c>
      <c r="G686" s="2" t="n">
        <v>3</v>
      </c>
      <c r="H686" s="2" t="n">
        <v>15</v>
      </c>
      <c r="I686" s="20" t="n">
        <v>1.11</v>
      </c>
      <c r="J686" s="14" t="n">
        <v>19.5</v>
      </c>
      <c r="K686" s="14" t="n">
        <v>24.5</v>
      </c>
      <c r="L686" s="20" t="n">
        <f aca="false">INDEX('Read me'!$B$10:$B$15,1)</f>
        <v>1.34</v>
      </c>
      <c r="M686" s="14" t="n">
        <f aca="false">IF(F686*(1+'Read me'!$B$5)&lt;='Read me'!$B$7,CEILING(F686*(1+'Read me'!$B$5)+0.5,1)-0.5,CEILING(F686*(1+'Read me'!$B$5),5))</f>
        <v>14.5</v>
      </c>
      <c r="N686" s="14" t="n">
        <f aca="false">IF(MAX(M686*L686,M686+'Read me'!$B$6)&lt;='Read me'!$B$7,CEILING(MAX(M686*L686,M686+'Read me'!$B$6)+0.5,1)-0.5,CEILING(MAX(M686*L686,M686+'Read me'!$B$6),5))</f>
        <v>19.5</v>
      </c>
      <c r="O686" s="21" t="n">
        <f aca="false">IF(ISNUMBER(J686),M686-J686,"new")</f>
        <v>-5</v>
      </c>
    </row>
    <row r="687" customFormat="false" ht="15" hidden="false" customHeight="false" outlineLevel="0" collapsed="false">
      <c r="A687" s="2" t="s">
        <v>818</v>
      </c>
      <c r="B687" s="2" t="s">
        <v>221</v>
      </c>
      <c r="C687" s="2" t="s">
        <v>126</v>
      </c>
      <c r="D687" s="2" t="s">
        <v>10</v>
      </c>
      <c r="E687" s="2" t="s">
        <v>49</v>
      </c>
      <c r="F687" s="14" t="n">
        <v>17.23</v>
      </c>
      <c r="G687" s="2" t="n">
        <v>5</v>
      </c>
      <c r="H687" s="2" t="n">
        <v>15</v>
      </c>
      <c r="I687" s="20" t="n">
        <v>1.11</v>
      </c>
      <c r="J687" s="14" t="n">
        <v>19.5</v>
      </c>
      <c r="K687" s="14" t="n">
        <v>24.5</v>
      </c>
      <c r="L687" s="20" t="n">
        <f aca="false">INDEX('Read me'!$B$10:$B$15,1)</f>
        <v>1.34</v>
      </c>
      <c r="M687" s="14" t="n">
        <f aca="false">IF(F687*(1+'Read me'!$B$5)&lt;='Read me'!$B$7,CEILING(F687*(1+'Read me'!$B$5)+0.5,1)-0.5,CEILING(F687*(1+'Read me'!$B$5),5))</f>
        <v>17.5</v>
      </c>
      <c r="N687" s="14" t="n">
        <f aca="false">IF(MAX(M687*L687,M687+'Read me'!$B$6)&lt;='Read me'!$B$7,CEILING(MAX(M687*L687,M687+'Read me'!$B$6)+0.5,1)-0.5,CEILING(MAX(M687*L687,M687+'Read me'!$B$6),5))</f>
        <v>23.5</v>
      </c>
      <c r="O687" s="21" t="n">
        <f aca="false">IF(ISNUMBER(J687),M687-J687,"new")</f>
        <v>-2</v>
      </c>
    </row>
    <row r="688" customFormat="false" ht="15" hidden="false" customHeight="false" outlineLevel="0" collapsed="false">
      <c r="A688" s="2" t="s">
        <v>819</v>
      </c>
      <c r="B688" s="2" t="s">
        <v>221</v>
      </c>
      <c r="C688" s="2" t="s">
        <v>126</v>
      </c>
      <c r="D688" s="2" t="s">
        <v>10</v>
      </c>
      <c r="E688" s="2" t="s">
        <v>50</v>
      </c>
      <c r="F688" s="14" t="n">
        <v>22.25</v>
      </c>
      <c r="G688" s="2" t="n">
        <v>0</v>
      </c>
      <c r="H688" s="2" t="n">
        <v>15</v>
      </c>
      <c r="I688" s="20" t="n">
        <v>1.11</v>
      </c>
      <c r="J688" s="14" t="n">
        <v>19.5</v>
      </c>
      <c r="K688" s="14" t="n">
        <v>34.5</v>
      </c>
      <c r="L688" s="20" t="n">
        <f aca="false">INDEX('Read me'!$B$10:$B$15,1)</f>
        <v>1.34</v>
      </c>
      <c r="M688" s="14" t="n">
        <f aca="false">IF(F688*(1+'Read me'!$B$5)&lt;='Read me'!$B$7,CEILING(F688*(1+'Read me'!$B$5)+0.5,1)-0.5,CEILING(F688*(1+'Read me'!$B$5),5))</f>
        <v>22.5</v>
      </c>
      <c r="N688" s="14" t="n">
        <f aca="false">IF(MAX(M688*L688,M688+'Read me'!$B$6)&lt;='Read me'!$B$7,CEILING(MAX(M688*L688,M688+'Read me'!$B$6)+0.5,1)-0.5,CEILING(MAX(M688*L688,M688+'Read me'!$B$6),5))</f>
        <v>35</v>
      </c>
      <c r="O688" s="21" t="n">
        <f aca="false">IF(ISNUMBER(J688),M688-J688,"new")</f>
        <v>3</v>
      </c>
    </row>
    <row r="689" customFormat="false" ht="15" hidden="false" customHeight="false" outlineLevel="0" collapsed="false">
      <c r="A689" s="2" t="s">
        <v>820</v>
      </c>
      <c r="B689" s="2" t="s">
        <v>221</v>
      </c>
      <c r="C689" s="2" t="s">
        <v>126</v>
      </c>
      <c r="D689" s="2" t="s">
        <v>12</v>
      </c>
      <c r="E689" s="2" t="s">
        <v>48</v>
      </c>
      <c r="F689" s="14" t="n">
        <v>52.29</v>
      </c>
      <c r="G689" s="2" t="n">
        <v>3</v>
      </c>
      <c r="H689" s="2" t="n">
        <v>15</v>
      </c>
      <c r="I689" s="20" t="n">
        <v>1.11</v>
      </c>
      <c r="J689" s="14" t="n">
        <v>24.5</v>
      </c>
      <c r="K689" s="14" t="n">
        <v>29.5</v>
      </c>
      <c r="L689" s="20" t="n">
        <f aca="false">INDEX('Read me'!$B$10:$B$15,2)</f>
        <v>1.26</v>
      </c>
      <c r="M689" s="14" t="n">
        <f aca="false">IF(F689*(1+'Read me'!$B$5)&lt;='Read me'!$B$7,CEILING(F689*(1+'Read me'!$B$5)+0.5,1)-0.5,CEILING(F689*(1+'Read me'!$B$5),5))</f>
        <v>55</v>
      </c>
      <c r="N689" s="14" t="n">
        <f aca="false">IF(MAX(M689*L689,M689+'Read me'!$B$6)&lt;='Read me'!$B$7,CEILING(MAX(M689*L689,M689+'Read me'!$B$6)+0.5,1)-0.5,CEILING(MAX(M689*L689,M689+'Read me'!$B$6),5))</f>
        <v>70</v>
      </c>
      <c r="O689" s="21" t="n">
        <f aca="false">IF(ISNUMBER(J689),M689-J689,"new")</f>
        <v>30.5</v>
      </c>
    </row>
    <row r="690" customFormat="false" ht="15" hidden="false" customHeight="false" outlineLevel="0" collapsed="false">
      <c r="A690" s="2" t="s">
        <v>821</v>
      </c>
      <c r="B690" s="2" t="s">
        <v>221</v>
      </c>
      <c r="C690" s="2" t="s">
        <v>126</v>
      </c>
      <c r="D690" s="2" t="s">
        <v>12</v>
      </c>
      <c r="E690" s="2" t="s">
        <v>49</v>
      </c>
      <c r="F690" s="14" t="n">
        <v>58.28</v>
      </c>
      <c r="G690" s="2" t="n">
        <v>4</v>
      </c>
      <c r="H690" s="2" t="n">
        <v>15</v>
      </c>
      <c r="I690" s="20" t="n">
        <v>1.11</v>
      </c>
      <c r="J690" s="14" t="n">
        <v>24.5</v>
      </c>
      <c r="K690" s="14" t="n">
        <v>29.5</v>
      </c>
      <c r="L690" s="20" t="n">
        <f aca="false">INDEX('Read me'!$B$10:$B$15,2)</f>
        <v>1.26</v>
      </c>
      <c r="M690" s="14" t="n">
        <f aca="false">IF(F690*(1+'Read me'!$B$5)&lt;='Read me'!$B$7,CEILING(F690*(1+'Read me'!$B$5)+0.5,1)-0.5,CEILING(F690*(1+'Read me'!$B$5),5))</f>
        <v>60</v>
      </c>
      <c r="N690" s="14" t="n">
        <f aca="false">IF(MAX(M690*L690,M690+'Read me'!$B$6)&lt;='Read me'!$B$7,CEILING(MAX(M690*L690,M690+'Read me'!$B$6)+0.5,1)-0.5,CEILING(MAX(M690*L690,M690+'Read me'!$B$6),5))</f>
        <v>80</v>
      </c>
      <c r="O690" s="21" t="n">
        <f aca="false">IF(ISNUMBER(J690),M690-J690,"new")</f>
        <v>35.5</v>
      </c>
    </row>
    <row r="691" customFormat="false" ht="15" hidden="false" customHeight="false" outlineLevel="0" collapsed="false">
      <c r="A691" s="2" t="s">
        <v>822</v>
      </c>
      <c r="B691" s="2" t="s">
        <v>221</v>
      </c>
      <c r="C691" s="2" t="s">
        <v>126</v>
      </c>
      <c r="D691" s="2" t="s">
        <v>12</v>
      </c>
      <c r="E691" s="2" t="s">
        <v>50</v>
      </c>
      <c r="F691" s="14" t="n">
        <v>67.9</v>
      </c>
      <c r="G691" s="2" t="n">
        <v>0</v>
      </c>
      <c r="H691" s="2" t="n">
        <v>15</v>
      </c>
      <c r="I691" s="20" t="n">
        <v>1.11</v>
      </c>
      <c r="J691" s="14" t="n">
        <v>24.5</v>
      </c>
      <c r="K691" s="14" t="n">
        <v>45</v>
      </c>
      <c r="L691" s="20" t="n">
        <f aca="false">INDEX('Read me'!$B$10:$B$15,2)</f>
        <v>1.26</v>
      </c>
      <c r="M691" s="14" t="n">
        <f aca="false">IF(F691*(1+'Read me'!$B$5)&lt;='Read me'!$B$7,CEILING(F691*(1+'Read me'!$B$5)+0.5,1)-0.5,CEILING(F691*(1+'Read me'!$B$5),5))</f>
        <v>70</v>
      </c>
      <c r="N691" s="14" t="n">
        <f aca="false">IF(MAX(M691*L691,M691+'Read me'!$B$6)&lt;='Read me'!$B$7,CEILING(MAX(M691*L691,M691+'Read me'!$B$6)+0.5,1)-0.5,CEILING(MAX(M691*L691,M691+'Read me'!$B$6),5))</f>
        <v>90</v>
      </c>
      <c r="O691" s="21" t="n">
        <f aca="false">IF(ISNUMBER(J691),M691-J691,"new")</f>
        <v>45.5</v>
      </c>
    </row>
    <row r="692" customFormat="false" ht="15" hidden="false" customHeight="false" outlineLevel="0" collapsed="false">
      <c r="A692" s="2" t="s">
        <v>823</v>
      </c>
      <c r="B692" s="2" t="s">
        <v>221</v>
      </c>
      <c r="C692" s="2" t="s">
        <v>126</v>
      </c>
      <c r="D692" s="2" t="s">
        <v>13</v>
      </c>
      <c r="E692" s="2" t="s">
        <v>48</v>
      </c>
      <c r="F692" s="14" t="n">
        <v>91.66</v>
      </c>
      <c r="G692" s="2" t="n">
        <v>0</v>
      </c>
      <c r="H692" s="2" t="n">
        <v>15</v>
      </c>
      <c r="I692" s="20" t="n">
        <v>1.11</v>
      </c>
      <c r="J692" s="14" t="n">
        <v>45</v>
      </c>
      <c r="K692" s="14" t="n">
        <v>95</v>
      </c>
      <c r="L692" s="20" t="n">
        <f aca="false">INDEX('Read me'!$B$10:$B$15,3)</f>
        <v>1.35</v>
      </c>
      <c r="M692" s="14" t="n">
        <f aca="false">IF(F692*(1+'Read me'!$B$5)&lt;='Read me'!$B$7,CEILING(F692*(1+'Read me'!$B$5)+0.5,1)-0.5,CEILING(F692*(1+'Read me'!$B$5),5))</f>
        <v>95</v>
      </c>
      <c r="N692" s="14" t="n">
        <f aca="false">IF(MAX(M692*L692,M692+'Read me'!$B$6)&lt;='Read me'!$B$7,CEILING(MAX(M692*L692,M692+'Read me'!$B$6)+0.5,1)-0.5,CEILING(MAX(M692*L692,M692+'Read me'!$B$6),5))</f>
        <v>130</v>
      </c>
      <c r="O692" s="21" t="n">
        <f aca="false">IF(ISNUMBER(J692),M692-J692,"new")</f>
        <v>50</v>
      </c>
    </row>
    <row r="693" customFormat="false" ht="15" hidden="false" customHeight="false" outlineLevel="0" collapsed="false">
      <c r="A693" s="2" t="s">
        <v>824</v>
      </c>
      <c r="B693" s="2" t="s">
        <v>221</v>
      </c>
      <c r="C693" s="2" t="s">
        <v>126</v>
      </c>
      <c r="D693" s="2" t="s">
        <v>13</v>
      </c>
      <c r="E693" s="2" t="s">
        <v>49</v>
      </c>
      <c r="F693" s="14" t="n">
        <v>103.11</v>
      </c>
      <c r="G693" s="2" t="n">
        <v>0</v>
      </c>
      <c r="H693" s="2" t="n">
        <v>15</v>
      </c>
      <c r="I693" s="20" t="n">
        <v>1.11</v>
      </c>
      <c r="J693" s="14" t="n">
        <v>45</v>
      </c>
      <c r="K693" s="14" t="n">
        <v>95</v>
      </c>
      <c r="L693" s="20" t="n">
        <f aca="false">INDEX('Read me'!$B$10:$B$15,3)</f>
        <v>1.35</v>
      </c>
      <c r="M693" s="14" t="n">
        <f aca="false">IF(F693*(1+'Read me'!$B$5)&lt;='Read me'!$B$7,CEILING(F693*(1+'Read me'!$B$5)+0.5,1)-0.5,CEILING(F693*(1+'Read me'!$B$5),5))</f>
        <v>105</v>
      </c>
      <c r="N693" s="14" t="n">
        <f aca="false">IF(MAX(M693*L693,M693+'Read me'!$B$6)&lt;='Read me'!$B$7,CEILING(MAX(M693*L693,M693+'Read me'!$B$6)+0.5,1)-0.5,CEILING(MAX(M693*L693,M693+'Read me'!$B$6),5))</f>
        <v>145</v>
      </c>
      <c r="O693" s="21" t="n">
        <f aca="false">IF(ISNUMBER(J693),M693-J693,"new")</f>
        <v>60</v>
      </c>
    </row>
    <row r="694" customFormat="false" ht="15" hidden="false" customHeight="false" outlineLevel="0" collapsed="false">
      <c r="A694" s="2" t="s">
        <v>825</v>
      </c>
      <c r="B694" s="2" t="s">
        <v>221</v>
      </c>
      <c r="C694" s="2" t="s">
        <v>126</v>
      </c>
      <c r="D694" s="2" t="s">
        <v>13</v>
      </c>
      <c r="E694" s="2" t="s">
        <v>50</v>
      </c>
      <c r="F694" s="14" t="n">
        <v>138.66</v>
      </c>
      <c r="G694" s="2" t="n">
        <v>0</v>
      </c>
      <c r="H694" s="2" t="n">
        <v>15</v>
      </c>
      <c r="I694" s="20" t="n">
        <v>1.11</v>
      </c>
      <c r="J694" s="14" t="n">
        <v>99</v>
      </c>
      <c r="K694" s="14" t="n">
        <v>150</v>
      </c>
      <c r="L694" s="20" t="n">
        <f aca="false">INDEX('Read me'!$B$10:$B$15,3)</f>
        <v>1.35</v>
      </c>
      <c r="M694" s="14" t="n">
        <f aca="false">IF(F694*(1+'Read me'!$B$5)&lt;='Read me'!$B$7,CEILING(F694*(1+'Read me'!$B$5)+0.5,1)-0.5,CEILING(F694*(1+'Read me'!$B$5),5))</f>
        <v>140</v>
      </c>
      <c r="N694" s="14" t="n">
        <f aca="false">IF(MAX(M694*L694,M694+'Read me'!$B$6)&lt;='Read me'!$B$7,CEILING(MAX(M694*L694,M694+'Read me'!$B$6)+0.5,1)-0.5,CEILING(MAX(M694*L694,M694+'Read me'!$B$6),5))</f>
        <v>190</v>
      </c>
      <c r="O694" s="21" t="n">
        <f aca="false">IF(ISNUMBER(J694),M694-J694,"new")</f>
        <v>41</v>
      </c>
    </row>
    <row r="695" customFormat="false" ht="15" hidden="false" customHeight="false" outlineLevel="0" collapsed="false">
      <c r="A695" s="2" t="s">
        <v>826</v>
      </c>
      <c r="B695" s="2" t="s">
        <v>221</v>
      </c>
      <c r="C695" s="2" t="s">
        <v>126</v>
      </c>
      <c r="D695" s="2" t="s">
        <v>14</v>
      </c>
      <c r="E695" s="2" t="s">
        <v>48</v>
      </c>
      <c r="F695" s="14" t="n">
        <v>158.71</v>
      </c>
      <c r="G695" s="2" t="n">
        <v>0</v>
      </c>
      <c r="H695" s="2" t="n">
        <v>15</v>
      </c>
      <c r="I695" s="20" t="n">
        <v>1.11</v>
      </c>
      <c r="J695" s="14" t="n">
        <v>99</v>
      </c>
      <c r="K695" s="14" t="n">
        <v>150</v>
      </c>
      <c r="L695" s="20" t="n">
        <f aca="false">INDEX('Read me'!$B$10:$B$15,4)</f>
        <v>1.2</v>
      </c>
      <c r="M695" s="14" t="n">
        <f aca="false">IF(F695*(1+'Read me'!$B$5)&lt;='Read me'!$B$7,CEILING(F695*(1+'Read me'!$B$5)+0.5,1)-0.5,CEILING(F695*(1+'Read me'!$B$5),5))</f>
        <v>160</v>
      </c>
      <c r="N695" s="14" t="n">
        <f aca="false">IF(MAX(M695*L695,M695+'Read me'!$B$6)&lt;='Read me'!$B$7,CEILING(MAX(M695*L695,M695+'Read me'!$B$6)+0.5,1)-0.5,CEILING(MAX(M695*L695,M695+'Read me'!$B$6),5))</f>
        <v>195</v>
      </c>
      <c r="O695" s="21" t="n">
        <f aca="false">IF(ISNUMBER(J695),M695-J695,"new")</f>
        <v>61</v>
      </c>
    </row>
    <row r="696" customFormat="false" ht="15" hidden="false" customHeight="false" outlineLevel="0" collapsed="false">
      <c r="A696" s="2" t="s">
        <v>827</v>
      </c>
      <c r="B696" s="2" t="s">
        <v>221</v>
      </c>
      <c r="C696" s="2" t="s">
        <v>126</v>
      </c>
      <c r="D696" s="2" t="s">
        <v>14</v>
      </c>
      <c r="E696" s="2" t="s">
        <v>49</v>
      </c>
      <c r="F696" s="14" t="n">
        <v>190.56</v>
      </c>
      <c r="G696" s="2" t="n">
        <v>0</v>
      </c>
      <c r="H696" s="2" t="n">
        <v>15</v>
      </c>
      <c r="I696" s="20" t="n">
        <v>1.11</v>
      </c>
      <c r="J696" s="14" t="n">
        <v>150</v>
      </c>
      <c r="K696" s="14" t="n">
        <v>150</v>
      </c>
      <c r="L696" s="20" t="n">
        <f aca="false">INDEX('Read me'!$B$10:$B$15,4)</f>
        <v>1.2</v>
      </c>
      <c r="M696" s="14" t="n">
        <f aca="false">IF(F696*(1+'Read me'!$B$5)&lt;='Read me'!$B$7,CEILING(F696*(1+'Read me'!$B$5)+0.5,1)-0.5,CEILING(F696*(1+'Read me'!$B$5),5))</f>
        <v>195</v>
      </c>
      <c r="N696" s="14" t="n">
        <f aca="false">IF(MAX(M696*L696,M696+'Read me'!$B$6)&lt;='Read me'!$B$7,CEILING(MAX(M696*L696,M696+'Read me'!$B$6)+0.5,1)-0.5,CEILING(MAX(M696*L696,M696+'Read me'!$B$6),5))</f>
        <v>235</v>
      </c>
      <c r="O696" s="21" t="n">
        <f aca="false">IF(ISNUMBER(J696),M696-J696,"new")</f>
        <v>45</v>
      </c>
    </row>
    <row r="697" customFormat="false" ht="15" hidden="false" customHeight="false" outlineLevel="0" collapsed="false">
      <c r="A697" s="2" t="s">
        <v>828</v>
      </c>
      <c r="B697" s="2" t="s">
        <v>221</v>
      </c>
      <c r="C697" s="2" t="s">
        <v>126</v>
      </c>
      <c r="D697" s="2" t="s">
        <v>14</v>
      </c>
      <c r="E697" s="2" t="s">
        <v>50</v>
      </c>
      <c r="F697" s="14" t="n">
        <v>229.65</v>
      </c>
      <c r="G697" s="2" t="n">
        <v>0</v>
      </c>
      <c r="H697" s="2" t="n">
        <v>15</v>
      </c>
      <c r="I697" s="20" t="n">
        <v>1.11</v>
      </c>
      <c r="J697" s="14" t="n">
        <v>250</v>
      </c>
      <c r="K697" s="14" t="n">
        <v>195</v>
      </c>
      <c r="L697" s="20" t="n">
        <f aca="false">INDEX('Read me'!$B$10:$B$15,4)</f>
        <v>1.2</v>
      </c>
      <c r="M697" s="14" t="n">
        <f aca="false">IF(F697*(1+'Read me'!$B$5)&lt;='Read me'!$B$7,CEILING(F697*(1+'Read me'!$B$5)+0.5,1)-0.5,CEILING(F697*(1+'Read me'!$B$5),5))</f>
        <v>230</v>
      </c>
      <c r="N697" s="14" t="n">
        <f aca="false">IF(MAX(M697*L697,M697+'Read me'!$B$6)&lt;='Read me'!$B$7,CEILING(MAX(M697*L697,M697+'Read me'!$B$6)+0.5,1)-0.5,CEILING(MAX(M697*L697,M697+'Read me'!$B$6),5))</f>
        <v>280</v>
      </c>
      <c r="O697" s="21" t="n">
        <f aca="false">IF(ISNUMBER(J697),M697-J697,"new")</f>
        <v>-20</v>
      </c>
    </row>
    <row r="698" customFormat="false" ht="15" hidden="false" customHeight="false" outlineLevel="0" collapsed="false">
      <c r="A698" s="2" t="s">
        <v>829</v>
      </c>
      <c r="B698" s="2" t="s">
        <v>221</v>
      </c>
      <c r="C698" s="2" t="s">
        <v>126</v>
      </c>
      <c r="D698" s="2" t="s">
        <v>15</v>
      </c>
      <c r="E698" s="2" t="s">
        <v>48</v>
      </c>
      <c r="F698" s="14" t="n">
        <v>201.44</v>
      </c>
      <c r="G698" s="2" t="n">
        <v>0</v>
      </c>
      <c r="H698" s="2" t="n">
        <v>15</v>
      </c>
      <c r="I698" s="20" t="n">
        <v>1.11</v>
      </c>
      <c r="J698" s="14" t="n">
        <v>300</v>
      </c>
      <c r="K698" s="14" t="n">
        <v>300</v>
      </c>
      <c r="L698" s="20" t="n">
        <f aca="false">INDEX('Read me'!$B$10:$B$15,5)</f>
        <v>1.2</v>
      </c>
      <c r="M698" s="14" t="n">
        <f aca="false">IF(F698*(1+'Read me'!$B$5)&lt;='Read me'!$B$7,CEILING(F698*(1+'Read me'!$B$5)+0.5,1)-0.5,CEILING(F698*(1+'Read me'!$B$5),5))</f>
        <v>205</v>
      </c>
      <c r="N698" s="14" t="n">
        <f aca="false">IF(MAX(M698*L698,M698+'Read me'!$B$6)&lt;='Read me'!$B$7,CEILING(MAX(M698*L698,M698+'Read me'!$B$6)+0.5,1)-0.5,CEILING(MAX(M698*L698,M698+'Read me'!$B$6),5))</f>
        <v>250</v>
      </c>
      <c r="O698" s="21" t="n">
        <f aca="false">IF(ISNUMBER(J698),M698-J698,"new")</f>
        <v>-95</v>
      </c>
    </row>
    <row r="699" customFormat="false" ht="15" hidden="false" customHeight="false" outlineLevel="0" collapsed="false">
      <c r="A699" s="2" t="s">
        <v>830</v>
      </c>
      <c r="B699" s="2" t="s">
        <v>221</v>
      </c>
      <c r="C699" s="2" t="s">
        <v>126</v>
      </c>
      <c r="D699" s="2" t="s">
        <v>15</v>
      </c>
      <c r="E699" s="2" t="s">
        <v>49</v>
      </c>
      <c r="F699" s="14" t="n">
        <v>248.53</v>
      </c>
      <c r="G699" s="2" t="n">
        <v>0</v>
      </c>
      <c r="H699" s="2" t="n">
        <v>15</v>
      </c>
      <c r="I699" s="20" t="n">
        <v>1.11</v>
      </c>
      <c r="J699" s="14" t="n">
        <v>300</v>
      </c>
      <c r="K699" s="14" t="n">
        <v>300</v>
      </c>
      <c r="L699" s="20" t="n">
        <f aca="false">INDEX('Read me'!$B$10:$B$15,5)</f>
        <v>1.2</v>
      </c>
      <c r="M699" s="14" t="n">
        <f aca="false">N699</f>
        <v>300</v>
      </c>
      <c r="N699" s="14" t="n">
        <f aca="false">IF(MAX((IF(F699*(1+'Read me'!$B$5)&lt;='Read me'!$B$7,CEILING(F699*(1+'Read me'!$B$5)+0.5,1)-0.5,CEILING(F699*(1+'Read me'!$B$5),5)))*L699,(IF(F699*(1+'Read me'!$B$5)&lt;='Read me'!$B$7,CEILING(F699*(1+'Read me'!$B$5)+0.5,1)-0.5,CEILING(F699*(1+'Read me'!$B$5),5)))+'Read me'!$B$6)&lt;='Read me'!$B$7,CEILING(MAX((IF(F699*(1+'Read me'!$B$5)&lt;='Read me'!$B$7,CEILING(F699*(1+'Read me'!$B$5)+0.5,1)-0.5,CEILING(F699*(1+'Read me'!$B$5),5)))*L699,(IF(F699*(1+'Read me'!$B$5)&lt;='Read me'!$B$7,CEILING(F699*(1+'Read me'!$B$5)+0.5,1)-0.5,CEILING(F699*(1+'Read me'!$B$5),5)))+'Read me'!$B$6)+0.5,1)-0.5,CEILING(MAX((IF(F699*(1+'Read me'!$B$5)&lt;='Read me'!$B$7,CEILING(F699*(1+'Read me'!$B$5)+0.5,1)-0.5,CEILING(F699*(1+'Read me'!$B$5),5)))*L699,(IF(F699*(1+'Read me'!$B$5)&lt;='Read me'!$B$7,CEILING(F699*(1+'Read me'!$B$5)+0.5,1)-0.5,CEILING(F699*(1+'Read me'!$B$5),5)))+'Read me'!$B$6),5))</f>
        <v>300</v>
      </c>
      <c r="O699" s="21" t="n">
        <f aca="false">IF(ISNUMBER(J699),M699-J699,"new")</f>
        <v>0</v>
      </c>
      <c r="P699" s="5" t="s">
        <v>140</v>
      </c>
    </row>
    <row r="700" customFormat="false" ht="15" hidden="false" customHeight="false" outlineLevel="0" collapsed="false">
      <c r="A700" s="2" t="s">
        <v>831</v>
      </c>
      <c r="B700" s="2" t="s">
        <v>221</v>
      </c>
      <c r="C700" s="2" t="s">
        <v>126</v>
      </c>
      <c r="D700" s="2" t="s">
        <v>15</v>
      </c>
      <c r="E700" s="2" t="s">
        <v>50</v>
      </c>
      <c r="F700" s="14" t="n">
        <v>298.62</v>
      </c>
      <c r="G700" s="2" t="n">
        <v>0</v>
      </c>
      <c r="H700" s="2" t="n">
        <v>15</v>
      </c>
      <c r="I700" s="20" t="n">
        <v>1.11</v>
      </c>
      <c r="J700" s="14" t="n">
        <v>350</v>
      </c>
      <c r="K700" s="14" t="n">
        <v>400</v>
      </c>
      <c r="L700" s="20" t="n">
        <f aca="false">INDEX('Read me'!$B$10:$B$15,5)</f>
        <v>1.2</v>
      </c>
      <c r="M700" s="14" t="n">
        <f aca="false">N700</f>
        <v>360</v>
      </c>
      <c r="N700" s="14" t="n">
        <f aca="false">IF(MAX((IF(F700*(1+'Read me'!$B$5)&lt;='Read me'!$B$7,CEILING(F700*(1+'Read me'!$B$5)+0.5,1)-0.5,CEILING(F700*(1+'Read me'!$B$5),5)))*L700,(IF(F700*(1+'Read me'!$B$5)&lt;='Read me'!$B$7,CEILING(F700*(1+'Read me'!$B$5)+0.5,1)-0.5,CEILING(F700*(1+'Read me'!$B$5),5)))+'Read me'!$B$6)&lt;='Read me'!$B$7,CEILING(MAX((IF(F700*(1+'Read me'!$B$5)&lt;='Read me'!$B$7,CEILING(F700*(1+'Read me'!$B$5)+0.5,1)-0.5,CEILING(F700*(1+'Read me'!$B$5),5)))*L700,(IF(F700*(1+'Read me'!$B$5)&lt;='Read me'!$B$7,CEILING(F700*(1+'Read me'!$B$5)+0.5,1)-0.5,CEILING(F700*(1+'Read me'!$B$5),5)))+'Read me'!$B$6)+0.5,1)-0.5,CEILING(MAX((IF(F700*(1+'Read me'!$B$5)&lt;='Read me'!$B$7,CEILING(F700*(1+'Read me'!$B$5)+0.5,1)-0.5,CEILING(F700*(1+'Read me'!$B$5),5)))*L700,(IF(F700*(1+'Read me'!$B$5)&lt;='Read me'!$B$7,CEILING(F700*(1+'Read me'!$B$5)+0.5,1)-0.5,CEILING(F700*(1+'Read me'!$B$5),5)))+'Read me'!$B$6),5))</f>
        <v>360</v>
      </c>
      <c r="O700" s="21" t="n">
        <f aca="false">IF(ISNUMBER(J700),M700-J700,"new")</f>
        <v>10</v>
      </c>
      <c r="P700" s="5" t="s">
        <v>140</v>
      </c>
    </row>
    <row r="701" customFormat="false" ht="15" hidden="false" customHeight="false" outlineLevel="0" collapsed="false">
      <c r="A701" s="2" t="s">
        <v>832</v>
      </c>
      <c r="B701" s="2" t="s">
        <v>221</v>
      </c>
      <c r="C701" s="2" t="s">
        <v>126</v>
      </c>
      <c r="D701" s="2" t="s">
        <v>16</v>
      </c>
      <c r="E701" s="2" t="s">
        <v>48</v>
      </c>
      <c r="F701" s="14" t="n">
        <v>279.71</v>
      </c>
      <c r="G701" s="2" t="n">
        <v>0</v>
      </c>
      <c r="H701" s="2" t="n">
        <v>15</v>
      </c>
      <c r="I701" s="20" t="n">
        <v>1.11</v>
      </c>
      <c r="J701" s="14"/>
      <c r="K701" s="14"/>
      <c r="L701" s="20" t="n">
        <f aca="false">INDEX('Read me'!$B$10:$B$15,6)</f>
        <v>1.2</v>
      </c>
      <c r="M701" s="14" t="n">
        <f aca="false">IF(F701*(1+'Read me'!$B$5)&lt;='Read me'!$B$7,CEILING(F701*(1+'Read me'!$B$5)+0.5,1)-0.5,CEILING(F701*(1+'Read me'!$B$5),5))</f>
        <v>280</v>
      </c>
      <c r="N701" s="14" t="n">
        <f aca="false">IF(MAX(M701*L701,M701+'Read me'!$B$6)&lt;='Read me'!$B$7,CEILING(MAX(M701*L701,M701+'Read me'!$B$6)+0.5,1)-0.5,CEILING(MAX(M701*L701,M701+'Read me'!$B$6),5))</f>
        <v>340</v>
      </c>
      <c r="O701" s="21" t="str">
        <f aca="false">IF(ISNUMBER(J701),M701-J701,"new")</f>
        <v>new</v>
      </c>
    </row>
    <row r="702" customFormat="false" ht="15" hidden="false" customHeight="false" outlineLevel="0" collapsed="false">
      <c r="A702" s="2" t="s">
        <v>833</v>
      </c>
      <c r="B702" s="2" t="s">
        <v>221</v>
      </c>
      <c r="C702" s="2" t="s">
        <v>126</v>
      </c>
      <c r="D702" s="2" t="s">
        <v>16</v>
      </c>
      <c r="E702" s="2" t="s">
        <v>49</v>
      </c>
      <c r="F702" s="14" t="n">
        <v>359.42</v>
      </c>
      <c r="G702" s="2" t="n">
        <v>0</v>
      </c>
      <c r="H702" s="2" t="n">
        <v>15</v>
      </c>
      <c r="I702" s="20" t="n">
        <v>1.11</v>
      </c>
      <c r="J702" s="14"/>
      <c r="K702" s="14"/>
      <c r="L702" s="20" t="n">
        <f aca="false">INDEX('Read me'!$B$10:$B$15,6)</f>
        <v>1.2</v>
      </c>
      <c r="M702" s="14" t="n">
        <f aca="false">N702</f>
        <v>435</v>
      </c>
      <c r="N702" s="14" t="n">
        <f aca="false">IF(MAX((IF(F702*(1+'Read me'!$B$5)&lt;='Read me'!$B$7,CEILING(F702*(1+'Read me'!$B$5)+0.5,1)-0.5,CEILING(F702*(1+'Read me'!$B$5),5)))*L702,(IF(F702*(1+'Read me'!$B$5)&lt;='Read me'!$B$7,CEILING(F702*(1+'Read me'!$B$5)+0.5,1)-0.5,CEILING(F702*(1+'Read me'!$B$5),5)))+'Read me'!$B$6)&lt;='Read me'!$B$7,CEILING(MAX((IF(F702*(1+'Read me'!$B$5)&lt;='Read me'!$B$7,CEILING(F702*(1+'Read me'!$B$5)+0.5,1)-0.5,CEILING(F702*(1+'Read me'!$B$5),5)))*L702,(IF(F702*(1+'Read me'!$B$5)&lt;='Read me'!$B$7,CEILING(F702*(1+'Read me'!$B$5)+0.5,1)-0.5,CEILING(F702*(1+'Read me'!$B$5),5)))+'Read me'!$B$6)+0.5,1)-0.5,CEILING(MAX((IF(F702*(1+'Read me'!$B$5)&lt;='Read me'!$B$7,CEILING(F702*(1+'Read me'!$B$5)+0.5,1)-0.5,CEILING(F702*(1+'Read me'!$B$5),5)))*L702,(IF(F702*(1+'Read me'!$B$5)&lt;='Read me'!$B$7,CEILING(F702*(1+'Read me'!$B$5)+0.5,1)-0.5,CEILING(F702*(1+'Read me'!$B$5),5)))+'Read me'!$B$6),5))</f>
        <v>435</v>
      </c>
      <c r="O702" s="21" t="str">
        <f aca="false">IF(ISNUMBER(J702),M702-J702,"new")</f>
        <v>new</v>
      </c>
      <c r="P702" s="5" t="s">
        <v>140</v>
      </c>
    </row>
    <row r="703" customFormat="false" ht="15" hidden="false" customHeight="false" outlineLevel="0" collapsed="false">
      <c r="A703" s="2" t="s">
        <v>834</v>
      </c>
      <c r="B703" s="2" t="s">
        <v>221</v>
      </c>
      <c r="C703" s="2" t="s">
        <v>126</v>
      </c>
      <c r="D703" s="2" t="s">
        <v>16</v>
      </c>
      <c r="E703" s="2" t="s">
        <v>50</v>
      </c>
      <c r="F703" s="14" t="n">
        <v>422.45</v>
      </c>
      <c r="G703" s="2" t="n">
        <v>0</v>
      </c>
      <c r="H703" s="2" t="n">
        <v>15</v>
      </c>
      <c r="I703" s="20" t="n">
        <v>1.11</v>
      </c>
      <c r="J703" s="14"/>
      <c r="K703" s="14"/>
      <c r="L703" s="20" t="n">
        <f aca="false">INDEX('Read me'!$B$10:$B$15,6)</f>
        <v>1.2</v>
      </c>
      <c r="M703" s="14" t="n">
        <f aca="false">N703</f>
        <v>510</v>
      </c>
      <c r="N703" s="14" t="n">
        <f aca="false">IF(MAX((IF(F703*(1+'Read me'!$B$5)&lt;='Read me'!$B$7,CEILING(F703*(1+'Read me'!$B$5)+0.5,1)-0.5,CEILING(F703*(1+'Read me'!$B$5),5)))*L703,(IF(F703*(1+'Read me'!$B$5)&lt;='Read me'!$B$7,CEILING(F703*(1+'Read me'!$B$5)+0.5,1)-0.5,CEILING(F703*(1+'Read me'!$B$5),5)))+'Read me'!$B$6)&lt;='Read me'!$B$7,CEILING(MAX((IF(F703*(1+'Read me'!$B$5)&lt;='Read me'!$B$7,CEILING(F703*(1+'Read me'!$B$5)+0.5,1)-0.5,CEILING(F703*(1+'Read me'!$B$5),5)))*L703,(IF(F703*(1+'Read me'!$B$5)&lt;='Read me'!$B$7,CEILING(F703*(1+'Read me'!$B$5)+0.5,1)-0.5,CEILING(F703*(1+'Read me'!$B$5),5)))+'Read me'!$B$6)+0.5,1)-0.5,CEILING(MAX((IF(F703*(1+'Read me'!$B$5)&lt;='Read me'!$B$7,CEILING(F703*(1+'Read me'!$B$5)+0.5,1)-0.5,CEILING(F703*(1+'Read me'!$B$5),5)))*L703,(IF(F703*(1+'Read me'!$B$5)&lt;='Read me'!$B$7,CEILING(F703*(1+'Read me'!$B$5)+0.5,1)-0.5,CEILING(F703*(1+'Read me'!$B$5),5)))+'Read me'!$B$6),5))</f>
        <v>510</v>
      </c>
      <c r="O703" s="21" t="str">
        <f aca="false">IF(ISNUMBER(J703),M703-J703,"new")</f>
        <v>new</v>
      </c>
      <c r="P703" s="5" t="s">
        <v>140</v>
      </c>
    </row>
    <row r="704" customFormat="false" ht="15" hidden="false" customHeight="false" outlineLevel="0" collapsed="false">
      <c r="A704" s="2" t="s">
        <v>835</v>
      </c>
      <c r="B704" s="2" t="s">
        <v>221</v>
      </c>
      <c r="C704" s="2" t="s">
        <v>240</v>
      </c>
      <c r="D704" s="2" t="s">
        <v>10</v>
      </c>
      <c r="E704" s="2" t="s">
        <v>48</v>
      </c>
      <c r="F704" s="14" t="n">
        <v>13.44</v>
      </c>
      <c r="G704" s="2" t="n">
        <v>0</v>
      </c>
      <c r="H704" s="2" t="n">
        <v>1</v>
      </c>
      <c r="I704" s="20" t="n">
        <v>1.03</v>
      </c>
      <c r="J704" s="14" t="n">
        <v>19.5</v>
      </c>
      <c r="K704" s="14" t="n">
        <v>24.5</v>
      </c>
      <c r="L704" s="20" t="n">
        <f aca="false">INDEX('Read me'!$B$10:$B$15,1)</f>
        <v>1.34</v>
      </c>
      <c r="M704" s="14" t="n">
        <f aca="false">IF(F704*(1+'Read me'!$B$5)&lt;='Read me'!$B$7,CEILING(F704*(1+'Read me'!$B$5)+0.5,1)-0.5,CEILING(F704*(1+'Read me'!$B$5),5))</f>
        <v>13.5</v>
      </c>
      <c r="N704" s="14" t="n">
        <f aca="false">IF(MAX(M704*L704,M704+'Read me'!$B$6)&lt;='Read me'!$B$7,CEILING(MAX(M704*L704,M704+'Read me'!$B$6)+0.5,1)-0.5,CEILING(MAX(M704*L704,M704+'Read me'!$B$6),5))</f>
        <v>18.5</v>
      </c>
      <c r="O704" s="21" t="n">
        <f aca="false">IF(ISNUMBER(J704),M704-J704,"new")</f>
        <v>-6</v>
      </c>
    </row>
    <row r="705" customFormat="false" ht="15" hidden="false" customHeight="false" outlineLevel="0" collapsed="false">
      <c r="A705" s="2" t="s">
        <v>836</v>
      </c>
      <c r="B705" s="2" t="s">
        <v>221</v>
      </c>
      <c r="C705" s="2" t="s">
        <v>240</v>
      </c>
      <c r="D705" s="2" t="s">
        <v>10</v>
      </c>
      <c r="E705" s="2" t="s">
        <v>49</v>
      </c>
      <c r="F705" s="14" t="n">
        <v>15.68</v>
      </c>
      <c r="G705" s="2" t="n">
        <v>0</v>
      </c>
      <c r="H705" s="2" t="n">
        <v>1</v>
      </c>
      <c r="I705" s="20" t="n">
        <v>1.03</v>
      </c>
      <c r="J705" s="14" t="n">
        <v>19.5</v>
      </c>
      <c r="K705" s="14" t="n">
        <v>24.5</v>
      </c>
      <c r="L705" s="20" t="n">
        <f aca="false">INDEX('Read me'!$B$10:$B$15,1)</f>
        <v>1.34</v>
      </c>
      <c r="M705" s="14" t="n">
        <f aca="false">IF(F705*(1+'Read me'!$B$5)&lt;='Read me'!$B$7,CEILING(F705*(1+'Read me'!$B$5)+0.5,1)-0.5,CEILING(F705*(1+'Read me'!$B$5),5))</f>
        <v>16.5</v>
      </c>
      <c r="N705" s="14" t="n">
        <f aca="false">IF(MAX(M705*L705,M705+'Read me'!$B$6)&lt;='Read me'!$B$7,CEILING(MAX(M705*L705,M705+'Read me'!$B$6)+0.5,1)-0.5,CEILING(MAX(M705*L705,M705+'Read me'!$B$6),5))</f>
        <v>22.5</v>
      </c>
      <c r="O705" s="21" t="n">
        <f aca="false">IF(ISNUMBER(J705),M705-J705,"new")</f>
        <v>-3</v>
      </c>
    </row>
    <row r="706" customFormat="false" ht="15" hidden="false" customHeight="false" outlineLevel="0" collapsed="false">
      <c r="A706" s="2" t="s">
        <v>837</v>
      </c>
      <c r="B706" s="2" t="s">
        <v>221</v>
      </c>
      <c r="C706" s="2" t="s">
        <v>240</v>
      </c>
      <c r="D706" s="2" t="s">
        <v>10</v>
      </c>
      <c r="E706" s="2" t="s">
        <v>50</v>
      </c>
      <c r="F706" s="14" t="n">
        <v>20.69</v>
      </c>
      <c r="G706" s="2" t="n">
        <v>0</v>
      </c>
      <c r="H706" s="2" t="n">
        <v>1</v>
      </c>
      <c r="I706" s="20" t="n">
        <v>1.03</v>
      </c>
      <c r="J706" s="14" t="n">
        <v>19.5</v>
      </c>
      <c r="K706" s="14" t="n">
        <v>34.5</v>
      </c>
      <c r="L706" s="20" t="n">
        <f aca="false">INDEX('Read me'!$B$10:$B$15,1)</f>
        <v>1.34</v>
      </c>
      <c r="M706" s="14" t="n">
        <f aca="false">IF(F706*(1+'Read me'!$B$5)&lt;='Read me'!$B$7,CEILING(F706*(1+'Read me'!$B$5)+0.5,1)-0.5,CEILING(F706*(1+'Read me'!$B$5),5))</f>
        <v>21.5</v>
      </c>
      <c r="N706" s="14" t="n">
        <f aca="false">IF(MAX(M706*L706,M706+'Read me'!$B$6)&lt;='Read me'!$B$7,CEILING(MAX(M706*L706,M706+'Read me'!$B$6)+0.5,1)-0.5,CEILING(MAX(M706*L706,M706+'Read me'!$B$6),5))</f>
        <v>29.5</v>
      </c>
      <c r="O706" s="21" t="n">
        <f aca="false">IF(ISNUMBER(J706),M706-J706,"new")</f>
        <v>2</v>
      </c>
    </row>
    <row r="707" customFormat="false" ht="15" hidden="false" customHeight="false" outlineLevel="0" collapsed="false">
      <c r="A707" s="2" t="s">
        <v>838</v>
      </c>
      <c r="B707" s="2" t="s">
        <v>221</v>
      </c>
      <c r="C707" s="2" t="s">
        <v>240</v>
      </c>
      <c r="D707" s="2" t="s">
        <v>12</v>
      </c>
      <c r="E707" s="2" t="s">
        <v>48</v>
      </c>
      <c r="F707" s="14" t="n">
        <v>49.51</v>
      </c>
      <c r="G707" s="2" t="n">
        <v>0</v>
      </c>
      <c r="H707" s="2" t="n">
        <v>1</v>
      </c>
      <c r="I707" s="20" t="n">
        <v>1.03</v>
      </c>
      <c r="J707" s="14" t="n">
        <v>24.5</v>
      </c>
      <c r="K707" s="14" t="n">
        <v>29.5</v>
      </c>
      <c r="L707" s="20" t="n">
        <f aca="false">INDEX('Read me'!$B$10:$B$15,2)</f>
        <v>1.26</v>
      </c>
      <c r="M707" s="14" t="n">
        <f aca="false">IF(F707*(1+'Read me'!$B$5)&lt;='Read me'!$B$7,CEILING(F707*(1+'Read me'!$B$5)+0.5,1)-0.5,CEILING(F707*(1+'Read me'!$B$5),5))</f>
        <v>50</v>
      </c>
      <c r="N707" s="14" t="n">
        <f aca="false">IF(MAX(M707*L707,M707+'Read me'!$B$6)&lt;='Read me'!$B$7,CEILING(MAX(M707*L707,M707+'Read me'!$B$6)+0.5,1)-0.5,CEILING(MAX(M707*L707,M707+'Read me'!$B$6),5))</f>
        <v>65</v>
      </c>
      <c r="O707" s="21" t="n">
        <f aca="false">IF(ISNUMBER(J707),M707-J707,"new")</f>
        <v>25.5</v>
      </c>
    </row>
    <row r="708" customFormat="false" ht="15" hidden="false" customHeight="false" outlineLevel="0" collapsed="false">
      <c r="A708" s="2" t="s">
        <v>839</v>
      </c>
      <c r="B708" s="2" t="s">
        <v>221</v>
      </c>
      <c r="C708" s="2" t="s">
        <v>240</v>
      </c>
      <c r="D708" s="2" t="s">
        <v>12</v>
      </c>
      <c r="E708" s="2" t="s">
        <v>49</v>
      </c>
      <c r="F708" s="14" t="n">
        <v>50.79</v>
      </c>
      <c r="G708" s="2" t="n">
        <v>1</v>
      </c>
      <c r="H708" s="2" t="n">
        <v>1</v>
      </c>
      <c r="I708" s="20" t="n">
        <v>1.03</v>
      </c>
      <c r="J708" s="14" t="n">
        <v>24.5</v>
      </c>
      <c r="K708" s="14" t="n">
        <v>29.5</v>
      </c>
      <c r="L708" s="20" t="n">
        <f aca="false">INDEX('Read me'!$B$10:$B$15,2)</f>
        <v>1.26</v>
      </c>
      <c r="M708" s="14" t="n">
        <f aca="false">IF(F708*(1+'Read me'!$B$5)&lt;='Read me'!$B$7,CEILING(F708*(1+'Read me'!$B$5)+0.5,1)-0.5,CEILING(F708*(1+'Read me'!$B$5),5))</f>
        <v>55</v>
      </c>
      <c r="N708" s="14" t="n">
        <f aca="false">IF(MAX(M708*L708,M708+'Read me'!$B$6)&lt;='Read me'!$B$7,CEILING(MAX(M708*L708,M708+'Read me'!$B$6)+0.5,1)-0.5,CEILING(MAX(M708*L708,M708+'Read me'!$B$6),5))</f>
        <v>70</v>
      </c>
      <c r="O708" s="21" t="n">
        <f aca="false">IF(ISNUMBER(J708),M708-J708,"new")</f>
        <v>30.5</v>
      </c>
    </row>
    <row r="709" customFormat="false" ht="15" hidden="false" customHeight="false" outlineLevel="0" collapsed="false">
      <c r="A709" s="2" t="s">
        <v>840</v>
      </c>
      <c r="B709" s="2" t="s">
        <v>221</v>
      </c>
      <c r="C709" s="2" t="s">
        <v>240</v>
      </c>
      <c r="D709" s="2" t="s">
        <v>12</v>
      </c>
      <c r="E709" s="2" t="s">
        <v>50</v>
      </c>
      <c r="F709" s="14" t="n">
        <v>63.13</v>
      </c>
      <c r="G709" s="2" t="n">
        <v>0</v>
      </c>
      <c r="H709" s="2" t="n">
        <v>1</v>
      </c>
      <c r="I709" s="20" t="n">
        <v>1.03</v>
      </c>
      <c r="J709" s="14" t="n">
        <v>24.5</v>
      </c>
      <c r="K709" s="14" t="n">
        <v>45</v>
      </c>
      <c r="L709" s="20" t="n">
        <f aca="false">INDEX('Read me'!$B$10:$B$15,2)</f>
        <v>1.26</v>
      </c>
      <c r="M709" s="14" t="n">
        <f aca="false">IF(F709*(1+'Read me'!$B$5)&lt;='Read me'!$B$7,CEILING(F709*(1+'Read me'!$B$5)+0.5,1)-0.5,CEILING(F709*(1+'Read me'!$B$5),5))</f>
        <v>65</v>
      </c>
      <c r="N709" s="14" t="n">
        <f aca="false">IF(MAX(M709*L709,M709+'Read me'!$B$6)&lt;='Read me'!$B$7,CEILING(MAX(M709*L709,M709+'Read me'!$B$6)+0.5,1)-0.5,CEILING(MAX(M709*L709,M709+'Read me'!$B$6),5))</f>
        <v>85</v>
      </c>
      <c r="O709" s="21" t="n">
        <f aca="false">IF(ISNUMBER(J709),M709-J709,"new")</f>
        <v>40.5</v>
      </c>
    </row>
    <row r="710" customFormat="false" ht="15" hidden="false" customHeight="false" outlineLevel="0" collapsed="false">
      <c r="A710" s="2" t="s">
        <v>841</v>
      </c>
      <c r="B710" s="2" t="s">
        <v>221</v>
      </c>
      <c r="C710" s="2" t="s">
        <v>240</v>
      </c>
      <c r="D710" s="2" t="s">
        <v>13</v>
      </c>
      <c r="E710" s="2" t="s">
        <v>48</v>
      </c>
      <c r="F710" s="14" t="n">
        <v>85.22</v>
      </c>
      <c r="G710" s="2" t="n">
        <v>0</v>
      </c>
      <c r="H710" s="2" t="n">
        <v>1</v>
      </c>
      <c r="I710" s="20" t="n">
        <v>1.03</v>
      </c>
      <c r="J710" s="14" t="n">
        <v>45</v>
      </c>
      <c r="K710" s="14" t="n">
        <v>95</v>
      </c>
      <c r="L710" s="20" t="n">
        <f aca="false">INDEX('Read me'!$B$10:$B$15,3)</f>
        <v>1.35</v>
      </c>
      <c r="M710" s="14" t="n">
        <f aca="false">IF(F710*(1+'Read me'!$B$5)&lt;='Read me'!$B$7,CEILING(F710*(1+'Read me'!$B$5)+0.5,1)-0.5,CEILING(F710*(1+'Read me'!$B$5),5))</f>
        <v>90</v>
      </c>
      <c r="N710" s="14" t="n">
        <f aca="false">IF(MAX(M710*L710,M710+'Read me'!$B$6)&lt;='Read me'!$B$7,CEILING(MAX(M710*L710,M710+'Read me'!$B$6)+0.5,1)-0.5,CEILING(MAX(M710*L710,M710+'Read me'!$B$6),5))</f>
        <v>125</v>
      </c>
      <c r="O710" s="21" t="n">
        <f aca="false">IF(ISNUMBER(J710),M710-J710,"new")</f>
        <v>45</v>
      </c>
    </row>
    <row r="711" customFormat="false" ht="15" hidden="false" customHeight="false" outlineLevel="0" collapsed="false">
      <c r="A711" s="2" t="s">
        <v>842</v>
      </c>
      <c r="B711" s="2" t="s">
        <v>221</v>
      </c>
      <c r="C711" s="2" t="s">
        <v>240</v>
      </c>
      <c r="D711" s="2" t="s">
        <v>13</v>
      </c>
      <c r="E711" s="2" t="s">
        <v>49</v>
      </c>
      <c r="F711" s="14" t="n">
        <v>95.87</v>
      </c>
      <c r="G711" s="2" t="n">
        <v>0</v>
      </c>
      <c r="H711" s="2" t="n">
        <v>1</v>
      </c>
      <c r="I711" s="20" t="n">
        <v>1.03</v>
      </c>
      <c r="J711" s="14" t="n">
        <v>45</v>
      </c>
      <c r="K711" s="14" t="n">
        <v>95</v>
      </c>
      <c r="L711" s="20" t="n">
        <f aca="false">INDEX('Read me'!$B$10:$B$15,3)</f>
        <v>1.35</v>
      </c>
      <c r="M711" s="14" t="n">
        <f aca="false">IF(F711*(1+'Read me'!$B$5)&lt;='Read me'!$B$7,CEILING(F711*(1+'Read me'!$B$5)+0.5,1)-0.5,CEILING(F711*(1+'Read me'!$B$5),5))</f>
        <v>100</v>
      </c>
      <c r="N711" s="14" t="n">
        <f aca="false">IF(MAX(M711*L711,M711+'Read me'!$B$6)&lt;='Read me'!$B$7,CEILING(MAX(M711*L711,M711+'Read me'!$B$6)+0.5,1)-0.5,CEILING(MAX(M711*L711,M711+'Read me'!$B$6),5))</f>
        <v>135</v>
      </c>
      <c r="O711" s="21" t="n">
        <f aca="false">IF(ISNUMBER(J711),M711-J711,"new")</f>
        <v>55</v>
      </c>
    </row>
    <row r="712" customFormat="false" ht="15" hidden="false" customHeight="false" outlineLevel="0" collapsed="false">
      <c r="A712" s="2" t="s">
        <v>843</v>
      </c>
      <c r="B712" s="2" t="s">
        <v>221</v>
      </c>
      <c r="C712" s="2" t="s">
        <v>240</v>
      </c>
      <c r="D712" s="2" t="s">
        <v>13</v>
      </c>
      <c r="E712" s="2" t="s">
        <v>50</v>
      </c>
      <c r="F712" s="14" t="n">
        <v>128.93</v>
      </c>
      <c r="G712" s="2" t="n">
        <v>0</v>
      </c>
      <c r="H712" s="2" t="n">
        <v>1</v>
      </c>
      <c r="I712" s="20" t="n">
        <v>1.03</v>
      </c>
      <c r="J712" s="14" t="n">
        <v>99</v>
      </c>
      <c r="K712" s="14" t="n">
        <v>150</v>
      </c>
      <c r="L712" s="20" t="n">
        <f aca="false">INDEX('Read me'!$B$10:$B$15,3)</f>
        <v>1.35</v>
      </c>
      <c r="M712" s="14" t="n">
        <f aca="false">IF(F712*(1+'Read me'!$B$5)&lt;='Read me'!$B$7,CEILING(F712*(1+'Read me'!$B$5)+0.5,1)-0.5,CEILING(F712*(1+'Read me'!$B$5),5))</f>
        <v>130</v>
      </c>
      <c r="N712" s="14" t="n">
        <f aca="false">IF(MAX(M712*L712,M712+'Read me'!$B$6)&lt;='Read me'!$B$7,CEILING(MAX(M712*L712,M712+'Read me'!$B$6)+0.5,1)-0.5,CEILING(MAX(M712*L712,M712+'Read me'!$B$6),5))</f>
        <v>180</v>
      </c>
      <c r="O712" s="21" t="n">
        <f aca="false">IF(ISNUMBER(J712),M712-J712,"new")</f>
        <v>31</v>
      </c>
    </row>
    <row r="713" customFormat="false" ht="15" hidden="false" customHeight="false" outlineLevel="0" collapsed="false">
      <c r="A713" s="2" t="s">
        <v>844</v>
      </c>
      <c r="B713" s="2" t="s">
        <v>221</v>
      </c>
      <c r="C713" s="2" t="s">
        <v>240</v>
      </c>
      <c r="D713" s="2" t="s">
        <v>14</v>
      </c>
      <c r="E713" s="2" t="s">
        <v>48</v>
      </c>
      <c r="F713" s="14" t="n">
        <v>147.57</v>
      </c>
      <c r="G713" s="2" t="n">
        <v>0</v>
      </c>
      <c r="H713" s="2" t="n">
        <v>1</v>
      </c>
      <c r="I713" s="20" t="n">
        <v>1.03</v>
      </c>
      <c r="J713" s="14" t="n">
        <v>99</v>
      </c>
      <c r="K713" s="14" t="n">
        <v>150</v>
      </c>
      <c r="L713" s="20" t="n">
        <f aca="false">INDEX('Read me'!$B$10:$B$15,4)</f>
        <v>1.2</v>
      </c>
      <c r="M713" s="14" t="n">
        <f aca="false">IF(F713*(1+'Read me'!$B$5)&lt;='Read me'!$B$7,CEILING(F713*(1+'Read me'!$B$5)+0.5,1)-0.5,CEILING(F713*(1+'Read me'!$B$5),5))</f>
        <v>150</v>
      </c>
      <c r="N713" s="14" t="n">
        <f aca="false">IF(MAX(M713*L713,M713+'Read me'!$B$6)&lt;='Read me'!$B$7,CEILING(MAX(M713*L713,M713+'Read me'!$B$6)+0.5,1)-0.5,CEILING(MAX(M713*L713,M713+'Read me'!$B$6),5))</f>
        <v>180</v>
      </c>
      <c r="O713" s="21" t="n">
        <f aca="false">IF(ISNUMBER(J713),M713-J713,"new")</f>
        <v>51</v>
      </c>
    </row>
    <row r="714" customFormat="false" ht="15" hidden="false" customHeight="false" outlineLevel="0" collapsed="false">
      <c r="A714" s="2" t="s">
        <v>845</v>
      </c>
      <c r="B714" s="2" t="s">
        <v>221</v>
      </c>
      <c r="C714" s="2" t="s">
        <v>240</v>
      </c>
      <c r="D714" s="2" t="s">
        <v>14</v>
      </c>
      <c r="E714" s="2" t="s">
        <v>49</v>
      </c>
      <c r="F714" s="14" t="n">
        <v>177.19</v>
      </c>
      <c r="G714" s="2" t="n">
        <v>0</v>
      </c>
      <c r="H714" s="2" t="n">
        <v>1</v>
      </c>
      <c r="I714" s="20" t="n">
        <v>1.03</v>
      </c>
      <c r="J714" s="14" t="n">
        <v>150</v>
      </c>
      <c r="K714" s="14" t="n">
        <v>150</v>
      </c>
      <c r="L714" s="20" t="n">
        <f aca="false">INDEX('Read me'!$B$10:$B$15,4)</f>
        <v>1.2</v>
      </c>
      <c r="M714" s="14" t="n">
        <f aca="false">IF(F714*(1+'Read me'!$B$5)&lt;='Read me'!$B$7,CEILING(F714*(1+'Read me'!$B$5)+0.5,1)-0.5,CEILING(F714*(1+'Read me'!$B$5),5))</f>
        <v>180</v>
      </c>
      <c r="N714" s="14" t="n">
        <f aca="false">IF(MAX(M714*L714,M714+'Read me'!$B$6)&lt;='Read me'!$B$7,CEILING(MAX(M714*L714,M714+'Read me'!$B$6)+0.5,1)-0.5,CEILING(MAX(M714*L714,M714+'Read me'!$B$6),5))</f>
        <v>220</v>
      </c>
      <c r="O714" s="21" t="n">
        <f aca="false">IF(ISNUMBER(J714),M714-J714,"new")</f>
        <v>30</v>
      </c>
    </row>
    <row r="715" customFormat="false" ht="15" hidden="false" customHeight="false" outlineLevel="0" collapsed="false">
      <c r="A715" s="2" t="s">
        <v>846</v>
      </c>
      <c r="B715" s="2" t="s">
        <v>221</v>
      </c>
      <c r="C715" s="2" t="s">
        <v>240</v>
      </c>
      <c r="D715" s="2" t="s">
        <v>14</v>
      </c>
      <c r="E715" s="2" t="s">
        <v>50</v>
      </c>
      <c r="F715" s="14" t="n">
        <v>213.53</v>
      </c>
      <c r="G715" s="2" t="n">
        <v>0</v>
      </c>
      <c r="H715" s="2" t="n">
        <v>1</v>
      </c>
      <c r="I715" s="20" t="n">
        <v>1.03</v>
      </c>
      <c r="J715" s="14" t="n">
        <v>250</v>
      </c>
      <c r="K715" s="14" t="n">
        <v>195</v>
      </c>
      <c r="L715" s="20" t="n">
        <f aca="false">INDEX('Read me'!$B$10:$B$15,4)</f>
        <v>1.2</v>
      </c>
      <c r="M715" s="14" t="n">
        <f aca="false">IF(F715*(1+'Read me'!$B$5)&lt;='Read me'!$B$7,CEILING(F715*(1+'Read me'!$B$5)+0.5,1)-0.5,CEILING(F715*(1+'Read me'!$B$5),5))</f>
        <v>215</v>
      </c>
      <c r="N715" s="14" t="n">
        <f aca="false">IF(MAX(M715*L715,M715+'Read me'!$B$6)&lt;='Read me'!$B$7,CEILING(MAX(M715*L715,M715+'Read me'!$B$6)+0.5,1)-0.5,CEILING(MAX(M715*L715,M715+'Read me'!$B$6),5))</f>
        <v>260</v>
      </c>
      <c r="O715" s="21" t="n">
        <f aca="false">IF(ISNUMBER(J715),M715-J715,"new")</f>
        <v>-35</v>
      </c>
    </row>
    <row r="716" customFormat="false" ht="15" hidden="false" customHeight="false" outlineLevel="0" collapsed="false">
      <c r="A716" s="2" t="s">
        <v>847</v>
      </c>
      <c r="B716" s="2" t="s">
        <v>221</v>
      </c>
      <c r="C716" s="2" t="s">
        <v>240</v>
      </c>
      <c r="D716" s="2" t="s">
        <v>15</v>
      </c>
      <c r="E716" s="2" t="s">
        <v>48</v>
      </c>
      <c r="F716" s="14" t="n">
        <v>187.31</v>
      </c>
      <c r="G716" s="2" t="n">
        <v>0</v>
      </c>
      <c r="H716" s="2" t="n">
        <v>1</v>
      </c>
      <c r="I716" s="20" t="n">
        <v>1.03</v>
      </c>
      <c r="J716" s="14" t="n">
        <v>300</v>
      </c>
      <c r="K716" s="14" t="n">
        <v>300</v>
      </c>
      <c r="L716" s="20" t="n">
        <f aca="false">INDEX('Read me'!$B$10:$B$15,5)</f>
        <v>1.2</v>
      </c>
      <c r="M716" s="14" t="n">
        <f aca="false">IF(F716*(1+'Read me'!$B$5)&lt;='Read me'!$B$7,CEILING(F716*(1+'Read me'!$B$5)+0.5,1)-0.5,CEILING(F716*(1+'Read me'!$B$5),5))</f>
        <v>190</v>
      </c>
      <c r="N716" s="14" t="n">
        <f aca="false">IF(MAX(M716*L716,M716+'Read me'!$B$6)&lt;='Read me'!$B$7,CEILING(MAX(M716*L716,M716+'Read me'!$B$6)+0.5,1)-0.5,CEILING(MAX(M716*L716,M716+'Read me'!$B$6),5))</f>
        <v>230</v>
      </c>
      <c r="O716" s="21" t="n">
        <f aca="false">IF(ISNUMBER(J716),M716-J716,"new")</f>
        <v>-110</v>
      </c>
    </row>
    <row r="717" customFormat="false" ht="15" hidden="false" customHeight="false" outlineLevel="0" collapsed="false">
      <c r="A717" s="2" t="s">
        <v>848</v>
      </c>
      <c r="B717" s="2" t="s">
        <v>221</v>
      </c>
      <c r="C717" s="2" t="s">
        <v>240</v>
      </c>
      <c r="D717" s="2" t="s">
        <v>15</v>
      </c>
      <c r="E717" s="2" t="s">
        <v>49</v>
      </c>
      <c r="F717" s="14" t="n">
        <v>231.09</v>
      </c>
      <c r="G717" s="2" t="n">
        <v>0</v>
      </c>
      <c r="H717" s="2" t="n">
        <v>1</v>
      </c>
      <c r="I717" s="20" t="n">
        <v>1.03</v>
      </c>
      <c r="J717" s="14" t="n">
        <v>300</v>
      </c>
      <c r="K717" s="14" t="n">
        <v>300</v>
      </c>
      <c r="L717" s="20" t="n">
        <f aca="false">INDEX('Read me'!$B$10:$B$15,5)</f>
        <v>1.2</v>
      </c>
      <c r="M717" s="14" t="n">
        <f aca="false">N717</f>
        <v>285</v>
      </c>
      <c r="N717" s="14" t="n">
        <f aca="false">IF(MAX((IF(F717*(1+'Read me'!$B$5)&lt;='Read me'!$B$7,CEILING(F717*(1+'Read me'!$B$5)+0.5,1)-0.5,CEILING(F717*(1+'Read me'!$B$5),5)))*L717,(IF(F717*(1+'Read me'!$B$5)&lt;='Read me'!$B$7,CEILING(F717*(1+'Read me'!$B$5)+0.5,1)-0.5,CEILING(F717*(1+'Read me'!$B$5),5)))+'Read me'!$B$6)&lt;='Read me'!$B$7,CEILING(MAX((IF(F717*(1+'Read me'!$B$5)&lt;='Read me'!$B$7,CEILING(F717*(1+'Read me'!$B$5)+0.5,1)-0.5,CEILING(F717*(1+'Read me'!$B$5),5)))*L717,(IF(F717*(1+'Read me'!$B$5)&lt;='Read me'!$B$7,CEILING(F717*(1+'Read me'!$B$5)+0.5,1)-0.5,CEILING(F717*(1+'Read me'!$B$5),5)))+'Read me'!$B$6)+0.5,1)-0.5,CEILING(MAX((IF(F717*(1+'Read me'!$B$5)&lt;='Read me'!$B$7,CEILING(F717*(1+'Read me'!$B$5)+0.5,1)-0.5,CEILING(F717*(1+'Read me'!$B$5),5)))*L717,(IF(F717*(1+'Read me'!$B$5)&lt;='Read me'!$B$7,CEILING(F717*(1+'Read me'!$B$5)+0.5,1)-0.5,CEILING(F717*(1+'Read me'!$B$5),5)))+'Read me'!$B$6),5))</f>
        <v>285</v>
      </c>
      <c r="O717" s="21" t="n">
        <f aca="false">IF(ISNUMBER(J717),M717-J717,"new")</f>
        <v>-15</v>
      </c>
      <c r="P717" s="5" t="s">
        <v>140</v>
      </c>
    </row>
    <row r="718" customFormat="false" ht="15" hidden="false" customHeight="false" outlineLevel="0" collapsed="false">
      <c r="A718" s="2" t="s">
        <v>849</v>
      </c>
      <c r="B718" s="2" t="s">
        <v>221</v>
      </c>
      <c r="C718" s="2" t="s">
        <v>240</v>
      </c>
      <c r="D718" s="2" t="s">
        <v>15</v>
      </c>
      <c r="E718" s="2" t="s">
        <v>50</v>
      </c>
      <c r="F718" s="14" t="n">
        <v>277.66</v>
      </c>
      <c r="G718" s="2" t="n">
        <v>0</v>
      </c>
      <c r="H718" s="2" t="n">
        <v>1</v>
      </c>
      <c r="I718" s="20" t="n">
        <v>1.03</v>
      </c>
      <c r="J718" s="14" t="n">
        <v>350</v>
      </c>
      <c r="K718" s="14" t="n">
        <v>400</v>
      </c>
      <c r="L718" s="20" t="n">
        <f aca="false">INDEX('Read me'!$B$10:$B$15,5)</f>
        <v>1.2</v>
      </c>
      <c r="M718" s="14" t="n">
        <f aca="false">N718</f>
        <v>340</v>
      </c>
      <c r="N718" s="14" t="n">
        <f aca="false">IF(MAX((IF(F718*(1+'Read me'!$B$5)&lt;='Read me'!$B$7,CEILING(F718*(1+'Read me'!$B$5)+0.5,1)-0.5,CEILING(F718*(1+'Read me'!$B$5),5)))*L718,(IF(F718*(1+'Read me'!$B$5)&lt;='Read me'!$B$7,CEILING(F718*(1+'Read me'!$B$5)+0.5,1)-0.5,CEILING(F718*(1+'Read me'!$B$5),5)))+'Read me'!$B$6)&lt;='Read me'!$B$7,CEILING(MAX((IF(F718*(1+'Read me'!$B$5)&lt;='Read me'!$B$7,CEILING(F718*(1+'Read me'!$B$5)+0.5,1)-0.5,CEILING(F718*(1+'Read me'!$B$5),5)))*L718,(IF(F718*(1+'Read me'!$B$5)&lt;='Read me'!$B$7,CEILING(F718*(1+'Read me'!$B$5)+0.5,1)-0.5,CEILING(F718*(1+'Read me'!$B$5),5)))+'Read me'!$B$6)+0.5,1)-0.5,CEILING(MAX((IF(F718*(1+'Read me'!$B$5)&lt;='Read me'!$B$7,CEILING(F718*(1+'Read me'!$B$5)+0.5,1)-0.5,CEILING(F718*(1+'Read me'!$B$5),5)))*L718,(IF(F718*(1+'Read me'!$B$5)&lt;='Read me'!$B$7,CEILING(F718*(1+'Read me'!$B$5)+0.5,1)-0.5,CEILING(F718*(1+'Read me'!$B$5),5)))+'Read me'!$B$6),5))</f>
        <v>340</v>
      </c>
      <c r="O718" s="21" t="n">
        <f aca="false">IF(ISNUMBER(J718),M718-J718,"new")</f>
        <v>-10</v>
      </c>
      <c r="P718" s="5" t="s">
        <v>140</v>
      </c>
    </row>
    <row r="719" customFormat="false" ht="15" hidden="false" customHeight="false" outlineLevel="0" collapsed="false">
      <c r="A719" s="2" t="s">
        <v>850</v>
      </c>
      <c r="B719" s="2" t="s">
        <v>221</v>
      </c>
      <c r="C719" s="2" t="s">
        <v>240</v>
      </c>
      <c r="D719" s="2" t="s">
        <v>16</v>
      </c>
      <c r="E719" s="2" t="s">
        <v>48</v>
      </c>
      <c r="F719" s="14" t="n">
        <v>260.09</v>
      </c>
      <c r="G719" s="2" t="n">
        <v>0</v>
      </c>
      <c r="H719" s="2" t="n">
        <v>1</v>
      </c>
      <c r="I719" s="20" t="n">
        <v>1.03</v>
      </c>
      <c r="J719" s="14"/>
      <c r="K719" s="14"/>
      <c r="L719" s="20" t="n">
        <f aca="false">INDEX('Read me'!$B$10:$B$15,6)</f>
        <v>1.2</v>
      </c>
      <c r="M719" s="14" t="n">
        <f aca="false">IF(F719*(1+'Read me'!$B$5)&lt;='Read me'!$B$7,CEILING(F719*(1+'Read me'!$B$5)+0.5,1)-0.5,CEILING(F719*(1+'Read me'!$B$5),5))</f>
        <v>265</v>
      </c>
      <c r="N719" s="14" t="n">
        <f aca="false">IF(MAX(M719*L719,M719+'Read me'!$B$6)&lt;='Read me'!$B$7,CEILING(MAX(M719*L719,M719+'Read me'!$B$6)+0.5,1)-0.5,CEILING(MAX(M719*L719,M719+'Read me'!$B$6),5))</f>
        <v>320</v>
      </c>
      <c r="O719" s="21" t="str">
        <f aca="false">IF(ISNUMBER(J719),M719-J719,"new")</f>
        <v>new</v>
      </c>
    </row>
    <row r="720" customFormat="false" ht="15" hidden="false" customHeight="false" outlineLevel="0" collapsed="false">
      <c r="A720" s="2" t="s">
        <v>851</v>
      </c>
      <c r="B720" s="2" t="s">
        <v>221</v>
      </c>
      <c r="C720" s="2" t="s">
        <v>240</v>
      </c>
      <c r="D720" s="2" t="s">
        <v>16</v>
      </c>
      <c r="E720" s="2" t="s">
        <v>49</v>
      </c>
      <c r="F720" s="14" t="n">
        <v>334.2</v>
      </c>
      <c r="G720" s="2" t="n">
        <v>0</v>
      </c>
      <c r="H720" s="2" t="n">
        <v>1</v>
      </c>
      <c r="I720" s="20" t="n">
        <v>1.03</v>
      </c>
      <c r="J720" s="14"/>
      <c r="K720" s="14"/>
      <c r="L720" s="20" t="n">
        <f aca="false">INDEX('Read me'!$B$10:$B$15,6)</f>
        <v>1.2</v>
      </c>
      <c r="M720" s="14" t="n">
        <f aca="false">N720</f>
        <v>405</v>
      </c>
      <c r="N720" s="14" t="n">
        <f aca="false">IF(MAX((IF(F720*(1+'Read me'!$B$5)&lt;='Read me'!$B$7,CEILING(F720*(1+'Read me'!$B$5)+0.5,1)-0.5,CEILING(F720*(1+'Read me'!$B$5),5)))*L720,(IF(F720*(1+'Read me'!$B$5)&lt;='Read me'!$B$7,CEILING(F720*(1+'Read me'!$B$5)+0.5,1)-0.5,CEILING(F720*(1+'Read me'!$B$5),5)))+'Read me'!$B$6)&lt;='Read me'!$B$7,CEILING(MAX((IF(F720*(1+'Read me'!$B$5)&lt;='Read me'!$B$7,CEILING(F720*(1+'Read me'!$B$5)+0.5,1)-0.5,CEILING(F720*(1+'Read me'!$B$5),5)))*L720,(IF(F720*(1+'Read me'!$B$5)&lt;='Read me'!$B$7,CEILING(F720*(1+'Read me'!$B$5)+0.5,1)-0.5,CEILING(F720*(1+'Read me'!$B$5),5)))+'Read me'!$B$6)+0.5,1)-0.5,CEILING(MAX((IF(F720*(1+'Read me'!$B$5)&lt;='Read me'!$B$7,CEILING(F720*(1+'Read me'!$B$5)+0.5,1)-0.5,CEILING(F720*(1+'Read me'!$B$5),5)))*L720,(IF(F720*(1+'Read me'!$B$5)&lt;='Read me'!$B$7,CEILING(F720*(1+'Read me'!$B$5)+0.5,1)-0.5,CEILING(F720*(1+'Read me'!$B$5),5)))+'Read me'!$B$6),5))</f>
        <v>405</v>
      </c>
      <c r="O720" s="21" t="str">
        <f aca="false">IF(ISNUMBER(J720),M720-J720,"new")</f>
        <v>new</v>
      </c>
      <c r="P720" s="5" t="s">
        <v>140</v>
      </c>
    </row>
    <row r="721" customFormat="false" ht="15" hidden="false" customHeight="false" outlineLevel="0" collapsed="false">
      <c r="A721" s="2" t="s">
        <v>852</v>
      </c>
      <c r="B721" s="2" t="s">
        <v>221</v>
      </c>
      <c r="C721" s="2" t="s">
        <v>240</v>
      </c>
      <c r="D721" s="2" t="s">
        <v>16</v>
      </c>
      <c r="E721" s="2" t="s">
        <v>50</v>
      </c>
      <c r="F721" s="14" t="n">
        <v>392.81</v>
      </c>
      <c r="G721" s="2" t="n">
        <v>0</v>
      </c>
      <c r="H721" s="2" t="n">
        <v>1</v>
      </c>
      <c r="I721" s="20" t="n">
        <v>1.03</v>
      </c>
      <c r="J721" s="14"/>
      <c r="K721" s="14"/>
      <c r="L721" s="20" t="n">
        <f aca="false">INDEX('Read me'!$B$10:$B$15,6)</f>
        <v>1.2</v>
      </c>
      <c r="M721" s="14" t="n">
        <f aca="false">N721</f>
        <v>475</v>
      </c>
      <c r="N721" s="14" t="n">
        <f aca="false">IF(MAX((IF(F721*(1+'Read me'!$B$5)&lt;='Read me'!$B$7,CEILING(F721*(1+'Read me'!$B$5)+0.5,1)-0.5,CEILING(F721*(1+'Read me'!$B$5),5)))*L721,(IF(F721*(1+'Read me'!$B$5)&lt;='Read me'!$B$7,CEILING(F721*(1+'Read me'!$B$5)+0.5,1)-0.5,CEILING(F721*(1+'Read me'!$B$5),5)))+'Read me'!$B$6)&lt;='Read me'!$B$7,CEILING(MAX((IF(F721*(1+'Read me'!$B$5)&lt;='Read me'!$B$7,CEILING(F721*(1+'Read me'!$B$5)+0.5,1)-0.5,CEILING(F721*(1+'Read me'!$B$5),5)))*L721,(IF(F721*(1+'Read me'!$B$5)&lt;='Read me'!$B$7,CEILING(F721*(1+'Read me'!$B$5)+0.5,1)-0.5,CEILING(F721*(1+'Read me'!$B$5),5)))+'Read me'!$B$6)+0.5,1)-0.5,CEILING(MAX((IF(F721*(1+'Read me'!$B$5)&lt;='Read me'!$B$7,CEILING(F721*(1+'Read me'!$B$5)+0.5,1)-0.5,CEILING(F721*(1+'Read me'!$B$5),5)))*L721,(IF(F721*(1+'Read me'!$B$5)&lt;='Read me'!$B$7,CEILING(F721*(1+'Read me'!$B$5)+0.5,1)-0.5,CEILING(F721*(1+'Read me'!$B$5),5)))+'Read me'!$B$6),5))</f>
        <v>475</v>
      </c>
      <c r="O721" s="21" t="str">
        <f aca="false">IF(ISNUMBER(J721),M721-J721,"new")</f>
        <v>new</v>
      </c>
      <c r="P721" s="5" t="s">
        <v>140</v>
      </c>
    </row>
    <row r="722" customFormat="false" ht="15" hidden="false" customHeight="false" outlineLevel="0" collapsed="false">
      <c r="A722" s="2" t="s">
        <v>853</v>
      </c>
      <c r="B722" s="2" t="s">
        <v>221</v>
      </c>
      <c r="C722" s="2" t="s">
        <v>125</v>
      </c>
      <c r="D722" s="2" t="s">
        <v>10</v>
      </c>
      <c r="E722" s="2" t="s">
        <v>48</v>
      </c>
      <c r="F722" s="14" t="n">
        <v>13.4</v>
      </c>
      <c r="G722" s="2" t="n">
        <v>0</v>
      </c>
      <c r="H722" s="2" t="n">
        <v>2</v>
      </c>
      <c r="I722" s="20" t="n">
        <v>1.03</v>
      </c>
      <c r="J722" s="14" t="n">
        <v>19.5</v>
      </c>
      <c r="K722" s="14" t="n">
        <v>24.5</v>
      </c>
      <c r="L722" s="20" t="n">
        <f aca="false">INDEX('Read me'!$B$10:$B$15,1)</f>
        <v>1.34</v>
      </c>
      <c r="M722" s="14" t="n">
        <f aca="false">IF(F722*(1+'Read me'!$B$5)&lt;='Read me'!$B$7,CEILING(F722*(1+'Read me'!$B$5)+0.5,1)-0.5,CEILING(F722*(1+'Read me'!$B$5),5))</f>
        <v>13.5</v>
      </c>
      <c r="N722" s="14" t="n">
        <f aca="false">IF(MAX(M722*L722,M722+'Read me'!$B$6)&lt;='Read me'!$B$7,CEILING(MAX(M722*L722,M722+'Read me'!$B$6)+0.5,1)-0.5,CEILING(MAX(M722*L722,M722+'Read me'!$B$6),5))</f>
        <v>18.5</v>
      </c>
      <c r="O722" s="21" t="n">
        <f aca="false">IF(ISNUMBER(J722),M722-J722,"new")</f>
        <v>-6</v>
      </c>
    </row>
    <row r="723" customFormat="false" ht="15" hidden="false" customHeight="false" outlineLevel="0" collapsed="false">
      <c r="A723" s="2" t="s">
        <v>854</v>
      </c>
      <c r="B723" s="2" t="s">
        <v>221</v>
      </c>
      <c r="C723" s="2" t="s">
        <v>125</v>
      </c>
      <c r="D723" s="2" t="s">
        <v>10</v>
      </c>
      <c r="E723" s="2" t="s">
        <v>49</v>
      </c>
      <c r="F723" s="14" t="n">
        <v>16.79</v>
      </c>
      <c r="G723" s="2" t="n">
        <v>2</v>
      </c>
      <c r="H723" s="2" t="n">
        <v>2</v>
      </c>
      <c r="I723" s="20" t="n">
        <v>1.03</v>
      </c>
      <c r="J723" s="14" t="n">
        <v>19.5</v>
      </c>
      <c r="K723" s="14" t="n">
        <v>24.5</v>
      </c>
      <c r="L723" s="20" t="n">
        <f aca="false">INDEX('Read me'!$B$10:$B$15,1)</f>
        <v>1.34</v>
      </c>
      <c r="M723" s="14" t="n">
        <f aca="false">IF(F723*(1+'Read me'!$B$5)&lt;='Read me'!$B$7,CEILING(F723*(1+'Read me'!$B$5)+0.5,1)-0.5,CEILING(F723*(1+'Read me'!$B$5),5))</f>
        <v>17.5</v>
      </c>
      <c r="N723" s="14" t="n">
        <f aca="false">IF(MAX(M723*L723,M723+'Read me'!$B$6)&lt;='Read me'!$B$7,CEILING(MAX(M723*L723,M723+'Read me'!$B$6)+0.5,1)-0.5,CEILING(MAX(M723*L723,M723+'Read me'!$B$6),5))</f>
        <v>23.5</v>
      </c>
      <c r="O723" s="21" t="n">
        <f aca="false">IF(ISNUMBER(J723),M723-J723,"new")</f>
        <v>-2</v>
      </c>
    </row>
    <row r="724" customFormat="false" ht="15" hidden="false" customHeight="false" outlineLevel="0" collapsed="false">
      <c r="A724" s="2" t="s">
        <v>855</v>
      </c>
      <c r="B724" s="2" t="s">
        <v>221</v>
      </c>
      <c r="C724" s="2" t="s">
        <v>125</v>
      </c>
      <c r="D724" s="2" t="s">
        <v>10</v>
      </c>
      <c r="E724" s="2" t="s">
        <v>50</v>
      </c>
      <c r="F724" s="14" t="n">
        <v>20.62</v>
      </c>
      <c r="G724" s="2" t="n">
        <v>0</v>
      </c>
      <c r="H724" s="2" t="n">
        <v>2</v>
      </c>
      <c r="I724" s="20" t="n">
        <v>1.03</v>
      </c>
      <c r="J724" s="14" t="n">
        <v>19.5</v>
      </c>
      <c r="K724" s="14" t="n">
        <v>34.5</v>
      </c>
      <c r="L724" s="20" t="n">
        <f aca="false">INDEX('Read me'!$B$10:$B$15,1)</f>
        <v>1.34</v>
      </c>
      <c r="M724" s="14" t="n">
        <f aca="false">IF(F724*(1+'Read me'!$B$5)&lt;='Read me'!$B$7,CEILING(F724*(1+'Read me'!$B$5)+0.5,1)-0.5,CEILING(F724*(1+'Read me'!$B$5),5))</f>
        <v>21.5</v>
      </c>
      <c r="N724" s="14" t="n">
        <f aca="false">IF(MAX(M724*L724,M724+'Read me'!$B$6)&lt;='Read me'!$B$7,CEILING(MAX(M724*L724,M724+'Read me'!$B$6)+0.5,1)-0.5,CEILING(MAX(M724*L724,M724+'Read me'!$B$6),5))</f>
        <v>29.5</v>
      </c>
      <c r="O724" s="21" t="n">
        <f aca="false">IF(ISNUMBER(J724),M724-J724,"new")</f>
        <v>2</v>
      </c>
    </row>
    <row r="725" customFormat="false" ht="15" hidden="false" customHeight="false" outlineLevel="0" collapsed="false">
      <c r="A725" s="2" t="s">
        <v>856</v>
      </c>
      <c r="B725" s="2" t="s">
        <v>221</v>
      </c>
      <c r="C725" s="2" t="s">
        <v>125</v>
      </c>
      <c r="D725" s="2" t="s">
        <v>12</v>
      </c>
      <c r="E725" s="2" t="s">
        <v>48</v>
      </c>
      <c r="F725" s="14" t="n">
        <v>49.35</v>
      </c>
      <c r="G725" s="2" t="n">
        <v>0</v>
      </c>
      <c r="H725" s="2" t="n">
        <v>2</v>
      </c>
      <c r="I725" s="20" t="n">
        <v>1.03</v>
      </c>
      <c r="J725" s="14" t="n">
        <v>24.5</v>
      </c>
      <c r="K725" s="14" t="n">
        <v>29.5</v>
      </c>
      <c r="L725" s="20" t="n">
        <f aca="false">INDEX('Read me'!$B$10:$B$15,2)</f>
        <v>1.26</v>
      </c>
      <c r="M725" s="14" t="n">
        <f aca="false">IF(F725*(1+'Read me'!$B$5)&lt;='Read me'!$B$7,CEILING(F725*(1+'Read me'!$B$5)+0.5,1)-0.5,CEILING(F725*(1+'Read me'!$B$5),5))</f>
        <v>50</v>
      </c>
      <c r="N725" s="14" t="n">
        <f aca="false">IF(MAX(M725*L725,M725+'Read me'!$B$6)&lt;='Read me'!$B$7,CEILING(MAX(M725*L725,M725+'Read me'!$B$6)+0.5,1)-0.5,CEILING(MAX(M725*L725,M725+'Read me'!$B$6),5))</f>
        <v>65</v>
      </c>
      <c r="O725" s="21" t="n">
        <f aca="false">IF(ISNUMBER(J725),M725-J725,"new")</f>
        <v>25.5</v>
      </c>
    </row>
    <row r="726" customFormat="false" ht="15" hidden="false" customHeight="false" outlineLevel="0" collapsed="false">
      <c r="A726" s="2" t="s">
        <v>857</v>
      </c>
      <c r="B726" s="2" t="s">
        <v>221</v>
      </c>
      <c r="C726" s="2" t="s">
        <v>125</v>
      </c>
      <c r="D726" s="2" t="s">
        <v>12</v>
      </c>
      <c r="E726" s="2" t="s">
        <v>49</v>
      </c>
      <c r="F726" s="14" t="n">
        <v>53.91</v>
      </c>
      <c r="G726" s="2" t="n">
        <v>0</v>
      </c>
      <c r="H726" s="2" t="n">
        <v>2</v>
      </c>
      <c r="I726" s="20" t="n">
        <v>1.03</v>
      </c>
      <c r="J726" s="14" t="n">
        <v>24.5</v>
      </c>
      <c r="K726" s="14" t="n">
        <v>29.5</v>
      </c>
      <c r="L726" s="20" t="n">
        <f aca="false">INDEX('Read me'!$B$10:$B$15,2)</f>
        <v>1.26</v>
      </c>
      <c r="M726" s="14" t="n">
        <f aca="false">IF(F726*(1+'Read me'!$B$5)&lt;='Read me'!$B$7,CEILING(F726*(1+'Read me'!$B$5)+0.5,1)-0.5,CEILING(F726*(1+'Read me'!$B$5),5))</f>
        <v>55</v>
      </c>
      <c r="N726" s="14" t="n">
        <f aca="false">IF(MAX(M726*L726,M726+'Read me'!$B$6)&lt;='Read me'!$B$7,CEILING(MAX(M726*L726,M726+'Read me'!$B$6)+0.5,1)-0.5,CEILING(MAX(M726*L726,M726+'Read me'!$B$6),5))</f>
        <v>70</v>
      </c>
      <c r="O726" s="21" t="n">
        <f aca="false">IF(ISNUMBER(J726),M726-J726,"new")</f>
        <v>30.5</v>
      </c>
    </row>
    <row r="727" customFormat="false" ht="15" hidden="false" customHeight="false" outlineLevel="0" collapsed="false">
      <c r="A727" s="2" t="s">
        <v>858</v>
      </c>
      <c r="B727" s="2" t="s">
        <v>221</v>
      </c>
      <c r="C727" s="2" t="s">
        <v>125</v>
      </c>
      <c r="D727" s="2" t="s">
        <v>12</v>
      </c>
      <c r="E727" s="2" t="s">
        <v>50</v>
      </c>
      <c r="F727" s="14" t="n">
        <v>62.93</v>
      </c>
      <c r="G727" s="2" t="n">
        <v>0</v>
      </c>
      <c r="H727" s="2" t="n">
        <v>2</v>
      </c>
      <c r="I727" s="20" t="n">
        <v>1.03</v>
      </c>
      <c r="J727" s="14" t="n">
        <v>24.5</v>
      </c>
      <c r="K727" s="14" t="n">
        <v>45</v>
      </c>
      <c r="L727" s="20" t="n">
        <f aca="false">INDEX('Read me'!$B$10:$B$15,2)</f>
        <v>1.26</v>
      </c>
      <c r="M727" s="14" t="n">
        <f aca="false">IF(F727*(1+'Read me'!$B$5)&lt;='Read me'!$B$7,CEILING(F727*(1+'Read me'!$B$5)+0.5,1)-0.5,CEILING(F727*(1+'Read me'!$B$5),5))</f>
        <v>65</v>
      </c>
      <c r="N727" s="14" t="n">
        <f aca="false">IF(MAX(M727*L727,M727+'Read me'!$B$6)&lt;='Read me'!$B$7,CEILING(MAX(M727*L727,M727+'Read me'!$B$6)+0.5,1)-0.5,CEILING(MAX(M727*L727,M727+'Read me'!$B$6),5))</f>
        <v>85</v>
      </c>
      <c r="O727" s="21" t="n">
        <f aca="false">IF(ISNUMBER(J727),M727-J727,"new")</f>
        <v>40.5</v>
      </c>
    </row>
    <row r="728" customFormat="false" ht="15" hidden="false" customHeight="false" outlineLevel="0" collapsed="false">
      <c r="A728" s="2" t="s">
        <v>859</v>
      </c>
      <c r="B728" s="2" t="s">
        <v>221</v>
      </c>
      <c r="C728" s="2" t="s">
        <v>125</v>
      </c>
      <c r="D728" s="2" t="s">
        <v>13</v>
      </c>
      <c r="E728" s="2" t="s">
        <v>48</v>
      </c>
      <c r="F728" s="14" t="n">
        <v>84.95</v>
      </c>
      <c r="G728" s="2" t="n">
        <v>0</v>
      </c>
      <c r="H728" s="2" t="n">
        <v>2</v>
      </c>
      <c r="I728" s="20" t="n">
        <v>1.03</v>
      </c>
      <c r="J728" s="14" t="n">
        <v>45</v>
      </c>
      <c r="K728" s="14" t="n">
        <v>95</v>
      </c>
      <c r="L728" s="20" t="n">
        <f aca="false">INDEX('Read me'!$B$10:$B$15,3)</f>
        <v>1.35</v>
      </c>
      <c r="M728" s="14" t="n">
        <f aca="false">IF(F728*(1+'Read me'!$B$5)&lt;='Read me'!$B$7,CEILING(F728*(1+'Read me'!$B$5)+0.5,1)-0.5,CEILING(F728*(1+'Read me'!$B$5),5))</f>
        <v>85</v>
      </c>
      <c r="N728" s="14" t="n">
        <f aca="false">IF(MAX(M728*L728,M728+'Read me'!$B$6)&lt;='Read me'!$B$7,CEILING(MAX(M728*L728,M728+'Read me'!$B$6)+0.5,1)-0.5,CEILING(MAX(M728*L728,M728+'Read me'!$B$6),5))</f>
        <v>115</v>
      </c>
      <c r="O728" s="21" t="n">
        <f aca="false">IF(ISNUMBER(J728),M728-J728,"new")</f>
        <v>40</v>
      </c>
    </row>
    <row r="729" customFormat="false" ht="15" hidden="false" customHeight="false" outlineLevel="0" collapsed="false">
      <c r="A729" s="2" t="s">
        <v>860</v>
      </c>
      <c r="B729" s="2" t="s">
        <v>221</v>
      </c>
      <c r="C729" s="2" t="s">
        <v>125</v>
      </c>
      <c r="D729" s="2" t="s">
        <v>13</v>
      </c>
      <c r="E729" s="2" t="s">
        <v>49</v>
      </c>
      <c r="F729" s="14" t="n">
        <v>95.56</v>
      </c>
      <c r="G729" s="2" t="n">
        <v>0</v>
      </c>
      <c r="H729" s="2" t="n">
        <v>2</v>
      </c>
      <c r="I729" s="20" t="n">
        <v>1.03</v>
      </c>
      <c r="J729" s="14" t="n">
        <v>45</v>
      </c>
      <c r="K729" s="14" t="n">
        <v>95</v>
      </c>
      <c r="L729" s="20" t="n">
        <f aca="false">INDEX('Read me'!$B$10:$B$15,3)</f>
        <v>1.35</v>
      </c>
      <c r="M729" s="14" t="n">
        <f aca="false">IF(F729*(1+'Read me'!$B$5)&lt;='Read me'!$B$7,CEILING(F729*(1+'Read me'!$B$5)+0.5,1)-0.5,CEILING(F729*(1+'Read me'!$B$5),5))</f>
        <v>100</v>
      </c>
      <c r="N729" s="14" t="n">
        <f aca="false">IF(MAX(M729*L729,M729+'Read me'!$B$6)&lt;='Read me'!$B$7,CEILING(MAX(M729*L729,M729+'Read me'!$B$6)+0.5,1)-0.5,CEILING(MAX(M729*L729,M729+'Read me'!$B$6),5))</f>
        <v>135</v>
      </c>
      <c r="O729" s="21" t="n">
        <f aca="false">IF(ISNUMBER(J729),M729-J729,"new")</f>
        <v>55</v>
      </c>
    </row>
    <row r="730" customFormat="false" ht="15" hidden="false" customHeight="false" outlineLevel="0" collapsed="false">
      <c r="A730" s="2" t="s">
        <v>861</v>
      </c>
      <c r="B730" s="2" t="s">
        <v>221</v>
      </c>
      <c r="C730" s="2" t="s">
        <v>125</v>
      </c>
      <c r="D730" s="2" t="s">
        <v>13</v>
      </c>
      <c r="E730" s="2" t="s">
        <v>50</v>
      </c>
      <c r="F730" s="14" t="n">
        <v>128.52</v>
      </c>
      <c r="G730" s="2" t="n">
        <v>0</v>
      </c>
      <c r="H730" s="2" t="n">
        <v>2</v>
      </c>
      <c r="I730" s="20" t="n">
        <v>1.03</v>
      </c>
      <c r="J730" s="14" t="n">
        <v>99</v>
      </c>
      <c r="K730" s="14" t="n">
        <v>150</v>
      </c>
      <c r="L730" s="20" t="n">
        <f aca="false">INDEX('Read me'!$B$10:$B$15,3)</f>
        <v>1.35</v>
      </c>
      <c r="M730" s="14" t="n">
        <f aca="false">IF(F730*(1+'Read me'!$B$5)&lt;='Read me'!$B$7,CEILING(F730*(1+'Read me'!$B$5)+0.5,1)-0.5,CEILING(F730*(1+'Read me'!$B$5),5))</f>
        <v>130</v>
      </c>
      <c r="N730" s="14" t="n">
        <f aca="false">IF(MAX(M730*L730,M730+'Read me'!$B$6)&lt;='Read me'!$B$7,CEILING(MAX(M730*L730,M730+'Read me'!$B$6)+0.5,1)-0.5,CEILING(MAX(M730*L730,M730+'Read me'!$B$6),5))</f>
        <v>180</v>
      </c>
      <c r="O730" s="21" t="n">
        <f aca="false">IF(ISNUMBER(J730),M730-J730,"new")</f>
        <v>31</v>
      </c>
    </row>
    <row r="731" customFormat="false" ht="15" hidden="false" customHeight="false" outlineLevel="0" collapsed="false">
      <c r="A731" s="2" t="s">
        <v>862</v>
      </c>
      <c r="B731" s="2" t="s">
        <v>221</v>
      </c>
      <c r="C731" s="2" t="s">
        <v>125</v>
      </c>
      <c r="D731" s="2" t="s">
        <v>14</v>
      </c>
      <c r="E731" s="2" t="s">
        <v>48</v>
      </c>
      <c r="F731" s="14" t="n">
        <v>147.1</v>
      </c>
      <c r="G731" s="2" t="n">
        <v>0</v>
      </c>
      <c r="H731" s="2" t="n">
        <v>2</v>
      </c>
      <c r="I731" s="20" t="n">
        <v>1.03</v>
      </c>
      <c r="J731" s="14" t="n">
        <v>99</v>
      </c>
      <c r="K731" s="14" t="n">
        <v>150</v>
      </c>
      <c r="L731" s="20" t="n">
        <f aca="false">INDEX('Read me'!$B$10:$B$15,4)</f>
        <v>1.2</v>
      </c>
      <c r="M731" s="14" t="n">
        <f aca="false">IF(F731*(1+'Read me'!$B$5)&lt;='Read me'!$B$7,CEILING(F731*(1+'Read me'!$B$5)+0.5,1)-0.5,CEILING(F731*(1+'Read me'!$B$5),5))</f>
        <v>150</v>
      </c>
      <c r="N731" s="14" t="n">
        <f aca="false">IF(MAX(M731*L731,M731+'Read me'!$B$6)&lt;='Read me'!$B$7,CEILING(MAX(M731*L731,M731+'Read me'!$B$6)+0.5,1)-0.5,CEILING(MAX(M731*L731,M731+'Read me'!$B$6),5))</f>
        <v>180</v>
      </c>
      <c r="O731" s="21" t="n">
        <f aca="false">IF(ISNUMBER(J731),M731-J731,"new")</f>
        <v>51</v>
      </c>
    </row>
    <row r="732" customFormat="false" ht="15" hidden="false" customHeight="false" outlineLevel="0" collapsed="false">
      <c r="A732" s="2" t="s">
        <v>863</v>
      </c>
      <c r="B732" s="2" t="s">
        <v>221</v>
      </c>
      <c r="C732" s="2" t="s">
        <v>125</v>
      </c>
      <c r="D732" s="2" t="s">
        <v>14</v>
      </c>
      <c r="E732" s="2" t="s">
        <v>49</v>
      </c>
      <c r="F732" s="14" t="n">
        <v>176.62</v>
      </c>
      <c r="G732" s="2" t="n">
        <v>0</v>
      </c>
      <c r="H732" s="2" t="n">
        <v>2</v>
      </c>
      <c r="I732" s="20" t="n">
        <v>1.03</v>
      </c>
      <c r="J732" s="14" t="n">
        <v>150</v>
      </c>
      <c r="K732" s="14" t="n">
        <v>150</v>
      </c>
      <c r="L732" s="20" t="n">
        <f aca="false">INDEX('Read me'!$B$10:$B$15,4)</f>
        <v>1.2</v>
      </c>
      <c r="M732" s="14" t="n">
        <f aca="false">IF(F732*(1+'Read me'!$B$5)&lt;='Read me'!$B$7,CEILING(F732*(1+'Read me'!$B$5)+0.5,1)-0.5,CEILING(F732*(1+'Read me'!$B$5),5))</f>
        <v>180</v>
      </c>
      <c r="N732" s="14" t="n">
        <f aca="false">IF(MAX(M732*L732,M732+'Read me'!$B$6)&lt;='Read me'!$B$7,CEILING(MAX(M732*L732,M732+'Read me'!$B$6)+0.5,1)-0.5,CEILING(MAX(M732*L732,M732+'Read me'!$B$6),5))</f>
        <v>220</v>
      </c>
      <c r="O732" s="21" t="n">
        <f aca="false">IF(ISNUMBER(J732),M732-J732,"new")</f>
        <v>30</v>
      </c>
    </row>
    <row r="733" customFormat="false" ht="15" hidden="false" customHeight="false" outlineLevel="0" collapsed="false">
      <c r="A733" s="2" t="s">
        <v>864</v>
      </c>
      <c r="B733" s="2" t="s">
        <v>221</v>
      </c>
      <c r="C733" s="2" t="s">
        <v>125</v>
      </c>
      <c r="D733" s="2" t="s">
        <v>14</v>
      </c>
      <c r="E733" s="2" t="s">
        <v>50</v>
      </c>
      <c r="F733" s="14" t="n">
        <v>212.85</v>
      </c>
      <c r="G733" s="2" t="n">
        <v>0</v>
      </c>
      <c r="H733" s="2" t="n">
        <v>2</v>
      </c>
      <c r="I733" s="20" t="n">
        <v>1.03</v>
      </c>
      <c r="J733" s="14" t="n">
        <v>250</v>
      </c>
      <c r="K733" s="14" t="n">
        <v>195</v>
      </c>
      <c r="L733" s="20" t="n">
        <f aca="false">INDEX('Read me'!$B$10:$B$15,4)</f>
        <v>1.2</v>
      </c>
      <c r="M733" s="14" t="n">
        <f aca="false">IF(F733*(1+'Read me'!$B$5)&lt;='Read me'!$B$7,CEILING(F733*(1+'Read me'!$B$5)+0.5,1)-0.5,CEILING(F733*(1+'Read me'!$B$5),5))</f>
        <v>215</v>
      </c>
      <c r="N733" s="14" t="n">
        <f aca="false">IF(MAX(M733*L733,M733+'Read me'!$B$6)&lt;='Read me'!$B$7,CEILING(MAX(M733*L733,M733+'Read me'!$B$6)+0.5,1)-0.5,CEILING(MAX(M733*L733,M733+'Read me'!$B$6),5))</f>
        <v>260</v>
      </c>
      <c r="O733" s="21" t="n">
        <f aca="false">IF(ISNUMBER(J733),M733-J733,"new")</f>
        <v>-35</v>
      </c>
    </row>
    <row r="734" customFormat="false" ht="15" hidden="false" customHeight="false" outlineLevel="0" collapsed="false">
      <c r="A734" s="2" t="s">
        <v>865</v>
      </c>
      <c r="B734" s="2" t="s">
        <v>221</v>
      </c>
      <c r="C734" s="2" t="s">
        <v>125</v>
      </c>
      <c r="D734" s="2" t="s">
        <v>15</v>
      </c>
      <c r="E734" s="2" t="s">
        <v>48</v>
      </c>
      <c r="F734" s="14" t="n">
        <v>186.71</v>
      </c>
      <c r="G734" s="2" t="n">
        <v>0</v>
      </c>
      <c r="H734" s="2" t="n">
        <v>2</v>
      </c>
      <c r="I734" s="20" t="n">
        <v>1.03</v>
      </c>
      <c r="J734" s="14" t="n">
        <v>300</v>
      </c>
      <c r="K734" s="14" t="n">
        <v>300</v>
      </c>
      <c r="L734" s="20" t="n">
        <f aca="false">INDEX('Read me'!$B$10:$B$15,5)</f>
        <v>1.2</v>
      </c>
      <c r="M734" s="14" t="n">
        <f aca="false">IF(F734*(1+'Read me'!$B$5)&lt;='Read me'!$B$7,CEILING(F734*(1+'Read me'!$B$5)+0.5,1)-0.5,CEILING(F734*(1+'Read me'!$B$5),5))</f>
        <v>190</v>
      </c>
      <c r="N734" s="14" t="n">
        <f aca="false">IF(MAX(M734*L734,M734+'Read me'!$B$6)&lt;='Read me'!$B$7,CEILING(MAX(M734*L734,M734+'Read me'!$B$6)+0.5,1)-0.5,CEILING(MAX(M734*L734,M734+'Read me'!$B$6),5))</f>
        <v>230</v>
      </c>
      <c r="O734" s="21" t="n">
        <f aca="false">IF(ISNUMBER(J734),M734-J734,"new")</f>
        <v>-110</v>
      </c>
    </row>
    <row r="735" customFormat="false" ht="15" hidden="false" customHeight="false" outlineLevel="0" collapsed="false">
      <c r="A735" s="2" t="s">
        <v>866</v>
      </c>
      <c r="B735" s="2" t="s">
        <v>221</v>
      </c>
      <c r="C735" s="2" t="s">
        <v>125</v>
      </c>
      <c r="D735" s="2" t="s">
        <v>15</v>
      </c>
      <c r="E735" s="2" t="s">
        <v>49</v>
      </c>
      <c r="F735" s="14" t="n">
        <v>230.34</v>
      </c>
      <c r="G735" s="2" t="n">
        <v>0</v>
      </c>
      <c r="H735" s="2" t="n">
        <v>2</v>
      </c>
      <c r="I735" s="20" t="n">
        <v>1.03</v>
      </c>
      <c r="J735" s="14" t="n">
        <v>300</v>
      </c>
      <c r="K735" s="14" t="n">
        <v>300</v>
      </c>
      <c r="L735" s="20" t="n">
        <f aca="false">INDEX('Read me'!$B$10:$B$15,5)</f>
        <v>1.2</v>
      </c>
      <c r="M735" s="14" t="n">
        <f aca="false">N735</f>
        <v>285</v>
      </c>
      <c r="N735" s="14" t="n">
        <f aca="false">IF(MAX((IF(F735*(1+'Read me'!$B$5)&lt;='Read me'!$B$7,CEILING(F735*(1+'Read me'!$B$5)+0.5,1)-0.5,CEILING(F735*(1+'Read me'!$B$5),5)))*L735,(IF(F735*(1+'Read me'!$B$5)&lt;='Read me'!$B$7,CEILING(F735*(1+'Read me'!$B$5)+0.5,1)-0.5,CEILING(F735*(1+'Read me'!$B$5),5)))+'Read me'!$B$6)&lt;='Read me'!$B$7,CEILING(MAX((IF(F735*(1+'Read me'!$B$5)&lt;='Read me'!$B$7,CEILING(F735*(1+'Read me'!$B$5)+0.5,1)-0.5,CEILING(F735*(1+'Read me'!$B$5),5)))*L735,(IF(F735*(1+'Read me'!$B$5)&lt;='Read me'!$B$7,CEILING(F735*(1+'Read me'!$B$5)+0.5,1)-0.5,CEILING(F735*(1+'Read me'!$B$5),5)))+'Read me'!$B$6)+0.5,1)-0.5,CEILING(MAX((IF(F735*(1+'Read me'!$B$5)&lt;='Read me'!$B$7,CEILING(F735*(1+'Read me'!$B$5)+0.5,1)-0.5,CEILING(F735*(1+'Read me'!$B$5),5)))*L735,(IF(F735*(1+'Read me'!$B$5)&lt;='Read me'!$B$7,CEILING(F735*(1+'Read me'!$B$5)+0.5,1)-0.5,CEILING(F735*(1+'Read me'!$B$5),5)))+'Read me'!$B$6),5))</f>
        <v>285</v>
      </c>
      <c r="O735" s="21" t="n">
        <f aca="false">IF(ISNUMBER(J735),M735-J735,"new")</f>
        <v>-15</v>
      </c>
      <c r="P735" s="5" t="s">
        <v>140</v>
      </c>
    </row>
    <row r="736" customFormat="false" ht="15" hidden="false" customHeight="false" outlineLevel="0" collapsed="false">
      <c r="A736" s="2" t="s">
        <v>867</v>
      </c>
      <c r="B736" s="2" t="s">
        <v>221</v>
      </c>
      <c r="C736" s="2" t="s">
        <v>125</v>
      </c>
      <c r="D736" s="2" t="s">
        <v>15</v>
      </c>
      <c r="E736" s="2" t="s">
        <v>50</v>
      </c>
      <c r="F736" s="14" t="n">
        <v>276.77</v>
      </c>
      <c r="G736" s="2" t="n">
        <v>0</v>
      </c>
      <c r="H736" s="2" t="n">
        <v>2</v>
      </c>
      <c r="I736" s="20" t="n">
        <v>1.03</v>
      </c>
      <c r="J736" s="14" t="n">
        <v>350</v>
      </c>
      <c r="K736" s="14" t="n">
        <v>400</v>
      </c>
      <c r="L736" s="20" t="n">
        <f aca="false">INDEX('Read me'!$B$10:$B$15,5)</f>
        <v>1.2</v>
      </c>
      <c r="M736" s="14" t="n">
        <f aca="false">N736</f>
        <v>340</v>
      </c>
      <c r="N736" s="14" t="n">
        <f aca="false">IF(MAX((IF(F736*(1+'Read me'!$B$5)&lt;='Read me'!$B$7,CEILING(F736*(1+'Read me'!$B$5)+0.5,1)-0.5,CEILING(F736*(1+'Read me'!$B$5),5)))*L736,(IF(F736*(1+'Read me'!$B$5)&lt;='Read me'!$B$7,CEILING(F736*(1+'Read me'!$B$5)+0.5,1)-0.5,CEILING(F736*(1+'Read me'!$B$5),5)))+'Read me'!$B$6)&lt;='Read me'!$B$7,CEILING(MAX((IF(F736*(1+'Read me'!$B$5)&lt;='Read me'!$B$7,CEILING(F736*(1+'Read me'!$B$5)+0.5,1)-0.5,CEILING(F736*(1+'Read me'!$B$5),5)))*L736,(IF(F736*(1+'Read me'!$B$5)&lt;='Read me'!$B$7,CEILING(F736*(1+'Read me'!$B$5)+0.5,1)-0.5,CEILING(F736*(1+'Read me'!$B$5),5)))+'Read me'!$B$6)+0.5,1)-0.5,CEILING(MAX((IF(F736*(1+'Read me'!$B$5)&lt;='Read me'!$B$7,CEILING(F736*(1+'Read me'!$B$5)+0.5,1)-0.5,CEILING(F736*(1+'Read me'!$B$5),5)))*L736,(IF(F736*(1+'Read me'!$B$5)&lt;='Read me'!$B$7,CEILING(F736*(1+'Read me'!$B$5)+0.5,1)-0.5,CEILING(F736*(1+'Read me'!$B$5),5)))+'Read me'!$B$6),5))</f>
        <v>340</v>
      </c>
      <c r="O736" s="21" t="n">
        <f aca="false">IF(ISNUMBER(J736),M736-J736,"new")</f>
        <v>-10</v>
      </c>
      <c r="P736" s="5" t="s">
        <v>140</v>
      </c>
    </row>
    <row r="737" customFormat="false" ht="15" hidden="false" customHeight="false" outlineLevel="0" collapsed="false">
      <c r="A737" s="2" t="s">
        <v>868</v>
      </c>
      <c r="B737" s="2" t="s">
        <v>221</v>
      </c>
      <c r="C737" s="2" t="s">
        <v>125</v>
      </c>
      <c r="D737" s="2" t="s">
        <v>16</v>
      </c>
      <c r="E737" s="2" t="s">
        <v>48</v>
      </c>
      <c r="F737" s="14" t="n">
        <v>259.25</v>
      </c>
      <c r="G737" s="2" t="n">
        <v>0</v>
      </c>
      <c r="H737" s="2" t="n">
        <v>2</v>
      </c>
      <c r="I737" s="20" t="n">
        <v>1.03</v>
      </c>
      <c r="J737" s="14"/>
      <c r="K737" s="14"/>
      <c r="L737" s="20" t="n">
        <f aca="false">INDEX('Read me'!$B$10:$B$15,6)</f>
        <v>1.2</v>
      </c>
      <c r="M737" s="14" t="n">
        <f aca="false">IF(F737*(1+'Read me'!$B$5)&lt;='Read me'!$B$7,CEILING(F737*(1+'Read me'!$B$5)+0.5,1)-0.5,CEILING(F737*(1+'Read me'!$B$5),5))</f>
        <v>260</v>
      </c>
      <c r="N737" s="14" t="n">
        <f aca="false">IF(MAX(M737*L737,M737+'Read me'!$B$6)&lt;='Read me'!$B$7,CEILING(MAX(M737*L737,M737+'Read me'!$B$6)+0.5,1)-0.5,CEILING(MAX(M737*L737,M737+'Read me'!$B$6),5))</f>
        <v>315</v>
      </c>
      <c r="O737" s="21" t="str">
        <f aca="false">IF(ISNUMBER(J737),M737-J737,"new")</f>
        <v>new</v>
      </c>
    </row>
    <row r="738" customFormat="false" ht="15" hidden="false" customHeight="false" outlineLevel="0" collapsed="false">
      <c r="A738" s="2" t="s">
        <v>869</v>
      </c>
      <c r="B738" s="2" t="s">
        <v>221</v>
      </c>
      <c r="C738" s="2" t="s">
        <v>125</v>
      </c>
      <c r="D738" s="2" t="s">
        <v>16</v>
      </c>
      <c r="E738" s="2" t="s">
        <v>49</v>
      </c>
      <c r="F738" s="14" t="n">
        <v>333.13</v>
      </c>
      <c r="G738" s="2" t="n">
        <v>0</v>
      </c>
      <c r="H738" s="2" t="n">
        <v>2</v>
      </c>
      <c r="I738" s="20" t="n">
        <v>1.03</v>
      </c>
      <c r="J738" s="14"/>
      <c r="K738" s="14"/>
      <c r="L738" s="20" t="n">
        <f aca="false">INDEX('Read me'!$B$10:$B$15,6)</f>
        <v>1.2</v>
      </c>
      <c r="M738" s="14" t="n">
        <f aca="false">N738</f>
        <v>405</v>
      </c>
      <c r="N738" s="14" t="n">
        <f aca="false">IF(MAX((IF(F738*(1+'Read me'!$B$5)&lt;='Read me'!$B$7,CEILING(F738*(1+'Read me'!$B$5)+0.5,1)-0.5,CEILING(F738*(1+'Read me'!$B$5),5)))*L738,(IF(F738*(1+'Read me'!$B$5)&lt;='Read me'!$B$7,CEILING(F738*(1+'Read me'!$B$5)+0.5,1)-0.5,CEILING(F738*(1+'Read me'!$B$5),5)))+'Read me'!$B$6)&lt;='Read me'!$B$7,CEILING(MAX((IF(F738*(1+'Read me'!$B$5)&lt;='Read me'!$B$7,CEILING(F738*(1+'Read me'!$B$5)+0.5,1)-0.5,CEILING(F738*(1+'Read me'!$B$5),5)))*L738,(IF(F738*(1+'Read me'!$B$5)&lt;='Read me'!$B$7,CEILING(F738*(1+'Read me'!$B$5)+0.5,1)-0.5,CEILING(F738*(1+'Read me'!$B$5),5)))+'Read me'!$B$6)+0.5,1)-0.5,CEILING(MAX((IF(F738*(1+'Read me'!$B$5)&lt;='Read me'!$B$7,CEILING(F738*(1+'Read me'!$B$5)+0.5,1)-0.5,CEILING(F738*(1+'Read me'!$B$5),5)))*L738,(IF(F738*(1+'Read me'!$B$5)&lt;='Read me'!$B$7,CEILING(F738*(1+'Read me'!$B$5)+0.5,1)-0.5,CEILING(F738*(1+'Read me'!$B$5),5)))+'Read me'!$B$6),5))</f>
        <v>405</v>
      </c>
      <c r="O738" s="21" t="str">
        <f aca="false">IF(ISNUMBER(J738),M738-J738,"new")</f>
        <v>new</v>
      </c>
      <c r="P738" s="5" t="s">
        <v>140</v>
      </c>
    </row>
    <row r="739" customFormat="false" ht="15" hidden="false" customHeight="false" outlineLevel="0" collapsed="false">
      <c r="A739" s="2" t="s">
        <v>870</v>
      </c>
      <c r="B739" s="2" t="s">
        <v>221</v>
      </c>
      <c r="C739" s="2" t="s">
        <v>125</v>
      </c>
      <c r="D739" s="2" t="s">
        <v>16</v>
      </c>
      <c r="E739" s="2" t="s">
        <v>50</v>
      </c>
      <c r="F739" s="14" t="n">
        <v>391.54</v>
      </c>
      <c r="G739" s="2" t="n">
        <v>0</v>
      </c>
      <c r="H739" s="2" t="n">
        <v>2</v>
      </c>
      <c r="I739" s="20" t="n">
        <v>1.03</v>
      </c>
      <c r="J739" s="14"/>
      <c r="K739" s="14"/>
      <c r="L739" s="20" t="n">
        <f aca="false">INDEX('Read me'!$B$10:$B$15,6)</f>
        <v>1.2</v>
      </c>
      <c r="M739" s="14" t="n">
        <f aca="false">N739</f>
        <v>475</v>
      </c>
      <c r="N739" s="14" t="n">
        <f aca="false">IF(MAX((IF(F739*(1+'Read me'!$B$5)&lt;='Read me'!$B$7,CEILING(F739*(1+'Read me'!$B$5)+0.5,1)-0.5,CEILING(F739*(1+'Read me'!$B$5),5)))*L739,(IF(F739*(1+'Read me'!$B$5)&lt;='Read me'!$B$7,CEILING(F739*(1+'Read me'!$B$5)+0.5,1)-0.5,CEILING(F739*(1+'Read me'!$B$5),5)))+'Read me'!$B$6)&lt;='Read me'!$B$7,CEILING(MAX((IF(F739*(1+'Read me'!$B$5)&lt;='Read me'!$B$7,CEILING(F739*(1+'Read me'!$B$5)+0.5,1)-0.5,CEILING(F739*(1+'Read me'!$B$5),5)))*L739,(IF(F739*(1+'Read me'!$B$5)&lt;='Read me'!$B$7,CEILING(F739*(1+'Read me'!$B$5)+0.5,1)-0.5,CEILING(F739*(1+'Read me'!$B$5),5)))+'Read me'!$B$6)+0.5,1)-0.5,CEILING(MAX((IF(F739*(1+'Read me'!$B$5)&lt;='Read me'!$B$7,CEILING(F739*(1+'Read me'!$B$5)+0.5,1)-0.5,CEILING(F739*(1+'Read me'!$B$5),5)))*L739,(IF(F739*(1+'Read me'!$B$5)&lt;='Read me'!$B$7,CEILING(F739*(1+'Read me'!$B$5)+0.5,1)-0.5,CEILING(F739*(1+'Read me'!$B$5),5)))+'Read me'!$B$6),5))</f>
        <v>475</v>
      </c>
      <c r="O739" s="21" t="str">
        <f aca="false">IF(ISNUMBER(J739),M739-J739,"new")</f>
        <v>new</v>
      </c>
      <c r="P739" s="5" t="s">
        <v>140</v>
      </c>
    </row>
    <row r="740" customFormat="false" ht="15" hidden="false" customHeight="false" outlineLevel="0" collapsed="false">
      <c r="A740" s="2" t="s">
        <v>871</v>
      </c>
      <c r="B740" s="2" t="s">
        <v>221</v>
      </c>
      <c r="C740" s="2" t="s">
        <v>165</v>
      </c>
      <c r="D740" s="2" t="s">
        <v>10</v>
      </c>
      <c r="E740" s="2" t="s">
        <v>48</v>
      </c>
      <c r="F740" s="14" t="n">
        <v>13.61</v>
      </c>
      <c r="G740" s="2" t="n">
        <v>4</v>
      </c>
      <c r="H740" s="2" t="n">
        <v>10</v>
      </c>
      <c r="I740" s="20" t="n">
        <v>1.03</v>
      </c>
      <c r="J740" s="14"/>
      <c r="K740" s="14"/>
      <c r="L740" s="20" t="n">
        <f aca="false">INDEX('Read me'!$B$10:$B$15,1)</f>
        <v>1.34</v>
      </c>
      <c r="M740" s="14" t="n">
        <f aca="false">IF(F740*(1+'Read me'!$B$5)&lt;='Read me'!$B$7,CEILING(F740*(1+'Read me'!$B$5)+0.5,1)-0.5,CEILING(F740*(1+'Read me'!$B$5),5))</f>
        <v>14.5</v>
      </c>
      <c r="N740" s="14" t="n">
        <f aca="false">IF(MAX(M740*L740,M740+'Read me'!$B$6)&lt;='Read me'!$B$7,CEILING(MAX(M740*L740,M740+'Read me'!$B$6)+0.5,1)-0.5,CEILING(MAX(M740*L740,M740+'Read me'!$B$6),5))</f>
        <v>19.5</v>
      </c>
      <c r="O740" s="21" t="str">
        <f aca="false">IF(ISNUMBER(J740),M740-J740,"new")</f>
        <v>new</v>
      </c>
    </row>
    <row r="741" customFormat="false" ht="15" hidden="false" customHeight="false" outlineLevel="0" collapsed="false">
      <c r="A741" s="2" t="s">
        <v>872</v>
      </c>
      <c r="B741" s="2" t="s">
        <v>221</v>
      </c>
      <c r="C741" s="2" t="s">
        <v>165</v>
      </c>
      <c r="D741" s="2" t="s">
        <v>10</v>
      </c>
      <c r="E741" s="2" t="s">
        <v>49</v>
      </c>
      <c r="F741" s="14" t="n">
        <v>16.31</v>
      </c>
      <c r="G741" s="2" t="n">
        <v>4</v>
      </c>
      <c r="H741" s="2" t="n">
        <v>10</v>
      </c>
      <c r="I741" s="20" t="n">
        <v>1.03</v>
      </c>
      <c r="J741" s="14"/>
      <c r="K741" s="14"/>
      <c r="L741" s="20" t="n">
        <f aca="false">INDEX('Read me'!$B$10:$B$15,1)</f>
        <v>1.34</v>
      </c>
      <c r="M741" s="14" t="n">
        <f aca="false">IF(F741*(1+'Read me'!$B$5)&lt;='Read me'!$B$7,CEILING(F741*(1+'Read me'!$B$5)+0.5,1)-0.5,CEILING(F741*(1+'Read me'!$B$5),5))</f>
        <v>16.5</v>
      </c>
      <c r="N741" s="14" t="n">
        <f aca="false">IF(MAX(M741*L741,M741+'Read me'!$B$6)&lt;='Read me'!$B$7,CEILING(MAX(M741*L741,M741+'Read me'!$B$6)+0.5,1)-0.5,CEILING(MAX(M741*L741,M741+'Read me'!$B$6),5))</f>
        <v>22.5</v>
      </c>
      <c r="O741" s="21" t="str">
        <f aca="false">IF(ISNUMBER(J741),M741-J741,"new")</f>
        <v>new</v>
      </c>
    </row>
    <row r="742" customFormat="false" ht="15" hidden="false" customHeight="false" outlineLevel="0" collapsed="false">
      <c r="A742" s="2" t="s">
        <v>873</v>
      </c>
      <c r="B742" s="2" t="s">
        <v>221</v>
      </c>
      <c r="C742" s="2" t="s">
        <v>165</v>
      </c>
      <c r="D742" s="2" t="s">
        <v>10</v>
      </c>
      <c r="E742" s="2" t="s">
        <v>50</v>
      </c>
      <c r="F742" s="14" t="n">
        <v>20.62</v>
      </c>
      <c r="G742" s="2" t="n">
        <v>0</v>
      </c>
      <c r="H742" s="2" t="n">
        <v>10</v>
      </c>
      <c r="I742" s="20" t="n">
        <v>1.03</v>
      </c>
      <c r="J742" s="14"/>
      <c r="K742" s="14"/>
      <c r="L742" s="20" t="n">
        <f aca="false">INDEX('Read me'!$B$10:$B$15,1)</f>
        <v>1.34</v>
      </c>
      <c r="M742" s="14" t="n">
        <f aca="false">IF(F742*(1+'Read me'!$B$5)&lt;='Read me'!$B$7,CEILING(F742*(1+'Read me'!$B$5)+0.5,1)-0.5,CEILING(F742*(1+'Read me'!$B$5),5))</f>
        <v>21.5</v>
      </c>
      <c r="N742" s="14" t="n">
        <f aca="false">IF(MAX(M742*L742,M742+'Read me'!$B$6)&lt;='Read me'!$B$7,CEILING(MAX(M742*L742,M742+'Read me'!$B$6)+0.5,1)-0.5,CEILING(MAX(M742*L742,M742+'Read me'!$B$6),5))</f>
        <v>29.5</v>
      </c>
      <c r="O742" s="21" t="str">
        <f aca="false">IF(ISNUMBER(J742),M742-J742,"new")</f>
        <v>new</v>
      </c>
    </row>
    <row r="743" customFormat="false" ht="15" hidden="false" customHeight="false" outlineLevel="0" collapsed="false">
      <c r="A743" s="2" t="s">
        <v>874</v>
      </c>
      <c r="B743" s="2" t="s">
        <v>221</v>
      </c>
      <c r="C743" s="2" t="s">
        <v>165</v>
      </c>
      <c r="D743" s="2" t="s">
        <v>12</v>
      </c>
      <c r="E743" s="2" t="s">
        <v>48</v>
      </c>
      <c r="F743" s="14" t="n">
        <v>49.35</v>
      </c>
      <c r="G743" s="2" t="n">
        <v>0</v>
      </c>
      <c r="H743" s="2" t="n">
        <v>10</v>
      </c>
      <c r="I743" s="20" t="n">
        <v>1.03</v>
      </c>
      <c r="J743" s="14"/>
      <c r="K743" s="14"/>
      <c r="L743" s="20" t="n">
        <f aca="false">INDEX('Read me'!$B$10:$B$15,2)</f>
        <v>1.26</v>
      </c>
      <c r="M743" s="14" t="n">
        <f aca="false">IF(F743*(1+'Read me'!$B$5)&lt;='Read me'!$B$7,CEILING(F743*(1+'Read me'!$B$5)+0.5,1)-0.5,CEILING(F743*(1+'Read me'!$B$5),5))</f>
        <v>50</v>
      </c>
      <c r="N743" s="14" t="n">
        <f aca="false">IF(MAX(M743*L743,M743+'Read me'!$B$6)&lt;='Read me'!$B$7,CEILING(MAX(M743*L743,M743+'Read me'!$B$6)+0.5,1)-0.5,CEILING(MAX(M743*L743,M743+'Read me'!$B$6),5))</f>
        <v>65</v>
      </c>
      <c r="O743" s="21" t="str">
        <f aca="false">IF(ISNUMBER(J743),M743-J743,"new")</f>
        <v>new</v>
      </c>
    </row>
    <row r="744" customFormat="false" ht="15" hidden="false" customHeight="false" outlineLevel="0" collapsed="false">
      <c r="A744" s="2" t="s">
        <v>875</v>
      </c>
      <c r="B744" s="2" t="s">
        <v>221</v>
      </c>
      <c r="C744" s="2" t="s">
        <v>165</v>
      </c>
      <c r="D744" s="2" t="s">
        <v>12</v>
      </c>
      <c r="E744" s="2" t="s">
        <v>49</v>
      </c>
      <c r="F744" s="14" t="n">
        <v>54.61</v>
      </c>
      <c r="G744" s="2" t="n">
        <v>1</v>
      </c>
      <c r="H744" s="2" t="n">
        <v>10</v>
      </c>
      <c r="I744" s="20" t="n">
        <v>1.03</v>
      </c>
      <c r="J744" s="14"/>
      <c r="K744" s="14"/>
      <c r="L744" s="20" t="n">
        <f aca="false">INDEX('Read me'!$B$10:$B$15,2)</f>
        <v>1.26</v>
      </c>
      <c r="M744" s="14" t="n">
        <f aca="false">IF(F744*(1+'Read me'!$B$5)&lt;='Read me'!$B$7,CEILING(F744*(1+'Read me'!$B$5)+0.5,1)-0.5,CEILING(F744*(1+'Read me'!$B$5),5))</f>
        <v>55</v>
      </c>
      <c r="N744" s="14" t="n">
        <f aca="false">IF(MAX(M744*L744,M744+'Read me'!$B$6)&lt;='Read me'!$B$7,CEILING(MAX(M744*L744,M744+'Read me'!$B$6)+0.5,1)-0.5,CEILING(MAX(M744*L744,M744+'Read me'!$B$6),5))</f>
        <v>70</v>
      </c>
      <c r="O744" s="21" t="str">
        <f aca="false">IF(ISNUMBER(J744),M744-J744,"new")</f>
        <v>new</v>
      </c>
    </row>
    <row r="745" customFormat="false" ht="15" hidden="false" customHeight="false" outlineLevel="0" collapsed="false">
      <c r="A745" s="2" t="s">
        <v>876</v>
      </c>
      <c r="B745" s="2" t="s">
        <v>221</v>
      </c>
      <c r="C745" s="2" t="s">
        <v>165</v>
      </c>
      <c r="D745" s="2" t="s">
        <v>12</v>
      </c>
      <c r="E745" s="2" t="s">
        <v>50</v>
      </c>
      <c r="F745" s="14" t="n">
        <v>62.93</v>
      </c>
      <c r="G745" s="2" t="n">
        <v>0</v>
      </c>
      <c r="H745" s="2" t="n">
        <v>10</v>
      </c>
      <c r="I745" s="20" t="n">
        <v>1.03</v>
      </c>
      <c r="J745" s="14"/>
      <c r="K745" s="14"/>
      <c r="L745" s="20" t="n">
        <f aca="false">INDEX('Read me'!$B$10:$B$15,2)</f>
        <v>1.26</v>
      </c>
      <c r="M745" s="14" t="n">
        <f aca="false">IF(F745*(1+'Read me'!$B$5)&lt;='Read me'!$B$7,CEILING(F745*(1+'Read me'!$B$5)+0.5,1)-0.5,CEILING(F745*(1+'Read me'!$B$5),5))</f>
        <v>65</v>
      </c>
      <c r="N745" s="14" t="n">
        <f aca="false">IF(MAX(M745*L745,M745+'Read me'!$B$6)&lt;='Read me'!$B$7,CEILING(MAX(M745*L745,M745+'Read me'!$B$6)+0.5,1)-0.5,CEILING(MAX(M745*L745,M745+'Read me'!$B$6),5))</f>
        <v>85</v>
      </c>
      <c r="O745" s="21" t="str">
        <f aca="false">IF(ISNUMBER(J745),M745-J745,"new")</f>
        <v>new</v>
      </c>
    </row>
    <row r="746" customFormat="false" ht="15" hidden="false" customHeight="false" outlineLevel="0" collapsed="false">
      <c r="A746" s="2" t="s">
        <v>877</v>
      </c>
      <c r="B746" s="2" t="s">
        <v>221</v>
      </c>
      <c r="C746" s="2" t="s">
        <v>165</v>
      </c>
      <c r="D746" s="2" t="s">
        <v>13</v>
      </c>
      <c r="E746" s="2" t="s">
        <v>48</v>
      </c>
      <c r="F746" s="14" t="n">
        <v>84.95</v>
      </c>
      <c r="G746" s="2" t="n">
        <v>0</v>
      </c>
      <c r="H746" s="2" t="n">
        <v>10</v>
      </c>
      <c r="I746" s="20" t="n">
        <v>1.03</v>
      </c>
      <c r="J746" s="14"/>
      <c r="K746" s="14"/>
      <c r="L746" s="20" t="n">
        <f aca="false">INDEX('Read me'!$B$10:$B$15,3)</f>
        <v>1.35</v>
      </c>
      <c r="M746" s="14" t="n">
        <f aca="false">IF(F746*(1+'Read me'!$B$5)&lt;='Read me'!$B$7,CEILING(F746*(1+'Read me'!$B$5)+0.5,1)-0.5,CEILING(F746*(1+'Read me'!$B$5),5))</f>
        <v>85</v>
      </c>
      <c r="N746" s="14" t="n">
        <f aca="false">IF(MAX(M746*L746,M746+'Read me'!$B$6)&lt;='Read me'!$B$7,CEILING(MAX(M746*L746,M746+'Read me'!$B$6)+0.5,1)-0.5,CEILING(MAX(M746*L746,M746+'Read me'!$B$6),5))</f>
        <v>115</v>
      </c>
      <c r="O746" s="21" t="str">
        <f aca="false">IF(ISNUMBER(J746),M746-J746,"new")</f>
        <v>new</v>
      </c>
    </row>
    <row r="747" customFormat="false" ht="15" hidden="false" customHeight="false" outlineLevel="0" collapsed="false">
      <c r="A747" s="2" t="s">
        <v>878</v>
      </c>
      <c r="B747" s="2" t="s">
        <v>221</v>
      </c>
      <c r="C747" s="2" t="s">
        <v>165</v>
      </c>
      <c r="D747" s="2" t="s">
        <v>13</v>
      </c>
      <c r="E747" s="2" t="s">
        <v>49</v>
      </c>
      <c r="F747" s="14" t="n">
        <v>95.57</v>
      </c>
      <c r="G747" s="2" t="n">
        <v>0</v>
      </c>
      <c r="H747" s="2" t="n">
        <v>10</v>
      </c>
      <c r="I747" s="20" t="n">
        <v>1.03</v>
      </c>
      <c r="J747" s="14"/>
      <c r="K747" s="14"/>
      <c r="L747" s="20" t="n">
        <f aca="false">INDEX('Read me'!$B$10:$B$15,3)</f>
        <v>1.35</v>
      </c>
      <c r="M747" s="14" t="n">
        <f aca="false">IF(F747*(1+'Read me'!$B$5)&lt;='Read me'!$B$7,CEILING(F747*(1+'Read me'!$B$5)+0.5,1)-0.5,CEILING(F747*(1+'Read me'!$B$5),5))</f>
        <v>100</v>
      </c>
      <c r="N747" s="14" t="n">
        <f aca="false">IF(MAX(M747*L747,M747+'Read me'!$B$6)&lt;='Read me'!$B$7,CEILING(MAX(M747*L747,M747+'Read me'!$B$6)+0.5,1)-0.5,CEILING(MAX(M747*L747,M747+'Read me'!$B$6),5))</f>
        <v>135</v>
      </c>
      <c r="O747" s="21" t="str">
        <f aca="false">IF(ISNUMBER(J747),M747-J747,"new")</f>
        <v>new</v>
      </c>
    </row>
    <row r="748" customFormat="false" ht="15" hidden="false" customHeight="false" outlineLevel="0" collapsed="false">
      <c r="A748" s="2" t="s">
        <v>879</v>
      </c>
      <c r="B748" s="2" t="s">
        <v>221</v>
      </c>
      <c r="C748" s="2" t="s">
        <v>165</v>
      </c>
      <c r="D748" s="2" t="s">
        <v>13</v>
      </c>
      <c r="E748" s="2" t="s">
        <v>50</v>
      </c>
      <c r="F748" s="14" t="n">
        <v>128.52</v>
      </c>
      <c r="G748" s="2" t="n">
        <v>0</v>
      </c>
      <c r="H748" s="2" t="n">
        <v>10</v>
      </c>
      <c r="I748" s="20" t="n">
        <v>1.03</v>
      </c>
      <c r="J748" s="14"/>
      <c r="K748" s="14"/>
      <c r="L748" s="20" t="n">
        <f aca="false">INDEX('Read me'!$B$10:$B$15,3)</f>
        <v>1.35</v>
      </c>
      <c r="M748" s="14" t="n">
        <f aca="false">IF(F748*(1+'Read me'!$B$5)&lt;='Read me'!$B$7,CEILING(F748*(1+'Read me'!$B$5)+0.5,1)-0.5,CEILING(F748*(1+'Read me'!$B$5),5))</f>
        <v>130</v>
      </c>
      <c r="N748" s="14" t="n">
        <f aca="false">IF(MAX(M748*L748,M748+'Read me'!$B$6)&lt;='Read me'!$B$7,CEILING(MAX(M748*L748,M748+'Read me'!$B$6)+0.5,1)-0.5,CEILING(MAX(M748*L748,M748+'Read me'!$B$6),5))</f>
        <v>180</v>
      </c>
      <c r="O748" s="21" t="str">
        <f aca="false">IF(ISNUMBER(J748),M748-J748,"new")</f>
        <v>new</v>
      </c>
    </row>
    <row r="749" customFormat="false" ht="15" hidden="false" customHeight="false" outlineLevel="0" collapsed="false">
      <c r="A749" s="2" t="s">
        <v>880</v>
      </c>
      <c r="B749" s="2" t="s">
        <v>221</v>
      </c>
      <c r="C749" s="2" t="s">
        <v>165</v>
      </c>
      <c r="D749" s="2" t="s">
        <v>14</v>
      </c>
      <c r="E749" s="2" t="s">
        <v>48</v>
      </c>
      <c r="F749" s="14" t="n">
        <v>147.1</v>
      </c>
      <c r="G749" s="2" t="n">
        <v>0</v>
      </c>
      <c r="H749" s="2" t="n">
        <v>10</v>
      </c>
      <c r="I749" s="20" t="n">
        <v>1.03</v>
      </c>
      <c r="J749" s="14"/>
      <c r="K749" s="14"/>
      <c r="L749" s="20" t="n">
        <f aca="false">INDEX('Read me'!$B$10:$B$15,4)</f>
        <v>1.2</v>
      </c>
      <c r="M749" s="14" t="n">
        <f aca="false">IF(F749*(1+'Read me'!$B$5)&lt;='Read me'!$B$7,CEILING(F749*(1+'Read me'!$B$5)+0.5,1)-0.5,CEILING(F749*(1+'Read me'!$B$5),5))</f>
        <v>150</v>
      </c>
      <c r="N749" s="14" t="n">
        <f aca="false">IF(MAX(M749*L749,M749+'Read me'!$B$6)&lt;='Read me'!$B$7,CEILING(MAX(M749*L749,M749+'Read me'!$B$6)+0.5,1)-0.5,CEILING(MAX(M749*L749,M749+'Read me'!$B$6),5))</f>
        <v>180</v>
      </c>
      <c r="O749" s="21" t="str">
        <f aca="false">IF(ISNUMBER(J749),M749-J749,"new")</f>
        <v>new</v>
      </c>
    </row>
    <row r="750" customFormat="false" ht="15" hidden="false" customHeight="false" outlineLevel="0" collapsed="false">
      <c r="A750" s="2" t="s">
        <v>881</v>
      </c>
      <c r="B750" s="2" t="s">
        <v>221</v>
      </c>
      <c r="C750" s="2" t="s">
        <v>165</v>
      </c>
      <c r="D750" s="2" t="s">
        <v>14</v>
      </c>
      <c r="E750" s="2" t="s">
        <v>49</v>
      </c>
      <c r="F750" s="14" t="n">
        <v>176.62</v>
      </c>
      <c r="G750" s="2" t="n">
        <v>0</v>
      </c>
      <c r="H750" s="2" t="n">
        <v>10</v>
      </c>
      <c r="I750" s="20" t="n">
        <v>1.03</v>
      </c>
      <c r="J750" s="14"/>
      <c r="K750" s="14"/>
      <c r="L750" s="20" t="n">
        <f aca="false">INDEX('Read me'!$B$10:$B$15,4)</f>
        <v>1.2</v>
      </c>
      <c r="M750" s="14" t="n">
        <f aca="false">IF(F750*(1+'Read me'!$B$5)&lt;='Read me'!$B$7,CEILING(F750*(1+'Read me'!$B$5)+0.5,1)-0.5,CEILING(F750*(1+'Read me'!$B$5),5))</f>
        <v>180</v>
      </c>
      <c r="N750" s="14" t="n">
        <f aca="false">IF(MAX(M750*L750,M750+'Read me'!$B$6)&lt;='Read me'!$B$7,CEILING(MAX(M750*L750,M750+'Read me'!$B$6)+0.5,1)-0.5,CEILING(MAX(M750*L750,M750+'Read me'!$B$6),5))</f>
        <v>220</v>
      </c>
      <c r="O750" s="21" t="str">
        <f aca="false">IF(ISNUMBER(J750),M750-J750,"new")</f>
        <v>new</v>
      </c>
    </row>
    <row r="751" customFormat="false" ht="15" hidden="false" customHeight="false" outlineLevel="0" collapsed="false">
      <c r="A751" s="2" t="s">
        <v>882</v>
      </c>
      <c r="B751" s="2" t="s">
        <v>221</v>
      </c>
      <c r="C751" s="2" t="s">
        <v>165</v>
      </c>
      <c r="D751" s="2" t="s">
        <v>14</v>
      </c>
      <c r="E751" s="2" t="s">
        <v>50</v>
      </c>
      <c r="F751" s="14" t="n">
        <v>212.85</v>
      </c>
      <c r="G751" s="2" t="n">
        <v>0</v>
      </c>
      <c r="H751" s="2" t="n">
        <v>10</v>
      </c>
      <c r="I751" s="20" t="n">
        <v>1.03</v>
      </c>
      <c r="J751" s="14"/>
      <c r="K751" s="14"/>
      <c r="L751" s="20" t="n">
        <f aca="false">INDEX('Read me'!$B$10:$B$15,4)</f>
        <v>1.2</v>
      </c>
      <c r="M751" s="14" t="n">
        <f aca="false">IF(F751*(1+'Read me'!$B$5)&lt;='Read me'!$B$7,CEILING(F751*(1+'Read me'!$B$5)+0.5,1)-0.5,CEILING(F751*(1+'Read me'!$B$5),5))</f>
        <v>215</v>
      </c>
      <c r="N751" s="14" t="n">
        <f aca="false">IF(MAX(M751*L751,M751+'Read me'!$B$6)&lt;='Read me'!$B$7,CEILING(MAX(M751*L751,M751+'Read me'!$B$6)+0.5,1)-0.5,CEILING(MAX(M751*L751,M751+'Read me'!$B$6),5))</f>
        <v>260</v>
      </c>
      <c r="O751" s="21" t="str">
        <f aca="false">IF(ISNUMBER(J751),M751-J751,"new")</f>
        <v>new</v>
      </c>
    </row>
    <row r="752" customFormat="false" ht="15" hidden="false" customHeight="false" outlineLevel="0" collapsed="false">
      <c r="A752" s="2" t="s">
        <v>883</v>
      </c>
      <c r="B752" s="2" t="s">
        <v>221</v>
      </c>
      <c r="C752" s="2" t="s">
        <v>165</v>
      </c>
      <c r="D752" s="2" t="s">
        <v>15</v>
      </c>
      <c r="E752" s="2" t="s">
        <v>48</v>
      </c>
      <c r="F752" s="14" t="n">
        <v>190.58</v>
      </c>
      <c r="G752" s="2" t="n">
        <v>1</v>
      </c>
      <c r="H752" s="2" t="n">
        <v>10</v>
      </c>
      <c r="I752" s="20" t="n">
        <v>1.03</v>
      </c>
      <c r="J752" s="14"/>
      <c r="K752" s="14"/>
      <c r="L752" s="20" t="n">
        <f aca="false">INDEX('Read me'!$B$10:$B$15,5)</f>
        <v>1.2</v>
      </c>
      <c r="M752" s="14" t="n">
        <f aca="false">IF(F752*(1+'Read me'!$B$5)&lt;='Read me'!$B$7,CEILING(F752*(1+'Read me'!$B$5)+0.5,1)-0.5,CEILING(F752*(1+'Read me'!$B$5),5))</f>
        <v>195</v>
      </c>
      <c r="N752" s="14" t="n">
        <f aca="false">IF(MAX(M752*L752,M752+'Read me'!$B$6)&lt;='Read me'!$B$7,CEILING(MAX(M752*L752,M752+'Read me'!$B$6)+0.5,1)-0.5,CEILING(MAX(M752*L752,M752+'Read me'!$B$6),5))</f>
        <v>235</v>
      </c>
      <c r="O752" s="21" t="str">
        <f aca="false">IF(ISNUMBER(J752),M752-J752,"new")</f>
        <v>new</v>
      </c>
    </row>
    <row r="753" customFormat="false" ht="15" hidden="false" customHeight="false" outlineLevel="0" collapsed="false">
      <c r="A753" s="2" t="s">
        <v>884</v>
      </c>
      <c r="B753" s="2" t="s">
        <v>221</v>
      </c>
      <c r="C753" s="2" t="s">
        <v>165</v>
      </c>
      <c r="D753" s="2" t="s">
        <v>15</v>
      </c>
      <c r="E753" s="2" t="s">
        <v>49</v>
      </c>
      <c r="F753" s="14" t="n">
        <v>230.35</v>
      </c>
      <c r="G753" s="2" t="n">
        <v>0</v>
      </c>
      <c r="H753" s="2" t="n">
        <v>10</v>
      </c>
      <c r="I753" s="20" t="n">
        <v>1.03</v>
      </c>
      <c r="J753" s="14"/>
      <c r="K753" s="14"/>
      <c r="L753" s="20" t="n">
        <f aca="false">INDEX('Read me'!$B$10:$B$15,5)</f>
        <v>1.2</v>
      </c>
      <c r="M753" s="14" t="n">
        <f aca="false">N753</f>
        <v>285</v>
      </c>
      <c r="N753" s="14" t="n">
        <f aca="false">IF(MAX((IF(F753*(1+'Read me'!$B$5)&lt;='Read me'!$B$7,CEILING(F753*(1+'Read me'!$B$5)+0.5,1)-0.5,CEILING(F753*(1+'Read me'!$B$5),5)))*L753,(IF(F753*(1+'Read me'!$B$5)&lt;='Read me'!$B$7,CEILING(F753*(1+'Read me'!$B$5)+0.5,1)-0.5,CEILING(F753*(1+'Read me'!$B$5),5)))+'Read me'!$B$6)&lt;='Read me'!$B$7,CEILING(MAX((IF(F753*(1+'Read me'!$B$5)&lt;='Read me'!$B$7,CEILING(F753*(1+'Read me'!$B$5)+0.5,1)-0.5,CEILING(F753*(1+'Read me'!$B$5),5)))*L753,(IF(F753*(1+'Read me'!$B$5)&lt;='Read me'!$B$7,CEILING(F753*(1+'Read me'!$B$5)+0.5,1)-0.5,CEILING(F753*(1+'Read me'!$B$5),5)))+'Read me'!$B$6)+0.5,1)-0.5,CEILING(MAX((IF(F753*(1+'Read me'!$B$5)&lt;='Read me'!$B$7,CEILING(F753*(1+'Read me'!$B$5)+0.5,1)-0.5,CEILING(F753*(1+'Read me'!$B$5),5)))*L753,(IF(F753*(1+'Read me'!$B$5)&lt;='Read me'!$B$7,CEILING(F753*(1+'Read me'!$B$5)+0.5,1)-0.5,CEILING(F753*(1+'Read me'!$B$5),5)))+'Read me'!$B$6),5))</f>
        <v>285</v>
      </c>
      <c r="O753" s="21" t="str">
        <f aca="false">IF(ISNUMBER(J753),M753-J753,"new")</f>
        <v>new</v>
      </c>
      <c r="P753" s="5" t="s">
        <v>140</v>
      </c>
    </row>
    <row r="754" customFormat="false" ht="15" hidden="false" customHeight="false" outlineLevel="0" collapsed="false">
      <c r="A754" s="2" t="s">
        <v>885</v>
      </c>
      <c r="B754" s="2" t="s">
        <v>221</v>
      </c>
      <c r="C754" s="2" t="s">
        <v>165</v>
      </c>
      <c r="D754" s="2" t="s">
        <v>15</v>
      </c>
      <c r="E754" s="2" t="s">
        <v>50</v>
      </c>
      <c r="F754" s="14" t="n">
        <v>276.78</v>
      </c>
      <c r="G754" s="2" t="n">
        <v>0</v>
      </c>
      <c r="H754" s="2" t="n">
        <v>10</v>
      </c>
      <c r="I754" s="20" t="n">
        <v>1.03</v>
      </c>
      <c r="J754" s="14"/>
      <c r="K754" s="14"/>
      <c r="L754" s="20" t="n">
        <f aca="false">INDEX('Read me'!$B$10:$B$15,5)</f>
        <v>1.2</v>
      </c>
      <c r="M754" s="14" t="n">
        <f aca="false">N754</f>
        <v>340</v>
      </c>
      <c r="N754" s="14" t="n">
        <f aca="false">IF(MAX((IF(F754*(1+'Read me'!$B$5)&lt;='Read me'!$B$7,CEILING(F754*(1+'Read me'!$B$5)+0.5,1)-0.5,CEILING(F754*(1+'Read me'!$B$5),5)))*L754,(IF(F754*(1+'Read me'!$B$5)&lt;='Read me'!$B$7,CEILING(F754*(1+'Read me'!$B$5)+0.5,1)-0.5,CEILING(F754*(1+'Read me'!$B$5),5)))+'Read me'!$B$6)&lt;='Read me'!$B$7,CEILING(MAX((IF(F754*(1+'Read me'!$B$5)&lt;='Read me'!$B$7,CEILING(F754*(1+'Read me'!$B$5)+0.5,1)-0.5,CEILING(F754*(1+'Read me'!$B$5),5)))*L754,(IF(F754*(1+'Read me'!$B$5)&lt;='Read me'!$B$7,CEILING(F754*(1+'Read me'!$B$5)+0.5,1)-0.5,CEILING(F754*(1+'Read me'!$B$5),5)))+'Read me'!$B$6)+0.5,1)-0.5,CEILING(MAX((IF(F754*(1+'Read me'!$B$5)&lt;='Read me'!$B$7,CEILING(F754*(1+'Read me'!$B$5)+0.5,1)-0.5,CEILING(F754*(1+'Read me'!$B$5),5)))*L754,(IF(F754*(1+'Read me'!$B$5)&lt;='Read me'!$B$7,CEILING(F754*(1+'Read me'!$B$5)+0.5,1)-0.5,CEILING(F754*(1+'Read me'!$B$5),5)))+'Read me'!$B$6),5))</f>
        <v>340</v>
      </c>
      <c r="O754" s="21" t="str">
        <f aca="false">IF(ISNUMBER(J754),M754-J754,"new")</f>
        <v>new</v>
      </c>
      <c r="P754" s="5" t="s">
        <v>140</v>
      </c>
    </row>
    <row r="755" customFormat="false" ht="15" hidden="false" customHeight="false" outlineLevel="0" collapsed="false">
      <c r="A755" s="2" t="s">
        <v>886</v>
      </c>
      <c r="B755" s="2" t="s">
        <v>221</v>
      </c>
      <c r="C755" s="2" t="s">
        <v>165</v>
      </c>
      <c r="D755" s="2" t="s">
        <v>16</v>
      </c>
      <c r="E755" s="2" t="s">
        <v>48</v>
      </c>
      <c r="F755" s="14" t="n">
        <v>259.26</v>
      </c>
      <c r="G755" s="2" t="n">
        <v>0</v>
      </c>
      <c r="H755" s="2" t="n">
        <v>10</v>
      </c>
      <c r="I755" s="20" t="n">
        <v>1.03</v>
      </c>
      <c r="J755" s="14"/>
      <c r="K755" s="14"/>
      <c r="L755" s="20" t="n">
        <f aca="false">INDEX('Read me'!$B$10:$B$15,6)</f>
        <v>1.2</v>
      </c>
      <c r="M755" s="14" t="n">
        <f aca="false">IF(F755*(1+'Read me'!$B$5)&lt;='Read me'!$B$7,CEILING(F755*(1+'Read me'!$B$5)+0.5,1)-0.5,CEILING(F755*(1+'Read me'!$B$5),5))</f>
        <v>260</v>
      </c>
      <c r="N755" s="14" t="n">
        <f aca="false">IF(MAX(M755*L755,M755+'Read me'!$B$6)&lt;='Read me'!$B$7,CEILING(MAX(M755*L755,M755+'Read me'!$B$6)+0.5,1)-0.5,CEILING(MAX(M755*L755,M755+'Read me'!$B$6),5))</f>
        <v>315</v>
      </c>
      <c r="O755" s="21" t="str">
        <f aca="false">IF(ISNUMBER(J755),M755-J755,"new")</f>
        <v>new</v>
      </c>
    </row>
    <row r="756" customFormat="false" ht="15" hidden="false" customHeight="false" outlineLevel="0" collapsed="false">
      <c r="A756" s="2" t="s">
        <v>887</v>
      </c>
      <c r="B756" s="2" t="s">
        <v>221</v>
      </c>
      <c r="C756" s="2" t="s">
        <v>165</v>
      </c>
      <c r="D756" s="2" t="s">
        <v>16</v>
      </c>
      <c r="E756" s="2" t="s">
        <v>49</v>
      </c>
      <c r="F756" s="14" t="n">
        <v>333.14</v>
      </c>
      <c r="G756" s="2" t="n">
        <v>0</v>
      </c>
      <c r="H756" s="2" t="n">
        <v>10</v>
      </c>
      <c r="I756" s="20" t="n">
        <v>1.03</v>
      </c>
      <c r="J756" s="14"/>
      <c r="K756" s="14"/>
      <c r="L756" s="20" t="n">
        <f aca="false">INDEX('Read me'!$B$10:$B$15,6)</f>
        <v>1.2</v>
      </c>
      <c r="M756" s="14" t="n">
        <f aca="false">N756</f>
        <v>405</v>
      </c>
      <c r="N756" s="14" t="n">
        <f aca="false">IF(MAX((IF(F756*(1+'Read me'!$B$5)&lt;='Read me'!$B$7,CEILING(F756*(1+'Read me'!$B$5)+0.5,1)-0.5,CEILING(F756*(1+'Read me'!$B$5),5)))*L756,(IF(F756*(1+'Read me'!$B$5)&lt;='Read me'!$B$7,CEILING(F756*(1+'Read me'!$B$5)+0.5,1)-0.5,CEILING(F756*(1+'Read me'!$B$5),5)))+'Read me'!$B$6)&lt;='Read me'!$B$7,CEILING(MAX((IF(F756*(1+'Read me'!$B$5)&lt;='Read me'!$B$7,CEILING(F756*(1+'Read me'!$B$5)+0.5,1)-0.5,CEILING(F756*(1+'Read me'!$B$5),5)))*L756,(IF(F756*(1+'Read me'!$B$5)&lt;='Read me'!$B$7,CEILING(F756*(1+'Read me'!$B$5)+0.5,1)-0.5,CEILING(F756*(1+'Read me'!$B$5),5)))+'Read me'!$B$6)+0.5,1)-0.5,CEILING(MAX((IF(F756*(1+'Read me'!$B$5)&lt;='Read me'!$B$7,CEILING(F756*(1+'Read me'!$B$5)+0.5,1)-0.5,CEILING(F756*(1+'Read me'!$B$5),5)))*L756,(IF(F756*(1+'Read me'!$B$5)&lt;='Read me'!$B$7,CEILING(F756*(1+'Read me'!$B$5)+0.5,1)-0.5,CEILING(F756*(1+'Read me'!$B$5),5)))+'Read me'!$B$6),5))</f>
        <v>405</v>
      </c>
      <c r="O756" s="21" t="str">
        <f aca="false">IF(ISNUMBER(J756),M756-J756,"new")</f>
        <v>new</v>
      </c>
      <c r="P756" s="5" t="s">
        <v>140</v>
      </c>
    </row>
    <row r="757" customFormat="false" ht="15" hidden="false" customHeight="false" outlineLevel="0" collapsed="false">
      <c r="A757" s="2" t="s">
        <v>888</v>
      </c>
      <c r="B757" s="2" t="s">
        <v>221</v>
      </c>
      <c r="C757" s="2" t="s">
        <v>165</v>
      </c>
      <c r="D757" s="2" t="s">
        <v>16</v>
      </c>
      <c r="E757" s="2" t="s">
        <v>50</v>
      </c>
      <c r="F757" s="14" t="n">
        <v>391.55</v>
      </c>
      <c r="G757" s="2" t="n">
        <v>0</v>
      </c>
      <c r="H757" s="2" t="n">
        <v>10</v>
      </c>
      <c r="I757" s="20" t="n">
        <v>1.03</v>
      </c>
      <c r="J757" s="14"/>
      <c r="K757" s="14"/>
      <c r="L757" s="20" t="n">
        <f aca="false">INDEX('Read me'!$B$10:$B$15,6)</f>
        <v>1.2</v>
      </c>
      <c r="M757" s="14" t="n">
        <f aca="false">N757</f>
        <v>475</v>
      </c>
      <c r="N757" s="14" t="n">
        <f aca="false">IF(MAX((IF(F757*(1+'Read me'!$B$5)&lt;='Read me'!$B$7,CEILING(F757*(1+'Read me'!$B$5)+0.5,1)-0.5,CEILING(F757*(1+'Read me'!$B$5),5)))*L757,(IF(F757*(1+'Read me'!$B$5)&lt;='Read me'!$B$7,CEILING(F757*(1+'Read me'!$B$5)+0.5,1)-0.5,CEILING(F757*(1+'Read me'!$B$5),5)))+'Read me'!$B$6)&lt;='Read me'!$B$7,CEILING(MAX((IF(F757*(1+'Read me'!$B$5)&lt;='Read me'!$B$7,CEILING(F757*(1+'Read me'!$B$5)+0.5,1)-0.5,CEILING(F757*(1+'Read me'!$B$5),5)))*L757,(IF(F757*(1+'Read me'!$B$5)&lt;='Read me'!$B$7,CEILING(F757*(1+'Read me'!$B$5)+0.5,1)-0.5,CEILING(F757*(1+'Read me'!$B$5),5)))+'Read me'!$B$6)+0.5,1)-0.5,CEILING(MAX((IF(F757*(1+'Read me'!$B$5)&lt;='Read me'!$B$7,CEILING(F757*(1+'Read me'!$B$5)+0.5,1)-0.5,CEILING(F757*(1+'Read me'!$B$5),5)))*L757,(IF(F757*(1+'Read me'!$B$5)&lt;='Read me'!$B$7,CEILING(F757*(1+'Read me'!$B$5)+0.5,1)-0.5,CEILING(F757*(1+'Read me'!$B$5),5)))+'Read me'!$B$6),5))</f>
        <v>475</v>
      </c>
      <c r="O757" s="21" t="str">
        <f aca="false">IF(ISNUMBER(J757),M757-J757,"new")</f>
        <v>new</v>
      </c>
      <c r="P757" s="5" t="s">
        <v>140</v>
      </c>
    </row>
    <row r="758" customFormat="false" ht="15" hidden="false" customHeight="false" outlineLevel="0" collapsed="false">
      <c r="A758" s="2" t="s">
        <v>889</v>
      </c>
      <c r="B758" s="2" t="s">
        <v>146</v>
      </c>
      <c r="C758" s="2" t="s">
        <v>146</v>
      </c>
      <c r="D758" s="2" t="s">
        <v>10</v>
      </c>
      <c r="E758" s="2" t="s">
        <v>48</v>
      </c>
      <c r="F758" s="14" t="n">
        <v>9.43</v>
      </c>
      <c r="G758" s="2" t="n">
        <v>168</v>
      </c>
      <c r="H758" s="2" t="n">
        <v>704</v>
      </c>
      <c r="I758" s="20" t="n">
        <v>1</v>
      </c>
      <c r="J758" s="14" t="n">
        <v>9.5</v>
      </c>
      <c r="K758" s="14" t="n">
        <v>14.5</v>
      </c>
      <c r="L758" s="20" t="n">
        <f aca="false">INDEX('Read me'!$B$10:$B$15,1)</f>
        <v>1.34</v>
      </c>
      <c r="M758" s="14" t="n">
        <f aca="false">IF(F758*(1+'Read me'!$B$5)&lt;='Read me'!$B$7,CEILING(F758*(1+'Read me'!$B$5)+0.5,1)-0.5,CEILING(F758*(1+'Read me'!$B$5),5))</f>
        <v>9.5</v>
      </c>
      <c r="N758" s="14" t="n">
        <f aca="false">IF(MAX(M758*L758,M758+'Read me'!$B$6)&lt;='Read me'!$B$7,CEILING(MAX(M758*L758,M758+'Read me'!$B$6)+0.5,1)-0.5,CEILING(MAX(M758*L758,M758+'Read me'!$B$6),5))</f>
        <v>14.5</v>
      </c>
      <c r="O758" s="21" t="n">
        <f aca="false">IF(ISNUMBER(J758),M758-J758,"new")</f>
        <v>0</v>
      </c>
    </row>
    <row r="759" customFormat="false" ht="15" hidden="false" customHeight="false" outlineLevel="0" collapsed="false">
      <c r="A759" s="2" t="s">
        <v>890</v>
      </c>
      <c r="B759" s="2" t="s">
        <v>146</v>
      </c>
      <c r="C759" s="2" t="s">
        <v>146</v>
      </c>
      <c r="D759" s="2" t="s">
        <v>10</v>
      </c>
      <c r="E759" s="2" t="s">
        <v>49</v>
      </c>
      <c r="F759" s="14" t="n">
        <v>15.46</v>
      </c>
      <c r="G759" s="2" t="n">
        <v>83</v>
      </c>
      <c r="H759" s="2" t="n">
        <v>704</v>
      </c>
      <c r="I759" s="20" t="n">
        <v>1</v>
      </c>
      <c r="J759" s="14" t="n">
        <v>12.5</v>
      </c>
      <c r="K759" s="14" t="n">
        <v>17.5</v>
      </c>
      <c r="L759" s="20" t="n">
        <f aca="false">INDEX('Read me'!$B$10:$B$15,1)</f>
        <v>1.34</v>
      </c>
      <c r="M759" s="14" t="n">
        <f aca="false">IF(F759*(1+'Read me'!$B$5)&lt;='Read me'!$B$7,CEILING(F759*(1+'Read me'!$B$5)+0.5,1)-0.5,CEILING(F759*(1+'Read me'!$B$5),5))</f>
        <v>15.5</v>
      </c>
      <c r="N759" s="14" t="n">
        <f aca="false">IF(MAX(M759*L759,M759+'Read me'!$B$6)&lt;='Read me'!$B$7,CEILING(MAX(M759*L759,M759+'Read me'!$B$6)+0.5,1)-0.5,CEILING(MAX(M759*L759,M759+'Read me'!$B$6),5))</f>
        <v>21.5</v>
      </c>
      <c r="O759" s="21" t="n">
        <f aca="false">IF(ISNUMBER(J759),M759-J759,"new")</f>
        <v>3</v>
      </c>
    </row>
    <row r="760" customFormat="false" ht="15" hidden="false" customHeight="false" outlineLevel="0" collapsed="false">
      <c r="A760" s="2" t="s">
        <v>891</v>
      </c>
      <c r="B760" s="2" t="s">
        <v>146</v>
      </c>
      <c r="C760" s="2" t="s">
        <v>146</v>
      </c>
      <c r="D760" s="2" t="s">
        <v>10</v>
      </c>
      <c r="E760" s="2" t="s">
        <v>50</v>
      </c>
      <c r="F760" s="14" t="n">
        <v>18.02</v>
      </c>
      <c r="G760" s="2" t="n">
        <v>54</v>
      </c>
      <c r="H760" s="2" t="n">
        <v>704</v>
      </c>
      <c r="I760" s="20" t="n">
        <v>1</v>
      </c>
      <c r="J760" s="14" t="n">
        <v>17.5</v>
      </c>
      <c r="K760" s="14" t="n">
        <v>24.5</v>
      </c>
      <c r="L760" s="20" t="n">
        <f aca="false">INDEX('Read me'!$B$10:$B$15,1)</f>
        <v>1.34</v>
      </c>
      <c r="M760" s="14" t="n">
        <f aca="false">IF(F760*(1+'Read me'!$B$5)&lt;='Read me'!$B$7,CEILING(F760*(1+'Read me'!$B$5)+0.5,1)-0.5,CEILING(F760*(1+'Read me'!$B$5),5))</f>
        <v>18.5</v>
      </c>
      <c r="N760" s="14" t="n">
        <f aca="false">IF(MAX(M760*L760,M760+'Read me'!$B$6)&lt;='Read me'!$B$7,CEILING(MAX(M760*L760,M760+'Read me'!$B$6)+0.5,1)-0.5,CEILING(MAX(M760*L760,M760+'Read me'!$B$6),5))</f>
        <v>25.5</v>
      </c>
      <c r="O760" s="21" t="n">
        <f aca="false">IF(ISNUMBER(J760),M760-J760,"new")</f>
        <v>1</v>
      </c>
    </row>
    <row r="761" customFormat="false" ht="15" hidden="false" customHeight="false" outlineLevel="0" collapsed="false">
      <c r="A761" s="2" t="s">
        <v>892</v>
      </c>
      <c r="B761" s="2" t="s">
        <v>146</v>
      </c>
      <c r="C761" s="2" t="s">
        <v>146</v>
      </c>
      <c r="D761" s="2" t="s">
        <v>12</v>
      </c>
      <c r="E761" s="2" t="s">
        <v>48</v>
      </c>
      <c r="F761" s="14" t="n">
        <v>33.88</v>
      </c>
      <c r="G761" s="2" t="n">
        <v>144</v>
      </c>
      <c r="H761" s="2" t="n">
        <v>704</v>
      </c>
      <c r="I761" s="20" t="n">
        <v>1</v>
      </c>
      <c r="J761" s="14" t="n">
        <v>9.5</v>
      </c>
      <c r="K761" s="14" t="n">
        <v>19.5</v>
      </c>
      <c r="L761" s="20" t="n">
        <f aca="false">INDEX('Read me'!$B$10:$B$15,2)</f>
        <v>1.26</v>
      </c>
      <c r="M761" s="14" t="n">
        <f aca="false">IF(F761*(1+'Read me'!$B$5)&lt;='Read me'!$B$7,CEILING(F761*(1+'Read me'!$B$5)+0.5,1)-0.5,CEILING(F761*(1+'Read me'!$B$5),5))</f>
        <v>35</v>
      </c>
      <c r="N761" s="14" t="n">
        <f aca="false">IF(MAX(M761*L761,M761+'Read me'!$B$6)&lt;='Read me'!$B$7,CEILING(MAX(M761*L761,M761+'Read me'!$B$6)+0.5,1)-0.5,CEILING(MAX(M761*L761,M761+'Read me'!$B$6),5))</f>
        <v>45</v>
      </c>
      <c r="O761" s="21" t="n">
        <f aca="false">IF(ISNUMBER(J761),M761-J761,"new")</f>
        <v>25.5</v>
      </c>
    </row>
    <row r="762" customFormat="false" ht="15" hidden="false" customHeight="false" outlineLevel="0" collapsed="false">
      <c r="A762" s="2" t="s">
        <v>893</v>
      </c>
      <c r="B762" s="2" t="s">
        <v>146</v>
      </c>
      <c r="C762" s="2" t="s">
        <v>146</v>
      </c>
      <c r="D762" s="2" t="s">
        <v>12</v>
      </c>
      <c r="E762" s="2" t="s">
        <v>49</v>
      </c>
      <c r="F762" s="14" t="n">
        <v>40.98</v>
      </c>
      <c r="G762" s="2" t="n">
        <v>90</v>
      </c>
      <c r="H762" s="2" t="n">
        <v>704</v>
      </c>
      <c r="I762" s="20" t="n">
        <v>1</v>
      </c>
      <c r="J762" s="14" t="n">
        <v>12.5</v>
      </c>
      <c r="K762" s="14" t="n">
        <v>19.5</v>
      </c>
      <c r="L762" s="20" t="n">
        <f aca="false">INDEX('Read me'!$B$10:$B$15,2)</f>
        <v>1.26</v>
      </c>
      <c r="M762" s="14" t="n">
        <f aca="false">IF(F762*(1+'Read me'!$B$5)&lt;='Read me'!$B$7,CEILING(F762*(1+'Read me'!$B$5)+0.5,1)-0.5,CEILING(F762*(1+'Read me'!$B$5),5))</f>
        <v>45</v>
      </c>
      <c r="N762" s="14" t="n">
        <f aca="false">IF(MAX(M762*L762,M762+'Read me'!$B$6)&lt;='Read me'!$B$7,CEILING(MAX(M762*L762,M762+'Read me'!$B$6)+0.5,1)-0.5,CEILING(MAX(M762*L762,M762+'Read me'!$B$6),5))</f>
        <v>60</v>
      </c>
      <c r="O762" s="21" t="n">
        <f aca="false">IF(ISNUMBER(J762),M762-J762,"new")</f>
        <v>32.5</v>
      </c>
    </row>
    <row r="763" customFormat="false" ht="15" hidden="false" customHeight="false" outlineLevel="0" collapsed="false">
      <c r="A763" s="2" t="s">
        <v>894</v>
      </c>
      <c r="B763" s="2" t="s">
        <v>146</v>
      </c>
      <c r="C763" s="2" t="s">
        <v>146</v>
      </c>
      <c r="D763" s="2" t="s">
        <v>12</v>
      </c>
      <c r="E763" s="2" t="s">
        <v>50</v>
      </c>
      <c r="F763" s="14" t="n">
        <v>46.34</v>
      </c>
      <c r="G763" s="2" t="n">
        <v>92</v>
      </c>
      <c r="H763" s="2" t="n">
        <v>704</v>
      </c>
      <c r="I763" s="20" t="n">
        <v>1</v>
      </c>
      <c r="J763" s="14" t="n">
        <v>19.5</v>
      </c>
      <c r="K763" s="14" t="n">
        <v>29.5</v>
      </c>
      <c r="L763" s="20" t="n">
        <f aca="false">INDEX('Read me'!$B$10:$B$15,2)</f>
        <v>1.26</v>
      </c>
      <c r="M763" s="14" t="n">
        <f aca="false">IF(F763*(1+'Read me'!$B$5)&lt;='Read me'!$B$7,CEILING(F763*(1+'Read me'!$B$5)+0.5,1)-0.5,CEILING(F763*(1+'Read me'!$B$5),5))</f>
        <v>50</v>
      </c>
      <c r="N763" s="14" t="n">
        <f aca="false">IF(MAX(M763*L763,M763+'Read me'!$B$6)&lt;='Read me'!$B$7,CEILING(MAX(M763*L763,M763+'Read me'!$B$6)+0.5,1)-0.5,CEILING(MAX(M763*L763,M763+'Read me'!$B$6),5))</f>
        <v>65</v>
      </c>
      <c r="O763" s="21" t="n">
        <f aca="false">IF(ISNUMBER(J763),M763-J763,"new")</f>
        <v>30.5</v>
      </c>
    </row>
    <row r="764" customFormat="false" ht="15" hidden="false" customHeight="false" outlineLevel="0" collapsed="false">
      <c r="A764" s="2" t="s">
        <v>895</v>
      </c>
      <c r="B764" s="2" t="s">
        <v>146</v>
      </c>
      <c r="C764" s="2" t="s">
        <v>146</v>
      </c>
      <c r="D764" s="2" t="s">
        <v>13</v>
      </c>
      <c r="E764" s="2" t="s">
        <v>48</v>
      </c>
      <c r="F764" s="14" t="n">
        <v>50.94</v>
      </c>
      <c r="G764" s="2" t="n">
        <v>18</v>
      </c>
      <c r="H764" s="2" t="n">
        <v>704</v>
      </c>
      <c r="I764" s="20" t="n">
        <v>1</v>
      </c>
      <c r="J764" s="14" t="n">
        <v>19</v>
      </c>
      <c r="K764" s="14" t="n">
        <v>45</v>
      </c>
      <c r="L764" s="20" t="n">
        <f aca="false">INDEX('Read me'!$B$10:$B$15,3)</f>
        <v>1.35</v>
      </c>
      <c r="M764" s="14" t="n">
        <f aca="false">IF(F764*(1+'Read me'!$B$5)&lt;='Read me'!$B$7,CEILING(F764*(1+'Read me'!$B$5)+0.5,1)-0.5,CEILING(F764*(1+'Read me'!$B$5),5))</f>
        <v>55</v>
      </c>
      <c r="N764" s="14" t="n">
        <f aca="false">IF(MAX(M764*L764,M764+'Read me'!$B$6)&lt;='Read me'!$B$7,CEILING(MAX(M764*L764,M764+'Read me'!$B$6)+0.5,1)-0.5,CEILING(MAX(M764*L764,M764+'Read me'!$B$6),5))</f>
        <v>75</v>
      </c>
      <c r="O764" s="21" t="n">
        <f aca="false">IF(ISNUMBER(J764),M764-J764,"new")</f>
        <v>36</v>
      </c>
    </row>
    <row r="765" customFormat="false" ht="15" hidden="false" customHeight="false" outlineLevel="0" collapsed="false">
      <c r="A765" s="2" t="s">
        <v>896</v>
      </c>
      <c r="B765" s="2" t="s">
        <v>146</v>
      </c>
      <c r="C765" s="2" t="s">
        <v>146</v>
      </c>
      <c r="D765" s="2" t="s">
        <v>13</v>
      </c>
      <c r="E765" s="2" t="s">
        <v>49</v>
      </c>
      <c r="F765" s="14" t="n">
        <v>67.75</v>
      </c>
      <c r="G765" s="2" t="n">
        <v>10</v>
      </c>
      <c r="H765" s="2" t="n">
        <v>704</v>
      </c>
      <c r="I765" s="20" t="n">
        <v>1</v>
      </c>
      <c r="J765" s="14" t="n">
        <v>24.5</v>
      </c>
      <c r="K765" s="14" t="n">
        <v>45</v>
      </c>
      <c r="L765" s="20" t="n">
        <f aca="false">INDEX('Read me'!$B$10:$B$15,3)</f>
        <v>1.35</v>
      </c>
      <c r="M765" s="14" t="n">
        <f aca="false">IF(F765*(1+'Read me'!$B$5)&lt;='Read me'!$B$7,CEILING(F765*(1+'Read me'!$B$5)+0.5,1)-0.5,CEILING(F765*(1+'Read me'!$B$5),5))</f>
        <v>70</v>
      </c>
      <c r="N765" s="14" t="n">
        <f aca="false">IF(MAX(M765*L765,M765+'Read me'!$B$6)&lt;='Read me'!$B$7,CEILING(MAX(M765*L765,M765+'Read me'!$B$6)+0.5,1)-0.5,CEILING(MAX(M765*L765,M765+'Read me'!$B$6),5))</f>
        <v>95</v>
      </c>
      <c r="O765" s="21" t="n">
        <f aca="false">IF(ISNUMBER(J765),M765-J765,"new")</f>
        <v>45.5</v>
      </c>
    </row>
    <row r="766" customFormat="false" ht="15" hidden="false" customHeight="false" outlineLevel="0" collapsed="false">
      <c r="A766" s="2" t="s">
        <v>897</v>
      </c>
      <c r="B766" s="2" t="s">
        <v>146</v>
      </c>
      <c r="C766" s="2" t="s">
        <v>146</v>
      </c>
      <c r="D766" s="2" t="s">
        <v>13</v>
      </c>
      <c r="E766" s="2" t="s">
        <v>50</v>
      </c>
      <c r="F766" s="14" t="n">
        <v>89.17</v>
      </c>
      <c r="G766" s="2" t="n">
        <v>8</v>
      </c>
      <c r="H766" s="2" t="n">
        <v>704</v>
      </c>
      <c r="I766" s="20" t="n">
        <v>1</v>
      </c>
      <c r="J766" s="14" t="n">
        <v>50</v>
      </c>
      <c r="K766" s="14" t="n">
        <v>95</v>
      </c>
      <c r="L766" s="20" t="n">
        <f aca="false">INDEX('Read me'!$B$10:$B$15,3)</f>
        <v>1.35</v>
      </c>
      <c r="M766" s="14" t="n">
        <f aca="false">IF(F766*(1+'Read me'!$B$5)&lt;='Read me'!$B$7,CEILING(F766*(1+'Read me'!$B$5)+0.5,1)-0.5,CEILING(F766*(1+'Read me'!$B$5),5))</f>
        <v>90</v>
      </c>
      <c r="N766" s="14" t="n">
        <f aca="false">IF(MAX(M766*L766,M766+'Read me'!$B$6)&lt;='Read me'!$B$7,CEILING(MAX(M766*L766,M766+'Read me'!$B$6)+0.5,1)-0.5,CEILING(MAX(M766*L766,M766+'Read me'!$B$6),5))</f>
        <v>125</v>
      </c>
      <c r="O766" s="21" t="n">
        <f aca="false">IF(ISNUMBER(J766),M766-J766,"new")</f>
        <v>40</v>
      </c>
    </row>
    <row r="767" customFormat="false" ht="15" hidden="false" customHeight="false" outlineLevel="0" collapsed="false">
      <c r="A767" s="2" t="s">
        <v>898</v>
      </c>
      <c r="B767" s="2" t="s">
        <v>146</v>
      </c>
      <c r="C767" s="2" t="s">
        <v>146</v>
      </c>
      <c r="D767" s="2" t="s">
        <v>14</v>
      </c>
      <c r="E767" s="2" t="s">
        <v>48</v>
      </c>
      <c r="F767" s="14" t="n">
        <v>99.73</v>
      </c>
      <c r="G767" s="2" t="n">
        <v>10</v>
      </c>
      <c r="H767" s="2" t="n">
        <v>704</v>
      </c>
      <c r="I767" s="20" t="n">
        <v>1</v>
      </c>
      <c r="J767" s="14" t="n">
        <v>25</v>
      </c>
      <c r="K767" s="14" t="n">
        <v>85</v>
      </c>
      <c r="L767" s="20" t="n">
        <f aca="false">INDEX('Read me'!$B$10:$B$15,4)</f>
        <v>1.2</v>
      </c>
      <c r="M767" s="14" t="n">
        <f aca="false">IF(F767*(1+'Read me'!$B$5)&lt;='Read me'!$B$7,CEILING(F767*(1+'Read me'!$B$5)+0.5,1)-0.5,CEILING(F767*(1+'Read me'!$B$5),5))</f>
        <v>100</v>
      </c>
      <c r="N767" s="14" t="n">
        <f aca="false">IF(MAX(M767*L767,M767+'Read me'!$B$6)&lt;='Read me'!$B$7,CEILING(MAX(M767*L767,M767+'Read me'!$B$6)+0.5,1)-0.5,CEILING(MAX(M767*L767,M767+'Read me'!$B$6),5))</f>
        <v>120</v>
      </c>
      <c r="O767" s="21" t="n">
        <f aca="false">IF(ISNUMBER(J767),M767-J767,"new")</f>
        <v>75</v>
      </c>
    </row>
    <row r="768" customFormat="false" ht="15" hidden="false" customHeight="false" outlineLevel="0" collapsed="false">
      <c r="A768" s="2" t="s">
        <v>899</v>
      </c>
      <c r="B768" s="2" t="s">
        <v>146</v>
      </c>
      <c r="C768" s="2" t="s">
        <v>146</v>
      </c>
      <c r="D768" s="2" t="s">
        <v>14</v>
      </c>
      <c r="E768" s="2" t="s">
        <v>49</v>
      </c>
      <c r="F768" s="14" t="n">
        <v>142.43</v>
      </c>
      <c r="G768" s="2" t="n">
        <v>6</v>
      </c>
      <c r="H768" s="2" t="n">
        <v>704</v>
      </c>
      <c r="I768" s="20" t="n">
        <v>1</v>
      </c>
      <c r="J768" s="14" t="n">
        <v>45</v>
      </c>
      <c r="K768" s="14" t="n">
        <v>125</v>
      </c>
      <c r="L768" s="20" t="n">
        <f aca="false">INDEX('Read me'!$B$10:$B$15,4)</f>
        <v>1.2</v>
      </c>
      <c r="M768" s="14" t="n">
        <f aca="false">IF(F768*(1+'Read me'!$B$5)&lt;='Read me'!$B$7,CEILING(F768*(1+'Read me'!$B$5)+0.5,1)-0.5,CEILING(F768*(1+'Read me'!$B$5),5))</f>
        <v>145</v>
      </c>
      <c r="N768" s="14" t="n">
        <f aca="false">IF(MAX(M768*L768,M768+'Read me'!$B$6)&lt;='Read me'!$B$7,CEILING(MAX(M768*L768,M768+'Read me'!$B$6)+0.5,1)-0.5,CEILING(MAX(M768*L768,M768+'Read me'!$B$6),5))</f>
        <v>175</v>
      </c>
      <c r="O768" s="21" t="n">
        <f aca="false">IF(ISNUMBER(J768),M768-J768,"new")</f>
        <v>100</v>
      </c>
    </row>
    <row r="769" customFormat="false" ht="15" hidden="false" customHeight="false" outlineLevel="0" collapsed="false">
      <c r="A769" s="2" t="s">
        <v>900</v>
      </c>
      <c r="B769" s="2" t="s">
        <v>146</v>
      </c>
      <c r="C769" s="2" t="s">
        <v>146</v>
      </c>
      <c r="D769" s="2" t="s">
        <v>14</v>
      </c>
      <c r="E769" s="2" t="s">
        <v>50</v>
      </c>
      <c r="F769" s="14" t="n">
        <v>156.03</v>
      </c>
      <c r="G769" s="2" t="n">
        <v>10</v>
      </c>
      <c r="H769" s="2" t="n">
        <v>704</v>
      </c>
      <c r="I769" s="20" t="n">
        <v>1</v>
      </c>
      <c r="J769" s="14" t="n">
        <v>85</v>
      </c>
      <c r="K769" s="14" t="n">
        <v>150</v>
      </c>
      <c r="L769" s="20" t="n">
        <f aca="false">INDEX('Read me'!$B$10:$B$15,4)</f>
        <v>1.2</v>
      </c>
      <c r="M769" s="14" t="n">
        <f aca="false">IF(F769*(1+'Read me'!$B$5)&lt;='Read me'!$B$7,CEILING(F769*(1+'Read me'!$B$5)+0.5,1)-0.5,CEILING(F769*(1+'Read me'!$B$5),5))</f>
        <v>160</v>
      </c>
      <c r="N769" s="14" t="n">
        <f aca="false">IF(MAX(M769*L769,M769+'Read me'!$B$6)&lt;='Read me'!$B$7,CEILING(MAX(M769*L769,M769+'Read me'!$B$6)+0.5,1)-0.5,CEILING(MAX(M769*L769,M769+'Read me'!$B$6),5))</f>
        <v>195</v>
      </c>
      <c r="O769" s="21" t="n">
        <f aca="false">IF(ISNUMBER(J769),M769-J769,"new")</f>
        <v>75</v>
      </c>
    </row>
    <row r="770" customFormat="false" ht="15" hidden="false" customHeight="false" outlineLevel="0" collapsed="false">
      <c r="A770" s="2" t="s">
        <v>901</v>
      </c>
      <c r="B770" s="2" t="s">
        <v>146</v>
      </c>
      <c r="C770" s="2" t="s">
        <v>146</v>
      </c>
      <c r="D770" s="2" t="s">
        <v>15</v>
      </c>
      <c r="E770" s="2" t="s">
        <v>48</v>
      </c>
      <c r="F770" s="14" t="n">
        <v>123.94</v>
      </c>
      <c r="G770" s="2" t="n">
        <v>1</v>
      </c>
      <c r="H770" s="2" t="n">
        <v>704</v>
      </c>
      <c r="I770" s="20" t="n">
        <v>1</v>
      </c>
      <c r="J770" s="14" t="n">
        <v>45</v>
      </c>
      <c r="K770" s="14" t="n">
        <v>85</v>
      </c>
      <c r="L770" s="20" t="n">
        <f aca="false">INDEX('Read me'!$B$10:$B$15,5)</f>
        <v>1.2</v>
      </c>
      <c r="M770" s="14" t="n">
        <f aca="false">IF(F770*(1+'Read me'!$B$5)&lt;='Read me'!$B$7,CEILING(F770*(1+'Read me'!$B$5)+0.5,1)-0.5,CEILING(F770*(1+'Read me'!$B$5),5))</f>
        <v>125</v>
      </c>
      <c r="N770" s="14" t="n">
        <f aca="false">IF(MAX(M770*L770,M770+'Read me'!$B$6)&lt;='Read me'!$B$7,CEILING(MAX(M770*L770,M770+'Read me'!$B$6)+0.5,1)-0.5,CEILING(MAX(M770*L770,M770+'Read me'!$B$6),5))</f>
        <v>150</v>
      </c>
      <c r="O770" s="21" t="n">
        <f aca="false">IF(ISNUMBER(J770),M770-J770,"new")</f>
        <v>80</v>
      </c>
    </row>
    <row r="771" customFormat="false" ht="15" hidden="false" customHeight="false" outlineLevel="0" collapsed="false">
      <c r="A771" s="2" t="s">
        <v>902</v>
      </c>
      <c r="B771" s="2" t="s">
        <v>146</v>
      </c>
      <c r="C771" s="2" t="s">
        <v>146</v>
      </c>
      <c r="D771" s="2" t="s">
        <v>15</v>
      </c>
      <c r="E771" s="2" t="s">
        <v>49</v>
      </c>
      <c r="F771" s="14" t="n">
        <v>166.07</v>
      </c>
      <c r="G771" s="2" t="n">
        <v>0</v>
      </c>
      <c r="H771" s="2" t="n">
        <v>704</v>
      </c>
      <c r="I771" s="20" t="n">
        <v>1</v>
      </c>
      <c r="J771" s="14" t="n">
        <v>85</v>
      </c>
      <c r="K771" s="14" t="n">
        <v>125</v>
      </c>
      <c r="L771" s="20" t="n">
        <f aca="false">INDEX('Read me'!$B$10:$B$15,5)</f>
        <v>1.2</v>
      </c>
      <c r="M771" s="14" t="n">
        <f aca="false">IF(F771*(1+'Read me'!$B$5)&lt;='Read me'!$B$7,CEILING(F771*(1+'Read me'!$B$5)+0.5,1)-0.5,CEILING(F771*(1+'Read me'!$B$5),5))</f>
        <v>170</v>
      </c>
      <c r="N771" s="14" t="n">
        <f aca="false">IF(MAX(M771*L771,M771+'Read me'!$B$6)&lt;='Read me'!$B$7,CEILING(MAX(M771*L771,M771+'Read me'!$B$6)+0.5,1)-0.5,CEILING(MAX(M771*L771,M771+'Read me'!$B$6),5))</f>
        <v>205</v>
      </c>
      <c r="O771" s="21" t="n">
        <f aca="false">IF(ISNUMBER(J771),M771-J771,"new")</f>
        <v>85</v>
      </c>
    </row>
    <row r="772" customFormat="false" ht="15" hidden="false" customHeight="false" outlineLevel="0" collapsed="false">
      <c r="A772" s="2" t="s">
        <v>903</v>
      </c>
      <c r="B772" s="2" t="s">
        <v>146</v>
      </c>
      <c r="C772" s="2" t="s">
        <v>146</v>
      </c>
      <c r="D772" s="2" t="s">
        <v>15</v>
      </c>
      <c r="E772" s="2" t="s">
        <v>50</v>
      </c>
      <c r="F772" s="14" t="n">
        <v>246.11</v>
      </c>
      <c r="G772" s="2" t="n">
        <v>0</v>
      </c>
      <c r="H772" s="2" t="n">
        <v>704</v>
      </c>
      <c r="I772" s="20" t="n">
        <v>1</v>
      </c>
      <c r="J772" s="14" t="n">
        <v>250</v>
      </c>
      <c r="K772" s="14" t="n">
        <v>350</v>
      </c>
      <c r="L772" s="20" t="n">
        <f aca="false">INDEX('Read me'!$B$10:$B$15,5)</f>
        <v>1.2</v>
      </c>
      <c r="M772" s="14" t="n">
        <f aca="false">IF(F772*(1+'Read me'!$B$5)&lt;='Read me'!$B$7,CEILING(F772*(1+'Read me'!$B$5)+0.5,1)-0.5,CEILING(F772*(1+'Read me'!$B$5),5))</f>
        <v>250</v>
      </c>
      <c r="N772" s="14" t="n">
        <f aca="false">IF(MAX(M772*L772,M772+'Read me'!$B$6)&lt;='Read me'!$B$7,CEILING(MAX(M772*L772,M772+'Read me'!$B$6)+0.5,1)-0.5,CEILING(MAX(M772*L772,M772+'Read me'!$B$6),5))</f>
        <v>300</v>
      </c>
      <c r="O772" s="21" t="n">
        <f aca="false">IF(ISNUMBER(J772),M772-J772,"new")</f>
        <v>0</v>
      </c>
    </row>
    <row r="773" customFormat="false" ht="15" hidden="false" customHeight="false" outlineLevel="0" collapsed="false">
      <c r="A773" s="2" t="s">
        <v>904</v>
      </c>
      <c r="B773" s="2" t="s">
        <v>146</v>
      </c>
      <c r="C773" s="2" t="s">
        <v>146</v>
      </c>
      <c r="D773" s="2" t="s">
        <v>16</v>
      </c>
      <c r="E773" s="2" t="s">
        <v>48</v>
      </c>
      <c r="F773" s="14" t="n">
        <v>123.94</v>
      </c>
      <c r="G773" s="2" t="n">
        <v>8</v>
      </c>
      <c r="H773" s="2" t="n">
        <v>704</v>
      </c>
      <c r="I773" s="20" t="n">
        <v>1</v>
      </c>
      <c r="J773" s="14"/>
      <c r="K773" s="14"/>
      <c r="L773" s="20" t="n">
        <f aca="false">INDEX('Read me'!$B$10:$B$15,6)</f>
        <v>1.2</v>
      </c>
      <c r="M773" s="14" t="n">
        <f aca="false">IF(F773*(1+'Read me'!$B$5)&lt;='Read me'!$B$7,CEILING(F773*(1+'Read me'!$B$5)+0.5,1)-0.5,CEILING(F773*(1+'Read me'!$B$5),5))</f>
        <v>125</v>
      </c>
      <c r="N773" s="14" t="n">
        <f aca="false">IF(MAX(M773*L773,M773+'Read me'!$B$6)&lt;='Read me'!$B$7,CEILING(MAX(M773*L773,M773+'Read me'!$B$6)+0.5,1)-0.5,CEILING(MAX(M773*L773,M773+'Read me'!$B$6),5))</f>
        <v>150</v>
      </c>
      <c r="O773" s="21" t="str">
        <f aca="false">IF(ISNUMBER(J773),M773-J773,"new")</f>
        <v>new</v>
      </c>
    </row>
    <row r="774" customFormat="false" ht="15" hidden="false" customHeight="false" outlineLevel="0" collapsed="false">
      <c r="A774" s="2" t="s">
        <v>905</v>
      </c>
      <c r="B774" s="2" t="s">
        <v>146</v>
      </c>
      <c r="C774" s="2" t="s">
        <v>146</v>
      </c>
      <c r="D774" s="2" t="s">
        <v>16</v>
      </c>
      <c r="E774" s="2" t="s">
        <v>49</v>
      </c>
      <c r="F774" s="14" t="n">
        <v>221.44</v>
      </c>
      <c r="G774" s="2" t="n">
        <v>1</v>
      </c>
      <c r="H774" s="2" t="n">
        <v>704</v>
      </c>
      <c r="I774" s="20" t="n">
        <v>1</v>
      </c>
      <c r="J774" s="14"/>
      <c r="K774" s="14"/>
      <c r="L774" s="20" t="n">
        <f aca="false">INDEX('Read me'!$B$10:$B$15,6)</f>
        <v>1.2</v>
      </c>
      <c r="M774" s="14" t="n">
        <f aca="false">IF(F774*(1+'Read me'!$B$5)&lt;='Read me'!$B$7,CEILING(F774*(1+'Read me'!$B$5)+0.5,1)-0.5,CEILING(F774*(1+'Read me'!$B$5),5))</f>
        <v>225</v>
      </c>
      <c r="N774" s="14" t="n">
        <f aca="false">IF(MAX(M774*L774,M774+'Read me'!$B$6)&lt;='Read me'!$B$7,CEILING(MAX(M774*L774,M774+'Read me'!$B$6)+0.5,1)-0.5,CEILING(MAX(M774*L774,M774+'Read me'!$B$6),5))</f>
        <v>270</v>
      </c>
      <c r="O774" s="21" t="str">
        <f aca="false">IF(ISNUMBER(J774),M774-J774,"new")</f>
        <v>new</v>
      </c>
    </row>
    <row r="775" customFormat="false" ht="15" hidden="false" customHeight="false" outlineLevel="0" collapsed="false">
      <c r="A775" s="2" t="s">
        <v>906</v>
      </c>
      <c r="B775" s="2" t="s">
        <v>146</v>
      </c>
      <c r="C775" s="2" t="s">
        <v>146</v>
      </c>
      <c r="D775" s="2" t="s">
        <v>16</v>
      </c>
      <c r="E775" s="2" t="s">
        <v>50</v>
      </c>
      <c r="F775" s="14" t="n">
        <v>282.43</v>
      </c>
      <c r="G775" s="2" t="n">
        <v>1</v>
      </c>
      <c r="H775" s="2" t="n">
        <v>704</v>
      </c>
      <c r="I775" s="20" t="n">
        <v>1</v>
      </c>
      <c r="J775" s="14"/>
      <c r="K775" s="14"/>
      <c r="L775" s="20" t="n">
        <f aca="false">INDEX('Read me'!$B$10:$B$15,6)</f>
        <v>1.2</v>
      </c>
      <c r="M775" s="14" t="n">
        <f aca="false">IF(F775*(1+'Read me'!$B$5)&lt;='Read me'!$B$7,CEILING(F775*(1+'Read me'!$B$5)+0.5,1)-0.5,CEILING(F775*(1+'Read me'!$B$5),5))</f>
        <v>285</v>
      </c>
      <c r="N775" s="14" t="n">
        <f aca="false">IF(MAX(M775*L775,M775+'Read me'!$B$6)&lt;='Read me'!$B$7,CEILING(MAX(M775*L775,M775+'Read me'!$B$6)+0.5,1)-0.5,CEILING(MAX(M775*L775,M775+'Read me'!$B$6),5))</f>
        <v>345</v>
      </c>
      <c r="O775" s="21" t="str">
        <f aca="false">IF(ISNUMBER(J775),M775-J775,"new")</f>
        <v>new</v>
      </c>
    </row>
    <row r="776" customFormat="false" ht="15" hidden="false" customHeight="false" outlineLevel="0" collapsed="false">
      <c r="A776" s="2" t="s">
        <v>907</v>
      </c>
      <c r="B776" s="2" t="s">
        <v>146</v>
      </c>
      <c r="C776" s="2" t="s">
        <v>165</v>
      </c>
      <c r="D776" s="2" t="s">
        <v>10</v>
      </c>
      <c r="E776" s="2" t="s">
        <v>48</v>
      </c>
      <c r="F776" s="14" t="n">
        <v>13.37</v>
      </c>
      <c r="G776" s="2" t="n">
        <v>13</v>
      </c>
      <c r="H776" s="2" t="n">
        <v>43</v>
      </c>
      <c r="I776" s="20" t="n">
        <v>0.99</v>
      </c>
      <c r="J776" s="14" t="n">
        <v>14.5</v>
      </c>
      <c r="K776" s="14" t="n">
        <v>19.5</v>
      </c>
      <c r="L776" s="20" t="n">
        <f aca="false">INDEX('Read me'!$B$10:$B$15,1)</f>
        <v>1.34</v>
      </c>
      <c r="M776" s="14" t="n">
        <f aca="false">IF(F776*(1+'Read me'!$B$5)&lt;='Read me'!$B$7,CEILING(F776*(1+'Read me'!$B$5)+0.5,1)-0.5,CEILING(F776*(1+'Read me'!$B$5),5))</f>
        <v>13.5</v>
      </c>
      <c r="N776" s="14" t="n">
        <f aca="false">IF(MAX(M776*L776,M776+'Read me'!$B$6)&lt;='Read me'!$B$7,CEILING(MAX(M776*L776,M776+'Read me'!$B$6)+0.5,1)-0.5,CEILING(MAX(M776*L776,M776+'Read me'!$B$6),5))</f>
        <v>18.5</v>
      </c>
      <c r="O776" s="21" t="n">
        <f aca="false">IF(ISNUMBER(J776),M776-J776,"new")</f>
        <v>-1</v>
      </c>
    </row>
    <row r="777" customFormat="false" ht="15" hidden="false" customHeight="false" outlineLevel="0" collapsed="false">
      <c r="A777" s="2" t="s">
        <v>908</v>
      </c>
      <c r="B777" s="2" t="s">
        <v>146</v>
      </c>
      <c r="C777" s="2" t="s">
        <v>165</v>
      </c>
      <c r="D777" s="2" t="s">
        <v>10</v>
      </c>
      <c r="E777" s="2" t="s">
        <v>49</v>
      </c>
      <c r="F777" s="14" t="n">
        <v>16.11</v>
      </c>
      <c r="G777" s="2" t="n">
        <v>5</v>
      </c>
      <c r="H777" s="2" t="n">
        <v>43</v>
      </c>
      <c r="I777" s="20" t="n">
        <v>0.99</v>
      </c>
      <c r="J777" s="14" t="n">
        <v>14.5</v>
      </c>
      <c r="K777" s="14" t="n">
        <v>19.5</v>
      </c>
      <c r="L777" s="20" t="n">
        <f aca="false">INDEX('Read me'!$B$10:$B$15,1)</f>
        <v>1.34</v>
      </c>
      <c r="M777" s="14" t="n">
        <f aca="false">IF(F777*(1+'Read me'!$B$5)&lt;='Read me'!$B$7,CEILING(F777*(1+'Read me'!$B$5)+0.5,1)-0.5,CEILING(F777*(1+'Read me'!$B$5),5))</f>
        <v>16.5</v>
      </c>
      <c r="N777" s="14" t="n">
        <f aca="false">IF(MAX(M777*L777,M777+'Read me'!$B$6)&lt;='Read me'!$B$7,CEILING(MAX(M777*L777,M777+'Read me'!$B$6)+0.5,1)-0.5,CEILING(MAX(M777*L777,M777+'Read me'!$B$6),5))</f>
        <v>22.5</v>
      </c>
      <c r="O777" s="21" t="n">
        <f aca="false">IF(ISNUMBER(J777),M777-J777,"new")</f>
        <v>2</v>
      </c>
    </row>
    <row r="778" customFormat="false" ht="15" hidden="false" customHeight="false" outlineLevel="0" collapsed="false">
      <c r="A778" s="2" t="s">
        <v>909</v>
      </c>
      <c r="B778" s="2" t="s">
        <v>146</v>
      </c>
      <c r="C778" s="2" t="s">
        <v>165</v>
      </c>
      <c r="D778" s="2" t="s">
        <v>10</v>
      </c>
      <c r="E778" s="2" t="s">
        <v>50</v>
      </c>
      <c r="F778" s="14" t="n">
        <v>19.05</v>
      </c>
      <c r="G778" s="2" t="n">
        <v>10</v>
      </c>
      <c r="H778" s="2" t="n">
        <v>43</v>
      </c>
      <c r="I778" s="20" t="n">
        <v>0.99</v>
      </c>
      <c r="J778" s="14" t="n">
        <v>17.5</v>
      </c>
      <c r="K778" s="14" t="n">
        <v>29.5</v>
      </c>
      <c r="L778" s="20" t="n">
        <f aca="false">INDEX('Read me'!$B$10:$B$15,1)</f>
        <v>1.34</v>
      </c>
      <c r="M778" s="14" t="n">
        <f aca="false">IF(F778*(1+'Read me'!$B$5)&lt;='Read me'!$B$7,CEILING(F778*(1+'Read me'!$B$5)+0.5,1)-0.5,CEILING(F778*(1+'Read me'!$B$5),5))</f>
        <v>19.5</v>
      </c>
      <c r="N778" s="14" t="n">
        <f aca="false">IF(MAX(M778*L778,M778+'Read me'!$B$6)&lt;='Read me'!$B$7,CEILING(MAX(M778*L778,M778+'Read me'!$B$6)+0.5,1)-0.5,CEILING(MAX(M778*L778,M778+'Read me'!$B$6),5))</f>
        <v>26.5</v>
      </c>
      <c r="O778" s="21" t="n">
        <f aca="false">IF(ISNUMBER(J778),M778-J778,"new")</f>
        <v>2</v>
      </c>
    </row>
    <row r="779" customFormat="false" ht="15" hidden="false" customHeight="false" outlineLevel="0" collapsed="false">
      <c r="A779" s="2" t="s">
        <v>910</v>
      </c>
      <c r="B779" s="2" t="s">
        <v>146</v>
      </c>
      <c r="C779" s="2" t="s">
        <v>165</v>
      </c>
      <c r="D779" s="2" t="s">
        <v>12</v>
      </c>
      <c r="E779" s="2" t="s">
        <v>48</v>
      </c>
      <c r="F779" s="14" t="n">
        <v>49.62</v>
      </c>
      <c r="G779" s="2" t="n">
        <v>5</v>
      </c>
      <c r="H779" s="2" t="n">
        <v>43</v>
      </c>
      <c r="I779" s="20" t="n">
        <v>0.99</v>
      </c>
      <c r="J779" s="14" t="n">
        <v>19.5</v>
      </c>
      <c r="K779" s="14" t="n">
        <v>24.5</v>
      </c>
      <c r="L779" s="20" t="n">
        <f aca="false">INDEX('Read me'!$B$10:$B$15,2)</f>
        <v>1.26</v>
      </c>
      <c r="M779" s="14" t="n">
        <f aca="false">IF(F779*(1+'Read me'!$B$5)&lt;='Read me'!$B$7,CEILING(F779*(1+'Read me'!$B$5)+0.5,1)-0.5,CEILING(F779*(1+'Read me'!$B$5),5))</f>
        <v>50</v>
      </c>
      <c r="N779" s="14" t="n">
        <f aca="false">IF(MAX(M779*L779,M779+'Read me'!$B$6)&lt;='Read me'!$B$7,CEILING(MAX(M779*L779,M779+'Read me'!$B$6)+0.5,1)-0.5,CEILING(MAX(M779*L779,M779+'Read me'!$B$6),5))</f>
        <v>65</v>
      </c>
      <c r="O779" s="21" t="n">
        <f aca="false">IF(ISNUMBER(J779),M779-J779,"new")</f>
        <v>30.5</v>
      </c>
    </row>
    <row r="780" customFormat="false" ht="15" hidden="false" customHeight="false" outlineLevel="0" collapsed="false">
      <c r="A780" s="2" t="s">
        <v>911</v>
      </c>
      <c r="B780" s="2" t="s">
        <v>146</v>
      </c>
      <c r="C780" s="2" t="s">
        <v>165</v>
      </c>
      <c r="D780" s="2" t="s">
        <v>12</v>
      </c>
      <c r="E780" s="2" t="s">
        <v>49</v>
      </c>
      <c r="F780" s="14" t="n">
        <v>55.93</v>
      </c>
      <c r="G780" s="2" t="n">
        <v>3</v>
      </c>
      <c r="H780" s="2" t="n">
        <v>43</v>
      </c>
      <c r="I780" s="20" t="n">
        <v>0.99</v>
      </c>
      <c r="J780" s="14" t="n">
        <v>19.5</v>
      </c>
      <c r="K780" s="14" t="n">
        <v>24.5</v>
      </c>
      <c r="L780" s="20" t="n">
        <f aca="false">INDEX('Read me'!$B$10:$B$15,2)</f>
        <v>1.26</v>
      </c>
      <c r="M780" s="14" t="n">
        <f aca="false">IF(F780*(1+'Read me'!$B$5)&lt;='Read me'!$B$7,CEILING(F780*(1+'Read me'!$B$5)+0.5,1)-0.5,CEILING(F780*(1+'Read me'!$B$5),5))</f>
        <v>60</v>
      </c>
      <c r="N780" s="14" t="n">
        <f aca="false">IF(MAX(M780*L780,M780+'Read me'!$B$6)&lt;='Read me'!$B$7,CEILING(MAX(M780*L780,M780+'Read me'!$B$6)+0.5,1)-0.5,CEILING(MAX(M780*L780,M780+'Read me'!$B$6),5))</f>
        <v>80</v>
      </c>
      <c r="O780" s="21" t="n">
        <f aca="false">IF(ISNUMBER(J780),M780-J780,"new")</f>
        <v>40.5</v>
      </c>
    </row>
    <row r="781" customFormat="false" ht="15" hidden="false" customHeight="false" outlineLevel="0" collapsed="false">
      <c r="A781" s="2" t="s">
        <v>912</v>
      </c>
      <c r="B781" s="2" t="s">
        <v>146</v>
      </c>
      <c r="C781" s="2" t="s">
        <v>165</v>
      </c>
      <c r="D781" s="2" t="s">
        <v>12</v>
      </c>
      <c r="E781" s="2" t="s">
        <v>50</v>
      </c>
      <c r="F781" s="14" t="n">
        <v>59.17</v>
      </c>
      <c r="G781" s="2" t="n">
        <v>1</v>
      </c>
      <c r="H781" s="2" t="n">
        <v>43</v>
      </c>
      <c r="I781" s="20" t="n">
        <v>0.99</v>
      </c>
      <c r="J781" s="14" t="n">
        <v>19.5</v>
      </c>
      <c r="K781" s="14" t="n">
        <v>34.5</v>
      </c>
      <c r="L781" s="20" t="n">
        <f aca="false">INDEX('Read me'!$B$10:$B$15,2)</f>
        <v>1.26</v>
      </c>
      <c r="M781" s="14" t="n">
        <f aca="false">IF(F781*(1+'Read me'!$B$5)&lt;='Read me'!$B$7,CEILING(F781*(1+'Read me'!$B$5)+0.5,1)-0.5,CEILING(F781*(1+'Read me'!$B$5),5))</f>
        <v>60</v>
      </c>
      <c r="N781" s="14" t="n">
        <f aca="false">IF(MAX(M781*L781,M781+'Read me'!$B$6)&lt;='Read me'!$B$7,CEILING(MAX(M781*L781,M781+'Read me'!$B$6)+0.5,1)-0.5,CEILING(MAX(M781*L781,M781+'Read me'!$B$6),5))</f>
        <v>80</v>
      </c>
      <c r="O781" s="21" t="n">
        <f aca="false">IF(ISNUMBER(J781),M781-J781,"new")</f>
        <v>40.5</v>
      </c>
    </row>
    <row r="782" customFormat="false" ht="15" hidden="false" customHeight="false" outlineLevel="0" collapsed="false">
      <c r="A782" s="2" t="s">
        <v>913</v>
      </c>
      <c r="B782" s="2" t="s">
        <v>146</v>
      </c>
      <c r="C782" s="2" t="s">
        <v>165</v>
      </c>
      <c r="D782" s="2" t="s">
        <v>13</v>
      </c>
      <c r="E782" s="2" t="s">
        <v>48</v>
      </c>
      <c r="F782" s="14" t="n">
        <v>82.3</v>
      </c>
      <c r="G782" s="2" t="n">
        <v>0</v>
      </c>
      <c r="H782" s="2" t="n">
        <v>43</v>
      </c>
      <c r="I782" s="20" t="n">
        <v>0.99</v>
      </c>
      <c r="J782" s="14" t="n">
        <v>24.5</v>
      </c>
      <c r="K782" s="14" t="n">
        <v>75</v>
      </c>
      <c r="L782" s="20" t="n">
        <f aca="false">INDEX('Read me'!$B$10:$B$15,3)</f>
        <v>1.35</v>
      </c>
      <c r="M782" s="14" t="n">
        <f aca="false">IF(F782*(1+'Read me'!$B$5)&lt;='Read me'!$B$7,CEILING(F782*(1+'Read me'!$B$5)+0.5,1)-0.5,CEILING(F782*(1+'Read me'!$B$5),5))</f>
        <v>85</v>
      </c>
      <c r="N782" s="14" t="n">
        <f aca="false">IF(MAX(M782*L782,M782+'Read me'!$B$6)&lt;='Read me'!$B$7,CEILING(MAX(M782*L782,M782+'Read me'!$B$6)+0.5,1)-0.5,CEILING(MAX(M782*L782,M782+'Read me'!$B$6),5))</f>
        <v>115</v>
      </c>
      <c r="O782" s="21" t="n">
        <f aca="false">IF(ISNUMBER(J782),M782-J782,"new")</f>
        <v>60.5</v>
      </c>
    </row>
    <row r="783" customFormat="false" ht="15" hidden="false" customHeight="false" outlineLevel="0" collapsed="false">
      <c r="A783" s="2" t="s">
        <v>914</v>
      </c>
      <c r="B783" s="2" t="s">
        <v>146</v>
      </c>
      <c r="C783" s="2" t="s">
        <v>165</v>
      </c>
      <c r="D783" s="2" t="s">
        <v>13</v>
      </c>
      <c r="E783" s="2" t="s">
        <v>49</v>
      </c>
      <c r="F783" s="14" t="n">
        <v>92.58</v>
      </c>
      <c r="G783" s="2" t="n">
        <v>0</v>
      </c>
      <c r="H783" s="2" t="n">
        <v>43</v>
      </c>
      <c r="I783" s="20" t="n">
        <v>0.99</v>
      </c>
      <c r="J783" s="14" t="n">
        <v>24.5</v>
      </c>
      <c r="K783" s="14" t="n">
        <v>75</v>
      </c>
      <c r="L783" s="20" t="n">
        <f aca="false">INDEX('Read me'!$B$10:$B$15,3)</f>
        <v>1.35</v>
      </c>
      <c r="M783" s="14" t="n">
        <f aca="false">IF(F783*(1+'Read me'!$B$5)&lt;='Read me'!$B$7,CEILING(F783*(1+'Read me'!$B$5)+0.5,1)-0.5,CEILING(F783*(1+'Read me'!$B$5),5))</f>
        <v>95</v>
      </c>
      <c r="N783" s="14" t="n">
        <f aca="false">IF(MAX(M783*L783,M783+'Read me'!$B$6)&lt;='Read me'!$B$7,CEILING(MAX(M783*L783,M783+'Read me'!$B$6)+0.5,1)-0.5,CEILING(MAX(M783*L783,M783+'Read me'!$B$6),5))</f>
        <v>130</v>
      </c>
      <c r="O783" s="21" t="n">
        <f aca="false">IF(ISNUMBER(J783),M783-J783,"new")</f>
        <v>70.5</v>
      </c>
    </row>
    <row r="784" customFormat="false" ht="15" hidden="false" customHeight="false" outlineLevel="0" collapsed="false">
      <c r="A784" s="2" t="s">
        <v>915</v>
      </c>
      <c r="B784" s="2" t="s">
        <v>146</v>
      </c>
      <c r="C784" s="2" t="s">
        <v>165</v>
      </c>
      <c r="D784" s="2" t="s">
        <v>13</v>
      </c>
      <c r="E784" s="2" t="s">
        <v>50</v>
      </c>
      <c r="F784" s="14" t="n">
        <v>124.51</v>
      </c>
      <c r="G784" s="2" t="n">
        <v>0</v>
      </c>
      <c r="H784" s="2" t="n">
        <v>43</v>
      </c>
      <c r="I784" s="20" t="n">
        <v>0.99</v>
      </c>
      <c r="J784" s="14" t="n">
        <v>85</v>
      </c>
      <c r="K784" s="14" t="n">
        <v>125</v>
      </c>
      <c r="L784" s="20" t="n">
        <f aca="false">INDEX('Read me'!$B$10:$B$15,3)</f>
        <v>1.35</v>
      </c>
      <c r="M784" s="14" t="n">
        <f aca="false">IF(F784*(1+'Read me'!$B$5)&lt;='Read me'!$B$7,CEILING(F784*(1+'Read me'!$B$5)+0.5,1)-0.5,CEILING(F784*(1+'Read me'!$B$5),5))</f>
        <v>125</v>
      </c>
      <c r="N784" s="14" t="n">
        <f aca="false">IF(MAX(M784*L784,M784+'Read me'!$B$6)&lt;='Read me'!$B$7,CEILING(MAX(M784*L784,M784+'Read me'!$B$6)+0.5,1)-0.5,CEILING(MAX(M784*L784,M784+'Read me'!$B$6),5))</f>
        <v>170</v>
      </c>
      <c r="O784" s="21" t="n">
        <f aca="false">IF(ISNUMBER(J784),M784-J784,"new")</f>
        <v>40</v>
      </c>
    </row>
    <row r="785" customFormat="false" ht="15" hidden="false" customHeight="false" outlineLevel="0" collapsed="false">
      <c r="A785" s="2" t="s">
        <v>916</v>
      </c>
      <c r="B785" s="2" t="s">
        <v>146</v>
      </c>
      <c r="C785" s="2" t="s">
        <v>165</v>
      </c>
      <c r="D785" s="2" t="s">
        <v>14</v>
      </c>
      <c r="E785" s="2" t="s">
        <v>48</v>
      </c>
      <c r="F785" s="14" t="n">
        <v>141.79</v>
      </c>
      <c r="G785" s="2" t="n">
        <v>2</v>
      </c>
      <c r="H785" s="2" t="n">
        <v>43</v>
      </c>
      <c r="I785" s="20" t="n">
        <v>0.99</v>
      </c>
      <c r="J785" s="14" t="n">
        <v>85</v>
      </c>
      <c r="K785" s="14" t="n">
        <v>125</v>
      </c>
      <c r="L785" s="20" t="n">
        <f aca="false">INDEX('Read me'!$B$10:$B$15,4)</f>
        <v>1.2</v>
      </c>
      <c r="M785" s="14" t="n">
        <f aca="false">IF(F785*(1+'Read me'!$B$5)&lt;='Read me'!$B$7,CEILING(F785*(1+'Read me'!$B$5)+0.5,1)-0.5,CEILING(F785*(1+'Read me'!$B$5),5))</f>
        <v>145</v>
      </c>
      <c r="N785" s="14" t="n">
        <f aca="false">IF(MAX(M785*L785,M785+'Read me'!$B$6)&lt;='Read me'!$B$7,CEILING(MAX(M785*L785,M785+'Read me'!$B$6)+0.5,1)-0.5,CEILING(MAX(M785*L785,M785+'Read me'!$B$6),5))</f>
        <v>175</v>
      </c>
      <c r="O785" s="21" t="n">
        <f aca="false">IF(ISNUMBER(J785),M785-J785,"new")</f>
        <v>60</v>
      </c>
    </row>
    <row r="786" customFormat="false" ht="15" hidden="false" customHeight="false" outlineLevel="0" collapsed="false">
      <c r="A786" s="2" t="s">
        <v>917</v>
      </c>
      <c r="B786" s="2" t="s">
        <v>146</v>
      </c>
      <c r="C786" s="2" t="s">
        <v>165</v>
      </c>
      <c r="D786" s="2" t="s">
        <v>14</v>
      </c>
      <c r="E786" s="2" t="s">
        <v>49</v>
      </c>
      <c r="F786" s="14" t="n">
        <v>171.11</v>
      </c>
      <c r="G786" s="2" t="n">
        <v>0</v>
      </c>
      <c r="H786" s="2" t="n">
        <v>43</v>
      </c>
      <c r="I786" s="20" t="n">
        <v>0.99</v>
      </c>
      <c r="J786" s="14" t="n">
        <v>125</v>
      </c>
      <c r="K786" s="14" t="n">
        <v>125</v>
      </c>
      <c r="L786" s="20" t="n">
        <f aca="false">INDEX('Read me'!$B$10:$B$15,4)</f>
        <v>1.2</v>
      </c>
      <c r="M786" s="14" t="n">
        <f aca="false">IF(F786*(1+'Read me'!$B$5)&lt;='Read me'!$B$7,CEILING(F786*(1+'Read me'!$B$5)+0.5,1)-0.5,CEILING(F786*(1+'Read me'!$B$5),5))</f>
        <v>175</v>
      </c>
      <c r="N786" s="14" t="n">
        <f aca="false">IF(MAX(M786*L786,M786+'Read me'!$B$6)&lt;='Read me'!$B$7,CEILING(MAX(M786*L786,M786+'Read me'!$B$6)+0.5,1)-0.5,CEILING(MAX(M786*L786,M786+'Read me'!$B$6),5))</f>
        <v>210</v>
      </c>
      <c r="O786" s="21" t="n">
        <f aca="false">IF(ISNUMBER(J786),M786-J786,"new")</f>
        <v>50</v>
      </c>
    </row>
    <row r="787" customFormat="false" ht="15" hidden="false" customHeight="false" outlineLevel="0" collapsed="false">
      <c r="A787" s="2" t="s">
        <v>918</v>
      </c>
      <c r="B787" s="2" t="s">
        <v>146</v>
      </c>
      <c r="C787" s="2" t="s">
        <v>165</v>
      </c>
      <c r="D787" s="2" t="s">
        <v>14</v>
      </c>
      <c r="E787" s="2" t="s">
        <v>50</v>
      </c>
      <c r="F787" s="14" t="n">
        <v>196.64</v>
      </c>
      <c r="G787" s="2" t="n">
        <v>1</v>
      </c>
      <c r="H787" s="2" t="n">
        <v>43</v>
      </c>
      <c r="I787" s="20" t="n">
        <v>0.99</v>
      </c>
      <c r="J787" s="14" t="n">
        <v>199</v>
      </c>
      <c r="K787" s="14" t="n">
        <v>175</v>
      </c>
      <c r="L787" s="20" t="n">
        <f aca="false">INDEX('Read me'!$B$10:$B$15,4)</f>
        <v>1.2</v>
      </c>
      <c r="M787" s="14" t="n">
        <f aca="false">IF(F787*(1+'Read me'!$B$5)&lt;='Read me'!$B$7,CEILING(F787*(1+'Read me'!$B$5)+0.5,1)-0.5,CEILING(F787*(1+'Read me'!$B$5),5))</f>
        <v>200</v>
      </c>
      <c r="N787" s="14" t="n">
        <f aca="false">IF(MAX(M787*L787,M787+'Read me'!$B$6)&lt;='Read me'!$B$7,CEILING(MAX(M787*L787,M787+'Read me'!$B$6)+0.5,1)-0.5,CEILING(MAX(M787*L787,M787+'Read me'!$B$6),5))</f>
        <v>240</v>
      </c>
      <c r="O787" s="21" t="n">
        <f aca="false">IF(ISNUMBER(J787),M787-J787,"new")</f>
        <v>1</v>
      </c>
    </row>
    <row r="788" customFormat="false" ht="15" hidden="false" customHeight="false" outlineLevel="0" collapsed="false">
      <c r="A788" s="2" t="s">
        <v>919</v>
      </c>
      <c r="B788" s="2" t="s">
        <v>146</v>
      </c>
      <c r="C788" s="2" t="s">
        <v>165</v>
      </c>
      <c r="D788" s="2" t="s">
        <v>15</v>
      </c>
      <c r="E788" s="2" t="s">
        <v>48</v>
      </c>
      <c r="F788" s="14" t="n">
        <v>180.89</v>
      </c>
      <c r="G788" s="2" t="n">
        <v>0</v>
      </c>
      <c r="H788" s="2" t="n">
        <v>43</v>
      </c>
      <c r="I788" s="20" t="n">
        <v>0.99</v>
      </c>
      <c r="J788" s="14" t="n">
        <v>250</v>
      </c>
      <c r="K788" s="14" t="n">
        <v>300</v>
      </c>
      <c r="L788" s="20" t="n">
        <f aca="false">INDEX('Read me'!$B$10:$B$15,5)</f>
        <v>1.2</v>
      </c>
      <c r="M788" s="14" t="n">
        <f aca="false">IF(F788*(1+'Read me'!$B$5)&lt;='Read me'!$B$7,CEILING(F788*(1+'Read me'!$B$5)+0.5,1)-0.5,CEILING(F788*(1+'Read me'!$B$5),5))</f>
        <v>185</v>
      </c>
      <c r="N788" s="14" t="n">
        <f aca="false">IF(MAX(M788*L788,M788+'Read me'!$B$6)&lt;='Read me'!$B$7,CEILING(MAX(M788*L788,M788+'Read me'!$B$6)+0.5,1)-0.5,CEILING(MAX(M788*L788,M788+'Read me'!$B$6),5))</f>
        <v>225</v>
      </c>
      <c r="O788" s="21" t="n">
        <f aca="false">IF(ISNUMBER(J788),M788-J788,"new")</f>
        <v>-65</v>
      </c>
    </row>
    <row r="789" customFormat="false" ht="15" hidden="false" customHeight="false" outlineLevel="0" collapsed="false">
      <c r="A789" s="2" t="s">
        <v>920</v>
      </c>
      <c r="B789" s="2" t="s">
        <v>146</v>
      </c>
      <c r="C789" s="2" t="s">
        <v>165</v>
      </c>
      <c r="D789" s="2" t="s">
        <v>15</v>
      </c>
      <c r="E789" s="2" t="s">
        <v>49</v>
      </c>
      <c r="F789" s="14" t="n">
        <v>223.16</v>
      </c>
      <c r="G789" s="2" t="n">
        <v>0</v>
      </c>
      <c r="H789" s="2" t="n">
        <v>43</v>
      </c>
      <c r="I789" s="20" t="n">
        <v>0.99</v>
      </c>
      <c r="J789" s="14" t="n">
        <v>250</v>
      </c>
      <c r="K789" s="14" t="n">
        <v>300</v>
      </c>
      <c r="L789" s="20" t="n">
        <f aca="false">INDEX('Read me'!$B$10:$B$15,5)</f>
        <v>1.2</v>
      </c>
      <c r="M789" s="14" t="n">
        <f aca="false">N789</f>
        <v>270</v>
      </c>
      <c r="N789" s="14" t="n">
        <f aca="false">IF(MAX((IF(F789*(1+'Read me'!$B$5)&lt;='Read me'!$B$7,CEILING(F789*(1+'Read me'!$B$5)+0.5,1)-0.5,CEILING(F789*(1+'Read me'!$B$5),5)))*L789,(IF(F789*(1+'Read me'!$B$5)&lt;='Read me'!$B$7,CEILING(F789*(1+'Read me'!$B$5)+0.5,1)-0.5,CEILING(F789*(1+'Read me'!$B$5),5)))+'Read me'!$B$6)&lt;='Read me'!$B$7,CEILING(MAX((IF(F789*(1+'Read me'!$B$5)&lt;='Read me'!$B$7,CEILING(F789*(1+'Read me'!$B$5)+0.5,1)-0.5,CEILING(F789*(1+'Read me'!$B$5),5)))*L789,(IF(F789*(1+'Read me'!$B$5)&lt;='Read me'!$B$7,CEILING(F789*(1+'Read me'!$B$5)+0.5,1)-0.5,CEILING(F789*(1+'Read me'!$B$5),5)))+'Read me'!$B$6)+0.5,1)-0.5,CEILING(MAX((IF(F789*(1+'Read me'!$B$5)&lt;='Read me'!$B$7,CEILING(F789*(1+'Read me'!$B$5)+0.5,1)-0.5,CEILING(F789*(1+'Read me'!$B$5),5)))*L789,(IF(F789*(1+'Read me'!$B$5)&lt;='Read me'!$B$7,CEILING(F789*(1+'Read me'!$B$5)+0.5,1)-0.5,CEILING(F789*(1+'Read me'!$B$5),5)))+'Read me'!$B$6),5))</f>
        <v>270</v>
      </c>
      <c r="O789" s="21" t="n">
        <f aca="false">IF(ISNUMBER(J789),M789-J789,"new")</f>
        <v>20</v>
      </c>
      <c r="P789" s="5" t="s">
        <v>140</v>
      </c>
    </row>
    <row r="790" customFormat="false" ht="15" hidden="false" customHeight="false" outlineLevel="0" collapsed="false">
      <c r="A790" s="2" t="s">
        <v>921</v>
      </c>
      <c r="B790" s="2" t="s">
        <v>146</v>
      </c>
      <c r="C790" s="2" t="s">
        <v>165</v>
      </c>
      <c r="D790" s="2" t="s">
        <v>15</v>
      </c>
      <c r="E790" s="2" t="s">
        <v>50</v>
      </c>
      <c r="F790" s="14" t="n">
        <v>268.14</v>
      </c>
      <c r="G790" s="2" t="n">
        <v>0</v>
      </c>
      <c r="H790" s="2" t="n">
        <v>43</v>
      </c>
      <c r="I790" s="20" t="n">
        <v>0.99</v>
      </c>
      <c r="J790" s="14" t="n">
        <v>300</v>
      </c>
      <c r="K790" s="14" t="n">
        <v>400</v>
      </c>
      <c r="L790" s="20" t="n">
        <f aca="false">INDEX('Read me'!$B$10:$B$15,5)</f>
        <v>1.2</v>
      </c>
      <c r="M790" s="14" t="n">
        <f aca="false">N790</f>
        <v>325</v>
      </c>
      <c r="N790" s="14" t="n">
        <f aca="false">IF(MAX((IF(F790*(1+'Read me'!$B$5)&lt;='Read me'!$B$7,CEILING(F790*(1+'Read me'!$B$5)+0.5,1)-0.5,CEILING(F790*(1+'Read me'!$B$5),5)))*L790,(IF(F790*(1+'Read me'!$B$5)&lt;='Read me'!$B$7,CEILING(F790*(1+'Read me'!$B$5)+0.5,1)-0.5,CEILING(F790*(1+'Read me'!$B$5),5)))+'Read me'!$B$6)&lt;='Read me'!$B$7,CEILING(MAX((IF(F790*(1+'Read me'!$B$5)&lt;='Read me'!$B$7,CEILING(F790*(1+'Read me'!$B$5)+0.5,1)-0.5,CEILING(F790*(1+'Read me'!$B$5),5)))*L790,(IF(F790*(1+'Read me'!$B$5)&lt;='Read me'!$B$7,CEILING(F790*(1+'Read me'!$B$5)+0.5,1)-0.5,CEILING(F790*(1+'Read me'!$B$5),5)))+'Read me'!$B$6)+0.5,1)-0.5,CEILING(MAX((IF(F790*(1+'Read me'!$B$5)&lt;='Read me'!$B$7,CEILING(F790*(1+'Read me'!$B$5)+0.5,1)-0.5,CEILING(F790*(1+'Read me'!$B$5),5)))*L790,(IF(F790*(1+'Read me'!$B$5)&lt;='Read me'!$B$7,CEILING(F790*(1+'Read me'!$B$5)+0.5,1)-0.5,CEILING(F790*(1+'Read me'!$B$5),5)))+'Read me'!$B$6),5))</f>
        <v>325</v>
      </c>
      <c r="O790" s="21" t="n">
        <f aca="false">IF(ISNUMBER(J790),M790-J790,"new")</f>
        <v>25</v>
      </c>
      <c r="P790" s="5" t="s">
        <v>140</v>
      </c>
    </row>
    <row r="791" customFormat="false" ht="15" hidden="false" customHeight="false" outlineLevel="0" collapsed="false">
      <c r="A791" s="2" t="s">
        <v>922</v>
      </c>
      <c r="B791" s="2" t="s">
        <v>146</v>
      </c>
      <c r="C791" s="2" t="s">
        <v>165</v>
      </c>
      <c r="D791" s="2" t="s">
        <v>16</v>
      </c>
      <c r="E791" s="2" t="s">
        <v>48</v>
      </c>
      <c r="F791" s="14" t="n">
        <v>259.23</v>
      </c>
      <c r="G791" s="2" t="n">
        <v>2</v>
      </c>
      <c r="H791" s="2" t="n">
        <v>43</v>
      </c>
      <c r="I791" s="20" t="n">
        <v>0.99</v>
      </c>
      <c r="J791" s="14"/>
      <c r="K791" s="14"/>
      <c r="L791" s="20" t="n">
        <f aca="false">INDEX('Read me'!$B$10:$B$15,6)</f>
        <v>1.2</v>
      </c>
      <c r="M791" s="14" t="n">
        <f aca="false">IF(F791*(1+'Read me'!$B$5)&lt;='Read me'!$B$7,CEILING(F791*(1+'Read me'!$B$5)+0.5,1)-0.5,CEILING(F791*(1+'Read me'!$B$5),5))</f>
        <v>260</v>
      </c>
      <c r="N791" s="14" t="n">
        <f aca="false">IF(MAX(M791*L791,M791+'Read me'!$B$6)&lt;='Read me'!$B$7,CEILING(MAX(M791*L791,M791+'Read me'!$B$6)+0.5,1)-0.5,CEILING(MAX(M791*L791,M791+'Read me'!$B$6),5))</f>
        <v>315</v>
      </c>
      <c r="O791" s="21" t="str">
        <f aca="false">IF(ISNUMBER(J791),M791-J791,"new")</f>
        <v>new</v>
      </c>
    </row>
    <row r="792" customFormat="false" ht="15" hidden="false" customHeight="false" outlineLevel="0" collapsed="false">
      <c r="A792" s="2" t="s">
        <v>923</v>
      </c>
      <c r="B792" s="2" t="s">
        <v>146</v>
      </c>
      <c r="C792" s="2" t="s">
        <v>165</v>
      </c>
      <c r="D792" s="2" t="s">
        <v>16</v>
      </c>
      <c r="E792" s="2" t="s">
        <v>49</v>
      </c>
      <c r="F792" s="14" t="n">
        <v>316.33</v>
      </c>
      <c r="G792" s="2" t="n">
        <v>1</v>
      </c>
      <c r="H792" s="2" t="n">
        <v>43</v>
      </c>
      <c r="I792" s="20" t="n">
        <v>0.99</v>
      </c>
      <c r="J792" s="14"/>
      <c r="K792" s="14"/>
      <c r="L792" s="20" t="n">
        <f aca="false">INDEX('Read me'!$B$10:$B$15,6)</f>
        <v>1.2</v>
      </c>
      <c r="M792" s="14" t="n">
        <f aca="false">N792</f>
        <v>385</v>
      </c>
      <c r="N792" s="14" t="n">
        <f aca="false">IF(MAX((IF(F792*(1+'Read me'!$B$5)&lt;='Read me'!$B$7,CEILING(F792*(1+'Read me'!$B$5)+0.5,1)-0.5,CEILING(F792*(1+'Read me'!$B$5),5)))*L792,(IF(F792*(1+'Read me'!$B$5)&lt;='Read me'!$B$7,CEILING(F792*(1+'Read me'!$B$5)+0.5,1)-0.5,CEILING(F792*(1+'Read me'!$B$5),5)))+'Read me'!$B$6)&lt;='Read me'!$B$7,CEILING(MAX((IF(F792*(1+'Read me'!$B$5)&lt;='Read me'!$B$7,CEILING(F792*(1+'Read me'!$B$5)+0.5,1)-0.5,CEILING(F792*(1+'Read me'!$B$5),5)))*L792,(IF(F792*(1+'Read me'!$B$5)&lt;='Read me'!$B$7,CEILING(F792*(1+'Read me'!$B$5)+0.5,1)-0.5,CEILING(F792*(1+'Read me'!$B$5),5)))+'Read me'!$B$6)+0.5,1)-0.5,CEILING(MAX((IF(F792*(1+'Read me'!$B$5)&lt;='Read me'!$B$7,CEILING(F792*(1+'Read me'!$B$5)+0.5,1)-0.5,CEILING(F792*(1+'Read me'!$B$5),5)))*L792,(IF(F792*(1+'Read me'!$B$5)&lt;='Read me'!$B$7,CEILING(F792*(1+'Read me'!$B$5)+0.5,1)-0.5,CEILING(F792*(1+'Read me'!$B$5),5)))+'Read me'!$B$6),5))</f>
        <v>385</v>
      </c>
      <c r="O792" s="21" t="str">
        <f aca="false">IF(ISNUMBER(J792),M792-J792,"new")</f>
        <v>new</v>
      </c>
      <c r="P792" s="5" t="s">
        <v>140</v>
      </c>
    </row>
    <row r="793" customFormat="false" ht="15" hidden="false" customHeight="false" outlineLevel="0" collapsed="false">
      <c r="A793" s="2" t="s">
        <v>924</v>
      </c>
      <c r="B793" s="2" t="s">
        <v>146</v>
      </c>
      <c r="C793" s="2" t="s">
        <v>165</v>
      </c>
      <c r="D793" s="2" t="s">
        <v>16</v>
      </c>
      <c r="E793" s="2" t="s">
        <v>50</v>
      </c>
      <c r="F793" s="14" t="n">
        <v>379.34</v>
      </c>
      <c r="G793" s="2" t="n">
        <v>0</v>
      </c>
      <c r="H793" s="2" t="n">
        <v>43</v>
      </c>
      <c r="I793" s="20" t="n">
        <v>0.99</v>
      </c>
      <c r="J793" s="14"/>
      <c r="K793" s="14"/>
      <c r="L793" s="20" t="n">
        <f aca="false">INDEX('Read me'!$B$10:$B$15,6)</f>
        <v>1.2</v>
      </c>
      <c r="M793" s="14" t="n">
        <f aca="false">N793</f>
        <v>460</v>
      </c>
      <c r="N793" s="14" t="n">
        <f aca="false">IF(MAX((IF(F793*(1+'Read me'!$B$5)&lt;='Read me'!$B$7,CEILING(F793*(1+'Read me'!$B$5)+0.5,1)-0.5,CEILING(F793*(1+'Read me'!$B$5),5)))*L793,(IF(F793*(1+'Read me'!$B$5)&lt;='Read me'!$B$7,CEILING(F793*(1+'Read me'!$B$5)+0.5,1)-0.5,CEILING(F793*(1+'Read me'!$B$5),5)))+'Read me'!$B$6)&lt;='Read me'!$B$7,CEILING(MAX((IF(F793*(1+'Read me'!$B$5)&lt;='Read me'!$B$7,CEILING(F793*(1+'Read me'!$B$5)+0.5,1)-0.5,CEILING(F793*(1+'Read me'!$B$5),5)))*L793,(IF(F793*(1+'Read me'!$B$5)&lt;='Read me'!$B$7,CEILING(F793*(1+'Read me'!$B$5)+0.5,1)-0.5,CEILING(F793*(1+'Read me'!$B$5),5)))+'Read me'!$B$6)+0.5,1)-0.5,CEILING(MAX((IF(F793*(1+'Read me'!$B$5)&lt;='Read me'!$B$7,CEILING(F793*(1+'Read me'!$B$5)+0.5,1)-0.5,CEILING(F793*(1+'Read me'!$B$5),5)))*L793,(IF(F793*(1+'Read me'!$B$5)&lt;='Read me'!$B$7,CEILING(F793*(1+'Read me'!$B$5)+0.5,1)-0.5,CEILING(F793*(1+'Read me'!$B$5),5)))+'Read me'!$B$6),5))</f>
        <v>460</v>
      </c>
      <c r="O793" s="21" t="str">
        <f aca="false">IF(ISNUMBER(J793),M793-J793,"new")</f>
        <v>new</v>
      </c>
      <c r="P793" s="5" t="s">
        <v>140</v>
      </c>
    </row>
    <row r="794" customFormat="false" ht="15" hidden="false" customHeight="false" outlineLevel="0" collapsed="false">
      <c r="A794" s="2" t="s">
        <v>925</v>
      </c>
      <c r="B794" s="2" t="s">
        <v>146</v>
      </c>
      <c r="C794" s="2" t="s">
        <v>126</v>
      </c>
      <c r="D794" s="2" t="s">
        <v>10</v>
      </c>
      <c r="E794" s="2" t="s">
        <v>48</v>
      </c>
      <c r="F794" s="14" t="n">
        <v>12.46</v>
      </c>
      <c r="G794" s="2" t="n">
        <v>38</v>
      </c>
      <c r="H794" s="2" t="n">
        <v>136</v>
      </c>
      <c r="I794" s="20" t="n">
        <v>0.85</v>
      </c>
      <c r="J794" s="14" t="n">
        <v>14.5</v>
      </c>
      <c r="K794" s="14" t="n">
        <v>19.5</v>
      </c>
      <c r="L794" s="20" t="n">
        <f aca="false">INDEX('Read me'!$B$10:$B$15,1)</f>
        <v>1.34</v>
      </c>
      <c r="M794" s="14" t="n">
        <f aca="false">IF(F794*(1+'Read me'!$B$5)&lt;='Read me'!$B$7,CEILING(F794*(1+'Read me'!$B$5)+0.5,1)-0.5,CEILING(F794*(1+'Read me'!$B$5),5))</f>
        <v>12.5</v>
      </c>
      <c r="N794" s="14" t="n">
        <f aca="false">IF(MAX(M794*L794,M794+'Read me'!$B$6)&lt;='Read me'!$B$7,CEILING(MAX(M794*L794,M794+'Read me'!$B$6)+0.5,1)-0.5,CEILING(MAX(M794*L794,M794+'Read me'!$B$6),5))</f>
        <v>17.5</v>
      </c>
      <c r="O794" s="21" t="n">
        <f aca="false">IF(ISNUMBER(J794),M794-J794,"new")</f>
        <v>-2</v>
      </c>
    </row>
    <row r="795" customFormat="false" ht="15" hidden="false" customHeight="false" outlineLevel="0" collapsed="false">
      <c r="A795" s="2" t="s">
        <v>926</v>
      </c>
      <c r="B795" s="2" t="s">
        <v>146</v>
      </c>
      <c r="C795" s="2" t="s">
        <v>126</v>
      </c>
      <c r="D795" s="2" t="s">
        <v>10</v>
      </c>
      <c r="E795" s="2" t="s">
        <v>49</v>
      </c>
      <c r="F795" s="14" t="n">
        <v>12.54</v>
      </c>
      <c r="G795" s="2" t="n">
        <v>13</v>
      </c>
      <c r="H795" s="2" t="n">
        <v>136</v>
      </c>
      <c r="I795" s="20" t="n">
        <v>0.85</v>
      </c>
      <c r="J795" s="14" t="n">
        <v>14.5</v>
      </c>
      <c r="K795" s="14" t="n">
        <v>19.5</v>
      </c>
      <c r="L795" s="20" t="n">
        <f aca="false">INDEX('Read me'!$B$10:$B$15,1)</f>
        <v>1.34</v>
      </c>
      <c r="M795" s="14" t="n">
        <f aca="false">IF(F795*(1+'Read me'!$B$5)&lt;='Read me'!$B$7,CEILING(F795*(1+'Read me'!$B$5)+0.5,1)-0.5,CEILING(F795*(1+'Read me'!$B$5),5))</f>
        <v>13.5</v>
      </c>
      <c r="N795" s="14" t="n">
        <f aca="false">IF(MAX(M795*L795,M795+'Read me'!$B$6)&lt;='Read me'!$B$7,CEILING(MAX(M795*L795,M795+'Read me'!$B$6)+0.5,1)-0.5,CEILING(MAX(M795*L795,M795+'Read me'!$B$6),5))</f>
        <v>18.5</v>
      </c>
      <c r="O795" s="21" t="n">
        <f aca="false">IF(ISNUMBER(J795),M795-J795,"new")</f>
        <v>-1</v>
      </c>
    </row>
    <row r="796" customFormat="false" ht="15" hidden="false" customHeight="false" outlineLevel="0" collapsed="false">
      <c r="A796" s="2" t="s">
        <v>927</v>
      </c>
      <c r="B796" s="2" t="s">
        <v>146</v>
      </c>
      <c r="C796" s="2" t="s">
        <v>126</v>
      </c>
      <c r="D796" s="2" t="s">
        <v>10</v>
      </c>
      <c r="E796" s="2" t="s">
        <v>50</v>
      </c>
      <c r="F796" s="14" t="n">
        <v>17.49</v>
      </c>
      <c r="G796" s="2" t="n">
        <v>12</v>
      </c>
      <c r="H796" s="2" t="n">
        <v>136</v>
      </c>
      <c r="I796" s="20" t="n">
        <v>0.85</v>
      </c>
      <c r="J796" s="14" t="n">
        <v>17.5</v>
      </c>
      <c r="K796" s="14" t="n">
        <v>29.5</v>
      </c>
      <c r="L796" s="20" t="n">
        <f aca="false">INDEX('Read me'!$B$10:$B$15,1)</f>
        <v>1.34</v>
      </c>
      <c r="M796" s="14" t="n">
        <f aca="false">IF(F796*(1+'Read me'!$B$5)&lt;='Read me'!$B$7,CEILING(F796*(1+'Read me'!$B$5)+0.5,1)-0.5,CEILING(F796*(1+'Read me'!$B$5),5))</f>
        <v>17.5</v>
      </c>
      <c r="N796" s="14" t="n">
        <f aca="false">IF(MAX(M796*L796,M796+'Read me'!$B$6)&lt;='Read me'!$B$7,CEILING(MAX(M796*L796,M796+'Read me'!$B$6)+0.5,1)-0.5,CEILING(MAX(M796*L796,M796+'Read me'!$B$6),5))</f>
        <v>23.5</v>
      </c>
      <c r="O796" s="21" t="n">
        <f aca="false">IF(ISNUMBER(J796),M796-J796,"new")</f>
        <v>0</v>
      </c>
    </row>
    <row r="797" customFormat="false" ht="15" hidden="false" customHeight="false" outlineLevel="0" collapsed="false">
      <c r="A797" s="2" t="s">
        <v>928</v>
      </c>
      <c r="B797" s="2" t="s">
        <v>146</v>
      </c>
      <c r="C797" s="2" t="s">
        <v>126</v>
      </c>
      <c r="D797" s="2" t="s">
        <v>12</v>
      </c>
      <c r="E797" s="2" t="s">
        <v>48</v>
      </c>
      <c r="F797" s="14" t="n">
        <v>39.39</v>
      </c>
      <c r="G797" s="2" t="n">
        <v>30</v>
      </c>
      <c r="H797" s="2" t="n">
        <v>136</v>
      </c>
      <c r="I797" s="20" t="n">
        <v>0.85</v>
      </c>
      <c r="J797" s="14" t="n">
        <v>19.5</v>
      </c>
      <c r="K797" s="14" t="n">
        <v>24.5</v>
      </c>
      <c r="L797" s="20" t="n">
        <f aca="false">INDEX('Read me'!$B$10:$B$15,2)</f>
        <v>1.26</v>
      </c>
      <c r="M797" s="14" t="n">
        <f aca="false">IF(F797*(1+'Read me'!$B$5)&lt;='Read me'!$B$7,CEILING(F797*(1+'Read me'!$B$5)+0.5,1)-0.5,CEILING(F797*(1+'Read me'!$B$5),5))</f>
        <v>40</v>
      </c>
      <c r="N797" s="14" t="n">
        <f aca="false">IF(MAX(M797*L797,M797+'Read me'!$B$6)&lt;='Read me'!$B$7,CEILING(MAX(M797*L797,M797+'Read me'!$B$6)+0.5,1)-0.5,CEILING(MAX(M797*L797,M797+'Read me'!$B$6),5))</f>
        <v>55</v>
      </c>
      <c r="O797" s="21" t="n">
        <f aca="false">IF(ISNUMBER(J797),M797-J797,"new")</f>
        <v>20.5</v>
      </c>
    </row>
    <row r="798" customFormat="false" ht="15" hidden="false" customHeight="false" outlineLevel="0" collapsed="false">
      <c r="A798" s="2" t="s">
        <v>929</v>
      </c>
      <c r="B798" s="2" t="s">
        <v>146</v>
      </c>
      <c r="C798" s="2" t="s">
        <v>126</v>
      </c>
      <c r="D798" s="2" t="s">
        <v>12</v>
      </c>
      <c r="E798" s="2" t="s">
        <v>49</v>
      </c>
      <c r="F798" s="14" t="n">
        <v>44.16</v>
      </c>
      <c r="G798" s="2" t="n">
        <v>13</v>
      </c>
      <c r="H798" s="2" t="n">
        <v>136</v>
      </c>
      <c r="I798" s="20" t="n">
        <v>0.85</v>
      </c>
      <c r="J798" s="14" t="n">
        <v>19.5</v>
      </c>
      <c r="K798" s="14" t="n">
        <v>24.5</v>
      </c>
      <c r="L798" s="20" t="n">
        <f aca="false">INDEX('Read me'!$B$10:$B$15,2)</f>
        <v>1.26</v>
      </c>
      <c r="M798" s="14" t="n">
        <f aca="false">IF(F798*(1+'Read me'!$B$5)&lt;='Read me'!$B$7,CEILING(F798*(1+'Read me'!$B$5)+0.5,1)-0.5,CEILING(F798*(1+'Read me'!$B$5),5))</f>
        <v>45</v>
      </c>
      <c r="N798" s="14" t="n">
        <f aca="false">IF(MAX(M798*L798,M798+'Read me'!$B$6)&lt;='Read me'!$B$7,CEILING(MAX(M798*L798,M798+'Read me'!$B$6)+0.5,1)-0.5,CEILING(MAX(M798*L798,M798+'Read me'!$B$6),5))</f>
        <v>60</v>
      </c>
      <c r="O798" s="21" t="n">
        <f aca="false">IF(ISNUMBER(J798),M798-J798,"new")</f>
        <v>25.5</v>
      </c>
    </row>
    <row r="799" customFormat="false" ht="15" hidden="false" customHeight="false" outlineLevel="0" collapsed="false">
      <c r="A799" s="2" t="s">
        <v>930</v>
      </c>
      <c r="B799" s="2" t="s">
        <v>146</v>
      </c>
      <c r="C799" s="2" t="s">
        <v>126</v>
      </c>
      <c r="D799" s="2" t="s">
        <v>12</v>
      </c>
      <c r="E799" s="2" t="s">
        <v>50</v>
      </c>
      <c r="F799" s="14" t="n">
        <v>52.57</v>
      </c>
      <c r="G799" s="2" t="n">
        <v>12</v>
      </c>
      <c r="H799" s="2" t="n">
        <v>136</v>
      </c>
      <c r="I799" s="20" t="n">
        <v>0.85</v>
      </c>
      <c r="J799" s="14" t="n">
        <v>19.5</v>
      </c>
      <c r="K799" s="14" t="n">
        <v>34.5</v>
      </c>
      <c r="L799" s="20" t="n">
        <f aca="false">INDEX('Read me'!$B$10:$B$15,2)</f>
        <v>1.26</v>
      </c>
      <c r="M799" s="14" t="n">
        <f aca="false">IF(F799*(1+'Read me'!$B$5)&lt;='Read me'!$B$7,CEILING(F799*(1+'Read me'!$B$5)+0.5,1)-0.5,CEILING(F799*(1+'Read me'!$B$5),5))</f>
        <v>55</v>
      </c>
      <c r="N799" s="14" t="n">
        <f aca="false">IF(MAX(M799*L799,M799+'Read me'!$B$6)&lt;='Read me'!$B$7,CEILING(MAX(M799*L799,M799+'Read me'!$B$6)+0.5,1)-0.5,CEILING(MAX(M799*L799,M799+'Read me'!$B$6),5))</f>
        <v>70</v>
      </c>
      <c r="O799" s="21" t="n">
        <f aca="false">IF(ISNUMBER(J799),M799-J799,"new")</f>
        <v>35.5</v>
      </c>
    </row>
    <row r="800" customFormat="false" ht="15" hidden="false" customHeight="false" outlineLevel="0" collapsed="false">
      <c r="A800" s="2" t="s">
        <v>931</v>
      </c>
      <c r="B800" s="2" t="s">
        <v>146</v>
      </c>
      <c r="C800" s="2" t="s">
        <v>126</v>
      </c>
      <c r="D800" s="2" t="s">
        <v>13</v>
      </c>
      <c r="E800" s="2" t="s">
        <v>48</v>
      </c>
      <c r="F800" s="14" t="n">
        <v>69.06</v>
      </c>
      <c r="G800" s="2" t="n">
        <v>8</v>
      </c>
      <c r="H800" s="2" t="n">
        <v>136</v>
      </c>
      <c r="I800" s="20" t="n">
        <v>0.85</v>
      </c>
      <c r="J800" s="14" t="n">
        <v>24.5</v>
      </c>
      <c r="K800" s="14" t="n">
        <v>75</v>
      </c>
      <c r="L800" s="20" t="n">
        <f aca="false">INDEX('Read me'!$B$10:$B$15,3)</f>
        <v>1.35</v>
      </c>
      <c r="M800" s="14" t="n">
        <f aca="false">IF(F800*(1+'Read me'!$B$5)&lt;='Read me'!$B$7,CEILING(F800*(1+'Read me'!$B$5)+0.5,1)-0.5,CEILING(F800*(1+'Read me'!$B$5),5))</f>
        <v>70</v>
      </c>
      <c r="N800" s="14" t="n">
        <f aca="false">IF(MAX(M800*L800,M800+'Read me'!$B$6)&lt;='Read me'!$B$7,CEILING(MAX(M800*L800,M800+'Read me'!$B$6)+0.5,1)-0.5,CEILING(MAX(M800*L800,M800+'Read me'!$B$6),5))</f>
        <v>95</v>
      </c>
      <c r="O800" s="21" t="n">
        <f aca="false">IF(ISNUMBER(J800),M800-J800,"new")</f>
        <v>45.5</v>
      </c>
    </row>
    <row r="801" customFormat="false" ht="15" hidden="false" customHeight="false" outlineLevel="0" collapsed="false">
      <c r="A801" s="2" t="s">
        <v>932</v>
      </c>
      <c r="B801" s="2" t="s">
        <v>146</v>
      </c>
      <c r="C801" s="2" t="s">
        <v>126</v>
      </c>
      <c r="D801" s="2" t="s">
        <v>13</v>
      </c>
      <c r="E801" s="2" t="s">
        <v>49</v>
      </c>
      <c r="F801" s="14" t="n">
        <v>83.51</v>
      </c>
      <c r="G801" s="2" t="n">
        <v>1</v>
      </c>
      <c r="H801" s="2" t="n">
        <v>136</v>
      </c>
      <c r="I801" s="20" t="n">
        <v>0.85</v>
      </c>
      <c r="J801" s="14" t="n">
        <v>24.5</v>
      </c>
      <c r="K801" s="14" t="n">
        <v>75</v>
      </c>
      <c r="L801" s="20" t="n">
        <f aca="false">INDEX('Read me'!$B$10:$B$15,3)</f>
        <v>1.35</v>
      </c>
      <c r="M801" s="14" t="n">
        <f aca="false">IF(F801*(1+'Read me'!$B$5)&lt;='Read me'!$B$7,CEILING(F801*(1+'Read me'!$B$5)+0.5,1)-0.5,CEILING(F801*(1+'Read me'!$B$5),5))</f>
        <v>85</v>
      </c>
      <c r="N801" s="14" t="n">
        <f aca="false">IF(MAX(M801*L801,M801+'Read me'!$B$6)&lt;='Read me'!$B$7,CEILING(MAX(M801*L801,M801+'Read me'!$B$6)+0.5,1)-0.5,CEILING(MAX(M801*L801,M801+'Read me'!$B$6),5))</f>
        <v>115</v>
      </c>
      <c r="O801" s="21" t="n">
        <f aca="false">IF(ISNUMBER(J801),M801-J801,"new")</f>
        <v>60.5</v>
      </c>
    </row>
    <row r="802" customFormat="false" ht="15" hidden="false" customHeight="false" outlineLevel="0" collapsed="false">
      <c r="A802" s="2" t="s">
        <v>933</v>
      </c>
      <c r="B802" s="2" t="s">
        <v>146</v>
      </c>
      <c r="C802" s="2" t="s">
        <v>126</v>
      </c>
      <c r="D802" s="2" t="s">
        <v>13</v>
      </c>
      <c r="E802" s="2" t="s">
        <v>50</v>
      </c>
      <c r="F802" s="14" t="n">
        <v>108.72</v>
      </c>
      <c r="G802" s="2" t="n">
        <v>1</v>
      </c>
      <c r="H802" s="2" t="n">
        <v>136</v>
      </c>
      <c r="I802" s="20" t="n">
        <v>0.85</v>
      </c>
      <c r="J802" s="14" t="n">
        <v>85</v>
      </c>
      <c r="K802" s="14" t="n">
        <v>125</v>
      </c>
      <c r="L802" s="20" t="n">
        <f aca="false">INDEX('Read me'!$B$10:$B$15,3)</f>
        <v>1.35</v>
      </c>
      <c r="M802" s="14" t="n">
        <f aca="false">IF(F802*(1+'Read me'!$B$5)&lt;='Read me'!$B$7,CEILING(F802*(1+'Read me'!$B$5)+0.5,1)-0.5,CEILING(F802*(1+'Read me'!$B$5),5))</f>
        <v>110</v>
      </c>
      <c r="N802" s="14" t="n">
        <f aca="false">IF(MAX(M802*L802,M802+'Read me'!$B$6)&lt;='Read me'!$B$7,CEILING(MAX(M802*L802,M802+'Read me'!$B$6)+0.5,1)-0.5,CEILING(MAX(M802*L802,M802+'Read me'!$B$6),5))</f>
        <v>150</v>
      </c>
      <c r="O802" s="21" t="n">
        <f aca="false">IF(ISNUMBER(J802),M802-J802,"new")</f>
        <v>25</v>
      </c>
    </row>
    <row r="803" customFormat="false" ht="15" hidden="false" customHeight="false" outlineLevel="0" collapsed="false">
      <c r="A803" s="2" t="s">
        <v>934</v>
      </c>
      <c r="B803" s="2" t="s">
        <v>146</v>
      </c>
      <c r="C803" s="2" t="s">
        <v>126</v>
      </c>
      <c r="D803" s="2" t="s">
        <v>14</v>
      </c>
      <c r="E803" s="2" t="s">
        <v>48</v>
      </c>
      <c r="F803" s="14" t="n">
        <v>116.53</v>
      </c>
      <c r="G803" s="2" t="n">
        <v>2</v>
      </c>
      <c r="H803" s="2" t="n">
        <v>136</v>
      </c>
      <c r="I803" s="20" t="n">
        <v>0.85</v>
      </c>
      <c r="J803" s="14" t="n">
        <v>85</v>
      </c>
      <c r="K803" s="14" t="n">
        <v>125</v>
      </c>
      <c r="L803" s="20" t="n">
        <f aca="false">INDEX('Read me'!$B$10:$B$15,4)</f>
        <v>1.2</v>
      </c>
      <c r="M803" s="14" t="n">
        <f aca="false">IF(F803*(1+'Read me'!$B$5)&lt;='Read me'!$B$7,CEILING(F803*(1+'Read me'!$B$5)+0.5,1)-0.5,CEILING(F803*(1+'Read me'!$B$5),5))</f>
        <v>120</v>
      </c>
      <c r="N803" s="14" t="n">
        <f aca="false">IF(MAX(M803*L803,M803+'Read me'!$B$6)&lt;='Read me'!$B$7,CEILING(MAX(M803*L803,M803+'Read me'!$B$6)+0.5,1)-0.5,CEILING(MAX(M803*L803,M803+'Read me'!$B$6),5))</f>
        <v>145</v>
      </c>
      <c r="O803" s="21" t="n">
        <f aca="false">IF(ISNUMBER(J803),M803-J803,"new")</f>
        <v>35</v>
      </c>
    </row>
    <row r="804" customFormat="false" ht="15" hidden="false" customHeight="false" outlineLevel="0" collapsed="false">
      <c r="A804" s="2" t="s">
        <v>935</v>
      </c>
      <c r="B804" s="2" t="s">
        <v>146</v>
      </c>
      <c r="C804" s="2" t="s">
        <v>126</v>
      </c>
      <c r="D804" s="2" t="s">
        <v>14</v>
      </c>
      <c r="E804" s="2" t="s">
        <v>49</v>
      </c>
      <c r="F804" s="14" t="n">
        <v>146.05</v>
      </c>
      <c r="G804" s="2" t="n">
        <v>0</v>
      </c>
      <c r="H804" s="2" t="n">
        <v>136</v>
      </c>
      <c r="I804" s="20" t="n">
        <v>0.85</v>
      </c>
      <c r="J804" s="14" t="n">
        <v>125</v>
      </c>
      <c r="K804" s="14" t="n">
        <v>125</v>
      </c>
      <c r="L804" s="20" t="n">
        <f aca="false">INDEX('Read me'!$B$10:$B$15,4)</f>
        <v>1.2</v>
      </c>
      <c r="M804" s="14" t="n">
        <f aca="false">IF(F804*(1+'Read me'!$B$5)&lt;='Read me'!$B$7,CEILING(F804*(1+'Read me'!$B$5)+0.5,1)-0.5,CEILING(F804*(1+'Read me'!$B$5),5))</f>
        <v>150</v>
      </c>
      <c r="N804" s="14" t="n">
        <f aca="false">IF(MAX(M804*L804,M804+'Read me'!$B$6)&lt;='Read me'!$B$7,CEILING(MAX(M804*L804,M804+'Read me'!$B$6)+0.5,1)-0.5,CEILING(MAX(M804*L804,M804+'Read me'!$B$6),5))</f>
        <v>180</v>
      </c>
      <c r="O804" s="21" t="n">
        <f aca="false">IF(ISNUMBER(J804),M804-J804,"new")</f>
        <v>25</v>
      </c>
    </row>
    <row r="805" customFormat="false" ht="15" hidden="false" customHeight="false" outlineLevel="0" collapsed="false">
      <c r="A805" s="2" t="s">
        <v>936</v>
      </c>
      <c r="B805" s="2" t="s">
        <v>146</v>
      </c>
      <c r="C805" s="2" t="s">
        <v>126</v>
      </c>
      <c r="D805" s="2" t="s">
        <v>14</v>
      </c>
      <c r="E805" s="2" t="s">
        <v>50</v>
      </c>
      <c r="F805" s="14" t="n">
        <v>175.99</v>
      </c>
      <c r="G805" s="2" t="n">
        <v>1</v>
      </c>
      <c r="H805" s="2" t="n">
        <v>136</v>
      </c>
      <c r="I805" s="20" t="n">
        <v>0.85</v>
      </c>
      <c r="J805" s="14" t="n">
        <v>199</v>
      </c>
      <c r="K805" s="14" t="n">
        <v>175</v>
      </c>
      <c r="L805" s="20" t="n">
        <f aca="false">INDEX('Read me'!$B$10:$B$15,4)</f>
        <v>1.2</v>
      </c>
      <c r="M805" s="14" t="n">
        <f aca="false">IF(F805*(1+'Read me'!$B$5)&lt;='Read me'!$B$7,CEILING(F805*(1+'Read me'!$B$5)+0.5,1)-0.5,CEILING(F805*(1+'Read me'!$B$5),5))</f>
        <v>180</v>
      </c>
      <c r="N805" s="14" t="n">
        <f aca="false">IF(MAX(M805*L805,M805+'Read me'!$B$6)&lt;='Read me'!$B$7,CEILING(MAX(M805*L805,M805+'Read me'!$B$6)+0.5,1)-0.5,CEILING(MAX(M805*L805,M805+'Read me'!$B$6),5))</f>
        <v>220</v>
      </c>
      <c r="O805" s="21" t="n">
        <f aca="false">IF(ISNUMBER(J805),M805-J805,"new")</f>
        <v>-19</v>
      </c>
    </row>
    <row r="806" customFormat="false" ht="15" hidden="false" customHeight="false" outlineLevel="0" collapsed="false">
      <c r="A806" s="2" t="s">
        <v>937</v>
      </c>
      <c r="B806" s="2" t="s">
        <v>146</v>
      </c>
      <c r="C806" s="2" t="s">
        <v>126</v>
      </c>
      <c r="D806" s="2" t="s">
        <v>15</v>
      </c>
      <c r="E806" s="2" t="s">
        <v>48</v>
      </c>
      <c r="F806" s="14" t="n">
        <v>147.64</v>
      </c>
      <c r="G806" s="2" t="n">
        <v>1</v>
      </c>
      <c r="H806" s="2" t="n">
        <v>136</v>
      </c>
      <c r="I806" s="20" t="n">
        <v>0.85</v>
      </c>
      <c r="J806" s="14" t="n">
        <v>250</v>
      </c>
      <c r="K806" s="14" t="n">
        <v>300</v>
      </c>
      <c r="L806" s="20" t="n">
        <f aca="false">INDEX('Read me'!$B$10:$B$15,5)</f>
        <v>1.2</v>
      </c>
      <c r="M806" s="14" t="n">
        <f aca="false">IF(F806*(1+'Read me'!$B$5)&lt;='Read me'!$B$7,CEILING(F806*(1+'Read me'!$B$5)+0.5,1)-0.5,CEILING(F806*(1+'Read me'!$B$5),5))</f>
        <v>150</v>
      </c>
      <c r="N806" s="14" t="n">
        <f aca="false">IF(MAX(M806*L806,M806+'Read me'!$B$6)&lt;='Read me'!$B$7,CEILING(MAX(M806*L806,M806+'Read me'!$B$6)+0.5,1)-0.5,CEILING(MAX(M806*L806,M806+'Read me'!$B$6),5))</f>
        <v>180</v>
      </c>
      <c r="O806" s="21" t="n">
        <f aca="false">IF(ISNUMBER(J806),M806-J806,"new")</f>
        <v>-100</v>
      </c>
    </row>
    <row r="807" customFormat="false" ht="15" hidden="false" customHeight="false" outlineLevel="0" collapsed="false">
      <c r="A807" s="2" t="s">
        <v>938</v>
      </c>
      <c r="B807" s="2" t="s">
        <v>146</v>
      </c>
      <c r="C807" s="2" t="s">
        <v>126</v>
      </c>
      <c r="D807" s="2" t="s">
        <v>15</v>
      </c>
      <c r="E807" s="2" t="s">
        <v>49</v>
      </c>
      <c r="F807" s="14" t="n">
        <v>190.48</v>
      </c>
      <c r="G807" s="2" t="n">
        <v>0</v>
      </c>
      <c r="H807" s="2" t="n">
        <v>136</v>
      </c>
      <c r="I807" s="20" t="n">
        <v>0.85</v>
      </c>
      <c r="J807" s="14" t="n">
        <v>250</v>
      </c>
      <c r="K807" s="14" t="n">
        <v>300</v>
      </c>
      <c r="L807" s="20" t="n">
        <f aca="false">INDEX('Read me'!$B$10:$B$15,5)</f>
        <v>1.2</v>
      </c>
      <c r="M807" s="14" t="n">
        <f aca="false">N807</f>
        <v>235</v>
      </c>
      <c r="N807" s="14" t="n">
        <f aca="false">IF(MAX((IF(F807*(1+'Read me'!$B$5)&lt;='Read me'!$B$7,CEILING(F807*(1+'Read me'!$B$5)+0.5,1)-0.5,CEILING(F807*(1+'Read me'!$B$5),5)))*L807,(IF(F807*(1+'Read me'!$B$5)&lt;='Read me'!$B$7,CEILING(F807*(1+'Read me'!$B$5)+0.5,1)-0.5,CEILING(F807*(1+'Read me'!$B$5),5)))+'Read me'!$B$6)&lt;='Read me'!$B$7,CEILING(MAX((IF(F807*(1+'Read me'!$B$5)&lt;='Read me'!$B$7,CEILING(F807*(1+'Read me'!$B$5)+0.5,1)-0.5,CEILING(F807*(1+'Read me'!$B$5),5)))*L807,(IF(F807*(1+'Read me'!$B$5)&lt;='Read me'!$B$7,CEILING(F807*(1+'Read me'!$B$5)+0.5,1)-0.5,CEILING(F807*(1+'Read me'!$B$5),5)))+'Read me'!$B$6)+0.5,1)-0.5,CEILING(MAX((IF(F807*(1+'Read me'!$B$5)&lt;='Read me'!$B$7,CEILING(F807*(1+'Read me'!$B$5)+0.5,1)-0.5,CEILING(F807*(1+'Read me'!$B$5),5)))*L807,(IF(F807*(1+'Read me'!$B$5)&lt;='Read me'!$B$7,CEILING(F807*(1+'Read me'!$B$5)+0.5,1)-0.5,CEILING(F807*(1+'Read me'!$B$5),5)))+'Read me'!$B$6),5))</f>
        <v>235</v>
      </c>
      <c r="O807" s="21" t="n">
        <f aca="false">IF(ISNUMBER(J807),M807-J807,"new")</f>
        <v>-15</v>
      </c>
      <c r="P807" s="5" t="s">
        <v>140</v>
      </c>
    </row>
    <row r="808" customFormat="false" ht="15" hidden="false" customHeight="false" outlineLevel="0" collapsed="false">
      <c r="A808" s="2" t="s">
        <v>939</v>
      </c>
      <c r="B808" s="2" t="s">
        <v>146</v>
      </c>
      <c r="C808" s="2" t="s">
        <v>126</v>
      </c>
      <c r="D808" s="2" t="s">
        <v>15</v>
      </c>
      <c r="E808" s="2" t="s">
        <v>50</v>
      </c>
      <c r="F808" s="14" t="n">
        <v>228.87</v>
      </c>
      <c r="G808" s="2" t="n">
        <v>0</v>
      </c>
      <c r="H808" s="2" t="n">
        <v>136</v>
      </c>
      <c r="I808" s="20" t="n">
        <v>0.85</v>
      </c>
      <c r="J808" s="14" t="n">
        <v>300</v>
      </c>
      <c r="K808" s="14" t="n">
        <v>400</v>
      </c>
      <c r="L808" s="20" t="n">
        <f aca="false">INDEX('Read me'!$B$10:$B$15,5)</f>
        <v>1.2</v>
      </c>
      <c r="M808" s="14" t="n">
        <f aca="false">N808</f>
        <v>280</v>
      </c>
      <c r="N808" s="14" t="n">
        <f aca="false">IF(MAX((IF(F808*(1+'Read me'!$B$5)&lt;='Read me'!$B$7,CEILING(F808*(1+'Read me'!$B$5)+0.5,1)-0.5,CEILING(F808*(1+'Read me'!$B$5),5)))*L808,(IF(F808*(1+'Read me'!$B$5)&lt;='Read me'!$B$7,CEILING(F808*(1+'Read me'!$B$5)+0.5,1)-0.5,CEILING(F808*(1+'Read me'!$B$5),5)))+'Read me'!$B$6)&lt;='Read me'!$B$7,CEILING(MAX((IF(F808*(1+'Read me'!$B$5)&lt;='Read me'!$B$7,CEILING(F808*(1+'Read me'!$B$5)+0.5,1)-0.5,CEILING(F808*(1+'Read me'!$B$5),5)))*L808,(IF(F808*(1+'Read me'!$B$5)&lt;='Read me'!$B$7,CEILING(F808*(1+'Read me'!$B$5)+0.5,1)-0.5,CEILING(F808*(1+'Read me'!$B$5),5)))+'Read me'!$B$6)+0.5,1)-0.5,CEILING(MAX((IF(F808*(1+'Read me'!$B$5)&lt;='Read me'!$B$7,CEILING(F808*(1+'Read me'!$B$5)+0.5,1)-0.5,CEILING(F808*(1+'Read me'!$B$5),5)))*L808,(IF(F808*(1+'Read me'!$B$5)&lt;='Read me'!$B$7,CEILING(F808*(1+'Read me'!$B$5)+0.5,1)-0.5,CEILING(F808*(1+'Read me'!$B$5),5)))+'Read me'!$B$6),5))</f>
        <v>280</v>
      </c>
      <c r="O808" s="21" t="n">
        <f aca="false">IF(ISNUMBER(J808),M808-J808,"new")</f>
        <v>-20</v>
      </c>
      <c r="P808" s="5" t="s">
        <v>140</v>
      </c>
    </row>
    <row r="809" customFormat="false" ht="15" hidden="false" customHeight="false" outlineLevel="0" collapsed="false">
      <c r="A809" s="2" t="s">
        <v>940</v>
      </c>
      <c r="B809" s="2" t="s">
        <v>146</v>
      </c>
      <c r="C809" s="2" t="s">
        <v>126</v>
      </c>
      <c r="D809" s="2" t="s">
        <v>16</v>
      </c>
      <c r="E809" s="2" t="s">
        <v>48</v>
      </c>
      <c r="F809" s="14" t="n">
        <v>220.27</v>
      </c>
      <c r="G809" s="2" t="n">
        <v>3</v>
      </c>
      <c r="H809" s="2" t="n">
        <v>136</v>
      </c>
      <c r="I809" s="20" t="n">
        <v>0.85</v>
      </c>
      <c r="J809" s="14"/>
      <c r="K809" s="14"/>
      <c r="L809" s="20" t="n">
        <f aca="false">INDEX('Read me'!$B$10:$B$15,6)</f>
        <v>1.2</v>
      </c>
      <c r="M809" s="14" t="n">
        <f aca="false">IF(F809*(1+'Read me'!$B$5)&lt;='Read me'!$B$7,CEILING(F809*(1+'Read me'!$B$5)+0.5,1)-0.5,CEILING(F809*(1+'Read me'!$B$5),5))</f>
        <v>225</v>
      </c>
      <c r="N809" s="14" t="n">
        <f aca="false">IF(MAX(M809*L809,M809+'Read me'!$B$6)&lt;='Read me'!$B$7,CEILING(MAX(M809*L809,M809+'Read me'!$B$6)+0.5,1)-0.5,CEILING(MAX(M809*L809,M809+'Read me'!$B$6),5))</f>
        <v>270</v>
      </c>
      <c r="O809" s="21" t="str">
        <f aca="false">IF(ISNUMBER(J809),M809-J809,"new")</f>
        <v>new</v>
      </c>
    </row>
    <row r="810" customFormat="false" ht="15" hidden="false" customHeight="false" outlineLevel="0" collapsed="false">
      <c r="A810" s="2" t="s">
        <v>941</v>
      </c>
      <c r="B810" s="2" t="s">
        <v>146</v>
      </c>
      <c r="C810" s="2" t="s">
        <v>126</v>
      </c>
      <c r="D810" s="2" t="s">
        <v>16</v>
      </c>
      <c r="E810" s="2" t="s">
        <v>49</v>
      </c>
      <c r="F810" s="14" t="n">
        <v>292.13</v>
      </c>
      <c r="G810" s="2" t="n">
        <v>1</v>
      </c>
      <c r="H810" s="2" t="n">
        <v>136</v>
      </c>
      <c r="I810" s="20" t="n">
        <v>0.85</v>
      </c>
      <c r="J810" s="14"/>
      <c r="K810" s="14"/>
      <c r="L810" s="20" t="n">
        <f aca="false">INDEX('Read me'!$B$10:$B$15,6)</f>
        <v>1.2</v>
      </c>
      <c r="M810" s="14" t="n">
        <f aca="false">N810</f>
        <v>355</v>
      </c>
      <c r="N810" s="14" t="n">
        <f aca="false">IF(MAX((IF(F810*(1+'Read me'!$B$5)&lt;='Read me'!$B$7,CEILING(F810*(1+'Read me'!$B$5)+0.5,1)-0.5,CEILING(F810*(1+'Read me'!$B$5),5)))*L810,(IF(F810*(1+'Read me'!$B$5)&lt;='Read me'!$B$7,CEILING(F810*(1+'Read me'!$B$5)+0.5,1)-0.5,CEILING(F810*(1+'Read me'!$B$5),5)))+'Read me'!$B$6)&lt;='Read me'!$B$7,CEILING(MAX((IF(F810*(1+'Read me'!$B$5)&lt;='Read me'!$B$7,CEILING(F810*(1+'Read me'!$B$5)+0.5,1)-0.5,CEILING(F810*(1+'Read me'!$B$5),5)))*L810,(IF(F810*(1+'Read me'!$B$5)&lt;='Read me'!$B$7,CEILING(F810*(1+'Read me'!$B$5)+0.5,1)-0.5,CEILING(F810*(1+'Read me'!$B$5),5)))+'Read me'!$B$6)+0.5,1)-0.5,CEILING(MAX((IF(F810*(1+'Read me'!$B$5)&lt;='Read me'!$B$7,CEILING(F810*(1+'Read me'!$B$5)+0.5,1)-0.5,CEILING(F810*(1+'Read me'!$B$5),5)))*L810,(IF(F810*(1+'Read me'!$B$5)&lt;='Read me'!$B$7,CEILING(F810*(1+'Read me'!$B$5)+0.5,1)-0.5,CEILING(F810*(1+'Read me'!$B$5),5)))+'Read me'!$B$6),5))</f>
        <v>355</v>
      </c>
      <c r="O810" s="21" t="str">
        <f aca="false">IF(ISNUMBER(J810),M810-J810,"new")</f>
        <v>new</v>
      </c>
      <c r="P810" s="5" t="s">
        <v>140</v>
      </c>
    </row>
    <row r="811" customFormat="false" ht="15" hidden="false" customHeight="false" outlineLevel="0" collapsed="false">
      <c r="A811" s="2" t="s">
        <v>942</v>
      </c>
      <c r="B811" s="2" t="s">
        <v>146</v>
      </c>
      <c r="C811" s="2" t="s">
        <v>126</v>
      </c>
      <c r="D811" s="2" t="s">
        <v>16</v>
      </c>
      <c r="E811" s="2" t="s">
        <v>50</v>
      </c>
      <c r="F811" s="14" t="n">
        <v>323.78</v>
      </c>
      <c r="G811" s="2" t="n">
        <v>0</v>
      </c>
      <c r="H811" s="2" t="n">
        <v>136</v>
      </c>
      <c r="I811" s="20" t="n">
        <v>0.85</v>
      </c>
      <c r="J811" s="14"/>
      <c r="K811" s="14"/>
      <c r="L811" s="20" t="n">
        <f aca="false">INDEX('Read me'!$B$10:$B$15,6)</f>
        <v>1.2</v>
      </c>
      <c r="M811" s="14" t="n">
        <f aca="false">N811</f>
        <v>390</v>
      </c>
      <c r="N811" s="14" t="n">
        <f aca="false">IF(MAX((IF(F811*(1+'Read me'!$B$5)&lt;='Read me'!$B$7,CEILING(F811*(1+'Read me'!$B$5)+0.5,1)-0.5,CEILING(F811*(1+'Read me'!$B$5),5)))*L811,(IF(F811*(1+'Read me'!$B$5)&lt;='Read me'!$B$7,CEILING(F811*(1+'Read me'!$B$5)+0.5,1)-0.5,CEILING(F811*(1+'Read me'!$B$5),5)))+'Read me'!$B$6)&lt;='Read me'!$B$7,CEILING(MAX((IF(F811*(1+'Read me'!$B$5)&lt;='Read me'!$B$7,CEILING(F811*(1+'Read me'!$B$5)+0.5,1)-0.5,CEILING(F811*(1+'Read me'!$B$5),5)))*L811,(IF(F811*(1+'Read me'!$B$5)&lt;='Read me'!$B$7,CEILING(F811*(1+'Read me'!$B$5)+0.5,1)-0.5,CEILING(F811*(1+'Read me'!$B$5),5)))+'Read me'!$B$6)+0.5,1)-0.5,CEILING(MAX((IF(F811*(1+'Read me'!$B$5)&lt;='Read me'!$B$7,CEILING(F811*(1+'Read me'!$B$5)+0.5,1)-0.5,CEILING(F811*(1+'Read me'!$B$5),5)))*L811,(IF(F811*(1+'Read me'!$B$5)&lt;='Read me'!$B$7,CEILING(F811*(1+'Read me'!$B$5)+0.5,1)-0.5,CEILING(F811*(1+'Read me'!$B$5),5)))+'Read me'!$B$6),5))</f>
        <v>390</v>
      </c>
      <c r="O811" s="21" t="str">
        <f aca="false">IF(ISNUMBER(J811),M811-J811,"new")</f>
        <v>new</v>
      </c>
      <c r="P811" s="5" t="s">
        <v>140</v>
      </c>
    </row>
    <row r="812" customFormat="false" ht="15" hidden="false" customHeight="false" outlineLevel="0" collapsed="false">
      <c r="A812" s="2" t="s">
        <v>943</v>
      </c>
      <c r="B812" s="2" t="s">
        <v>146</v>
      </c>
      <c r="C812" s="2" t="s">
        <v>240</v>
      </c>
      <c r="D812" s="2" t="s">
        <v>10</v>
      </c>
      <c r="E812" s="2" t="s">
        <v>48</v>
      </c>
      <c r="F812" s="14" t="n">
        <v>11.94</v>
      </c>
      <c r="G812" s="2" t="n">
        <v>5</v>
      </c>
      <c r="H812" s="2" t="n">
        <v>14</v>
      </c>
      <c r="I812" s="20" t="n">
        <v>0.96</v>
      </c>
      <c r="J812" s="14" t="n">
        <v>19.5</v>
      </c>
      <c r="K812" s="14" t="n">
        <v>24.5</v>
      </c>
      <c r="L812" s="20" t="n">
        <f aca="false">INDEX('Read me'!$B$10:$B$15,1)</f>
        <v>1.34</v>
      </c>
      <c r="M812" s="14" t="n">
        <f aca="false">IF(F812*(1+'Read me'!$B$5)&lt;='Read me'!$B$7,CEILING(F812*(1+'Read me'!$B$5)+0.5,1)-0.5,CEILING(F812*(1+'Read me'!$B$5),5))</f>
        <v>12.5</v>
      </c>
      <c r="N812" s="14" t="n">
        <f aca="false">IF(MAX(M812*L812,M812+'Read me'!$B$6)&lt;='Read me'!$B$7,CEILING(MAX(M812*L812,M812+'Read me'!$B$6)+0.5,1)-0.5,CEILING(MAX(M812*L812,M812+'Read me'!$B$6),5))</f>
        <v>17.5</v>
      </c>
      <c r="O812" s="21" t="n">
        <f aca="false">IF(ISNUMBER(J812),M812-J812,"new")</f>
        <v>-7</v>
      </c>
    </row>
    <row r="813" customFormat="false" ht="15" hidden="false" customHeight="false" outlineLevel="0" collapsed="false">
      <c r="A813" s="2" t="s">
        <v>944</v>
      </c>
      <c r="B813" s="2" t="s">
        <v>146</v>
      </c>
      <c r="C813" s="2" t="s">
        <v>240</v>
      </c>
      <c r="D813" s="2" t="s">
        <v>10</v>
      </c>
      <c r="E813" s="2" t="s">
        <v>49</v>
      </c>
      <c r="F813" s="14" t="n">
        <v>14.68</v>
      </c>
      <c r="G813" s="2" t="n">
        <v>1</v>
      </c>
      <c r="H813" s="2" t="n">
        <v>14</v>
      </c>
      <c r="I813" s="20" t="n">
        <v>0.96</v>
      </c>
      <c r="J813" s="14" t="n">
        <v>19.5</v>
      </c>
      <c r="K813" s="14" t="n">
        <v>24.5</v>
      </c>
      <c r="L813" s="20" t="n">
        <f aca="false">INDEX('Read me'!$B$10:$B$15,1)</f>
        <v>1.34</v>
      </c>
      <c r="M813" s="14" t="n">
        <f aca="false">IF(F813*(1+'Read me'!$B$5)&lt;='Read me'!$B$7,CEILING(F813*(1+'Read me'!$B$5)+0.5,1)-0.5,CEILING(F813*(1+'Read me'!$B$5),5))</f>
        <v>15.5</v>
      </c>
      <c r="N813" s="14" t="n">
        <f aca="false">IF(MAX(M813*L813,M813+'Read me'!$B$6)&lt;='Read me'!$B$7,CEILING(MAX(M813*L813,M813+'Read me'!$B$6)+0.5,1)-0.5,CEILING(MAX(M813*L813,M813+'Read me'!$B$6),5))</f>
        <v>21.5</v>
      </c>
      <c r="O813" s="21" t="n">
        <f aca="false">IF(ISNUMBER(J813),M813-J813,"new")</f>
        <v>-4</v>
      </c>
    </row>
    <row r="814" customFormat="false" ht="15" hidden="false" customHeight="false" outlineLevel="0" collapsed="false">
      <c r="A814" s="2" t="s">
        <v>945</v>
      </c>
      <c r="B814" s="2" t="s">
        <v>146</v>
      </c>
      <c r="C814" s="2" t="s">
        <v>240</v>
      </c>
      <c r="D814" s="2" t="s">
        <v>10</v>
      </c>
      <c r="E814" s="2" t="s">
        <v>50</v>
      </c>
      <c r="F814" s="14" t="n">
        <v>19.51</v>
      </c>
      <c r="G814" s="2" t="n">
        <v>2</v>
      </c>
      <c r="H814" s="2" t="n">
        <v>14</v>
      </c>
      <c r="I814" s="20" t="n">
        <v>0.96</v>
      </c>
      <c r="J814" s="14" t="n">
        <v>19.5</v>
      </c>
      <c r="K814" s="14" t="n">
        <v>34.5</v>
      </c>
      <c r="L814" s="20" t="n">
        <f aca="false">INDEX('Read me'!$B$10:$B$15,1)</f>
        <v>1.34</v>
      </c>
      <c r="M814" s="14" t="n">
        <f aca="false">IF(F814*(1+'Read me'!$B$5)&lt;='Read me'!$B$7,CEILING(F814*(1+'Read me'!$B$5)+0.5,1)-0.5,CEILING(F814*(1+'Read me'!$B$5),5))</f>
        <v>20.5</v>
      </c>
      <c r="N814" s="14" t="n">
        <f aca="false">IF(MAX(M814*L814,M814+'Read me'!$B$6)&lt;='Read me'!$B$7,CEILING(MAX(M814*L814,M814+'Read me'!$B$6)+0.5,1)-0.5,CEILING(MAX(M814*L814,M814+'Read me'!$B$6),5))</f>
        <v>27.5</v>
      </c>
      <c r="O814" s="21" t="n">
        <f aca="false">IF(ISNUMBER(J814),M814-J814,"new")</f>
        <v>1</v>
      </c>
    </row>
    <row r="815" customFormat="false" ht="15" hidden="false" customHeight="false" outlineLevel="0" collapsed="false">
      <c r="A815" s="2" t="s">
        <v>946</v>
      </c>
      <c r="B815" s="2" t="s">
        <v>146</v>
      </c>
      <c r="C815" s="2" t="s">
        <v>240</v>
      </c>
      <c r="D815" s="2" t="s">
        <v>12</v>
      </c>
      <c r="E815" s="2" t="s">
        <v>48</v>
      </c>
      <c r="F815" s="14" t="n">
        <v>49.47</v>
      </c>
      <c r="G815" s="2" t="n">
        <v>4</v>
      </c>
      <c r="H815" s="2" t="n">
        <v>14</v>
      </c>
      <c r="I815" s="20" t="n">
        <v>0.96</v>
      </c>
      <c r="J815" s="14" t="n">
        <v>24.5</v>
      </c>
      <c r="K815" s="14" t="n">
        <v>29.5</v>
      </c>
      <c r="L815" s="20" t="n">
        <f aca="false">INDEX('Read me'!$B$10:$B$15,2)</f>
        <v>1.26</v>
      </c>
      <c r="M815" s="14" t="n">
        <f aca="false">IF(F815*(1+'Read me'!$B$5)&lt;='Read me'!$B$7,CEILING(F815*(1+'Read me'!$B$5)+0.5,1)-0.5,CEILING(F815*(1+'Read me'!$B$5),5))</f>
        <v>50</v>
      </c>
      <c r="N815" s="14" t="n">
        <f aca="false">IF(MAX(M815*L815,M815+'Read me'!$B$6)&lt;='Read me'!$B$7,CEILING(MAX(M815*L815,M815+'Read me'!$B$6)+0.5,1)-0.5,CEILING(MAX(M815*L815,M815+'Read me'!$B$6),5))</f>
        <v>65</v>
      </c>
      <c r="O815" s="21" t="n">
        <f aca="false">IF(ISNUMBER(J815),M815-J815,"new")</f>
        <v>25.5</v>
      </c>
    </row>
    <row r="816" customFormat="false" ht="15" hidden="false" customHeight="false" outlineLevel="0" collapsed="false">
      <c r="A816" s="2" t="s">
        <v>947</v>
      </c>
      <c r="B816" s="2" t="s">
        <v>146</v>
      </c>
      <c r="C816" s="2" t="s">
        <v>240</v>
      </c>
      <c r="D816" s="2" t="s">
        <v>12</v>
      </c>
      <c r="E816" s="2" t="s">
        <v>49</v>
      </c>
      <c r="F816" s="14" t="n">
        <v>51.2</v>
      </c>
      <c r="G816" s="2" t="n">
        <v>1</v>
      </c>
      <c r="H816" s="2" t="n">
        <v>14</v>
      </c>
      <c r="I816" s="20" t="n">
        <v>0.96</v>
      </c>
      <c r="J816" s="14" t="n">
        <v>24.5</v>
      </c>
      <c r="K816" s="14" t="n">
        <v>29.5</v>
      </c>
      <c r="L816" s="20" t="n">
        <f aca="false">INDEX('Read me'!$B$10:$B$15,2)</f>
        <v>1.26</v>
      </c>
      <c r="M816" s="14" t="n">
        <f aca="false">IF(F816*(1+'Read me'!$B$5)&lt;='Read me'!$B$7,CEILING(F816*(1+'Read me'!$B$5)+0.5,1)-0.5,CEILING(F816*(1+'Read me'!$B$5),5))</f>
        <v>55</v>
      </c>
      <c r="N816" s="14" t="n">
        <f aca="false">IF(MAX(M816*L816,M816+'Read me'!$B$6)&lt;='Read me'!$B$7,CEILING(MAX(M816*L816,M816+'Read me'!$B$6)+0.5,1)-0.5,CEILING(MAX(M816*L816,M816+'Read me'!$B$6),5))</f>
        <v>70</v>
      </c>
      <c r="O816" s="21" t="n">
        <f aca="false">IF(ISNUMBER(J816),M816-J816,"new")</f>
        <v>30.5</v>
      </c>
    </row>
    <row r="817" customFormat="false" ht="15" hidden="false" customHeight="false" outlineLevel="0" collapsed="false">
      <c r="A817" s="2" t="s">
        <v>948</v>
      </c>
      <c r="B817" s="2" t="s">
        <v>146</v>
      </c>
      <c r="C817" s="2" t="s">
        <v>240</v>
      </c>
      <c r="D817" s="2" t="s">
        <v>12</v>
      </c>
      <c r="E817" s="2" t="s">
        <v>50</v>
      </c>
      <c r="F817" s="14" t="n">
        <v>59.05</v>
      </c>
      <c r="G817" s="2" t="n">
        <v>0</v>
      </c>
      <c r="H817" s="2" t="n">
        <v>14</v>
      </c>
      <c r="I817" s="20" t="n">
        <v>0.96</v>
      </c>
      <c r="J817" s="14" t="n">
        <v>24.5</v>
      </c>
      <c r="K817" s="14" t="n">
        <v>45</v>
      </c>
      <c r="L817" s="20" t="n">
        <f aca="false">INDEX('Read me'!$B$10:$B$15,2)</f>
        <v>1.26</v>
      </c>
      <c r="M817" s="14" t="n">
        <f aca="false">IF(F817*(1+'Read me'!$B$5)&lt;='Read me'!$B$7,CEILING(F817*(1+'Read me'!$B$5)+0.5,1)-0.5,CEILING(F817*(1+'Read me'!$B$5),5))</f>
        <v>60</v>
      </c>
      <c r="N817" s="14" t="n">
        <f aca="false">IF(MAX(M817*L817,M817+'Read me'!$B$6)&lt;='Read me'!$B$7,CEILING(MAX(M817*L817,M817+'Read me'!$B$6)+0.5,1)-0.5,CEILING(MAX(M817*L817,M817+'Read me'!$B$6),5))</f>
        <v>80</v>
      </c>
      <c r="O817" s="21" t="n">
        <f aca="false">IF(ISNUMBER(J817),M817-J817,"new")</f>
        <v>35.5</v>
      </c>
    </row>
    <row r="818" customFormat="false" ht="15" hidden="false" customHeight="false" outlineLevel="0" collapsed="false">
      <c r="A818" s="2" t="s">
        <v>949</v>
      </c>
      <c r="B818" s="2" t="s">
        <v>146</v>
      </c>
      <c r="C818" s="2" t="s">
        <v>240</v>
      </c>
      <c r="D818" s="2" t="s">
        <v>13</v>
      </c>
      <c r="E818" s="2" t="s">
        <v>48</v>
      </c>
      <c r="F818" s="14" t="n">
        <v>79.72</v>
      </c>
      <c r="G818" s="2" t="n">
        <v>0</v>
      </c>
      <c r="H818" s="2" t="n">
        <v>14</v>
      </c>
      <c r="I818" s="20" t="n">
        <v>0.96</v>
      </c>
      <c r="J818" s="14" t="n">
        <v>45</v>
      </c>
      <c r="K818" s="14" t="n">
        <v>95</v>
      </c>
      <c r="L818" s="20" t="n">
        <f aca="false">INDEX('Read me'!$B$10:$B$15,3)</f>
        <v>1.35</v>
      </c>
      <c r="M818" s="14" t="n">
        <f aca="false">IF(F818*(1+'Read me'!$B$5)&lt;='Read me'!$B$7,CEILING(F818*(1+'Read me'!$B$5)+0.5,1)-0.5,CEILING(F818*(1+'Read me'!$B$5),5))</f>
        <v>80</v>
      </c>
      <c r="N818" s="14" t="n">
        <f aca="false">IF(MAX(M818*L818,M818+'Read me'!$B$6)&lt;='Read me'!$B$7,CEILING(MAX(M818*L818,M818+'Read me'!$B$6)+0.5,1)-0.5,CEILING(MAX(M818*L818,M818+'Read me'!$B$6),5))</f>
        <v>110</v>
      </c>
      <c r="O818" s="21" t="n">
        <f aca="false">IF(ISNUMBER(J818),M818-J818,"new")</f>
        <v>35</v>
      </c>
    </row>
    <row r="819" customFormat="false" ht="15" hidden="false" customHeight="false" outlineLevel="0" collapsed="false">
      <c r="A819" s="2" t="s">
        <v>950</v>
      </c>
      <c r="B819" s="2" t="s">
        <v>146</v>
      </c>
      <c r="C819" s="2" t="s">
        <v>240</v>
      </c>
      <c r="D819" s="2" t="s">
        <v>13</v>
      </c>
      <c r="E819" s="2" t="s">
        <v>49</v>
      </c>
      <c r="F819" s="14" t="n">
        <v>89.68</v>
      </c>
      <c r="G819" s="2" t="n">
        <v>0</v>
      </c>
      <c r="H819" s="2" t="n">
        <v>14</v>
      </c>
      <c r="I819" s="20" t="n">
        <v>0.96</v>
      </c>
      <c r="J819" s="14" t="n">
        <v>45</v>
      </c>
      <c r="K819" s="14" t="n">
        <v>95</v>
      </c>
      <c r="L819" s="20" t="n">
        <f aca="false">INDEX('Read me'!$B$10:$B$15,3)</f>
        <v>1.35</v>
      </c>
      <c r="M819" s="14" t="n">
        <f aca="false">IF(F819*(1+'Read me'!$B$5)&lt;='Read me'!$B$7,CEILING(F819*(1+'Read me'!$B$5)+0.5,1)-0.5,CEILING(F819*(1+'Read me'!$B$5),5))</f>
        <v>90</v>
      </c>
      <c r="N819" s="14" t="n">
        <f aca="false">IF(MAX(M819*L819,M819+'Read me'!$B$6)&lt;='Read me'!$B$7,CEILING(MAX(M819*L819,M819+'Read me'!$B$6)+0.5,1)-0.5,CEILING(MAX(M819*L819,M819+'Read me'!$B$6),5))</f>
        <v>125</v>
      </c>
      <c r="O819" s="21" t="n">
        <f aca="false">IF(ISNUMBER(J819),M819-J819,"new")</f>
        <v>45</v>
      </c>
    </row>
    <row r="820" customFormat="false" ht="15" hidden="false" customHeight="false" outlineLevel="0" collapsed="false">
      <c r="A820" s="2" t="s">
        <v>951</v>
      </c>
      <c r="B820" s="2" t="s">
        <v>146</v>
      </c>
      <c r="C820" s="2" t="s">
        <v>240</v>
      </c>
      <c r="D820" s="2" t="s">
        <v>13</v>
      </c>
      <c r="E820" s="2" t="s">
        <v>50</v>
      </c>
      <c r="F820" s="14" t="n">
        <v>120.6</v>
      </c>
      <c r="G820" s="2" t="n">
        <v>0</v>
      </c>
      <c r="H820" s="2" t="n">
        <v>14</v>
      </c>
      <c r="I820" s="20" t="n">
        <v>0.96</v>
      </c>
      <c r="J820" s="14" t="n">
        <v>99</v>
      </c>
      <c r="K820" s="14" t="n">
        <v>150</v>
      </c>
      <c r="L820" s="20" t="n">
        <f aca="false">INDEX('Read me'!$B$10:$B$15,3)</f>
        <v>1.35</v>
      </c>
      <c r="M820" s="14" t="n">
        <f aca="false">IF(F820*(1+'Read me'!$B$5)&lt;='Read me'!$B$7,CEILING(F820*(1+'Read me'!$B$5)+0.5,1)-0.5,CEILING(F820*(1+'Read me'!$B$5),5))</f>
        <v>125</v>
      </c>
      <c r="N820" s="14" t="n">
        <f aca="false">IF(MAX(M820*L820,M820+'Read me'!$B$6)&lt;='Read me'!$B$7,CEILING(MAX(M820*L820,M820+'Read me'!$B$6)+0.5,1)-0.5,CEILING(MAX(M820*L820,M820+'Read me'!$B$6),5))</f>
        <v>170</v>
      </c>
      <c r="O820" s="21" t="n">
        <f aca="false">IF(ISNUMBER(J820),M820-J820,"new")</f>
        <v>26</v>
      </c>
    </row>
    <row r="821" customFormat="false" ht="15" hidden="false" customHeight="false" outlineLevel="0" collapsed="false">
      <c r="A821" s="2" t="s">
        <v>952</v>
      </c>
      <c r="B821" s="2" t="s">
        <v>146</v>
      </c>
      <c r="C821" s="2" t="s">
        <v>240</v>
      </c>
      <c r="D821" s="2" t="s">
        <v>14</v>
      </c>
      <c r="E821" s="2" t="s">
        <v>48</v>
      </c>
      <c r="F821" s="14" t="n">
        <v>138.04</v>
      </c>
      <c r="G821" s="2" t="n">
        <v>0</v>
      </c>
      <c r="H821" s="2" t="n">
        <v>14</v>
      </c>
      <c r="I821" s="20" t="n">
        <v>0.96</v>
      </c>
      <c r="J821" s="14" t="n">
        <v>99</v>
      </c>
      <c r="K821" s="14" t="n">
        <v>150</v>
      </c>
      <c r="L821" s="20" t="n">
        <f aca="false">INDEX('Read me'!$B$10:$B$15,4)</f>
        <v>1.2</v>
      </c>
      <c r="M821" s="14" t="n">
        <f aca="false">IF(F821*(1+'Read me'!$B$5)&lt;='Read me'!$B$7,CEILING(F821*(1+'Read me'!$B$5)+0.5,1)-0.5,CEILING(F821*(1+'Read me'!$B$5),5))</f>
        <v>140</v>
      </c>
      <c r="N821" s="14" t="n">
        <f aca="false">IF(MAX(M821*L821,M821+'Read me'!$B$6)&lt;='Read me'!$B$7,CEILING(MAX(M821*L821,M821+'Read me'!$B$6)+0.5,1)-0.5,CEILING(MAX(M821*L821,M821+'Read me'!$B$6),5))</f>
        <v>170</v>
      </c>
      <c r="O821" s="21" t="n">
        <f aca="false">IF(ISNUMBER(J821),M821-J821,"new")</f>
        <v>41</v>
      </c>
    </row>
    <row r="822" customFormat="false" ht="15" hidden="false" customHeight="false" outlineLevel="0" collapsed="false">
      <c r="A822" s="2" t="s">
        <v>953</v>
      </c>
      <c r="B822" s="2" t="s">
        <v>146</v>
      </c>
      <c r="C822" s="2" t="s">
        <v>240</v>
      </c>
      <c r="D822" s="2" t="s">
        <v>14</v>
      </c>
      <c r="E822" s="2" t="s">
        <v>49</v>
      </c>
      <c r="F822" s="14" t="n">
        <v>165.74</v>
      </c>
      <c r="G822" s="2" t="n">
        <v>0</v>
      </c>
      <c r="H822" s="2" t="n">
        <v>14</v>
      </c>
      <c r="I822" s="20" t="n">
        <v>0.96</v>
      </c>
      <c r="J822" s="14" t="n">
        <v>150</v>
      </c>
      <c r="K822" s="14" t="n">
        <v>150</v>
      </c>
      <c r="L822" s="20" t="n">
        <f aca="false">INDEX('Read me'!$B$10:$B$15,4)</f>
        <v>1.2</v>
      </c>
      <c r="M822" s="14" t="n">
        <f aca="false">IF(F822*(1+'Read me'!$B$5)&lt;='Read me'!$B$7,CEILING(F822*(1+'Read me'!$B$5)+0.5,1)-0.5,CEILING(F822*(1+'Read me'!$B$5),5))</f>
        <v>170</v>
      </c>
      <c r="N822" s="14" t="n">
        <f aca="false">IF(MAX(M822*L822,M822+'Read me'!$B$6)&lt;='Read me'!$B$7,CEILING(MAX(M822*L822,M822+'Read me'!$B$6)+0.5,1)-0.5,CEILING(MAX(M822*L822,M822+'Read me'!$B$6),5))</f>
        <v>205</v>
      </c>
      <c r="O822" s="21" t="n">
        <f aca="false">IF(ISNUMBER(J822),M822-J822,"new")</f>
        <v>20</v>
      </c>
    </row>
    <row r="823" customFormat="false" ht="15" hidden="false" customHeight="false" outlineLevel="0" collapsed="false">
      <c r="A823" s="2" t="s">
        <v>954</v>
      </c>
      <c r="B823" s="2" t="s">
        <v>146</v>
      </c>
      <c r="C823" s="2" t="s">
        <v>240</v>
      </c>
      <c r="D823" s="2" t="s">
        <v>14</v>
      </c>
      <c r="E823" s="2" t="s">
        <v>50</v>
      </c>
      <c r="F823" s="14" t="n">
        <v>198.02</v>
      </c>
      <c r="G823" s="2" t="n">
        <v>1</v>
      </c>
      <c r="H823" s="2" t="n">
        <v>14</v>
      </c>
      <c r="I823" s="20" t="n">
        <v>0.96</v>
      </c>
      <c r="J823" s="14" t="n">
        <v>250</v>
      </c>
      <c r="K823" s="14" t="n">
        <v>195</v>
      </c>
      <c r="L823" s="20" t="n">
        <f aca="false">INDEX('Read me'!$B$10:$B$15,4)</f>
        <v>1.2</v>
      </c>
      <c r="M823" s="14" t="n">
        <f aca="false">IF(F823*(1+'Read me'!$B$5)&lt;='Read me'!$B$7,CEILING(F823*(1+'Read me'!$B$5)+0.5,1)-0.5,CEILING(F823*(1+'Read me'!$B$5),5))</f>
        <v>200</v>
      </c>
      <c r="N823" s="14" t="n">
        <f aca="false">IF(MAX(M823*L823,M823+'Read me'!$B$6)&lt;='Read me'!$B$7,CEILING(MAX(M823*L823,M823+'Read me'!$B$6)+0.5,1)-0.5,CEILING(MAX(M823*L823,M823+'Read me'!$B$6),5))</f>
        <v>240</v>
      </c>
      <c r="O823" s="21" t="n">
        <f aca="false">IF(ISNUMBER(J823),M823-J823,"new")</f>
        <v>-50</v>
      </c>
    </row>
    <row r="824" customFormat="false" ht="15" hidden="false" customHeight="false" outlineLevel="0" collapsed="false">
      <c r="A824" s="2" t="s">
        <v>955</v>
      </c>
      <c r="B824" s="2" t="s">
        <v>146</v>
      </c>
      <c r="C824" s="2" t="s">
        <v>240</v>
      </c>
      <c r="D824" s="2" t="s">
        <v>15</v>
      </c>
      <c r="E824" s="2" t="s">
        <v>48</v>
      </c>
      <c r="F824" s="14" t="n">
        <v>175.21</v>
      </c>
      <c r="G824" s="2" t="n">
        <v>0</v>
      </c>
      <c r="H824" s="2" t="n">
        <v>14</v>
      </c>
      <c r="I824" s="20" t="n">
        <v>0.96</v>
      </c>
      <c r="J824" s="14" t="n">
        <v>300</v>
      </c>
      <c r="K824" s="14" t="n">
        <v>300</v>
      </c>
      <c r="L824" s="20" t="n">
        <f aca="false">INDEX('Read me'!$B$10:$B$15,5)</f>
        <v>1.2</v>
      </c>
      <c r="M824" s="14" t="n">
        <f aca="false">IF(F824*(1+'Read me'!$B$5)&lt;='Read me'!$B$7,CEILING(F824*(1+'Read me'!$B$5)+0.5,1)-0.5,CEILING(F824*(1+'Read me'!$B$5),5))</f>
        <v>180</v>
      </c>
      <c r="N824" s="14" t="n">
        <f aca="false">IF(MAX(M824*L824,M824+'Read me'!$B$6)&lt;='Read me'!$B$7,CEILING(MAX(M824*L824,M824+'Read me'!$B$6)+0.5,1)-0.5,CEILING(MAX(M824*L824,M824+'Read me'!$B$6),5))</f>
        <v>220</v>
      </c>
      <c r="O824" s="21" t="n">
        <f aca="false">IF(ISNUMBER(J824),M824-J824,"new")</f>
        <v>-120</v>
      </c>
    </row>
    <row r="825" customFormat="false" ht="15" hidden="false" customHeight="false" outlineLevel="0" collapsed="false">
      <c r="A825" s="2" t="s">
        <v>956</v>
      </c>
      <c r="B825" s="2" t="s">
        <v>146</v>
      </c>
      <c r="C825" s="2" t="s">
        <v>240</v>
      </c>
      <c r="D825" s="2" t="s">
        <v>15</v>
      </c>
      <c r="E825" s="2" t="s">
        <v>49</v>
      </c>
      <c r="F825" s="14" t="n">
        <v>216.15</v>
      </c>
      <c r="G825" s="2" t="n">
        <v>0</v>
      </c>
      <c r="H825" s="2" t="n">
        <v>14</v>
      </c>
      <c r="I825" s="20" t="n">
        <v>0.96</v>
      </c>
      <c r="J825" s="14" t="n">
        <v>300</v>
      </c>
      <c r="K825" s="14" t="n">
        <v>300</v>
      </c>
      <c r="L825" s="20" t="n">
        <f aca="false">INDEX('Read me'!$B$10:$B$15,5)</f>
        <v>1.2</v>
      </c>
      <c r="M825" s="14" t="n">
        <f aca="false">N825</f>
        <v>265</v>
      </c>
      <c r="N825" s="14" t="n">
        <f aca="false">IF(MAX((IF(F825*(1+'Read me'!$B$5)&lt;='Read me'!$B$7,CEILING(F825*(1+'Read me'!$B$5)+0.5,1)-0.5,CEILING(F825*(1+'Read me'!$B$5),5)))*L825,(IF(F825*(1+'Read me'!$B$5)&lt;='Read me'!$B$7,CEILING(F825*(1+'Read me'!$B$5)+0.5,1)-0.5,CEILING(F825*(1+'Read me'!$B$5),5)))+'Read me'!$B$6)&lt;='Read me'!$B$7,CEILING(MAX((IF(F825*(1+'Read me'!$B$5)&lt;='Read me'!$B$7,CEILING(F825*(1+'Read me'!$B$5)+0.5,1)-0.5,CEILING(F825*(1+'Read me'!$B$5),5)))*L825,(IF(F825*(1+'Read me'!$B$5)&lt;='Read me'!$B$7,CEILING(F825*(1+'Read me'!$B$5)+0.5,1)-0.5,CEILING(F825*(1+'Read me'!$B$5),5)))+'Read me'!$B$6)+0.5,1)-0.5,CEILING(MAX((IF(F825*(1+'Read me'!$B$5)&lt;='Read me'!$B$7,CEILING(F825*(1+'Read me'!$B$5)+0.5,1)-0.5,CEILING(F825*(1+'Read me'!$B$5),5)))*L825,(IF(F825*(1+'Read me'!$B$5)&lt;='Read me'!$B$7,CEILING(F825*(1+'Read me'!$B$5)+0.5,1)-0.5,CEILING(F825*(1+'Read me'!$B$5),5)))+'Read me'!$B$6),5))</f>
        <v>265</v>
      </c>
      <c r="O825" s="21" t="n">
        <f aca="false">IF(ISNUMBER(J825),M825-J825,"new")</f>
        <v>-35</v>
      </c>
      <c r="P825" s="5" t="s">
        <v>140</v>
      </c>
    </row>
    <row r="826" customFormat="false" ht="15" hidden="false" customHeight="false" outlineLevel="0" collapsed="false">
      <c r="A826" s="2" t="s">
        <v>957</v>
      </c>
      <c r="B826" s="2" t="s">
        <v>146</v>
      </c>
      <c r="C826" s="2" t="s">
        <v>240</v>
      </c>
      <c r="D826" s="2" t="s">
        <v>15</v>
      </c>
      <c r="E826" s="2" t="s">
        <v>50</v>
      </c>
      <c r="F826" s="14" t="n">
        <v>259.72</v>
      </c>
      <c r="G826" s="2" t="n">
        <v>0</v>
      </c>
      <c r="H826" s="2" t="n">
        <v>14</v>
      </c>
      <c r="I826" s="20" t="n">
        <v>0.96</v>
      </c>
      <c r="J826" s="14" t="n">
        <v>350</v>
      </c>
      <c r="K826" s="14" t="n">
        <v>400</v>
      </c>
      <c r="L826" s="20" t="n">
        <f aca="false">INDEX('Read me'!$B$10:$B$15,5)</f>
        <v>1.2</v>
      </c>
      <c r="M826" s="14" t="n">
        <f aca="false">N826</f>
        <v>315</v>
      </c>
      <c r="N826" s="14" t="n">
        <f aca="false">IF(MAX((IF(F826*(1+'Read me'!$B$5)&lt;='Read me'!$B$7,CEILING(F826*(1+'Read me'!$B$5)+0.5,1)-0.5,CEILING(F826*(1+'Read me'!$B$5),5)))*L826,(IF(F826*(1+'Read me'!$B$5)&lt;='Read me'!$B$7,CEILING(F826*(1+'Read me'!$B$5)+0.5,1)-0.5,CEILING(F826*(1+'Read me'!$B$5),5)))+'Read me'!$B$6)&lt;='Read me'!$B$7,CEILING(MAX((IF(F826*(1+'Read me'!$B$5)&lt;='Read me'!$B$7,CEILING(F826*(1+'Read me'!$B$5)+0.5,1)-0.5,CEILING(F826*(1+'Read me'!$B$5),5)))*L826,(IF(F826*(1+'Read me'!$B$5)&lt;='Read me'!$B$7,CEILING(F826*(1+'Read me'!$B$5)+0.5,1)-0.5,CEILING(F826*(1+'Read me'!$B$5),5)))+'Read me'!$B$6)+0.5,1)-0.5,CEILING(MAX((IF(F826*(1+'Read me'!$B$5)&lt;='Read me'!$B$7,CEILING(F826*(1+'Read me'!$B$5)+0.5,1)-0.5,CEILING(F826*(1+'Read me'!$B$5),5)))*L826,(IF(F826*(1+'Read me'!$B$5)&lt;='Read me'!$B$7,CEILING(F826*(1+'Read me'!$B$5)+0.5,1)-0.5,CEILING(F826*(1+'Read me'!$B$5),5)))+'Read me'!$B$6),5))</f>
        <v>315</v>
      </c>
      <c r="O826" s="21" t="n">
        <f aca="false">IF(ISNUMBER(J826),M826-J826,"new")</f>
        <v>-35</v>
      </c>
      <c r="P826" s="5" t="s">
        <v>140</v>
      </c>
    </row>
    <row r="827" customFormat="false" ht="15" hidden="false" customHeight="false" outlineLevel="0" collapsed="false">
      <c r="A827" s="2" t="s">
        <v>958</v>
      </c>
      <c r="B827" s="2" t="s">
        <v>146</v>
      </c>
      <c r="C827" s="2" t="s">
        <v>240</v>
      </c>
      <c r="D827" s="2" t="s">
        <v>16</v>
      </c>
      <c r="E827" s="2" t="s">
        <v>48</v>
      </c>
      <c r="F827" s="14" t="n">
        <v>243.28</v>
      </c>
      <c r="G827" s="2" t="n">
        <v>0</v>
      </c>
      <c r="H827" s="2" t="n">
        <v>14</v>
      </c>
      <c r="I827" s="20" t="n">
        <v>0.96</v>
      </c>
      <c r="J827" s="14"/>
      <c r="K827" s="14"/>
      <c r="L827" s="20" t="n">
        <f aca="false">INDEX('Read me'!$B$10:$B$15,6)</f>
        <v>1.2</v>
      </c>
      <c r="M827" s="14" t="n">
        <f aca="false">IF(F827*(1+'Read me'!$B$5)&lt;='Read me'!$B$7,CEILING(F827*(1+'Read me'!$B$5)+0.5,1)-0.5,CEILING(F827*(1+'Read me'!$B$5),5))</f>
        <v>245</v>
      </c>
      <c r="N827" s="14" t="n">
        <f aca="false">IF(MAX(M827*L827,M827+'Read me'!$B$6)&lt;='Read me'!$B$7,CEILING(MAX(M827*L827,M827+'Read me'!$B$6)+0.5,1)-0.5,CEILING(MAX(M827*L827,M827+'Read me'!$B$6),5))</f>
        <v>295</v>
      </c>
      <c r="O827" s="21" t="str">
        <f aca="false">IF(ISNUMBER(J827),M827-J827,"new")</f>
        <v>new</v>
      </c>
    </row>
    <row r="828" customFormat="false" ht="15" hidden="false" customHeight="false" outlineLevel="0" collapsed="false">
      <c r="A828" s="2" t="s">
        <v>959</v>
      </c>
      <c r="B828" s="2" t="s">
        <v>146</v>
      </c>
      <c r="C828" s="2" t="s">
        <v>240</v>
      </c>
      <c r="D828" s="2" t="s">
        <v>16</v>
      </c>
      <c r="E828" s="2" t="s">
        <v>49</v>
      </c>
      <c r="F828" s="14" t="n">
        <v>312.61</v>
      </c>
      <c r="G828" s="2" t="n">
        <v>0</v>
      </c>
      <c r="H828" s="2" t="n">
        <v>14</v>
      </c>
      <c r="I828" s="20" t="n">
        <v>0.96</v>
      </c>
      <c r="J828" s="14"/>
      <c r="K828" s="14"/>
      <c r="L828" s="20" t="n">
        <f aca="false">INDEX('Read me'!$B$10:$B$15,6)</f>
        <v>1.2</v>
      </c>
      <c r="M828" s="14" t="n">
        <f aca="false">N828</f>
        <v>380</v>
      </c>
      <c r="N828" s="14" t="n">
        <f aca="false">IF(MAX((IF(F828*(1+'Read me'!$B$5)&lt;='Read me'!$B$7,CEILING(F828*(1+'Read me'!$B$5)+0.5,1)-0.5,CEILING(F828*(1+'Read me'!$B$5),5)))*L828,(IF(F828*(1+'Read me'!$B$5)&lt;='Read me'!$B$7,CEILING(F828*(1+'Read me'!$B$5)+0.5,1)-0.5,CEILING(F828*(1+'Read me'!$B$5),5)))+'Read me'!$B$6)&lt;='Read me'!$B$7,CEILING(MAX((IF(F828*(1+'Read me'!$B$5)&lt;='Read me'!$B$7,CEILING(F828*(1+'Read me'!$B$5)+0.5,1)-0.5,CEILING(F828*(1+'Read me'!$B$5),5)))*L828,(IF(F828*(1+'Read me'!$B$5)&lt;='Read me'!$B$7,CEILING(F828*(1+'Read me'!$B$5)+0.5,1)-0.5,CEILING(F828*(1+'Read me'!$B$5),5)))+'Read me'!$B$6)+0.5,1)-0.5,CEILING(MAX((IF(F828*(1+'Read me'!$B$5)&lt;='Read me'!$B$7,CEILING(F828*(1+'Read me'!$B$5)+0.5,1)-0.5,CEILING(F828*(1+'Read me'!$B$5),5)))*L828,(IF(F828*(1+'Read me'!$B$5)&lt;='Read me'!$B$7,CEILING(F828*(1+'Read me'!$B$5)+0.5,1)-0.5,CEILING(F828*(1+'Read me'!$B$5),5)))+'Read me'!$B$6),5))</f>
        <v>380</v>
      </c>
      <c r="O828" s="21" t="str">
        <f aca="false">IF(ISNUMBER(J828),M828-J828,"new")</f>
        <v>new</v>
      </c>
      <c r="P828" s="5" t="s">
        <v>140</v>
      </c>
    </row>
    <row r="829" customFormat="false" ht="15" hidden="false" customHeight="false" outlineLevel="0" collapsed="false">
      <c r="A829" s="2" t="s">
        <v>960</v>
      </c>
      <c r="B829" s="2" t="s">
        <v>146</v>
      </c>
      <c r="C829" s="2" t="s">
        <v>240</v>
      </c>
      <c r="D829" s="2" t="s">
        <v>16</v>
      </c>
      <c r="E829" s="2" t="s">
        <v>50</v>
      </c>
      <c r="F829" s="14" t="n">
        <v>367.43</v>
      </c>
      <c r="G829" s="2" t="n">
        <v>0</v>
      </c>
      <c r="H829" s="2" t="n">
        <v>14</v>
      </c>
      <c r="I829" s="20" t="n">
        <v>0.96</v>
      </c>
      <c r="J829" s="14"/>
      <c r="K829" s="14"/>
      <c r="L829" s="20" t="n">
        <f aca="false">INDEX('Read me'!$B$10:$B$15,6)</f>
        <v>1.2</v>
      </c>
      <c r="M829" s="14" t="n">
        <f aca="false">N829</f>
        <v>445</v>
      </c>
      <c r="N829" s="14" t="n">
        <f aca="false">IF(MAX((IF(F829*(1+'Read me'!$B$5)&lt;='Read me'!$B$7,CEILING(F829*(1+'Read me'!$B$5)+0.5,1)-0.5,CEILING(F829*(1+'Read me'!$B$5),5)))*L829,(IF(F829*(1+'Read me'!$B$5)&lt;='Read me'!$B$7,CEILING(F829*(1+'Read me'!$B$5)+0.5,1)-0.5,CEILING(F829*(1+'Read me'!$B$5),5)))+'Read me'!$B$6)&lt;='Read me'!$B$7,CEILING(MAX((IF(F829*(1+'Read me'!$B$5)&lt;='Read me'!$B$7,CEILING(F829*(1+'Read me'!$B$5)+0.5,1)-0.5,CEILING(F829*(1+'Read me'!$B$5),5)))*L829,(IF(F829*(1+'Read me'!$B$5)&lt;='Read me'!$B$7,CEILING(F829*(1+'Read me'!$B$5)+0.5,1)-0.5,CEILING(F829*(1+'Read me'!$B$5),5)))+'Read me'!$B$6)+0.5,1)-0.5,CEILING(MAX((IF(F829*(1+'Read me'!$B$5)&lt;='Read me'!$B$7,CEILING(F829*(1+'Read me'!$B$5)+0.5,1)-0.5,CEILING(F829*(1+'Read me'!$B$5),5)))*L829,(IF(F829*(1+'Read me'!$B$5)&lt;='Read me'!$B$7,CEILING(F829*(1+'Read me'!$B$5)+0.5,1)-0.5,CEILING(F829*(1+'Read me'!$B$5),5)))+'Read me'!$B$6),5))</f>
        <v>445</v>
      </c>
      <c r="O829" s="21" t="str">
        <f aca="false">IF(ISNUMBER(J829),M829-J829,"new")</f>
        <v>new</v>
      </c>
      <c r="P829" s="5" t="s">
        <v>140</v>
      </c>
    </row>
    <row r="830" customFormat="false" ht="15" hidden="false" customHeight="false" outlineLevel="0" collapsed="false">
      <c r="A830" s="2" t="s">
        <v>961</v>
      </c>
      <c r="B830" s="2" t="s">
        <v>146</v>
      </c>
      <c r="C830" s="2" t="s">
        <v>184</v>
      </c>
      <c r="D830" s="2" t="s">
        <v>10</v>
      </c>
      <c r="E830" s="2" t="s">
        <v>48</v>
      </c>
      <c r="F830" s="14" t="n">
        <v>8.59</v>
      </c>
      <c r="G830" s="2" t="n">
        <v>27</v>
      </c>
      <c r="H830" s="2" t="n">
        <v>91</v>
      </c>
      <c r="I830" s="20" t="n">
        <v>0.66</v>
      </c>
      <c r="J830" s="14" t="n">
        <v>14.5</v>
      </c>
      <c r="K830" s="14" t="n">
        <v>19.5</v>
      </c>
      <c r="L830" s="20" t="n">
        <f aca="false">INDEX('Read me'!$B$10:$B$15,1)</f>
        <v>1.34</v>
      </c>
      <c r="M830" s="14" t="n">
        <f aca="false">IF(F830*(1+'Read me'!$B$5)&lt;='Read me'!$B$7,CEILING(F830*(1+'Read me'!$B$5)+0.5,1)-0.5,CEILING(F830*(1+'Read me'!$B$5),5))</f>
        <v>9.5</v>
      </c>
      <c r="N830" s="14" t="n">
        <f aca="false">IF(MAX(M830*L830,M830+'Read me'!$B$6)&lt;='Read me'!$B$7,CEILING(MAX(M830*L830,M830+'Read me'!$B$6)+0.5,1)-0.5,CEILING(MAX(M830*L830,M830+'Read me'!$B$6),5))</f>
        <v>14.5</v>
      </c>
      <c r="O830" s="21" t="n">
        <f aca="false">IF(ISNUMBER(J830),M830-J830,"new")</f>
        <v>-5</v>
      </c>
    </row>
    <row r="831" customFormat="false" ht="15" hidden="false" customHeight="false" outlineLevel="0" collapsed="false">
      <c r="A831" s="2" t="s">
        <v>962</v>
      </c>
      <c r="B831" s="2" t="s">
        <v>146</v>
      </c>
      <c r="C831" s="2" t="s">
        <v>184</v>
      </c>
      <c r="D831" s="2" t="s">
        <v>10</v>
      </c>
      <c r="E831" s="2" t="s">
        <v>49</v>
      </c>
      <c r="F831" s="14" t="n">
        <v>10.24</v>
      </c>
      <c r="G831" s="2" t="n">
        <v>8</v>
      </c>
      <c r="H831" s="2" t="n">
        <v>91</v>
      </c>
      <c r="I831" s="20" t="n">
        <v>0.66</v>
      </c>
      <c r="J831" s="14" t="n">
        <v>14.5</v>
      </c>
      <c r="K831" s="14" t="n">
        <v>19.5</v>
      </c>
      <c r="L831" s="20" t="n">
        <f aca="false">INDEX('Read me'!$B$10:$B$15,1)</f>
        <v>1.34</v>
      </c>
      <c r="M831" s="14" t="n">
        <f aca="false">IF(F831*(1+'Read me'!$B$5)&lt;='Read me'!$B$7,CEILING(F831*(1+'Read me'!$B$5)+0.5,1)-0.5,CEILING(F831*(1+'Read me'!$B$5),5))</f>
        <v>10.5</v>
      </c>
      <c r="N831" s="14" t="n">
        <f aca="false">IF(MAX(M831*L831,M831+'Read me'!$B$6)&lt;='Read me'!$B$7,CEILING(MAX(M831*L831,M831+'Read me'!$B$6)+0.5,1)-0.5,CEILING(MAX(M831*L831,M831+'Read me'!$B$6),5))</f>
        <v>15.5</v>
      </c>
      <c r="O831" s="21" t="n">
        <f aca="false">IF(ISNUMBER(J831),M831-J831,"new")</f>
        <v>-4</v>
      </c>
    </row>
    <row r="832" customFormat="false" ht="15" hidden="false" customHeight="false" outlineLevel="0" collapsed="false">
      <c r="A832" s="2" t="s">
        <v>963</v>
      </c>
      <c r="B832" s="2" t="s">
        <v>146</v>
      </c>
      <c r="C832" s="2" t="s">
        <v>184</v>
      </c>
      <c r="D832" s="2" t="s">
        <v>10</v>
      </c>
      <c r="E832" s="2" t="s">
        <v>50</v>
      </c>
      <c r="F832" s="14" t="n">
        <v>14.75</v>
      </c>
      <c r="G832" s="2" t="n">
        <v>12</v>
      </c>
      <c r="H832" s="2" t="n">
        <v>91</v>
      </c>
      <c r="I832" s="20" t="n">
        <v>0.66</v>
      </c>
      <c r="J832" s="14" t="n">
        <v>17.5</v>
      </c>
      <c r="K832" s="14" t="n">
        <v>29.5</v>
      </c>
      <c r="L832" s="20" t="n">
        <f aca="false">INDEX('Read me'!$B$10:$B$15,1)</f>
        <v>1.34</v>
      </c>
      <c r="M832" s="14" t="n">
        <f aca="false">IF(F832*(1+'Read me'!$B$5)&lt;='Read me'!$B$7,CEILING(F832*(1+'Read me'!$B$5)+0.5,1)-0.5,CEILING(F832*(1+'Read me'!$B$5),5))</f>
        <v>15.5</v>
      </c>
      <c r="N832" s="14" t="n">
        <f aca="false">IF(MAX(M832*L832,M832+'Read me'!$B$6)&lt;='Read me'!$B$7,CEILING(MAX(M832*L832,M832+'Read me'!$B$6)+0.5,1)-0.5,CEILING(MAX(M832*L832,M832+'Read me'!$B$6),5))</f>
        <v>21.5</v>
      </c>
      <c r="O832" s="21" t="n">
        <f aca="false">IF(ISNUMBER(J832),M832-J832,"new")</f>
        <v>-2</v>
      </c>
    </row>
    <row r="833" customFormat="false" ht="15" hidden="false" customHeight="false" outlineLevel="0" collapsed="false">
      <c r="A833" s="2" t="s">
        <v>964</v>
      </c>
      <c r="B833" s="2" t="s">
        <v>146</v>
      </c>
      <c r="C833" s="2" t="s">
        <v>184</v>
      </c>
      <c r="D833" s="2" t="s">
        <v>12</v>
      </c>
      <c r="E833" s="2" t="s">
        <v>48</v>
      </c>
      <c r="F833" s="14" t="n">
        <v>42.07</v>
      </c>
      <c r="G833" s="2" t="n">
        <v>18</v>
      </c>
      <c r="H833" s="2" t="n">
        <v>91</v>
      </c>
      <c r="I833" s="20" t="n">
        <v>0.66</v>
      </c>
      <c r="J833" s="14" t="n">
        <v>19.5</v>
      </c>
      <c r="K833" s="14" t="n">
        <v>24.5</v>
      </c>
      <c r="L833" s="20" t="n">
        <f aca="false">INDEX('Read me'!$B$10:$B$15,2)</f>
        <v>1.26</v>
      </c>
      <c r="M833" s="14" t="n">
        <f aca="false">IF(F833*(1+'Read me'!$B$5)&lt;='Read me'!$B$7,CEILING(F833*(1+'Read me'!$B$5)+0.5,1)-0.5,CEILING(F833*(1+'Read me'!$B$5),5))</f>
        <v>45</v>
      </c>
      <c r="N833" s="14" t="n">
        <f aca="false">IF(MAX(M833*L833,M833+'Read me'!$B$6)&lt;='Read me'!$B$7,CEILING(MAX(M833*L833,M833+'Read me'!$B$6)+0.5,1)-0.5,CEILING(MAX(M833*L833,M833+'Read me'!$B$6),5))</f>
        <v>60</v>
      </c>
      <c r="O833" s="21" t="n">
        <f aca="false">IF(ISNUMBER(J833),M833-J833,"new")</f>
        <v>25.5</v>
      </c>
    </row>
    <row r="834" customFormat="false" ht="15" hidden="false" customHeight="false" outlineLevel="0" collapsed="false">
      <c r="A834" s="2" t="s">
        <v>965</v>
      </c>
      <c r="B834" s="2" t="s">
        <v>146</v>
      </c>
      <c r="C834" s="2" t="s">
        <v>184</v>
      </c>
      <c r="D834" s="2" t="s">
        <v>12</v>
      </c>
      <c r="E834" s="2" t="s">
        <v>49</v>
      </c>
      <c r="F834" s="14" t="n">
        <v>42.07</v>
      </c>
      <c r="G834" s="2" t="n">
        <v>6</v>
      </c>
      <c r="H834" s="2" t="n">
        <v>91</v>
      </c>
      <c r="I834" s="20" t="n">
        <v>0.66</v>
      </c>
      <c r="J834" s="14" t="n">
        <v>19.5</v>
      </c>
      <c r="K834" s="14" t="n">
        <v>24.5</v>
      </c>
      <c r="L834" s="20" t="n">
        <f aca="false">INDEX('Read me'!$B$10:$B$15,2)</f>
        <v>1.26</v>
      </c>
      <c r="M834" s="14" t="n">
        <f aca="false">IF(F834*(1+'Read me'!$B$5)&lt;='Read me'!$B$7,CEILING(F834*(1+'Read me'!$B$5)+0.5,1)-0.5,CEILING(F834*(1+'Read me'!$B$5),5))</f>
        <v>45</v>
      </c>
      <c r="N834" s="14" t="n">
        <f aca="false">IF(MAX(M834*L834,M834+'Read me'!$B$6)&lt;='Read me'!$B$7,CEILING(MAX(M834*L834,M834+'Read me'!$B$6)+0.5,1)-0.5,CEILING(MAX(M834*L834,M834+'Read me'!$B$6),5))</f>
        <v>60</v>
      </c>
      <c r="O834" s="21" t="n">
        <f aca="false">IF(ISNUMBER(J834),M834-J834,"new")</f>
        <v>25.5</v>
      </c>
    </row>
    <row r="835" customFormat="false" ht="15" hidden="false" customHeight="false" outlineLevel="0" collapsed="false">
      <c r="A835" s="2" t="s">
        <v>966</v>
      </c>
      <c r="B835" s="2" t="s">
        <v>146</v>
      </c>
      <c r="C835" s="2" t="s">
        <v>184</v>
      </c>
      <c r="D835" s="2" t="s">
        <v>12</v>
      </c>
      <c r="E835" s="2" t="s">
        <v>50</v>
      </c>
      <c r="F835" s="14" t="n">
        <v>47.03</v>
      </c>
      <c r="G835" s="2" t="n">
        <v>11</v>
      </c>
      <c r="H835" s="2" t="n">
        <v>91</v>
      </c>
      <c r="I835" s="20" t="n">
        <v>0.66</v>
      </c>
      <c r="J835" s="14" t="n">
        <v>19.5</v>
      </c>
      <c r="K835" s="14" t="n">
        <v>34.5</v>
      </c>
      <c r="L835" s="20" t="n">
        <f aca="false">INDEX('Read me'!$B$10:$B$15,2)</f>
        <v>1.26</v>
      </c>
      <c r="M835" s="14" t="n">
        <f aca="false">IF(F835*(1+'Read me'!$B$5)&lt;='Read me'!$B$7,CEILING(F835*(1+'Read me'!$B$5)+0.5,1)-0.5,CEILING(F835*(1+'Read me'!$B$5),5))</f>
        <v>50</v>
      </c>
      <c r="N835" s="14" t="n">
        <f aca="false">IF(MAX(M835*L835,M835+'Read me'!$B$6)&lt;='Read me'!$B$7,CEILING(MAX(M835*L835,M835+'Read me'!$B$6)+0.5,1)-0.5,CEILING(MAX(M835*L835,M835+'Read me'!$B$6),5))</f>
        <v>65</v>
      </c>
      <c r="O835" s="21" t="n">
        <f aca="false">IF(ISNUMBER(J835),M835-J835,"new")</f>
        <v>30.5</v>
      </c>
    </row>
    <row r="836" customFormat="false" ht="15" hidden="false" customHeight="false" outlineLevel="0" collapsed="false">
      <c r="A836" s="2" t="s">
        <v>967</v>
      </c>
      <c r="B836" s="2" t="s">
        <v>146</v>
      </c>
      <c r="C836" s="2" t="s">
        <v>184</v>
      </c>
      <c r="D836" s="2" t="s">
        <v>13</v>
      </c>
      <c r="E836" s="2" t="s">
        <v>48</v>
      </c>
      <c r="F836" s="14" t="n">
        <v>71.02</v>
      </c>
      <c r="G836" s="2" t="n">
        <v>3</v>
      </c>
      <c r="H836" s="2" t="n">
        <v>91</v>
      </c>
      <c r="I836" s="20" t="n">
        <v>0.66</v>
      </c>
      <c r="J836" s="14" t="n">
        <v>24.5</v>
      </c>
      <c r="K836" s="14" t="n">
        <v>75</v>
      </c>
      <c r="L836" s="20" t="n">
        <f aca="false">INDEX('Read me'!$B$10:$B$15,3)</f>
        <v>1.35</v>
      </c>
      <c r="M836" s="14" t="n">
        <f aca="false">IF(F836*(1+'Read me'!$B$5)&lt;='Read me'!$B$7,CEILING(F836*(1+'Read me'!$B$5)+0.5,1)-0.5,CEILING(F836*(1+'Read me'!$B$5),5))</f>
        <v>75</v>
      </c>
      <c r="N836" s="14" t="n">
        <f aca="false">IF(MAX(M836*L836,M836+'Read me'!$B$6)&lt;='Read me'!$B$7,CEILING(MAX(M836*L836,M836+'Read me'!$B$6)+0.5,1)-0.5,CEILING(MAX(M836*L836,M836+'Read me'!$B$6),5))</f>
        <v>105</v>
      </c>
      <c r="O836" s="21" t="n">
        <f aca="false">IF(ISNUMBER(J836),M836-J836,"new")</f>
        <v>50.5</v>
      </c>
    </row>
    <row r="837" customFormat="false" ht="15" hidden="false" customHeight="false" outlineLevel="0" collapsed="false">
      <c r="A837" s="2" t="s">
        <v>968</v>
      </c>
      <c r="B837" s="2" t="s">
        <v>146</v>
      </c>
      <c r="C837" s="2" t="s">
        <v>184</v>
      </c>
      <c r="D837" s="2" t="s">
        <v>13</v>
      </c>
      <c r="E837" s="2" t="s">
        <v>49</v>
      </c>
      <c r="F837" s="14" t="n">
        <v>71.02</v>
      </c>
      <c r="G837" s="2" t="n">
        <v>2</v>
      </c>
      <c r="H837" s="2" t="n">
        <v>91</v>
      </c>
      <c r="I837" s="20" t="n">
        <v>0.66</v>
      </c>
      <c r="J837" s="14" t="n">
        <v>24.5</v>
      </c>
      <c r="K837" s="14" t="n">
        <v>75</v>
      </c>
      <c r="L837" s="20" t="n">
        <f aca="false">INDEX('Read me'!$B$10:$B$15,3)</f>
        <v>1.35</v>
      </c>
      <c r="M837" s="14" t="n">
        <f aca="false">IF(F837*(1+'Read me'!$B$5)&lt;='Read me'!$B$7,CEILING(F837*(1+'Read me'!$B$5)+0.5,1)-0.5,CEILING(F837*(1+'Read me'!$B$5),5))</f>
        <v>75</v>
      </c>
      <c r="N837" s="14" t="n">
        <f aca="false">IF(MAX(M837*L837,M837+'Read me'!$B$6)&lt;='Read me'!$B$7,CEILING(MAX(M837*L837,M837+'Read me'!$B$6)+0.5,1)-0.5,CEILING(MAX(M837*L837,M837+'Read me'!$B$6),5))</f>
        <v>105</v>
      </c>
      <c r="O837" s="21" t="n">
        <f aca="false">IF(ISNUMBER(J837),M837-J837,"new")</f>
        <v>50.5</v>
      </c>
    </row>
    <row r="838" customFormat="false" ht="15" hidden="false" customHeight="false" outlineLevel="0" collapsed="false">
      <c r="A838" s="2" t="s">
        <v>969</v>
      </c>
      <c r="B838" s="2" t="s">
        <v>146</v>
      </c>
      <c r="C838" s="2" t="s">
        <v>184</v>
      </c>
      <c r="D838" s="2" t="s">
        <v>13</v>
      </c>
      <c r="E838" s="2" t="s">
        <v>50</v>
      </c>
      <c r="F838" s="14" t="n">
        <v>77.77</v>
      </c>
      <c r="G838" s="2" t="n">
        <v>2</v>
      </c>
      <c r="H838" s="2" t="n">
        <v>91</v>
      </c>
      <c r="I838" s="20" t="n">
        <v>0.66</v>
      </c>
      <c r="J838" s="14" t="n">
        <v>85</v>
      </c>
      <c r="K838" s="14" t="n">
        <v>125</v>
      </c>
      <c r="L838" s="20" t="n">
        <f aca="false">INDEX('Read me'!$B$10:$B$15,3)</f>
        <v>1.35</v>
      </c>
      <c r="M838" s="14" t="n">
        <f aca="false">IF(F838*(1+'Read me'!$B$5)&lt;='Read me'!$B$7,CEILING(F838*(1+'Read me'!$B$5)+0.5,1)-0.5,CEILING(F838*(1+'Read me'!$B$5),5))</f>
        <v>80</v>
      </c>
      <c r="N838" s="14" t="n">
        <f aca="false">IF(MAX(M838*L838,M838+'Read me'!$B$6)&lt;='Read me'!$B$7,CEILING(MAX(M838*L838,M838+'Read me'!$B$6)+0.5,1)-0.5,CEILING(MAX(M838*L838,M838+'Read me'!$B$6),5))</f>
        <v>110</v>
      </c>
      <c r="O838" s="21" t="n">
        <f aca="false">IF(ISNUMBER(J838),M838-J838,"new")</f>
        <v>-5</v>
      </c>
    </row>
    <row r="839" customFormat="false" ht="15" hidden="false" customHeight="false" outlineLevel="0" collapsed="false">
      <c r="A839" s="2" t="s">
        <v>970</v>
      </c>
      <c r="B839" s="2" t="s">
        <v>146</v>
      </c>
      <c r="C839" s="2" t="s">
        <v>184</v>
      </c>
      <c r="D839" s="2" t="s">
        <v>14</v>
      </c>
      <c r="E839" s="2" t="s">
        <v>48</v>
      </c>
      <c r="F839" s="14" t="n">
        <v>94.71</v>
      </c>
      <c r="G839" s="2" t="n">
        <v>0</v>
      </c>
      <c r="H839" s="2" t="n">
        <v>91</v>
      </c>
      <c r="I839" s="20" t="n">
        <v>0.66</v>
      </c>
      <c r="J839" s="14" t="n">
        <v>85</v>
      </c>
      <c r="K839" s="14" t="n">
        <v>125</v>
      </c>
      <c r="L839" s="20" t="n">
        <f aca="false">INDEX('Read me'!$B$10:$B$15,4)</f>
        <v>1.2</v>
      </c>
      <c r="M839" s="14" t="n">
        <f aca="false">IF(F839*(1+'Read me'!$B$5)&lt;='Read me'!$B$7,CEILING(F839*(1+'Read me'!$B$5)+0.5,1)-0.5,CEILING(F839*(1+'Read me'!$B$5),5))</f>
        <v>95</v>
      </c>
      <c r="N839" s="14" t="n">
        <f aca="false">IF(MAX(M839*L839,M839+'Read me'!$B$6)&lt;='Read me'!$B$7,CEILING(MAX(M839*L839,M839+'Read me'!$B$6)+0.5,1)-0.5,CEILING(MAX(M839*L839,M839+'Read me'!$B$6),5))</f>
        <v>115</v>
      </c>
      <c r="O839" s="21" t="n">
        <f aca="false">IF(ISNUMBER(J839),M839-J839,"new")</f>
        <v>10</v>
      </c>
    </row>
    <row r="840" customFormat="false" ht="15" hidden="false" customHeight="false" outlineLevel="0" collapsed="false">
      <c r="A840" s="2" t="s">
        <v>971</v>
      </c>
      <c r="B840" s="2" t="s">
        <v>146</v>
      </c>
      <c r="C840" s="2" t="s">
        <v>184</v>
      </c>
      <c r="D840" s="2" t="s">
        <v>14</v>
      </c>
      <c r="E840" s="2" t="s">
        <v>49</v>
      </c>
      <c r="F840" s="14" t="n">
        <v>113.72</v>
      </c>
      <c r="G840" s="2" t="n">
        <v>0</v>
      </c>
      <c r="H840" s="2" t="n">
        <v>91</v>
      </c>
      <c r="I840" s="20" t="n">
        <v>0.66</v>
      </c>
      <c r="J840" s="14" t="n">
        <v>125</v>
      </c>
      <c r="K840" s="14" t="n">
        <v>125</v>
      </c>
      <c r="L840" s="20" t="n">
        <f aca="false">INDEX('Read me'!$B$10:$B$15,4)</f>
        <v>1.2</v>
      </c>
      <c r="M840" s="14" t="n">
        <f aca="false">IF(F840*(1+'Read me'!$B$5)&lt;='Read me'!$B$7,CEILING(F840*(1+'Read me'!$B$5)+0.5,1)-0.5,CEILING(F840*(1+'Read me'!$B$5),5))</f>
        <v>115</v>
      </c>
      <c r="N840" s="14" t="n">
        <f aca="false">IF(MAX(M840*L840,M840+'Read me'!$B$6)&lt;='Read me'!$B$7,CEILING(MAX(M840*L840,M840+'Read me'!$B$6)+0.5,1)-0.5,CEILING(MAX(M840*L840,M840+'Read me'!$B$6),5))</f>
        <v>140</v>
      </c>
      <c r="O840" s="21" t="n">
        <f aca="false">IF(ISNUMBER(J840),M840-J840,"new")</f>
        <v>-10</v>
      </c>
    </row>
    <row r="841" customFormat="false" ht="15" hidden="false" customHeight="false" outlineLevel="0" collapsed="false">
      <c r="A841" s="2" t="s">
        <v>972</v>
      </c>
      <c r="B841" s="2" t="s">
        <v>146</v>
      </c>
      <c r="C841" s="2" t="s">
        <v>184</v>
      </c>
      <c r="D841" s="2" t="s">
        <v>14</v>
      </c>
      <c r="E841" s="2" t="s">
        <v>50</v>
      </c>
      <c r="F841" s="14" t="n">
        <v>137.04</v>
      </c>
      <c r="G841" s="2" t="n">
        <v>0</v>
      </c>
      <c r="H841" s="2" t="n">
        <v>91</v>
      </c>
      <c r="I841" s="20" t="n">
        <v>0.66</v>
      </c>
      <c r="J841" s="14" t="n">
        <v>199</v>
      </c>
      <c r="K841" s="14" t="n">
        <v>175</v>
      </c>
      <c r="L841" s="20" t="n">
        <f aca="false">INDEX('Read me'!$B$10:$B$15,4)</f>
        <v>1.2</v>
      </c>
      <c r="M841" s="14" t="n">
        <f aca="false">IF(F841*(1+'Read me'!$B$5)&lt;='Read me'!$B$7,CEILING(F841*(1+'Read me'!$B$5)+0.5,1)-0.5,CEILING(F841*(1+'Read me'!$B$5),5))</f>
        <v>140</v>
      </c>
      <c r="N841" s="14" t="n">
        <f aca="false">IF(MAX(M841*L841,M841+'Read me'!$B$6)&lt;='Read me'!$B$7,CEILING(MAX(M841*L841,M841+'Read me'!$B$6)+0.5,1)-0.5,CEILING(MAX(M841*L841,M841+'Read me'!$B$6),5))</f>
        <v>170</v>
      </c>
      <c r="O841" s="21" t="n">
        <f aca="false">IF(ISNUMBER(J841),M841-J841,"new")</f>
        <v>-59</v>
      </c>
    </row>
    <row r="842" customFormat="false" ht="15" hidden="false" customHeight="false" outlineLevel="0" collapsed="false">
      <c r="A842" s="2" t="s">
        <v>973</v>
      </c>
      <c r="B842" s="2" t="s">
        <v>146</v>
      </c>
      <c r="C842" s="2" t="s">
        <v>184</v>
      </c>
      <c r="D842" s="2" t="s">
        <v>15</v>
      </c>
      <c r="E842" s="2" t="s">
        <v>48</v>
      </c>
      <c r="F842" s="14" t="n">
        <v>120.21</v>
      </c>
      <c r="G842" s="2" t="n">
        <v>0</v>
      </c>
      <c r="H842" s="2" t="n">
        <v>91</v>
      </c>
      <c r="I842" s="20" t="n">
        <v>0.66</v>
      </c>
      <c r="J842" s="14" t="n">
        <v>250</v>
      </c>
      <c r="K842" s="14" t="n">
        <v>300</v>
      </c>
      <c r="L842" s="20" t="n">
        <f aca="false">INDEX('Read me'!$B$10:$B$15,5)</f>
        <v>1.2</v>
      </c>
      <c r="M842" s="14" t="n">
        <f aca="false">IF(F842*(1+'Read me'!$B$5)&lt;='Read me'!$B$7,CEILING(F842*(1+'Read me'!$B$5)+0.5,1)-0.5,CEILING(F842*(1+'Read me'!$B$5),5))</f>
        <v>125</v>
      </c>
      <c r="N842" s="14" t="n">
        <f aca="false">IF(MAX(M842*L842,M842+'Read me'!$B$6)&lt;='Read me'!$B$7,CEILING(MAX(M842*L842,M842+'Read me'!$B$6)+0.5,1)-0.5,CEILING(MAX(M842*L842,M842+'Read me'!$B$6),5))</f>
        <v>150</v>
      </c>
      <c r="O842" s="21" t="n">
        <f aca="false">IF(ISNUMBER(J842),M842-J842,"new")</f>
        <v>-125</v>
      </c>
    </row>
    <row r="843" customFormat="false" ht="15" hidden="false" customHeight="false" outlineLevel="0" collapsed="false">
      <c r="A843" s="2" t="s">
        <v>974</v>
      </c>
      <c r="B843" s="2" t="s">
        <v>146</v>
      </c>
      <c r="C843" s="2" t="s">
        <v>184</v>
      </c>
      <c r="D843" s="2" t="s">
        <v>15</v>
      </c>
      <c r="E843" s="2" t="s">
        <v>49</v>
      </c>
      <c r="F843" s="14" t="n">
        <v>148.31</v>
      </c>
      <c r="G843" s="2" t="n">
        <v>0</v>
      </c>
      <c r="H843" s="2" t="n">
        <v>91</v>
      </c>
      <c r="I843" s="20" t="n">
        <v>0.66</v>
      </c>
      <c r="J843" s="14" t="n">
        <v>250</v>
      </c>
      <c r="K843" s="14" t="n">
        <v>300</v>
      </c>
      <c r="L843" s="20" t="n">
        <f aca="false">INDEX('Read me'!$B$10:$B$15,5)</f>
        <v>1.2</v>
      </c>
      <c r="M843" s="14" t="n">
        <f aca="false">N843</f>
        <v>180</v>
      </c>
      <c r="N843" s="14" t="n">
        <f aca="false">IF(MAX((IF(F843*(1+'Read me'!$B$5)&lt;='Read me'!$B$7,CEILING(F843*(1+'Read me'!$B$5)+0.5,1)-0.5,CEILING(F843*(1+'Read me'!$B$5),5)))*L843,(IF(F843*(1+'Read me'!$B$5)&lt;='Read me'!$B$7,CEILING(F843*(1+'Read me'!$B$5)+0.5,1)-0.5,CEILING(F843*(1+'Read me'!$B$5),5)))+'Read me'!$B$6)&lt;='Read me'!$B$7,CEILING(MAX((IF(F843*(1+'Read me'!$B$5)&lt;='Read me'!$B$7,CEILING(F843*(1+'Read me'!$B$5)+0.5,1)-0.5,CEILING(F843*(1+'Read me'!$B$5),5)))*L843,(IF(F843*(1+'Read me'!$B$5)&lt;='Read me'!$B$7,CEILING(F843*(1+'Read me'!$B$5)+0.5,1)-0.5,CEILING(F843*(1+'Read me'!$B$5),5)))+'Read me'!$B$6)+0.5,1)-0.5,CEILING(MAX((IF(F843*(1+'Read me'!$B$5)&lt;='Read me'!$B$7,CEILING(F843*(1+'Read me'!$B$5)+0.5,1)-0.5,CEILING(F843*(1+'Read me'!$B$5),5)))*L843,(IF(F843*(1+'Read me'!$B$5)&lt;='Read me'!$B$7,CEILING(F843*(1+'Read me'!$B$5)+0.5,1)-0.5,CEILING(F843*(1+'Read me'!$B$5),5)))+'Read me'!$B$6),5))</f>
        <v>180</v>
      </c>
      <c r="O843" s="21" t="n">
        <f aca="false">IF(ISNUMBER(J843),M843-J843,"new")</f>
        <v>-70</v>
      </c>
      <c r="P843" s="5" t="s">
        <v>140</v>
      </c>
    </row>
    <row r="844" customFormat="false" ht="15" hidden="false" customHeight="false" outlineLevel="0" collapsed="false">
      <c r="A844" s="2" t="s">
        <v>975</v>
      </c>
      <c r="B844" s="2" t="s">
        <v>146</v>
      </c>
      <c r="C844" s="2" t="s">
        <v>184</v>
      </c>
      <c r="D844" s="2" t="s">
        <v>15</v>
      </c>
      <c r="E844" s="2" t="s">
        <v>50</v>
      </c>
      <c r="F844" s="14" t="n">
        <v>178.2</v>
      </c>
      <c r="G844" s="2" t="n">
        <v>0</v>
      </c>
      <c r="H844" s="2" t="n">
        <v>91</v>
      </c>
      <c r="I844" s="20" t="n">
        <v>0.66</v>
      </c>
      <c r="J844" s="14" t="n">
        <v>300</v>
      </c>
      <c r="K844" s="14" t="n">
        <v>400</v>
      </c>
      <c r="L844" s="20" t="n">
        <f aca="false">INDEX('Read me'!$B$10:$B$15,5)</f>
        <v>1.2</v>
      </c>
      <c r="M844" s="14" t="n">
        <f aca="false">N844</f>
        <v>220</v>
      </c>
      <c r="N844" s="14" t="n">
        <f aca="false">IF(MAX((IF(F844*(1+'Read me'!$B$5)&lt;='Read me'!$B$7,CEILING(F844*(1+'Read me'!$B$5)+0.5,1)-0.5,CEILING(F844*(1+'Read me'!$B$5),5)))*L844,(IF(F844*(1+'Read me'!$B$5)&lt;='Read me'!$B$7,CEILING(F844*(1+'Read me'!$B$5)+0.5,1)-0.5,CEILING(F844*(1+'Read me'!$B$5),5)))+'Read me'!$B$6)&lt;='Read me'!$B$7,CEILING(MAX((IF(F844*(1+'Read me'!$B$5)&lt;='Read me'!$B$7,CEILING(F844*(1+'Read me'!$B$5)+0.5,1)-0.5,CEILING(F844*(1+'Read me'!$B$5),5)))*L844,(IF(F844*(1+'Read me'!$B$5)&lt;='Read me'!$B$7,CEILING(F844*(1+'Read me'!$B$5)+0.5,1)-0.5,CEILING(F844*(1+'Read me'!$B$5),5)))+'Read me'!$B$6)+0.5,1)-0.5,CEILING(MAX((IF(F844*(1+'Read me'!$B$5)&lt;='Read me'!$B$7,CEILING(F844*(1+'Read me'!$B$5)+0.5,1)-0.5,CEILING(F844*(1+'Read me'!$B$5),5)))*L844,(IF(F844*(1+'Read me'!$B$5)&lt;='Read me'!$B$7,CEILING(F844*(1+'Read me'!$B$5)+0.5,1)-0.5,CEILING(F844*(1+'Read me'!$B$5),5)))+'Read me'!$B$6),5))</f>
        <v>220</v>
      </c>
      <c r="O844" s="21" t="n">
        <f aca="false">IF(ISNUMBER(J844),M844-J844,"new")</f>
        <v>-80</v>
      </c>
      <c r="P844" s="5" t="s">
        <v>140</v>
      </c>
    </row>
    <row r="845" customFormat="false" ht="15" hidden="false" customHeight="false" outlineLevel="0" collapsed="false">
      <c r="A845" s="2" t="s">
        <v>976</v>
      </c>
      <c r="B845" s="2" t="s">
        <v>146</v>
      </c>
      <c r="C845" s="2" t="s">
        <v>184</v>
      </c>
      <c r="D845" s="2" t="s">
        <v>16</v>
      </c>
      <c r="E845" s="2" t="s">
        <v>48</v>
      </c>
      <c r="F845" s="14" t="n">
        <v>157.31</v>
      </c>
      <c r="G845" s="2" t="n">
        <v>1</v>
      </c>
      <c r="H845" s="2" t="n">
        <v>91</v>
      </c>
      <c r="I845" s="20" t="n">
        <v>0.66</v>
      </c>
      <c r="J845" s="14"/>
      <c r="K845" s="14"/>
      <c r="L845" s="20" t="n">
        <f aca="false">INDEX('Read me'!$B$10:$B$15,6)</f>
        <v>1.2</v>
      </c>
      <c r="M845" s="14" t="n">
        <f aca="false">IF(F845*(1+'Read me'!$B$5)&lt;='Read me'!$B$7,CEILING(F845*(1+'Read me'!$B$5)+0.5,1)-0.5,CEILING(F845*(1+'Read me'!$B$5),5))</f>
        <v>160</v>
      </c>
      <c r="N845" s="14" t="n">
        <f aca="false">IF(MAX(M845*L845,M845+'Read me'!$B$6)&lt;='Read me'!$B$7,CEILING(MAX(M845*L845,M845+'Read me'!$B$6)+0.5,1)-0.5,CEILING(MAX(M845*L845,M845+'Read me'!$B$6),5))</f>
        <v>195</v>
      </c>
      <c r="O845" s="21" t="str">
        <f aca="false">IF(ISNUMBER(J845),M845-J845,"new")</f>
        <v>new</v>
      </c>
    </row>
    <row r="846" customFormat="false" ht="15" hidden="false" customHeight="false" outlineLevel="0" collapsed="false">
      <c r="A846" s="2" t="s">
        <v>977</v>
      </c>
      <c r="B846" s="2" t="s">
        <v>146</v>
      </c>
      <c r="C846" s="2" t="s">
        <v>184</v>
      </c>
      <c r="D846" s="2" t="s">
        <v>16</v>
      </c>
      <c r="E846" s="2" t="s">
        <v>49</v>
      </c>
      <c r="F846" s="14" t="n">
        <v>214.49</v>
      </c>
      <c r="G846" s="2" t="n">
        <v>0</v>
      </c>
      <c r="H846" s="2" t="n">
        <v>91</v>
      </c>
      <c r="I846" s="20" t="n">
        <v>0.66</v>
      </c>
      <c r="J846" s="14"/>
      <c r="K846" s="14"/>
      <c r="L846" s="20" t="n">
        <f aca="false">INDEX('Read me'!$B$10:$B$15,6)</f>
        <v>1.2</v>
      </c>
      <c r="M846" s="14" t="n">
        <f aca="false">N846</f>
        <v>260</v>
      </c>
      <c r="N846" s="14" t="n">
        <f aca="false">IF(MAX((IF(F846*(1+'Read me'!$B$5)&lt;='Read me'!$B$7,CEILING(F846*(1+'Read me'!$B$5)+0.5,1)-0.5,CEILING(F846*(1+'Read me'!$B$5),5)))*L846,(IF(F846*(1+'Read me'!$B$5)&lt;='Read me'!$B$7,CEILING(F846*(1+'Read me'!$B$5)+0.5,1)-0.5,CEILING(F846*(1+'Read me'!$B$5),5)))+'Read me'!$B$6)&lt;='Read me'!$B$7,CEILING(MAX((IF(F846*(1+'Read me'!$B$5)&lt;='Read me'!$B$7,CEILING(F846*(1+'Read me'!$B$5)+0.5,1)-0.5,CEILING(F846*(1+'Read me'!$B$5),5)))*L846,(IF(F846*(1+'Read me'!$B$5)&lt;='Read me'!$B$7,CEILING(F846*(1+'Read me'!$B$5)+0.5,1)-0.5,CEILING(F846*(1+'Read me'!$B$5),5)))+'Read me'!$B$6)+0.5,1)-0.5,CEILING(MAX((IF(F846*(1+'Read me'!$B$5)&lt;='Read me'!$B$7,CEILING(F846*(1+'Read me'!$B$5)+0.5,1)-0.5,CEILING(F846*(1+'Read me'!$B$5),5)))*L846,(IF(F846*(1+'Read me'!$B$5)&lt;='Read me'!$B$7,CEILING(F846*(1+'Read me'!$B$5)+0.5,1)-0.5,CEILING(F846*(1+'Read me'!$B$5),5)))+'Read me'!$B$6),5))</f>
        <v>260</v>
      </c>
      <c r="O846" s="21" t="str">
        <f aca="false">IF(ISNUMBER(J846),M846-J846,"new")</f>
        <v>new</v>
      </c>
      <c r="P846" s="5" t="s">
        <v>140</v>
      </c>
    </row>
    <row r="847" customFormat="false" ht="15" hidden="false" customHeight="false" outlineLevel="0" collapsed="false">
      <c r="A847" s="2" t="s">
        <v>978</v>
      </c>
      <c r="B847" s="2" t="s">
        <v>146</v>
      </c>
      <c r="C847" s="2" t="s">
        <v>184</v>
      </c>
      <c r="D847" s="2" t="s">
        <v>16</v>
      </c>
      <c r="E847" s="2" t="s">
        <v>50</v>
      </c>
      <c r="F847" s="14" t="n">
        <v>248.7</v>
      </c>
      <c r="G847" s="2" t="n">
        <v>1</v>
      </c>
      <c r="H847" s="2" t="n">
        <v>91</v>
      </c>
      <c r="I847" s="20" t="n">
        <v>0.66</v>
      </c>
      <c r="J847" s="14"/>
      <c r="K847" s="14"/>
      <c r="L847" s="20" t="n">
        <f aca="false">INDEX('Read me'!$B$10:$B$15,6)</f>
        <v>1.2</v>
      </c>
      <c r="M847" s="14" t="n">
        <f aca="false">N847</f>
        <v>300</v>
      </c>
      <c r="N847" s="14" t="n">
        <f aca="false">IF(MAX((IF(F847*(1+'Read me'!$B$5)&lt;='Read me'!$B$7,CEILING(F847*(1+'Read me'!$B$5)+0.5,1)-0.5,CEILING(F847*(1+'Read me'!$B$5),5)))*L847,(IF(F847*(1+'Read me'!$B$5)&lt;='Read me'!$B$7,CEILING(F847*(1+'Read me'!$B$5)+0.5,1)-0.5,CEILING(F847*(1+'Read me'!$B$5),5)))+'Read me'!$B$6)&lt;='Read me'!$B$7,CEILING(MAX((IF(F847*(1+'Read me'!$B$5)&lt;='Read me'!$B$7,CEILING(F847*(1+'Read me'!$B$5)+0.5,1)-0.5,CEILING(F847*(1+'Read me'!$B$5),5)))*L847,(IF(F847*(1+'Read me'!$B$5)&lt;='Read me'!$B$7,CEILING(F847*(1+'Read me'!$B$5)+0.5,1)-0.5,CEILING(F847*(1+'Read me'!$B$5),5)))+'Read me'!$B$6)+0.5,1)-0.5,CEILING(MAX((IF(F847*(1+'Read me'!$B$5)&lt;='Read me'!$B$7,CEILING(F847*(1+'Read me'!$B$5)+0.5,1)-0.5,CEILING(F847*(1+'Read me'!$B$5),5)))*L847,(IF(F847*(1+'Read me'!$B$5)&lt;='Read me'!$B$7,CEILING(F847*(1+'Read me'!$B$5)+0.5,1)-0.5,CEILING(F847*(1+'Read me'!$B$5),5)))+'Read me'!$B$6),5))</f>
        <v>300</v>
      </c>
      <c r="O847" s="21" t="str">
        <f aca="false">IF(ISNUMBER(J847),M847-J847,"new")</f>
        <v>new</v>
      </c>
      <c r="P847" s="5" t="s">
        <v>140</v>
      </c>
    </row>
    <row r="848" customFormat="false" ht="15" hidden="false" customHeight="false" outlineLevel="0" collapsed="false">
      <c r="A848" s="2" t="s">
        <v>979</v>
      </c>
      <c r="B848" s="2" t="s">
        <v>146</v>
      </c>
      <c r="C848" s="2" t="s">
        <v>221</v>
      </c>
      <c r="D848" s="2" t="s">
        <v>10</v>
      </c>
      <c r="E848" s="2" t="s">
        <v>48</v>
      </c>
      <c r="F848" s="14" t="n">
        <v>9.13</v>
      </c>
      <c r="G848" s="2" t="n">
        <v>7</v>
      </c>
      <c r="H848" s="2" t="n">
        <v>15</v>
      </c>
      <c r="I848" s="20" t="n">
        <v>0.77</v>
      </c>
      <c r="J848" s="14" t="n">
        <v>19.5</v>
      </c>
      <c r="K848" s="14" t="n">
        <v>24.5</v>
      </c>
      <c r="L848" s="20" t="n">
        <f aca="false">INDEX('Read me'!$B$10:$B$15,1)</f>
        <v>1.34</v>
      </c>
      <c r="M848" s="14" t="n">
        <f aca="false">IF(F848*(1+'Read me'!$B$5)&lt;='Read me'!$B$7,CEILING(F848*(1+'Read me'!$B$5)+0.5,1)-0.5,CEILING(F848*(1+'Read me'!$B$5),5))</f>
        <v>9.5</v>
      </c>
      <c r="N848" s="14" t="n">
        <f aca="false">IF(MAX(M848*L848,M848+'Read me'!$B$6)&lt;='Read me'!$B$7,CEILING(MAX(M848*L848,M848+'Read me'!$B$6)+0.5,1)-0.5,CEILING(MAX(M848*L848,M848+'Read me'!$B$6),5))</f>
        <v>14.5</v>
      </c>
      <c r="O848" s="21" t="n">
        <f aca="false">IF(ISNUMBER(J848),M848-J848,"new")</f>
        <v>-10</v>
      </c>
    </row>
    <row r="849" customFormat="false" ht="15" hidden="false" customHeight="false" outlineLevel="0" collapsed="false">
      <c r="A849" s="2" t="s">
        <v>980</v>
      </c>
      <c r="B849" s="2" t="s">
        <v>146</v>
      </c>
      <c r="C849" s="2" t="s">
        <v>221</v>
      </c>
      <c r="D849" s="2" t="s">
        <v>10</v>
      </c>
      <c r="E849" s="2" t="s">
        <v>49</v>
      </c>
      <c r="F849" s="14" t="n">
        <v>11.68</v>
      </c>
      <c r="G849" s="2" t="n">
        <v>3</v>
      </c>
      <c r="H849" s="2" t="n">
        <v>15</v>
      </c>
      <c r="I849" s="20" t="n">
        <v>0.77</v>
      </c>
      <c r="J849" s="14" t="n">
        <v>19.5</v>
      </c>
      <c r="K849" s="14" t="n">
        <v>24.5</v>
      </c>
      <c r="L849" s="20" t="n">
        <f aca="false">INDEX('Read me'!$B$10:$B$15,1)</f>
        <v>1.34</v>
      </c>
      <c r="M849" s="14" t="n">
        <f aca="false">IF(F849*(1+'Read me'!$B$5)&lt;='Read me'!$B$7,CEILING(F849*(1+'Read me'!$B$5)+0.5,1)-0.5,CEILING(F849*(1+'Read me'!$B$5),5))</f>
        <v>12.5</v>
      </c>
      <c r="N849" s="14" t="n">
        <f aca="false">IF(MAX(M849*L849,M849+'Read me'!$B$6)&lt;='Read me'!$B$7,CEILING(MAX(M849*L849,M849+'Read me'!$B$6)+0.5,1)-0.5,CEILING(MAX(M849*L849,M849+'Read me'!$B$6),5))</f>
        <v>17.5</v>
      </c>
      <c r="O849" s="21" t="n">
        <f aca="false">IF(ISNUMBER(J849),M849-J849,"new")</f>
        <v>-7</v>
      </c>
    </row>
    <row r="850" customFormat="false" ht="15" hidden="false" customHeight="false" outlineLevel="0" collapsed="false">
      <c r="A850" s="2" t="s">
        <v>981</v>
      </c>
      <c r="B850" s="2" t="s">
        <v>146</v>
      </c>
      <c r="C850" s="2" t="s">
        <v>221</v>
      </c>
      <c r="D850" s="2" t="s">
        <v>10</v>
      </c>
      <c r="E850" s="2" t="s">
        <v>50</v>
      </c>
      <c r="F850" s="14" t="n">
        <v>15.47</v>
      </c>
      <c r="G850" s="2" t="n">
        <v>0</v>
      </c>
      <c r="H850" s="2" t="n">
        <v>15</v>
      </c>
      <c r="I850" s="20" t="n">
        <v>0.77</v>
      </c>
      <c r="J850" s="14" t="n">
        <v>19.5</v>
      </c>
      <c r="K850" s="14" t="n">
        <v>34.5</v>
      </c>
      <c r="L850" s="20" t="n">
        <f aca="false">INDEX('Read me'!$B$10:$B$15,1)</f>
        <v>1.34</v>
      </c>
      <c r="M850" s="14" t="n">
        <f aca="false">IF(F850*(1+'Read me'!$B$5)&lt;='Read me'!$B$7,CEILING(F850*(1+'Read me'!$B$5)+0.5,1)-0.5,CEILING(F850*(1+'Read me'!$B$5),5))</f>
        <v>15.5</v>
      </c>
      <c r="N850" s="14" t="n">
        <f aca="false">IF(MAX(M850*L850,M850+'Read me'!$B$6)&lt;='Read me'!$B$7,CEILING(MAX(M850*L850,M850+'Read me'!$B$6)+0.5,1)-0.5,CEILING(MAX(M850*L850,M850+'Read me'!$B$6),5))</f>
        <v>21.5</v>
      </c>
      <c r="O850" s="21" t="n">
        <f aca="false">IF(ISNUMBER(J850),M850-J850,"new")</f>
        <v>-4</v>
      </c>
    </row>
    <row r="851" customFormat="false" ht="15" hidden="false" customHeight="false" outlineLevel="0" collapsed="false">
      <c r="A851" s="2" t="s">
        <v>982</v>
      </c>
      <c r="B851" s="2" t="s">
        <v>146</v>
      </c>
      <c r="C851" s="2" t="s">
        <v>221</v>
      </c>
      <c r="D851" s="2" t="s">
        <v>12</v>
      </c>
      <c r="E851" s="2" t="s">
        <v>48</v>
      </c>
      <c r="F851" s="14" t="n">
        <v>38.47</v>
      </c>
      <c r="G851" s="2" t="n">
        <v>1</v>
      </c>
      <c r="H851" s="2" t="n">
        <v>15</v>
      </c>
      <c r="I851" s="20" t="n">
        <v>0.77</v>
      </c>
      <c r="J851" s="14" t="n">
        <v>24.5</v>
      </c>
      <c r="K851" s="14" t="n">
        <v>29.5</v>
      </c>
      <c r="L851" s="20" t="n">
        <f aca="false">INDEX('Read me'!$B$10:$B$15,2)</f>
        <v>1.26</v>
      </c>
      <c r="M851" s="14" t="n">
        <f aca="false">IF(F851*(1+'Read me'!$B$5)&lt;='Read me'!$B$7,CEILING(F851*(1+'Read me'!$B$5)+0.5,1)-0.5,CEILING(F851*(1+'Read me'!$B$5),5))</f>
        <v>40</v>
      </c>
      <c r="N851" s="14" t="n">
        <f aca="false">IF(MAX(M851*L851,M851+'Read me'!$B$6)&lt;='Read me'!$B$7,CEILING(MAX(M851*L851,M851+'Read me'!$B$6)+0.5,1)-0.5,CEILING(MAX(M851*L851,M851+'Read me'!$B$6),5))</f>
        <v>55</v>
      </c>
      <c r="O851" s="21" t="n">
        <f aca="false">IF(ISNUMBER(J851),M851-J851,"new")</f>
        <v>15.5</v>
      </c>
    </row>
    <row r="852" customFormat="false" ht="15" hidden="false" customHeight="false" outlineLevel="0" collapsed="false">
      <c r="A852" s="2" t="s">
        <v>983</v>
      </c>
      <c r="B852" s="2" t="s">
        <v>146</v>
      </c>
      <c r="C852" s="2" t="s">
        <v>221</v>
      </c>
      <c r="D852" s="2" t="s">
        <v>12</v>
      </c>
      <c r="E852" s="2" t="s">
        <v>49</v>
      </c>
      <c r="F852" s="14" t="n">
        <v>40.45</v>
      </c>
      <c r="G852" s="2" t="n">
        <v>0</v>
      </c>
      <c r="H852" s="2" t="n">
        <v>15</v>
      </c>
      <c r="I852" s="20" t="n">
        <v>0.77</v>
      </c>
      <c r="J852" s="14" t="n">
        <v>24.5</v>
      </c>
      <c r="K852" s="14" t="n">
        <v>29.5</v>
      </c>
      <c r="L852" s="20" t="n">
        <f aca="false">INDEX('Read me'!$B$10:$B$15,2)</f>
        <v>1.26</v>
      </c>
      <c r="M852" s="14" t="n">
        <f aca="false">IF(F852*(1+'Read me'!$B$5)&lt;='Read me'!$B$7,CEILING(F852*(1+'Read me'!$B$5)+0.5,1)-0.5,CEILING(F852*(1+'Read me'!$B$5),5))</f>
        <v>45</v>
      </c>
      <c r="N852" s="14" t="n">
        <f aca="false">IF(MAX(M852*L852,M852+'Read me'!$B$6)&lt;='Read me'!$B$7,CEILING(MAX(M852*L852,M852+'Read me'!$B$6)+0.5,1)-0.5,CEILING(MAX(M852*L852,M852+'Read me'!$B$6),5))</f>
        <v>60</v>
      </c>
      <c r="O852" s="21" t="n">
        <f aca="false">IF(ISNUMBER(J852),M852-J852,"new")</f>
        <v>20.5</v>
      </c>
    </row>
    <row r="853" customFormat="false" ht="15" hidden="false" customHeight="false" outlineLevel="0" collapsed="false">
      <c r="A853" s="2" t="s">
        <v>984</v>
      </c>
      <c r="B853" s="2" t="s">
        <v>146</v>
      </c>
      <c r="C853" s="2" t="s">
        <v>221</v>
      </c>
      <c r="D853" s="2" t="s">
        <v>12</v>
      </c>
      <c r="E853" s="2" t="s">
        <v>50</v>
      </c>
      <c r="F853" s="14" t="n">
        <v>47.44</v>
      </c>
      <c r="G853" s="2" t="n">
        <v>2</v>
      </c>
      <c r="H853" s="2" t="n">
        <v>15</v>
      </c>
      <c r="I853" s="20" t="n">
        <v>0.77</v>
      </c>
      <c r="J853" s="14" t="n">
        <v>24.5</v>
      </c>
      <c r="K853" s="14" t="n">
        <v>45</v>
      </c>
      <c r="L853" s="20" t="n">
        <f aca="false">INDEX('Read me'!$B$10:$B$15,2)</f>
        <v>1.26</v>
      </c>
      <c r="M853" s="14" t="n">
        <f aca="false">IF(F853*(1+'Read me'!$B$5)&lt;='Read me'!$B$7,CEILING(F853*(1+'Read me'!$B$5)+0.5,1)-0.5,CEILING(F853*(1+'Read me'!$B$5),5))</f>
        <v>50</v>
      </c>
      <c r="N853" s="14" t="n">
        <f aca="false">IF(MAX(M853*L853,M853+'Read me'!$B$6)&lt;='Read me'!$B$7,CEILING(MAX(M853*L853,M853+'Read me'!$B$6)+0.5,1)-0.5,CEILING(MAX(M853*L853,M853+'Read me'!$B$6),5))</f>
        <v>65</v>
      </c>
      <c r="O853" s="21" t="n">
        <f aca="false">IF(ISNUMBER(J853),M853-J853,"new")</f>
        <v>25.5</v>
      </c>
    </row>
    <row r="854" customFormat="false" ht="15" hidden="false" customHeight="false" outlineLevel="0" collapsed="false">
      <c r="A854" s="2" t="s">
        <v>985</v>
      </c>
      <c r="B854" s="2" t="s">
        <v>146</v>
      </c>
      <c r="C854" s="2" t="s">
        <v>221</v>
      </c>
      <c r="D854" s="2" t="s">
        <v>13</v>
      </c>
      <c r="E854" s="2" t="s">
        <v>48</v>
      </c>
      <c r="F854" s="14" t="n">
        <v>63.75</v>
      </c>
      <c r="G854" s="2" t="n">
        <v>0</v>
      </c>
      <c r="H854" s="2" t="n">
        <v>15</v>
      </c>
      <c r="I854" s="20" t="n">
        <v>0.77</v>
      </c>
      <c r="J854" s="14" t="n">
        <v>45</v>
      </c>
      <c r="K854" s="14" t="n">
        <v>95</v>
      </c>
      <c r="L854" s="20" t="n">
        <f aca="false">INDEX('Read me'!$B$10:$B$15,3)</f>
        <v>1.35</v>
      </c>
      <c r="M854" s="14" t="n">
        <f aca="false">IF(F854*(1+'Read me'!$B$5)&lt;='Read me'!$B$7,CEILING(F854*(1+'Read me'!$B$5)+0.5,1)-0.5,CEILING(F854*(1+'Read me'!$B$5),5))</f>
        <v>65</v>
      </c>
      <c r="N854" s="14" t="n">
        <f aca="false">IF(MAX(M854*L854,M854+'Read me'!$B$6)&lt;='Read me'!$B$7,CEILING(MAX(M854*L854,M854+'Read me'!$B$6)+0.5,1)-0.5,CEILING(MAX(M854*L854,M854+'Read me'!$B$6),5))</f>
        <v>90</v>
      </c>
      <c r="O854" s="21" t="n">
        <f aca="false">IF(ISNUMBER(J854),M854-J854,"new")</f>
        <v>20</v>
      </c>
    </row>
    <row r="855" customFormat="false" ht="15" hidden="false" customHeight="false" outlineLevel="0" collapsed="false">
      <c r="A855" s="2" t="s">
        <v>986</v>
      </c>
      <c r="B855" s="2" t="s">
        <v>146</v>
      </c>
      <c r="C855" s="2" t="s">
        <v>221</v>
      </c>
      <c r="D855" s="2" t="s">
        <v>13</v>
      </c>
      <c r="E855" s="2" t="s">
        <v>49</v>
      </c>
      <c r="F855" s="14" t="n">
        <v>67.85</v>
      </c>
      <c r="G855" s="2" t="n">
        <v>1</v>
      </c>
      <c r="H855" s="2" t="n">
        <v>15</v>
      </c>
      <c r="I855" s="20" t="n">
        <v>0.77</v>
      </c>
      <c r="J855" s="14" t="n">
        <v>45</v>
      </c>
      <c r="K855" s="14" t="n">
        <v>95</v>
      </c>
      <c r="L855" s="20" t="n">
        <f aca="false">INDEX('Read me'!$B$10:$B$15,3)</f>
        <v>1.35</v>
      </c>
      <c r="M855" s="14" t="n">
        <f aca="false">IF(F855*(1+'Read me'!$B$5)&lt;='Read me'!$B$7,CEILING(F855*(1+'Read me'!$B$5)+0.5,1)-0.5,CEILING(F855*(1+'Read me'!$B$5),5))</f>
        <v>70</v>
      </c>
      <c r="N855" s="14" t="n">
        <f aca="false">IF(MAX(M855*L855,M855+'Read me'!$B$6)&lt;='Read me'!$B$7,CEILING(MAX(M855*L855,M855+'Read me'!$B$6)+0.5,1)-0.5,CEILING(MAX(M855*L855,M855+'Read me'!$B$6),5))</f>
        <v>95</v>
      </c>
      <c r="O855" s="21" t="n">
        <f aca="false">IF(ISNUMBER(J855),M855-J855,"new")</f>
        <v>25</v>
      </c>
    </row>
    <row r="856" customFormat="false" ht="15" hidden="false" customHeight="false" outlineLevel="0" collapsed="false">
      <c r="A856" s="2" t="s">
        <v>987</v>
      </c>
      <c r="B856" s="2" t="s">
        <v>146</v>
      </c>
      <c r="C856" s="2" t="s">
        <v>221</v>
      </c>
      <c r="D856" s="2" t="s">
        <v>13</v>
      </c>
      <c r="E856" s="2" t="s">
        <v>50</v>
      </c>
      <c r="F856" s="14" t="n">
        <v>96.44</v>
      </c>
      <c r="G856" s="2" t="n">
        <v>0</v>
      </c>
      <c r="H856" s="2" t="n">
        <v>15</v>
      </c>
      <c r="I856" s="20" t="n">
        <v>0.77</v>
      </c>
      <c r="J856" s="14" t="n">
        <v>99</v>
      </c>
      <c r="K856" s="14" t="n">
        <v>150</v>
      </c>
      <c r="L856" s="20" t="n">
        <f aca="false">INDEX('Read me'!$B$10:$B$15,3)</f>
        <v>1.35</v>
      </c>
      <c r="M856" s="14" t="n">
        <f aca="false">IF(F856*(1+'Read me'!$B$5)&lt;='Read me'!$B$7,CEILING(F856*(1+'Read me'!$B$5)+0.5,1)-0.5,CEILING(F856*(1+'Read me'!$B$5),5))</f>
        <v>100</v>
      </c>
      <c r="N856" s="14" t="n">
        <f aca="false">IF(MAX(M856*L856,M856+'Read me'!$B$6)&lt;='Read me'!$B$7,CEILING(MAX(M856*L856,M856+'Read me'!$B$6)+0.5,1)-0.5,CEILING(MAX(M856*L856,M856+'Read me'!$B$6),5))</f>
        <v>135</v>
      </c>
      <c r="O856" s="21" t="n">
        <f aca="false">IF(ISNUMBER(J856),M856-J856,"new")</f>
        <v>1</v>
      </c>
    </row>
    <row r="857" customFormat="false" ht="15" hidden="false" customHeight="false" outlineLevel="0" collapsed="false">
      <c r="A857" s="2" t="s">
        <v>988</v>
      </c>
      <c r="B857" s="2" t="s">
        <v>146</v>
      </c>
      <c r="C857" s="2" t="s">
        <v>221</v>
      </c>
      <c r="D857" s="2" t="s">
        <v>14</v>
      </c>
      <c r="E857" s="2" t="s">
        <v>48</v>
      </c>
      <c r="F857" s="14" t="n">
        <v>110.38</v>
      </c>
      <c r="G857" s="2" t="n">
        <v>0</v>
      </c>
      <c r="H857" s="2" t="n">
        <v>15</v>
      </c>
      <c r="I857" s="20" t="n">
        <v>0.77</v>
      </c>
      <c r="J857" s="14" t="n">
        <v>99</v>
      </c>
      <c r="K857" s="14" t="n">
        <v>150</v>
      </c>
      <c r="L857" s="20" t="n">
        <f aca="false">INDEX('Read me'!$B$10:$B$15,4)</f>
        <v>1.2</v>
      </c>
      <c r="M857" s="14" t="n">
        <f aca="false">IF(F857*(1+'Read me'!$B$5)&lt;='Read me'!$B$7,CEILING(F857*(1+'Read me'!$B$5)+0.5,1)-0.5,CEILING(F857*(1+'Read me'!$B$5),5))</f>
        <v>115</v>
      </c>
      <c r="N857" s="14" t="n">
        <f aca="false">IF(MAX(M857*L857,M857+'Read me'!$B$6)&lt;='Read me'!$B$7,CEILING(MAX(M857*L857,M857+'Read me'!$B$6)+0.5,1)-0.5,CEILING(MAX(M857*L857,M857+'Read me'!$B$6),5))</f>
        <v>140</v>
      </c>
      <c r="O857" s="21" t="n">
        <f aca="false">IF(ISNUMBER(J857),M857-J857,"new")</f>
        <v>16</v>
      </c>
    </row>
    <row r="858" customFormat="false" ht="15" hidden="false" customHeight="false" outlineLevel="0" collapsed="false">
      <c r="A858" s="2" t="s">
        <v>989</v>
      </c>
      <c r="B858" s="2" t="s">
        <v>146</v>
      </c>
      <c r="C858" s="2" t="s">
        <v>221</v>
      </c>
      <c r="D858" s="2" t="s">
        <v>14</v>
      </c>
      <c r="E858" s="2" t="s">
        <v>49</v>
      </c>
      <c r="F858" s="14" t="n">
        <v>132.53</v>
      </c>
      <c r="G858" s="2" t="n">
        <v>0</v>
      </c>
      <c r="H858" s="2" t="n">
        <v>15</v>
      </c>
      <c r="I858" s="20" t="n">
        <v>0.77</v>
      </c>
      <c r="J858" s="14" t="n">
        <v>150</v>
      </c>
      <c r="K858" s="14" t="n">
        <v>150</v>
      </c>
      <c r="L858" s="20" t="n">
        <f aca="false">INDEX('Read me'!$B$10:$B$15,4)</f>
        <v>1.2</v>
      </c>
      <c r="M858" s="14" t="n">
        <f aca="false">IF(F858*(1+'Read me'!$B$5)&lt;='Read me'!$B$7,CEILING(F858*(1+'Read me'!$B$5)+0.5,1)-0.5,CEILING(F858*(1+'Read me'!$B$5),5))</f>
        <v>135</v>
      </c>
      <c r="N858" s="14" t="n">
        <f aca="false">IF(MAX(M858*L858,M858+'Read me'!$B$6)&lt;='Read me'!$B$7,CEILING(MAX(M858*L858,M858+'Read me'!$B$6)+0.5,1)-0.5,CEILING(MAX(M858*L858,M858+'Read me'!$B$6),5))</f>
        <v>165</v>
      </c>
      <c r="O858" s="21" t="n">
        <f aca="false">IF(ISNUMBER(J858),M858-J858,"new")</f>
        <v>-15</v>
      </c>
    </row>
    <row r="859" customFormat="false" ht="15" hidden="false" customHeight="false" outlineLevel="0" collapsed="false">
      <c r="A859" s="2" t="s">
        <v>990</v>
      </c>
      <c r="B859" s="2" t="s">
        <v>146</v>
      </c>
      <c r="C859" s="2" t="s">
        <v>221</v>
      </c>
      <c r="D859" s="2" t="s">
        <v>14</v>
      </c>
      <c r="E859" s="2" t="s">
        <v>50</v>
      </c>
      <c r="F859" s="14" t="n">
        <v>159.72</v>
      </c>
      <c r="G859" s="2" t="n">
        <v>0</v>
      </c>
      <c r="H859" s="2" t="n">
        <v>15</v>
      </c>
      <c r="I859" s="20" t="n">
        <v>0.77</v>
      </c>
      <c r="J859" s="14" t="n">
        <v>250</v>
      </c>
      <c r="K859" s="14" t="n">
        <v>195</v>
      </c>
      <c r="L859" s="20" t="n">
        <f aca="false">INDEX('Read me'!$B$10:$B$15,4)</f>
        <v>1.2</v>
      </c>
      <c r="M859" s="14" t="n">
        <f aca="false">IF(F859*(1+'Read me'!$B$5)&lt;='Read me'!$B$7,CEILING(F859*(1+'Read me'!$B$5)+0.5,1)-0.5,CEILING(F859*(1+'Read me'!$B$5),5))</f>
        <v>160</v>
      </c>
      <c r="N859" s="14" t="n">
        <f aca="false">IF(MAX(M859*L859,M859+'Read me'!$B$6)&lt;='Read me'!$B$7,CEILING(MAX(M859*L859,M859+'Read me'!$B$6)+0.5,1)-0.5,CEILING(MAX(M859*L859,M859+'Read me'!$B$6),5))</f>
        <v>195</v>
      </c>
      <c r="O859" s="21" t="n">
        <f aca="false">IF(ISNUMBER(J859),M859-J859,"new")</f>
        <v>-90</v>
      </c>
    </row>
    <row r="860" customFormat="false" ht="15" hidden="false" customHeight="false" outlineLevel="0" collapsed="false">
      <c r="A860" s="2" t="s">
        <v>991</v>
      </c>
      <c r="B860" s="2" t="s">
        <v>146</v>
      </c>
      <c r="C860" s="2" t="s">
        <v>221</v>
      </c>
      <c r="D860" s="2" t="s">
        <v>15</v>
      </c>
      <c r="E860" s="2" t="s">
        <v>48</v>
      </c>
      <c r="F860" s="14" t="n">
        <v>140.1</v>
      </c>
      <c r="G860" s="2" t="n">
        <v>0</v>
      </c>
      <c r="H860" s="2" t="n">
        <v>15</v>
      </c>
      <c r="I860" s="20" t="n">
        <v>0.77</v>
      </c>
      <c r="J860" s="14" t="n">
        <v>300</v>
      </c>
      <c r="K860" s="14" t="n">
        <v>300</v>
      </c>
      <c r="L860" s="20" t="n">
        <f aca="false">INDEX('Read me'!$B$10:$B$15,5)</f>
        <v>1.2</v>
      </c>
      <c r="M860" s="14" t="n">
        <f aca="false">IF(F860*(1+'Read me'!$B$5)&lt;='Read me'!$B$7,CEILING(F860*(1+'Read me'!$B$5)+0.5,1)-0.5,CEILING(F860*(1+'Read me'!$B$5),5))</f>
        <v>145</v>
      </c>
      <c r="N860" s="14" t="n">
        <f aca="false">IF(MAX(M860*L860,M860+'Read me'!$B$6)&lt;='Read me'!$B$7,CEILING(MAX(M860*L860,M860+'Read me'!$B$6)+0.5,1)-0.5,CEILING(MAX(M860*L860,M860+'Read me'!$B$6),5))</f>
        <v>175</v>
      </c>
      <c r="O860" s="21" t="n">
        <f aca="false">IF(ISNUMBER(J860),M860-J860,"new")</f>
        <v>-155</v>
      </c>
    </row>
    <row r="861" customFormat="false" ht="15" hidden="false" customHeight="false" outlineLevel="0" collapsed="false">
      <c r="A861" s="2" t="s">
        <v>992</v>
      </c>
      <c r="B861" s="2" t="s">
        <v>146</v>
      </c>
      <c r="C861" s="2" t="s">
        <v>221</v>
      </c>
      <c r="D861" s="2" t="s">
        <v>15</v>
      </c>
      <c r="E861" s="2" t="s">
        <v>49</v>
      </c>
      <c r="F861" s="14" t="n">
        <v>172.85</v>
      </c>
      <c r="G861" s="2" t="n">
        <v>0</v>
      </c>
      <c r="H861" s="2" t="n">
        <v>15</v>
      </c>
      <c r="I861" s="20" t="n">
        <v>0.77</v>
      </c>
      <c r="J861" s="14" t="n">
        <v>300</v>
      </c>
      <c r="K861" s="14" t="n">
        <v>300</v>
      </c>
      <c r="L861" s="20" t="n">
        <f aca="false">INDEX('Read me'!$B$10:$B$15,5)</f>
        <v>1.2</v>
      </c>
      <c r="M861" s="14" t="n">
        <f aca="false">N861</f>
        <v>210</v>
      </c>
      <c r="N861" s="14" t="n">
        <f aca="false">IF(MAX((IF(F861*(1+'Read me'!$B$5)&lt;='Read me'!$B$7,CEILING(F861*(1+'Read me'!$B$5)+0.5,1)-0.5,CEILING(F861*(1+'Read me'!$B$5),5)))*L861,(IF(F861*(1+'Read me'!$B$5)&lt;='Read me'!$B$7,CEILING(F861*(1+'Read me'!$B$5)+0.5,1)-0.5,CEILING(F861*(1+'Read me'!$B$5),5)))+'Read me'!$B$6)&lt;='Read me'!$B$7,CEILING(MAX((IF(F861*(1+'Read me'!$B$5)&lt;='Read me'!$B$7,CEILING(F861*(1+'Read me'!$B$5)+0.5,1)-0.5,CEILING(F861*(1+'Read me'!$B$5),5)))*L861,(IF(F861*(1+'Read me'!$B$5)&lt;='Read me'!$B$7,CEILING(F861*(1+'Read me'!$B$5)+0.5,1)-0.5,CEILING(F861*(1+'Read me'!$B$5),5)))+'Read me'!$B$6)+0.5,1)-0.5,CEILING(MAX((IF(F861*(1+'Read me'!$B$5)&lt;='Read me'!$B$7,CEILING(F861*(1+'Read me'!$B$5)+0.5,1)-0.5,CEILING(F861*(1+'Read me'!$B$5),5)))*L861,(IF(F861*(1+'Read me'!$B$5)&lt;='Read me'!$B$7,CEILING(F861*(1+'Read me'!$B$5)+0.5,1)-0.5,CEILING(F861*(1+'Read me'!$B$5),5)))+'Read me'!$B$6),5))</f>
        <v>210</v>
      </c>
      <c r="O861" s="21" t="n">
        <f aca="false">IF(ISNUMBER(J861),M861-J861,"new")</f>
        <v>-90</v>
      </c>
      <c r="P861" s="5" t="s">
        <v>140</v>
      </c>
    </row>
    <row r="862" customFormat="false" ht="15" hidden="false" customHeight="false" outlineLevel="0" collapsed="false">
      <c r="A862" s="2" t="s">
        <v>993</v>
      </c>
      <c r="B862" s="2" t="s">
        <v>146</v>
      </c>
      <c r="C862" s="2" t="s">
        <v>221</v>
      </c>
      <c r="D862" s="2" t="s">
        <v>15</v>
      </c>
      <c r="E862" s="2" t="s">
        <v>50</v>
      </c>
      <c r="F862" s="14" t="n">
        <v>207.68</v>
      </c>
      <c r="G862" s="2" t="n">
        <v>0</v>
      </c>
      <c r="H862" s="2" t="n">
        <v>15</v>
      </c>
      <c r="I862" s="20" t="n">
        <v>0.77</v>
      </c>
      <c r="J862" s="14" t="n">
        <v>350</v>
      </c>
      <c r="K862" s="14" t="n">
        <v>400</v>
      </c>
      <c r="L862" s="20" t="n">
        <f aca="false">INDEX('Read me'!$B$10:$B$15,5)</f>
        <v>1.2</v>
      </c>
      <c r="M862" s="14" t="n">
        <f aca="false">N862</f>
        <v>255</v>
      </c>
      <c r="N862" s="14" t="n">
        <f aca="false">IF(MAX((IF(F862*(1+'Read me'!$B$5)&lt;='Read me'!$B$7,CEILING(F862*(1+'Read me'!$B$5)+0.5,1)-0.5,CEILING(F862*(1+'Read me'!$B$5),5)))*L862,(IF(F862*(1+'Read me'!$B$5)&lt;='Read me'!$B$7,CEILING(F862*(1+'Read me'!$B$5)+0.5,1)-0.5,CEILING(F862*(1+'Read me'!$B$5),5)))+'Read me'!$B$6)&lt;='Read me'!$B$7,CEILING(MAX((IF(F862*(1+'Read me'!$B$5)&lt;='Read me'!$B$7,CEILING(F862*(1+'Read me'!$B$5)+0.5,1)-0.5,CEILING(F862*(1+'Read me'!$B$5),5)))*L862,(IF(F862*(1+'Read me'!$B$5)&lt;='Read me'!$B$7,CEILING(F862*(1+'Read me'!$B$5)+0.5,1)-0.5,CEILING(F862*(1+'Read me'!$B$5),5)))+'Read me'!$B$6)+0.5,1)-0.5,CEILING(MAX((IF(F862*(1+'Read me'!$B$5)&lt;='Read me'!$B$7,CEILING(F862*(1+'Read me'!$B$5)+0.5,1)-0.5,CEILING(F862*(1+'Read me'!$B$5),5)))*L862,(IF(F862*(1+'Read me'!$B$5)&lt;='Read me'!$B$7,CEILING(F862*(1+'Read me'!$B$5)+0.5,1)-0.5,CEILING(F862*(1+'Read me'!$B$5),5)))+'Read me'!$B$6),5))</f>
        <v>255</v>
      </c>
      <c r="O862" s="21" t="n">
        <f aca="false">IF(ISNUMBER(J862),M862-J862,"new")</f>
        <v>-95</v>
      </c>
      <c r="P862" s="5" t="s">
        <v>140</v>
      </c>
    </row>
    <row r="863" customFormat="false" ht="15" hidden="false" customHeight="false" outlineLevel="0" collapsed="false">
      <c r="A863" s="2" t="s">
        <v>994</v>
      </c>
      <c r="B863" s="2" t="s">
        <v>146</v>
      </c>
      <c r="C863" s="2" t="s">
        <v>221</v>
      </c>
      <c r="D863" s="2" t="s">
        <v>16</v>
      </c>
      <c r="E863" s="2" t="s">
        <v>48</v>
      </c>
      <c r="F863" s="14" t="n">
        <v>202.62</v>
      </c>
      <c r="G863" s="2" t="n">
        <v>1</v>
      </c>
      <c r="H863" s="2" t="n">
        <v>15</v>
      </c>
      <c r="I863" s="20" t="n">
        <v>0.77</v>
      </c>
      <c r="J863" s="14"/>
      <c r="K863" s="14"/>
      <c r="L863" s="20" t="n">
        <f aca="false">INDEX('Read me'!$B$10:$B$15,6)</f>
        <v>1.2</v>
      </c>
      <c r="M863" s="14" t="n">
        <f aca="false">IF(F863*(1+'Read me'!$B$5)&lt;='Read me'!$B$7,CEILING(F863*(1+'Read me'!$B$5)+0.5,1)-0.5,CEILING(F863*(1+'Read me'!$B$5),5))</f>
        <v>205</v>
      </c>
      <c r="N863" s="14" t="n">
        <f aca="false">IF(MAX(M863*L863,M863+'Read me'!$B$6)&lt;='Read me'!$B$7,CEILING(MAX(M863*L863,M863+'Read me'!$B$6)+0.5,1)-0.5,CEILING(MAX(M863*L863,M863+'Read me'!$B$6),5))</f>
        <v>250</v>
      </c>
      <c r="O863" s="21" t="str">
        <f aca="false">IF(ISNUMBER(J863),M863-J863,"new")</f>
        <v>new</v>
      </c>
    </row>
    <row r="864" customFormat="false" ht="15" hidden="false" customHeight="false" outlineLevel="0" collapsed="false">
      <c r="A864" s="2" t="s">
        <v>995</v>
      </c>
      <c r="B864" s="2" t="s">
        <v>146</v>
      </c>
      <c r="C864" s="2" t="s">
        <v>221</v>
      </c>
      <c r="D864" s="2" t="s">
        <v>16</v>
      </c>
      <c r="E864" s="2" t="s">
        <v>49</v>
      </c>
      <c r="F864" s="14" t="n">
        <v>249.98</v>
      </c>
      <c r="G864" s="2" t="n">
        <v>0</v>
      </c>
      <c r="H864" s="2" t="n">
        <v>15</v>
      </c>
      <c r="I864" s="20" t="n">
        <v>0.77</v>
      </c>
      <c r="J864" s="14"/>
      <c r="K864" s="14"/>
      <c r="L864" s="20" t="n">
        <f aca="false">INDEX('Read me'!$B$10:$B$15,6)</f>
        <v>1.2</v>
      </c>
      <c r="M864" s="14" t="n">
        <f aca="false">N864</f>
        <v>300</v>
      </c>
      <c r="N864" s="14" t="n">
        <f aca="false">IF(MAX((IF(F864*(1+'Read me'!$B$5)&lt;='Read me'!$B$7,CEILING(F864*(1+'Read me'!$B$5)+0.5,1)-0.5,CEILING(F864*(1+'Read me'!$B$5),5)))*L864,(IF(F864*(1+'Read me'!$B$5)&lt;='Read me'!$B$7,CEILING(F864*(1+'Read me'!$B$5)+0.5,1)-0.5,CEILING(F864*(1+'Read me'!$B$5),5)))+'Read me'!$B$6)&lt;='Read me'!$B$7,CEILING(MAX((IF(F864*(1+'Read me'!$B$5)&lt;='Read me'!$B$7,CEILING(F864*(1+'Read me'!$B$5)+0.5,1)-0.5,CEILING(F864*(1+'Read me'!$B$5),5)))*L864,(IF(F864*(1+'Read me'!$B$5)&lt;='Read me'!$B$7,CEILING(F864*(1+'Read me'!$B$5)+0.5,1)-0.5,CEILING(F864*(1+'Read me'!$B$5),5)))+'Read me'!$B$6)+0.5,1)-0.5,CEILING(MAX((IF(F864*(1+'Read me'!$B$5)&lt;='Read me'!$B$7,CEILING(F864*(1+'Read me'!$B$5)+0.5,1)-0.5,CEILING(F864*(1+'Read me'!$B$5),5)))*L864,(IF(F864*(1+'Read me'!$B$5)&lt;='Read me'!$B$7,CEILING(F864*(1+'Read me'!$B$5)+0.5,1)-0.5,CEILING(F864*(1+'Read me'!$B$5),5)))+'Read me'!$B$6),5))</f>
        <v>300</v>
      </c>
      <c r="O864" s="21" t="str">
        <f aca="false">IF(ISNUMBER(J864),M864-J864,"new")</f>
        <v>new</v>
      </c>
      <c r="P864" s="5" t="s">
        <v>140</v>
      </c>
    </row>
    <row r="865" customFormat="false" ht="15" hidden="false" customHeight="false" outlineLevel="0" collapsed="false">
      <c r="A865" s="2" t="s">
        <v>996</v>
      </c>
      <c r="B865" s="2" t="s">
        <v>146</v>
      </c>
      <c r="C865" s="2" t="s">
        <v>221</v>
      </c>
      <c r="D865" s="2" t="s">
        <v>16</v>
      </c>
      <c r="E865" s="2" t="s">
        <v>50</v>
      </c>
      <c r="F865" s="14" t="n">
        <v>293.81</v>
      </c>
      <c r="G865" s="2" t="n">
        <v>0</v>
      </c>
      <c r="H865" s="2" t="n">
        <v>15</v>
      </c>
      <c r="I865" s="20" t="n">
        <v>0.77</v>
      </c>
      <c r="J865" s="14"/>
      <c r="K865" s="14"/>
      <c r="L865" s="20" t="n">
        <f aca="false">INDEX('Read me'!$B$10:$B$15,6)</f>
        <v>1.2</v>
      </c>
      <c r="M865" s="14" t="n">
        <f aca="false">N865</f>
        <v>355</v>
      </c>
      <c r="N865" s="14" t="n">
        <f aca="false">IF(MAX((IF(F865*(1+'Read me'!$B$5)&lt;='Read me'!$B$7,CEILING(F865*(1+'Read me'!$B$5)+0.5,1)-0.5,CEILING(F865*(1+'Read me'!$B$5),5)))*L865,(IF(F865*(1+'Read me'!$B$5)&lt;='Read me'!$B$7,CEILING(F865*(1+'Read me'!$B$5)+0.5,1)-0.5,CEILING(F865*(1+'Read me'!$B$5),5)))+'Read me'!$B$6)&lt;='Read me'!$B$7,CEILING(MAX((IF(F865*(1+'Read me'!$B$5)&lt;='Read me'!$B$7,CEILING(F865*(1+'Read me'!$B$5)+0.5,1)-0.5,CEILING(F865*(1+'Read me'!$B$5),5)))*L865,(IF(F865*(1+'Read me'!$B$5)&lt;='Read me'!$B$7,CEILING(F865*(1+'Read me'!$B$5)+0.5,1)-0.5,CEILING(F865*(1+'Read me'!$B$5),5)))+'Read me'!$B$6)+0.5,1)-0.5,CEILING(MAX((IF(F865*(1+'Read me'!$B$5)&lt;='Read me'!$B$7,CEILING(F865*(1+'Read me'!$B$5)+0.5,1)-0.5,CEILING(F865*(1+'Read me'!$B$5),5)))*L865,(IF(F865*(1+'Read me'!$B$5)&lt;='Read me'!$B$7,CEILING(F865*(1+'Read me'!$B$5)+0.5,1)-0.5,CEILING(F865*(1+'Read me'!$B$5),5)))+'Read me'!$B$6),5))</f>
        <v>355</v>
      </c>
      <c r="O865" s="21" t="str">
        <f aca="false">IF(ISNUMBER(J865),M865-J865,"new")</f>
        <v>new</v>
      </c>
      <c r="P865" s="5" t="s">
        <v>140</v>
      </c>
    </row>
    <row r="866" customFormat="false" ht="15" hidden="false" customHeight="false" outlineLevel="0" collapsed="false">
      <c r="A866" s="2" t="s">
        <v>997</v>
      </c>
      <c r="B866" s="2" t="s">
        <v>146</v>
      </c>
      <c r="C866" s="2" t="s">
        <v>125</v>
      </c>
      <c r="D866" s="2" t="s">
        <v>10</v>
      </c>
      <c r="E866" s="2" t="s">
        <v>48</v>
      </c>
      <c r="F866" s="14" t="n">
        <v>14.56</v>
      </c>
      <c r="G866" s="2" t="n">
        <v>3</v>
      </c>
      <c r="H866" s="2" t="n">
        <v>12</v>
      </c>
      <c r="I866" s="20" t="n">
        <v>0.89</v>
      </c>
      <c r="J866" s="14" t="n">
        <v>19.5</v>
      </c>
      <c r="K866" s="14" t="n">
        <v>24.5</v>
      </c>
      <c r="L866" s="20" t="n">
        <f aca="false">INDEX('Read me'!$B$10:$B$15,1)</f>
        <v>1.34</v>
      </c>
      <c r="M866" s="14" t="n">
        <f aca="false">IF(F866*(1+'Read me'!$B$5)&lt;='Read me'!$B$7,CEILING(F866*(1+'Read me'!$B$5)+0.5,1)-0.5,CEILING(F866*(1+'Read me'!$B$5),5))</f>
        <v>15.5</v>
      </c>
      <c r="N866" s="14" t="n">
        <f aca="false">IF(MAX(M866*L866,M866+'Read me'!$B$6)&lt;='Read me'!$B$7,CEILING(MAX(M866*L866,M866+'Read me'!$B$6)+0.5,1)-0.5,CEILING(MAX(M866*L866,M866+'Read me'!$B$6),5))</f>
        <v>21.5</v>
      </c>
      <c r="O866" s="21" t="n">
        <f aca="false">IF(ISNUMBER(J866),M866-J866,"new")</f>
        <v>-4</v>
      </c>
    </row>
    <row r="867" customFormat="false" ht="15" hidden="false" customHeight="false" outlineLevel="0" collapsed="false">
      <c r="A867" s="2" t="s">
        <v>998</v>
      </c>
      <c r="B867" s="2" t="s">
        <v>146</v>
      </c>
      <c r="C867" s="2" t="s">
        <v>125</v>
      </c>
      <c r="D867" s="2" t="s">
        <v>10</v>
      </c>
      <c r="E867" s="2" t="s">
        <v>49</v>
      </c>
      <c r="F867" s="14" t="n">
        <v>14.56</v>
      </c>
      <c r="G867" s="2" t="n">
        <v>1</v>
      </c>
      <c r="H867" s="2" t="n">
        <v>12</v>
      </c>
      <c r="I867" s="20" t="n">
        <v>0.89</v>
      </c>
      <c r="J867" s="14" t="n">
        <v>19.5</v>
      </c>
      <c r="K867" s="14" t="n">
        <v>24.5</v>
      </c>
      <c r="L867" s="20" t="n">
        <f aca="false">INDEX('Read me'!$B$10:$B$15,1)</f>
        <v>1.34</v>
      </c>
      <c r="M867" s="14" t="n">
        <f aca="false">IF(F867*(1+'Read me'!$B$5)&lt;='Read me'!$B$7,CEILING(F867*(1+'Read me'!$B$5)+0.5,1)-0.5,CEILING(F867*(1+'Read me'!$B$5),5))</f>
        <v>15.5</v>
      </c>
      <c r="N867" s="14" t="n">
        <f aca="false">IF(MAX(M867*L867,M867+'Read me'!$B$6)&lt;='Read me'!$B$7,CEILING(MAX(M867*L867,M867+'Read me'!$B$6)+0.5,1)-0.5,CEILING(MAX(M867*L867,M867+'Read me'!$B$6),5))</f>
        <v>21.5</v>
      </c>
      <c r="O867" s="21" t="n">
        <f aca="false">IF(ISNUMBER(J867),M867-J867,"new")</f>
        <v>-4</v>
      </c>
    </row>
    <row r="868" customFormat="false" ht="15" hidden="false" customHeight="false" outlineLevel="0" collapsed="false">
      <c r="A868" s="2" t="s">
        <v>999</v>
      </c>
      <c r="B868" s="2" t="s">
        <v>146</v>
      </c>
      <c r="C868" s="2" t="s">
        <v>125</v>
      </c>
      <c r="D868" s="2" t="s">
        <v>10</v>
      </c>
      <c r="E868" s="2" t="s">
        <v>50</v>
      </c>
      <c r="F868" s="14" t="n">
        <v>18.67</v>
      </c>
      <c r="G868" s="2" t="n">
        <v>2</v>
      </c>
      <c r="H868" s="2" t="n">
        <v>12</v>
      </c>
      <c r="I868" s="20" t="n">
        <v>0.89</v>
      </c>
      <c r="J868" s="14" t="n">
        <v>19.5</v>
      </c>
      <c r="K868" s="14" t="n">
        <v>34.5</v>
      </c>
      <c r="L868" s="20" t="n">
        <f aca="false">INDEX('Read me'!$B$10:$B$15,1)</f>
        <v>1.34</v>
      </c>
      <c r="M868" s="14" t="n">
        <f aca="false">IF(F868*(1+'Read me'!$B$5)&lt;='Read me'!$B$7,CEILING(F868*(1+'Read me'!$B$5)+0.5,1)-0.5,CEILING(F868*(1+'Read me'!$B$5),5))</f>
        <v>19.5</v>
      </c>
      <c r="N868" s="14" t="n">
        <f aca="false">IF(MAX(M868*L868,M868+'Read me'!$B$6)&lt;='Read me'!$B$7,CEILING(MAX(M868*L868,M868+'Read me'!$B$6)+0.5,1)-0.5,CEILING(MAX(M868*L868,M868+'Read me'!$B$6),5))</f>
        <v>26.5</v>
      </c>
      <c r="O868" s="21" t="n">
        <f aca="false">IF(ISNUMBER(J868),M868-J868,"new")</f>
        <v>0</v>
      </c>
    </row>
    <row r="869" customFormat="false" ht="15" hidden="false" customHeight="false" outlineLevel="0" collapsed="false">
      <c r="A869" s="2" t="s">
        <v>1000</v>
      </c>
      <c r="B869" s="2" t="s">
        <v>146</v>
      </c>
      <c r="C869" s="2" t="s">
        <v>125</v>
      </c>
      <c r="D869" s="2" t="s">
        <v>12</v>
      </c>
      <c r="E869" s="2" t="s">
        <v>48</v>
      </c>
      <c r="F869" s="14" t="n">
        <v>43.7</v>
      </c>
      <c r="G869" s="2" t="n">
        <v>2</v>
      </c>
      <c r="H869" s="2" t="n">
        <v>12</v>
      </c>
      <c r="I869" s="20" t="n">
        <v>0.89</v>
      </c>
      <c r="J869" s="14" t="n">
        <v>24.5</v>
      </c>
      <c r="K869" s="14" t="n">
        <v>29.5</v>
      </c>
      <c r="L869" s="20" t="n">
        <f aca="false">INDEX('Read me'!$B$10:$B$15,2)</f>
        <v>1.26</v>
      </c>
      <c r="M869" s="14" t="n">
        <f aca="false">IF(F869*(1+'Read me'!$B$5)&lt;='Read me'!$B$7,CEILING(F869*(1+'Read me'!$B$5)+0.5,1)-0.5,CEILING(F869*(1+'Read me'!$B$5),5))</f>
        <v>45</v>
      </c>
      <c r="N869" s="14" t="n">
        <f aca="false">IF(MAX(M869*L869,M869+'Read me'!$B$6)&lt;='Read me'!$B$7,CEILING(MAX(M869*L869,M869+'Read me'!$B$6)+0.5,1)-0.5,CEILING(MAX(M869*L869,M869+'Read me'!$B$6),5))</f>
        <v>60</v>
      </c>
      <c r="O869" s="21" t="n">
        <f aca="false">IF(ISNUMBER(J869),M869-J869,"new")</f>
        <v>20.5</v>
      </c>
    </row>
    <row r="870" customFormat="false" ht="15" hidden="false" customHeight="false" outlineLevel="0" collapsed="false">
      <c r="A870" s="2" t="s">
        <v>1001</v>
      </c>
      <c r="B870" s="2" t="s">
        <v>146</v>
      </c>
      <c r="C870" s="2" t="s">
        <v>125</v>
      </c>
      <c r="D870" s="2" t="s">
        <v>12</v>
      </c>
      <c r="E870" s="2" t="s">
        <v>49</v>
      </c>
      <c r="F870" s="14" t="n">
        <v>45.81</v>
      </c>
      <c r="G870" s="2" t="n">
        <v>1</v>
      </c>
      <c r="H870" s="2" t="n">
        <v>12</v>
      </c>
      <c r="I870" s="20" t="n">
        <v>0.89</v>
      </c>
      <c r="J870" s="14" t="n">
        <v>24.5</v>
      </c>
      <c r="K870" s="14" t="n">
        <v>29.5</v>
      </c>
      <c r="L870" s="20" t="n">
        <f aca="false">INDEX('Read me'!$B$10:$B$15,2)</f>
        <v>1.26</v>
      </c>
      <c r="M870" s="14" t="n">
        <f aca="false">IF(F870*(1+'Read me'!$B$5)&lt;='Read me'!$B$7,CEILING(F870*(1+'Read me'!$B$5)+0.5,1)-0.5,CEILING(F870*(1+'Read me'!$B$5),5))</f>
        <v>50</v>
      </c>
      <c r="N870" s="14" t="n">
        <f aca="false">IF(MAX(M870*L870,M870+'Read me'!$B$6)&lt;='Read me'!$B$7,CEILING(MAX(M870*L870,M870+'Read me'!$B$6)+0.5,1)-0.5,CEILING(MAX(M870*L870,M870+'Read me'!$B$6),5))</f>
        <v>65</v>
      </c>
      <c r="O870" s="21" t="n">
        <f aca="false">IF(ISNUMBER(J870),M870-J870,"new")</f>
        <v>25.5</v>
      </c>
    </row>
    <row r="871" customFormat="false" ht="15" hidden="false" customHeight="false" outlineLevel="0" collapsed="false">
      <c r="A871" s="2" t="s">
        <v>1002</v>
      </c>
      <c r="B871" s="2" t="s">
        <v>146</v>
      </c>
      <c r="C871" s="2" t="s">
        <v>125</v>
      </c>
      <c r="D871" s="2" t="s">
        <v>12</v>
      </c>
      <c r="E871" s="2" t="s">
        <v>50</v>
      </c>
      <c r="F871" s="14" t="n">
        <v>51.61</v>
      </c>
      <c r="G871" s="2" t="n">
        <v>2</v>
      </c>
      <c r="H871" s="2" t="n">
        <v>12</v>
      </c>
      <c r="I871" s="20" t="n">
        <v>0.89</v>
      </c>
      <c r="J871" s="14" t="n">
        <v>24.5</v>
      </c>
      <c r="K871" s="14" t="n">
        <v>45</v>
      </c>
      <c r="L871" s="20" t="n">
        <f aca="false">INDEX('Read me'!$B$10:$B$15,2)</f>
        <v>1.26</v>
      </c>
      <c r="M871" s="14" t="n">
        <f aca="false">IF(F871*(1+'Read me'!$B$5)&lt;='Read me'!$B$7,CEILING(F871*(1+'Read me'!$B$5)+0.5,1)-0.5,CEILING(F871*(1+'Read me'!$B$5),5))</f>
        <v>55</v>
      </c>
      <c r="N871" s="14" t="n">
        <f aca="false">IF(MAX(M871*L871,M871+'Read me'!$B$6)&lt;='Read me'!$B$7,CEILING(MAX(M871*L871,M871+'Read me'!$B$6)+0.5,1)-0.5,CEILING(MAX(M871*L871,M871+'Read me'!$B$6),5))</f>
        <v>70</v>
      </c>
      <c r="O871" s="21" t="n">
        <f aca="false">IF(ISNUMBER(J871),M871-J871,"new")</f>
        <v>30.5</v>
      </c>
    </row>
    <row r="872" customFormat="false" ht="15" hidden="false" customHeight="false" outlineLevel="0" collapsed="false">
      <c r="A872" s="2" t="s">
        <v>1003</v>
      </c>
      <c r="B872" s="2" t="s">
        <v>146</v>
      </c>
      <c r="C872" s="2" t="s">
        <v>125</v>
      </c>
      <c r="D872" s="2" t="s">
        <v>13</v>
      </c>
      <c r="E872" s="2" t="s">
        <v>48</v>
      </c>
      <c r="F872" s="14" t="n">
        <v>72.01</v>
      </c>
      <c r="G872" s="2" t="n">
        <v>1</v>
      </c>
      <c r="H872" s="2" t="n">
        <v>12</v>
      </c>
      <c r="I872" s="20" t="n">
        <v>0.89</v>
      </c>
      <c r="J872" s="14" t="n">
        <v>45</v>
      </c>
      <c r="K872" s="14" t="n">
        <v>95</v>
      </c>
      <c r="L872" s="20" t="n">
        <f aca="false">INDEX('Read me'!$B$10:$B$15,3)</f>
        <v>1.35</v>
      </c>
      <c r="M872" s="14" t="n">
        <f aca="false">IF(F872*(1+'Read me'!$B$5)&lt;='Read me'!$B$7,CEILING(F872*(1+'Read me'!$B$5)+0.5,1)-0.5,CEILING(F872*(1+'Read me'!$B$5),5))</f>
        <v>75</v>
      </c>
      <c r="N872" s="14" t="n">
        <f aca="false">IF(MAX(M872*L872,M872+'Read me'!$B$6)&lt;='Read me'!$B$7,CEILING(MAX(M872*L872,M872+'Read me'!$B$6)+0.5,1)-0.5,CEILING(MAX(M872*L872,M872+'Read me'!$B$6),5))</f>
        <v>105</v>
      </c>
      <c r="O872" s="21" t="n">
        <f aca="false">IF(ISNUMBER(J872),M872-J872,"new")</f>
        <v>30</v>
      </c>
    </row>
    <row r="873" customFormat="false" ht="15" hidden="false" customHeight="false" outlineLevel="0" collapsed="false">
      <c r="A873" s="2" t="s">
        <v>1004</v>
      </c>
      <c r="B873" s="2" t="s">
        <v>146</v>
      </c>
      <c r="C873" s="2" t="s">
        <v>125</v>
      </c>
      <c r="D873" s="2" t="s">
        <v>13</v>
      </c>
      <c r="E873" s="2" t="s">
        <v>49</v>
      </c>
      <c r="F873" s="14" t="n">
        <v>82.73</v>
      </c>
      <c r="G873" s="2" t="n">
        <v>0</v>
      </c>
      <c r="H873" s="2" t="n">
        <v>12</v>
      </c>
      <c r="I873" s="20" t="n">
        <v>0.89</v>
      </c>
      <c r="J873" s="14" t="n">
        <v>45</v>
      </c>
      <c r="K873" s="14" t="n">
        <v>95</v>
      </c>
      <c r="L873" s="20" t="n">
        <f aca="false">INDEX('Read me'!$B$10:$B$15,3)</f>
        <v>1.35</v>
      </c>
      <c r="M873" s="14" t="n">
        <f aca="false">IF(F873*(1+'Read me'!$B$5)&lt;='Read me'!$B$7,CEILING(F873*(1+'Read me'!$B$5)+0.5,1)-0.5,CEILING(F873*(1+'Read me'!$B$5),5))</f>
        <v>85</v>
      </c>
      <c r="N873" s="14" t="n">
        <f aca="false">IF(MAX(M873*L873,M873+'Read me'!$B$6)&lt;='Read me'!$B$7,CEILING(MAX(M873*L873,M873+'Read me'!$B$6)+0.5,1)-0.5,CEILING(MAX(M873*L873,M873+'Read me'!$B$6),5))</f>
        <v>115</v>
      </c>
      <c r="O873" s="21" t="n">
        <f aca="false">IF(ISNUMBER(J873),M873-J873,"new")</f>
        <v>40</v>
      </c>
    </row>
    <row r="874" customFormat="false" ht="15" hidden="false" customHeight="false" outlineLevel="0" collapsed="false">
      <c r="A874" s="2" t="s">
        <v>1005</v>
      </c>
      <c r="B874" s="2" t="s">
        <v>146</v>
      </c>
      <c r="C874" s="2" t="s">
        <v>125</v>
      </c>
      <c r="D874" s="2" t="s">
        <v>13</v>
      </c>
      <c r="E874" s="2" t="s">
        <v>50</v>
      </c>
      <c r="F874" s="14" t="n">
        <v>111.26</v>
      </c>
      <c r="G874" s="2" t="n">
        <v>0</v>
      </c>
      <c r="H874" s="2" t="n">
        <v>12</v>
      </c>
      <c r="I874" s="20" t="n">
        <v>0.89</v>
      </c>
      <c r="J874" s="14" t="n">
        <v>99</v>
      </c>
      <c r="K874" s="14" t="n">
        <v>150</v>
      </c>
      <c r="L874" s="20" t="n">
        <f aca="false">INDEX('Read me'!$B$10:$B$15,3)</f>
        <v>1.35</v>
      </c>
      <c r="M874" s="14" t="n">
        <f aca="false">IF(F874*(1+'Read me'!$B$5)&lt;='Read me'!$B$7,CEILING(F874*(1+'Read me'!$B$5)+0.5,1)-0.5,CEILING(F874*(1+'Read me'!$B$5),5))</f>
        <v>115</v>
      </c>
      <c r="N874" s="14" t="n">
        <f aca="false">IF(MAX(M874*L874,M874+'Read me'!$B$6)&lt;='Read me'!$B$7,CEILING(MAX(M874*L874,M874+'Read me'!$B$6)+0.5,1)-0.5,CEILING(MAX(M874*L874,M874+'Read me'!$B$6),5))</f>
        <v>160</v>
      </c>
      <c r="O874" s="21" t="n">
        <f aca="false">IF(ISNUMBER(J874),M874-J874,"new")</f>
        <v>16</v>
      </c>
    </row>
    <row r="875" customFormat="false" ht="15" hidden="false" customHeight="false" outlineLevel="0" collapsed="false">
      <c r="A875" s="2" t="s">
        <v>1006</v>
      </c>
      <c r="B875" s="2" t="s">
        <v>146</v>
      </c>
      <c r="C875" s="2" t="s">
        <v>125</v>
      </c>
      <c r="D875" s="2" t="s">
        <v>14</v>
      </c>
      <c r="E875" s="2" t="s">
        <v>48</v>
      </c>
      <c r="F875" s="14" t="n">
        <v>127.35</v>
      </c>
      <c r="G875" s="2" t="n">
        <v>0</v>
      </c>
      <c r="H875" s="2" t="n">
        <v>12</v>
      </c>
      <c r="I875" s="20" t="n">
        <v>0.89</v>
      </c>
      <c r="J875" s="14" t="n">
        <v>99</v>
      </c>
      <c r="K875" s="14" t="n">
        <v>150</v>
      </c>
      <c r="L875" s="20" t="n">
        <f aca="false">INDEX('Read me'!$B$10:$B$15,4)</f>
        <v>1.2</v>
      </c>
      <c r="M875" s="14" t="n">
        <f aca="false">IF(F875*(1+'Read me'!$B$5)&lt;='Read me'!$B$7,CEILING(F875*(1+'Read me'!$B$5)+0.5,1)-0.5,CEILING(F875*(1+'Read me'!$B$5),5))</f>
        <v>130</v>
      </c>
      <c r="N875" s="14" t="n">
        <f aca="false">IF(MAX(M875*L875,M875+'Read me'!$B$6)&lt;='Read me'!$B$7,CEILING(MAX(M875*L875,M875+'Read me'!$B$6)+0.5,1)-0.5,CEILING(MAX(M875*L875,M875+'Read me'!$B$6),5))</f>
        <v>160</v>
      </c>
      <c r="O875" s="21" t="n">
        <f aca="false">IF(ISNUMBER(J875),M875-J875,"new")</f>
        <v>31</v>
      </c>
    </row>
    <row r="876" customFormat="false" ht="15" hidden="false" customHeight="false" outlineLevel="0" collapsed="false">
      <c r="A876" s="2" t="s">
        <v>1007</v>
      </c>
      <c r="B876" s="2" t="s">
        <v>146</v>
      </c>
      <c r="C876" s="2" t="s">
        <v>125</v>
      </c>
      <c r="D876" s="2" t="s">
        <v>14</v>
      </c>
      <c r="E876" s="2" t="s">
        <v>49</v>
      </c>
      <c r="F876" s="14" t="n">
        <v>152.9</v>
      </c>
      <c r="G876" s="2" t="n">
        <v>0</v>
      </c>
      <c r="H876" s="2" t="n">
        <v>12</v>
      </c>
      <c r="I876" s="20" t="n">
        <v>0.89</v>
      </c>
      <c r="J876" s="14" t="n">
        <v>150</v>
      </c>
      <c r="K876" s="14" t="n">
        <v>150</v>
      </c>
      <c r="L876" s="20" t="n">
        <f aca="false">INDEX('Read me'!$B$10:$B$15,4)</f>
        <v>1.2</v>
      </c>
      <c r="M876" s="14" t="n">
        <f aca="false">IF(F876*(1+'Read me'!$B$5)&lt;='Read me'!$B$7,CEILING(F876*(1+'Read me'!$B$5)+0.5,1)-0.5,CEILING(F876*(1+'Read me'!$B$5),5))</f>
        <v>155</v>
      </c>
      <c r="N876" s="14" t="n">
        <f aca="false">IF(MAX(M876*L876,M876+'Read me'!$B$6)&lt;='Read me'!$B$7,CEILING(MAX(M876*L876,M876+'Read me'!$B$6)+0.5,1)-0.5,CEILING(MAX(M876*L876,M876+'Read me'!$B$6),5))</f>
        <v>190</v>
      </c>
      <c r="O876" s="21" t="n">
        <f aca="false">IF(ISNUMBER(J876),M876-J876,"new")</f>
        <v>5</v>
      </c>
    </row>
    <row r="877" customFormat="false" ht="15" hidden="false" customHeight="false" outlineLevel="0" collapsed="false">
      <c r="A877" s="2" t="s">
        <v>1008</v>
      </c>
      <c r="B877" s="2" t="s">
        <v>146</v>
      </c>
      <c r="C877" s="2" t="s">
        <v>125</v>
      </c>
      <c r="D877" s="2" t="s">
        <v>14</v>
      </c>
      <c r="E877" s="2" t="s">
        <v>50</v>
      </c>
      <c r="F877" s="14" t="n">
        <v>184.27</v>
      </c>
      <c r="G877" s="2" t="n">
        <v>0</v>
      </c>
      <c r="H877" s="2" t="n">
        <v>12</v>
      </c>
      <c r="I877" s="20" t="n">
        <v>0.89</v>
      </c>
      <c r="J877" s="14" t="n">
        <v>250</v>
      </c>
      <c r="K877" s="14" t="n">
        <v>195</v>
      </c>
      <c r="L877" s="20" t="n">
        <f aca="false">INDEX('Read me'!$B$10:$B$15,4)</f>
        <v>1.2</v>
      </c>
      <c r="M877" s="14" t="n">
        <f aca="false">IF(F877*(1+'Read me'!$B$5)&lt;='Read me'!$B$7,CEILING(F877*(1+'Read me'!$B$5)+0.5,1)-0.5,CEILING(F877*(1+'Read me'!$B$5),5))</f>
        <v>185</v>
      </c>
      <c r="N877" s="14" t="n">
        <f aca="false">IF(MAX(M877*L877,M877+'Read me'!$B$6)&lt;='Read me'!$B$7,CEILING(MAX(M877*L877,M877+'Read me'!$B$6)+0.5,1)-0.5,CEILING(MAX(M877*L877,M877+'Read me'!$B$6),5))</f>
        <v>225</v>
      </c>
      <c r="O877" s="21" t="n">
        <f aca="false">IF(ISNUMBER(J877),M877-J877,"new")</f>
        <v>-65</v>
      </c>
    </row>
    <row r="878" customFormat="false" ht="15" hidden="false" customHeight="false" outlineLevel="0" collapsed="false">
      <c r="A878" s="2" t="s">
        <v>1009</v>
      </c>
      <c r="B878" s="2" t="s">
        <v>146</v>
      </c>
      <c r="C878" s="2" t="s">
        <v>125</v>
      </c>
      <c r="D878" s="2" t="s">
        <v>15</v>
      </c>
      <c r="E878" s="2" t="s">
        <v>48</v>
      </c>
      <c r="F878" s="14" t="n">
        <v>161.64</v>
      </c>
      <c r="G878" s="2" t="n">
        <v>0</v>
      </c>
      <c r="H878" s="2" t="n">
        <v>12</v>
      </c>
      <c r="I878" s="20" t="n">
        <v>0.89</v>
      </c>
      <c r="J878" s="14" t="n">
        <v>300</v>
      </c>
      <c r="K878" s="14" t="n">
        <v>300</v>
      </c>
      <c r="L878" s="20" t="n">
        <f aca="false">INDEX('Read me'!$B$10:$B$15,5)</f>
        <v>1.2</v>
      </c>
      <c r="M878" s="14" t="n">
        <f aca="false">IF(F878*(1+'Read me'!$B$5)&lt;='Read me'!$B$7,CEILING(F878*(1+'Read me'!$B$5)+0.5,1)-0.5,CEILING(F878*(1+'Read me'!$B$5),5))</f>
        <v>165</v>
      </c>
      <c r="N878" s="14" t="n">
        <f aca="false">IF(MAX(M878*L878,M878+'Read me'!$B$6)&lt;='Read me'!$B$7,CEILING(MAX(M878*L878,M878+'Read me'!$B$6)+0.5,1)-0.5,CEILING(MAX(M878*L878,M878+'Read me'!$B$6),5))</f>
        <v>200</v>
      </c>
      <c r="O878" s="21" t="n">
        <f aca="false">IF(ISNUMBER(J878),M878-J878,"new")</f>
        <v>-135</v>
      </c>
    </row>
    <row r="879" customFormat="false" ht="15" hidden="false" customHeight="false" outlineLevel="0" collapsed="false">
      <c r="A879" s="2" t="s">
        <v>1010</v>
      </c>
      <c r="B879" s="2" t="s">
        <v>146</v>
      </c>
      <c r="C879" s="2" t="s">
        <v>125</v>
      </c>
      <c r="D879" s="2" t="s">
        <v>15</v>
      </c>
      <c r="E879" s="2" t="s">
        <v>49</v>
      </c>
      <c r="F879" s="14" t="n">
        <v>199.42</v>
      </c>
      <c r="G879" s="2" t="n">
        <v>0</v>
      </c>
      <c r="H879" s="2" t="n">
        <v>12</v>
      </c>
      <c r="I879" s="20" t="n">
        <v>0.89</v>
      </c>
      <c r="J879" s="14" t="n">
        <v>300</v>
      </c>
      <c r="K879" s="14" t="n">
        <v>300</v>
      </c>
      <c r="L879" s="20" t="n">
        <f aca="false">INDEX('Read me'!$B$10:$B$15,5)</f>
        <v>1.2</v>
      </c>
      <c r="M879" s="14" t="n">
        <f aca="false">N879</f>
        <v>240</v>
      </c>
      <c r="N879" s="14" t="n">
        <f aca="false">IF(MAX((IF(F879*(1+'Read me'!$B$5)&lt;='Read me'!$B$7,CEILING(F879*(1+'Read me'!$B$5)+0.5,1)-0.5,CEILING(F879*(1+'Read me'!$B$5),5)))*L879,(IF(F879*(1+'Read me'!$B$5)&lt;='Read me'!$B$7,CEILING(F879*(1+'Read me'!$B$5)+0.5,1)-0.5,CEILING(F879*(1+'Read me'!$B$5),5)))+'Read me'!$B$6)&lt;='Read me'!$B$7,CEILING(MAX((IF(F879*(1+'Read me'!$B$5)&lt;='Read me'!$B$7,CEILING(F879*(1+'Read me'!$B$5)+0.5,1)-0.5,CEILING(F879*(1+'Read me'!$B$5),5)))*L879,(IF(F879*(1+'Read me'!$B$5)&lt;='Read me'!$B$7,CEILING(F879*(1+'Read me'!$B$5)+0.5,1)-0.5,CEILING(F879*(1+'Read me'!$B$5),5)))+'Read me'!$B$6)+0.5,1)-0.5,CEILING(MAX((IF(F879*(1+'Read me'!$B$5)&lt;='Read me'!$B$7,CEILING(F879*(1+'Read me'!$B$5)+0.5,1)-0.5,CEILING(F879*(1+'Read me'!$B$5),5)))*L879,(IF(F879*(1+'Read me'!$B$5)&lt;='Read me'!$B$7,CEILING(F879*(1+'Read me'!$B$5)+0.5,1)-0.5,CEILING(F879*(1+'Read me'!$B$5),5)))+'Read me'!$B$6),5))</f>
        <v>240</v>
      </c>
      <c r="O879" s="21" t="n">
        <f aca="false">IF(ISNUMBER(J879),M879-J879,"new")</f>
        <v>-60</v>
      </c>
      <c r="P879" s="5" t="s">
        <v>140</v>
      </c>
    </row>
    <row r="880" customFormat="false" ht="15" hidden="false" customHeight="false" outlineLevel="0" collapsed="false">
      <c r="A880" s="2" t="s">
        <v>1011</v>
      </c>
      <c r="B880" s="2" t="s">
        <v>146</v>
      </c>
      <c r="C880" s="2" t="s">
        <v>125</v>
      </c>
      <c r="D880" s="2" t="s">
        <v>15</v>
      </c>
      <c r="E880" s="2" t="s">
        <v>50</v>
      </c>
      <c r="F880" s="14" t="n">
        <v>239.61</v>
      </c>
      <c r="G880" s="2" t="n">
        <v>0</v>
      </c>
      <c r="H880" s="2" t="n">
        <v>12</v>
      </c>
      <c r="I880" s="20" t="n">
        <v>0.89</v>
      </c>
      <c r="J880" s="14" t="n">
        <v>350</v>
      </c>
      <c r="K880" s="14" t="n">
        <v>400</v>
      </c>
      <c r="L880" s="20" t="n">
        <f aca="false">INDEX('Read me'!$B$10:$B$15,5)</f>
        <v>1.2</v>
      </c>
      <c r="M880" s="14" t="n">
        <f aca="false">N880</f>
        <v>290</v>
      </c>
      <c r="N880" s="14" t="n">
        <f aca="false">IF(MAX((IF(F880*(1+'Read me'!$B$5)&lt;='Read me'!$B$7,CEILING(F880*(1+'Read me'!$B$5)+0.5,1)-0.5,CEILING(F880*(1+'Read me'!$B$5),5)))*L880,(IF(F880*(1+'Read me'!$B$5)&lt;='Read me'!$B$7,CEILING(F880*(1+'Read me'!$B$5)+0.5,1)-0.5,CEILING(F880*(1+'Read me'!$B$5),5)))+'Read me'!$B$6)&lt;='Read me'!$B$7,CEILING(MAX((IF(F880*(1+'Read me'!$B$5)&lt;='Read me'!$B$7,CEILING(F880*(1+'Read me'!$B$5)+0.5,1)-0.5,CEILING(F880*(1+'Read me'!$B$5),5)))*L880,(IF(F880*(1+'Read me'!$B$5)&lt;='Read me'!$B$7,CEILING(F880*(1+'Read me'!$B$5)+0.5,1)-0.5,CEILING(F880*(1+'Read me'!$B$5),5)))+'Read me'!$B$6)+0.5,1)-0.5,CEILING(MAX((IF(F880*(1+'Read me'!$B$5)&lt;='Read me'!$B$7,CEILING(F880*(1+'Read me'!$B$5)+0.5,1)-0.5,CEILING(F880*(1+'Read me'!$B$5),5)))*L880,(IF(F880*(1+'Read me'!$B$5)&lt;='Read me'!$B$7,CEILING(F880*(1+'Read me'!$B$5)+0.5,1)-0.5,CEILING(F880*(1+'Read me'!$B$5),5)))+'Read me'!$B$6),5))</f>
        <v>290</v>
      </c>
      <c r="O880" s="21" t="n">
        <f aca="false">IF(ISNUMBER(J880),M880-J880,"new")</f>
        <v>-60</v>
      </c>
      <c r="P880" s="5" t="s">
        <v>140</v>
      </c>
    </row>
    <row r="881" customFormat="false" ht="15" hidden="false" customHeight="false" outlineLevel="0" collapsed="false">
      <c r="A881" s="2" t="s">
        <v>1012</v>
      </c>
      <c r="B881" s="2" t="s">
        <v>146</v>
      </c>
      <c r="C881" s="2" t="s">
        <v>125</v>
      </c>
      <c r="D881" s="2" t="s">
        <v>16</v>
      </c>
      <c r="E881" s="2" t="s">
        <v>48</v>
      </c>
      <c r="F881" s="14" t="n">
        <v>224.44</v>
      </c>
      <c r="G881" s="2" t="n">
        <v>0</v>
      </c>
      <c r="H881" s="2" t="n">
        <v>12</v>
      </c>
      <c r="I881" s="20" t="n">
        <v>0.89</v>
      </c>
      <c r="J881" s="14"/>
      <c r="K881" s="14"/>
      <c r="L881" s="20" t="n">
        <f aca="false">INDEX('Read me'!$B$10:$B$15,6)</f>
        <v>1.2</v>
      </c>
      <c r="M881" s="14" t="n">
        <f aca="false">IF(F881*(1+'Read me'!$B$5)&lt;='Read me'!$B$7,CEILING(F881*(1+'Read me'!$B$5)+0.5,1)-0.5,CEILING(F881*(1+'Read me'!$B$5),5))</f>
        <v>225</v>
      </c>
      <c r="N881" s="14" t="n">
        <f aca="false">IF(MAX(M881*L881,M881+'Read me'!$B$6)&lt;='Read me'!$B$7,CEILING(MAX(M881*L881,M881+'Read me'!$B$6)+0.5,1)-0.5,CEILING(MAX(M881*L881,M881+'Read me'!$B$6),5))</f>
        <v>270</v>
      </c>
      <c r="O881" s="21" t="str">
        <f aca="false">IF(ISNUMBER(J881),M881-J881,"new")</f>
        <v>new</v>
      </c>
    </row>
    <row r="882" customFormat="false" ht="15" hidden="false" customHeight="false" outlineLevel="0" collapsed="false">
      <c r="A882" s="2" t="s">
        <v>1013</v>
      </c>
      <c r="B882" s="2" t="s">
        <v>146</v>
      </c>
      <c r="C882" s="2" t="s">
        <v>125</v>
      </c>
      <c r="D882" s="2" t="s">
        <v>16</v>
      </c>
      <c r="E882" s="2" t="s">
        <v>49</v>
      </c>
      <c r="F882" s="14" t="n">
        <v>288.4</v>
      </c>
      <c r="G882" s="2" t="n">
        <v>0</v>
      </c>
      <c r="H882" s="2" t="n">
        <v>12</v>
      </c>
      <c r="I882" s="20" t="n">
        <v>0.89</v>
      </c>
      <c r="J882" s="14"/>
      <c r="K882" s="14"/>
      <c r="L882" s="20" t="n">
        <f aca="false">INDEX('Read me'!$B$10:$B$15,6)</f>
        <v>1.2</v>
      </c>
      <c r="M882" s="14" t="n">
        <f aca="false">N882</f>
        <v>350</v>
      </c>
      <c r="N882" s="14" t="n">
        <f aca="false">IF(MAX((IF(F882*(1+'Read me'!$B$5)&lt;='Read me'!$B$7,CEILING(F882*(1+'Read me'!$B$5)+0.5,1)-0.5,CEILING(F882*(1+'Read me'!$B$5),5)))*L882,(IF(F882*(1+'Read me'!$B$5)&lt;='Read me'!$B$7,CEILING(F882*(1+'Read me'!$B$5)+0.5,1)-0.5,CEILING(F882*(1+'Read me'!$B$5),5)))+'Read me'!$B$6)&lt;='Read me'!$B$7,CEILING(MAX((IF(F882*(1+'Read me'!$B$5)&lt;='Read me'!$B$7,CEILING(F882*(1+'Read me'!$B$5)+0.5,1)-0.5,CEILING(F882*(1+'Read me'!$B$5),5)))*L882,(IF(F882*(1+'Read me'!$B$5)&lt;='Read me'!$B$7,CEILING(F882*(1+'Read me'!$B$5)+0.5,1)-0.5,CEILING(F882*(1+'Read me'!$B$5),5)))+'Read me'!$B$6)+0.5,1)-0.5,CEILING(MAX((IF(F882*(1+'Read me'!$B$5)&lt;='Read me'!$B$7,CEILING(F882*(1+'Read me'!$B$5)+0.5,1)-0.5,CEILING(F882*(1+'Read me'!$B$5),5)))*L882,(IF(F882*(1+'Read me'!$B$5)&lt;='Read me'!$B$7,CEILING(F882*(1+'Read me'!$B$5)+0.5,1)-0.5,CEILING(F882*(1+'Read me'!$B$5),5)))+'Read me'!$B$6),5))</f>
        <v>350</v>
      </c>
      <c r="O882" s="21" t="str">
        <f aca="false">IF(ISNUMBER(J882),M882-J882,"new")</f>
        <v>new</v>
      </c>
      <c r="P882" s="5" t="s">
        <v>140</v>
      </c>
    </row>
    <row r="883" customFormat="false" ht="15" hidden="false" customHeight="false" outlineLevel="0" collapsed="false">
      <c r="A883" s="2" t="s">
        <v>1014</v>
      </c>
      <c r="B883" s="2" t="s">
        <v>146</v>
      </c>
      <c r="C883" s="2" t="s">
        <v>125</v>
      </c>
      <c r="D883" s="2" t="s">
        <v>16</v>
      </c>
      <c r="E883" s="2" t="s">
        <v>50</v>
      </c>
      <c r="F883" s="14" t="n">
        <v>338.97</v>
      </c>
      <c r="G883" s="2" t="n">
        <v>0</v>
      </c>
      <c r="H883" s="2" t="n">
        <v>12</v>
      </c>
      <c r="I883" s="20" t="n">
        <v>0.89</v>
      </c>
      <c r="J883" s="14"/>
      <c r="K883" s="14"/>
      <c r="L883" s="20" t="n">
        <f aca="false">INDEX('Read me'!$B$10:$B$15,6)</f>
        <v>1.2</v>
      </c>
      <c r="M883" s="14" t="n">
        <f aca="false">N883</f>
        <v>410</v>
      </c>
      <c r="N883" s="14" t="n">
        <f aca="false">IF(MAX((IF(F883*(1+'Read me'!$B$5)&lt;='Read me'!$B$7,CEILING(F883*(1+'Read me'!$B$5)+0.5,1)-0.5,CEILING(F883*(1+'Read me'!$B$5),5)))*L883,(IF(F883*(1+'Read me'!$B$5)&lt;='Read me'!$B$7,CEILING(F883*(1+'Read me'!$B$5)+0.5,1)-0.5,CEILING(F883*(1+'Read me'!$B$5),5)))+'Read me'!$B$6)&lt;='Read me'!$B$7,CEILING(MAX((IF(F883*(1+'Read me'!$B$5)&lt;='Read me'!$B$7,CEILING(F883*(1+'Read me'!$B$5)+0.5,1)-0.5,CEILING(F883*(1+'Read me'!$B$5),5)))*L883,(IF(F883*(1+'Read me'!$B$5)&lt;='Read me'!$B$7,CEILING(F883*(1+'Read me'!$B$5)+0.5,1)-0.5,CEILING(F883*(1+'Read me'!$B$5),5)))+'Read me'!$B$6)+0.5,1)-0.5,CEILING(MAX((IF(F883*(1+'Read me'!$B$5)&lt;='Read me'!$B$7,CEILING(F883*(1+'Read me'!$B$5)+0.5,1)-0.5,CEILING(F883*(1+'Read me'!$B$5),5)))*L883,(IF(F883*(1+'Read me'!$B$5)&lt;='Read me'!$B$7,CEILING(F883*(1+'Read me'!$B$5)+0.5,1)-0.5,CEILING(F883*(1+'Read me'!$B$5),5)))+'Read me'!$B$6),5))</f>
        <v>410</v>
      </c>
      <c r="O883" s="21" t="str">
        <f aca="false">IF(ISNUMBER(J883),M883-J883,"new")</f>
        <v>new</v>
      </c>
      <c r="P883" s="5" t="s">
        <v>140</v>
      </c>
    </row>
    <row r="884" customFormat="false" ht="15" hidden="false" customHeight="false" outlineLevel="0" collapsed="false">
      <c r="A884" s="2" t="s">
        <v>1015</v>
      </c>
      <c r="B884" s="2" t="s">
        <v>240</v>
      </c>
      <c r="C884" s="2" t="s">
        <v>240</v>
      </c>
      <c r="D884" s="2" t="s">
        <v>10</v>
      </c>
      <c r="E884" s="2" t="s">
        <v>48</v>
      </c>
      <c r="F884" s="14" t="n">
        <v>7.41</v>
      </c>
      <c r="G884" s="2" t="n">
        <v>162</v>
      </c>
      <c r="H884" s="2" t="n">
        <v>532</v>
      </c>
      <c r="I884" s="20" t="n">
        <v>0.94</v>
      </c>
      <c r="J884" s="14" t="n">
        <v>9.5</v>
      </c>
      <c r="K884" s="14" t="n">
        <v>14.5</v>
      </c>
      <c r="L884" s="20" t="n">
        <f aca="false">INDEX('Read me'!$B$10:$B$15,1)</f>
        <v>1.34</v>
      </c>
      <c r="M884" s="14" t="n">
        <f aca="false">IF(F884*(1+'Read me'!$B$5)&lt;='Read me'!$B$7,CEILING(F884*(1+'Read me'!$B$5)+0.5,1)-0.5,CEILING(F884*(1+'Read me'!$B$5),5))</f>
        <v>7.5</v>
      </c>
      <c r="N884" s="14" t="n">
        <f aca="false">IF(MAX(M884*L884,M884+'Read me'!$B$6)&lt;='Read me'!$B$7,CEILING(MAX(M884*L884,M884+'Read me'!$B$6)+0.5,1)-0.5,CEILING(MAX(M884*L884,M884+'Read me'!$B$6),5))</f>
        <v>12.5</v>
      </c>
      <c r="O884" s="21" t="n">
        <f aca="false">IF(ISNUMBER(J884),M884-J884,"new")</f>
        <v>-2</v>
      </c>
    </row>
    <row r="885" customFormat="false" ht="15" hidden="false" customHeight="false" outlineLevel="0" collapsed="false">
      <c r="A885" s="2" t="s">
        <v>1016</v>
      </c>
      <c r="B885" s="2" t="s">
        <v>240</v>
      </c>
      <c r="C885" s="2" t="s">
        <v>240</v>
      </c>
      <c r="D885" s="2" t="s">
        <v>10</v>
      </c>
      <c r="E885" s="2" t="s">
        <v>49</v>
      </c>
      <c r="F885" s="14" t="n">
        <v>12.66</v>
      </c>
      <c r="G885" s="2" t="n">
        <v>13</v>
      </c>
      <c r="H885" s="2" t="n">
        <v>532</v>
      </c>
      <c r="I885" s="20" t="n">
        <v>0.94</v>
      </c>
      <c r="J885" s="14" t="n">
        <v>12.5</v>
      </c>
      <c r="K885" s="14" t="n">
        <v>17.5</v>
      </c>
      <c r="L885" s="20" t="n">
        <f aca="false">INDEX('Read me'!$B$10:$B$15,1)</f>
        <v>1.34</v>
      </c>
      <c r="M885" s="14" t="n">
        <f aca="false">IF(F885*(1+'Read me'!$B$5)&lt;='Read me'!$B$7,CEILING(F885*(1+'Read me'!$B$5)+0.5,1)-0.5,CEILING(F885*(1+'Read me'!$B$5),5))</f>
        <v>13.5</v>
      </c>
      <c r="N885" s="14" t="n">
        <f aca="false">IF(MAX(M885*L885,M885+'Read me'!$B$6)&lt;='Read me'!$B$7,CEILING(MAX(M885*L885,M885+'Read me'!$B$6)+0.5,1)-0.5,CEILING(MAX(M885*L885,M885+'Read me'!$B$6),5))</f>
        <v>18.5</v>
      </c>
      <c r="O885" s="21" t="n">
        <f aca="false">IF(ISNUMBER(J885),M885-J885,"new")</f>
        <v>1</v>
      </c>
    </row>
    <row r="886" customFormat="false" ht="15" hidden="false" customHeight="false" outlineLevel="0" collapsed="false">
      <c r="A886" s="2" t="s">
        <v>1017</v>
      </c>
      <c r="B886" s="2" t="s">
        <v>240</v>
      </c>
      <c r="C886" s="2" t="s">
        <v>240</v>
      </c>
      <c r="D886" s="2" t="s">
        <v>10</v>
      </c>
      <c r="E886" s="2" t="s">
        <v>50</v>
      </c>
      <c r="F886" s="14" t="n">
        <v>17.41</v>
      </c>
      <c r="G886" s="2" t="n">
        <v>75</v>
      </c>
      <c r="H886" s="2" t="n">
        <v>532</v>
      </c>
      <c r="I886" s="20" t="n">
        <v>0.94</v>
      </c>
      <c r="J886" s="14" t="n">
        <v>17.5</v>
      </c>
      <c r="K886" s="14" t="n">
        <v>24.5</v>
      </c>
      <c r="L886" s="20" t="n">
        <f aca="false">INDEX('Read me'!$B$10:$B$15,1)</f>
        <v>1.34</v>
      </c>
      <c r="M886" s="14" t="n">
        <f aca="false">IF(F886*(1+'Read me'!$B$5)&lt;='Read me'!$B$7,CEILING(F886*(1+'Read me'!$B$5)+0.5,1)-0.5,CEILING(F886*(1+'Read me'!$B$5),5))</f>
        <v>17.5</v>
      </c>
      <c r="N886" s="14" t="n">
        <f aca="false">IF(MAX(M886*L886,M886+'Read me'!$B$6)&lt;='Read me'!$B$7,CEILING(MAX(M886*L886,M886+'Read me'!$B$6)+0.5,1)-0.5,CEILING(MAX(M886*L886,M886+'Read me'!$B$6),5))</f>
        <v>23.5</v>
      </c>
      <c r="O886" s="21" t="n">
        <f aca="false">IF(ISNUMBER(J886),M886-J886,"new")</f>
        <v>0</v>
      </c>
    </row>
    <row r="887" customFormat="false" ht="15" hidden="false" customHeight="false" outlineLevel="0" collapsed="false">
      <c r="A887" s="2" t="s">
        <v>1018</v>
      </c>
      <c r="B887" s="2" t="s">
        <v>240</v>
      </c>
      <c r="C887" s="2" t="s">
        <v>240</v>
      </c>
      <c r="D887" s="2" t="s">
        <v>12</v>
      </c>
      <c r="E887" s="2" t="s">
        <v>48</v>
      </c>
      <c r="F887" s="14" t="n">
        <v>21.37</v>
      </c>
      <c r="G887" s="2" t="n">
        <v>117</v>
      </c>
      <c r="H887" s="2" t="n">
        <v>532</v>
      </c>
      <c r="I887" s="20" t="n">
        <v>0.94</v>
      </c>
      <c r="J887" s="14" t="n">
        <v>9.5</v>
      </c>
      <c r="K887" s="14" t="n">
        <v>19.5</v>
      </c>
      <c r="L887" s="20" t="n">
        <f aca="false">INDEX('Read me'!$B$10:$B$15,2)</f>
        <v>1.26</v>
      </c>
      <c r="M887" s="14" t="n">
        <f aca="false">IF(F887*(1+'Read me'!$B$5)&lt;='Read me'!$B$7,CEILING(F887*(1+'Read me'!$B$5)+0.5,1)-0.5,CEILING(F887*(1+'Read me'!$B$5),5))</f>
        <v>21.5</v>
      </c>
      <c r="N887" s="14" t="n">
        <f aca="false">IF(MAX(M887*L887,M887+'Read me'!$B$6)&lt;='Read me'!$B$7,CEILING(MAX(M887*L887,M887+'Read me'!$B$6)+0.5,1)-0.5,CEILING(MAX(M887*L887,M887+'Read me'!$B$6),5))</f>
        <v>27.5</v>
      </c>
      <c r="O887" s="21" t="n">
        <f aca="false">IF(ISNUMBER(J887),M887-J887,"new")</f>
        <v>12</v>
      </c>
    </row>
    <row r="888" customFormat="false" ht="15" hidden="false" customHeight="false" outlineLevel="0" collapsed="false">
      <c r="A888" s="2" t="s">
        <v>1019</v>
      </c>
      <c r="B888" s="2" t="s">
        <v>240</v>
      </c>
      <c r="C888" s="2" t="s">
        <v>240</v>
      </c>
      <c r="D888" s="2" t="s">
        <v>12</v>
      </c>
      <c r="E888" s="2" t="s">
        <v>49</v>
      </c>
      <c r="F888" s="14" t="n">
        <v>45.53</v>
      </c>
      <c r="G888" s="2" t="n">
        <v>14</v>
      </c>
      <c r="H888" s="2" t="n">
        <v>532</v>
      </c>
      <c r="I888" s="20" t="n">
        <v>0.94</v>
      </c>
      <c r="J888" s="14" t="n">
        <v>12.5</v>
      </c>
      <c r="K888" s="14" t="n">
        <v>19.5</v>
      </c>
      <c r="L888" s="20" t="n">
        <f aca="false">INDEX('Read me'!$B$10:$B$15,2)</f>
        <v>1.26</v>
      </c>
      <c r="M888" s="14" t="n">
        <f aca="false">IF(F888*(1+'Read me'!$B$5)&lt;='Read me'!$B$7,CEILING(F888*(1+'Read me'!$B$5)+0.5,1)-0.5,CEILING(F888*(1+'Read me'!$B$5),5))</f>
        <v>50</v>
      </c>
      <c r="N888" s="14" t="n">
        <f aca="false">IF(MAX(M888*L888,M888+'Read me'!$B$6)&lt;='Read me'!$B$7,CEILING(MAX(M888*L888,M888+'Read me'!$B$6)+0.5,1)-0.5,CEILING(MAX(M888*L888,M888+'Read me'!$B$6),5))</f>
        <v>65</v>
      </c>
      <c r="O888" s="21" t="n">
        <f aca="false">IF(ISNUMBER(J888),M888-J888,"new")</f>
        <v>37.5</v>
      </c>
    </row>
    <row r="889" customFormat="false" ht="15" hidden="false" customHeight="false" outlineLevel="0" collapsed="false">
      <c r="A889" s="2" t="s">
        <v>1020</v>
      </c>
      <c r="B889" s="2" t="s">
        <v>240</v>
      </c>
      <c r="C889" s="2" t="s">
        <v>240</v>
      </c>
      <c r="D889" s="2" t="s">
        <v>12</v>
      </c>
      <c r="E889" s="2" t="s">
        <v>50</v>
      </c>
      <c r="F889" s="14" t="n">
        <v>55.68</v>
      </c>
      <c r="G889" s="2" t="n">
        <v>79</v>
      </c>
      <c r="H889" s="2" t="n">
        <v>532</v>
      </c>
      <c r="I889" s="20" t="n">
        <v>0.94</v>
      </c>
      <c r="J889" s="14" t="n">
        <v>19.5</v>
      </c>
      <c r="K889" s="14" t="n">
        <v>29.5</v>
      </c>
      <c r="L889" s="20" t="n">
        <f aca="false">INDEX('Read me'!$B$10:$B$15,2)</f>
        <v>1.26</v>
      </c>
      <c r="M889" s="14" t="n">
        <f aca="false">IF(F889*(1+'Read me'!$B$5)&lt;='Read me'!$B$7,CEILING(F889*(1+'Read me'!$B$5)+0.5,1)-0.5,CEILING(F889*(1+'Read me'!$B$5),5))</f>
        <v>60</v>
      </c>
      <c r="N889" s="14" t="n">
        <f aca="false">IF(MAX(M889*L889,M889+'Read me'!$B$6)&lt;='Read me'!$B$7,CEILING(MAX(M889*L889,M889+'Read me'!$B$6)+0.5,1)-0.5,CEILING(MAX(M889*L889,M889+'Read me'!$B$6),5))</f>
        <v>80</v>
      </c>
      <c r="O889" s="21" t="n">
        <f aca="false">IF(ISNUMBER(J889),M889-J889,"new")</f>
        <v>40.5</v>
      </c>
    </row>
    <row r="890" customFormat="false" ht="15" hidden="false" customHeight="false" outlineLevel="0" collapsed="false">
      <c r="A890" s="2" t="s">
        <v>1021</v>
      </c>
      <c r="B890" s="2" t="s">
        <v>240</v>
      </c>
      <c r="C890" s="2" t="s">
        <v>240</v>
      </c>
      <c r="D890" s="2" t="s">
        <v>13</v>
      </c>
      <c r="E890" s="2" t="s">
        <v>48</v>
      </c>
      <c r="F890" s="14" t="n">
        <v>42.89</v>
      </c>
      <c r="G890" s="2" t="n">
        <v>16</v>
      </c>
      <c r="H890" s="2" t="n">
        <v>532</v>
      </c>
      <c r="I890" s="20" t="n">
        <v>0.94</v>
      </c>
      <c r="J890" s="14" t="n">
        <v>19.5</v>
      </c>
      <c r="K890" s="14" t="n">
        <v>45</v>
      </c>
      <c r="L890" s="20" t="n">
        <f aca="false">INDEX('Read me'!$B$10:$B$15,3)</f>
        <v>1.35</v>
      </c>
      <c r="M890" s="14" t="n">
        <f aca="false">IF(F890*(1+'Read me'!$B$5)&lt;='Read me'!$B$7,CEILING(F890*(1+'Read me'!$B$5)+0.5,1)-0.5,CEILING(F890*(1+'Read me'!$B$5),5))</f>
        <v>45</v>
      </c>
      <c r="N890" s="14" t="n">
        <f aca="false">IF(MAX(M890*L890,M890+'Read me'!$B$6)&lt;='Read me'!$B$7,CEILING(MAX(M890*L890,M890+'Read me'!$B$6)+0.5,1)-0.5,CEILING(MAX(M890*L890,M890+'Read me'!$B$6),5))</f>
        <v>65</v>
      </c>
      <c r="O890" s="21" t="n">
        <f aca="false">IF(ISNUMBER(J890),M890-J890,"new")</f>
        <v>25.5</v>
      </c>
    </row>
    <row r="891" customFormat="false" ht="15" hidden="false" customHeight="false" outlineLevel="0" collapsed="false">
      <c r="A891" s="2" t="s">
        <v>1022</v>
      </c>
      <c r="B891" s="2" t="s">
        <v>240</v>
      </c>
      <c r="C891" s="2" t="s">
        <v>240</v>
      </c>
      <c r="D891" s="2" t="s">
        <v>13</v>
      </c>
      <c r="E891" s="2" t="s">
        <v>49</v>
      </c>
      <c r="F891" s="14" t="n">
        <v>73.44</v>
      </c>
      <c r="G891" s="2" t="n">
        <v>0</v>
      </c>
      <c r="H891" s="2" t="n">
        <v>532</v>
      </c>
      <c r="I891" s="20" t="n">
        <v>0.94</v>
      </c>
      <c r="J891" s="14" t="n">
        <v>24.5</v>
      </c>
      <c r="K891" s="14" t="n">
        <v>45</v>
      </c>
      <c r="L891" s="20" t="n">
        <f aca="false">INDEX('Read me'!$B$10:$B$15,3)</f>
        <v>1.35</v>
      </c>
      <c r="M891" s="14" t="n">
        <f aca="false">IF(F891*(1+'Read me'!$B$5)&lt;='Read me'!$B$7,CEILING(F891*(1+'Read me'!$B$5)+0.5,1)-0.5,CEILING(F891*(1+'Read me'!$B$5),5))</f>
        <v>75</v>
      </c>
      <c r="N891" s="14" t="n">
        <f aca="false">IF(MAX(M891*L891,M891+'Read me'!$B$6)&lt;='Read me'!$B$7,CEILING(MAX(M891*L891,M891+'Read me'!$B$6)+0.5,1)-0.5,CEILING(MAX(M891*L891,M891+'Read me'!$B$6),5))</f>
        <v>105</v>
      </c>
      <c r="O891" s="21" t="n">
        <f aca="false">IF(ISNUMBER(J891),M891-J891,"new")</f>
        <v>50.5</v>
      </c>
    </row>
    <row r="892" customFormat="false" ht="15" hidden="false" customHeight="false" outlineLevel="0" collapsed="false">
      <c r="A892" s="2" t="s">
        <v>1023</v>
      </c>
      <c r="B892" s="2" t="s">
        <v>240</v>
      </c>
      <c r="C892" s="2" t="s">
        <v>240</v>
      </c>
      <c r="D892" s="2" t="s">
        <v>13</v>
      </c>
      <c r="E892" s="2" t="s">
        <v>50</v>
      </c>
      <c r="F892" s="14" t="n">
        <v>128.14</v>
      </c>
      <c r="G892" s="2" t="n">
        <v>19</v>
      </c>
      <c r="H892" s="2" t="n">
        <v>532</v>
      </c>
      <c r="I892" s="20" t="n">
        <v>0.94</v>
      </c>
      <c r="J892" s="14" t="n">
        <v>50</v>
      </c>
      <c r="K892" s="14" t="n">
        <v>95</v>
      </c>
      <c r="L892" s="20" t="n">
        <f aca="false">INDEX('Read me'!$B$10:$B$15,3)</f>
        <v>1.35</v>
      </c>
      <c r="M892" s="14" t="n">
        <f aca="false">IF(F892*(1+'Read me'!$B$5)&lt;='Read me'!$B$7,CEILING(F892*(1+'Read me'!$B$5)+0.5,1)-0.5,CEILING(F892*(1+'Read me'!$B$5),5))</f>
        <v>130</v>
      </c>
      <c r="N892" s="14" t="n">
        <f aca="false">IF(MAX(M892*L892,M892+'Read me'!$B$6)&lt;='Read me'!$B$7,CEILING(MAX(M892*L892,M892+'Read me'!$B$6)+0.5,1)-0.5,CEILING(MAX(M892*L892,M892+'Read me'!$B$6),5))</f>
        <v>180</v>
      </c>
      <c r="O892" s="21" t="n">
        <f aca="false">IF(ISNUMBER(J892),M892-J892,"new")</f>
        <v>80</v>
      </c>
    </row>
    <row r="893" customFormat="false" ht="15" hidden="false" customHeight="false" outlineLevel="0" collapsed="false">
      <c r="A893" s="2" t="s">
        <v>1024</v>
      </c>
      <c r="B893" s="2" t="s">
        <v>240</v>
      </c>
      <c r="C893" s="2" t="s">
        <v>240</v>
      </c>
      <c r="D893" s="2" t="s">
        <v>14</v>
      </c>
      <c r="E893" s="2" t="s">
        <v>48</v>
      </c>
      <c r="F893" s="14" t="n">
        <v>133.22</v>
      </c>
      <c r="G893" s="2" t="n">
        <v>17</v>
      </c>
      <c r="H893" s="2" t="n">
        <v>532</v>
      </c>
      <c r="I893" s="20" t="n">
        <v>0.94</v>
      </c>
      <c r="J893" s="14" t="n">
        <v>25</v>
      </c>
      <c r="K893" s="14" t="n">
        <v>85</v>
      </c>
      <c r="L893" s="20" t="n">
        <f aca="false">INDEX('Read me'!$B$10:$B$15,4)</f>
        <v>1.2</v>
      </c>
      <c r="M893" s="14" t="n">
        <f aca="false">IF(F893*(1+'Read me'!$B$5)&lt;='Read me'!$B$7,CEILING(F893*(1+'Read me'!$B$5)+0.5,1)-0.5,CEILING(F893*(1+'Read me'!$B$5),5))</f>
        <v>135</v>
      </c>
      <c r="N893" s="14" t="n">
        <f aca="false">IF(MAX(M893*L893,M893+'Read me'!$B$6)&lt;='Read me'!$B$7,CEILING(MAX(M893*L893,M893+'Read me'!$B$6)+0.5,1)-0.5,CEILING(MAX(M893*L893,M893+'Read me'!$B$6),5))</f>
        <v>165</v>
      </c>
      <c r="O893" s="21" t="n">
        <f aca="false">IF(ISNUMBER(J893),M893-J893,"new")</f>
        <v>110</v>
      </c>
    </row>
    <row r="894" customFormat="false" ht="15" hidden="false" customHeight="false" outlineLevel="0" collapsed="false">
      <c r="A894" s="2" t="s">
        <v>1025</v>
      </c>
      <c r="B894" s="2" t="s">
        <v>240</v>
      </c>
      <c r="C894" s="2" t="s">
        <v>240</v>
      </c>
      <c r="D894" s="2" t="s">
        <v>14</v>
      </c>
      <c r="E894" s="2" t="s">
        <v>49</v>
      </c>
      <c r="F894" s="14" t="n">
        <v>133.22</v>
      </c>
      <c r="G894" s="2" t="n">
        <v>1</v>
      </c>
      <c r="H894" s="2" t="n">
        <v>532</v>
      </c>
      <c r="I894" s="20" t="n">
        <v>0.94</v>
      </c>
      <c r="J894" s="14" t="n">
        <v>45</v>
      </c>
      <c r="K894" s="14" t="n">
        <v>125</v>
      </c>
      <c r="L894" s="20" t="n">
        <f aca="false">INDEX('Read me'!$B$10:$B$15,4)</f>
        <v>1.2</v>
      </c>
      <c r="M894" s="14" t="n">
        <f aca="false">IF(F894*(1+'Read me'!$B$5)&lt;='Read me'!$B$7,CEILING(F894*(1+'Read me'!$B$5)+0.5,1)-0.5,CEILING(F894*(1+'Read me'!$B$5),5))</f>
        <v>135</v>
      </c>
      <c r="N894" s="14" t="n">
        <f aca="false">IF(MAX(M894*L894,M894+'Read me'!$B$6)&lt;='Read me'!$B$7,CEILING(MAX(M894*L894,M894+'Read me'!$B$6)+0.5,1)-0.5,CEILING(MAX(M894*L894,M894+'Read me'!$B$6),5))</f>
        <v>165</v>
      </c>
      <c r="O894" s="21" t="n">
        <f aca="false">IF(ISNUMBER(J894),M894-J894,"new")</f>
        <v>90</v>
      </c>
    </row>
    <row r="895" customFormat="false" ht="15" hidden="false" customHeight="false" outlineLevel="0" collapsed="false">
      <c r="A895" s="2" t="s">
        <v>1026</v>
      </c>
      <c r="B895" s="2" t="s">
        <v>240</v>
      </c>
      <c r="C895" s="2" t="s">
        <v>240</v>
      </c>
      <c r="D895" s="2" t="s">
        <v>14</v>
      </c>
      <c r="E895" s="2" t="s">
        <v>50</v>
      </c>
      <c r="F895" s="14" t="n">
        <v>316.56</v>
      </c>
      <c r="G895" s="2" t="n">
        <v>11</v>
      </c>
      <c r="H895" s="2" t="n">
        <v>532</v>
      </c>
      <c r="I895" s="20" t="n">
        <v>0.94</v>
      </c>
      <c r="J895" s="14" t="n">
        <v>125</v>
      </c>
      <c r="K895" s="14" t="n">
        <v>150</v>
      </c>
      <c r="L895" s="20" t="n">
        <f aca="false">INDEX('Read me'!$B$10:$B$15,4)</f>
        <v>1.2</v>
      </c>
      <c r="M895" s="14" t="n">
        <f aca="false">IF(F895*(1+'Read me'!$B$5)&lt;='Read me'!$B$7,CEILING(F895*(1+'Read me'!$B$5)+0.5,1)-0.5,CEILING(F895*(1+'Read me'!$B$5),5))</f>
        <v>320</v>
      </c>
      <c r="N895" s="14" t="n">
        <f aca="false">IF(MAX(M895*L895,M895+'Read me'!$B$6)&lt;='Read me'!$B$7,CEILING(MAX(M895*L895,M895+'Read me'!$B$6)+0.5,1)-0.5,CEILING(MAX(M895*L895,M895+'Read me'!$B$6),5))</f>
        <v>385</v>
      </c>
      <c r="O895" s="21" t="n">
        <f aca="false">IF(ISNUMBER(J895),M895-J895,"new")</f>
        <v>195</v>
      </c>
    </row>
    <row r="896" customFormat="false" ht="15" hidden="false" customHeight="false" outlineLevel="0" collapsed="false">
      <c r="A896" s="2" t="s">
        <v>1027</v>
      </c>
      <c r="B896" s="2" t="s">
        <v>240</v>
      </c>
      <c r="C896" s="2" t="s">
        <v>240</v>
      </c>
      <c r="D896" s="2" t="s">
        <v>15</v>
      </c>
      <c r="E896" s="2" t="s">
        <v>48</v>
      </c>
      <c r="F896" s="14" t="n">
        <v>133.22</v>
      </c>
      <c r="G896" s="2" t="n">
        <v>1</v>
      </c>
      <c r="H896" s="2" t="n">
        <v>532</v>
      </c>
      <c r="I896" s="20" t="n">
        <v>0.94</v>
      </c>
      <c r="J896" s="14" t="n">
        <v>45</v>
      </c>
      <c r="K896" s="14" t="n">
        <v>85</v>
      </c>
      <c r="L896" s="20" t="n">
        <f aca="false">INDEX('Read me'!$B$10:$B$15,5)</f>
        <v>1.2</v>
      </c>
      <c r="M896" s="14" t="n">
        <f aca="false">IF(F896*(1+'Read me'!$B$5)&lt;='Read me'!$B$7,CEILING(F896*(1+'Read me'!$B$5)+0.5,1)-0.5,CEILING(F896*(1+'Read me'!$B$5),5))</f>
        <v>135</v>
      </c>
      <c r="N896" s="14" t="n">
        <f aca="false">IF(MAX(M896*L896,M896+'Read me'!$B$6)&lt;='Read me'!$B$7,CEILING(MAX(M896*L896,M896+'Read me'!$B$6)+0.5,1)-0.5,CEILING(MAX(M896*L896,M896+'Read me'!$B$6),5))</f>
        <v>165</v>
      </c>
      <c r="O896" s="21" t="n">
        <f aca="false">IF(ISNUMBER(J896),M896-J896,"new")</f>
        <v>90</v>
      </c>
    </row>
    <row r="897" customFormat="false" ht="15" hidden="false" customHeight="false" outlineLevel="0" collapsed="false">
      <c r="A897" s="2" t="s">
        <v>1028</v>
      </c>
      <c r="B897" s="2" t="s">
        <v>240</v>
      </c>
      <c r="C897" s="2" t="s">
        <v>240</v>
      </c>
      <c r="D897" s="2" t="s">
        <v>15</v>
      </c>
      <c r="E897" s="2" t="s">
        <v>49</v>
      </c>
      <c r="F897" s="14" t="n">
        <v>155.14</v>
      </c>
      <c r="G897" s="2" t="n">
        <v>0</v>
      </c>
      <c r="H897" s="2" t="n">
        <v>532</v>
      </c>
      <c r="I897" s="20" t="n">
        <v>0.94</v>
      </c>
      <c r="J897" s="14" t="n">
        <v>85</v>
      </c>
      <c r="K897" s="14" t="n">
        <v>125</v>
      </c>
      <c r="L897" s="20" t="n">
        <f aca="false">INDEX('Read me'!$B$10:$B$15,5)</f>
        <v>1.2</v>
      </c>
      <c r="M897" s="14" t="n">
        <f aca="false">IF(F897*(1+'Read me'!$B$5)&lt;='Read me'!$B$7,CEILING(F897*(1+'Read me'!$B$5)+0.5,1)-0.5,CEILING(F897*(1+'Read me'!$B$5),5))</f>
        <v>160</v>
      </c>
      <c r="N897" s="14" t="n">
        <f aca="false">IF(MAX(M897*L897,M897+'Read me'!$B$6)&lt;='Read me'!$B$7,CEILING(MAX(M897*L897,M897+'Read me'!$B$6)+0.5,1)-0.5,CEILING(MAX(M897*L897,M897+'Read me'!$B$6),5))</f>
        <v>195</v>
      </c>
      <c r="O897" s="21" t="n">
        <f aca="false">IF(ISNUMBER(J897),M897-J897,"new")</f>
        <v>75</v>
      </c>
    </row>
    <row r="898" customFormat="false" ht="15" hidden="false" customHeight="false" outlineLevel="0" collapsed="false">
      <c r="A898" s="2" t="s">
        <v>1029</v>
      </c>
      <c r="B898" s="2" t="s">
        <v>240</v>
      </c>
      <c r="C898" s="2" t="s">
        <v>240</v>
      </c>
      <c r="D898" s="2" t="s">
        <v>15</v>
      </c>
      <c r="E898" s="2" t="s">
        <v>50</v>
      </c>
      <c r="F898" s="14" t="n">
        <v>316.56</v>
      </c>
      <c r="G898" s="2" t="n">
        <v>2</v>
      </c>
      <c r="H898" s="2" t="n">
        <v>532</v>
      </c>
      <c r="I898" s="20" t="n">
        <v>0.94</v>
      </c>
      <c r="J898" s="14" t="n">
        <v>250</v>
      </c>
      <c r="K898" s="14" t="n">
        <v>350</v>
      </c>
      <c r="L898" s="20" t="n">
        <f aca="false">INDEX('Read me'!$B$10:$B$15,5)</f>
        <v>1.2</v>
      </c>
      <c r="M898" s="14" t="n">
        <f aca="false">IF(F898*(1+'Read me'!$B$5)&lt;='Read me'!$B$7,CEILING(F898*(1+'Read me'!$B$5)+0.5,1)-0.5,CEILING(F898*(1+'Read me'!$B$5),5))</f>
        <v>320</v>
      </c>
      <c r="N898" s="14" t="n">
        <f aca="false">IF(MAX(M898*L898,M898+'Read me'!$B$6)&lt;='Read me'!$B$7,CEILING(MAX(M898*L898,M898+'Read me'!$B$6)+0.5,1)-0.5,CEILING(MAX(M898*L898,M898+'Read me'!$B$6),5))</f>
        <v>385</v>
      </c>
      <c r="O898" s="21" t="n">
        <f aca="false">IF(ISNUMBER(J898),M898-J898,"new")</f>
        <v>70</v>
      </c>
    </row>
    <row r="899" customFormat="false" ht="15" hidden="false" customHeight="false" outlineLevel="0" collapsed="false">
      <c r="A899" s="2" t="s">
        <v>1030</v>
      </c>
      <c r="B899" s="2" t="s">
        <v>240</v>
      </c>
      <c r="C899" s="2" t="s">
        <v>240</v>
      </c>
      <c r="D899" s="2" t="s">
        <v>16</v>
      </c>
      <c r="E899" s="2" t="s">
        <v>48</v>
      </c>
      <c r="F899" s="14" t="n">
        <v>133.22</v>
      </c>
      <c r="G899" s="2" t="n">
        <v>4</v>
      </c>
      <c r="H899" s="2" t="n">
        <v>532</v>
      </c>
      <c r="I899" s="20" t="n">
        <v>0.94</v>
      </c>
      <c r="J899" s="14"/>
      <c r="K899" s="14"/>
      <c r="L899" s="20" t="n">
        <f aca="false">INDEX('Read me'!$B$10:$B$15,6)</f>
        <v>1.2</v>
      </c>
      <c r="M899" s="14" t="n">
        <f aca="false">IF(F899*(1+'Read me'!$B$5)&lt;='Read me'!$B$7,CEILING(F899*(1+'Read me'!$B$5)+0.5,1)-0.5,CEILING(F899*(1+'Read me'!$B$5),5))</f>
        <v>135</v>
      </c>
      <c r="N899" s="14" t="n">
        <f aca="false">IF(MAX(M899*L899,M899+'Read me'!$B$6)&lt;='Read me'!$B$7,CEILING(MAX(M899*L899,M899+'Read me'!$B$6)+0.5,1)-0.5,CEILING(MAX(M899*L899,M899+'Read me'!$B$6),5))</f>
        <v>165</v>
      </c>
      <c r="O899" s="21" t="str">
        <f aca="false">IF(ISNUMBER(J899),M899-J899,"new")</f>
        <v>new</v>
      </c>
    </row>
    <row r="900" customFormat="false" ht="15" hidden="false" customHeight="false" outlineLevel="0" collapsed="false">
      <c r="A900" s="2" t="s">
        <v>1031</v>
      </c>
      <c r="B900" s="2" t="s">
        <v>240</v>
      </c>
      <c r="C900" s="2" t="s">
        <v>240</v>
      </c>
      <c r="D900" s="2" t="s">
        <v>16</v>
      </c>
      <c r="E900" s="2" t="s">
        <v>49</v>
      </c>
      <c r="F900" s="14" t="n">
        <v>211.34</v>
      </c>
      <c r="G900" s="2" t="n">
        <v>0</v>
      </c>
      <c r="H900" s="2" t="n">
        <v>532</v>
      </c>
      <c r="I900" s="20" t="n">
        <v>0.94</v>
      </c>
      <c r="J900" s="14"/>
      <c r="K900" s="14"/>
      <c r="L900" s="20" t="n">
        <f aca="false">INDEX('Read me'!$B$10:$B$15,6)</f>
        <v>1.2</v>
      </c>
      <c r="M900" s="14" t="n">
        <f aca="false">IF(F900*(1+'Read me'!$B$5)&lt;='Read me'!$B$7,CEILING(F900*(1+'Read me'!$B$5)+0.5,1)-0.5,CEILING(F900*(1+'Read me'!$B$5),5))</f>
        <v>215</v>
      </c>
      <c r="N900" s="14" t="n">
        <f aca="false">IF(MAX(M900*L900,M900+'Read me'!$B$6)&lt;='Read me'!$B$7,CEILING(MAX(M900*L900,M900+'Read me'!$B$6)+0.5,1)-0.5,CEILING(MAX(M900*L900,M900+'Read me'!$B$6),5))</f>
        <v>260</v>
      </c>
      <c r="O900" s="21" t="str">
        <f aca="false">IF(ISNUMBER(J900),M900-J900,"new")</f>
        <v>new</v>
      </c>
    </row>
    <row r="901" customFormat="false" ht="15" hidden="false" customHeight="false" outlineLevel="0" collapsed="false">
      <c r="A901" s="2" t="s">
        <v>1032</v>
      </c>
      <c r="B901" s="2" t="s">
        <v>240</v>
      </c>
      <c r="C901" s="2" t="s">
        <v>240</v>
      </c>
      <c r="D901" s="2" t="s">
        <v>16</v>
      </c>
      <c r="E901" s="2" t="s">
        <v>50</v>
      </c>
      <c r="F901" s="14" t="n">
        <v>329.76</v>
      </c>
      <c r="G901" s="2" t="n">
        <v>1</v>
      </c>
      <c r="H901" s="2" t="n">
        <v>532</v>
      </c>
      <c r="I901" s="20" t="n">
        <v>0.94</v>
      </c>
      <c r="J901" s="14"/>
      <c r="K901" s="14"/>
      <c r="L901" s="20" t="n">
        <f aca="false">INDEX('Read me'!$B$10:$B$15,6)</f>
        <v>1.2</v>
      </c>
      <c r="M901" s="14" t="n">
        <f aca="false">IF(F901*(1+'Read me'!$B$5)&lt;='Read me'!$B$7,CEILING(F901*(1+'Read me'!$B$5)+0.5,1)-0.5,CEILING(F901*(1+'Read me'!$B$5),5))</f>
        <v>330</v>
      </c>
      <c r="N901" s="14" t="n">
        <f aca="false">IF(MAX(M901*L901,M901+'Read me'!$B$6)&lt;='Read me'!$B$7,CEILING(MAX(M901*L901,M901+'Read me'!$B$6)+0.5,1)-0.5,CEILING(MAX(M901*L901,M901+'Read me'!$B$6),5))</f>
        <v>400</v>
      </c>
      <c r="O901" s="21" t="str">
        <f aca="false">IF(ISNUMBER(J901),M901-J901,"new")</f>
        <v>new</v>
      </c>
    </row>
    <row r="902" customFormat="false" ht="15" hidden="false" customHeight="false" outlineLevel="0" collapsed="false">
      <c r="A902" s="2" t="s">
        <v>1033</v>
      </c>
      <c r="B902" s="2" t="s">
        <v>240</v>
      </c>
      <c r="C902" s="2" t="s">
        <v>165</v>
      </c>
      <c r="D902" s="2" t="s">
        <v>10</v>
      </c>
      <c r="E902" s="2" t="s">
        <v>48</v>
      </c>
      <c r="F902" s="14" t="n">
        <v>13.29</v>
      </c>
      <c r="G902" s="2" t="n">
        <v>34</v>
      </c>
      <c r="H902" s="2" t="n">
        <v>89</v>
      </c>
      <c r="I902" s="20" t="n">
        <v>1.04</v>
      </c>
      <c r="J902" s="14" t="n">
        <v>14.5</v>
      </c>
      <c r="K902" s="14" t="n">
        <v>19.5</v>
      </c>
      <c r="L902" s="20" t="n">
        <f aca="false">INDEX('Read me'!$B$10:$B$15,1)</f>
        <v>1.34</v>
      </c>
      <c r="M902" s="14" t="n">
        <f aca="false">IF(F902*(1+'Read me'!$B$5)&lt;='Read me'!$B$7,CEILING(F902*(1+'Read me'!$B$5)+0.5,1)-0.5,CEILING(F902*(1+'Read me'!$B$5),5))</f>
        <v>13.5</v>
      </c>
      <c r="N902" s="14" t="n">
        <f aca="false">IF(MAX(M902*L902,M902+'Read me'!$B$6)&lt;='Read me'!$B$7,CEILING(MAX(M902*L902,M902+'Read me'!$B$6)+0.5,1)-0.5,CEILING(MAX(M902*L902,M902+'Read me'!$B$6),5))</f>
        <v>18.5</v>
      </c>
      <c r="O902" s="21" t="n">
        <f aca="false">IF(ISNUMBER(J902),M902-J902,"new")</f>
        <v>-1</v>
      </c>
    </row>
    <row r="903" customFormat="false" ht="15" hidden="false" customHeight="false" outlineLevel="0" collapsed="false">
      <c r="A903" s="2" t="s">
        <v>1034</v>
      </c>
      <c r="B903" s="2" t="s">
        <v>240</v>
      </c>
      <c r="C903" s="2" t="s">
        <v>165</v>
      </c>
      <c r="D903" s="2" t="s">
        <v>10</v>
      </c>
      <c r="E903" s="2" t="s">
        <v>49</v>
      </c>
      <c r="F903" s="14" t="n">
        <v>15.65</v>
      </c>
      <c r="G903" s="2" t="n">
        <v>2</v>
      </c>
      <c r="H903" s="2" t="n">
        <v>89</v>
      </c>
      <c r="I903" s="20" t="n">
        <v>1.04</v>
      </c>
      <c r="J903" s="14" t="n">
        <v>14.5</v>
      </c>
      <c r="K903" s="14" t="n">
        <v>19.5</v>
      </c>
      <c r="L903" s="20" t="n">
        <f aca="false">INDEX('Read me'!$B$10:$B$15,1)</f>
        <v>1.34</v>
      </c>
      <c r="M903" s="14" t="n">
        <f aca="false">IF(F903*(1+'Read me'!$B$5)&lt;='Read me'!$B$7,CEILING(F903*(1+'Read me'!$B$5)+0.5,1)-0.5,CEILING(F903*(1+'Read me'!$B$5),5))</f>
        <v>16.5</v>
      </c>
      <c r="N903" s="14" t="n">
        <f aca="false">IF(MAX(M903*L903,M903+'Read me'!$B$6)&lt;='Read me'!$B$7,CEILING(MAX(M903*L903,M903+'Read me'!$B$6)+0.5,1)-0.5,CEILING(MAX(M903*L903,M903+'Read me'!$B$6),5))</f>
        <v>22.5</v>
      </c>
      <c r="O903" s="21" t="n">
        <f aca="false">IF(ISNUMBER(J903),M903-J903,"new")</f>
        <v>2</v>
      </c>
    </row>
    <row r="904" customFormat="false" ht="15" hidden="false" customHeight="false" outlineLevel="0" collapsed="false">
      <c r="A904" s="2" t="s">
        <v>1035</v>
      </c>
      <c r="B904" s="2" t="s">
        <v>240</v>
      </c>
      <c r="C904" s="2" t="s">
        <v>165</v>
      </c>
      <c r="D904" s="2" t="s">
        <v>10</v>
      </c>
      <c r="E904" s="2" t="s">
        <v>50</v>
      </c>
      <c r="F904" s="14" t="n">
        <v>24.45</v>
      </c>
      <c r="G904" s="2" t="n">
        <v>15</v>
      </c>
      <c r="H904" s="2" t="n">
        <v>89</v>
      </c>
      <c r="I904" s="20" t="n">
        <v>1.04</v>
      </c>
      <c r="J904" s="14" t="n">
        <v>17.5</v>
      </c>
      <c r="K904" s="14" t="n">
        <v>29.5</v>
      </c>
      <c r="L904" s="20" t="n">
        <f aca="false">INDEX('Read me'!$B$10:$B$15,1)</f>
        <v>1.34</v>
      </c>
      <c r="M904" s="14" t="n">
        <f aca="false">IF(F904*(1+'Read me'!$B$5)&lt;='Read me'!$B$7,CEILING(F904*(1+'Read me'!$B$5)+0.5,1)-0.5,CEILING(F904*(1+'Read me'!$B$5),5))</f>
        <v>24.5</v>
      </c>
      <c r="N904" s="14" t="n">
        <f aca="false">IF(MAX(M904*L904,M904+'Read me'!$B$6)&lt;='Read me'!$B$7,CEILING(MAX(M904*L904,M904+'Read me'!$B$6)+0.5,1)-0.5,CEILING(MAX(M904*L904,M904+'Read me'!$B$6),5))</f>
        <v>35</v>
      </c>
      <c r="O904" s="21" t="n">
        <f aca="false">IF(ISNUMBER(J904),M904-J904,"new")</f>
        <v>7</v>
      </c>
    </row>
    <row r="905" customFormat="false" ht="15" hidden="false" customHeight="false" outlineLevel="0" collapsed="false">
      <c r="A905" s="2" t="s">
        <v>1036</v>
      </c>
      <c r="B905" s="2" t="s">
        <v>240</v>
      </c>
      <c r="C905" s="2" t="s">
        <v>165</v>
      </c>
      <c r="D905" s="2" t="s">
        <v>12</v>
      </c>
      <c r="E905" s="2" t="s">
        <v>48</v>
      </c>
      <c r="F905" s="14" t="n">
        <v>46.52</v>
      </c>
      <c r="G905" s="2" t="n">
        <v>19</v>
      </c>
      <c r="H905" s="2" t="n">
        <v>89</v>
      </c>
      <c r="I905" s="20" t="n">
        <v>1.04</v>
      </c>
      <c r="J905" s="14" t="n">
        <v>19.5</v>
      </c>
      <c r="K905" s="14" t="n">
        <v>24.5</v>
      </c>
      <c r="L905" s="20" t="n">
        <f aca="false">INDEX('Read me'!$B$10:$B$15,2)</f>
        <v>1.26</v>
      </c>
      <c r="M905" s="14" t="n">
        <f aca="false">IF(F905*(1+'Read me'!$B$5)&lt;='Read me'!$B$7,CEILING(F905*(1+'Read me'!$B$5)+0.5,1)-0.5,CEILING(F905*(1+'Read me'!$B$5),5))</f>
        <v>50</v>
      </c>
      <c r="N905" s="14" t="n">
        <f aca="false">IF(MAX(M905*L905,M905+'Read me'!$B$6)&lt;='Read me'!$B$7,CEILING(MAX(M905*L905,M905+'Read me'!$B$6)+0.5,1)-0.5,CEILING(MAX(M905*L905,M905+'Read me'!$B$6),5))</f>
        <v>65</v>
      </c>
      <c r="O905" s="21" t="n">
        <f aca="false">IF(ISNUMBER(J905),M905-J905,"new")</f>
        <v>30.5</v>
      </c>
    </row>
    <row r="906" customFormat="false" ht="15" hidden="false" customHeight="false" outlineLevel="0" collapsed="false">
      <c r="A906" s="2" t="s">
        <v>1037</v>
      </c>
      <c r="B906" s="2" t="s">
        <v>240</v>
      </c>
      <c r="C906" s="2" t="s">
        <v>165</v>
      </c>
      <c r="D906" s="2" t="s">
        <v>12</v>
      </c>
      <c r="E906" s="2" t="s">
        <v>49</v>
      </c>
      <c r="F906" s="14" t="n">
        <v>54.54</v>
      </c>
      <c r="G906" s="2" t="n">
        <v>0</v>
      </c>
      <c r="H906" s="2" t="n">
        <v>89</v>
      </c>
      <c r="I906" s="20" t="n">
        <v>1.04</v>
      </c>
      <c r="J906" s="14" t="n">
        <v>19.5</v>
      </c>
      <c r="K906" s="14" t="n">
        <v>24.5</v>
      </c>
      <c r="L906" s="20" t="n">
        <f aca="false">INDEX('Read me'!$B$10:$B$15,2)</f>
        <v>1.26</v>
      </c>
      <c r="M906" s="14" t="n">
        <f aca="false">IF(F906*(1+'Read me'!$B$5)&lt;='Read me'!$B$7,CEILING(F906*(1+'Read me'!$B$5)+0.5,1)-0.5,CEILING(F906*(1+'Read me'!$B$5),5))</f>
        <v>55</v>
      </c>
      <c r="N906" s="14" t="n">
        <f aca="false">IF(MAX(M906*L906,M906+'Read me'!$B$6)&lt;='Read me'!$B$7,CEILING(MAX(M906*L906,M906+'Read me'!$B$6)+0.5,1)-0.5,CEILING(MAX(M906*L906,M906+'Read me'!$B$6),5))</f>
        <v>70</v>
      </c>
      <c r="O906" s="21" t="n">
        <f aca="false">IF(ISNUMBER(J906),M906-J906,"new")</f>
        <v>35.5</v>
      </c>
    </row>
    <row r="907" customFormat="false" ht="15" hidden="false" customHeight="false" outlineLevel="0" collapsed="false">
      <c r="A907" s="2" t="s">
        <v>1038</v>
      </c>
      <c r="B907" s="2" t="s">
        <v>240</v>
      </c>
      <c r="C907" s="2" t="s">
        <v>165</v>
      </c>
      <c r="D907" s="2" t="s">
        <v>12</v>
      </c>
      <c r="E907" s="2" t="s">
        <v>50</v>
      </c>
      <c r="F907" s="14" t="n">
        <v>69.96</v>
      </c>
      <c r="G907" s="2" t="n">
        <v>8</v>
      </c>
      <c r="H907" s="2" t="n">
        <v>89</v>
      </c>
      <c r="I907" s="20" t="n">
        <v>1.04</v>
      </c>
      <c r="J907" s="14" t="n">
        <v>19.5</v>
      </c>
      <c r="K907" s="14" t="n">
        <v>34.5</v>
      </c>
      <c r="L907" s="20" t="n">
        <f aca="false">INDEX('Read me'!$B$10:$B$15,2)</f>
        <v>1.26</v>
      </c>
      <c r="M907" s="14" t="n">
        <f aca="false">IF(F907*(1+'Read me'!$B$5)&lt;='Read me'!$B$7,CEILING(F907*(1+'Read me'!$B$5)+0.5,1)-0.5,CEILING(F907*(1+'Read me'!$B$5),5))</f>
        <v>70</v>
      </c>
      <c r="N907" s="14" t="n">
        <f aca="false">IF(MAX(M907*L907,M907+'Read me'!$B$6)&lt;='Read me'!$B$7,CEILING(MAX(M907*L907,M907+'Read me'!$B$6)+0.5,1)-0.5,CEILING(MAX(M907*L907,M907+'Read me'!$B$6),5))</f>
        <v>90</v>
      </c>
      <c r="O907" s="21" t="n">
        <f aca="false">IF(ISNUMBER(J907),M907-J907,"new")</f>
        <v>50.5</v>
      </c>
    </row>
    <row r="908" customFormat="false" ht="15" hidden="false" customHeight="false" outlineLevel="0" collapsed="false">
      <c r="A908" s="2" t="s">
        <v>1039</v>
      </c>
      <c r="B908" s="2" t="s">
        <v>240</v>
      </c>
      <c r="C908" s="2" t="s">
        <v>165</v>
      </c>
      <c r="D908" s="2" t="s">
        <v>13</v>
      </c>
      <c r="E908" s="2" t="s">
        <v>48</v>
      </c>
      <c r="F908" s="14" t="n">
        <v>83.02</v>
      </c>
      <c r="G908" s="2" t="n">
        <v>2</v>
      </c>
      <c r="H908" s="2" t="n">
        <v>89</v>
      </c>
      <c r="I908" s="20" t="n">
        <v>1.04</v>
      </c>
      <c r="J908" s="14" t="n">
        <v>34.5</v>
      </c>
      <c r="K908" s="14" t="n">
        <v>75</v>
      </c>
      <c r="L908" s="20" t="n">
        <f aca="false">INDEX('Read me'!$B$10:$B$15,3)</f>
        <v>1.35</v>
      </c>
      <c r="M908" s="14" t="n">
        <f aca="false">IF(F908*(1+'Read me'!$B$5)&lt;='Read me'!$B$7,CEILING(F908*(1+'Read me'!$B$5)+0.5,1)-0.5,CEILING(F908*(1+'Read me'!$B$5),5))</f>
        <v>85</v>
      </c>
      <c r="N908" s="14" t="n">
        <f aca="false">IF(MAX(M908*L908,M908+'Read me'!$B$6)&lt;='Read me'!$B$7,CEILING(MAX(M908*L908,M908+'Read me'!$B$6)+0.5,1)-0.5,CEILING(MAX(M908*L908,M908+'Read me'!$B$6),5))</f>
        <v>115</v>
      </c>
      <c r="O908" s="21" t="n">
        <f aca="false">IF(ISNUMBER(J908),M908-J908,"new")</f>
        <v>50.5</v>
      </c>
    </row>
    <row r="909" customFormat="false" ht="15" hidden="false" customHeight="false" outlineLevel="0" collapsed="false">
      <c r="A909" s="2" t="s">
        <v>1040</v>
      </c>
      <c r="B909" s="2" t="s">
        <v>240</v>
      </c>
      <c r="C909" s="2" t="s">
        <v>165</v>
      </c>
      <c r="D909" s="2" t="s">
        <v>13</v>
      </c>
      <c r="E909" s="2" t="s">
        <v>49</v>
      </c>
      <c r="F909" s="14" t="n">
        <v>101.61</v>
      </c>
      <c r="G909" s="2" t="n">
        <v>3</v>
      </c>
      <c r="H909" s="2" t="n">
        <v>89</v>
      </c>
      <c r="I909" s="20" t="n">
        <v>1.04</v>
      </c>
      <c r="J909" s="14" t="n">
        <v>34.5</v>
      </c>
      <c r="K909" s="14" t="n">
        <v>75</v>
      </c>
      <c r="L909" s="20" t="n">
        <f aca="false">INDEX('Read me'!$B$10:$B$15,3)</f>
        <v>1.35</v>
      </c>
      <c r="M909" s="14" t="n">
        <f aca="false">IF(F909*(1+'Read me'!$B$5)&lt;='Read me'!$B$7,CEILING(F909*(1+'Read me'!$B$5)+0.5,1)-0.5,CEILING(F909*(1+'Read me'!$B$5),5))</f>
        <v>105</v>
      </c>
      <c r="N909" s="14" t="n">
        <f aca="false">IF(MAX(M909*L909,M909+'Read me'!$B$6)&lt;='Read me'!$B$7,CEILING(MAX(M909*L909,M909+'Read me'!$B$6)+0.5,1)-0.5,CEILING(MAX(M909*L909,M909+'Read me'!$B$6),5))</f>
        <v>145</v>
      </c>
      <c r="O909" s="21" t="n">
        <f aca="false">IF(ISNUMBER(J909),M909-J909,"new")</f>
        <v>70.5</v>
      </c>
    </row>
    <row r="910" customFormat="false" ht="15" hidden="false" customHeight="false" outlineLevel="0" collapsed="false">
      <c r="A910" s="2" t="s">
        <v>1041</v>
      </c>
      <c r="B910" s="2" t="s">
        <v>240</v>
      </c>
      <c r="C910" s="2" t="s">
        <v>165</v>
      </c>
      <c r="D910" s="2" t="s">
        <v>13</v>
      </c>
      <c r="E910" s="2" t="s">
        <v>50</v>
      </c>
      <c r="F910" s="14" t="n">
        <v>140.88</v>
      </c>
      <c r="G910" s="2" t="n">
        <v>1</v>
      </c>
      <c r="H910" s="2" t="n">
        <v>89</v>
      </c>
      <c r="I910" s="20" t="n">
        <v>1.04</v>
      </c>
      <c r="J910" s="14" t="n">
        <v>85</v>
      </c>
      <c r="K910" s="14" t="n">
        <v>125</v>
      </c>
      <c r="L910" s="20" t="n">
        <f aca="false">INDEX('Read me'!$B$10:$B$15,3)</f>
        <v>1.35</v>
      </c>
      <c r="M910" s="14" t="n">
        <f aca="false">IF(F910*(1+'Read me'!$B$5)&lt;='Read me'!$B$7,CEILING(F910*(1+'Read me'!$B$5)+0.5,1)-0.5,CEILING(F910*(1+'Read me'!$B$5),5))</f>
        <v>145</v>
      </c>
      <c r="N910" s="14" t="n">
        <f aca="false">IF(MAX(M910*L910,M910+'Read me'!$B$6)&lt;='Read me'!$B$7,CEILING(MAX(M910*L910,M910+'Read me'!$B$6)+0.5,1)-0.5,CEILING(MAX(M910*L910,M910+'Read me'!$B$6),5))</f>
        <v>200</v>
      </c>
      <c r="O910" s="21" t="n">
        <f aca="false">IF(ISNUMBER(J910),M910-J910,"new")</f>
        <v>60</v>
      </c>
    </row>
    <row r="911" customFormat="false" ht="15" hidden="false" customHeight="false" outlineLevel="0" collapsed="false">
      <c r="A911" s="2" t="s">
        <v>1042</v>
      </c>
      <c r="B911" s="2" t="s">
        <v>240</v>
      </c>
      <c r="C911" s="2" t="s">
        <v>165</v>
      </c>
      <c r="D911" s="2" t="s">
        <v>14</v>
      </c>
      <c r="E911" s="2" t="s">
        <v>48</v>
      </c>
      <c r="F911" s="14" t="n">
        <v>152.94</v>
      </c>
      <c r="G911" s="2" t="n">
        <v>4</v>
      </c>
      <c r="H911" s="2" t="n">
        <v>89</v>
      </c>
      <c r="I911" s="20" t="n">
        <v>1.04</v>
      </c>
      <c r="J911" s="14" t="n">
        <v>85</v>
      </c>
      <c r="K911" s="14" t="n">
        <v>125</v>
      </c>
      <c r="L911" s="20" t="n">
        <f aca="false">INDEX('Read me'!$B$10:$B$15,4)</f>
        <v>1.2</v>
      </c>
      <c r="M911" s="14" t="n">
        <f aca="false">IF(F911*(1+'Read me'!$B$5)&lt;='Read me'!$B$7,CEILING(F911*(1+'Read me'!$B$5)+0.5,1)-0.5,CEILING(F911*(1+'Read me'!$B$5),5))</f>
        <v>155</v>
      </c>
      <c r="N911" s="14" t="n">
        <f aca="false">IF(MAX(M911*L911,M911+'Read me'!$B$6)&lt;='Read me'!$B$7,CEILING(MAX(M911*L911,M911+'Read me'!$B$6)+0.5,1)-0.5,CEILING(MAX(M911*L911,M911+'Read me'!$B$6),5))</f>
        <v>190</v>
      </c>
      <c r="O911" s="21" t="n">
        <f aca="false">IF(ISNUMBER(J911),M911-J911,"new")</f>
        <v>70</v>
      </c>
    </row>
    <row r="912" customFormat="false" ht="15" hidden="false" customHeight="false" outlineLevel="0" collapsed="false">
      <c r="A912" s="2" t="s">
        <v>1043</v>
      </c>
      <c r="B912" s="2" t="s">
        <v>240</v>
      </c>
      <c r="C912" s="2" t="s">
        <v>165</v>
      </c>
      <c r="D912" s="2" t="s">
        <v>14</v>
      </c>
      <c r="E912" s="2" t="s">
        <v>49</v>
      </c>
      <c r="F912" s="14" t="n">
        <v>178.68</v>
      </c>
      <c r="G912" s="2" t="n">
        <v>0</v>
      </c>
      <c r="H912" s="2" t="n">
        <v>89</v>
      </c>
      <c r="I912" s="20" t="n">
        <v>1.04</v>
      </c>
      <c r="J912" s="14" t="n">
        <v>125</v>
      </c>
      <c r="K912" s="14" t="n">
        <v>125</v>
      </c>
      <c r="L912" s="20" t="n">
        <f aca="false">INDEX('Read me'!$B$10:$B$15,4)</f>
        <v>1.2</v>
      </c>
      <c r="M912" s="14" t="n">
        <f aca="false">IF(F912*(1+'Read me'!$B$5)&lt;='Read me'!$B$7,CEILING(F912*(1+'Read me'!$B$5)+0.5,1)-0.5,CEILING(F912*(1+'Read me'!$B$5),5))</f>
        <v>180</v>
      </c>
      <c r="N912" s="14" t="n">
        <f aca="false">IF(MAX(M912*L912,M912+'Read me'!$B$6)&lt;='Read me'!$B$7,CEILING(MAX(M912*L912,M912+'Read me'!$B$6)+0.5,1)-0.5,CEILING(MAX(M912*L912,M912+'Read me'!$B$6),5))</f>
        <v>220</v>
      </c>
      <c r="O912" s="21" t="n">
        <f aca="false">IF(ISNUMBER(J912),M912-J912,"new")</f>
        <v>55</v>
      </c>
    </row>
    <row r="913" customFormat="false" ht="15" hidden="false" customHeight="false" outlineLevel="0" collapsed="false">
      <c r="A913" s="2" t="s">
        <v>1044</v>
      </c>
      <c r="B913" s="2" t="s">
        <v>240</v>
      </c>
      <c r="C913" s="2" t="s">
        <v>165</v>
      </c>
      <c r="D913" s="2" t="s">
        <v>14</v>
      </c>
      <c r="E913" s="2" t="s">
        <v>50</v>
      </c>
      <c r="F913" s="14" t="n">
        <v>215.34</v>
      </c>
      <c r="G913" s="2" t="n">
        <v>0</v>
      </c>
      <c r="H913" s="2" t="n">
        <v>89</v>
      </c>
      <c r="I913" s="20" t="n">
        <v>1.04</v>
      </c>
      <c r="J913" s="14" t="n">
        <v>195</v>
      </c>
      <c r="K913" s="14" t="n">
        <v>175</v>
      </c>
      <c r="L913" s="20" t="n">
        <f aca="false">INDEX('Read me'!$B$10:$B$15,4)</f>
        <v>1.2</v>
      </c>
      <c r="M913" s="14" t="n">
        <f aca="false">IF(F913*(1+'Read me'!$B$5)&lt;='Read me'!$B$7,CEILING(F913*(1+'Read me'!$B$5)+0.5,1)-0.5,CEILING(F913*(1+'Read me'!$B$5),5))</f>
        <v>220</v>
      </c>
      <c r="N913" s="14" t="n">
        <f aca="false">IF(MAX(M913*L913,M913+'Read me'!$B$6)&lt;='Read me'!$B$7,CEILING(MAX(M913*L913,M913+'Read me'!$B$6)+0.5,1)-0.5,CEILING(MAX(M913*L913,M913+'Read me'!$B$6),5))</f>
        <v>265</v>
      </c>
      <c r="O913" s="21" t="n">
        <f aca="false">IF(ISNUMBER(J913),M913-J913,"new")</f>
        <v>25</v>
      </c>
    </row>
    <row r="914" customFormat="false" ht="15" hidden="false" customHeight="false" outlineLevel="0" collapsed="false">
      <c r="A914" s="2" t="s">
        <v>1045</v>
      </c>
      <c r="B914" s="2" t="s">
        <v>240</v>
      </c>
      <c r="C914" s="2" t="s">
        <v>165</v>
      </c>
      <c r="D914" s="2" t="s">
        <v>15</v>
      </c>
      <c r="E914" s="2" t="s">
        <v>48</v>
      </c>
      <c r="F914" s="14" t="n">
        <v>180.26</v>
      </c>
      <c r="G914" s="2" t="n">
        <v>1</v>
      </c>
      <c r="H914" s="2" t="n">
        <v>89</v>
      </c>
      <c r="I914" s="20" t="n">
        <v>1.04</v>
      </c>
      <c r="J914" s="14" t="n">
        <v>250</v>
      </c>
      <c r="K914" s="14" t="n">
        <v>300</v>
      </c>
      <c r="L914" s="20" t="n">
        <f aca="false">INDEX('Read me'!$B$10:$B$15,5)</f>
        <v>1.2</v>
      </c>
      <c r="M914" s="14" t="n">
        <f aca="false">IF(F914*(1+'Read me'!$B$5)&lt;='Read me'!$B$7,CEILING(F914*(1+'Read me'!$B$5)+0.5,1)-0.5,CEILING(F914*(1+'Read me'!$B$5),5))</f>
        <v>185</v>
      </c>
      <c r="N914" s="14" t="n">
        <f aca="false">IF(MAX(M914*L914,M914+'Read me'!$B$6)&lt;='Read me'!$B$7,CEILING(MAX(M914*L914,M914+'Read me'!$B$6)+0.5,1)-0.5,CEILING(MAX(M914*L914,M914+'Read me'!$B$6),5))</f>
        <v>225</v>
      </c>
      <c r="O914" s="21" t="n">
        <f aca="false">IF(ISNUMBER(J914),M914-J914,"new")</f>
        <v>-65</v>
      </c>
    </row>
    <row r="915" customFormat="false" ht="15" hidden="false" customHeight="false" outlineLevel="0" collapsed="false">
      <c r="A915" s="2" t="s">
        <v>1046</v>
      </c>
      <c r="B915" s="2" t="s">
        <v>240</v>
      </c>
      <c r="C915" s="2" t="s">
        <v>165</v>
      </c>
      <c r="D915" s="2" t="s">
        <v>15</v>
      </c>
      <c r="E915" s="2" t="s">
        <v>49</v>
      </c>
      <c r="F915" s="14" t="n">
        <v>233.04</v>
      </c>
      <c r="G915" s="2" t="n">
        <v>0</v>
      </c>
      <c r="H915" s="2" t="n">
        <v>89</v>
      </c>
      <c r="I915" s="20" t="n">
        <v>1.04</v>
      </c>
      <c r="J915" s="14" t="n">
        <v>250</v>
      </c>
      <c r="K915" s="14" t="n">
        <v>300</v>
      </c>
      <c r="L915" s="20" t="n">
        <f aca="false">INDEX('Read me'!$B$10:$B$15,5)</f>
        <v>1.2</v>
      </c>
      <c r="M915" s="14" t="n">
        <f aca="false">N915</f>
        <v>285</v>
      </c>
      <c r="N915" s="14" t="n">
        <f aca="false">IF(MAX((IF(F915*(1+'Read me'!$B$5)&lt;='Read me'!$B$7,CEILING(F915*(1+'Read me'!$B$5)+0.5,1)-0.5,CEILING(F915*(1+'Read me'!$B$5),5)))*L915,(IF(F915*(1+'Read me'!$B$5)&lt;='Read me'!$B$7,CEILING(F915*(1+'Read me'!$B$5)+0.5,1)-0.5,CEILING(F915*(1+'Read me'!$B$5),5)))+'Read me'!$B$6)&lt;='Read me'!$B$7,CEILING(MAX((IF(F915*(1+'Read me'!$B$5)&lt;='Read me'!$B$7,CEILING(F915*(1+'Read me'!$B$5)+0.5,1)-0.5,CEILING(F915*(1+'Read me'!$B$5),5)))*L915,(IF(F915*(1+'Read me'!$B$5)&lt;='Read me'!$B$7,CEILING(F915*(1+'Read me'!$B$5)+0.5,1)-0.5,CEILING(F915*(1+'Read me'!$B$5),5)))+'Read me'!$B$6)+0.5,1)-0.5,CEILING(MAX((IF(F915*(1+'Read me'!$B$5)&lt;='Read me'!$B$7,CEILING(F915*(1+'Read me'!$B$5)+0.5,1)-0.5,CEILING(F915*(1+'Read me'!$B$5),5)))*L915,(IF(F915*(1+'Read me'!$B$5)&lt;='Read me'!$B$7,CEILING(F915*(1+'Read me'!$B$5)+0.5,1)-0.5,CEILING(F915*(1+'Read me'!$B$5),5)))+'Read me'!$B$6),5))</f>
        <v>285</v>
      </c>
      <c r="O915" s="21" t="n">
        <f aca="false">IF(ISNUMBER(J915),M915-J915,"new")</f>
        <v>35</v>
      </c>
      <c r="P915" s="5" t="s">
        <v>140</v>
      </c>
    </row>
    <row r="916" customFormat="false" ht="15" hidden="false" customHeight="false" outlineLevel="0" collapsed="false">
      <c r="A916" s="2" t="s">
        <v>1047</v>
      </c>
      <c r="B916" s="2" t="s">
        <v>240</v>
      </c>
      <c r="C916" s="2" t="s">
        <v>165</v>
      </c>
      <c r="D916" s="2" t="s">
        <v>15</v>
      </c>
      <c r="E916" s="2" t="s">
        <v>50</v>
      </c>
      <c r="F916" s="14" t="n">
        <v>280</v>
      </c>
      <c r="G916" s="2" t="n">
        <v>0</v>
      </c>
      <c r="H916" s="2" t="n">
        <v>89</v>
      </c>
      <c r="I916" s="20" t="n">
        <v>1.04</v>
      </c>
      <c r="J916" s="14" t="n">
        <v>300</v>
      </c>
      <c r="K916" s="14" t="n">
        <v>400</v>
      </c>
      <c r="L916" s="20" t="n">
        <f aca="false">INDEX('Read me'!$B$10:$B$15,5)</f>
        <v>1.2</v>
      </c>
      <c r="M916" s="14" t="n">
        <f aca="false">N916</f>
        <v>340</v>
      </c>
      <c r="N916" s="14" t="n">
        <f aca="false">IF(MAX((IF(F916*(1+'Read me'!$B$5)&lt;='Read me'!$B$7,CEILING(F916*(1+'Read me'!$B$5)+0.5,1)-0.5,CEILING(F916*(1+'Read me'!$B$5),5)))*L916,(IF(F916*(1+'Read me'!$B$5)&lt;='Read me'!$B$7,CEILING(F916*(1+'Read me'!$B$5)+0.5,1)-0.5,CEILING(F916*(1+'Read me'!$B$5),5)))+'Read me'!$B$6)&lt;='Read me'!$B$7,CEILING(MAX((IF(F916*(1+'Read me'!$B$5)&lt;='Read me'!$B$7,CEILING(F916*(1+'Read me'!$B$5)+0.5,1)-0.5,CEILING(F916*(1+'Read me'!$B$5),5)))*L916,(IF(F916*(1+'Read me'!$B$5)&lt;='Read me'!$B$7,CEILING(F916*(1+'Read me'!$B$5)+0.5,1)-0.5,CEILING(F916*(1+'Read me'!$B$5),5)))+'Read me'!$B$6)+0.5,1)-0.5,CEILING(MAX((IF(F916*(1+'Read me'!$B$5)&lt;='Read me'!$B$7,CEILING(F916*(1+'Read me'!$B$5)+0.5,1)-0.5,CEILING(F916*(1+'Read me'!$B$5),5)))*L916,(IF(F916*(1+'Read me'!$B$5)&lt;='Read me'!$B$7,CEILING(F916*(1+'Read me'!$B$5)+0.5,1)-0.5,CEILING(F916*(1+'Read me'!$B$5),5)))+'Read me'!$B$6),5))</f>
        <v>340</v>
      </c>
      <c r="O916" s="21" t="n">
        <f aca="false">IF(ISNUMBER(J916),M916-J916,"new")</f>
        <v>40</v>
      </c>
      <c r="P916" s="5" t="s">
        <v>140</v>
      </c>
    </row>
    <row r="917" customFormat="false" ht="15" hidden="false" customHeight="false" outlineLevel="0" collapsed="false">
      <c r="A917" s="2" t="s">
        <v>1048</v>
      </c>
      <c r="B917" s="2" t="s">
        <v>240</v>
      </c>
      <c r="C917" s="2" t="s">
        <v>165</v>
      </c>
      <c r="D917" s="2" t="s">
        <v>16</v>
      </c>
      <c r="E917" s="2" t="s">
        <v>48</v>
      </c>
      <c r="F917" s="14" t="n">
        <v>262.28</v>
      </c>
      <c r="G917" s="2" t="n">
        <v>0</v>
      </c>
      <c r="H917" s="2" t="n">
        <v>89</v>
      </c>
      <c r="I917" s="20" t="n">
        <v>1.04</v>
      </c>
      <c r="J917" s="14"/>
      <c r="K917" s="14"/>
      <c r="L917" s="20" t="n">
        <f aca="false">INDEX('Read me'!$B$10:$B$15,6)</f>
        <v>1.2</v>
      </c>
      <c r="M917" s="14" t="n">
        <f aca="false">IF(F917*(1+'Read me'!$B$5)&lt;='Read me'!$B$7,CEILING(F917*(1+'Read me'!$B$5)+0.5,1)-0.5,CEILING(F917*(1+'Read me'!$B$5),5))</f>
        <v>265</v>
      </c>
      <c r="N917" s="14" t="n">
        <f aca="false">IF(MAX(M917*L917,M917+'Read me'!$B$6)&lt;='Read me'!$B$7,CEILING(MAX(M917*L917,M917+'Read me'!$B$6)+0.5,1)-0.5,CEILING(MAX(M917*L917,M917+'Read me'!$B$6),5))</f>
        <v>320</v>
      </c>
      <c r="O917" s="21" t="str">
        <f aca="false">IF(ISNUMBER(J917),M917-J917,"new")</f>
        <v>new</v>
      </c>
    </row>
    <row r="918" customFormat="false" ht="15" hidden="false" customHeight="false" outlineLevel="0" collapsed="false">
      <c r="A918" s="2" t="s">
        <v>1049</v>
      </c>
      <c r="B918" s="2" t="s">
        <v>240</v>
      </c>
      <c r="C918" s="2" t="s">
        <v>165</v>
      </c>
      <c r="D918" s="2" t="s">
        <v>16</v>
      </c>
      <c r="E918" s="2" t="s">
        <v>49</v>
      </c>
      <c r="F918" s="14" t="n">
        <v>337.02</v>
      </c>
      <c r="G918" s="2" t="n">
        <v>0</v>
      </c>
      <c r="H918" s="2" t="n">
        <v>89</v>
      </c>
      <c r="I918" s="20" t="n">
        <v>1.04</v>
      </c>
      <c r="J918" s="14"/>
      <c r="K918" s="14"/>
      <c r="L918" s="20" t="n">
        <f aca="false">INDEX('Read me'!$B$10:$B$15,6)</f>
        <v>1.2</v>
      </c>
      <c r="M918" s="14" t="n">
        <f aca="false">N918</f>
        <v>410</v>
      </c>
      <c r="N918" s="14" t="n">
        <f aca="false">IF(MAX((IF(F918*(1+'Read me'!$B$5)&lt;='Read me'!$B$7,CEILING(F918*(1+'Read me'!$B$5)+0.5,1)-0.5,CEILING(F918*(1+'Read me'!$B$5),5)))*L918,(IF(F918*(1+'Read me'!$B$5)&lt;='Read me'!$B$7,CEILING(F918*(1+'Read me'!$B$5)+0.5,1)-0.5,CEILING(F918*(1+'Read me'!$B$5),5)))+'Read me'!$B$6)&lt;='Read me'!$B$7,CEILING(MAX((IF(F918*(1+'Read me'!$B$5)&lt;='Read me'!$B$7,CEILING(F918*(1+'Read me'!$B$5)+0.5,1)-0.5,CEILING(F918*(1+'Read me'!$B$5),5)))*L918,(IF(F918*(1+'Read me'!$B$5)&lt;='Read me'!$B$7,CEILING(F918*(1+'Read me'!$B$5)+0.5,1)-0.5,CEILING(F918*(1+'Read me'!$B$5),5)))+'Read me'!$B$6)+0.5,1)-0.5,CEILING(MAX((IF(F918*(1+'Read me'!$B$5)&lt;='Read me'!$B$7,CEILING(F918*(1+'Read me'!$B$5)+0.5,1)-0.5,CEILING(F918*(1+'Read me'!$B$5),5)))*L918,(IF(F918*(1+'Read me'!$B$5)&lt;='Read me'!$B$7,CEILING(F918*(1+'Read me'!$B$5)+0.5,1)-0.5,CEILING(F918*(1+'Read me'!$B$5),5)))+'Read me'!$B$6),5))</f>
        <v>410</v>
      </c>
      <c r="O918" s="21" t="str">
        <f aca="false">IF(ISNUMBER(J918),M918-J918,"new")</f>
        <v>new</v>
      </c>
      <c r="P918" s="5" t="s">
        <v>140</v>
      </c>
    </row>
    <row r="919" customFormat="false" ht="15" hidden="false" customHeight="false" outlineLevel="0" collapsed="false">
      <c r="A919" s="2" t="s">
        <v>1050</v>
      </c>
      <c r="B919" s="2" t="s">
        <v>240</v>
      </c>
      <c r="C919" s="2" t="s">
        <v>165</v>
      </c>
      <c r="D919" s="2" t="s">
        <v>16</v>
      </c>
      <c r="E919" s="2" t="s">
        <v>50</v>
      </c>
      <c r="F919" s="14" t="n">
        <v>396.12</v>
      </c>
      <c r="G919" s="2" t="n">
        <v>0</v>
      </c>
      <c r="H919" s="2" t="n">
        <v>89</v>
      </c>
      <c r="I919" s="20" t="n">
        <v>1.04</v>
      </c>
      <c r="J919" s="14"/>
      <c r="K919" s="14"/>
      <c r="L919" s="20" t="n">
        <f aca="false">INDEX('Read me'!$B$10:$B$15,6)</f>
        <v>1.2</v>
      </c>
      <c r="M919" s="14" t="n">
        <f aca="false">N919</f>
        <v>480</v>
      </c>
      <c r="N919" s="14" t="n">
        <f aca="false">IF(MAX((IF(F919*(1+'Read me'!$B$5)&lt;='Read me'!$B$7,CEILING(F919*(1+'Read me'!$B$5)+0.5,1)-0.5,CEILING(F919*(1+'Read me'!$B$5),5)))*L919,(IF(F919*(1+'Read me'!$B$5)&lt;='Read me'!$B$7,CEILING(F919*(1+'Read me'!$B$5)+0.5,1)-0.5,CEILING(F919*(1+'Read me'!$B$5),5)))+'Read me'!$B$6)&lt;='Read me'!$B$7,CEILING(MAX((IF(F919*(1+'Read me'!$B$5)&lt;='Read me'!$B$7,CEILING(F919*(1+'Read me'!$B$5)+0.5,1)-0.5,CEILING(F919*(1+'Read me'!$B$5),5)))*L919,(IF(F919*(1+'Read me'!$B$5)&lt;='Read me'!$B$7,CEILING(F919*(1+'Read me'!$B$5)+0.5,1)-0.5,CEILING(F919*(1+'Read me'!$B$5),5)))+'Read me'!$B$6)+0.5,1)-0.5,CEILING(MAX((IF(F919*(1+'Read me'!$B$5)&lt;='Read me'!$B$7,CEILING(F919*(1+'Read me'!$B$5)+0.5,1)-0.5,CEILING(F919*(1+'Read me'!$B$5),5)))*L919,(IF(F919*(1+'Read me'!$B$5)&lt;='Read me'!$B$7,CEILING(F919*(1+'Read me'!$B$5)+0.5,1)-0.5,CEILING(F919*(1+'Read me'!$B$5),5)))+'Read me'!$B$6),5))</f>
        <v>480</v>
      </c>
      <c r="O919" s="21" t="str">
        <f aca="false">IF(ISNUMBER(J919),M919-J919,"new")</f>
        <v>new</v>
      </c>
      <c r="P919" s="5" t="s">
        <v>140</v>
      </c>
    </row>
    <row r="920" customFormat="false" ht="15" hidden="false" customHeight="false" outlineLevel="0" collapsed="false">
      <c r="A920" s="2" t="s">
        <v>1051</v>
      </c>
      <c r="B920" s="2" t="s">
        <v>240</v>
      </c>
      <c r="C920" s="2" t="s">
        <v>146</v>
      </c>
      <c r="D920" s="2" t="s">
        <v>10</v>
      </c>
      <c r="E920" s="2" t="s">
        <v>48</v>
      </c>
      <c r="F920" s="14" t="n">
        <v>15.61</v>
      </c>
      <c r="G920" s="2" t="n">
        <v>13</v>
      </c>
      <c r="H920" s="2" t="n">
        <v>46</v>
      </c>
      <c r="I920" s="20" t="n">
        <v>1.25</v>
      </c>
      <c r="J920" s="14" t="n">
        <v>19.5</v>
      </c>
      <c r="K920" s="14" t="n">
        <v>24.5</v>
      </c>
      <c r="L920" s="20" t="n">
        <f aca="false">INDEX('Read me'!$B$10:$B$15,1)</f>
        <v>1.34</v>
      </c>
      <c r="M920" s="14" t="n">
        <f aca="false">IF(F920*(1+'Read me'!$B$5)&lt;='Read me'!$B$7,CEILING(F920*(1+'Read me'!$B$5)+0.5,1)-0.5,CEILING(F920*(1+'Read me'!$B$5),5))</f>
        <v>16.5</v>
      </c>
      <c r="N920" s="14" t="n">
        <f aca="false">IF(MAX(M920*L920,M920+'Read me'!$B$6)&lt;='Read me'!$B$7,CEILING(MAX(M920*L920,M920+'Read me'!$B$6)+0.5,1)-0.5,CEILING(MAX(M920*L920,M920+'Read me'!$B$6),5))</f>
        <v>22.5</v>
      </c>
      <c r="O920" s="21" t="n">
        <f aca="false">IF(ISNUMBER(J920),M920-J920,"new")</f>
        <v>-3</v>
      </c>
    </row>
    <row r="921" customFormat="false" ht="15" hidden="false" customHeight="false" outlineLevel="0" collapsed="false">
      <c r="A921" s="2" t="s">
        <v>1052</v>
      </c>
      <c r="B921" s="2" t="s">
        <v>240</v>
      </c>
      <c r="C921" s="2" t="s">
        <v>146</v>
      </c>
      <c r="D921" s="2" t="s">
        <v>10</v>
      </c>
      <c r="E921" s="2" t="s">
        <v>49</v>
      </c>
      <c r="F921" s="14" t="n">
        <v>23.88</v>
      </c>
      <c r="G921" s="2" t="n">
        <v>1</v>
      </c>
      <c r="H921" s="2" t="n">
        <v>46</v>
      </c>
      <c r="I921" s="20" t="n">
        <v>1.25</v>
      </c>
      <c r="J921" s="14" t="n">
        <v>19.5</v>
      </c>
      <c r="K921" s="14" t="n">
        <v>24.5</v>
      </c>
      <c r="L921" s="20" t="n">
        <f aca="false">INDEX('Read me'!$B$10:$B$15,1)</f>
        <v>1.34</v>
      </c>
      <c r="M921" s="14" t="n">
        <f aca="false">IF(F921*(1+'Read me'!$B$5)&lt;='Read me'!$B$7,CEILING(F921*(1+'Read me'!$B$5)+0.5,1)-0.5,CEILING(F921*(1+'Read me'!$B$5),5))</f>
        <v>24.5</v>
      </c>
      <c r="N921" s="14" t="n">
        <f aca="false">IF(MAX(M921*L921,M921+'Read me'!$B$6)&lt;='Read me'!$B$7,CEILING(MAX(M921*L921,M921+'Read me'!$B$6)+0.5,1)-0.5,CEILING(MAX(M921*L921,M921+'Read me'!$B$6),5))</f>
        <v>35</v>
      </c>
      <c r="O921" s="21" t="n">
        <f aca="false">IF(ISNUMBER(J921),M921-J921,"new")</f>
        <v>5</v>
      </c>
    </row>
    <row r="922" customFormat="false" ht="15" hidden="false" customHeight="false" outlineLevel="0" collapsed="false">
      <c r="A922" s="2" t="s">
        <v>1053</v>
      </c>
      <c r="B922" s="2" t="s">
        <v>240</v>
      </c>
      <c r="C922" s="2" t="s">
        <v>146</v>
      </c>
      <c r="D922" s="2" t="s">
        <v>10</v>
      </c>
      <c r="E922" s="2" t="s">
        <v>50</v>
      </c>
      <c r="F922" s="14" t="n">
        <v>33.81</v>
      </c>
      <c r="G922" s="2" t="n">
        <v>8</v>
      </c>
      <c r="H922" s="2" t="n">
        <v>46</v>
      </c>
      <c r="I922" s="20" t="n">
        <v>1.25</v>
      </c>
      <c r="J922" s="14" t="n">
        <v>19.5</v>
      </c>
      <c r="K922" s="14" t="n">
        <v>34.5</v>
      </c>
      <c r="L922" s="20" t="n">
        <f aca="false">INDEX('Read me'!$B$10:$B$15,1)</f>
        <v>1.34</v>
      </c>
      <c r="M922" s="14" t="n">
        <f aca="false">IF(F922*(1+'Read me'!$B$5)&lt;='Read me'!$B$7,CEILING(F922*(1+'Read me'!$B$5)+0.5,1)-0.5,CEILING(F922*(1+'Read me'!$B$5),5))</f>
        <v>35</v>
      </c>
      <c r="N922" s="14" t="n">
        <f aca="false">IF(MAX(M922*L922,M922+'Read me'!$B$6)&lt;='Read me'!$B$7,CEILING(MAX(M922*L922,M922+'Read me'!$B$6)+0.5,1)-0.5,CEILING(MAX(M922*L922,M922+'Read me'!$B$6),5))</f>
        <v>50</v>
      </c>
      <c r="O922" s="21" t="n">
        <f aca="false">IF(ISNUMBER(J922),M922-J922,"new")</f>
        <v>15.5</v>
      </c>
    </row>
    <row r="923" customFormat="false" ht="15" hidden="false" customHeight="false" outlineLevel="0" collapsed="false">
      <c r="A923" s="2" t="s">
        <v>1054</v>
      </c>
      <c r="B923" s="2" t="s">
        <v>240</v>
      </c>
      <c r="C923" s="2" t="s">
        <v>146</v>
      </c>
      <c r="D923" s="2" t="s">
        <v>12</v>
      </c>
      <c r="E923" s="2" t="s">
        <v>48</v>
      </c>
      <c r="F923" s="14" t="n">
        <v>61.14</v>
      </c>
      <c r="G923" s="2" t="n">
        <v>12</v>
      </c>
      <c r="H923" s="2" t="n">
        <v>46</v>
      </c>
      <c r="I923" s="20" t="n">
        <v>1.25</v>
      </c>
      <c r="J923" s="14" t="n">
        <v>24.5</v>
      </c>
      <c r="K923" s="14" t="n">
        <v>29.5</v>
      </c>
      <c r="L923" s="20" t="n">
        <f aca="false">INDEX('Read me'!$B$10:$B$15,2)</f>
        <v>1.26</v>
      </c>
      <c r="M923" s="14" t="n">
        <f aca="false">IF(F923*(1+'Read me'!$B$5)&lt;='Read me'!$B$7,CEILING(F923*(1+'Read me'!$B$5)+0.5,1)-0.5,CEILING(F923*(1+'Read me'!$B$5),5))</f>
        <v>65</v>
      </c>
      <c r="N923" s="14" t="n">
        <f aca="false">IF(MAX(M923*L923,M923+'Read me'!$B$6)&lt;='Read me'!$B$7,CEILING(MAX(M923*L923,M923+'Read me'!$B$6)+0.5,1)-0.5,CEILING(MAX(M923*L923,M923+'Read me'!$B$6),5))</f>
        <v>85</v>
      </c>
      <c r="O923" s="21" t="n">
        <f aca="false">IF(ISNUMBER(J923),M923-J923,"new")</f>
        <v>40.5</v>
      </c>
    </row>
    <row r="924" customFormat="false" ht="15" hidden="false" customHeight="false" outlineLevel="0" collapsed="false">
      <c r="A924" s="2" t="s">
        <v>1055</v>
      </c>
      <c r="B924" s="2" t="s">
        <v>240</v>
      </c>
      <c r="C924" s="2" t="s">
        <v>146</v>
      </c>
      <c r="D924" s="2" t="s">
        <v>12</v>
      </c>
      <c r="E924" s="2" t="s">
        <v>49</v>
      </c>
      <c r="F924" s="14" t="n">
        <v>65.61</v>
      </c>
      <c r="G924" s="2" t="n">
        <v>0</v>
      </c>
      <c r="H924" s="2" t="n">
        <v>46</v>
      </c>
      <c r="I924" s="20" t="n">
        <v>1.25</v>
      </c>
      <c r="J924" s="14" t="n">
        <v>24.5</v>
      </c>
      <c r="K924" s="14" t="n">
        <v>29.5</v>
      </c>
      <c r="L924" s="20" t="n">
        <f aca="false">INDEX('Read me'!$B$10:$B$15,2)</f>
        <v>1.26</v>
      </c>
      <c r="M924" s="14" t="n">
        <f aca="false">IF(F924*(1+'Read me'!$B$5)&lt;='Read me'!$B$7,CEILING(F924*(1+'Read me'!$B$5)+0.5,1)-0.5,CEILING(F924*(1+'Read me'!$B$5),5))</f>
        <v>70</v>
      </c>
      <c r="N924" s="14" t="n">
        <f aca="false">IF(MAX(M924*L924,M924+'Read me'!$B$6)&lt;='Read me'!$B$7,CEILING(MAX(M924*L924,M924+'Read me'!$B$6)+0.5,1)-0.5,CEILING(MAX(M924*L924,M924+'Read me'!$B$6),5))</f>
        <v>90</v>
      </c>
      <c r="O924" s="21" t="n">
        <f aca="false">IF(ISNUMBER(J924),M924-J924,"new")</f>
        <v>45.5</v>
      </c>
    </row>
    <row r="925" customFormat="false" ht="15" hidden="false" customHeight="false" outlineLevel="0" collapsed="false">
      <c r="A925" s="2" t="s">
        <v>1056</v>
      </c>
      <c r="B925" s="2" t="s">
        <v>240</v>
      </c>
      <c r="C925" s="2" t="s">
        <v>146</v>
      </c>
      <c r="D925" s="2" t="s">
        <v>12</v>
      </c>
      <c r="E925" s="2" t="s">
        <v>50</v>
      </c>
      <c r="F925" s="14" t="n">
        <v>78.78</v>
      </c>
      <c r="G925" s="2" t="n">
        <v>9</v>
      </c>
      <c r="H925" s="2" t="n">
        <v>46</v>
      </c>
      <c r="I925" s="20" t="n">
        <v>1.25</v>
      </c>
      <c r="J925" s="14" t="n">
        <v>29.5</v>
      </c>
      <c r="K925" s="14" t="n">
        <v>45</v>
      </c>
      <c r="L925" s="20" t="n">
        <f aca="false">INDEX('Read me'!$B$10:$B$15,2)</f>
        <v>1.26</v>
      </c>
      <c r="M925" s="14" t="n">
        <f aca="false">IF(F925*(1+'Read me'!$B$5)&lt;='Read me'!$B$7,CEILING(F925*(1+'Read me'!$B$5)+0.5,1)-0.5,CEILING(F925*(1+'Read me'!$B$5),5))</f>
        <v>80</v>
      </c>
      <c r="N925" s="14" t="n">
        <f aca="false">IF(MAX(M925*L925,M925+'Read me'!$B$6)&lt;='Read me'!$B$7,CEILING(MAX(M925*L925,M925+'Read me'!$B$6)+0.5,1)-0.5,CEILING(MAX(M925*L925,M925+'Read me'!$B$6),5))</f>
        <v>105</v>
      </c>
      <c r="O925" s="21" t="n">
        <f aca="false">IF(ISNUMBER(J925),M925-J925,"new")</f>
        <v>50.5</v>
      </c>
    </row>
    <row r="926" customFormat="false" ht="15" hidden="false" customHeight="false" outlineLevel="0" collapsed="false">
      <c r="A926" s="2" t="s">
        <v>1057</v>
      </c>
      <c r="B926" s="2" t="s">
        <v>240</v>
      </c>
      <c r="C926" s="2" t="s">
        <v>146</v>
      </c>
      <c r="D926" s="2" t="s">
        <v>13</v>
      </c>
      <c r="E926" s="2" t="s">
        <v>48</v>
      </c>
      <c r="F926" s="14" t="n">
        <v>103.4</v>
      </c>
      <c r="G926" s="2" t="n">
        <v>0</v>
      </c>
      <c r="H926" s="2" t="n">
        <v>46</v>
      </c>
      <c r="I926" s="20" t="n">
        <v>1.25</v>
      </c>
      <c r="J926" s="14" t="n">
        <v>45</v>
      </c>
      <c r="K926" s="14" t="n">
        <v>95</v>
      </c>
      <c r="L926" s="20" t="n">
        <f aca="false">INDEX('Read me'!$B$10:$B$15,3)</f>
        <v>1.35</v>
      </c>
      <c r="M926" s="14" t="n">
        <f aca="false">IF(F926*(1+'Read me'!$B$5)&lt;='Read me'!$B$7,CEILING(F926*(1+'Read me'!$B$5)+0.5,1)-0.5,CEILING(F926*(1+'Read me'!$B$5),5))</f>
        <v>105</v>
      </c>
      <c r="N926" s="14" t="n">
        <f aca="false">IF(MAX(M926*L926,M926+'Read me'!$B$6)&lt;='Read me'!$B$7,CEILING(MAX(M926*L926,M926+'Read me'!$B$6)+0.5,1)-0.5,CEILING(MAX(M926*L926,M926+'Read me'!$B$6),5))</f>
        <v>145</v>
      </c>
      <c r="O926" s="21" t="n">
        <f aca="false">IF(ISNUMBER(J926),M926-J926,"new")</f>
        <v>60</v>
      </c>
    </row>
    <row r="927" customFormat="false" ht="15" hidden="false" customHeight="false" outlineLevel="0" collapsed="false">
      <c r="A927" s="2" t="s">
        <v>1058</v>
      </c>
      <c r="B927" s="2" t="s">
        <v>240</v>
      </c>
      <c r="C927" s="2" t="s">
        <v>146</v>
      </c>
      <c r="D927" s="2" t="s">
        <v>13</v>
      </c>
      <c r="E927" s="2" t="s">
        <v>49</v>
      </c>
      <c r="F927" s="14" t="n">
        <v>116.32</v>
      </c>
      <c r="G927" s="2" t="n">
        <v>0</v>
      </c>
      <c r="H927" s="2" t="n">
        <v>46</v>
      </c>
      <c r="I927" s="20" t="n">
        <v>1.25</v>
      </c>
      <c r="J927" s="14" t="n">
        <v>45</v>
      </c>
      <c r="K927" s="14" t="n">
        <v>95</v>
      </c>
      <c r="L927" s="20" t="n">
        <f aca="false">INDEX('Read me'!$B$10:$B$15,3)</f>
        <v>1.35</v>
      </c>
      <c r="M927" s="14" t="n">
        <f aca="false">IF(F927*(1+'Read me'!$B$5)&lt;='Read me'!$B$7,CEILING(F927*(1+'Read me'!$B$5)+0.5,1)-0.5,CEILING(F927*(1+'Read me'!$B$5),5))</f>
        <v>120</v>
      </c>
      <c r="N927" s="14" t="n">
        <f aca="false">IF(MAX(M927*L927,M927+'Read me'!$B$6)&lt;='Read me'!$B$7,CEILING(MAX(M927*L927,M927+'Read me'!$B$6)+0.5,1)-0.5,CEILING(MAX(M927*L927,M927+'Read me'!$B$6),5))</f>
        <v>165</v>
      </c>
      <c r="O927" s="21" t="n">
        <f aca="false">IF(ISNUMBER(J927),M927-J927,"new")</f>
        <v>75</v>
      </c>
    </row>
    <row r="928" customFormat="false" ht="15" hidden="false" customHeight="false" outlineLevel="0" collapsed="false">
      <c r="A928" s="2" t="s">
        <v>1059</v>
      </c>
      <c r="B928" s="2" t="s">
        <v>240</v>
      </c>
      <c r="C928" s="2" t="s">
        <v>146</v>
      </c>
      <c r="D928" s="2" t="s">
        <v>13</v>
      </c>
      <c r="E928" s="2" t="s">
        <v>50</v>
      </c>
      <c r="F928" s="14" t="n">
        <v>154.52</v>
      </c>
      <c r="G928" s="2" t="n">
        <v>2</v>
      </c>
      <c r="H928" s="2" t="n">
        <v>46</v>
      </c>
      <c r="I928" s="20" t="n">
        <v>1.25</v>
      </c>
      <c r="J928" s="14" t="n">
        <v>125</v>
      </c>
      <c r="K928" s="14" t="n">
        <v>150</v>
      </c>
      <c r="L928" s="20" t="n">
        <f aca="false">INDEX('Read me'!$B$10:$B$15,3)</f>
        <v>1.35</v>
      </c>
      <c r="M928" s="14" t="n">
        <f aca="false">IF(F928*(1+'Read me'!$B$5)&lt;='Read me'!$B$7,CEILING(F928*(1+'Read me'!$B$5)+0.5,1)-0.5,CEILING(F928*(1+'Read me'!$B$5),5))</f>
        <v>155</v>
      </c>
      <c r="N928" s="14" t="n">
        <f aca="false">IF(MAX(M928*L928,M928+'Read me'!$B$6)&lt;='Read me'!$B$7,CEILING(MAX(M928*L928,M928+'Read me'!$B$6)+0.5,1)-0.5,CEILING(MAX(M928*L928,M928+'Read me'!$B$6),5))</f>
        <v>210</v>
      </c>
      <c r="O928" s="21" t="n">
        <f aca="false">IF(ISNUMBER(J928),M928-J928,"new")</f>
        <v>30</v>
      </c>
    </row>
    <row r="929" customFormat="false" ht="15" hidden="false" customHeight="false" outlineLevel="0" collapsed="false">
      <c r="A929" s="2" t="s">
        <v>1060</v>
      </c>
      <c r="B929" s="2" t="s">
        <v>240</v>
      </c>
      <c r="C929" s="2" t="s">
        <v>146</v>
      </c>
      <c r="D929" s="2" t="s">
        <v>14</v>
      </c>
      <c r="E929" s="2" t="s">
        <v>48</v>
      </c>
      <c r="F929" s="14" t="n">
        <v>176.11</v>
      </c>
      <c r="G929" s="2" t="n">
        <v>1</v>
      </c>
      <c r="H929" s="2" t="n">
        <v>46</v>
      </c>
      <c r="I929" s="20" t="n">
        <v>1.25</v>
      </c>
      <c r="J929" s="14" t="n">
        <v>125</v>
      </c>
      <c r="K929" s="14" t="n">
        <v>150</v>
      </c>
      <c r="L929" s="20" t="n">
        <f aca="false">INDEX('Read me'!$B$10:$B$15,4)</f>
        <v>1.2</v>
      </c>
      <c r="M929" s="14" t="n">
        <f aca="false">IF(F929*(1+'Read me'!$B$5)&lt;='Read me'!$B$7,CEILING(F929*(1+'Read me'!$B$5)+0.5,1)-0.5,CEILING(F929*(1+'Read me'!$B$5),5))</f>
        <v>180</v>
      </c>
      <c r="N929" s="14" t="n">
        <f aca="false">IF(MAX(M929*L929,M929+'Read me'!$B$6)&lt;='Read me'!$B$7,CEILING(MAX(M929*L929,M929+'Read me'!$B$6)+0.5,1)-0.5,CEILING(MAX(M929*L929,M929+'Read me'!$B$6),5))</f>
        <v>220</v>
      </c>
      <c r="O929" s="21" t="n">
        <f aca="false">IF(ISNUMBER(J929),M929-J929,"new")</f>
        <v>55</v>
      </c>
    </row>
    <row r="930" customFormat="false" ht="15" hidden="false" customHeight="false" outlineLevel="0" collapsed="false">
      <c r="A930" s="2" t="s">
        <v>1061</v>
      </c>
      <c r="B930" s="2" t="s">
        <v>240</v>
      </c>
      <c r="C930" s="2" t="s">
        <v>146</v>
      </c>
      <c r="D930" s="2" t="s">
        <v>14</v>
      </c>
      <c r="E930" s="2" t="s">
        <v>49</v>
      </c>
      <c r="F930" s="14" t="n">
        <v>214.98</v>
      </c>
      <c r="G930" s="2" t="n">
        <v>0</v>
      </c>
      <c r="H930" s="2" t="n">
        <v>46</v>
      </c>
      <c r="I930" s="20" t="n">
        <v>1.25</v>
      </c>
      <c r="J930" s="14" t="n">
        <v>150</v>
      </c>
      <c r="K930" s="14" t="n">
        <v>150</v>
      </c>
      <c r="L930" s="20" t="n">
        <f aca="false">INDEX('Read me'!$B$10:$B$15,4)</f>
        <v>1.2</v>
      </c>
      <c r="M930" s="14" t="n">
        <f aca="false">IF(F930*(1+'Read me'!$B$5)&lt;='Read me'!$B$7,CEILING(F930*(1+'Read me'!$B$5)+0.5,1)-0.5,CEILING(F930*(1+'Read me'!$B$5),5))</f>
        <v>215</v>
      </c>
      <c r="N930" s="14" t="n">
        <f aca="false">IF(MAX(M930*L930,M930+'Read me'!$B$6)&lt;='Read me'!$B$7,CEILING(MAX(M930*L930,M930+'Read me'!$B$6)+0.5,1)-0.5,CEILING(MAX(M930*L930,M930+'Read me'!$B$6),5))</f>
        <v>260</v>
      </c>
      <c r="O930" s="21" t="n">
        <f aca="false">IF(ISNUMBER(J930),M930-J930,"new")</f>
        <v>65</v>
      </c>
    </row>
    <row r="931" customFormat="false" ht="15" hidden="false" customHeight="false" outlineLevel="0" collapsed="false">
      <c r="A931" s="2" t="s">
        <v>1062</v>
      </c>
      <c r="B931" s="2" t="s">
        <v>240</v>
      </c>
      <c r="C931" s="2" t="s">
        <v>146</v>
      </c>
      <c r="D931" s="2" t="s">
        <v>14</v>
      </c>
      <c r="E931" s="2" t="s">
        <v>50</v>
      </c>
      <c r="F931" s="14" t="n">
        <v>259.08</v>
      </c>
      <c r="G931" s="2" t="n">
        <v>0</v>
      </c>
      <c r="H931" s="2" t="n">
        <v>46</v>
      </c>
      <c r="I931" s="20" t="n">
        <v>1.25</v>
      </c>
      <c r="J931" s="14" t="n">
        <v>250</v>
      </c>
      <c r="K931" s="14" t="n">
        <v>195</v>
      </c>
      <c r="L931" s="20" t="n">
        <f aca="false">INDEX('Read me'!$B$10:$B$15,4)</f>
        <v>1.2</v>
      </c>
      <c r="M931" s="14" t="n">
        <f aca="false">IF(F931*(1+'Read me'!$B$5)&lt;='Read me'!$B$7,CEILING(F931*(1+'Read me'!$B$5)+0.5,1)-0.5,CEILING(F931*(1+'Read me'!$B$5),5))</f>
        <v>260</v>
      </c>
      <c r="N931" s="14" t="n">
        <f aca="false">IF(MAX(M931*L931,M931+'Read me'!$B$6)&lt;='Read me'!$B$7,CEILING(MAX(M931*L931,M931+'Read me'!$B$6)+0.5,1)-0.5,CEILING(MAX(M931*L931,M931+'Read me'!$B$6),5))</f>
        <v>315</v>
      </c>
      <c r="O931" s="21" t="n">
        <f aca="false">IF(ISNUMBER(J931),M931-J931,"new")</f>
        <v>10</v>
      </c>
    </row>
    <row r="932" customFormat="false" ht="15" hidden="false" customHeight="false" outlineLevel="0" collapsed="false">
      <c r="A932" s="2" t="s">
        <v>1063</v>
      </c>
      <c r="B932" s="2" t="s">
        <v>240</v>
      </c>
      <c r="C932" s="2" t="s">
        <v>146</v>
      </c>
      <c r="D932" s="2" t="s">
        <v>15</v>
      </c>
      <c r="E932" s="2" t="s">
        <v>48</v>
      </c>
      <c r="F932" s="14" t="n">
        <v>227.26</v>
      </c>
      <c r="G932" s="2" t="n">
        <v>0</v>
      </c>
      <c r="H932" s="2" t="n">
        <v>46</v>
      </c>
      <c r="I932" s="20" t="n">
        <v>1.25</v>
      </c>
      <c r="J932" s="14" t="n">
        <v>300</v>
      </c>
      <c r="K932" s="14" t="n">
        <v>300</v>
      </c>
      <c r="L932" s="20" t="n">
        <f aca="false">INDEX('Read me'!$B$10:$B$15,5)</f>
        <v>1.2</v>
      </c>
      <c r="M932" s="14" t="n">
        <f aca="false">IF(F932*(1+'Read me'!$B$5)&lt;='Read me'!$B$7,CEILING(F932*(1+'Read me'!$B$5)+0.5,1)-0.5,CEILING(F932*(1+'Read me'!$B$5),5))</f>
        <v>230</v>
      </c>
      <c r="N932" s="14" t="n">
        <f aca="false">IF(MAX(M932*L932,M932+'Read me'!$B$6)&lt;='Read me'!$B$7,CEILING(MAX(M932*L932,M932+'Read me'!$B$6)+0.5,1)-0.5,CEILING(MAX(M932*L932,M932+'Read me'!$B$6),5))</f>
        <v>280</v>
      </c>
      <c r="O932" s="21" t="n">
        <f aca="false">IF(ISNUMBER(J932),M932-J932,"new")</f>
        <v>-70</v>
      </c>
    </row>
    <row r="933" customFormat="false" ht="15" hidden="false" customHeight="false" outlineLevel="0" collapsed="false">
      <c r="A933" s="2" t="s">
        <v>1064</v>
      </c>
      <c r="B933" s="2" t="s">
        <v>240</v>
      </c>
      <c r="C933" s="2" t="s">
        <v>146</v>
      </c>
      <c r="D933" s="2" t="s">
        <v>15</v>
      </c>
      <c r="E933" s="2" t="s">
        <v>49</v>
      </c>
      <c r="F933" s="14" t="n">
        <v>280.37</v>
      </c>
      <c r="G933" s="2" t="n">
        <v>0</v>
      </c>
      <c r="H933" s="2" t="n">
        <v>46</v>
      </c>
      <c r="I933" s="20" t="n">
        <v>1.25</v>
      </c>
      <c r="J933" s="14" t="n">
        <v>300</v>
      </c>
      <c r="K933" s="14" t="n">
        <v>300</v>
      </c>
      <c r="L933" s="20" t="n">
        <f aca="false">INDEX('Read me'!$B$10:$B$15,5)</f>
        <v>1.2</v>
      </c>
      <c r="M933" s="14" t="n">
        <f aca="false">N933</f>
        <v>345</v>
      </c>
      <c r="N933" s="14" t="n">
        <f aca="false">IF(MAX((IF(F933*(1+'Read me'!$B$5)&lt;='Read me'!$B$7,CEILING(F933*(1+'Read me'!$B$5)+0.5,1)-0.5,CEILING(F933*(1+'Read me'!$B$5),5)))*L933,(IF(F933*(1+'Read me'!$B$5)&lt;='Read me'!$B$7,CEILING(F933*(1+'Read me'!$B$5)+0.5,1)-0.5,CEILING(F933*(1+'Read me'!$B$5),5)))+'Read me'!$B$6)&lt;='Read me'!$B$7,CEILING(MAX((IF(F933*(1+'Read me'!$B$5)&lt;='Read me'!$B$7,CEILING(F933*(1+'Read me'!$B$5)+0.5,1)-0.5,CEILING(F933*(1+'Read me'!$B$5),5)))*L933,(IF(F933*(1+'Read me'!$B$5)&lt;='Read me'!$B$7,CEILING(F933*(1+'Read me'!$B$5)+0.5,1)-0.5,CEILING(F933*(1+'Read me'!$B$5),5)))+'Read me'!$B$6)+0.5,1)-0.5,CEILING(MAX((IF(F933*(1+'Read me'!$B$5)&lt;='Read me'!$B$7,CEILING(F933*(1+'Read me'!$B$5)+0.5,1)-0.5,CEILING(F933*(1+'Read me'!$B$5),5)))*L933,(IF(F933*(1+'Read me'!$B$5)&lt;='Read me'!$B$7,CEILING(F933*(1+'Read me'!$B$5)+0.5,1)-0.5,CEILING(F933*(1+'Read me'!$B$5),5)))+'Read me'!$B$6),5))</f>
        <v>345</v>
      </c>
      <c r="O933" s="21" t="n">
        <f aca="false">IF(ISNUMBER(J933),M933-J933,"new")</f>
        <v>45</v>
      </c>
      <c r="P933" s="5" t="s">
        <v>140</v>
      </c>
    </row>
    <row r="934" customFormat="false" ht="15" hidden="false" customHeight="false" outlineLevel="0" collapsed="false">
      <c r="A934" s="2" t="s">
        <v>1065</v>
      </c>
      <c r="B934" s="2" t="s">
        <v>240</v>
      </c>
      <c r="C934" s="2" t="s">
        <v>146</v>
      </c>
      <c r="D934" s="2" t="s">
        <v>15</v>
      </c>
      <c r="E934" s="2" t="s">
        <v>50</v>
      </c>
      <c r="F934" s="14" t="n">
        <v>336.88</v>
      </c>
      <c r="G934" s="2" t="n">
        <v>0</v>
      </c>
      <c r="H934" s="2" t="n">
        <v>46</v>
      </c>
      <c r="I934" s="20" t="n">
        <v>1.25</v>
      </c>
      <c r="J934" s="14" t="n">
        <v>350</v>
      </c>
      <c r="K934" s="14" t="n">
        <v>400</v>
      </c>
      <c r="L934" s="20" t="n">
        <f aca="false">INDEX('Read me'!$B$10:$B$15,5)</f>
        <v>1.2</v>
      </c>
      <c r="M934" s="14" t="n">
        <f aca="false">N934</f>
        <v>410</v>
      </c>
      <c r="N934" s="14" t="n">
        <f aca="false">IF(MAX((IF(F934*(1+'Read me'!$B$5)&lt;='Read me'!$B$7,CEILING(F934*(1+'Read me'!$B$5)+0.5,1)-0.5,CEILING(F934*(1+'Read me'!$B$5),5)))*L934,(IF(F934*(1+'Read me'!$B$5)&lt;='Read me'!$B$7,CEILING(F934*(1+'Read me'!$B$5)+0.5,1)-0.5,CEILING(F934*(1+'Read me'!$B$5),5)))+'Read me'!$B$6)&lt;='Read me'!$B$7,CEILING(MAX((IF(F934*(1+'Read me'!$B$5)&lt;='Read me'!$B$7,CEILING(F934*(1+'Read me'!$B$5)+0.5,1)-0.5,CEILING(F934*(1+'Read me'!$B$5),5)))*L934,(IF(F934*(1+'Read me'!$B$5)&lt;='Read me'!$B$7,CEILING(F934*(1+'Read me'!$B$5)+0.5,1)-0.5,CEILING(F934*(1+'Read me'!$B$5),5)))+'Read me'!$B$6)+0.5,1)-0.5,CEILING(MAX((IF(F934*(1+'Read me'!$B$5)&lt;='Read me'!$B$7,CEILING(F934*(1+'Read me'!$B$5)+0.5,1)-0.5,CEILING(F934*(1+'Read me'!$B$5),5)))*L934,(IF(F934*(1+'Read me'!$B$5)&lt;='Read me'!$B$7,CEILING(F934*(1+'Read me'!$B$5)+0.5,1)-0.5,CEILING(F934*(1+'Read me'!$B$5),5)))+'Read me'!$B$6),5))</f>
        <v>410</v>
      </c>
      <c r="O934" s="21" t="n">
        <f aca="false">IF(ISNUMBER(J934),M934-J934,"new")</f>
        <v>60</v>
      </c>
      <c r="P934" s="5" t="s">
        <v>140</v>
      </c>
    </row>
    <row r="935" customFormat="false" ht="15" hidden="false" customHeight="false" outlineLevel="0" collapsed="false">
      <c r="A935" s="2" t="s">
        <v>1066</v>
      </c>
      <c r="B935" s="2" t="s">
        <v>240</v>
      </c>
      <c r="C935" s="2" t="s">
        <v>146</v>
      </c>
      <c r="D935" s="2" t="s">
        <v>16</v>
      </c>
      <c r="E935" s="2" t="s">
        <v>48</v>
      </c>
      <c r="F935" s="14" t="n">
        <v>315.56</v>
      </c>
      <c r="G935" s="2" t="n">
        <v>0</v>
      </c>
      <c r="H935" s="2" t="n">
        <v>46</v>
      </c>
      <c r="I935" s="20" t="n">
        <v>1.25</v>
      </c>
      <c r="J935" s="14"/>
      <c r="K935" s="14"/>
      <c r="L935" s="20" t="n">
        <f aca="false">INDEX('Read me'!$B$10:$B$15,6)</f>
        <v>1.2</v>
      </c>
      <c r="M935" s="14" t="n">
        <f aca="false">IF(F935*(1+'Read me'!$B$5)&lt;='Read me'!$B$7,CEILING(F935*(1+'Read me'!$B$5)+0.5,1)-0.5,CEILING(F935*(1+'Read me'!$B$5),5))</f>
        <v>320</v>
      </c>
      <c r="N935" s="14" t="n">
        <f aca="false">IF(MAX(M935*L935,M935+'Read me'!$B$6)&lt;='Read me'!$B$7,CEILING(MAX(M935*L935,M935+'Read me'!$B$6)+0.5,1)-0.5,CEILING(MAX(M935*L935,M935+'Read me'!$B$6),5))</f>
        <v>385</v>
      </c>
      <c r="O935" s="21" t="str">
        <f aca="false">IF(ISNUMBER(J935),M935-J935,"new")</f>
        <v>new</v>
      </c>
    </row>
    <row r="936" customFormat="false" ht="15" hidden="false" customHeight="false" outlineLevel="0" collapsed="false">
      <c r="A936" s="2" t="s">
        <v>1067</v>
      </c>
      <c r="B936" s="2" t="s">
        <v>240</v>
      </c>
      <c r="C936" s="2" t="s">
        <v>146</v>
      </c>
      <c r="D936" s="2" t="s">
        <v>16</v>
      </c>
      <c r="E936" s="2" t="s">
        <v>49</v>
      </c>
      <c r="F936" s="14" t="n">
        <v>405.48</v>
      </c>
      <c r="G936" s="2" t="n">
        <v>0</v>
      </c>
      <c r="H936" s="2" t="n">
        <v>46</v>
      </c>
      <c r="I936" s="20" t="n">
        <v>1.25</v>
      </c>
      <c r="J936" s="14"/>
      <c r="K936" s="14"/>
      <c r="L936" s="20" t="n">
        <f aca="false">INDEX('Read me'!$B$10:$B$15,6)</f>
        <v>1.2</v>
      </c>
      <c r="M936" s="14" t="n">
        <f aca="false">N936</f>
        <v>495</v>
      </c>
      <c r="N936" s="14" t="n">
        <f aca="false">IF(MAX((IF(F936*(1+'Read me'!$B$5)&lt;='Read me'!$B$7,CEILING(F936*(1+'Read me'!$B$5)+0.5,1)-0.5,CEILING(F936*(1+'Read me'!$B$5),5)))*L936,(IF(F936*(1+'Read me'!$B$5)&lt;='Read me'!$B$7,CEILING(F936*(1+'Read me'!$B$5)+0.5,1)-0.5,CEILING(F936*(1+'Read me'!$B$5),5)))+'Read me'!$B$6)&lt;='Read me'!$B$7,CEILING(MAX((IF(F936*(1+'Read me'!$B$5)&lt;='Read me'!$B$7,CEILING(F936*(1+'Read me'!$B$5)+0.5,1)-0.5,CEILING(F936*(1+'Read me'!$B$5),5)))*L936,(IF(F936*(1+'Read me'!$B$5)&lt;='Read me'!$B$7,CEILING(F936*(1+'Read me'!$B$5)+0.5,1)-0.5,CEILING(F936*(1+'Read me'!$B$5),5)))+'Read me'!$B$6)+0.5,1)-0.5,CEILING(MAX((IF(F936*(1+'Read me'!$B$5)&lt;='Read me'!$B$7,CEILING(F936*(1+'Read me'!$B$5)+0.5,1)-0.5,CEILING(F936*(1+'Read me'!$B$5),5)))*L936,(IF(F936*(1+'Read me'!$B$5)&lt;='Read me'!$B$7,CEILING(F936*(1+'Read me'!$B$5)+0.5,1)-0.5,CEILING(F936*(1+'Read me'!$B$5),5)))+'Read me'!$B$6),5))</f>
        <v>495</v>
      </c>
      <c r="O936" s="21" t="str">
        <f aca="false">IF(ISNUMBER(J936),M936-J936,"new")</f>
        <v>new</v>
      </c>
      <c r="P936" s="5" t="s">
        <v>140</v>
      </c>
    </row>
    <row r="937" customFormat="false" ht="15" hidden="false" customHeight="false" outlineLevel="0" collapsed="false">
      <c r="A937" s="2" t="s">
        <v>1068</v>
      </c>
      <c r="B937" s="2" t="s">
        <v>240</v>
      </c>
      <c r="C937" s="2" t="s">
        <v>146</v>
      </c>
      <c r="D937" s="2" t="s">
        <v>16</v>
      </c>
      <c r="E937" s="2" t="s">
        <v>50</v>
      </c>
      <c r="F937" s="14" t="n">
        <v>476.58</v>
      </c>
      <c r="G937" s="2" t="n">
        <v>0</v>
      </c>
      <c r="H937" s="2" t="n">
        <v>46</v>
      </c>
      <c r="I937" s="20" t="n">
        <v>1.25</v>
      </c>
      <c r="J937" s="14"/>
      <c r="K937" s="14"/>
      <c r="L937" s="20" t="n">
        <f aca="false">INDEX('Read me'!$B$10:$B$15,6)</f>
        <v>1.2</v>
      </c>
      <c r="M937" s="14" t="n">
        <f aca="false">N937</f>
        <v>580</v>
      </c>
      <c r="N937" s="14" t="n">
        <f aca="false">IF(MAX((IF(F937*(1+'Read me'!$B$5)&lt;='Read me'!$B$7,CEILING(F937*(1+'Read me'!$B$5)+0.5,1)-0.5,CEILING(F937*(1+'Read me'!$B$5),5)))*L937,(IF(F937*(1+'Read me'!$B$5)&lt;='Read me'!$B$7,CEILING(F937*(1+'Read me'!$B$5)+0.5,1)-0.5,CEILING(F937*(1+'Read me'!$B$5),5)))+'Read me'!$B$6)&lt;='Read me'!$B$7,CEILING(MAX((IF(F937*(1+'Read me'!$B$5)&lt;='Read me'!$B$7,CEILING(F937*(1+'Read me'!$B$5)+0.5,1)-0.5,CEILING(F937*(1+'Read me'!$B$5),5)))*L937,(IF(F937*(1+'Read me'!$B$5)&lt;='Read me'!$B$7,CEILING(F937*(1+'Read me'!$B$5)+0.5,1)-0.5,CEILING(F937*(1+'Read me'!$B$5),5)))+'Read me'!$B$6)+0.5,1)-0.5,CEILING(MAX((IF(F937*(1+'Read me'!$B$5)&lt;='Read me'!$B$7,CEILING(F937*(1+'Read me'!$B$5)+0.5,1)-0.5,CEILING(F937*(1+'Read me'!$B$5),5)))*L937,(IF(F937*(1+'Read me'!$B$5)&lt;='Read me'!$B$7,CEILING(F937*(1+'Read me'!$B$5)+0.5,1)-0.5,CEILING(F937*(1+'Read me'!$B$5),5)))+'Read me'!$B$6),5))</f>
        <v>580</v>
      </c>
      <c r="O937" s="21" t="str">
        <f aca="false">IF(ISNUMBER(J937),M937-J937,"new")</f>
        <v>new</v>
      </c>
      <c r="P937" s="5" t="s">
        <v>140</v>
      </c>
    </row>
    <row r="938" customFormat="false" ht="15" hidden="false" customHeight="false" outlineLevel="0" collapsed="false">
      <c r="A938" s="2" t="s">
        <v>1069</v>
      </c>
      <c r="B938" s="2" t="s">
        <v>240</v>
      </c>
      <c r="C938" s="2" t="s">
        <v>184</v>
      </c>
      <c r="D938" s="2" t="s">
        <v>10</v>
      </c>
      <c r="E938" s="2" t="s">
        <v>48</v>
      </c>
      <c r="F938" s="14" t="n">
        <v>16.23</v>
      </c>
      <c r="G938" s="2" t="n">
        <v>6</v>
      </c>
      <c r="H938" s="2" t="n">
        <v>18</v>
      </c>
      <c r="I938" s="20" t="n">
        <v>1.14</v>
      </c>
      <c r="J938" s="14" t="n">
        <v>19.5</v>
      </c>
      <c r="K938" s="14" t="n">
        <v>24.5</v>
      </c>
      <c r="L938" s="20" t="n">
        <f aca="false">INDEX('Read me'!$B$10:$B$15,1)</f>
        <v>1.34</v>
      </c>
      <c r="M938" s="14" t="n">
        <f aca="false">IF(F938*(1+'Read me'!$B$5)&lt;='Read me'!$B$7,CEILING(F938*(1+'Read me'!$B$5)+0.5,1)-0.5,CEILING(F938*(1+'Read me'!$B$5),5))</f>
        <v>16.5</v>
      </c>
      <c r="N938" s="14" t="n">
        <f aca="false">IF(MAX(M938*L938,M938+'Read me'!$B$6)&lt;='Read me'!$B$7,CEILING(MAX(M938*L938,M938+'Read me'!$B$6)+0.5,1)-0.5,CEILING(MAX(M938*L938,M938+'Read me'!$B$6),5))</f>
        <v>22.5</v>
      </c>
      <c r="O938" s="21" t="n">
        <f aca="false">IF(ISNUMBER(J938),M938-J938,"new")</f>
        <v>-3</v>
      </c>
    </row>
    <row r="939" customFormat="false" ht="15" hidden="false" customHeight="false" outlineLevel="0" collapsed="false">
      <c r="A939" s="2" t="s">
        <v>1070</v>
      </c>
      <c r="B939" s="2" t="s">
        <v>240</v>
      </c>
      <c r="C939" s="2" t="s">
        <v>184</v>
      </c>
      <c r="D939" s="2" t="s">
        <v>10</v>
      </c>
      <c r="E939" s="2" t="s">
        <v>49</v>
      </c>
      <c r="F939" s="14" t="n">
        <v>16.59</v>
      </c>
      <c r="G939" s="2" t="n">
        <v>1</v>
      </c>
      <c r="H939" s="2" t="n">
        <v>18</v>
      </c>
      <c r="I939" s="20" t="n">
        <v>1.14</v>
      </c>
      <c r="J939" s="14" t="n">
        <v>19.5</v>
      </c>
      <c r="K939" s="14" t="n">
        <v>24.5</v>
      </c>
      <c r="L939" s="20" t="n">
        <f aca="false">INDEX('Read me'!$B$10:$B$15,1)</f>
        <v>1.34</v>
      </c>
      <c r="M939" s="14" t="n">
        <f aca="false">IF(F939*(1+'Read me'!$B$5)&lt;='Read me'!$B$7,CEILING(F939*(1+'Read me'!$B$5)+0.5,1)-0.5,CEILING(F939*(1+'Read me'!$B$5),5))</f>
        <v>17.5</v>
      </c>
      <c r="N939" s="14" t="n">
        <f aca="false">IF(MAX(M939*L939,M939+'Read me'!$B$6)&lt;='Read me'!$B$7,CEILING(MAX(M939*L939,M939+'Read me'!$B$6)+0.5,1)-0.5,CEILING(MAX(M939*L939,M939+'Read me'!$B$6),5))</f>
        <v>23.5</v>
      </c>
      <c r="O939" s="21" t="n">
        <f aca="false">IF(ISNUMBER(J939),M939-J939,"new")</f>
        <v>-2</v>
      </c>
    </row>
    <row r="940" customFormat="false" ht="15" hidden="false" customHeight="false" outlineLevel="0" collapsed="false">
      <c r="A940" s="2" t="s">
        <v>1071</v>
      </c>
      <c r="B940" s="2" t="s">
        <v>240</v>
      </c>
      <c r="C940" s="2" t="s">
        <v>184</v>
      </c>
      <c r="D940" s="2" t="s">
        <v>10</v>
      </c>
      <c r="E940" s="2" t="s">
        <v>50</v>
      </c>
      <c r="F940" s="14" t="n">
        <v>22.53</v>
      </c>
      <c r="G940" s="2" t="n">
        <v>3</v>
      </c>
      <c r="H940" s="2" t="n">
        <v>18</v>
      </c>
      <c r="I940" s="20" t="n">
        <v>1.14</v>
      </c>
      <c r="J940" s="14" t="n">
        <v>19.5</v>
      </c>
      <c r="K940" s="14" t="n">
        <v>34.5</v>
      </c>
      <c r="L940" s="20" t="n">
        <f aca="false">INDEX('Read me'!$B$10:$B$15,1)</f>
        <v>1.34</v>
      </c>
      <c r="M940" s="14" t="n">
        <f aca="false">IF(F940*(1+'Read me'!$B$5)&lt;='Read me'!$B$7,CEILING(F940*(1+'Read me'!$B$5)+0.5,1)-0.5,CEILING(F940*(1+'Read me'!$B$5),5))</f>
        <v>23.5</v>
      </c>
      <c r="N940" s="14" t="n">
        <f aca="false">IF(MAX(M940*L940,M940+'Read me'!$B$6)&lt;='Read me'!$B$7,CEILING(MAX(M940*L940,M940+'Read me'!$B$6)+0.5,1)-0.5,CEILING(MAX(M940*L940,M940+'Read me'!$B$6),5))</f>
        <v>35</v>
      </c>
      <c r="O940" s="21" t="n">
        <f aca="false">IF(ISNUMBER(J940),M940-J940,"new")</f>
        <v>4</v>
      </c>
    </row>
    <row r="941" customFormat="false" ht="15" hidden="false" customHeight="false" outlineLevel="0" collapsed="false">
      <c r="A941" s="2" t="s">
        <v>1072</v>
      </c>
      <c r="B941" s="2" t="s">
        <v>240</v>
      </c>
      <c r="C941" s="2" t="s">
        <v>184</v>
      </c>
      <c r="D941" s="2" t="s">
        <v>12</v>
      </c>
      <c r="E941" s="2" t="s">
        <v>48</v>
      </c>
      <c r="F941" s="14" t="n">
        <v>65.06</v>
      </c>
      <c r="G941" s="2" t="n">
        <v>5</v>
      </c>
      <c r="H941" s="2" t="n">
        <v>18</v>
      </c>
      <c r="I941" s="20" t="n">
        <v>1.14</v>
      </c>
      <c r="J941" s="14" t="n">
        <v>24.5</v>
      </c>
      <c r="K941" s="14" t="n">
        <v>29.5</v>
      </c>
      <c r="L941" s="20" t="n">
        <f aca="false">INDEX('Read me'!$B$10:$B$15,2)</f>
        <v>1.26</v>
      </c>
      <c r="M941" s="14" t="n">
        <f aca="false">IF(F941*(1+'Read me'!$B$5)&lt;='Read me'!$B$7,CEILING(F941*(1+'Read me'!$B$5)+0.5,1)-0.5,CEILING(F941*(1+'Read me'!$B$5),5))</f>
        <v>70</v>
      </c>
      <c r="N941" s="14" t="n">
        <f aca="false">IF(MAX(M941*L941,M941+'Read me'!$B$6)&lt;='Read me'!$B$7,CEILING(MAX(M941*L941,M941+'Read me'!$B$6)+0.5,1)-0.5,CEILING(MAX(M941*L941,M941+'Read me'!$B$6),5))</f>
        <v>90</v>
      </c>
      <c r="O941" s="21" t="n">
        <f aca="false">IF(ISNUMBER(J941),M941-J941,"new")</f>
        <v>45.5</v>
      </c>
    </row>
    <row r="942" customFormat="false" ht="15" hidden="false" customHeight="false" outlineLevel="0" collapsed="false">
      <c r="A942" s="2" t="s">
        <v>1073</v>
      </c>
      <c r="B942" s="2" t="s">
        <v>240</v>
      </c>
      <c r="C942" s="2" t="s">
        <v>184</v>
      </c>
      <c r="D942" s="2" t="s">
        <v>12</v>
      </c>
      <c r="E942" s="2" t="s">
        <v>49</v>
      </c>
      <c r="F942" s="14" t="n">
        <v>65.06</v>
      </c>
      <c r="G942" s="2" t="n">
        <v>0</v>
      </c>
      <c r="H942" s="2" t="n">
        <v>18</v>
      </c>
      <c r="I942" s="20" t="n">
        <v>1.14</v>
      </c>
      <c r="J942" s="14" t="n">
        <v>24.5</v>
      </c>
      <c r="K942" s="14" t="n">
        <v>29.5</v>
      </c>
      <c r="L942" s="20" t="n">
        <f aca="false">INDEX('Read me'!$B$10:$B$15,2)</f>
        <v>1.26</v>
      </c>
      <c r="M942" s="14" t="n">
        <f aca="false">IF(F942*(1+'Read me'!$B$5)&lt;='Read me'!$B$7,CEILING(F942*(1+'Read me'!$B$5)+0.5,1)-0.5,CEILING(F942*(1+'Read me'!$B$5),5))</f>
        <v>70</v>
      </c>
      <c r="N942" s="14" t="n">
        <f aca="false">IF(MAX(M942*L942,M942+'Read me'!$B$6)&lt;='Read me'!$B$7,CEILING(MAX(M942*L942,M942+'Read me'!$B$6)+0.5,1)-0.5,CEILING(MAX(M942*L942,M942+'Read me'!$B$6),5))</f>
        <v>90</v>
      </c>
      <c r="O942" s="21" t="n">
        <f aca="false">IF(ISNUMBER(J942),M942-J942,"new")</f>
        <v>45.5</v>
      </c>
    </row>
    <row r="943" customFormat="false" ht="15" hidden="false" customHeight="false" outlineLevel="0" collapsed="false">
      <c r="A943" s="2" t="s">
        <v>1074</v>
      </c>
      <c r="B943" s="2" t="s">
        <v>240</v>
      </c>
      <c r="C943" s="2" t="s">
        <v>184</v>
      </c>
      <c r="D943" s="2" t="s">
        <v>12</v>
      </c>
      <c r="E943" s="2" t="s">
        <v>50</v>
      </c>
      <c r="F943" s="14" t="n">
        <v>74.49</v>
      </c>
      <c r="G943" s="2" t="n">
        <v>2</v>
      </c>
      <c r="H943" s="2" t="n">
        <v>18</v>
      </c>
      <c r="I943" s="20" t="n">
        <v>1.14</v>
      </c>
      <c r="J943" s="14" t="n">
        <v>29.5</v>
      </c>
      <c r="K943" s="14" t="n">
        <v>45</v>
      </c>
      <c r="L943" s="20" t="n">
        <f aca="false">INDEX('Read me'!$B$10:$B$15,2)</f>
        <v>1.26</v>
      </c>
      <c r="M943" s="14" t="n">
        <f aca="false">IF(F943*(1+'Read me'!$B$5)&lt;='Read me'!$B$7,CEILING(F943*(1+'Read me'!$B$5)+0.5,1)-0.5,CEILING(F943*(1+'Read me'!$B$5),5))</f>
        <v>75</v>
      </c>
      <c r="N943" s="14" t="n">
        <f aca="false">IF(MAX(M943*L943,M943+'Read me'!$B$6)&lt;='Read me'!$B$7,CEILING(MAX(M943*L943,M943+'Read me'!$B$6)+0.5,1)-0.5,CEILING(MAX(M943*L943,M943+'Read me'!$B$6),5))</f>
        <v>95</v>
      </c>
      <c r="O943" s="21" t="n">
        <f aca="false">IF(ISNUMBER(J943),M943-J943,"new")</f>
        <v>45.5</v>
      </c>
    </row>
    <row r="944" customFormat="false" ht="15" hidden="false" customHeight="false" outlineLevel="0" collapsed="false">
      <c r="A944" s="2" t="s">
        <v>1075</v>
      </c>
      <c r="B944" s="2" t="s">
        <v>240</v>
      </c>
      <c r="C944" s="2" t="s">
        <v>184</v>
      </c>
      <c r="D944" s="2" t="s">
        <v>13</v>
      </c>
      <c r="E944" s="2" t="s">
        <v>48</v>
      </c>
      <c r="F944" s="14" t="n">
        <v>91.91</v>
      </c>
      <c r="G944" s="2" t="n">
        <v>1</v>
      </c>
      <c r="H944" s="2" t="n">
        <v>18</v>
      </c>
      <c r="I944" s="20" t="n">
        <v>1.14</v>
      </c>
      <c r="J944" s="14" t="n">
        <v>45</v>
      </c>
      <c r="K944" s="14" t="n">
        <v>95</v>
      </c>
      <c r="L944" s="20" t="n">
        <f aca="false">INDEX('Read me'!$B$10:$B$15,3)</f>
        <v>1.35</v>
      </c>
      <c r="M944" s="14" t="n">
        <f aca="false">IF(F944*(1+'Read me'!$B$5)&lt;='Read me'!$B$7,CEILING(F944*(1+'Read me'!$B$5)+0.5,1)-0.5,CEILING(F944*(1+'Read me'!$B$5),5))</f>
        <v>95</v>
      </c>
      <c r="N944" s="14" t="n">
        <f aca="false">IF(MAX(M944*L944,M944+'Read me'!$B$6)&lt;='Read me'!$B$7,CEILING(MAX(M944*L944,M944+'Read me'!$B$6)+0.5,1)-0.5,CEILING(MAX(M944*L944,M944+'Read me'!$B$6),5))</f>
        <v>130</v>
      </c>
      <c r="O944" s="21" t="n">
        <f aca="false">IF(ISNUMBER(J944),M944-J944,"new")</f>
        <v>50</v>
      </c>
    </row>
    <row r="945" customFormat="false" ht="15" hidden="false" customHeight="false" outlineLevel="0" collapsed="false">
      <c r="A945" s="2" t="s">
        <v>1076</v>
      </c>
      <c r="B945" s="2" t="s">
        <v>240</v>
      </c>
      <c r="C945" s="2" t="s">
        <v>184</v>
      </c>
      <c r="D945" s="2" t="s">
        <v>13</v>
      </c>
      <c r="E945" s="2" t="s">
        <v>49</v>
      </c>
      <c r="F945" s="14" t="n">
        <v>105.96</v>
      </c>
      <c r="G945" s="2" t="n">
        <v>0</v>
      </c>
      <c r="H945" s="2" t="n">
        <v>18</v>
      </c>
      <c r="I945" s="20" t="n">
        <v>1.14</v>
      </c>
      <c r="J945" s="14" t="n">
        <v>45</v>
      </c>
      <c r="K945" s="14" t="n">
        <v>95</v>
      </c>
      <c r="L945" s="20" t="n">
        <f aca="false">INDEX('Read me'!$B$10:$B$15,3)</f>
        <v>1.35</v>
      </c>
      <c r="M945" s="14" t="n">
        <f aca="false">IF(F945*(1+'Read me'!$B$5)&lt;='Read me'!$B$7,CEILING(F945*(1+'Read me'!$B$5)+0.5,1)-0.5,CEILING(F945*(1+'Read me'!$B$5),5))</f>
        <v>110</v>
      </c>
      <c r="N945" s="14" t="n">
        <f aca="false">IF(MAX(M945*L945,M945+'Read me'!$B$6)&lt;='Read me'!$B$7,CEILING(MAX(M945*L945,M945+'Read me'!$B$6)+0.5,1)-0.5,CEILING(MAX(M945*L945,M945+'Read me'!$B$6),5))</f>
        <v>150</v>
      </c>
      <c r="O945" s="21" t="n">
        <f aca="false">IF(ISNUMBER(J945),M945-J945,"new")</f>
        <v>65</v>
      </c>
    </row>
    <row r="946" customFormat="false" ht="15" hidden="false" customHeight="false" outlineLevel="0" collapsed="false">
      <c r="A946" s="2" t="s">
        <v>1077</v>
      </c>
      <c r="B946" s="2" t="s">
        <v>240</v>
      </c>
      <c r="C946" s="2" t="s">
        <v>184</v>
      </c>
      <c r="D946" s="2" t="s">
        <v>13</v>
      </c>
      <c r="E946" s="2" t="s">
        <v>50</v>
      </c>
      <c r="F946" s="14" t="n">
        <v>142.5</v>
      </c>
      <c r="G946" s="2" t="n">
        <v>0</v>
      </c>
      <c r="H946" s="2" t="n">
        <v>18</v>
      </c>
      <c r="I946" s="20" t="n">
        <v>1.14</v>
      </c>
      <c r="J946" s="14" t="n">
        <v>125</v>
      </c>
      <c r="K946" s="14" t="n">
        <v>150</v>
      </c>
      <c r="L946" s="20" t="n">
        <f aca="false">INDEX('Read me'!$B$10:$B$15,3)</f>
        <v>1.35</v>
      </c>
      <c r="M946" s="14" t="n">
        <f aca="false">IF(F946*(1+'Read me'!$B$5)&lt;='Read me'!$B$7,CEILING(F946*(1+'Read me'!$B$5)+0.5,1)-0.5,CEILING(F946*(1+'Read me'!$B$5),5))</f>
        <v>145</v>
      </c>
      <c r="N946" s="14" t="n">
        <f aca="false">IF(MAX(M946*L946,M946+'Read me'!$B$6)&lt;='Read me'!$B$7,CEILING(MAX(M946*L946,M946+'Read me'!$B$6)+0.5,1)-0.5,CEILING(MAX(M946*L946,M946+'Read me'!$B$6),5))</f>
        <v>200</v>
      </c>
      <c r="O946" s="21" t="n">
        <f aca="false">IF(ISNUMBER(J946),M946-J946,"new")</f>
        <v>20</v>
      </c>
    </row>
    <row r="947" customFormat="false" ht="15" hidden="false" customHeight="false" outlineLevel="0" collapsed="false">
      <c r="A947" s="2" t="s">
        <v>1078</v>
      </c>
      <c r="B947" s="2" t="s">
        <v>240</v>
      </c>
      <c r="C947" s="2" t="s">
        <v>184</v>
      </c>
      <c r="D947" s="2" t="s">
        <v>14</v>
      </c>
      <c r="E947" s="2" t="s">
        <v>48</v>
      </c>
      <c r="F947" s="14" t="n">
        <v>163.1</v>
      </c>
      <c r="G947" s="2" t="n">
        <v>0</v>
      </c>
      <c r="H947" s="2" t="n">
        <v>18</v>
      </c>
      <c r="I947" s="20" t="n">
        <v>1.14</v>
      </c>
      <c r="J947" s="14" t="n">
        <v>125</v>
      </c>
      <c r="K947" s="14" t="n">
        <v>150</v>
      </c>
      <c r="L947" s="20" t="n">
        <f aca="false">INDEX('Read me'!$B$10:$B$15,4)</f>
        <v>1.2</v>
      </c>
      <c r="M947" s="14" t="n">
        <f aca="false">IF(F947*(1+'Read me'!$B$5)&lt;='Read me'!$B$7,CEILING(F947*(1+'Read me'!$B$5)+0.5,1)-0.5,CEILING(F947*(1+'Read me'!$B$5),5))</f>
        <v>165</v>
      </c>
      <c r="N947" s="14" t="n">
        <f aca="false">IF(MAX(M947*L947,M947+'Read me'!$B$6)&lt;='Read me'!$B$7,CEILING(MAX(M947*L947,M947+'Read me'!$B$6)+0.5,1)-0.5,CEILING(MAX(M947*L947,M947+'Read me'!$B$6),5))</f>
        <v>200</v>
      </c>
      <c r="O947" s="21" t="n">
        <f aca="false">IF(ISNUMBER(J947),M947-J947,"new")</f>
        <v>40</v>
      </c>
    </row>
    <row r="948" customFormat="false" ht="15" hidden="false" customHeight="false" outlineLevel="0" collapsed="false">
      <c r="A948" s="2" t="s">
        <v>1079</v>
      </c>
      <c r="B948" s="2" t="s">
        <v>240</v>
      </c>
      <c r="C948" s="2" t="s">
        <v>184</v>
      </c>
      <c r="D948" s="2" t="s">
        <v>14</v>
      </c>
      <c r="E948" s="2" t="s">
        <v>49</v>
      </c>
      <c r="F948" s="14" t="n">
        <v>195.84</v>
      </c>
      <c r="G948" s="2" t="n">
        <v>0</v>
      </c>
      <c r="H948" s="2" t="n">
        <v>18</v>
      </c>
      <c r="I948" s="20" t="n">
        <v>1.14</v>
      </c>
      <c r="J948" s="14" t="n">
        <v>150</v>
      </c>
      <c r="K948" s="14" t="n">
        <v>150</v>
      </c>
      <c r="L948" s="20" t="n">
        <f aca="false">INDEX('Read me'!$B$10:$B$15,4)</f>
        <v>1.2</v>
      </c>
      <c r="M948" s="14" t="n">
        <f aca="false">IF(F948*(1+'Read me'!$B$5)&lt;='Read me'!$B$7,CEILING(F948*(1+'Read me'!$B$5)+0.5,1)-0.5,CEILING(F948*(1+'Read me'!$B$5),5))</f>
        <v>200</v>
      </c>
      <c r="N948" s="14" t="n">
        <f aca="false">IF(MAX(M948*L948,M948+'Read me'!$B$6)&lt;='Read me'!$B$7,CEILING(MAX(M948*L948,M948+'Read me'!$B$6)+0.5,1)-0.5,CEILING(MAX(M948*L948,M948+'Read me'!$B$6),5))</f>
        <v>240</v>
      </c>
      <c r="O948" s="21" t="n">
        <f aca="false">IF(ISNUMBER(J948),M948-J948,"new")</f>
        <v>50</v>
      </c>
    </row>
    <row r="949" customFormat="false" ht="15" hidden="false" customHeight="false" outlineLevel="0" collapsed="false">
      <c r="A949" s="2" t="s">
        <v>1080</v>
      </c>
      <c r="B949" s="2" t="s">
        <v>240</v>
      </c>
      <c r="C949" s="2" t="s">
        <v>184</v>
      </c>
      <c r="D949" s="2" t="s">
        <v>14</v>
      </c>
      <c r="E949" s="2" t="s">
        <v>50</v>
      </c>
      <c r="F949" s="14" t="n">
        <v>236.01</v>
      </c>
      <c r="G949" s="2" t="n">
        <v>0</v>
      </c>
      <c r="H949" s="2" t="n">
        <v>18</v>
      </c>
      <c r="I949" s="20" t="n">
        <v>1.14</v>
      </c>
      <c r="J949" s="14" t="n">
        <v>250</v>
      </c>
      <c r="K949" s="14" t="n">
        <v>195</v>
      </c>
      <c r="L949" s="20" t="n">
        <f aca="false">INDEX('Read me'!$B$10:$B$15,4)</f>
        <v>1.2</v>
      </c>
      <c r="M949" s="14" t="n">
        <f aca="false">IF(F949*(1+'Read me'!$B$5)&lt;='Read me'!$B$7,CEILING(F949*(1+'Read me'!$B$5)+0.5,1)-0.5,CEILING(F949*(1+'Read me'!$B$5),5))</f>
        <v>240</v>
      </c>
      <c r="N949" s="14" t="n">
        <f aca="false">IF(MAX(M949*L949,M949+'Read me'!$B$6)&lt;='Read me'!$B$7,CEILING(MAX(M949*L949,M949+'Read me'!$B$6)+0.5,1)-0.5,CEILING(MAX(M949*L949,M949+'Read me'!$B$6),5))</f>
        <v>290</v>
      </c>
      <c r="O949" s="21" t="n">
        <f aca="false">IF(ISNUMBER(J949),M949-J949,"new")</f>
        <v>-10</v>
      </c>
    </row>
    <row r="950" customFormat="false" ht="15" hidden="false" customHeight="false" outlineLevel="0" collapsed="false">
      <c r="A950" s="2" t="s">
        <v>1081</v>
      </c>
      <c r="B950" s="2" t="s">
        <v>240</v>
      </c>
      <c r="C950" s="2" t="s">
        <v>184</v>
      </c>
      <c r="D950" s="2" t="s">
        <v>15</v>
      </c>
      <c r="E950" s="2" t="s">
        <v>48</v>
      </c>
      <c r="F950" s="14" t="n">
        <v>207.02</v>
      </c>
      <c r="G950" s="2" t="n">
        <v>0</v>
      </c>
      <c r="H950" s="2" t="n">
        <v>18</v>
      </c>
      <c r="I950" s="20" t="n">
        <v>1.14</v>
      </c>
      <c r="J950" s="14" t="n">
        <v>300</v>
      </c>
      <c r="K950" s="14" t="n">
        <v>300</v>
      </c>
      <c r="L950" s="20" t="n">
        <f aca="false">INDEX('Read me'!$B$10:$B$15,5)</f>
        <v>1.2</v>
      </c>
      <c r="M950" s="14" t="n">
        <f aca="false">IF(F950*(1+'Read me'!$B$5)&lt;='Read me'!$B$7,CEILING(F950*(1+'Read me'!$B$5)+0.5,1)-0.5,CEILING(F950*(1+'Read me'!$B$5),5))</f>
        <v>210</v>
      </c>
      <c r="N950" s="14" t="n">
        <f aca="false">IF(MAX(M950*L950,M950+'Read me'!$B$6)&lt;='Read me'!$B$7,CEILING(MAX(M950*L950,M950+'Read me'!$B$6)+0.5,1)-0.5,CEILING(MAX(M950*L950,M950+'Read me'!$B$6),5))</f>
        <v>255</v>
      </c>
      <c r="O950" s="21" t="n">
        <f aca="false">IF(ISNUMBER(J950),M950-J950,"new")</f>
        <v>-90</v>
      </c>
    </row>
    <row r="951" customFormat="false" ht="15" hidden="false" customHeight="false" outlineLevel="0" collapsed="false">
      <c r="A951" s="2" t="s">
        <v>1082</v>
      </c>
      <c r="B951" s="2" t="s">
        <v>240</v>
      </c>
      <c r="C951" s="2" t="s">
        <v>184</v>
      </c>
      <c r="D951" s="2" t="s">
        <v>15</v>
      </c>
      <c r="E951" s="2" t="s">
        <v>49</v>
      </c>
      <c r="F951" s="14" t="n">
        <v>255.41</v>
      </c>
      <c r="G951" s="2" t="n">
        <v>0</v>
      </c>
      <c r="H951" s="2" t="n">
        <v>18</v>
      </c>
      <c r="I951" s="20" t="n">
        <v>1.14</v>
      </c>
      <c r="J951" s="14" t="n">
        <v>300</v>
      </c>
      <c r="K951" s="14" t="n">
        <v>300</v>
      </c>
      <c r="L951" s="20" t="n">
        <f aca="false">INDEX('Read me'!$B$10:$B$15,5)</f>
        <v>1.2</v>
      </c>
      <c r="M951" s="14" t="n">
        <f aca="false">N951</f>
        <v>315</v>
      </c>
      <c r="N951" s="14" t="n">
        <f aca="false">IF(MAX((IF(F951*(1+'Read me'!$B$5)&lt;='Read me'!$B$7,CEILING(F951*(1+'Read me'!$B$5)+0.5,1)-0.5,CEILING(F951*(1+'Read me'!$B$5),5)))*L951,(IF(F951*(1+'Read me'!$B$5)&lt;='Read me'!$B$7,CEILING(F951*(1+'Read me'!$B$5)+0.5,1)-0.5,CEILING(F951*(1+'Read me'!$B$5),5)))+'Read me'!$B$6)&lt;='Read me'!$B$7,CEILING(MAX((IF(F951*(1+'Read me'!$B$5)&lt;='Read me'!$B$7,CEILING(F951*(1+'Read me'!$B$5)+0.5,1)-0.5,CEILING(F951*(1+'Read me'!$B$5),5)))*L951,(IF(F951*(1+'Read me'!$B$5)&lt;='Read me'!$B$7,CEILING(F951*(1+'Read me'!$B$5)+0.5,1)-0.5,CEILING(F951*(1+'Read me'!$B$5),5)))+'Read me'!$B$6)+0.5,1)-0.5,CEILING(MAX((IF(F951*(1+'Read me'!$B$5)&lt;='Read me'!$B$7,CEILING(F951*(1+'Read me'!$B$5)+0.5,1)-0.5,CEILING(F951*(1+'Read me'!$B$5),5)))*L951,(IF(F951*(1+'Read me'!$B$5)&lt;='Read me'!$B$7,CEILING(F951*(1+'Read me'!$B$5)+0.5,1)-0.5,CEILING(F951*(1+'Read me'!$B$5),5)))+'Read me'!$B$6),5))</f>
        <v>315</v>
      </c>
      <c r="O951" s="21" t="n">
        <f aca="false">IF(ISNUMBER(J951),M951-J951,"new")</f>
        <v>15</v>
      </c>
      <c r="P951" s="5" t="s">
        <v>140</v>
      </c>
    </row>
    <row r="952" customFormat="false" ht="15" hidden="false" customHeight="false" outlineLevel="0" collapsed="false">
      <c r="A952" s="2" t="s">
        <v>1083</v>
      </c>
      <c r="B952" s="2" t="s">
        <v>240</v>
      </c>
      <c r="C952" s="2" t="s">
        <v>184</v>
      </c>
      <c r="D952" s="2" t="s">
        <v>15</v>
      </c>
      <c r="E952" s="2" t="s">
        <v>50</v>
      </c>
      <c r="F952" s="14" t="n">
        <v>306.89</v>
      </c>
      <c r="G952" s="2" t="n">
        <v>0</v>
      </c>
      <c r="H952" s="2" t="n">
        <v>18</v>
      </c>
      <c r="I952" s="20" t="n">
        <v>1.14</v>
      </c>
      <c r="J952" s="14" t="n">
        <v>350</v>
      </c>
      <c r="K952" s="14" t="n">
        <v>400</v>
      </c>
      <c r="L952" s="20" t="n">
        <f aca="false">INDEX('Read me'!$B$10:$B$15,5)</f>
        <v>1.2</v>
      </c>
      <c r="M952" s="14" t="n">
        <f aca="false">N952</f>
        <v>375</v>
      </c>
      <c r="N952" s="14" t="n">
        <f aca="false">IF(MAX((IF(F952*(1+'Read me'!$B$5)&lt;='Read me'!$B$7,CEILING(F952*(1+'Read me'!$B$5)+0.5,1)-0.5,CEILING(F952*(1+'Read me'!$B$5),5)))*L952,(IF(F952*(1+'Read me'!$B$5)&lt;='Read me'!$B$7,CEILING(F952*(1+'Read me'!$B$5)+0.5,1)-0.5,CEILING(F952*(1+'Read me'!$B$5),5)))+'Read me'!$B$6)&lt;='Read me'!$B$7,CEILING(MAX((IF(F952*(1+'Read me'!$B$5)&lt;='Read me'!$B$7,CEILING(F952*(1+'Read me'!$B$5)+0.5,1)-0.5,CEILING(F952*(1+'Read me'!$B$5),5)))*L952,(IF(F952*(1+'Read me'!$B$5)&lt;='Read me'!$B$7,CEILING(F952*(1+'Read me'!$B$5)+0.5,1)-0.5,CEILING(F952*(1+'Read me'!$B$5),5)))+'Read me'!$B$6)+0.5,1)-0.5,CEILING(MAX((IF(F952*(1+'Read me'!$B$5)&lt;='Read me'!$B$7,CEILING(F952*(1+'Read me'!$B$5)+0.5,1)-0.5,CEILING(F952*(1+'Read me'!$B$5),5)))*L952,(IF(F952*(1+'Read me'!$B$5)&lt;='Read me'!$B$7,CEILING(F952*(1+'Read me'!$B$5)+0.5,1)-0.5,CEILING(F952*(1+'Read me'!$B$5),5)))+'Read me'!$B$6),5))</f>
        <v>375</v>
      </c>
      <c r="O952" s="21" t="n">
        <f aca="false">IF(ISNUMBER(J952),M952-J952,"new")</f>
        <v>25</v>
      </c>
      <c r="P952" s="5" t="s">
        <v>140</v>
      </c>
    </row>
    <row r="953" customFormat="false" ht="15" hidden="false" customHeight="false" outlineLevel="0" collapsed="false">
      <c r="A953" s="2" t="s">
        <v>1084</v>
      </c>
      <c r="B953" s="2" t="s">
        <v>240</v>
      </c>
      <c r="C953" s="2" t="s">
        <v>184</v>
      </c>
      <c r="D953" s="2" t="s">
        <v>16</v>
      </c>
      <c r="E953" s="2" t="s">
        <v>48</v>
      </c>
      <c r="F953" s="14" t="n">
        <v>287.46</v>
      </c>
      <c r="G953" s="2" t="n">
        <v>0</v>
      </c>
      <c r="H953" s="2" t="n">
        <v>18</v>
      </c>
      <c r="I953" s="20" t="n">
        <v>1.14</v>
      </c>
      <c r="J953" s="14"/>
      <c r="K953" s="14"/>
      <c r="L953" s="20" t="n">
        <f aca="false">INDEX('Read me'!$B$10:$B$15,6)</f>
        <v>1.2</v>
      </c>
      <c r="M953" s="14" t="n">
        <f aca="false">IF(F953*(1+'Read me'!$B$5)&lt;='Read me'!$B$7,CEILING(F953*(1+'Read me'!$B$5)+0.5,1)-0.5,CEILING(F953*(1+'Read me'!$B$5),5))</f>
        <v>290</v>
      </c>
      <c r="N953" s="14" t="n">
        <f aca="false">IF(MAX(M953*L953,M953+'Read me'!$B$6)&lt;='Read me'!$B$7,CEILING(MAX(M953*L953,M953+'Read me'!$B$6)+0.5,1)-0.5,CEILING(MAX(M953*L953,M953+'Read me'!$B$6),5))</f>
        <v>350</v>
      </c>
      <c r="O953" s="21" t="str">
        <f aca="false">IF(ISNUMBER(J953),M953-J953,"new")</f>
        <v>new</v>
      </c>
    </row>
    <row r="954" customFormat="false" ht="15" hidden="false" customHeight="false" outlineLevel="0" collapsed="false">
      <c r="A954" s="2" t="s">
        <v>1085</v>
      </c>
      <c r="B954" s="2" t="s">
        <v>240</v>
      </c>
      <c r="C954" s="2" t="s">
        <v>184</v>
      </c>
      <c r="D954" s="2" t="s">
        <v>16</v>
      </c>
      <c r="E954" s="2" t="s">
        <v>49</v>
      </c>
      <c r="F954" s="14" t="n">
        <v>369.38</v>
      </c>
      <c r="G954" s="2" t="n">
        <v>0</v>
      </c>
      <c r="H954" s="2" t="n">
        <v>18</v>
      </c>
      <c r="I954" s="20" t="n">
        <v>1.14</v>
      </c>
      <c r="J954" s="14"/>
      <c r="K954" s="14"/>
      <c r="L954" s="20" t="n">
        <f aca="false">INDEX('Read me'!$B$10:$B$15,6)</f>
        <v>1.2</v>
      </c>
      <c r="M954" s="14" t="n">
        <f aca="false">N954</f>
        <v>445</v>
      </c>
      <c r="N954" s="14" t="n">
        <f aca="false">IF(MAX((IF(F954*(1+'Read me'!$B$5)&lt;='Read me'!$B$7,CEILING(F954*(1+'Read me'!$B$5)+0.5,1)-0.5,CEILING(F954*(1+'Read me'!$B$5),5)))*L954,(IF(F954*(1+'Read me'!$B$5)&lt;='Read me'!$B$7,CEILING(F954*(1+'Read me'!$B$5)+0.5,1)-0.5,CEILING(F954*(1+'Read me'!$B$5),5)))+'Read me'!$B$6)&lt;='Read me'!$B$7,CEILING(MAX((IF(F954*(1+'Read me'!$B$5)&lt;='Read me'!$B$7,CEILING(F954*(1+'Read me'!$B$5)+0.5,1)-0.5,CEILING(F954*(1+'Read me'!$B$5),5)))*L954,(IF(F954*(1+'Read me'!$B$5)&lt;='Read me'!$B$7,CEILING(F954*(1+'Read me'!$B$5)+0.5,1)-0.5,CEILING(F954*(1+'Read me'!$B$5),5)))+'Read me'!$B$6)+0.5,1)-0.5,CEILING(MAX((IF(F954*(1+'Read me'!$B$5)&lt;='Read me'!$B$7,CEILING(F954*(1+'Read me'!$B$5)+0.5,1)-0.5,CEILING(F954*(1+'Read me'!$B$5),5)))*L954,(IF(F954*(1+'Read me'!$B$5)&lt;='Read me'!$B$7,CEILING(F954*(1+'Read me'!$B$5)+0.5,1)-0.5,CEILING(F954*(1+'Read me'!$B$5),5)))+'Read me'!$B$6),5))</f>
        <v>445</v>
      </c>
      <c r="O954" s="21" t="str">
        <f aca="false">IF(ISNUMBER(J954),M954-J954,"new")</f>
        <v>new</v>
      </c>
      <c r="P954" s="5" t="s">
        <v>140</v>
      </c>
    </row>
    <row r="955" customFormat="false" ht="15" hidden="false" customHeight="false" outlineLevel="0" collapsed="false">
      <c r="A955" s="2" t="s">
        <v>1086</v>
      </c>
      <c r="B955" s="2" t="s">
        <v>240</v>
      </c>
      <c r="C955" s="2" t="s">
        <v>184</v>
      </c>
      <c r="D955" s="2" t="s">
        <v>16</v>
      </c>
      <c r="E955" s="2" t="s">
        <v>50</v>
      </c>
      <c r="F955" s="14" t="n">
        <v>434.15</v>
      </c>
      <c r="G955" s="2" t="n">
        <v>0</v>
      </c>
      <c r="H955" s="2" t="n">
        <v>18</v>
      </c>
      <c r="I955" s="20" t="n">
        <v>1.14</v>
      </c>
      <c r="J955" s="14"/>
      <c r="K955" s="14"/>
      <c r="L955" s="20" t="n">
        <f aca="false">INDEX('Read me'!$B$10:$B$15,6)</f>
        <v>1.2</v>
      </c>
      <c r="M955" s="14" t="n">
        <f aca="false">N955</f>
        <v>525</v>
      </c>
      <c r="N955" s="14" t="n">
        <f aca="false">IF(MAX((IF(F955*(1+'Read me'!$B$5)&lt;='Read me'!$B$7,CEILING(F955*(1+'Read me'!$B$5)+0.5,1)-0.5,CEILING(F955*(1+'Read me'!$B$5),5)))*L955,(IF(F955*(1+'Read me'!$B$5)&lt;='Read me'!$B$7,CEILING(F955*(1+'Read me'!$B$5)+0.5,1)-0.5,CEILING(F955*(1+'Read me'!$B$5),5)))+'Read me'!$B$6)&lt;='Read me'!$B$7,CEILING(MAX((IF(F955*(1+'Read me'!$B$5)&lt;='Read me'!$B$7,CEILING(F955*(1+'Read me'!$B$5)+0.5,1)-0.5,CEILING(F955*(1+'Read me'!$B$5),5)))*L955,(IF(F955*(1+'Read me'!$B$5)&lt;='Read me'!$B$7,CEILING(F955*(1+'Read me'!$B$5)+0.5,1)-0.5,CEILING(F955*(1+'Read me'!$B$5),5)))+'Read me'!$B$6)+0.5,1)-0.5,CEILING(MAX((IF(F955*(1+'Read me'!$B$5)&lt;='Read me'!$B$7,CEILING(F955*(1+'Read me'!$B$5)+0.5,1)-0.5,CEILING(F955*(1+'Read me'!$B$5),5)))*L955,(IF(F955*(1+'Read me'!$B$5)&lt;='Read me'!$B$7,CEILING(F955*(1+'Read me'!$B$5)+0.5,1)-0.5,CEILING(F955*(1+'Read me'!$B$5),5)))+'Read me'!$B$6),5))</f>
        <v>525</v>
      </c>
      <c r="O955" s="21" t="str">
        <f aca="false">IF(ISNUMBER(J955),M955-J955,"new")</f>
        <v>new</v>
      </c>
      <c r="P955" s="5" t="s">
        <v>140</v>
      </c>
    </row>
    <row r="956" customFormat="false" ht="15" hidden="false" customHeight="false" outlineLevel="0" collapsed="false">
      <c r="A956" s="2" t="s">
        <v>1087</v>
      </c>
      <c r="B956" s="2" t="s">
        <v>240</v>
      </c>
      <c r="C956" s="2" t="s">
        <v>126</v>
      </c>
      <c r="D956" s="2" t="s">
        <v>10</v>
      </c>
      <c r="E956" s="2" t="s">
        <v>48</v>
      </c>
      <c r="F956" s="14" t="n">
        <v>14.75</v>
      </c>
      <c r="G956" s="2" t="n">
        <v>22</v>
      </c>
      <c r="H956" s="2" t="n">
        <v>55</v>
      </c>
      <c r="I956" s="20" t="n">
        <v>1.17</v>
      </c>
      <c r="J956" s="14" t="n">
        <v>19.5</v>
      </c>
      <c r="K956" s="14" t="n">
        <v>24.5</v>
      </c>
      <c r="L956" s="20" t="n">
        <f aca="false">INDEX('Read me'!$B$10:$B$15,1)</f>
        <v>1.34</v>
      </c>
      <c r="M956" s="14" t="n">
        <f aca="false">IF(F956*(1+'Read me'!$B$5)&lt;='Read me'!$B$7,CEILING(F956*(1+'Read me'!$B$5)+0.5,1)-0.5,CEILING(F956*(1+'Read me'!$B$5),5))</f>
        <v>15.5</v>
      </c>
      <c r="N956" s="14" t="n">
        <f aca="false">IF(MAX(M956*L956,M956+'Read me'!$B$6)&lt;='Read me'!$B$7,CEILING(MAX(M956*L956,M956+'Read me'!$B$6)+0.5,1)-0.5,CEILING(MAX(M956*L956,M956+'Read me'!$B$6),5))</f>
        <v>21.5</v>
      </c>
      <c r="O956" s="21" t="n">
        <f aca="false">IF(ISNUMBER(J956),M956-J956,"new")</f>
        <v>-4</v>
      </c>
    </row>
    <row r="957" customFormat="false" ht="15" hidden="false" customHeight="false" outlineLevel="0" collapsed="false">
      <c r="A957" s="2" t="s">
        <v>1088</v>
      </c>
      <c r="B957" s="2" t="s">
        <v>240</v>
      </c>
      <c r="C957" s="2" t="s">
        <v>126</v>
      </c>
      <c r="D957" s="2" t="s">
        <v>10</v>
      </c>
      <c r="E957" s="2" t="s">
        <v>49</v>
      </c>
      <c r="F957" s="14" t="n">
        <v>17.82</v>
      </c>
      <c r="G957" s="2" t="n">
        <v>3</v>
      </c>
      <c r="H957" s="2" t="n">
        <v>55</v>
      </c>
      <c r="I957" s="20" t="n">
        <v>1.17</v>
      </c>
      <c r="J957" s="14" t="n">
        <v>19.5</v>
      </c>
      <c r="K957" s="14" t="n">
        <v>24.5</v>
      </c>
      <c r="L957" s="20" t="n">
        <f aca="false">INDEX('Read me'!$B$10:$B$15,1)</f>
        <v>1.34</v>
      </c>
      <c r="M957" s="14" t="n">
        <f aca="false">IF(F957*(1+'Read me'!$B$5)&lt;='Read me'!$B$7,CEILING(F957*(1+'Read me'!$B$5)+0.5,1)-0.5,CEILING(F957*(1+'Read me'!$B$5),5))</f>
        <v>18.5</v>
      </c>
      <c r="N957" s="14" t="n">
        <f aca="false">IF(MAX(M957*L957,M957+'Read me'!$B$6)&lt;='Read me'!$B$7,CEILING(MAX(M957*L957,M957+'Read me'!$B$6)+0.5,1)-0.5,CEILING(MAX(M957*L957,M957+'Read me'!$B$6),5))</f>
        <v>25.5</v>
      </c>
      <c r="O957" s="21" t="n">
        <f aca="false">IF(ISNUMBER(J957),M957-J957,"new")</f>
        <v>-1</v>
      </c>
    </row>
    <row r="958" customFormat="false" ht="15" hidden="false" customHeight="false" outlineLevel="0" collapsed="false">
      <c r="A958" s="2" t="s">
        <v>1089</v>
      </c>
      <c r="B958" s="2" t="s">
        <v>240</v>
      </c>
      <c r="C958" s="2" t="s">
        <v>126</v>
      </c>
      <c r="D958" s="2" t="s">
        <v>10</v>
      </c>
      <c r="E958" s="2" t="s">
        <v>50</v>
      </c>
      <c r="F958" s="14" t="n">
        <v>24</v>
      </c>
      <c r="G958" s="2" t="n">
        <v>9</v>
      </c>
      <c r="H958" s="2" t="n">
        <v>55</v>
      </c>
      <c r="I958" s="20" t="n">
        <v>1.17</v>
      </c>
      <c r="J958" s="14" t="n">
        <v>19.5</v>
      </c>
      <c r="K958" s="14" t="n">
        <v>34.5</v>
      </c>
      <c r="L958" s="20" t="n">
        <f aca="false">INDEX('Read me'!$B$10:$B$15,1)</f>
        <v>1.34</v>
      </c>
      <c r="M958" s="14" t="n">
        <f aca="false">IF(F958*(1+'Read me'!$B$5)&lt;='Read me'!$B$7,CEILING(F958*(1+'Read me'!$B$5)+0.5,1)-0.5,CEILING(F958*(1+'Read me'!$B$5),5))</f>
        <v>24.5</v>
      </c>
      <c r="N958" s="14" t="n">
        <f aca="false">IF(MAX(M958*L958,M958+'Read me'!$B$6)&lt;='Read me'!$B$7,CEILING(MAX(M958*L958,M958+'Read me'!$B$6)+0.5,1)-0.5,CEILING(MAX(M958*L958,M958+'Read me'!$B$6),5))</f>
        <v>35</v>
      </c>
      <c r="O958" s="21" t="n">
        <f aca="false">IF(ISNUMBER(J958),M958-J958,"new")</f>
        <v>5</v>
      </c>
    </row>
    <row r="959" customFormat="false" ht="15" hidden="false" customHeight="false" outlineLevel="0" collapsed="false">
      <c r="A959" s="2" t="s">
        <v>1090</v>
      </c>
      <c r="B959" s="2" t="s">
        <v>240</v>
      </c>
      <c r="C959" s="2" t="s">
        <v>126</v>
      </c>
      <c r="D959" s="2" t="s">
        <v>12</v>
      </c>
      <c r="E959" s="2" t="s">
        <v>48</v>
      </c>
      <c r="F959" s="14" t="n">
        <v>51.59</v>
      </c>
      <c r="G959" s="2" t="n">
        <v>10</v>
      </c>
      <c r="H959" s="2" t="n">
        <v>55</v>
      </c>
      <c r="I959" s="20" t="n">
        <v>1.17</v>
      </c>
      <c r="J959" s="14" t="n">
        <v>24.5</v>
      </c>
      <c r="K959" s="14" t="n">
        <v>29.5</v>
      </c>
      <c r="L959" s="20" t="n">
        <f aca="false">INDEX('Read me'!$B$10:$B$15,2)</f>
        <v>1.26</v>
      </c>
      <c r="M959" s="14" t="n">
        <f aca="false">IF(F959*(1+'Read me'!$B$5)&lt;='Read me'!$B$7,CEILING(F959*(1+'Read me'!$B$5)+0.5,1)-0.5,CEILING(F959*(1+'Read me'!$B$5),5))</f>
        <v>55</v>
      </c>
      <c r="N959" s="14" t="n">
        <f aca="false">IF(MAX(M959*L959,M959+'Read me'!$B$6)&lt;='Read me'!$B$7,CEILING(MAX(M959*L959,M959+'Read me'!$B$6)+0.5,1)-0.5,CEILING(MAX(M959*L959,M959+'Read me'!$B$6),5))</f>
        <v>70</v>
      </c>
      <c r="O959" s="21" t="n">
        <f aca="false">IF(ISNUMBER(J959),M959-J959,"new")</f>
        <v>30.5</v>
      </c>
    </row>
    <row r="960" customFormat="false" ht="15" hidden="false" customHeight="false" outlineLevel="0" collapsed="false">
      <c r="A960" s="2" t="s">
        <v>1091</v>
      </c>
      <c r="B960" s="2" t="s">
        <v>240</v>
      </c>
      <c r="C960" s="2" t="s">
        <v>126</v>
      </c>
      <c r="D960" s="2" t="s">
        <v>12</v>
      </c>
      <c r="E960" s="2" t="s">
        <v>49</v>
      </c>
      <c r="F960" s="14" t="n">
        <v>61.25</v>
      </c>
      <c r="G960" s="2" t="n">
        <v>0</v>
      </c>
      <c r="H960" s="2" t="n">
        <v>55</v>
      </c>
      <c r="I960" s="20" t="n">
        <v>1.17</v>
      </c>
      <c r="J960" s="14" t="n">
        <v>24.5</v>
      </c>
      <c r="K960" s="14" t="n">
        <v>29.5</v>
      </c>
      <c r="L960" s="20" t="n">
        <f aca="false">INDEX('Read me'!$B$10:$B$15,2)</f>
        <v>1.26</v>
      </c>
      <c r="M960" s="14" t="n">
        <f aca="false">IF(F960*(1+'Read me'!$B$5)&lt;='Read me'!$B$7,CEILING(F960*(1+'Read me'!$B$5)+0.5,1)-0.5,CEILING(F960*(1+'Read me'!$B$5),5))</f>
        <v>65</v>
      </c>
      <c r="N960" s="14" t="n">
        <f aca="false">IF(MAX(M960*L960,M960+'Read me'!$B$6)&lt;='Read me'!$B$7,CEILING(MAX(M960*L960,M960+'Read me'!$B$6)+0.5,1)-0.5,CEILING(MAX(M960*L960,M960+'Read me'!$B$6),5))</f>
        <v>85</v>
      </c>
      <c r="O960" s="21" t="n">
        <f aca="false">IF(ISNUMBER(J960),M960-J960,"new")</f>
        <v>40.5</v>
      </c>
    </row>
    <row r="961" customFormat="false" ht="15" hidden="false" customHeight="false" outlineLevel="0" collapsed="false">
      <c r="A961" s="2" t="s">
        <v>1092</v>
      </c>
      <c r="B961" s="2" t="s">
        <v>240</v>
      </c>
      <c r="C961" s="2" t="s">
        <v>126</v>
      </c>
      <c r="D961" s="2" t="s">
        <v>12</v>
      </c>
      <c r="E961" s="2" t="s">
        <v>50</v>
      </c>
      <c r="F961" s="14" t="n">
        <v>71.46</v>
      </c>
      <c r="G961" s="2" t="n">
        <v>5</v>
      </c>
      <c r="H961" s="2" t="n">
        <v>55</v>
      </c>
      <c r="I961" s="20" t="n">
        <v>1.17</v>
      </c>
      <c r="J961" s="14" t="n">
        <v>24.5</v>
      </c>
      <c r="K961" s="14" t="n">
        <v>45</v>
      </c>
      <c r="L961" s="20" t="n">
        <f aca="false">INDEX('Read me'!$B$10:$B$15,2)</f>
        <v>1.26</v>
      </c>
      <c r="M961" s="14" t="n">
        <f aca="false">IF(F961*(1+'Read me'!$B$5)&lt;='Read me'!$B$7,CEILING(F961*(1+'Read me'!$B$5)+0.5,1)-0.5,CEILING(F961*(1+'Read me'!$B$5),5))</f>
        <v>75</v>
      </c>
      <c r="N961" s="14" t="n">
        <f aca="false">IF(MAX(M961*L961,M961+'Read me'!$B$6)&lt;='Read me'!$B$7,CEILING(MAX(M961*L961,M961+'Read me'!$B$6)+0.5,1)-0.5,CEILING(MAX(M961*L961,M961+'Read me'!$B$6),5))</f>
        <v>95</v>
      </c>
      <c r="O961" s="21" t="n">
        <f aca="false">IF(ISNUMBER(J961),M961-J961,"new")</f>
        <v>50.5</v>
      </c>
    </row>
    <row r="962" customFormat="false" ht="15" hidden="false" customHeight="false" outlineLevel="0" collapsed="false">
      <c r="A962" s="2" t="s">
        <v>1093</v>
      </c>
      <c r="B962" s="2" t="s">
        <v>240</v>
      </c>
      <c r="C962" s="2" t="s">
        <v>126</v>
      </c>
      <c r="D962" s="2" t="s">
        <v>13</v>
      </c>
      <c r="E962" s="2" t="s">
        <v>48</v>
      </c>
      <c r="F962" s="14" t="n">
        <v>118.47</v>
      </c>
      <c r="G962" s="2" t="n">
        <v>3</v>
      </c>
      <c r="H962" s="2" t="n">
        <v>55</v>
      </c>
      <c r="I962" s="20" t="n">
        <v>1.17</v>
      </c>
      <c r="J962" s="14" t="n">
        <v>45</v>
      </c>
      <c r="K962" s="14" t="n">
        <v>95</v>
      </c>
      <c r="L962" s="20" t="n">
        <f aca="false">INDEX('Read me'!$B$10:$B$15,3)</f>
        <v>1.35</v>
      </c>
      <c r="M962" s="14" t="n">
        <f aca="false">IF(F962*(1+'Read me'!$B$5)&lt;='Read me'!$B$7,CEILING(F962*(1+'Read me'!$B$5)+0.5,1)-0.5,CEILING(F962*(1+'Read me'!$B$5),5))</f>
        <v>120</v>
      </c>
      <c r="N962" s="14" t="n">
        <f aca="false">IF(MAX(M962*L962,M962+'Read me'!$B$6)&lt;='Read me'!$B$7,CEILING(MAX(M962*L962,M962+'Read me'!$B$6)+0.5,1)-0.5,CEILING(MAX(M962*L962,M962+'Read me'!$B$6),5))</f>
        <v>165</v>
      </c>
      <c r="O962" s="21" t="n">
        <f aca="false">IF(ISNUMBER(J962),M962-J962,"new")</f>
        <v>75</v>
      </c>
    </row>
    <row r="963" customFormat="false" ht="15" hidden="false" customHeight="false" outlineLevel="0" collapsed="false">
      <c r="A963" s="2" t="s">
        <v>1094</v>
      </c>
      <c r="B963" s="2" t="s">
        <v>240</v>
      </c>
      <c r="C963" s="2" t="s">
        <v>126</v>
      </c>
      <c r="D963" s="2" t="s">
        <v>13</v>
      </c>
      <c r="E963" s="2" t="s">
        <v>49</v>
      </c>
      <c r="F963" s="14" t="n">
        <v>118.47</v>
      </c>
      <c r="G963" s="2" t="n">
        <v>0</v>
      </c>
      <c r="H963" s="2" t="n">
        <v>55</v>
      </c>
      <c r="I963" s="20" t="n">
        <v>1.17</v>
      </c>
      <c r="J963" s="14" t="n">
        <v>45</v>
      </c>
      <c r="K963" s="14" t="n">
        <v>95</v>
      </c>
      <c r="L963" s="20" t="n">
        <f aca="false">INDEX('Read me'!$B$10:$B$15,3)</f>
        <v>1.35</v>
      </c>
      <c r="M963" s="14" t="n">
        <f aca="false">IF(F963*(1+'Read me'!$B$5)&lt;='Read me'!$B$7,CEILING(F963*(1+'Read me'!$B$5)+0.5,1)-0.5,CEILING(F963*(1+'Read me'!$B$5),5))</f>
        <v>120</v>
      </c>
      <c r="N963" s="14" t="n">
        <f aca="false">IF(MAX(M963*L963,M963+'Read me'!$B$6)&lt;='Read me'!$B$7,CEILING(MAX(M963*L963,M963+'Read me'!$B$6)+0.5,1)-0.5,CEILING(MAX(M963*L963,M963+'Read me'!$B$6),5))</f>
        <v>165</v>
      </c>
      <c r="O963" s="21" t="n">
        <f aca="false">IF(ISNUMBER(J963),M963-J963,"new")</f>
        <v>75</v>
      </c>
    </row>
    <row r="964" customFormat="false" ht="15" hidden="false" customHeight="false" outlineLevel="0" collapsed="false">
      <c r="A964" s="2" t="s">
        <v>1095</v>
      </c>
      <c r="B964" s="2" t="s">
        <v>240</v>
      </c>
      <c r="C964" s="2" t="s">
        <v>126</v>
      </c>
      <c r="D964" s="2" t="s">
        <v>13</v>
      </c>
      <c r="E964" s="2" t="s">
        <v>50</v>
      </c>
      <c r="F964" s="14" t="n">
        <v>146.02</v>
      </c>
      <c r="G964" s="2" t="n">
        <v>0</v>
      </c>
      <c r="H964" s="2" t="n">
        <v>55</v>
      </c>
      <c r="I964" s="20" t="n">
        <v>1.17</v>
      </c>
      <c r="J964" s="14" t="n">
        <v>99</v>
      </c>
      <c r="K964" s="14" t="n">
        <v>150</v>
      </c>
      <c r="L964" s="20" t="n">
        <f aca="false">INDEX('Read me'!$B$10:$B$15,3)</f>
        <v>1.35</v>
      </c>
      <c r="M964" s="14" t="n">
        <f aca="false">IF(F964*(1+'Read me'!$B$5)&lt;='Read me'!$B$7,CEILING(F964*(1+'Read me'!$B$5)+0.5,1)-0.5,CEILING(F964*(1+'Read me'!$B$5),5))</f>
        <v>150</v>
      </c>
      <c r="N964" s="14" t="n">
        <f aca="false">IF(MAX(M964*L964,M964+'Read me'!$B$6)&lt;='Read me'!$B$7,CEILING(MAX(M964*L964,M964+'Read me'!$B$6)+0.5,1)-0.5,CEILING(MAX(M964*L964,M964+'Read me'!$B$6),5))</f>
        <v>205</v>
      </c>
      <c r="O964" s="21" t="n">
        <f aca="false">IF(ISNUMBER(J964),M964-J964,"new")</f>
        <v>51</v>
      </c>
    </row>
    <row r="965" customFormat="false" ht="15" hidden="false" customHeight="false" outlineLevel="0" collapsed="false">
      <c r="A965" s="2" t="s">
        <v>1096</v>
      </c>
      <c r="B965" s="2" t="s">
        <v>240</v>
      </c>
      <c r="C965" s="2" t="s">
        <v>126</v>
      </c>
      <c r="D965" s="2" t="s">
        <v>14</v>
      </c>
      <c r="E965" s="2" t="s">
        <v>48</v>
      </c>
      <c r="F965" s="14" t="n">
        <v>169.22</v>
      </c>
      <c r="G965" s="2" t="n">
        <v>2</v>
      </c>
      <c r="H965" s="2" t="n">
        <v>55</v>
      </c>
      <c r="I965" s="20" t="n">
        <v>1.17</v>
      </c>
      <c r="J965" s="14" t="n">
        <v>99</v>
      </c>
      <c r="K965" s="14" t="n">
        <v>150</v>
      </c>
      <c r="L965" s="20" t="n">
        <f aca="false">INDEX('Read me'!$B$10:$B$15,4)</f>
        <v>1.2</v>
      </c>
      <c r="M965" s="14" t="n">
        <f aca="false">IF(F965*(1+'Read me'!$B$5)&lt;='Read me'!$B$7,CEILING(F965*(1+'Read me'!$B$5)+0.5,1)-0.5,CEILING(F965*(1+'Read me'!$B$5),5))</f>
        <v>170</v>
      </c>
      <c r="N965" s="14" t="n">
        <f aca="false">IF(MAX(M965*L965,M965+'Read me'!$B$6)&lt;='Read me'!$B$7,CEILING(MAX(M965*L965,M965+'Read me'!$B$6)+0.5,1)-0.5,CEILING(MAX(M965*L965,M965+'Read me'!$B$6),5))</f>
        <v>205</v>
      </c>
      <c r="O965" s="21" t="n">
        <f aca="false">IF(ISNUMBER(J965),M965-J965,"new")</f>
        <v>71</v>
      </c>
    </row>
    <row r="966" customFormat="false" ht="15" hidden="false" customHeight="false" outlineLevel="0" collapsed="false">
      <c r="A966" s="2" t="s">
        <v>1097</v>
      </c>
      <c r="B966" s="2" t="s">
        <v>240</v>
      </c>
      <c r="C966" s="2" t="s">
        <v>126</v>
      </c>
      <c r="D966" s="2" t="s">
        <v>14</v>
      </c>
      <c r="E966" s="2" t="s">
        <v>49</v>
      </c>
      <c r="F966" s="14" t="n">
        <v>200.67</v>
      </c>
      <c r="G966" s="2" t="n">
        <v>0</v>
      </c>
      <c r="H966" s="2" t="n">
        <v>55</v>
      </c>
      <c r="I966" s="20" t="n">
        <v>1.17</v>
      </c>
      <c r="J966" s="14" t="n">
        <v>150</v>
      </c>
      <c r="K966" s="14" t="n">
        <v>150</v>
      </c>
      <c r="L966" s="20" t="n">
        <f aca="false">INDEX('Read me'!$B$10:$B$15,4)</f>
        <v>1.2</v>
      </c>
      <c r="M966" s="14" t="n">
        <f aca="false">IF(F966*(1+'Read me'!$B$5)&lt;='Read me'!$B$7,CEILING(F966*(1+'Read me'!$B$5)+0.5,1)-0.5,CEILING(F966*(1+'Read me'!$B$5),5))</f>
        <v>205</v>
      </c>
      <c r="N966" s="14" t="n">
        <f aca="false">IF(MAX(M966*L966,M966+'Read me'!$B$6)&lt;='Read me'!$B$7,CEILING(MAX(M966*L966,M966+'Read me'!$B$6)+0.5,1)-0.5,CEILING(MAX(M966*L966,M966+'Read me'!$B$6),5))</f>
        <v>250</v>
      </c>
      <c r="O966" s="21" t="n">
        <f aca="false">IF(ISNUMBER(J966),M966-J966,"new")</f>
        <v>55</v>
      </c>
    </row>
    <row r="967" customFormat="false" ht="15" hidden="false" customHeight="false" outlineLevel="0" collapsed="false">
      <c r="A967" s="2" t="s">
        <v>1098</v>
      </c>
      <c r="B967" s="2" t="s">
        <v>240</v>
      </c>
      <c r="C967" s="2" t="s">
        <v>126</v>
      </c>
      <c r="D967" s="2" t="s">
        <v>14</v>
      </c>
      <c r="E967" s="2" t="s">
        <v>50</v>
      </c>
      <c r="F967" s="14" t="n">
        <v>238.78</v>
      </c>
      <c r="G967" s="2" t="n">
        <v>1</v>
      </c>
      <c r="H967" s="2" t="n">
        <v>55</v>
      </c>
      <c r="I967" s="20" t="n">
        <v>1.17</v>
      </c>
      <c r="J967" s="14" t="n">
        <v>250</v>
      </c>
      <c r="K967" s="14" t="n">
        <v>195</v>
      </c>
      <c r="L967" s="20" t="n">
        <f aca="false">INDEX('Read me'!$B$10:$B$15,4)</f>
        <v>1.2</v>
      </c>
      <c r="M967" s="14" t="n">
        <f aca="false">IF(F967*(1+'Read me'!$B$5)&lt;='Read me'!$B$7,CEILING(F967*(1+'Read me'!$B$5)+0.5,1)-0.5,CEILING(F967*(1+'Read me'!$B$5),5))</f>
        <v>240</v>
      </c>
      <c r="N967" s="14" t="n">
        <f aca="false">IF(MAX(M967*L967,M967+'Read me'!$B$6)&lt;='Read me'!$B$7,CEILING(MAX(M967*L967,M967+'Read me'!$B$6)+0.5,1)-0.5,CEILING(MAX(M967*L967,M967+'Read me'!$B$6),5))</f>
        <v>290</v>
      </c>
      <c r="O967" s="21" t="n">
        <f aca="false">IF(ISNUMBER(J967),M967-J967,"new")</f>
        <v>-10</v>
      </c>
    </row>
    <row r="968" customFormat="false" ht="15" hidden="false" customHeight="false" outlineLevel="0" collapsed="false">
      <c r="A968" s="2" t="s">
        <v>1099</v>
      </c>
      <c r="B968" s="2" t="s">
        <v>240</v>
      </c>
      <c r="C968" s="2" t="s">
        <v>126</v>
      </c>
      <c r="D968" s="2" t="s">
        <v>15</v>
      </c>
      <c r="E968" s="2" t="s">
        <v>48</v>
      </c>
      <c r="F968" s="14" t="n">
        <v>212.13</v>
      </c>
      <c r="G968" s="2" t="n">
        <v>0</v>
      </c>
      <c r="H968" s="2" t="n">
        <v>55</v>
      </c>
      <c r="I968" s="20" t="n">
        <v>1.17</v>
      </c>
      <c r="J968" s="14" t="n">
        <v>300</v>
      </c>
      <c r="K968" s="14" t="n">
        <v>300</v>
      </c>
      <c r="L968" s="20" t="n">
        <f aca="false">INDEX('Read me'!$B$10:$B$15,5)</f>
        <v>1.2</v>
      </c>
      <c r="M968" s="14" t="n">
        <f aca="false">IF(F968*(1+'Read me'!$B$5)&lt;='Read me'!$B$7,CEILING(F968*(1+'Read me'!$B$5)+0.5,1)-0.5,CEILING(F968*(1+'Read me'!$B$5),5))</f>
        <v>215</v>
      </c>
      <c r="N968" s="14" t="n">
        <f aca="false">IF(MAX(M968*L968,M968+'Read me'!$B$6)&lt;='Read me'!$B$7,CEILING(MAX(M968*L968,M968+'Read me'!$B$6)+0.5,1)-0.5,CEILING(MAX(M968*L968,M968+'Read me'!$B$6),5))</f>
        <v>260</v>
      </c>
      <c r="O968" s="21" t="n">
        <f aca="false">IF(ISNUMBER(J968),M968-J968,"new")</f>
        <v>-85</v>
      </c>
    </row>
    <row r="969" customFormat="false" ht="15" hidden="false" customHeight="false" outlineLevel="0" collapsed="false">
      <c r="A969" s="2" t="s">
        <v>1100</v>
      </c>
      <c r="B969" s="2" t="s">
        <v>240</v>
      </c>
      <c r="C969" s="2" t="s">
        <v>126</v>
      </c>
      <c r="D969" s="2" t="s">
        <v>15</v>
      </c>
      <c r="E969" s="2" t="s">
        <v>49</v>
      </c>
      <c r="F969" s="14" t="n">
        <v>261.71</v>
      </c>
      <c r="G969" s="2" t="n">
        <v>0</v>
      </c>
      <c r="H969" s="2" t="n">
        <v>55</v>
      </c>
      <c r="I969" s="20" t="n">
        <v>1.17</v>
      </c>
      <c r="J969" s="14" t="n">
        <v>300</v>
      </c>
      <c r="K969" s="14" t="n">
        <v>300</v>
      </c>
      <c r="L969" s="20" t="n">
        <f aca="false">INDEX('Read me'!$B$10:$B$15,5)</f>
        <v>1.2</v>
      </c>
      <c r="M969" s="14" t="n">
        <f aca="false">N969</f>
        <v>320</v>
      </c>
      <c r="N969" s="14" t="n">
        <f aca="false">IF(MAX((IF(F969*(1+'Read me'!$B$5)&lt;='Read me'!$B$7,CEILING(F969*(1+'Read me'!$B$5)+0.5,1)-0.5,CEILING(F969*(1+'Read me'!$B$5),5)))*L969,(IF(F969*(1+'Read me'!$B$5)&lt;='Read me'!$B$7,CEILING(F969*(1+'Read me'!$B$5)+0.5,1)-0.5,CEILING(F969*(1+'Read me'!$B$5),5)))+'Read me'!$B$6)&lt;='Read me'!$B$7,CEILING(MAX((IF(F969*(1+'Read me'!$B$5)&lt;='Read me'!$B$7,CEILING(F969*(1+'Read me'!$B$5)+0.5,1)-0.5,CEILING(F969*(1+'Read me'!$B$5),5)))*L969,(IF(F969*(1+'Read me'!$B$5)&lt;='Read me'!$B$7,CEILING(F969*(1+'Read me'!$B$5)+0.5,1)-0.5,CEILING(F969*(1+'Read me'!$B$5),5)))+'Read me'!$B$6)+0.5,1)-0.5,CEILING(MAX((IF(F969*(1+'Read me'!$B$5)&lt;='Read me'!$B$7,CEILING(F969*(1+'Read me'!$B$5)+0.5,1)-0.5,CEILING(F969*(1+'Read me'!$B$5),5)))*L969,(IF(F969*(1+'Read me'!$B$5)&lt;='Read me'!$B$7,CEILING(F969*(1+'Read me'!$B$5)+0.5,1)-0.5,CEILING(F969*(1+'Read me'!$B$5),5)))+'Read me'!$B$6),5))</f>
        <v>320</v>
      </c>
      <c r="O969" s="21" t="n">
        <f aca="false">IF(ISNUMBER(J969),M969-J969,"new")</f>
        <v>20</v>
      </c>
      <c r="P969" s="5" t="s">
        <v>140</v>
      </c>
    </row>
    <row r="970" customFormat="false" ht="15" hidden="false" customHeight="false" outlineLevel="0" collapsed="false">
      <c r="A970" s="2" t="s">
        <v>1101</v>
      </c>
      <c r="B970" s="2" t="s">
        <v>240</v>
      </c>
      <c r="C970" s="2" t="s">
        <v>126</v>
      </c>
      <c r="D970" s="2" t="s">
        <v>15</v>
      </c>
      <c r="E970" s="2" t="s">
        <v>50</v>
      </c>
      <c r="F970" s="14" t="n">
        <v>314.46</v>
      </c>
      <c r="G970" s="2" t="n">
        <v>0</v>
      </c>
      <c r="H970" s="2" t="n">
        <v>55</v>
      </c>
      <c r="I970" s="20" t="n">
        <v>1.17</v>
      </c>
      <c r="J970" s="14" t="n">
        <v>350</v>
      </c>
      <c r="K970" s="14" t="n">
        <v>400</v>
      </c>
      <c r="L970" s="20" t="n">
        <f aca="false">INDEX('Read me'!$B$10:$B$15,5)</f>
        <v>1.2</v>
      </c>
      <c r="M970" s="14" t="n">
        <f aca="false">N970</f>
        <v>380</v>
      </c>
      <c r="N970" s="14" t="n">
        <f aca="false">IF(MAX((IF(F970*(1+'Read me'!$B$5)&lt;='Read me'!$B$7,CEILING(F970*(1+'Read me'!$B$5)+0.5,1)-0.5,CEILING(F970*(1+'Read me'!$B$5),5)))*L970,(IF(F970*(1+'Read me'!$B$5)&lt;='Read me'!$B$7,CEILING(F970*(1+'Read me'!$B$5)+0.5,1)-0.5,CEILING(F970*(1+'Read me'!$B$5),5)))+'Read me'!$B$6)&lt;='Read me'!$B$7,CEILING(MAX((IF(F970*(1+'Read me'!$B$5)&lt;='Read me'!$B$7,CEILING(F970*(1+'Read me'!$B$5)+0.5,1)-0.5,CEILING(F970*(1+'Read me'!$B$5),5)))*L970,(IF(F970*(1+'Read me'!$B$5)&lt;='Read me'!$B$7,CEILING(F970*(1+'Read me'!$B$5)+0.5,1)-0.5,CEILING(F970*(1+'Read me'!$B$5),5)))+'Read me'!$B$6)+0.5,1)-0.5,CEILING(MAX((IF(F970*(1+'Read me'!$B$5)&lt;='Read me'!$B$7,CEILING(F970*(1+'Read me'!$B$5)+0.5,1)-0.5,CEILING(F970*(1+'Read me'!$B$5),5)))*L970,(IF(F970*(1+'Read me'!$B$5)&lt;='Read me'!$B$7,CEILING(F970*(1+'Read me'!$B$5)+0.5,1)-0.5,CEILING(F970*(1+'Read me'!$B$5),5)))+'Read me'!$B$6),5))</f>
        <v>380</v>
      </c>
      <c r="O970" s="21" t="n">
        <f aca="false">IF(ISNUMBER(J970),M970-J970,"new")</f>
        <v>30</v>
      </c>
      <c r="P970" s="5" t="s">
        <v>140</v>
      </c>
    </row>
    <row r="971" customFormat="false" ht="15" hidden="false" customHeight="false" outlineLevel="0" collapsed="false">
      <c r="A971" s="2" t="s">
        <v>1102</v>
      </c>
      <c r="B971" s="2" t="s">
        <v>240</v>
      </c>
      <c r="C971" s="2" t="s">
        <v>126</v>
      </c>
      <c r="D971" s="2" t="s">
        <v>16</v>
      </c>
      <c r="E971" s="2" t="s">
        <v>48</v>
      </c>
      <c r="F971" s="14" t="n">
        <v>294.55</v>
      </c>
      <c r="G971" s="2" t="n">
        <v>0</v>
      </c>
      <c r="H971" s="2" t="n">
        <v>55</v>
      </c>
      <c r="I971" s="20" t="n">
        <v>1.17</v>
      </c>
      <c r="J971" s="14"/>
      <c r="K971" s="14"/>
      <c r="L971" s="20" t="n">
        <f aca="false">INDEX('Read me'!$B$10:$B$15,6)</f>
        <v>1.2</v>
      </c>
      <c r="M971" s="14" t="n">
        <f aca="false">IF(F971*(1+'Read me'!$B$5)&lt;='Read me'!$B$7,CEILING(F971*(1+'Read me'!$B$5)+0.5,1)-0.5,CEILING(F971*(1+'Read me'!$B$5),5))</f>
        <v>295</v>
      </c>
      <c r="N971" s="14" t="n">
        <f aca="false">IF(MAX(M971*L971,M971+'Read me'!$B$6)&lt;='Read me'!$B$7,CEILING(MAX(M971*L971,M971+'Read me'!$B$6)+0.5,1)-0.5,CEILING(MAX(M971*L971,M971+'Read me'!$B$6),5))</f>
        <v>355</v>
      </c>
      <c r="O971" s="21" t="str">
        <f aca="false">IF(ISNUMBER(J971),M971-J971,"new")</f>
        <v>new</v>
      </c>
    </row>
    <row r="972" customFormat="false" ht="15" hidden="false" customHeight="false" outlineLevel="0" collapsed="false">
      <c r="A972" s="2" t="s">
        <v>1103</v>
      </c>
      <c r="B972" s="2" t="s">
        <v>240</v>
      </c>
      <c r="C972" s="2" t="s">
        <v>126</v>
      </c>
      <c r="D972" s="2" t="s">
        <v>16</v>
      </c>
      <c r="E972" s="2" t="s">
        <v>49</v>
      </c>
      <c r="F972" s="14" t="n">
        <v>378.49</v>
      </c>
      <c r="G972" s="2" t="n">
        <v>0</v>
      </c>
      <c r="H972" s="2" t="n">
        <v>55</v>
      </c>
      <c r="I972" s="20" t="n">
        <v>1.17</v>
      </c>
      <c r="J972" s="14"/>
      <c r="K972" s="14"/>
      <c r="L972" s="20" t="n">
        <f aca="false">INDEX('Read me'!$B$10:$B$15,6)</f>
        <v>1.2</v>
      </c>
      <c r="M972" s="14" t="n">
        <f aca="false">N972</f>
        <v>460</v>
      </c>
      <c r="N972" s="14" t="n">
        <f aca="false">IF(MAX((IF(F972*(1+'Read me'!$B$5)&lt;='Read me'!$B$7,CEILING(F972*(1+'Read me'!$B$5)+0.5,1)-0.5,CEILING(F972*(1+'Read me'!$B$5),5)))*L972,(IF(F972*(1+'Read me'!$B$5)&lt;='Read me'!$B$7,CEILING(F972*(1+'Read me'!$B$5)+0.5,1)-0.5,CEILING(F972*(1+'Read me'!$B$5),5)))+'Read me'!$B$6)&lt;='Read me'!$B$7,CEILING(MAX((IF(F972*(1+'Read me'!$B$5)&lt;='Read me'!$B$7,CEILING(F972*(1+'Read me'!$B$5)+0.5,1)-0.5,CEILING(F972*(1+'Read me'!$B$5),5)))*L972,(IF(F972*(1+'Read me'!$B$5)&lt;='Read me'!$B$7,CEILING(F972*(1+'Read me'!$B$5)+0.5,1)-0.5,CEILING(F972*(1+'Read me'!$B$5),5)))+'Read me'!$B$6)+0.5,1)-0.5,CEILING(MAX((IF(F972*(1+'Read me'!$B$5)&lt;='Read me'!$B$7,CEILING(F972*(1+'Read me'!$B$5)+0.5,1)-0.5,CEILING(F972*(1+'Read me'!$B$5),5)))*L972,(IF(F972*(1+'Read me'!$B$5)&lt;='Read me'!$B$7,CEILING(F972*(1+'Read me'!$B$5)+0.5,1)-0.5,CEILING(F972*(1+'Read me'!$B$5),5)))+'Read me'!$B$6),5))</f>
        <v>460</v>
      </c>
      <c r="O972" s="21" t="str">
        <f aca="false">IF(ISNUMBER(J972),M972-J972,"new")</f>
        <v>new</v>
      </c>
      <c r="P972" s="5" t="s">
        <v>140</v>
      </c>
    </row>
    <row r="973" customFormat="false" ht="15" hidden="false" customHeight="false" outlineLevel="0" collapsed="false">
      <c r="A973" s="2" t="s">
        <v>1104</v>
      </c>
      <c r="B973" s="2" t="s">
        <v>240</v>
      </c>
      <c r="C973" s="2" t="s">
        <v>126</v>
      </c>
      <c r="D973" s="2" t="s">
        <v>16</v>
      </c>
      <c r="E973" s="2" t="s">
        <v>50</v>
      </c>
      <c r="F973" s="14" t="n">
        <v>444.86</v>
      </c>
      <c r="G973" s="2" t="n">
        <v>0</v>
      </c>
      <c r="H973" s="2" t="n">
        <v>55</v>
      </c>
      <c r="I973" s="20" t="n">
        <v>1.17</v>
      </c>
      <c r="J973" s="14"/>
      <c r="K973" s="14"/>
      <c r="L973" s="20" t="n">
        <f aca="false">INDEX('Read me'!$B$10:$B$15,6)</f>
        <v>1.2</v>
      </c>
      <c r="M973" s="14" t="n">
        <f aca="false">N973</f>
        <v>535</v>
      </c>
      <c r="N973" s="14" t="n">
        <f aca="false">IF(MAX((IF(F973*(1+'Read me'!$B$5)&lt;='Read me'!$B$7,CEILING(F973*(1+'Read me'!$B$5)+0.5,1)-0.5,CEILING(F973*(1+'Read me'!$B$5),5)))*L973,(IF(F973*(1+'Read me'!$B$5)&lt;='Read me'!$B$7,CEILING(F973*(1+'Read me'!$B$5)+0.5,1)-0.5,CEILING(F973*(1+'Read me'!$B$5),5)))+'Read me'!$B$6)&lt;='Read me'!$B$7,CEILING(MAX((IF(F973*(1+'Read me'!$B$5)&lt;='Read me'!$B$7,CEILING(F973*(1+'Read me'!$B$5)+0.5,1)-0.5,CEILING(F973*(1+'Read me'!$B$5),5)))*L973,(IF(F973*(1+'Read me'!$B$5)&lt;='Read me'!$B$7,CEILING(F973*(1+'Read me'!$B$5)+0.5,1)-0.5,CEILING(F973*(1+'Read me'!$B$5),5)))+'Read me'!$B$6)+0.5,1)-0.5,CEILING(MAX((IF(F973*(1+'Read me'!$B$5)&lt;='Read me'!$B$7,CEILING(F973*(1+'Read me'!$B$5)+0.5,1)-0.5,CEILING(F973*(1+'Read me'!$B$5),5)))*L973,(IF(F973*(1+'Read me'!$B$5)&lt;='Read me'!$B$7,CEILING(F973*(1+'Read me'!$B$5)+0.5,1)-0.5,CEILING(F973*(1+'Read me'!$B$5),5)))+'Read me'!$B$6),5))</f>
        <v>535</v>
      </c>
      <c r="O973" s="21" t="str">
        <f aca="false">IF(ISNUMBER(J973),M973-J973,"new")</f>
        <v>new</v>
      </c>
      <c r="P973" s="5" t="s">
        <v>140</v>
      </c>
    </row>
    <row r="974" customFormat="false" ht="15" hidden="false" customHeight="false" outlineLevel="0" collapsed="false">
      <c r="A974" s="2" t="s">
        <v>1105</v>
      </c>
      <c r="B974" s="2" t="s">
        <v>240</v>
      </c>
      <c r="C974" s="2" t="s">
        <v>125</v>
      </c>
      <c r="D974" s="2" t="s">
        <v>10</v>
      </c>
      <c r="E974" s="2" t="s">
        <v>48</v>
      </c>
      <c r="F974" s="14" t="n">
        <v>22.32</v>
      </c>
      <c r="G974" s="2" t="n">
        <v>3</v>
      </c>
      <c r="H974" s="2" t="n">
        <v>8</v>
      </c>
      <c r="I974" s="20" t="n">
        <v>1.36</v>
      </c>
      <c r="J974" s="14" t="n">
        <v>19.5</v>
      </c>
      <c r="K974" s="14" t="n">
        <v>24.5</v>
      </c>
      <c r="L974" s="20" t="n">
        <f aca="false">INDEX('Read me'!$B$10:$B$15,1)</f>
        <v>1.34</v>
      </c>
      <c r="M974" s="14" t="n">
        <f aca="false">IF(F974*(1+'Read me'!$B$5)&lt;='Read me'!$B$7,CEILING(F974*(1+'Read me'!$B$5)+0.5,1)-0.5,CEILING(F974*(1+'Read me'!$B$5),5))</f>
        <v>22.5</v>
      </c>
      <c r="N974" s="14" t="n">
        <f aca="false">IF(MAX(M974*L974,M974+'Read me'!$B$6)&lt;='Read me'!$B$7,CEILING(MAX(M974*L974,M974+'Read me'!$B$6)+0.5,1)-0.5,CEILING(MAX(M974*L974,M974+'Read me'!$B$6),5))</f>
        <v>35</v>
      </c>
      <c r="O974" s="21" t="n">
        <f aca="false">IF(ISNUMBER(J974),M974-J974,"new")</f>
        <v>3</v>
      </c>
    </row>
    <row r="975" customFormat="false" ht="15" hidden="false" customHeight="false" outlineLevel="0" collapsed="false">
      <c r="A975" s="2" t="s">
        <v>1106</v>
      </c>
      <c r="B975" s="2" t="s">
        <v>240</v>
      </c>
      <c r="C975" s="2" t="s">
        <v>125</v>
      </c>
      <c r="D975" s="2" t="s">
        <v>10</v>
      </c>
      <c r="E975" s="2" t="s">
        <v>49</v>
      </c>
      <c r="F975" s="14" t="n">
        <v>22.32</v>
      </c>
      <c r="G975" s="2" t="n">
        <v>0</v>
      </c>
      <c r="H975" s="2" t="n">
        <v>8</v>
      </c>
      <c r="I975" s="20" t="n">
        <v>1.36</v>
      </c>
      <c r="J975" s="14" t="n">
        <v>19.5</v>
      </c>
      <c r="K975" s="14" t="n">
        <v>24.5</v>
      </c>
      <c r="L975" s="20" t="n">
        <f aca="false">INDEX('Read me'!$B$10:$B$15,1)</f>
        <v>1.34</v>
      </c>
      <c r="M975" s="14" t="n">
        <f aca="false">IF(F975*(1+'Read me'!$B$5)&lt;='Read me'!$B$7,CEILING(F975*(1+'Read me'!$B$5)+0.5,1)-0.5,CEILING(F975*(1+'Read me'!$B$5),5))</f>
        <v>22.5</v>
      </c>
      <c r="N975" s="14" t="n">
        <f aca="false">IF(MAX(M975*L975,M975+'Read me'!$B$6)&lt;='Read me'!$B$7,CEILING(MAX(M975*L975,M975+'Read me'!$B$6)+0.5,1)-0.5,CEILING(MAX(M975*L975,M975+'Read me'!$B$6),5))</f>
        <v>35</v>
      </c>
      <c r="O975" s="21" t="n">
        <f aca="false">IF(ISNUMBER(J975),M975-J975,"new")</f>
        <v>3</v>
      </c>
    </row>
    <row r="976" customFormat="false" ht="15" hidden="false" customHeight="false" outlineLevel="0" collapsed="false">
      <c r="A976" s="2" t="s">
        <v>1107</v>
      </c>
      <c r="B976" s="2" t="s">
        <v>240</v>
      </c>
      <c r="C976" s="2" t="s">
        <v>125</v>
      </c>
      <c r="D976" s="2" t="s">
        <v>10</v>
      </c>
      <c r="E976" s="2" t="s">
        <v>50</v>
      </c>
      <c r="F976" s="14" t="n">
        <v>26.73</v>
      </c>
      <c r="G976" s="2" t="n">
        <v>1</v>
      </c>
      <c r="H976" s="2" t="n">
        <v>8</v>
      </c>
      <c r="I976" s="20" t="n">
        <v>1.36</v>
      </c>
      <c r="J976" s="14" t="n">
        <v>19.5</v>
      </c>
      <c r="K976" s="14" t="n">
        <v>34.5</v>
      </c>
      <c r="L976" s="20" t="n">
        <f aca="false">INDEX('Read me'!$B$10:$B$15,1)</f>
        <v>1.34</v>
      </c>
      <c r="M976" s="14" t="n">
        <f aca="false">IF(F976*(1+'Read me'!$B$5)&lt;='Read me'!$B$7,CEILING(F976*(1+'Read me'!$B$5)+0.5,1)-0.5,CEILING(F976*(1+'Read me'!$B$5),5))</f>
        <v>27.5</v>
      </c>
      <c r="N976" s="14" t="n">
        <f aca="false">IF(MAX(M976*L976,M976+'Read me'!$B$6)&lt;='Read me'!$B$7,CEILING(MAX(M976*L976,M976+'Read me'!$B$6)+0.5,1)-0.5,CEILING(MAX(M976*L976,M976+'Read me'!$B$6),5))</f>
        <v>40</v>
      </c>
      <c r="O976" s="21" t="n">
        <f aca="false">IF(ISNUMBER(J976),M976-J976,"new")</f>
        <v>8</v>
      </c>
    </row>
    <row r="977" customFormat="false" ht="15" hidden="false" customHeight="false" outlineLevel="0" collapsed="false">
      <c r="A977" s="2" t="s">
        <v>1108</v>
      </c>
      <c r="B977" s="2" t="s">
        <v>240</v>
      </c>
      <c r="C977" s="2" t="s">
        <v>125</v>
      </c>
      <c r="D977" s="2" t="s">
        <v>12</v>
      </c>
      <c r="E977" s="2" t="s">
        <v>48</v>
      </c>
      <c r="F977" s="14" t="n">
        <v>84.91</v>
      </c>
      <c r="G977" s="2" t="n">
        <v>3</v>
      </c>
      <c r="H977" s="2" t="n">
        <v>8</v>
      </c>
      <c r="I977" s="20" t="n">
        <v>1.36</v>
      </c>
      <c r="J977" s="14" t="n">
        <v>24.5</v>
      </c>
      <c r="K977" s="14" t="n">
        <v>29.5</v>
      </c>
      <c r="L977" s="20" t="n">
        <f aca="false">INDEX('Read me'!$B$10:$B$15,2)</f>
        <v>1.26</v>
      </c>
      <c r="M977" s="14" t="n">
        <f aca="false">IF(F977*(1+'Read me'!$B$5)&lt;='Read me'!$B$7,CEILING(F977*(1+'Read me'!$B$5)+0.5,1)-0.5,CEILING(F977*(1+'Read me'!$B$5),5))</f>
        <v>85</v>
      </c>
      <c r="N977" s="14" t="n">
        <f aca="false">IF(MAX(M977*L977,M977+'Read me'!$B$6)&lt;='Read me'!$B$7,CEILING(MAX(M977*L977,M977+'Read me'!$B$6)+0.5,1)-0.5,CEILING(MAX(M977*L977,M977+'Read me'!$B$6),5))</f>
        <v>110</v>
      </c>
      <c r="O977" s="21" t="n">
        <f aca="false">IF(ISNUMBER(J977),M977-J977,"new")</f>
        <v>60.5</v>
      </c>
    </row>
    <row r="978" customFormat="false" ht="15" hidden="false" customHeight="false" outlineLevel="0" collapsed="false">
      <c r="A978" s="2" t="s">
        <v>1109</v>
      </c>
      <c r="B978" s="2" t="s">
        <v>240</v>
      </c>
      <c r="C978" s="2" t="s">
        <v>125</v>
      </c>
      <c r="D978" s="2" t="s">
        <v>12</v>
      </c>
      <c r="E978" s="2" t="s">
        <v>49</v>
      </c>
      <c r="F978" s="14" t="n">
        <v>84.91</v>
      </c>
      <c r="G978" s="2" t="n">
        <v>0</v>
      </c>
      <c r="H978" s="2" t="n">
        <v>8</v>
      </c>
      <c r="I978" s="20" t="n">
        <v>1.36</v>
      </c>
      <c r="J978" s="14" t="n">
        <v>24.5</v>
      </c>
      <c r="K978" s="14" t="n">
        <v>29.5</v>
      </c>
      <c r="L978" s="20" t="n">
        <f aca="false">INDEX('Read me'!$B$10:$B$15,2)</f>
        <v>1.26</v>
      </c>
      <c r="M978" s="14" t="n">
        <f aca="false">IF(F978*(1+'Read me'!$B$5)&lt;='Read me'!$B$7,CEILING(F978*(1+'Read me'!$B$5)+0.5,1)-0.5,CEILING(F978*(1+'Read me'!$B$5),5))</f>
        <v>85</v>
      </c>
      <c r="N978" s="14" t="n">
        <f aca="false">IF(MAX(M978*L978,M978+'Read me'!$B$6)&lt;='Read me'!$B$7,CEILING(MAX(M978*L978,M978+'Read me'!$B$6)+0.5,1)-0.5,CEILING(MAX(M978*L978,M978+'Read me'!$B$6),5))</f>
        <v>110</v>
      </c>
      <c r="O978" s="21" t="n">
        <f aca="false">IF(ISNUMBER(J978),M978-J978,"new")</f>
        <v>60.5</v>
      </c>
    </row>
    <row r="979" customFormat="false" ht="15" hidden="false" customHeight="false" outlineLevel="0" collapsed="false">
      <c r="A979" s="2" t="s">
        <v>1110</v>
      </c>
      <c r="B979" s="2" t="s">
        <v>240</v>
      </c>
      <c r="C979" s="2" t="s">
        <v>125</v>
      </c>
      <c r="D979" s="2" t="s">
        <v>12</v>
      </c>
      <c r="E979" s="2" t="s">
        <v>50</v>
      </c>
      <c r="F979" s="14" t="n">
        <v>84.91</v>
      </c>
      <c r="G979" s="2" t="n">
        <v>1</v>
      </c>
      <c r="H979" s="2" t="n">
        <v>8</v>
      </c>
      <c r="I979" s="20" t="n">
        <v>1.36</v>
      </c>
      <c r="J979" s="14" t="n">
        <v>24.5</v>
      </c>
      <c r="K979" s="14" t="n">
        <v>45</v>
      </c>
      <c r="L979" s="20" t="n">
        <f aca="false">INDEX('Read me'!$B$10:$B$15,2)</f>
        <v>1.26</v>
      </c>
      <c r="M979" s="14" t="n">
        <f aca="false">IF(F979*(1+'Read me'!$B$5)&lt;='Read me'!$B$7,CEILING(F979*(1+'Read me'!$B$5)+0.5,1)-0.5,CEILING(F979*(1+'Read me'!$B$5),5))</f>
        <v>85</v>
      </c>
      <c r="N979" s="14" t="n">
        <f aca="false">IF(MAX(M979*L979,M979+'Read me'!$B$6)&lt;='Read me'!$B$7,CEILING(MAX(M979*L979,M979+'Read me'!$B$6)+0.5,1)-0.5,CEILING(MAX(M979*L979,M979+'Read me'!$B$6),5))</f>
        <v>110</v>
      </c>
      <c r="O979" s="21" t="n">
        <f aca="false">IF(ISNUMBER(J979),M979-J979,"new")</f>
        <v>60.5</v>
      </c>
    </row>
    <row r="980" customFormat="false" ht="15" hidden="false" customHeight="false" outlineLevel="0" collapsed="false">
      <c r="A980" s="2" t="s">
        <v>1111</v>
      </c>
      <c r="B980" s="2" t="s">
        <v>240</v>
      </c>
      <c r="C980" s="2" t="s">
        <v>125</v>
      </c>
      <c r="D980" s="2" t="s">
        <v>13</v>
      </c>
      <c r="E980" s="2" t="s">
        <v>48</v>
      </c>
      <c r="F980" s="14" t="n">
        <v>112.53</v>
      </c>
      <c r="G980" s="2" t="n">
        <v>0</v>
      </c>
      <c r="H980" s="2" t="n">
        <v>8</v>
      </c>
      <c r="I980" s="20" t="n">
        <v>1.36</v>
      </c>
      <c r="J980" s="14" t="n">
        <v>45</v>
      </c>
      <c r="K980" s="14" t="n">
        <v>95</v>
      </c>
      <c r="L980" s="20" t="n">
        <f aca="false">INDEX('Read me'!$B$10:$B$15,3)</f>
        <v>1.35</v>
      </c>
      <c r="M980" s="14" t="n">
        <f aca="false">IF(F980*(1+'Read me'!$B$5)&lt;='Read me'!$B$7,CEILING(F980*(1+'Read me'!$B$5)+0.5,1)-0.5,CEILING(F980*(1+'Read me'!$B$5),5))</f>
        <v>115</v>
      </c>
      <c r="N980" s="14" t="n">
        <f aca="false">IF(MAX(M980*L980,M980+'Read me'!$B$6)&lt;='Read me'!$B$7,CEILING(MAX(M980*L980,M980+'Read me'!$B$6)+0.5,1)-0.5,CEILING(MAX(M980*L980,M980+'Read me'!$B$6),5))</f>
        <v>160</v>
      </c>
      <c r="O980" s="21" t="n">
        <f aca="false">IF(ISNUMBER(J980),M980-J980,"new")</f>
        <v>70</v>
      </c>
    </row>
    <row r="981" customFormat="false" ht="15" hidden="false" customHeight="false" outlineLevel="0" collapsed="false">
      <c r="A981" s="2" t="s">
        <v>1112</v>
      </c>
      <c r="B981" s="2" t="s">
        <v>240</v>
      </c>
      <c r="C981" s="2" t="s">
        <v>125</v>
      </c>
      <c r="D981" s="2" t="s">
        <v>13</v>
      </c>
      <c r="E981" s="2" t="s">
        <v>49</v>
      </c>
      <c r="F981" s="14" t="n">
        <v>126.59</v>
      </c>
      <c r="G981" s="2" t="n">
        <v>0</v>
      </c>
      <c r="H981" s="2" t="n">
        <v>8</v>
      </c>
      <c r="I981" s="20" t="n">
        <v>1.36</v>
      </c>
      <c r="J981" s="14" t="n">
        <v>45</v>
      </c>
      <c r="K981" s="14" t="n">
        <v>95</v>
      </c>
      <c r="L981" s="20" t="n">
        <f aca="false">INDEX('Read me'!$B$10:$B$15,3)</f>
        <v>1.35</v>
      </c>
      <c r="M981" s="14" t="n">
        <f aca="false">IF(F981*(1+'Read me'!$B$5)&lt;='Read me'!$B$7,CEILING(F981*(1+'Read me'!$B$5)+0.5,1)-0.5,CEILING(F981*(1+'Read me'!$B$5),5))</f>
        <v>130</v>
      </c>
      <c r="N981" s="14" t="n">
        <f aca="false">IF(MAX(M981*L981,M981+'Read me'!$B$6)&lt;='Read me'!$B$7,CEILING(MAX(M981*L981,M981+'Read me'!$B$6)+0.5,1)-0.5,CEILING(MAX(M981*L981,M981+'Read me'!$B$6),5))</f>
        <v>180</v>
      </c>
      <c r="O981" s="21" t="n">
        <f aca="false">IF(ISNUMBER(J981),M981-J981,"new")</f>
        <v>85</v>
      </c>
    </row>
    <row r="982" customFormat="false" ht="15" hidden="false" customHeight="false" outlineLevel="0" collapsed="false">
      <c r="A982" s="2" t="s">
        <v>1113</v>
      </c>
      <c r="B982" s="2" t="s">
        <v>240</v>
      </c>
      <c r="C982" s="2" t="s">
        <v>125</v>
      </c>
      <c r="D982" s="2" t="s">
        <v>13</v>
      </c>
      <c r="E982" s="2" t="s">
        <v>50</v>
      </c>
      <c r="F982" s="14" t="n">
        <v>170.25</v>
      </c>
      <c r="G982" s="2" t="n">
        <v>0</v>
      </c>
      <c r="H982" s="2" t="n">
        <v>8</v>
      </c>
      <c r="I982" s="20" t="n">
        <v>1.36</v>
      </c>
      <c r="J982" s="14" t="n">
        <v>99</v>
      </c>
      <c r="K982" s="14" t="n">
        <v>150</v>
      </c>
      <c r="L982" s="20" t="n">
        <f aca="false">INDEX('Read me'!$B$10:$B$15,3)</f>
        <v>1.35</v>
      </c>
      <c r="M982" s="14" t="n">
        <f aca="false">IF(F982*(1+'Read me'!$B$5)&lt;='Read me'!$B$7,CEILING(F982*(1+'Read me'!$B$5)+0.5,1)-0.5,CEILING(F982*(1+'Read me'!$B$5),5))</f>
        <v>175</v>
      </c>
      <c r="N982" s="14" t="n">
        <f aca="false">IF(MAX(M982*L982,M982+'Read me'!$B$6)&lt;='Read me'!$B$7,CEILING(MAX(M982*L982,M982+'Read me'!$B$6)+0.5,1)-0.5,CEILING(MAX(M982*L982,M982+'Read me'!$B$6),5))</f>
        <v>240</v>
      </c>
      <c r="O982" s="21" t="n">
        <f aca="false">IF(ISNUMBER(J982),M982-J982,"new")</f>
        <v>76</v>
      </c>
    </row>
    <row r="983" customFormat="false" ht="15" hidden="false" customHeight="false" outlineLevel="0" collapsed="false">
      <c r="A983" s="2" t="s">
        <v>1114</v>
      </c>
      <c r="B983" s="2" t="s">
        <v>240</v>
      </c>
      <c r="C983" s="2" t="s">
        <v>125</v>
      </c>
      <c r="D983" s="2" t="s">
        <v>14</v>
      </c>
      <c r="E983" s="2" t="s">
        <v>48</v>
      </c>
      <c r="F983" s="14" t="n">
        <v>194.86</v>
      </c>
      <c r="G983" s="2" t="n">
        <v>0</v>
      </c>
      <c r="H983" s="2" t="n">
        <v>8</v>
      </c>
      <c r="I983" s="20" t="n">
        <v>1.36</v>
      </c>
      <c r="J983" s="14" t="n">
        <v>99</v>
      </c>
      <c r="K983" s="14" t="n">
        <v>150</v>
      </c>
      <c r="L983" s="20" t="n">
        <f aca="false">INDEX('Read me'!$B$10:$B$15,4)</f>
        <v>1.2</v>
      </c>
      <c r="M983" s="14" t="n">
        <f aca="false">IF(F983*(1+'Read me'!$B$5)&lt;='Read me'!$B$7,CEILING(F983*(1+'Read me'!$B$5)+0.5,1)-0.5,CEILING(F983*(1+'Read me'!$B$5),5))</f>
        <v>195</v>
      </c>
      <c r="N983" s="14" t="n">
        <f aca="false">IF(MAX(M983*L983,M983+'Read me'!$B$6)&lt;='Read me'!$B$7,CEILING(MAX(M983*L983,M983+'Read me'!$B$6)+0.5,1)-0.5,CEILING(MAX(M983*L983,M983+'Read me'!$B$6),5))</f>
        <v>235</v>
      </c>
      <c r="O983" s="21" t="n">
        <f aca="false">IF(ISNUMBER(J983),M983-J983,"new")</f>
        <v>96</v>
      </c>
    </row>
    <row r="984" customFormat="false" ht="15" hidden="false" customHeight="false" outlineLevel="0" collapsed="false">
      <c r="A984" s="2" t="s">
        <v>1115</v>
      </c>
      <c r="B984" s="2" t="s">
        <v>240</v>
      </c>
      <c r="C984" s="2" t="s">
        <v>125</v>
      </c>
      <c r="D984" s="2" t="s">
        <v>14</v>
      </c>
      <c r="E984" s="2" t="s">
        <v>49</v>
      </c>
      <c r="F984" s="14" t="n">
        <v>233.96</v>
      </c>
      <c r="G984" s="2" t="n">
        <v>0</v>
      </c>
      <c r="H984" s="2" t="n">
        <v>8</v>
      </c>
      <c r="I984" s="20" t="n">
        <v>1.36</v>
      </c>
      <c r="J984" s="14" t="n">
        <v>150</v>
      </c>
      <c r="K984" s="14" t="n">
        <v>150</v>
      </c>
      <c r="L984" s="20" t="n">
        <f aca="false">INDEX('Read me'!$B$10:$B$15,4)</f>
        <v>1.2</v>
      </c>
      <c r="M984" s="14" t="n">
        <f aca="false">IF(F984*(1+'Read me'!$B$5)&lt;='Read me'!$B$7,CEILING(F984*(1+'Read me'!$B$5)+0.5,1)-0.5,CEILING(F984*(1+'Read me'!$B$5),5))</f>
        <v>235</v>
      </c>
      <c r="N984" s="14" t="n">
        <f aca="false">IF(MAX(M984*L984,M984+'Read me'!$B$6)&lt;='Read me'!$B$7,CEILING(MAX(M984*L984,M984+'Read me'!$B$6)+0.5,1)-0.5,CEILING(MAX(M984*L984,M984+'Read me'!$B$6),5))</f>
        <v>285</v>
      </c>
      <c r="O984" s="21" t="n">
        <f aca="false">IF(ISNUMBER(J984),M984-J984,"new")</f>
        <v>85</v>
      </c>
    </row>
    <row r="985" customFormat="false" ht="15" hidden="false" customHeight="false" outlineLevel="0" collapsed="false">
      <c r="A985" s="2" t="s">
        <v>1116</v>
      </c>
      <c r="B985" s="2" t="s">
        <v>240</v>
      </c>
      <c r="C985" s="2" t="s">
        <v>125</v>
      </c>
      <c r="D985" s="2" t="s">
        <v>14</v>
      </c>
      <c r="E985" s="2" t="s">
        <v>50</v>
      </c>
      <c r="F985" s="14" t="n">
        <v>281.96</v>
      </c>
      <c r="G985" s="2" t="n">
        <v>0</v>
      </c>
      <c r="H985" s="2" t="n">
        <v>8</v>
      </c>
      <c r="I985" s="20" t="n">
        <v>1.36</v>
      </c>
      <c r="J985" s="14" t="n">
        <v>250</v>
      </c>
      <c r="K985" s="14" t="n">
        <v>195</v>
      </c>
      <c r="L985" s="20" t="n">
        <f aca="false">INDEX('Read me'!$B$10:$B$15,4)</f>
        <v>1.2</v>
      </c>
      <c r="M985" s="14" t="n">
        <f aca="false">IF(F985*(1+'Read me'!$B$5)&lt;='Read me'!$B$7,CEILING(F985*(1+'Read me'!$B$5)+0.5,1)-0.5,CEILING(F985*(1+'Read me'!$B$5),5))</f>
        <v>285</v>
      </c>
      <c r="N985" s="14" t="n">
        <f aca="false">IF(MAX(M985*L985,M985+'Read me'!$B$6)&lt;='Read me'!$B$7,CEILING(MAX(M985*L985,M985+'Read me'!$B$6)+0.5,1)-0.5,CEILING(MAX(M985*L985,M985+'Read me'!$B$6),5))</f>
        <v>345</v>
      </c>
      <c r="O985" s="21" t="n">
        <f aca="false">IF(ISNUMBER(J985),M985-J985,"new")</f>
        <v>35</v>
      </c>
    </row>
    <row r="986" customFormat="false" ht="15" hidden="false" customHeight="false" outlineLevel="0" collapsed="false">
      <c r="A986" s="2" t="s">
        <v>1117</v>
      </c>
      <c r="B986" s="2" t="s">
        <v>240</v>
      </c>
      <c r="C986" s="2" t="s">
        <v>125</v>
      </c>
      <c r="D986" s="2" t="s">
        <v>15</v>
      </c>
      <c r="E986" s="2" t="s">
        <v>48</v>
      </c>
      <c r="F986" s="14" t="n">
        <v>247.33</v>
      </c>
      <c r="G986" s="2" t="n">
        <v>0</v>
      </c>
      <c r="H986" s="2" t="n">
        <v>8</v>
      </c>
      <c r="I986" s="20" t="n">
        <v>1.36</v>
      </c>
      <c r="J986" s="14" t="n">
        <v>300</v>
      </c>
      <c r="K986" s="14" t="n">
        <v>300</v>
      </c>
      <c r="L986" s="20" t="n">
        <f aca="false">INDEX('Read me'!$B$10:$B$15,5)</f>
        <v>1.2</v>
      </c>
      <c r="M986" s="14" t="n">
        <f aca="false">IF(F986*(1+'Read me'!$B$5)&lt;='Read me'!$B$7,CEILING(F986*(1+'Read me'!$B$5)+0.5,1)-0.5,CEILING(F986*(1+'Read me'!$B$5),5))</f>
        <v>250</v>
      </c>
      <c r="N986" s="14" t="n">
        <f aca="false">IF(MAX(M986*L986,M986+'Read me'!$B$6)&lt;='Read me'!$B$7,CEILING(MAX(M986*L986,M986+'Read me'!$B$6)+0.5,1)-0.5,CEILING(MAX(M986*L986,M986+'Read me'!$B$6),5))</f>
        <v>300</v>
      </c>
      <c r="O986" s="21" t="n">
        <f aca="false">IF(ISNUMBER(J986),M986-J986,"new")</f>
        <v>-50</v>
      </c>
    </row>
    <row r="987" customFormat="false" ht="15" hidden="false" customHeight="false" outlineLevel="0" collapsed="false">
      <c r="A987" s="2" t="s">
        <v>1118</v>
      </c>
      <c r="B987" s="2" t="s">
        <v>240</v>
      </c>
      <c r="C987" s="2" t="s">
        <v>125</v>
      </c>
      <c r="D987" s="2" t="s">
        <v>15</v>
      </c>
      <c r="E987" s="2" t="s">
        <v>49</v>
      </c>
      <c r="F987" s="14" t="n">
        <v>305.13</v>
      </c>
      <c r="G987" s="2" t="n">
        <v>0</v>
      </c>
      <c r="H987" s="2" t="n">
        <v>8</v>
      </c>
      <c r="I987" s="20" t="n">
        <v>1.36</v>
      </c>
      <c r="J987" s="14" t="n">
        <v>300</v>
      </c>
      <c r="K987" s="14" t="n">
        <v>300</v>
      </c>
      <c r="L987" s="20" t="n">
        <f aca="false">INDEX('Read me'!$B$10:$B$15,5)</f>
        <v>1.2</v>
      </c>
      <c r="M987" s="14" t="n">
        <f aca="false">N987</f>
        <v>375</v>
      </c>
      <c r="N987" s="14" t="n">
        <f aca="false">IF(MAX((IF(F987*(1+'Read me'!$B$5)&lt;='Read me'!$B$7,CEILING(F987*(1+'Read me'!$B$5)+0.5,1)-0.5,CEILING(F987*(1+'Read me'!$B$5),5)))*L987,(IF(F987*(1+'Read me'!$B$5)&lt;='Read me'!$B$7,CEILING(F987*(1+'Read me'!$B$5)+0.5,1)-0.5,CEILING(F987*(1+'Read me'!$B$5),5)))+'Read me'!$B$6)&lt;='Read me'!$B$7,CEILING(MAX((IF(F987*(1+'Read me'!$B$5)&lt;='Read me'!$B$7,CEILING(F987*(1+'Read me'!$B$5)+0.5,1)-0.5,CEILING(F987*(1+'Read me'!$B$5),5)))*L987,(IF(F987*(1+'Read me'!$B$5)&lt;='Read me'!$B$7,CEILING(F987*(1+'Read me'!$B$5)+0.5,1)-0.5,CEILING(F987*(1+'Read me'!$B$5),5)))+'Read me'!$B$6)+0.5,1)-0.5,CEILING(MAX((IF(F987*(1+'Read me'!$B$5)&lt;='Read me'!$B$7,CEILING(F987*(1+'Read me'!$B$5)+0.5,1)-0.5,CEILING(F987*(1+'Read me'!$B$5),5)))*L987,(IF(F987*(1+'Read me'!$B$5)&lt;='Read me'!$B$7,CEILING(F987*(1+'Read me'!$B$5)+0.5,1)-0.5,CEILING(F987*(1+'Read me'!$B$5),5)))+'Read me'!$B$6),5))</f>
        <v>375</v>
      </c>
      <c r="O987" s="21" t="n">
        <f aca="false">IF(ISNUMBER(J987),M987-J987,"new")</f>
        <v>75</v>
      </c>
      <c r="P987" s="5" t="s">
        <v>140</v>
      </c>
    </row>
    <row r="988" customFormat="false" ht="15" hidden="false" customHeight="false" outlineLevel="0" collapsed="false">
      <c r="A988" s="2" t="s">
        <v>1119</v>
      </c>
      <c r="B988" s="2" t="s">
        <v>240</v>
      </c>
      <c r="C988" s="2" t="s">
        <v>125</v>
      </c>
      <c r="D988" s="2" t="s">
        <v>15</v>
      </c>
      <c r="E988" s="2" t="s">
        <v>50</v>
      </c>
      <c r="F988" s="14" t="n">
        <v>366.63</v>
      </c>
      <c r="G988" s="2" t="n">
        <v>0</v>
      </c>
      <c r="H988" s="2" t="n">
        <v>8</v>
      </c>
      <c r="I988" s="20" t="n">
        <v>1.36</v>
      </c>
      <c r="J988" s="14" t="n">
        <v>350</v>
      </c>
      <c r="K988" s="14" t="n">
        <v>400</v>
      </c>
      <c r="L988" s="20" t="n">
        <f aca="false">INDEX('Read me'!$B$10:$B$15,5)</f>
        <v>1.2</v>
      </c>
      <c r="M988" s="14" t="n">
        <f aca="false">N988</f>
        <v>445</v>
      </c>
      <c r="N988" s="14" t="n">
        <f aca="false">IF(MAX((IF(F988*(1+'Read me'!$B$5)&lt;='Read me'!$B$7,CEILING(F988*(1+'Read me'!$B$5)+0.5,1)-0.5,CEILING(F988*(1+'Read me'!$B$5),5)))*L988,(IF(F988*(1+'Read me'!$B$5)&lt;='Read me'!$B$7,CEILING(F988*(1+'Read me'!$B$5)+0.5,1)-0.5,CEILING(F988*(1+'Read me'!$B$5),5)))+'Read me'!$B$6)&lt;='Read me'!$B$7,CEILING(MAX((IF(F988*(1+'Read me'!$B$5)&lt;='Read me'!$B$7,CEILING(F988*(1+'Read me'!$B$5)+0.5,1)-0.5,CEILING(F988*(1+'Read me'!$B$5),5)))*L988,(IF(F988*(1+'Read me'!$B$5)&lt;='Read me'!$B$7,CEILING(F988*(1+'Read me'!$B$5)+0.5,1)-0.5,CEILING(F988*(1+'Read me'!$B$5),5)))+'Read me'!$B$6)+0.5,1)-0.5,CEILING(MAX((IF(F988*(1+'Read me'!$B$5)&lt;='Read me'!$B$7,CEILING(F988*(1+'Read me'!$B$5)+0.5,1)-0.5,CEILING(F988*(1+'Read me'!$B$5),5)))*L988,(IF(F988*(1+'Read me'!$B$5)&lt;='Read me'!$B$7,CEILING(F988*(1+'Read me'!$B$5)+0.5,1)-0.5,CEILING(F988*(1+'Read me'!$B$5),5)))+'Read me'!$B$6),5))</f>
        <v>445</v>
      </c>
      <c r="O988" s="21" t="n">
        <f aca="false">IF(ISNUMBER(J988),M988-J988,"new")</f>
        <v>95</v>
      </c>
      <c r="P988" s="5" t="s">
        <v>140</v>
      </c>
    </row>
    <row r="989" customFormat="false" ht="15" hidden="false" customHeight="false" outlineLevel="0" collapsed="false">
      <c r="A989" s="2" t="s">
        <v>1120</v>
      </c>
      <c r="B989" s="2" t="s">
        <v>240</v>
      </c>
      <c r="C989" s="2" t="s">
        <v>125</v>
      </c>
      <c r="D989" s="2" t="s">
        <v>16</v>
      </c>
      <c r="E989" s="2" t="s">
        <v>48</v>
      </c>
      <c r="F989" s="14" t="n">
        <v>343.42</v>
      </c>
      <c r="G989" s="2" t="n">
        <v>0</v>
      </c>
      <c r="H989" s="2" t="n">
        <v>8</v>
      </c>
      <c r="I989" s="20" t="n">
        <v>1.36</v>
      </c>
      <c r="J989" s="14"/>
      <c r="K989" s="14"/>
      <c r="L989" s="20" t="n">
        <f aca="false">INDEX('Read me'!$B$10:$B$15,6)</f>
        <v>1.2</v>
      </c>
      <c r="M989" s="14" t="n">
        <f aca="false">IF(F989*(1+'Read me'!$B$5)&lt;='Read me'!$B$7,CEILING(F989*(1+'Read me'!$B$5)+0.5,1)-0.5,CEILING(F989*(1+'Read me'!$B$5),5))</f>
        <v>345</v>
      </c>
      <c r="N989" s="14" t="n">
        <f aca="false">IF(MAX(M989*L989,M989+'Read me'!$B$6)&lt;='Read me'!$B$7,CEILING(MAX(M989*L989,M989+'Read me'!$B$6)+0.5,1)-0.5,CEILING(MAX(M989*L989,M989+'Read me'!$B$6),5))</f>
        <v>415</v>
      </c>
      <c r="O989" s="21" t="str">
        <f aca="false">IF(ISNUMBER(J989),M989-J989,"new")</f>
        <v>new</v>
      </c>
    </row>
    <row r="990" customFormat="false" ht="15" hidden="false" customHeight="false" outlineLevel="0" collapsed="false">
      <c r="A990" s="2" t="s">
        <v>1121</v>
      </c>
      <c r="B990" s="2" t="s">
        <v>240</v>
      </c>
      <c r="C990" s="2" t="s">
        <v>125</v>
      </c>
      <c r="D990" s="2" t="s">
        <v>16</v>
      </c>
      <c r="E990" s="2" t="s">
        <v>49</v>
      </c>
      <c r="F990" s="14" t="n">
        <v>441.29</v>
      </c>
      <c r="G990" s="2" t="n">
        <v>0</v>
      </c>
      <c r="H990" s="2" t="n">
        <v>8</v>
      </c>
      <c r="I990" s="20" t="n">
        <v>1.36</v>
      </c>
      <c r="J990" s="14"/>
      <c r="K990" s="14"/>
      <c r="L990" s="20" t="n">
        <f aca="false">INDEX('Read me'!$B$10:$B$15,6)</f>
        <v>1.2</v>
      </c>
      <c r="M990" s="14" t="n">
        <f aca="false">N990</f>
        <v>535</v>
      </c>
      <c r="N990" s="14" t="n">
        <f aca="false">IF(MAX((IF(F990*(1+'Read me'!$B$5)&lt;='Read me'!$B$7,CEILING(F990*(1+'Read me'!$B$5)+0.5,1)-0.5,CEILING(F990*(1+'Read me'!$B$5),5)))*L990,(IF(F990*(1+'Read me'!$B$5)&lt;='Read me'!$B$7,CEILING(F990*(1+'Read me'!$B$5)+0.5,1)-0.5,CEILING(F990*(1+'Read me'!$B$5),5)))+'Read me'!$B$6)&lt;='Read me'!$B$7,CEILING(MAX((IF(F990*(1+'Read me'!$B$5)&lt;='Read me'!$B$7,CEILING(F990*(1+'Read me'!$B$5)+0.5,1)-0.5,CEILING(F990*(1+'Read me'!$B$5),5)))*L990,(IF(F990*(1+'Read me'!$B$5)&lt;='Read me'!$B$7,CEILING(F990*(1+'Read me'!$B$5)+0.5,1)-0.5,CEILING(F990*(1+'Read me'!$B$5),5)))+'Read me'!$B$6)+0.5,1)-0.5,CEILING(MAX((IF(F990*(1+'Read me'!$B$5)&lt;='Read me'!$B$7,CEILING(F990*(1+'Read me'!$B$5)+0.5,1)-0.5,CEILING(F990*(1+'Read me'!$B$5),5)))*L990,(IF(F990*(1+'Read me'!$B$5)&lt;='Read me'!$B$7,CEILING(F990*(1+'Read me'!$B$5)+0.5,1)-0.5,CEILING(F990*(1+'Read me'!$B$5),5)))+'Read me'!$B$6),5))</f>
        <v>535</v>
      </c>
      <c r="O990" s="21" t="str">
        <f aca="false">IF(ISNUMBER(J990),M990-J990,"new")</f>
        <v>new</v>
      </c>
      <c r="P990" s="5" t="s">
        <v>140</v>
      </c>
    </row>
    <row r="991" customFormat="false" ht="15" hidden="false" customHeight="false" outlineLevel="0" collapsed="false">
      <c r="A991" s="2" t="s">
        <v>1122</v>
      </c>
      <c r="B991" s="2" t="s">
        <v>240</v>
      </c>
      <c r="C991" s="2" t="s">
        <v>125</v>
      </c>
      <c r="D991" s="2" t="s">
        <v>16</v>
      </c>
      <c r="E991" s="2" t="s">
        <v>50</v>
      </c>
      <c r="F991" s="14" t="n">
        <v>518.67</v>
      </c>
      <c r="G991" s="2" t="n">
        <v>0</v>
      </c>
      <c r="H991" s="2" t="n">
        <v>8</v>
      </c>
      <c r="I991" s="20" t="n">
        <v>1.36</v>
      </c>
      <c r="J991" s="14"/>
      <c r="K991" s="14"/>
      <c r="L991" s="20" t="n">
        <f aca="false">INDEX('Read me'!$B$10:$B$15,6)</f>
        <v>1.2</v>
      </c>
      <c r="M991" s="14" t="n">
        <f aca="false">N991</f>
        <v>625</v>
      </c>
      <c r="N991" s="14" t="n">
        <f aca="false">IF(MAX((IF(F991*(1+'Read me'!$B$5)&lt;='Read me'!$B$7,CEILING(F991*(1+'Read me'!$B$5)+0.5,1)-0.5,CEILING(F991*(1+'Read me'!$B$5),5)))*L991,(IF(F991*(1+'Read me'!$B$5)&lt;='Read me'!$B$7,CEILING(F991*(1+'Read me'!$B$5)+0.5,1)-0.5,CEILING(F991*(1+'Read me'!$B$5),5)))+'Read me'!$B$6)&lt;='Read me'!$B$7,CEILING(MAX((IF(F991*(1+'Read me'!$B$5)&lt;='Read me'!$B$7,CEILING(F991*(1+'Read me'!$B$5)+0.5,1)-0.5,CEILING(F991*(1+'Read me'!$B$5),5)))*L991,(IF(F991*(1+'Read me'!$B$5)&lt;='Read me'!$B$7,CEILING(F991*(1+'Read me'!$B$5)+0.5,1)-0.5,CEILING(F991*(1+'Read me'!$B$5),5)))+'Read me'!$B$6)+0.5,1)-0.5,CEILING(MAX((IF(F991*(1+'Read me'!$B$5)&lt;='Read me'!$B$7,CEILING(F991*(1+'Read me'!$B$5)+0.5,1)-0.5,CEILING(F991*(1+'Read me'!$B$5),5)))*L991,(IF(F991*(1+'Read me'!$B$5)&lt;='Read me'!$B$7,CEILING(F991*(1+'Read me'!$B$5)+0.5,1)-0.5,CEILING(F991*(1+'Read me'!$B$5),5)))+'Read me'!$B$6),5))</f>
        <v>625</v>
      </c>
      <c r="O991" s="21" t="str">
        <f aca="false">IF(ISNUMBER(J991),M991-J991,"new")</f>
        <v>new</v>
      </c>
      <c r="P991" s="5" t="s">
        <v>140</v>
      </c>
    </row>
    <row r="992" customFormat="false" ht="15" hidden="false" customHeight="false" outlineLevel="0" collapsed="false">
      <c r="A992" s="2" t="s">
        <v>1123</v>
      </c>
      <c r="B992" s="2" t="s">
        <v>240</v>
      </c>
      <c r="C992" s="2" t="s">
        <v>221</v>
      </c>
      <c r="D992" s="2" t="s">
        <v>10</v>
      </c>
      <c r="E992" s="2" t="s">
        <v>48</v>
      </c>
      <c r="F992" s="14" t="n">
        <v>11.49</v>
      </c>
      <c r="G992" s="2" t="n">
        <v>3</v>
      </c>
      <c r="H992" s="2" t="n">
        <v>7</v>
      </c>
      <c r="I992" s="20" t="n">
        <v>0.93</v>
      </c>
      <c r="J992" s="14"/>
      <c r="K992" s="14"/>
      <c r="L992" s="20" t="n">
        <f aca="false">INDEX('Read me'!$B$10:$B$15,1)</f>
        <v>1.34</v>
      </c>
      <c r="M992" s="14" t="n">
        <f aca="false">IF(F992*(1+'Read me'!$B$5)&lt;='Read me'!$B$7,CEILING(F992*(1+'Read me'!$B$5)+0.5,1)-0.5,CEILING(F992*(1+'Read me'!$B$5),5))</f>
        <v>11.5</v>
      </c>
      <c r="N992" s="14" t="n">
        <f aca="false">IF(MAX(M992*L992,M992+'Read me'!$B$6)&lt;='Read me'!$B$7,CEILING(MAX(M992*L992,M992+'Read me'!$B$6)+0.5,1)-0.5,CEILING(MAX(M992*L992,M992+'Read me'!$B$6),5))</f>
        <v>16.5</v>
      </c>
      <c r="O992" s="21" t="str">
        <f aca="false">IF(ISNUMBER(J992),M992-J992,"new")</f>
        <v>new</v>
      </c>
    </row>
    <row r="993" customFormat="false" ht="15" hidden="false" customHeight="false" outlineLevel="0" collapsed="false">
      <c r="A993" s="2" t="s">
        <v>1124</v>
      </c>
      <c r="B993" s="2" t="s">
        <v>240</v>
      </c>
      <c r="C993" s="2" t="s">
        <v>221</v>
      </c>
      <c r="D993" s="2" t="s">
        <v>10</v>
      </c>
      <c r="E993" s="2" t="s">
        <v>49</v>
      </c>
      <c r="F993" s="14" t="n">
        <v>14.7</v>
      </c>
      <c r="G993" s="2" t="n">
        <v>2</v>
      </c>
      <c r="H993" s="2" t="n">
        <v>7</v>
      </c>
      <c r="I993" s="20" t="n">
        <v>0.93</v>
      </c>
      <c r="J993" s="14"/>
      <c r="K993" s="14"/>
      <c r="L993" s="20" t="n">
        <f aca="false">INDEX('Read me'!$B$10:$B$15,1)</f>
        <v>1.34</v>
      </c>
      <c r="M993" s="14" t="n">
        <f aca="false">IF(F993*(1+'Read me'!$B$5)&lt;='Read me'!$B$7,CEILING(F993*(1+'Read me'!$B$5)+0.5,1)-0.5,CEILING(F993*(1+'Read me'!$B$5),5))</f>
        <v>15.5</v>
      </c>
      <c r="N993" s="14" t="n">
        <f aca="false">IF(MAX(M993*L993,M993+'Read me'!$B$6)&lt;='Read me'!$B$7,CEILING(MAX(M993*L993,M993+'Read me'!$B$6)+0.5,1)-0.5,CEILING(MAX(M993*L993,M993+'Read me'!$B$6),5))</f>
        <v>21.5</v>
      </c>
      <c r="O993" s="21" t="str">
        <f aca="false">IF(ISNUMBER(J993),M993-J993,"new")</f>
        <v>new</v>
      </c>
    </row>
    <row r="994" customFormat="false" ht="15" hidden="false" customHeight="false" outlineLevel="0" collapsed="false">
      <c r="A994" s="2" t="s">
        <v>1125</v>
      </c>
      <c r="B994" s="2" t="s">
        <v>240</v>
      </c>
      <c r="C994" s="2" t="s">
        <v>221</v>
      </c>
      <c r="D994" s="2" t="s">
        <v>10</v>
      </c>
      <c r="E994" s="2" t="s">
        <v>50</v>
      </c>
      <c r="F994" s="14" t="n">
        <v>18.09</v>
      </c>
      <c r="G994" s="2" t="n">
        <v>2</v>
      </c>
      <c r="H994" s="2" t="n">
        <v>7</v>
      </c>
      <c r="I994" s="20" t="n">
        <v>0.93</v>
      </c>
      <c r="J994" s="14"/>
      <c r="K994" s="14"/>
      <c r="L994" s="20" t="n">
        <f aca="false">INDEX('Read me'!$B$10:$B$15,1)</f>
        <v>1.34</v>
      </c>
      <c r="M994" s="14" t="n">
        <f aca="false">IF(F994*(1+'Read me'!$B$5)&lt;='Read me'!$B$7,CEILING(F994*(1+'Read me'!$B$5)+0.5,1)-0.5,CEILING(F994*(1+'Read me'!$B$5),5))</f>
        <v>18.5</v>
      </c>
      <c r="N994" s="14" t="n">
        <f aca="false">IF(MAX(M994*L994,M994+'Read me'!$B$6)&lt;='Read me'!$B$7,CEILING(MAX(M994*L994,M994+'Read me'!$B$6)+0.5,1)-0.5,CEILING(MAX(M994*L994,M994+'Read me'!$B$6),5))</f>
        <v>25.5</v>
      </c>
      <c r="O994" s="21" t="str">
        <f aca="false">IF(ISNUMBER(J994),M994-J994,"new")</f>
        <v>new</v>
      </c>
    </row>
    <row r="995" customFormat="false" ht="15" hidden="false" customHeight="false" outlineLevel="0" collapsed="false">
      <c r="A995" s="2" t="s">
        <v>1126</v>
      </c>
      <c r="B995" s="2" t="s">
        <v>240</v>
      </c>
      <c r="C995" s="2" t="s">
        <v>221</v>
      </c>
      <c r="D995" s="2" t="s">
        <v>12</v>
      </c>
      <c r="E995" s="2" t="s">
        <v>48</v>
      </c>
      <c r="F995" s="14" t="n">
        <v>44.55</v>
      </c>
      <c r="G995" s="2" t="n">
        <v>0</v>
      </c>
      <c r="H995" s="2" t="n">
        <v>7</v>
      </c>
      <c r="I995" s="20" t="n">
        <v>0.93</v>
      </c>
      <c r="J995" s="14"/>
      <c r="K995" s="14"/>
      <c r="L995" s="20" t="n">
        <f aca="false">INDEX('Read me'!$B$10:$B$15,2)</f>
        <v>1.26</v>
      </c>
      <c r="M995" s="14" t="n">
        <f aca="false">IF(F995*(1+'Read me'!$B$5)&lt;='Read me'!$B$7,CEILING(F995*(1+'Read me'!$B$5)+0.5,1)-0.5,CEILING(F995*(1+'Read me'!$B$5),5))</f>
        <v>45</v>
      </c>
      <c r="N995" s="14" t="n">
        <f aca="false">IF(MAX(M995*L995,M995+'Read me'!$B$6)&lt;='Read me'!$B$7,CEILING(MAX(M995*L995,M995+'Read me'!$B$6)+0.5,1)-0.5,CEILING(MAX(M995*L995,M995+'Read me'!$B$6),5))</f>
        <v>60</v>
      </c>
      <c r="O995" s="21" t="str">
        <f aca="false">IF(ISNUMBER(J995),M995-J995,"new")</f>
        <v>new</v>
      </c>
    </row>
    <row r="996" customFormat="false" ht="15" hidden="false" customHeight="false" outlineLevel="0" collapsed="false">
      <c r="A996" s="2" t="s">
        <v>1127</v>
      </c>
      <c r="B996" s="2" t="s">
        <v>240</v>
      </c>
      <c r="C996" s="2" t="s">
        <v>221</v>
      </c>
      <c r="D996" s="2" t="s">
        <v>12</v>
      </c>
      <c r="E996" s="2" t="s">
        <v>49</v>
      </c>
      <c r="F996" s="14" t="n">
        <v>48.66</v>
      </c>
      <c r="G996" s="2" t="n">
        <v>0</v>
      </c>
      <c r="H996" s="2" t="n">
        <v>7</v>
      </c>
      <c r="I996" s="20" t="n">
        <v>0.93</v>
      </c>
      <c r="J996" s="14"/>
      <c r="K996" s="14"/>
      <c r="L996" s="20" t="n">
        <f aca="false">INDEX('Read me'!$B$10:$B$15,2)</f>
        <v>1.26</v>
      </c>
      <c r="M996" s="14" t="n">
        <f aca="false">IF(F996*(1+'Read me'!$B$5)&lt;='Read me'!$B$7,CEILING(F996*(1+'Read me'!$B$5)+0.5,1)-0.5,CEILING(F996*(1+'Read me'!$B$5),5))</f>
        <v>50</v>
      </c>
      <c r="N996" s="14" t="n">
        <f aca="false">IF(MAX(M996*L996,M996+'Read me'!$B$6)&lt;='Read me'!$B$7,CEILING(MAX(M996*L996,M996+'Read me'!$B$6)+0.5,1)-0.5,CEILING(MAX(M996*L996,M996+'Read me'!$B$6),5))</f>
        <v>65</v>
      </c>
      <c r="O996" s="21" t="str">
        <f aca="false">IF(ISNUMBER(J996),M996-J996,"new")</f>
        <v>new</v>
      </c>
    </row>
    <row r="997" customFormat="false" ht="15" hidden="false" customHeight="false" outlineLevel="0" collapsed="false">
      <c r="A997" s="2" t="s">
        <v>1128</v>
      </c>
      <c r="B997" s="2" t="s">
        <v>240</v>
      </c>
      <c r="C997" s="2" t="s">
        <v>221</v>
      </c>
      <c r="D997" s="2" t="s">
        <v>12</v>
      </c>
      <c r="E997" s="2" t="s">
        <v>50</v>
      </c>
      <c r="F997" s="14" t="n">
        <v>56.8</v>
      </c>
      <c r="G997" s="2" t="n">
        <v>0</v>
      </c>
      <c r="H997" s="2" t="n">
        <v>7</v>
      </c>
      <c r="I997" s="20" t="n">
        <v>0.93</v>
      </c>
      <c r="J997" s="14"/>
      <c r="K997" s="14"/>
      <c r="L997" s="20" t="n">
        <f aca="false">INDEX('Read me'!$B$10:$B$15,2)</f>
        <v>1.26</v>
      </c>
      <c r="M997" s="14" t="n">
        <f aca="false">IF(F997*(1+'Read me'!$B$5)&lt;='Read me'!$B$7,CEILING(F997*(1+'Read me'!$B$5)+0.5,1)-0.5,CEILING(F997*(1+'Read me'!$B$5),5))</f>
        <v>60</v>
      </c>
      <c r="N997" s="14" t="n">
        <f aca="false">IF(MAX(M997*L997,M997+'Read me'!$B$6)&lt;='Read me'!$B$7,CEILING(MAX(M997*L997,M997+'Read me'!$B$6)+0.5,1)-0.5,CEILING(MAX(M997*L997,M997+'Read me'!$B$6),5))</f>
        <v>80</v>
      </c>
      <c r="O997" s="21" t="str">
        <f aca="false">IF(ISNUMBER(J997),M997-J997,"new")</f>
        <v>new</v>
      </c>
    </row>
    <row r="998" customFormat="false" ht="15" hidden="false" customHeight="false" outlineLevel="0" collapsed="false">
      <c r="A998" s="2" t="s">
        <v>1129</v>
      </c>
      <c r="B998" s="2" t="s">
        <v>240</v>
      </c>
      <c r="C998" s="2" t="s">
        <v>221</v>
      </c>
      <c r="D998" s="2" t="s">
        <v>13</v>
      </c>
      <c r="E998" s="2" t="s">
        <v>48</v>
      </c>
      <c r="F998" s="14" t="n">
        <v>76.68</v>
      </c>
      <c r="G998" s="2" t="n">
        <v>0</v>
      </c>
      <c r="H998" s="2" t="n">
        <v>7</v>
      </c>
      <c r="I998" s="20" t="n">
        <v>0.93</v>
      </c>
      <c r="J998" s="14"/>
      <c r="K998" s="14"/>
      <c r="L998" s="20" t="n">
        <f aca="false">INDEX('Read me'!$B$10:$B$15,3)</f>
        <v>1.35</v>
      </c>
      <c r="M998" s="14" t="n">
        <f aca="false">IF(F998*(1+'Read me'!$B$5)&lt;='Read me'!$B$7,CEILING(F998*(1+'Read me'!$B$5)+0.5,1)-0.5,CEILING(F998*(1+'Read me'!$B$5),5))</f>
        <v>80</v>
      </c>
      <c r="N998" s="14" t="n">
        <f aca="false">IF(MAX(M998*L998,M998+'Read me'!$B$6)&lt;='Read me'!$B$7,CEILING(MAX(M998*L998,M998+'Read me'!$B$6)+0.5,1)-0.5,CEILING(MAX(M998*L998,M998+'Read me'!$B$6),5))</f>
        <v>110</v>
      </c>
      <c r="O998" s="21" t="str">
        <f aca="false">IF(ISNUMBER(J998),M998-J998,"new")</f>
        <v>new</v>
      </c>
    </row>
    <row r="999" customFormat="false" ht="15" hidden="false" customHeight="false" outlineLevel="0" collapsed="false">
      <c r="A999" s="2" t="s">
        <v>1130</v>
      </c>
      <c r="B999" s="2" t="s">
        <v>240</v>
      </c>
      <c r="C999" s="2" t="s">
        <v>221</v>
      </c>
      <c r="D999" s="2" t="s">
        <v>13</v>
      </c>
      <c r="E999" s="2" t="s">
        <v>49</v>
      </c>
      <c r="F999" s="14" t="n">
        <v>86.26</v>
      </c>
      <c r="G999" s="2" t="n">
        <v>0</v>
      </c>
      <c r="H999" s="2" t="n">
        <v>7</v>
      </c>
      <c r="I999" s="20" t="n">
        <v>0.93</v>
      </c>
      <c r="J999" s="14"/>
      <c r="K999" s="14"/>
      <c r="L999" s="20" t="n">
        <f aca="false">INDEX('Read me'!$B$10:$B$15,3)</f>
        <v>1.35</v>
      </c>
      <c r="M999" s="14" t="n">
        <f aca="false">IF(F999*(1+'Read me'!$B$5)&lt;='Read me'!$B$7,CEILING(F999*(1+'Read me'!$B$5)+0.5,1)-0.5,CEILING(F999*(1+'Read me'!$B$5),5))</f>
        <v>90</v>
      </c>
      <c r="N999" s="14" t="n">
        <f aca="false">IF(MAX(M999*L999,M999+'Read me'!$B$6)&lt;='Read me'!$B$7,CEILING(MAX(M999*L999,M999+'Read me'!$B$6)+0.5,1)-0.5,CEILING(MAX(M999*L999,M999+'Read me'!$B$6),5))</f>
        <v>125</v>
      </c>
      <c r="O999" s="21" t="str">
        <f aca="false">IF(ISNUMBER(J999),M999-J999,"new")</f>
        <v>new</v>
      </c>
    </row>
    <row r="1000" customFormat="false" ht="15" hidden="false" customHeight="false" outlineLevel="0" collapsed="false">
      <c r="A1000" s="2" t="s">
        <v>1131</v>
      </c>
      <c r="B1000" s="2" t="s">
        <v>240</v>
      </c>
      <c r="C1000" s="2" t="s">
        <v>221</v>
      </c>
      <c r="D1000" s="2" t="s">
        <v>13</v>
      </c>
      <c r="E1000" s="2" t="s">
        <v>50</v>
      </c>
      <c r="F1000" s="14" t="n">
        <v>116.01</v>
      </c>
      <c r="G1000" s="2" t="n">
        <v>0</v>
      </c>
      <c r="H1000" s="2" t="n">
        <v>7</v>
      </c>
      <c r="I1000" s="20" t="n">
        <v>0.93</v>
      </c>
      <c r="J1000" s="14"/>
      <c r="K1000" s="14"/>
      <c r="L1000" s="20" t="n">
        <f aca="false">INDEX('Read me'!$B$10:$B$15,3)</f>
        <v>1.35</v>
      </c>
      <c r="M1000" s="14" t="n">
        <f aca="false">IF(F1000*(1+'Read me'!$B$5)&lt;='Read me'!$B$7,CEILING(F1000*(1+'Read me'!$B$5)+0.5,1)-0.5,CEILING(F1000*(1+'Read me'!$B$5),5))</f>
        <v>120</v>
      </c>
      <c r="N1000" s="14" t="n">
        <f aca="false">IF(MAX(M1000*L1000,M1000+'Read me'!$B$6)&lt;='Read me'!$B$7,CEILING(MAX(M1000*L1000,M1000+'Read me'!$B$6)+0.5,1)-0.5,CEILING(MAX(M1000*L1000,M1000+'Read me'!$B$6),5))</f>
        <v>165</v>
      </c>
      <c r="O1000" s="21" t="str">
        <f aca="false">IF(ISNUMBER(J1000),M1000-J1000,"new")</f>
        <v>new</v>
      </c>
    </row>
    <row r="1001" customFormat="false" ht="15" hidden="false" customHeight="false" outlineLevel="0" collapsed="false">
      <c r="A1001" s="2" t="s">
        <v>1132</v>
      </c>
      <c r="B1001" s="2" t="s">
        <v>240</v>
      </c>
      <c r="C1001" s="2" t="s">
        <v>221</v>
      </c>
      <c r="D1001" s="2" t="s">
        <v>14</v>
      </c>
      <c r="E1001" s="2" t="s">
        <v>48</v>
      </c>
      <c r="F1001" s="14" t="n">
        <v>132.78</v>
      </c>
      <c r="G1001" s="2" t="n">
        <v>0</v>
      </c>
      <c r="H1001" s="2" t="n">
        <v>7</v>
      </c>
      <c r="I1001" s="20" t="n">
        <v>0.93</v>
      </c>
      <c r="J1001" s="14"/>
      <c r="K1001" s="14"/>
      <c r="L1001" s="20" t="n">
        <f aca="false">INDEX('Read me'!$B$10:$B$15,4)</f>
        <v>1.2</v>
      </c>
      <c r="M1001" s="14" t="n">
        <f aca="false">IF(F1001*(1+'Read me'!$B$5)&lt;='Read me'!$B$7,CEILING(F1001*(1+'Read me'!$B$5)+0.5,1)-0.5,CEILING(F1001*(1+'Read me'!$B$5),5))</f>
        <v>135</v>
      </c>
      <c r="N1001" s="14" t="n">
        <f aca="false">IF(MAX(M1001*L1001,M1001+'Read me'!$B$6)&lt;='Read me'!$B$7,CEILING(MAX(M1001*L1001,M1001+'Read me'!$B$6)+0.5,1)-0.5,CEILING(MAX(M1001*L1001,M1001+'Read me'!$B$6),5))</f>
        <v>165</v>
      </c>
      <c r="O1001" s="21" t="str">
        <f aca="false">IF(ISNUMBER(J1001),M1001-J1001,"new")</f>
        <v>new</v>
      </c>
    </row>
    <row r="1002" customFormat="false" ht="15" hidden="false" customHeight="false" outlineLevel="0" collapsed="false">
      <c r="A1002" s="2" t="s">
        <v>1133</v>
      </c>
      <c r="B1002" s="2" t="s">
        <v>240</v>
      </c>
      <c r="C1002" s="2" t="s">
        <v>221</v>
      </c>
      <c r="D1002" s="2" t="s">
        <v>14</v>
      </c>
      <c r="E1002" s="2" t="s">
        <v>49</v>
      </c>
      <c r="F1002" s="14" t="n">
        <v>159.42</v>
      </c>
      <c r="G1002" s="2" t="n">
        <v>0</v>
      </c>
      <c r="H1002" s="2" t="n">
        <v>7</v>
      </c>
      <c r="I1002" s="20" t="n">
        <v>0.93</v>
      </c>
      <c r="J1002" s="14"/>
      <c r="K1002" s="14"/>
      <c r="L1002" s="20" t="n">
        <f aca="false">INDEX('Read me'!$B$10:$B$15,4)</f>
        <v>1.2</v>
      </c>
      <c r="M1002" s="14" t="n">
        <f aca="false">IF(F1002*(1+'Read me'!$B$5)&lt;='Read me'!$B$7,CEILING(F1002*(1+'Read me'!$B$5)+0.5,1)-0.5,CEILING(F1002*(1+'Read me'!$B$5),5))</f>
        <v>160</v>
      </c>
      <c r="N1002" s="14" t="n">
        <f aca="false">IF(MAX(M1002*L1002,M1002+'Read me'!$B$6)&lt;='Read me'!$B$7,CEILING(MAX(M1002*L1002,M1002+'Read me'!$B$6)+0.5,1)-0.5,CEILING(MAX(M1002*L1002,M1002+'Read me'!$B$6),5))</f>
        <v>195</v>
      </c>
      <c r="O1002" s="21" t="str">
        <f aca="false">IF(ISNUMBER(J1002),M1002-J1002,"new")</f>
        <v>new</v>
      </c>
    </row>
    <row r="1003" customFormat="false" ht="15" hidden="false" customHeight="false" outlineLevel="0" collapsed="false">
      <c r="A1003" s="2" t="s">
        <v>1134</v>
      </c>
      <c r="B1003" s="2" t="s">
        <v>240</v>
      </c>
      <c r="C1003" s="2" t="s">
        <v>221</v>
      </c>
      <c r="D1003" s="2" t="s">
        <v>14</v>
      </c>
      <c r="E1003" s="2" t="s">
        <v>50</v>
      </c>
      <c r="F1003" s="14" t="n">
        <v>192.13</v>
      </c>
      <c r="G1003" s="2" t="n">
        <v>0</v>
      </c>
      <c r="H1003" s="2" t="n">
        <v>7</v>
      </c>
      <c r="I1003" s="20" t="n">
        <v>0.93</v>
      </c>
      <c r="J1003" s="14"/>
      <c r="K1003" s="14"/>
      <c r="L1003" s="20" t="n">
        <f aca="false">INDEX('Read me'!$B$10:$B$15,4)</f>
        <v>1.2</v>
      </c>
      <c r="M1003" s="14" t="n">
        <f aca="false">IF(F1003*(1+'Read me'!$B$5)&lt;='Read me'!$B$7,CEILING(F1003*(1+'Read me'!$B$5)+0.5,1)-0.5,CEILING(F1003*(1+'Read me'!$B$5),5))</f>
        <v>195</v>
      </c>
      <c r="N1003" s="14" t="n">
        <f aca="false">IF(MAX(M1003*L1003,M1003+'Read me'!$B$6)&lt;='Read me'!$B$7,CEILING(MAX(M1003*L1003,M1003+'Read me'!$B$6)+0.5,1)-0.5,CEILING(MAX(M1003*L1003,M1003+'Read me'!$B$6),5))</f>
        <v>235</v>
      </c>
      <c r="O1003" s="21" t="str">
        <f aca="false">IF(ISNUMBER(J1003),M1003-J1003,"new")</f>
        <v>new</v>
      </c>
    </row>
    <row r="1004" customFormat="false" ht="15" hidden="false" customHeight="false" outlineLevel="0" collapsed="false">
      <c r="A1004" s="2" t="s">
        <v>1135</v>
      </c>
      <c r="B1004" s="2" t="s">
        <v>240</v>
      </c>
      <c r="C1004" s="2" t="s">
        <v>221</v>
      </c>
      <c r="D1004" s="2" t="s">
        <v>15</v>
      </c>
      <c r="E1004" s="2" t="s">
        <v>48</v>
      </c>
      <c r="F1004" s="14" t="n">
        <v>168.53</v>
      </c>
      <c r="G1004" s="2" t="n">
        <v>0</v>
      </c>
      <c r="H1004" s="2" t="n">
        <v>7</v>
      </c>
      <c r="I1004" s="20" t="n">
        <v>0.93</v>
      </c>
      <c r="J1004" s="14"/>
      <c r="K1004" s="14"/>
      <c r="L1004" s="20" t="n">
        <f aca="false">INDEX('Read me'!$B$10:$B$15,5)</f>
        <v>1.2</v>
      </c>
      <c r="M1004" s="14" t="n">
        <f aca="false">IF(F1004*(1+'Read me'!$B$5)&lt;='Read me'!$B$7,CEILING(F1004*(1+'Read me'!$B$5)+0.5,1)-0.5,CEILING(F1004*(1+'Read me'!$B$5),5))</f>
        <v>170</v>
      </c>
      <c r="N1004" s="14" t="n">
        <f aca="false">IF(MAX(M1004*L1004,M1004+'Read me'!$B$6)&lt;='Read me'!$B$7,CEILING(MAX(M1004*L1004,M1004+'Read me'!$B$6)+0.5,1)-0.5,CEILING(MAX(M1004*L1004,M1004+'Read me'!$B$6),5))</f>
        <v>205</v>
      </c>
      <c r="O1004" s="21" t="str">
        <f aca="false">IF(ISNUMBER(J1004),M1004-J1004,"new")</f>
        <v>new</v>
      </c>
    </row>
    <row r="1005" customFormat="false" ht="15" hidden="false" customHeight="false" outlineLevel="0" collapsed="false">
      <c r="A1005" s="2" t="s">
        <v>1136</v>
      </c>
      <c r="B1005" s="2" t="s">
        <v>240</v>
      </c>
      <c r="C1005" s="2" t="s">
        <v>221</v>
      </c>
      <c r="D1005" s="2" t="s">
        <v>15</v>
      </c>
      <c r="E1005" s="2" t="s">
        <v>49</v>
      </c>
      <c r="F1005" s="14" t="n">
        <v>207.92</v>
      </c>
      <c r="G1005" s="2" t="n">
        <v>0</v>
      </c>
      <c r="H1005" s="2" t="n">
        <v>7</v>
      </c>
      <c r="I1005" s="20" t="n">
        <v>0.93</v>
      </c>
      <c r="J1005" s="14"/>
      <c r="K1005" s="14"/>
      <c r="L1005" s="20" t="n">
        <f aca="false">INDEX('Read me'!$B$10:$B$15,5)</f>
        <v>1.2</v>
      </c>
      <c r="M1005" s="14" t="n">
        <f aca="false">N1005</f>
        <v>255</v>
      </c>
      <c r="N1005" s="14" t="n">
        <f aca="false">IF(MAX((IF(F1005*(1+'Read me'!$B$5)&lt;='Read me'!$B$7,CEILING(F1005*(1+'Read me'!$B$5)+0.5,1)-0.5,CEILING(F1005*(1+'Read me'!$B$5),5)))*L1005,(IF(F1005*(1+'Read me'!$B$5)&lt;='Read me'!$B$7,CEILING(F1005*(1+'Read me'!$B$5)+0.5,1)-0.5,CEILING(F1005*(1+'Read me'!$B$5),5)))+'Read me'!$B$6)&lt;='Read me'!$B$7,CEILING(MAX((IF(F1005*(1+'Read me'!$B$5)&lt;='Read me'!$B$7,CEILING(F1005*(1+'Read me'!$B$5)+0.5,1)-0.5,CEILING(F1005*(1+'Read me'!$B$5),5)))*L1005,(IF(F1005*(1+'Read me'!$B$5)&lt;='Read me'!$B$7,CEILING(F1005*(1+'Read me'!$B$5)+0.5,1)-0.5,CEILING(F1005*(1+'Read me'!$B$5),5)))+'Read me'!$B$6)+0.5,1)-0.5,CEILING(MAX((IF(F1005*(1+'Read me'!$B$5)&lt;='Read me'!$B$7,CEILING(F1005*(1+'Read me'!$B$5)+0.5,1)-0.5,CEILING(F1005*(1+'Read me'!$B$5),5)))*L1005,(IF(F1005*(1+'Read me'!$B$5)&lt;='Read me'!$B$7,CEILING(F1005*(1+'Read me'!$B$5)+0.5,1)-0.5,CEILING(F1005*(1+'Read me'!$B$5),5)))+'Read me'!$B$6),5))</f>
        <v>255</v>
      </c>
      <c r="O1005" s="21" t="str">
        <f aca="false">IF(ISNUMBER(J1005),M1005-J1005,"new")</f>
        <v>new</v>
      </c>
      <c r="P1005" s="5" t="s">
        <v>140</v>
      </c>
    </row>
    <row r="1006" customFormat="false" ht="15" hidden="false" customHeight="false" outlineLevel="0" collapsed="false">
      <c r="A1006" s="2" t="s">
        <v>1137</v>
      </c>
      <c r="B1006" s="2" t="s">
        <v>240</v>
      </c>
      <c r="C1006" s="2" t="s">
        <v>221</v>
      </c>
      <c r="D1006" s="2" t="s">
        <v>15</v>
      </c>
      <c r="E1006" s="2" t="s">
        <v>50</v>
      </c>
      <c r="F1006" s="14" t="n">
        <v>249.82</v>
      </c>
      <c r="G1006" s="2" t="n">
        <v>0</v>
      </c>
      <c r="H1006" s="2" t="n">
        <v>7</v>
      </c>
      <c r="I1006" s="20" t="n">
        <v>0.93</v>
      </c>
      <c r="J1006" s="14"/>
      <c r="K1006" s="14"/>
      <c r="L1006" s="20" t="n">
        <f aca="false">INDEX('Read me'!$B$10:$B$15,5)</f>
        <v>1.2</v>
      </c>
      <c r="M1006" s="14" t="n">
        <f aca="false">N1006</f>
        <v>300</v>
      </c>
      <c r="N1006" s="14" t="n">
        <f aca="false">IF(MAX((IF(F1006*(1+'Read me'!$B$5)&lt;='Read me'!$B$7,CEILING(F1006*(1+'Read me'!$B$5)+0.5,1)-0.5,CEILING(F1006*(1+'Read me'!$B$5),5)))*L1006,(IF(F1006*(1+'Read me'!$B$5)&lt;='Read me'!$B$7,CEILING(F1006*(1+'Read me'!$B$5)+0.5,1)-0.5,CEILING(F1006*(1+'Read me'!$B$5),5)))+'Read me'!$B$6)&lt;='Read me'!$B$7,CEILING(MAX((IF(F1006*(1+'Read me'!$B$5)&lt;='Read me'!$B$7,CEILING(F1006*(1+'Read me'!$B$5)+0.5,1)-0.5,CEILING(F1006*(1+'Read me'!$B$5),5)))*L1006,(IF(F1006*(1+'Read me'!$B$5)&lt;='Read me'!$B$7,CEILING(F1006*(1+'Read me'!$B$5)+0.5,1)-0.5,CEILING(F1006*(1+'Read me'!$B$5),5)))+'Read me'!$B$6)+0.5,1)-0.5,CEILING(MAX((IF(F1006*(1+'Read me'!$B$5)&lt;='Read me'!$B$7,CEILING(F1006*(1+'Read me'!$B$5)+0.5,1)-0.5,CEILING(F1006*(1+'Read me'!$B$5),5)))*L1006,(IF(F1006*(1+'Read me'!$B$5)&lt;='Read me'!$B$7,CEILING(F1006*(1+'Read me'!$B$5)+0.5,1)-0.5,CEILING(F1006*(1+'Read me'!$B$5),5)))+'Read me'!$B$6),5))</f>
        <v>300</v>
      </c>
      <c r="O1006" s="21" t="str">
        <f aca="false">IF(ISNUMBER(J1006),M1006-J1006,"new")</f>
        <v>new</v>
      </c>
      <c r="P1006" s="5" t="s">
        <v>140</v>
      </c>
    </row>
    <row r="1007" customFormat="false" ht="15" hidden="false" customHeight="false" outlineLevel="0" collapsed="false">
      <c r="A1007" s="2" t="s">
        <v>1138</v>
      </c>
      <c r="B1007" s="2" t="s">
        <v>240</v>
      </c>
      <c r="C1007" s="2" t="s">
        <v>221</v>
      </c>
      <c r="D1007" s="2" t="s">
        <v>16</v>
      </c>
      <c r="E1007" s="2" t="s">
        <v>48</v>
      </c>
      <c r="F1007" s="14" t="n">
        <v>234.01</v>
      </c>
      <c r="G1007" s="2" t="n">
        <v>0</v>
      </c>
      <c r="H1007" s="2" t="n">
        <v>7</v>
      </c>
      <c r="I1007" s="20" t="n">
        <v>0.93</v>
      </c>
      <c r="J1007" s="14"/>
      <c r="K1007" s="14"/>
      <c r="L1007" s="20" t="n">
        <f aca="false">INDEX('Read me'!$B$10:$B$15,6)</f>
        <v>1.2</v>
      </c>
      <c r="M1007" s="14" t="n">
        <f aca="false">IF(F1007*(1+'Read me'!$B$5)&lt;='Read me'!$B$7,CEILING(F1007*(1+'Read me'!$B$5)+0.5,1)-0.5,CEILING(F1007*(1+'Read me'!$B$5),5))</f>
        <v>235</v>
      </c>
      <c r="N1007" s="14" t="n">
        <f aca="false">IF(MAX(M1007*L1007,M1007+'Read me'!$B$6)&lt;='Read me'!$B$7,CEILING(MAX(M1007*L1007,M1007+'Read me'!$B$6)+0.5,1)-0.5,CEILING(MAX(M1007*L1007,M1007+'Read me'!$B$6),5))</f>
        <v>285</v>
      </c>
      <c r="O1007" s="21" t="str">
        <f aca="false">IF(ISNUMBER(J1007),M1007-J1007,"new")</f>
        <v>new</v>
      </c>
    </row>
    <row r="1008" customFormat="false" ht="15" hidden="false" customHeight="false" outlineLevel="0" collapsed="false">
      <c r="A1008" s="2" t="s">
        <v>1139</v>
      </c>
      <c r="B1008" s="2" t="s">
        <v>240</v>
      </c>
      <c r="C1008" s="2" t="s">
        <v>221</v>
      </c>
      <c r="D1008" s="2" t="s">
        <v>16</v>
      </c>
      <c r="E1008" s="2" t="s">
        <v>49</v>
      </c>
      <c r="F1008" s="14" t="n">
        <v>300.7</v>
      </c>
      <c r="G1008" s="2" t="n">
        <v>0</v>
      </c>
      <c r="H1008" s="2" t="n">
        <v>7</v>
      </c>
      <c r="I1008" s="20" t="n">
        <v>0.93</v>
      </c>
      <c r="J1008" s="14"/>
      <c r="K1008" s="14"/>
      <c r="L1008" s="20" t="n">
        <f aca="false">INDEX('Read me'!$B$10:$B$15,6)</f>
        <v>1.2</v>
      </c>
      <c r="M1008" s="14" t="n">
        <f aca="false">N1008</f>
        <v>370</v>
      </c>
      <c r="N1008" s="14" t="n">
        <f aca="false">IF(MAX((IF(F1008*(1+'Read me'!$B$5)&lt;='Read me'!$B$7,CEILING(F1008*(1+'Read me'!$B$5)+0.5,1)-0.5,CEILING(F1008*(1+'Read me'!$B$5),5)))*L1008,(IF(F1008*(1+'Read me'!$B$5)&lt;='Read me'!$B$7,CEILING(F1008*(1+'Read me'!$B$5)+0.5,1)-0.5,CEILING(F1008*(1+'Read me'!$B$5),5)))+'Read me'!$B$6)&lt;='Read me'!$B$7,CEILING(MAX((IF(F1008*(1+'Read me'!$B$5)&lt;='Read me'!$B$7,CEILING(F1008*(1+'Read me'!$B$5)+0.5,1)-0.5,CEILING(F1008*(1+'Read me'!$B$5),5)))*L1008,(IF(F1008*(1+'Read me'!$B$5)&lt;='Read me'!$B$7,CEILING(F1008*(1+'Read me'!$B$5)+0.5,1)-0.5,CEILING(F1008*(1+'Read me'!$B$5),5)))+'Read me'!$B$6)+0.5,1)-0.5,CEILING(MAX((IF(F1008*(1+'Read me'!$B$5)&lt;='Read me'!$B$7,CEILING(F1008*(1+'Read me'!$B$5)+0.5,1)-0.5,CEILING(F1008*(1+'Read me'!$B$5),5)))*L1008,(IF(F1008*(1+'Read me'!$B$5)&lt;='Read me'!$B$7,CEILING(F1008*(1+'Read me'!$B$5)+0.5,1)-0.5,CEILING(F1008*(1+'Read me'!$B$5),5)))+'Read me'!$B$6),5))</f>
        <v>370</v>
      </c>
      <c r="O1008" s="21" t="str">
        <f aca="false">IF(ISNUMBER(J1008),M1008-J1008,"new")</f>
        <v>new</v>
      </c>
      <c r="P1008" s="5" t="s">
        <v>140</v>
      </c>
    </row>
    <row r="1009" customFormat="false" ht="15" hidden="false" customHeight="false" outlineLevel="0" collapsed="false">
      <c r="A1009" s="2" t="s">
        <v>1140</v>
      </c>
      <c r="B1009" s="2" t="s">
        <v>240</v>
      </c>
      <c r="C1009" s="2" t="s">
        <v>221</v>
      </c>
      <c r="D1009" s="2" t="s">
        <v>16</v>
      </c>
      <c r="E1009" s="2" t="s">
        <v>50</v>
      </c>
      <c r="F1009" s="14" t="n">
        <v>353.43</v>
      </c>
      <c r="G1009" s="2" t="n">
        <v>0</v>
      </c>
      <c r="H1009" s="2" t="n">
        <v>7</v>
      </c>
      <c r="I1009" s="20" t="n">
        <v>0.93</v>
      </c>
      <c r="J1009" s="14"/>
      <c r="K1009" s="14"/>
      <c r="L1009" s="20" t="n">
        <f aca="false">INDEX('Read me'!$B$10:$B$15,6)</f>
        <v>1.2</v>
      </c>
      <c r="M1009" s="14" t="n">
        <f aca="false">N1009</f>
        <v>430</v>
      </c>
      <c r="N1009" s="14" t="n">
        <f aca="false">IF(MAX((IF(F1009*(1+'Read me'!$B$5)&lt;='Read me'!$B$7,CEILING(F1009*(1+'Read me'!$B$5)+0.5,1)-0.5,CEILING(F1009*(1+'Read me'!$B$5),5)))*L1009,(IF(F1009*(1+'Read me'!$B$5)&lt;='Read me'!$B$7,CEILING(F1009*(1+'Read me'!$B$5)+0.5,1)-0.5,CEILING(F1009*(1+'Read me'!$B$5),5)))+'Read me'!$B$6)&lt;='Read me'!$B$7,CEILING(MAX((IF(F1009*(1+'Read me'!$B$5)&lt;='Read me'!$B$7,CEILING(F1009*(1+'Read me'!$B$5)+0.5,1)-0.5,CEILING(F1009*(1+'Read me'!$B$5),5)))*L1009,(IF(F1009*(1+'Read me'!$B$5)&lt;='Read me'!$B$7,CEILING(F1009*(1+'Read me'!$B$5)+0.5,1)-0.5,CEILING(F1009*(1+'Read me'!$B$5),5)))+'Read me'!$B$6)+0.5,1)-0.5,CEILING(MAX((IF(F1009*(1+'Read me'!$B$5)&lt;='Read me'!$B$7,CEILING(F1009*(1+'Read me'!$B$5)+0.5,1)-0.5,CEILING(F1009*(1+'Read me'!$B$5),5)))*L1009,(IF(F1009*(1+'Read me'!$B$5)&lt;='Read me'!$B$7,CEILING(F1009*(1+'Read me'!$B$5)+0.5,1)-0.5,CEILING(F1009*(1+'Read me'!$B$5),5)))+'Read me'!$B$6),5))</f>
        <v>430</v>
      </c>
      <c r="O1009" s="21" t="str">
        <f aca="false">IF(ISNUMBER(J1009),M1009-J1009,"new")</f>
        <v>new</v>
      </c>
      <c r="P1009" s="5" t="s">
        <v>140</v>
      </c>
    </row>
  </sheetData>
  <autoFilter ref="A1:P10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8"/>
    <col collapsed="false" customWidth="true" hidden="false" outlineLevel="0" max="5" min="5" style="0" width="10"/>
    <col collapsed="false" customWidth="true" hidden="false" outlineLevel="0" max="6" min="6" style="0" width="8"/>
    <col collapsed="false" customWidth="true" hidden="false" outlineLevel="0" max="12" min="7" style="0" width="11"/>
  </cols>
  <sheetData>
    <row r="1" customFormat="false" ht="52.2" hidden="false" customHeight="false" outlineLevel="0" collapsed="false">
      <c r="A1" s="19" t="s">
        <v>110</v>
      </c>
      <c r="B1" s="19" t="s">
        <v>111</v>
      </c>
      <c r="C1" s="19" t="s">
        <v>112</v>
      </c>
      <c r="D1" s="19" t="s">
        <v>60</v>
      </c>
      <c r="E1" s="19" t="s">
        <v>1141</v>
      </c>
      <c r="F1" s="19" t="s">
        <v>1142</v>
      </c>
      <c r="G1" s="19" t="s">
        <v>40</v>
      </c>
      <c r="H1" s="19" t="s">
        <v>41</v>
      </c>
      <c r="I1" s="19" t="s">
        <v>1143</v>
      </c>
      <c r="J1" s="19" t="s">
        <v>1144</v>
      </c>
      <c r="K1" s="19" t="s">
        <v>44</v>
      </c>
      <c r="L1" s="19" t="s">
        <v>42</v>
      </c>
    </row>
    <row r="2" customFormat="false" ht="15" hidden="false" customHeight="false" outlineLevel="0" collapsed="false">
      <c r="A2" s="2" t="s">
        <v>146</v>
      </c>
      <c r="B2" s="2" t="s">
        <v>146</v>
      </c>
      <c r="C2" s="2" t="s">
        <v>48</v>
      </c>
      <c r="D2" s="2" t="s">
        <v>12</v>
      </c>
      <c r="E2" s="2" t="s">
        <v>76</v>
      </c>
      <c r="F2" s="2" t="s">
        <v>1145</v>
      </c>
      <c r="G2" s="14" t="n">
        <v>14.5</v>
      </c>
      <c r="H2" s="14" t="n">
        <v>58.86</v>
      </c>
      <c r="I2" s="14" t="n">
        <v>9.5</v>
      </c>
      <c r="J2" s="22" t="n">
        <f aca="false">IF(E2="Priority",'Cost model'!N761,'Cost model'!M761)</f>
        <v>35</v>
      </c>
      <c r="K2" s="14" t="n">
        <f aca="false">J2-H2</f>
        <v>-23.86</v>
      </c>
      <c r="L2" s="14" t="n">
        <f aca="false">G2-H2</f>
        <v>-44.36</v>
      </c>
    </row>
    <row r="3" customFormat="false" ht="15" hidden="false" customHeight="false" outlineLevel="0" collapsed="false">
      <c r="A3" s="2" t="s">
        <v>126</v>
      </c>
      <c r="B3" s="2" t="s">
        <v>126</v>
      </c>
      <c r="C3" s="2" t="s">
        <v>49</v>
      </c>
      <c r="D3" s="2" t="s">
        <v>10</v>
      </c>
      <c r="E3" s="2" t="s">
        <v>85</v>
      </c>
      <c r="F3" s="2" t="s">
        <v>1145</v>
      </c>
      <c r="G3" s="14" t="n">
        <v>17.5</v>
      </c>
      <c r="H3" s="14" t="n">
        <v>20.83</v>
      </c>
      <c r="I3" s="14" t="n">
        <v>17.5</v>
      </c>
      <c r="J3" s="22" t="n">
        <f aca="false">IF(E3="Priority",'Cost model'!N381,'Cost model'!M381)</f>
        <v>19.5</v>
      </c>
      <c r="K3" s="14" t="n">
        <f aca="false">J3-H3</f>
        <v>-1.33</v>
      </c>
      <c r="L3" s="14" t="n">
        <f aca="false">G3-H3</f>
        <v>-3.33</v>
      </c>
    </row>
    <row r="4" customFormat="false" ht="15" hidden="false" customHeight="false" outlineLevel="0" collapsed="false">
      <c r="A4" s="2" t="s">
        <v>126</v>
      </c>
      <c r="B4" s="2" t="s">
        <v>126</v>
      </c>
      <c r="C4" s="2" t="s">
        <v>49</v>
      </c>
      <c r="D4" s="2" t="s">
        <v>10</v>
      </c>
      <c r="E4" s="2" t="s">
        <v>76</v>
      </c>
      <c r="F4" s="2" t="s">
        <v>1145</v>
      </c>
      <c r="G4" s="14" t="n">
        <v>12.5</v>
      </c>
      <c r="H4" s="14" t="n">
        <v>7.72</v>
      </c>
      <c r="I4" s="14" t="n">
        <v>12.5</v>
      </c>
      <c r="J4" s="22" t="n">
        <f aca="false">IF(E4="Priority",'Cost model'!N381,'Cost model'!M381)</f>
        <v>14.5</v>
      </c>
      <c r="K4" s="14" t="n">
        <f aca="false">J4-H4</f>
        <v>6.78</v>
      </c>
      <c r="L4" s="14" t="n">
        <f aca="false">G4-H4</f>
        <v>4.78</v>
      </c>
    </row>
    <row r="5" customFormat="false" ht="15" hidden="false" customHeight="false" outlineLevel="0" collapsed="false">
      <c r="A5" s="2" t="s">
        <v>221</v>
      </c>
      <c r="B5" s="2" t="s">
        <v>221</v>
      </c>
      <c r="C5" s="2" t="s">
        <v>49</v>
      </c>
      <c r="D5" s="2" t="s">
        <v>10</v>
      </c>
      <c r="E5" s="2" t="s">
        <v>76</v>
      </c>
      <c r="F5" s="2" t="s">
        <v>1145</v>
      </c>
      <c r="G5" s="14" t="n">
        <v>14.5</v>
      </c>
      <c r="H5" s="14" t="n">
        <v>24.61</v>
      </c>
      <c r="I5" s="14" t="n">
        <v>12.5</v>
      </c>
      <c r="J5" s="22" t="n">
        <f aca="false">IF(E5="Priority",'Cost model'!N633,'Cost model'!M633)</f>
        <v>13.5</v>
      </c>
      <c r="K5" s="14" t="n">
        <f aca="false">J5-H5</f>
        <v>-11.11</v>
      </c>
      <c r="L5" s="14" t="n">
        <f aca="false">G5-H5</f>
        <v>-10.11</v>
      </c>
    </row>
    <row r="6" customFormat="false" ht="15" hidden="false" customHeight="false" outlineLevel="0" collapsed="false">
      <c r="A6" s="2" t="s">
        <v>146</v>
      </c>
      <c r="B6" s="2" t="s">
        <v>126</v>
      </c>
      <c r="C6" s="2" t="s">
        <v>48</v>
      </c>
      <c r="D6" s="2" t="s">
        <v>10</v>
      </c>
      <c r="E6" s="2" t="s">
        <v>76</v>
      </c>
      <c r="F6" s="2" t="s">
        <v>1146</v>
      </c>
      <c r="G6" s="14" t="n">
        <v>14.5</v>
      </c>
      <c r="H6" s="14" t="n">
        <v>9.64</v>
      </c>
      <c r="I6" s="14" t="n">
        <v>14.5</v>
      </c>
      <c r="J6" s="22" t="n">
        <f aca="false">IF(E6="Priority",'Cost model'!N794,'Cost model'!M794)</f>
        <v>12.5</v>
      </c>
      <c r="K6" s="14" t="n">
        <f aca="false">J6-H6</f>
        <v>2.86</v>
      </c>
      <c r="L6" s="14" t="n">
        <f aca="false">G6-H6</f>
        <v>4.86</v>
      </c>
    </row>
    <row r="7" customFormat="false" ht="15" hidden="false" customHeight="false" outlineLevel="0" collapsed="false">
      <c r="A7" s="2" t="s">
        <v>221</v>
      </c>
      <c r="B7" s="2" t="s">
        <v>221</v>
      </c>
      <c r="C7" s="2" t="s">
        <v>49</v>
      </c>
      <c r="D7" s="2" t="s">
        <v>12</v>
      </c>
      <c r="E7" s="2" t="s">
        <v>76</v>
      </c>
      <c r="F7" s="2" t="s">
        <v>1145</v>
      </c>
      <c r="G7" s="14" t="n">
        <v>12.5</v>
      </c>
      <c r="H7" s="14" t="n">
        <v>83.06</v>
      </c>
      <c r="I7" s="14" t="n">
        <v>12.5</v>
      </c>
      <c r="J7" s="22" t="n">
        <f aca="false">IF(E7="Priority",'Cost model'!N636,'Cost model'!M636)</f>
        <v>55</v>
      </c>
      <c r="K7" s="14" t="n">
        <f aca="false">J7-H7</f>
        <v>-28.06</v>
      </c>
      <c r="L7" s="14" t="n">
        <f aca="false">G7-H7</f>
        <v>-70.56</v>
      </c>
    </row>
    <row r="8" customFormat="false" ht="15" hidden="false" customHeight="false" outlineLevel="0" collapsed="false">
      <c r="A8" s="2" t="s">
        <v>184</v>
      </c>
      <c r="B8" s="2" t="s">
        <v>184</v>
      </c>
      <c r="C8" s="2" t="s">
        <v>49</v>
      </c>
      <c r="D8" s="2" t="s">
        <v>10</v>
      </c>
      <c r="E8" s="2" t="s">
        <v>76</v>
      </c>
      <c r="F8" s="2" t="s">
        <v>1145</v>
      </c>
      <c r="G8" s="14" t="n">
        <v>12.5</v>
      </c>
      <c r="H8" s="14" t="n">
        <v>16.01</v>
      </c>
      <c r="I8" s="14"/>
      <c r="J8" s="22" t="n">
        <f aca="false">IF(E8="Priority",'Cost model'!N201,'Cost model'!M201)</f>
        <v>12.5</v>
      </c>
      <c r="K8" s="14" t="n">
        <f aca="false">J8-H8</f>
        <v>-3.51</v>
      </c>
      <c r="L8" s="14" t="n">
        <f aca="false">G8-H8</f>
        <v>-3.51</v>
      </c>
    </row>
    <row r="9" customFormat="false" ht="15" hidden="false" customHeight="false" outlineLevel="0" collapsed="false">
      <c r="A9" s="2" t="s">
        <v>184</v>
      </c>
      <c r="B9" s="2" t="s">
        <v>146</v>
      </c>
      <c r="C9" s="2" t="s">
        <v>48</v>
      </c>
      <c r="D9" s="2" t="s">
        <v>12</v>
      </c>
      <c r="E9" s="2" t="s">
        <v>76</v>
      </c>
      <c r="F9" s="2" t="s">
        <v>1146</v>
      </c>
      <c r="G9" s="14" t="n">
        <v>9.5</v>
      </c>
      <c r="H9" s="14" t="n">
        <v>48.16</v>
      </c>
      <c r="I9" s="14" t="n">
        <v>9.5</v>
      </c>
      <c r="J9" s="22" t="n">
        <f aca="false">IF(E9="Priority",'Cost model'!N149,'Cost model'!M149)</f>
        <v>45</v>
      </c>
      <c r="K9" s="14" t="n">
        <f aca="false">J9-H9</f>
        <v>-3.16</v>
      </c>
      <c r="L9" s="14" t="n">
        <f aca="false">G9-H9</f>
        <v>-38.66</v>
      </c>
    </row>
    <row r="10" customFormat="false" ht="15" hidden="false" customHeight="false" outlineLevel="0" collapsed="false">
      <c r="A10" s="2" t="s">
        <v>125</v>
      </c>
      <c r="B10" s="2" t="s">
        <v>184</v>
      </c>
      <c r="C10" s="2" t="s">
        <v>48</v>
      </c>
      <c r="D10" s="2" t="s">
        <v>10</v>
      </c>
      <c r="E10" s="2" t="s">
        <v>76</v>
      </c>
      <c r="F10" s="2" t="s">
        <v>1146</v>
      </c>
      <c r="G10" s="14" t="n">
        <v>14.5</v>
      </c>
      <c r="H10" s="14" t="n">
        <v>12.27</v>
      </c>
      <c r="I10" s="14" t="n">
        <v>14.5</v>
      </c>
      <c r="J10" s="22" t="n">
        <f aca="false">IF(E10="Priority",'Cost model'!N56,'Cost model'!M56)</f>
        <v>11.5</v>
      </c>
      <c r="K10" s="14" t="n">
        <f aca="false">J10-H10</f>
        <v>-0.77</v>
      </c>
      <c r="L10" s="14" t="n">
        <f aca="false">G10-H10</f>
        <v>2.23</v>
      </c>
    </row>
    <row r="11" customFormat="false" ht="15" hidden="false" customHeight="false" outlineLevel="0" collapsed="false">
      <c r="A11" s="2" t="s">
        <v>184</v>
      </c>
      <c r="B11" s="2" t="s">
        <v>184</v>
      </c>
      <c r="C11" s="2" t="s">
        <v>48</v>
      </c>
      <c r="D11" s="2" t="s">
        <v>12</v>
      </c>
      <c r="E11" s="2" t="s">
        <v>76</v>
      </c>
      <c r="F11" s="2" t="s">
        <v>1145</v>
      </c>
      <c r="G11" s="14" t="n">
        <v>9.5</v>
      </c>
      <c r="H11" s="14" t="n">
        <v>27.76</v>
      </c>
      <c r="I11" s="14" t="n">
        <v>9.5</v>
      </c>
      <c r="J11" s="22" t="n">
        <f aca="false">IF(E11="Priority",'Cost model'!N203,'Cost model'!M203)</f>
        <v>26.5</v>
      </c>
      <c r="K11" s="14" t="n">
        <f aca="false">J11-H11</f>
        <v>-1.26</v>
      </c>
      <c r="L11" s="14" t="n">
        <f aca="false">G11-H11</f>
        <v>-18.26</v>
      </c>
    </row>
    <row r="12" customFormat="false" ht="15" hidden="false" customHeight="false" outlineLevel="0" collapsed="false">
      <c r="A12" s="2" t="s">
        <v>126</v>
      </c>
      <c r="B12" s="2" t="s">
        <v>126</v>
      </c>
      <c r="C12" s="2" t="s">
        <v>50</v>
      </c>
      <c r="D12" s="2" t="s">
        <v>12</v>
      </c>
      <c r="E12" s="2" t="s">
        <v>76</v>
      </c>
      <c r="F12" s="2" t="s">
        <v>1145</v>
      </c>
      <c r="G12" s="14" t="n">
        <v>19.5</v>
      </c>
      <c r="H12" s="14" t="n">
        <v>59.1</v>
      </c>
      <c r="I12" s="14" t="n">
        <v>19.5</v>
      </c>
      <c r="J12" s="22" t="n">
        <f aca="false">IF(E12="Priority",'Cost model'!N385,'Cost model'!M385)</f>
        <v>55</v>
      </c>
      <c r="K12" s="14" t="n">
        <f aca="false">J12-H12</f>
        <v>-4.1</v>
      </c>
      <c r="L12" s="14" t="n">
        <f aca="false">G12-H12</f>
        <v>-39.6</v>
      </c>
    </row>
    <row r="13" customFormat="false" ht="15" hidden="false" customHeight="false" outlineLevel="0" collapsed="false">
      <c r="A13" s="2" t="s">
        <v>126</v>
      </c>
      <c r="B13" s="2" t="s">
        <v>126</v>
      </c>
      <c r="C13" s="2" t="s">
        <v>49</v>
      </c>
      <c r="D13" s="2" t="s">
        <v>12</v>
      </c>
      <c r="E13" s="2" t="s">
        <v>85</v>
      </c>
      <c r="F13" s="2" t="s">
        <v>1145</v>
      </c>
      <c r="G13" s="14" t="n">
        <v>19.5</v>
      </c>
      <c r="H13" s="14" t="n">
        <v>62.85</v>
      </c>
      <c r="I13" s="14" t="n">
        <v>19.5</v>
      </c>
      <c r="J13" s="22" t="n">
        <f aca="false">IF(E13="Priority",'Cost model'!N384,'Cost model'!M384)</f>
        <v>60</v>
      </c>
      <c r="K13" s="14" t="n">
        <f aca="false">J13-H13</f>
        <v>-2.85</v>
      </c>
      <c r="L13" s="14" t="n">
        <f aca="false">G13-H13</f>
        <v>-43.35</v>
      </c>
    </row>
    <row r="14" customFormat="false" ht="15" hidden="false" customHeight="false" outlineLevel="0" collapsed="false">
      <c r="A14" s="2" t="s">
        <v>240</v>
      </c>
      <c r="B14" s="2" t="s">
        <v>240</v>
      </c>
      <c r="C14" s="2" t="s">
        <v>48</v>
      </c>
      <c r="D14" s="2" t="s">
        <v>10</v>
      </c>
      <c r="E14" s="2" t="s">
        <v>76</v>
      </c>
      <c r="F14" s="2" t="s">
        <v>1145</v>
      </c>
      <c r="G14" s="14" t="n">
        <v>9.5</v>
      </c>
      <c r="H14" s="14" t="n">
        <v>8.13</v>
      </c>
      <c r="I14" s="14" t="n">
        <v>9.5</v>
      </c>
      <c r="J14" s="22" t="n">
        <f aca="false">IF(E14="Priority",'Cost model'!N884,'Cost model'!M884)</f>
        <v>7.5</v>
      </c>
      <c r="K14" s="14" t="n">
        <f aca="false">J14-H14</f>
        <v>-0.630000000000001</v>
      </c>
      <c r="L14" s="14" t="n">
        <f aca="false">G14-H14</f>
        <v>1.37</v>
      </c>
    </row>
    <row r="15" customFormat="false" ht="15" hidden="false" customHeight="false" outlineLevel="0" collapsed="false">
      <c r="A15" s="2" t="s">
        <v>184</v>
      </c>
      <c r="B15" s="2" t="s">
        <v>184</v>
      </c>
      <c r="C15" s="2" t="s">
        <v>48</v>
      </c>
      <c r="D15" s="2" t="s">
        <v>12</v>
      </c>
      <c r="E15" s="2" t="s">
        <v>76</v>
      </c>
      <c r="F15" s="2" t="s">
        <v>1145</v>
      </c>
      <c r="G15" s="14" t="n">
        <v>9.5</v>
      </c>
      <c r="H15" s="14" t="n">
        <v>27.4</v>
      </c>
      <c r="I15" s="14" t="n">
        <v>9.5</v>
      </c>
      <c r="J15" s="22" t="n">
        <f aca="false">IF(E15="Priority",'Cost model'!N203,'Cost model'!M203)</f>
        <v>26.5</v>
      </c>
      <c r="K15" s="14" t="n">
        <f aca="false">J15-H15</f>
        <v>-0.899999999999999</v>
      </c>
      <c r="L15" s="14" t="n">
        <f aca="false">G15-H15</f>
        <v>-17.9</v>
      </c>
    </row>
    <row r="16" customFormat="false" ht="15" hidden="false" customHeight="false" outlineLevel="0" collapsed="false">
      <c r="A16" s="2" t="s">
        <v>240</v>
      </c>
      <c r="B16" s="2" t="s">
        <v>240</v>
      </c>
      <c r="C16" s="2" t="s">
        <v>50</v>
      </c>
      <c r="D16" s="2" t="s">
        <v>10</v>
      </c>
      <c r="E16" s="2" t="s">
        <v>76</v>
      </c>
      <c r="F16" s="2" t="s">
        <v>1145</v>
      </c>
      <c r="G16" s="14" t="n">
        <v>17.5</v>
      </c>
      <c r="H16" s="14" t="n">
        <v>11.58</v>
      </c>
      <c r="I16" s="14" t="n">
        <v>17.5</v>
      </c>
      <c r="J16" s="22" t="n">
        <f aca="false">IF(E16="Priority",'Cost model'!N886,'Cost model'!M886)</f>
        <v>17.5</v>
      </c>
      <c r="K16" s="14" t="n">
        <f aca="false">J16-H16</f>
        <v>5.92</v>
      </c>
      <c r="L16" s="14" t="n">
        <f aca="false">G16-H16</f>
        <v>5.92</v>
      </c>
    </row>
    <row r="17" customFormat="false" ht="15" hidden="false" customHeight="false" outlineLevel="0" collapsed="false">
      <c r="A17" s="2" t="s">
        <v>126</v>
      </c>
      <c r="B17" s="2" t="s">
        <v>126</v>
      </c>
      <c r="C17" s="2" t="s">
        <v>48</v>
      </c>
      <c r="D17" s="2" t="s">
        <v>12</v>
      </c>
      <c r="E17" s="2" t="s">
        <v>76</v>
      </c>
      <c r="F17" s="2" t="s">
        <v>1145</v>
      </c>
      <c r="G17" s="14" t="n">
        <v>24.5</v>
      </c>
      <c r="H17" s="14" t="n">
        <v>41.77</v>
      </c>
      <c r="I17" s="14" t="n">
        <v>9.5</v>
      </c>
      <c r="J17" s="22" t="n">
        <f aca="false">IF(E17="Priority",'Cost model'!N383,'Cost model'!M383)</f>
        <v>27.5</v>
      </c>
      <c r="K17" s="14" t="n">
        <f aca="false">J17-H17</f>
        <v>-14.27</v>
      </c>
      <c r="L17" s="14" t="n">
        <f aca="false">G17-H17</f>
        <v>-17.27</v>
      </c>
    </row>
    <row r="18" customFormat="false" ht="15" hidden="false" customHeight="false" outlineLevel="0" collapsed="false">
      <c r="A18" s="2" t="s">
        <v>240</v>
      </c>
      <c r="B18" s="2" t="s">
        <v>165</v>
      </c>
      <c r="C18" s="2" t="s">
        <v>50</v>
      </c>
      <c r="D18" s="2" t="s">
        <v>12</v>
      </c>
      <c r="E18" s="2" t="s">
        <v>85</v>
      </c>
      <c r="F18" s="2" t="s">
        <v>1146</v>
      </c>
      <c r="G18" s="14" t="n">
        <v>34.5</v>
      </c>
      <c r="H18" s="14" t="n">
        <v>72.82</v>
      </c>
      <c r="I18" s="14" t="n">
        <v>34.5</v>
      </c>
      <c r="J18" s="22" t="n">
        <f aca="false">IF(E18="Priority",'Cost model'!N907,'Cost model'!M907)</f>
        <v>90</v>
      </c>
      <c r="K18" s="14" t="n">
        <f aca="false">J18-H18</f>
        <v>17.18</v>
      </c>
      <c r="L18" s="14" t="n">
        <f aca="false">G18-H18</f>
        <v>-38.32</v>
      </c>
    </row>
    <row r="19" customFormat="false" ht="15" hidden="false" customHeight="false" outlineLevel="0" collapsed="false">
      <c r="A19" s="2" t="s">
        <v>146</v>
      </c>
      <c r="B19" s="2" t="s">
        <v>146</v>
      </c>
      <c r="C19" s="2" t="s">
        <v>48</v>
      </c>
      <c r="D19" s="2" t="s">
        <v>12</v>
      </c>
      <c r="E19" s="2" t="s">
        <v>76</v>
      </c>
      <c r="F19" s="2" t="s">
        <v>1145</v>
      </c>
      <c r="G19" s="14" t="n">
        <v>9.5</v>
      </c>
      <c r="H19" s="14" t="n">
        <v>27.7</v>
      </c>
      <c r="I19" s="14" t="n">
        <v>9.5</v>
      </c>
      <c r="J19" s="22" t="n">
        <f aca="false">IF(E19="Priority",'Cost model'!N761,'Cost model'!M761)</f>
        <v>35</v>
      </c>
      <c r="K19" s="14" t="n">
        <f aca="false">J19-H19</f>
        <v>7.3</v>
      </c>
      <c r="L19" s="14" t="n">
        <f aca="false">G19-H19</f>
        <v>-18.2</v>
      </c>
    </row>
    <row r="20" customFormat="false" ht="15" hidden="false" customHeight="false" outlineLevel="0" collapsed="false">
      <c r="A20" s="2" t="s">
        <v>125</v>
      </c>
      <c r="B20" s="2" t="s">
        <v>125</v>
      </c>
      <c r="C20" s="2" t="s">
        <v>48</v>
      </c>
      <c r="D20" s="2" t="s">
        <v>12</v>
      </c>
      <c r="E20" s="2" t="s">
        <v>76</v>
      </c>
      <c r="F20" s="2" t="s">
        <v>1145</v>
      </c>
      <c r="G20" s="14" t="n">
        <v>29.5</v>
      </c>
      <c r="H20" s="14" t="n">
        <v>42.23</v>
      </c>
      <c r="I20" s="14" t="n">
        <v>9.5</v>
      </c>
      <c r="J20" s="22" t="n">
        <f aca="false">IF(E20="Priority",'Cost model'!N77,'Cost model'!M77)</f>
        <v>50</v>
      </c>
      <c r="K20" s="14" t="n">
        <f aca="false">J20-H20</f>
        <v>7.77</v>
      </c>
      <c r="L20" s="14" t="n">
        <f aca="false">G20-H20</f>
        <v>-12.73</v>
      </c>
    </row>
    <row r="21" customFormat="false" ht="15" hidden="false" customHeight="false" outlineLevel="0" collapsed="false">
      <c r="A21" s="2" t="s">
        <v>385</v>
      </c>
      <c r="B21" s="2" t="s">
        <v>125</v>
      </c>
      <c r="C21" s="2" t="s">
        <v>48</v>
      </c>
      <c r="D21" s="2" t="s">
        <v>10</v>
      </c>
      <c r="E21" s="2" t="s">
        <v>85</v>
      </c>
      <c r="F21" s="2" t="s">
        <v>1146</v>
      </c>
      <c r="G21" s="14" t="n">
        <v>24.5</v>
      </c>
      <c r="H21" s="14" t="n">
        <v>51.6</v>
      </c>
      <c r="I21" s="14" t="n">
        <v>24.5</v>
      </c>
      <c r="J21" s="22" t="n">
        <f aca="false">IF(E21="Priority",'Cost model'!N362,'Cost model'!M362)</f>
        <v>29.5</v>
      </c>
      <c r="K21" s="14" t="n">
        <f aca="false">J21-H21</f>
        <v>-22.1</v>
      </c>
      <c r="L21" s="14" t="n">
        <f aca="false">G21-H21</f>
        <v>-27.1</v>
      </c>
    </row>
    <row r="22" customFormat="false" ht="15" hidden="false" customHeight="false" outlineLevel="0" collapsed="false">
      <c r="A22" s="2" t="s">
        <v>146</v>
      </c>
      <c r="B22" s="2" t="s">
        <v>146</v>
      </c>
      <c r="C22" s="2" t="s">
        <v>50</v>
      </c>
      <c r="D22" s="2" t="s">
        <v>12</v>
      </c>
      <c r="E22" s="2" t="s">
        <v>76</v>
      </c>
      <c r="F22" s="2" t="s">
        <v>1145</v>
      </c>
      <c r="G22" s="14" t="n">
        <v>19.5</v>
      </c>
      <c r="H22" s="14" t="n">
        <v>60.83</v>
      </c>
      <c r="I22" s="14" t="n">
        <v>19.5</v>
      </c>
      <c r="J22" s="22" t="n">
        <f aca="false">IF(E22="Priority",'Cost model'!N763,'Cost model'!M763)</f>
        <v>50</v>
      </c>
      <c r="K22" s="14" t="n">
        <f aca="false">J22-H22</f>
        <v>-10.83</v>
      </c>
      <c r="L22" s="14" t="n">
        <f aca="false">G22-H22</f>
        <v>-41.33</v>
      </c>
    </row>
    <row r="23" customFormat="false" ht="15" hidden="false" customHeight="false" outlineLevel="0" collapsed="false">
      <c r="A23" s="2" t="s">
        <v>146</v>
      </c>
      <c r="B23" s="2" t="s">
        <v>146</v>
      </c>
      <c r="C23" s="2" t="s">
        <v>50</v>
      </c>
      <c r="D23" s="2" t="s">
        <v>10</v>
      </c>
      <c r="E23" s="2" t="s">
        <v>76</v>
      </c>
      <c r="F23" s="2" t="s">
        <v>1145</v>
      </c>
      <c r="G23" s="14" t="n">
        <v>17.5</v>
      </c>
      <c r="H23" s="14" t="n">
        <v>14.32</v>
      </c>
      <c r="I23" s="14" t="n">
        <v>17.5</v>
      </c>
      <c r="J23" s="22" t="n">
        <f aca="false">IF(E23="Priority",'Cost model'!N760,'Cost model'!M760)</f>
        <v>18.5</v>
      </c>
      <c r="K23" s="14" t="n">
        <f aca="false">J23-H23</f>
        <v>4.18</v>
      </c>
      <c r="L23" s="14" t="n">
        <f aca="false">G23-H23</f>
        <v>3.18</v>
      </c>
    </row>
    <row r="24" customFormat="false" ht="15" hidden="false" customHeight="false" outlineLevel="0" collapsed="false">
      <c r="A24" s="2" t="s">
        <v>221</v>
      </c>
      <c r="B24" s="2" t="s">
        <v>146</v>
      </c>
      <c r="C24" s="2" t="s">
        <v>49</v>
      </c>
      <c r="D24" s="2" t="s">
        <v>14</v>
      </c>
      <c r="E24" s="2" t="s">
        <v>76</v>
      </c>
      <c r="F24" s="2" t="s">
        <v>1146</v>
      </c>
      <c r="G24" s="14" t="n">
        <v>125</v>
      </c>
      <c r="H24" s="14" t="n">
        <v>139.41</v>
      </c>
      <c r="I24" s="14" t="n">
        <v>125</v>
      </c>
      <c r="J24" s="22" t="n">
        <f aca="false">IF(E24="Priority",'Cost model'!N660,'Cost model'!M660)</f>
        <v>210</v>
      </c>
      <c r="K24" s="14" t="n">
        <f aca="false">J24-H24</f>
        <v>70.59</v>
      </c>
      <c r="L24" s="14" t="n">
        <f aca="false">G24-H24</f>
        <v>-14.41</v>
      </c>
    </row>
    <row r="25" customFormat="false" ht="15" hidden="false" customHeight="false" outlineLevel="0" collapsed="false">
      <c r="A25" s="2" t="s">
        <v>184</v>
      </c>
      <c r="B25" s="2" t="s">
        <v>184</v>
      </c>
      <c r="C25" s="2" t="s">
        <v>48</v>
      </c>
      <c r="D25" s="2" t="s">
        <v>10</v>
      </c>
      <c r="E25" s="2" t="s">
        <v>76</v>
      </c>
      <c r="F25" s="2" t="s">
        <v>1145</v>
      </c>
      <c r="G25" s="14" t="n">
        <v>9.5</v>
      </c>
      <c r="H25" s="14" t="n">
        <v>6.11</v>
      </c>
      <c r="I25" s="14" t="n">
        <v>9.5</v>
      </c>
      <c r="J25" s="22" t="n">
        <f aca="false">IF(E25="Priority",'Cost model'!N200,'Cost model'!M200)</f>
        <v>7.5</v>
      </c>
      <c r="K25" s="14" t="n">
        <f aca="false">J25-H25</f>
        <v>1.39</v>
      </c>
      <c r="L25" s="14" t="n">
        <f aca="false">G25-H25</f>
        <v>3.39</v>
      </c>
    </row>
    <row r="26" customFormat="false" ht="15" hidden="false" customHeight="false" outlineLevel="0" collapsed="false">
      <c r="A26" s="2" t="s">
        <v>126</v>
      </c>
      <c r="B26" s="2" t="s">
        <v>126</v>
      </c>
      <c r="C26" s="2" t="s">
        <v>48</v>
      </c>
      <c r="D26" s="2" t="s">
        <v>10</v>
      </c>
      <c r="E26" s="2" t="s">
        <v>76</v>
      </c>
      <c r="F26" s="2" t="s">
        <v>1145</v>
      </c>
      <c r="G26" s="14" t="n">
        <v>9.5</v>
      </c>
      <c r="H26" s="14" t="n">
        <v>6.12</v>
      </c>
      <c r="I26" s="14" t="n">
        <v>9.5</v>
      </c>
      <c r="J26" s="22" t="n">
        <f aca="false">IF(E26="Priority",'Cost model'!N380,'Cost model'!M380)</f>
        <v>8.5</v>
      </c>
      <c r="K26" s="14" t="n">
        <f aca="false">J26-H26</f>
        <v>2.38</v>
      </c>
      <c r="L26" s="14" t="n">
        <f aca="false">G26-H26</f>
        <v>3.38</v>
      </c>
    </row>
    <row r="27" customFormat="false" ht="15" hidden="false" customHeight="false" outlineLevel="0" collapsed="false">
      <c r="A27" s="2" t="s">
        <v>240</v>
      </c>
      <c r="B27" s="2" t="s">
        <v>240</v>
      </c>
      <c r="C27" s="2" t="s">
        <v>50</v>
      </c>
      <c r="D27" s="2" t="s">
        <v>10</v>
      </c>
      <c r="E27" s="2" t="s">
        <v>85</v>
      </c>
      <c r="F27" s="2" t="s">
        <v>1145</v>
      </c>
      <c r="G27" s="14" t="n">
        <v>24.5</v>
      </c>
      <c r="H27" s="14" t="n">
        <v>16.16</v>
      </c>
      <c r="I27" s="14" t="n">
        <v>24.5</v>
      </c>
      <c r="J27" s="22" t="n">
        <f aca="false">IF(E27="Priority",'Cost model'!N886,'Cost model'!M886)</f>
        <v>23.5</v>
      </c>
      <c r="K27" s="14" t="n">
        <f aca="false">J27-H27</f>
        <v>7.34</v>
      </c>
      <c r="L27" s="14" t="n">
        <f aca="false">G27-H27</f>
        <v>8.34</v>
      </c>
    </row>
    <row r="28" customFormat="false" ht="15" hidden="false" customHeight="false" outlineLevel="0" collapsed="false">
      <c r="A28" s="2" t="s">
        <v>165</v>
      </c>
      <c r="B28" s="2" t="s">
        <v>126</v>
      </c>
      <c r="C28" s="2" t="s">
        <v>48</v>
      </c>
      <c r="D28" s="2" t="s">
        <v>10</v>
      </c>
      <c r="E28" s="2" t="s">
        <v>76</v>
      </c>
      <c r="F28" s="2" t="s">
        <v>1146</v>
      </c>
      <c r="G28" s="14" t="n">
        <v>9.5</v>
      </c>
      <c r="H28" s="14" t="n">
        <v>12.57</v>
      </c>
      <c r="I28" s="14" t="n">
        <v>14.5</v>
      </c>
      <c r="J28" s="22" t="n">
        <f aca="false">IF(E28="Priority",'Cost model'!N542,'Cost model'!M542)</f>
        <v>14.5</v>
      </c>
      <c r="K28" s="14" t="n">
        <f aca="false">J28-H28</f>
        <v>1.93</v>
      </c>
      <c r="L28" s="14" t="n">
        <f aca="false">G28-H28</f>
        <v>-3.07</v>
      </c>
    </row>
    <row r="29" customFormat="false" ht="15" hidden="false" customHeight="false" outlineLevel="0" collapsed="false">
      <c r="A29" s="2" t="s">
        <v>184</v>
      </c>
      <c r="B29" s="2" t="s">
        <v>126</v>
      </c>
      <c r="C29" s="2" t="s">
        <v>50</v>
      </c>
      <c r="D29" s="2" t="s">
        <v>13</v>
      </c>
      <c r="E29" s="2" t="s">
        <v>76</v>
      </c>
      <c r="F29" s="2" t="s">
        <v>1146</v>
      </c>
      <c r="G29" s="14" t="n">
        <v>50</v>
      </c>
      <c r="H29" s="14" t="n">
        <v>182.57</v>
      </c>
      <c r="I29" s="14" t="n">
        <v>50</v>
      </c>
      <c r="J29" s="22" t="n">
        <f aca="false">IF(E29="Priority",'Cost model'!N136,'Cost model'!M136)</f>
        <v>105</v>
      </c>
      <c r="K29" s="14" t="n">
        <f aca="false">J29-H29</f>
        <v>-77.57</v>
      </c>
      <c r="L29" s="14" t="n">
        <f aca="false">G29-H29</f>
        <v>-132.57</v>
      </c>
    </row>
    <row r="30" customFormat="false" ht="15" hidden="false" customHeight="false" outlineLevel="0" collapsed="false">
      <c r="A30" s="2" t="s">
        <v>184</v>
      </c>
      <c r="B30" s="2" t="s">
        <v>126</v>
      </c>
      <c r="C30" s="2" t="s">
        <v>48</v>
      </c>
      <c r="D30" s="2" t="s">
        <v>10</v>
      </c>
      <c r="E30" s="2" t="s">
        <v>76</v>
      </c>
      <c r="F30" s="2" t="s">
        <v>1146</v>
      </c>
      <c r="G30" s="14" t="n">
        <v>9.5</v>
      </c>
      <c r="H30" s="14" t="n">
        <v>6.11</v>
      </c>
      <c r="I30" s="14" t="n">
        <v>9.5</v>
      </c>
      <c r="J30" s="22" t="n">
        <f aca="false">IF(E30="Priority",'Cost model'!N128,'Cost model'!M128)</f>
        <v>10.5</v>
      </c>
      <c r="K30" s="14" t="n">
        <f aca="false">J30-H30</f>
        <v>4.39</v>
      </c>
      <c r="L30" s="14" t="n">
        <f aca="false">G30-H30</f>
        <v>3.39</v>
      </c>
    </row>
    <row r="31" customFormat="false" ht="15" hidden="false" customHeight="false" outlineLevel="0" collapsed="false">
      <c r="A31" s="2" t="s">
        <v>146</v>
      </c>
      <c r="B31" s="2" t="s">
        <v>146</v>
      </c>
      <c r="C31" s="2" t="s">
        <v>48</v>
      </c>
      <c r="D31" s="2" t="s">
        <v>10</v>
      </c>
      <c r="E31" s="2" t="s">
        <v>76</v>
      </c>
      <c r="F31" s="2" t="s">
        <v>1145</v>
      </c>
      <c r="G31" s="14" t="n">
        <v>9.5</v>
      </c>
      <c r="H31" s="14" t="n">
        <v>6.27</v>
      </c>
      <c r="I31" s="14" t="n">
        <v>9.5</v>
      </c>
      <c r="J31" s="22" t="n">
        <f aca="false">IF(E31="Priority",'Cost model'!N758,'Cost model'!M758)</f>
        <v>9.5</v>
      </c>
      <c r="K31" s="14" t="n">
        <f aca="false">J31-H31</f>
        <v>3.23</v>
      </c>
      <c r="L31" s="14" t="n">
        <f aca="false">G31-H31</f>
        <v>3.23</v>
      </c>
    </row>
    <row r="32" customFormat="false" ht="15" hidden="false" customHeight="false" outlineLevel="0" collapsed="false">
      <c r="A32" s="2" t="s">
        <v>146</v>
      </c>
      <c r="B32" s="2" t="s">
        <v>146</v>
      </c>
      <c r="C32" s="2" t="s">
        <v>48</v>
      </c>
      <c r="D32" s="2" t="s">
        <v>10</v>
      </c>
      <c r="E32" s="2" t="s">
        <v>85</v>
      </c>
      <c r="F32" s="2" t="s">
        <v>1145</v>
      </c>
      <c r="G32" s="14" t="n">
        <v>14.5</v>
      </c>
      <c r="H32" s="14" t="n">
        <v>21.61</v>
      </c>
      <c r="I32" s="14" t="n">
        <v>14.5</v>
      </c>
      <c r="J32" s="22" t="n">
        <f aca="false">IF(E32="Priority",'Cost model'!N758,'Cost model'!M758)</f>
        <v>14.5</v>
      </c>
      <c r="K32" s="14" t="n">
        <f aca="false">J32-H32</f>
        <v>-7.11</v>
      </c>
      <c r="L32" s="14" t="n">
        <f aca="false">G32-H32</f>
        <v>-7.11</v>
      </c>
    </row>
    <row r="33" customFormat="false" ht="15" hidden="false" customHeight="false" outlineLevel="0" collapsed="false">
      <c r="A33" s="2" t="s">
        <v>184</v>
      </c>
      <c r="B33" s="2" t="s">
        <v>184</v>
      </c>
      <c r="C33" s="2" t="s">
        <v>48</v>
      </c>
      <c r="D33" s="2" t="s">
        <v>12</v>
      </c>
      <c r="E33" s="2" t="s">
        <v>76</v>
      </c>
      <c r="F33" s="2" t="s">
        <v>1145</v>
      </c>
      <c r="G33" s="14" t="n">
        <v>9.5</v>
      </c>
      <c r="H33" s="14" t="n">
        <v>67.84</v>
      </c>
      <c r="I33" s="14" t="n">
        <v>9.5</v>
      </c>
      <c r="J33" s="22" t="n">
        <f aca="false">IF(E33="Priority",'Cost model'!N203,'Cost model'!M203)</f>
        <v>26.5</v>
      </c>
      <c r="K33" s="14" t="n">
        <f aca="false">J33-H33</f>
        <v>-41.34</v>
      </c>
      <c r="L33" s="14" t="n">
        <f aca="false">G33-H33</f>
        <v>-58.34</v>
      </c>
    </row>
    <row r="34" customFormat="false" ht="15" hidden="false" customHeight="false" outlineLevel="0" collapsed="false">
      <c r="A34" s="2" t="s">
        <v>184</v>
      </c>
      <c r="B34" s="2" t="s">
        <v>146</v>
      </c>
      <c r="C34" s="2" t="s">
        <v>48</v>
      </c>
      <c r="D34" s="2" t="s">
        <v>12</v>
      </c>
      <c r="E34" s="2" t="s">
        <v>76</v>
      </c>
      <c r="F34" s="2" t="s">
        <v>1146</v>
      </c>
      <c r="G34" s="14" t="n">
        <v>9.5</v>
      </c>
      <c r="H34" s="14" t="n">
        <v>82.9</v>
      </c>
      <c r="I34" s="14" t="n">
        <v>9.5</v>
      </c>
      <c r="J34" s="22" t="n">
        <f aca="false">IF(E34="Priority",'Cost model'!N149,'Cost model'!M149)</f>
        <v>45</v>
      </c>
      <c r="K34" s="14" t="n">
        <f aca="false">J34-H34</f>
        <v>-37.9</v>
      </c>
      <c r="L34" s="14" t="n">
        <f aca="false">G34-H34</f>
        <v>-73.4</v>
      </c>
    </row>
    <row r="35" customFormat="false" ht="15" hidden="false" customHeight="false" outlineLevel="0" collapsed="false">
      <c r="A35" s="2" t="s">
        <v>146</v>
      </c>
      <c r="B35" s="2" t="s">
        <v>165</v>
      </c>
      <c r="C35" s="2" t="s">
        <v>49</v>
      </c>
      <c r="D35" s="2" t="s">
        <v>16</v>
      </c>
      <c r="E35" s="2" t="s">
        <v>76</v>
      </c>
      <c r="F35" s="2" t="s">
        <v>1146</v>
      </c>
      <c r="G35" s="14" t="n">
        <v>45</v>
      </c>
      <c r="H35" s="14" t="n">
        <v>252.15</v>
      </c>
      <c r="I35" s="14" t="n">
        <v>125</v>
      </c>
      <c r="J35" s="22" t="n">
        <f aca="false">IF(E35="Priority",'Cost model'!N792,'Cost model'!M792)</f>
        <v>385</v>
      </c>
      <c r="K35" s="14" t="n">
        <f aca="false">J35-H35</f>
        <v>132.85</v>
      </c>
      <c r="L35" s="14" t="n">
        <f aca="false">G35-H35</f>
        <v>-207.15</v>
      </c>
    </row>
    <row r="36" customFormat="false" ht="15" hidden="false" customHeight="false" outlineLevel="0" collapsed="false">
      <c r="A36" s="2" t="s">
        <v>184</v>
      </c>
      <c r="B36" s="2" t="s">
        <v>126</v>
      </c>
      <c r="C36" s="2" t="s">
        <v>49</v>
      </c>
      <c r="D36" s="2" t="s">
        <v>10</v>
      </c>
      <c r="E36" s="2" t="s">
        <v>76</v>
      </c>
      <c r="F36" s="2" t="s">
        <v>1146</v>
      </c>
      <c r="G36" s="14" t="n">
        <v>24.5</v>
      </c>
      <c r="H36" s="14" t="n">
        <v>24.17</v>
      </c>
      <c r="I36" s="14"/>
      <c r="J36" s="22" t="n">
        <f aca="false">IF(E36="Priority",'Cost model'!N129,'Cost model'!M129)</f>
        <v>13.5</v>
      </c>
      <c r="K36" s="14" t="n">
        <f aca="false">J36-H36</f>
        <v>-10.67</v>
      </c>
      <c r="L36" s="14" t="n">
        <f aca="false">G36-H36</f>
        <v>0.329999999999998</v>
      </c>
    </row>
    <row r="37" customFormat="false" ht="15" hidden="false" customHeight="false" outlineLevel="0" collapsed="false">
      <c r="A37" s="2" t="s">
        <v>146</v>
      </c>
      <c r="B37" s="2" t="s">
        <v>146</v>
      </c>
      <c r="C37" s="2" t="s">
        <v>48</v>
      </c>
      <c r="D37" s="2" t="s">
        <v>10</v>
      </c>
      <c r="E37" s="2" t="s">
        <v>76</v>
      </c>
      <c r="F37" s="2" t="s">
        <v>1145</v>
      </c>
      <c r="G37" s="14" t="n">
        <v>9.5</v>
      </c>
      <c r="H37" s="14" t="n">
        <v>8.04</v>
      </c>
      <c r="I37" s="14" t="n">
        <v>9.5</v>
      </c>
      <c r="J37" s="22" t="n">
        <f aca="false">IF(E37="Priority",'Cost model'!N758,'Cost model'!M758)</f>
        <v>9.5</v>
      </c>
      <c r="K37" s="14" t="n">
        <f aca="false">J37-H37</f>
        <v>1.46</v>
      </c>
      <c r="L37" s="14" t="n">
        <f aca="false">G37-H37</f>
        <v>1.46</v>
      </c>
    </row>
    <row r="38" customFormat="false" ht="15" hidden="false" customHeight="false" outlineLevel="0" collapsed="false">
      <c r="A38" s="2" t="s">
        <v>126</v>
      </c>
      <c r="B38" s="2" t="s">
        <v>126</v>
      </c>
      <c r="C38" s="2" t="s">
        <v>49</v>
      </c>
      <c r="D38" s="2" t="s">
        <v>12</v>
      </c>
      <c r="E38" s="2" t="s">
        <v>76</v>
      </c>
      <c r="F38" s="2" t="s">
        <v>1145</v>
      </c>
      <c r="G38" s="14" t="n">
        <v>12.5</v>
      </c>
      <c r="H38" s="14" t="n">
        <v>46.3</v>
      </c>
      <c r="I38" s="14" t="n">
        <v>12.5</v>
      </c>
      <c r="J38" s="22" t="n">
        <f aca="false">IF(E38="Priority",'Cost model'!N384,'Cost model'!M384)</f>
        <v>45</v>
      </c>
      <c r="K38" s="14" t="n">
        <f aca="false">J38-H38</f>
        <v>-1.3</v>
      </c>
      <c r="L38" s="14" t="n">
        <f aca="false">G38-H38</f>
        <v>-33.8</v>
      </c>
    </row>
    <row r="39" customFormat="false" ht="15" hidden="false" customHeight="false" outlineLevel="0" collapsed="false">
      <c r="A39" s="2" t="s">
        <v>240</v>
      </c>
      <c r="B39" s="2" t="s">
        <v>240</v>
      </c>
      <c r="C39" s="2" t="s">
        <v>48</v>
      </c>
      <c r="D39" s="2" t="s">
        <v>10</v>
      </c>
      <c r="E39" s="2" t="s">
        <v>85</v>
      </c>
      <c r="F39" s="2" t="s">
        <v>1145</v>
      </c>
      <c r="G39" s="14" t="n">
        <v>14.5</v>
      </c>
      <c r="H39" s="14" t="n">
        <v>10.95</v>
      </c>
      <c r="I39" s="14" t="n">
        <v>14.5</v>
      </c>
      <c r="J39" s="22" t="n">
        <f aca="false">IF(E39="Priority",'Cost model'!N884,'Cost model'!M884)</f>
        <v>12.5</v>
      </c>
      <c r="K39" s="14" t="n">
        <f aca="false">J39-H39</f>
        <v>1.55</v>
      </c>
      <c r="L39" s="14" t="n">
        <f aca="false">G39-H39</f>
        <v>3.55</v>
      </c>
    </row>
    <row r="40" customFormat="false" ht="15" hidden="false" customHeight="false" outlineLevel="0" collapsed="false">
      <c r="A40" s="2" t="s">
        <v>126</v>
      </c>
      <c r="B40" s="2" t="s">
        <v>126</v>
      </c>
      <c r="C40" s="2" t="s">
        <v>48</v>
      </c>
      <c r="D40" s="2" t="s">
        <v>12</v>
      </c>
      <c r="E40" s="2" t="s">
        <v>76</v>
      </c>
      <c r="F40" s="2" t="s">
        <v>1145</v>
      </c>
      <c r="G40" s="14" t="n">
        <v>9.5</v>
      </c>
      <c r="H40" s="14" t="n">
        <v>11.25</v>
      </c>
      <c r="I40" s="14" t="n">
        <v>9.5</v>
      </c>
      <c r="J40" s="22" t="n">
        <f aca="false">IF(E40="Priority",'Cost model'!N383,'Cost model'!M383)</f>
        <v>27.5</v>
      </c>
      <c r="K40" s="14" t="n">
        <f aca="false">J40-H40</f>
        <v>16.25</v>
      </c>
      <c r="L40" s="14" t="n">
        <f aca="false">G40-H40</f>
        <v>-1.75</v>
      </c>
    </row>
    <row r="41" customFormat="false" ht="15" hidden="false" customHeight="false" outlineLevel="0" collapsed="false">
      <c r="A41" s="2" t="s">
        <v>184</v>
      </c>
      <c r="B41" s="2" t="s">
        <v>126</v>
      </c>
      <c r="C41" s="2" t="s">
        <v>48</v>
      </c>
      <c r="D41" s="2" t="s">
        <v>10</v>
      </c>
      <c r="E41" s="2" t="s">
        <v>76</v>
      </c>
      <c r="F41" s="2" t="s">
        <v>1146</v>
      </c>
      <c r="G41" s="14" t="n">
        <v>9.5</v>
      </c>
      <c r="H41" s="14" t="n">
        <v>10.24</v>
      </c>
      <c r="I41" s="14" t="n">
        <v>9.5</v>
      </c>
      <c r="J41" s="22" t="n">
        <f aca="false">IF(E41="Priority",'Cost model'!N128,'Cost model'!M128)</f>
        <v>10.5</v>
      </c>
      <c r="K41" s="14" t="n">
        <f aca="false">J41-H41</f>
        <v>0.26</v>
      </c>
      <c r="L41" s="14" t="n">
        <f aca="false">G41-H41</f>
        <v>-0.74</v>
      </c>
    </row>
    <row r="42" customFormat="false" ht="15" hidden="false" customHeight="false" outlineLevel="0" collapsed="false">
      <c r="A42" s="2" t="s">
        <v>385</v>
      </c>
      <c r="B42" s="2" t="s">
        <v>240</v>
      </c>
      <c r="C42" s="2" t="s">
        <v>48</v>
      </c>
      <c r="D42" s="2" t="s">
        <v>12</v>
      </c>
      <c r="E42" s="2" t="s">
        <v>76</v>
      </c>
      <c r="F42" s="2" t="s">
        <v>1146</v>
      </c>
      <c r="G42" s="14" t="n">
        <v>24.5</v>
      </c>
      <c r="H42" s="14" t="n">
        <v>225.48</v>
      </c>
      <c r="I42" s="14" t="n">
        <v>29.5</v>
      </c>
      <c r="J42" s="22" t="n">
        <f aca="false">IF(E42="Priority",'Cost model'!N293,'Cost model'!M293)</f>
        <v>75</v>
      </c>
      <c r="K42" s="14" t="n">
        <f aca="false">J42-H42</f>
        <v>-150.48</v>
      </c>
      <c r="L42" s="14" t="n">
        <f aca="false">G42-H42</f>
        <v>-200.98</v>
      </c>
    </row>
    <row r="43" customFormat="false" ht="15" hidden="false" customHeight="false" outlineLevel="0" collapsed="false">
      <c r="A43" s="2" t="s">
        <v>184</v>
      </c>
      <c r="B43" s="2" t="s">
        <v>184</v>
      </c>
      <c r="C43" s="2" t="s">
        <v>48</v>
      </c>
      <c r="D43" s="2" t="s">
        <v>10</v>
      </c>
      <c r="E43" s="2" t="s">
        <v>85</v>
      </c>
      <c r="F43" s="2" t="s">
        <v>1145</v>
      </c>
      <c r="G43" s="14" t="n">
        <v>14.5</v>
      </c>
      <c r="H43" s="14" t="n">
        <v>20.83</v>
      </c>
      <c r="I43" s="14" t="n">
        <v>14.5</v>
      </c>
      <c r="J43" s="22" t="n">
        <f aca="false">IF(E43="Priority",'Cost model'!N200,'Cost model'!M200)</f>
        <v>12.5</v>
      </c>
      <c r="K43" s="14" t="n">
        <f aca="false">J43-H43</f>
        <v>-8.33</v>
      </c>
      <c r="L43" s="14" t="n">
        <f aca="false">G43-H43</f>
        <v>-6.33</v>
      </c>
    </row>
    <row r="44" customFormat="false" ht="15" hidden="false" customHeight="false" outlineLevel="0" collapsed="false">
      <c r="A44" s="2" t="s">
        <v>126</v>
      </c>
      <c r="B44" s="2" t="s">
        <v>126</v>
      </c>
      <c r="C44" s="2" t="s">
        <v>49</v>
      </c>
      <c r="D44" s="2" t="s">
        <v>12</v>
      </c>
      <c r="E44" s="2" t="s">
        <v>76</v>
      </c>
      <c r="F44" s="2" t="s">
        <v>1145</v>
      </c>
      <c r="G44" s="14" t="n">
        <v>12.5</v>
      </c>
      <c r="H44" s="14" t="n">
        <v>25.65</v>
      </c>
      <c r="I44" s="14" t="n">
        <v>12.5</v>
      </c>
      <c r="J44" s="22" t="n">
        <f aca="false">IF(E44="Priority",'Cost model'!N384,'Cost model'!M384)</f>
        <v>45</v>
      </c>
      <c r="K44" s="14" t="n">
        <f aca="false">J44-H44</f>
        <v>19.35</v>
      </c>
      <c r="L44" s="14" t="n">
        <f aca="false">G44-H44</f>
        <v>-13.15</v>
      </c>
    </row>
    <row r="45" customFormat="false" ht="15" hidden="false" customHeight="false" outlineLevel="0" collapsed="false">
      <c r="A45" s="2" t="s">
        <v>126</v>
      </c>
      <c r="B45" s="2" t="s">
        <v>126</v>
      </c>
      <c r="C45" s="2" t="s">
        <v>49</v>
      </c>
      <c r="D45" s="2" t="s">
        <v>10</v>
      </c>
      <c r="E45" s="2" t="s">
        <v>76</v>
      </c>
      <c r="F45" s="2" t="s">
        <v>1145</v>
      </c>
      <c r="G45" s="14" t="n">
        <v>12.5</v>
      </c>
      <c r="H45" s="14" t="n">
        <v>45.75</v>
      </c>
      <c r="I45" s="14" t="n">
        <v>12.5</v>
      </c>
      <c r="J45" s="22" t="n">
        <f aca="false">IF(E45="Priority",'Cost model'!N381,'Cost model'!M381)</f>
        <v>14.5</v>
      </c>
      <c r="K45" s="14" t="n">
        <f aca="false">J45-H45</f>
        <v>-31.25</v>
      </c>
      <c r="L45" s="14" t="n">
        <f aca="false">G45-H45</f>
        <v>-33.25</v>
      </c>
    </row>
    <row r="46" customFormat="false" ht="15" hidden="false" customHeight="false" outlineLevel="0" collapsed="false">
      <c r="A46" s="2" t="s">
        <v>126</v>
      </c>
      <c r="B46" s="2" t="s">
        <v>126</v>
      </c>
      <c r="C46" s="2" t="s">
        <v>50</v>
      </c>
      <c r="D46" s="2" t="s">
        <v>10</v>
      </c>
      <c r="E46" s="2" t="s">
        <v>76</v>
      </c>
      <c r="F46" s="2" t="s">
        <v>1145</v>
      </c>
      <c r="G46" s="14" t="n">
        <v>17.5</v>
      </c>
      <c r="H46" s="14" t="n">
        <v>11.34</v>
      </c>
      <c r="I46" s="14" t="n">
        <v>17.5</v>
      </c>
      <c r="J46" s="22" t="n">
        <f aca="false">IF(E46="Priority",'Cost model'!N382,'Cost model'!M382)</f>
        <v>18.5</v>
      </c>
      <c r="K46" s="14" t="n">
        <f aca="false">J46-H46</f>
        <v>7.16</v>
      </c>
      <c r="L46" s="14" t="n">
        <f aca="false">G46-H46</f>
        <v>6.16</v>
      </c>
    </row>
    <row r="47" customFormat="false" ht="15" hidden="false" customHeight="false" outlineLevel="0" collapsed="false">
      <c r="A47" s="2" t="s">
        <v>126</v>
      </c>
      <c r="B47" s="2" t="s">
        <v>184</v>
      </c>
      <c r="C47" s="2" t="s">
        <v>49</v>
      </c>
      <c r="D47" s="2" t="s">
        <v>12</v>
      </c>
      <c r="E47" s="2" t="s">
        <v>76</v>
      </c>
      <c r="F47" s="2" t="s">
        <v>1146</v>
      </c>
      <c r="G47" s="14" t="n">
        <v>12.5</v>
      </c>
      <c r="H47" s="14" t="n">
        <v>57.74</v>
      </c>
      <c r="I47" s="14" t="n">
        <v>19.5</v>
      </c>
      <c r="J47" s="22" t="n">
        <f aca="false">IF(E47="Priority",'Cost model'!N438,'Cost model'!M438)</f>
        <v>55</v>
      </c>
      <c r="K47" s="14" t="n">
        <f aca="false">J47-H47</f>
        <v>-2.74</v>
      </c>
      <c r="L47" s="14" t="n">
        <f aca="false">G47-H47</f>
        <v>-45.24</v>
      </c>
    </row>
    <row r="48" customFormat="false" ht="15" hidden="false" customHeight="false" outlineLevel="0" collapsed="false">
      <c r="A48" s="2" t="s">
        <v>240</v>
      </c>
      <c r="B48" s="2" t="s">
        <v>184</v>
      </c>
      <c r="C48" s="2" t="s">
        <v>49</v>
      </c>
      <c r="D48" s="2" t="s">
        <v>10</v>
      </c>
      <c r="E48" s="2" t="s">
        <v>76</v>
      </c>
      <c r="F48" s="2" t="s">
        <v>1146</v>
      </c>
      <c r="G48" s="14" t="n">
        <v>12.5</v>
      </c>
      <c r="H48" s="14" t="n">
        <v>9.25</v>
      </c>
      <c r="I48" s="14" t="n">
        <v>19.5</v>
      </c>
      <c r="J48" s="22" t="n">
        <f aca="false">IF(E48="Priority",'Cost model'!N939,'Cost model'!M939)</f>
        <v>17.5</v>
      </c>
      <c r="K48" s="14" t="n">
        <f aca="false">J48-H48</f>
        <v>8.25</v>
      </c>
      <c r="L48" s="14" t="n">
        <f aca="false">G48-H48</f>
        <v>3.25</v>
      </c>
    </row>
    <row r="49" customFormat="false" ht="15" hidden="false" customHeight="false" outlineLevel="0" collapsed="false">
      <c r="A49" s="2" t="s">
        <v>240</v>
      </c>
      <c r="B49" s="2" t="s">
        <v>165</v>
      </c>
      <c r="C49" s="2" t="s">
        <v>48</v>
      </c>
      <c r="D49" s="2" t="s">
        <v>14</v>
      </c>
      <c r="E49" s="2" t="s">
        <v>76</v>
      </c>
      <c r="F49" s="2" t="s">
        <v>1146</v>
      </c>
      <c r="G49" s="14" t="n">
        <v>25</v>
      </c>
      <c r="H49" s="14" t="n">
        <v>101.35</v>
      </c>
      <c r="I49" s="14" t="n">
        <v>85</v>
      </c>
      <c r="J49" s="22" t="n">
        <f aca="false">IF(E49="Priority",'Cost model'!N911,'Cost model'!M911)</f>
        <v>155</v>
      </c>
      <c r="K49" s="14" t="n">
        <f aca="false">J49-H49</f>
        <v>53.65</v>
      </c>
      <c r="L49" s="14" t="n">
        <f aca="false">G49-H49</f>
        <v>-76.35</v>
      </c>
    </row>
    <row r="50" customFormat="false" ht="15" hidden="false" customHeight="false" outlineLevel="0" collapsed="false">
      <c r="A50" s="2" t="s">
        <v>184</v>
      </c>
      <c r="B50" s="2" t="s">
        <v>184</v>
      </c>
      <c r="C50" s="2" t="s">
        <v>49</v>
      </c>
      <c r="D50" s="2" t="s">
        <v>10</v>
      </c>
      <c r="E50" s="2" t="s">
        <v>76</v>
      </c>
      <c r="F50" s="2" t="s">
        <v>1145</v>
      </c>
      <c r="G50" s="14" t="n">
        <v>17.5</v>
      </c>
      <c r="H50" s="14" t="n">
        <v>9.05</v>
      </c>
      <c r="I50" s="14"/>
      <c r="J50" s="22" t="n">
        <f aca="false">IF(E50="Priority",'Cost model'!N201,'Cost model'!M201)</f>
        <v>12.5</v>
      </c>
      <c r="K50" s="14" t="n">
        <f aca="false">J50-H50</f>
        <v>3.45</v>
      </c>
      <c r="L50" s="14" t="n">
        <f aca="false">G50-H50</f>
        <v>8.45</v>
      </c>
    </row>
    <row r="51" customFormat="false" ht="15" hidden="false" customHeight="false" outlineLevel="0" collapsed="false">
      <c r="A51" s="2" t="s">
        <v>184</v>
      </c>
      <c r="B51" s="2" t="s">
        <v>126</v>
      </c>
      <c r="C51" s="2" t="s">
        <v>48</v>
      </c>
      <c r="D51" s="2" t="s">
        <v>10</v>
      </c>
      <c r="E51" s="2" t="s">
        <v>76</v>
      </c>
      <c r="F51" s="2" t="s">
        <v>1146</v>
      </c>
      <c r="G51" s="14" t="n">
        <v>9.5</v>
      </c>
      <c r="H51" s="14" t="n">
        <v>9.37</v>
      </c>
      <c r="I51" s="14" t="n">
        <v>9.5</v>
      </c>
      <c r="J51" s="22" t="n">
        <f aca="false">IF(E51="Priority",'Cost model'!N128,'Cost model'!M128)</f>
        <v>10.5</v>
      </c>
      <c r="K51" s="14" t="n">
        <f aca="false">J51-H51</f>
        <v>1.13</v>
      </c>
      <c r="L51" s="14" t="n">
        <f aca="false">G51-H51</f>
        <v>0.130000000000001</v>
      </c>
    </row>
    <row r="52" customFormat="false" ht="15" hidden="false" customHeight="false" outlineLevel="0" collapsed="false">
      <c r="A52" s="2" t="s">
        <v>146</v>
      </c>
      <c r="B52" s="2" t="s">
        <v>126</v>
      </c>
      <c r="C52" s="2" t="s">
        <v>48</v>
      </c>
      <c r="D52" s="2" t="s">
        <v>12</v>
      </c>
      <c r="E52" s="2" t="s">
        <v>76</v>
      </c>
      <c r="F52" s="2" t="s">
        <v>1146</v>
      </c>
      <c r="G52" s="14" t="n">
        <v>14.5</v>
      </c>
      <c r="H52" s="14" t="n">
        <v>43.46</v>
      </c>
      <c r="I52" s="14" t="n">
        <v>19.5</v>
      </c>
      <c r="J52" s="22" t="n">
        <f aca="false">IF(E52="Priority",'Cost model'!N797,'Cost model'!M797)</f>
        <v>40</v>
      </c>
      <c r="K52" s="14" t="n">
        <f aca="false">J52-H52</f>
        <v>-3.46</v>
      </c>
      <c r="L52" s="14" t="n">
        <f aca="false">G52-H52</f>
        <v>-28.96</v>
      </c>
    </row>
    <row r="53" customFormat="false" ht="15" hidden="false" customHeight="false" outlineLevel="0" collapsed="false">
      <c r="A53" s="2" t="s">
        <v>184</v>
      </c>
      <c r="B53" s="2" t="s">
        <v>184</v>
      </c>
      <c r="C53" s="2" t="s">
        <v>48</v>
      </c>
      <c r="D53" s="2" t="s">
        <v>10</v>
      </c>
      <c r="E53" s="2" t="s">
        <v>76</v>
      </c>
      <c r="F53" s="2" t="s">
        <v>1145</v>
      </c>
      <c r="G53" s="14" t="n">
        <v>9.5</v>
      </c>
      <c r="H53" s="14" t="n">
        <v>6.19</v>
      </c>
      <c r="I53" s="14" t="n">
        <v>9.5</v>
      </c>
      <c r="J53" s="22" t="n">
        <f aca="false">IF(E53="Priority",'Cost model'!N200,'Cost model'!M200)</f>
        <v>7.5</v>
      </c>
      <c r="K53" s="14" t="n">
        <f aca="false">J53-H53</f>
        <v>1.31</v>
      </c>
      <c r="L53" s="14" t="n">
        <f aca="false">G53-H53</f>
        <v>3.31</v>
      </c>
    </row>
    <row r="54" customFormat="false" ht="15" hidden="false" customHeight="false" outlineLevel="0" collapsed="false">
      <c r="A54" s="2" t="s">
        <v>240</v>
      </c>
      <c r="B54" s="2" t="s">
        <v>165</v>
      </c>
      <c r="C54" s="2" t="s">
        <v>48</v>
      </c>
      <c r="D54" s="2" t="s">
        <v>12</v>
      </c>
      <c r="E54" s="2" t="s">
        <v>76</v>
      </c>
      <c r="F54" s="2" t="s">
        <v>1146</v>
      </c>
      <c r="G54" s="14" t="n">
        <v>19.5</v>
      </c>
      <c r="H54" s="14" t="n">
        <v>23.78</v>
      </c>
      <c r="I54" s="14" t="n">
        <v>19.5</v>
      </c>
      <c r="J54" s="22" t="n">
        <f aca="false">IF(E54="Priority",'Cost model'!N905,'Cost model'!M905)</f>
        <v>50</v>
      </c>
      <c r="K54" s="14" t="n">
        <f aca="false">J54-H54</f>
        <v>26.22</v>
      </c>
      <c r="L54" s="14" t="n">
        <f aca="false">G54-H54</f>
        <v>-4.28</v>
      </c>
    </row>
    <row r="55" customFormat="false" ht="15" hidden="false" customHeight="false" outlineLevel="0" collapsed="false">
      <c r="A55" s="2" t="s">
        <v>146</v>
      </c>
      <c r="B55" s="2" t="s">
        <v>146</v>
      </c>
      <c r="C55" s="2" t="s">
        <v>48</v>
      </c>
      <c r="D55" s="2" t="s">
        <v>12</v>
      </c>
      <c r="E55" s="2" t="s">
        <v>76</v>
      </c>
      <c r="F55" s="2" t="s">
        <v>1145</v>
      </c>
      <c r="G55" s="14" t="n">
        <v>9.5</v>
      </c>
      <c r="H55" s="14" t="n">
        <v>31.93</v>
      </c>
      <c r="I55" s="14" t="n">
        <v>9.5</v>
      </c>
      <c r="J55" s="22" t="n">
        <f aca="false">IF(E55="Priority",'Cost model'!N761,'Cost model'!M761)</f>
        <v>35</v>
      </c>
      <c r="K55" s="14" t="n">
        <f aca="false">J55-H55</f>
        <v>3.07</v>
      </c>
      <c r="L55" s="14" t="n">
        <f aca="false">G55-H55</f>
        <v>-22.43</v>
      </c>
    </row>
    <row r="56" customFormat="false" ht="15" hidden="false" customHeight="false" outlineLevel="0" collapsed="false">
      <c r="A56" s="2" t="s">
        <v>126</v>
      </c>
      <c r="B56" s="2" t="s">
        <v>126</v>
      </c>
      <c r="C56" s="2" t="s">
        <v>50</v>
      </c>
      <c r="D56" s="2" t="s">
        <v>12</v>
      </c>
      <c r="E56" s="2" t="s">
        <v>76</v>
      </c>
      <c r="F56" s="2" t="s">
        <v>1145</v>
      </c>
      <c r="G56" s="14" t="n">
        <v>19.5</v>
      </c>
      <c r="H56" s="14" t="n">
        <v>45.55</v>
      </c>
      <c r="I56" s="14" t="n">
        <v>19.5</v>
      </c>
      <c r="J56" s="22" t="n">
        <f aca="false">IF(E56="Priority",'Cost model'!N385,'Cost model'!M385)</f>
        <v>55</v>
      </c>
      <c r="K56" s="14" t="n">
        <f aca="false">J56-H56</f>
        <v>9.45</v>
      </c>
      <c r="L56" s="14" t="n">
        <f aca="false">G56-H56</f>
        <v>-26.05</v>
      </c>
    </row>
    <row r="57" customFormat="false" ht="15" hidden="false" customHeight="false" outlineLevel="0" collapsed="false">
      <c r="A57" s="2" t="s">
        <v>240</v>
      </c>
      <c r="B57" s="2" t="s">
        <v>240</v>
      </c>
      <c r="C57" s="2" t="s">
        <v>48</v>
      </c>
      <c r="D57" s="2" t="s">
        <v>12</v>
      </c>
      <c r="E57" s="2" t="s">
        <v>76</v>
      </c>
      <c r="F57" s="2" t="s">
        <v>1145</v>
      </c>
      <c r="G57" s="14" t="n">
        <v>9.5</v>
      </c>
      <c r="H57" s="14" t="n">
        <v>16.07</v>
      </c>
      <c r="I57" s="14" t="n">
        <v>9.5</v>
      </c>
      <c r="J57" s="22" t="n">
        <f aca="false">IF(E57="Priority",'Cost model'!N887,'Cost model'!M887)</f>
        <v>21.5</v>
      </c>
      <c r="K57" s="14" t="n">
        <f aca="false">J57-H57</f>
        <v>5.43</v>
      </c>
      <c r="L57" s="14" t="n">
        <f aca="false">G57-H57</f>
        <v>-6.57</v>
      </c>
    </row>
    <row r="58" customFormat="false" ht="15" hidden="false" customHeight="false" outlineLevel="0" collapsed="false">
      <c r="A58" s="2" t="s">
        <v>240</v>
      </c>
      <c r="B58" s="2" t="s">
        <v>240</v>
      </c>
      <c r="C58" s="2" t="s">
        <v>48</v>
      </c>
      <c r="D58" s="2" t="s">
        <v>10</v>
      </c>
      <c r="E58" s="2" t="s">
        <v>76</v>
      </c>
      <c r="F58" s="2" t="s">
        <v>1145</v>
      </c>
      <c r="G58" s="14" t="n">
        <v>9.5</v>
      </c>
      <c r="H58" s="14" t="n">
        <v>7.32</v>
      </c>
      <c r="I58" s="14" t="n">
        <v>9.5</v>
      </c>
      <c r="J58" s="22" t="n">
        <f aca="false">IF(E58="Priority",'Cost model'!N884,'Cost model'!M884)</f>
        <v>7.5</v>
      </c>
      <c r="K58" s="14" t="n">
        <f aca="false">J58-H58</f>
        <v>0.18</v>
      </c>
      <c r="L58" s="14" t="n">
        <f aca="false">G58-H58</f>
        <v>2.18</v>
      </c>
    </row>
    <row r="59" customFormat="false" ht="15" hidden="false" customHeight="false" outlineLevel="0" collapsed="false">
      <c r="A59" s="2" t="s">
        <v>126</v>
      </c>
      <c r="B59" s="2" t="s">
        <v>126</v>
      </c>
      <c r="C59" s="2" t="s">
        <v>48</v>
      </c>
      <c r="D59" s="2" t="s">
        <v>12</v>
      </c>
      <c r="E59" s="2" t="s">
        <v>85</v>
      </c>
      <c r="F59" s="2" t="s">
        <v>1145</v>
      </c>
      <c r="G59" s="14" t="n">
        <v>19.5</v>
      </c>
      <c r="H59" s="14" t="n">
        <v>25.65</v>
      </c>
      <c r="I59" s="14" t="n">
        <v>19.5</v>
      </c>
      <c r="J59" s="22" t="n">
        <f aca="false">IF(E59="Priority",'Cost model'!N383,'Cost model'!M383)</f>
        <v>35</v>
      </c>
      <c r="K59" s="14" t="n">
        <f aca="false">J59-H59</f>
        <v>9.35</v>
      </c>
      <c r="L59" s="14" t="n">
        <f aca="false">G59-H59</f>
        <v>-6.15</v>
      </c>
    </row>
    <row r="60" customFormat="false" ht="15" hidden="false" customHeight="false" outlineLevel="0" collapsed="false">
      <c r="A60" s="2" t="s">
        <v>126</v>
      </c>
      <c r="B60" s="2" t="s">
        <v>126</v>
      </c>
      <c r="C60" s="2" t="s">
        <v>49</v>
      </c>
      <c r="D60" s="2" t="s">
        <v>12</v>
      </c>
      <c r="E60" s="2" t="s">
        <v>76</v>
      </c>
      <c r="F60" s="2" t="s">
        <v>1145</v>
      </c>
      <c r="G60" s="14" t="n">
        <v>12.5</v>
      </c>
      <c r="H60" s="14" t="n">
        <v>68.23</v>
      </c>
      <c r="I60" s="14" t="n">
        <v>12.5</v>
      </c>
      <c r="J60" s="22" t="n">
        <f aca="false">IF(E60="Priority",'Cost model'!N384,'Cost model'!M384)</f>
        <v>45</v>
      </c>
      <c r="K60" s="14" t="n">
        <f aca="false">J60-H60</f>
        <v>-23.23</v>
      </c>
      <c r="L60" s="14" t="n">
        <f aca="false">G60-H60</f>
        <v>-55.73</v>
      </c>
    </row>
    <row r="61" customFormat="false" ht="15" hidden="false" customHeight="false" outlineLevel="0" collapsed="false">
      <c r="A61" s="2" t="s">
        <v>184</v>
      </c>
      <c r="B61" s="2" t="s">
        <v>146</v>
      </c>
      <c r="C61" s="2" t="s">
        <v>50</v>
      </c>
      <c r="D61" s="2" t="s">
        <v>12</v>
      </c>
      <c r="E61" s="2" t="s">
        <v>76</v>
      </c>
      <c r="F61" s="2" t="s">
        <v>1146</v>
      </c>
      <c r="G61" s="14" t="n">
        <v>19.5</v>
      </c>
      <c r="H61" s="14" t="n">
        <v>53.85</v>
      </c>
      <c r="I61" s="14" t="n">
        <v>19.5</v>
      </c>
      <c r="J61" s="22" t="n">
        <f aca="false">IF(E61="Priority",'Cost model'!N151,'Cost model'!M151)</f>
        <v>55</v>
      </c>
      <c r="K61" s="14" t="n">
        <f aca="false">J61-H61</f>
        <v>1.15</v>
      </c>
      <c r="L61" s="14" t="n">
        <f aca="false">G61-H61</f>
        <v>-34.35</v>
      </c>
    </row>
    <row r="62" customFormat="false" ht="15" hidden="false" customHeight="false" outlineLevel="0" collapsed="false">
      <c r="A62" s="2" t="s">
        <v>184</v>
      </c>
      <c r="B62" s="2" t="s">
        <v>184</v>
      </c>
      <c r="C62" s="2" t="s">
        <v>48</v>
      </c>
      <c r="D62" s="2" t="s">
        <v>10</v>
      </c>
      <c r="E62" s="2" t="s">
        <v>76</v>
      </c>
      <c r="F62" s="2" t="s">
        <v>1145</v>
      </c>
      <c r="G62" s="14" t="n">
        <v>9.5</v>
      </c>
      <c r="H62" s="14" t="n">
        <v>7.45</v>
      </c>
      <c r="I62" s="14" t="n">
        <v>9.5</v>
      </c>
      <c r="J62" s="22" t="n">
        <f aca="false">IF(E62="Priority",'Cost model'!N200,'Cost model'!M200)</f>
        <v>7.5</v>
      </c>
      <c r="K62" s="14" t="n">
        <f aca="false">J62-H62</f>
        <v>0.0499999999999998</v>
      </c>
      <c r="L62" s="14" t="n">
        <f aca="false">G62-H62</f>
        <v>2.05</v>
      </c>
    </row>
    <row r="63" customFormat="false" ht="15" hidden="false" customHeight="false" outlineLevel="0" collapsed="false">
      <c r="A63" s="2" t="s">
        <v>126</v>
      </c>
      <c r="B63" s="2" t="s">
        <v>146</v>
      </c>
      <c r="C63" s="2" t="s">
        <v>49</v>
      </c>
      <c r="D63" s="2" t="s">
        <v>12</v>
      </c>
      <c r="E63" s="2" t="s">
        <v>76</v>
      </c>
      <c r="F63" s="2" t="s">
        <v>1146</v>
      </c>
      <c r="G63" s="14" t="n">
        <v>12.5</v>
      </c>
      <c r="H63" s="14" t="n">
        <v>55.1</v>
      </c>
      <c r="I63" s="14" t="n">
        <v>19.5</v>
      </c>
      <c r="J63" s="22" t="n">
        <f aca="false">IF(E63="Priority",'Cost model'!N402,'Cost model'!M402)</f>
        <v>60</v>
      </c>
      <c r="K63" s="14" t="n">
        <f aca="false">J63-H63</f>
        <v>4.9</v>
      </c>
      <c r="L63" s="14" t="n">
        <f aca="false">G63-H63</f>
        <v>-42.6</v>
      </c>
    </row>
    <row r="64" customFormat="false" ht="15" hidden="false" customHeight="false" outlineLevel="0" collapsed="false">
      <c r="A64" s="2" t="s">
        <v>146</v>
      </c>
      <c r="B64" s="2" t="s">
        <v>146</v>
      </c>
      <c r="C64" s="2" t="s">
        <v>48</v>
      </c>
      <c r="D64" s="2" t="s">
        <v>10</v>
      </c>
      <c r="E64" s="2" t="s">
        <v>76</v>
      </c>
      <c r="F64" s="2" t="s">
        <v>1145</v>
      </c>
      <c r="G64" s="14" t="n">
        <v>9.5</v>
      </c>
      <c r="H64" s="14" t="n">
        <v>20.83</v>
      </c>
      <c r="I64" s="14" t="n">
        <v>9.5</v>
      </c>
      <c r="J64" s="22" t="n">
        <f aca="false">IF(E64="Priority",'Cost model'!N758,'Cost model'!M758)</f>
        <v>9.5</v>
      </c>
      <c r="K64" s="14" t="n">
        <f aca="false">J64-H64</f>
        <v>-11.33</v>
      </c>
      <c r="L64" s="14" t="n">
        <f aca="false">G64-H64</f>
        <v>-11.33</v>
      </c>
    </row>
    <row r="65" customFormat="false" ht="15" hidden="false" customHeight="false" outlineLevel="0" collapsed="false">
      <c r="A65" s="2" t="s">
        <v>240</v>
      </c>
      <c r="B65" s="2" t="s">
        <v>240</v>
      </c>
      <c r="C65" s="2" t="s">
        <v>50</v>
      </c>
      <c r="D65" s="2" t="s">
        <v>10</v>
      </c>
      <c r="E65" s="2" t="s">
        <v>85</v>
      </c>
      <c r="F65" s="2" t="s">
        <v>1145</v>
      </c>
      <c r="G65" s="14" t="n">
        <v>24.5</v>
      </c>
      <c r="H65" s="14" t="n">
        <v>23.58</v>
      </c>
      <c r="I65" s="14" t="n">
        <v>24.5</v>
      </c>
      <c r="J65" s="22" t="n">
        <f aca="false">IF(E65="Priority",'Cost model'!N886,'Cost model'!M886)</f>
        <v>23.5</v>
      </c>
      <c r="K65" s="14" t="n">
        <f aca="false">J65-H65</f>
        <v>-0.0799999999999983</v>
      </c>
      <c r="L65" s="14" t="n">
        <f aca="false">G65-H65</f>
        <v>0.920000000000002</v>
      </c>
    </row>
    <row r="66" customFormat="false" ht="15" hidden="false" customHeight="false" outlineLevel="0" collapsed="false">
      <c r="A66" s="2" t="s">
        <v>146</v>
      </c>
      <c r="B66" s="2" t="s">
        <v>165</v>
      </c>
      <c r="C66" s="2" t="s">
        <v>50</v>
      </c>
      <c r="D66" s="2" t="s">
        <v>10</v>
      </c>
      <c r="E66" s="2" t="s">
        <v>76</v>
      </c>
      <c r="F66" s="2" t="s">
        <v>1146</v>
      </c>
      <c r="G66" s="14" t="n">
        <v>17.5</v>
      </c>
      <c r="H66" s="14" t="n">
        <v>15.88</v>
      </c>
      <c r="I66" s="14" t="n">
        <v>17.5</v>
      </c>
      <c r="J66" s="22" t="n">
        <f aca="false">IF(E66="Priority",'Cost model'!N778,'Cost model'!M778)</f>
        <v>19.5</v>
      </c>
      <c r="K66" s="14" t="n">
        <f aca="false">J66-H66</f>
        <v>3.62</v>
      </c>
      <c r="L66" s="14" t="n">
        <f aca="false">G66-H66</f>
        <v>1.62</v>
      </c>
    </row>
    <row r="67" customFormat="false" ht="15" hidden="false" customHeight="false" outlineLevel="0" collapsed="false">
      <c r="A67" s="2" t="s">
        <v>184</v>
      </c>
      <c r="B67" s="2" t="s">
        <v>125</v>
      </c>
      <c r="C67" s="2" t="s">
        <v>48</v>
      </c>
      <c r="D67" s="2" t="s">
        <v>10</v>
      </c>
      <c r="E67" s="2" t="s">
        <v>76</v>
      </c>
      <c r="F67" s="2" t="s">
        <v>1146</v>
      </c>
      <c r="G67" s="14" t="n">
        <v>9.5</v>
      </c>
      <c r="H67" s="14" t="n">
        <v>24.48</v>
      </c>
      <c r="I67" s="14" t="n">
        <v>19.5</v>
      </c>
      <c r="J67" s="22" t="n">
        <f aca="false">IF(E67="Priority",'Cost model'!N236,'Cost model'!M236)</f>
        <v>17.5</v>
      </c>
      <c r="K67" s="14" t="n">
        <f aca="false">J67-H67</f>
        <v>-6.98</v>
      </c>
      <c r="L67" s="14" t="n">
        <f aca="false">G67-H67</f>
        <v>-14.98</v>
      </c>
    </row>
    <row r="68" customFormat="false" ht="15" hidden="false" customHeight="false" outlineLevel="0" collapsed="false">
      <c r="A68" s="2" t="s">
        <v>146</v>
      </c>
      <c r="B68" s="2" t="s">
        <v>146</v>
      </c>
      <c r="C68" s="2" t="s">
        <v>48</v>
      </c>
      <c r="D68" s="2" t="s">
        <v>10</v>
      </c>
      <c r="E68" s="2" t="s">
        <v>85</v>
      </c>
      <c r="F68" s="2" t="s">
        <v>1145</v>
      </c>
      <c r="G68" s="14" t="n">
        <v>14.5</v>
      </c>
      <c r="H68" s="14" t="n">
        <v>7.71</v>
      </c>
      <c r="I68" s="14" t="n">
        <v>14.5</v>
      </c>
      <c r="J68" s="22" t="n">
        <f aca="false">IF(E68="Priority",'Cost model'!N758,'Cost model'!M758)</f>
        <v>14.5</v>
      </c>
      <c r="K68" s="14" t="n">
        <f aca="false">J68-H68</f>
        <v>6.79</v>
      </c>
      <c r="L68" s="14" t="n">
        <f aca="false">G68-H68</f>
        <v>6.79</v>
      </c>
    </row>
    <row r="69" customFormat="false" ht="15" hidden="false" customHeight="false" outlineLevel="0" collapsed="false">
      <c r="A69" s="2" t="s">
        <v>385</v>
      </c>
      <c r="B69" s="2" t="s">
        <v>146</v>
      </c>
      <c r="C69" s="2" t="s">
        <v>50</v>
      </c>
      <c r="D69" s="2" t="s">
        <v>12</v>
      </c>
      <c r="E69" s="2" t="s">
        <v>85</v>
      </c>
      <c r="F69" s="2" t="s">
        <v>1146</v>
      </c>
      <c r="G69" s="14" t="n">
        <v>45</v>
      </c>
      <c r="H69" s="14" t="n">
        <v>83.2</v>
      </c>
      <c r="I69" s="14" t="n">
        <v>45</v>
      </c>
      <c r="J69" s="22" t="n">
        <f aca="false">IF(E69="Priority",'Cost model'!N277,'Cost model'!M277)</f>
        <v>105</v>
      </c>
      <c r="K69" s="14" t="n">
        <f aca="false">J69-H69</f>
        <v>21.8</v>
      </c>
      <c r="L69" s="14" t="n">
        <f aca="false">G69-H69</f>
        <v>-38.2</v>
      </c>
    </row>
    <row r="70" customFormat="false" ht="15" hidden="false" customHeight="false" outlineLevel="0" collapsed="false">
      <c r="A70" s="2" t="s">
        <v>184</v>
      </c>
      <c r="B70" s="2" t="s">
        <v>146</v>
      </c>
      <c r="C70" s="2" t="s">
        <v>48</v>
      </c>
      <c r="D70" s="2" t="s">
        <v>12</v>
      </c>
      <c r="E70" s="2" t="s">
        <v>85</v>
      </c>
      <c r="F70" s="2" t="s">
        <v>1146</v>
      </c>
      <c r="G70" s="14" t="n">
        <v>19.5</v>
      </c>
      <c r="H70" s="14" t="n">
        <v>43.25</v>
      </c>
      <c r="I70" s="14" t="n">
        <v>19.5</v>
      </c>
      <c r="J70" s="22" t="n">
        <f aca="false">IF(E70="Priority",'Cost model'!N149,'Cost model'!M149)</f>
        <v>60</v>
      </c>
      <c r="K70" s="14" t="n">
        <f aca="false">J70-H70</f>
        <v>16.75</v>
      </c>
      <c r="L70" s="14" t="n">
        <f aca="false">G70-H70</f>
        <v>-23.75</v>
      </c>
    </row>
    <row r="71" customFormat="false" ht="15" hidden="false" customHeight="false" outlineLevel="0" collapsed="false">
      <c r="A71" s="2" t="s">
        <v>240</v>
      </c>
      <c r="B71" s="2" t="s">
        <v>165</v>
      </c>
      <c r="C71" s="2" t="s">
        <v>48</v>
      </c>
      <c r="D71" s="2" t="s">
        <v>10</v>
      </c>
      <c r="E71" s="2" t="s">
        <v>76</v>
      </c>
      <c r="F71" s="2" t="s">
        <v>1146</v>
      </c>
      <c r="G71" s="14" t="n">
        <v>14.5</v>
      </c>
      <c r="H71" s="14" t="n">
        <v>11.24</v>
      </c>
      <c r="I71" s="14" t="n">
        <v>14.5</v>
      </c>
      <c r="J71" s="22" t="n">
        <f aca="false">IF(E71="Priority",'Cost model'!N902,'Cost model'!M902)</f>
        <v>13.5</v>
      </c>
      <c r="K71" s="14" t="n">
        <f aca="false">J71-H71</f>
        <v>2.26</v>
      </c>
      <c r="L71" s="14" t="n">
        <f aca="false">G71-H71</f>
        <v>3.26</v>
      </c>
    </row>
    <row r="72" customFormat="false" ht="15" hidden="false" customHeight="false" outlineLevel="0" collapsed="false">
      <c r="A72" s="2" t="s">
        <v>146</v>
      </c>
      <c r="B72" s="2" t="s">
        <v>146</v>
      </c>
      <c r="C72" s="2" t="s">
        <v>49</v>
      </c>
      <c r="D72" s="2" t="s">
        <v>12</v>
      </c>
      <c r="E72" s="2" t="s">
        <v>76</v>
      </c>
      <c r="F72" s="2" t="s">
        <v>1145</v>
      </c>
      <c r="G72" s="14" t="n">
        <v>12.5</v>
      </c>
      <c r="H72" s="14" t="n">
        <v>67.24</v>
      </c>
      <c r="I72" s="14" t="n">
        <v>12.5</v>
      </c>
      <c r="J72" s="22" t="n">
        <f aca="false">IF(E72="Priority",'Cost model'!N762,'Cost model'!M762)</f>
        <v>45</v>
      </c>
      <c r="K72" s="14" t="n">
        <f aca="false">J72-H72</f>
        <v>-22.24</v>
      </c>
      <c r="L72" s="14" t="n">
        <f aca="false">G72-H72</f>
        <v>-54.74</v>
      </c>
    </row>
    <row r="73" customFormat="false" ht="15" hidden="false" customHeight="false" outlineLevel="0" collapsed="false">
      <c r="A73" s="2" t="s">
        <v>240</v>
      </c>
      <c r="B73" s="2" t="s">
        <v>165</v>
      </c>
      <c r="C73" s="2" t="s">
        <v>48</v>
      </c>
      <c r="D73" s="2" t="s">
        <v>15</v>
      </c>
      <c r="E73" s="2" t="s">
        <v>76</v>
      </c>
      <c r="F73" s="2" t="s">
        <v>1146</v>
      </c>
      <c r="G73" s="14" t="n">
        <v>45</v>
      </c>
      <c r="H73" s="14" t="n">
        <v>94.01</v>
      </c>
      <c r="I73" s="14" t="n">
        <v>250</v>
      </c>
      <c r="J73" s="22" t="n">
        <f aca="false">IF(E73="Priority",'Cost model'!N914,'Cost model'!M914)</f>
        <v>185</v>
      </c>
      <c r="K73" s="14" t="n">
        <f aca="false">J73-H73</f>
        <v>90.99</v>
      </c>
      <c r="L73" s="14" t="n">
        <f aca="false">G73-H73</f>
        <v>-49.01</v>
      </c>
    </row>
    <row r="74" customFormat="false" ht="15" hidden="false" customHeight="false" outlineLevel="0" collapsed="false">
      <c r="A74" s="2" t="s">
        <v>184</v>
      </c>
      <c r="B74" s="2" t="s">
        <v>184</v>
      </c>
      <c r="C74" s="2" t="s">
        <v>48</v>
      </c>
      <c r="D74" s="2" t="s">
        <v>14</v>
      </c>
      <c r="E74" s="2" t="s">
        <v>76</v>
      </c>
      <c r="F74" s="2" t="s">
        <v>1145</v>
      </c>
      <c r="G74" s="14" t="n">
        <v>25</v>
      </c>
      <c r="H74" s="14" t="n">
        <v>114.31</v>
      </c>
      <c r="I74" s="14" t="n">
        <v>25</v>
      </c>
      <c r="J74" s="22" t="n">
        <f aca="false">IF(E74="Priority",'Cost model'!N209,'Cost model'!M209)</f>
        <v>105</v>
      </c>
      <c r="K74" s="14" t="n">
        <f aca="false">J74-H74</f>
        <v>-9.31</v>
      </c>
      <c r="L74" s="14" t="n">
        <f aca="false">G74-H74</f>
        <v>-89.31</v>
      </c>
    </row>
    <row r="75" customFormat="false" ht="15" hidden="false" customHeight="false" outlineLevel="0" collapsed="false">
      <c r="A75" s="2" t="s">
        <v>146</v>
      </c>
      <c r="B75" s="2" t="s">
        <v>146</v>
      </c>
      <c r="C75" s="2" t="s">
        <v>48</v>
      </c>
      <c r="D75" s="2" t="s">
        <v>10</v>
      </c>
      <c r="E75" s="2" t="s">
        <v>76</v>
      </c>
      <c r="F75" s="2" t="s">
        <v>1145</v>
      </c>
      <c r="G75" s="14" t="n">
        <v>9.5</v>
      </c>
      <c r="H75" s="14" t="n">
        <v>7.9</v>
      </c>
      <c r="I75" s="14" t="n">
        <v>9.5</v>
      </c>
      <c r="J75" s="22" t="n">
        <f aca="false">IF(E75="Priority",'Cost model'!N758,'Cost model'!M758)</f>
        <v>9.5</v>
      </c>
      <c r="K75" s="14" t="n">
        <f aca="false">J75-H75</f>
        <v>1.6</v>
      </c>
      <c r="L75" s="14" t="n">
        <f aca="false">G75-H75</f>
        <v>1.6</v>
      </c>
    </row>
    <row r="76" customFormat="false" ht="15" hidden="false" customHeight="false" outlineLevel="0" collapsed="false">
      <c r="A76" s="2" t="s">
        <v>184</v>
      </c>
      <c r="B76" s="2" t="s">
        <v>146</v>
      </c>
      <c r="C76" s="2" t="s">
        <v>48</v>
      </c>
      <c r="D76" s="2" t="s">
        <v>14</v>
      </c>
      <c r="E76" s="2" t="s">
        <v>76</v>
      </c>
      <c r="F76" s="2" t="s">
        <v>1146</v>
      </c>
      <c r="G76" s="14" t="n">
        <v>25</v>
      </c>
      <c r="H76" s="14" t="n">
        <v>59.11</v>
      </c>
      <c r="I76" s="14" t="n">
        <v>25</v>
      </c>
      <c r="J76" s="22" t="n">
        <f aca="false">IF(E76="Priority",'Cost model'!N155,'Cost model'!M155)</f>
        <v>125</v>
      </c>
      <c r="K76" s="14" t="n">
        <f aca="false">J76-H76</f>
        <v>65.89</v>
      </c>
      <c r="L76" s="14" t="n">
        <f aca="false">G76-H76</f>
        <v>-34.11</v>
      </c>
    </row>
    <row r="77" customFormat="false" ht="15" hidden="false" customHeight="false" outlineLevel="0" collapsed="false">
      <c r="A77" s="2" t="s">
        <v>184</v>
      </c>
      <c r="B77" s="2" t="s">
        <v>126</v>
      </c>
      <c r="C77" s="2" t="s">
        <v>48</v>
      </c>
      <c r="D77" s="2" t="s">
        <v>10</v>
      </c>
      <c r="E77" s="2" t="s">
        <v>76</v>
      </c>
      <c r="F77" s="2" t="s">
        <v>1146</v>
      </c>
      <c r="G77" s="14" t="n">
        <v>9.5</v>
      </c>
      <c r="H77" s="14" t="n">
        <v>24.17</v>
      </c>
      <c r="I77" s="14" t="n">
        <v>9.5</v>
      </c>
      <c r="J77" s="22" t="n">
        <f aca="false">IF(E77="Priority",'Cost model'!N128,'Cost model'!M128)</f>
        <v>10.5</v>
      </c>
      <c r="K77" s="14" t="n">
        <f aca="false">J77-H77</f>
        <v>-13.67</v>
      </c>
      <c r="L77" s="14" t="n">
        <f aca="false">G77-H77</f>
        <v>-14.67</v>
      </c>
    </row>
    <row r="78" customFormat="false" ht="15" hidden="false" customHeight="false" outlineLevel="0" collapsed="false">
      <c r="A78" s="2" t="s">
        <v>184</v>
      </c>
      <c r="B78" s="2" t="s">
        <v>184</v>
      </c>
      <c r="C78" s="2" t="s">
        <v>48</v>
      </c>
      <c r="D78" s="2" t="s">
        <v>12</v>
      </c>
      <c r="E78" s="2" t="s">
        <v>85</v>
      </c>
      <c r="F78" s="2" t="s">
        <v>1145</v>
      </c>
      <c r="G78" s="14" t="n">
        <v>19.5</v>
      </c>
      <c r="H78" s="14" t="n">
        <v>29.33</v>
      </c>
      <c r="I78" s="14" t="n">
        <v>19.5</v>
      </c>
      <c r="J78" s="22" t="n">
        <f aca="false">IF(E78="Priority",'Cost model'!N203,'Cost model'!M203)</f>
        <v>35</v>
      </c>
      <c r="K78" s="14" t="n">
        <f aca="false">J78-H78</f>
        <v>5.67</v>
      </c>
      <c r="L78" s="14" t="n">
        <f aca="false">G78-H78</f>
        <v>-9.83</v>
      </c>
    </row>
    <row r="79" customFormat="false" ht="15" hidden="false" customHeight="false" outlineLevel="0" collapsed="false">
      <c r="A79" s="2" t="s">
        <v>146</v>
      </c>
      <c r="B79" s="2" t="s">
        <v>184</v>
      </c>
      <c r="C79" s="2" t="s">
        <v>49</v>
      </c>
      <c r="D79" s="2" t="s">
        <v>10</v>
      </c>
      <c r="E79" s="2" t="s">
        <v>76</v>
      </c>
      <c r="F79" s="2" t="s">
        <v>1146</v>
      </c>
      <c r="G79" s="14" t="n">
        <v>14.5</v>
      </c>
      <c r="H79" s="14" t="n">
        <v>6.64</v>
      </c>
      <c r="I79" s="14" t="n">
        <v>14.5</v>
      </c>
      <c r="J79" s="22" t="n">
        <f aca="false">IF(E79="Priority",'Cost model'!N831,'Cost model'!M831)</f>
        <v>10.5</v>
      </c>
      <c r="K79" s="14" t="n">
        <f aca="false">J79-H79</f>
        <v>3.86</v>
      </c>
      <c r="L79" s="14" t="n">
        <f aca="false">G79-H79</f>
        <v>7.86</v>
      </c>
    </row>
    <row r="80" customFormat="false" ht="15" hidden="false" customHeight="false" outlineLevel="0" collapsed="false">
      <c r="A80" s="2" t="s">
        <v>184</v>
      </c>
      <c r="B80" s="2" t="s">
        <v>146</v>
      </c>
      <c r="C80" s="2" t="s">
        <v>48</v>
      </c>
      <c r="D80" s="2" t="s">
        <v>12</v>
      </c>
      <c r="E80" s="2" t="s">
        <v>76</v>
      </c>
      <c r="F80" s="2" t="s">
        <v>1146</v>
      </c>
      <c r="G80" s="14" t="n">
        <v>9.5</v>
      </c>
      <c r="H80" s="14" t="n">
        <v>45.14</v>
      </c>
      <c r="I80" s="14" t="n">
        <v>9.5</v>
      </c>
      <c r="J80" s="22" t="n">
        <f aca="false">IF(E80="Priority",'Cost model'!N149,'Cost model'!M149)</f>
        <v>45</v>
      </c>
      <c r="K80" s="14" t="n">
        <f aca="false">J80-H80</f>
        <v>-0.140000000000001</v>
      </c>
      <c r="L80" s="14" t="n">
        <f aca="false">G80-H80</f>
        <v>-35.64</v>
      </c>
    </row>
    <row r="81" customFormat="false" ht="15" hidden="false" customHeight="false" outlineLevel="0" collapsed="false">
      <c r="A81" s="2" t="s">
        <v>126</v>
      </c>
      <c r="B81" s="2" t="s">
        <v>126</v>
      </c>
      <c r="C81" s="2" t="s">
        <v>49</v>
      </c>
      <c r="D81" s="2" t="s">
        <v>13</v>
      </c>
      <c r="E81" s="2" t="s">
        <v>76</v>
      </c>
      <c r="F81" s="2" t="s">
        <v>1145</v>
      </c>
      <c r="G81" s="14" t="n">
        <v>24.5</v>
      </c>
      <c r="H81" s="14" t="n">
        <v>98.35</v>
      </c>
      <c r="I81" s="14" t="n">
        <v>24.5</v>
      </c>
      <c r="J81" s="22" t="n">
        <f aca="false">IF(E81="Priority",'Cost model'!N387,'Cost model'!M387)</f>
        <v>95</v>
      </c>
      <c r="K81" s="14" t="n">
        <f aca="false">J81-H81</f>
        <v>-3.34999999999999</v>
      </c>
      <c r="L81" s="14" t="n">
        <f aca="false">G81-H81</f>
        <v>-73.85</v>
      </c>
    </row>
    <row r="82" customFormat="false" ht="15" hidden="false" customHeight="false" outlineLevel="0" collapsed="false">
      <c r="A82" s="2" t="s">
        <v>146</v>
      </c>
      <c r="B82" s="2" t="s">
        <v>146</v>
      </c>
      <c r="C82" s="2" t="s">
        <v>48</v>
      </c>
      <c r="D82" s="2" t="s">
        <v>12</v>
      </c>
      <c r="E82" s="2" t="s">
        <v>76</v>
      </c>
      <c r="F82" s="2" t="s">
        <v>1145</v>
      </c>
      <c r="G82" s="14" t="n">
        <v>9.5</v>
      </c>
      <c r="H82" s="14" t="n">
        <v>42.47</v>
      </c>
      <c r="I82" s="14" t="n">
        <v>9.5</v>
      </c>
      <c r="J82" s="22" t="n">
        <f aca="false">IF(E82="Priority",'Cost model'!N761,'Cost model'!M761)</f>
        <v>35</v>
      </c>
      <c r="K82" s="14" t="n">
        <f aca="false">J82-H82</f>
        <v>-7.47</v>
      </c>
      <c r="L82" s="14" t="n">
        <f aca="false">G82-H82</f>
        <v>-32.97</v>
      </c>
    </row>
    <row r="83" customFormat="false" ht="15" hidden="false" customHeight="false" outlineLevel="0" collapsed="false">
      <c r="A83" s="2" t="s">
        <v>126</v>
      </c>
      <c r="B83" s="2" t="s">
        <v>126</v>
      </c>
      <c r="C83" s="2" t="s">
        <v>48</v>
      </c>
      <c r="D83" s="2" t="s">
        <v>10</v>
      </c>
      <c r="E83" s="2" t="s">
        <v>76</v>
      </c>
      <c r="F83" s="2" t="s">
        <v>1145</v>
      </c>
      <c r="G83" s="14" t="n">
        <v>9.5</v>
      </c>
      <c r="H83" s="14" t="n">
        <v>7.45</v>
      </c>
      <c r="I83" s="14" t="n">
        <v>9.5</v>
      </c>
      <c r="J83" s="22" t="n">
        <f aca="false">IF(E83="Priority",'Cost model'!N380,'Cost model'!M380)</f>
        <v>8.5</v>
      </c>
      <c r="K83" s="14" t="n">
        <f aca="false">J83-H83</f>
        <v>1.05</v>
      </c>
      <c r="L83" s="14" t="n">
        <f aca="false">G83-H83</f>
        <v>2.05</v>
      </c>
    </row>
    <row r="84" customFormat="false" ht="15" hidden="false" customHeight="false" outlineLevel="0" collapsed="false">
      <c r="A84" s="2" t="s">
        <v>240</v>
      </c>
      <c r="B84" s="2" t="s">
        <v>240</v>
      </c>
      <c r="C84" s="2" t="s">
        <v>50</v>
      </c>
      <c r="D84" s="2" t="s">
        <v>10</v>
      </c>
      <c r="E84" s="2" t="s">
        <v>76</v>
      </c>
      <c r="F84" s="2" t="s">
        <v>1145</v>
      </c>
      <c r="G84" s="14" t="n">
        <v>17.5</v>
      </c>
      <c r="H84" s="14" t="n">
        <v>16.84</v>
      </c>
      <c r="I84" s="14" t="n">
        <v>17.5</v>
      </c>
      <c r="J84" s="22" t="n">
        <f aca="false">IF(E84="Priority",'Cost model'!N886,'Cost model'!M886)</f>
        <v>17.5</v>
      </c>
      <c r="K84" s="14" t="n">
        <f aca="false">J84-H84</f>
        <v>0.66</v>
      </c>
      <c r="L84" s="14" t="n">
        <f aca="false">G84-H84</f>
        <v>0.66</v>
      </c>
    </row>
    <row r="85" customFormat="false" ht="15" hidden="false" customHeight="false" outlineLevel="0" collapsed="false">
      <c r="A85" s="2" t="s">
        <v>184</v>
      </c>
      <c r="B85" s="2" t="s">
        <v>126</v>
      </c>
      <c r="C85" s="2" t="s">
        <v>48</v>
      </c>
      <c r="D85" s="2" t="s">
        <v>12</v>
      </c>
      <c r="E85" s="2" t="s">
        <v>85</v>
      </c>
      <c r="F85" s="2" t="s">
        <v>1146</v>
      </c>
      <c r="G85" s="14" t="n">
        <v>19.5</v>
      </c>
      <c r="H85" s="14" t="n">
        <v>43.25</v>
      </c>
      <c r="I85" s="14" t="n">
        <v>19.5</v>
      </c>
      <c r="J85" s="22" t="n">
        <f aca="false">IF(E85="Priority",'Cost model'!N131,'Cost model'!M131)</f>
        <v>55</v>
      </c>
      <c r="K85" s="14" t="n">
        <f aca="false">J85-H85</f>
        <v>11.75</v>
      </c>
      <c r="L85" s="14" t="n">
        <f aca="false">G85-H85</f>
        <v>-23.75</v>
      </c>
    </row>
    <row r="86" customFormat="false" ht="15" hidden="false" customHeight="false" outlineLevel="0" collapsed="false">
      <c r="A86" s="2" t="s">
        <v>126</v>
      </c>
      <c r="B86" s="2" t="s">
        <v>221</v>
      </c>
      <c r="C86" s="2" t="s">
        <v>50</v>
      </c>
      <c r="D86" s="2" t="s">
        <v>14</v>
      </c>
      <c r="E86" s="2" t="s">
        <v>76</v>
      </c>
      <c r="F86" s="2" t="s">
        <v>1146</v>
      </c>
      <c r="G86" s="14" t="n">
        <v>85</v>
      </c>
      <c r="H86" s="14" t="n">
        <v>460.78</v>
      </c>
      <c r="I86" s="14" t="n">
        <v>250</v>
      </c>
      <c r="J86" s="22" t="n">
        <f aca="false">IF(E86="Priority",'Cost model'!N463,'Cost model'!M463)</f>
        <v>250</v>
      </c>
      <c r="K86" s="14" t="n">
        <f aca="false">J86-H86</f>
        <v>-210.78</v>
      </c>
      <c r="L86" s="14" t="n">
        <f aca="false">G86-H86</f>
        <v>-375.78</v>
      </c>
    </row>
    <row r="87" customFormat="false" ht="15" hidden="false" customHeight="false" outlineLevel="0" collapsed="false">
      <c r="A87" s="2" t="s">
        <v>221</v>
      </c>
      <c r="B87" s="2" t="s">
        <v>146</v>
      </c>
      <c r="C87" s="2" t="s">
        <v>49</v>
      </c>
      <c r="D87" s="2" t="s">
        <v>12</v>
      </c>
      <c r="E87" s="2" t="s">
        <v>76</v>
      </c>
      <c r="F87" s="2" t="s">
        <v>1146</v>
      </c>
      <c r="G87" s="14" t="n">
        <v>12.5</v>
      </c>
      <c r="H87" s="14" t="n">
        <v>76.68</v>
      </c>
      <c r="I87" s="14" t="n">
        <v>19.5</v>
      </c>
      <c r="J87" s="22" t="n">
        <f aca="false">IF(E87="Priority",'Cost model'!N654,'Cost model'!M654)</f>
        <v>80</v>
      </c>
      <c r="K87" s="14" t="n">
        <f aca="false">J87-H87</f>
        <v>3.31999999999999</v>
      </c>
      <c r="L87" s="14" t="n">
        <f aca="false">G87-H87</f>
        <v>-64.18</v>
      </c>
    </row>
    <row r="88" customFormat="false" ht="15" hidden="false" customHeight="false" outlineLevel="0" collapsed="false">
      <c r="A88" s="2" t="s">
        <v>240</v>
      </c>
      <c r="B88" s="2" t="s">
        <v>240</v>
      </c>
      <c r="C88" s="2" t="s">
        <v>50</v>
      </c>
      <c r="D88" s="2" t="s">
        <v>10</v>
      </c>
      <c r="E88" s="2" t="s">
        <v>76</v>
      </c>
      <c r="F88" s="2" t="s">
        <v>1145</v>
      </c>
      <c r="G88" s="14" t="n">
        <v>17.5</v>
      </c>
      <c r="H88" s="14" t="n">
        <v>10.48</v>
      </c>
      <c r="I88" s="14" t="n">
        <v>17.5</v>
      </c>
      <c r="J88" s="22" t="n">
        <f aca="false">IF(E88="Priority",'Cost model'!N886,'Cost model'!M886)</f>
        <v>17.5</v>
      </c>
      <c r="K88" s="14" t="n">
        <f aca="false">J88-H88</f>
        <v>7.02</v>
      </c>
      <c r="L88" s="14" t="n">
        <f aca="false">G88-H88</f>
        <v>7.02</v>
      </c>
    </row>
    <row r="89" customFormat="false" ht="15" hidden="false" customHeight="false" outlineLevel="0" collapsed="false">
      <c r="A89" s="2" t="s">
        <v>184</v>
      </c>
      <c r="B89" s="2" t="s">
        <v>184</v>
      </c>
      <c r="C89" s="2" t="s">
        <v>50</v>
      </c>
      <c r="D89" s="2" t="s">
        <v>10</v>
      </c>
      <c r="E89" s="2" t="s">
        <v>76</v>
      </c>
      <c r="F89" s="2" t="s">
        <v>1145</v>
      </c>
      <c r="G89" s="14" t="n">
        <v>17.5</v>
      </c>
      <c r="H89" s="14" t="n">
        <v>70.83</v>
      </c>
      <c r="I89" s="14" t="n">
        <v>17.5</v>
      </c>
      <c r="J89" s="22" t="n">
        <f aca="false">IF(E89="Priority",'Cost model'!N202,'Cost model'!M202)</f>
        <v>17.5</v>
      </c>
      <c r="K89" s="14" t="n">
        <f aca="false">J89-H89</f>
        <v>-53.33</v>
      </c>
      <c r="L89" s="14" t="n">
        <f aca="false">G89-H89</f>
        <v>-53.33</v>
      </c>
    </row>
    <row r="90" customFormat="false" ht="15" hidden="false" customHeight="false" outlineLevel="0" collapsed="false">
      <c r="A90" s="2" t="s">
        <v>126</v>
      </c>
      <c r="B90" s="2" t="s">
        <v>126</v>
      </c>
      <c r="C90" s="2" t="s">
        <v>48</v>
      </c>
      <c r="D90" s="2" t="s">
        <v>12</v>
      </c>
      <c r="E90" s="2" t="s">
        <v>85</v>
      </c>
      <c r="F90" s="2" t="s">
        <v>1145</v>
      </c>
      <c r="G90" s="14" t="n">
        <v>19.5</v>
      </c>
      <c r="H90" s="14" t="n">
        <v>30.99</v>
      </c>
      <c r="I90" s="14" t="n">
        <v>19.5</v>
      </c>
      <c r="J90" s="22" t="n">
        <f aca="false">IF(E90="Priority",'Cost model'!N383,'Cost model'!M383)</f>
        <v>35</v>
      </c>
      <c r="K90" s="14" t="n">
        <f aca="false">J90-H90</f>
        <v>4.01</v>
      </c>
      <c r="L90" s="14" t="n">
        <f aca="false">G90-H90</f>
        <v>-11.49</v>
      </c>
    </row>
    <row r="91" customFormat="false" ht="15" hidden="false" customHeight="false" outlineLevel="0" collapsed="false">
      <c r="A91" s="2" t="s">
        <v>125</v>
      </c>
      <c r="B91" s="2" t="s">
        <v>184</v>
      </c>
      <c r="C91" s="2" t="s">
        <v>48</v>
      </c>
      <c r="D91" s="2" t="s">
        <v>10</v>
      </c>
      <c r="E91" s="2" t="s">
        <v>76</v>
      </c>
      <c r="F91" s="2" t="s">
        <v>1146</v>
      </c>
      <c r="G91" s="14" t="n">
        <v>14.5</v>
      </c>
      <c r="H91" s="14" t="n">
        <v>7.02</v>
      </c>
      <c r="I91" s="14" t="n">
        <v>14.5</v>
      </c>
      <c r="J91" s="22" t="n">
        <f aca="false">IF(E91="Priority",'Cost model'!N56,'Cost model'!M56)</f>
        <v>11.5</v>
      </c>
      <c r="K91" s="14" t="n">
        <f aca="false">J91-H91</f>
        <v>4.48</v>
      </c>
      <c r="L91" s="14" t="n">
        <f aca="false">G91-H91</f>
        <v>7.48</v>
      </c>
    </row>
    <row r="92" customFormat="false" ht="15" hidden="false" customHeight="false" outlineLevel="0" collapsed="false">
      <c r="A92" s="2" t="s">
        <v>146</v>
      </c>
      <c r="B92" s="2" t="s">
        <v>146</v>
      </c>
      <c r="C92" s="2" t="s">
        <v>50</v>
      </c>
      <c r="D92" s="2" t="s">
        <v>10</v>
      </c>
      <c r="E92" s="2" t="s">
        <v>76</v>
      </c>
      <c r="F92" s="2" t="s">
        <v>1145</v>
      </c>
      <c r="G92" s="14" t="n">
        <v>17.5</v>
      </c>
      <c r="H92" s="14" t="n">
        <v>21.76</v>
      </c>
      <c r="I92" s="14" t="n">
        <v>17.5</v>
      </c>
      <c r="J92" s="22" t="n">
        <f aca="false">IF(E92="Priority",'Cost model'!N760,'Cost model'!M760)</f>
        <v>18.5</v>
      </c>
      <c r="K92" s="14" t="n">
        <f aca="false">J92-H92</f>
        <v>-3.26</v>
      </c>
      <c r="L92" s="14" t="n">
        <f aca="false">G92-H92</f>
        <v>-4.26</v>
      </c>
    </row>
    <row r="93" customFormat="false" ht="15" hidden="false" customHeight="false" outlineLevel="0" collapsed="false">
      <c r="A93" s="2" t="s">
        <v>240</v>
      </c>
      <c r="B93" s="2" t="s">
        <v>240</v>
      </c>
      <c r="C93" s="2" t="s">
        <v>50</v>
      </c>
      <c r="D93" s="2" t="s">
        <v>14</v>
      </c>
      <c r="E93" s="2" t="s">
        <v>76</v>
      </c>
      <c r="F93" s="2" t="s">
        <v>1145</v>
      </c>
      <c r="G93" s="14" t="n">
        <v>125</v>
      </c>
      <c r="H93" s="14" t="n">
        <v>425.77</v>
      </c>
      <c r="I93" s="14" t="n">
        <v>125</v>
      </c>
      <c r="J93" s="22" t="n">
        <f aca="false">IF(E93="Priority",'Cost model'!N895,'Cost model'!M895)</f>
        <v>320</v>
      </c>
      <c r="K93" s="14" t="n">
        <f aca="false">J93-H93</f>
        <v>-105.77</v>
      </c>
      <c r="L93" s="14" t="n">
        <f aca="false">G93-H93</f>
        <v>-300.77</v>
      </c>
    </row>
    <row r="94" customFormat="false" ht="15" hidden="false" customHeight="false" outlineLevel="0" collapsed="false">
      <c r="A94" s="2" t="s">
        <v>184</v>
      </c>
      <c r="B94" s="2" t="s">
        <v>184</v>
      </c>
      <c r="C94" s="2" t="s">
        <v>49</v>
      </c>
      <c r="D94" s="2" t="s">
        <v>12</v>
      </c>
      <c r="E94" s="2" t="s">
        <v>76</v>
      </c>
      <c r="F94" s="2" t="s">
        <v>1145</v>
      </c>
      <c r="G94" s="14" t="n">
        <v>12.5</v>
      </c>
      <c r="H94" s="14" t="n">
        <v>72.33</v>
      </c>
      <c r="I94" s="14"/>
      <c r="J94" s="22" t="n">
        <f aca="false">IF(E94="Priority",'Cost model'!N204,'Cost model'!M204)</f>
        <v>45</v>
      </c>
      <c r="K94" s="14" t="n">
        <f aca="false">J94-H94</f>
        <v>-27.33</v>
      </c>
      <c r="L94" s="14" t="n">
        <f aca="false">G94-H94</f>
        <v>-59.83</v>
      </c>
    </row>
    <row r="95" customFormat="false" ht="15" hidden="false" customHeight="false" outlineLevel="0" collapsed="false">
      <c r="A95" s="2" t="s">
        <v>240</v>
      </c>
      <c r="B95" s="2" t="s">
        <v>126</v>
      </c>
      <c r="C95" s="2" t="s">
        <v>50</v>
      </c>
      <c r="D95" s="2" t="s">
        <v>10</v>
      </c>
      <c r="E95" s="2" t="s">
        <v>76</v>
      </c>
      <c r="F95" s="2" t="s">
        <v>1146</v>
      </c>
      <c r="G95" s="14" t="n">
        <v>19.5</v>
      </c>
      <c r="H95" s="14" t="n">
        <v>18.64</v>
      </c>
      <c r="I95" s="14" t="n">
        <v>19.5</v>
      </c>
      <c r="J95" s="22" t="n">
        <f aca="false">IF(E95="Priority",'Cost model'!N958,'Cost model'!M958)</f>
        <v>24.5</v>
      </c>
      <c r="K95" s="14" t="n">
        <f aca="false">J95-H95</f>
        <v>5.86</v>
      </c>
      <c r="L95" s="14" t="n">
        <f aca="false">G95-H95</f>
        <v>0.859999999999999</v>
      </c>
    </row>
    <row r="96" customFormat="false" ht="15" hidden="false" customHeight="false" outlineLevel="0" collapsed="false">
      <c r="A96" s="2" t="s">
        <v>126</v>
      </c>
      <c r="B96" s="2" t="s">
        <v>126</v>
      </c>
      <c r="C96" s="2" t="s">
        <v>49</v>
      </c>
      <c r="D96" s="2" t="s">
        <v>12</v>
      </c>
      <c r="E96" s="2" t="s">
        <v>85</v>
      </c>
      <c r="F96" s="2" t="s">
        <v>1145</v>
      </c>
      <c r="G96" s="14" t="n">
        <v>19.5</v>
      </c>
      <c r="H96" s="14" t="n">
        <v>28.88</v>
      </c>
      <c r="I96" s="14" t="n">
        <v>19.5</v>
      </c>
      <c r="J96" s="22" t="n">
        <f aca="false">IF(E96="Priority",'Cost model'!N384,'Cost model'!M384)</f>
        <v>60</v>
      </c>
      <c r="K96" s="14" t="n">
        <f aca="false">J96-H96</f>
        <v>31.12</v>
      </c>
      <c r="L96" s="14" t="n">
        <f aca="false">G96-H96</f>
        <v>-9.38</v>
      </c>
    </row>
    <row r="97" customFormat="false" ht="15" hidden="false" customHeight="false" outlineLevel="0" collapsed="false">
      <c r="A97" s="2" t="s">
        <v>184</v>
      </c>
      <c r="B97" s="2" t="s">
        <v>146</v>
      </c>
      <c r="C97" s="2" t="s">
        <v>48</v>
      </c>
      <c r="D97" s="2" t="s">
        <v>10</v>
      </c>
      <c r="E97" s="2" t="s">
        <v>76</v>
      </c>
      <c r="F97" s="2" t="s">
        <v>1146</v>
      </c>
      <c r="G97" s="14" t="n">
        <v>9.5</v>
      </c>
      <c r="H97" s="14" t="n">
        <v>15.61</v>
      </c>
      <c r="I97" s="14" t="n">
        <v>9.5</v>
      </c>
      <c r="J97" s="22" t="n">
        <f aca="false">IF(E97="Priority",'Cost model'!N146,'Cost model'!M146)</f>
        <v>12.5</v>
      </c>
      <c r="K97" s="14" t="n">
        <f aca="false">J97-H97</f>
        <v>-3.11</v>
      </c>
      <c r="L97" s="14" t="n">
        <f aca="false">G97-H97</f>
        <v>-6.11</v>
      </c>
    </row>
    <row r="98" customFormat="false" ht="15" hidden="false" customHeight="false" outlineLevel="0" collapsed="false">
      <c r="A98" s="2" t="s">
        <v>240</v>
      </c>
      <c r="B98" s="2" t="s">
        <v>240</v>
      </c>
      <c r="C98" s="2" t="s">
        <v>48</v>
      </c>
      <c r="D98" s="2" t="s">
        <v>10</v>
      </c>
      <c r="E98" s="2" t="s">
        <v>85</v>
      </c>
      <c r="F98" s="2" t="s">
        <v>1145</v>
      </c>
      <c r="G98" s="14" t="n">
        <v>14.5</v>
      </c>
      <c r="H98" s="14" t="n">
        <v>11.29</v>
      </c>
      <c r="I98" s="14" t="n">
        <v>14.5</v>
      </c>
      <c r="J98" s="22" t="n">
        <f aca="false">IF(E98="Priority",'Cost model'!N884,'Cost model'!M884)</f>
        <v>12.5</v>
      </c>
      <c r="K98" s="14" t="n">
        <f aca="false">J98-H98</f>
        <v>1.21</v>
      </c>
      <c r="L98" s="14" t="n">
        <f aca="false">G98-H98</f>
        <v>3.21</v>
      </c>
    </row>
    <row r="99" customFormat="false" ht="15" hidden="false" customHeight="false" outlineLevel="0" collapsed="false">
      <c r="A99" s="2" t="s">
        <v>146</v>
      </c>
      <c r="B99" s="2" t="s">
        <v>165</v>
      </c>
      <c r="C99" s="2" t="s">
        <v>48</v>
      </c>
      <c r="D99" s="2" t="s">
        <v>10</v>
      </c>
      <c r="E99" s="2" t="s">
        <v>76</v>
      </c>
      <c r="F99" s="2" t="s">
        <v>1146</v>
      </c>
      <c r="G99" s="14" t="n">
        <v>14.5</v>
      </c>
      <c r="H99" s="14" t="n">
        <v>13.55</v>
      </c>
      <c r="I99" s="14" t="n">
        <v>14.5</v>
      </c>
      <c r="J99" s="22" t="n">
        <f aca="false">IF(E99="Priority",'Cost model'!N776,'Cost model'!M776)</f>
        <v>13.5</v>
      </c>
      <c r="K99" s="14" t="n">
        <f aca="false">J99-H99</f>
        <v>-0.0500000000000007</v>
      </c>
      <c r="L99" s="14" t="n">
        <f aca="false">G99-H99</f>
        <v>0.949999999999999</v>
      </c>
    </row>
    <row r="100" customFormat="false" ht="15" hidden="false" customHeight="false" outlineLevel="0" collapsed="false">
      <c r="A100" s="2" t="s">
        <v>126</v>
      </c>
      <c r="B100" s="2" t="s">
        <v>126</v>
      </c>
      <c r="C100" s="2" t="s">
        <v>49</v>
      </c>
      <c r="D100" s="2" t="s">
        <v>12</v>
      </c>
      <c r="E100" s="2" t="s">
        <v>76</v>
      </c>
      <c r="F100" s="2" t="s">
        <v>1145</v>
      </c>
      <c r="G100" s="14" t="n">
        <v>12.5</v>
      </c>
      <c r="H100" s="14" t="n">
        <v>43.77</v>
      </c>
      <c r="I100" s="14" t="n">
        <v>12.5</v>
      </c>
      <c r="J100" s="22" t="n">
        <f aca="false">IF(E100="Priority",'Cost model'!N384,'Cost model'!M384)</f>
        <v>45</v>
      </c>
      <c r="K100" s="14" t="n">
        <f aca="false">J100-H100</f>
        <v>1.23</v>
      </c>
      <c r="L100" s="14" t="n">
        <f aca="false">G100-H100</f>
        <v>-31.27</v>
      </c>
    </row>
    <row r="101" customFormat="false" ht="15" hidden="false" customHeight="false" outlineLevel="0" collapsed="false">
      <c r="A101" s="2" t="s">
        <v>146</v>
      </c>
      <c r="B101" s="2" t="s">
        <v>146</v>
      </c>
      <c r="C101" s="2" t="s">
        <v>50</v>
      </c>
      <c r="D101" s="2" t="s">
        <v>12</v>
      </c>
      <c r="E101" s="2" t="s">
        <v>76</v>
      </c>
      <c r="F101" s="2" t="s">
        <v>1145</v>
      </c>
      <c r="G101" s="14" t="n">
        <v>19.5</v>
      </c>
      <c r="H101" s="14" t="n">
        <v>42.61</v>
      </c>
      <c r="I101" s="14" t="n">
        <v>19.5</v>
      </c>
      <c r="J101" s="22" t="n">
        <f aca="false">IF(E101="Priority",'Cost model'!N763,'Cost model'!M763)</f>
        <v>50</v>
      </c>
      <c r="K101" s="14" t="n">
        <f aca="false">J101-H101</f>
        <v>7.39</v>
      </c>
      <c r="L101" s="14" t="n">
        <f aca="false">G101-H101</f>
        <v>-23.11</v>
      </c>
    </row>
    <row r="102" customFormat="false" ht="15" hidden="false" customHeight="false" outlineLevel="0" collapsed="false">
      <c r="A102" s="2" t="s">
        <v>146</v>
      </c>
      <c r="B102" s="2" t="s">
        <v>184</v>
      </c>
      <c r="C102" s="2" t="s">
        <v>48</v>
      </c>
      <c r="D102" s="2" t="s">
        <v>12</v>
      </c>
      <c r="E102" s="2" t="s">
        <v>85</v>
      </c>
      <c r="F102" s="2" t="s">
        <v>1146</v>
      </c>
      <c r="G102" s="14" t="n">
        <v>24.5</v>
      </c>
      <c r="H102" s="14" t="n">
        <v>43.13</v>
      </c>
      <c r="I102" s="14" t="n">
        <v>24.5</v>
      </c>
      <c r="J102" s="22" t="n">
        <f aca="false">IF(E102="Priority",'Cost model'!N833,'Cost model'!M833)</f>
        <v>60</v>
      </c>
      <c r="K102" s="14" t="n">
        <f aca="false">J102-H102</f>
        <v>16.87</v>
      </c>
      <c r="L102" s="14" t="n">
        <f aca="false">G102-H102</f>
        <v>-18.63</v>
      </c>
    </row>
    <row r="103" customFormat="false" ht="15" hidden="false" customHeight="false" outlineLevel="0" collapsed="false">
      <c r="A103" s="2" t="s">
        <v>184</v>
      </c>
      <c r="B103" s="2" t="s">
        <v>184</v>
      </c>
      <c r="C103" s="2" t="s">
        <v>48</v>
      </c>
      <c r="D103" s="2" t="s">
        <v>16</v>
      </c>
      <c r="E103" s="2" t="s">
        <v>76</v>
      </c>
      <c r="F103" s="2" t="s">
        <v>1145</v>
      </c>
      <c r="G103" s="14" t="n">
        <v>45</v>
      </c>
      <c r="H103" s="14" t="n">
        <v>172.95</v>
      </c>
      <c r="I103" s="14" t="n">
        <v>45</v>
      </c>
      <c r="J103" s="22" t="n">
        <f aca="false">IF(E103="Priority",'Cost model'!N215,'Cost model'!M215)</f>
        <v>135</v>
      </c>
      <c r="K103" s="14" t="n">
        <f aca="false">J103-H103</f>
        <v>-37.95</v>
      </c>
      <c r="L103" s="14" t="n">
        <f aca="false">G103-H103</f>
        <v>-127.95</v>
      </c>
    </row>
    <row r="104" customFormat="false" ht="15" hidden="false" customHeight="false" outlineLevel="0" collapsed="false">
      <c r="A104" s="2" t="s">
        <v>184</v>
      </c>
      <c r="B104" s="2" t="s">
        <v>184</v>
      </c>
      <c r="C104" s="2" t="s">
        <v>50</v>
      </c>
      <c r="D104" s="2" t="s">
        <v>12</v>
      </c>
      <c r="E104" s="2" t="s">
        <v>76</v>
      </c>
      <c r="F104" s="2" t="s">
        <v>1145</v>
      </c>
      <c r="G104" s="14" t="n">
        <v>19.5</v>
      </c>
      <c r="H104" s="14" t="n">
        <v>75.91</v>
      </c>
      <c r="I104" s="14" t="n">
        <v>19.5</v>
      </c>
      <c r="J104" s="22" t="n">
        <f aca="false">IF(E104="Priority",'Cost model'!N205,'Cost model'!M205)</f>
        <v>50</v>
      </c>
      <c r="K104" s="14" t="n">
        <f aca="false">J104-H104</f>
        <v>-25.91</v>
      </c>
      <c r="L104" s="14" t="n">
        <f aca="false">G104-H104</f>
        <v>-56.41</v>
      </c>
    </row>
    <row r="105" customFormat="false" ht="15" hidden="false" customHeight="false" outlineLevel="0" collapsed="false">
      <c r="A105" s="2" t="s">
        <v>165</v>
      </c>
      <c r="B105" s="2" t="s">
        <v>165</v>
      </c>
      <c r="C105" s="2" t="s">
        <v>48</v>
      </c>
      <c r="D105" s="2" t="s">
        <v>14</v>
      </c>
      <c r="E105" s="2" t="s">
        <v>76</v>
      </c>
      <c r="F105" s="2" t="s">
        <v>1145</v>
      </c>
      <c r="G105" s="14" t="n">
        <v>25</v>
      </c>
      <c r="H105" s="14" t="n">
        <v>40.22</v>
      </c>
      <c r="I105" s="14" t="n">
        <v>25</v>
      </c>
      <c r="J105" s="22" t="n">
        <f aca="false">IF(E105="Priority",'Cost model'!N515,'Cost model'!M515)</f>
        <v>75</v>
      </c>
      <c r="K105" s="14" t="n">
        <f aca="false">J105-H105</f>
        <v>34.78</v>
      </c>
      <c r="L105" s="14" t="n">
        <f aca="false">G105-H105</f>
        <v>-15.22</v>
      </c>
    </row>
    <row r="106" customFormat="false" ht="15" hidden="false" customHeight="false" outlineLevel="0" collapsed="false">
      <c r="A106" s="2" t="s">
        <v>184</v>
      </c>
      <c r="B106" s="2" t="s">
        <v>184</v>
      </c>
      <c r="C106" s="2" t="s">
        <v>49</v>
      </c>
      <c r="D106" s="2" t="s">
        <v>10</v>
      </c>
      <c r="E106" s="2" t="s">
        <v>76</v>
      </c>
      <c r="F106" s="2" t="s">
        <v>1145</v>
      </c>
      <c r="G106" s="14" t="n">
        <v>12.5</v>
      </c>
      <c r="H106" s="14" t="n">
        <v>7.72</v>
      </c>
      <c r="I106" s="14"/>
      <c r="J106" s="22" t="n">
        <f aca="false">IF(E106="Priority",'Cost model'!N201,'Cost model'!M201)</f>
        <v>12.5</v>
      </c>
      <c r="K106" s="14" t="n">
        <f aca="false">J106-H106</f>
        <v>4.78</v>
      </c>
      <c r="L106" s="14" t="n">
        <f aca="false">G106-H106</f>
        <v>4.78</v>
      </c>
    </row>
    <row r="107" customFormat="false" ht="15" hidden="false" customHeight="false" outlineLevel="0" collapsed="false">
      <c r="A107" s="2" t="s">
        <v>146</v>
      </c>
      <c r="B107" s="2" t="s">
        <v>146</v>
      </c>
      <c r="C107" s="2" t="s">
        <v>49</v>
      </c>
      <c r="D107" s="2" t="s">
        <v>10</v>
      </c>
      <c r="E107" s="2" t="s">
        <v>76</v>
      </c>
      <c r="F107" s="2" t="s">
        <v>1145</v>
      </c>
      <c r="G107" s="14" t="n">
        <v>14.5</v>
      </c>
      <c r="H107" s="14" t="n">
        <v>15.39</v>
      </c>
      <c r="I107" s="14" t="n">
        <v>12.5</v>
      </c>
      <c r="J107" s="22" t="n">
        <f aca="false">IF(E107="Priority",'Cost model'!N759,'Cost model'!M759)</f>
        <v>15.5</v>
      </c>
      <c r="K107" s="14" t="n">
        <f aca="false">J107-H107</f>
        <v>0.109999999999999</v>
      </c>
      <c r="L107" s="14" t="n">
        <f aca="false">G107-H107</f>
        <v>-0.890000000000001</v>
      </c>
    </row>
    <row r="108" customFormat="false" ht="15" hidden="false" customHeight="false" outlineLevel="0" collapsed="false">
      <c r="A108" s="2" t="s">
        <v>184</v>
      </c>
      <c r="B108" s="2" t="s">
        <v>184</v>
      </c>
      <c r="C108" s="2" t="s">
        <v>49</v>
      </c>
      <c r="D108" s="2" t="s">
        <v>10</v>
      </c>
      <c r="E108" s="2" t="s">
        <v>76</v>
      </c>
      <c r="F108" s="2" t="s">
        <v>1145</v>
      </c>
      <c r="G108" s="14" t="n">
        <v>12.5</v>
      </c>
      <c r="H108" s="14" t="n">
        <v>7.22</v>
      </c>
      <c r="I108" s="14"/>
      <c r="J108" s="22" t="n">
        <f aca="false">IF(E108="Priority",'Cost model'!N201,'Cost model'!M201)</f>
        <v>12.5</v>
      </c>
      <c r="K108" s="14" t="n">
        <f aca="false">J108-H108</f>
        <v>5.28</v>
      </c>
      <c r="L108" s="14" t="n">
        <f aca="false">G108-H108</f>
        <v>5.28</v>
      </c>
    </row>
    <row r="109" customFormat="false" ht="15" hidden="false" customHeight="false" outlineLevel="0" collapsed="false">
      <c r="A109" s="2" t="s">
        <v>146</v>
      </c>
      <c r="B109" s="2" t="s">
        <v>126</v>
      </c>
      <c r="C109" s="2" t="s">
        <v>49</v>
      </c>
      <c r="D109" s="2" t="s">
        <v>10</v>
      </c>
      <c r="E109" s="2" t="s">
        <v>76</v>
      </c>
      <c r="F109" s="2" t="s">
        <v>1146</v>
      </c>
      <c r="G109" s="14" t="n">
        <v>14.5</v>
      </c>
      <c r="H109" s="14" t="n">
        <v>11.94</v>
      </c>
      <c r="I109" s="14" t="n">
        <v>14.5</v>
      </c>
      <c r="J109" s="22" t="n">
        <f aca="false">IF(E109="Priority",'Cost model'!N795,'Cost model'!M795)</f>
        <v>13.5</v>
      </c>
      <c r="K109" s="14" t="n">
        <f aca="false">J109-H109</f>
        <v>1.56</v>
      </c>
      <c r="L109" s="14" t="n">
        <f aca="false">G109-H109</f>
        <v>2.56</v>
      </c>
    </row>
    <row r="110" customFormat="false" ht="15" hidden="false" customHeight="false" outlineLevel="0" collapsed="false">
      <c r="A110" s="2" t="s">
        <v>146</v>
      </c>
      <c r="B110" s="2" t="s">
        <v>126</v>
      </c>
      <c r="C110" s="2" t="s">
        <v>48</v>
      </c>
      <c r="D110" s="2" t="s">
        <v>12</v>
      </c>
      <c r="E110" s="2" t="s">
        <v>76</v>
      </c>
      <c r="F110" s="2" t="s">
        <v>1146</v>
      </c>
      <c r="G110" s="14" t="n">
        <v>9.5</v>
      </c>
      <c r="H110" s="14" t="n">
        <v>48.76</v>
      </c>
      <c r="I110" s="14" t="n">
        <v>19.5</v>
      </c>
      <c r="J110" s="22" t="n">
        <f aca="false">IF(E110="Priority",'Cost model'!N797,'Cost model'!M797)</f>
        <v>40</v>
      </c>
      <c r="K110" s="14" t="n">
        <f aca="false">J110-H110</f>
        <v>-8.76</v>
      </c>
      <c r="L110" s="14" t="n">
        <f aca="false">G110-H110</f>
        <v>-39.26</v>
      </c>
    </row>
    <row r="111" customFormat="false" ht="15" hidden="false" customHeight="false" outlineLevel="0" collapsed="false">
      <c r="A111" s="2" t="s">
        <v>240</v>
      </c>
      <c r="B111" s="2" t="s">
        <v>240</v>
      </c>
      <c r="C111" s="2" t="s">
        <v>48</v>
      </c>
      <c r="D111" s="2" t="s">
        <v>12</v>
      </c>
      <c r="E111" s="2" t="s">
        <v>76</v>
      </c>
      <c r="F111" s="2" t="s">
        <v>1145</v>
      </c>
      <c r="G111" s="14" t="n">
        <v>9.5</v>
      </c>
      <c r="H111" s="14" t="n">
        <v>7.4</v>
      </c>
      <c r="I111" s="14" t="n">
        <v>9.5</v>
      </c>
      <c r="J111" s="22" t="n">
        <f aca="false">IF(E111="Priority",'Cost model'!N887,'Cost model'!M887)</f>
        <v>21.5</v>
      </c>
      <c r="K111" s="14" t="n">
        <f aca="false">J111-H111</f>
        <v>14.1</v>
      </c>
      <c r="L111" s="14" t="n">
        <f aca="false">G111-H111</f>
        <v>2.1</v>
      </c>
    </row>
    <row r="112" customFormat="false" ht="15" hidden="false" customHeight="false" outlineLevel="0" collapsed="false">
      <c r="A112" s="2" t="s">
        <v>184</v>
      </c>
      <c r="B112" s="2" t="s">
        <v>146</v>
      </c>
      <c r="C112" s="2" t="s">
        <v>48</v>
      </c>
      <c r="D112" s="2" t="s">
        <v>12</v>
      </c>
      <c r="E112" s="2" t="s">
        <v>76</v>
      </c>
      <c r="F112" s="2" t="s">
        <v>1146</v>
      </c>
      <c r="G112" s="14" t="n">
        <v>9.5</v>
      </c>
      <c r="H112" s="14" t="n">
        <v>10.41</v>
      </c>
      <c r="I112" s="14" t="n">
        <v>9.5</v>
      </c>
      <c r="J112" s="22" t="n">
        <f aca="false">IF(E112="Priority",'Cost model'!N149,'Cost model'!M149)</f>
        <v>45</v>
      </c>
      <c r="K112" s="14" t="n">
        <f aca="false">J112-H112</f>
        <v>34.59</v>
      </c>
      <c r="L112" s="14" t="n">
        <f aca="false">G112-H112</f>
        <v>-0.91</v>
      </c>
    </row>
    <row r="113" customFormat="false" ht="15" hidden="false" customHeight="false" outlineLevel="0" collapsed="false">
      <c r="A113" s="2" t="s">
        <v>240</v>
      </c>
      <c r="B113" s="2" t="s">
        <v>240</v>
      </c>
      <c r="C113" s="2" t="s">
        <v>48</v>
      </c>
      <c r="D113" s="2" t="s">
        <v>12</v>
      </c>
      <c r="E113" s="2" t="s">
        <v>76</v>
      </c>
      <c r="F113" s="2" t="s">
        <v>1145</v>
      </c>
      <c r="G113" s="14" t="n">
        <v>9.5</v>
      </c>
      <c r="H113" s="14" t="n">
        <v>28.57</v>
      </c>
      <c r="I113" s="14" t="n">
        <v>9.5</v>
      </c>
      <c r="J113" s="22" t="n">
        <f aca="false">IF(E113="Priority",'Cost model'!N887,'Cost model'!M887)</f>
        <v>21.5</v>
      </c>
      <c r="K113" s="14" t="n">
        <f aca="false">J113-H113</f>
        <v>-7.07</v>
      </c>
      <c r="L113" s="14" t="n">
        <f aca="false">G113-H113</f>
        <v>-19.07</v>
      </c>
    </row>
    <row r="114" customFormat="false" ht="15" hidden="false" customHeight="false" outlineLevel="0" collapsed="false">
      <c r="A114" s="2" t="s">
        <v>126</v>
      </c>
      <c r="B114" s="2" t="s">
        <v>221</v>
      </c>
      <c r="C114" s="2" t="s">
        <v>49</v>
      </c>
      <c r="D114" s="2" t="s">
        <v>10</v>
      </c>
      <c r="E114" s="2" t="s">
        <v>76</v>
      </c>
      <c r="F114" s="2" t="s">
        <v>1146</v>
      </c>
      <c r="G114" s="14" t="n">
        <v>12.5</v>
      </c>
      <c r="H114" s="14" t="n">
        <v>14.08</v>
      </c>
      <c r="I114" s="14" t="n">
        <v>19.5</v>
      </c>
      <c r="J114" s="22" t="n">
        <f aca="false">IF(E114="Priority",'Cost model'!N453,'Cost model'!M453)</f>
        <v>16.5</v>
      </c>
      <c r="K114" s="14" t="n">
        <f aca="false">J114-H114</f>
        <v>2.42</v>
      </c>
      <c r="L114" s="14" t="n">
        <f aca="false">G114-H114</f>
        <v>-1.58</v>
      </c>
    </row>
    <row r="115" customFormat="false" ht="15" hidden="false" customHeight="false" outlineLevel="0" collapsed="false">
      <c r="A115" s="2" t="s">
        <v>184</v>
      </c>
      <c r="B115" s="2" t="s">
        <v>184</v>
      </c>
      <c r="C115" s="2" t="s">
        <v>49</v>
      </c>
      <c r="D115" s="2" t="s">
        <v>12</v>
      </c>
      <c r="E115" s="2" t="s">
        <v>76</v>
      </c>
      <c r="F115" s="2" t="s">
        <v>1145</v>
      </c>
      <c r="G115" s="14" t="n">
        <v>12.5</v>
      </c>
      <c r="H115" s="14" t="n">
        <v>49.18</v>
      </c>
      <c r="I115" s="14"/>
      <c r="J115" s="22" t="n">
        <f aca="false">IF(E115="Priority",'Cost model'!N204,'Cost model'!M204)</f>
        <v>45</v>
      </c>
      <c r="K115" s="14" t="n">
        <f aca="false">J115-H115</f>
        <v>-4.18</v>
      </c>
      <c r="L115" s="14" t="n">
        <f aca="false">G115-H115</f>
        <v>-36.68</v>
      </c>
    </row>
    <row r="116" customFormat="false" ht="15" hidden="false" customHeight="false" outlineLevel="0" collapsed="false">
      <c r="A116" s="2" t="s">
        <v>184</v>
      </c>
      <c r="B116" s="2" t="s">
        <v>146</v>
      </c>
      <c r="C116" s="2" t="s">
        <v>49</v>
      </c>
      <c r="D116" s="2" t="s">
        <v>14</v>
      </c>
      <c r="E116" s="2" t="s">
        <v>76</v>
      </c>
      <c r="F116" s="2" t="s">
        <v>1146</v>
      </c>
      <c r="G116" s="14" t="n">
        <v>45</v>
      </c>
      <c r="H116" s="14" t="n">
        <v>100.85</v>
      </c>
      <c r="I116" s="14"/>
      <c r="J116" s="22" t="n">
        <f aca="false">IF(E116="Priority",'Cost model'!N156,'Cost model'!M156)</f>
        <v>145</v>
      </c>
      <c r="K116" s="14" t="n">
        <f aca="false">J116-H116</f>
        <v>44.15</v>
      </c>
      <c r="L116" s="14" t="n">
        <f aca="false">G116-H116</f>
        <v>-55.85</v>
      </c>
    </row>
    <row r="117" customFormat="false" ht="15" hidden="false" customHeight="false" outlineLevel="0" collapsed="false">
      <c r="A117" s="2" t="s">
        <v>221</v>
      </c>
      <c r="B117" s="2" t="s">
        <v>146</v>
      </c>
      <c r="C117" s="2" t="s">
        <v>49</v>
      </c>
      <c r="D117" s="2" t="s">
        <v>12</v>
      </c>
      <c r="E117" s="2" t="s">
        <v>76</v>
      </c>
      <c r="F117" s="2" t="s">
        <v>1146</v>
      </c>
      <c r="G117" s="14" t="n">
        <v>19.5</v>
      </c>
      <c r="H117" s="14" t="n">
        <v>99.75</v>
      </c>
      <c r="I117" s="14" t="n">
        <v>19.5</v>
      </c>
      <c r="J117" s="22" t="n">
        <f aca="false">IF(E117="Priority",'Cost model'!N654,'Cost model'!M654)</f>
        <v>80</v>
      </c>
      <c r="K117" s="14" t="n">
        <f aca="false">J117-H117</f>
        <v>-19.75</v>
      </c>
      <c r="L117" s="14" t="n">
        <f aca="false">G117-H117</f>
        <v>-80.25</v>
      </c>
    </row>
    <row r="118" customFormat="false" ht="15" hidden="false" customHeight="false" outlineLevel="0" collapsed="false">
      <c r="A118" s="2" t="s">
        <v>184</v>
      </c>
      <c r="B118" s="2" t="s">
        <v>126</v>
      </c>
      <c r="C118" s="2" t="s">
        <v>48</v>
      </c>
      <c r="D118" s="2" t="s">
        <v>12</v>
      </c>
      <c r="E118" s="2" t="s">
        <v>85</v>
      </c>
      <c r="F118" s="2" t="s">
        <v>1146</v>
      </c>
      <c r="G118" s="14" t="n">
        <v>19.5</v>
      </c>
      <c r="H118" s="14" t="n">
        <v>47.22</v>
      </c>
      <c r="I118" s="14" t="n">
        <v>19.5</v>
      </c>
      <c r="J118" s="22" t="n">
        <f aca="false">IF(E118="Priority",'Cost model'!N131,'Cost model'!M131)</f>
        <v>55</v>
      </c>
      <c r="K118" s="14" t="n">
        <f aca="false">J118-H118</f>
        <v>7.78</v>
      </c>
      <c r="L118" s="14" t="n">
        <f aca="false">G118-H118</f>
        <v>-27.72</v>
      </c>
    </row>
    <row r="119" customFormat="false" ht="15" hidden="false" customHeight="false" outlineLevel="0" collapsed="false">
      <c r="A119" s="2" t="s">
        <v>184</v>
      </c>
      <c r="B119" s="2" t="s">
        <v>184</v>
      </c>
      <c r="C119" s="2" t="s">
        <v>48</v>
      </c>
      <c r="D119" s="2" t="s">
        <v>12</v>
      </c>
      <c r="E119" s="2" t="s">
        <v>76</v>
      </c>
      <c r="F119" s="2" t="s">
        <v>1145</v>
      </c>
      <c r="G119" s="14" t="n">
        <v>9.5</v>
      </c>
      <c r="H119" s="14" t="n">
        <v>9.64</v>
      </c>
      <c r="I119" s="14" t="n">
        <v>9.5</v>
      </c>
      <c r="J119" s="22" t="n">
        <f aca="false">IF(E119="Priority",'Cost model'!N203,'Cost model'!M203)</f>
        <v>26.5</v>
      </c>
      <c r="K119" s="14" t="n">
        <f aca="false">J119-H119</f>
        <v>16.86</v>
      </c>
      <c r="L119" s="14" t="n">
        <f aca="false">G119-H119</f>
        <v>-0.140000000000001</v>
      </c>
    </row>
    <row r="120" customFormat="false" ht="15" hidden="false" customHeight="false" outlineLevel="0" collapsed="false">
      <c r="A120" s="2" t="s">
        <v>126</v>
      </c>
      <c r="B120" s="2" t="s">
        <v>126</v>
      </c>
      <c r="C120" s="2" t="s">
        <v>50</v>
      </c>
      <c r="D120" s="2" t="s">
        <v>12</v>
      </c>
      <c r="E120" s="2" t="s">
        <v>76</v>
      </c>
      <c r="F120" s="2" t="s">
        <v>1145</v>
      </c>
      <c r="G120" s="14" t="n">
        <v>19.5</v>
      </c>
      <c r="H120" s="14" t="n">
        <v>99.75</v>
      </c>
      <c r="I120" s="14" t="n">
        <v>19.5</v>
      </c>
      <c r="J120" s="22" t="n">
        <f aca="false">IF(E120="Priority",'Cost model'!N385,'Cost model'!M385)</f>
        <v>55</v>
      </c>
      <c r="K120" s="14" t="n">
        <f aca="false">J120-H120</f>
        <v>-44.75</v>
      </c>
      <c r="L120" s="14" t="n">
        <f aca="false">G120-H120</f>
        <v>-80.25</v>
      </c>
    </row>
    <row r="121" customFormat="false" ht="15" hidden="false" customHeight="false" outlineLevel="0" collapsed="false">
      <c r="A121" s="2" t="s">
        <v>146</v>
      </c>
      <c r="B121" s="2" t="s">
        <v>146</v>
      </c>
      <c r="C121" s="2" t="s">
        <v>48</v>
      </c>
      <c r="D121" s="2" t="s">
        <v>10</v>
      </c>
      <c r="E121" s="2" t="s">
        <v>76</v>
      </c>
      <c r="F121" s="2" t="s">
        <v>1145</v>
      </c>
      <c r="G121" s="14" t="n">
        <v>9.5</v>
      </c>
      <c r="H121" s="14" t="n">
        <v>9.19</v>
      </c>
      <c r="I121" s="14" t="n">
        <v>9.5</v>
      </c>
      <c r="J121" s="22" t="n">
        <f aca="false">IF(E121="Priority",'Cost model'!N758,'Cost model'!M758)</f>
        <v>9.5</v>
      </c>
      <c r="K121" s="14" t="n">
        <f aca="false">J121-H121</f>
        <v>0.310000000000001</v>
      </c>
      <c r="L121" s="14" t="n">
        <f aca="false">G121-H121</f>
        <v>0.310000000000001</v>
      </c>
    </row>
    <row r="122" customFormat="false" ht="15" hidden="false" customHeight="false" outlineLevel="0" collapsed="false">
      <c r="A122" s="2" t="s">
        <v>184</v>
      </c>
      <c r="B122" s="2" t="s">
        <v>146</v>
      </c>
      <c r="C122" s="2" t="s">
        <v>48</v>
      </c>
      <c r="D122" s="2" t="s">
        <v>12</v>
      </c>
      <c r="E122" s="2" t="s">
        <v>76</v>
      </c>
      <c r="F122" s="2" t="s">
        <v>1146</v>
      </c>
      <c r="G122" s="14" t="n">
        <v>9.5</v>
      </c>
      <c r="H122" s="14" t="n">
        <v>25.06</v>
      </c>
      <c r="I122" s="14" t="n">
        <v>9.5</v>
      </c>
      <c r="J122" s="22" t="n">
        <f aca="false">IF(E122="Priority",'Cost model'!N149,'Cost model'!M149)</f>
        <v>45</v>
      </c>
      <c r="K122" s="14" t="n">
        <f aca="false">J122-H122</f>
        <v>19.94</v>
      </c>
      <c r="L122" s="14" t="n">
        <f aca="false">G122-H122</f>
        <v>-15.56</v>
      </c>
    </row>
    <row r="123" customFormat="false" ht="15" hidden="false" customHeight="false" outlineLevel="0" collapsed="false">
      <c r="A123" s="2" t="s">
        <v>146</v>
      </c>
      <c r="B123" s="2" t="s">
        <v>184</v>
      </c>
      <c r="C123" s="2" t="s">
        <v>48</v>
      </c>
      <c r="D123" s="2" t="s">
        <v>10</v>
      </c>
      <c r="E123" s="2" t="s">
        <v>76</v>
      </c>
      <c r="F123" s="2" t="s">
        <v>1146</v>
      </c>
      <c r="G123" s="14" t="n">
        <v>14.5</v>
      </c>
      <c r="H123" s="14" t="n">
        <v>20.83</v>
      </c>
      <c r="I123" s="14" t="n">
        <v>14.5</v>
      </c>
      <c r="J123" s="22" t="n">
        <f aca="false">IF(E123="Priority",'Cost model'!N830,'Cost model'!M830)</f>
        <v>9.5</v>
      </c>
      <c r="K123" s="14" t="n">
        <f aca="false">J123-H123</f>
        <v>-11.33</v>
      </c>
      <c r="L123" s="14" t="n">
        <f aca="false">G123-H123</f>
        <v>-6.33</v>
      </c>
    </row>
    <row r="124" customFormat="false" ht="15" hidden="false" customHeight="false" outlineLevel="0" collapsed="false">
      <c r="A124" s="2" t="s">
        <v>184</v>
      </c>
      <c r="B124" s="2" t="s">
        <v>184</v>
      </c>
      <c r="C124" s="2" t="s">
        <v>49</v>
      </c>
      <c r="D124" s="2" t="s">
        <v>12</v>
      </c>
      <c r="E124" s="2" t="s">
        <v>76</v>
      </c>
      <c r="F124" s="2" t="s">
        <v>1145</v>
      </c>
      <c r="G124" s="14" t="n">
        <v>12.5</v>
      </c>
      <c r="H124" s="14" t="n">
        <v>42.61</v>
      </c>
      <c r="I124" s="14"/>
      <c r="J124" s="22" t="n">
        <f aca="false">IF(E124="Priority",'Cost model'!N204,'Cost model'!M204)</f>
        <v>45</v>
      </c>
      <c r="K124" s="14" t="n">
        <f aca="false">J124-H124</f>
        <v>2.39</v>
      </c>
      <c r="L124" s="14" t="n">
        <f aca="false">G124-H124</f>
        <v>-30.11</v>
      </c>
    </row>
    <row r="125" customFormat="false" ht="15" hidden="false" customHeight="false" outlineLevel="0" collapsed="false">
      <c r="A125" s="2" t="s">
        <v>184</v>
      </c>
      <c r="B125" s="2" t="s">
        <v>240</v>
      </c>
      <c r="C125" s="2" t="s">
        <v>48</v>
      </c>
      <c r="D125" s="2" t="s">
        <v>12</v>
      </c>
      <c r="E125" s="2" t="s">
        <v>76</v>
      </c>
      <c r="F125" s="2" t="s">
        <v>1146</v>
      </c>
      <c r="G125" s="14" t="n">
        <v>9.5</v>
      </c>
      <c r="H125" s="14" t="n">
        <v>29.04</v>
      </c>
      <c r="I125" s="14" t="n">
        <v>24.5</v>
      </c>
      <c r="J125" s="22" t="n">
        <f aca="false">IF(E125="Priority",'Cost model'!N185,'Cost model'!M185)</f>
        <v>55</v>
      </c>
      <c r="K125" s="14" t="n">
        <f aca="false">J125-H125</f>
        <v>25.96</v>
      </c>
      <c r="L125" s="14" t="n">
        <f aca="false">G125-H125</f>
        <v>-19.54</v>
      </c>
    </row>
    <row r="126" customFormat="false" ht="15" hidden="false" customHeight="false" outlineLevel="0" collapsed="false">
      <c r="A126" s="2" t="s">
        <v>184</v>
      </c>
      <c r="B126" s="2" t="s">
        <v>184</v>
      </c>
      <c r="C126" s="2" t="s">
        <v>50</v>
      </c>
      <c r="D126" s="2" t="s">
        <v>13</v>
      </c>
      <c r="E126" s="2" t="s">
        <v>76</v>
      </c>
      <c r="F126" s="2" t="s">
        <v>1145</v>
      </c>
      <c r="G126" s="14" t="n">
        <v>50</v>
      </c>
      <c r="H126" s="14" t="n">
        <v>60.29</v>
      </c>
      <c r="I126" s="14" t="n">
        <v>50</v>
      </c>
      <c r="J126" s="22" t="n">
        <f aca="false">IF(E126="Priority",'Cost model'!N208,'Cost model'!M208)</f>
        <v>80</v>
      </c>
      <c r="K126" s="14" t="n">
        <f aca="false">J126-H126</f>
        <v>19.71</v>
      </c>
      <c r="L126" s="14" t="n">
        <f aca="false">G126-H126</f>
        <v>-10.29</v>
      </c>
    </row>
    <row r="127" customFormat="false" ht="15" hidden="false" customHeight="false" outlineLevel="0" collapsed="false">
      <c r="A127" s="2" t="s">
        <v>184</v>
      </c>
      <c r="B127" s="2" t="s">
        <v>184</v>
      </c>
      <c r="C127" s="2" t="s">
        <v>48</v>
      </c>
      <c r="D127" s="2" t="s">
        <v>10</v>
      </c>
      <c r="E127" s="2" t="s">
        <v>76</v>
      </c>
      <c r="F127" s="2" t="s">
        <v>1145</v>
      </c>
      <c r="G127" s="14" t="n">
        <v>9.5</v>
      </c>
      <c r="H127" s="14" t="n">
        <v>7.72</v>
      </c>
      <c r="I127" s="14" t="n">
        <v>9.5</v>
      </c>
      <c r="J127" s="22" t="n">
        <f aca="false">IF(E127="Priority",'Cost model'!N200,'Cost model'!M200)</f>
        <v>7.5</v>
      </c>
      <c r="K127" s="14" t="n">
        <f aca="false">J127-H127</f>
        <v>-0.22</v>
      </c>
      <c r="L127" s="14" t="n">
        <f aca="false">G127-H127</f>
        <v>1.78</v>
      </c>
    </row>
    <row r="128" customFormat="false" ht="15" hidden="false" customHeight="false" outlineLevel="0" collapsed="false">
      <c r="A128" s="2" t="s">
        <v>221</v>
      </c>
      <c r="B128" s="2" t="s">
        <v>221</v>
      </c>
      <c r="C128" s="2" t="s">
        <v>49</v>
      </c>
      <c r="D128" s="2" t="s">
        <v>10</v>
      </c>
      <c r="E128" s="2" t="s">
        <v>76</v>
      </c>
      <c r="F128" s="2" t="s">
        <v>1145</v>
      </c>
      <c r="G128" s="14" t="n">
        <v>14.5</v>
      </c>
      <c r="H128" s="14" t="n">
        <v>11.59</v>
      </c>
      <c r="I128" s="14" t="n">
        <v>12.5</v>
      </c>
      <c r="J128" s="22" t="n">
        <f aca="false">IF(E128="Priority",'Cost model'!N633,'Cost model'!M633)</f>
        <v>13.5</v>
      </c>
      <c r="K128" s="14" t="n">
        <f aca="false">J128-H128</f>
        <v>1.91</v>
      </c>
      <c r="L128" s="14" t="n">
        <f aca="false">G128-H128</f>
        <v>2.91</v>
      </c>
    </row>
    <row r="129" customFormat="false" ht="15" hidden="false" customHeight="false" outlineLevel="0" collapsed="false">
      <c r="A129" s="2" t="s">
        <v>240</v>
      </c>
      <c r="B129" s="2" t="s">
        <v>240</v>
      </c>
      <c r="C129" s="2" t="s">
        <v>50</v>
      </c>
      <c r="D129" s="2" t="s">
        <v>12</v>
      </c>
      <c r="E129" s="2" t="s">
        <v>85</v>
      </c>
      <c r="F129" s="2" t="s">
        <v>1145</v>
      </c>
      <c r="G129" s="14" t="n">
        <v>29.5</v>
      </c>
      <c r="H129" s="14" t="n">
        <v>69.73</v>
      </c>
      <c r="I129" s="14" t="n">
        <v>29.5</v>
      </c>
      <c r="J129" s="22" t="n">
        <f aca="false">IF(E129="Priority",'Cost model'!N889,'Cost model'!M889)</f>
        <v>80</v>
      </c>
      <c r="K129" s="14" t="n">
        <f aca="false">J129-H129</f>
        <v>10.27</v>
      </c>
      <c r="L129" s="14" t="n">
        <f aca="false">G129-H129</f>
        <v>-40.23</v>
      </c>
    </row>
    <row r="130" customFormat="false" ht="15" hidden="false" customHeight="false" outlineLevel="0" collapsed="false">
      <c r="A130" s="2" t="s">
        <v>126</v>
      </c>
      <c r="B130" s="2" t="s">
        <v>126</v>
      </c>
      <c r="C130" s="2" t="s">
        <v>49</v>
      </c>
      <c r="D130" s="2" t="s">
        <v>10</v>
      </c>
      <c r="E130" s="2" t="s">
        <v>76</v>
      </c>
      <c r="F130" s="2" t="s">
        <v>1145</v>
      </c>
      <c r="G130" s="14" t="n">
        <v>12.5</v>
      </c>
      <c r="H130" s="14" t="n">
        <v>8.1</v>
      </c>
      <c r="I130" s="14" t="n">
        <v>12.5</v>
      </c>
      <c r="J130" s="22" t="n">
        <f aca="false">IF(E130="Priority",'Cost model'!N381,'Cost model'!M381)</f>
        <v>14.5</v>
      </c>
      <c r="K130" s="14" t="n">
        <f aca="false">J130-H130</f>
        <v>6.4</v>
      </c>
      <c r="L130" s="14" t="n">
        <f aca="false">G130-H130</f>
        <v>4.4</v>
      </c>
    </row>
    <row r="131" customFormat="false" ht="15" hidden="false" customHeight="false" outlineLevel="0" collapsed="false">
      <c r="A131" s="2" t="s">
        <v>126</v>
      </c>
      <c r="B131" s="2" t="s">
        <v>126</v>
      </c>
      <c r="C131" s="2" t="s">
        <v>49</v>
      </c>
      <c r="D131" s="2" t="s">
        <v>14</v>
      </c>
      <c r="E131" s="2" t="s">
        <v>76</v>
      </c>
      <c r="F131" s="2" t="s">
        <v>1145</v>
      </c>
      <c r="G131" s="14" t="n">
        <v>19.5</v>
      </c>
      <c r="H131" s="14" t="n">
        <v>65.44</v>
      </c>
      <c r="I131" s="14" t="n">
        <v>45</v>
      </c>
      <c r="J131" s="22" t="n">
        <f aca="false">IF(E131="Priority",'Cost model'!N390,'Cost model'!M390)</f>
        <v>115</v>
      </c>
      <c r="K131" s="14" t="n">
        <f aca="false">J131-H131</f>
        <v>49.56</v>
      </c>
      <c r="L131" s="14" t="n">
        <f aca="false">G131-H131</f>
        <v>-45.94</v>
      </c>
    </row>
    <row r="132" customFormat="false" ht="15" hidden="false" customHeight="false" outlineLevel="0" collapsed="false">
      <c r="A132" s="2" t="s">
        <v>126</v>
      </c>
      <c r="B132" s="2" t="s">
        <v>184</v>
      </c>
      <c r="C132" s="2" t="s">
        <v>48</v>
      </c>
      <c r="D132" s="2" t="s">
        <v>14</v>
      </c>
      <c r="E132" s="2" t="s">
        <v>76</v>
      </c>
      <c r="F132" s="2" t="s">
        <v>1146</v>
      </c>
      <c r="G132" s="14" t="n">
        <v>25</v>
      </c>
      <c r="H132" s="14" t="n">
        <v>254.82</v>
      </c>
      <c r="I132" s="14" t="n">
        <v>85</v>
      </c>
      <c r="J132" s="22" t="n">
        <f aca="false">IF(E132="Priority",'Cost model'!N443,'Cost model'!M443)</f>
        <v>155</v>
      </c>
      <c r="K132" s="14" t="n">
        <f aca="false">J132-H132</f>
        <v>-99.82</v>
      </c>
      <c r="L132" s="14" t="n">
        <f aca="false">G132-H132</f>
        <v>-229.82</v>
      </c>
    </row>
    <row r="133" customFormat="false" ht="15" hidden="false" customHeight="false" outlineLevel="0" collapsed="false">
      <c r="A133" s="2" t="s">
        <v>240</v>
      </c>
      <c r="B133" s="2" t="s">
        <v>240</v>
      </c>
      <c r="C133" s="2" t="s">
        <v>48</v>
      </c>
      <c r="D133" s="2" t="s">
        <v>12</v>
      </c>
      <c r="E133" s="2" t="s">
        <v>76</v>
      </c>
      <c r="F133" s="2" t="s">
        <v>1145</v>
      </c>
      <c r="G133" s="14" t="n">
        <v>9.5</v>
      </c>
      <c r="H133" s="14" t="n">
        <v>16.06</v>
      </c>
      <c r="I133" s="14" t="n">
        <v>9.5</v>
      </c>
      <c r="J133" s="22" t="n">
        <f aca="false">IF(E133="Priority",'Cost model'!N887,'Cost model'!M887)</f>
        <v>21.5</v>
      </c>
      <c r="K133" s="14" t="n">
        <f aca="false">J133-H133</f>
        <v>5.44</v>
      </c>
      <c r="L133" s="14" t="n">
        <f aca="false">G133-H133</f>
        <v>-6.56</v>
      </c>
    </row>
    <row r="134" customFormat="false" ht="15" hidden="false" customHeight="false" outlineLevel="0" collapsed="false">
      <c r="A134" s="2" t="s">
        <v>240</v>
      </c>
      <c r="B134" s="2" t="s">
        <v>126</v>
      </c>
      <c r="C134" s="2" t="s">
        <v>50</v>
      </c>
      <c r="D134" s="2" t="s">
        <v>10</v>
      </c>
      <c r="E134" s="2" t="s">
        <v>76</v>
      </c>
      <c r="F134" s="2" t="s">
        <v>1146</v>
      </c>
      <c r="G134" s="14" t="n">
        <v>17.5</v>
      </c>
      <c r="H134" s="14" t="n">
        <v>18.13</v>
      </c>
      <c r="I134" s="14" t="n">
        <v>19.5</v>
      </c>
      <c r="J134" s="22" t="n">
        <f aca="false">IF(E134="Priority",'Cost model'!N958,'Cost model'!M958)</f>
        <v>24.5</v>
      </c>
      <c r="K134" s="14" t="n">
        <f aca="false">J134-H134</f>
        <v>6.37</v>
      </c>
      <c r="L134" s="14" t="n">
        <f aca="false">G134-H134</f>
        <v>-0.629999999999999</v>
      </c>
    </row>
    <row r="135" customFormat="false" ht="15" hidden="false" customHeight="false" outlineLevel="0" collapsed="false">
      <c r="A135" s="2" t="s">
        <v>126</v>
      </c>
      <c r="B135" s="2" t="s">
        <v>126</v>
      </c>
      <c r="C135" s="2" t="s">
        <v>49</v>
      </c>
      <c r="D135" s="2" t="s">
        <v>10</v>
      </c>
      <c r="E135" s="2" t="s">
        <v>76</v>
      </c>
      <c r="F135" s="2" t="s">
        <v>1145</v>
      </c>
      <c r="G135" s="14" t="n">
        <v>12.5</v>
      </c>
      <c r="H135" s="14" t="n">
        <v>7.93</v>
      </c>
      <c r="I135" s="14" t="n">
        <v>12.5</v>
      </c>
      <c r="J135" s="22" t="n">
        <f aca="false">IF(E135="Priority",'Cost model'!N381,'Cost model'!M381)</f>
        <v>14.5</v>
      </c>
      <c r="K135" s="14" t="n">
        <f aca="false">J135-H135</f>
        <v>6.57</v>
      </c>
      <c r="L135" s="14" t="n">
        <f aca="false">G135-H135</f>
        <v>4.57</v>
      </c>
    </row>
    <row r="136" customFormat="false" ht="15" hidden="false" customHeight="false" outlineLevel="0" collapsed="false">
      <c r="A136" s="2" t="s">
        <v>184</v>
      </c>
      <c r="B136" s="2" t="s">
        <v>184</v>
      </c>
      <c r="C136" s="2" t="s">
        <v>49</v>
      </c>
      <c r="D136" s="2" t="s">
        <v>10</v>
      </c>
      <c r="E136" s="2" t="s">
        <v>76</v>
      </c>
      <c r="F136" s="2" t="s">
        <v>1145</v>
      </c>
      <c r="G136" s="14" t="n">
        <v>12.5</v>
      </c>
      <c r="H136" s="14" t="n">
        <v>12.27</v>
      </c>
      <c r="I136" s="14"/>
      <c r="J136" s="22" t="n">
        <f aca="false">IF(E136="Priority",'Cost model'!N201,'Cost model'!M201)</f>
        <v>12.5</v>
      </c>
      <c r="K136" s="14" t="n">
        <f aca="false">J136-H136</f>
        <v>0.23</v>
      </c>
      <c r="L136" s="14" t="n">
        <f aca="false">G136-H136</f>
        <v>0.23</v>
      </c>
    </row>
    <row r="137" customFormat="false" ht="15" hidden="false" customHeight="false" outlineLevel="0" collapsed="false">
      <c r="A137" s="2" t="s">
        <v>146</v>
      </c>
      <c r="B137" s="2" t="s">
        <v>146</v>
      </c>
      <c r="C137" s="2" t="s">
        <v>48</v>
      </c>
      <c r="D137" s="2" t="s">
        <v>10</v>
      </c>
      <c r="E137" s="2" t="s">
        <v>85</v>
      </c>
      <c r="F137" s="2" t="s">
        <v>1145</v>
      </c>
      <c r="G137" s="14" t="n">
        <v>14.5</v>
      </c>
      <c r="H137" s="14" t="n">
        <v>20.83</v>
      </c>
      <c r="I137" s="14" t="n">
        <v>14.5</v>
      </c>
      <c r="J137" s="22" t="n">
        <f aca="false">IF(E137="Priority",'Cost model'!N758,'Cost model'!M758)</f>
        <v>14.5</v>
      </c>
      <c r="K137" s="14" t="n">
        <f aca="false">J137-H137</f>
        <v>-6.33</v>
      </c>
      <c r="L137" s="14" t="n">
        <f aca="false">G137-H137</f>
        <v>-6.33</v>
      </c>
    </row>
    <row r="138" customFormat="false" ht="15" hidden="false" customHeight="false" outlineLevel="0" collapsed="false">
      <c r="A138" s="2" t="s">
        <v>126</v>
      </c>
      <c r="B138" s="2" t="s">
        <v>126</v>
      </c>
      <c r="C138" s="2" t="s">
        <v>48</v>
      </c>
      <c r="D138" s="2" t="s">
        <v>12</v>
      </c>
      <c r="E138" s="2" t="s">
        <v>76</v>
      </c>
      <c r="F138" s="2" t="s">
        <v>1145</v>
      </c>
      <c r="G138" s="14" t="n">
        <v>9.5</v>
      </c>
      <c r="H138" s="14" t="n">
        <v>7.72</v>
      </c>
      <c r="I138" s="14" t="n">
        <v>9.5</v>
      </c>
      <c r="J138" s="22" t="n">
        <f aca="false">IF(E138="Priority",'Cost model'!N383,'Cost model'!M383)</f>
        <v>27.5</v>
      </c>
      <c r="K138" s="14" t="n">
        <f aca="false">J138-H138</f>
        <v>19.78</v>
      </c>
      <c r="L138" s="14" t="n">
        <f aca="false">G138-H138</f>
        <v>1.78</v>
      </c>
    </row>
    <row r="139" customFormat="false" ht="15" hidden="false" customHeight="false" outlineLevel="0" collapsed="false">
      <c r="A139" s="2" t="s">
        <v>184</v>
      </c>
      <c r="B139" s="2" t="s">
        <v>184</v>
      </c>
      <c r="C139" s="2" t="s">
        <v>48</v>
      </c>
      <c r="D139" s="2" t="s">
        <v>10</v>
      </c>
      <c r="E139" s="2" t="s">
        <v>76</v>
      </c>
      <c r="F139" s="2" t="s">
        <v>1145</v>
      </c>
      <c r="G139" s="14" t="n">
        <v>9.5</v>
      </c>
      <c r="H139" s="14" t="n">
        <v>7.46</v>
      </c>
      <c r="I139" s="14" t="n">
        <v>9.5</v>
      </c>
      <c r="J139" s="22" t="n">
        <f aca="false">IF(E139="Priority",'Cost model'!N200,'Cost model'!M200)</f>
        <v>7.5</v>
      </c>
      <c r="K139" s="14" t="n">
        <f aca="false">J139-H139</f>
        <v>0.04</v>
      </c>
      <c r="L139" s="14" t="n">
        <f aca="false">G139-H139</f>
        <v>2.04</v>
      </c>
    </row>
    <row r="140" customFormat="false" ht="15" hidden="false" customHeight="false" outlineLevel="0" collapsed="false">
      <c r="A140" s="2" t="s">
        <v>146</v>
      </c>
      <c r="B140" s="2" t="s">
        <v>126</v>
      </c>
      <c r="C140" s="2" t="s">
        <v>50</v>
      </c>
      <c r="D140" s="2" t="s">
        <v>12</v>
      </c>
      <c r="E140" s="2" t="s">
        <v>76</v>
      </c>
      <c r="F140" s="2" t="s">
        <v>1146</v>
      </c>
      <c r="G140" s="14" t="n">
        <v>19.5</v>
      </c>
      <c r="H140" s="14" t="n">
        <v>51.52</v>
      </c>
      <c r="I140" s="14" t="n">
        <v>19.5</v>
      </c>
      <c r="J140" s="22" t="n">
        <f aca="false">IF(E140="Priority",'Cost model'!N799,'Cost model'!M799)</f>
        <v>55</v>
      </c>
      <c r="K140" s="14" t="n">
        <f aca="false">J140-H140</f>
        <v>3.48</v>
      </c>
      <c r="L140" s="14" t="n">
        <f aca="false">G140-H140</f>
        <v>-32.02</v>
      </c>
    </row>
    <row r="141" customFormat="false" ht="15" hidden="false" customHeight="false" outlineLevel="0" collapsed="false">
      <c r="A141" s="2" t="s">
        <v>240</v>
      </c>
      <c r="B141" s="2" t="s">
        <v>240</v>
      </c>
      <c r="C141" s="2" t="s">
        <v>50</v>
      </c>
      <c r="D141" s="2" t="s">
        <v>12</v>
      </c>
      <c r="E141" s="2" t="s">
        <v>85</v>
      </c>
      <c r="F141" s="2" t="s">
        <v>1145</v>
      </c>
      <c r="G141" s="14" t="n">
        <v>29.5</v>
      </c>
      <c r="H141" s="14" t="n">
        <v>116.73</v>
      </c>
      <c r="I141" s="14" t="n">
        <v>29.5</v>
      </c>
      <c r="J141" s="22" t="n">
        <f aca="false">IF(E141="Priority",'Cost model'!N889,'Cost model'!M889)</f>
        <v>80</v>
      </c>
      <c r="K141" s="14" t="n">
        <f aca="false">J141-H141</f>
        <v>-36.73</v>
      </c>
      <c r="L141" s="14" t="n">
        <f aca="false">G141-H141</f>
        <v>-87.23</v>
      </c>
    </row>
    <row r="142" customFormat="false" ht="15" hidden="false" customHeight="false" outlineLevel="0" collapsed="false">
      <c r="A142" s="2" t="s">
        <v>146</v>
      </c>
      <c r="B142" s="2" t="s">
        <v>146</v>
      </c>
      <c r="C142" s="2" t="s">
        <v>50</v>
      </c>
      <c r="D142" s="2" t="s">
        <v>10</v>
      </c>
      <c r="E142" s="2" t="s">
        <v>76</v>
      </c>
      <c r="F142" s="2" t="s">
        <v>1145</v>
      </c>
      <c r="G142" s="14" t="n">
        <v>17.5</v>
      </c>
      <c r="H142" s="14" t="n">
        <v>20.83</v>
      </c>
      <c r="I142" s="14" t="n">
        <v>17.5</v>
      </c>
      <c r="J142" s="22" t="n">
        <f aca="false">IF(E142="Priority",'Cost model'!N760,'Cost model'!M760)</f>
        <v>18.5</v>
      </c>
      <c r="K142" s="14" t="n">
        <f aca="false">J142-H142</f>
        <v>-2.33</v>
      </c>
      <c r="L142" s="14" t="n">
        <f aca="false">G142-H142</f>
        <v>-3.33</v>
      </c>
    </row>
    <row r="143" customFormat="false" ht="15" hidden="false" customHeight="false" outlineLevel="0" collapsed="false">
      <c r="A143" s="2" t="s">
        <v>126</v>
      </c>
      <c r="B143" s="2" t="s">
        <v>126</v>
      </c>
      <c r="C143" s="2" t="s">
        <v>48</v>
      </c>
      <c r="D143" s="2" t="s">
        <v>12</v>
      </c>
      <c r="E143" s="2" t="s">
        <v>76</v>
      </c>
      <c r="F143" s="2" t="s">
        <v>1145</v>
      </c>
      <c r="G143" s="14" t="n">
        <v>9.5</v>
      </c>
      <c r="H143" s="14" t="n">
        <v>28.36</v>
      </c>
      <c r="I143" s="14" t="n">
        <v>9.5</v>
      </c>
      <c r="J143" s="22" t="n">
        <f aca="false">IF(E143="Priority",'Cost model'!N383,'Cost model'!M383)</f>
        <v>27.5</v>
      </c>
      <c r="K143" s="14" t="n">
        <f aca="false">J143-H143</f>
        <v>-0.859999999999999</v>
      </c>
      <c r="L143" s="14" t="n">
        <f aca="false">G143-H143</f>
        <v>-18.86</v>
      </c>
    </row>
    <row r="144" customFormat="false" ht="15" hidden="false" customHeight="false" outlineLevel="0" collapsed="false">
      <c r="A144" s="2" t="s">
        <v>146</v>
      </c>
      <c r="B144" s="2" t="s">
        <v>146</v>
      </c>
      <c r="C144" s="2" t="s">
        <v>49</v>
      </c>
      <c r="D144" s="2" t="s">
        <v>12</v>
      </c>
      <c r="E144" s="2" t="s">
        <v>85</v>
      </c>
      <c r="F144" s="2" t="s">
        <v>1145</v>
      </c>
      <c r="G144" s="14" t="n">
        <v>19.5</v>
      </c>
      <c r="H144" s="14" t="n">
        <v>53.03</v>
      </c>
      <c r="I144" s="14" t="n">
        <v>19.5</v>
      </c>
      <c r="J144" s="22" t="n">
        <f aca="false">IF(E144="Priority",'Cost model'!N762,'Cost model'!M762)</f>
        <v>60</v>
      </c>
      <c r="K144" s="14" t="n">
        <f aca="false">J144-H144</f>
        <v>6.97</v>
      </c>
      <c r="L144" s="14" t="n">
        <f aca="false">G144-H144</f>
        <v>-33.53</v>
      </c>
    </row>
    <row r="145" customFormat="false" ht="15" hidden="false" customHeight="false" outlineLevel="0" collapsed="false">
      <c r="A145" s="2" t="s">
        <v>146</v>
      </c>
      <c r="B145" s="2" t="s">
        <v>146</v>
      </c>
      <c r="C145" s="2" t="s">
        <v>49</v>
      </c>
      <c r="D145" s="2" t="s">
        <v>10</v>
      </c>
      <c r="E145" s="2" t="s">
        <v>76</v>
      </c>
      <c r="F145" s="2" t="s">
        <v>1145</v>
      </c>
      <c r="G145" s="14" t="n">
        <v>14.5</v>
      </c>
      <c r="H145" s="14" t="n">
        <v>6.64</v>
      </c>
      <c r="I145" s="14" t="n">
        <v>12.5</v>
      </c>
      <c r="J145" s="22" t="n">
        <f aca="false">IF(E145="Priority",'Cost model'!N759,'Cost model'!M759)</f>
        <v>15.5</v>
      </c>
      <c r="K145" s="14" t="n">
        <f aca="false">J145-H145</f>
        <v>8.86</v>
      </c>
      <c r="L145" s="14" t="n">
        <f aca="false">G145-H145</f>
        <v>7.86</v>
      </c>
    </row>
    <row r="146" customFormat="false" ht="15" hidden="false" customHeight="false" outlineLevel="0" collapsed="false">
      <c r="A146" s="2" t="s">
        <v>126</v>
      </c>
      <c r="B146" s="2" t="s">
        <v>126</v>
      </c>
      <c r="C146" s="2" t="s">
        <v>48</v>
      </c>
      <c r="D146" s="2" t="s">
        <v>10</v>
      </c>
      <c r="E146" s="2" t="s">
        <v>76</v>
      </c>
      <c r="F146" s="2" t="s">
        <v>1145</v>
      </c>
      <c r="G146" s="14" t="n">
        <v>9.5</v>
      </c>
      <c r="H146" s="14" t="n">
        <v>7.12</v>
      </c>
      <c r="I146" s="14" t="n">
        <v>9.5</v>
      </c>
      <c r="J146" s="22" t="n">
        <f aca="false">IF(E146="Priority",'Cost model'!N380,'Cost model'!M380)</f>
        <v>8.5</v>
      </c>
      <c r="K146" s="14" t="n">
        <f aca="false">J146-H146</f>
        <v>1.38</v>
      </c>
      <c r="L146" s="14" t="n">
        <f aca="false">G146-H146</f>
        <v>2.38</v>
      </c>
    </row>
    <row r="147" customFormat="false" ht="15" hidden="false" customHeight="false" outlineLevel="0" collapsed="false">
      <c r="A147" s="2" t="s">
        <v>240</v>
      </c>
      <c r="B147" s="2" t="s">
        <v>240</v>
      </c>
      <c r="C147" s="2" t="s">
        <v>50</v>
      </c>
      <c r="D147" s="2" t="s">
        <v>10</v>
      </c>
      <c r="E147" s="2" t="s">
        <v>85</v>
      </c>
      <c r="F147" s="2" t="s">
        <v>1145</v>
      </c>
      <c r="G147" s="14" t="n">
        <v>24.5</v>
      </c>
      <c r="H147" s="14" t="n">
        <v>21.34</v>
      </c>
      <c r="I147" s="14" t="n">
        <v>24.5</v>
      </c>
      <c r="J147" s="22" t="n">
        <f aca="false">IF(E147="Priority",'Cost model'!N886,'Cost model'!M886)</f>
        <v>23.5</v>
      </c>
      <c r="K147" s="14" t="n">
        <f aca="false">J147-H147</f>
        <v>2.16</v>
      </c>
      <c r="L147" s="14" t="n">
        <f aca="false">G147-H147</f>
        <v>3.16</v>
      </c>
    </row>
    <row r="148" customFormat="false" ht="15" hidden="false" customHeight="false" outlineLevel="0" collapsed="false">
      <c r="A148" s="2" t="s">
        <v>146</v>
      </c>
      <c r="B148" s="2" t="s">
        <v>146</v>
      </c>
      <c r="C148" s="2" t="s">
        <v>48</v>
      </c>
      <c r="D148" s="2" t="s">
        <v>10</v>
      </c>
      <c r="E148" s="2" t="s">
        <v>85</v>
      </c>
      <c r="F148" s="2" t="s">
        <v>1145</v>
      </c>
      <c r="G148" s="14" t="n">
        <v>14.5</v>
      </c>
      <c r="H148" s="14" t="n">
        <v>7.68</v>
      </c>
      <c r="I148" s="14" t="n">
        <v>14.5</v>
      </c>
      <c r="J148" s="22" t="n">
        <f aca="false">IF(E148="Priority",'Cost model'!N758,'Cost model'!M758)</f>
        <v>14.5</v>
      </c>
      <c r="K148" s="14" t="n">
        <f aca="false">J148-H148</f>
        <v>6.82</v>
      </c>
      <c r="L148" s="14" t="n">
        <f aca="false">G148-H148</f>
        <v>6.82</v>
      </c>
    </row>
    <row r="149" customFormat="false" ht="15" hidden="false" customHeight="false" outlineLevel="0" collapsed="false">
      <c r="A149" s="2" t="s">
        <v>146</v>
      </c>
      <c r="B149" s="2" t="s">
        <v>146</v>
      </c>
      <c r="C149" s="2" t="s">
        <v>48</v>
      </c>
      <c r="D149" s="2" t="s">
        <v>12</v>
      </c>
      <c r="E149" s="2" t="s">
        <v>76</v>
      </c>
      <c r="F149" s="2" t="s">
        <v>1145</v>
      </c>
      <c r="G149" s="14" t="n">
        <v>9.5</v>
      </c>
      <c r="H149" s="14" t="n">
        <v>43.59</v>
      </c>
      <c r="I149" s="14" t="n">
        <v>9.5</v>
      </c>
      <c r="J149" s="22" t="n">
        <f aca="false">IF(E149="Priority",'Cost model'!N761,'Cost model'!M761)</f>
        <v>35</v>
      </c>
      <c r="K149" s="14" t="n">
        <f aca="false">J149-H149</f>
        <v>-8.59</v>
      </c>
      <c r="L149" s="14" t="n">
        <f aca="false">G149-H149</f>
        <v>-34.09</v>
      </c>
    </row>
    <row r="150" customFormat="false" ht="15" hidden="false" customHeight="false" outlineLevel="0" collapsed="false">
      <c r="A150" s="2" t="s">
        <v>146</v>
      </c>
      <c r="B150" s="2" t="s">
        <v>146</v>
      </c>
      <c r="C150" s="2" t="s">
        <v>48</v>
      </c>
      <c r="D150" s="2" t="s">
        <v>10</v>
      </c>
      <c r="E150" s="2" t="s">
        <v>76</v>
      </c>
      <c r="F150" s="2" t="s">
        <v>1145</v>
      </c>
      <c r="G150" s="14" t="n">
        <v>9.5</v>
      </c>
      <c r="H150" s="14" t="n">
        <v>5.27</v>
      </c>
      <c r="I150" s="14" t="n">
        <v>9.5</v>
      </c>
      <c r="J150" s="22" t="n">
        <f aca="false">IF(E150="Priority",'Cost model'!N758,'Cost model'!M758)</f>
        <v>9.5</v>
      </c>
      <c r="K150" s="14" t="n">
        <f aca="false">J150-H150</f>
        <v>4.23</v>
      </c>
      <c r="L150" s="14" t="n">
        <f aca="false">G150-H150</f>
        <v>4.23</v>
      </c>
    </row>
    <row r="151" customFormat="false" ht="15" hidden="false" customHeight="false" outlineLevel="0" collapsed="false">
      <c r="A151" s="2" t="s">
        <v>126</v>
      </c>
      <c r="B151" s="2" t="s">
        <v>126</v>
      </c>
      <c r="C151" s="2" t="s">
        <v>50</v>
      </c>
      <c r="D151" s="2" t="s">
        <v>10</v>
      </c>
      <c r="E151" s="2" t="s">
        <v>85</v>
      </c>
      <c r="F151" s="2" t="s">
        <v>1145</v>
      </c>
      <c r="G151" s="14" t="n">
        <v>24.5</v>
      </c>
      <c r="H151" s="14" t="n">
        <v>33.57</v>
      </c>
      <c r="I151" s="14" t="n">
        <v>24.5</v>
      </c>
      <c r="J151" s="22" t="n">
        <f aca="false">IF(E151="Priority",'Cost model'!N382,'Cost model'!M382)</f>
        <v>25.5</v>
      </c>
      <c r="K151" s="14" t="n">
        <f aca="false">J151-H151</f>
        <v>-8.07</v>
      </c>
      <c r="L151" s="14" t="n">
        <f aca="false">G151-H151</f>
        <v>-9.07</v>
      </c>
    </row>
    <row r="152" customFormat="false" ht="15" hidden="false" customHeight="false" outlineLevel="0" collapsed="false">
      <c r="A152" s="2" t="s">
        <v>126</v>
      </c>
      <c r="B152" s="2" t="s">
        <v>126</v>
      </c>
      <c r="C152" s="2" t="s">
        <v>49</v>
      </c>
      <c r="D152" s="2" t="s">
        <v>12</v>
      </c>
      <c r="E152" s="2" t="s">
        <v>76</v>
      </c>
      <c r="F152" s="2" t="s">
        <v>1145</v>
      </c>
      <c r="G152" s="14" t="n">
        <v>12.5</v>
      </c>
      <c r="H152" s="14" t="n">
        <v>35.94</v>
      </c>
      <c r="I152" s="14" t="n">
        <v>12.5</v>
      </c>
      <c r="J152" s="22" t="n">
        <f aca="false">IF(E152="Priority",'Cost model'!N384,'Cost model'!M384)</f>
        <v>45</v>
      </c>
      <c r="K152" s="14" t="n">
        <f aca="false">J152-H152</f>
        <v>9.06</v>
      </c>
      <c r="L152" s="14" t="n">
        <f aca="false">G152-H152</f>
        <v>-23.44</v>
      </c>
    </row>
    <row r="153" customFormat="false" ht="15" hidden="false" customHeight="false" outlineLevel="0" collapsed="false">
      <c r="A153" s="2" t="s">
        <v>126</v>
      </c>
      <c r="B153" s="2" t="s">
        <v>126</v>
      </c>
      <c r="C153" s="2" t="s">
        <v>49</v>
      </c>
      <c r="D153" s="2" t="s">
        <v>10</v>
      </c>
      <c r="E153" s="2" t="s">
        <v>76</v>
      </c>
      <c r="F153" s="2" t="s">
        <v>1145</v>
      </c>
      <c r="G153" s="14" t="n">
        <v>14.5</v>
      </c>
      <c r="H153" s="14" t="n">
        <v>11.34</v>
      </c>
      <c r="I153" s="14" t="n">
        <v>12.5</v>
      </c>
      <c r="J153" s="22" t="n">
        <f aca="false">IF(E153="Priority",'Cost model'!N381,'Cost model'!M381)</f>
        <v>14.5</v>
      </c>
      <c r="K153" s="14" t="n">
        <f aca="false">J153-H153</f>
        <v>3.16</v>
      </c>
      <c r="L153" s="14" t="n">
        <f aca="false">G153-H153</f>
        <v>3.16</v>
      </c>
    </row>
    <row r="154" customFormat="false" ht="15" hidden="false" customHeight="false" outlineLevel="0" collapsed="false">
      <c r="A154" s="2" t="s">
        <v>240</v>
      </c>
      <c r="B154" s="2" t="s">
        <v>240</v>
      </c>
      <c r="C154" s="2" t="s">
        <v>48</v>
      </c>
      <c r="D154" s="2" t="s">
        <v>10</v>
      </c>
      <c r="E154" s="2" t="s">
        <v>76</v>
      </c>
      <c r="F154" s="2" t="s">
        <v>1145</v>
      </c>
      <c r="G154" s="14" t="n">
        <v>9.5</v>
      </c>
      <c r="H154" s="14" t="n">
        <v>10.95</v>
      </c>
      <c r="I154" s="14" t="n">
        <v>9.5</v>
      </c>
      <c r="J154" s="22" t="n">
        <f aca="false">IF(E154="Priority",'Cost model'!N884,'Cost model'!M884)</f>
        <v>7.5</v>
      </c>
      <c r="K154" s="14" t="n">
        <f aca="false">J154-H154</f>
        <v>-3.45</v>
      </c>
      <c r="L154" s="14" t="n">
        <f aca="false">G154-H154</f>
        <v>-1.45</v>
      </c>
    </row>
    <row r="155" customFormat="false" ht="15" hidden="false" customHeight="false" outlineLevel="0" collapsed="false">
      <c r="A155" s="2" t="s">
        <v>184</v>
      </c>
      <c r="B155" s="2" t="s">
        <v>184</v>
      </c>
      <c r="C155" s="2" t="s">
        <v>48</v>
      </c>
      <c r="D155" s="2" t="s">
        <v>10</v>
      </c>
      <c r="E155" s="2" t="s">
        <v>76</v>
      </c>
      <c r="F155" s="2" t="s">
        <v>1145</v>
      </c>
      <c r="G155" s="14" t="n">
        <v>9.5</v>
      </c>
      <c r="H155" s="14" t="n">
        <v>7.45</v>
      </c>
      <c r="I155" s="14" t="n">
        <v>9.5</v>
      </c>
      <c r="J155" s="22" t="n">
        <f aca="false">IF(E155="Priority",'Cost model'!N200,'Cost model'!M200)</f>
        <v>7.5</v>
      </c>
      <c r="K155" s="14" t="n">
        <f aca="false">J155-H155</f>
        <v>0.0499999999999998</v>
      </c>
      <c r="L155" s="14" t="n">
        <f aca="false">G155-H155</f>
        <v>2.05</v>
      </c>
    </row>
    <row r="156" customFormat="false" ht="15" hidden="false" customHeight="false" outlineLevel="0" collapsed="false">
      <c r="A156" s="2" t="s">
        <v>126</v>
      </c>
      <c r="B156" s="2" t="s">
        <v>126</v>
      </c>
      <c r="C156" s="2" t="s">
        <v>48</v>
      </c>
      <c r="D156" s="2" t="s">
        <v>10</v>
      </c>
      <c r="E156" s="2" t="s">
        <v>76</v>
      </c>
      <c r="F156" s="2" t="s">
        <v>1145</v>
      </c>
      <c r="G156" s="14" t="n">
        <v>9.5</v>
      </c>
      <c r="H156" s="14" t="n">
        <v>7.72</v>
      </c>
      <c r="I156" s="14" t="n">
        <v>9.5</v>
      </c>
      <c r="J156" s="22" t="n">
        <f aca="false">IF(E156="Priority",'Cost model'!N380,'Cost model'!M380)</f>
        <v>8.5</v>
      </c>
      <c r="K156" s="14" t="n">
        <f aca="false">J156-H156</f>
        <v>0.78</v>
      </c>
      <c r="L156" s="14" t="n">
        <f aca="false">G156-H156</f>
        <v>1.78</v>
      </c>
    </row>
    <row r="157" customFormat="false" ht="15" hidden="false" customHeight="false" outlineLevel="0" collapsed="false">
      <c r="A157" s="2" t="s">
        <v>126</v>
      </c>
      <c r="B157" s="2" t="s">
        <v>126</v>
      </c>
      <c r="C157" s="2" t="s">
        <v>48</v>
      </c>
      <c r="D157" s="2" t="s">
        <v>10</v>
      </c>
      <c r="E157" s="2" t="s">
        <v>76</v>
      </c>
      <c r="F157" s="2" t="s">
        <v>1145</v>
      </c>
      <c r="G157" s="14" t="n">
        <v>9.5</v>
      </c>
      <c r="H157" s="14" t="n">
        <v>9.09</v>
      </c>
      <c r="I157" s="14" t="n">
        <v>9.5</v>
      </c>
      <c r="J157" s="22" t="n">
        <f aca="false">IF(E157="Priority",'Cost model'!N380,'Cost model'!M380)</f>
        <v>8.5</v>
      </c>
      <c r="K157" s="14" t="n">
        <f aca="false">J157-H157</f>
        <v>-0.59</v>
      </c>
      <c r="L157" s="14" t="n">
        <f aca="false">G157-H157</f>
        <v>0.41</v>
      </c>
    </row>
    <row r="158" customFormat="false" ht="15" hidden="false" customHeight="false" outlineLevel="0" collapsed="false">
      <c r="A158" s="2" t="s">
        <v>146</v>
      </c>
      <c r="B158" s="2" t="s">
        <v>146</v>
      </c>
      <c r="C158" s="2" t="s">
        <v>48</v>
      </c>
      <c r="D158" s="2" t="s">
        <v>10</v>
      </c>
      <c r="E158" s="2" t="s">
        <v>76</v>
      </c>
      <c r="F158" s="2" t="s">
        <v>1145</v>
      </c>
      <c r="G158" s="14" t="n">
        <v>9.5</v>
      </c>
      <c r="H158" s="14" t="n">
        <v>42.61</v>
      </c>
      <c r="I158" s="14" t="n">
        <v>9.5</v>
      </c>
      <c r="J158" s="22" t="n">
        <f aca="false">IF(E158="Priority",'Cost model'!N758,'Cost model'!M758)</f>
        <v>9.5</v>
      </c>
      <c r="K158" s="14" t="n">
        <f aca="false">J158-H158</f>
        <v>-33.11</v>
      </c>
      <c r="L158" s="14" t="n">
        <f aca="false">G158-H158</f>
        <v>-33.11</v>
      </c>
    </row>
    <row r="159" customFormat="false" ht="15" hidden="false" customHeight="false" outlineLevel="0" collapsed="false">
      <c r="A159" s="2" t="s">
        <v>126</v>
      </c>
      <c r="B159" s="2" t="s">
        <v>126</v>
      </c>
      <c r="C159" s="2" t="s">
        <v>48</v>
      </c>
      <c r="D159" s="2" t="s">
        <v>12</v>
      </c>
      <c r="E159" s="2" t="s">
        <v>76</v>
      </c>
      <c r="F159" s="2" t="s">
        <v>1145</v>
      </c>
      <c r="G159" s="14" t="n">
        <v>9.5</v>
      </c>
      <c r="H159" s="14" t="n">
        <v>7.45</v>
      </c>
      <c r="I159" s="14" t="n">
        <v>9.5</v>
      </c>
      <c r="J159" s="22" t="n">
        <f aca="false">IF(E159="Priority",'Cost model'!N383,'Cost model'!M383)</f>
        <v>27.5</v>
      </c>
      <c r="K159" s="14" t="n">
        <f aca="false">J159-H159</f>
        <v>20.05</v>
      </c>
      <c r="L159" s="14" t="n">
        <f aca="false">G159-H159</f>
        <v>2.05</v>
      </c>
    </row>
    <row r="160" customFormat="false" ht="15" hidden="false" customHeight="false" outlineLevel="0" collapsed="false">
      <c r="A160" s="2" t="s">
        <v>184</v>
      </c>
      <c r="B160" s="2" t="s">
        <v>184</v>
      </c>
      <c r="C160" s="2" t="s">
        <v>48</v>
      </c>
      <c r="D160" s="2" t="s">
        <v>10</v>
      </c>
      <c r="E160" s="2" t="s">
        <v>85</v>
      </c>
      <c r="F160" s="2" t="s">
        <v>1145</v>
      </c>
      <c r="G160" s="14" t="n">
        <v>14.5</v>
      </c>
      <c r="H160" s="14" t="n">
        <v>24.48</v>
      </c>
      <c r="I160" s="14" t="n">
        <v>14.5</v>
      </c>
      <c r="J160" s="22" t="n">
        <f aca="false">IF(E160="Priority",'Cost model'!N200,'Cost model'!M200)</f>
        <v>12.5</v>
      </c>
      <c r="K160" s="14" t="n">
        <f aca="false">J160-H160</f>
        <v>-11.98</v>
      </c>
      <c r="L160" s="14" t="n">
        <f aca="false">G160-H160</f>
        <v>-9.98</v>
      </c>
    </row>
    <row r="161" customFormat="false" ht="15" hidden="false" customHeight="false" outlineLevel="0" collapsed="false">
      <c r="A161" s="2" t="s">
        <v>184</v>
      </c>
      <c r="B161" s="2" t="s">
        <v>165</v>
      </c>
      <c r="C161" s="2" t="s">
        <v>48</v>
      </c>
      <c r="D161" s="2" t="s">
        <v>12</v>
      </c>
      <c r="E161" s="2" t="s">
        <v>76</v>
      </c>
      <c r="F161" s="2" t="s">
        <v>1146</v>
      </c>
      <c r="G161" s="14" t="n">
        <v>9.5</v>
      </c>
      <c r="H161" s="14" t="n">
        <v>15.61</v>
      </c>
      <c r="I161" s="14" t="n">
        <v>19.5</v>
      </c>
      <c r="J161" s="22" t="n">
        <f aca="false">IF(E161="Priority",'Cost model'!N167,'Cost model'!M167)</f>
        <v>60</v>
      </c>
      <c r="K161" s="14" t="n">
        <f aca="false">J161-H161</f>
        <v>44.39</v>
      </c>
      <c r="L161" s="14" t="n">
        <f aca="false">G161-H161</f>
        <v>-6.11</v>
      </c>
    </row>
    <row r="162" customFormat="false" ht="15" hidden="false" customHeight="false" outlineLevel="0" collapsed="false">
      <c r="A162" s="2" t="s">
        <v>184</v>
      </c>
      <c r="B162" s="2" t="s">
        <v>184</v>
      </c>
      <c r="C162" s="2" t="s">
        <v>48</v>
      </c>
      <c r="D162" s="2" t="s">
        <v>10</v>
      </c>
      <c r="E162" s="2" t="s">
        <v>76</v>
      </c>
      <c r="F162" s="2" t="s">
        <v>1145</v>
      </c>
      <c r="G162" s="14" t="n">
        <v>9.5</v>
      </c>
      <c r="H162" s="14" t="n">
        <v>7.69</v>
      </c>
      <c r="I162" s="14" t="n">
        <v>9.5</v>
      </c>
      <c r="J162" s="22" t="n">
        <f aca="false">IF(E162="Priority",'Cost model'!N200,'Cost model'!M200)</f>
        <v>7.5</v>
      </c>
      <c r="K162" s="14" t="n">
        <f aca="false">J162-H162</f>
        <v>-0.19</v>
      </c>
      <c r="L162" s="14" t="n">
        <f aca="false">G162-H162</f>
        <v>1.81</v>
      </c>
    </row>
    <row r="163" customFormat="false" ht="15" hidden="false" customHeight="false" outlineLevel="0" collapsed="false">
      <c r="A163" s="2" t="s">
        <v>146</v>
      </c>
      <c r="B163" s="2" t="s">
        <v>146</v>
      </c>
      <c r="C163" s="2" t="s">
        <v>48</v>
      </c>
      <c r="D163" s="2" t="s">
        <v>10</v>
      </c>
      <c r="E163" s="2" t="s">
        <v>85</v>
      </c>
      <c r="F163" s="2" t="s">
        <v>1145</v>
      </c>
      <c r="G163" s="14" t="n">
        <v>14.5</v>
      </c>
      <c r="H163" s="14" t="n">
        <v>23.58</v>
      </c>
      <c r="I163" s="14" t="n">
        <v>14.5</v>
      </c>
      <c r="J163" s="22" t="n">
        <f aca="false">IF(E163="Priority",'Cost model'!N758,'Cost model'!M758)</f>
        <v>14.5</v>
      </c>
      <c r="K163" s="14" t="n">
        <f aca="false">J163-H163</f>
        <v>-9.08</v>
      </c>
      <c r="L163" s="14" t="n">
        <f aca="false">G163-H163</f>
        <v>-9.08</v>
      </c>
    </row>
    <row r="164" customFormat="false" ht="15" hidden="false" customHeight="false" outlineLevel="0" collapsed="false">
      <c r="A164" s="2" t="s">
        <v>184</v>
      </c>
      <c r="B164" s="2" t="s">
        <v>184</v>
      </c>
      <c r="C164" s="2" t="s">
        <v>48</v>
      </c>
      <c r="D164" s="2" t="s">
        <v>10</v>
      </c>
      <c r="E164" s="2" t="s">
        <v>76</v>
      </c>
      <c r="F164" s="2" t="s">
        <v>1145</v>
      </c>
      <c r="G164" s="14" t="n">
        <v>9.5</v>
      </c>
      <c r="H164" s="14" t="n">
        <v>6.24</v>
      </c>
      <c r="I164" s="14" t="n">
        <v>9.5</v>
      </c>
      <c r="J164" s="22" t="n">
        <f aca="false">IF(E164="Priority",'Cost model'!N200,'Cost model'!M200)</f>
        <v>7.5</v>
      </c>
      <c r="K164" s="14" t="n">
        <f aca="false">J164-H164</f>
        <v>1.26</v>
      </c>
      <c r="L164" s="14" t="n">
        <f aca="false">G164-H164</f>
        <v>3.26</v>
      </c>
    </row>
    <row r="165" customFormat="false" ht="15" hidden="false" customHeight="false" outlineLevel="0" collapsed="false">
      <c r="A165" s="2" t="s">
        <v>240</v>
      </c>
      <c r="B165" s="2" t="s">
        <v>126</v>
      </c>
      <c r="C165" s="2" t="s">
        <v>48</v>
      </c>
      <c r="D165" s="2" t="s">
        <v>10</v>
      </c>
      <c r="E165" s="2" t="s">
        <v>76</v>
      </c>
      <c r="F165" s="2" t="s">
        <v>1146</v>
      </c>
      <c r="G165" s="14" t="n">
        <v>76.81</v>
      </c>
      <c r="H165" s="14" t="n">
        <v>96.36</v>
      </c>
      <c r="I165" s="14" t="n">
        <v>19.5</v>
      </c>
      <c r="J165" s="22" t="n">
        <f aca="false">IF(E165="Priority",'Cost model'!N956,'Cost model'!M956)</f>
        <v>15.5</v>
      </c>
      <c r="K165" s="14" t="n">
        <f aca="false">J165-H165</f>
        <v>-80.86</v>
      </c>
      <c r="L165" s="14" t="n">
        <f aca="false">G165-H165</f>
        <v>-19.55</v>
      </c>
    </row>
    <row r="166" customFormat="false" ht="15" hidden="false" customHeight="false" outlineLevel="0" collapsed="false">
      <c r="A166" s="2" t="s">
        <v>146</v>
      </c>
      <c r="B166" s="2" t="s">
        <v>146</v>
      </c>
      <c r="C166" s="2" t="s">
        <v>50</v>
      </c>
      <c r="D166" s="2" t="s">
        <v>12</v>
      </c>
      <c r="E166" s="2" t="s">
        <v>76</v>
      </c>
      <c r="F166" s="2" t="s">
        <v>1145</v>
      </c>
      <c r="G166" s="14" t="n">
        <v>19.5</v>
      </c>
      <c r="H166" s="14" t="n">
        <v>43.25</v>
      </c>
      <c r="I166" s="14" t="n">
        <v>19.5</v>
      </c>
      <c r="J166" s="22" t="n">
        <f aca="false">IF(E166="Priority",'Cost model'!N763,'Cost model'!M763)</f>
        <v>50</v>
      </c>
      <c r="K166" s="14" t="n">
        <f aca="false">J166-H166</f>
        <v>6.75</v>
      </c>
      <c r="L166" s="14" t="n">
        <f aca="false">G166-H166</f>
        <v>-23.75</v>
      </c>
    </row>
    <row r="167" customFormat="false" ht="15" hidden="false" customHeight="false" outlineLevel="0" collapsed="false">
      <c r="A167" s="2" t="s">
        <v>146</v>
      </c>
      <c r="B167" s="2" t="s">
        <v>126</v>
      </c>
      <c r="C167" s="2" t="s">
        <v>48</v>
      </c>
      <c r="D167" s="2" t="s">
        <v>12</v>
      </c>
      <c r="E167" s="2" t="s">
        <v>76</v>
      </c>
      <c r="F167" s="2" t="s">
        <v>1146</v>
      </c>
      <c r="G167" s="14" t="n">
        <v>9.5</v>
      </c>
      <c r="H167" s="14" t="n">
        <v>61.16</v>
      </c>
      <c r="I167" s="14" t="n">
        <v>19.5</v>
      </c>
      <c r="J167" s="22" t="n">
        <f aca="false">IF(E167="Priority",'Cost model'!N797,'Cost model'!M797)</f>
        <v>40</v>
      </c>
      <c r="K167" s="14" t="n">
        <f aca="false">J167-H167</f>
        <v>-21.16</v>
      </c>
      <c r="L167" s="14" t="n">
        <f aca="false">G167-H167</f>
        <v>-51.66</v>
      </c>
    </row>
    <row r="168" customFormat="false" ht="15" hidden="false" customHeight="false" outlineLevel="0" collapsed="false">
      <c r="A168" s="2" t="s">
        <v>146</v>
      </c>
      <c r="B168" s="2" t="s">
        <v>165</v>
      </c>
      <c r="C168" s="2" t="s">
        <v>50</v>
      </c>
      <c r="D168" s="2" t="s">
        <v>14</v>
      </c>
      <c r="E168" s="2" t="s">
        <v>76</v>
      </c>
      <c r="F168" s="2" t="s">
        <v>1146</v>
      </c>
      <c r="G168" s="14" t="n">
        <v>85</v>
      </c>
      <c r="H168" s="14" t="n">
        <v>100.93</v>
      </c>
      <c r="I168" s="14" t="n">
        <v>199</v>
      </c>
      <c r="J168" s="22" t="n">
        <f aca="false">IF(E168="Priority",'Cost model'!N787,'Cost model'!M787)</f>
        <v>200</v>
      </c>
      <c r="K168" s="14" t="n">
        <f aca="false">J168-H168</f>
        <v>99.07</v>
      </c>
      <c r="L168" s="14" t="n">
        <f aca="false">G168-H168</f>
        <v>-15.93</v>
      </c>
    </row>
    <row r="169" customFormat="false" ht="15" hidden="false" customHeight="false" outlineLevel="0" collapsed="false">
      <c r="A169" s="2" t="s">
        <v>240</v>
      </c>
      <c r="B169" s="2" t="s">
        <v>240</v>
      </c>
      <c r="C169" s="2" t="s">
        <v>50</v>
      </c>
      <c r="D169" s="2" t="s">
        <v>10</v>
      </c>
      <c r="E169" s="2" t="s">
        <v>85</v>
      </c>
      <c r="F169" s="2" t="s">
        <v>1145</v>
      </c>
      <c r="G169" s="14" t="n">
        <v>24.5</v>
      </c>
      <c r="H169" s="14" t="n">
        <v>23.58</v>
      </c>
      <c r="I169" s="14" t="n">
        <v>24.5</v>
      </c>
      <c r="J169" s="22" t="n">
        <f aca="false">IF(E169="Priority",'Cost model'!N886,'Cost model'!M886)</f>
        <v>23.5</v>
      </c>
      <c r="K169" s="14" t="n">
        <f aca="false">J169-H169</f>
        <v>-0.0799999999999983</v>
      </c>
      <c r="L169" s="14" t="n">
        <f aca="false">G169-H169</f>
        <v>0.920000000000002</v>
      </c>
    </row>
    <row r="170" customFormat="false" ht="15" hidden="false" customHeight="false" outlineLevel="0" collapsed="false">
      <c r="A170" s="2" t="s">
        <v>184</v>
      </c>
      <c r="B170" s="2" t="s">
        <v>184</v>
      </c>
      <c r="C170" s="2" t="s">
        <v>50</v>
      </c>
      <c r="D170" s="2" t="s">
        <v>10</v>
      </c>
      <c r="E170" s="2" t="s">
        <v>76</v>
      </c>
      <c r="F170" s="2" t="s">
        <v>1145</v>
      </c>
      <c r="G170" s="14" t="n">
        <v>17.5</v>
      </c>
      <c r="H170" s="14" t="n">
        <v>10.51</v>
      </c>
      <c r="I170" s="14" t="n">
        <v>17.5</v>
      </c>
      <c r="J170" s="22" t="n">
        <f aca="false">IF(E170="Priority",'Cost model'!N202,'Cost model'!M202)</f>
        <v>17.5</v>
      </c>
      <c r="K170" s="14" t="n">
        <f aca="false">J170-H170</f>
        <v>6.99</v>
      </c>
      <c r="L170" s="14" t="n">
        <f aca="false">G170-H170</f>
        <v>6.99</v>
      </c>
    </row>
    <row r="171" customFormat="false" ht="15" hidden="false" customHeight="false" outlineLevel="0" collapsed="false">
      <c r="A171" s="2" t="s">
        <v>221</v>
      </c>
      <c r="B171" s="2" t="s">
        <v>221</v>
      </c>
      <c r="C171" s="2" t="s">
        <v>49</v>
      </c>
      <c r="D171" s="2" t="s">
        <v>13</v>
      </c>
      <c r="E171" s="2" t="s">
        <v>76</v>
      </c>
      <c r="F171" s="2" t="s">
        <v>1145</v>
      </c>
      <c r="G171" s="14" t="n">
        <v>75</v>
      </c>
      <c r="H171" s="14" t="n">
        <v>163.23</v>
      </c>
      <c r="I171" s="14" t="n">
        <v>24.5</v>
      </c>
      <c r="J171" s="22" t="n">
        <f aca="false">IF(E171="Priority",'Cost model'!N639,'Cost model'!M639)</f>
        <v>90</v>
      </c>
      <c r="K171" s="14" t="n">
        <f aca="false">J171-H171</f>
        <v>-73.23</v>
      </c>
      <c r="L171" s="14" t="n">
        <f aca="false">G171-H171</f>
        <v>-88.23</v>
      </c>
    </row>
    <row r="172" customFormat="false" ht="15" hidden="false" customHeight="false" outlineLevel="0" collapsed="false">
      <c r="A172" s="2" t="s">
        <v>240</v>
      </c>
      <c r="B172" s="2" t="s">
        <v>146</v>
      </c>
      <c r="C172" s="2" t="s">
        <v>50</v>
      </c>
      <c r="D172" s="2" t="s">
        <v>12</v>
      </c>
      <c r="E172" s="2" t="s">
        <v>76</v>
      </c>
      <c r="F172" s="2" t="s">
        <v>1146</v>
      </c>
      <c r="G172" s="14" t="n">
        <v>19.5</v>
      </c>
      <c r="H172" s="14" t="n">
        <v>101.33</v>
      </c>
      <c r="I172" s="14" t="n">
        <v>29.5</v>
      </c>
      <c r="J172" s="22" t="n">
        <f aca="false">IF(E172="Priority",'Cost model'!N925,'Cost model'!M925)</f>
        <v>80</v>
      </c>
      <c r="K172" s="14" t="n">
        <f aca="false">J172-H172</f>
        <v>-21.33</v>
      </c>
      <c r="L172" s="14" t="n">
        <f aca="false">G172-H172</f>
        <v>-81.83</v>
      </c>
    </row>
    <row r="173" customFormat="false" ht="15" hidden="false" customHeight="false" outlineLevel="0" collapsed="false">
      <c r="A173" s="2" t="s">
        <v>165</v>
      </c>
      <c r="B173" s="2" t="s">
        <v>165</v>
      </c>
      <c r="C173" s="2" t="s">
        <v>50</v>
      </c>
      <c r="D173" s="2" t="s">
        <v>12</v>
      </c>
      <c r="E173" s="2" t="s">
        <v>76</v>
      </c>
      <c r="F173" s="2" t="s">
        <v>1145</v>
      </c>
      <c r="G173" s="14" t="n">
        <v>19.5</v>
      </c>
      <c r="H173" s="14" t="n">
        <v>30.73</v>
      </c>
      <c r="I173" s="14" t="n">
        <v>19.5</v>
      </c>
      <c r="J173" s="22" t="n">
        <f aca="false">IF(E173="Priority",'Cost model'!N511,'Cost model'!M511)</f>
        <v>35</v>
      </c>
      <c r="K173" s="14" t="n">
        <f aca="false">J173-H173</f>
        <v>4.27</v>
      </c>
      <c r="L173" s="14" t="n">
        <f aca="false">G173-H173</f>
        <v>-11.23</v>
      </c>
    </row>
    <row r="174" customFormat="false" ht="15" hidden="false" customHeight="false" outlineLevel="0" collapsed="false">
      <c r="A174" s="2" t="s">
        <v>184</v>
      </c>
      <c r="B174" s="2" t="s">
        <v>184</v>
      </c>
      <c r="C174" s="2" t="s">
        <v>48</v>
      </c>
      <c r="D174" s="2" t="s">
        <v>12</v>
      </c>
      <c r="E174" s="2" t="s">
        <v>76</v>
      </c>
      <c r="F174" s="2" t="s">
        <v>1145</v>
      </c>
      <c r="G174" s="14" t="n">
        <v>9.5</v>
      </c>
      <c r="H174" s="14" t="n">
        <v>30.21</v>
      </c>
      <c r="I174" s="14" t="n">
        <v>9.5</v>
      </c>
      <c r="J174" s="22" t="n">
        <f aca="false">IF(E174="Priority",'Cost model'!N203,'Cost model'!M203)</f>
        <v>26.5</v>
      </c>
      <c r="K174" s="14" t="n">
        <f aca="false">J174-H174</f>
        <v>-3.71</v>
      </c>
      <c r="L174" s="14" t="n">
        <f aca="false">G174-H174</f>
        <v>-20.71</v>
      </c>
    </row>
    <row r="175" customFormat="false" ht="15" hidden="false" customHeight="false" outlineLevel="0" collapsed="false">
      <c r="A175" s="2" t="s">
        <v>240</v>
      </c>
      <c r="B175" s="2" t="s">
        <v>240</v>
      </c>
      <c r="C175" s="2" t="s">
        <v>48</v>
      </c>
      <c r="D175" s="2" t="s">
        <v>14</v>
      </c>
      <c r="E175" s="2" t="s">
        <v>76</v>
      </c>
      <c r="F175" s="2" t="s">
        <v>1145</v>
      </c>
      <c r="G175" s="14" t="n">
        <v>25</v>
      </c>
      <c r="H175" s="14" t="n">
        <v>148.35</v>
      </c>
      <c r="I175" s="14" t="n">
        <v>25</v>
      </c>
      <c r="J175" s="22" t="n">
        <f aca="false">IF(E175="Priority",'Cost model'!N893,'Cost model'!M893)</f>
        <v>135</v>
      </c>
      <c r="K175" s="14" t="n">
        <f aca="false">J175-H175</f>
        <v>-13.35</v>
      </c>
      <c r="L175" s="14" t="n">
        <f aca="false">G175-H175</f>
        <v>-123.35</v>
      </c>
    </row>
    <row r="176" customFormat="false" ht="15" hidden="false" customHeight="false" outlineLevel="0" collapsed="false">
      <c r="A176" s="2" t="s">
        <v>146</v>
      </c>
      <c r="B176" s="2" t="s">
        <v>184</v>
      </c>
      <c r="C176" s="2" t="s">
        <v>48</v>
      </c>
      <c r="D176" s="2" t="s">
        <v>12</v>
      </c>
      <c r="E176" s="2" t="s">
        <v>76</v>
      </c>
      <c r="F176" s="2" t="s">
        <v>1146</v>
      </c>
      <c r="G176" s="14" t="n">
        <v>9.5</v>
      </c>
      <c r="H176" s="14" t="n">
        <v>66.25</v>
      </c>
      <c r="I176" s="14" t="n">
        <v>19.5</v>
      </c>
      <c r="J176" s="22" t="n">
        <f aca="false">IF(E176="Priority",'Cost model'!N833,'Cost model'!M833)</f>
        <v>45</v>
      </c>
      <c r="K176" s="14" t="n">
        <f aca="false">J176-H176</f>
        <v>-21.25</v>
      </c>
      <c r="L176" s="14" t="n">
        <f aca="false">G176-H176</f>
        <v>-56.75</v>
      </c>
    </row>
    <row r="177" customFormat="false" ht="15" hidden="false" customHeight="false" outlineLevel="0" collapsed="false">
      <c r="A177" s="2" t="s">
        <v>126</v>
      </c>
      <c r="B177" s="2" t="s">
        <v>126</v>
      </c>
      <c r="C177" s="2" t="s">
        <v>49</v>
      </c>
      <c r="D177" s="2" t="s">
        <v>12</v>
      </c>
      <c r="E177" s="2" t="s">
        <v>85</v>
      </c>
      <c r="F177" s="2" t="s">
        <v>1145</v>
      </c>
      <c r="G177" s="14" t="n">
        <v>19.5</v>
      </c>
      <c r="H177" s="14" t="n">
        <v>41.18</v>
      </c>
      <c r="I177" s="14" t="n">
        <v>19.5</v>
      </c>
      <c r="J177" s="22" t="n">
        <f aca="false">IF(E177="Priority",'Cost model'!N384,'Cost model'!M384)</f>
        <v>60</v>
      </c>
      <c r="K177" s="14" t="n">
        <f aca="false">J177-H177</f>
        <v>18.82</v>
      </c>
      <c r="L177" s="14" t="n">
        <f aca="false">G177-H177</f>
        <v>-21.68</v>
      </c>
    </row>
    <row r="178" customFormat="false" ht="15" hidden="false" customHeight="false" outlineLevel="0" collapsed="false">
      <c r="A178" s="2" t="s">
        <v>184</v>
      </c>
      <c r="B178" s="2" t="s">
        <v>184</v>
      </c>
      <c r="C178" s="2" t="s">
        <v>48</v>
      </c>
      <c r="D178" s="2" t="s">
        <v>10</v>
      </c>
      <c r="E178" s="2" t="s">
        <v>76</v>
      </c>
      <c r="F178" s="2" t="s">
        <v>1145</v>
      </c>
      <c r="G178" s="14" t="n">
        <v>9.5</v>
      </c>
      <c r="H178" s="14" t="n">
        <v>7.45</v>
      </c>
      <c r="I178" s="14" t="n">
        <v>9.5</v>
      </c>
      <c r="J178" s="22" t="n">
        <f aca="false">IF(E178="Priority",'Cost model'!N200,'Cost model'!M200)</f>
        <v>7.5</v>
      </c>
      <c r="K178" s="14" t="n">
        <f aca="false">J178-H178</f>
        <v>0.0499999999999998</v>
      </c>
      <c r="L178" s="14" t="n">
        <f aca="false">G178-H178</f>
        <v>2.05</v>
      </c>
    </row>
    <row r="179" customFormat="false" ht="15" hidden="false" customHeight="false" outlineLevel="0" collapsed="false">
      <c r="A179" s="2" t="s">
        <v>126</v>
      </c>
      <c r="B179" s="2" t="s">
        <v>126</v>
      </c>
      <c r="C179" s="2" t="s">
        <v>50</v>
      </c>
      <c r="D179" s="2" t="s">
        <v>10</v>
      </c>
      <c r="E179" s="2" t="s">
        <v>76</v>
      </c>
      <c r="F179" s="2" t="s">
        <v>1145</v>
      </c>
      <c r="G179" s="14" t="n">
        <v>17.5</v>
      </c>
      <c r="H179" s="14" t="n">
        <v>17.31</v>
      </c>
      <c r="I179" s="14" t="n">
        <v>17.5</v>
      </c>
      <c r="J179" s="22" t="n">
        <f aca="false">IF(E179="Priority",'Cost model'!N382,'Cost model'!M382)</f>
        <v>18.5</v>
      </c>
      <c r="K179" s="14" t="n">
        <f aca="false">J179-H179</f>
        <v>1.19</v>
      </c>
      <c r="L179" s="14" t="n">
        <f aca="false">G179-H179</f>
        <v>0.190000000000001</v>
      </c>
    </row>
    <row r="180" customFormat="false" ht="15" hidden="false" customHeight="false" outlineLevel="0" collapsed="false">
      <c r="A180" s="2" t="s">
        <v>126</v>
      </c>
      <c r="B180" s="2" t="s">
        <v>126</v>
      </c>
      <c r="C180" s="2" t="s">
        <v>49</v>
      </c>
      <c r="D180" s="2" t="s">
        <v>10</v>
      </c>
      <c r="E180" s="2" t="s">
        <v>76</v>
      </c>
      <c r="F180" s="2" t="s">
        <v>1145</v>
      </c>
      <c r="G180" s="14" t="n">
        <v>12.5</v>
      </c>
      <c r="H180" s="14" t="n">
        <v>17.69</v>
      </c>
      <c r="I180" s="14" t="n">
        <v>12.5</v>
      </c>
      <c r="J180" s="22" t="n">
        <f aca="false">IF(E180="Priority",'Cost model'!N381,'Cost model'!M381)</f>
        <v>14.5</v>
      </c>
      <c r="K180" s="14" t="n">
        <f aca="false">J180-H180</f>
        <v>-3.19</v>
      </c>
      <c r="L180" s="14" t="n">
        <f aca="false">G180-H180</f>
        <v>-5.19</v>
      </c>
    </row>
    <row r="181" customFormat="false" ht="15" hidden="false" customHeight="false" outlineLevel="0" collapsed="false">
      <c r="A181" s="2" t="s">
        <v>126</v>
      </c>
      <c r="B181" s="2" t="s">
        <v>126</v>
      </c>
      <c r="C181" s="2" t="s">
        <v>48</v>
      </c>
      <c r="D181" s="2" t="s">
        <v>12</v>
      </c>
      <c r="E181" s="2" t="s">
        <v>85</v>
      </c>
      <c r="F181" s="2" t="s">
        <v>1145</v>
      </c>
      <c r="G181" s="14" t="n">
        <v>19.5</v>
      </c>
      <c r="H181" s="14" t="n">
        <v>43.05</v>
      </c>
      <c r="I181" s="14" t="n">
        <v>19.5</v>
      </c>
      <c r="J181" s="22" t="n">
        <f aca="false">IF(E181="Priority",'Cost model'!N383,'Cost model'!M383)</f>
        <v>35</v>
      </c>
      <c r="K181" s="14" t="n">
        <f aca="false">J181-H181</f>
        <v>-8.05</v>
      </c>
      <c r="L181" s="14" t="n">
        <f aca="false">G181-H181</f>
        <v>-23.55</v>
      </c>
    </row>
    <row r="182" customFormat="false" ht="15" hidden="false" customHeight="false" outlineLevel="0" collapsed="false">
      <c r="A182" s="2" t="s">
        <v>240</v>
      </c>
      <c r="B182" s="2" t="s">
        <v>240</v>
      </c>
      <c r="C182" s="2" t="s">
        <v>48</v>
      </c>
      <c r="D182" s="2" t="s">
        <v>16</v>
      </c>
      <c r="E182" s="2" t="s">
        <v>76</v>
      </c>
      <c r="F182" s="2" t="s">
        <v>1145</v>
      </c>
      <c r="G182" s="14" t="n">
        <v>45</v>
      </c>
      <c r="H182" s="14" t="n">
        <v>55.13</v>
      </c>
      <c r="I182" s="14" t="n">
        <v>45</v>
      </c>
      <c r="J182" s="22" t="n">
        <f aca="false">IF(E182="Priority",'Cost model'!N899,'Cost model'!M899)</f>
        <v>135</v>
      </c>
      <c r="K182" s="14" t="n">
        <f aca="false">J182-H182</f>
        <v>79.87</v>
      </c>
      <c r="L182" s="14" t="n">
        <f aca="false">G182-H182</f>
        <v>-10.13</v>
      </c>
    </row>
    <row r="183" customFormat="false" ht="15" hidden="false" customHeight="false" outlineLevel="0" collapsed="false">
      <c r="A183" s="2" t="s">
        <v>126</v>
      </c>
      <c r="B183" s="2" t="s">
        <v>126</v>
      </c>
      <c r="C183" s="2" t="s">
        <v>48</v>
      </c>
      <c r="D183" s="2" t="s">
        <v>10</v>
      </c>
      <c r="E183" s="2" t="s">
        <v>85</v>
      </c>
      <c r="F183" s="2" t="s">
        <v>1145</v>
      </c>
      <c r="G183" s="14" t="n">
        <v>14.5</v>
      </c>
      <c r="H183" s="14" t="n">
        <v>24.17</v>
      </c>
      <c r="I183" s="14" t="n">
        <v>14.5</v>
      </c>
      <c r="J183" s="22" t="n">
        <f aca="false">IF(E183="Priority",'Cost model'!N380,'Cost model'!M380)</f>
        <v>13.5</v>
      </c>
      <c r="K183" s="14" t="n">
        <f aca="false">J183-H183</f>
        <v>-10.67</v>
      </c>
      <c r="L183" s="14" t="n">
        <f aca="false">G183-H183</f>
        <v>-9.67</v>
      </c>
    </row>
    <row r="184" customFormat="false" ht="15" hidden="false" customHeight="false" outlineLevel="0" collapsed="false">
      <c r="A184" s="2" t="s">
        <v>184</v>
      </c>
      <c r="B184" s="2" t="s">
        <v>184</v>
      </c>
      <c r="C184" s="2" t="s">
        <v>48</v>
      </c>
      <c r="D184" s="2" t="s">
        <v>10</v>
      </c>
      <c r="E184" s="2" t="s">
        <v>76</v>
      </c>
      <c r="F184" s="2" t="s">
        <v>1145</v>
      </c>
      <c r="G184" s="14" t="n">
        <v>9.5</v>
      </c>
      <c r="H184" s="14" t="n">
        <v>7.69</v>
      </c>
      <c r="I184" s="14" t="n">
        <v>9.5</v>
      </c>
      <c r="J184" s="22" t="n">
        <f aca="false">IF(E184="Priority",'Cost model'!N200,'Cost model'!M200)</f>
        <v>7.5</v>
      </c>
      <c r="K184" s="14" t="n">
        <f aca="false">J184-H184</f>
        <v>-0.19</v>
      </c>
      <c r="L184" s="14" t="n">
        <f aca="false">G184-H184</f>
        <v>1.81</v>
      </c>
    </row>
    <row r="185" customFormat="false" ht="15" hidden="false" customHeight="false" outlineLevel="0" collapsed="false">
      <c r="A185" s="2" t="s">
        <v>126</v>
      </c>
      <c r="B185" s="2" t="s">
        <v>126</v>
      </c>
      <c r="C185" s="2" t="s">
        <v>49</v>
      </c>
      <c r="D185" s="2" t="s">
        <v>12</v>
      </c>
      <c r="E185" s="2" t="s">
        <v>76</v>
      </c>
      <c r="F185" s="2" t="s">
        <v>1145</v>
      </c>
      <c r="G185" s="14" t="n">
        <v>12.5</v>
      </c>
      <c r="H185" s="14" t="n">
        <v>48.08</v>
      </c>
      <c r="I185" s="14" t="n">
        <v>12.5</v>
      </c>
      <c r="J185" s="22" t="n">
        <f aca="false">IF(E185="Priority",'Cost model'!N384,'Cost model'!M384)</f>
        <v>45</v>
      </c>
      <c r="K185" s="14" t="n">
        <f aca="false">J185-H185</f>
        <v>-3.08</v>
      </c>
      <c r="L185" s="14" t="n">
        <f aca="false">G185-H185</f>
        <v>-35.58</v>
      </c>
    </row>
    <row r="186" customFormat="false" ht="15" hidden="false" customHeight="false" outlineLevel="0" collapsed="false">
      <c r="A186" s="2" t="s">
        <v>184</v>
      </c>
      <c r="B186" s="2" t="s">
        <v>184</v>
      </c>
      <c r="C186" s="2" t="s">
        <v>48</v>
      </c>
      <c r="D186" s="2" t="s">
        <v>10</v>
      </c>
      <c r="E186" s="2" t="s">
        <v>76</v>
      </c>
      <c r="F186" s="2" t="s">
        <v>1145</v>
      </c>
      <c r="G186" s="14" t="n">
        <v>9.5</v>
      </c>
      <c r="H186" s="14" t="n">
        <v>5.94</v>
      </c>
      <c r="I186" s="14" t="n">
        <v>9.5</v>
      </c>
      <c r="J186" s="22" t="n">
        <f aca="false">IF(E186="Priority",'Cost model'!N200,'Cost model'!M200)</f>
        <v>7.5</v>
      </c>
      <c r="K186" s="14" t="n">
        <f aca="false">J186-H186</f>
        <v>1.56</v>
      </c>
      <c r="L186" s="14" t="n">
        <f aca="false">G186-H186</f>
        <v>3.56</v>
      </c>
    </row>
    <row r="187" customFormat="false" ht="15" hidden="false" customHeight="false" outlineLevel="0" collapsed="false">
      <c r="A187" s="2" t="s">
        <v>184</v>
      </c>
      <c r="B187" s="2" t="s">
        <v>184</v>
      </c>
      <c r="C187" s="2" t="s">
        <v>48</v>
      </c>
      <c r="D187" s="2" t="s">
        <v>10</v>
      </c>
      <c r="E187" s="2" t="s">
        <v>85</v>
      </c>
      <c r="F187" s="2" t="s">
        <v>1145</v>
      </c>
      <c r="G187" s="14" t="n">
        <v>14.5</v>
      </c>
      <c r="H187" s="14" t="n">
        <v>5.94</v>
      </c>
      <c r="I187" s="14" t="n">
        <v>14.5</v>
      </c>
      <c r="J187" s="22" t="n">
        <f aca="false">IF(E187="Priority",'Cost model'!N200,'Cost model'!M200)</f>
        <v>12.5</v>
      </c>
      <c r="K187" s="14" t="n">
        <f aca="false">J187-H187</f>
        <v>6.56</v>
      </c>
      <c r="L187" s="14" t="n">
        <f aca="false">G187-H187</f>
        <v>8.56</v>
      </c>
    </row>
    <row r="188" customFormat="false" ht="15" hidden="false" customHeight="false" outlineLevel="0" collapsed="false">
      <c r="A188" s="2" t="s">
        <v>126</v>
      </c>
      <c r="B188" s="2" t="s">
        <v>126</v>
      </c>
      <c r="C188" s="2" t="s">
        <v>50</v>
      </c>
      <c r="D188" s="2" t="s">
        <v>12</v>
      </c>
      <c r="E188" s="2" t="s">
        <v>76</v>
      </c>
      <c r="F188" s="2" t="s">
        <v>1145</v>
      </c>
      <c r="G188" s="14" t="n">
        <v>19.5</v>
      </c>
      <c r="H188" s="14" t="n">
        <v>100.8</v>
      </c>
      <c r="I188" s="14" t="n">
        <v>19.5</v>
      </c>
      <c r="J188" s="22" t="n">
        <f aca="false">IF(E188="Priority",'Cost model'!N385,'Cost model'!M385)</f>
        <v>55</v>
      </c>
      <c r="K188" s="14" t="n">
        <f aca="false">J188-H188</f>
        <v>-45.8</v>
      </c>
      <c r="L188" s="14" t="n">
        <f aca="false">G188-H188</f>
        <v>-81.3</v>
      </c>
    </row>
    <row r="189" customFormat="false" ht="15" hidden="false" customHeight="false" outlineLevel="0" collapsed="false">
      <c r="A189" s="2" t="s">
        <v>146</v>
      </c>
      <c r="B189" s="2" t="s">
        <v>126</v>
      </c>
      <c r="C189" s="2" t="s">
        <v>49</v>
      </c>
      <c r="D189" s="2" t="s">
        <v>12</v>
      </c>
      <c r="E189" s="2" t="s">
        <v>76</v>
      </c>
      <c r="F189" s="2" t="s">
        <v>1146</v>
      </c>
      <c r="G189" s="14" t="n">
        <v>19.5</v>
      </c>
      <c r="H189" s="14" t="n">
        <v>30.45</v>
      </c>
      <c r="I189" s="14" t="n">
        <v>19.5</v>
      </c>
      <c r="J189" s="22" t="n">
        <f aca="false">IF(E189="Priority",'Cost model'!N798,'Cost model'!M798)</f>
        <v>45</v>
      </c>
      <c r="K189" s="14" t="n">
        <f aca="false">J189-H189</f>
        <v>14.55</v>
      </c>
      <c r="L189" s="14" t="n">
        <f aca="false">G189-H189</f>
        <v>-10.95</v>
      </c>
    </row>
    <row r="190" customFormat="false" ht="15" hidden="false" customHeight="false" outlineLevel="0" collapsed="false">
      <c r="A190" s="2" t="s">
        <v>184</v>
      </c>
      <c r="B190" s="2" t="s">
        <v>146</v>
      </c>
      <c r="C190" s="2" t="s">
        <v>48</v>
      </c>
      <c r="D190" s="2" t="s">
        <v>10</v>
      </c>
      <c r="E190" s="2" t="s">
        <v>76</v>
      </c>
      <c r="F190" s="2" t="s">
        <v>1146</v>
      </c>
      <c r="G190" s="14" t="n">
        <v>9.5</v>
      </c>
      <c r="H190" s="14" t="n">
        <v>13.63</v>
      </c>
      <c r="I190" s="14" t="n">
        <v>9.5</v>
      </c>
      <c r="J190" s="22" t="n">
        <f aca="false">IF(E190="Priority",'Cost model'!N146,'Cost model'!M146)</f>
        <v>12.5</v>
      </c>
      <c r="K190" s="14" t="n">
        <f aca="false">J190-H190</f>
        <v>-1.13</v>
      </c>
      <c r="L190" s="14" t="n">
        <f aca="false">G190-H190</f>
        <v>-4.13</v>
      </c>
    </row>
    <row r="191" customFormat="false" ht="15" hidden="false" customHeight="false" outlineLevel="0" collapsed="false">
      <c r="A191" s="2" t="s">
        <v>184</v>
      </c>
      <c r="B191" s="2" t="s">
        <v>184</v>
      </c>
      <c r="C191" s="2" t="s">
        <v>48</v>
      </c>
      <c r="D191" s="2" t="s">
        <v>10</v>
      </c>
      <c r="E191" s="2" t="s">
        <v>76</v>
      </c>
      <c r="F191" s="2" t="s">
        <v>1145</v>
      </c>
      <c r="G191" s="14" t="n">
        <v>9.5</v>
      </c>
      <c r="H191" s="14" t="n">
        <v>6.66</v>
      </c>
      <c r="I191" s="14" t="n">
        <v>9.5</v>
      </c>
      <c r="J191" s="22" t="n">
        <f aca="false">IF(E191="Priority",'Cost model'!N200,'Cost model'!M200)</f>
        <v>7.5</v>
      </c>
      <c r="K191" s="14" t="n">
        <f aca="false">J191-H191</f>
        <v>0.84</v>
      </c>
      <c r="L191" s="14" t="n">
        <f aca="false">G191-H191</f>
        <v>2.84</v>
      </c>
    </row>
    <row r="192" customFormat="false" ht="15" hidden="false" customHeight="false" outlineLevel="0" collapsed="false">
      <c r="A192" s="2" t="s">
        <v>146</v>
      </c>
      <c r="B192" s="2" t="s">
        <v>146</v>
      </c>
      <c r="C192" s="2" t="s">
        <v>48</v>
      </c>
      <c r="D192" s="2" t="s">
        <v>12</v>
      </c>
      <c r="E192" s="2" t="s">
        <v>76</v>
      </c>
      <c r="F192" s="2" t="s">
        <v>1145</v>
      </c>
      <c r="G192" s="14" t="n">
        <v>9.5</v>
      </c>
      <c r="H192" s="14" t="n">
        <v>44.66</v>
      </c>
      <c r="I192" s="14" t="n">
        <v>9.5</v>
      </c>
      <c r="J192" s="22" t="n">
        <f aca="false">IF(E192="Priority",'Cost model'!N761,'Cost model'!M761)</f>
        <v>35</v>
      </c>
      <c r="K192" s="14" t="n">
        <f aca="false">J192-H192</f>
        <v>-9.66</v>
      </c>
      <c r="L192" s="14" t="n">
        <f aca="false">G192-H192</f>
        <v>-35.16</v>
      </c>
    </row>
    <row r="193" customFormat="false" ht="15" hidden="false" customHeight="false" outlineLevel="0" collapsed="false">
      <c r="A193" s="2" t="s">
        <v>126</v>
      </c>
      <c r="B193" s="2" t="s">
        <v>126</v>
      </c>
      <c r="C193" s="2" t="s">
        <v>48</v>
      </c>
      <c r="D193" s="2" t="s">
        <v>12</v>
      </c>
      <c r="E193" s="2" t="s">
        <v>76</v>
      </c>
      <c r="F193" s="2" t="s">
        <v>1145</v>
      </c>
      <c r="G193" s="14" t="n">
        <v>24.5</v>
      </c>
      <c r="H193" s="14" t="n">
        <v>38.19</v>
      </c>
      <c r="I193" s="14" t="n">
        <v>9.5</v>
      </c>
      <c r="J193" s="22" t="n">
        <f aca="false">IF(E193="Priority",'Cost model'!N383,'Cost model'!M383)</f>
        <v>27.5</v>
      </c>
      <c r="K193" s="14" t="n">
        <f aca="false">J193-H193</f>
        <v>-10.69</v>
      </c>
      <c r="L193" s="14" t="n">
        <f aca="false">G193-H193</f>
        <v>-13.69</v>
      </c>
    </row>
    <row r="194" customFormat="false" ht="15" hidden="false" customHeight="false" outlineLevel="0" collapsed="false">
      <c r="A194" s="2" t="s">
        <v>184</v>
      </c>
      <c r="B194" s="2" t="s">
        <v>126</v>
      </c>
      <c r="C194" s="2" t="s">
        <v>50</v>
      </c>
      <c r="D194" s="2" t="s">
        <v>10</v>
      </c>
      <c r="E194" s="2" t="s">
        <v>76</v>
      </c>
      <c r="F194" s="2" t="s">
        <v>1146</v>
      </c>
      <c r="G194" s="14" t="n">
        <v>17.5</v>
      </c>
      <c r="H194" s="14" t="n">
        <v>15.22</v>
      </c>
      <c r="I194" s="14" t="n">
        <v>17.5</v>
      </c>
      <c r="J194" s="22" t="n">
        <f aca="false">IF(E194="Priority",'Cost model'!N130,'Cost model'!M130)</f>
        <v>18.5</v>
      </c>
      <c r="K194" s="14" t="n">
        <f aca="false">J194-H194</f>
        <v>3.28</v>
      </c>
      <c r="L194" s="14" t="n">
        <f aca="false">G194-H194</f>
        <v>2.28</v>
      </c>
    </row>
    <row r="195" customFormat="false" ht="15" hidden="false" customHeight="false" outlineLevel="0" collapsed="false">
      <c r="A195" s="2" t="s">
        <v>126</v>
      </c>
      <c r="B195" s="2" t="s">
        <v>126</v>
      </c>
      <c r="C195" s="2" t="s">
        <v>49</v>
      </c>
      <c r="D195" s="2" t="s">
        <v>12</v>
      </c>
      <c r="E195" s="2" t="s">
        <v>76</v>
      </c>
      <c r="F195" s="2" t="s">
        <v>1145</v>
      </c>
      <c r="G195" s="14" t="n">
        <v>12.5</v>
      </c>
      <c r="H195" s="14" t="n">
        <v>29.35</v>
      </c>
      <c r="I195" s="14" t="n">
        <v>12.5</v>
      </c>
      <c r="J195" s="22" t="n">
        <f aca="false">IF(E195="Priority",'Cost model'!N384,'Cost model'!M384)</f>
        <v>45</v>
      </c>
      <c r="K195" s="14" t="n">
        <f aca="false">J195-H195</f>
        <v>15.65</v>
      </c>
      <c r="L195" s="14" t="n">
        <f aca="false">G195-H195</f>
        <v>-16.85</v>
      </c>
    </row>
    <row r="196" customFormat="false" ht="15" hidden="false" customHeight="false" outlineLevel="0" collapsed="false">
      <c r="A196" s="2" t="s">
        <v>221</v>
      </c>
      <c r="B196" s="2" t="s">
        <v>221</v>
      </c>
      <c r="C196" s="2" t="s">
        <v>49</v>
      </c>
      <c r="D196" s="2" t="s">
        <v>10</v>
      </c>
      <c r="E196" s="2" t="s">
        <v>76</v>
      </c>
      <c r="F196" s="2" t="s">
        <v>1145</v>
      </c>
      <c r="G196" s="14" t="n">
        <v>19.5</v>
      </c>
      <c r="H196" s="14" t="n">
        <v>12.27</v>
      </c>
      <c r="I196" s="14" t="n">
        <v>12.5</v>
      </c>
      <c r="J196" s="22" t="n">
        <f aca="false">IF(E196="Priority",'Cost model'!N633,'Cost model'!M633)</f>
        <v>13.5</v>
      </c>
      <c r="K196" s="14" t="n">
        <f aca="false">J196-H196</f>
        <v>1.23</v>
      </c>
      <c r="L196" s="14" t="n">
        <f aca="false">G196-H196</f>
        <v>7.23</v>
      </c>
    </row>
    <row r="197" customFormat="false" ht="15" hidden="false" customHeight="false" outlineLevel="0" collapsed="false">
      <c r="A197" s="2" t="s">
        <v>125</v>
      </c>
      <c r="B197" s="2" t="s">
        <v>184</v>
      </c>
      <c r="C197" s="2" t="s">
        <v>48</v>
      </c>
      <c r="D197" s="2" t="s">
        <v>12</v>
      </c>
      <c r="E197" s="2" t="s">
        <v>85</v>
      </c>
      <c r="F197" s="2" t="s">
        <v>1146</v>
      </c>
      <c r="G197" s="14" t="n">
        <v>24.5</v>
      </c>
      <c r="H197" s="14" t="n">
        <v>23.58</v>
      </c>
      <c r="I197" s="14" t="n">
        <v>24.5</v>
      </c>
      <c r="J197" s="22" t="n">
        <f aca="false">IF(E197="Priority",'Cost model'!N59,'Cost model'!M59)</f>
        <v>60</v>
      </c>
      <c r="K197" s="14" t="n">
        <f aca="false">J197-H197</f>
        <v>36.42</v>
      </c>
      <c r="L197" s="14" t="n">
        <f aca="false">G197-H197</f>
        <v>0.920000000000002</v>
      </c>
    </row>
    <row r="198" customFormat="false" ht="15" hidden="false" customHeight="false" outlineLevel="0" collapsed="false">
      <c r="A198" s="2" t="s">
        <v>165</v>
      </c>
      <c r="B198" s="2" t="s">
        <v>146</v>
      </c>
      <c r="C198" s="2" t="s">
        <v>50</v>
      </c>
      <c r="D198" s="2" t="s">
        <v>10</v>
      </c>
      <c r="E198" s="2" t="s">
        <v>85</v>
      </c>
      <c r="F198" s="2" t="s">
        <v>1146</v>
      </c>
      <c r="G198" s="14" t="n">
        <v>29.5</v>
      </c>
      <c r="H198" s="14" t="n">
        <v>20.83</v>
      </c>
      <c r="I198" s="14" t="n">
        <v>29.5</v>
      </c>
      <c r="J198" s="22" t="n">
        <f aca="false">IF(E198="Priority",'Cost model'!N526,'Cost model'!M526)</f>
        <v>27.5</v>
      </c>
      <c r="K198" s="14" t="n">
        <f aca="false">J198-H198</f>
        <v>6.67</v>
      </c>
      <c r="L198" s="14" t="n">
        <f aca="false">G198-H198</f>
        <v>8.67</v>
      </c>
    </row>
    <row r="199" customFormat="false" ht="15" hidden="false" customHeight="false" outlineLevel="0" collapsed="false">
      <c r="A199" s="2" t="s">
        <v>126</v>
      </c>
      <c r="B199" s="2" t="s">
        <v>126</v>
      </c>
      <c r="C199" s="2" t="s">
        <v>48</v>
      </c>
      <c r="D199" s="2" t="s">
        <v>12</v>
      </c>
      <c r="E199" s="2" t="s">
        <v>76</v>
      </c>
      <c r="F199" s="2" t="s">
        <v>1145</v>
      </c>
      <c r="G199" s="14" t="n">
        <v>9.5</v>
      </c>
      <c r="H199" s="14" t="n">
        <v>28.92</v>
      </c>
      <c r="I199" s="14" t="n">
        <v>9.5</v>
      </c>
      <c r="J199" s="22" t="n">
        <f aca="false">IF(E199="Priority",'Cost model'!N383,'Cost model'!M383)</f>
        <v>27.5</v>
      </c>
      <c r="K199" s="14" t="n">
        <f aca="false">J199-H199</f>
        <v>-1.42</v>
      </c>
      <c r="L199" s="14" t="n">
        <f aca="false">G199-H199</f>
        <v>-19.42</v>
      </c>
    </row>
    <row r="200" customFormat="false" ht="15" hidden="false" customHeight="false" outlineLevel="0" collapsed="false">
      <c r="A200" s="2" t="s">
        <v>240</v>
      </c>
      <c r="B200" s="2" t="s">
        <v>240</v>
      </c>
      <c r="C200" s="2" t="s">
        <v>48</v>
      </c>
      <c r="D200" s="2" t="s">
        <v>12</v>
      </c>
      <c r="E200" s="2" t="s">
        <v>76</v>
      </c>
      <c r="F200" s="2" t="s">
        <v>1145</v>
      </c>
      <c r="G200" s="14" t="n">
        <v>14.5</v>
      </c>
      <c r="H200" s="14" t="n">
        <v>38.64</v>
      </c>
      <c r="I200" s="14" t="n">
        <v>9.5</v>
      </c>
      <c r="J200" s="22" t="n">
        <f aca="false">IF(E200="Priority",'Cost model'!N887,'Cost model'!M887)</f>
        <v>21.5</v>
      </c>
      <c r="K200" s="14" t="n">
        <f aca="false">J200-H200</f>
        <v>-17.14</v>
      </c>
      <c r="L200" s="14" t="n">
        <f aca="false">G200-H200</f>
        <v>-24.14</v>
      </c>
    </row>
    <row r="201" customFormat="false" ht="15" hidden="false" customHeight="false" outlineLevel="0" collapsed="false">
      <c r="A201" s="2" t="s">
        <v>126</v>
      </c>
      <c r="B201" s="2" t="s">
        <v>126</v>
      </c>
      <c r="C201" s="2" t="s">
        <v>49</v>
      </c>
      <c r="D201" s="2" t="s">
        <v>12</v>
      </c>
      <c r="E201" s="2" t="s">
        <v>76</v>
      </c>
      <c r="F201" s="2" t="s">
        <v>1145</v>
      </c>
      <c r="G201" s="14" t="n">
        <v>44.99</v>
      </c>
      <c r="H201" s="14" t="n">
        <v>60.38</v>
      </c>
      <c r="I201" s="14" t="n">
        <v>12.5</v>
      </c>
      <c r="J201" s="22" t="n">
        <f aca="false">IF(E201="Priority",'Cost model'!N384,'Cost model'!M384)</f>
        <v>45</v>
      </c>
      <c r="K201" s="14" t="n">
        <f aca="false">J201-H201</f>
        <v>-15.38</v>
      </c>
      <c r="L201" s="14" t="n">
        <f aca="false">G201-H201</f>
        <v>-15.39</v>
      </c>
    </row>
    <row r="202" customFormat="false" ht="15" hidden="false" customHeight="false" outlineLevel="0" collapsed="false">
      <c r="A202" s="2" t="s">
        <v>146</v>
      </c>
      <c r="B202" s="2" t="s">
        <v>146</v>
      </c>
      <c r="C202" s="2" t="s">
        <v>49</v>
      </c>
      <c r="D202" s="2" t="s">
        <v>12</v>
      </c>
      <c r="E202" s="2" t="s">
        <v>76</v>
      </c>
      <c r="F202" s="2" t="s">
        <v>1145</v>
      </c>
      <c r="G202" s="14" t="n">
        <v>24.5</v>
      </c>
      <c r="H202" s="14" t="n">
        <v>13.64</v>
      </c>
      <c r="I202" s="14" t="n">
        <v>12.5</v>
      </c>
      <c r="J202" s="22" t="n">
        <f aca="false">IF(E202="Priority",'Cost model'!N762,'Cost model'!M762)</f>
        <v>45</v>
      </c>
      <c r="K202" s="14" t="n">
        <f aca="false">J202-H202</f>
        <v>31.36</v>
      </c>
      <c r="L202" s="14" t="n">
        <f aca="false">G202-H202</f>
        <v>10.86</v>
      </c>
    </row>
    <row r="203" customFormat="false" ht="15" hidden="false" customHeight="false" outlineLevel="0" collapsed="false">
      <c r="A203" s="2" t="s">
        <v>146</v>
      </c>
      <c r="B203" s="2" t="s">
        <v>146</v>
      </c>
      <c r="C203" s="2" t="s">
        <v>48</v>
      </c>
      <c r="D203" s="2" t="s">
        <v>12</v>
      </c>
      <c r="E203" s="2" t="s">
        <v>76</v>
      </c>
      <c r="F203" s="2" t="s">
        <v>1145</v>
      </c>
      <c r="G203" s="14" t="n">
        <v>9.5</v>
      </c>
      <c r="H203" s="14" t="n">
        <v>10.39</v>
      </c>
      <c r="I203" s="14" t="n">
        <v>9.5</v>
      </c>
      <c r="J203" s="22" t="n">
        <f aca="false">IF(E203="Priority",'Cost model'!N761,'Cost model'!M761)</f>
        <v>35</v>
      </c>
      <c r="K203" s="14" t="n">
        <f aca="false">J203-H203</f>
        <v>24.61</v>
      </c>
      <c r="L203" s="14" t="n">
        <f aca="false">G203-H203</f>
        <v>-0.890000000000001</v>
      </c>
    </row>
    <row r="204" customFormat="false" ht="15" hidden="false" customHeight="false" outlineLevel="0" collapsed="false">
      <c r="A204" s="2" t="s">
        <v>126</v>
      </c>
      <c r="B204" s="2" t="s">
        <v>126</v>
      </c>
      <c r="C204" s="2" t="s">
        <v>49</v>
      </c>
      <c r="D204" s="2" t="s">
        <v>13</v>
      </c>
      <c r="E204" s="2" t="s">
        <v>76</v>
      </c>
      <c r="F204" s="2" t="s">
        <v>1145</v>
      </c>
      <c r="G204" s="14" t="n">
        <v>24.5</v>
      </c>
      <c r="H204" s="14" t="n">
        <v>110.29</v>
      </c>
      <c r="I204" s="14" t="n">
        <v>24.5</v>
      </c>
      <c r="J204" s="22" t="n">
        <f aca="false">IF(E204="Priority",'Cost model'!N387,'Cost model'!M387)</f>
        <v>95</v>
      </c>
      <c r="K204" s="14" t="n">
        <f aca="false">J204-H204</f>
        <v>-15.29</v>
      </c>
      <c r="L204" s="14" t="n">
        <f aca="false">G204-H204</f>
        <v>-85.79</v>
      </c>
    </row>
    <row r="205" customFormat="false" ht="15" hidden="false" customHeight="false" outlineLevel="0" collapsed="false">
      <c r="A205" s="2" t="s">
        <v>126</v>
      </c>
      <c r="B205" s="2" t="s">
        <v>126</v>
      </c>
      <c r="C205" s="2" t="s">
        <v>48</v>
      </c>
      <c r="D205" s="2" t="s">
        <v>12</v>
      </c>
      <c r="E205" s="2" t="s">
        <v>76</v>
      </c>
      <c r="F205" s="2" t="s">
        <v>1145</v>
      </c>
      <c r="G205" s="14" t="n">
        <v>9.5</v>
      </c>
      <c r="H205" s="14" t="n">
        <v>28.24</v>
      </c>
      <c r="I205" s="14" t="n">
        <v>9.5</v>
      </c>
      <c r="J205" s="22" t="n">
        <f aca="false">IF(E205="Priority",'Cost model'!N383,'Cost model'!M383)</f>
        <v>27.5</v>
      </c>
      <c r="K205" s="14" t="n">
        <f aca="false">J205-H205</f>
        <v>-0.739999999999998</v>
      </c>
      <c r="L205" s="14" t="n">
        <f aca="false">G205-H205</f>
        <v>-18.74</v>
      </c>
    </row>
    <row r="206" customFormat="false" ht="15" hidden="false" customHeight="false" outlineLevel="0" collapsed="false">
      <c r="A206" s="2" t="s">
        <v>184</v>
      </c>
      <c r="B206" s="2" t="s">
        <v>184</v>
      </c>
      <c r="C206" s="2" t="s">
        <v>50</v>
      </c>
      <c r="D206" s="2" t="s">
        <v>10</v>
      </c>
      <c r="E206" s="2" t="s">
        <v>76</v>
      </c>
      <c r="F206" s="2" t="s">
        <v>1145</v>
      </c>
      <c r="G206" s="14" t="n">
        <v>17.5</v>
      </c>
      <c r="H206" s="14" t="n">
        <v>20.55</v>
      </c>
      <c r="I206" s="14" t="n">
        <v>17.5</v>
      </c>
      <c r="J206" s="22" t="n">
        <f aca="false">IF(E206="Priority",'Cost model'!N202,'Cost model'!M202)</f>
        <v>17.5</v>
      </c>
      <c r="K206" s="14" t="n">
        <f aca="false">J206-H206</f>
        <v>-3.05</v>
      </c>
      <c r="L206" s="14" t="n">
        <f aca="false">G206-H206</f>
        <v>-3.05</v>
      </c>
    </row>
    <row r="207" customFormat="false" ht="15" hidden="false" customHeight="false" outlineLevel="0" collapsed="false">
      <c r="A207" s="2" t="s">
        <v>221</v>
      </c>
      <c r="B207" s="2" t="s">
        <v>221</v>
      </c>
      <c r="C207" s="2" t="s">
        <v>49</v>
      </c>
      <c r="D207" s="2" t="s">
        <v>12</v>
      </c>
      <c r="E207" s="2" t="s">
        <v>76</v>
      </c>
      <c r="F207" s="2" t="s">
        <v>1145</v>
      </c>
      <c r="G207" s="14" t="n">
        <v>12.5</v>
      </c>
      <c r="H207" s="14" t="n">
        <v>122.34</v>
      </c>
      <c r="I207" s="14" t="n">
        <v>12.5</v>
      </c>
      <c r="J207" s="22" t="n">
        <f aca="false">IF(E207="Priority",'Cost model'!N636,'Cost model'!M636)</f>
        <v>55</v>
      </c>
      <c r="K207" s="14" t="n">
        <f aca="false">J207-H207</f>
        <v>-67.34</v>
      </c>
      <c r="L207" s="14" t="n">
        <f aca="false">G207-H207</f>
        <v>-109.84</v>
      </c>
    </row>
    <row r="208" customFormat="false" ht="15" hidden="false" customHeight="false" outlineLevel="0" collapsed="false">
      <c r="A208" s="2" t="s">
        <v>126</v>
      </c>
      <c r="B208" s="2" t="s">
        <v>125</v>
      </c>
      <c r="C208" s="2" t="s">
        <v>48</v>
      </c>
      <c r="D208" s="2" t="s">
        <v>12</v>
      </c>
      <c r="E208" s="2" t="s">
        <v>76</v>
      </c>
      <c r="F208" s="2" t="s">
        <v>1146</v>
      </c>
      <c r="G208" s="14" t="n">
        <v>9.5</v>
      </c>
      <c r="H208" s="14" t="n">
        <v>37.06</v>
      </c>
      <c r="I208" s="14" t="n">
        <v>24.5</v>
      </c>
      <c r="J208" s="22" t="n">
        <f aca="false">IF(E208="Priority",'Cost model'!N473,'Cost model'!M473)</f>
        <v>65</v>
      </c>
      <c r="K208" s="14" t="n">
        <f aca="false">J208-H208</f>
        <v>27.94</v>
      </c>
      <c r="L208" s="14" t="n">
        <f aca="false">G208-H208</f>
        <v>-27.56</v>
      </c>
    </row>
    <row r="209" customFormat="false" ht="15" hidden="false" customHeight="false" outlineLevel="0" collapsed="false">
      <c r="A209" s="2" t="s">
        <v>184</v>
      </c>
      <c r="B209" s="2" t="s">
        <v>184</v>
      </c>
      <c r="C209" s="2" t="s">
        <v>49</v>
      </c>
      <c r="D209" s="2" t="s">
        <v>12</v>
      </c>
      <c r="E209" s="2" t="s">
        <v>76</v>
      </c>
      <c r="F209" s="2" t="s">
        <v>1145</v>
      </c>
      <c r="G209" s="14" t="n">
        <v>12.5</v>
      </c>
      <c r="H209" s="14" t="n">
        <v>11.92</v>
      </c>
      <c r="I209" s="14"/>
      <c r="J209" s="22" t="n">
        <f aca="false">IF(E209="Priority",'Cost model'!N204,'Cost model'!M204)</f>
        <v>45</v>
      </c>
      <c r="K209" s="14" t="n">
        <f aca="false">J209-H209</f>
        <v>33.08</v>
      </c>
      <c r="L209" s="14" t="n">
        <f aca="false">G209-H209</f>
        <v>0.58</v>
      </c>
    </row>
    <row r="210" customFormat="false" ht="15" hidden="false" customHeight="false" outlineLevel="0" collapsed="false">
      <c r="A210" s="2" t="s">
        <v>146</v>
      </c>
      <c r="B210" s="2" t="s">
        <v>146</v>
      </c>
      <c r="C210" s="2" t="s">
        <v>49</v>
      </c>
      <c r="D210" s="2" t="s">
        <v>12</v>
      </c>
      <c r="E210" s="2" t="s">
        <v>85</v>
      </c>
      <c r="F210" s="2" t="s">
        <v>1145</v>
      </c>
      <c r="G210" s="14" t="n">
        <v>19.5</v>
      </c>
      <c r="H210" s="14" t="n">
        <v>42.23</v>
      </c>
      <c r="I210" s="14" t="n">
        <v>19.5</v>
      </c>
      <c r="J210" s="22" t="n">
        <f aca="false">IF(E210="Priority",'Cost model'!N762,'Cost model'!M762)</f>
        <v>60</v>
      </c>
      <c r="K210" s="14" t="n">
        <f aca="false">J210-H210</f>
        <v>17.77</v>
      </c>
      <c r="L210" s="14" t="n">
        <f aca="false">G210-H210</f>
        <v>-22.73</v>
      </c>
    </row>
    <row r="211" customFormat="false" ht="15" hidden="false" customHeight="false" outlineLevel="0" collapsed="false">
      <c r="A211" s="2" t="s">
        <v>184</v>
      </c>
      <c r="B211" s="2" t="s">
        <v>184</v>
      </c>
      <c r="C211" s="2" t="s">
        <v>48</v>
      </c>
      <c r="D211" s="2" t="s">
        <v>10</v>
      </c>
      <c r="E211" s="2" t="s">
        <v>76</v>
      </c>
      <c r="F211" s="2" t="s">
        <v>1145</v>
      </c>
      <c r="G211" s="14" t="n">
        <v>9.5</v>
      </c>
      <c r="H211" s="14" t="n">
        <v>7.69</v>
      </c>
      <c r="I211" s="14" t="n">
        <v>9.5</v>
      </c>
      <c r="J211" s="22" t="n">
        <f aca="false">IF(E211="Priority",'Cost model'!N200,'Cost model'!M200)</f>
        <v>7.5</v>
      </c>
      <c r="K211" s="14" t="n">
        <f aca="false">J211-H211</f>
        <v>-0.19</v>
      </c>
      <c r="L211" s="14" t="n">
        <f aca="false">G211-H211</f>
        <v>1.81</v>
      </c>
    </row>
    <row r="212" customFormat="false" ht="15" hidden="false" customHeight="false" outlineLevel="0" collapsed="false">
      <c r="A212" s="2" t="s">
        <v>126</v>
      </c>
      <c r="B212" s="2" t="s">
        <v>240</v>
      </c>
      <c r="C212" s="2" t="s">
        <v>48</v>
      </c>
      <c r="D212" s="2" t="s">
        <v>10</v>
      </c>
      <c r="E212" s="2" t="s">
        <v>76</v>
      </c>
      <c r="F212" s="2" t="s">
        <v>1146</v>
      </c>
      <c r="G212" s="14" t="n">
        <v>14.5</v>
      </c>
      <c r="H212" s="14" t="n">
        <v>8.4</v>
      </c>
      <c r="I212" s="14" t="n">
        <v>19.5</v>
      </c>
      <c r="J212" s="22" t="n">
        <f aca="false">IF(E212="Priority",'Cost model'!N488,'Cost model'!M488)</f>
        <v>14.5</v>
      </c>
      <c r="K212" s="14" t="n">
        <f aca="false">J212-H212</f>
        <v>6.1</v>
      </c>
      <c r="L212" s="14" t="n">
        <f aca="false">G212-H212</f>
        <v>6.1</v>
      </c>
    </row>
    <row r="213" customFormat="false" ht="15" hidden="false" customHeight="false" outlineLevel="0" collapsed="false">
      <c r="A213" s="2" t="s">
        <v>240</v>
      </c>
      <c r="B213" s="2" t="s">
        <v>240</v>
      </c>
      <c r="C213" s="2" t="s">
        <v>48</v>
      </c>
      <c r="D213" s="2" t="s">
        <v>10</v>
      </c>
      <c r="E213" s="2" t="s">
        <v>76</v>
      </c>
      <c r="F213" s="2" t="s">
        <v>1145</v>
      </c>
      <c r="G213" s="14" t="n">
        <v>9.5</v>
      </c>
      <c r="H213" s="14" t="n">
        <v>7.4</v>
      </c>
      <c r="I213" s="14" t="n">
        <v>9.5</v>
      </c>
      <c r="J213" s="22" t="n">
        <f aca="false">IF(E213="Priority",'Cost model'!N884,'Cost model'!M884)</f>
        <v>7.5</v>
      </c>
      <c r="K213" s="14" t="n">
        <f aca="false">J213-H213</f>
        <v>0.0999999999999996</v>
      </c>
      <c r="L213" s="14" t="n">
        <f aca="false">G213-H213</f>
        <v>2.1</v>
      </c>
    </row>
    <row r="214" customFormat="false" ht="15" hidden="false" customHeight="false" outlineLevel="0" collapsed="false">
      <c r="A214" s="2" t="s">
        <v>240</v>
      </c>
      <c r="B214" s="2" t="s">
        <v>240</v>
      </c>
      <c r="C214" s="2" t="s">
        <v>48</v>
      </c>
      <c r="D214" s="2" t="s">
        <v>10</v>
      </c>
      <c r="E214" s="2" t="s">
        <v>76</v>
      </c>
      <c r="F214" s="2" t="s">
        <v>1145</v>
      </c>
      <c r="G214" s="14" t="n">
        <v>9.5</v>
      </c>
      <c r="H214" s="14" t="n">
        <v>8.01</v>
      </c>
      <c r="I214" s="14" t="n">
        <v>9.5</v>
      </c>
      <c r="J214" s="22" t="n">
        <f aca="false">IF(E214="Priority",'Cost model'!N884,'Cost model'!M884)</f>
        <v>7.5</v>
      </c>
      <c r="K214" s="14" t="n">
        <f aca="false">J214-H214</f>
        <v>-0.51</v>
      </c>
      <c r="L214" s="14" t="n">
        <f aca="false">G214-H214</f>
        <v>1.49</v>
      </c>
    </row>
    <row r="215" customFormat="false" ht="15" hidden="false" customHeight="false" outlineLevel="0" collapsed="false">
      <c r="A215" s="2" t="s">
        <v>184</v>
      </c>
      <c r="B215" s="2" t="s">
        <v>184</v>
      </c>
      <c r="C215" s="2" t="s">
        <v>48</v>
      </c>
      <c r="D215" s="2" t="s">
        <v>10</v>
      </c>
      <c r="E215" s="2" t="s">
        <v>76</v>
      </c>
      <c r="F215" s="2" t="s">
        <v>1145</v>
      </c>
      <c r="G215" s="14" t="n">
        <v>9.5</v>
      </c>
      <c r="H215" s="14" t="n">
        <v>9.98</v>
      </c>
      <c r="I215" s="14" t="n">
        <v>9.5</v>
      </c>
      <c r="J215" s="22" t="n">
        <f aca="false">IF(E215="Priority",'Cost model'!N200,'Cost model'!M200)</f>
        <v>7.5</v>
      </c>
      <c r="K215" s="14" t="n">
        <f aca="false">J215-H215</f>
        <v>-2.48</v>
      </c>
      <c r="L215" s="14" t="n">
        <f aca="false">G215-H215</f>
        <v>-0.48</v>
      </c>
    </row>
    <row r="216" customFormat="false" ht="15" hidden="false" customHeight="false" outlineLevel="0" collapsed="false">
      <c r="A216" s="2" t="s">
        <v>240</v>
      </c>
      <c r="B216" s="2" t="s">
        <v>240</v>
      </c>
      <c r="C216" s="2" t="s">
        <v>50</v>
      </c>
      <c r="D216" s="2" t="s">
        <v>10</v>
      </c>
      <c r="E216" s="2" t="s">
        <v>76</v>
      </c>
      <c r="F216" s="2" t="s">
        <v>1145</v>
      </c>
      <c r="G216" s="14" t="n">
        <v>17.5</v>
      </c>
      <c r="H216" s="14" t="n">
        <v>17.69</v>
      </c>
      <c r="I216" s="14" t="n">
        <v>17.5</v>
      </c>
      <c r="J216" s="22" t="n">
        <f aca="false">IF(E216="Priority",'Cost model'!N886,'Cost model'!M886)</f>
        <v>17.5</v>
      </c>
      <c r="K216" s="14" t="n">
        <f aca="false">J216-H216</f>
        <v>-0.190000000000001</v>
      </c>
      <c r="L216" s="14" t="n">
        <f aca="false">G216-H216</f>
        <v>-0.190000000000001</v>
      </c>
    </row>
    <row r="217" customFormat="false" ht="15" hidden="false" customHeight="false" outlineLevel="0" collapsed="false">
      <c r="A217" s="2" t="s">
        <v>146</v>
      </c>
      <c r="B217" s="2" t="s">
        <v>165</v>
      </c>
      <c r="C217" s="2" t="s">
        <v>48</v>
      </c>
      <c r="D217" s="2" t="s">
        <v>12</v>
      </c>
      <c r="E217" s="2" t="s">
        <v>76</v>
      </c>
      <c r="F217" s="2" t="s">
        <v>1146</v>
      </c>
      <c r="G217" s="14" t="n">
        <v>19.5</v>
      </c>
      <c r="H217" s="14" t="n">
        <v>44.2</v>
      </c>
      <c r="I217" s="14" t="n">
        <v>19.5</v>
      </c>
      <c r="J217" s="22" t="n">
        <f aca="false">IF(E217="Priority",'Cost model'!N779,'Cost model'!M779)</f>
        <v>50</v>
      </c>
      <c r="K217" s="14" t="n">
        <f aca="false">J217-H217</f>
        <v>5.8</v>
      </c>
      <c r="L217" s="14" t="n">
        <f aca="false">G217-H217</f>
        <v>-24.7</v>
      </c>
    </row>
    <row r="218" customFormat="false" ht="15" hidden="false" customHeight="false" outlineLevel="0" collapsed="false">
      <c r="A218" s="2" t="s">
        <v>221</v>
      </c>
      <c r="B218" s="2" t="s">
        <v>146</v>
      </c>
      <c r="C218" s="2" t="s">
        <v>48</v>
      </c>
      <c r="D218" s="2" t="s">
        <v>12</v>
      </c>
      <c r="E218" s="2" t="s">
        <v>76</v>
      </c>
      <c r="F218" s="2" t="s">
        <v>1146</v>
      </c>
      <c r="G218" s="14" t="n">
        <v>19.5</v>
      </c>
      <c r="H218" s="14" t="n">
        <v>44.15</v>
      </c>
      <c r="I218" s="14" t="n">
        <v>19.5</v>
      </c>
      <c r="J218" s="22" t="n">
        <f aca="false">IF(E218="Priority",'Cost model'!N653,'Cost model'!M653)</f>
        <v>65</v>
      </c>
      <c r="K218" s="14" t="n">
        <f aca="false">J218-H218</f>
        <v>20.85</v>
      </c>
      <c r="L218" s="14" t="n">
        <f aca="false">G218-H218</f>
        <v>-24.65</v>
      </c>
    </row>
    <row r="219" customFormat="false" ht="15" hidden="false" customHeight="false" outlineLevel="0" collapsed="false">
      <c r="A219" s="2" t="s">
        <v>146</v>
      </c>
      <c r="B219" s="2" t="s">
        <v>165</v>
      </c>
      <c r="C219" s="2" t="s">
        <v>48</v>
      </c>
      <c r="D219" s="2" t="s">
        <v>10</v>
      </c>
      <c r="E219" s="2" t="s">
        <v>76</v>
      </c>
      <c r="F219" s="2" t="s">
        <v>1146</v>
      </c>
      <c r="G219" s="14" t="n">
        <v>14.5</v>
      </c>
      <c r="H219" s="14" t="n">
        <v>14.86</v>
      </c>
      <c r="I219" s="14" t="n">
        <v>14.5</v>
      </c>
      <c r="J219" s="22" t="n">
        <f aca="false">IF(E219="Priority",'Cost model'!N776,'Cost model'!M776)</f>
        <v>13.5</v>
      </c>
      <c r="K219" s="14" t="n">
        <f aca="false">J219-H219</f>
        <v>-1.36</v>
      </c>
      <c r="L219" s="14" t="n">
        <f aca="false">G219-H219</f>
        <v>-0.359999999999999</v>
      </c>
    </row>
    <row r="220" customFormat="false" ht="15" hidden="false" customHeight="false" outlineLevel="0" collapsed="false">
      <c r="A220" s="2" t="s">
        <v>184</v>
      </c>
      <c r="B220" s="2" t="s">
        <v>126</v>
      </c>
      <c r="C220" s="2" t="s">
        <v>49</v>
      </c>
      <c r="D220" s="2" t="s">
        <v>12</v>
      </c>
      <c r="E220" s="2" t="s">
        <v>76</v>
      </c>
      <c r="F220" s="2" t="s">
        <v>1146</v>
      </c>
      <c r="G220" s="14" t="n">
        <v>12.5</v>
      </c>
      <c r="H220" s="14" t="n">
        <v>50.81</v>
      </c>
      <c r="I220" s="14"/>
      <c r="J220" s="22" t="n">
        <f aca="false">IF(E220="Priority",'Cost model'!N132,'Cost model'!M132)</f>
        <v>50</v>
      </c>
      <c r="K220" s="14" t="n">
        <f aca="false">J220-H220</f>
        <v>-0.810000000000002</v>
      </c>
      <c r="L220" s="14" t="n">
        <f aca="false">G220-H220</f>
        <v>-38.31</v>
      </c>
    </row>
    <row r="221" customFormat="false" ht="15" hidden="false" customHeight="false" outlineLevel="0" collapsed="false">
      <c r="A221" s="2" t="s">
        <v>184</v>
      </c>
      <c r="B221" s="2" t="s">
        <v>184</v>
      </c>
      <c r="C221" s="2" t="s">
        <v>48</v>
      </c>
      <c r="D221" s="2" t="s">
        <v>12</v>
      </c>
      <c r="E221" s="2" t="s">
        <v>85</v>
      </c>
      <c r="F221" s="2" t="s">
        <v>1145</v>
      </c>
      <c r="G221" s="14" t="n">
        <v>19.5</v>
      </c>
      <c r="H221" s="14" t="n">
        <v>27.41</v>
      </c>
      <c r="I221" s="14" t="n">
        <v>19.5</v>
      </c>
      <c r="J221" s="22" t="n">
        <f aca="false">IF(E221="Priority",'Cost model'!N203,'Cost model'!M203)</f>
        <v>35</v>
      </c>
      <c r="K221" s="14" t="n">
        <f aca="false">J221-H221</f>
        <v>7.59</v>
      </c>
      <c r="L221" s="14" t="n">
        <f aca="false">G221-H221</f>
        <v>-7.91</v>
      </c>
    </row>
    <row r="222" customFormat="false" ht="15" hidden="false" customHeight="false" outlineLevel="0" collapsed="false">
      <c r="A222" s="2" t="s">
        <v>184</v>
      </c>
      <c r="B222" s="2" t="s">
        <v>184</v>
      </c>
      <c r="C222" s="2" t="s">
        <v>49</v>
      </c>
      <c r="D222" s="2" t="s">
        <v>12</v>
      </c>
      <c r="E222" s="2" t="s">
        <v>76</v>
      </c>
      <c r="F222" s="2" t="s">
        <v>1145</v>
      </c>
      <c r="G222" s="14" t="n">
        <v>12.5</v>
      </c>
      <c r="H222" s="14" t="n">
        <v>12.54</v>
      </c>
      <c r="I222" s="14"/>
      <c r="J222" s="22" t="n">
        <f aca="false">IF(E222="Priority",'Cost model'!N204,'Cost model'!M204)</f>
        <v>45</v>
      </c>
      <c r="K222" s="14" t="n">
        <f aca="false">J222-H222</f>
        <v>32.46</v>
      </c>
      <c r="L222" s="14" t="n">
        <f aca="false">G222-H222</f>
        <v>-0.0399999999999992</v>
      </c>
    </row>
    <row r="223" customFormat="false" ht="15" hidden="false" customHeight="false" outlineLevel="0" collapsed="false">
      <c r="A223" s="2" t="s">
        <v>221</v>
      </c>
      <c r="B223" s="2" t="s">
        <v>221</v>
      </c>
      <c r="C223" s="2" t="s">
        <v>48</v>
      </c>
      <c r="D223" s="2" t="s">
        <v>10</v>
      </c>
      <c r="E223" s="2" t="s">
        <v>76</v>
      </c>
      <c r="F223" s="2" t="s">
        <v>1145</v>
      </c>
      <c r="G223" s="14" t="n">
        <v>19.5</v>
      </c>
      <c r="H223" s="14" t="n">
        <v>15.27</v>
      </c>
      <c r="I223" s="14" t="n">
        <v>9.5</v>
      </c>
      <c r="J223" s="22" t="n">
        <f aca="false">IF(E223="Priority",'Cost model'!N632,'Cost model'!M632)</f>
        <v>10.5</v>
      </c>
      <c r="K223" s="14" t="n">
        <f aca="false">J223-H223</f>
        <v>-4.77</v>
      </c>
      <c r="L223" s="14" t="n">
        <f aca="false">G223-H223</f>
        <v>4.23</v>
      </c>
    </row>
    <row r="224" customFormat="false" ht="15" hidden="false" customHeight="false" outlineLevel="0" collapsed="false">
      <c r="A224" s="2" t="s">
        <v>126</v>
      </c>
      <c r="B224" s="2" t="s">
        <v>126</v>
      </c>
      <c r="C224" s="2" t="s">
        <v>48</v>
      </c>
      <c r="D224" s="2" t="s">
        <v>12</v>
      </c>
      <c r="E224" s="2" t="s">
        <v>76</v>
      </c>
      <c r="F224" s="2" t="s">
        <v>1145</v>
      </c>
      <c r="G224" s="14" t="n">
        <v>9.5</v>
      </c>
      <c r="H224" s="14" t="n">
        <v>25.01</v>
      </c>
      <c r="I224" s="14" t="n">
        <v>9.5</v>
      </c>
      <c r="J224" s="22" t="n">
        <f aca="false">IF(E224="Priority",'Cost model'!N383,'Cost model'!M383)</f>
        <v>27.5</v>
      </c>
      <c r="K224" s="14" t="n">
        <f aca="false">J224-H224</f>
        <v>2.49</v>
      </c>
      <c r="L224" s="14" t="n">
        <f aca="false">G224-H224</f>
        <v>-15.51</v>
      </c>
    </row>
    <row r="225" customFormat="false" ht="15" hidden="false" customHeight="false" outlineLevel="0" collapsed="false">
      <c r="A225" s="2" t="s">
        <v>126</v>
      </c>
      <c r="B225" s="2" t="s">
        <v>126</v>
      </c>
      <c r="C225" s="2" t="s">
        <v>48</v>
      </c>
      <c r="D225" s="2" t="s">
        <v>12</v>
      </c>
      <c r="E225" s="2" t="s">
        <v>76</v>
      </c>
      <c r="F225" s="2" t="s">
        <v>1145</v>
      </c>
      <c r="G225" s="14" t="n">
        <v>9.5</v>
      </c>
      <c r="H225" s="14" t="n">
        <v>9.77</v>
      </c>
      <c r="I225" s="14" t="n">
        <v>9.5</v>
      </c>
      <c r="J225" s="22" t="n">
        <f aca="false">IF(E225="Priority",'Cost model'!N383,'Cost model'!M383)</f>
        <v>27.5</v>
      </c>
      <c r="K225" s="14" t="n">
        <f aca="false">J225-H225</f>
        <v>17.73</v>
      </c>
      <c r="L225" s="14" t="n">
        <f aca="false">G225-H225</f>
        <v>-0.27</v>
      </c>
    </row>
    <row r="226" customFormat="false" ht="15" hidden="false" customHeight="false" outlineLevel="0" collapsed="false">
      <c r="A226" s="2" t="s">
        <v>146</v>
      </c>
      <c r="B226" s="2" t="s">
        <v>146</v>
      </c>
      <c r="C226" s="2" t="s">
        <v>50</v>
      </c>
      <c r="D226" s="2" t="s">
        <v>10</v>
      </c>
      <c r="E226" s="2" t="s">
        <v>85</v>
      </c>
      <c r="F226" s="2" t="s">
        <v>1145</v>
      </c>
      <c r="G226" s="14" t="n">
        <v>24.5</v>
      </c>
      <c r="H226" s="14" t="n">
        <v>21.34</v>
      </c>
      <c r="I226" s="14" t="n">
        <v>24.5</v>
      </c>
      <c r="J226" s="22" t="n">
        <f aca="false">IF(E226="Priority",'Cost model'!N760,'Cost model'!M760)</f>
        <v>25.5</v>
      </c>
      <c r="K226" s="14" t="n">
        <f aca="false">J226-H226</f>
        <v>4.16</v>
      </c>
      <c r="L226" s="14" t="n">
        <f aca="false">G226-H226</f>
        <v>3.16</v>
      </c>
    </row>
    <row r="227" customFormat="false" ht="15" hidden="false" customHeight="false" outlineLevel="0" collapsed="false">
      <c r="A227" s="2" t="s">
        <v>184</v>
      </c>
      <c r="B227" s="2" t="s">
        <v>184</v>
      </c>
      <c r="C227" s="2" t="s">
        <v>49</v>
      </c>
      <c r="D227" s="2" t="s">
        <v>10</v>
      </c>
      <c r="E227" s="2" t="s">
        <v>76</v>
      </c>
      <c r="F227" s="2" t="s">
        <v>1145</v>
      </c>
      <c r="G227" s="14" t="n">
        <v>12.5</v>
      </c>
      <c r="H227" s="14" t="n">
        <v>7.22</v>
      </c>
      <c r="I227" s="14"/>
      <c r="J227" s="22" t="n">
        <f aca="false">IF(E227="Priority",'Cost model'!N201,'Cost model'!M201)</f>
        <v>12.5</v>
      </c>
      <c r="K227" s="14" t="n">
        <f aca="false">J227-H227</f>
        <v>5.28</v>
      </c>
      <c r="L227" s="14" t="n">
        <f aca="false">G227-H227</f>
        <v>5.28</v>
      </c>
    </row>
    <row r="228" customFormat="false" ht="15" hidden="false" customHeight="false" outlineLevel="0" collapsed="false">
      <c r="A228" s="2" t="s">
        <v>184</v>
      </c>
      <c r="B228" s="2" t="s">
        <v>146</v>
      </c>
      <c r="C228" s="2" t="s">
        <v>48</v>
      </c>
      <c r="D228" s="2" t="s">
        <v>12</v>
      </c>
      <c r="E228" s="2" t="s">
        <v>76</v>
      </c>
      <c r="F228" s="2" t="s">
        <v>1146</v>
      </c>
      <c r="G228" s="14" t="n">
        <v>9.5</v>
      </c>
      <c r="H228" s="14" t="n">
        <v>62.8</v>
      </c>
      <c r="I228" s="14" t="n">
        <v>9.5</v>
      </c>
      <c r="J228" s="22" t="n">
        <f aca="false">IF(E228="Priority",'Cost model'!N149,'Cost model'!M149)</f>
        <v>45</v>
      </c>
      <c r="K228" s="14" t="n">
        <f aca="false">J228-H228</f>
        <v>-17.8</v>
      </c>
      <c r="L228" s="14" t="n">
        <f aca="false">G228-H228</f>
        <v>-53.3</v>
      </c>
    </row>
    <row r="229" customFormat="false" ht="15" hidden="false" customHeight="false" outlineLevel="0" collapsed="false">
      <c r="A229" s="2" t="s">
        <v>184</v>
      </c>
      <c r="B229" s="2" t="s">
        <v>184</v>
      </c>
      <c r="C229" s="2" t="s">
        <v>48</v>
      </c>
      <c r="D229" s="2" t="s">
        <v>10</v>
      </c>
      <c r="E229" s="2" t="s">
        <v>76</v>
      </c>
      <c r="F229" s="2" t="s">
        <v>1145</v>
      </c>
      <c r="G229" s="14" t="n">
        <v>9.5</v>
      </c>
      <c r="H229" s="14" t="n">
        <v>6.24</v>
      </c>
      <c r="I229" s="14" t="n">
        <v>9.5</v>
      </c>
      <c r="J229" s="22" t="n">
        <f aca="false">IF(E229="Priority",'Cost model'!N200,'Cost model'!M200)</f>
        <v>7.5</v>
      </c>
      <c r="K229" s="14" t="n">
        <f aca="false">J229-H229</f>
        <v>1.26</v>
      </c>
      <c r="L229" s="14" t="n">
        <f aca="false">G229-H229</f>
        <v>3.26</v>
      </c>
    </row>
    <row r="230" customFormat="false" ht="15" hidden="false" customHeight="false" outlineLevel="0" collapsed="false">
      <c r="A230" s="2" t="s">
        <v>184</v>
      </c>
      <c r="B230" s="2" t="s">
        <v>184</v>
      </c>
      <c r="C230" s="2" t="s">
        <v>49</v>
      </c>
      <c r="D230" s="2" t="s">
        <v>12</v>
      </c>
      <c r="E230" s="2" t="s">
        <v>76</v>
      </c>
      <c r="F230" s="2" t="s">
        <v>1145</v>
      </c>
      <c r="G230" s="14" t="n">
        <v>12.5</v>
      </c>
      <c r="H230" s="14" t="n">
        <v>76.44</v>
      </c>
      <c r="I230" s="14"/>
      <c r="J230" s="22" t="n">
        <f aca="false">IF(E230="Priority",'Cost model'!N204,'Cost model'!M204)</f>
        <v>45</v>
      </c>
      <c r="K230" s="14" t="n">
        <f aca="false">J230-H230</f>
        <v>-31.44</v>
      </c>
      <c r="L230" s="14" t="n">
        <f aca="false">G230-H230</f>
        <v>-63.94</v>
      </c>
    </row>
    <row r="231" customFormat="false" ht="15" hidden="false" customHeight="false" outlineLevel="0" collapsed="false">
      <c r="A231" s="2" t="s">
        <v>240</v>
      </c>
      <c r="B231" s="2" t="s">
        <v>240</v>
      </c>
      <c r="C231" s="2" t="s">
        <v>48</v>
      </c>
      <c r="D231" s="2" t="s">
        <v>10</v>
      </c>
      <c r="E231" s="2" t="s">
        <v>76</v>
      </c>
      <c r="F231" s="2" t="s">
        <v>1145</v>
      </c>
      <c r="G231" s="14" t="n">
        <v>9.5</v>
      </c>
      <c r="H231" s="14" t="n">
        <v>7.15</v>
      </c>
      <c r="I231" s="14" t="n">
        <v>9.5</v>
      </c>
      <c r="J231" s="22" t="n">
        <f aca="false">IF(E231="Priority",'Cost model'!N884,'Cost model'!M884)</f>
        <v>7.5</v>
      </c>
      <c r="K231" s="14" t="n">
        <f aca="false">J231-H231</f>
        <v>0.35</v>
      </c>
      <c r="L231" s="14" t="n">
        <f aca="false">G231-H231</f>
        <v>2.35</v>
      </c>
    </row>
    <row r="232" customFormat="false" ht="15" hidden="false" customHeight="false" outlineLevel="0" collapsed="false">
      <c r="A232" s="2" t="s">
        <v>184</v>
      </c>
      <c r="B232" s="2" t="s">
        <v>146</v>
      </c>
      <c r="C232" s="2" t="s">
        <v>48</v>
      </c>
      <c r="D232" s="2" t="s">
        <v>12</v>
      </c>
      <c r="E232" s="2" t="s">
        <v>85</v>
      </c>
      <c r="F232" s="2" t="s">
        <v>1146</v>
      </c>
      <c r="G232" s="14" t="n">
        <v>19.5</v>
      </c>
      <c r="H232" s="14" t="n">
        <v>82.15</v>
      </c>
      <c r="I232" s="14" t="n">
        <v>19.5</v>
      </c>
      <c r="J232" s="22" t="n">
        <f aca="false">IF(E232="Priority",'Cost model'!N149,'Cost model'!M149)</f>
        <v>60</v>
      </c>
      <c r="K232" s="14" t="n">
        <f aca="false">J232-H232</f>
        <v>-22.15</v>
      </c>
      <c r="L232" s="14" t="n">
        <f aca="false">G232-H232</f>
        <v>-62.65</v>
      </c>
    </row>
    <row r="233" customFormat="false" ht="15" hidden="false" customHeight="false" outlineLevel="0" collapsed="false">
      <c r="A233" s="2" t="s">
        <v>126</v>
      </c>
      <c r="B233" s="2" t="s">
        <v>184</v>
      </c>
      <c r="C233" s="2" t="s">
        <v>48</v>
      </c>
      <c r="D233" s="2" t="s">
        <v>10</v>
      </c>
      <c r="E233" s="2" t="s">
        <v>76</v>
      </c>
      <c r="F233" s="2" t="s">
        <v>1146</v>
      </c>
      <c r="G233" s="14" t="n">
        <v>14.5</v>
      </c>
      <c r="H233" s="14" t="n">
        <v>9.25</v>
      </c>
      <c r="I233" s="14" t="n">
        <v>14.5</v>
      </c>
      <c r="J233" s="22" t="n">
        <f aca="false">IF(E233="Priority",'Cost model'!N434,'Cost model'!M434)</f>
        <v>13.5</v>
      </c>
      <c r="K233" s="14" t="n">
        <f aca="false">J233-H233</f>
        <v>4.25</v>
      </c>
      <c r="L233" s="14" t="n">
        <f aca="false">G233-H233</f>
        <v>5.25</v>
      </c>
    </row>
    <row r="234" customFormat="false" ht="15" hidden="false" customHeight="false" outlineLevel="0" collapsed="false">
      <c r="A234" s="2" t="s">
        <v>125</v>
      </c>
      <c r="B234" s="2" t="s">
        <v>126</v>
      </c>
      <c r="C234" s="2" t="s">
        <v>48</v>
      </c>
      <c r="D234" s="2" t="s">
        <v>12</v>
      </c>
      <c r="E234" s="2" t="s">
        <v>76</v>
      </c>
      <c r="F234" s="2" t="s">
        <v>1146</v>
      </c>
      <c r="G234" s="14" t="n">
        <v>14.5</v>
      </c>
      <c r="H234" s="14" t="n">
        <v>48.15</v>
      </c>
      <c r="I234" s="14" t="n">
        <v>19.5</v>
      </c>
      <c r="J234" s="22" t="n">
        <f aca="false">IF(E234="Priority",'Cost model'!N5,'Cost model'!M5)</f>
        <v>50</v>
      </c>
      <c r="K234" s="14" t="n">
        <f aca="false">J234-H234</f>
        <v>1.85</v>
      </c>
      <c r="L234" s="14" t="n">
        <f aca="false">G234-H234</f>
        <v>-33.65</v>
      </c>
    </row>
    <row r="235" customFormat="false" ht="15" hidden="false" customHeight="false" outlineLevel="0" collapsed="false">
      <c r="A235" s="2" t="s">
        <v>184</v>
      </c>
      <c r="B235" s="2" t="s">
        <v>184</v>
      </c>
      <c r="C235" s="2" t="s">
        <v>49</v>
      </c>
      <c r="D235" s="2" t="s">
        <v>14</v>
      </c>
      <c r="E235" s="2" t="s">
        <v>76</v>
      </c>
      <c r="F235" s="2" t="s">
        <v>1145</v>
      </c>
      <c r="G235" s="14" t="n">
        <v>45</v>
      </c>
      <c r="H235" s="14" t="n">
        <v>136.51</v>
      </c>
      <c r="I235" s="14"/>
      <c r="J235" s="22" t="n">
        <f aca="false">IF(E235="Priority",'Cost model'!N210,'Cost model'!M210)</f>
        <v>135</v>
      </c>
      <c r="K235" s="14" t="n">
        <f aca="false">J235-H235</f>
        <v>-1.50999999999999</v>
      </c>
      <c r="L235" s="14" t="n">
        <f aca="false">G235-H235</f>
        <v>-91.51</v>
      </c>
    </row>
    <row r="236" customFormat="false" ht="15" hidden="false" customHeight="false" outlineLevel="0" collapsed="false">
      <c r="A236" s="2" t="s">
        <v>126</v>
      </c>
      <c r="B236" s="2" t="s">
        <v>184</v>
      </c>
      <c r="C236" s="2" t="s">
        <v>49</v>
      </c>
      <c r="D236" s="2" t="s">
        <v>12</v>
      </c>
      <c r="E236" s="2" t="s">
        <v>76</v>
      </c>
      <c r="F236" s="2" t="s">
        <v>1146</v>
      </c>
      <c r="G236" s="14" t="n">
        <v>19.5</v>
      </c>
      <c r="H236" s="14" t="n">
        <v>88.41</v>
      </c>
      <c r="I236" s="14" t="n">
        <v>19.5</v>
      </c>
      <c r="J236" s="22" t="n">
        <f aca="false">IF(E236="Priority",'Cost model'!N438,'Cost model'!M438)</f>
        <v>55</v>
      </c>
      <c r="K236" s="14" t="n">
        <f aca="false">J236-H236</f>
        <v>-33.41</v>
      </c>
      <c r="L236" s="14" t="n">
        <f aca="false">G236-H236</f>
        <v>-68.91</v>
      </c>
    </row>
    <row r="237" customFormat="false" ht="15" hidden="false" customHeight="false" outlineLevel="0" collapsed="false">
      <c r="A237" s="2" t="s">
        <v>184</v>
      </c>
      <c r="B237" s="2" t="s">
        <v>126</v>
      </c>
      <c r="C237" s="2" t="s">
        <v>49</v>
      </c>
      <c r="D237" s="2" t="s">
        <v>12</v>
      </c>
      <c r="E237" s="2" t="s">
        <v>76</v>
      </c>
      <c r="F237" s="2" t="s">
        <v>1146</v>
      </c>
      <c r="G237" s="14" t="n">
        <v>19.5</v>
      </c>
      <c r="H237" s="14" t="n">
        <v>96.99</v>
      </c>
      <c r="I237" s="14"/>
      <c r="J237" s="22" t="n">
        <f aca="false">IF(E237="Priority",'Cost model'!N132,'Cost model'!M132)</f>
        <v>50</v>
      </c>
      <c r="K237" s="14" t="n">
        <f aca="false">J237-H237</f>
        <v>-46.99</v>
      </c>
      <c r="L237" s="14" t="n">
        <f aca="false">G237-H237</f>
        <v>-77.49</v>
      </c>
    </row>
    <row r="238" customFormat="false" ht="15" hidden="false" customHeight="false" outlineLevel="0" collapsed="false">
      <c r="A238" s="2" t="s">
        <v>146</v>
      </c>
      <c r="B238" s="2" t="s">
        <v>126</v>
      </c>
      <c r="C238" s="2" t="s">
        <v>50</v>
      </c>
      <c r="D238" s="2" t="s">
        <v>10</v>
      </c>
      <c r="E238" s="2" t="s">
        <v>76</v>
      </c>
      <c r="F238" s="2" t="s">
        <v>1146</v>
      </c>
      <c r="G238" s="14" t="n">
        <v>24.5</v>
      </c>
      <c r="H238" s="14" t="n">
        <v>21.76</v>
      </c>
      <c r="I238" s="14" t="n">
        <v>17.5</v>
      </c>
      <c r="J238" s="22" t="n">
        <f aca="false">IF(E238="Priority",'Cost model'!N796,'Cost model'!M796)</f>
        <v>17.5</v>
      </c>
      <c r="K238" s="14" t="n">
        <f aca="false">J238-H238</f>
        <v>-4.26</v>
      </c>
      <c r="L238" s="14" t="n">
        <f aca="false">G238-H238</f>
        <v>2.74</v>
      </c>
    </row>
    <row r="239" customFormat="false" ht="15" hidden="false" customHeight="false" outlineLevel="0" collapsed="false">
      <c r="A239" s="2" t="s">
        <v>184</v>
      </c>
      <c r="B239" s="2" t="s">
        <v>146</v>
      </c>
      <c r="C239" s="2" t="s">
        <v>48</v>
      </c>
      <c r="D239" s="2" t="s">
        <v>10</v>
      </c>
      <c r="E239" s="2" t="s">
        <v>76</v>
      </c>
      <c r="F239" s="2" t="s">
        <v>1146</v>
      </c>
      <c r="G239" s="14" t="n">
        <v>9.5</v>
      </c>
      <c r="H239" s="14" t="n">
        <v>10.49</v>
      </c>
      <c r="I239" s="14" t="n">
        <v>9.5</v>
      </c>
      <c r="J239" s="22" t="n">
        <f aca="false">IF(E239="Priority",'Cost model'!N146,'Cost model'!M146)</f>
        <v>12.5</v>
      </c>
      <c r="K239" s="14" t="n">
        <f aca="false">J239-H239</f>
        <v>2.01</v>
      </c>
      <c r="L239" s="14" t="n">
        <f aca="false">G239-H239</f>
        <v>-0.99</v>
      </c>
    </row>
    <row r="240" customFormat="false" ht="15" hidden="false" customHeight="false" outlineLevel="0" collapsed="false">
      <c r="A240" s="2" t="s">
        <v>165</v>
      </c>
      <c r="B240" s="2" t="s">
        <v>165</v>
      </c>
      <c r="C240" s="2" t="s">
        <v>50</v>
      </c>
      <c r="D240" s="2" t="s">
        <v>14</v>
      </c>
      <c r="E240" s="2" t="s">
        <v>76</v>
      </c>
      <c r="F240" s="2" t="s">
        <v>1145</v>
      </c>
      <c r="G240" s="14" t="n">
        <v>85</v>
      </c>
      <c r="H240" s="14" t="n">
        <v>61.37</v>
      </c>
      <c r="I240" s="14" t="n">
        <v>85</v>
      </c>
      <c r="J240" s="22" t="n">
        <f aca="false">IF(E240="Priority",'Cost model'!N517,'Cost model'!M517)</f>
        <v>140</v>
      </c>
      <c r="K240" s="14" t="n">
        <f aca="false">J240-H240</f>
        <v>78.63</v>
      </c>
      <c r="L240" s="14" t="n">
        <f aca="false">G240-H240</f>
        <v>23.63</v>
      </c>
    </row>
    <row r="241" customFormat="false" ht="15" hidden="false" customHeight="false" outlineLevel="0" collapsed="false">
      <c r="A241" s="2" t="s">
        <v>240</v>
      </c>
      <c r="B241" s="2" t="s">
        <v>146</v>
      </c>
      <c r="C241" s="2" t="s">
        <v>48</v>
      </c>
      <c r="D241" s="2" t="s">
        <v>10</v>
      </c>
      <c r="E241" s="2" t="s">
        <v>76</v>
      </c>
      <c r="F241" s="2" t="s">
        <v>1146</v>
      </c>
      <c r="G241" s="14" t="n">
        <v>14.5</v>
      </c>
      <c r="H241" s="14" t="n">
        <v>5.23</v>
      </c>
      <c r="I241" s="14" t="n">
        <v>19.5</v>
      </c>
      <c r="J241" s="22" t="n">
        <f aca="false">IF(E241="Priority",'Cost model'!N920,'Cost model'!M920)</f>
        <v>16.5</v>
      </c>
      <c r="K241" s="14" t="n">
        <f aca="false">J241-H241</f>
        <v>11.27</v>
      </c>
      <c r="L241" s="14" t="n">
        <f aca="false">G241-H241</f>
        <v>9.27</v>
      </c>
    </row>
    <row r="242" customFormat="false" ht="15" hidden="false" customHeight="false" outlineLevel="0" collapsed="false">
      <c r="A242" s="2" t="s">
        <v>184</v>
      </c>
      <c r="B242" s="2" t="s">
        <v>184</v>
      </c>
      <c r="C242" s="2" t="s">
        <v>50</v>
      </c>
      <c r="D242" s="2" t="s">
        <v>12</v>
      </c>
      <c r="E242" s="2" t="s">
        <v>76</v>
      </c>
      <c r="F242" s="2" t="s">
        <v>1145</v>
      </c>
      <c r="G242" s="14" t="n">
        <v>19.5</v>
      </c>
      <c r="H242" s="14" t="n">
        <v>15.22</v>
      </c>
      <c r="I242" s="14" t="n">
        <v>19.5</v>
      </c>
      <c r="J242" s="22" t="n">
        <f aca="false">IF(E242="Priority",'Cost model'!N205,'Cost model'!M205)</f>
        <v>50</v>
      </c>
      <c r="K242" s="14" t="n">
        <f aca="false">J242-H242</f>
        <v>34.78</v>
      </c>
      <c r="L242" s="14" t="n">
        <f aca="false">G242-H242</f>
        <v>4.28</v>
      </c>
    </row>
    <row r="243" customFormat="false" ht="15" hidden="false" customHeight="false" outlineLevel="0" collapsed="false">
      <c r="A243" s="2" t="s">
        <v>184</v>
      </c>
      <c r="B243" s="2" t="s">
        <v>184</v>
      </c>
      <c r="C243" s="2" t="s">
        <v>49</v>
      </c>
      <c r="D243" s="2" t="s">
        <v>10</v>
      </c>
      <c r="E243" s="2" t="s">
        <v>76</v>
      </c>
      <c r="F243" s="2" t="s">
        <v>1145</v>
      </c>
      <c r="G243" s="14" t="n">
        <v>12.5</v>
      </c>
      <c r="H243" s="14" t="n">
        <v>12.27</v>
      </c>
      <c r="I243" s="14"/>
      <c r="J243" s="22" t="n">
        <f aca="false">IF(E243="Priority",'Cost model'!N201,'Cost model'!M201)</f>
        <v>12.5</v>
      </c>
      <c r="K243" s="14" t="n">
        <f aca="false">J243-H243</f>
        <v>0.23</v>
      </c>
      <c r="L243" s="14" t="n">
        <f aca="false">G243-H243</f>
        <v>0.23</v>
      </c>
    </row>
    <row r="244" customFormat="false" ht="15" hidden="false" customHeight="false" outlineLevel="0" collapsed="false">
      <c r="A244" s="2" t="s">
        <v>184</v>
      </c>
      <c r="B244" s="2" t="s">
        <v>165</v>
      </c>
      <c r="C244" s="2" t="s">
        <v>49</v>
      </c>
      <c r="D244" s="2" t="s">
        <v>10</v>
      </c>
      <c r="E244" s="2" t="s">
        <v>76</v>
      </c>
      <c r="F244" s="2" t="s">
        <v>1146</v>
      </c>
      <c r="G244" s="14" t="n">
        <v>12.5</v>
      </c>
      <c r="H244" s="14" t="n">
        <v>11.03</v>
      </c>
      <c r="I244" s="14" t="n">
        <v>14.5</v>
      </c>
      <c r="J244" s="22" t="n">
        <f aca="false">IF(E244="Priority",'Cost model'!N165,'Cost model'!M165)</f>
        <v>15.5</v>
      </c>
      <c r="K244" s="14" t="n">
        <f aca="false">J244-H244</f>
        <v>4.47</v>
      </c>
      <c r="L244" s="14" t="n">
        <f aca="false">G244-H244</f>
        <v>1.47</v>
      </c>
    </row>
    <row r="245" customFormat="false" ht="15" hidden="false" customHeight="false" outlineLevel="0" collapsed="false">
      <c r="A245" s="2" t="s">
        <v>146</v>
      </c>
      <c r="B245" s="2" t="s">
        <v>146</v>
      </c>
      <c r="C245" s="2" t="s">
        <v>48</v>
      </c>
      <c r="D245" s="2" t="s">
        <v>12</v>
      </c>
      <c r="E245" s="2" t="s">
        <v>85</v>
      </c>
      <c r="F245" s="2" t="s">
        <v>1145</v>
      </c>
      <c r="G245" s="14" t="n">
        <v>19.5</v>
      </c>
      <c r="H245" s="14" t="n">
        <v>28.67</v>
      </c>
      <c r="I245" s="14" t="n">
        <v>19.5</v>
      </c>
      <c r="J245" s="22" t="n">
        <f aca="false">IF(E245="Priority",'Cost model'!N761,'Cost model'!M761)</f>
        <v>45</v>
      </c>
      <c r="K245" s="14" t="n">
        <f aca="false">J245-H245</f>
        <v>16.33</v>
      </c>
      <c r="L245" s="14" t="n">
        <f aca="false">G245-H245</f>
        <v>-9.17</v>
      </c>
    </row>
    <row r="246" customFormat="false" ht="15" hidden="false" customHeight="false" outlineLevel="0" collapsed="false">
      <c r="A246" s="2" t="s">
        <v>146</v>
      </c>
      <c r="B246" s="2" t="s">
        <v>126</v>
      </c>
      <c r="C246" s="2" t="s">
        <v>50</v>
      </c>
      <c r="D246" s="2" t="s">
        <v>10</v>
      </c>
      <c r="E246" s="2" t="s">
        <v>76</v>
      </c>
      <c r="F246" s="2" t="s">
        <v>1146</v>
      </c>
      <c r="G246" s="14" t="n">
        <v>17.5</v>
      </c>
      <c r="H246" s="14" t="n">
        <v>11.59</v>
      </c>
      <c r="I246" s="14" t="n">
        <v>17.5</v>
      </c>
      <c r="J246" s="22" t="n">
        <f aca="false">IF(E246="Priority",'Cost model'!N796,'Cost model'!M796)</f>
        <v>17.5</v>
      </c>
      <c r="K246" s="14" t="n">
        <f aca="false">J246-H246</f>
        <v>5.91</v>
      </c>
      <c r="L246" s="14" t="n">
        <f aca="false">G246-H246</f>
        <v>5.91</v>
      </c>
    </row>
    <row r="247" customFormat="false" ht="15" hidden="false" customHeight="false" outlineLevel="0" collapsed="false">
      <c r="A247" s="2" t="s">
        <v>184</v>
      </c>
      <c r="B247" s="2" t="s">
        <v>125</v>
      </c>
      <c r="C247" s="2" t="s">
        <v>49</v>
      </c>
      <c r="D247" s="2" t="s">
        <v>12</v>
      </c>
      <c r="E247" s="2" t="s">
        <v>76</v>
      </c>
      <c r="F247" s="2" t="s">
        <v>1146</v>
      </c>
      <c r="G247" s="14" t="n">
        <v>12.5</v>
      </c>
      <c r="H247" s="14" t="n">
        <v>28.26</v>
      </c>
      <c r="I247" s="14"/>
      <c r="J247" s="22" t="n">
        <f aca="false">IF(E247="Priority",'Cost model'!N240,'Cost model'!M240)</f>
        <v>55</v>
      </c>
      <c r="K247" s="14" t="n">
        <f aca="false">J247-H247</f>
        <v>26.74</v>
      </c>
      <c r="L247" s="14" t="n">
        <f aca="false">G247-H247</f>
        <v>-15.76</v>
      </c>
    </row>
    <row r="248" customFormat="false" ht="15" hidden="false" customHeight="false" outlineLevel="0" collapsed="false">
      <c r="A248" s="2" t="s">
        <v>146</v>
      </c>
      <c r="B248" s="2" t="s">
        <v>146</v>
      </c>
      <c r="C248" s="2" t="s">
        <v>50</v>
      </c>
      <c r="D248" s="2" t="s">
        <v>12</v>
      </c>
      <c r="E248" s="2" t="s">
        <v>85</v>
      </c>
      <c r="F248" s="2" t="s">
        <v>1145</v>
      </c>
      <c r="G248" s="14" t="n">
        <v>29.5</v>
      </c>
      <c r="H248" s="14" t="n">
        <v>54.15</v>
      </c>
      <c r="I248" s="14" t="n">
        <v>29.5</v>
      </c>
      <c r="J248" s="22" t="n">
        <f aca="false">IF(E248="Priority",'Cost model'!N763,'Cost model'!M763)</f>
        <v>65</v>
      </c>
      <c r="K248" s="14" t="n">
        <f aca="false">J248-H248</f>
        <v>10.85</v>
      </c>
      <c r="L248" s="14" t="n">
        <f aca="false">G248-H248</f>
        <v>-24.65</v>
      </c>
    </row>
    <row r="249" customFormat="false" ht="15" hidden="false" customHeight="false" outlineLevel="0" collapsed="false">
      <c r="A249" s="2" t="s">
        <v>184</v>
      </c>
      <c r="B249" s="2" t="s">
        <v>184</v>
      </c>
      <c r="C249" s="2" t="s">
        <v>49</v>
      </c>
      <c r="D249" s="2" t="s">
        <v>12</v>
      </c>
      <c r="E249" s="2" t="s">
        <v>76</v>
      </c>
      <c r="F249" s="2" t="s">
        <v>1145</v>
      </c>
      <c r="G249" s="14" t="n">
        <v>12.5</v>
      </c>
      <c r="H249" s="14" t="n">
        <v>43.77</v>
      </c>
      <c r="I249" s="14"/>
      <c r="J249" s="22" t="n">
        <f aca="false">IF(E249="Priority",'Cost model'!N204,'Cost model'!M204)</f>
        <v>45</v>
      </c>
      <c r="K249" s="14" t="n">
        <f aca="false">J249-H249</f>
        <v>1.23</v>
      </c>
      <c r="L249" s="14" t="n">
        <f aca="false">G249-H249</f>
        <v>-31.27</v>
      </c>
    </row>
    <row r="250" customFormat="false" ht="15" hidden="false" customHeight="false" outlineLevel="0" collapsed="false">
      <c r="A250" s="2" t="s">
        <v>146</v>
      </c>
      <c r="B250" s="2" t="s">
        <v>146</v>
      </c>
      <c r="C250" s="2" t="s">
        <v>50</v>
      </c>
      <c r="D250" s="2" t="s">
        <v>12</v>
      </c>
      <c r="E250" s="2" t="s">
        <v>76</v>
      </c>
      <c r="F250" s="2" t="s">
        <v>1145</v>
      </c>
      <c r="G250" s="14" t="n">
        <v>19.5</v>
      </c>
      <c r="H250" s="14" t="n">
        <v>48.76</v>
      </c>
      <c r="I250" s="14" t="n">
        <v>19.5</v>
      </c>
      <c r="J250" s="22" t="n">
        <f aca="false">IF(E250="Priority",'Cost model'!N763,'Cost model'!M763)</f>
        <v>50</v>
      </c>
      <c r="K250" s="14" t="n">
        <f aca="false">J250-H250</f>
        <v>1.24</v>
      </c>
      <c r="L250" s="14" t="n">
        <f aca="false">G250-H250</f>
        <v>-29.26</v>
      </c>
    </row>
    <row r="251" customFormat="false" ht="15" hidden="false" customHeight="false" outlineLevel="0" collapsed="false">
      <c r="A251" s="2" t="s">
        <v>184</v>
      </c>
      <c r="B251" s="2" t="s">
        <v>126</v>
      </c>
      <c r="C251" s="2" t="s">
        <v>48</v>
      </c>
      <c r="D251" s="2" t="s">
        <v>12</v>
      </c>
      <c r="E251" s="2" t="s">
        <v>76</v>
      </c>
      <c r="F251" s="2" t="s">
        <v>1146</v>
      </c>
      <c r="G251" s="14" t="n">
        <v>9.5</v>
      </c>
      <c r="H251" s="14" t="n">
        <v>42.61</v>
      </c>
      <c r="I251" s="14" t="n">
        <v>9.5</v>
      </c>
      <c r="J251" s="22" t="n">
        <f aca="false">IF(E251="Priority",'Cost model'!N131,'Cost model'!M131)</f>
        <v>40</v>
      </c>
      <c r="K251" s="14" t="n">
        <f aca="false">J251-H251</f>
        <v>-2.61</v>
      </c>
      <c r="L251" s="14" t="n">
        <f aca="false">G251-H251</f>
        <v>-33.11</v>
      </c>
    </row>
    <row r="252" customFormat="false" ht="15" hidden="false" customHeight="false" outlineLevel="0" collapsed="false">
      <c r="A252" s="2" t="s">
        <v>184</v>
      </c>
      <c r="B252" s="2" t="s">
        <v>184</v>
      </c>
      <c r="C252" s="2" t="s">
        <v>48</v>
      </c>
      <c r="D252" s="2" t="s">
        <v>12</v>
      </c>
      <c r="E252" s="2" t="s">
        <v>76</v>
      </c>
      <c r="F252" s="2" t="s">
        <v>1145</v>
      </c>
      <c r="G252" s="14" t="n">
        <v>9.5</v>
      </c>
      <c r="H252" s="14" t="n">
        <v>37.93</v>
      </c>
      <c r="I252" s="14" t="n">
        <v>9.5</v>
      </c>
      <c r="J252" s="22" t="n">
        <f aca="false">IF(E252="Priority",'Cost model'!N203,'Cost model'!M203)</f>
        <v>26.5</v>
      </c>
      <c r="K252" s="14" t="n">
        <f aca="false">J252-H252</f>
        <v>-11.43</v>
      </c>
      <c r="L252" s="14" t="n">
        <f aca="false">G252-H252</f>
        <v>-28.43</v>
      </c>
    </row>
    <row r="253" customFormat="false" ht="15" hidden="false" customHeight="false" outlineLevel="0" collapsed="false">
      <c r="A253" s="2" t="s">
        <v>184</v>
      </c>
      <c r="B253" s="2" t="s">
        <v>184</v>
      </c>
      <c r="C253" s="2" t="s">
        <v>48</v>
      </c>
      <c r="D253" s="2" t="s">
        <v>10</v>
      </c>
      <c r="E253" s="2" t="s">
        <v>76</v>
      </c>
      <c r="F253" s="2" t="s">
        <v>1145</v>
      </c>
      <c r="G253" s="14" t="n">
        <v>9.5</v>
      </c>
      <c r="H253" s="14" t="n">
        <v>7.72</v>
      </c>
      <c r="I253" s="14" t="n">
        <v>9.5</v>
      </c>
      <c r="J253" s="22" t="n">
        <f aca="false">IF(E253="Priority",'Cost model'!N200,'Cost model'!M200)</f>
        <v>7.5</v>
      </c>
      <c r="K253" s="14" t="n">
        <f aca="false">J253-H253</f>
        <v>-0.22</v>
      </c>
      <c r="L253" s="14" t="n">
        <f aca="false">G253-H253</f>
        <v>1.78</v>
      </c>
    </row>
    <row r="254" customFormat="false" ht="15" hidden="false" customHeight="false" outlineLevel="0" collapsed="false">
      <c r="A254" s="2" t="s">
        <v>126</v>
      </c>
      <c r="B254" s="2" t="s">
        <v>126</v>
      </c>
      <c r="C254" s="2" t="s">
        <v>49</v>
      </c>
      <c r="D254" s="2" t="s">
        <v>10</v>
      </c>
      <c r="E254" s="2" t="s">
        <v>76</v>
      </c>
      <c r="F254" s="2" t="s">
        <v>1145</v>
      </c>
      <c r="G254" s="14" t="n">
        <v>12.5</v>
      </c>
      <c r="H254" s="14" t="n">
        <v>6.89</v>
      </c>
      <c r="I254" s="14" t="n">
        <v>12.5</v>
      </c>
      <c r="J254" s="22" t="n">
        <f aca="false">IF(E254="Priority",'Cost model'!N381,'Cost model'!M381)</f>
        <v>14.5</v>
      </c>
      <c r="K254" s="14" t="n">
        <f aca="false">J254-H254</f>
        <v>7.61</v>
      </c>
      <c r="L254" s="14" t="n">
        <f aca="false">G254-H254</f>
        <v>5.61</v>
      </c>
    </row>
    <row r="255" customFormat="false" ht="15" hidden="false" customHeight="false" outlineLevel="0" collapsed="false">
      <c r="A255" s="2" t="s">
        <v>146</v>
      </c>
      <c r="B255" s="2" t="s">
        <v>184</v>
      </c>
      <c r="C255" s="2" t="s">
        <v>48</v>
      </c>
      <c r="D255" s="2" t="s">
        <v>12</v>
      </c>
      <c r="E255" s="2" t="s">
        <v>76</v>
      </c>
      <c r="F255" s="2" t="s">
        <v>1146</v>
      </c>
      <c r="G255" s="14" t="n">
        <v>19.5</v>
      </c>
      <c r="H255" s="14" t="n">
        <v>5.97</v>
      </c>
      <c r="I255" s="14" t="n">
        <v>19.5</v>
      </c>
      <c r="J255" s="22" t="n">
        <f aca="false">IF(E255="Priority",'Cost model'!N833,'Cost model'!M833)</f>
        <v>45</v>
      </c>
      <c r="K255" s="14" t="n">
        <f aca="false">J255-H255</f>
        <v>39.03</v>
      </c>
      <c r="L255" s="14" t="n">
        <f aca="false">G255-H255</f>
        <v>13.53</v>
      </c>
    </row>
    <row r="256" customFormat="false" ht="15" hidden="false" customHeight="false" outlineLevel="0" collapsed="false">
      <c r="A256" s="2" t="s">
        <v>126</v>
      </c>
      <c r="B256" s="2" t="s">
        <v>126</v>
      </c>
      <c r="C256" s="2" t="s">
        <v>48</v>
      </c>
      <c r="D256" s="2" t="s">
        <v>12</v>
      </c>
      <c r="E256" s="2" t="s">
        <v>76</v>
      </c>
      <c r="F256" s="2" t="s">
        <v>1145</v>
      </c>
      <c r="G256" s="14" t="n">
        <v>9.5</v>
      </c>
      <c r="H256" s="14" t="n">
        <v>42.61</v>
      </c>
      <c r="I256" s="14" t="n">
        <v>9.5</v>
      </c>
      <c r="J256" s="22" t="n">
        <f aca="false">IF(E256="Priority",'Cost model'!N383,'Cost model'!M383)</f>
        <v>27.5</v>
      </c>
      <c r="K256" s="14" t="n">
        <f aca="false">J256-H256</f>
        <v>-15.11</v>
      </c>
      <c r="L256" s="14" t="n">
        <f aca="false">G256-H256</f>
        <v>-33.11</v>
      </c>
    </row>
    <row r="257" customFormat="false" ht="15" hidden="false" customHeight="false" outlineLevel="0" collapsed="false">
      <c r="A257" s="2" t="s">
        <v>126</v>
      </c>
      <c r="B257" s="2" t="s">
        <v>126</v>
      </c>
      <c r="C257" s="2" t="s">
        <v>49</v>
      </c>
      <c r="D257" s="2" t="s">
        <v>12</v>
      </c>
      <c r="E257" s="2" t="s">
        <v>76</v>
      </c>
      <c r="F257" s="2" t="s">
        <v>1145</v>
      </c>
      <c r="G257" s="14" t="n">
        <v>12.5</v>
      </c>
      <c r="H257" s="14" t="n">
        <v>59.17</v>
      </c>
      <c r="I257" s="14" t="n">
        <v>12.5</v>
      </c>
      <c r="J257" s="22" t="n">
        <f aca="false">IF(E257="Priority",'Cost model'!N384,'Cost model'!M384)</f>
        <v>45</v>
      </c>
      <c r="K257" s="14" t="n">
        <f aca="false">J257-H257</f>
        <v>-14.17</v>
      </c>
      <c r="L257" s="14" t="n">
        <f aca="false">G257-H257</f>
        <v>-46.67</v>
      </c>
    </row>
    <row r="258" customFormat="false" ht="15" hidden="false" customHeight="false" outlineLevel="0" collapsed="false">
      <c r="A258" s="2" t="s">
        <v>126</v>
      </c>
      <c r="B258" s="2" t="s">
        <v>126</v>
      </c>
      <c r="C258" s="2" t="s">
        <v>50</v>
      </c>
      <c r="D258" s="2" t="s">
        <v>10</v>
      </c>
      <c r="E258" s="2" t="s">
        <v>76</v>
      </c>
      <c r="F258" s="2" t="s">
        <v>1145</v>
      </c>
      <c r="G258" s="14" t="n">
        <v>17.5</v>
      </c>
      <c r="H258" s="14" t="n">
        <v>17.69</v>
      </c>
      <c r="I258" s="14" t="n">
        <v>17.5</v>
      </c>
      <c r="J258" s="22" t="n">
        <f aca="false">IF(E258="Priority",'Cost model'!N382,'Cost model'!M382)</f>
        <v>18.5</v>
      </c>
      <c r="K258" s="14" t="n">
        <f aca="false">J258-H258</f>
        <v>0.809999999999999</v>
      </c>
      <c r="L258" s="14" t="n">
        <f aca="false">G258-H258</f>
        <v>-0.190000000000001</v>
      </c>
    </row>
    <row r="259" customFormat="false" ht="15" hidden="false" customHeight="false" outlineLevel="0" collapsed="false">
      <c r="A259" s="2" t="s">
        <v>126</v>
      </c>
      <c r="B259" s="2" t="s">
        <v>125</v>
      </c>
      <c r="C259" s="2" t="s">
        <v>50</v>
      </c>
      <c r="D259" s="2" t="s">
        <v>13</v>
      </c>
      <c r="E259" s="2" t="s">
        <v>76</v>
      </c>
      <c r="F259" s="2" t="s">
        <v>1146</v>
      </c>
      <c r="G259" s="14" t="n">
        <v>50</v>
      </c>
      <c r="H259" s="14" t="n">
        <v>107.5</v>
      </c>
      <c r="I259" s="14" t="n">
        <v>99</v>
      </c>
      <c r="J259" s="22" t="n">
        <f aca="false">IF(E259="Priority",'Cost model'!N478,'Cost model'!M478)</f>
        <v>155</v>
      </c>
      <c r="K259" s="14" t="n">
        <f aca="false">J259-H259</f>
        <v>47.5</v>
      </c>
      <c r="L259" s="14" t="n">
        <f aca="false">G259-H259</f>
        <v>-57.5</v>
      </c>
    </row>
    <row r="260" customFormat="false" ht="15" hidden="false" customHeight="false" outlineLevel="0" collapsed="false">
      <c r="A260" s="2" t="s">
        <v>221</v>
      </c>
      <c r="B260" s="2" t="s">
        <v>126</v>
      </c>
      <c r="C260" s="2" t="s">
        <v>48</v>
      </c>
      <c r="D260" s="2" t="s">
        <v>12</v>
      </c>
      <c r="E260" s="2" t="s">
        <v>76</v>
      </c>
      <c r="F260" s="2" t="s">
        <v>1146</v>
      </c>
      <c r="G260" s="14" t="n">
        <v>19.5</v>
      </c>
      <c r="H260" s="14" t="n">
        <v>40.63</v>
      </c>
      <c r="I260" s="14" t="n">
        <v>24.5</v>
      </c>
      <c r="J260" s="22" t="n">
        <f aca="false">IF(E260="Priority",'Cost model'!N689,'Cost model'!M689)</f>
        <v>55</v>
      </c>
      <c r="K260" s="14" t="n">
        <f aca="false">J260-H260</f>
        <v>14.37</v>
      </c>
      <c r="L260" s="14" t="n">
        <f aca="false">G260-H260</f>
        <v>-21.13</v>
      </c>
    </row>
    <row r="261" customFormat="false" ht="15" hidden="false" customHeight="false" outlineLevel="0" collapsed="false">
      <c r="A261" s="2" t="s">
        <v>126</v>
      </c>
      <c r="B261" s="2" t="s">
        <v>125</v>
      </c>
      <c r="C261" s="2" t="s">
        <v>49</v>
      </c>
      <c r="D261" s="2" t="s">
        <v>12</v>
      </c>
      <c r="E261" s="2" t="s">
        <v>76</v>
      </c>
      <c r="F261" s="2" t="s">
        <v>1146</v>
      </c>
      <c r="G261" s="14" t="n">
        <v>19.5</v>
      </c>
      <c r="H261" s="14" t="n">
        <v>35.91</v>
      </c>
      <c r="I261" s="14" t="n">
        <v>24.5</v>
      </c>
      <c r="J261" s="22" t="n">
        <f aca="false">IF(E261="Priority",'Cost model'!N474,'Cost model'!M474)</f>
        <v>65</v>
      </c>
      <c r="K261" s="14" t="n">
        <f aca="false">J261-H261</f>
        <v>29.09</v>
      </c>
      <c r="L261" s="14" t="n">
        <f aca="false">G261-H261</f>
        <v>-16.41</v>
      </c>
    </row>
    <row r="262" customFormat="false" ht="15" hidden="false" customHeight="false" outlineLevel="0" collapsed="false">
      <c r="A262" s="2" t="s">
        <v>146</v>
      </c>
      <c r="B262" s="2" t="s">
        <v>146</v>
      </c>
      <c r="C262" s="2" t="s">
        <v>48</v>
      </c>
      <c r="D262" s="2" t="s">
        <v>10</v>
      </c>
      <c r="E262" s="2" t="s">
        <v>85</v>
      </c>
      <c r="F262" s="2" t="s">
        <v>1145</v>
      </c>
      <c r="G262" s="14" t="n">
        <v>14.5</v>
      </c>
      <c r="H262" s="14" t="n">
        <v>43.77</v>
      </c>
      <c r="I262" s="14" t="n">
        <v>14.5</v>
      </c>
      <c r="J262" s="22" t="n">
        <f aca="false">IF(E262="Priority",'Cost model'!N758,'Cost model'!M758)</f>
        <v>14.5</v>
      </c>
      <c r="K262" s="14" t="n">
        <f aca="false">J262-H262</f>
        <v>-29.27</v>
      </c>
      <c r="L262" s="14" t="n">
        <f aca="false">G262-H262</f>
        <v>-29.27</v>
      </c>
    </row>
    <row r="263" customFormat="false" ht="15" hidden="false" customHeight="false" outlineLevel="0" collapsed="false">
      <c r="A263" s="2" t="s">
        <v>385</v>
      </c>
      <c r="B263" s="2" t="s">
        <v>165</v>
      </c>
      <c r="C263" s="2" t="s">
        <v>48</v>
      </c>
      <c r="D263" s="2" t="s">
        <v>10</v>
      </c>
      <c r="E263" s="2" t="s">
        <v>76</v>
      </c>
      <c r="F263" s="2" t="s">
        <v>1146</v>
      </c>
      <c r="G263" s="14" t="n">
        <v>19.5</v>
      </c>
      <c r="H263" s="14" t="n">
        <v>34.89</v>
      </c>
      <c r="I263" s="14" t="n">
        <v>19.5</v>
      </c>
      <c r="J263" s="22" t="n">
        <f aca="false">IF(E263="Priority",'Cost model'!N254,'Cost model'!M254)</f>
        <v>20.5</v>
      </c>
      <c r="K263" s="14" t="n">
        <f aca="false">J263-H263</f>
        <v>-14.39</v>
      </c>
      <c r="L263" s="14" t="n">
        <f aca="false">G263-H263</f>
        <v>-15.39</v>
      </c>
    </row>
    <row r="264" customFormat="false" ht="15" hidden="false" customHeight="false" outlineLevel="0" collapsed="false">
      <c r="A264" s="2" t="s">
        <v>146</v>
      </c>
      <c r="B264" s="2" t="s">
        <v>184</v>
      </c>
      <c r="C264" s="2" t="s">
        <v>48</v>
      </c>
      <c r="D264" s="2" t="s">
        <v>10</v>
      </c>
      <c r="E264" s="2" t="s">
        <v>76</v>
      </c>
      <c r="F264" s="2" t="s">
        <v>1146</v>
      </c>
      <c r="G264" s="14" t="n">
        <v>9.5</v>
      </c>
      <c r="H264" s="14" t="n">
        <v>8.09</v>
      </c>
      <c r="I264" s="14" t="n">
        <v>14.5</v>
      </c>
      <c r="J264" s="22" t="n">
        <f aca="false">IF(E264="Priority",'Cost model'!N830,'Cost model'!M830)</f>
        <v>9.5</v>
      </c>
      <c r="K264" s="14" t="n">
        <f aca="false">J264-H264</f>
        <v>1.41</v>
      </c>
      <c r="L264" s="14" t="n">
        <f aca="false">G264-H264</f>
        <v>1.41</v>
      </c>
    </row>
    <row r="265" customFormat="false" ht="15" hidden="false" customHeight="false" outlineLevel="0" collapsed="false">
      <c r="A265" s="2" t="s">
        <v>184</v>
      </c>
      <c r="B265" s="2" t="s">
        <v>126</v>
      </c>
      <c r="C265" s="2" t="s">
        <v>48</v>
      </c>
      <c r="D265" s="2" t="s">
        <v>10</v>
      </c>
      <c r="E265" s="2" t="s">
        <v>76</v>
      </c>
      <c r="F265" s="2" t="s">
        <v>1146</v>
      </c>
      <c r="G265" s="14" t="n">
        <v>9.5</v>
      </c>
      <c r="H265" s="14" t="n">
        <v>10.76</v>
      </c>
      <c r="I265" s="14" t="n">
        <v>9.5</v>
      </c>
      <c r="J265" s="22" t="n">
        <f aca="false">IF(E265="Priority",'Cost model'!N128,'Cost model'!M128)</f>
        <v>10.5</v>
      </c>
      <c r="K265" s="14" t="n">
        <f aca="false">J265-H265</f>
        <v>-0.26</v>
      </c>
      <c r="L265" s="14" t="n">
        <f aca="false">G265-H265</f>
        <v>-1.26</v>
      </c>
    </row>
    <row r="266" customFormat="false" ht="15" hidden="false" customHeight="false" outlineLevel="0" collapsed="false">
      <c r="A266" s="2" t="s">
        <v>184</v>
      </c>
      <c r="B266" s="2" t="s">
        <v>165</v>
      </c>
      <c r="C266" s="2" t="s">
        <v>48</v>
      </c>
      <c r="D266" s="2" t="s">
        <v>10</v>
      </c>
      <c r="E266" s="2" t="s">
        <v>76</v>
      </c>
      <c r="F266" s="2" t="s">
        <v>1146</v>
      </c>
      <c r="G266" s="14" t="n">
        <v>14.5</v>
      </c>
      <c r="H266" s="14" t="n">
        <v>13.63</v>
      </c>
      <c r="I266" s="14" t="n">
        <v>14.5</v>
      </c>
      <c r="J266" s="22" t="n">
        <f aca="false">IF(E266="Priority",'Cost model'!N164,'Cost model'!M164)</f>
        <v>11.5</v>
      </c>
      <c r="K266" s="14" t="n">
        <f aca="false">J266-H266</f>
        <v>-2.13</v>
      </c>
      <c r="L266" s="14" t="n">
        <f aca="false">G266-H266</f>
        <v>0.869999999999999</v>
      </c>
    </row>
    <row r="267" customFormat="false" ht="15" hidden="false" customHeight="false" outlineLevel="0" collapsed="false">
      <c r="A267" s="2" t="s">
        <v>184</v>
      </c>
      <c r="B267" s="2" t="s">
        <v>126</v>
      </c>
      <c r="C267" s="2" t="s">
        <v>48</v>
      </c>
      <c r="D267" s="2" t="s">
        <v>10</v>
      </c>
      <c r="E267" s="2" t="s">
        <v>76</v>
      </c>
      <c r="F267" s="2" t="s">
        <v>1146</v>
      </c>
      <c r="G267" s="14" t="n">
        <v>9.5</v>
      </c>
      <c r="H267" s="14" t="n">
        <v>10.37</v>
      </c>
      <c r="I267" s="14" t="n">
        <v>9.5</v>
      </c>
      <c r="J267" s="22" t="n">
        <f aca="false">IF(E267="Priority",'Cost model'!N128,'Cost model'!M128)</f>
        <v>10.5</v>
      </c>
      <c r="K267" s="14" t="n">
        <f aca="false">J267-H267</f>
        <v>0.130000000000001</v>
      </c>
      <c r="L267" s="14" t="n">
        <f aca="false">G267-H267</f>
        <v>-0.869999999999999</v>
      </c>
    </row>
    <row r="268" customFormat="false" ht="15" hidden="false" customHeight="false" outlineLevel="0" collapsed="false">
      <c r="A268" s="2" t="s">
        <v>184</v>
      </c>
      <c r="B268" s="2" t="s">
        <v>146</v>
      </c>
      <c r="C268" s="2" t="s">
        <v>48</v>
      </c>
      <c r="D268" s="2" t="s">
        <v>15</v>
      </c>
      <c r="E268" s="2" t="s">
        <v>76</v>
      </c>
      <c r="F268" s="2" t="s">
        <v>1146</v>
      </c>
      <c r="G268" s="14" t="n">
        <v>45</v>
      </c>
      <c r="H268" s="14" t="n">
        <v>227.96</v>
      </c>
      <c r="I268" s="14" t="n">
        <v>45</v>
      </c>
      <c r="J268" s="22" t="n">
        <f aca="false">IF(E268="Priority",'Cost model'!N158,'Cost model'!M158)</f>
        <v>175</v>
      </c>
      <c r="K268" s="14" t="n">
        <f aca="false">J268-H268</f>
        <v>-52.96</v>
      </c>
      <c r="L268" s="14" t="n">
        <f aca="false">G268-H268</f>
        <v>-182.96</v>
      </c>
    </row>
    <row r="269" customFormat="false" ht="15" hidden="false" customHeight="false" outlineLevel="0" collapsed="false">
      <c r="A269" s="2" t="s">
        <v>165</v>
      </c>
      <c r="B269" s="2" t="s">
        <v>165</v>
      </c>
      <c r="C269" s="2" t="s">
        <v>50</v>
      </c>
      <c r="D269" s="2" t="s">
        <v>10</v>
      </c>
      <c r="E269" s="2" t="s">
        <v>76</v>
      </c>
      <c r="F269" s="2" t="s">
        <v>1145</v>
      </c>
      <c r="G269" s="14" t="n">
        <v>17.5</v>
      </c>
      <c r="H269" s="14" t="n">
        <v>17.69</v>
      </c>
      <c r="I269" s="14" t="n">
        <v>17.5</v>
      </c>
      <c r="J269" s="22" t="n">
        <f aca="false">IF(E269="Priority",'Cost model'!N508,'Cost model'!M508)</f>
        <v>17.5</v>
      </c>
      <c r="K269" s="14" t="n">
        <f aca="false">J269-H269</f>
        <v>-0.190000000000001</v>
      </c>
      <c r="L269" s="14" t="n">
        <f aca="false">G269-H269</f>
        <v>-0.190000000000001</v>
      </c>
    </row>
    <row r="270" customFormat="false" ht="15" hidden="false" customHeight="false" outlineLevel="0" collapsed="false">
      <c r="A270" s="2" t="s">
        <v>126</v>
      </c>
      <c r="B270" s="2" t="s">
        <v>126</v>
      </c>
      <c r="C270" s="2" t="s">
        <v>49</v>
      </c>
      <c r="D270" s="2" t="s">
        <v>12</v>
      </c>
      <c r="E270" s="2" t="s">
        <v>76</v>
      </c>
      <c r="F270" s="2" t="s">
        <v>1145</v>
      </c>
      <c r="G270" s="14" t="n">
        <v>12.5</v>
      </c>
      <c r="H270" s="14" t="n">
        <v>45.32</v>
      </c>
      <c r="I270" s="14" t="n">
        <v>12.5</v>
      </c>
      <c r="J270" s="22" t="n">
        <f aca="false">IF(E270="Priority",'Cost model'!N384,'Cost model'!M384)</f>
        <v>45</v>
      </c>
      <c r="K270" s="14" t="n">
        <f aca="false">J270-H270</f>
        <v>-0.32</v>
      </c>
      <c r="L270" s="14" t="n">
        <f aca="false">G270-H270</f>
        <v>-32.82</v>
      </c>
    </row>
    <row r="271" customFormat="false" ht="15" hidden="false" customHeight="false" outlineLevel="0" collapsed="false">
      <c r="A271" s="2" t="s">
        <v>126</v>
      </c>
      <c r="B271" s="2" t="s">
        <v>126</v>
      </c>
      <c r="C271" s="2" t="s">
        <v>49</v>
      </c>
      <c r="D271" s="2" t="s">
        <v>12</v>
      </c>
      <c r="E271" s="2" t="s">
        <v>76</v>
      </c>
      <c r="F271" s="2" t="s">
        <v>1145</v>
      </c>
      <c r="G271" s="14" t="n">
        <v>24.5</v>
      </c>
      <c r="H271" s="14" t="n">
        <v>23.58</v>
      </c>
      <c r="I271" s="14" t="n">
        <v>12.5</v>
      </c>
      <c r="J271" s="22" t="n">
        <f aca="false">IF(E271="Priority",'Cost model'!N384,'Cost model'!M384)</f>
        <v>45</v>
      </c>
      <c r="K271" s="14" t="n">
        <f aca="false">J271-H271</f>
        <v>21.42</v>
      </c>
      <c r="L271" s="14" t="n">
        <f aca="false">G271-H271</f>
        <v>0.920000000000002</v>
      </c>
    </row>
    <row r="272" customFormat="false" ht="15" hidden="false" customHeight="false" outlineLevel="0" collapsed="false">
      <c r="A272" s="2" t="s">
        <v>126</v>
      </c>
      <c r="B272" s="2" t="s">
        <v>126</v>
      </c>
      <c r="C272" s="2" t="s">
        <v>50</v>
      </c>
      <c r="D272" s="2" t="s">
        <v>12</v>
      </c>
      <c r="E272" s="2" t="s">
        <v>76</v>
      </c>
      <c r="F272" s="2" t="s">
        <v>1145</v>
      </c>
      <c r="G272" s="14" t="n">
        <v>19.5</v>
      </c>
      <c r="H272" s="14" t="n">
        <v>77.81</v>
      </c>
      <c r="I272" s="14" t="n">
        <v>19.5</v>
      </c>
      <c r="J272" s="22" t="n">
        <f aca="false">IF(E272="Priority",'Cost model'!N385,'Cost model'!M385)</f>
        <v>55</v>
      </c>
      <c r="K272" s="14" t="n">
        <f aca="false">J272-H272</f>
        <v>-22.81</v>
      </c>
      <c r="L272" s="14" t="n">
        <f aca="false">G272-H272</f>
        <v>-58.31</v>
      </c>
    </row>
    <row r="273" customFormat="false" ht="15" hidden="false" customHeight="false" outlineLevel="0" collapsed="false">
      <c r="A273" s="2" t="s">
        <v>184</v>
      </c>
      <c r="B273" s="2" t="s">
        <v>184</v>
      </c>
      <c r="C273" s="2" t="s">
        <v>48</v>
      </c>
      <c r="D273" s="2" t="s">
        <v>12</v>
      </c>
      <c r="E273" s="2" t="s">
        <v>76</v>
      </c>
      <c r="F273" s="2" t="s">
        <v>1145</v>
      </c>
      <c r="G273" s="14" t="n">
        <v>9.5</v>
      </c>
      <c r="H273" s="14" t="n">
        <v>28.41</v>
      </c>
      <c r="I273" s="14" t="n">
        <v>9.5</v>
      </c>
      <c r="J273" s="22" t="n">
        <f aca="false">IF(E273="Priority",'Cost model'!N203,'Cost model'!M203)</f>
        <v>26.5</v>
      </c>
      <c r="K273" s="14" t="n">
        <f aca="false">J273-H273</f>
        <v>-1.91</v>
      </c>
      <c r="L273" s="14" t="n">
        <f aca="false">G273-H273</f>
        <v>-18.91</v>
      </c>
    </row>
    <row r="274" customFormat="false" ht="15" hidden="false" customHeight="false" outlineLevel="0" collapsed="false">
      <c r="A274" s="2" t="s">
        <v>126</v>
      </c>
      <c r="B274" s="2" t="s">
        <v>126</v>
      </c>
      <c r="C274" s="2" t="s">
        <v>48</v>
      </c>
      <c r="D274" s="2" t="s">
        <v>10</v>
      </c>
      <c r="E274" s="2" t="s">
        <v>76</v>
      </c>
      <c r="F274" s="2" t="s">
        <v>1145</v>
      </c>
      <c r="G274" s="14" t="n">
        <v>9.5</v>
      </c>
      <c r="H274" s="14" t="n">
        <v>7.46</v>
      </c>
      <c r="I274" s="14" t="n">
        <v>9.5</v>
      </c>
      <c r="J274" s="22" t="n">
        <f aca="false">IF(E274="Priority",'Cost model'!N380,'Cost model'!M380)</f>
        <v>8.5</v>
      </c>
      <c r="K274" s="14" t="n">
        <f aca="false">J274-H274</f>
        <v>1.04</v>
      </c>
      <c r="L274" s="14" t="n">
        <f aca="false">G274-H274</f>
        <v>2.04</v>
      </c>
    </row>
    <row r="275" customFormat="false" ht="15" hidden="false" customHeight="false" outlineLevel="0" collapsed="false">
      <c r="A275" s="2" t="s">
        <v>126</v>
      </c>
      <c r="B275" s="2" t="s">
        <v>126</v>
      </c>
      <c r="C275" s="2" t="s">
        <v>50</v>
      </c>
      <c r="D275" s="2" t="s">
        <v>12</v>
      </c>
      <c r="E275" s="2" t="s">
        <v>85</v>
      </c>
      <c r="F275" s="2" t="s">
        <v>1145</v>
      </c>
      <c r="G275" s="14" t="n">
        <v>29.5</v>
      </c>
      <c r="H275" s="14" t="n">
        <v>69.83</v>
      </c>
      <c r="I275" s="14" t="n">
        <v>29.5</v>
      </c>
      <c r="J275" s="22" t="n">
        <f aca="false">IF(E275="Priority",'Cost model'!N385,'Cost model'!M385)</f>
        <v>70</v>
      </c>
      <c r="K275" s="14" t="n">
        <f aca="false">J275-H275</f>
        <v>0.170000000000002</v>
      </c>
      <c r="L275" s="14" t="n">
        <f aca="false">G275-H275</f>
        <v>-40.33</v>
      </c>
    </row>
    <row r="276" customFormat="false" ht="15" hidden="false" customHeight="false" outlineLevel="0" collapsed="false">
      <c r="A276" s="2" t="s">
        <v>184</v>
      </c>
      <c r="B276" s="2" t="s">
        <v>146</v>
      </c>
      <c r="C276" s="2" t="s">
        <v>48</v>
      </c>
      <c r="D276" s="2" t="s">
        <v>10</v>
      </c>
      <c r="E276" s="2" t="s">
        <v>76</v>
      </c>
      <c r="F276" s="2" t="s">
        <v>1146</v>
      </c>
      <c r="G276" s="14" t="n">
        <v>9.5</v>
      </c>
      <c r="H276" s="14" t="n">
        <v>9.64</v>
      </c>
      <c r="I276" s="14" t="n">
        <v>9.5</v>
      </c>
      <c r="J276" s="22" t="n">
        <f aca="false">IF(E276="Priority",'Cost model'!N146,'Cost model'!M146)</f>
        <v>12.5</v>
      </c>
      <c r="K276" s="14" t="n">
        <f aca="false">J276-H276</f>
        <v>2.86</v>
      </c>
      <c r="L276" s="14" t="n">
        <f aca="false">G276-H276</f>
        <v>-0.140000000000001</v>
      </c>
    </row>
    <row r="277" customFormat="false" ht="15" hidden="false" customHeight="false" outlineLevel="0" collapsed="false">
      <c r="A277" s="2" t="s">
        <v>240</v>
      </c>
      <c r="B277" s="2" t="s">
        <v>240</v>
      </c>
      <c r="C277" s="2" t="s">
        <v>48</v>
      </c>
      <c r="D277" s="2" t="s">
        <v>10</v>
      </c>
      <c r="E277" s="2" t="s">
        <v>76</v>
      </c>
      <c r="F277" s="2" t="s">
        <v>1145</v>
      </c>
      <c r="G277" s="14" t="n">
        <v>24.5</v>
      </c>
      <c r="H277" s="14" t="n">
        <v>5.97</v>
      </c>
      <c r="I277" s="14" t="n">
        <v>9.5</v>
      </c>
      <c r="J277" s="22" t="n">
        <f aca="false">IF(E277="Priority",'Cost model'!N884,'Cost model'!M884)</f>
        <v>7.5</v>
      </c>
      <c r="K277" s="14" t="n">
        <f aca="false">J277-H277</f>
        <v>1.53</v>
      </c>
      <c r="L277" s="14" t="n">
        <f aca="false">G277-H277</f>
        <v>18.53</v>
      </c>
    </row>
    <row r="278" customFormat="false" ht="15" hidden="false" customHeight="false" outlineLevel="0" collapsed="false">
      <c r="A278" s="2" t="s">
        <v>240</v>
      </c>
      <c r="B278" s="2" t="s">
        <v>240</v>
      </c>
      <c r="C278" s="2" t="s">
        <v>50</v>
      </c>
      <c r="D278" s="2" t="s">
        <v>14</v>
      </c>
      <c r="E278" s="2" t="s">
        <v>76</v>
      </c>
      <c r="F278" s="2" t="s">
        <v>1145</v>
      </c>
      <c r="G278" s="14" t="n">
        <v>125</v>
      </c>
      <c r="H278" s="14" t="n">
        <v>384.31</v>
      </c>
      <c r="I278" s="14" t="n">
        <v>125</v>
      </c>
      <c r="J278" s="22" t="n">
        <f aca="false">IF(E278="Priority",'Cost model'!N895,'Cost model'!M895)</f>
        <v>320</v>
      </c>
      <c r="K278" s="14" t="n">
        <f aca="false">J278-H278</f>
        <v>-64.31</v>
      </c>
      <c r="L278" s="14" t="n">
        <f aca="false">G278-H278</f>
        <v>-259.31</v>
      </c>
    </row>
    <row r="279" customFormat="false" ht="15" hidden="false" customHeight="false" outlineLevel="0" collapsed="false">
      <c r="A279" s="2" t="s">
        <v>184</v>
      </c>
      <c r="B279" s="2" t="s">
        <v>125</v>
      </c>
      <c r="C279" s="2" t="s">
        <v>48</v>
      </c>
      <c r="D279" s="2" t="s">
        <v>10</v>
      </c>
      <c r="E279" s="2" t="s">
        <v>76</v>
      </c>
      <c r="F279" s="2" t="s">
        <v>1146</v>
      </c>
      <c r="G279" s="14" t="n">
        <v>9.5</v>
      </c>
      <c r="H279" s="14" t="n">
        <v>20.83</v>
      </c>
      <c r="I279" s="14" t="n">
        <v>19.5</v>
      </c>
      <c r="J279" s="22" t="n">
        <f aca="false">IF(E279="Priority",'Cost model'!N236,'Cost model'!M236)</f>
        <v>17.5</v>
      </c>
      <c r="K279" s="14" t="n">
        <f aca="false">J279-H279</f>
        <v>-3.33</v>
      </c>
      <c r="L279" s="14" t="n">
        <f aca="false">G279-H279</f>
        <v>-11.33</v>
      </c>
    </row>
    <row r="280" customFormat="false" ht="15" hidden="false" customHeight="false" outlineLevel="0" collapsed="false">
      <c r="A280" s="2" t="s">
        <v>126</v>
      </c>
      <c r="B280" s="2" t="s">
        <v>126</v>
      </c>
      <c r="C280" s="2" t="s">
        <v>50</v>
      </c>
      <c r="D280" s="2" t="s">
        <v>10</v>
      </c>
      <c r="E280" s="2" t="s">
        <v>76</v>
      </c>
      <c r="F280" s="2" t="s">
        <v>1145</v>
      </c>
      <c r="G280" s="14" t="n">
        <v>17.5</v>
      </c>
      <c r="H280" s="14" t="n">
        <v>14.08</v>
      </c>
      <c r="I280" s="14" t="n">
        <v>17.5</v>
      </c>
      <c r="J280" s="22" t="n">
        <f aca="false">IF(E280="Priority",'Cost model'!N382,'Cost model'!M382)</f>
        <v>18.5</v>
      </c>
      <c r="K280" s="14" t="n">
        <f aca="false">J280-H280</f>
        <v>4.42</v>
      </c>
      <c r="L280" s="14" t="n">
        <f aca="false">G280-H280</f>
        <v>3.42</v>
      </c>
    </row>
    <row r="281" customFormat="false" ht="15" hidden="false" customHeight="false" outlineLevel="0" collapsed="false">
      <c r="A281" s="2" t="s">
        <v>126</v>
      </c>
      <c r="B281" s="2" t="s">
        <v>184</v>
      </c>
      <c r="C281" s="2" t="s">
        <v>49</v>
      </c>
      <c r="D281" s="2" t="s">
        <v>12</v>
      </c>
      <c r="E281" s="2" t="s">
        <v>76</v>
      </c>
      <c r="F281" s="2" t="s">
        <v>1146</v>
      </c>
      <c r="G281" s="14" t="n">
        <v>19.5</v>
      </c>
      <c r="H281" s="14" t="n">
        <v>56.82</v>
      </c>
      <c r="I281" s="14" t="n">
        <v>19.5</v>
      </c>
      <c r="J281" s="22" t="n">
        <f aca="false">IF(E281="Priority",'Cost model'!N438,'Cost model'!M438)</f>
        <v>55</v>
      </c>
      <c r="K281" s="14" t="n">
        <f aca="false">J281-H281</f>
        <v>-1.82</v>
      </c>
      <c r="L281" s="14" t="n">
        <f aca="false">G281-H281</f>
        <v>-37.32</v>
      </c>
    </row>
    <row r="282" customFormat="false" ht="15" hidden="false" customHeight="false" outlineLevel="0" collapsed="false">
      <c r="A282" s="2" t="s">
        <v>126</v>
      </c>
      <c r="B282" s="2" t="s">
        <v>184</v>
      </c>
      <c r="C282" s="2" t="s">
        <v>48</v>
      </c>
      <c r="D282" s="2" t="s">
        <v>12</v>
      </c>
      <c r="E282" s="2" t="s">
        <v>85</v>
      </c>
      <c r="F282" s="2" t="s">
        <v>1146</v>
      </c>
      <c r="G282" s="14" t="n">
        <v>24.5</v>
      </c>
      <c r="H282" s="14" t="n">
        <v>54.35</v>
      </c>
      <c r="I282" s="14" t="n">
        <v>24.5</v>
      </c>
      <c r="J282" s="22" t="n">
        <f aca="false">IF(E282="Priority",'Cost model'!N437,'Cost model'!M437)</f>
        <v>65</v>
      </c>
      <c r="K282" s="14" t="n">
        <f aca="false">J282-H282</f>
        <v>10.65</v>
      </c>
      <c r="L282" s="14" t="n">
        <f aca="false">G282-H282</f>
        <v>-29.85</v>
      </c>
    </row>
    <row r="283" customFormat="false" ht="15" hidden="false" customHeight="false" outlineLevel="0" collapsed="false">
      <c r="A283" s="2" t="s">
        <v>126</v>
      </c>
      <c r="B283" s="2" t="s">
        <v>126</v>
      </c>
      <c r="C283" s="2" t="s">
        <v>48</v>
      </c>
      <c r="D283" s="2" t="s">
        <v>12</v>
      </c>
      <c r="E283" s="2" t="s">
        <v>76</v>
      </c>
      <c r="F283" s="2" t="s">
        <v>1145</v>
      </c>
      <c r="G283" s="14" t="n">
        <v>9.5</v>
      </c>
      <c r="H283" s="14" t="n">
        <v>25.05</v>
      </c>
      <c r="I283" s="14" t="n">
        <v>9.5</v>
      </c>
      <c r="J283" s="22" t="n">
        <f aca="false">IF(E283="Priority",'Cost model'!N383,'Cost model'!M383)</f>
        <v>27.5</v>
      </c>
      <c r="K283" s="14" t="n">
        <f aca="false">J283-H283</f>
        <v>2.45</v>
      </c>
      <c r="L283" s="14" t="n">
        <f aca="false">G283-H283</f>
        <v>-15.55</v>
      </c>
    </row>
    <row r="284" customFormat="false" ht="15" hidden="false" customHeight="false" outlineLevel="0" collapsed="false">
      <c r="A284" s="2" t="s">
        <v>126</v>
      </c>
      <c r="B284" s="2" t="s">
        <v>126</v>
      </c>
      <c r="C284" s="2" t="s">
        <v>49</v>
      </c>
      <c r="D284" s="2" t="s">
        <v>12</v>
      </c>
      <c r="E284" s="2" t="s">
        <v>76</v>
      </c>
      <c r="F284" s="2" t="s">
        <v>1145</v>
      </c>
      <c r="G284" s="14" t="n">
        <v>24.5</v>
      </c>
      <c r="H284" s="14" t="n">
        <v>49.93</v>
      </c>
      <c r="I284" s="14" t="n">
        <v>12.5</v>
      </c>
      <c r="J284" s="22" t="n">
        <f aca="false">IF(E284="Priority",'Cost model'!N384,'Cost model'!M384)</f>
        <v>45</v>
      </c>
      <c r="K284" s="14" t="n">
        <f aca="false">J284-H284</f>
        <v>-4.93</v>
      </c>
      <c r="L284" s="14" t="n">
        <f aca="false">G284-H284</f>
        <v>-25.43</v>
      </c>
    </row>
    <row r="285" customFormat="false" ht="15" hidden="false" customHeight="false" outlineLevel="0" collapsed="false">
      <c r="A285" s="2" t="s">
        <v>240</v>
      </c>
      <c r="B285" s="2" t="s">
        <v>240</v>
      </c>
      <c r="C285" s="2" t="s">
        <v>49</v>
      </c>
      <c r="D285" s="2" t="s">
        <v>12</v>
      </c>
      <c r="E285" s="2" t="s">
        <v>76</v>
      </c>
      <c r="F285" s="2" t="s">
        <v>1145</v>
      </c>
      <c r="G285" s="14" t="n">
        <v>12.5</v>
      </c>
      <c r="H285" s="14" t="n">
        <v>38.1</v>
      </c>
      <c r="I285" s="14" t="n">
        <v>12.5</v>
      </c>
      <c r="J285" s="22" t="n">
        <f aca="false">IF(E285="Priority",'Cost model'!N888,'Cost model'!M888)</f>
        <v>50</v>
      </c>
      <c r="K285" s="14" t="n">
        <f aca="false">J285-H285</f>
        <v>11.9</v>
      </c>
      <c r="L285" s="14" t="n">
        <f aca="false">G285-H285</f>
        <v>-25.6</v>
      </c>
    </row>
    <row r="286" customFormat="false" ht="15" hidden="false" customHeight="false" outlineLevel="0" collapsed="false">
      <c r="A286" s="2" t="s">
        <v>126</v>
      </c>
      <c r="B286" s="2" t="s">
        <v>126</v>
      </c>
      <c r="C286" s="2" t="s">
        <v>49</v>
      </c>
      <c r="D286" s="2" t="s">
        <v>12</v>
      </c>
      <c r="E286" s="2" t="s">
        <v>85</v>
      </c>
      <c r="F286" s="2" t="s">
        <v>1145</v>
      </c>
      <c r="G286" s="14" t="n">
        <v>19.5</v>
      </c>
      <c r="H286" s="14" t="n">
        <v>50.38</v>
      </c>
      <c r="I286" s="14" t="n">
        <v>19.5</v>
      </c>
      <c r="J286" s="22" t="n">
        <f aca="false">IF(E286="Priority",'Cost model'!N384,'Cost model'!M384)</f>
        <v>60</v>
      </c>
      <c r="K286" s="14" t="n">
        <f aca="false">J286-H286</f>
        <v>9.62</v>
      </c>
      <c r="L286" s="14" t="n">
        <f aca="false">G286-H286</f>
        <v>-30.88</v>
      </c>
    </row>
    <row r="287" customFormat="false" ht="15" hidden="false" customHeight="false" outlineLevel="0" collapsed="false">
      <c r="A287" s="2" t="s">
        <v>184</v>
      </c>
      <c r="B287" s="2" t="s">
        <v>184</v>
      </c>
      <c r="C287" s="2" t="s">
        <v>48</v>
      </c>
      <c r="D287" s="2" t="s">
        <v>10</v>
      </c>
      <c r="E287" s="2" t="s">
        <v>76</v>
      </c>
      <c r="F287" s="2" t="s">
        <v>1145</v>
      </c>
      <c r="G287" s="14" t="n">
        <v>9.5</v>
      </c>
      <c r="H287" s="14" t="n">
        <v>6.24</v>
      </c>
      <c r="I287" s="14" t="n">
        <v>9.5</v>
      </c>
      <c r="J287" s="22" t="n">
        <f aca="false">IF(E287="Priority",'Cost model'!N200,'Cost model'!M200)</f>
        <v>7.5</v>
      </c>
      <c r="K287" s="14" t="n">
        <f aca="false">J287-H287</f>
        <v>1.26</v>
      </c>
      <c r="L287" s="14" t="n">
        <f aca="false">G287-H287</f>
        <v>3.26</v>
      </c>
    </row>
    <row r="288" customFormat="false" ht="15" hidden="false" customHeight="false" outlineLevel="0" collapsed="false">
      <c r="A288" s="2" t="s">
        <v>146</v>
      </c>
      <c r="B288" s="2" t="s">
        <v>126</v>
      </c>
      <c r="C288" s="2" t="s">
        <v>48</v>
      </c>
      <c r="D288" s="2" t="s">
        <v>12</v>
      </c>
      <c r="E288" s="2" t="s">
        <v>85</v>
      </c>
      <c r="F288" s="2" t="s">
        <v>1146</v>
      </c>
      <c r="G288" s="14" t="n">
        <v>24.5</v>
      </c>
      <c r="H288" s="14" t="n">
        <v>47.33</v>
      </c>
      <c r="I288" s="14" t="n">
        <v>24.5</v>
      </c>
      <c r="J288" s="22" t="n">
        <f aca="false">IF(E288="Priority",'Cost model'!N797,'Cost model'!M797)</f>
        <v>55</v>
      </c>
      <c r="K288" s="14" t="n">
        <f aca="false">J288-H288</f>
        <v>7.67</v>
      </c>
      <c r="L288" s="14" t="n">
        <f aca="false">G288-H288</f>
        <v>-22.83</v>
      </c>
    </row>
    <row r="289" customFormat="false" ht="15" hidden="false" customHeight="false" outlineLevel="0" collapsed="false">
      <c r="A289" s="2" t="s">
        <v>126</v>
      </c>
      <c r="B289" s="2" t="s">
        <v>126</v>
      </c>
      <c r="C289" s="2" t="s">
        <v>50</v>
      </c>
      <c r="D289" s="2" t="s">
        <v>10</v>
      </c>
      <c r="E289" s="2" t="s">
        <v>76</v>
      </c>
      <c r="F289" s="2" t="s">
        <v>1145</v>
      </c>
      <c r="G289" s="14" t="n">
        <v>17.5</v>
      </c>
      <c r="H289" s="14" t="n">
        <v>17.69</v>
      </c>
      <c r="I289" s="14" t="n">
        <v>17.5</v>
      </c>
      <c r="J289" s="22" t="n">
        <f aca="false">IF(E289="Priority",'Cost model'!N382,'Cost model'!M382)</f>
        <v>18.5</v>
      </c>
      <c r="K289" s="14" t="n">
        <f aca="false">J289-H289</f>
        <v>0.809999999999999</v>
      </c>
      <c r="L289" s="14" t="n">
        <f aca="false">G289-H289</f>
        <v>-0.190000000000001</v>
      </c>
    </row>
    <row r="290" customFormat="false" ht="15" hidden="false" customHeight="false" outlineLevel="0" collapsed="false">
      <c r="A290" s="2" t="s">
        <v>165</v>
      </c>
      <c r="B290" s="2" t="s">
        <v>126</v>
      </c>
      <c r="C290" s="2" t="s">
        <v>48</v>
      </c>
      <c r="D290" s="2" t="s">
        <v>10</v>
      </c>
      <c r="E290" s="2" t="s">
        <v>76</v>
      </c>
      <c r="F290" s="2" t="s">
        <v>1146</v>
      </c>
      <c r="G290" s="14" t="n">
        <v>9.5</v>
      </c>
      <c r="H290" s="14" t="n">
        <v>12.93</v>
      </c>
      <c r="I290" s="14" t="n">
        <v>14.5</v>
      </c>
      <c r="J290" s="22" t="n">
        <f aca="false">IF(E290="Priority",'Cost model'!N542,'Cost model'!M542)</f>
        <v>14.5</v>
      </c>
      <c r="K290" s="14" t="n">
        <f aca="false">J290-H290</f>
        <v>1.57</v>
      </c>
      <c r="L290" s="14" t="n">
        <f aca="false">G290-H290</f>
        <v>-3.43</v>
      </c>
    </row>
    <row r="291" customFormat="false" ht="15" hidden="false" customHeight="false" outlineLevel="0" collapsed="false">
      <c r="A291" s="2" t="s">
        <v>126</v>
      </c>
      <c r="B291" s="2" t="s">
        <v>126</v>
      </c>
      <c r="C291" s="2" t="s">
        <v>49</v>
      </c>
      <c r="D291" s="2" t="s">
        <v>10</v>
      </c>
      <c r="E291" s="2" t="s">
        <v>76</v>
      </c>
      <c r="F291" s="2" t="s">
        <v>1145</v>
      </c>
      <c r="G291" s="14" t="n">
        <v>12.5</v>
      </c>
      <c r="H291" s="14" t="n">
        <v>7.55</v>
      </c>
      <c r="I291" s="14" t="n">
        <v>12.5</v>
      </c>
      <c r="J291" s="22" t="n">
        <f aca="false">IF(E291="Priority",'Cost model'!N381,'Cost model'!M381)</f>
        <v>14.5</v>
      </c>
      <c r="K291" s="14" t="n">
        <f aca="false">J291-H291</f>
        <v>6.95</v>
      </c>
      <c r="L291" s="14" t="n">
        <f aca="false">G291-H291</f>
        <v>4.95</v>
      </c>
    </row>
    <row r="292" customFormat="false" ht="15" hidden="false" customHeight="false" outlineLevel="0" collapsed="false">
      <c r="A292" s="2" t="s">
        <v>146</v>
      </c>
      <c r="B292" s="2" t="s">
        <v>184</v>
      </c>
      <c r="C292" s="2" t="s">
        <v>50</v>
      </c>
      <c r="D292" s="2" t="s">
        <v>10</v>
      </c>
      <c r="E292" s="2" t="s">
        <v>76</v>
      </c>
      <c r="F292" s="2" t="s">
        <v>1146</v>
      </c>
      <c r="G292" s="14" t="n">
        <v>19.5</v>
      </c>
      <c r="H292" s="14" t="n">
        <v>10.26</v>
      </c>
      <c r="I292" s="14" t="n">
        <v>17.5</v>
      </c>
      <c r="J292" s="22" t="n">
        <f aca="false">IF(E292="Priority",'Cost model'!N832,'Cost model'!M832)</f>
        <v>15.5</v>
      </c>
      <c r="K292" s="14" t="n">
        <f aca="false">J292-H292</f>
        <v>5.24</v>
      </c>
      <c r="L292" s="14" t="n">
        <f aca="false">G292-H292</f>
        <v>9.24</v>
      </c>
    </row>
    <row r="293" customFormat="false" ht="15" hidden="false" customHeight="false" outlineLevel="0" collapsed="false">
      <c r="A293" s="2" t="s">
        <v>146</v>
      </c>
      <c r="B293" s="2" t="s">
        <v>126</v>
      </c>
      <c r="C293" s="2" t="s">
        <v>48</v>
      </c>
      <c r="D293" s="2" t="s">
        <v>10</v>
      </c>
      <c r="E293" s="2" t="s">
        <v>76</v>
      </c>
      <c r="F293" s="2" t="s">
        <v>1146</v>
      </c>
      <c r="G293" s="14" t="n">
        <v>9.5</v>
      </c>
      <c r="H293" s="14" t="n">
        <v>7.58</v>
      </c>
      <c r="I293" s="14" t="n">
        <v>14.5</v>
      </c>
      <c r="J293" s="22" t="n">
        <f aca="false">IF(E293="Priority",'Cost model'!N794,'Cost model'!M794)</f>
        <v>12.5</v>
      </c>
      <c r="K293" s="14" t="n">
        <f aca="false">J293-H293</f>
        <v>4.92</v>
      </c>
      <c r="L293" s="14" t="n">
        <f aca="false">G293-H293</f>
        <v>1.92</v>
      </c>
    </row>
    <row r="294" customFormat="false" ht="15" hidden="false" customHeight="false" outlineLevel="0" collapsed="false">
      <c r="A294" s="2" t="s">
        <v>126</v>
      </c>
      <c r="B294" s="2" t="s">
        <v>126</v>
      </c>
      <c r="C294" s="2" t="s">
        <v>49</v>
      </c>
      <c r="D294" s="2" t="s">
        <v>14</v>
      </c>
      <c r="E294" s="2" t="s">
        <v>76</v>
      </c>
      <c r="F294" s="2" t="s">
        <v>1145</v>
      </c>
      <c r="G294" s="14" t="n">
        <v>45</v>
      </c>
      <c r="H294" s="14" t="n">
        <v>77.18</v>
      </c>
      <c r="I294" s="14" t="n">
        <v>45</v>
      </c>
      <c r="J294" s="22" t="n">
        <f aca="false">IF(E294="Priority",'Cost model'!N390,'Cost model'!M390)</f>
        <v>115</v>
      </c>
      <c r="K294" s="14" t="n">
        <f aca="false">J294-H294</f>
        <v>37.82</v>
      </c>
      <c r="L294" s="14" t="n">
        <f aca="false">G294-H294</f>
        <v>-32.18</v>
      </c>
    </row>
    <row r="295" customFormat="false" ht="15" hidden="false" customHeight="false" outlineLevel="0" collapsed="false">
      <c r="A295" s="2" t="s">
        <v>126</v>
      </c>
      <c r="B295" s="2" t="s">
        <v>126</v>
      </c>
      <c r="C295" s="2" t="s">
        <v>49</v>
      </c>
      <c r="D295" s="2" t="s">
        <v>10</v>
      </c>
      <c r="E295" s="2" t="s">
        <v>76</v>
      </c>
      <c r="F295" s="2" t="s">
        <v>1145</v>
      </c>
      <c r="G295" s="14" t="n">
        <v>12.5</v>
      </c>
      <c r="H295" s="14" t="n">
        <v>9.68</v>
      </c>
      <c r="I295" s="14" t="n">
        <v>12.5</v>
      </c>
      <c r="J295" s="22" t="n">
        <f aca="false">IF(E295="Priority",'Cost model'!N381,'Cost model'!M381)</f>
        <v>14.5</v>
      </c>
      <c r="K295" s="14" t="n">
        <f aca="false">J295-H295</f>
        <v>4.82</v>
      </c>
      <c r="L295" s="14" t="n">
        <f aca="false">G295-H295</f>
        <v>2.82</v>
      </c>
    </row>
    <row r="296" customFormat="false" ht="15" hidden="false" customHeight="false" outlineLevel="0" collapsed="false">
      <c r="A296" s="2" t="s">
        <v>240</v>
      </c>
      <c r="B296" s="2" t="s">
        <v>240</v>
      </c>
      <c r="C296" s="2" t="s">
        <v>48</v>
      </c>
      <c r="D296" s="2" t="s">
        <v>10</v>
      </c>
      <c r="E296" s="2" t="s">
        <v>76</v>
      </c>
      <c r="F296" s="2" t="s">
        <v>1145</v>
      </c>
      <c r="G296" s="14" t="n">
        <v>9.5</v>
      </c>
      <c r="H296" s="14" t="n">
        <v>6.66</v>
      </c>
      <c r="I296" s="14" t="n">
        <v>9.5</v>
      </c>
      <c r="J296" s="22" t="n">
        <f aca="false">IF(E296="Priority",'Cost model'!N884,'Cost model'!M884)</f>
        <v>7.5</v>
      </c>
      <c r="K296" s="14" t="n">
        <f aca="false">J296-H296</f>
        <v>0.84</v>
      </c>
      <c r="L296" s="14" t="n">
        <f aca="false">G296-H296</f>
        <v>2.84</v>
      </c>
    </row>
    <row r="297" customFormat="false" ht="15" hidden="false" customHeight="false" outlineLevel="0" collapsed="false">
      <c r="A297" s="2" t="s">
        <v>165</v>
      </c>
      <c r="B297" s="2" t="s">
        <v>165</v>
      </c>
      <c r="C297" s="2" t="s">
        <v>49</v>
      </c>
      <c r="D297" s="2" t="s">
        <v>12</v>
      </c>
      <c r="E297" s="2" t="s">
        <v>76</v>
      </c>
      <c r="F297" s="2" t="s">
        <v>1145</v>
      </c>
      <c r="G297" s="14" t="n">
        <v>12.5</v>
      </c>
      <c r="H297" s="14" t="n">
        <v>15.21</v>
      </c>
      <c r="I297" s="14" t="n">
        <v>12.5</v>
      </c>
      <c r="J297" s="22" t="n">
        <f aca="false">IF(E297="Priority",'Cost model'!N510,'Cost model'!M510)</f>
        <v>35</v>
      </c>
      <c r="K297" s="14" t="n">
        <f aca="false">J297-H297</f>
        <v>19.79</v>
      </c>
      <c r="L297" s="14" t="n">
        <f aca="false">G297-H297</f>
        <v>-2.71</v>
      </c>
    </row>
    <row r="298" customFormat="false" ht="15" hidden="false" customHeight="false" outlineLevel="0" collapsed="false">
      <c r="A298" s="2" t="s">
        <v>126</v>
      </c>
      <c r="B298" s="2" t="s">
        <v>184</v>
      </c>
      <c r="C298" s="2" t="s">
        <v>48</v>
      </c>
      <c r="D298" s="2" t="s">
        <v>10</v>
      </c>
      <c r="E298" s="2" t="s">
        <v>76</v>
      </c>
      <c r="F298" s="2" t="s">
        <v>1146</v>
      </c>
      <c r="G298" s="14" t="n">
        <v>14.5</v>
      </c>
      <c r="H298" s="14" t="n">
        <v>5.16</v>
      </c>
      <c r="I298" s="14" t="n">
        <v>14.5</v>
      </c>
      <c r="J298" s="22" t="n">
        <f aca="false">IF(E298="Priority",'Cost model'!N434,'Cost model'!M434)</f>
        <v>13.5</v>
      </c>
      <c r="K298" s="14" t="n">
        <f aca="false">J298-H298</f>
        <v>8.34</v>
      </c>
      <c r="L298" s="14" t="n">
        <f aca="false">G298-H298</f>
        <v>9.34</v>
      </c>
    </row>
    <row r="299" customFormat="false" ht="15" hidden="false" customHeight="false" outlineLevel="0" collapsed="false">
      <c r="A299" s="2" t="s">
        <v>146</v>
      </c>
      <c r="B299" s="2" t="s">
        <v>146</v>
      </c>
      <c r="C299" s="2" t="s">
        <v>50</v>
      </c>
      <c r="D299" s="2" t="s">
        <v>12</v>
      </c>
      <c r="E299" s="2" t="s">
        <v>76</v>
      </c>
      <c r="F299" s="2" t="s">
        <v>1145</v>
      </c>
      <c r="G299" s="14" t="n">
        <v>19.5</v>
      </c>
      <c r="H299" s="14" t="n">
        <v>85.65</v>
      </c>
      <c r="I299" s="14" t="n">
        <v>19.5</v>
      </c>
      <c r="J299" s="22" t="n">
        <f aca="false">IF(E299="Priority",'Cost model'!N763,'Cost model'!M763)</f>
        <v>50</v>
      </c>
      <c r="K299" s="14" t="n">
        <f aca="false">J299-H299</f>
        <v>-35.65</v>
      </c>
      <c r="L299" s="14" t="n">
        <f aca="false">G299-H299</f>
        <v>-66.15</v>
      </c>
    </row>
    <row r="300" customFormat="false" ht="15" hidden="false" customHeight="false" outlineLevel="0" collapsed="false">
      <c r="A300" s="2" t="s">
        <v>126</v>
      </c>
      <c r="B300" s="2" t="s">
        <v>126</v>
      </c>
      <c r="C300" s="2" t="s">
        <v>49</v>
      </c>
      <c r="D300" s="2" t="s">
        <v>10</v>
      </c>
      <c r="E300" s="2" t="s">
        <v>76</v>
      </c>
      <c r="F300" s="2" t="s">
        <v>1145</v>
      </c>
      <c r="G300" s="14" t="n">
        <v>12.5</v>
      </c>
      <c r="H300" s="14" t="n">
        <v>10.48</v>
      </c>
      <c r="I300" s="14" t="n">
        <v>12.5</v>
      </c>
      <c r="J300" s="22" t="n">
        <f aca="false">IF(E300="Priority",'Cost model'!N381,'Cost model'!M381)</f>
        <v>14.5</v>
      </c>
      <c r="K300" s="14" t="n">
        <f aca="false">J300-H300</f>
        <v>4.02</v>
      </c>
      <c r="L300" s="14" t="n">
        <f aca="false">G300-H300</f>
        <v>2.02</v>
      </c>
    </row>
    <row r="301" customFormat="false" ht="15" hidden="false" customHeight="false" outlineLevel="0" collapsed="false">
      <c r="A301" s="2" t="s">
        <v>146</v>
      </c>
      <c r="B301" s="2" t="s">
        <v>146</v>
      </c>
      <c r="C301" s="2" t="s">
        <v>50</v>
      </c>
      <c r="D301" s="2" t="s">
        <v>10</v>
      </c>
      <c r="E301" s="2" t="s">
        <v>76</v>
      </c>
      <c r="F301" s="2" t="s">
        <v>1145</v>
      </c>
      <c r="G301" s="14" t="n">
        <v>17.5</v>
      </c>
      <c r="H301" s="14" t="n">
        <v>20.83</v>
      </c>
      <c r="I301" s="14" t="n">
        <v>17.5</v>
      </c>
      <c r="J301" s="22" t="n">
        <f aca="false">IF(E301="Priority",'Cost model'!N760,'Cost model'!M760)</f>
        <v>18.5</v>
      </c>
      <c r="K301" s="14" t="n">
        <f aca="false">J301-H301</f>
        <v>-2.33</v>
      </c>
      <c r="L301" s="14" t="n">
        <f aca="false">G301-H301</f>
        <v>-3.33</v>
      </c>
    </row>
    <row r="302" customFormat="false" ht="15" hidden="false" customHeight="false" outlineLevel="0" collapsed="false">
      <c r="A302" s="2" t="s">
        <v>184</v>
      </c>
      <c r="B302" s="2" t="s">
        <v>184</v>
      </c>
      <c r="C302" s="2" t="s">
        <v>48</v>
      </c>
      <c r="D302" s="2" t="s">
        <v>10</v>
      </c>
      <c r="E302" s="2" t="s">
        <v>76</v>
      </c>
      <c r="F302" s="2" t="s">
        <v>1145</v>
      </c>
      <c r="G302" s="14" t="n">
        <v>9.5</v>
      </c>
      <c r="H302" s="14" t="n">
        <v>7.46</v>
      </c>
      <c r="I302" s="14" t="n">
        <v>9.5</v>
      </c>
      <c r="J302" s="22" t="n">
        <f aca="false">IF(E302="Priority",'Cost model'!N200,'Cost model'!M200)</f>
        <v>7.5</v>
      </c>
      <c r="K302" s="14" t="n">
        <f aca="false">J302-H302</f>
        <v>0.04</v>
      </c>
      <c r="L302" s="14" t="n">
        <f aca="false">G302-H302</f>
        <v>2.04</v>
      </c>
    </row>
    <row r="303" customFormat="false" ht="15" hidden="false" customHeight="false" outlineLevel="0" collapsed="false">
      <c r="A303" s="2" t="s">
        <v>184</v>
      </c>
      <c r="B303" s="2" t="s">
        <v>184</v>
      </c>
      <c r="C303" s="2" t="s">
        <v>49</v>
      </c>
      <c r="D303" s="2" t="s">
        <v>12</v>
      </c>
      <c r="E303" s="2" t="s">
        <v>76</v>
      </c>
      <c r="F303" s="2" t="s">
        <v>1145</v>
      </c>
      <c r="G303" s="14" t="n">
        <v>12.5</v>
      </c>
      <c r="H303" s="14" t="n">
        <v>44.11</v>
      </c>
      <c r="I303" s="14" t="n">
        <v>12.5</v>
      </c>
      <c r="J303" s="22" t="n">
        <f aca="false">IF(E303="Priority",'Cost model'!N204,'Cost model'!M204)</f>
        <v>45</v>
      </c>
      <c r="K303" s="14" t="n">
        <f aca="false">J303-H303</f>
        <v>0.890000000000001</v>
      </c>
      <c r="L303" s="14" t="n">
        <f aca="false">G303-H303</f>
        <v>-31.61</v>
      </c>
    </row>
    <row r="304" customFormat="false" ht="15" hidden="false" customHeight="false" outlineLevel="0" collapsed="false">
      <c r="A304" s="2" t="s">
        <v>184</v>
      </c>
      <c r="B304" s="2" t="s">
        <v>184</v>
      </c>
      <c r="C304" s="2" t="s">
        <v>48</v>
      </c>
      <c r="D304" s="2" t="s">
        <v>10</v>
      </c>
      <c r="E304" s="2" t="s">
        <v>76</v>
      </c>
      <c r="F304" s="2" t="s">
        <v>1145</v>
      </c>
      <c r="G304" s="14" t="n">
        <v>9.5</v>
      </c>
      <c r="H304" s="14" t="n">
        <v>5.94</v>
      </c>
      <c r="I304" s="14" t="n">
        <v>9.5</v>
      </c>
      <c r="J304" s="22" t="n">
        <f aca="false">IF(E304="Priority",'Cost model'!N200,'Cost model'!M200)</f>
        <v>7.5</v>
      </c>
      <c r="K304" s="14" t="n">
        <f aca="false">J304-H304</f>
        <v>1.56</v>
      </c>
      <c r="L304" s="14" t="n">
        <f aca="false">G304-H304</f>
        <v>3.56</v>
      </c>
    </row>
    <row r="305" customFormat="false" ht="15" hidden="false" customHeight="false" outlineLevel="0" collapsed="false">
      <c r="A305" s="2" t="s">
        <v>126</v>
      </c>
      <c r="B305" s="2" t="s">
        <v>126</v>
      </c>
      <c r="C305" s="2" t="s">
        <v>49</v>
      </c>
      <c r="D305" s="2" t="s">
        <v>12</v>
      </c>
      <c r="E305" s="2" t="s">
        <v>76</v>
      </c>
      <c r="F305" s="2" t="s">
        <v>1145</v>
      </c>
      <c r="G305" s="14" t="n">
        <v>12.5</v>
      </c>
      <c r="H305" s="14" t="n">
        <v>11.25</v>
      </c>
      <c r="I305" s="14" t="n">
        <v>12.5</v>
      </c>
      <c r="J305" s="22" t="n">
        <f aca="false">IF(E305="Priority",'Cost model'!N384,'Cost model'!M384)</f>
        <v>45</v>
      </c>
      <c r="K305" s="14" t="n">
        <f aca="false">J305-H305</f>
        <v>33.75</v>
      </c>
      <c r="L305" s="14" t="n">
        <f aca="false">G305-H305</f>
        <v>1.25</v>
      </c>
    </row>
    <row r="306" customFormat="false" ht="15" hidden="false" customHeight="false" outlineLevel="0" collapsed="false">
      <c r="A306" s="2" t="s">
        <v>184</v>
      </c>
      <c r="B306" s="2" t="s">
        <v>184</v>
      </c>
      <c r="C306" s="2" t="s">
        <v>49</v>
      </c>
      <c r="D306" s="2" t="s">
        <v>10</v>
      </c>
      <c r="E306" s="2" t="s">
        <v>76</v>
      </c>
      <c r="F306" s="2" t="s">
        <v>1145</v>
      </c>
      <c r="G306" s="14" t="n">
        <v>12.5</v>
      </c>
      <c r="H306" s="14" t="n">
        <v>12.54</v>
      </c>
      <c r="I306" s="14"/>
      <c r="J306" s="22" t="n">
        <f aca="false">IF(E306="Priority",'Cost model'!N201,'Cost model'!M201)</f>
        <v>12.5</v>
      </c>
      <c r="K306" s="14" t="n">
        <f aca="false">J306-H306</f>
        <v>-0.0399999999999992</v>
      </c>
      <c r="L306" s="14" t="n">
        <f aca="false">G306-H306</f>
        <v>-0.0399999999999992</v>
      </c>
    </row>
    <row r="307" customFormat="false" ht="15" hidden="false" customHeight="false" outlineLevel="0" collapsed="false">
      <c r="A307" s="2" t="s">
        <v>126</v>
      </c>
      <c r="B307" s="2" t="s">
        <v>126</v>
      </c>
      <c r="C307" s="2" t="s">
        <v>49</v>
      </c>
      <c r="D307" s="2" t="s">
        <v>10</v>
      </c>
      <c r="E307" s="2" t="s">
        <v>76</v>
      </c>
      <c r="F307" s="2" t="s">
        <v>1145</v>
      </c>
      <c r="G307" s="14" t="n">
        <v>12.5</v>
      </c>
      <c r="H307" s="14" t="n">
        <v>12.27</v>
      </c>
      <c r="I307" s="14" t="n">
        <v>12.5</v>
      </c>
      <c r="J307" s="22" t="n">
        <f aca="false">IF(E307="Priority",'Cost model'!N381,'Cost model'!M381)</f>
        <v>14.5</v>
      </c>
      <c r="K307" s="14" t="n">
        <f aca="false">J307-H307</f>
        <v>2.23</v>
      </c>
      <c r="L307" s="14" t="n">
        <f aca="false">G307-H307</f>
        <v>0.23</v>
      </c>
    </row>
    <row r="308" customFormat="false" ht="15" hidden="false" customHeight="false" outlineLevel="0" collapsed="false">
      <c r="A308" s="2" t="s">
        <v>240</v>
      </c>
      <c r="B308" s="2" t="s">
        <v>126</v>
      </c>
      <c r="C308" s="2" t="s">
        <v>48</v>
      </c>
      <c r="D308" s="2" t="s">
        <v>12</v>
      </c>
      <c r="E308" s="2" t="s">
        <v>76</v>
      </c>
      <c r="F308" s="2" t="s">
        <v>1146</v>
      </c>
      <c r="G308" s="14" t="n">
        <v>24.5</v>
      </c>
      <c r="H308" s="14" t="n">
        <v>60.3</v>
      </c>
      <c r="I308" s="14" t="n">
        <v>24.5</v>
      </c>
      <c r="J308" s="22" t="n">
        <f aca="false">IF(E308="Priority",'Cost model'!N959,'Cost model'!M959)</f>
        <v>55</v>
      </c>
      <c r="K308" s="14" t="n">
        <f aca="false">J308-H308</f>
        <v>-5.3</v>
      </c>
      <c r="L308" s="14" t="n">
        <f aca="false">G308-H308</f>
        <v>-35.8</v>
      </c>
    </row>
    <row r="309" customFormat="false" ht="15" hidden="false" customHeight="false" outlineLevel="0" collapsed="false">
      <c r="A309" s="2" t="s">
        <v>126</v>
      </c>
      <c r="B309" s="2" t="s">
        <v>126</v>
      </c>
      <c r="C309" s="2" t="s">
        <v>48</v>
      </c>
      <c r="D309" s="2" t="s">
        <v>13</v>
      </c>
      <c r="E309" s="2" t="s">
        <v>76</v>
      </c>
      <c r="F309" s="2" t="s">
        <v>1145</v>
      </c>
      <c r="G309" s="14" t="n">
        <v>19</v>
      </c>
      <c r="H309" s="14" t="n">
        <v>28.75</v>
      </c>
      <c r="I309" s="14" t="n">
        <v>19</v>
      </c>
      <c r="J309" s="22" t="n">
        <f aca="false">IF(E309="Priority",'Cost model'!N386,'Cost model'!M386)</f>
        <v>55</v>
      </c>
      <c r="K309" s="14" t="n">
        <f aca="false">J309-H309</f>
        <v>26.25</v>
      </c>
      <c r="L309" s="14" t="n">
        <f aca="false">G309-H309</f>
        <v>-9.75</v>
      </c>
    </row>
    <row r="310" customFormat="false" ht="15" hidden="false" customHeight="false" outlineLevel="0" collapsed="false">
      <c r="A310" s="2" t="s">
        <v>184</v>
      </c>
      <c r="B310" s="2" t="s">
        <v>126</v>
      </c>
      <c r="C310" s="2" t="s">
        <v>50</v>
      </c>
      <c r="D310" s="2" t="s">
        <v>10</v>
      </c>
      <c r="E310" s="2" t="s">
        <v>85</v>
      </c>
      <c r="F310" s="2" t="s">
        <v>1146</v>
      </c>
      <c r="G310" s="14" t="n">
        <v>24.5</v>
      </c>
      <c r="H310" s="14" t="n">
        <v>54.37</v>
      </c>
      <c r="I310" s="14" t="n">
        <v>24.5</v>
      </c>
      <c r="J310" s="22" t="n">
        <f aca="false">IF(E310="Priority",'Cost model'!N130,'Cost model'!M130)</f>
        <v>25.5</v>
      </c>
      <c r="K310" s="14" t="n">
        <f aca="false">J310-H310</f>
        <v>-28.87</v>
      </c>
      <c r="L310" s="14" t="n">
        <f aca="false">G310-H310</f>
        <v>-29.87</v>
      </c>
    </row>
    <row r="311" customFormat="false" ht="15" hidden="false" customHeight="false" outlineLevel="0" collapsed="false">
      <c r="A311" s="2" t="s">
        <v>240</v>
      </c>
      <c r="B311" s="2" t="s">
        <v>240</v>
      </c>
      <c r="C311" s="2" t="s">
        <v>48</v>
      </c>
      <c r="D311" s="2" t="s">
        <v>10</v>
      </c>
      <c r="E311" s="2" t="s">
        <v>76</v>
      </c>
      <c r="F311" s="2" t="s">
        <v>1145</v>
      </c>
      <c r="G311" s="14" t="n">
        <v>9.5</v>
      </c>
      <c r="H311" s="14" t="n">
        <v>6.12</v>
      </c>
      <c r="I311" s="14" t="n">
        <v>9.5</v>
      </c>
      <c r="J311" s="22" t="n">
        <f aca="false">IF(E311="Priority",'Cost model'!N884,'Cost model'!M884)</f>
        <v>7.5</v>
      </c>
      <c r="K311" s="14" t="n">
        <f aca="false">J311-H311</f>
        <v>1.38</v>
      </c>
      <c r="L311" s="14" t="n">
        <f aca="false">G311-H311</f>
        <v>3.38</v>
      </c>
    </row>
    <row r="312" customFormat="false" ht="15" hidden="false" customHeight="false" outlineLevel="0" collapsed="false">
      <c r="A312" s="2" t="s">
        <v>240</v>
      </c>
      <c r="B312" s="2" t="s">
        <v>240</v>
      </c>
      <c r="C312" s="2" t="s">
        <v>48</v>
      </c>
      <c r="D312" s="2" t="s">
        <v>12</v>
      </c>
      <c r="E312" s="2" t="s">
        <v>76</v>
      </c>
      <c r="F312" s="2" t="s">
        <v>1145</v>
      </c>
      <c r="G312" s="14" t="n">
        <v>9.5</v>
      </c>
      <c r="H312" s="14" t="n">
        <v>7.15</v>
      </c>
      <c r="I312" s="14" t="n">
        <v>9.5</v>
      </c>
      <c r="J312" s="22" t="n">
        <f aca="false">IF(E312="Priority",'Cost model'!N887,'Cost model'!M887)</f>
        <v>21.5</v>
      </c>
      <c r="K312" s="14" t="n">
        <f aca="false">J312-H312</f>
        <v>14.35</v>
      </c>
      <c r="L312" s="14" t="n">
        <f aca="false">G312-H312</f>
        <v>2.35</v>
      </c>
    </row>
    <row r="313" customFormat="false" ht="15" hidden="false" customHeight="false" outlineLevel="0" collapsed="false">
      <c r="A313" s="2" t="s">
        <v>126</v>
      </c>
      <c r="B313" s="2" t="s">
        <v>126</v>
      </c>
      <c r="C313" s="2" t="s">
        <v>49</v>
      </c>
      <c r="D313" s="2" t="s">
        <v>10</v>
      </c>
      <c r="E313" s="2" t="s">
        <v>76</v>
      </c>
      <c r="F313" s="2" t="s">
        <v>1145</v>
      </c>
      <c r="G313" s="14" t="n">
        <v>12.5</v>
      </c>
      <c r="H313" s="14" t="n">
        <v>14.29</v>
      </c>
      <c r="I313" s="14" t="n">
        <v>12.5</v>
      </c>
      <c r="J313" s="22" t="n">
        <f aca="false">IF(E313="Priority",'Cost model'!N381,'Cost model'!M381)</f>
        <v>14.5</v>
      </c>
      <c r="K313" s="14" t="n">
        <f aca="false">J313-H313</f>
        <v>0.210000000000001</v>
      </c>
      <c r="L313" s="14" t="n">
        <f aca="false">G313-H313</f>
        <v>-1.79</v>
      </c>
    </row>
    <row r="314" customFormat="false" ht="15" hidden="false" customHeight="false" outlineLevel="0" collapsed="false">
      <c r="A314" s="2" t="s">
        <v>385</v>
      </c>
      <c r="B314" s="2" t="s">
        <v>165</v>
      </c>
      <c r="C314" s="2" t="s">
        <v>50</v>
      </c>
      <c r="D314" s="2" t="s">
        <v>13</v>
      </c>
      <c r="E314" s="2" t="s">
        <v>76</v>
      </c>
      <c r="F314" s="2" t="s">
        <v>1146</v>
      </c>
      <c r="G314" s="14" t="n">
        <v>95</v>
      </c>
      <c r="H314" s="14" t="n">
        <v>97.98</v>
      </c>
      <c r="I314" s="14" t="n">
        <v>95</v>
      </c>
      <c r="J314" s="22" t="n">
        <f aca="false">IF(E314="Priority",'Cost model'!N262,'Cost model'!M262)</f>
        <v>155</v>
      </c>
      <c r="K314" s="14" t="n">
        <f aca="false">J314-H314</f>
        <v>57.02</v>
      </c>
      <c r="L314" s="14" t="n">
        <f aca="false">G314-H314</f>
        <v>-2.98</v>
      </c>
    </row>
    <row r="315" customFormat="false" ht="15" hidden="false" customHeight="false" outlineLevel="0" collapsed="false">
      <c r="A315" s="2" t="s">
        <v>184</v>
      </c>
      <c r="B315" s="2" t="s">
        <v>146</v>
      </c>
      <c r="C315" s="2" t="s">
        <v>48</v>
      </c>
      <c r="D315" s="2" t="s">
        <v>10</v>
      </c>
      <c r="E315" s="2" t="s">
        <v>85</v>
      </c>
      <c r="F315" s="2" t="s">
        <v>1146</v>
      </c>
      <c r="G315" s="14" t="n">
        <v>14.5</v>
      </c>
      <c r="H315" s="14" t="n">
        <v>8.04</v>
      </c>
      <c r="I315" s="14" t="n">
        <v>14.5</v>
      </c>
      <c r="J315" s="22" t="n">
        <f aca="false">IF(E315="Priority",'Cost model'!N146,'Cost model'!M146)</f>
        <v>17.5</v>
      </c>
      <c r="K315" s="14" t="n">
        <f aca="false">J315-H315</f>
        <v>9.46</v>
      </c>
      <c r="L315" s="14" t="n">
        <f aca="false">G315-H315</f>
        <v>6.46</v>
      </c>
    </row>
    <row r="316" customFormat="false" ht="15" hidden="false" customHeight="false" outlineLevel="0" collapsed="false">
      <c r="A316" s="2" t="s">
        <v>146</v>
      </c>
      <c r="B316" s="2" t="s">
        <v>146</v>
      </c>
      <c r="C316" s="2" t="s">
        <v>48</v>
      </c>
      <c r="D316" s="2" t="s">
        <v>10</v>
      </c>
      <c r="E316" s="2" t="s">
        <v>76</v>
      </c>
      <c r="F316" s="2" t="s">
        <v>1145</v>
      </c>
      <c r="G316" s="14" t="n">
        <v>9.5</v>
      </c>
      <c r="H316" s="14" t="n">
        <v>10.1</v>
      </c>
      <c r="I316" s="14" t="n">
        <v>9.5</v>
      </c>
      <c r="J316" s="22" t="n">
        <f aca="false">IF(E316="Priority",'Cost model'!N758,'Cost model'!M758)</f>
        <v>9.5</v>
      </c>
      <c r="K316" s="14" t="n">
        <f aca="false">J316-H316</f>
        <v>-0.6</v>
      </c>
      <c r="L316" s="14" t="n">
        <f aca="false">G316-H316</f>
        <v>-0.6</v>
      </c>
    </row>
    <row r="317" customFormat="false" ht="15" hidden="false" customHeight="false" outlineLevel="0" collapsed="false">
      <c r="A317" s="2" t="s">
        <v>184</v>
      </c>
      <c r="B317" s="2" t="s">
        <v>184</v>
      </c>
      <c r="C317" s="2" t="s">
        <v>49</v>
      </c>
      <c r="D317" s="2" t="s">
        <v>10</v>
      </c>
      <c r="E317" s="2" t="s">
        <v>76</v>
      </c>
      <c r="F317" s="2" t="s">
        <v>1145</v>
      </c>
      <c r="G317" s="14" t="n">
        <v>12.5</v>
      </c>
      <c r="H317" s="14" t="n">
        <v>15.24</v>
      </c>
      <c r="I317" s="14"/>
      <c r="J317" s="22" t="n">
        <f aca="false">IF(E317="Priority",'Cost model'!N201,'Cost model'!M201)</f>
        <v>12.5</v>
      </c>
      <c r="K317" s="14" t="n">
        <f aca="false">J317-H317</f>
        <v>-2.74</v>
      </c>
      <c r="L317" s="14" t="n">
        <f aca="false">G317-H317</f>
        <v>-2.74</v>
      </c>
    </row>
    <row r="318" customFormat="false" ht="15" hidden="false" customHeight="false" outlineLevel="0" collapsed="false">
      <c r="A318" s="2" t="s">
        <v>184</v>
      </c>
      <c r="B318" s="2" t="s">
        <v>184</v>
      </c>
      <c r="C318" s="2" t="s">
        <v>49</v>
      </c>
      <c r="D318" s="2" t="s">
        <v>12</v>
      </c>
      <c r="E318" s="2" t="s">
        <v>76</v>
      </c>
      <c r="F318" s="2" t="s">
        <v>1145</v>
      </c>
      <c r="G318" s="14" t="n">
        <v>12.5</v>
      </c>
      <c r="H318" s="14" t="n">
        <v>44.02</v>
      </c>
      <c r="I318" s="14"/>
      <c r="J318" s="22" t="n">
        <f aca="false">IF(E318="Priority",'Cost model'!N204,'Cost model'!M204)</f>
        <v>45</v>
      </c>
      <c r="K318" s="14" t="n">
        <f aca="false">J318-H318</f>
        <v>0.979999999999997</v>
      </c>
      <c r="L318" s="14" t="n">
        <f aca="false">G318-H318</f>
        <v>-31.52</v>
      </c>
    </row>
    <row r="319" customFormat="false" ht="15" hidden="false" customHeight="false" outlineLevel="0" collapsed="false">
      <c r="A319" s="2" t="s">
        <v>126</v>
      </c>
      <c r="B319" s="2" t="s">
        <v>126</v>
      </c>
      <c r="C319" s="2" t="s">
        <v>48</v>
      </c>
      <c r="D319" s="2" t="s">
        <v>10</v>
      </c>
      <c r="E319" s="2" t="s">
        <v>76</v>
      </c>
      <c r="F319" s="2" t="s">
        <v>1145</v>
      </c>
      <c r="G319" s="14" t="n">
        <v>9.5</v>
      </c>
      <c r="H319" s="14" t="n">
        <v>7.69</v>
      </c>
      <c r="I319" s="14" t="n">
        <v>9.5</v>
      </c>
      <c r="J319" s="22" t="n">
        <f aca="false">IF(E319="Priority",'Cost model'!N380,'Cost model'!M380)</f>
        <v>8.5</v>
      </c>
      <c r="K319" s="14" t="n">
        <f aca="false">J319-H319</f>
        <v>0.81</v>
      </c>
      <c r="L319" s="14" t="n">
        <f aca="false">G319-H319</f>
        <v>1.81</v>
      </c>
    </row>
    <row r="320" customFormat="false" ht="15" hidden="false" customHeight="false" outlineLevel="0" collapsed="false">
      <c r="A320" s="2" t="s">
        <v>125</v>
      </c>
      <c r="B320" s="2" t="s">
        <v>184</v>
      </c>
      <c r="C320" s="2" t="s">
        <v>48</v>
      </c>
      <c r="D320" s="2" t="s">
        <v>12</v>
      </c>
      <c r="E320" s="2" t="s">
        <v>76</v>
      </c>
      <c r="F320" s="2" t="s">
        <v>1146</v>
      </c>
      <c r="G320" s="14" t="n">
        <v>19.5</v>
      </c>
      <c r="H320" s="14" t="n">
        <v>51.49</v>
      </c>
      <c r="I320" s="14" t="n">
        <v>19.5</v>
      </c>
      <c r="J320" s="22" t="n">
        <f aca="false">IF(E320="Priority",'Cost model'!N59,'Cost model'!M59)</f>
        <v>45</v>
      </c>
      <c r="K320" s="14" t="n">
        <f aca="false">J320-H320</f>
        <v>-6.49</v>
      </c>
      <c r="L320" s="14" t="n">
        <f aca="false">G320-H320</f>
        <v>-31.99</v>
      </c>
    </row>
    <row r="321" customFormat="false" ht="15" hidden="false" customHeight="false" outlineLevel="0" collapsed="false">
      <c r="A321" s="2" t="s">
        <v>126</v>
      </c>
      <c r="B321" s="2" t="s">
        <v>184</v>
      </c>
      <c r="C321" s="2" t="s">
        <v>48</v>
      </c>
      <c r="D321" s="2" t="s">
        <v>12</v>
      </c>
      <c r="E321" s="2" t="s">
        <v>85</v>
      </c>
      <c r="F321" s="2" t="s">
        <v>1146</v>
      </c>
      <c r="G321" s="14" t="n">
        <v>24.5</v>
      </c>
      <c r="H321" s="14" t="n">
        <v>82.37</v>
      </c>
      <c r="I321" s="14" t="n">
        <v>24.5</v>
      </c>
      <c r="J321" s="22" t="n">
        <f aca="false">IF(E321="Priority",'Cost model'!N437,'Cost model'!M437)</f>
        <v>65</v>
      </c>
      <c r="K321" s="14" t="n">
        <f aca="false">J321-H321</f>
        <v>-17.37</v>
      </c>
      <c r="L321" s="14" t="n">
        <f aca="false">G321-H321</f>
        <v>-57.87</v>
      </c>
    </row>
    <row r="322" customFormat="false" ht="15" hidden="false" customHeight="false" outlineLevel="0" collapsed="false">
      <c r="A322" s="2" t="s">
        <v>240</v>
      </c>
      <c r="B322" s="2" t="s">
        <v>165</v>
      </c>
      <c r="C322" s="2" t="s">
        <v>50</v>
      </c>
      <c r="D322" s="2" t="s">
        <v>10</v>
      </c>
      <c r="E322" s="2" t="s">
        <v>76</v>
      </c>
      <c r="F322" s="2" t="s">
        <v>1146</v>
      </c>
      <c r="G322" s="14" t="n">
        <v>24.5</v>
      </c>
      <c r="H322" s="14" t="n">
        <v>24.63</v>
      </c>
      <c r="I322" s="14" t="n">
        <v>17.5</v>
      </c>
      <c r="J322" s="22" t="n">
        <f aca="false">IF(E322="Priority",'Cost model'!N904,'Cost model'!M904)</f>
        <v>24.5</v>
      </c>
      <c r="K322" s="14" t="n">
        <f aca="false">J322-H322</f>
        <v>-0.129999999999999</v>
      </c>
      <c r="L322" s="14" t="n">
        <f aca="false">G322-H322</f>
        <v>-0.129999999999999</v>
      </c>
    </row>
    <row r="323" customFormat="false" ht="15" hidden="false" customHeight="false" outlineLevel="0" collapsed="false">
      <c r="A323" s="2" t="s">
        <v>221</v>
      </c>
      <c r="B323" s="2" t="s">
        <v>221</v>
      </c>
      <c r="C323" s="2" t="s">
        <v>49</v>
      </c>
      <c r="D323" s="2" t="s">
        <v>13</v>
      </c>
      <c r="E323" s="2" t="s">
        <v>76</v>
      </c>
      <c r="F323" s="2" t="s">
        <v>1145</v>
      </c>
      <c r="G323" s="14" t="n">
        <v>24.5</v>
      </c>
      <c r="H323" s="14" t="n">
        <v>78.7</v>
      </c>
      <c r="I323" s="14" t="n">
        <v>24.5</v>
      </c>
      <c r="J323" s="22" t="n">
        <f aca="false">IF(E323="Priority",'Cost model'!N639,'Cost model'!M639)</f>
        <v>90</v>
      </c>
      <c r="K323" s="14" t="n">
        <f aca="false">J323-H323</f>
        <v>11.3</v>
      </c>
      <c r="L323" s="14" t="n">
        <f aca="false">G323-H323</f>
        <v>-54.2</v>
      </c>
    </row>
    <row r="324" customFormat="false" ht="15" hidden="false" customHeight="false" outlineLevel="0" collapsed="false">
      <c r="A324" s="2" t="s">
        <v>126</v>
      </c>
      <c r="B324" s="2" t="s">
        <v>126</v>
      </c>
      <c r="C324" s="2" t="s">
        <v>48</v>
      </c>
      <c r="D324" s="2" t="s">
        <v>10</v>
      </c>
      <c r="E324" s="2" t="s">
        <v>76</v>
      </c>
      <c r="F324" s="2" t="s">
        <v>1145</v>
      </c>
      <c r="G324" s="14" t="n">
        <v>9.5</v>
      </c>
      <c r="H324" s="14" t="n">
        <v>7.46</v>
      </c>
      <c r="I324" s="14" t="n">
        <v>9.5</v>
      </c>
      <c r="J324" s="22" t="n">
        <f aca="false">IF(E324="Priority",'Cost model'!N380,'Cost model'!M380)</f>
        <v>8.5</v>
      </c>
      <c r="K324" s="14" t="n">
        <f aca="false">J324-H324</f>
        <v>1.04</v>
      </c>
      <c r="L324" s="14" t="n">
        <f aca="false">G324-H324</f>
        <v>2.04</v>
      </c>
    </row>
    <row r="325" customFormat="false" ht="15" hidden="false" customHeight="false" outlineLevel="0" collapsed="false">
      <c r="A325" s="2" t="s">
        <v>184</v>
      </c>
      <c r="B325" s="2" t="s">
        <v>184</v>
      </c>
      <c r="C325" s="2" t="s">
        <v>48</v>
      </c>
      <c r="D325" s="2" t="s">
        <v>13</v>
      </c>
      <c r="E325" s="2" t="s">
        <v>76</v>
      </c>
      <c r="F325" s="2" t="s">
        <v>1145</v>
      </c>
      <c r="G325" s="14" t="n">
        <v>19</v>
      </c>
      <c r="H325" s="14" t="n">
        <v>32.95</v>
      </c>
      <c r="I325" s="14" t="n">
        <v>19</v>
      </c>
      <c r="J325" s="22" t="n">
        <f aca="false">IF(E325="Priority",'Cost model'!N206,'Cost model'!M206)</f>
        <v>55</v>
      </c>
      <c r="K325" s="14" t="n">
        <f aca="false">J325-H325</f>
        <v>22.05</v>
      </c>
      <c r="L325" s="14" t="n">
        <f aca="false">G325-H325</f>
        <v>-13.95</v>
      </c>
    </row>
    <row r="326" customFormat="false" ht="15" hidden="false" customHeight="false" outlineLevel="0" collapsed="false">
      <c r="A326" s="2" t="s">
        <v>240</v>
      </c>
      <c r="B326" s="2" t="s">
        <v>240</v>
      </c>
      <c r="C326" s="2" t="s">
        <v>48</v>
      </c>
      <c r="D326" s="2" t="s">
        <v>12</v>
      </c>
      <c r="E326" s="2" t="s">
        <v>85</v>
      </c>
      <c r="F326" s="2" t="s">
        <v>1145</v>
      </c>
      <c r="G326" s="14" t="n">
        <v>19.5</v>
      </c>
      <c r="H326" s="14" t="n">
        <v>24.17</v>
      </c>
      <c r="I326" s="14" t="n">
        <v>19.5</v>
      </c>
      <c r="J326" s="22" t="n">
        <f aca="false">IF(E326="Priority",'Cost model'!N887,'Cost model'!M887)</f>
        <v>27.5</v>
      </c>
      <c r="K326" s="14" t="n">
        <f aca="false">J326-H326</f>
        <v>3.33</v>
      </c>
      <c r="L326" s="14" t="n">
        <f aca="false">G326-H326</f>
        <v>-4.67</v>
      </c>
    </row>
    <row r="327" customFormat="false" ht="15" hidden="false" customHeight="false" outlineLevel="0" collapsed="false">
      <c r="A327" s="2" t="s">
        <v>184</v>
      </c>
      <c r="B327" s="2" t="s">
        <v>146</v>
      </c>
      <c r="C327" s="2" t="s">
        <v>50</v>
      </c>
      <c r="D327" s="2" t="s">
        <v>10</v>
      </c>
      <c r="E327" s="2" t="s">
        <v>76</v>
      </c>
      <c r="F327" s="2" t="s">
        <v>1146</v>
      </c>
      <c r="G327" s="14" t="n">
        <v>17.5</v>
      </c>
      <c r="H327" s="14" t="n">
        <v>24.63</v>
      </c>
      <c r="I327" s="14" t="n">
        <v>17.5</v>
      </c>
      <c r="J327" s="22" t="n">
        <f aca="false">IF(E327="Priority",'Cost model'!N148,'Cost model'!M148)</f>
        <v>21.5</v>
      </c>
      <c r="K327" s="14" t="n">
        <f aca="false">J327-H327</f>
        <v>-3.13</v>
      </c>
      <c r="L327" s="14" t="n">
        <f aca="false">G327-H327</f>
        <v>-7.13</v>
      </c>
    </row>
    <row r="328" customFormat="false" ht="15" hidden="false" customHeight="false" outlineLevel="0" collapsed="false">
      <c r="A328" s="2" t="s">
        <v>126</v>
      </c>
      <c r="B328" s="2" t="s">
        <v>126</v>
      </c>
      <c r="C328" s="2" t="s">
        <v>49</v>
      </c>
      <c r="D328" s="2" t="s">
        <v>10</v>
      </c>
      <c r="E328" s="2" t="s">
        <v>76</v>
      </c>
      <c r="F328" s="2" t="s">
        <v>1145</v>
      </c>
      <c r="G328" s="14" t="n">
        <v>12.5</v>
      </c>
      <c r="H328" s="14" t="n">
        <v>16.59</v>
      </c>
      <c r="I328" s="14" t="n">
        <v>12.5</v>
      </c>
      <c r="J328" s="22" t="n">
        <f aca="false">IF(E328="Priority",'Cost model'!N381,'Cost model'!M381)</f>
        <v>14.5</v>
      </c>
      <c r="K328" s="14" t="n">
        <f aca="false">J328-H328</f>
        <v>-2.09</v>
      </c>
      <c r="L328" s="14" t="n">
        <f aca="false">G328-H328</f>
        <v>-4.09</v>
      </c>
    </row>
    <row r="329" customFormat="false" ht="15" hidden="false" customHeight="false" outlineLevel="0" collapsed="false">
      <c r="A329" s="2" t="s">
        <v>165</v>
      </c>
      <c r="B329" s="2" t="s">
        <v>165</v>
      </c>
      <c r="C329" s="2" t="s">
        <v>48</v>
      </c>
      <c r="D329" s="2" t="s">
        <v>10</v>
      </c>
      <c r="E329" s="2" t="s">
        <v>76</v>
      </c>
      <c r="F329" s="2" t="s">
        <v>1145</v>
      </c>
      <c r="G329" s="14" t="n">
        <v>9.5</v>
      </c>
      <c r="H329" s="14" t="n">
        <v>8.04</v>
      </c>
      <c r="I329" s="14" t="n">
        <v>9.5</v>
      </c>
      <c r="J329" s="22" t="n">
        <f aca="false">IF(E329="Priority",'Cost model'!N506,'Cost model'!M506)</f>
        <v>7.5</v>
      </c>
      <c r="K329" s="14" t="n">
        <f aca="false">J329-H329</f>
        <v>-0.539999999999999</v>
      </c>
      <c r="L329" s="14" t="n">
        <f aca="false">G329-H329</f>
        <v>1.46</v>
      </c>
    </row>
    <row r="330" customFormat="false" ht="15" hidden="false" customHeight="false" outlineLevel="0" collapsed="false">
      <c r="A330" s="2" t="s">
        <v>184</v>
      </c>
      <c r="B330" s="2" t="s">
        <v>184</v>
      </c>
      <c r="C330" s="2" t="s">
        <v>49</v>
      </c>
      <c r="D330" s="2" t="s">
        <v>12</v>
      </c>
      <c r="E330" s="2" t="s">
        <v>76</v>
      </c>
      <c r="F330" s="2" t="s">
        <v>1145</v>
      </c>
      <c r="G330" s="14" t="n">
        <v>19.5</v>
      </c>
      <c r="H330" s="14" t="n">
        <v>53.88</v>
      </c>
      <c r="I330" s="14"/>
      <c r="J330" s="22" t="n">
        <f aca="false">IF(E330="Priority",'Cost model'!N204,'Cost model'!M204)</f>
        <v>45</v>
      </c>
      <c r="K330" s="14" t="n">
        <f aca="false">J330-H330</f>
        <v>-8.88</v>
      </c>
      <c r="L330" s="14" t="n">
        <f aca="false">G330-H330</f>
        <v>-34.38</v>
      </c>
    </row>
    <row r="331" customFormat="false" ht="15" hidden="false" customHeight="false" outlineLevel="0" collapsed="false">
      <c r="A331" s="2" t="s">
        <v>146</v>
      </c>
      <c r="B331" s="2" t="s">
        <v>146</v>
      </c>
      <c r="C331" s="2" t="s">
        <v>48</v>
      </c>
      <c r="D331" s="2" t="s">
        <v>12</v>
      </c>
      <c r="E331" s="2" t="s">
        <v>76</v>
      </c>
      <c r="F331" s="2" t="s">
        <v>1145</v>
      </c>
      <c r="G331" s="14" t="n">
        <v>24.5</v>
      </c>
      <c r="H331" s="14" t="n">
        <v>36</v>
      </c>
      <c r="I331" s="14" t="n">
        <v>9.5</v>
      </c>
      <c r="J331" s="22" t="n">
        <f aca="false">IF(E331="Priority",'Cost model'!N761,'Cost model'!M761)</f>
        <v>35</v>
      </c>
      <c r="K331" s="14" t="n">
        <f aca="false">J331-H331</f>
        <v>-1</v>
      </c>
      <c r="L331" s="14" t="n">
        <f aca="false">G331-H331</f>
        <v>-11.5</v>
      </c>
    </row>
    <row r="332" customFormat="false" ht="15" hidden="false" customHeight="false" outlineLevel="0" collapsed="false">
      <c r="A332" s="2" t="s">
        <v>240</v>
      </c>
      <c r="B332" s="2" t="s">
        <v>240</v>
      </c>
      <c r="C332" s="2" t="s">
        <v>50</v>
      </c>
      <c r="D332" s="2" t="s">
        <v>10</v>
      </c>
      <c r="E332" s="2" t="s">
        <v>76</v>
      </c>
      <c r="F332" s="2" t="s">
        <v>1145</v>
      </c>
      <c r="G332" s="14" t="n">
        <v>17.5</v>
      </c>
      <c r="H332" s="14" t="n">
        <v>16.84</v>
      </c>
      <c r="I332" s="14" t="n">
        <v>17.5</v>
      </c>
      <c r="J332" s="22" t="n">
        <f aca="false">IF(E332="Priority",'Cost model'!N886,'Cost model'!M886)</f>
        <v>17.5</v>
      </c>
      <c r="K332" s="14" t="n">
        <f aca="false">J332-H332</f>
        <v>0.66</v>
      </c>
      <c r="L332" s="14" t="n">
        <f aca="false">G332-H332</f>
        <v>0.66</v>
      </c>
    </row>
    <row r="333" customFormat="false" ht="15" hidden="false" customHeight="false" outlineLevel="0" collapsed="false">
      <c r="A333" s="2" t="s">
        <v>184</v>
      </c>
      <c r="B333" s="2" t="s">
        <v>126</v>
      </c>
      <c r="C333" s="2" t="s">
        <v>48</v>
      </c>
      <c r="D333" s="2" t="s">
        <v>13</v>
      </c>
      <c r="E333" s="2" t="s">
        <v>76</v>
      </c>
      <c r="F333" s="2" t="s">
        <v>1146</v>
      </c>
      <c r="G333" s="14" t="n">
        <v>19.5</v>
      </c>
      <c r="H333" s="14" t="n">
        <v>64.01</v>
      </c>
      <c r="I333" s="14" t="n">
        <v>19</v>
      </c>
      <c r="J333" s="22" t="n">
        <f aca="false">IF(E333="Priority",'Cost model'!N134,'Cost model'!M134)</f>
        <v>80</v>
      </c>
      <c r="K333" s="14" t="n">
        <f aca="false">J333-H333</f>
        <v>15.99</v>
      </c>
      <c r="L333" s="14" t="n">
        <f aca="false">G333-H333</f>
        <v>-44.51</v>
      </c>
    </row>
    <row r="334" customFormat="false" ht="15" hidden="false" customHeight="false" outlineLevel="0" collapsed="false">
      <c r="A334" s="2" t="s">
        <v>126</v>
      </c>
      <c r="B334" s="2" t="s">
        <v>126</v>
      </c>
      <c r="C334" s="2" t="s">
        <v>49</v>
      </c>
      <c r="D334" s="2" t="s">
        <v>10</v>
      </c>
      <c r="E334" s="2" t="s">
        <v>76</v>
      </c>
      <c r="F334" s="2" t="s">
        <v>1145</v>
      </c>
      <c r="G334" s="14" t="n">
        <v>12.5</v>
      </c>
      <c r="H334" s="14" t="n">
        <v>11.03</v>
      </c>
      <c r="I334" s="14" t="n">
        <v>12.5</v>
      </c>
      <c r="J334" s="22" t="n">
        <f aca="false">IF(E334="Priority",'Cost model'!N381,'Cost model'!M381)</f>
        <v>14.5</v>
      </c>
      <c r="K334" s="14" t="n">
        <f aca="false">J334-H334</f>
        <v>3.47</v>
      </c>
      <c r="L334" s="14" t="n">
        <f aca="false">G334-H334</f>
        <v>1.47</v>
      </c>
    </row>
    <row r="335" customFormat="false" ht="15" hidden="false" customHeight="false" outlineLevel="0" collapsed="false">
      <c r="A335" s="2" t="s">
        <v>184</v>
      </c>
      <c r="B335" s="2" t="s">
        <v>184</v>
      </c>
      <c r="C335" s="2" t="s">
        <v>50</v>
      </c>
      <c r="D335" s="2" t="s">
        <v>10</v>
      </c>
      <c r="E335" s="2" t="s">
        <v>76</v>
      </c>
      <c r="F335" s="2" t="s">
        <v>1145</v>
      </c>
      <c r="G335" s="14" t="n">
        <v>17.5</v>
      </c>
      <c r="H335" s="14" t="n">
        <v>20.39</v>
      </c>
      <c r="I335" s="14" t="n">
        <v>17.5</v>
      </c>
      <c r="J335" s="22" t="n">
        <f aca="false">IF(E335="Priority",'Cost model'!N202,'Cost model'!M202)</f>
        <v>17.5</v>
      </c>
      <c r="K335" s="14" t="n">
        <f aca="false">J335-H335</f>
        <v>-2.89</v>
      </c>
      <c r="L335" s="14" t="n">
        <f aca="false">G335-H335</f>
        <v>-2.89</v>
      </c>
    </row>
    <row r="336" customFormat="false" ht="15" hidden="false" customHeight="false" outlineLevel="0" collapsed="false">
      <c r="A336" s="2" t="s">
        <v>146</v>
      </c>
      <c r="B336" s="2" t="s">
        <v>146</v>
      </c>
      <c r="C336" s="2" t="s">
        <v>48</v>
      </c>
      <c r="D336" s="2" t="s">
        <v>12</v>
      </c>
      <c r="E336" s="2" t="s">
        <v>76</v>
      </c>
      <c r="F336" s="2" t="s">
        <v>1145</v>
      </c>
      <c r="G336" s="14" t="n">
        <v>9.5</v>
      </c>
      <c r="H336" s="14" t="n">
        <v>8.04</v>
      </c>
      <c r="I336" s="14" t="n">
        <v>9.5</v>
      </c>
      <c r="J336" s="22" t="n">
        <f aca="false">IF(E336="Priority",'Cost model'!N761,'Cost model'!M761)</f>
        <v>35</v>
      </c>
      <c r="K336" s="14" t="n">
        <f aca="false">J336-H336</f>
        <v>26.96</v>
      </c>
      <c r="L336" s="14" t="n">
        <f aca="false">G336-H336</f>
        <v>1.46</v>
      </c>
    </row>
    <row r="337" customFormat="false" ht="15" hidden="false" customHeight="false" outlineLevel="0" collapsed="false">
      <c r="A337" s="2" t="s">
        <v>126</v>
      </c>
      <c r="B337" s="2" t="s">
        <v>184</v>
      </c>
      <c r="C337" s="2" t="s">
        <v>50</v>
      </c>
      <c r="D337" s="2" t="s">
        <v>13</v>
      </c>
      <c r="E337" s="2" t="s">
        <v>76</v>
      </c>
      <c r="F337" s="2" t="s">
        <v>1146</v>
      </c>
      <c r="G337" s="14" t="n">
        <v>50</v>
      </c>
      <c r="H337" s="14" t="n">
        <v>195.56</v>
      </c>
      <c r="I337" s="14" t="n">
        <v>85</v>
      </c>
      <c r="J337" s="22" t="n">
        <f aca="false">IF(E337="Priority",'Cost model'!N442,'Cost model'!M442)</f>
        <v>140</v>
      </c>
      <c r="K337" s="14" t="n">
        <f aca="false">J337-H337</f>
        <v>-55.56</v>
      </c>
      <c r="L337" s="14" t="n">
        <f aca="false">G337-H337</f>
        <v>-145.56</v>
      </c>
    </row>
    <row r="338" customFormat="false" ht="15" hidden="false" customHeight="false" outlineLevel="0" collapsed="false">
      <c r="A338" s="2" t="s">
        <v>165</v>
      </c>
      <c r="B338" s="2" t="s">
        <v>165</v>
      </c>
      <c r="C338" s="2" t="s">
        <v>50</v>
      </c>
      <c r="D338" s="2" t="s">
        <v>10</v>
      </c>
      <c r="E338" s="2" t="s">
        <v>76</v>
      </c>
      <c r="F338" s="2" t="s">
        <v>1145</v>
      </c>
      <c r="G338" s="14" t="n">
        <v>17.5</v>
      </c>
      <c r="H338" s="14" t="n">
        <v>17.31</v>
      </c>
      <c r="I338" s="14" t="n">
        <v>17.5</v>
      </c>
      <c r="J338" s="22" t="n">
        <f aca="false">IF(E338="Priority",'Cost model'!N508,'Cost model'!M508)</f>
        <v>17.5</v>
      </c>
      <c r="K338" s="14" t="n">
        <f aca="false">J338-H338</f>
        <v>0.190000000000001</v>
      </c>
      <c r="L338" s="14" t="n">
        <f aca="false">G338-H338</f>
        <v>0.190000000000001</v>
      </c>
    </row>
    <row r="339" customFormat="false" ht="15" hidden="false" customHeight="false" outlineLevel="0" collapsed="false">
      <c r="A339" s="2" t="s">
        <v>184</v>
      </c>
      <c r="B339" s="2" t="s">
        <v>184</v>
      </c>
      <c r="C339" s="2" t="s">
        <v>48</v>
      </c>
      <c r="D339" s="2" t="s">
        <v>10</v>
      </c>
      <c r="E339" s="2" t="s">
        <v>85</v>
      </c>
      <c r="F339" s="2" t="s">
        <v>1145</v>
      </c>
      <c r="G339" s="14" t="n">
        <v>14.5</v>
      </c>
      <c r="H339" s="14" t="n">
        <v>7.46</v>
      </c>
      <c r="I339" s="14" t="n">
        <v>14.5</v>
      </c>
      <c r="J339" s="22" t="n">
        <f aca="false">IF(E339="Priority",'Cost model'!N200,'Cost model'!M200)</f>
        <v>12.5</v>
      </c>
      <c r="K339" s="14" t="n">
        <f aca="false">J339-H339</f>
        <v>5.04</v>
      </c>
      <c r="L339" s="14" t="n">
        <f aca="false">G339-H339</f>
        <v>7.04</v>
      </c>
    </row>
    <row r="340" customFormat="false" ht="15" hidden="false" customHeight="false" outlineLevel="0" collapsed="false">
      <c r="A340" s="2" t="s">
        <v>126</v>
      </c>
      <c r="B340" s="2" t="s">
        <v>126</v>
      </c>
      <c r="C340" s="2" t="s">
        <v>49</v>
      </c>
      <c r="D340" s="2" t="s">
        <v>10</v>
      </c>
      <c r="E340" s="2" t="s">
        <v>76</v>
      </c>
      <c r="F340" s="2" t="s">
        <v>1145</v>
      </c>
      <c r="G340" s="14" t="n">
        <v>12.5</v>
      </c>
      <c r="H340" s="14" t="n">
        <v>17.69</v>
      </c>
      <c r="I340" s="14" t="n">
        <v>12.5</v>
      </c>
      <c r="J340" s="22" t="n">
        <f aca="false">IF(E340="Priority",'Cost model'!N381,'Cost model'!M381)</f>
        <v>14.5</v>
      </c>
      <c r="K340" s="14" t="n">
        <f aca="false">J340-H340</f>
        <v>-3.19</v>
      </c>
      <c r="L340" s="14" t="n">
        <f aca="false">G340-H340</f>
        <v>-5.19</v>
      </c>
    </row>
    <row r="341" customFormat="false" ht="15" hidden="false" customHeight="false" outlineLevel="0" collapsed="false">
      <c r="A341" s="2" t="s">
        <v>184</v>
      </c>
      <c r="B341" s="2" t="s">
        <v>184</v>
      </c>
      <c r="C341" s="2" t="s">
        <v>50</v>
      </c>
      <c r="D341" s="2" t="s">
        <v>12</v>
      </c>
      <c r="E341" s="2" t="s">
        <v>76</v>
      </c>
      <c r="F341" s="2" t="s">
        <v>1145</v>
      </c>
      <c r="G341" s="14" t="n">
        <v>19.5</v>
      </c>
      <c r="H341" s="14" t="n">
        <v>48.36</v>
      </c>
      <c r="I341" s="14" t="n">
        <v>19.5</v>
      </c>
      <c r="J341" s="22" t="n">
        <f aca="false">IF(E341="Priority",'Cost model'!N205,'Cost model'!M205)</f>
        <v>50</v>
      </c>
      <c r="K341" s="14" t="n">
        <f aca="false">J341-H341</f>
        <v>1.64</v>
      </c>
      <c r="L341" s="14" t="n">
        <f aca="false">G341-H341</f>
        <v>-28.86</v>
      </c>
    </row>
    <row r="342" customFormat="false" ht="15" hidden="false" customHeight="false" outlineLevel="0" collapsed="false">
      <c r="A342" s="2" t="s">
        <v>146</v>
      </c>
      <c r="B342" s="2" t="s">
        <v>146</v>
      </c>
      <c r="C342" s="2" t="s">
        <v>48</v>
      </c>
      <c r="D342" s="2" t="s">
        <v>12</v>
      </c>
      <c r="E342" s="2" t="s">
        <v>76</v>
      </c>
      <c r="F342" s="2" t="s">
        <v>1145</v>
      </c>
      <c r="G342" s="14" t="n">
        <v>9.5</v>
      </c>
      <c r="H342" s="14" t="n">
        <v>27.7</v>
      </c>
      <c r="I342" s="14" t="n">
        <v>9.5</v>
      </c>
      <c r="J342" s="22" t="n">
        <f aca="false">IF(E342="Priority",'Cost model'!N761,'Cost model'!M761)</f>
        <v>35</v>
      </c>
      <c r="K342" s="14" t="n">
        <f aca="false">J342-H342</f>
        <v>7.3</v>
      </c>
      <c r="L342" s="14" t="n">
        <f aca="false">G342-H342</f>
        <v>-18.2</v>
      </c>
    </row>
    <row r="343" customFormat="false" ht="15" hidden="false" customHeight="false" outlineLevel="0" collapsed="false">
      <c r="A343" s="2" t="s">
        <v>184</v>
      </c>
      <c r="B343" s="2" t="s">
        <v>126</v>
      </c>
      <c r="C343" s="2" t="s">
        <v>48</v>
      </c>
      <c r="D343" s="2" t="s">
        <v>13</v>
      </c>
      <c r="E343" s="2" t="s">
        <v>76</v>
      </c>
      <c r="F343" s="2" t="s">
        <v>1146</v>
      </c>
      <c r="G343" s="14" t="n">
        <v>19</v>
      </c>
      <c r="H343" s="14" t="n">
        <v>90.09</v>
      </c>
      <c r="I343" s="14" t="n">
        <v>19</v>
      </c>
      <c r="J343" s="22" t="n">
        <f aca="false">IF(E343="Priority",'Cost model'!N134,'Cost model'!M134)</f>
        <v>80</v>
      </c>
      <c r="K343" s="14" t="n">
        <f aca="false">J343-H343</f>
        <v>-10.09</v>
      </c>
      <c r="L343" s="14" t="n">
        <f aca="false">G343-H343</f>
        <v>-71.09</v>
      </c>
    </row>
    <row r="344" customFormat="false" ht="15" hidden="false" customHeight="false" outlineLevel="0" collapsed="false">
      <c r="A344" s="2" t="s">
        <v>126</v>
      </c>
      <c r="B344" s="2" t="s">
        <v>126</v>
      </c>
      <c r="C344" s="2" t="s">
        <v>49</v>
      </c>
      <c r="D344" s="2" t="s">
        <v>12</v>
      </c>
      <c r="E344" s="2" t="s">
        <v>76</v>
      </c>
      <c r="F344" s="2" t="s">
        <v>1145</v>
      </c>
      <c r="G344" s="14" t="n">
        <v>12.5</v>
      </c>
      <c r="H344" s="14" t="n">
        <v>43.25</v>
      </c>
      <c r="I344" s="14" t="n">
        <v>12.5</v>
      </c>
      <c r="J344" s="22" t="n">
        <f aca="false">IF(E344="Priority",'Cost model'!N384,'Cost model'!M384)</f>
        <v>45</v>
      </c>
      <c r="K344" s="14" t="n">
        <f aca="false">J344-H344</f>
        <v>1.75</v>
      </c>
      <c r="L344" s="14" t="n">
        <f aca="false">G344-H344</f>
        <v>-30.75</v>
      </c>
    </row>
    <row r="345" customFormat="false" ht="15" hidden="false" customHeight="false" outlineLevel="0" collapsed="false">
      <c r="A345" s="2" t="s">
        <v>165</v>
      </c>
      <c r="B345" s="2" t="s">
        <v>165</v>
      </c>
      <c r="C345" s="2" t="s">
        <v>48</v>
      </c>
      <c r="D345" s="2" t="s">
        <v>12</v>
      </c>
      <c r="E345" s="2" t="s">
        <v>76</v>
      </c>
      <c r="F345" s="2" t="s">
        <v>1145</v>
      </c>
      <c r="G345" s="14" t="n">
        <v>9.5</v>
      </c>
      <c r="H345" s="14" t="n">
        <v>14.27</v>
      </c>
      <c r="I345" s="14" t="n">
        <v>9.5</v>
      </c>
      <c r="J345" s="22" t="n">
        <f aca="false">IF(E345="Priority",'Cost model'!N509,'Cost model'!M509)</f>
        <v>17.5</v>
      </c>
      <c r="K345" s="14" t="n">
        <f aca="false">J345-H345</f>
        <v>3.23</v>
      </c>
      <c r="L345" s="14" t="n">
        <f aca="false">G345-H345</f>
        <v>-4.77</v>
      </c>
    </row>
    <row r="346" customFormat="false" ht="15" hidden="false" customHeight="false" outlineLevel="0" collapsed="false">
      <c r="A346" s="2" t="s">
        <v>240</v>
      </c>
      <c r="B346" s="2" t="s">
        <v>240</v>
      </c>
      <c r="C346" s="2" t="s">
        <v>48</v>
      </c>
      <c r="D346" s="2" t="s">
        <v>12</v>
      </c>
      <c r="E346" s="2" t="s">
        <v>76</v>
      </c>
      <c r="F346" s="2" t="s">
        <v>1145</v>
      </c>
      <c r="G346" s="14" t="n">
        <v>9.5</v>
      </c>
      <c r="H346" s="14" t="n">
        <v>13.9</v>
      </c>
      <c r="I346" s="14" t="n">
        <v>9.5</v>
      </c>
      <c r="J346" s="22" t="n">
        <f aca="false">IF(E346="Priority",'Cost model'!N887,'Cost model'!M887)</f>
        <v>21.5</v>
      </c>
      <c r="K346" s="14" t="n">
        <f aca="false">J346-H346</f>
        <v>7.6</v>
      </c>
      <c r="L346" s="14" t="n">
        <f aca="false">G346-H346</f>
        <v>-4.4</v>
      </c>
    </row>
    <row r="347" customFormat="false" ht="15" hidden="false" customHeight="false" outlineLevel="0" collapsed="false">
      <c r="A347" s="2" t="s">
        <v>184</v>
      </c>
      <c r="B347" s="2" t="s">
        <v>146</v>
      </c>
      <c r="C347" s="2" t="s">
        <v>48</v>
      </c>
      <c r="D347" s="2" t="s">
        <v>10</v>
      </c>
      <c r="E347" s="2" t="s">
        <v>85</v>
      </c>
      <c r="F347" s="2" t="s">
        <v>1146</v>
      </c>
      <c r="G347" s="14" t="n">
        <v>14.5</v>
      </c>
      <c r="H347" s="14" t="n">
        <v>7.37</v>
      </c>
      <c r="I347" s="14" t="n">
        <v>14.5</v>
      </c>
      <c r="J347" s="22" t="n">
        <f aca="false">IF(E347="Priority",'Cost model'!N146,'Cost model'!M146)</f>
        <v>17.5</v>
      </c>
      <c r="K347" s="14" t="n">
        <f aca="false">J347-H347</f>
        <v>10.13</v>
      </c>
      <c r="L347" s="14" t="n">
        <f aca="false">G347-H347</f>
        <v>7.13</v>
      </c>
    </row>
    <row r="348" customFormat="false" ht="15" hidden="false" customHeight="false" outlineLevel="0" collapsed="false">
      <c r="A348" s="2" t="s">
        <v>146</v>
      </c>
      <c r="B348" s="2" t="s">
        <v>146</v>
      </c>
      <c r="C348" s="2" t="s">
        <v>50</v>
      </c>
      <c r="D348" s="2" t="s">
        <v>12</v>
      </c>
      <c r="E348" s="2" t="s">
        <v>76</v>
      </c>
      <c r="F348" s="2" t="s">
        <v>1145</v>
      </c>
      <c r="G348" s="14" t="n">
        <v>19.5</v>
      </c>
      <c r="H348" s="14" t="n">
        <v>58.01</v>
      </c>
      <c r="I348" s="14" t="n">
        <v>19.5</v>
      </c>
      <c r="J348" s="22" t="n">
        <f aca="false">IF(E348="Priority",'Cost model'!N763,'Cost model'!M763)</f>
        <v>50</v>
      </c>
      <c r="K348" s="14" t="n">
        <f aca="false">J348-H348</f>
        <v>-8.01</v>
      </c>
      <c r="L348" s="14" t="n">
        <f aca="false">G348-H348</f>
        <v>-38.51</v>
      </c>
    </row>
    <row r="349" customFormat="false" ht="15" hidden="false" customHeight="false" outlineLevel="0" collapsed="false">
      <c r="A349" s="2" t="s">
        <v>184</v>
      </c>
      <c r="B349" s="2" t="s">
        <v>184</v>
      </c>
      <c r="C349" s="2" t="s">
        <v>48</v>
      </c>
      <c r="D349" s="2" t="s">
        <v>10</v>
      </c>
      <c r="E349" s="2" t="s">
        <v>76</v>
      </c>
      <c r="F349" s="2" t="s">
        <v>1145</v>
      </c>
      <c r="G349" s="14" t="n">
        <v>9.5</v>
      </c>
      <c r="H349" s="14" t="n">
        <v>7.45</v>
      </c>
      <c r="I349" s="14" t="n">
        <v>9.5</v>
      </c>
      <c r="J349" s="22" t="n">
        <f aca="false">IF(E349="Priority",'Cost model'!N200,'Cost model'!M200)</f>
        <v>7.5</v>
      </c>
      <c r="K349" s="14" t="n">
        <f aca="false">J349-H349</f>
        <v>0.0499999999999998</v>
      </c>
      <c r="L349" s="14" t="n">
        <f aca="false">G349-H349</f>
        <v>2.05</v>
      </c>
    </row>
    <row r="350" customFormat="false" ht="15" hidden="false" customHeight="false" outlineLevel="0" collapsed="false">
      <c r="A350" s="2" t="s">
        <v>184</v>
      </c>
      <c r="B350" s="2" t="s">
        <v>184</v>
      </c>
      <c r="C350" s="2" t="s">
        <v>49</v>
      </c>
      <c r="D350" s="2" t="s">
        <v>12</v>
      </c>
      <c r="E350" s="2" t="s">
        <v>76</v>
      </c>
      <c r="F350" s="2" t="s">
        <v>1145</v>
      </c>
      <c r="G350" s="14" t="n">
        <v>12.5</v>
      </c>
      <c r="H350" s="14" t="n">
        <v>11.94</v>
      </c>
      <c r="I350" s="14"/>
      <c r="J350" s="22" t="n">
        <f aca="false">IF(E350="Priority",'Cost model'!N204,'Cost model'!M204)</f>
        <v>45</v>
      </c>
      <c r="K350" s="14" t="n">
        <f aca="false">J350-H350</f>
        <v>33.06</v>
      </c>
      <c r="L350" s="14" t="n">
        <f aca="false">G350-H350</f>
        <v>0.560000000000001</v>
      </c>
    </row>
    <row r="351" customFormat="false" ht="15" hidden="false" customHeight="false" outlineLevel="0" collapsed="false">
      <c r="A351" s="2" t="s">
        <v>385</v>
      </c>
      <c r="B351" s="2" t="s">
        <v>165</v>
      </c>
      <c r="C351" s="2" t="s">
        <v>48</v>
      </c>
      <c r="D351" s="2" t="s">
        <v>10</v>
      </c>
      <c r="E351" s="2" t="s">
        <v>85</v>
      </c>
      <c r="F351" s="2" t="s">
        <v>1146</v>
      </c>
      <c r="G351" s="14" t="n">
        <v>24.5</v>
      </c>
      <c r="H351" s="14" t="n">
        <v>23.58</v>
      </c>
      <c r="I351" s="14" t="n">
        <v>24.5</v>
      </c>
      <c r="J351" s="22" t="n">
        <f aca="false">IF(E351="Priority",'Cost model'!N254,'Cost model'!M254)</f>
        <v>27.5</v>
      </c>
      <c r="K351" s="14" t="n">
        <f aca="false">J351-H351</f>
        <v>3.92</v>
      </c>
      <c r="L351" s="14" t="n">
        <f aca="false">G351-H351</f>
        <v>0.920000000000002</v>
      </c>
    </row>
    <row r="352" customFormat="false" ht="15" hidden="false" customHeight="false" outlineLevel="0" collapsed="false">
      <c r="A352" s="2" t="s">
        <v>184</v>
      </c>
      <c r="B352" s="2" t="s">
        <v>184</v>
      </c>
      <c r="C352" s="2" t="s">
        <v>49</v>
      </c>
      <c r="D352" s="2" t="s">
        <v>10</v>
      </c>
      <c r="E352" s="2" t="s">
        <v>76</v>
      </c>
      <c r="F352" s="2" t="s">
        <v>1145</v>
      </c>
      <c r="G352" s="14" t="n">
        <v>17.5</v>
      </c>
      <c r="H352" s="14" t="n">
        <v>24.63</v>
      </c>
      <c r="I352" s="14"/>
      <c r="J352" s="22" t="n">
        <f aca="false">IF(E352="Priority",'Cost model'!N201,'Cost model'!M201)</f>
        <v>12.5</v>
      </c>
      <c r="K352" s="14" t="n">
        <f aca="false">J352-H352</f>
        <v>-12.13</v>
      </c>
      <c r="L352" s="14" t="n">
        <f aca="false">G352-H352</f>
        <v>-7.13</v>
      </c>
    </row>
    <row r="353" customFormat="false" ht="15" hidden="false" customHeight="false" outlineLevel="0" collapsed="false">
      <c r="A353" s="2" t="s">
        <v>184</v>
      </c>
      <c r="B353" s="2" t="s">
        <v>184</v>
      </c>
      <c r="C353" s="2" t="s">
        <v>49</v>
      </c>
      <c r="D353" s="2" t="s">
        <v>12</v>
      </c>
      <c r="E353" s="2" t="s">
        <v>76</v>
      </c>
      <c r="F353" s="2" t="s">
        <v>1145</v>
      </c>
      <c r="G353" s="14" t="n">
        <v>19.5</v>
      </c>
      <c r="H353" s="14" t="n">
        <v>64.43</v>
      </c>
      <c r="I353" s="14"/>
      <c r="J353" s="22" t="n">
        <f aca="false">IF(E353="Priority",'Cost model'!N204,'Cost model'!M204)</f>
        <v>45</v>
      </c>
      <c r="K353" s="14" t="n">
        <f aca="false">J353-H353</f>
        <v>-19.43</v>
      </c>
      <c r="L353" s="14" t="n">
        <f aca="false">G353-H353</f>
        <v>-44.93</v>
      </c>
    </row>
    <row r="354" customFormat="false" ht="15" hidden="false" customHeight="false" outlineLevel="0" collapsed="false">
      <c r="A354" s="2" t="s">
        <v>165</v>
      </c>
      <c r="B354" s="2" t="s">
        <v>165</v>
      </c>
      <c r="C354" s="2" t="s">
        <v>48</v>
      </c>
      <c r="D354" s="2" t="s">
        <v>12</v>
      </c>
      <c r="E354" s="2" t="s">
        <v>76</v>
      </c>
      <c r="F354" s="2" t="s">
        <v>1145</v>
      </c>
      <c r="G354" s="14" t="n">
        <v>24.5</v>
      </c>
      <c r="H354" s="14" t="n">
        <v>23.58</v>
      </c>
      <c r="I354" s="14" t="n">
        <v>9.5</v>
      </c>
      <c r="J354" s="22" t="n">
        <f aca="false">IF(E354="Priority",'Cost model'!N509,'Cost model'!M509)</f>
        <v>17.5</v>
      </c>
      <c r="K354" s="14" t="n">
        <f aca="false">J354-H354</f>
        <v>-6.08</v>
      </c>
      <c r="L354" s="14" t="n">
        <f aca="false">G354-H354</f>
        <v>0.920000000000002</v>
      </c>
    </row>
    <row r="355" customFormat="false" ht="15" hidden="false" customHeight="false" outlineLevel="0" collapsed="false">
      <c r="A355" s="2" t="s">
        <v>184</v>
      </c>
      <c r="B355" s="2" t="s">
        <v>184</v>
      </c>
      <c r="C355" s="2" t="s">
        <v>48</v>
      </c>
      <c r="D355" s="2" t="s">
        <v>10</v>
      </c>
      <c r="E355" s="2" t="s">
        <v>76</v>
      </c>
      <c r="F355" s="2" t="s">
        <v>1145</v>
      </c>
      <c r="G355" s="14" t="n">
        <v>9.5</v>
      </c>
      <c r="H355" s="14" t="n">
        <v>6.66</v>
      </c>
      <c r="I355" s="14" t="n">
        <v>9.5</v>
      </c>
      <c r="J355" s="22" t="n">
        <f aca="false">IF(E355="Priority",'Cost model'!N200,'Cost model'!M200)</f>
        <v>7.5</v>
      </c>
      <c r="K355" s="14" t="n">
        <f aca="false">J355-H355</f>
        <v>0.84</v>
      </c>
      <c r="L355" s="14" t="n">
        <f aca="false">G355-H355</f>
        <v>2.84</v>
      </c>
    </row>
    <row r="356" customFormat="false" ht="15" hidden="false" customHeight="false" outlineLevel="0" collapsed="false">
      <c r="A356" s="2" t="s">
        <v>146</v>
      </c>
      <c r="B356" s="2" t="s">
        <v>146</v>
      </c>
      <c r="C356" s="2" t="s">
        <v>48</v>
      </c>
      <c r="D356" s="2" t="s">
        <v>10</v>
      </c>
      <c r="E356" s="2" t="s">
        <v>76</v>
      </c>
      <c r="F356" s="2" t="s">
        <v>1145</v>
      </c>
      <c r="G356" s="14" t="n">
        <v>9.5</v>
      </c>
      <c r="H356" s="14" t="n">
        <v>4.99</v>
      </c>
      <c r="I356" s="14" t="n">
        <v>9.5</v>
      </c>
      <c r="J356" s="22" t="n">
        <f aca="false">IF(E356="Priority",'Cost model'!N758,'Cost model'!M758)</f>
        <v>9.5</v>
      </c>
      <c r="K356" s="14" t="n">
        <f aca="false">J356-H356</f>
        <v>4.51</v>
      </c>
      <c r="L356" s="14" t="n">
        <f aca="false">G356-H356</f>
        <v>4.51</v>
      </c>
    </row>
    <row r="357" customFormat="false" ht="15" hidden="false" customHeight="false" outlineLevel="0" collapsed="false">
      <c r="A357" s="2" t="s">
        <v>146</v>
      </c>
      <c r="B357" s="2" t="s">
        <v>146</v>
      </c>
      <c r="C357" s="2" t="s">
        <v>49</v>
      </c>
      <c r="D357" s="2" t="s">
        <v>10</v>
      </c>
      <c r="E357" s="2" t="s">
        <v>76</v>
      </c>
      <c r="F357" s="2" t="s">
        <v>1145</v>
      </c>
      <c r="G357" s="14" t="n">
        <v>12.5</v>
      </c>
      <c r="H357" s="14" t="n">
        <v>14.08</v>
      </c>
      <c r="I357" s="14" t="n">
        <v>12.5</v>
      </c>
      <c r="J357" s="22" t="n">
        <f aca="false">IF(E357="Priority",'Cost model'!N759,'Cost model'!M759)</f>
        <v>15.5</v>
      </c>
      <c r="K357" s="14" t="n">
        <f aca="false">J357-H357</f>
        <v>1.42</v>
      </c>
      <c r="L357" s="14" t="n">
        <f aca="false">G357-H357</f>
        <v>-1.58</v>
      </c>
    </row>
    <row r="358" customFormat="false" ht="15" hidden="false" customHeight="false" outlineLevel="0" collapsed="false">
      <c r="A358" s="2" t="s">
        <v>146</v>
      </c>
      <c r="B358" s="2" t="s">
        <v>146</v>
      </c>
      <c r="C358" s="2" t="s">
        <v>48</v>
      </c>
      <c r="D358" s="2" t="s">
        <v>10</v>
      </c>
      <c r="E358" s="2" t="s">
        <v>76</v>
      </c>
      <c r="F358" s="2" t="s">
        <v>1145</v>
      </c>
      <c r="G358" s="14" t="n">
        <v>9.5</v>
      </c>
      <c r="H358" s="14" t="n">
        <v>5.14</v>
      </c>
      <c r="I358" s="14" t="n">
        <v>9.5</v>
      </c>
      <c r="J358" s="22" t="n">
        <f aca="false">IF(E358="Priority",'Cost model'!N758,'Cost model'!M758)</f>
        <v>9.5</v>
      </c>
      <c r="K358" s="14" t="n">
        <f aca="false">J358-H358</f>
        <v>4.36</v>
      </c>
      <c r="L358" s="14" t="n">
        <f aca="false">G358-H358</f>
        <v>4.36</v>
      </c>
    </row>
    <row r="359" customFormat="false" ht="15" hidden="false" customHeight="false" outlineLevel="0" collapsed="false">
      <c r="A359" s="2" t="s">
        <v>165</v>
      </c>
      <c r="B359" s="2" t="s">
        <v>165</v>
      </c>
      <c r="C359" s="2" t="s">
        <v>50</v>
      </c>
      <c r="D359" s="2" t="s">
        <v>10</v>
      </c>
      <c r="E359" s="2" t="s">
        <v>76</v>
      </c>
      <c r="F359" s="2" t="s">
        <v>1145</v>
      </c>
      <c r="G359" s="14" t="n">
        <v>17.5</v>
      </c>
      <c r="H359" s="14" t="n">
        <v>16.05</v>
      </c>
      <c r="I359" s="14" t="n">
        <v>17.5</v>
      </c>
      <c r="J359" s="22" t="n">
        <f aca="false">IF(E359="Priority",'Cost model'!N508,'Cost model'!M508)</f>
        <v>17.5</v>
      </c>
      <c r="K359" s="14" t="n">
        <f aca="false">J359-H359</f>
        <v>1.45</v>
      </c>
      <c r="L359" s="14" t="n">
        <f aca="false">G359-H359</f>
        <v>1.45</v>
      </c>
    </row>
    <row r="360" customFormat="false" ht="15" hidden="false" customHeight="false" outlineLevel="0" collapsed="false">
      <c r="A360" s="2" t="s">
        <v>184</v>
      </c>
      <c r="B360" s="2" t="s">
        <v>126</v>
      </c>
      <c r="C360" s="2" t="s">
        <v>50</v>
      </c>
      <c r="D360" s="2" t="s">
        <v>12</v>
      </c>
      <c r="E360" s="2" t="s">
        <v>76</v>
      </c>
      <c r="F360" s="2" t="s">
        <v>1146</v>
      </c>
      <c r="G360" s="14" t="n">
        <v>19.5</v>
      </c>
      <c r="H360" s="14" t="n">
        <v>64.98</v>
      </c>
      <c r="I360" s="14" t="n">
        <v>19.5</v>
      </c>
      <c r="J360" s="22" t="n">
        <f aca="false">IF(E360="Priority",'Cost model'!N133,'Cost model'!M133)</f>
        <v>55</v>
      </c>
      <c r="K360" s="14" t="n">
        <f aca="false">J360-H360</f>
        <v>-9.98</v>
      </c>
      <c r="L360" s="14" t="n">
        <f aca="false">G360-H360</f>
        <v>-45.48</v>
      </c>
    </row>
    <row r="361" customFormat="false" ht="15" hidden="false" customHeight="false" outlineLevel="0" collapsed="false">
      <c r="A361" s="2" t="s">
        <v>184</v>
      </c>
      <c r="B361" s="2" t="s">
        <v>165</v>
      </c>
      <c r="C361" s="2" t="s">
        <v>48</v>
      </c>
      <c r="D361" s="2" t="s">
        <v>10</v>
      </c>
      <c r="E361" s="2" t="s">
        <v>76</v>
      </c>
      <c r="F361" s="2" t="s">
        <v>1146</v>
      </c>
      <c r="G361" s="14" t="n">
        <v>9.5</v>
      </c>
      <c r="H361" s="14" t="n">
        <v>7.69</v>
      </c>
      <c r="I361" s="14" t="n">
        <v>14.5</v>
      </c>
      <c r="J361" s="22" t="n">
        <f aca="false">IF(E361="Priority",'Cost model'!N164,'Cost model'!M164)</f>
        <v>11.5</v>
      </c>
      <c r="K361" s="14" t="n">
        <f aca="false">J361-H361</f>
        <v>3.81</v>
      </c>
      <c r="L361" s="14" t="n">
        <f aca="false">G361-H361</f>
        <v>1.81</v>
      </c>
    </row>
    <row r="362" customFormat="false" ht="15" hidden="false" customHeight="false" outlineLevel="0" collapsed="false">
      <c r="A362" s="2" t="s">
        <v>146</v>
      </c>
      <c r="B362" s="2" t="s">
        <v>146</v>
      </c>
      <c r="C362" s="2" t="s">
        <v>48</v>
      </c>
      <c r="D362" s="2" t="s">
        <v>10</v>
      </c>
      <c r="E362" s="2" t="s">
        <v>76</v>
      </c>
      <c r="F362" s="2" t="s">
        <v>1145</v>
      </c>
      <c r="G362" s="14" t="n">
        <v>9.5</v>
      </c>
      <c r="H362" s="14" t="n">
        <v>20.83</v>
      </c>
      <c r="I362" s="14" t="n">
        <v>9.5</v>
      </c>
      <c r="J362" s="22" t="n">
        <f aca="false">IF(E362="Priority",'Cost model'!N758,'Cost model'!M758)</f>
        <v>9.5</v>
      </c>
      <c r="K362" s="14" t="n">
        <f aca="false">J362-H362</f>
        <v>-11.33</v>
      </c>
      <c r="L362" s="14" t="n">
        <f aca="false">G362-H362</f>
        <v>-11.33</v>
      </c>
    </row>
    <row r="363" customFormat="false" ht="15" hidden="false" customHeight="false" outlineLevel="0" collapsed="false">
      <c r="A363" s="2" t="s">
        <v>126</v>
      </c>
      <c r="B363" s="2" t="s">
        <v>126</v>
      </c>
      <c r="C363" s="2" t="s">
        <v>48</v>
      </c>
      <c r="D363" s="2" t="s">
        <v>12</v>
      </c>
      <c r="E363" s="2" t="s">
        <v>76</v>
      </c>
      <c r="F363" s="2" t="s">
        <v>1145</v>
      </c>
      <c r="G363" s="14" t="n">
        <v>9.5</v>
      </c>
      <c r="H363" s="14" t="n">
        <v>45.3</v>
      </c>
      <c r="I363" s="14" t="n">
        <v>9.5</v>
      </c>
      <c r="J363" s="22" t="n">
        <f aca="false">IF(E363="Priority",'Cost model'!N383,'Cost model'!M383)</f>
        <v>27.5</v>
      </c>
      <c r="K363" s="14" t="n">
        <f aca="false">J363-H363</f>
        <v>-17.8</v>
      </c>
      <c r="L363" s="14" t="n">
        <f aca="false">G363-H363</f>
        <v>-35.8</v>
      </c>
    </row>
    <row r="364" customFormat="false" ht="15" hidden="false" customHeight="false" outlineLevel="0" collapsed="false">
      <c r="A364" s="2" t="s">
        <v>165</v>
      </c>
      <c r="B364" s="2" t="s">
        <v>165</v>
      </c>
      <c r="C364" s="2" t="s">
        <v>50</v>
      </c>
      <c r="D364" s="2" t="s">
        <v>12</v>
      </c>
      <c r="E364" s="2" t="s">
        <v>85</v>
      </c>
      <c r="F364" s="2" t="s">
        <v>1145</v>
      </c>
      <c r="G364" s="14" t="n">
        <v>29.5</v>
      </c>
      <c r="H364" s="14" t="n">
        <v>28.04</v>
      </c>
      <c r="I364" s="14" t="n">
        <v>29.5</v>
      </c>
      <c r="J364" s="22" t="n">
        <f aca="false">IF(E364="Priority",'Cost model'!N511,'Cost model'!M511)</f>
        <v>45</v>
      </c>
      <c r="K364" s="14" t="n">
        <f aca="false">J364-H364</f>
        <v>16.96</v>
      </c>
      <c r="L364" s="14" t="n">
        <f aca="false">G364-H364</f>
        <v>1.46</v>
      </c>
    </row>
    <row r="365" customFormat="false" ht="15" hidden="false" customHeight="false" outlineLevel="0" collapsed="false">
      <c r="A365" s="2" t="s">
        <v>221</v>
      </c>
      <c r="B365" s="2" t="s">
        <v>221</v>
      </c>
      <c r="C365" s="2" t="s">
        <v>49</v>
      </c>
      <c r="D365" s="2" t="s">
        <v>10</v>
      </c>
      <c r="E365" s="2" t="s">
        <v>76</v>
      </c>
      <c r="F365" s="2" t="s">
        <v>1145</v>
      </c>
      <c r="G365" s="14" t="n">
        <v>12.5</v>
      </c>
      <c r="H365" s="14" t="n">
        <v>7.33</v>
      </c>
      <c r="I365" s="14" t="n">
        <v>12.5</v>
      </c>
      <c r="J365" s="22" t="n">
        <f aca="false">IF(E365="Priority",'Cost model'!N633,'Cost model'!M633)</f>
        <v>13.5</v>
      </c>
      <c r="K365" s="14" t="n">
        <f aca="false">J365-H365</f>
        <v>6.17</v>
      </c>
      <c r="L365" s="14" t="n">
        <f aca="false">G365-H365</f>
        <v>5.17</v>
      </c>
    </row>
    <row r="366" customFormat="false" ht="15" hidden="false" customHeight="false" outlineLevel="0" collapsed="false">
      <c r="A366" s="2" t="s">
        <v>184</v>
      </c>
      <c r="B366" s="2" t="s">
        <v>184</v>
      </c>
      <c r="C366" s="2" t="s">
        <v>49</v>
      </c>
      <c r="D366" s="2" t="s">
        <v>10</v>
      </c>
      <c r="E366" s="2" t="s">
        <v>76</v>
      </c>
      <c r="F366" s="2" t="s">
        <v>1145</v>
      </c>
      <c r="G366" s="14" t="n">
        <v>12.5</v>
      </c>
      <c r="H366" s="14" t="n">
        <v>8.92</v>
      </c>
      <c r="I366" s="14"/>
      <c r="J366" s="22" t="n">
        <f aca="false">IF(E366="Priority",'Cost model'!N201,'Cost model'!M201)</f>
        <v>12.5</v>
      </c>
      <c r="K366" s="14" t="n">
        <f aca="false">J366-H366</f>
        <v>3.58</v>
      </c>
      <c r="L366" s="14" t="n">
        <f aca="false">G366-H366</f>
        <v>3.58</v>
      </c>
    </row>
    <row r="367" customFormat="false" ht="15" hidden="false" customHeight="false" outlineLevel="0" collapsed="false">
      <c r="A367" s="2" t="s">
        <v>240</v>
      </c>
      <c r="B367" s="2" t="s">
        <v>240</v>
      </c>
      <c r="C367" s="2" t="s">
        <v>48</v>
      </c>
      <c r="D367" s="2" t="s">
        <v>14</v>
      </c>
      <c r="E367" s="2" t="s">
        <v>76</v>
      </c>
      <c r="F367" s="2" t="s">
        <v>1145</v>
      </c>
      <c r="G367" s="14" t="n">
        <v>25</v>
      </c>
      <c r="H367" s="14" t="n">
        <v>144.87</v>
      </c>
      <c r="I367" s="14" t="n">
        <v>25</v>
      </c>
      <c r="J367" s="22" t="n">
        <f aca="false">IF(E367="Priority",'Cost model'!N893,'Cost model'!M893)</f>
        <v>135</v>
      </c>
      <c r="K367" s="14" t="n">
        <f aca="false">J367-H367</f>
        <v>-9.87000000000001</v>
      </c>
      <c r="L367" s="14" t="n">
        <f aca="false">G367-H367</f>
        <v>-119.87</v>
      </c>
    </row>
    <row r="368" customFormat="false" ht="15" hidden="false" customHeight="false" outlineLevel="0" collapsed="false">
      <c r="A368" s="2" t="s">
        <v>146</v>
      </c>
      <c r="B368" s="2" t="s">
        <v>146</v>
      </c>
      <c r="C368" s="2" t="s">
        <v>50</v>
      </c>
      <c r="D368" s="2" t="s">
        <v>10</v>
      </c>
      <c r="E368" s="2" t="s">
        <v>76</v>
      </c>
      <c r="F368" s="2" t="s">
        <v>1145</v>
      </c>
      <c r="G368" s="14" t="n">
        <v>17.5</v>
      </c>
      <c r="H368" s="14" t="n">
        <v>14.08</v>
      </c>
      <c r="I368" s="14" t="n">
        <v>17.5</v>
      </c>
      <c r="J368" s="22" t="n">
        <f aca="false">IF(E368="Priority",'Cost model'!N760,'Cost model'!M760)</f>
        <v>18.5</v>
      </c>
      <c r="K368" s="14" t="n">
        <f aca="false">J368-H368</f>
        <v>4.42</v>
      </c>
      <c r="L368" s="14" t="n">
        <f aca="false">G368-H368</f>
        <v>3.42</v>
      </c>
    </row>
    <row r="369" customFormat="false" ht="15" hidden="false" customHeight="false" outlineLevel="0" collapsed="false">
      <c r="A369" s="2" t="s">
        <v>146</v>
      </c>
      <c r="B369" s="2" t="s">
        <v>146</v>
      </c>
      <c r="C369" s="2" t="s">
        <v>48</v>
      </c>
      <c r="D369" s="2" t="s">
        <v>10</v>
      </c>
      <c r="E369" s="2" t="s">
        <v>76</v>
      </c>
      <c r="F369" s="2" t="s">
        <v>1145</v>
      </c>
      <c r="G369" s="14" t="n">
        <v>9.5</v>
      </c>
      <c r="H369" s="14" t="n">
        <v>7.47</v>
      </c>
      <c r="I369" s="14" t="n">
        <v>9.5</v>
      </c>
      <c r="J369" s="22" t="n">
        <f aca="false">IF(E369="Priority",'Cost model'!N758,'Cost model'!M758)</f>
        <v>9.5</v>
      </c>
      <c r="K369" s="14" t="n">
        <f aca="false">J369-H369</f>
        <v>2.03</v>
      </c>
      <c r="L369" s="14" t="n">
        <f aca="false">G369-H369</f>
        <v>2.03</v>
      </c>
    </row>
    <row r="370" customFormat="false" ht="15" hidden="false" customHeight="false" outlineLevel="0" collapsed="false">
      <c r="A370" s="2" t="s">
        <v>184</v>
      </c>
      <c r="B370" s="2" t="s">
        <v>126</v>
      </c>
      <c r="C370" s="2" t="s">
        <v>48</v>
      </c>
      <c r="D370" s="2" t="s">
        <v>10</v>
      </c>
      <c r="E370" s="2" t="s">
        <v>76</v>
      </c>
      <c r="F370" s="2" t="s">
        <v>1146</v>
      </c>
      <c r="G370" s="14" t="n">
        <v>9.5</v>
      </c>
      <c r="H370" s="14" t="n">
        <v>6.11</v>
      </c>
      <c r="I370" s="14" t="n">
        <v>9.5</v>
      </c>
      <c r="J370" s="22" t="n">
        <f aca="false">IF(E370="Priority",'Cost model'!N128,'Cost model'!M128)</f>
        <v>10.5</v>
      </c>
      <c r="K370" s="14" t="n">
        <f aca="false">J370-H370</f>
        <v>4.39</v>
      </c>
      <c r="L370" s="14" t="n">
        <f aca="false">G370-H370</f>
        <v>3.39</v>
      </c>
    </row>
    <row r="371" customFormat="false" ht="15" hidden="false" customHeight="false" outlineLevel="0" collapsed="false">
      <c r="A371" s="2" t="s">
        <v>184</v>
      </c>
      <c r="B371" s="2" t="s">
        <v>184</v>
      </c>
      <c r="C371" s="2" t="s">
        <v>48</v>
      </c>
      <c r="D371" s="2" t="s">
        <v>12</v>
      </c>
      <c r="E371" s="2" t="s">
        <v>85</v>
      </c>
      <c r="F371" s="2" t="s">
        <v>1145</v>
      </c>
      <c r="G371" s="14" t="n">
        <v>19.5</v>
      </c>
      <c r="H371" s="14" t="n">
        <v>62.02</v>
      </c>
      <c r="I371" s="14" t="n">
        <v>19.5</v>
      </c>
      <c r="J371" s="22" t="n">
        <f aca="false">IF(E371="Priority",'Cost model'!N203,'Cost model'!M203)</f>
        <v>35</v>
      </c>
      <c r="K371" s="14" t="n">
        <f aca="false">J371-H371</f>
        <v>-27.02</v>
      </c>
      <c r="L371" s="14" t="n">
        <f aca="false">G371-H371</f>
        <v>-42.52</v>
      </c>
    </row>
    <row r="372" customFormat="false" ht="15" hidden="false" customHeight="false" outlineLevel="0" collapsed="false">
      <c r="A372" s="2" t="s">
        <v>146</v>
      </c>
      <c r="B372" s="2" t="s">
        <v>126</v>
      </c>
      <c r="C372" s="2" t="s">
        <v>49</v>
      </c>
      <c r="D372" s="2" t="s">
        <v>12</v>
      </c>
      <c r="E372" s="2" t="s">
        <v>76</v>
      </c>
      <c r="F372" s="2" t="s">
        <v>1146</v>
      </c>
      <c r="G372" s="14" t="n">
        <v>12.5</v>
      </c>
      <c r="H372" s="14" t="n">
        <v>12.54</v>
      </c>
      <c r="I372" s="14" t="n">
        <v>19.5</v>
      </c>
      <c r="J372" s="22" t="n">
        <f aca="false">IF(E372="Priority",'Cost model'!N798,'Cost model'!M798)</f>
        <v>45</v>
      </c>
      <c r="K372" s="14" t="n">
        <f aca="false">J372-H372</f>
        <v>32.46</v>
      </c>
      <c r="L372" s="14" t="n">
        <f aca="false">G372-H372</f>
        <v>-0.0399999999999992</v>
      </c>
    </row>
    <row r="373" customFormat="false" ht="15" hidden="false" customHeight="false" outlineLevel="0" collapsed="false">
      <c r="A373" s="2" t="s">
        <v>126</v>
      </c>
      <c r="B373" s="2" t="s">
        <v>126</v>
      </c>
      <c r="C373" s="2" t="s">
        <v>48</v>
      </c>
      <c r="D373" s="2" t="s">
        <v>10</v>
      </c>
      <c r="E373" s="2" t="s">
        <v>76</v>
      </c>
      <c r="F373" s="2" t="s">
        <v>1145</v>
      </c>
      <c r="G373" s="14" t="n">
        <v>9.5</v>
      </c>
      <c r="H373" s="14" t="n">
        <v>5.21</v>
      </c>
      <c r="I373" s="14" t="n">
        <v>9.5</v>
      </c>
      <c r="J373" s="22" t="n">
        <f aca="false">IF(E373="Priority",'Cost model'!N380,'Cost model'!M380)</f>
        <v>8.5</v>
      </c>
      <c r="K373" s="14" t="n">
        <f aca="false">J373-H373</f>
        <v>3.29</v>
      </c>
      <c r="L373" s="14" t="n">
        <f aca="false">G373-H373</f>
        <v>4.29</v>
      </c>
    </row>
    <row r="374" customFormat="false" ht="15" hidden="false" customHeight="false" outlineLevel="0" collapsed="false">
      <c r="A374" s="2" t="s">
        <v>184</v>
      </c>
      <c r="B374" s="2" t="s">
        <v>184</v>
      </c>
      <c r="C374" s="2" t="s">
        <v>49</v>
      </c>
      <c r="D374" s="2" t="s">
        <v>10</v>
      </c>
      <c r="E374" s="2" t="s">
        <v>76</v>
      </c>
      <c r="F374" s="2" t="s">
        <v>1145</v>
      </c>
      <c r="G374" s="14" t="n">
        <v>12.5</v>
      </c>
      <c r="H374" s="14" t="n">
        <v>7.02</v>
      </c>
      <c r="I374" s="14"/>
      <c r="J374" s="22" t="n">
        <f aca="false">IF(E374="Priority",'Cost model'!N201,'Cost model'!M201)</f>
        <v>12.5</v>
      </c>
      <c r="K374" s="14" t="n">
        <f aca="false">J374-H374</f>
        <v>5.48</v>
      </c>
      <c r="L374" s="14" t="n">
        <f aca="false">G374-H374</f>
        <v>5.48</v>
      </c>
    </row>
    <row r="375" customFormat="false" ht="15" hidden="false" customHeight="false" outlineLevel="0" collapsed="false">
      <c r="A375" s="2" t="s">
        <v>184</v>
      </c>
      <c r="B375" s="2" t="s">
        <v>184</v>
      </c>
      <c r="C375" s="2" t="s">
        <v>50</v>
      </c>
      <c r="D375" s="2" t="s">
        <v>10</v>
      </c>
      <c r="E375" s="2" t="s">
        <v>76</v>
      </c>
      <c r="F375" s="2" t="s">
        <v>1145</v>
      </c>
      <c r="G375" s="14" t="n">
        <v>17.5</v>
      </c>
      <c r="H375" s="14" t="n">
        <v>10.79</v>
      </c>
      <c r="I375" s="14" t="n">
        <v>17.5</v>
      </c>
      <c r="J375" s="22" t="n">
        <f aca="false">IF(E375="Priority",'Cost model'!N202,'Cost model'!M202)</f>
        <v>17.5</v>
      </c>
      <c r="K375" s="14" t="n">
        <f aca="false">J375-H375</f>
        <v>6.71</v>
      </c>
      <c r="L375" s="14" t="n">
        <f aca="false">G375-H375</f>
        <v>6.71</v>
      </c>
    </row>
    <row r="376" customFormat="false" ht="15" hidden="false" customHeight="false" outlineLevel="0" collapsed="false">
      <c r="A376" s="2" t="s">
        <v>126</v>
      </c>
      <c r="B376" s="2" t="s">
        <v>184</v>
      </c>
      <c r="C376" s="2" t="s">
        <v>48</v>
      </c>
      <c r="D376" s="2" t="s">
        <v>12</v>
      </c>
      <c r="E376" s="2" t="s">
        <v>76</v>
      </c>
      <c r="F376" s="2" t="s">
        <v>1146</v>
      </c>
      <c r="G376" s="14" t="n">
        <v>14.5</v>
      </c>
      <c r="H376" s="14" t="n">
        <v>51.92</v>
      </c>
      <c r="I376" s="14" t="n">
        <v>19.5</v>
      </c>
      <c r="J376" s="22" t="n">
        <f aca="false">IF(E376="Priority",'Cost model'!N437,'Cost model'!M437)</f>
        <v>50</v>
      </c>
      <c r="K376" s="14" t="n">
        <f aca="false">J376-H376</f>
        <v>-1.92</v>
      </c>
      <c r="L376" s="14" t="n">
        <f aca="false">G376-H376</f>
        <v>-37.42</v>
      </c>
    </row>
    <row r="377" customFormat="false" ht="15" hidden="false" customHeight="false" outlineLevel="0" collapsed="false">
      <c r="A377" s="2" t="s">
        <v>240</v>
      </c>
      <c r="B377" s="2" t="s">
        <v>240</v>
      </c>
      <c r="C377" s="2" t="s">
        <v>48</v>
      </c>
      <c r="D377" s="2" t="s">
        <v>10</v>
      </c>
      <c r="E377" s="2" t="s">
        <v>76</v>
      </c>
      <c r="F377" s="2" t="s">
        <v>1145</v>
      </c>
      <c r="G377" s="14" t="n">
        <v>9.5</v>
      </c>
      <c r="H377" s="14" t="n">
        <v>7.15</v>
      </c>
      <c r="I377" s="14" t="n">
        <v>9.5</v>
      </c>
      <c r="J377" s="22" t="n">
        <f aca="false">IF(E377="Priority",'Cost model'!N884,'Cost model'!M884)</f>
        <v>7.5</v>
      </c>
      <c r="K377" s="14" t="n">
        <f aca="false">J377-H377</f>
        <v>0.35</v>
      </c>
      <c r="L377" s="14" t="n">
        <f aca="false">G377-H377</f>
        <v>2.35</v>
      </c>
    </row>
    <row r="378" customFormat="false" ht="15" hidden="false" customHeight="false" outlineLevel="0" collapsed="false">
      <c r="A378" s="2" t="s">
        <v>146</v>
      </c>
      <c r="B378" s="2" t="s">
        <v>146</v>
      </c>
      <c r="C378" s="2" t="s">
        <v>48</v>
      </c>
      <c r="D378" s="2" t="s">
        <v>10</v>
      </c>
      <c r="E378" s="2" t="s">
        <v>76</v>
      </c>
      <c r="F378" s="2" t="s">
        <v>1145</v>
      </c>
      <c r="G378" s="14" t="n">
        <v>9.5</v>
      </c>
      <c r="H378" s="14" t="n">
        <v>9.09</v>
      </c>
      <c r="I378" s="14" t="n">
        <v>9.5</v>
      </c>
      <c r="J378" s="22" t="n">
        <f aca="false">IF(E378="Priority",'Cost model'!N758,'Cost model'!M758)</f>
        <v>9.5</v>
      </c>
      <c r="K378" s="14" t="n">
        <f aca="false">J378-H378</f>
        <v>0.41</v>
      </c>
      <c r="L378" s="14" t="n">
        <f aca="false">G378-H378</f>
        <v>0.41</v>
      </c>
    </row>
    <row r="379" customFormat="false" ht="15" hidden="false" customHeight="false" outlineLevel="0" collapsed="false">
      <c r="A379" s="2" t="s">
        <v>240</v>
      </c>
      <c r="B379" s="2" t="s">
        <v>240</v>
      </c>
      <c r="C379" s="2" t="s">
        <v>48</v>
      </c>
      <c r="D379" s="2" t="s">
        <v>10</v>
      </c>
      <c r="E379" s="2" t="s">
        <v>76</v>
      </c>
      <c r="F379" s="2" t="s">
        <v>1145</v>
      </c>
      <c r="G379" s="14" t="n">
        <v>9.5</v>
      </c>
      <c r="H379" s="14" t="n">
        <v>7.12</v>
      </c>
      <c r="I379" s="14" t="n">
        <v>9.5</v>
      </c>
      <c r="J379" s="22" t="n">
        <f aca="false">IF(E379="Priority",'Cost model'!N884,'Cost model'!M884)</f>
        <v>7.5</v>
      </c>
      <c r="K379" s="14" t="n">
        <f aca="false">J379-H379</f>
        <v>0.38</v>
      </c>
      <c r="L379" s="14" t="n">
        <f aca="false">G379-H379</f>
        <v>2.38</v>
      </c>
    </row>
    <row r="380" customFormat="false" ht="15" hidden="false" customHeight="false" outlineLevel="0" collapsed="false">
      <c r="A380" s="2" t="s">
        <v>184</v>
      </c>
      <c r="B380" s="2" t="s">
        <v>184</v>
      </c>
      <c r="C380" s="2" t="s">
        <v>49</v>
      </c>
      <c r="D380" s="2" t="s">
        <v>12</v>
      </c>
      <c r="E380" s="2" t="s">
        <v>76</v>
      </c>
      <c r="F380" s="2" t="s">
        <v>1145</v>
      </c>
      <c r="G380" s="14" t="n">
        <v>12.5</v>
      </c>
      <c r="H380" s="14" t="n">
        <v>25.41</v>
      </c>
      <c r="I380" s="14"/>
      <c r="J380" s="22" t="n">
        <f aca="false">IF(E380="Priority",'Cost model'!N204,'Cost model'!M204)</f>
        <v>45</v>
      </c>
      <c r="K380" s="14" t="n">
        <f aca="false">J380-H380</f>
        <v>19.59</v>
      </c>
      <c r="L380" s="14" t="n">
        <f aca="false">G380-H380</f>
        <v>-12.91</v>
      </c>
    </row>
    <row r="381" customFormat="false" ht="15" hidden="false" customHeight="false" outlineLevel="0" collapsed="false">
      <c r="A381" s="2" t="s">
        <v>146</v>
      </c>
      <c r="B381" s="2" t="s">
        <v>126</v>
      </c>
      <c r="C381" s="2" t="s">
        <v>48</v>
      </c>
      <c r="D381" s="2" t="s">
        <v>12</v>
      </c>
      <c r="E381" s="2" t="s">
        <v>76</v>
      </c>
      <c r="F381" s="2" t="s">
        <v>1146</v>
      </c>
      <c r="G381" s="14" t="n">
        <v>9.5</v>
      </c>
      <c r="H381" s="14" t="n">
        <v>10.76</v>
      </c>
      <c r="I381" s="14" t="n">
        <v>19.5</v>
      </c>
      <c r="J381" s="22" t="n">
        <f aca="false">IF(E381="Priority",'Cost model'!N797,'Cost model'!M797)</f>
        <v>40</v>
      </c>
      <c r="K381" s="14" t="n">
        <f aca="false">J381-H381</f>
        <v>29.24</v>
      </c>
      <c r="L381" s="14" t="n">
        <f aca="false">G381-H381</f>
        <v>-1.26</v>
      </c>
    </row>
    <row r="382" customFormat="false" ht="15" hidden="false" customHeight="false" outlineLevel="0" collapsed="false">
      <c r="A382" s="2" t="s">
        <v>184</v>
      </c>
      <c r="B382" s="2" t="s">
        <v>146</v>
      </c>
      <c r="C382" s="2" t="s">
        <v>49</v>
      </c>
      <c r="D382" s="2" t="s">
        <v>12</v>
      </c>
      <c r="E382" s="2" t="s">
        <v>76</v>
      </c>
      <c r="F382" s="2" t="s">
        <v>1146</v>
      </c>
      <c r="G382" s="14" t="n">
        <v>12.5</v>
      </c>
      <c r="H382" s="14" t="n">
        <v>39.05</v>
      </c>
      <c r="I382" s="14"/>
      <c r="J382" s="22" t="n">
        <f aca="false">IF(E382="Priority",'Cost model'!N150,'Cost model'!M150)</f>
        <v>55</v>
      </c>
      <c r="K382" s="14" t="n">
        <f aca="false">J382-H382</f>
        <v>15.95</v>
      </c>
      <c r="L382" s="14" t="n">
        <f aca="false">G382-H382</f>
        <v>-26.55</v>
      </c>
    </row>
    <row r="383" customFormat="false" ht="15" hidden="false" customHeight="false" outlineLevel="0" collapsed="false">
      <c r="A383" s="2" t="s">
        <v>184</v>
      </c>
      <c r="B383" s="2" t="s">
        <v>184</v>
      </c>
      <c r="C383" s="2" t="s">
        <v>49</v>
      </c>
      <c r="D383" s="2" t="s">
        <v>12</v>
      </c>
      <c r="E383" s="2" t="s">
        <v>76</v>
      </c>
      <c r="F383" s="2" t="s">
        <v>1145</v>
      </c>
      <c r="G383" s="14" t="n">
        <v>12.5</v>
      </c>
      <c r="H383" s="14" t="n">
        <v>42.61</v>
      </c>
      <c r="I383" s="14"/>
      <c r="J383" s="22" t="n">
        <f aca="false">IF(E383="Priority",'Cost model'!N204,'Cost model'!M204)</f>
        <v>45</v>
      </c>
      <c r="K383" s="14" t="n">
        <f aca="false">J383-H383</f>
        <v>2.39</v>
      </c>
      <c r="L383" s="14" t="n">
        <f aca="false">G383-H383</f>
        <v>-30.11</v>
      </c>
    </row>
    <row r="384" customFormat="false" ht="15" hidden="false" customHeight="false" outlineLevel="0" collapsed="false">
      <c r="A384" s="2" t="s">
        <v>146</v>
      </c>
      <c r="B384" s="2" t="s">
        <v>146</v>
      </c>
      <c r="C384" s="2" t="s">
        <v>49</v>
      </c>
      <c r="D384" s="2" t="s">
        <v>10</v>
      </c>
      <c r="E384" s="2" t="s">
        <v>76</v>
      </c>
      <c r="F384" s="2" t="s">
        <v>1145</v>
      </c>
      <c r="G384" s="14" t="n">
        <v>24.5</v>
      </c>
      <c r="H384" s="14" t="n">
        <v>40.82</v>
      </c>
      <c r="I384" s="14" t="n">
        <v>12.5</v>
      </c>
      <c r="J384" s="22" t="n">
        <f aca="false">IF(E384="Priority",'Cost model'!N759,'Cost model'!M759)</f>
        <v>15.5</v>
      </c>
      <c r="K384" s="14" t="n">
        <f aca="false">J384-H384</f>
        <v>-25.32</v>
      </c>
      <c r="L384" s="14" t="n">
        <f aca="false">G384-H384</f>
        <v>-16.32</v>
      </c>
    </row>
    <row r="385" customFormat="false" ht="15" hidden="false" customHeight="false" outlineLevel="0" collapsed="false">
      <c r="A385" s="2" t="s">
        <v>126</v>
      </c>
      <c r="B385" s="2" t="s">
        <v>184</v>
      </c>
      <c r="C385" s="2" t="s">
        <v>50</v>
      </c>
      <c r="D385" s="2" t="s">
        <v>12</v>
      </c>
      <c r="E385" s="2" t="s">
        <v>76</v>
      </c>
      <c r="F385" s="2" t="s">
        <v>1146</v>
      </c>
      <c r="G385" s="14" t="n">
        <v>19.5</v>
      </c>
      <c r="H385" s="14" t="n">
        <v>21.45</v>
      </c>
      <c r="I385" s="14" t="n">
        <v>19.5</v>
      </c>
      <c r="J385" s="22" t="n">
        <f aca="false">IF(E385="Priority",'Cost model'!N439,'Cost model'!M439)</f>
        <v>60</v>
      </c>
      <c r="K385" s="14" t="n">
        <f aca="false">J385-H385</f>
        <v>38.55</v>
      </c>
      <c r="L385" s="14" t="n">
        <f aca="false">G385-H385</f>
        <v>-1.95</v>
      </c>
    </row>
    <row r="386" customFormat="false" ht="15" hidden="false" customHeight="false" outlineLevel="0" collapsed="false">
      <c r="A386" s="2" t="s">
        <v>184</v>
      </c>
      <c r="B386" s="2" t="s">
        <v>126</v>
      </c>
      <c r="C386" s="2" t="s">
        <v>49</v>
      </c>
      <c r="D386" s="2" t="s">
        <v>10</v>
      </c>
      <c r="E386" s="2" t="s">
        <v>76</v>
      </c>
      <c r="F386" s="2" t="s">
        <v>1146</v>
      </c>
      <c r="G386" s="14" t="n">
        <v>12.5</v>
      </c>
      <c r="H386" s="14" t="n">
        <v>8.92</v>
      </c>
      <c r="I386" s="14"/>
      <c r="J386" s="22" t="n">
        <f aca="false">IF(E386="Priority",'Cost model'!N129,'Cost model'!M129)</f>
        <v>13.5</v>
      </c>
      <c r="K386" s="14" t="n">
        <f aca="false">J386-H386</f>
        <v>4.58</v>
      </c>
      <c r="L386" s="14" t="n">
        <f aca="false">G386-H386</f>
        <v>3.58</v>
      </c>
    </row>
    <row r="387" customFormat="false" ht="15" hidden="false" customHeight="false" outlineLevel="0" collapsed="false">
      <c r="A387" s="2" t="s">
        <v>240</v>
      </c>
      <c r="B387" s="2" t="s">
        <v>240</v>
      </c>
      <c r="C387" s="2" t="s">
        <v>48</v>
      </c>
      <c r="D387" s="2" t="s">
        <v>12</v>
      </c>
      <c r="E387" s="2" t="s">
        <v>76</v>
      </c>
      <c r="F387" s="2" t="s">
        <v>1145</v>
      </c>
      <c r="G387" s="14" t="n">
        <v>9.5</v>
      </c>
      <c r="H387" s="14" t="n">
        <v>28.41</v>
      </c>
      <c r="I387" s="14" t="n">
        <v>9.5</v>
      </c>
      <c r="J387" s="22" t="n">
        <f aca="false">IF(E387="Priority",'Cost model'!N887,'Cost model'!M887)</f>
        <v>21.5</v>
      </c>
      <c r="K387" s="14" t="n">
        <f aca="false">J387-H387</f>
        <v>-6.91</v>
      </c>
      <c r="L387" s="14" t="n">
        <f aca="false">G387-H387</f>
        <v>-18.91</v>
      </c>
    </row>
    <row r="388" customFormat="false" ht="15" hidden="false" customHeight="false" outlineLevel="0" collapsed="false">
      <c r="A388" s="2" t="s">
        <v>184</v>
      </c>
      <c r="B388" s="2" t="s">
        <v>184</v>
      </c>
      <c r="C388" s="2" t="s">
        <v>48</v>
      </c>
      <c r="D388" s="2" t="s">
        <v>10</v>
      </c>
      <c r="E388" s="2" t="s">
        <v>76</v>
      </c>
      <c r="F388" s="2" t="s">
        <v>1145</v>
      </c>
      <c r="G388" s="14" t="n">
        <v>9.5</v>
      </c>
      <c r="H388" s="14" t="n">
        <v>5.94</v>
      </c>
      <c r="I388" s="14" t="n">
        <v>9.5</v>
      </c>
      <c r="J388" s="22" t="n">
        <f aca="false">IF(E388="Priority",'Cost model'!N200,'Cost model'!M200)</f>
        <v>7.5</v>
      </c>
      <c r="K388" s="14" t="n">
        <f aca="false">J388-H388</f>
        <v>1.56</v>
      </c>
      <c r="L388" s="14" t="n">
        <f aca="false">G388-H388</f>
        <v>3.56</v>
      </c>
    </row>
    <row r="389" customFormat="false" ht="15" hidden="false" customHeight="false" outlineLevel="0" collapsed="false">
      <c r="A389" s="2" t="s">
        <v>126</v>
      </c>
      <c r="B389" s="2" t="s">
        <v>126</v>
      </c>
      <c r="C389" s="2" t="s">
        <v>50</v>
      </c>
      <c r="D389" s="2" t="s">
        <v>12</v>
      </c>
      <c r="E389" s="2" t="s">
        <v>76</v>
      </c>
      <c r="F389" s="2" t="s">
        <v>1145</v>
      </c>
      <c r="G389" s="14" t="n">
        <v>19.5</v>
      </c>
      <c r="H389" s="14" t="n">
        <v>30.13</v>
      </c>
      <c r="I389" s="14" t="n">
        <v>19.5</v>
      </c>
      <c r="J389" s="22" t="n">
        <f aca="false">IF(E389="Priority",'Cost model'!N385,'Cost model'!M385)</f>
        <v>55</v>
      </c>
      <c r="K389" s="14" t="n">
        <f aca="false">J389-H389</f>
        <v>24.87</v>
      </c>
      <c r="L389" s="14" t="n">
        <f aca="false">G389-H389</f>
        <v>-10.63</v>
      </c>
    </row>
    <row r="390" customFormat="false" ht="15" hidden="false" customHeight="false" outlineLevel="0" collapsed="false">
      <c r="A390" s="2" t="s">
        <v>146</v>
      </c>
      <c r="B390" s="2" t="s">
        <v>126</v>
      </c>
      <c r="C390" s="2" t="s">
        <v>48</v>
      </c>
      <c r="D390" s="2" t="s">
        <v>10</v>
      </c>
      <c r="E390" s="2" t="s">
        <v>76</v>
      </c>
      <c r="F390" s="2" t="s">
        <v>1146</v>
      </c>
      <c r="G390" s="14" t="n">
        <v>14.5</v>
      </c>
      <c r="H390" s="14" t="n">
        <v>9.64</v>
      </c>
      <c r="I390" s="14" t="n">
        <v>14.5</v>
      </c>
      <c r="J390" s="22" t="n">
        <f aca="false">IF(E390="Priority",'Cost model'!N794,'Cost model'!M794)</f>
        <v>12.5</v>
      </c>
      <c r="K390" s="14" t="n">
        <f aca="false">J390-H390</f>
        <v>2.86</v>
      </c>
      <c r="L390" s="14" t="n">
        <f aca="false">G390-H390</f>
        <v>4.86</v>
      </c>
    </row>
    <row r="391" customFormat="false" ht="15" hidden="false" customHeight="false" outlineLevel="0" collapsed="false">
      <c r="A391" s="2" t="s">
        <v>165</v>
      </c>
      <c r="B391" s="2" t="s">
        <v>165</v>
      </c>
      <c r="C391" s="2" t="s">
        <v>50</v>
      </c>
      <c r="D391" s="2" t="s">
        <v>10</v>
      </c>
      <c r="E391" s="2" t="s">
        <v>76</v>
      </c>
      <c r="F391" s="2" t="s">
        <v>1145</v>
      </c>
      <c r="G391" s="14" t="n">
        <v>17.5</v>
      </c>
      <c r="H391" s="14" t="n">
        <v>10.48</v>
      </c>
      <c r="I391" s="14" t="n">
        <v>17.5</v>
      </c>
      <c r="J391" s="22" t="n">
        <f aca="false">IF(E391="Priority",'Cost model'!N508,'Cost model'!M508)</f>
        <v>17.5</v>
      </c>
      <c r="K391" s="14" t="n">
        <f aca="false">J391-H391</f>
        <v>7.02</v>
      </c>
      <c r="L391" s="14" t="n">
        <f aca="false">G391-H391</f>
        <v>7.02</v>
      </c>
    </row>
    <row r="392" customFormat="false" ht="15" hidden="false" customHeight="false" outlineLevel="0" collapsed="false">
      <c r="A392" s="2" t="s">
        <v>184</v>
      </c>
      <c r="B392" s="2" t="s">
        <v>184</v>
      </c>
      <c r="C392" s="2" t="s">
        <v>50</v>
      </c>
      <c r="D392" s="2" t="s">
        <v>12</v>
      </c>
      <c r="E392" s="2" t="s">
        <v>85</v>
      </c>
      <c r="F392" s="2" t="s">
        <v>1145</v>
      </c>
      <c r="G392" s="14" t="n">
        <v>29.5</v>
      </c>
      <c r="H392" s="14" t="n">
        <v>76.37</v>
      </c>
      <c r="I392" s="14" t="n">
        <v>29.5</v>
      </c>
      <c r="J392" s="22" t="n">
        <f aca="false">IF(E392="Priority",'Cost model'!N205,'Cost model'!M205)</f>
        <v>65</v>
      </c>
      <c r="K392" s="14" t="n">
        <f aca="false">J392-H392</f>
        <v>-11.37</v>
      </c>
      <c r="L392" s="14" t="n">
        <f aca="false">G392-H392</f>
        <v>-46.87</v>
      </c>
    </row>
    <row r="393" customFormat="false" ht="15" hidden="false" customHeight="false" outlineLevel="0" collapsed="false">
      <c r="A393" s="2" t="s">
        <v>240</v>
      </c>
      <c r="B393" s="2" t="s">
        <v>165</v>
      </c>
      <c r="C393" s="2" t="s">
        <v>48</v>
      </c>
      <c r="D393" s="2" t="s">
        <v>10</v>
      </c>
      <c r="E393" s="2" t="s">
        <v>85</v>
      </c>
      <c r="F393" s="2" t="s">
        <v>1146</v>
      </c>
      <c r="G393" s="14" t="n">
        <v>19.5</v>
      </c>
      <c r="H393" s="14" t="n">
        <v>21.34</v>
      </c>
      <c r="I393" s="14" t="n">
        <v>19.5</v>
      </c>
      <c r="J393" s="22" t="n">
        <f aca="false">IF(E393="Priority",'Cost model'!N902,'Cost model'!M902)</f>
        <v>18.5</v>
      </c>
      <c r="K393" s="14" t="n">
        <f aca="false">J393-H393</f>
        <v>-2.84</v>
      </c>
      <c r="L393" s="14" t="n">
        <f aca="false">G393-H393</f>
        <v>-1.84</v>
      </c>
    </row>
    <row r="394" customFormat="false" ht="15" hidden="false" customHeight="false" outlineLevel="0" collapsed="false">
      <c r="A394" s="2" t="s">
        <v>165</v>
      </c>
      <c r="B394" s="2" t="s">
        <v>165</v>
      </c>
      <c r="C394" s="2" t="s">
        <v>50</v>
      </c>
      <c r="D394" s="2" t="s">
        <v>10</v>
      </c>
      <c r="E394" s="2" t="s">
        <v>76</v>
      </c>
      <c r="F394" s="2" t="s">
        <v>1145</v>
      </c>
      <c r="G394" s="14" t="n">
        <v>17.5</v>
      </c>
      <c r="H394" s="14" t="n">
        <v>15.82</v>
      </c>
      <c r="I394" s="14" t="n">
        <v>17.5</v>
      </c>
      <c r="J394" s="22" t="n">
        <f aca="false">IF(E394="Priority",'Cost model'!N508,'Cost model'!M508)</f>
        <v>17.5</v>
      </c>
      <c r="K394" s="14" t="n">
        <f aca="false">J394-H394</f>
        <v>1.68</v>
      </c>
      <c r="L394" s="14" t="n">
        <f aca="false">G394-H394</f>
        <v>1.68</v>
      </c>
    </row>
    <row r="395" customFormat="false" ht="15" hidden="false" customHeight="false" outlineLevel="0" collapsed="false">
      <c r="A395" s="2" t="s">
        <v>146</v>
      </c>
      <c r="B395" s="2" t="s">
        <v>184</v>
      </c>
      <c r="C395" s="2" t="s">
        <v>50</v>
      </c>
      <c r="D395" s="2" t="s">
        <v>12</v>
      </c>
      <c r="E395" s="2" t="s">
        <v>76</v>
      </c>
      <c r="F395" s="2" t="s">
        <v>1146</v>
      </c>
      <c r="G395" s="14" t="n">
        <v>19.5</v>
      </c>
      <c r="H395" s="14" t="n">
        <v>63.97</v>
      </c>
      <c r="I395" s="14" t="n">
        <v>19.5</v>
      </c>
      <c r="J395" s="22" t="n">
        <f aca="false">IF(E395="Priority",'Cost model'!N835,'Cost model'!M835)</f>
        <v>50</v>
      </c>
      <c r="K395" s="14" t="n">
        <f aca="false">J395-H395</f>
        <v>-13.97</v>
      </c>
      <c r="L395" s="14" t="n">
        <f aca="false">G395-H395</f>
        <v>-44.47</v>
      </c>
    </row>
    <row r="396" customFormat="false" ht="15" hidden="false" customHeight="false" outlineLevel="0" collapsed="false">
      <c r="A396" s="2" t="s">
        <v>126</v>
      </c>
      <c r="B396" s="2" t="s">
        <v>126</v>
      </c>
      <c r="C396" s="2" t="s">
        <v>49</v>
      </c>
      <c r="D396" s="2" t="s">
        <v>10</v>
      </c>
      <c r="E396" s="2" t="s">
        <v>76</v>
      </c>
      <c r="F396" s="2" t="s">
        <v>1145</v>
      </c>
      <c r="G396" s="14" t="n">
        <v>12.5</v>
      </c>
      <c r="H396" s="14" t="n">
        <v>14.08</v>
      </c>
      <c r="I396" s="14" t="n">
        <v>12.5</v>
      </c>
      <c r="J396" s="22" t="n">
        <f aca="false">IF(E396="Priority",'Cost model'!N381,'Cost model'!M381)</f>
        <v>14.5</v>
      </c>
      <c r="K396" s="14" t="n">
        <f aca="false">J396-H396</f>
        <v>0.42</v>
      </c>
      <c r="L396" s="14" t="n">
        <f aca="false">G396-H396</f>
        <v>-1.58</v>
      </c>
    </row>
    <row r="397" customFormat="false" ht="15" hidden="false" customHeight="false" outlineLevel="0" collapsed="false">
      <c r="A397" s="2" t="s">
        <v>165</v>
      </c>
      <c r="B397" s="2" t="s">
        <v>165</v>
      </c>
      <c r="C397" s="2" t="s">
        <v>50</v>
      </c>
      <c r="D397" s="2" t="s">
        <v>10</v>
      </c>
      <c r="E397" s="2" t="s">
        <v>76</v>
      </c>
      <c r="F397" s="2" t="s">
        <v>1145</v>
      </c>
      <c r="G397" s="14" t="n">
        <v>17.5</v>
      </c>
      <c r="H397" s="14" t="n">
        <v>16.84</v>
      </c>
      <c r="I397" s="14" t="n">
        <v>17.5</v>
      </c>
      <c r="J397" s="22" t="n">
        <f aca="false">IF(E397="Priority",'Cost model'!N508,'Cost model'!M508)</f>
        <v>17.5</v>
      </c>
      <c r="K397" s="14" t="n">
        <f aca="false">J397-H397</f>
        <v>0.66</v>
      </c>
      <c r="L397" s="14" t="n">
        <f aca="false">G397-H397</f>
        <v>0.66</v>
      </c>
    </row>
    <row r="398" customFormat="false" ht="15" hidden="false" customHeight="false" outlineLevel="0" collapsed="false">
      <c r="A398" s="2" t="s">
        <v>126</v>
      </c>
      <c r="B398" s="2" t="s">
        <v>126</v>
      </c>
      <c r="C398" s="2" t="s">
        <v>49</v>
      </c>
      <c r="D398" s="2" t="s">
        <v>15</v>
      </c>
      <c r="E398" s="2" t="s">
        <v>76</v>
      </c>
      <c r="F398" s="2" t="s">
        <v>1145</v>
      </c>
      <c r="G398" s="14" t="n">
        <v>85</v>
      </c>
      <c r="H398" s="14" t="n">
        <v>183.56</v>
      </c>
      <c r="I398" s="14" t="n">
        <v>85</v>
      </c>
      <c r="J398" s="22" t="n">
        <f aca="false">IF(E398="Priority",'Cost model'!N393,'Cost model'!M393)</f>
        <v>160</v>
      </c>
      <c r="K398" s="14" t="n">
        <f aca="false">J398-H398</f>
        <v>-23.56</v>
      </c>
      <c r="L398" s="14" t="n">
        <f aca="false">G398-H398</f>
        <v>-98.56</v>
      </c>
    </row>
    <row r="399" customFormat="false" ht="15" hidden="false" customHeight="false" outlineLevel="0" collapsed="false">
      <c r="A399" s="2" t="s">
        <v>165</v>
      </c>
      <c r="B399" s="2" t="s">
        <v>126</v>
      </c>
      <c r="C399" s="2" t="s">
        <v>50</v>
      </c>
      <c r="D399" s="2" t="s">
        <v>12</v>
      </c>
      <c r="E399" s="2" t="s">
        <v>76</v>
      </c>
      <c r="F399" s="2" t="s">
        <v>1146</v>
      </c>
      <c r="G399" s="14" t="n">
        <v>19.5</v>
      </c>
      <c r="H399" s="14" t="n">
        <v>101.33</v>
      </c>
      <c r="I399" s="14" t="n">
        <v>19.5</v>
      </c>
      <c r="J399" s="22" t="n">
        <f aca="false">IF(E399="Priority",'Cost model'!N547,'Cost model'!M547)</f>
        <v>60</v>
      </c>
      <c r="K399" s="14" t="n">
        <f aca="false">J399-H399</f>
        <v>-41.33</v>
      </c>
      <c r="L399" s="14" t="n">
        <f aca="false">G399-H399</f>
        <v>-81.83</v>
      </c>
    </row>
    <row r="400" customFormat="false" ht="15" hidden="false" customHeight="false" outlineLevel="0" collapsed="false">
      <c r="A400" s="2" t="s">
        <v>240</v>
      </c>
      <c r="B400" s="2" t="s">
        <v>146</v>
      </c>
      <c r="C400" s="2" t="s">
        <v>48</v>
      </c>
      <c r="D400" s="2" t="s">
        <v>12</v>
      </c>
      <c r="E400" s="2" t="s">
        <v>76</v>
      </c>
      <c r="F400" s="2" t="s">
        <v>1146</v>
      </c>
      <c r="G400" s="14" t="n">
        <v>19.5</v>
      </c>
      <c r="H400" s="14" t="n">
        <v>56.53</v>
      </c>
      <c r="I400" s="14" t="n">
        <v>24.5</v>
      </c>
      <c r="J400" s="22" t="n">
        <f aca="false">IF(E400="Priority",'Cost model'!N923,'Cost model'!M923)</f>
        <v>65</v>
      </c>
      <c r="K400" s="14" t="n">
        <f aca="false">J400-H400</f>
        <v>8.47</v>
      </c>
      <c r="L400" s="14" t="n">
        <f aca="false">G400-H400</f>
        <v>-37.03</v>
      </c>
    </row>
    <row r="401" customFormat="false" ht="15" hidden="false" customHeight="false" outlineLevel="0" collapsed="false">
      <c r="A401" s="2" t="s">
        <v>184</v>
      </c>
      <c r="B401" s="2" t="s">
        <v>146</v>
      </c>
      <c r="C401" s="2" t="s">
        <v>50</v>
      </c>
      <c r="D401" s="2" t="s">
        <v>12</v>
      </c>
      <c r="E401" s="2" t="s">
        <v>76</v>
      </c>
      <c r="F401" s="2" t="s">
        <v>1146</v>
      </c>
      <c r="G401" s="14" t="n">
        <v>19.5</v>
      </c>
      <c r="H401" s="14" t="n">
        <v>39.36</v>
      </c>
      <c r="I401" s="14" t="n">
        <v>19.5</v>
      </c>
      <c r="J401" s="22" t="n">
        <f aca="false">IF(E401="Priority",'Cost model'!N151,'Cost model'!M151)</f>
        <v>55</v>
      </c>
      <c r="K401" s="14" t="n">
        <f aca="false">J401-H401</f>
        <v>15.64</v>
      </c>
      <c r="L401" s="14" t="n">
        <f aca="false">G401-H401</f>
        <v>-19.86</v>
      </c>
    </row>
    <row r="402" customFormat="false" ht="15" hidden="false" customHeight="false" outlineLevel="0" collapsed="false">
      <c r="A402" s="2" t="s">
        <v>184</v>
      </c>
      <c r="B402" s="2" t="s">
        <v>184</v>
      </c>
      <c r="C402" s="2" t="s">
        <v>50</v>
      </c>
      <c r="D402" s="2" t="s">
        <v>10</v>
      </c>
      <c r="E402" s="2" t="s">
        <v>85</v>
      </c>
      <c r="F402" s="2" t="s">
        <v>1145</v>
      </c>
      <c r="G402" s="14" t="n">
        <v>24.5</v>
      </c>
      <c r="H402" s="14" t="n">
        <v>15.06</v>
      </c>
      <c r="I402" s="14" t="n">
        <v>24.5</v>
      </c>
      <c r="J402" s="22" t="n">
        <f aca="false">IF(E402="Priority",'Cost model'!N202,'Cost model'!M202)</f>
        <v>23.5</v>
      </c>
      <c r="K402" s="14" t="n">
        <f aca="false">J402-H402</f>
        <v>8.44</v>
      </c>
      <c r="L402" s="14" t="n">
        <f aca="false">G402-H402</f>
        <v>9.44</v>
      </c>
    </row>
    <row r="403" customFormat="false" ht="15" hidden="false" customHeight="false" outlineLevel="0" collapsed="false">
      <c r="A403" s="2" t="s">
        <v>146</v>
      </c>
      <c r="B403" s="2" t="s">
        <v>146</v>
      </c>
      <c r="C403" s="2" t="s">
        <v>50</v>
      </c>
      <c r="D403" s="2" t="s">
        <v>10</v>
      </c>
      <c r="E403" s="2" t="s">
        <v>76</v>
      </c>
      <c r="F403" s="2" t="s">
        <v>1145</v>
      </c>
      <c r="G403" s="14" t="n">
        <v>17.5</v>
      </c>
      <c r="H403" s="14" t="n">
        <v>15.82</v>
      </c>
      <c r="I403" s="14" t="n">
        <v>17.5</v>
      </c>
      <c r="J403" s="22" t="n">
        <f aca="false">IF(E403="Priority",'Cost model'!N760,'Cost model'!M760)</f>
        <v>18.5</v>
      </c>
      <c r="K403" s="14" t="n">
        <f aca="false">J403-H403</f>
        <v>2.68</v>
      </c>
      <c r="L403" s="14" t="n">
        <f aca="false">G403-H403</f>
        <v>1.68</v>
      </c>
    </row>
    <row r="404" customFormat="false" ht="15" hidden="false" customHeight="false" outlineLevel="0" collapsed="false">
      <c r="A404" s="2" t="s">
        <v>184</v>
      </c>
      <c r="B404" s="2" t="s">
        <v>146</v>
      </c>
      <c r="C404" s="2" t="s">
        <v>49</v>
      </c>
      <c r="D404" s="2" t="s">
        <v>12</v>
      </c>
      <c r="E404" s="2" t="s">
        <v>76</v>
      </c>
      <c r="F404" s="2" t="s">
        <v>1146</v>
      </c>
      <c r="G404" s="14" t="n">
        <v>12.5</v>
      </c>
      <c r="H404" s="14" t="n">
        <v>68.33</v>
      </c>
      <c r="I404" s="14"/>
      <c r="J404" s="22" t="n">
        <f aca="false">IF(E404="Priority",'Cost model'!N150,'Cost model'!M150)</f>
        <v>55</v>
      </c>
      <c r="K404" s="14" t="n">
        <f aca="false">J404-H404</f>
        <v>-13.33</v>
      </c>
      <c r="L404" s="14" t="n">
        <f aca="false">G404-H404</f>
        <v>-55.83</v>
      </c>
    </row>
    <row r="405" customFormat="false" ht="15" hidden="false" customHeight="false" outlineLevel="0" collapsed="false">
      <c r="A405" s="2" t="s">
        <v>184</v>
      </c>
      <c r="B405" s="2" t="s">
        <v>184</v>
      </c>
      <c r="C405" s="2" t="s">
        <v>50</v>
      </c>
      <c r="D405" s="2" t="s">
        <v>12</v>
      </c>
      <c r="E405" s="2" t="s">
        <v>76</v>
      </c>
      <c r="F405" s="2" t="s">
        <v>1145</v>
      </c>
      <c r="G405" s="14" t="n">
        <v>19.5</v>
      </c>
      <c r="H405" s="14" t="n">
        <v>43.88</v>
      </c>
      <c r="I405" s="14" t="n">
        <v>19.5</v>
      </c>
      <c r="J405" s="22" t="n">
        <f aca="false">IF(E405="Priority",'Cost model'!N205,'Cost model'!M205)</f>
        <v>50</v>
      </c>
      <c r="K405" s="14" t="n">
        <f aca="false">J405-H405</f>
        <v>6.12</v>
      </c>
      <c r="L405" s="14" t="n">
        <f aca="false">G405-H405</f>
        <v>-24.38</v>
      </c>
    </row>
    <row r="406" customFormat="false" ht="15" hidden="false" customHeight="false" outlineLevel="0" collapsed="false">
      <c r="A406" s="2" t="s">
        <v>126</v>
      </c>
      <c r="B406" s="2" t="s">
        <v>126</v>
      </c>
      <c r="C406" s="2" t="s">
        <v>49</v>
      </c>
      <c r="D406" s="2" t="s">
        <v>10</v>
      </c>
      <c r="E406" s="2" t="s">
        <v>76</v>
      </c>
      <c r="F406" s="2" t="s">
        <v>1145</v>
      </c>
      <c r="G406" s="14" t="n">
        <v>12.5</v>
      </c>
      <c r="H406" s="14" t="n">
        <v>11.34</v>
      </c>
      <c r="I406" s="14" t="n">
        <v>12.5</v>
      </c>
      <c r="J406" s="22" t="n">
        <f aca="false">IF(E406="Priority",'Cost model'!N381,'Cost model'!M381)</f>
        <v>14.5</v>
      </c>
      <c r="K406" s="14" t="n">
        <f aca="false">J406-H406</f>
        <v>3.16</v>
      </c>
      <c r="L406" s="14" t="n">
        <f aca="false">G406-H406</f>
        <v>1.16</v>
      </c>
    </row>
    <row r="407" customFormat="false" ht="15" hidden="false" customHeight="false" outlineLevel="0" collapsed="false">
      <c r="A407" s="2" t="s">
        <v>184</v>
      </c>
      <c r="B407" s="2" t="s">
        <v>184</v>
      </c>
      <c r="C407" s="2" t="s">
        <v>48</v>
      </c>
      <c r="D407" s="2" t="s">
        <v>10</v>
      </c>
      <c r="E407" s="2" t="s">
        <v>76</v>
      </c>
      <c r="F407" s="2" t="s">
        <v>1145</v>
      </c>
      <c r="G407" s="14" t="n">
        <v>9.5</v>
      </c>
      <c r="H407" s="14" t="n">
        <v>6.11</v>
      </c>
      <c r="I407" s="14" t="n">
        <v>9.5</v>
      </c>
      <c r="J407" s="22" t="n">
        <f aca="false">IF(E407="Priority",'Cost model'!N200,'Cost model'!M200)</f>
        <v>7.5</v>
      </c>
      <c r="K407" s="14" t="n">
        <f aca="false">J407-H407</f>
        <v>1.39</v>
      </c>
      <c r="L407" s="14" t="n">
        <f aca="false">G407-H407</f>
        <v>3.39</v>
      </c>
    </row>
    <row r="408" customFormat="false" ht="15" hidden="false" customHeight="false" outlineLevel="0" collapsed="false">
      <c r="A408" s="2" t="s">
        <v>126</v>
      </c>
      <c r="B408" s="2" t="s">
        <v>126</v>
      </c>
      <c r="C408" s="2" t="s">
        <v>48</v>
      </c>
      <c r="D408" s="2" t="s">
        <v>12</v>
      </c>
      <c r="E408" s="2" t="s">
        <v>76</v>
      </c>
      <c r="F408" s="2" t="s">
        <v>1145</v>
      </c>
      <c r="G408" s="14" t="n">
        <v>9.5</v>
      </c>
      <c r="H408" s="14" t="n">
        <v>29.07</v>
      </c>
      <c r="I408" s="14" t="n">
        <v>9.5</v>
      </c>
      <c r="J408" s="22" t="n">
        <f aca="false">IF(E408="Priority",'Cost model'!N383,'Cost model'!M383)</f>
        <v>27.5</v>
      </c>
      <c r="K408" s="14" t="n">
        <f aca="false">J408-H408</f>
        <v>-1.57</v>
      </c>
      <c r="L408" s="14" t="n">
        <f aca="false">G408-H408</f>
        <v>-19.57</v>
      </c>
    </row>
    <row r="409" customFormat="false" ht="15" hidden="false" customHeight="false" outlineLevel="0" collapsed="false">
      <c r="A409" s="2" t="s">
        <v>184</v>
      </c>
      <c r="B409" s="2" t="s">
        <v>184</v>
      </c>
      <c r="C409" s="2" t="s">
        <v>48</v>
      </c>
      <c r="D409" s="2" t="s">
        <v>10</v>
      </c>
      <c r="E409" s="2" t="s">
        <v>85</v>
      </c>
      <c r="F409" s="2" t="s">
        <v>1145</v>
      </c>
      <c r="G409" s="14" t="n">
        <v>14.5</v>
      </c>
      <c r="H409" s="14" t="n">
        <v>7.45</v>
      </c>
      <c r="I409" s="14" t="n">
        <v>14.5</v>
      </c>
      <c r="J409" s="22" t="n">
        <f aca="false">IF(E409="Priority",'Cost model'!N200,'Cost model'!M200)</f>
        <v>12.5</v>
      </c>
      <c r="K409" s="14" t="n">
        <f aca="false">J409-H409</f>
        <v>5.05</v>
      </c>
      <c r="L409" s="14" t="n">
        <f aca="false">G409-H409</f>
        <v>7.05</v>
      </c>
    </row>
    <row r="410" customFormat="false" ht="15" hidden="false" customHeight="false" outlineLevel="0" collapsed="false">
      <c r="A410" s="2" t="s">
        <v>126</v>
      </c>
      <c r="B410" s="2" t="s">
        <v>126</v>
      </c>
      <c r="C410" s="2" t="s">
        <v>49</v>
      </c>
      <c r="D410" s="2" t="s">
        <v>12</v>
      </c>
      <c r="E410" s="2" t="s">
        <v>76</v>
      </c>
      <c r="F410" s="2" t="s">
        <v>1145</v>
      </c>
      <c r="G410" s="14" t="n">
        <v>12.5</v>
      </c>
      <c r="H410" s="14" t="n">
        <v>42.23</v>
      </c>
      <c r="I410" s="14" t="n">
        <v>12.5</v>
      </c>
      <c r="J410" s="22" t="n">
        <f aca="false">IF(E410="Priority",'Cost model'!N384,'Cost model'!M384)</f>
        <v>45</v>
      </c>
      <c r="K410" s="14" t="n">
        <f aca="false">J410-H410</f>
        <v>2.77</v>
      </c>
      <c r="L410" s="14" t="n">
        <f aca="false">G410-H410</f>
        <v>-29.73</v>
      </c>
    </row>
    <row r="411" customFormat="false" ht="15" hidden="false" customHeight="false" outlineLevel="0" collapsed="false">
      <c r="A411" s="2" t="s">
        <v>184</v>
      </c>
      <c r="B411" s="2" t="s">
        <v>184</v>
      </c>
      <c r="C411" s="2" t="s">
        <v>49</v>
      </c>
      <c r="D411" s="2" t="s">
        <v>12</v>
      </c>
      <c r="E411" s="2" t="s">
        <v>76</v>
      </c>
      <c r="F411" s="2" t="s">
        <v>1145</v>
      </c>
      <c r="G411" s="14" t="n">
        <v>12.5</v>
      </c>
      <c r="H411" s="14" t="n">
        <v>84.14</v>
      </c>
      <c r="I411" s="14"/>
      <c r="J411" s="22" t="n">
        <f aca="false">IF(E411="Priority",'Cost model'!N204,'Cost model'!M204)</f>
        <v>45</v>
      </c>
      <c r="K411" s="14" t="n">
        <f aca="false">J411-H411</f>
        <v>-39.14</v>
      </c>
      <c r="L411" s="14" t="n">
        <f aca="false">G411-H411</f>
        <v>-71.64</v>
      </c>
    </row>
    <row r="412" customFormat="false" ht="15" hidden="false" customHeight="false" outlineLevel="0" collapsed="false">
      <c r="A412" s="2" t="s">
        <v>184</v>
      </c>
      <c r="B412" s="2" t="s">
        <v>184</v>
      </c>
      <c r="C412" s="2" t="s">
        <v>48</v>
      </c>
      <c r="D412" s="2" t="s">
        <v>10</v>
      </c>
      <c r="E412" s="2" t="s">
        <v>76</v>
      </c>
      <c r="F412" s="2" t="s">
        <v>1145</v>
      </c>
      <c r="G412" s="14" t="n">
        <v>9.5</v>
      </c>
      <c r="H412" s="14" t="n">
        <v>6.11</v>
      </c>
      <c r="I412" s="14" t="n">
        <v>9.5</v>
      </c>
      <c r="J412" s="22" t="n">
        <f aca="false">IF(E412="Priority",'Cost model'!N200,'Cost model'!M200)</f>
        <v>7.5</v>
      </c>
      <c r="K412" s="14" t="n">
        <f aca="false">J412-H412</f>
        <v>1.39</v>
      </c>
      <c r="L412" s="14" t="n">
        <f aca="false">G412-H412</f>
        <v>3.39</v>
      </c>
    </row>
    <row r="413" customFormat="false" ht="15" hidden="false" customHeight="false" outlineLevel="0" collapsed="false">
      <c r="A413" s="2" t="s">
        <v>125</v>
      </c>
      <c r="B413" s="2" t="s">
        <v>125</v>
      </c>
      <c r="C413" s="2" t="s">
        <v>48</v>
      </c>
      <c r="D413" s="2" t="s">
        <v>10</v>
      </c>
      <c r="E413" s="2" t="s">
        <v>85</v>
      </c>
      <c r="F413" s="2" t="s">
        <v>1145</v>
      </c>
      <c r="G413" s="14" t="n">
        <v>14.5</v>
      </c>
      <c r="H413" s="14" t="n">
        <v>21.34</v>
      </c>
      <c r="I413" s="14" t="n">
        <v>14.5</v>
      </c>
      <c r="J413" s="22" t="n">
        <f aca="false">IF(E413="Priority",'Cost model'!N74,'Cost model'!M74)</f>
        <v>29.5</v>
      </c>
      <c r="K413" s="14" t="n">
        <f aca="false">J413-H413</f>
        <v>8.16</v>
      </c>
      <c r="L413" s="14" t="n">
        <f aca="false">G413-H413</f>
        <v>-6.84</v>
      </c>
    </row>
    <row r="414" customFormat="false" ht="15" hidden="false" customHeight="false" outlineLevel="0" collapsed="false">
      <c r="A414" s="2" t="s">
        <v>184</v>
      </c>
      <c r="B414" s="2" t="s">
        <v>184</v>
      </c>
      <c r="C414" s="2" t="s">
        <v>49</v>
      </c>
      <c r="D414" s="2" t="s">
        <v>12</v>
      </c>
      <c r="E414" s="2" t="s">
        <v>76</v>
      </c>
      <c r="F414" s="2" t="s">
        <v>1145</v>
      </c>
      <c r="G414" s="14" t="n">
        <v>19.5</v>
      </c>
      <c r="H414" s="14" t="n">
        <v>32.13</v>
      </c>
      <c r="I414" s="14"/>
      <c r="J414" s="22" t="n">
        <f aca="false">IF(E414="Priority",'Cost model'!N204,'Cost model'!M204)</f>
        <v>45</v>
      </c>
      <c r="K414" s="14" t="n">
        <f aca="false">J414-H414</f>
        <v>12.87</v>
      </c>
      <c r="L414" s="14" t="n">
        <f aca="false">G414-H414</f>
        <v>-12.63</v>
      </c>
    </row>
    <row r="415" customFormat="false" ht="15" hidden="false" customHeight="false" outlineLevel="0" collapsed="false">
      <c r="A415" s="2" t="s">
        <v>165</v>
      </c>
      <c r="B415" s="2" t="s">
        <v>165</v>
      </c>
      <c r="C415" s="2" t="s">
        <v>50</v>
      </c>
      <c r="D415" s="2" t="s">
        <v>10</v>
      </c>
      <c r="E415" s="2" t="s">
        <v>85</v>
      </c>
      <c r="F415" s="2" t="s">
        <v>1145</v>
      </c>
      <c r="G415" s="14" t="n">
        <v>24.5</v>
      </c>
      <c r="H415" s="14" t="n">
        <v>20.83</v>
      </c>
      <c r="I415" s="14" t="n">
        <v>24.5</v>
      </c>
      <c r="J415" s="22" t="n">
        <f aca="false">IF(E415="Priority",'Cost model'!N508,'Cost model'!M508)</f>
        <v>23.5</v>
      </c>
      <c r="K415" s="14" t="n">
        <f aca="false">J415-H415</f>
        <v>2.67</v>
      </c>
      <c r="L415" s="14" t="n">
        <f aca="false">G415-H415</f>
        <v>3.67</v>
      </c>
    </row>
    <row r="416" customFormat="false" ht="15" hidden="false" customHeight="false" outlineLevel="0" collapsed="false">
      <c r="A416" s="2" t="s">
        <v>146</v>
      </c>
      <c r="B416" s="2" t="s">
        <v>146</v>
      </c>
      <c r="C416" s="2" t="s">
        <v>48</v>
      </c>
      <c r="D416" s="2" t="s">
        <v>12</v>
      </c>
      <c r="E416" s="2" t="s">
        <v>76</v>
      </c>
      <c r="F416" s="2" t="s">
        <v>1145</v>
      </c>
      <c r="G416" s="14" t="n">
        <v>9.5</v>
      </c>
      <c r="H416" s="14" t="n">
        <v>7.68</v>
      </c>
      <c r="I416" s="14" t="n">
        <v>9.5</v>
      </c>
      <c r="J416" s="22" t="n">
        <f aca="false">IF(E416="Priority",'Cost model'!N761,'Cost model'!M761)</f>
        <v>35</v>
      </c>
      <c r="K416" s="14" t="n">
        <f aca="false">J416-H416</f>
        <v>27.32</v>
      </c>
      <c r="L416" s="14" t="n">
        <f aca="false">G416-H416</f>
        <v>1.82</v>
      </c>
    </row>
    <row r="417" customFormat="false" ht="15" hidden="false" customHeight="false" outlineLevel="0" collapsed="false">
      <c r="A417" s="2" t="s">
        <v>184</v>
      </c>
      <c r="B417" s="2" t="s">
        <v>184</v>
      </c>
      <c r="C417" s="2" t="s">
        <v>48</v>
      </c>
      <c r="D417" s="2" t="s">
        <v>13</v>
      </c>
      <c r="E417" s="2" t="s">
        <v>76</v>
      </c>
      <c r="F417" s="2" t="s">
        <v>1145</v>
      </c>
      <c r="G417" s="14" t="n">
        <v>19</v>
      </c>
      <c r="H417" s="14" t="n">
        <v>34.3</v>
      </c>
      <c r="I417" s="14" t="n">
        <v>19</v>
      </c>
      <c r="J417" s="22" t="n">
        <f aca="false">IF(E417="Priority",'Cost model'!N206,'Cost model'!M206)</f>
        <v>55</v>
      </c>
      <c r="K417" s="14" t="n">
        <f aca="false">J417-H417</f>
        <v>20.7</v>
      </c>
      <c r="L417" s="14" t="n">
        <f aca="false">G417-H417</f>
        <v>-15.3</v>
      </c>
    </row>
    <row r="418" customFormat="false" ht="15" hidden="false" customHeight="false" outlineLevel="0" collapsed="false">
      <c r="A418" s="2" t="s">
        <v>126</v>
      </c>
      <c r="B418" s="2" t="s">
        <v>126</v>
      </c>
      <c r="C418" s="2" t="s">
        <v>50</v>
      </c>
      <c r="D418" s="2" t="s">
        <v>12</v>
      </c>
      <c r="E418" s="2" t="s">
        <v>76</v>
      </c>
      <c r="F418" s="2" t="s">
        <v>1145</v>
      </c>
      <c r="G418" s="14" t="n">
        <v>19.5</v>
      </c>
      <c r="H418" s="14" t="n">
        <v>52.6</v>
      </c>
      <c r="I418" s="14" t="n">
        <v>19.5</v>
      </c>
      <c r="J418" s="22" t="n">
        <f aca="false">IF(E418="Priority",'Cost model'!N385,'Cost model'!M385)</f>
        <v>55</v>
      </c>
      <c r="K418" s="14" t="n">
        <f aca="false">J418-H418</f>
        <v>2.4</v>
      </c>
      <c r="L418" s="14" t="n">
        <f aca="false">G418-H418</f>
        <v>-33.1</v>
      </c>
    </row>
    <row r="419" customFormat="false" ht="15" hidden="false" customHeight="false" outlineLevel="0" collapsed="false">
      <c r="A419" s="2" t="s">
        <v>184</v>
      </c>
      <c r="B419" s="2" t="s">
        <v>184</v>
      </c>
      <c r="C419" s="2" t="s">
        <v>50</v>
      </c>
      <c r="D419" s="2" t="s">
        <v>14</v>
      </c>
      <c r="E419" s="2" t="s">
        <v>85</v>
      </c>
      <c r="F419" s="2" t="s">
        <v>1145</v>
      </c>
      <c r="G419" s="14" t="n">
        <v>150</v>
      </c>
      <c r="H419" s="14" t="n">
        <v>337.34</v>
      </c>
      <c r="I419" s="14" t="n">
        <v>150</v>
      </c>
      <c r="J419" s="22" t="n">
        <f aca="false">IF(E419="Priority",'Cost model'!N211,'Cost model'!M211)</f>
        <v>210</v>
      </c>
      <c r="K419" s="14" t="n">
        <f aca="false">J419-H419</f>
        <v>-127.34</v>
      </c>
      <c r="L419" s="14" t="n">
        <f aca="false">G419-H419</f>
        <v>-187.34</v>
      </c>
    </row>
    <row r="420" customFormat="false" ht="15" hidden="false" customHeight="false" outlineLevel="0" collapsed="false">
      <c r="A420" s="2" t="s">
        <v>184</v>
      </c>
      <c r="B420" s="2" t="s">
        <v>165</v>
      </c>
      <c r="C420" s="2" t="s">
        <v>48</v>
      </c>
      <c r="D420" s="2" t="s">
        <v>12</v>
      </c>
      <c r="E420" s="2" t="s">
        <v>76</v>
      </c>
      <c r="F420" s="2" t="s">
        <v>1146</v>
      </c>
      <c r="G420" s="14" t="n">
        <v>9.5</v>
      </c>
      <c r="H420" s="14" t="n">
        <v>13.82</v>
      </c>
      <c r="I420" s="14" t="n">
        <v>19.5</v>
      </c>
      <c r="J420" s="22" t="n">
        <f aca="false">IF(E420="Priority",'Cost model'!N167,'Cost model'!M167)</f>
        <v>60</v>
      </c>
      <c r="K420" s="14" t="n">
        <f aca="false">J420-H420</f>
        <v>46.18</v>
      </c>
      <c r="L420" s="14" t="n">
        <f aca="false">G420-H420</f>
        <v>-4.32</v>
      </c>
    </row>
    <row r="421" customFormat="false" ht="15" hidden="false" customHeight="false" outlineLevel="0" collapsed="false">
      <c r="A421" s="2" t="s">
        <v>126</v>
      </c>
      <c r="B421" s="2" t="s">
        <v>126</v>
      </c>
      <c r="C421" s="2" t="s">
        <v>50</v>
      </c>
      <c r="D421" s="2" t="s">
        <v>12</v>
      </c>
      <c r="E421" s="2" t="s">
        <v>76</v>
      </c>
      <c r="F421" s="2" t="s">
        <v>1145</v>
      </c>
      <c r="G421" s="14" t="n">
        <v>19.5</v>
      </c>
      <c r="H421" s="14" t="n">
        <v>46.31</v>
      </c>
      <c r="I421" s="14" t="n">
        <v>19.5</v>
      </c>
      <c r="J421" s="22" t="n">
        <f aca="false">IF(E421="Priority",'Cost model'!N385,'Cost model'!M385)</f>
        <v>55</v>
      </c>
      <c r="K421" s="14" t="n">
        <f aca="false">J421-H421</f>
        <v>8.69</v>
      </c>
      <c r="L421" s="14" t="n">
        <f aca="false">G421-H421</f>
        <v>-26.81</v>
      </c>
    </row>
    <row r="422" customFormat="false" ht="15" hidden="false" customHeight="false" outlineLevel="0" collapsed="false">
      <c r="A422" s="2" t="s">
        <v>126</v>
      </c>
      <c r="B422" s="2" t="s">
        <v>184</v>
      </c>
      <c r="C422" s="2" t="s">
        <v>48</v>
      </c>
      <c r="D422" s="2" t="s">
        <v>12</v>
      </c>
      <c r="E422" s="2" t="s">
        <v>85</v>
      </c>
      <c r="F422" s="2" t="s">
        <v>1146</v>
      </c>
      <c r="G422" s="14" t="n">
        <v>24.5</v>
      </c>
      <c r="H422" s="14" t="n">
        <v>75.05</v>
      </c>
      <c r="I422" s="14" t="n">
        <v>24.5</v>
      </c>
      <c r="J422" s="22" t="n">
        <f aca="false">IF(E422="Priority",'Cost model'!N437,'Cost model'!M437)</f>
        <v>65</v>
      </c>
      <c r="K422" s="14" t="n">
        <f aca="false">J422-H422</f>
        <v>-10.05</v>
      </c>
      <c r="L422" s="14" t="n">
        <f aca="false">G422-H422</f>
        <v>-50.55</v>
      </c>
    </row>
    <row r="423" customFormat="false" ht="15" hidden="false" customHeight="false" outlineLevel="0" collapsed="false">
      <c r="A423" s="2" t="s">
        <v>126</v>
      </c>
      <c r="B423" s="2" t="s">
        <v>126</v>
      </c>
      <c r="C423" s="2" t="s">
        <v>48</v>
      </c>
      <c r="D423" s="2" t="s">
        <v>12</v>
      </c>
      <c r="E423" s="2" t="s">
        <v>76</v>
      </c>
      <c r="F423" s="2" t="s">
        <v>1145</v>
      </c>
      <c r="G423" s="14" t="n">
        <v>9.5</v>
      </c>
      <c r="H423" s="14" t="n">
        <v>30.72</v>
      </c>
      <c r="I423" s="14" t="n">
        <v>9.5</v>
      </c>
      <c r="J423" s="22" t="n">
        <f aca="false">IF(E423="Priority",'Cost model'!N383,'Cost model'!M383)</f>
        <v>27.5</v>
      </c>
      <c r="K423" s="14" t="n">
        <f aca="false">J423-H423</f>
        <v>-3.22</v>
      </c>
      <c r="L423" s="14" t="n">
        <f aca="false">G423-H423</f>
        <v>-21.22</v>
      </c>
    </row>
    <row r="424" customFormat="false" ht="15" hidden="false" customHeight="false" outlineLevel="0" collapsed="false">
      <c r="A424" s="2" t="s">
        <v>184</v>
      </c>
      <c r="B424" s="2" t="s">
        <v>184</v>
      </c>
      <c r="C424" s="2" t="s">
        <v>48</v>
      </c>
      <c r="D424" s="2" t="s">
        <v>10</v>
      </c>
      <c r="E424" s="2" t="s">
        <v>76</v>
      </c>
      <c r="F424" s="2" t="s">
        <v>1145</v>
      </c>
      <c r="G424" s="14" t="n">
        <v>9.5</v>
      </c>
      <c r="H424" s="14" t="n">
        <v>6.11</v>
      </c>
      <c r="I424" s="14" t="n">
        <v>9.5</v>
      </c>
      <c r="J424" s="22" t="n">
        <f aca="false">IF(E424="Priority",'Cost model'!N200,'Cost model'!M200)</f>
        <v>7.5</v>
      </c>
      <c r="K424" s="14" t="n">
        <f aca="false">J424-H424</f>
        <v>1.39</v>
      </c>
      <c r="L424" s="14" t="n">
        <f aca="false">G424-H424</f>
        <v>3.39</v>
      </c>
    </row>
    <row r="425" customFormat="false" ht="15" hidden="false" customHeight="false" outlineLevel="0" collapsed="false">
      <c r="A425" s="2" t="s">
        <v>184</v>
      </c>
      <c r="B425" s="2" t="s">
        <v>184</v>
      </c>
      <c r="C425" s="2" t="s">
        <v>48</v>
      </c>
      <c r="D425" s="2" t="s">
        <v>12</v>
      </c>
      <c r="E425" s="2" t="s">
        <v>76</v>
      </c>
      <c r="F425" s="2" t="s">
        <v>1145</v>
      </c>
      <c r="G425" s="14" t="n">
        <v>9.5</v>
      </c>
      <c r="H425" s="14" t="n">
        <v>28.2</v>
      </c>
      <c r="I425" s="14" t="n">
        <v>9.5</v>
      </c>
      <c r="J425" s="22" t="n">
        <f aca="false">IF(E425="Priority",'Cost model'!N203,'Cost model'!M203)</f>
        <v>26.5</v>
      </c>
      <c r="K425" s="14" t="n">
        <f aca="false">J425-H425</f>
        <v>-1.7</v>
      </c>
      <c r="L425" s="14" t="n">
        <f aca="false">G425-H425</f>
        <v>-18.7</v>
      </c>
    </row>
    <row r="426" customFormat="false" ht="15" hidden="false" customHeight="false" outlineLevel="0" collapsed="false">
      <c r="A426" s="2" t="s">
        <v>184</v>
      </c>
      <c r="B426" s="2" t="s">
        <v>184</v>
      </c>
      <c r="C426" s="2" t="s">
        <v>50</v>
      </c>
      <c r="D426" s="2" t="s">
        <v>10</v>
      </c>
      <c r="E426" s="2" t="s">
        <v>76</v>
      </c>
      <c r="F426" s="2" t="s">
        <v>1145</v>
      </c>
      <c r="G426" s="14" t="n">
        <v>17.5</v>
      </c>
      <c r="H426" s="14" t="n">
        <v>20.55</v>
      </c>
      <c r="I426" s="14" t="n">
        <v>17.5</v>
      </c>
      <c r="J426" s="22" t="n">
        <f aca="false">IF(E426="Priority",'Cost model'!N202,'Cost model'!M202)</f>
        <v>17.5</v>
      </c>
      <c r="K426" s="14" t="n">
        <f aca="false">J426-H426</f>
        <v>-3.05</v>
      </c>
      <c r="L426" s="14" t="n">
        <f aca="false">G426-H426</f>
        <v>-3.05</v>
      </c>
    </row>
    <row r="427" customFormat="false" ht="15" hidden="false" customHeight="false" outlineLevel="0" collapsed="false">
      <c r="A427" s="2" t="s">
        <v>146</v>
      </c>
      <c r="B427" s="2" t="s">
        <v>126</v>
      </c>
      <c r="C427" s="2" t="s">
        <v>48</v>
      </c>
      <c r="D427" s="2" t="s">
        <v>10</v>
      </c>
      <c r="E427" s="2" t="s">
        <v>76</v>
      </c>
      <c r="F427" s="2" t="s">
        <v>1146</v>
      </c>
      <c r="G427" s="14" t="n">
        <v>14.5</v>
      </c>
      <c r="H427" s="14" t="n">
        <v>9.78</v>
      </c>
      <c r="I427" s="14" t="n">
        <v>14.5</v>
      </c>
      <c r="J427" s="22" t="n">
        <f aca="false">IF(E427="Priority",'Cost model'!N794,'Cost model'!M794)</f>
        <v>12.5</v>
      </c>
      <c r="K427" s="14" t="n">
        <f aca="false">J427-H427</f>
        <v>2.72</v>
      </c>
      <c r="L427" s="14" t="n">
        <f aca="false">G427-H427</f>
        <v>4.72</v>
      </c>
    </row>
    <row r="428" customFormat="false" ht="15" hidden="false" customHeight="false" outlineLevel="0" collapsed="false">
      <c r="A428" s="2" t="s">
        <v>146</v>
      </c>
      <c r="B428" s="2" t="s">
        <v>184</v>
      </c>
      <c r="C428" s="2" t="s">
        <v>48</v>
      </c>
      <c r="D428" s="2" t="s">
        <v>12</v>
      </c>
      <c r="E428" s="2" t="s">
        <v>76</v>
      </c>
      <c r="F428" s="2" t="s">
        <v>1146</v>
      </c>
      <c r="G428" s="14" t="n">
        <v>19.5</v>
      </c>
      <c r="H428" s="14" t="n">
        <v>55.79</v>
      </c>
      <c r="I428" s="14" t="n">
        <v>19.5</v>
      </c>
      <c r="J428" s="22" t="n">
        <f aca="false">IF(E428="Priority",'Cost model'!N833,'Cost model'!M833)</f>
        <v>45</v>
      </c>
      <c r="K428" s="14" t="n">
        <f aca="false">J428-H428</f>
        <v>-10.79</v>
      </c>
      <c r="L428" s="14" t="n">
        <f aca="false">G428-H428</f>
        <v>-36.29</v>
      </c>
    </row>
    <row r="429" customFormat="false" ht="15" hidden="false" customHeight="false" outlineLevel="0" collapsed="false">
      <c r="A429" s="2" t="s">
        <v>146</v>
      </c>
      <c r="B429" s="2" t="s">
        <v>146</v>
      </c>
      <c r="C429" s="2" t="s">
        <v>50</v>
      </c>
      <c r="D429" s="2" t="s">
        <v>10</v>
      </c>
      <c r="E429" s="2" t="s">
        <v>76</v>
      </c>
      <c r="F429" s="2" t="s">
        <v>1145</v>
      </c>
      <c r="G429" s="14" t="n">
        <v>17.5</v>
      </c>
      <c r="H429" s="14" t="n">
        <v>16.84</v>
      </c>
      <c r="I429" s="14" t="n">
        <v>17.5</v>
      </c>
      <c r="J429" s="22" t="n">
        <f aca="false">IF(E429="Priority",'Cost model'!N760,'Cost model'!M760)</f>
        <v>18.5</v>
      </c>
      <c r="K429" s="14" t="n">
        <f aca="false">J429-H429</f>
        <v>1.66</v>
      </c>
      <c r="L429" s="14" t="n">
        <f aca="false">G429-H429</f>
        <v>0.66</v>
      </c>
    </row>
    <row r="430" customFormat="false" ht="15" hidden="false" customHeight="false" outlineLevel="0" collapsed="false">
      <c r="A430" s="2" t="s">
        <v>146</v>
      </c>
      <c r="B430" s="2" t="s">
        <v>126</v>
      </c>
      <c r="C430" s="2" t="s">
        <v>48</v>
      </c>
      <c r="D430" s="2" t="s">
        <v>13</v>
      </c>
      <c r="E430" s="2" t="s">
        <v>76</v>
      </c>
      <c r="F430" s="2" t="s">
        <v>1146</v>
      </c>
      <c r="G430" s="14" t="n">
        <v>24.5</v>
      </c>
      <c r="H430" s="14" t="n">
        <v>54.7</v>
      </c>
      <c r="I430" s="14" t="n">
        <v>24.5</v>
      </c>
      <c r="J430" s="22" t="n">
        <f aca="false">IF(E430="Priority",'Cost model'!N800,'Cost model'!M800)</f>
        <v>70</v>
      </c>
      <c r="K430" s="14" t="n">
        <f aca="false">J430-H430</f>
        <v>15.3</v>
      </c>
      <c r="L430" s="14" t="n">
        <f aca="false">G430-H430</f>
        <v>-30.2</v>
      </c>
    </row>
    <row r="431" customFormat="false" ht="15" hidden="false" customHeight="false" outlineLevel="0" collapsed="false">
      <c r="A431" s="2" t="s">
        <v>126</v>
      </c>
      <c r="B431" s="2" t="s">
        <v>126</v>
      </c>
      <c r="C431" s="2" t="s">
        <v>50</v>
      </c>
      <c r="D431" s="2" t="s">
        <v>12</v>
      </c>
      <c r="E431" s="2" t="s">
        <v>85</v>
      </c>
      <c r="F431" s="2" t="s">
        <v>1145</v>
      </c>
      <c r="G431" s="14" t="n">
        <v>29.5</v>
      </c>
      <c r="H431" s="14" t="n">
        <v>83.58</v>
      </c>
      <c r="I431" s="14" t="n">
        <v>29.5</v>
      </c>
      <c r="J431" s="22" t="n">
        <f aca="false">IF(E431="Priority",'Cost model'!N385,'Cost model'!M385)</f>
        <v>70</v>
      </c>
      <c r="K431" s="14" t="n">
        <f aca="false">J431-H431</f>
        <v>-13.58</v>
      </c>
      <c r="L431" s="14" t="n">
        <f aca="false">G431-H431</f>
        <v>-54.08</v>
      </c>
    </row>
    <row r="432" customFormat="false" ht="15" hidden="false" customHeight="false" outlineLevel="0" collapsed="false">
      <c r="A432" s="2" t="s">
        <v>240</v>
      </c>
      <c r="B432" s="2" t="s">
        <v>240</v>
      </c>
      <c r="C432" s="2" t="s">
        <v>48</v>
      </c>
      <c r="D432" s="2" t="s">
        <v>10</v>
      </c>
      <c r="E432" s="2" t="s">
        <v>76</v>
      </c>
      <c r="F432" s="2" t="s">
        <v>1145</v>
      </c>
      <c r="G432" s="14" t="n">
        <v>9.5</v>
      </c>
      <c r="H432" s="14" t="n">
        <v>7.4</v>
      </c>
      <c r="I432" s="14" t="n">
        <v>9.5</v>
      </c>
      <c r="J432" s="22" t="n">
        <f aca="false">IF(E432="Priority",'Cost model'!N884,'Cost model'!M884)</f>
        <v>7.5</v>
      </c>
      <c r="K432" s="14" t="n">
        <f aca="false">J432-H432</f>
        <v>0.0999999999999996</v>
      </c>
      <c r="L432" s="14" t="n">
        <f aca="false">G432-H432</f>
        <v>2.1</v>
      </c>
    </row>
    <row r="433" customFormat="false" ht="15" hidden="false" customHeight="false" outlineLevel="0" collapsed="false">
      <c r="A433" s="2" t="s">
        <v>126</v>
      </c>
      <c r="B433" s="2" t="s">
        <v>126</v>
      </c>
      <c r="C433" s="2" t="s">
        <v>49</v>
      </c>
      <c r="D433" s="2" t="s">
        <v>12</v>
      </c>
      <c r="E433" s="2" t="s">
        <v>76</v>
      </c>
      <c r="F433" s="2" t="s">
        <v>1145</v>
      </c>
      <c r="G433" s="14" t="n">
        <v>12.5</v>
      </c>
      <c r="H433" s="14" t="n">
        <v>68.83</v>
      </c>
      <c r="I433" s="14" t="n">
        <v>12.5</v>
      </c>
      <c r="J433" s="22" t="n">
        <f aca="false">IF(E433="Priority",'Cost model'!N384,'Cost model'!M384)</f>
        <v>45</v>
      </c>
      <c r="K433" s="14" t="n">
        <f aca="false">J433-H433</f>
        <v>-23.83</v>
      </c>
      <c r="L433" s="14" t="n">
        <f aca="false">G433-H433</f>
        <v>-56.33</v>
      </c>
    </row>
    <row r="434" customFormat="false" ht="15" hidden="false" customHeight="false" outlineLevel="0" collapsed="false">
      <c r="A434" s="2" t="s">
        <v>221</v>
      </c>
      <c r="B434" s="2" t="s">
        <v>221</v>
      </c>
      <c r="C434" s="2" t="s">
        <v>49</v>
      </c>
      <c r="D434" s="2" t="s">
        <v>12</v>
      </c>
      <c r="E434" s="2" t="s">
        <v>85</v>
      </c>
      <c r="F434" s="2" t="s">
        <v>1145</v>
      </c>
      <c r="G434" s="14" t="n">
        <v>19.5</v>
      </c>
      <c r="H434" s="14" t="n">
        <v>25.85</v>
      </c>
      <c r="I434" s="14" t="n">
        <v>19.5</v>
      </c>
      <c r="J434" s="22" t="n">
        <f aca="false">IF(E434="Priority",'Cost model'!N636,'Cost model'!M636)</f>
        <v>70</v>
      </c>
      <c r="K434" s="14" t="n">
        <f aca="false">J434-H434</f>
        <v>44.15</v>
      </c>
      <c r="L434" s="14" t="n">
        <f aca="false">G434-H434</f>
        <v>-6.35</v>
      </c>
    </row>
    <row r="435" customFormat="false" ht="15" hidden="false" customHeight="false" outlineLevel="0" collapsed="false">
      <c r="A435" s="2" t="s">
        <v>126</v>
      </c>
      <c r="B435" s="2" t="s">
        <v>126</v>
      </c>
      <c r="C435" s="2" t="s">
        <v>49</v>
      </c>
      <c r="D435" s="2" t="s">
        <v>12</v>
      </c>
      <c r="E435" s="2" t="s">
        <v>76</v>
      </c>
      <c r="F435" s="2" t="s">
        <v>1145</v>
      </c>
      <c r="G435" s="14" t="n">
        <v>12.5</v>
      </c>
      <c r="H435" s="14" t="n">
        <v>29.17</v>
      </c>
      <c r="I435" s="14" t="n">
        <v>12.5</v>
      </c>
      <c r="J435" s="22" t="n">
        <f aca="false">IF(E435="Priority",'Cost model'!N384,'Cost model'!M384)</f>
        <v>45</v>
      </c>
      <c r="K435" s="14" t="n">
        <f aca="false">J435-H435</f>
        <v>15.83</v>
      </c>
      <c r="L435" s="14" t="n">
        <f aca="false">G435-H435</f>
        <v>-16.67</v>
      </c>
    </row>
    <row r="436" customFormat="false" ht="15" hidden="false" customHeight="false" outlineLevel="0" collapsed="false">
      <c r="A436" s="2" t="s">
        <v>184</v>
      </c>
      <c r="B436" s="2" t="s">
        <v>165</v>
      </c>
      <c r="C436" s="2" t="s">
        <v>48</v>
      </c>
      <c r="D436" s="2" t="s">
        <v>10</v>
      </c>
      <c r="E436" s="2" t="s">
        <v>76</v>
      </c>
      <c r="F436" s="2" t="s">
        <v>1146</v>
      </c>
      <c r="G436" s="14" t="n">
        <v>9.5</v>
      </c>
      <c r="H436" s="14" t="n">
        <v>9.7</v>
      </c>
      <c r="I436" s="14" t="n">
        <v>14.5</v>
      </c>
      <c r="J436" s="22" t="n">
        <f aca="false">IF(E436="Priority",'Cost model'!N164,'Cost model'!M164)</f>
        <v>11.5</v>
      </c>
      <c r="K436" s="14" t="n">
        <f aca="false">J436-H436</f>
        <v>1.8</v>
      </c>
      <c r="L436" s="14" t="n">
        <f aca="false">G436-H436</f>
        <v>-0.199999999999999</v>
      </c>
    </row>
    <row r="437" customFormat="false" ht="15" hidden="false" customHeight="false" outlineLevel="0" collapsed="false">
      <c r="A437" s="2" t="s">
        <v>184</v>
      </c>
      <c r="B437" s="2" t="s">
        <v>146</v>
      </c>
      <c r="C437" s="2" t="s">
        <v>50</v>
      </c>
      <c r="D437" s="2" t="s">
        <v>12</v>
      </c>
      <c r="E437" s="2" t="s">
        <v>76</v>
      </c>
      <c r="F437" s="2" t="s">
        <v>1146</v>
      </c>
      <c r="G437" s="14" t="n">
        <v>19.5</v>
      </c>
      <c r="H437" s="14" t="n">
        <v>72.37</v>
      </c>
      <c r="I437" s="14" t="n">
        <v>19.5</v>
      </c>
      <c r="J437" s="22" t="n">
        <f aca="false">IF(E437="Priority",'Cost model'!N151,'Cost model'!M151)</f>
        <v>55</v>
      </c>
      <c r="K437" s="14" t="n">
        <f aca="false">J437-H437</f>
        <v>-17.37</v>
      </c>
      <c r="L437" s="14" t="n">
        <f aca="false">G437-H437</f>
        <v>-52.87</v>
      </c>
    </row>
    <row r="438" customFormat="false" ht="15" hidden="false" customHeight="false" outlineLevel="0" collapsed="false">
      <c r="A438" s="2" t="s">
        <v>126</v>
      </c>
      <c r="B438" s="2" t="s">
        <v>126</v>
      </c>
      <c r="C438" s="2" t="s">
        <v>48</v>
      </c>
      <c r="D438" s="2" t="s">
        <v>10</v>
      </c>
      <c r="E438" s="2" t="s">
        <v>85</v>
      </c>
      <c r="F438" s="2" t="s">
        <v>1145</v>
      </c>
      <c r="G438" s="14" t="n">
        <v>14.5</v>
      </c>
      <c r="H438" s="14" t="n">
        <v>7.45</v>
      </c>
      <c r="I438" s="14" t="n">
        <v>14.5</v>
      </c>
      <c r="J438" s="22" t="n">
        <f aca="false">IF(E438="Priority",'Cost model'!N380,'Cost model'!M380)</f>
        <v>13.5</v>
      </c>
      <c r="K438" s="14" t="n">
        <f aca="false">J438-H438</f>
        <v>6.05</v>
      </c>
      <c r="L438" s="14" t="n">
        <f aca="false">G438-H438</f>
        <v>7.05</v>
      </c>
    </row>
    <row r="439" customFormat="false" ht="15" hidden="false" customHeight="false" outlineLevel="0" collapsed="false">
      <c r="A439" s="2" t="s">
        <v>146</v>
      </c>
      <c r="B439" s="2" t="s">
        <v>146</v>
      </c>
      <c r="C439" s="2" t="s">
        <v>50</v>
      </c>
      <c r="D439" s="2" t="s">
        <v>10</v>
      </c>
      <c r="E439" s="2" t="s">
        <v>76</v>
      </c>
      <c r="F439" s="2" t="s">
        <v>1145</v>
      </c>
      <c r="G439" s="14" t="n">
        <v>17.5</v>
      </c>
      <c r="H439" s="14" t="n">
        <v>20.83</v>
      </c>
      <c r="I439" s="14" t="n">
        <v>17.5</v>
      </c>
      <c r="J439" s="22" t="n">
        <f aca="false">IF(E439="Priority",'Cost model'!N760,'Cost model'!M760)</f>
        <v>18.5</v>
      </c>
      <c r="K439" s="14" t="n">
        <f aca="false">J439-H439</f>
        <v>-2.33</v>
      </c>
      <c r="L439" s="14" t="n">
        <f aca="false">G439-H439</f>
        <v>-3.33</v>
      </c>
    </row>
    <row r="440" customFormat="false" ht="15" hidden="false" customHeight="false" outlineLevel="0" collapsed="false">
      <c r="A440" s="2" t="s">
        <v>146</v>
      </c>
      <c r="B440" s="2" t="s">
        <v>146</v>
      </c>
      <c r="C440" s="2" t="s">
        <v>49</v>
      </c>
      <c r="D440" s="2" t="s">
        <v>10</v>
      </c>
      <c r="E440" s="2" t="s">
        <v>76</v>
      </c>
      <c r="F440" s="2" t="s">
        <v>1145</v>
      </c>
      <c r="G440" s="14" t="n">
        <v>12.5</v>
      </c>
      <c r="H440" s="14" t="n">
        <v>12.23</v>
      </c>
      <c r="I440" s="14" t="n">
        <v>12.5</v>
      </c>
      <c r="J440" s="22" t="n">
        <f aca="false">IF(E440="Priority",'Cost model'!N759,'Cost model'!M759)</f>
        <v>15.5</v>
      </c>
      <c r="K440" s="14" t="n">
        <f aca="false">J440-H440</f>
        <v>3.27</v>
      </c>
      <c r="L440" s="14" t="n">
        <f aca="false">G440-H440</f>
        <v>0.27</v>
      </c>
    </row>
    <row r="441" customFormat="false" ht="15" hidden="false" customHeight="false" outlineLevel="0" collapsed="false">
      <c r="A441" s="2" t="s">
        <v>240</v>
      </c>
      <c r="B441" s="2" t="s">
        <v>240</v>
      </c>
      <c r="C441" s="2" t="s">
        <v>48</v>
      </c>
      <c r="D441" s="2" t="s">
        <v>10</v>
      </c>
      <c r="E441" s="2" t="s">
        <v>76</v>
      </c>
      <c r="F441" s="2" t="s">
        <v>1145</v>
      </c>
      <c r="G441" s="14" t="n">
        <v>9.5</v>
      </c>
      <c r="H441" s="14" t="n">
        <v>7.4</v>
      </c>
      <c r="I441" s="14" t="n">
        <v>9.5</v>
      </c>
      <c r="J441" s="22" t="n">
        <f aca="false">IF(E441="Priority",'Cost model'!N884,'Cost model'!M884)</f>
        <v>7.5</v>
      </c>
      <c r="K441" s="14" t="n">
        <f aca="false">J441-H441</f>
        <v>0.0999999999999996</v>
      </c>
      <c r="L441" s="14" t="n">
        <f aca="false">G441-H441</f>
        <v>2.1</v>
      </c>
    </row>
    <row r="442" customFormat="false" ht="15" hidden="false" customHeight="false" outlineLevel="0" collapsed="false">
      <c r="A442" s="2" t="s">
        <v>240</v>
      </c>
      <c r="B442" s="2" t="s">
        <v>146</v>
      </c>
      <c r="C442" s="2" t="s">
        <v>50</v>
      </c>
      <c r="D442" s="2" t="s">
        <v>12</v>
      </c>
      <c r="E442" s="2" t="s">
        <v>76</v>
      </c>
      <c r="F442" s="2" t="s">
        <v>1146</v>
      </c>
      <c r="G442" s="14" t="n">
        <v>19.5</v>
      </c>
      <c r="H442" s="14" t="n">
        <v>71.09</v>
      </c>
      <c r="I442" s="14" t="n">
        <v>29.5</v>
      </c>
      <c r="J442" s="22" t="n">
        <f aca="false">IF(E442="Priority",'Cost model'!N925,'Cost model'!M925)</f>
        <v>80</v>
      </c>
      <c r="K442" s="14" t="n">
        <f aca="false">J442-H442</f>
        <v>8.91</v>
      </c>
      <c r="L442" s="14" t="n">
        <f aca="false">G442-H442</f>
        <v>-51.59</v>
      </c>
    </row>
    <row r="443" customFormat="false" ht="15" hidden="false" customHeight="false" outlineLevel="0" collapsed="false">
      <c r="A443" s="2" t="s">
        <v>126</v>
      </c>
      <c r="B443" s="2" t="s">
        <v>126</v>
      </c>
      <c r="C443" s="2" t="s">
        <v>49</v>
      </c>
      <c r="D443" s="2" t="s">
        <v>12</v>
      </c>
      <c r="E443" s="2" t="s">
        <v>76</v>
      </c>
      <c r="F443" s="2" t="s">
        <v>1145</v>
      </c>
      <c r="G443" s="14" t="n">
        <v>12.5</v>
      </c>
      <c r="H443" s="14" t="n">
        <v>13.63</v>
      </c>
      <c r="I443" s="14" t="n">
        <v>12.5</v>
      </c>
      <c r="J443" s="22" t="n">
        <f aca="false">IF(E443="Priority",'Cost model'!N384,'Cost model'!M384)</f>
        <v>45</v>
      </c>
      <c r="K443" s="14" t="n">
        <f aca="false">J443-H443</f>
        <v>31.37</v>
      </c>
      <c r="L443" s="14" t="n">
        <f aca="false">G443-H443</f>
        <v>-1.13</v>
      </c>
    </row>
    <row r="444" customFormat="false" ht="15" hidden="false" customHeight="false" outlineLevel="0" collapsed="false">
      <c r="A444" s="2" t="s">
        <v>184</v>
      </c>
      <c r="B444" s="2" t="s">
        <v>184</v>
      </c>
      <c r="C444" s="2" t="s">
        <v>48</v>
      </c>
      <c r="D444" s="2" t="s">
        <v>10</v>
      </c>
      <c r="E444" s="2" t="s">
        <v>76</v>
      </c>
      <c r="F444" s="2" t="s">
        <v>1145</v>
      </c>
      <c r="G444" s="14" t="n">
        <v>9.5</v>
      </c>
      <c r="H444" s="14" t="n">
        <v>5.94</v>
      </c>
      <c r="I444" s="14" t="n">
        <v>9.5</v>
      </c>
      <c r="J444" s="22" t="n">
        <f aca="false">IF(E444="Priority",'Cost model'!N200,'Cost model'!M200)</f>
        <v>7.5</v>
      </c>
      <c r="K444" s="14" t="n">
        <f aca="false">J444-H444</f>
        <v>1.56</v>
      </c>
      <c r="L444" s="14" t="n">
        <f aca="false">G444-H444</f>
        <v>3.56</v>
      </c>
    </row>
    <row r="445" customFormat="false" ht="15" hidden="false" customHeight="false" outlineLevel="0" collapsed="false">
      <c r="A445" s="2" t="s">
        <v>126</v>
      </c>
      <c r="B445" s="2" t="s">
        <v>126</v>
      </c>
      <c r="C445" s="2" t="s">
        <v>48</v>
      </c>
      <c r="D445" s="2" t="s">
        <v>10</v>
      </c>
      <c r="E445" s="2" t="s">
        <v>76</v>
      </c>
      <c r="F445" s="2" t="s">
        <v>1145</v>
      </c>
      <c r="G445" s="14" t="n">
        <v>9.5</v>
      </c>
      <c r="H445" s="14" t="n">
        <v>5.95</v>
      </c>
      <c r="I445" s="14" t="n">
        <v>9.5</v>
      </c>
      <c r="J445" s="22" t="n">
        <f aca="false">IF(E445="Priority",'Cost model'!N380,'Cost model'!M380)</f>
        <v>8.5</v>
      </c>
      <c r="K445" s="14" t="n">
        <f aca="false">J445-H445</f>
        <v>2.55</v>
      </c>
      <c r="L445" s="14" t="n">
        <f aca="false">G445-H445</f>
        <v>3.55</v>
      </c>
    </row>
    <row r="446" customFormat="false" ht="15" hidden="false" customHeight="false" outlineLevel="0" collapsed="false">
      <c r="A446" s="2" t="s">
        <v>385</v>
      </c>
      <c r="B446" s="2" t="s">
        <v>165</v>
      </c>
      <c r="C446" s="2" t="s">
        <v>48</v>
      </c>
      <c r="D446" s="2" t="s">
        <v>10</v>
      </c>
      <c r="E446" s="2" t="s">
        <v>85</v>
      </c>
      <c r="F446" s="2" t="s">
        <v>1146</v>
      </c>
      <c r="G446" s="14" t="n">
        <v>24.5</v>
      </c>
      <c r="H446" s="14" t="n">
        <v>21.34</v>
      </c>
      <c r="I446" s="14" t="n">
        <v>24.5</v>
      </c>
      <c r="J446" s="22" t="n">
        <f aca="false">IF(E446="Priority",'Cost model'!N254,'Cost model'!M254)</f>
        <v>27.5</v>
      </c>
      <c r="K446" s="14" t="n">
        <f aca="false">J446-H446</f>
        <v>6.16</v>
      </c>
      <c r="L446" s="14" t="n">
        <f aca="false">G446-H446</f>
        <v>3.16</v>
      </c>
    </row>
    <row r="447" customFormat="false" ht="15" hidden="false" customHeight="false" outlineLevel="0" collapsed="false">
      <c r="A447" s="2" t="s">
        <v>240</v>
      </c>
      <c r="B447" s="2" t="s">
        <v>165</v>
      </c>
      <c r="C447" s="2" t="s">
        <v>48</v>
      </c>
      <c r="D447" s="2" t="s">
        <v>10</v>
      </c>
      <c r="E447" s="2" t="s">
        <v>85</v>
      </c>
      <c r="F447" s="2" t="s">
        <v>1146</v>
      </c>
      <c r="G447" s="14" t="n">
        <v>19.5</v>
      </c>
      <c r="H447" s="14" t="n">
        <v>17.49</v>
      </c>
      <c r="I447" s="14" t="n">
        <v>19.5</v>
      </c>
      <c r="J447" s="22" t="n">
        <f aca="false">IF(E447="Priority",'Cost model'!N902,'Cost model'!M902)</f>
        <v>18.5</v>
      </c>
      <c r="K447" s="14" t="n">
        <f aca="false">J447-H447</f>
        <v>1.01</v>
      </c>
      <c r="L447" s="14" t="n">
        <f aca="false">G447-H447</f>
        <v>2.01</v>
      </c>
    </row>
    <row r="448" customFormat="false" ht="15" hidden="false" customHeight="false" outlineLevel="0" collapsed="false">
      <c r="A448" s="2" t="s">
        <v>165</v>
      </c>
      <c r="B448" s="2" t="s">
        <v>165</v>
      </c>
      <c r="C448" s="2" t="s">
        <v>50</v>
      </c>
      <c r="D448" s="2" t="s">
        <v>12</v>
      </c>
      <c r="E448" s="2" t="s">
        <v>76</v>
      </c>
      <c r="F448" s="2" t="s">
        <v>1145</v>
      </c>
      <c r="G448" s="14" t="n">
        <v>19.5</v>
      </c>
      <c r="H448" s="14" t="n">
        <v>24.17</v>
      </c>
      <c r="I448" s="14" t="n">
        <v>19.5</v>
      </c>
      <c r="J448" s="22" t="n">
        <f aca="false">IF(E448="Priority",'Cost model'!N511,'Cost model'!M511)</f>
        <v>35</v>
      </c>
      <c r="K448" s="14" t="n">
        <f aca="false">J448-H448</f>
        <v>10.83</v>
      </c>
      <c r="L448" s="14" t="n">
        <f aca="false">G448-H448</f>
        <v>-4.67</v>
      </c>
    </row>
    <row r="449" customFormat="false" ht="15" hidden="false" customHeight="false" outlineLevel="0" collapsed="false">
      <c r="A449" s="2" t="s">
        <v>240</v>
      </c>
      <c r="B449" s="2" t="s">
        <v>240</v>
      </c>
      <c r="C449" s="2" t="s">
        <v>50</v>
      </c>
      <c r="D449" s="2" t="s">
        <v>12</v>
      </c>
      <c r="E449" s="2" t="s">
        <v>85</v>
      </c>
      <c r="F449" s="2" t="s">
        <v>1145</v>
      </c>
      <c r="G449" s="14" t="n">
        <v>29.5</v>
      </c>
      <c r="H449" s="14" t="n">
        <v>101.33</v>
      </c>
      <c r="I449" s="14" t="n">
        <v>29.5</v>
      </c>
      <c r="J449" s="22" t="n">
        <f aca="false">IF(E449="Priority",'Cost model'!N889,'Cost model'!M889)</f>
        <v>80</v>
      </c>
      <c r="K449" s="14" t="n">
        <f aca="false">J449-H449</f>
        <v>-21.33</v>
      </c>
      <c r="L449" s="14" t="n">
        <f aca="false">G449-H449</f>
        <v>-71.83</v>
      </c>
    </row>
    <row r="450" customFormat="false" ht="15" hidden="false" customHeight="false" outlineLevel="0" collapsed="false">
      <c r="A450" s="2" t="s">
        <v>240</v>
      </c>
      <c r="B450" s="2" t="s">
        <v>240</v>
      </c>
      <c r="C450" s="2" t="s">
        <v>48</v>
      </c>
      <c r="D450" s="2" t="s">
        <v>10</v>
      </c>
      <c r="E450" s="2" t="s">
        <v>76</v>
      </c>
      <c r="F450" s="2" t="s">
        <v>1145</v>
      </c>
      <c r="G450" s="14" t="n">
        <v>9.5</v>
      </c>
      <c r="H450" s="14" t="n">
        <v>8.13</v>
      </c>
      <c r="I450" s="14" t="n">
        <v>9.5</v>
      </c>
      <c r="J450" s="22" t="n">
        <f aca="false">IF(E450="Priority",'Cost model'!N884,'Cost model'!M884)</f>
        <v>7.5</v>
      </c>
      <c r="K450" s="14" t="n">
        <f aca="false">J450-H450</f>
        <v>-0.630000000000001</v>
      </c>
      <c r="L450" s="14" t="n">
        <f aca="false">G450-H450</f>
        <v>1.37</v>
      </c>
    </row>
    <row r="451" customFormat="false" ht="15" hidden="false" customHeight="false" outlineLevel="0" collapsed="false">
      <c r="A451" s="2" t="s">
        <v>184</v>
      </c>
      <c r="B451" s="2" t="s">
        <v>184</v>
      </c>
      <c r="C451" s="2" t="s">
        <v>50</v>
      </c>
      <c r="D451" s="2" t="s">
        <v>10</v>
      </c>
      <c r="E451" s="2" t="s">
        <v>76</v>
      </c>
      <c r="F451" s="2" t="s">
        <v>1145</v>
      </c>
      <c r="G451" s="14" t="n">
        <v>17.5</v>
      </c>
      <c r="H451" s="14" t="n">
        <v>19.56</v>
      </c>
      <c r="I451" s="14" t="n">
        <v>17.5</v>
      </c>
      <c r="J451" s="22" t="n">
        <f aca="false">IF(E451="Priority",'Cost model'!N202,'Cost model'!M202)</f>
        <v>17.5</v>
      </c>
      <c r="K451" s="14" t="n">
        <f aca="false">J451-H451</f>
        <v>-2.06</v>
      </c>
      <c r="L451" s="14" t="n">
        <f aca="false">G451-H451</f>
        <v>-2.06</v>
      </c>
    </row>
    <row r="452" customFormat="false" ht="15" hidden="false" customHeight="false" outlineLevel="0" collapsed="false">
      <c r="A452" s="2" t="s">
        <v>146</v>
      </c>
      <c r="B452" s="2" t="s">
        <v>126</v>
      </c>
      <c r="C452" s="2" t="s">
        <v>48</v>
      </c>
      <c r="D452" s="2" t="s">
        <v>12</v>
      </c>
      <c r="E452" s="2" t="s">
        <v>76</v>
      </c>
      <c r="F452" s="2" t="s">
        <v>1146</v>
      </c>
      <c r="G452" s="14" t="n">
        <v>9.5</v>
      </c>
      <c r="H452" s="14" t="n">
        <v>44.73</v>
      </c>
      <c r="I452" s="14" t="n">
        <v>19.5</v>
      </c>
      <c r="J452" s="22" t="n">
        <f aca="false">IF(E452="Priority",'Cost model'!N797,'Cost model'!M797)</f>
        <v>40</v>
      </c>
      <c r="K452" s="14" t="n">
        <f aca="false">J452-H452</f>
        <v>-4.73</v>
      </c>
      <c r="L452" s="14" t="n">
        <f aca="false">G452-H452</f>
        <v>-35.23</v>
      </c>
    </row>
    <row r="453" customFormat="false" ht="15" hidden="false" customHeight="false" outlineLevel="0" collapsed="false">
      <c r="A453" s="2" t="s">
        <v>126</v>
      </c>
      <c r="B453" s="2" t="s">
        <v>126</v>
      </c>
      <c r="C453" s="2" t="s">
        <v>48</v>
      </c>
      <c r="D453" s="2" t="s">
        <v>14</v>
      </c>
      <c r="E453" s="2" t="s">
        <v>76</v>
      </c>
      <c r="F453" s="2" t="s">
        <v>1145</v>
      </c>
      <c r="G453" s="14" t="n">
        <v>25</v>
      </c>
      <c r="H453" s="14" t="n">
        <v>68.59</v>
      </c>
      <c r="I453" s="14" t="n">
        <v>25</v>
      </c>
      <c r="J453" s="22" t="n">
        <f aca="false">IF(E453="Priority",'Cost model'!N389,'Cost model'!M389)</f>
        <v>95</v>
      </c>
      <c r="K453" s="14" t="n">
        <f aca="false">J453-H453</f>
        <v>26.41</v>
      </c>
      <c r="L453" s="14" t="n">
        <f aca="false">G453-H453</f>
        <v>-43.59</v>
      </c>
    </row>
    <row r="454" customFormat="false" ht="15" hidden="false" customHeight="false" outlineLevel="0" collapsed="false">
      <c r="A454" s="2" t="s">
        <v>240</v>
      </c>
      <c r="B454" s="2" t="s">
        <v>126</v>
      </c>
      <c r="C454" s="2" t="s">
        <v>48</v>
      </c>
      <c r="D454" s="2" t="s">
        <v>10</v>
      </c>
      <c r="E454" s="2" t="s">
        <v>76</v>
      </c>
      <c r="F454" s="2" t="s">
        <v>1146</v>
      </c>
      <c r="G454" s="14" t="n">
        <v>9.5</v>
      </c>
      <c r="H454" s="14" t="n">
        <v>8.58</v>
      </c>
      <c r="I454" s="14" t="n">
        <v>19.5</v>
      </c>
      <c r="J454" s="22" t="n">
        <f aca="false">IF(E454="Priority",'Cost model'!N956,'Cost model'!M956)</f>
        <v>15.5</v>
      </c>
      <c r="K454" s="14" t="n">
        <f aca="false">J454-H454</f>
        <v>6.92</v>
      </c>
      <c r="L454" s="14" t="n">
        <f aca="false">G454-H454</f>
        <v>0.92</v>
      </c>
    </row>
    <row r="455" customFormat="false" ht="15" hidden="false" customHeight="false" outlineLevel="0" collapsed="false">
      <c r="A455" s="2" t="s">
        <v>165</v>
      </c>
      <c r="B455" s="2" t="s">
        <v>165</v>
      </c>
      <c r="C455" s="2" t="s">
        <v>50</v>
      </c>
      <c r="D455" s="2" t="s">
        <v>12</v>
      </c>
      <c r="E455" s="2" t="s">
        <v>76</v>
      </c>
      <c r="F455" s="2" t="s">
        <v>1145</v>
      </c>
      <c r="G455" s="14" t="n">
        <v>19.5</v>
      </c>
      <c r="H455" s="14" t="n">
        <v>47.75</v>
      </c>
      <c r="I455" s="14" t="n">
        <v>19.5</v>
      </c>
      <c r="J455" s="22" t="n">
        <f aca="false">IF(E455="Priority",'Cost model'!N511,'Cost model'!M511)</f>
        <v>35</v>
      </c>
      <c r="K455" s="14" t="n">
        <f aca="false">J455-H455</f>
        <v>-12.75</v>
      </c>
      <c r="L455" s="14" t="n">
        <f aca="false">G455-H455</f>
        <v>-28.25</v>
      </c>
    </row>
    <row r="456" customFormat="false" ht="15" hidden="false" customHeight="false" outlineLevel="0" collapsed="false">
      <c r="A456" s="2" t="s">
        <v>165</v>
      </c>
      <c r="B456" s="2" t="s">
        <v>126</v>
      </c>
      <c r="C456" s="2" t="s">
        <v>48</v>
      </c>
      <c r="D456" s="2" t="s">
        <v>16</v>
      </c>
      <c r="E456" s="2" t="s">
        <v>76</v>
      </c>
      <c r="F456" s="2" t="s">
        <v>1146</v>
      </c>
      <c r="G456" s="14" t="n">
        <v>45</v>
      </c>
      <c r="H456" s="14" t="n">
        <v>366.39</v>
      </c>
      <c r="I456" s="14" t="n">
        <v>250</v>
      </c>
      <c r="J456" s="22" t="n">
        <f aca="false">IF(E456="Priority",'Cost model'!N557,'Cost model'!M557)</f>
        <v>260</v>
      </c>
      <c r="K456" s="14" t="n">
        <f aca="false">J456-H456</f>
        <v>-106.39</v>
      </c>
      <c r="L456" s="14" t="n">
        <f aca="false">G456-H456</f>
        <v>-321.39</v>
      </c>
    </row>
    <row r="457" customFormat="false" ht="15" hidden="false" customHeight="false" outlineLevel="0" collapsed="false">
      <c r="A457" s="2" t="s">
        <v>184</v>
      </c>
      <c r="B457" s="2" t="s">
        <v>184</v>
      </c>
      <c r="C457" s="2" t="s">
        <v>48</v>
      </c>
      <c r="D457" s="2" t="s">
        <v>12</v>
      </c>
      <c r="E457" s="2" t="s">
        <v>76</v>
      </c>
      <c r="F457" s="2" t="s">
        <v>1145</v>
      </c>
      <c r="G457" s="14" t="n">
        <v>9.5</v>
      </c>
      <c r="H457" s="14" t="n">
        <v>27.38</v>
      </c>
      <c r="I457" s="14" t="n">
        <v>9.5</v>
      </c>
      <c r="J457" s="22" t="n">
        <f aca="false">IF(E457="Priority",'Cost model'!N203,'Cost model'!M203)</f>
        <v>26.5</v>
      </c>
      <c r="K457" s="14" t="n">
        <f aca="false">J457-H457</f>
        <v>-0.879999999999999</v>
      </c>
      <c r="L457" s="14" t="n">
        <f aca="false">G457-H457</f>
        <v>-17.88</v>
      </c>
    </row>
    <row r="458" customFormat="false" ht="15" hidden="false" customHeight="false" outlineLevel="0" collapsed="false">
      <c r="A458" s="2" t="s">
        <v>184</v>
      </c>
      <c r="B458" s="2" t="s">
        <v>184</v>
      </c>
      <c r="C458" s="2" t="s">
        <v>48</v>
      </c>
      <c r="D458" s="2" t="s">
        <v>13</v>
      </c>
      <c r="E458" s="2" t="s">
        <v>76</v>
      </c>
      <c r="F458" s="2" t="s">
        <v>1145</v>
      </c>
      <c r="G458" s="14" t="n">
        <v>19</v>
      </c>
      <c r="H458" s="14" t="n">
        <v>90.37</v>
      </c>
      <c r="I458" s="14" t="n">
        <v>19</v>
      </c>
      <c r="J458" s="22" t="n">
        <f aca="false">IF(E458="Priority",'Cost model'!N206,'Cost model'!M206)</f>
        <v>55</v>
      </c>
      <c r="K458" s="14" t="n">
        <f aca="false">J458-H458</f>
        <v>-35.37</v>
      </c>
      <c r="L458" s="14" t="n">
        <f aca="false">G458-H458</f>
        <v>-71.37</v>
      </c>
    </row>
    <row r="459" customFormat="false" ht="15" hidden="false" customHeight="false" outlineLevel="0" collapsed="false">
      <c r="A459" s="2" t="s">
        <v>146</v>
      </c>
      <c r="B459" s="2" t="s">
        <v>146</v>
      </c>
      <c r="C459" s="2" t="s">
        <v>49</v>
      </c>
      <c r="D459" s="2" t="s">
        <v>12</v>
      </c>
      <c r="E459" s="2" t="s">
        <v>85</v>
      </c>
      <c r="F459" s="2" t="s">
        <v>1145</v>
      </c>
      <c r="G459" s="14" t="n">
        <v>19.5</v>
      </c>
      <c r="H459" s="14" t="n">
        <v>16.84</v>
      </c>
      <c r="I459" s="14" t="n">
        <v>19.5</v>
      </c>
      <c r="J459" s="22" t="n">
        <f aca="false">IF(E459="Priority",'Cost model'!N762,'Cost model'!M762)</f>
        <v>60</v>
      </c>
      <c r="K459" s="14" t="n">
        <f aca="false">J459-H459</f>
        <v>43.16</v>
      </c>
      <c r="L459" s="14" t="n">
        <f aca="false">G459-H459</f>
        <v>2.66</v>
      </c>
    </row>
    <row r="460" customFormat="false" ht="15" hidden="false" customHeight="false" outlineLevel="0" collapsed="false">
      <c r="A460" s="2" t="s">
        <v>126</v>
      </c>
      <c r="B460" s="2" t="s">
        <v>184</v>
      </c>
      <c r="C460" s="2" t="s">
        <v>49</v>
      </c>
      <c r="D460" s="2" t="s">
        <v>12</v>
      </c>
      <c r="E460" s="2" t="s">
        <v>85</v>
      </c>
      <c r="F460" s="2" t="s">
        <v>1146</v>
      </c>
      <c r="G460" s="14" t="n">
        <v>24.5</v>
      </c>
      <c r="H460" s="14" t="n">
        <v>62.54</v>
      </c>
      <c r="I460" s="14" t="n">
        <v>24.5</v>
      </c>
      <c r="J460" s="22" t="n">
        <f aca="false">IF(E460="Priority",'Cost model'!N438,'Cost model'!M438)</f>
        <v>70</v>
      </c>
      <c r="K460" s="14" t="n">
        <f aca="false">J460-H460</f>
        <v>7.46</v>
      </c>
      <c r="L460" s="14" t="n">
        <f aca="false">G460-H460</f>
        <v>-38.04</v>
      </c>
    </row>
    <row r="461" customFormat="false" ht="15" hidden="false" customHeight="false" outlineLevel="0" collapsed="false">
      <c r="A461" s="2" t="s">
        <v>184</v>
      </c>
      <c r="B461" s="2" t="s">
        <v>184</v>
      </c>
      <c r="C461" s="2" t="s">
        <v>48</v>
      </c>
      <c r="D461" s="2" t="s">
        <v>10</v>
      </c>
      <c r="E461" s="2" t="s">
        <v>76</v>
      </c>
      <c r="F461" s="2" t="s">
        <v>1145</v>
      </c>
      <c r="G461" s="14" t="n">
        <v>9.5</v>
      </c>
      <c r="H461" s="14" t="n">
        <v>7.72</v>
      </c>
      <c r="I461" s="14" t="n">
        <v>9.5</v>
      </c>
      <c r="J461" s="22" t="n">
        <f aca="false">IF(E461="Priority",'Cost model'!N200,'Cost model'!M200)</f>
        <v>7.5</v>
      </c>
      <c r="K461" s="14" t="n">
        <f aca="false">J461-H461</f>
        <v>-0.22</v>
      </c>
      <c r="L461" s="14" t="n">
        <f aca="false">G461-H461</f>
        <v>1.78</v>
      </c>
    </row>
    <row r="462" customFormat="false" ht="15" hidden="false" customHeight="false" outlineLevel="0" collapsed="false">
      <c r="A462" s="2" t="s">
        <v>240</v>
      </c>
      <c r="B462" s="2" t="s">
        <v>240</v>
      </c>
      <c r="C462" s="2" t="s">
        <v>49</v>
      </c>
      <c r="D462" s="2" t="s">
        <v>12</v>
      </c>
      <c r="E462" s="2" t="s">
        <v>85</v>
      </c>
      <c r="F462" s="2" t="s">
        <v>1145</v>
      </c>
      <c r="G462" s="14" t="n">
        <v>19.5</v>
      </c>
      <c r="H462" s="14" t="n">
        <v>83.2</v>
      </c>
      <c r="I462" s="14" t="n">
        <v>19.5</v>
      </c>
      <c r="J462" s="22" t="n">
        <f aca="false">IF(E462="Priority",'Cost model'!N888,'Cost model'!M888)</f>
        <v>65</v>
      </c>
      <c r="K462" s="14" t="n">
        <f aca="false">J462-H462</f>
        <v>-18.2</v>
      </c>
      <c r="L462" s="14" t="n">
        <f aca="false">G462-H462</f>
        <v>-63.7</v>
      </c>
    </row>
    <row r="463" customFormat="false" ht="15" hidden="false" customHeight="false" outlineLevel="0" collapsed="false">
      <c r="A463" s="2" t="s">
        <v>146</v>
      </c>
      <c r="B463" s="2" t="s">
        <v>146</v>
      </c>
      <c r="C463" s="2" t="s">
        <v>49</v>
      </c>
      <c r="D463" s="2" t="s">
        <v>10</v>
      </c>
      <c r="E463" s="2" t="s">
        <v>85</v>
      </c>
      <c r="F463" s="2" t="s">
        <v>1145</v>
      </c>
      <c r="G463" s="14" t="n">
        <v>17.5</v>
      </c>
      <c r="H463" s="14" t="n">
        <v>21.34</v>
      </c>
      <c r="I463" s="14" t="n">
        <v>17.5</v>
      </c>
      <c r="J463" s="22" t="n">
        <f aca="false">IF(E463="Priority",'Cost model'!N759,'Cost model'!M759)</f>
        <v>21.5</v>
      </c>
      <c r="K463" s="14" t="n">
        <f aca="false">J463-H463</f>
        <v>0.16</v>
      </c>
      <c r="L463" s="14" t="n">
        <f aca="false">G463-H463</f>
        <v>-3.84</v>
      </c>
    </row>
    <row r="464" customFormat="false" ht="15" hidden="false" customHeight="false" outlineLevel="0" collapsed="false">
      <c r="A464" s="2" t="s">
        <v>126</v>
      </c>
      <c r="B464" s="2" t="s">
        <v>126</v>
      </c>
      <c r="C464" s="2" t="s">
        <v>49</v>
      </c>
      <c r="D464" s="2" t="s">
        <v>12</v>
      </c>
      <c r="E464" s="2" t="s">
        <v>76</v>
      </c>
      <c r="F464" s="2" t="s">
        <v>1145</v>
      </c>
      <c r="G464" s="14" t="n">
        <v>12.5</v>
      </c>
      <c r="H464" s="14" t="n">
        <v>24.63</v>
      </c>
      <c r="I464" s="14" t="n">
        <v>12.5</v>
      </c>
      <c r="J464" s="22" t="n">
        <f aca="false">IF(E464="Priority",'Cost model'!N384,'Cost model'!M384)</f>
        <v>45</v>
      </c>
      <c r="K464" s="14" t="n">
        <f aca="false">J464-H464</f>
        <v>20.37</v>
      </c>
      <c r="L464" s="14" t="n">
        <f aca="false">G464-H464</f>
        <v>-12.13</v>
      </c>
    </row>
    <row r="465" customFormat="false" ht="15" hidden="false" customHeight="false" outlineLevel="0" collapsed="false">
      <c r="A465" s="2" t="s">
        <v>184</v>
      </c>
      <c r="B465" s="2" t="s">
        <v>184</v>
      </c>
      <c r="C465" s="2" t="s">
        <v>48</v>
      </c>
      <c r="D465" s="2" t="s">
        <v>10</v>
      </c>
      <c r="E465" s="2" t="s">
        <v>76</v>
      </c>
      <c r="F465" s="2" t="s">
        <v>1145</v>
      </c>
      <c r="G465" s="14" t="n">
        <v>9.5</v>
      </c>
      <c r="H465" s="14" t="n">
        <v>9.89</v>
      </c>
      <c r="I465" s="14" t="n">
        <v>9.5</v>
      </c>
      <c r="J465" s="22" t="n">
        <f aca="false">IF(E465="Priority",'Cost model'!N200,'Cost model'!M200)</f>
        <v>7.5</v>
      </c>
      <c r="K465" s="14" t="n">
        <f aca="false">J465-H465</f>
        <v>-2.39</v>
      </c>
      <c r="L465" s="14" t="n">
        <f aca="false">G465-H465</f>
        <v>-0.390000000000001</v>
      </c>
    </row>
    <row r="466" customFormat="false" ht="15" hidden="false" customHeight="false" outlineLevel="0" collapsed="false">
      <c r="A466" s="2" t="s">
        <v>165</v>
      </c>
      <c r="B466" s="2" t="s">
        <v>184</v>
      </c>
      <c r="C466" s="2" t="s">
        <v>50</v>
      </c>
      <c r="D466" s="2" t="s">
        <v>12</v>
      </c>
      <c r="E466" s="2" t="s">
        <v>76</v>
      </c>
      <c r="F466" s="2" t="s">
        <v>1146</v>
      </c>
      <c r="G466" s="14" t="n">
        <v>19.5</v>
      </c>
      <c r="H466" s="14" t="n">
        <v>46.76</v>
      </c>
      <c r="I466" s="14" t="n">
        <v>19.5</v>
      </c>
      <c r="J466" s="22" t="n">
        <f aca="false">IF(E466="Priority",'Cost model'!N583,'Cost model'!M583)</f>
        <v>55</v>
      </c>
      <c r="K466" s="14" t="n">
        <f aca="false">J466-H466</f>
        <v>8.24</v>
      </c>
      <c r="L466" s="14" t="n">
        <f aca="false">G466-H466</f>
        <v>-27.26</v>
      </c>
    </row>
    <row r="467" customFormat="false" ht="15" hidden="false" customHeight="false" outlineLevel="0" collapsed="false">
      <c r="A467" s="2" t="s">
        <v>184</v>
      </c>
      <c r="B467" s="2" t="s">
        <v>184</v>
      </c>
      <c r="C467" s="2" t="s">
        <v>50</v>
      </c>
      <c r="D467" s="2" t="s">
        <v>10</v>
      </c>
      <c r="E467" s="2" t="s">
        <v>76</v>
      </c>
      <c r="F467" s="2" t="s">
        <v>1145</v>
      </c>
      <c r="G467" s="14" t="n">
        <v>17.5</v>
      </c>
      <c r="H467" s="14" t="n">
        <v>15.65</v>
      </c>
      <c r="I467" s="14" t="n">
        <v>17.5</v>
      </c>
      <c r="J467" s="22" t="n">
        <f aca="false">IF(E467="Priority",'Cost model'!N202,'Cost model'!M202)</f>
        <v>17.5</v>
      </c>
      <c r="K467" s="14" t="n">
        <f aca="false">J467-H467</f>
        <v>1.85</v>
      </c>
      <c r="L467" s="14" t="n">
        <f aca="false">G467-H467</f>
        <v>1.85</v>
      </c>
    </row>
    <row r="468" customFormat="false" ht="15" hidden="false" customHeight="false" outlineLevel="0" collapsed="false">
      <c r="A468" s="2" t="s">
        <v>184</v>
      </c>
      <c r="B468" s="2" t="s">
        <v>184</v>
      </c>
      <c r="C468" s="2" t="s">
        <v>48</v>
      </c>
      <c r="D468" s="2" t="s">
        <v>10</v>
      </c>
      <c r="E468" s="2" t="s">
        <v>76</v>
      </c>
      <c r="F468" s="2" t="s">
        <v>1145</v>
      </c>
      <c r="G468" s="14" t="n">
        <v>9.5</v>
      </c>
      <c r="H468" s="14" t="n">
        <v>7.46</v>
      </c>
      <c r="I468" s="14" t="n">
        <v>9.5</v>
      </c>
      <c r="J468" s="22" t="n">
        <f aca="false">IF(E468="Priority",'Cost model'!N200,'Cost model'!M200)</f>
        <v>7.5</v>
      </c>
      <c r="K468" s="14" t="n">
        <f aca="false">J468-H468</f>
        <v>0.04</v>
      </c>
      <c r="L468" s="14" t="n">
        <f aca="false">G468-H468</f>
        <v>2.04</v>
      </c>
    </row>
    <row r="469" customFormat="false" ht="15" hidden="false" customHeight="false" outlineLevel="0" collapsed="false">
      <c r="A469" s="2" t="s">
        <v>184</v>
      </c>
      <c r="B469" s="2" t="s">
        <v>184</v>
      </c>
      <c r="C469" s="2" t="s">
        <v>49</v>
      </c>
      <c r="D469" s="2" t="s">
        <v>12</v>
      </c>
      <c r="E469" s="2" t="s">
        <v>76</v>
      </c>
      <c r="F469" s="2" t="s">
        <v>1145</v>
      </c>
      <c r="G469" s="14" t="n">
        <v>12.5</v>
      </c>
      <c r="H469" s="14" t="n">
        <v>43.25</v>
      </c>
      <c r="I469" s="14"/>
      <c r="J469" s="22" t="n">
        <f aca="false">IF(E469="Priority",'Cost model'!N204,'Cost model'!M204)</f>
        <v>45</v>
      </c>
      <c r="K469" s="14" t="n">
        <f aca="false">J469-H469</f>
        <v>1.75</v>
      </c>
      <c r="L469" s="14" t="n">
        <f aca="false">G469-H469</f>
        <v>-30.75</v>
      </c>
    </row>
    <row r="470" customFormat="false" ht="15" hidden="false" customHeight="false" outlineLevel="0" collapsed="false">
      <c r="A470" s="2" t="s">
        <v>126</v>
      </c>
      <c r="B470" s="2" t="s">
        <v>126</v>
      </c>
      <c r="C470" s="2" t="s">
        <v>49</v>
      </c>
      <c r="D470" s="2" t="s">
        <v>12</v>
      </c>
      <c r="E470" s="2" t="s">
        <v>76</v>
      </c>
      <c r="F470" s="2" t="s">
        <v>1145</v>
      </c>
      <c r="G470" s="14" t="n">
        <v>12.5</v>
      </c>
      <c r="H470" s="14" t="n">
        <v>11.42</v>
      </c>
      <c r="I470" s="14" t="n">
        <v>12.5</v>
      </c>
      <c r="J470" s="22" t="n">
        <f aca="false">IF(E470="Priority",'Cost model'!N384,'Cost model'!M384)</f>
        <v>45</v>
      </c>
      <c r="K470" s="14" t="n">
        <f aca="false">J470-H470</f>
        <v>33.58</v>
      </c>
      <c r="L470" s="14" t="n">
        <f aca="false">G470-H470</f>
        <v>1.08</v>
      </c>
    </row>
    <row r="471" customFormat="false" ht="15" hidden="false" customHeight="false" outlineLevel="0" collapsed="false">
      <c r="A471" s="2" t="s">
        <v>184</v>
      </c>
      <c r="B471" s="2" t="s">
        <v>184</v>
      </c>
      <c r="C471" s="2" t="s">
        <v>49</v>
      </c>
      <c r="D471" s="2" t="s">
        <v>12</v>
      </c>
      <c r="E471" s="2" t="s">
        <v>76</v>
      </c>
      <c r="F471" s="2" t="s">
        <v>1145</v>
      </c>
      <c r="G471" s="14" t="n">
        <v>12.5</v>
      </c>
      <c r="H471" s="14" t="n">
        <v>46.53</v>
      </c>
      <c r="I471" s="14"/>
      <c r="J471" s="22" t="n">
        <f aca="false">IF(E471="Priority",'Cost model'!N204,'Cost model'!M204)</f>
        <v>45</v>
      </c>
      <c r="K471" s="14" t="n">
        <f aca="false">J471-H471</f>
        <v>-1.53</v>
      </c>
      <c r="L471" s="14" t="n">
        <f aca="false">G471-H471</f>
        <v>-34.03</v>
      </c>
    </row>
    <row r="472" customFormat="false" ht="15" hidden="false" customHeight="false" outlineLevel="0" collapsed="false">
      <c r="A472" s="2" t="s">
        <v>146</v>
      </c>
      <c r="B472" s="2" t="s">
        <v>184</v>
      </c>
      <c r="C472" s="2" t="s">
        <v>49</v>
      </c>
      <c r="D472" s="2" t="s">
        <v>10</v>
      </c>
      <c r="E472" s="2" t="s">
        <v>76</v>
      </c>
      <c r="F472" s="2" t="s">
        <v>1146</v>
      </c>
      <c r="G472" s="14" t="n">
        <v>17.5</v>
      </c>
      <c r="H472" s="14" t="n">
        <v>9.94</v>
      </c>
      <c r="I472" s="14" t="n">
        <v>14.5</v>
      </c>
      <c r="J472" s="22" t="n">
        <f aca="false">IF(E472="Priority",'Cost model'!N831,'Cost model'!M831)</f>
        <v>10.5</v>
      </c>
      <c r="K472" s="14" t="n">
        <f aca="false">J472-H472</f>
        <v>0.560000000000001</v>
      </c>
      <c r="L472" s="14" t="n">
        <f aca="false">G472-H472</f>
        <v>7.56</v>
      </c>
    </row>
    <row r="473" customFormat="false" ht="15" hidden="false" customHeight="false" outlineLevel="0" collapsed="false">
      <c r="A473" s="2" t="s">
        <v>184</v>
      </c>
      <c r="B473" s="2" t="s">
        <v>184</v>
      </c>
      <c r="C473" s="2" t="s">
        <v>48</v>
      </c>
      <c r="D473" s="2" t="s">
        <v>10</v>
      </c>
      <c r="E473" s="2" t="s">
        <v>76</v>
      </c>
      <c r="F473" s="2" t="s">
        <v>1145</v>
      </c>
      <c r="G473" s="14" t="n">
        <v>9.5</v>
      </c>
      <c r="H473" s="14" t="n">
        <v>5.94</v>
      </c>
      <c r="I473" s="14" t="n">
        <v>9.5</v>
      </c>
      <c r="J473" s="22" t="n">
        <f aca="false">IF(E473="Priority",'Cost model'!N200,'Cost model'!M200)</f>
        <v>7.5</v>
      </c>
      <c r="K473" s="14" t="n">
        <f aca="false">J473-H473</f>
        <v>1.56</v>
      </c>
      <c r="L473" s="14" t="n">
        <f aca="false">G473-H473</f>
        <v>3.56</v>
      </c>
    </row>
    <row r="474" customFormat="false" ht="15" hidden="false" customHeight="false" outlineLevel="0" collapsed="false">
      <c r="A474" s="2" t="s">
        <v>221</v>
      </c>
      <c r="B474" s="2" t="s">
        <v>221</v>
      </c>
      <c r="C474" s="2" t="s">
        <v>49</v>
      </c>
      <c r="D474" s="2" t="s">
        <v>12</v>
      </c>
      <c r="E474" s="2" t="s">
        <v>76</v>
      </c>
      <c r="F474" s="2" t="s">
        <v>1145</v>
      </c>
      <c r="G474" s="14" t="n">
        <v>12.5</v>
      </c>
      <c r="H474" s="14" t="n">
        <v>83.2</v>
      </c>
      <c r="I474" s="14" t="n">
        <v>12.5</v>
      </c>
      <c r="J474" s="22" t="n">
        <f aca="false">IF(E474="Priority",'Cost model'!N636,'Cost model'!M636)</f>
        <v>55</v>
      </c>
      <c r="K474" s="14" t="n">
        <f aca="false">J474-H474</f>
        <v>-28.2</v>
      </c>
      <c r="L474" s="14" t="n">
        <f aca="false">G474-H474</f>
        <v>-70.7</v>
      </c>
    </row>
    <row r="475" customFormat="false" ht="15" hidden="false" customHeight="false" outlineLevel="0" collapsed="false">
      <c r="A475" s="2" t="s">
        <v>240</v>
      </c>
      <c r="B475" s="2" t="s">
        <v>126</v>
      </c>
      <c r="C475" s="2" t="s">
        <v>50</v>
      </c>
      <c r="D475" s="2" t="s">
        <v>10</v>
      </c>
      <c r="E475" s="2" t="s">
        <v>76</v>
      </c>
      <c r="F475" s="2" t="s">
        <v>1146</v>
      </c>
      <c r="G475" s="14" t="n">
        <v>17.5</v>
      </c>
      <c r="H475" s="14" t="n">
        <v>24.17</v>
      </c>
      <c r="I475" s="14" t="n">
        <v>19.5</v>
      </c>
      <c r="J475" s="22" t="n">
        <f aca="false">IF(E475="Priority",'Cost model'!N958,'Cost model'!M958)</f>
        <v>24.5</v>
      </c>
      <c r="K475" s="14" t="n">
        <f aca="false">J475-H475</f>
        <v>0.329999999999998</v>
      </c>
      <c r="L475" s="14" t="n">
        <f aca="false">G475-H475</f>
        <v>-6.67</v>
      </c>
    </row>
    <row r="476" customFormat="false" ht="15" hidden="false" customHeight="false" outlineLevel="0" collapsed="false">
      <c r="A476" s="2" t="s">
        <v>146</v>
      </c>
      <c r="B476" s="2" t="s">
        <v>146</v>
      </c>
      <c r="C476" s="2" t="s">
        <v>50</v>
      </c>
      <c r="D476" s="2" t="s">
        <v>12</v>
      </c>
      <c r="E476" s="2" t="s">
        <v>76</v>
      </c>
      <c r="F476" s="2" t="s">
        <v>1145</v>
      </c>
      <c r="G476" s="14" t="n">
        <v>19.5</v>
      </c>
      <c r="H476" s="14" t="n">
        <v>43.59</v>
      </c>
      <c r="I476" s="14" t="n">
        <v>19.5</v>
      </c>
      <c r="J476" s="22" t="n">
        <f aca="false">IF(E476="Priority",'Cost model'!N763,'Cost model'!M763)</f>
        <v>50</v>
      </c>
      <c r="K476" s="14" t="n">
        <f aca="false">J476-H476</f>
        <v>6.41</v>
      </c>
      <c r="L476" s="14" t="n">
        <f aca="false">G476-H476</f>
        <v>-24.09</v>
      </c>
    </row>
    <row r="477" customFormat="false" ht="15" hidden="false" customHeight="false" outlineLevel="0" collapsed="false">
      <c r="A477" s="2" t="s">
        <v>184</v>
      </c>
      <c r="B477" s="2" t="s">
        <v>146</v>
      </c>
      <c r="C477" s="2" t="s">
        <v>50</v>
      </c>
      <c r="D477" s="2" t="s">
        <v>10</v>
      </c>
      <c r="E477" s="2" t="s">
        <v>76</v>
      </c>
      <c r="F477" s="2" t="s">
        <v>1146</v>
      </c>
      <c r="G477" s="14" t="n">
        <v>17.5</v>
      </c>
      <c r="H477" s="14" t="n">
        <v>14.84</v>
      </c>
      <c r="I477" s="14" t="n">
        <v>17.5</v>
      </c>
      <c r="J477" s="22" t="n">
        <f aca="false">IF(E477="Priority",'Cost model'!N148,'Cost model'!M148)</f>
        <v>21.5</v>
      </c>
      <c r="K477" s="14" t="n">
        <f aca="false">J477-H477</f>
        <v>6.66</v>
      </c>
      <c r="L477" s="14" t="n">
        <f aca="false">G477-H477</f>
        <v>2.66</v>
      </c>
    </row>
    <row r="478" customFormat="false" ht="15" hidden="false" customHeight="false" outlineLevel="0" collapsed="false">
      <c r="A478" s="2" t="s">
        <v>146</v>
      </c>
      <c r="B478" s="2" t="s">
        <v>146</v>
      </c>
      <c r="C478" s="2" t="s">
        <v>48</v>
      </c>
      <c r="D478" s="2" t="s">
        <v>12</v>
      </c>
      <c r="E478" s="2" t="s">
        <v>76</v>
      </c>
      <c r="F478" s="2" t="s">
        <v>1145</v>
      </c>
      <c r="G478" s="14" t="n">
        <v>9.5</v>
      </c>
      <c r="H478" s="14" t="n">
        <v>43.55</v>
      </c>
      <c r="I478" s="14" t="n">
        <v>9.5</v>
      </c>
      <c r="J478" s="22" t="n">
        <f aca="false">IF(E478="Priority",'Cost model'!N761,'Cost model'!M761)</f>
        <v>35</v>
      </c>
      <c r="K478" s="14" t="n">
        <f aca="false">J478-H478</f>
        <v>-8.55</v>
      </c>
      <c r="L478" s="14" t="n">
        <f aca="false">G478-H478</f>
        <v>-34.05</v>
      </c>
    </row>
    <row r="479" customFormat="false" ht="15" hidden="false" customHeight="false" outlineLevel="0" collapsed="false">
      <c r="A479" s="2" t="s">
        <v>126</v>
      </c>
      <c r="B479" s="2" t="s">
        <v>126</v>
      </c>
      <c r="C479" s="2" t="s">
        <v>48</v>
      </c>
      <c r="D479" s="2" t="s">
        <v>10</v>
      </c>
      <c r="E479" s="2" t="s">
        <v>76</v>
      </c>
      <c r="F479" s="2" t="s">
        <v>1145</v>
      </c>
      <c r="G479" s="14" t="n">
        <v>9.5</v>
      </c>
      <c r="H479" s="14" t="n">
        <v>7.72</v>
      </c>
      <c r="I479" s="14" t="n">
        <v>9.5</v>
      </c>
      <c r="J479" s="22" t="n">
        <f aca="false">IF(E479="Priority",'Cost model'!N380,'Cost model'!M380)</f>
        <v>8.5</v>
      </c>
      <c r="K479" s="14" t="n">
        <f aca="false">J479-H479</f>
        <v>0.78</v>
      </c>
      <c r="L479" s="14" t="n">
        <f aca="false">G479-H479</f>
        <v>1.78</v>
      </c>
    </row>
    <row r="480" customFormat="false" ht="15" hidden="false" customHeight="false" outlineLevel="0" collapsed="false">
      <c r="A480" s="2" t="s">
        <v>240</v>
      </c>
      <c r="B480" s="2" t="s">
        <v>165</v>
      </c>
      <c r="C480" s="2" t="s">
        <v>50</v>
      </c>
      <c r="D480" s="2" t="s">
        <v>10</v>
      </c>
      <c r="E480" s="2" t="s">
        <v>76</v>
      </c>
      <c r="F480" s="2" t="s">
        <v>1146</v>
      </c>
      <c r="G480" s="14" t="n">
        <v>17.5</v>
      </c>
      <c r="H480" s="14" t="n">
        <v>35.52</v>
      </c>
      <c r="I480" s="14" t="n">
        <v>17.5</v>
      </c>
      <c r="J480" s="22" t="n">
        <f aca="false">IF(E480="Priority",'Cost model'!N904,'Cost model'!M904)</f>
        <v>24.5</v>
      </c>
      <c r="K480" s="14" t="n">
        <f aca="false">J480-H480</f>
        <v>-11.02</v>
      </c>
      <c r="L480" s="14" t="n">
        <f aca="false">G480-H480</f>
        <v>-18.02</v>
      </c>
    </row>
    <row r="481" customFormat="false" ht="15" hidden="false" customHeight="false" outlineLevel="0" collapsed="false">
      <c r="A481" s="2" t="s">
        <v>146</v>
      </c>
      <c r="B481" s="2" t="s">
        <v>146</v>
      </c>
      <c r="C481" s="2" t="s">
        <v>49</v>
      </c>
      <c r="D481" s="2" t="s">
        <v>10</v>
      </c>
      <c r="E481" s="2" t="s">
        <v>76</v>
      </c>
      <c r="F481" s="2" t="s">
        <v>1145</v>
      </c>
      <c r="G481" s="14" t="n">
        <v>12.5</v>
      </c>
      <c r="H481" s="14" t="n">
        <v>11.51</v>
      </c>
      <c r="I481" s="14" t="n">
        <v>12.5</v>
      </c>
      <c r="J481" s="22" t="n">
        <f aca="false">IF(E481="Priority",'Cost model'!N759,'Cost model'!M759)</f>
        <v>15.5</v>
      </c>
      <c r="K481" s="14" t="n">
        <f aca="false">J481-H481</f>
        <v>3.99</v>
      </c>
      <c r="L481" s="14" t="n">
        <f aca="false">G481-H481</f>
        <v>0.99</v>
      </c>
    </row>
    <row r="482" customFormat="false" ht="15" hidden="false" customHeight="false" outlineLevel="0" collapsed="false">
      <c r="A482" s="2" t="s">
        <v>184</v>
      </c>
      <c r="B482" s="2" t="s">
        <v>184</v>
      </c>
      <c r="C482" s="2" t="s">
        <v>49</v>
      </c>
      <c r="D482" s="2" t="s">
        <v>13</v>
      </c>
      <c r="E482" s="2" t="s">
        <v>76</v>
      </c>
      <c r="F482" s="2" t="s">
        <v>1145</v>
      </c>
      <c r="G482" s="14" t="n">
        <v>24.5</v>
      </c>
      <c r="H482" s="14" t="n">
        <v>29.45</v>
      </c>
      <c r="I482" s="14"/>
      <c r="J482" s="22" t="n">
        <f aca="false">IF(E482="Priority",'Cost model'!N207,'Cost model'!M207)</f>
        <v>75</v>
      </c>
      <c r="K482" s="14" t="n">
        <f aca="false">J482-H482</f>
        <v>45.55</v>
      </c>
      <c r="L482" s="14" t="n">
        <f aca="false">G482-H482</f>
        <v>-4.95</v>
      </c>
    </row>
    <row r="483" customFormat="false" ht="15" hidden="false" customHeight="false" outlineLevel="0" collapsed="false">
      <c r="A483" s="2" t="s">
        <v>240</v>
      </c>
      <c r="B483" s="2" t="s">
        <v>126</v>
      </c>
      <c r="C483" s="2" t="s">
        <v>50</v>
      </c>
      <c r="D483" s="2" t="s">
        <v>14</v>
      </c>
      <c r="E483" s="2" t="s">
        <v>76</v>
      </c>
      <c r="F483" s="2" t="s">
        <v>1146</v>
      </c>
      <c r="G483" s="14" t="n">
        <v>125</v>
      </c>
      <c r="H483" s="14" t="n">
        <v>208.24</v>
      </c>
      <c r="I483" s="14" t="n">
        <v>250</v>
      </c>
      <c r="J483" s="22" t="n">
        <f aca="false">IF(E483="Priority",'Cost model'!N967,'Cost model'!M967)</f>
        <v>240</v>
      </c>
      <c r="K483" s="14" t="n">
        <f aca="false">J483-H483</f>
        <v>31.76</v>
      </c>
      <c r="L483" s="14" t="n">
        <f aca="false">G483-H483</f>
        <v>-83.24</v>
      </c>
    </row>
    <row r="484" customFormat="false" ht="15" hidden="false" customHeight="false" outlineLevel="0" collapsed="false">
      <c r="A484" s="2" t="s">
        <v>184</v>
      </c>
      <c r="B484" s="2" t="s">
        <v>184</v>
      </c>
      <c r="C484" s="2" t="s">
        <v>48</v>
      </c>
      <c r="D484" s="2" t="s">
        <v>10</v>
      </c>
      <c r="E484" s="2" t="s">
        <v>76</v>
      </c>
      <c r="F484" s="2" t="s">
        <v>1145</v>
      </c>
      <c r="G484" s="14" t="n">
        <v>9.5</v>
      </c>
      <c r="H484" s="14" t="n">
        <v>7.46</v>
      </c>
      <c r="I484" s="14" t="n">
        <v>9.5</v>
      </c>
      <c r="J484" s="22" t="n">
        <f aca="false">IF(E484="Priority",'Cost model'!N200,'Cost model'!M200)</f>
        <v>7.5</v>
      </c>
      <c r="K484" s="14" t="n">
        <f aca="false">J484-H484</f>
        <v>0.04</v>
      </c>
      <c r="L484" s="14" t="n">
        <f aca="false">G484-H484</f>
        <v>2.04</v>
      </c>
    </row>
    <row r="485" customFormat="false" ht="15" hidden="false" customHeight="false" outlineLevel="0" collapsed="false">
      <c r="A485" s="2" t="s">
        <v>126</v>
      </c>
      <c r="B485" s="2" t="s">
        <v>126</v>
      </c>
      <c r="C485" s="2" t="s">
        <v>48</v>
      </c>
      <c r="D485" s="2" t="s">
        <v>10</v>
      </c>
      <c r="E485" s="2" t="s">
        <v>76</v>
      </c>
      <c r="F485" s="2" t="s">
        <v>1145</v>
      </c>
      <c r="G485" s="14" t="n">
        <v>9.5</v>
      </c>
      <c r="H485" s="14" t="n">
        <v>7.45</v>
      </c>
      <c r="I485" s="14" t="n">
        <v>9.5</v>
      </c>
      <c r="J485" s="22" t="n">
        <f aca="false">IF(E485="Priority",'Cost model'!N380,'Cost model'!M380)</f>
        <v>8.5</v>
      </c>
      <c r="K485" s="14" t="n">
        <f aca="false">J485-H485</f>
        <v>1.05</v>
      </c>
      <c r="L485" s="14" t="n">
        <f aca="false">G485-H485</f>
        <v>2.05</v>
      </c>
    </row>
    <row r="486" customFormat="false" ht="15" hidden="false" customHeight="false" outlineLevel="0" collapsed="false">
      <c r="A486" s="2" t="s">
        <v>126</v>
      </c>
      <c r="B486" s="2" t="s">
        <v>126</v>
      </c>
      <c r="C486" s="2" t="s">
        <v>50</v>
      </c>
      <c r="D486" s="2" t="s">
        <v>15</v>
      </c>
      <c r="E486" s="2" t="s">
        <v>76</v>
      </c>
      <c r="F486" s="2" t="s">
        <v>1145</v>
      </c>
      <c r="G486" s="14" t="n">
        <v>250</v>
      </c>
      <c r="H486" s="14" t="n">
        <v>109.25</v>
      </c>
      <c r="I486" s="14" t="n">
        <v>250</v>
      </c>
      <c r="J486" s="22" t="n">
        <f aca="false">IF(E486="Priority",'Cost model'!N394,'Cost model'!M394)</f>
        <v>235</v>
      </c>
      <c r="K486" s="14" t="n">
        <f aca="false">J486-H486</f>
        <v>125.75</v>
      </c>
      <c r="L486" s="14" t="n">
        <f aca="false">G486-H486</f>
        <v>140.75</v>
      </c>
    </row>
    <row r="487" customFormat="false" ht="15" hidden="false" customHeight="false" outlineLevel="0" collapsed="false">
      <c r="A487" s="2" t="s">
        <v>126</v>
      </c>
      <c r="B487" s="2" t="s">
        <v>146</v>
      </c>
      <c r="C487" s="2" t="s">
        <v>48</v>
      </c>
      <c r="D487" s="2" t="s">
        <v>10</v>
      </c>
      <c r="E487" s="2" t="s">
        <v>76</v>
      </c>
      <c r="F487" s="2" t="s">
        <v>1146</v>
      </c>
      <c r="G487" s="14" t="n">
        <v>9.5</v>
      </c>
      <c r="H487" s="14" t="n">
        <v>10.76</v>
      </c>
      <c r="I487" s="14" t="n">
        <v>14.5</v>
      </c>
      <c r="J487" s="22" t="n">
        <f aca="false">IF(E487="Priority",'Cost model'!N398,'Cost model'!M398)</f>
        <v>15.5</v>
      </c>
      <c r="K487" s="14" t="n">
        <f aca="false">J487-H487</f>
        <v>4.74</v>
      </c>
      <c r="L487" s="14" t="n">
        <f aca="false">G487-H487</f>
        <v>-1.26</v>
      </c>
    </row>
    <row r="488" customFormat="false" ht="15" hidden="false" customHeight="false" outlineLevel="0" collapsed="false">
      <c r="A488" s="2" t="s">
        <v>165</v>
      </c>
      <c r="B488" s="2" t="s">
        <v>146</v>
      </c>
      <c r="C488" s="2" t="s">
        <v>50</v>
      </c>
      <c r="D488" s="2" t="s">
        <v>10</v>
      </c>
      <c r="E488" s="2" t="s">
        <v>76</v>
      </c>
      <c r="F488" s="2" t="s">
        <v>1146</v>
      </c>
      <c r="G488" s="14" t="n">
        <v>17.5</v>
      </c>
      <c r="H488" s="14" t="n">
        <v>24.48</v>
      </c>
      <c r="I488" s="14" t="n">
        <v>17.5</v>
      </c>
      <c r="J488" s="22" t="n">
        <f aca="false">IF(E488="Priority",'Cost model'!N526,'Cost model'!M526)</f>
        <v>20.5</v>
      </c>
      <c r="K488" s="14" t="n">
        <f aca="false">J488-H488</f>
        <v>-3.98</v>
      </c>
      <c r="L488" s="14" t="n">
        <f aca="false">G488-H488</f>
        <v>-6.98</v>
      </c>
    </row>
    <row r="489" customFormat="false" ht="15" hidden="false" customHeight="false" outlineLevel="0" collapsed="false">
      <c r="A489" s="2" t="s">
        <v>126</v>
      </c>
      <c r="B489" s="2" t="s">
        <v>126</v>
      </c>
      <c r="C489" s="2" t="s">
        <v>50</v>
      </c>
      <c r="D489" s="2" t="s">
        <v>16</v>
      </c>
      <c r="E489" s="2" t="s">
        <v>76</v>
      </c>
      <c r="F489" s="2" t="s">
        <v>1145</v>
      </c>
      <c r="G489" s="14" t="n">
        <v>300</v>
      </c>
      <c r="H489" s="14" t="n">
        <v>524.58</v>
      </c>
      <c r="I489" s="14" t="n">
        <v>250</v>
      </c>
      <c r="J489" s="22" t="n">
        <f aca="false">IF(E489="Priority",'Cost model'!N397,'Cost model'!M397)</f>
        <v>295</v>
      </c>
      <c r="K489" s="14" t="n">
        <f aca="false">J489-H489</f>
        <v>-229.58</v>
      </c>
      <c r="L489" s="14" t="n">
        <f aca="false">G489-H489</f>
        <v>-224.58</v>
      </c>
    </row>
    <row r="490" customFormat="false" ht="15" hidden="false" customHeight="false" outlineLevel="0" collapsed="false">
      <c r="A490" s="2" t="s">
        <v>184</v>
      </c>
      <c r="B490" s="2" t="s">
        <v>126</v>
      </c>
      <c r="C490" s="2" t="s">
        <v>49</v>
      </c>
      <c r="D490" s="2" t="s">
        <v>12</v>
      </c>
      <c r="E490" s="2" t="s">
        <v>76</v>
      </c>
      <c r="F490" s="2" t="s">
        <v>1146</v>
      </c>
      <c r="G490" s="14" t="n">
        <v>12.5</v>
      </c>
      <c r="H490" s="14" t="n">
        <v>8.92</v>
      </c>
      <c r="I490" s="14"/>
      <c r="J490" s="22" t="n">
        <f aca="false">IF(E490="Priority",'Cost model'!N132,'Cost model'!M132)</f>
        <v>50</v>
      </c>
      <c r="K490" s="14" t="n">
        <f aca="false">J490-H490</f>
        <v>41.08</v>
      </c>
      <c r="L490" s="14" t="n">
        <f aca="false">G490-H490</f>
        <v>3.58</v>
      </c>
    </row>
    <row r="491" customFormat="false" ht="15" hidden="false" customHeight="false" outlineLevel="0" collapsed="false">
      <c r="A491" s="2" t="s">
        <v>126</v>
      </c>
      <c r="B491" s="2" t="s">
        <v>126</v>
      </c>
      <c r="C491" s="2" t="s">
        <v>50</v>
      </c>
      <c r="D491" s="2" t="s">
        <v>12</v>
      </c>
      <c r="E491" s="2" t="s">
        <v>85</v>
      </c>
      <c r="F491" s="2" t="s">
        <v>1145</v>
      </c>
      <c r="G491" s="14" t="n">
        <v>29.5</v>
      </c>
      <c r="H491" s="14" t="n">
        <v>102.85</v>
      </c>
      <c r="I491" s="14" t="n">
        <v>29.5</v>
      </c>
      <c r="J491" s="22" t="n">
        <f aca="false">IF(E491="Priority",'Cost model'!N385,'Cost model'!M385)</f>
        <v>70</v>
      </c>
      <c r="K491" s="14" t="n">
        <f aca="false">J491-H491</f>
        <v>-32.85</v>
      </c>
      <c r="L491" s="14" t="n">
        <f aca="false">G491-H491</f>
        <v>-73.35</v>
      </c>
    </row>
    <row r="492" customFormat="false" ht="15" hidden="false" customHeight="false" outlineLevel="0" collapsed="false">
      <c r="A492" s="2" t="s">
        <v>146</v>
      </c>
      <c r="B492" s="2" t="s">
        <v>146</v>
      </c>
      <c r="C492" s="2" t="s">
        <v>50</v>
      </c>
      <c r="D492" s="2" t="s">
        <v>12</v>
      </c>
      <c r="E492" s="2" t="s">
        <v>76</v>
      </c>
      <c r="F492" s="2" t="s">
        <v>1145</v>
      </c>
      <c r="G492" s="14" t="n">
        <v>19.5</v>
      </c>
      <c r="H492" s="14" t="n">
        <v>42.61</v>
      </c>
      <c r="I492" s="14" t="n">
        <v>19.5</v>
      </c>
      <c r="J492" s="22" t="n">
        <f aca="false">IF(E492="Priority",'Cost model'!N763,'Cost model'!M763)</f>
        <v>50</v>
      </c>
      <c r="K492" s="14" t="n">
        <f aca="false">J492-H492</f>
        <v>7.39</v>
      </c>
      <c r="L492" s="14" t="n">
        <f aca="false">G492-H492</f>
        <v>-23.11</v>
      </c>
    </row>
    <row r="493" customFormat="false" ht="15" hidden="false" customHeight="false" outlineLevel="0" collapsed="false">
      <c r="A493" s="2" t="s">
        <v>240</v>
      </c>
      <c r="B493" s="2" t="s">
        <v>240</v>
      </c>
      <c r="C493" s="2" t="s">
        <v>48</v>
      </c>
      <c r="D493" s="2" t="s">
        <v>10</v>
      </c>
      <c r="E493" s="2" t="s">
        <v>85</v>
      </c>
      <c r="F493" s="2" t="s">
        <v>1145</v>
      </c>
      <c r="G493" s="14" t="n">
        <v>14.5</v>
      </c>
      <c r="H493" s="14" t="n">
        <v>24.63</v>
      </c>
      <c r="I493" s="14" t="n">
        <v>14.5</v>
      </c>
      <c r="J493" s="22" t="n">
        <f aca="false">IF(E493="Priority",'Cost model'!N884,'Cost model'!M884)</f>
        <v>12.5</v>
      </c>
      <c r="K493" s="14" t="n">
        <f aca="false">J493-H493</f>
        <v>-12.13</v>
      </c>
      <c r="L493" s="14" t="n">
        <f aca="false">G493-H493</f>
        <v>-10.13</v>
      </c>
    </row>
    <row r="494" customFormat="false" ht="15" hidden="false" customHeight="false" outlineLevel="0" collapsed="false">
      <c r="A494" s="2" t="s">
        <v>184</v>
      </c>
      <c r="B494" s="2" t="s">
        <v>184</v>
      </c>
      <c r="C494" s="2" t="s">
        <v>48</v>
      </c>
      <c r="D494" s="2" t="s">
        <v>13</v>
      </c>
      <c r="E494" s="2" t="s">
        <v>76</v>
      </c>
      <c r="F494" s="2" t="s">
        <v>1145</v>
      </c>
      <c r="G494" s="14" t="n">
        <v>19</v>
      </c>
      <c r="H494" s="14" t="n">
        <v>58.96</v>
      </c>
      <c r="I494" s="14" t="n">
        <v>19</v>
      </c>
      <c r="J494" s="22" t="n">
        <f aca="false">IF(E494="Priority",'Cost model'!N206,'Cost model'!M206)</f>
        <v>55</v>
      </c>
      <c r="K494" s="14" t="n">
        <f aca="false">J494-H494</f>
        <v>-3.96</v>
      </c>
      <c r="L494" s="14" t="n">
        <f aca="false">G494-H494</f>
        <v>-39.96</v>
      </c>
    </row>
    <row r="495" customFormat="false" ht="15" hidden="false" customHeight="false" outlineLevel="0" collapsed="false">
      <c r="A495" s="2" t="s">
        <v>126</v>
      </c>
      <c r="B495" s="2" t="s">
        <v>125</v>
      </c>
      <c r="C495" s="2" t="s">
        <v>49</v>
      </c>
      <c r="D495" s="2" t="s">
        <v>12</v>
      </c>
      <c r="E495" s="2" t="s">
        <v>76</v>
      </c>
      <c r="F495" s="2" t="s">
        <v>1146</v>
      </c>
      <c r="G495" s="14" t="n">
        <v>24.5</v>
      </c>
      <c r="H495" s="14" t="n">
        <v>66.09</v>
      </c>
      <c r="I495" s="14" t="n">
        <v>24.5</v>
      </c>
      <c r="J495" s="22" t="n">
        <f aca="false">IF(E495="Priority",'Cost model'!N474,'Cost model'!M474)</f>
        <v>65</v>
      </c>
      <c r="K495" s="14" t="n">
        <f aca="false">J495-H495</f>
        <v>-1.09</v>
      </c>
      <c r="L495" s="14" t="n">
        <f aca="false">G495-H495</f>
        <v>-41.59</v>
      </c>
    </row>
    <row r="496" customFormat="false" ht="15" hidden="false" customHeight="false" outlineLevel="0" collapsed="false">
      <c r="A496" s="2" t="s">
        <v>165</v>
      </c>
      <c r="B496" s="2" t="s">
        <v>165</v>
      </c>
      <c r="C496" s="2" t="s">
        <v>48</v>
      </c>
      <c r="D496" s="2" t="s">
        <v>10</v>
      </c>
      <c r="E496" s="2" t="s">
        <v>76</v>
      </c>
      <c r="F496" s="2" t="s">
        <v>1145</v>
      </c>
      <c r="G496" s="14" t="n">
        <v>9.5</v>
      </c>
      <c r="H496" s="14" t="n">
        <v>7.93</v>
      </c>
      <c r="I496" s="14" t="n">
        <v>9.5</v>
      </c>
      <c r="J496" s="22" t="n">
        <f aca="false">IF(E496="Priority",'Cost model'!N506,'Cost model'!M506)</f>
        <v>7.5</v>
      </c>
      <c r="K496" s="14" t="n">
        <f aca="false">J496-H496</f>
        <v>-0.43</v>
      </c>
      <c r="L496" s="14" t="n">
        <f aca="false">G496-H496</f>
        <v>1.57</v>
      </c>
    </row>
    <row r="497" customFormat="false" ht="15" hidden="false" customHeight="false" outlineLevel="0" collapsed="false">
      <c r="A497" s="2" t="s">
        <v>126</v>
      </c>
      <c r="B497" s="2" t="s">
        <v>126</v>
      </c>
      <c r="C497" s="2" t="s">
        <v>48</v>
      </c>
      <c r="D497" s="2" t="s">
        <v>10</v>
      </c>
      <c r="E497" s="2" t="s">
        <v>76</v>
      </c>
      <c r="F497" s="2" t="s">
        <v>1145</v>
      </c>
      <c r="G497" s="14" t="n">
        <v>9.5</v>
      </c>
      <c r="H497" s="14" t="n">
        <v>6.12</v>
      </c>
      <c r="I497" s="14" t="n">
        <v>9.5</v>
      </c>
      <c r="J497" s="22" t="n">
        <f aca="false">IF(E497="Priority",'Cost model'!N380,'Cost model'!M380)</f>
        <v>8.5</v>
      </c>
      <c r="K497" s="14" t="n">
        <f aca="false">J497-H497</f>
        <v>2.38</v>
      </c>
      <c r="L497" s="14" t="n">
        <f aca="false">G497-H497</f>
        <v>3.38</v>
      </c>
    </row>
    <row r="498" customFormat="false" ht="15" hidden="false" customHeight="false" outlineLevel="0" collapsed="false">
      <c r="A498" s="2" t="s">
        <v>146</v>
      </c>
      <c r="B498" s="2" t="s">
        <v>146</v>
      </c>
      <c r="C498" s="2" t="s">
        <v>48</v>
      </c>
      <c r="D498" s="2" t="s">
        <v>10</v>
      </c>
      <c r="E498" s="2" t="s">
        <v>76</v>
      </c>
      <c r="F498" s="2" t="s">
        <v>1145</v>
      </c>
      <c r="G498" s="14" t="n">
        <v>9.5</v>
      </c>
      <c r="H498" s="14" t="n">
        <v>9.19</v>
      </c>
      <c r="I498" s="14" t="n">
        <v>9.5</v>
      </c>
      <c r="J498" s="22" t="n">
        <f aca="false">IF(E498="Priority",'Cost model'!N758,'Cost model'!M758)</f>
        <v>9.5</v>
      </c>
      <c r="K498" s="14" t="n">
        <f aca="false">J498-H498</f>
        <v>0.310000000000001</v>
      </c>
      <c r="L498" s="14" t="n">
        <f aca="false">G498-H498</f>
        <v>0.310000000000001</v>
      </c>
    </row>
    <row r="499" customFormat="false" ht="15" hidden="false" customHeight="false" outlineLevel="0" collapsed="false">
      <c r="A499" s="2" t="s">
        <v>184</v>
      </c>
      <c r="B499" s="2" t="s">
        <v>184</v>
      </c>
      <c r="C499" s="2" t="s">
        <v>48</v>
      </c>
      <c r="D499" s="2" t="s">
        <v>10</v>
      </c>
      <c r="E499" s="2" t="s">
        <v>76</v>
      </c>
      <c r="F499" s="2" t="s">
        <v>1145</v>
      </c>
      <c r="G499" s="14" t="n">
        <v>24.5</v>
      </c>
      <c r="H499" s="14" t="n">
        <v>43.25</v>
      </c>
      <c r="I499" s="14" t="n">
        <v>9.5</v>
      </c>
      <c r="J499" s="22" t="n">
        <f aca="false">IF(E499="Priority",'Cost model'!N200,'Cost model'!M200)</f>
        <v>7.5</v>
      </c>
      <c r="K499" s="14" t="n">
        <f aca="false">J499-H499</f>
        <v>-35.75</v>
      </c>
      <c r="L499" s="14" t="n">
        <f aca="false">G499-H499</f>
        <v>-18.75</v>
      </c>
    </row>
    <row r="500" customFormat="false" ht="15" hidden="false" customHeight="false" outlineLevel="0" collapsed="false">
      <c r="A500" s="2" t="s">
        <v>221</v>
      </c>
      <c r="B500" s="2" t="s">
        <v>221</v>
      </c>
      <c r="C500" s="2" t="s">
        <v>49</v>
      </c>
      <c r="D500" s="2" t="s">
        <v>12</v>
      </c>
      <c r="E500" s="2" t="s">
        <v>76</v>
      </c>
      <c r="F500" s="2" t="s">
        <v>1145</v>
      </c>
      <c r="G500" s="14" t="n">
        <v>12.5</v>
      </c>
      <c r="H500" s="14" t="n">
        <v>28.62</v>
      </c>
      <c r="I500" s="14" t="n">
        <v>12.5</v>
      </c>
      <c r="J500" s="22" t="n">
        <f aca="false">IF(E500="Priority",'Cost model'!N636,'Cost model'!M636)</f>
        <v>55</v>
      </c>
      <c r="K500" s="14" t="n">
        <f aca="false">J500-H500</f>
        <v>26.38</v>
      </c>
      <c r="L500" s="14" t="n">
        <f aca="false">G500-H500</f>
        <v>-16.12</v>
      </c>
    </row>
    <row r="501" customFormat="false" ht="15" hidden="false" customHeight="false" outlineLevel="0" collapsed="false">
      <c r="A501" s="2" t="s">
        <v>184</v>
      </c>
      <c r="B501" s="2" t="s">
        <v>184</v>
      </c>
      <c r="C501" s="2" t="s">
        <v>48</v>
      </c>
      <c r="D501" s="2" t="s">
        <v>12</v>
      </c>
      <c r="E501" s="2" t="s">
        <v>76</v>
      </c>
      <c r="F501" s="2" t="s">
        <v>1145</v>
      </c>
      <c r="G501" s="14" t="n">
        <v>9.5</v>
      </c>
      <c r="H501" s="14" t="n">
        <v>28.68</v>
      </c>
      <c r="I501" s="14" t="n">
        <v>9.5</v>
      </c>
      <c r="J501" s="22" t="n">
        <f aca="false">IF(E501="Priority",'Cost model'!N203,'Cost model'!M203)</f>
        <v>26.5</v>
      </c>
      <c r="K501" s="14" t="n">
        <f aca="false">J501-H501</f>
        <v>-2.18</v>
      </c>
      <c r="L501" s="14" t="n">
        <f aca="false">G501-H501</f>
        <v>-19.18</v>
      </c>
    </row>
    <row r="502" customFormat="false" ht="15" hidden="false" customHeight="false" outlineLevel="0" collapsed="false">
      <c r="A502" s="2" t="s">
        <v>165</v>
      </c>
      <c r="B502" s="2" t="s">
        <v>165</v>
      </c>
      <c r="C502" s="2" t="s">
        <v>48</v>
      </c>
      <c r="D502" s="2" t="s">
        <v>10</v>
      </c>
      <c r="E502" s="2" t="s">
        <v>85</v>
      </c>
      <c r="F502" s="2" t="s">
        <v>1145</v>
      </c>
      <c r="G502" s="14" t="n">
        <v>14.5</v>
      </c>
      <c r="H502" s="14" t="n">
        <v>8.04</v>
      </c>
      <c r="I502" s="14" t="n">
        <v>14.5</v>
      </c>
      <c r="J502" s="22" t="n">
        <f aca="false">IF(E502="Priority",'Cost model'!N506,'Cost model'!M506)</f>
        <v>12.5</v>
      </c>
      <c r="K502" s="14" t="n">
        <f aca="false">J502-H502</f>
        <v>4.46</v>
      </c>
      <c r="L502" s="14" t="n">
        <f aca="false">G502-H502</f>
        <v>6.46</v>
      </c>
    </row>
    <row r="503" customFormat="false" ht="15" hidden="false" customHeight="false" outlineLevel="0" collapsed="false">
      <c r="A503" s="2" t="s">
        <v>126</v>
      </c>
      <c r="B503" s="2" t="s">
        <v>126</v>
      </c>
      <c r="C503" s="2" t="s">
        <v>50</v>
      </c>
      <c r="D503" s="2" t="s">
        <v>10</v>
      </c>
      <c r="E503" s="2" t="s">
        <v>76</v>
      </c>
      <c r="F503" s="2" t="s">
        <v>1145</v>
      </c>
      <c r="G503" s="14" t="n">
        <v>17.5</v>
      </c>
      <c r="H503" s="14" t="n">
        <v>21.34</v>
      </c>
      <c r="I503" s="14" t="n">
        <v>17.5</v>
      </c>
      <c r="J503" s="22" t="n">
        <f aca="false">IF(E503="Priority",'Cost model'!N382,'Cost model'!M382)</f>
        <v>18.5</v>
      </c>
      <c r="K503" s="14" t="n">
        <f aca="false">J503-H503</f>
        <v>-2.84</v>
      </c>
      <c r="L503" s="14" t="n">
        <f aca="false">G503-H503</f>
        <v>-3.84</v>
      </c>
    </row>
    <row r="504" customFormat="false" ht="15" hidden="false" customHeight="false" outlineLevel="0" collapsed="false">
      <c r="A504" s="2" t="s">
        <v>126</v>
      </c>
      <c r="B504" s="2" t="s">
        <v>126</v>
      </c>
      <c r="C504" s="2" t="s">
        <v>48</v>
      </c>
      <c r="D504" s="2" t="s">
        <v>12</v>
      </c>
      <c r="E504" s="2" t="s">
        <v>76</v>
      </c>
      <c r="F504" s="2" t="s">
        <v>1145</v>
      </c>
      <c r="G504" s="14" t="n">
        <v>9.5</v>
      </c>
      <c r="H504" s="14" t="n">
        <v>7.46</v>
      </c>
      <c r="I504" s="14" t="n">
        <v>9.5</v>
      </c>
      <c r="J504" s="22" t="n">
        <f aca="false">IF(E504="Priority",'Cost model'!N383,'Cost model'!M383)</f>
        <v>27.5</v>
      </c>
      <c r="K504" s="14" t="n">
        <f aca="false">J504-H504</f>
        <v>20.04</v>
      </c>
      <c r="L504" s="14" t="n">
        <f aca="false">G504-H504</f>
        <v>2.04</v>
      </c>
    </row>
    <row r="505" customFormat="false" ht="15" hidden="false" customHeight="false" outlineLevel="0" collapsed="false">
      <c r="A505" s="2" t="s">
        <v>125</v>
      </c>
      <c r="B505" s="2" t="s">
        <v>125</v>
      </c>
      <c r="C505" s="2" t="s">
        <v>48</v>
      </c>
      <c r="D505" s="2" t="s">
        <v>10</v>
      </c>
      <c r="E505" s="2" t="s">
        <v>85</v>
      </c>
      <c r="F505" s="2" t="s">
        <v>1145</v>
      </c>
      <c r="G505" s="14" t="n">
        <v>14.5</v>
      </c>
      <c r="H505" s="14" t="n">
        <v>21.61</v>
      </c>
      <c r="I505" s="14" t="n">
        <v>14.5</v>
      </c>
      <c r="J505" s="22" t="n">
        <f aca="false">IF(E505="Priority",'Cost model'!N74,'Cost model'!M74)</f>
        <v>29.5</v>
      </c>
      <c r="K505" s="14" t="n">
        <f aca="false">J505-H505</f>
        <v>7.89</v>
      </c>
      <c r="L505" s="14" t="n">
        <f aca="false">G505-H505</f>
        <v>-7.11</v>
      </c>
    </row>
    <row r="506" customFormat="false" ht="15" hidden="false" customHeight="false" outlineLevel="0" collapsed="false">
      <c r="A506" s="2" t="s">
        <v>184</v>
      </c>
      <c r="B506" s="2" t="s">
        <v>184</v>
      </c>
      <c r="C506" s="2" t="s">
        <v>49</v>
      </c>
      <c r="D506" s="2" t="s">
        <v>12</v>
      </c>
      <c r="E506" s="2" t="s">
        <v>76</v>
      </c>
      <c r="F506" s="2" t="s">
        <v>1145</v>
      </c>
      <c r="G506" s="14" t="n">
        <v>24.5</v>
      </c>
      <c r="H506" s="14" t="n">
        <v>43.25</v>
      </c>
      <c r="I506" s="14"/>
      <c r="J506" s="22" t="n">
        <f aca="false">IF(E506="Priority",'Cost model'!N204,'Cost model'!M204)</f>
        <v>45</v>
      </c>
      <c r="K506" s="14" t="n">
        <f aca="false">J506-H506</f>
        <v>1.75</v>
      </c>
      <c r="L506" s="14" t="n">
        <f aca="false">G506-H506</f>
        <v>-18.75</v>
      </c>
    </row>
    <row r="507" customFormat="false" ht="15" hidden="false" customHeight="false" outlineLevel="0" collapsed="false">
      <c r="A507" s="2" t="s">
        <v>184</v>
      </c>
      <c r="B507" s="2" t="s">
        <v>184</v>
      </c>
      <c r="C507" s="2" t="s">
        <v>49</v>
      </c>
      <c r="D507" s="2" t="s">
        <v>10</v>
      </c>
      <c r="E507" s="2" t="s">
        <v>76</v>
      </c>
      <c r="F507" s="2" t="s">
        <v>1145</v>
      </c>
      <c r="G507" s="14" t="n">
        <v>12.5</v>
      </c>
      <c r="H507" s="14" t="n">
        <v>7.02</v>
      </c>
      <c r="I507" s="14"/>
      <c r="J507" s="22" t="n">
        <f aca="false">IF(E507="Priority",'Cost model'!N201,'Cost model'!M201)</f>
        <v>12.5</v>
      </c>
      <c r="K507" s="14" t="n">
        <f aca="false">J507-H507</f>
        <v>5.48</v>
      </c>
      <c r="L507" s="14" t="n">
        <f aca="false">G507-H507</f>
        <v>5.48</v>
      </c>
    </row>
    <row r="508" customFormat="false" ht="15" hidden="false" customHeight="false" outlineLevel="0" collapsed="false">
      <c r="A508" s="2" t="s">
        <v>184</v>
      </c>
      <c r="B508" s="2" t="s">
        <v>184</v>
      </c>
      <c r="C508" s="2" t="s">
        <v>48</v>
      </c>
      <c r="D508" s="2" t="s">
        <v>12</v>
      </c>
      <c r="E508" s="2" t="s">
        <v>76</v>
      </c>
      <c r="F508" s="2" t="s">
        <v>1145</v>
      </c>
      <c r="G508" s="14" t="n">
        <v>9.5</v>
      </c>
      <c r="H508" s="14" t="n">
        <v>7.72</v>
      </c>
      <c r="I508" s="14" t="n">
        <v>9.5</v>
      </c>
      <c r="J508" s="22" t="n">
        <f aca="false">IF(E508="Priority",'Cost model'!N203,'Cost model'!M203)</f>
        <v>26.5</v>
      </c>
      <c r="K508" s="14" t="n">
        <f aca="false">J508-H508</f>
        <v>18.78</v>
      </c>
      <c r="L508" s="14" t="n">
        <f aca="false">G508-H508</f>
        <v>1.78</v>
      </c>
    </row>
    <row r="509" customFormat="false" ht="15" hidden="false" customHeight="false" outlineLevel="0" collapsed="false">
      <c r="A509" s="2" t="s">
        <v>184</v>
      </c>
      <c r="B509" s="2" t="s">
        <v>184</v>
      </c>
      <c r="C509" s="2" t="s">
        <v>48</v>
      </c>
      <c r="D509" s="2" t="s">
        <v>12</v>
      </c>
      <c r="E509" s="2" t="s">
        <v>76</v>
      </c>
      <c r="F509" s="2" t="s">
        <v>1145</v>
      </c>
      <c r="G509" s="14" t="n">
        <v>9.5</v>
      </c>
      <c r="H509" s="14" t="n">
        <v>7.72</v>
      </c>
      <c r="I509" s="14" t="n">
        <v>9.5</v>
      </c>
      <c r="J509" s="22" t="n">
        <f aca="false">IF(E509="Priority",'Cost model'!N203,'Cost model'!M203)</f>
        <v>26.5</v>
      </c>
      <c r="K509" s="14" t="n">
        <f aca="false">J509-H509</f>
        <v>18.78</v>
      </c>
      <c r="L509" s="14" t="n">
        <f aca="false">G509-H509</f>
        <v>1.78</v>
      </c>
    </row>
    <row r="510" customFormat="false" ht="15" hidden="false" customHeight="false" outlineLevel="0" collapsed="false">
      <c r="A510" s="2" t="s">
        <v>126</v>
      </c>
      <c r="B510" s="2" t="s">
        <v>126</v>
      </c>
      <c r="C510" s="2" t="s">
        <v>49</v>
      </c>
      <c r="D510" s="2" t="s">
        <v>10</v>
      </c>
      <c r="E510" s="2" t="s">
        <v>76</v>
      </c>
      <c r="F510" s="2" t="s">
        <v>1145</v>
      </c>
      <c r="G510" s="14" t="n">
        <v>12.5</v>
      </c>
      <c r="H510" s="14" t="n">
        <v>21.14</v>
      </c>
      <c r="I510" s="14" t="n">
        <v>12.5</v>
      </c>
      <c r="J510" s="22" t="n">
        <f aca="false">IF(E510="Priority",'Cost model'!N381,'Cost model'!M381)</f>
        <v>14.5</v>
      </c>
      <c r="K510" s="14" t="n">
        <f aca="false">J510-H510</f>
        <v>-6.64</v>
      </c>
      <c r="L510" s="14" t="n">
        <f aca="false">G510-H510</f>
        <v>-8.64</v>
      </c>
    </row>
    <row r="511" customFormat="false" ht="15" hidden="false" customHeight="false" outlineLevel="0" collapsed="false">
      <c r="A511" s="2" t="s">
        <v>126</v>
      </c>
      <c r="B511" s="2" t="s">
        <v>146</v>
      </c>
      <c r="C511" s="2" t="s">
        <v>50</v>
      </c>
      <c r="D511" s="2" t="s">
        <v>10</v>
      </c>
      <c r="E511" s="2" t="s">
        <v>76</v>
      </c>
      <c r="F511" s="2" t="s">
        <v>1146</v>
      </c>
      <c r="G511" s="14" t="n">
        <v>17.5</v>
      </c>
      <c r="H511" s="14" t="n">
        <v>21.61</v>
      </c>
      <c r="I511" s="14" t="n">
        <v>17.5</v>
      </c>
      <c r="J511" s="22" t="n">
        <f aca="false">IF(E511="Priority",'Cost model'!N400,'Cost model'!M400)</f>
        <v>20.5</v>
      </c>
      <c r="K511" s="14" t="n">
        <f aca="false">J511-H511</f>
        <v>-1.11</v>
      </c>
      <c r="L511" s="14" t="n">
        <f aca="false">G511-H511</f>
        <v>-4.11</v>
      </c>
    </row>
    <row r="512" customFormat="false" ht="15" hidden="false" customHeight="false" outlineLevel="0" collapsed="false">
      <c r="A512" s="2" t="s">
        <v>385</v>
      </c>
      <c r="B512" s="2" t="s">
        <v>165</v>
      </c>
      <c r="C512" s="2" t="s">
        <v>48</v>
      </c>
      <c r="D512" s="2" t="s">
        <v>10</v>
      </c>
      <c r="E512" s="2" t="s">
        <v>76</v>
      </c>
      <c r="F512" s="2" t="s">
        <v>1146</v>
      </c>
      <c r="G512" s="14" t="n">
        <v>19.5</v>
      </c>
      <c r="H512" s="14" t="n">
        <v>24.63</v>
      </c>
      <c r="I512" s="14" t="n">
        <v>19.5</v>
      </c>
      <c r="J512" s="22" t="n">
        <f aca="false">IF(E512="Priority",'Cost model'!N254,'Cost model'!M254)</f>
        <v>20.5</v>
      </c>
      <c r="K512" s="14" t="n">
        <f aca="false">J512-H512</f>
        <v>-4.13</v>
      </c>
      <c r="L512" s="14" t="n">
        <f aca="false">G512-H512</f>
        <v>-5.13</v>
      </c>
    </row>
    <row r="513" customFormat="false" ht="15" hidden="false" customHeight="false" outlineLevel="0" collapsed="false">
      <c r="A513" s="2" t="s">
        <v>184</v>
      </c>
      <c r="B513" s="2" t="s">
        <v>184</v>
      </c>
      <c r="C513" s="2" t="s">
        <v>49</v>
      </c>
      <c r="D513" s="2" t="s">
        <v>12</v>
      </c>
      <c r="E513" s="2" t="s">
        <v>76</v>
      </c>
      <c r="F513" s="2" t="s">
        <v>1145</v>
      </c>
      <c r="G513" s="14" t="n">
        <v>12.5</v>
      </c>
      <c r="H513" s="14" t="n">
        <v>30.55</v>
      </c>
      <c r="I513" s="14"/>
      <c r="J513" s="22" t="n">
        <f aca="false">IF(E513="Priority",'Cost model'!N204,'Cost model'!M204)</f>
        <v>45</v>
      </c>
      <c r="K513" s="14" t="n">
        <f aca="false">J513-H513</f>
        <v>14.45</v>
      </c>
      <c r="L513" s="14" t="n">
        <f aca="false">G513-H513</f>
        <v>-18.05</v>
      </c>
    </row>
    <row r="514" customFormat="false" ht="15" hidden="false" customHeight="false" outlineLevel="0" collapsed="false">
      <c r="A514" s="2" t="s">
        <v>184</v>
      </c>
      <c r="B514" s="2" t="s">
        <v>184</v>
      </c>
      <c r="C514" s="2" t="s">
        <v>48</v>
      </c>
      <c r="D514" s="2" t="s">
        <v>10</v>
      </c>
      <c r="E514" s="2" t="s">
        <v>85</v>
      </c>
      <c r="F514" s="2" t="s">
        <v>1145</v>
      </c>
      <c r="G514" s="14" t="n">
        <v>14.5</v>
      </c>
      <c r="H514" s="14" t="n">
        <v>7.69</v>
      </c>
      <c r="I514" s="14" t="n">
        <v>14.5</v>
      </c>
      <c r="J514" s="22" t="n">
        <f aca="false">IF(E514="Priority",'Cost model'!N200,'Cost model'!M200)</f>
        <v>12.5</v>
      </c>
      <c r="K514" s="14" t="n">
        <f aca="false">J514-H514</f>
        <v>4.81</v>
      </c>
      <c r="L514" s="14" t="n">
        <f aca="false">G514-H514</f>
        <v>6.81</v>
      </c>
    </row>
    <row r="515" customFormat="false" ht="15" hidden="false" customHeight="false" outlineLevel="0" collapsed="false">
      <c r="A515" s="2" t="s">
        <v>184</v>
      </c>
      <c r="B515" s="2" t="s">
        <v>146</v>
      </c>
      <c r="C515" s="2" t="s">
        <v>50</v>
      </c>
      <c r="D515" s="2" t="s">
        <v>10</v>
      </c>
      <c r="E515" s="2" t="s">
        <v>76</v>
      </c>
      <c r="F515" s="2" t="s">
        <v>1146</v>
      </c>
      <c r="G515" s="14" t="n">
        <v>17.5</v>
      </c>
      <c r="H515" s="14" t="n">
        <v>47.22</v>
      </c>
      <c r="I515" s="14" t="n">
        <v>17.5</v>
      </c>
      <c r="J515" s="22" t="n">
        <f aca="false">IF(E515="Priority",'Cost model'!N148,'Cost model'!M148)</f>
        <v>21.5</v>
      </c>
      <c r="K515" s="14" t="n">
        <f aca="false">J515-H515</f>
        <v>-25.72</v>
      </c>
      <c r="L515" s="14" t="n">
        <f aca="false">G515-H515</f>
        <v>-29.72</v>
      </c>
    </row>
    <row r="516" customFormat="false" ht="15" hidden="false" customHeight="false" outlineLevel="0" collapsed="false">
      <c r="A516" s="2" t="s">
        <v>126</v>
      </c>
      <c r="B516" s="2" t="s">
        <v>126</v>
      </c>
      <c r="C516" s="2" t="s">
        <v>50</v>
      </c>
      <c r="D516" s="2" t="s">
        <v>10</v>
      </c>
      <c r="E516" s="2" t="s">
        <v>76</v>
      </c>
      <c r="F516" s="2" t="s">
        <v>1145</v>
      </c>
      <c r="G516" s="14" t="n">
        <v>17.5</v>
      </c>
      <c r="H516" s="14" t="n">
        <v>11.58</v>
      </c>
      <c r="I516" s="14" t="n">
        <v>17.5</v>
      </c>
      <c r="J516" s="22" t="n">
        <f aca="false">IF(E516="Priority",'Cost model'!N382,'Cost model'!M382)</f>
        <v>18.5</v>
      </c>
      <c r="K516" s="14" t="n">
        <f aca="false">J516-H516</f>
        <v>6.92</v>
      </c>
      <c r="L516" s="14" t="n">
        <f aca="false">G516-H516</f>
        <v>5.92</v>
      </c>
    </row>
    <row r="517" customFormat="false" ht="15" hidden="false" customHeight="false" outlineLevel="0" collapsed="false">
      <c r="A517" s="2" t="s">
        <v>165</v>
      </c>
      <c r="B517" s="2" t="s">
        <v>126</v>
      </c>
      <c r="C517" s="2" t="s">
        <v>50</v>
      </c>
      <c r="D517" s="2" t="s">
        <v>10</v>
      </c>
      <c r="E517" s="2" t="s">
        <v>76</v>
      </c>
      <c r="F517" s="2" t="s">
        <v>1146</v>
      </c>
      <c r="G517" s="14" t="n">
        <v>17.5</v>
      </c>
      <c r="H517" s="14" t="n">
        <v>18.91</v>
      </c>
      <c r="I517" s="14" t="n">
        <v>17.5</v>
      </c>
      <c r="J517" s="22" t="n">
        <f aca="false">IF(E517="Priority",'Cost model'!N544,'Cost model'!M544)</f>
        <v>21.5</v>
      </c>
      <c r="K517" s="14" t="n">
        <f aca="false">J517-H517</f>
        <v>2.59</v>
      </c>
      <c r="L517" s="14" t="n">
        <f aca="false">G517-H517</f>
        <v>-1.41</v>
      </c>
    </row>
    <row r="518" customFormat="false" ht="15" hidden="false" customHeight="false" outlineLevel="0" collapsed="false">
      <c r="A518" s="2" t="s">
        <v>146</v>
      </c>
      <c r="B518" s="2" t="s">
        <v>146</v>
      </c>
      <c r="C518" s="2" t="s">
        <v>50</v>
      </c>
      <c r="D518" s="2" t="s">
        <v>12</v>
      </c>
      <c r="E518" s="2" t="s">
        <v>76</v>
      </c>
      <c r="F518" s="2" t="s">
        <v>1145</v>
      </c>
      <c r="G518" s="14" t="n">
        <v>19.5</v>
      </c>
      <c r="H518" s="14" t="n">
        <v>42.61</v>
      </c>
      <c r="I518" s="14" t="n">
        <v>19.5</v>
      </c>
      <c r="J518" s="22" t="n">
        <f aca="false">IF(E518="Priority",'Cost model'!N763,'Cost model'!M763)</f>
        <v>50</v>
      </c>
      <c r="K518" s="14" t="n">
        <f aca="false">J518-H518</f>
        <v>7.39</v>
      </c>
      <c r="L518" s="14" t="n">
        <f aca="false">G518-H518</f>
        <v>-23.11</v>
      </c>
    </row>
    <row r="519" customFormat="false" ht="15" hidden="false" customHeight="false" outlineLevel="0" collapsed="false">
      <c r="A519" s="2" t="s">
        <v>146</v>
      </c>
      <c r="B519" s="2" t="s">
        <v>146</v>
      </c>
      <c r="C519" s="2" t="s">
        <v>49</v>
      </c>
      <c r="D519" s="2" t="s">
        <v>12</v>
      </c>
      <c r="E519" s="2" t="s">
        <v>85</v>
      </c>
      <c r="F519" s="2" t="s">
        <v>1145</v>
      </c>
      <c r="G519" s="14" t="n">
        <v>19.5</v>
      </c>
      <c r="H519" s="14" t="n">
        <v>23.58</v>
      </c>
      <c r="I519" s="14" t="n">
        <v>19.5</v>
      </c>
      <c r="J519" s="22" t="n">
        <f aca="false">IF(E519="Priority",'Cost model'!N762,'Cost model'!M762)</f>
        <v>60</v>
      </c>
      <c r="K519" s="14" t="n">
        <f aca="false">J519-H519</f>
        <v>36.42</v>
      </c>
      <c r="L519" s="14" t="n">
        <f aca="false">G519-H519</f>
        <v>-4.08</v>
      </c>
    </row>
    <row r="520" customFormat="false" ht="15" hidden="false" customHeight="false" outlineLevel="0" collapsed="false">
      <c r="A520" s="2" t="s">
        <v>126</v>
      </c>
      <c r="B520" s="2" t="s">
        <v>184</v>
      </c>
      <c r="C520" s="2" t="s">
        <v>49</v>
      </c>
      <c r="D520" s="2" t="s">
        <v>13</v>
      </c>
      <c r="E520" s="2" t="s">
        <v>76</v>
      </c>
      <c r="F520" s="2" t="s">
        <v>1146</v>
      </c>
      <c r="G520" s="14" t="n">
        <v>24.5</v>
      </c>
      <c r="H520" s="14" t="n">
        <v>65.8</v>
      </c>
      <c r="I520" s="14" t="n">
        <v>24.5</v>
      </c>
      <c r="J520" s="22" t="n">
        <f aca="false">IF(E520="Priority",'Cost model'!N441,'Cost model'!M441)</f>
        <v>95</v>
      </c>
      <c r="K520" s="14" t="n">
        <f aca="false">J520-H520</f>
        <v>29.2</v>
      </c>
      <c r="L520" s="14" t="n">
        <f aca="false">G520-H520</f>
        <v>-41.3</v>
      </c>
    </row>
    <row r="521" customFormat="false" ht="15" hidden="false" customHeight="false" outlineLevel="0" collapsed="false">
      <c r="A521" s="2" t="s">
        <v>184</v>
      </c>
      <c r="B521" s="2" t="s">
        <v>184</v>
      </c>
      <c r="C521" s="2" t="s">
        <v>50</v>
      </c>
      <c r="D521" s="2" t="s">
        <v>12</v>
      </c>
      <c r="E521" s="2" t="s">
        <v>76</v>
      </c>
      <c r="F521" s="2" t="s">
        <v>1145</v>
      </c>
      <c r="G521" s="14" t="n">
        <v>19.5</v>
      </c>
      <c r="H521" s="14" t="n">
        <v>51.8</v>
      </c>
      <c r="I521" s="14" t="n">
        <v>19.5</v>
      </c>
      <c r="J521" s="22" t="n">
        <f aca="false">IF(E521="Priority",'Cost model'!N205,'Cost model'!M205)</f>
        <v>50</v>
      </c>
      <c r="K521" s="14" t="n">
        <f aca="false">J521-H521</f>
        <v>-1.8</v>
      </c>
      <c r="L521" s="14" t="n">
        <f aca="false">G521-H521</f>
        <v>-32.3</v>
      </c>
    </row>
    <row r="522" customFormat="false" ht="15" hidden="false" customHeight="false" outlineLevel="0" collapsed="false">
      <c r="A522" s="2" t="s">
        <v>184</v>
      </c>
      <c r="B522" s="2" t="s">
        <v>146</v>
      </c>
      <c r="C522" s="2" t="s">
        <v>48</v>
      </c>
      <c r="D522" s="2" t="s">
        <v>16</v>
      </c>
      <c r="E522" s="2" t="s">
        <v>76</v>
      </c>
      <c r="F522" s="2" t="s">
        <v>1146</v>
      </c>
      <c r="G522" s="14" t="n">
        <v>45</v>
      </c>
      <c r="H522" s="14" t="n">
        <v>235.58</v>
      </c>
      <c r="I522" s="14" t="n">
        <v>45</v>
      </c>
      <c r="J522" s="22" t="n">
        <f aca="false">IF(E522="Priority",'Cost model'!N161,'Cost model'!M161)</f>
        <v>230</v>
      </c>
      <c r="K522" s="14" t="n">
        <f aca="false">J522-H522</f>
        <v>-5.58000000000001</v>
      </c>
      <c r="L522" s="14" t="n">
        <f aca="false">G522-H522</f>
        <v>-190.58</v>
      </c>
    </row>
    <row r="523" customFormat="false" ht="15" hidden="false" customHeight="false" outlineLevel="0" collapsed="false">
      <c r="A523" s="2" t="s">
        <v>385</v>
      </c>
      <c r="B523" s="2" t="s">
        <v>165</v>
      </c>
      <c r="C523" s="2" t="s">
        <v>50</v>
      </c>
      <c r="D523" s="2" t="s">
        <v>10</v>
      </c>
      <c r="E523" s="2" t="s">
        <v>85</v>
      </c>
      <c r="F523" s="2" t="s">
        <v>1146</v>
      </c>
      <c r="G523" s="14" t="n">
        <v>34.5</v>
      </c>
      <c r="H523" s="14" t="n">
        <v>26.71</v>
      </c>
      <c r="I523" s="14" t="n">
        <v>34.5</v>
      </c>
      <c r="J523" s="22" t="n">
        <f aca="false">IF(E523="Priority",'Cost model'!N256,'Cost model'!M256)</f>
        <v>35</v>
      </c>
      <c r="K523" s="14" t="n">
        <f aca="false">J523-H523</f>
        <v>8.29</v>
      </c>
      <c r="L523" s="14" t="n">
        <f aca="false">G523-H523</f>
        <v>7.79</v>
      </c>
    </row>
    <row r="524" customFormat="false" ht="15" hidden="false" customHeight="false" outlineLevel="0" collapsed="false">
      <c r="A524" s="2" t="s">
        <v>165</v>
      </c>
      <c r="B524" s="2" t="s">
        <v>165</v>
      </c>
      <c r="C524" s="2" t="s">
        <v>48</v>
      </c>
      <c r="D524" s="2" t="s">
        <v>10</v>
      </c>
      <c r="E524" s="2" t="s">
        <v>76</v>
      </c>
      <c r="F524" s="2" t="s">
        <v>1145</v>
      </c>
      <c r="G524" s="14" t="n">
        <v>9.5</v>
      </c>
      <c r="H524" s="14" t="n">
        <v>8.09</v>
      </c>
      <c r="I524" s="14" t="n">
        <v>9.5</v>
      </c>
      <c r="J524" s="22" t="n">
        <f aca="false">IF(E524="Priority",'Cost model'!N506,'Cost model'!M506)</f>
        <v>7.5</v>
      </c>
      <c r="K524" s="14" t="n">
        <f aca="false">J524-H524</f>
        <v>-0.59</v>
      </c>
      <c r="L524" s="14" t="n">
        <f aca="false">G524-H524</f>
        <v>1.41</v>
      </c>
    </row>
    <row r="525" customFormat="false" ht="15" hidden="false" customHeight="false" outlineLevel="0" collapsed="false">
      <c r="A525" s="2" t="s">
        <v>240</v>
      </c>
      <c r="B525" s="2" t="s">
        <v>240</v>
      </c>
      <c r="C525" s="2" t="s">
        <v>50</v>
      </c>
      <c r="D525" s="2" t="s">
        <v>10</v>
      </c>
      <c r="E525" s="2" t="s">
        <v>76</v>
      </c>
      <c r="F525" s="2" t="s">
        <v>1145</v>
      </c>
      <c r="G525" s="14" t="n">
        <v>17.5</v>
      </c>
      <c r="H525" s="14" t="n">
        <v>16.84</v>
      </c>
      <c r="I525" s="14" t="n">
        <v>17.5</v>
      </c>
      <c r="J525" s="22" t="n">
        <f aca="false">IF(E525="Priority",'Cost model'!N886,'Cost model'!M886)</f>
        <v>17.5</v>
      </c>
      <c r="K525" s="14" t="n">
        <f aca="false">J525-H525</f>
        <v>0.66</v>
      </c>
      <c r="L525" s="14" t="n">
        <f aca="false">G525-H525</f>
        <v>0.66</v>
      </c>
    </row>
    <row r="526" customFormat="false" ht="15" hidden="false" customHeight="false" outlineLevel="0" collapsed="false">
      <c r="A526" s="2" t="s">
        <v>146</v>
      </c>
      <c r="B526" s="2" t="s">
        <v>146</v>
      </c>
      <c r="C526" s="2" t="s">
        <v>49</v>
      </c>
      <c r="D526" s="2" t="s">
        <v>10</v>
      </c>
      <c r="E526" s="2" t="s">
        <v>85</v>
      </c>
      <c r="F526" s="2" t="s">
        <v>1145</v>
      </c>
      <c r="G526" s="14" t="n">
        <v>17.5</v>
      </c>
      <c r="H526" s="14" t="n">
        <v>21.61</v>
      </c>
      <c r="I526" s="14" t="n">
        <v>17.5</v>
      </c>
      <c r="J526" s="22" t="n">
        <f aca="false">IF(E526="Priority",'Cost model'!N759,'Cost model'!M759)</f>
        <v>21.5</v>
      </c>
      <c r="K526" s="14" t="n">
        <f aca="false">J526-H526</f>
        <v>-0.109999999999999</v>
      </c>
      <c r="L526" s="14" t="n">
        <f aca="false">G526-H526</f>
        <v>-4.11</v>
      </c>
    </row>
    <row r="527" customFormat="false" ht="15" hidden="false" customHeight="false" outlineLevel="0" collapsed="false">
      <c r="A527" s="2" t="s">
        <v>126</v>
      </c>
      <c r="B527" s="2" t="s">
        <v>126</v>
      </c>
      <c r="C527" s="2" t="s">
        <v>49</v>
      </c>
      <c r="D527" s="2" t="s">
        <v>10</v>
      </c>
      <c r="E527" s="2" t="s">
        <v>76</v>
      </c>
      <c r="F527" s="2" t="s">
        <v>1145</v>
      </c>
      <c r="G527" s="14" t="n">
        <v>24.5</v>
      </c>
      <c r="H527" s="14" t="n">
        <v>23.58</v>
      </c>
      <c r="I527" s="14" t="n">
        <v>12.5</v>
      </c>
      <c r="J527" s="22" t="n">
        <f aca="false">IF(E527="Priority",'Cost model'!N381,'Cost model'!M381)</f>
        <v>14.5</v>
      </c>
      <c r="K527" s="14" t="n">
        <f aca="false">J527-H527</f>
        <v>-9.08</v>
      </c>
      <c r="L527" s="14" t="n">
        <f aca="false">G527-H527</f>
        <v>0.920000000000002</v>
      </c>
    </row>
    <row r="528" customFormat="false" ht="15" hidden="false" customHeight="false" outlineLevel="0" collapsed="false">
      <c r="A528" s="2" t="s">
        <v>184</v>
      </c>
      <c r="B528" s="2" t="s">
        <v>184</v>
      </c>
      <c r="C528" s="2" t="s">
        <v>49</v>
      </c>
      <c r="D528" s="2" t="s">
        <v>10</v>
      </c>
      <c r="E528" s="2" t="s">
        <v>76</v>
      </c>
      <c r="F528" s="2" t="s">
        <v>1145</v>
      </c>
      <c r="G528" s="14" t="n">
        <v>17.5</v>
      </c>
      <c r="H528" s="14" t="n">
        <v>20.83</v>
      </c>
      <c r="I528" s="14"/>
      <c r="J528" s="22" t="n">
        <f aca="false">IF(E528="Priority",'Cost model'!N201,'Cost model'!M201)</f>
        <v>12.5</v>
      </c>
      <c r="K528" s="14" t="n">
        <f aca="false">J528-H528</f>
        <v>-8.33</v>
      </c>
      <c r="L528" s="14" t="n">
        <f aca="false">G528-H528</f>
        <v>-3.33</v>
      </c>
    </row>
    <row r="529" customFormat="false" ht="15" hidden="false" customHeight="false" outlineLevel="0" collapsed="false">
      <c r="A529" s="2" t="s">
        <v>184</v>
      </c>
      <c r="B529" s="2" t="s">
        <v>184</v>
      </c>
      <c r="C529" s="2" t="s">
        <v>48</v>
      </c>
      <c r="D529" s="2" t="s">
        <v>10</v>
      </c>
      <c r="E529" s="2" t="s">
        <v>76</v>
      </c>
      <c r="F529" s="2" t="s">
        <v>1145</v>
      </c>
      <c r="G529" s="14" t="n">
        <v>9.5</v>
      </c>
      <c r="H529" s="14" t="n">
        <v>7.72</v>
      </c>
      <c r="I529" s="14" t="n">
        <v>9.5</v>
      </c>
      <c r="J529" s="22" t="n">
        <f aca="false">IF(E529="Priority",'Cost model'!N200,'Cost model'!M200)</f>
        <v>7.5</v>
      </c>
      <c r="K529" s="14" t="n">
        <f aca="false">J529-H529</f>
        <v>-0.22</v>
      </c>
      <c r="L529" s="14" t="n">
        <f aca="false">G529-H529</f>
        <v>1.78</v>
      </c>
    </row>
    <row r="530" customFormat="false" ht="15" hidden="false" customHeight="false" outlineLevel="0" collapsed="false">
      <c r="A530" s="2" t="s">
        <v>184</v>
      </c>
      <c r="B530" s="2" t="s">
        <v>184</v>
      </c>
      <c r="C530" s="2" t="s">
        <v>48</v>
      </c>
      <c r="D530" s="2" t="s">
        <v>12</v>
      </c>
      <c r="E530" s="2" t="s">
        <v>76</v>
      </c>
      <c r="F530" s="2" t="s">
        <v>1145</v>
      </c>
      <c r="G530" s="14" t="n">
        <v>14.5</v>
      </c>
      <c r="H530" s="14" t="n">
        <v>27.45</v>
      </c>
      <c r="I530" s="14" t="n">
        <v>9.5</v>
      </c>
      <c r="J530" s="22" t="n">
        <f aca="false">IF(E530="Priority",'Cost model'!N203,'Cost model'!M203)</f>
        <v>26.5</v>
      </c>
      <c r="K530" s="14" t="n">
        <f aca="false">J530-H530</f>
        <v>-0.949999999999999</v>
      </c>
      <c r="L530" s="14" t="n">
        <f aca="false">G530-H530</f>
        <v>-12.95</v>
      </c>
    </row>
    <row r="531" customFormat="false" ht="15" hidden="false" customHeight="false" outlineLevel="0" collapsed="false">
      <c r="A531" s="2" t="s">
        <v>165</v>
      </c>
      <c r="B531" s="2" t="s">
        <v>165</v>
      </c>
      <c r="C531" s="2" t="s">
        <v>50</v>
      </c>
      <c r="D531" s="2" t="s">
        <v>12</v>
      </c>
      <c r="E531" s="2" t="s">
        <v>76</v>
      </c>
      <c r="F531" s="2" t="s">
        <v>1145</v>
      </c>
      <c r="G531" s="14" t="n">
        <v>19.5</v>
      </c>
      <c r="H531" s="14" t="n">
        <v>33.25</v>
      </c>
      <c r="I531" s="14" t="n">
        <v>19.5</v>
      </c>
      <c r="J531" s="22" t="n">
        <f aca="false">IF(E531="Priority",'Cost model'!N511,'Cost model'!M511)</f>
        <v>35</v>
      </c>
      <c r="K531" s="14" t="n">
        <f aca="false">J531-H531</f>
        <v>1.75</v>
      </c>
      <c r="L531" s="14" t="n">
        <f aca="false">G531-H531</f>
        <v>-13.75</v>
      </c>
    </row>
    <row r="532" customFormat="false" ht="15" hidden="false" customHeight="false" outlineLevel="0" collapsed="false">
      <c r="A532" s="2" t="s">
        <v>184</v>
      </c>
      <c r="B532" s="2" t="s">
        <v>184</v>
      </c>
      <c r="C532" s="2" t="s">
        <v>48</v>
      </c>
      <c r="D532" s="2" t="s">
        <v>10</v>
      </c>
      <c r="E532" s="2" t="s">
        <v>76</v>
      </c>
      <c r="F532" s="2" t="s">
        <v>1145</v>
      </c>
      <c r="G532" s="14" t="n">
        <v>9.5</v>
      </c>
      <c r="H532" s="14" t="n">
        <v>9.78</v>
      </c>
      <c r="I532" s="14" t="n">
        <v>9.5</v>
      </c>
      <c r="J532" s="22" t="n">
        <f aca="false">IF(E532="Priority",'Cost model'!N200,'Cost model'!M200)</f>
        <v>7.5</v>
      </c>
      <c r="K532" s="14" t="n">
        <f aca="false">J532-H532</f>
        <v>-2.28</v>
      </c>
      <c r="L532" s="14" t="n">
        <f aca="false">G532-H532</f>
        <v>-0.279999999999999</v>
      </c>
    </row>
    <row r="533" customFormat="false" ht="15" hidden="false" customHeight="false" outlineLevel="0" collapsed="false">
      <c r="A533" s="2" t="s">
        <v>184</v>
      </c>
      <c r="B533" s="2" t="s">
        <v>184</v>
      </c>
      <c r="C533" s="2" t="s">
        <v>48</v>
      </c>
      <c r="D533" s="2" t="s">
        <v>10</v>
      </c>
      <c r="E533" s="2" t="s">
        <v>76</v>
      </c>
      <c r="F533" s="2" t="s">
        <v>1145</v>
      </c>
      <c r="G533" s="14" t="n">
        <v>9.5</v>
      </c>
      <c r="H533" s="14" t="n">
        <v>6.24</v>
      </c>
      <c r="I533" s="14" t="n">
        <v>9.5</v>
      </c>
      <c r="J533" s="22" t="n">
        <f aca="false">IF(E533="Priority",'Cost model'!N200,'Cost model'!M200)</f>
        <v>7.5</v>
      </c>
      <c r="K533" s="14" t="n">
        <f aca="false">J533-H533</f>
        <v>1.26</v>
      </c>
      <c r="L533" s="14" t="n">
        <f aca="false">G533-H533</f>
        <v>3.26</v>
      </c>
    </row>
    <row r="534" customFormat="false" ht="15" hidden="false" customHeight="false" outlineLevel="0" collapsed="false">
      <c r="A534" s="2" t="s">
        <v>146</v>
      </c>
      <c r="B534" s="2" t="s">
        <v>146</v>
      </c>
      <c r="C534" s="2" t="s">
        <v>48</v>
      </c>
      <c r="D534" s="2" t="s">
        <v>10</v>
      </c>
      <c r="E534" s="2" t="s">
        <v>85</v>
      </c>
      <c r="F534" s="2" t="s">
        <v>1145</v>
      </c>
      <c r="G534" s="14" t="n">
        <v>14.5</v>
      </c>
      <c r="H534" s="14" t="n">
        <v>21.61</v>
      </c>
      <c r="I534" s="14" t="n">
        <v>14.5</v>
      </c>
      <c r="J534" s="22" t="n">
        <f aca="false">IF(E534="Priority",'Cost model'!N758,'Cost model'!M758)</f>
        <v>14.5</v>
      </c>
      <c r="K534" s="14" t="n">
        <f aca="false">J534-H534</f>
        <v>-7.11</v>
      </c>
      <c r="L534" s="14" t="n">
        <f aca="false">G534-H534</f>
        <v>-7.11</v>
      </c>
    </row>
    <row r="535" customFormat="false" ht="15" hidden="false" customHeight="false" outlineLevel="0" collapsed="false">
      <c r="A535" s="2" t="s">
        <v>126</v>
      </c>
      <c r="B535" s="2" t="s">
        <v>126</v>
      </c>
      <c r="C535" s="2" t="s">
        <v>49</v>
      </c>
      <c r="D535" s="2" t="s">
        <v>10</v>
      </c>
      <c r="E535" s="2" t="s">
        <v>76</v>
      </c>
      <c r="F535" s="2" t="s">
        <v>1145</v>
      </c>
      <c r="G535" s="14" t="n">
        <v>12.5</v>
      </c>
      <c r="H535" s="14" t="n">
        <v>9.68</v>
      </c>
      <c r="I535" s="14" t="n">
        <v>12.5</v>
      </c>
      <c r="J535" s="22" t="n">
        <f aca="false">IF(E535="Priority",'Cost model'!N381,'Cost model'!M381)</f>
        <v>14.5</v>
      </c>
      <c r="K535" s="14" t="n">
        <f aca="false">J535-H535</f>
        <v>4.82</v>
      </c>
      <c r="L535" s="14" t="n">
        <f aca="false">G535-H535</f>
        <v>2.82</v>
      </c>
    </row>
    <row r="536" customFormat="false" ht="15" hidden="false" customHeight="false" outlineLevel="0" collapsed="false">
      <c r="A536" s="2" t="s">
        <v>184</v>
      </c>
      <c r="B536" s="2" t="s">
        <v>184</v>
      </c>
      <c r="C536" s="2" t="s">
        <v>50</v>
      </c>
      <c r="D536" s="2" t="s">
        <v>10</v>
      </c>
      <c r="E536" s="2" t="s">
        <v>76</v>
      </c>
      <c r="F536" s="2" t="s">
        <v>1145</v>
      </c>
      <c r="G536" s="14" t="n">
        <v>17.5</v>
      </c>
      <c r="H536" s="14" t="n">
        <v>11.92</v>
      </c>
      <c r="I536" s="14" t="n">
        <v>17.5</v>
      </c>
      <c r="J536" s="22" t="n">
        <f aca="false">IF(E536="Priority",'Cost model'!N202,'Cost model'!M202)</f>
        <v>17.5</v>
      </c>
      <c r="K536" s="14" t="n">
        <f aca="false">J536-H536</f>
        <v>5.58</v>
      </c>
      <c r="L536" s="14" t="n">
        <f aca="false">G536-H536</f>
        <v>5.58</v>
      </c>
    </row>
    <row r="537" customFormat="false" ht="15" hidden="false" customHeight="false" outlineLevel="0" collapsed="false">
      <c r="A537" s="2" t="s">
        <v>146</v>
      </c>
      <c r="B537" s="2" t="s">
        <v>146</v>
      </c>
      <c r="C537" s="2" t="s">
        <v>48</v>
      </c>
      <c r="D537" s="2" t="s">
        <v>12</v>
      </c>
      <c r="E537" s="2" t="s">
        <v>76</v>
      </c>
      <c r="F537" s="2" t="s">
        <v>1145</v>
      </c>
      <c r="G537" s="14" t="n">
        <v>9.5</v>
      </c>
      <c r="H537" s="14" t="n">
        <v>8.3</v>
      </c>
      <c r="I537" s="14" t="n">
        <v>9.5</v>
      </c>
      <c r="J537" s="22" t="n">
        <f aca="false">IF(E537="Priority",'Cost model'!N761,'Cost model'!M761)</f>
        <v>35</v>
      </c>
      <c r="K537" s="14" t="n">
        <f aca="false">J537-H537</f>
        <v>26.7</v>
      </c>
      <c r="L537" s="14" t="n">
        <f aca="false">G537-H537</f>
        <v>1.2</v>
      </c>
    </row>
    <row r="538" customFormat="false" ht="15" hidden="false" customHeight="false" outlineLevel="0" collapsed="false">
      <c r="A538" s="2" t="s">
        <v>146</v>
      </c>
      <c r="B538" s="2" t="s">
        <v>184</v>
      </c>
      <c r="C538" s="2" t="s">
        <v>48</v>
      </c>
      <c r="D538" s="2" t="s">
        <v>10</v>
      </c>
      <c r="E538" s="2" t="s">
        <v>76</v>
      </c>
      <c r="F538" s="2" t="s">
        <v>1146</v>
      </c>
      <c r="G538" s="14" t="n">
        <v>14.5</v>
      </c>
      <c r="H538" s="14" t="n">
        <v>7.34</v>
      </c>
      <c r="I538" s="14" t="n">
        <v>14.5</v>
      </c>
      <c r="J538" s="22" t="n">
        <f aca="false">IF(E538="Priority",'Cost model'!N830,'Cost model'!M830)</f>
        <v>9.5</v>
      </c>
      <c r="K538" s="14" t="n">
        <f aca="false">J538-H538</f>
        <v>2.16</v>
      </c>
      <c r="L538" s="14" t="n">
        <f aca="false">G538-H538</f>
        <v>7.16</v>
      </c>
    </row>
    <row r="539" customFormat="false" ht="15" hidden="false" customHeight="false" outlineLevel="0" collapsed="false">
      <c r="A539" s="2" t="s">
        <v>126</v>
      </c>
      <c r="B539" s="2" t="s">
        <v>126</v>
      </c>
      <c r="C539" s="2" t="s">
        <v>49</v>
      </c>
      <c r="D539" s="2" t="s">
        <v>10</v>
      </c>
      <c r="E539" s="2" t="s">
        <v>76</v>
      </c>
      <c r="F539" s="2" t="s">
        <v>1145</v>
      </c>
      <c r="G539" s="14" t="n">
        <v>12.5</v>
      </c>
      <c r="H539" s="14" t="n">
        <v>10.95</v>
      </c>
      <c r="I539" s="14" t="n">
        <v>12.5</v>
      </c>
      <c r="J539" s="22" t="n">
        <f aca="false">IF(E539="Priority",'Cost model'!N381,'Cost model'!M381)</f>
        <v>14.5</v>
      </c>
      <c r="K539" s="14" t="n">
        <f aca="false">J539-H539</f>
        <v>3.55</v>
      </c>
      <c r="L539" s="14" t="n">
        <f aca="false">G539-H539</f>
        <v>1.55</v>
      </c>
    </row>
    <row r="540" customFormat="false" ht="15" hidden="false" customHeight="false" outlineLevel="0" collapsed="false">
      <c r="A540" s="2" t="s">
        <v>126</v>
      </c>
      <c r="B540" s="2" t="s">
        <v>126</v>
      </c>
      <c r="C540" s="2" t="s">
        <v>48</v>
      </c>
      <c r="D540" s="2" t="s">
        <v>12</v>
      </c>
      <c r="E540" s="2" t="s">
        <v>85</v>
      </c>
      <c r="F540" s="2" t="s">
        <v>1145</v>
      </c>
      <c r="G540" s="14" t="n">
        <v>19.5</v>
      </c>
      <c r="H540" s="14" t="n">
        <v>28.62</v>
      </c>
      <c r="I540" s="14" t="n">
        <v>19.5</v>
      </c>
      <c r="J540" s="22" t="n">
        <f aca="false">IF(E540="Priority",'Cost model'!N383,'Cost model'!M383)</f>
        <v>35</v>
      </c>
      <c r="K540" s="14" t="n">
        <f aca="false">J540-H540</f>
        <v>6.38</v>
      </c>
      <c r="L540" s="14" t="n">
        <f aca="false">G540-H540</f>
        <v>-9.12</v>
      </c>
    </row>
    <row r="541" customFormat="false" ht="15" hidden="false" customHeight="false" outlineLevel="0" collapsed="false">
      <c r="A541" s="2" t="s">
        <v>184</v>
      </c>
      <c r="B541" s="2" t="s">
        <v>184</v>
      </c>
      <c r="C541" s="2" t="s">
        <v>49</v>
      </c>
      <c r="D541" s="2" t="s">
        <v>12</v>
      </c>
      <c r="E541" s="2" t="s">
        <v>76</v>
      </c>
      <c r="F541" s="2" t="s">
        <v>1145</v>
      </c>
      <c r="G541" s="14" t="n">
        <v>12.5</v>
      </c>
      <c r="H541" s="14" t="n">
        <v>61.36</v>
      </c>
      <c r="I541" s="14"/>
      <c r="J541" s="22" t="n">
        <f aca="false">IF(E541="Priority",'Cost model'!N204,'Cost model'!M204)</f>
        <v>45</v>
      </c>
      <c r="K541" s="14" t="n">
        <f aca="false">J541-H541</f>
        <v>-16.36</v>
      </c>
      <c r="L541" s="14" t="n">
        <f aca="false">G541-H541</f>
        <v>-48.86</v>
      </c>
    </row>
    <row r="542" customFormat="false" ht="15" hidden="false" customHeight="false" outlineLevel="0" collapsed="false">
      <c r="A542" s="2" t="s">
        <v>126</v>
      </c>
      <c r="B542" s="2" t="s">
        <v>184</v>
      </c>
      <c r="C542" s="2" t="s">
        <v>49</v>
      </c>
      <c r="D542" s="2" t="s">
        <v>10</v>
      </c>
      <c r="E542" s="2" t="s">
        <v>76</v>
      </c>
      <c r="F542" s="2" t="s">
        <v>1146</v>
      </c>
      <c r="G542" s="14" t="n">
        <v>12.5</v>
      </c>
      <c r="H542" s="14" t="n">
        <v>24.72</v>
      </c>
      <c r="I542" s="14" t="n">
        <v>14.5</v>
      </c>
      <c r="J542" s="22" t="n">
        <f aca="false">IF(E542="Priority",'Cost model'!N435,'Cost model'!M435)</f>
        <v>15.5</v>
      </c>
      <c r="K542" s="14" t="n">
        <f aca="false">J542-H542</f>
        <v>-9.22</v>
      </c>
      <c r="L542" s="14" t="n">
        <f aca="false">G542-H542</f>
        <v>-12.22</v>
      </c>
    </row>
    <row r="543" customFormat="false" ht="15" hidden="false" customHeight="false" outlineLevel="0" collapsed="false">
      <c r="A543" s="2" t="s">
        <v>126</v>
      </c>
      <c r="B543" s="2" t="s">
        <v>126</v>
      </c>
      <c r="C543" s="2" t="s">
        <v>49</v>
      </c>
      <c r="D543" s="2" t="s">
        <v>10</v>
      </c>
      <c r="E543" s="2" t="s">
        <v>76</v>
      </c>
      <c r="F543" s="2" t="s">
        <v>1145</v>
      </c>
      <c r="G543" s="14" t="n">
        <v>12.5</v>
      </c>
      <c r="H543" s="14" t="n">
        <v>11.97</v>
      </c>
      <c r="I543" s="14" t="n">
        <v>12.5</v>
      </c>
      <c r="J543" s="22" t="n">
        <f aca="false">IF(E543="Priority",'Cost model'!N381,'Cost model'!M381)</f>
        <v>14.5</v>
      </c>
      <c r="K543" s="14" t="n">
        <f aca="false">J543-H543</f>
        <v>2.53</v>
      </c>
      <c r="L543" s="14" t="n">
        <f aca="false">G543-H543</f>
        <v>0.529999999999999</v>
      </c>
    </row>
    <row r="544" customFormat="false" ht="15" hidden="false" customHeight="false" outlineLevel="0" collapsed="false">
      <c r="A544" s="2" t="s">
        <v>184</v>
      </c>
      <c r="B544" s="2" t="s">
        <v>146</v>
      </c>
      <c r="C544" s="2" t="s">
        <v>50</v>
      </c>
      <c r="D544" s="2" t="s">
        <v>10</v>
      </c>
      <c r="E544" s="2" t="s">
        <v>85</v>
      </c>
      <c r="F544" s="2" t="s">
        <v>1146</v>
      </c>
      <c r="G544" s="14" t="n">
        <v>24.5</v>
      </c>
      <c r="H544" s="14" t="n">
        <v>24.63</v>
      </c>
      <c r="I544" s="14" t="n">
        <v>24.5</v>
      </c>
      <c r="J544" s="22" t="n">
        <f aca="false">IF(E544="Priority",'Cost model'!N148,'Cost model'!M148)</f>
        <v>29.5</v>
      </c>
      <c r="K544" s="14" t="n">
        <f aca="false">J544-H544</f>
        <v>4.87</v>
      </c>
      <c r="L544" s="14" t="n">
        <f aca="false">G544-H544</f>
        <v>-0.129999999999999</v>
      </c>
    </row>
    <row r="545" customFormat="false" ht="15" hidden="false" customHeight="false" outlineLevel="0" collapsed="false">
      <c r="A545" s="2" t="s">
        <v>146</v>
      </c>
      <c r="B545" s="2" t="s">
        <v>126</v>
      </c>
      <c r="C545" s="2" t="s">
        <v>50</v>
      </c>
      <c r="D545" s="2" t="s">
        <v>10</v>
      </c>
      <c r="E545" s="2" t="s">
        <v>85</v>
      </c>
      <c r="F545" s="2" t="s">
        <v>1146</v>
      </c>
      <c r="G545" s="14" t="n">
        <v>29.5</v>
      </c>
      <c r="H545" s="14" t="n">
        <v>24.17</v>
      </c>
      <c r="I545" s="14" t="n">
        <v>29.5</v>
      </c>
      <c r="J545" s="22" t="n">
        <f aca="false">IF(E545="Priority",'Cost model'!N796,'Cost model'!M796)</f>
        <v>23.5</v>
      </c>
      <c r="K545" s="14" t="n">
        <f aca="false">J545-H545</f>
        <v>-0.670000000000002</v>
      </c>
      <c r="L545" s="14" t="n">
        <f aca="false">G545-H545</f>
        <v>5.33</v>
      </c>
    </row>
    <row r="546" customFormat="false" ht="15" hidden="false" customHeight="false" outlineLevel="0" collapsed="false">
      <c r="A546" s="2" t="s">
        <v>146</v>
      </c>
      <c r="B546" s="2" t="s">
        <v>165</v>
      </c>
      <c r="C546" s="2" t="s">
        <v>50</v>
      </c>
      <c r="D546" s="2" t="s">
        <v>10</v>
      </c>
      <c r="E546" s="2" t="s">
        <v>76</v>
      </c>
      <c r="F546" s="2" t="s">
        <v>1146</v>
      </c>
      <c r="G546" s="14" t="n">
        <v>17.5</v>
      </c>
      <c r="H546" s="14" t="n">
        <v>20.55</v>
      </c>
      <c r="I546" s="14" t="n">
        <v>17.5</v>
      </c>
      <c r="J546" s="22" t="n">
        <f aca="false">IF(E546="Priority",'Cost model'!N778,'Cost model'!M778)</f>
        <v>19.5</v>
      </c>
      <c r="K546" s="14" t="n">
        <f aca="false">J546-H546</f>
        <v>-1.05</v>
      </c>
      <c r="L546" s="14" t="n">
        <f aca="false">G546-H546</f>
        <v>-3.05</v>
      </c>
    </row>
    <row r="547" customFormat="false" ht="15" hidden="false" customHeight="false" outlineLevel="0" collapsed="false">
      <c r="A547" s="2" t="s">
        <v>146</v>
      </c>
      <c r="B547" s="2" t="s">
        <v>221</v>
      </c>
      <c r="C547" s="2" t="s">
        <v>49</v>
      </c>
      <c r="D547" s="2" t="s">
        <v>13</v>
      </c>
      <c r="E547" s="2" t="s">
        <v>76</v>
      </c>
      <c r="F547" s="2" t="s">
        <v>1146</v>
      </c>
      <c r="G547" s="14" t="n">
        <v>24.5</v>
      </c>
      <c r="H547" s="14" t="n">
        <v>29.28</v>
      </c>
      <c r="I547" s="14" t="n">
        <v>45</v>
      </c>
      <c r="J547" s="22" t="n">
        <f aca="false">IF(E547="Priority",'Cost model'!N855,'Cost model'!M855)</f>
        <v>70</v>
      </c>
      <c r="K547" s="14" t="n">
        <f aca="false">J547-H547</f>
        <v>40.72</v>
      </c>
      <c r="L547" s="14" t="n">
        <f aca="false">G547-H547</f>
        <v>-4.78</v>
      </c>
    </row>
    <row r="548" customFormat="false" ht="15" hidden="false" customHeight="false" outlineLevel="0" collapsed="false">
      <c r="A548" s="2" t="s">
        <v>240</v>
      </c>
      <c r="B548" s="2" t="s">
        <v>240</v>
      </c>
      <c r="C548" s="2" t="s">
        <v>48</v>
      </c>
      <c r="D548" s="2" t="s">
        <v>14</v>
      </c>
      <c r="E548" s="2" t="s">
        <v>76</v>
      </c>
      <c r="F548" s="2" t="s">
        <v>1145</v>
      </c>
      <c r="G548" s="14" t="n">
        <v>25</v>
      </c>
      <c r="H548" s="14" t="n">
        <v>82.54</v>
      </c>
      <c r="I548" s="14" t="n">
        <v>25</v>
      </c>
      <c r="J548" s="22" t="n">
        <f aca="false">IF(E548="Priority",'Cost model'!N893,'Cost model'!M893)</f>
        <v>135</v>
      </c>
      <c r="K548" s="14" t="n">
        <f aca="false">J548-H548</f>
        <v>52.46</v>
      </c>
      <c r="L548" s="14" t="n">
        <f aca="false">G548-H548</f>
        <v>-57.54</v>
      </c>
    </row>
    <row r="549" customFormat="false" ht="15" hidden="false" customHeight="false" outlineLevel="0" collapsed="false">
      <c r="A549" s="2" t="s">
        <v>125</v>
      </c>
      <c r="B549" s="2" t="s">
        <v>125</v>
      </c>
      <c r="C549" s="2" t="s">
        <v>48</v>
      </c>
      <c r="D549" s="2" t="s">
        <v>10</v>
      </c>
      <c r="E549" s="2" t="s">
        <v>85</v>
      </c>
      <c r="F549" s="2" t="s">
        <v>1145</v>
      </c>
      <c r="G549" s="14" t="n">
        <v>14.5</v>
      </c>
      <c r="H549" s="14" t="n">
        <v>21.61</v>
      </c>
      <c r="I549" s="14" t="n">
        <v>14.5</v>
      </c>
      <c r="J549" s="22" t="n">
        <f aca="false">IF(E549="Priority",'Cost model'!N74,'Cost model'!M74)</f>
        <v>29.5</v>
      </c>
      <c r="K549" s="14" t="n">
        <f aca="false">J549-H549</f>
        <v>7.89</v>
      </c>
      <c r="L549" s="14" t="n">
        <f aca="false">G549-H549</f>
        <v>-7.11</v>
      </c>
    </row>
    <row r="550" customFormat="false" ht="15" hidden="false" customHeight="false" outlineLevel="0" collapsed="false">
      <c r="A550" s="2" t="s">
        <v>146</v>
      </c>
      <c r="B550" s="2" t="s">
        <v>146</v>
      </c>
      <c r="C550" s="2" t="s">
        <v>48</v>
      </c>
      <c r="D550" s="2" t="s">
        <v>10</v>
      </c>
      <c r="E550" s="2" t="s">
        <v>76</v>
      </c>
      <c r="F550" s="2" t="s">
        <v>1145</v>
      </c>
      <c r="G550" s="14" t="n">
        <v>9.5</v>
      </c>
      <c r="H550" s="14" t="n">
        <v>7.47</v>
      </c>
      <c r="I550" s="14" t="n">
        <v>9.5</v>
      </c>
      <c r="J550" s="22" t="n">
        <f aca="false">IF(E550="Priority",'Cost model'!N758,'Cost model'!M758)</f>
        <v>9.5</v>
      </c>
      <c r="K550" s="14" t="n">
        <f aca="false">J550-H550</f>
        <v>2.03</v>
      </c>
      <c r="L550" s="14" t="n">
        <f aca="false">G550-H550</f>
        <v>2.03</v>
      </c>
    </row>
    <row r="551" customFormat="false" ht="15" hidden="false" customHeight="false" outlineLevel="0" collapsed="false">
      <c r="A551" s="2" t="s">
        <v>184</v>
      </c>
      <c r="B551" s="2" t="s">
        <v>184</v>
      </c>
      <c r="C551" s="2" t="s">
        <v>49</v>
      </c>
      <c r="D551" s="2" t="s">
        <v>10</v>
      </c>
      <c r="E551" s="2" t="s">
        <v>76</v>
      </c>
      <c r="F551" s="2" t="s">
        <v>1145</v>
      </c>
      <c r="G551" s="14" t="n">
        <v>12.5</v>
      </c>
      <c r="H551" s="14" t="n">
        <v>11.38</v>
      </c>
      <c r="I551" s="14"/>
      <c r="J551" s="22" t="n">
        <f aca="false">IF(E551="Priority",'Cost model'!N201,'Cost model'!M201)</f>
        <v>12.5</v>
      </c>
      <c r="K551" s="14" t="n">
        <f aca="false">J551-H551</f>
        <v>1.12</v>
      </c>
      <c r="L551" s="14" t="n">
        <f aca="false">G551-H551</f>
        <v>1.12</v>
      </c>
    </row>
    <row r="552" customFormat="false" ht="15" hidden="false" customHeight="false" outlineLevel="0" collapsed="false">
      <c r="A552" s="2" t="s">
        <v>126</v>
      </c>
      <c r="B552" s="2" t="s">
        <v>126</v>
      </c>
      <c r="C552" s="2" t="s">
        <v>50</v>
      </c>
      <c r="D552" s="2" t="s">
        <v>13</v>
      </c>
      <c r="E552" s="2" t="s">
        <v>76</v>
      </c>
      <c r="F552" s="2" t="s">
        <v>1145</v>
      </c>
      <c r="G552" s="14" t="n">
        <v>50</v>
      </c>
      <c r="H552" s="14" t="n">
        <v>221.5</v>
      </c>
      <c r="I552" s="14" t="n">
        <v>50</v>
      </c>
      <c r="J552" s="22" t="n">
        <f aca="false">IF(E552="Priority",'Cost model'!N388,'Cost model'!M388)</f>
        <v>110</v>
      </c>
      <c r="K552" s="14" t="n">
        <f aca="false">J552-H552</f>
        <v>-111.5</v>
      </c>
      <c r="L552" s="14" t="n">
        <f aca="false">G552-H552</f>
        <v>-171.5</v>
      </c>
    </row>
    <row r="553" customFormat="false" ht="15" hidden="false" customHeight="false" outlineLevel="0" collapsed="false">
      <c r="A553" s="2" t="s">
        <v>184</v>
      </c>
      <c r="B553" s="2" t="s">
        <v>184</v>
      </c>
      <c r="C553" s="2" t="s">
        <v>49</v>
      </c>
      <c r="D553" s="2" t="s">
        <v>12</v>
      </c>
      <c r="E553" s="2" t="s">
        <v>76</v>
      </c>
      <c r="F553" s="2" t="s">
        <v>1145</v>
      </c>
      <c r="G553" s="14" t="n">
        <v>12.5</v>
      </c>
      <c r="H553" s="14" t="n">
        <v>25.78</v>
      </c>
      <c r="I553" s="14" t="n">
        <v>12.5</v>
      </c>
      <c r="J553" s="22" t="n">
        <f aca="false">IF(E553="Priority",'Cost model'!N204,'Cost model'!M204)</f>
        <v>45</v>
      </c>
      <c r="K553" s="14" t="n">
        <f aca="false">J553-H553</f>
        <v>19.22</v>
      </c>
      <c r="L553" s="14" t="n">
        <f aca="false">G553-H553</f>
        <v>-13.28</v>
      </c>
    </row>
    <row r="554" customFormat="false" ht="15" hidden="false" customHeight="false" outlineLevel="0" collapsed="false">
      <c r="A554" s="2" t="s">
        <v>184</v>
      </c>
      <c r="B554" s="2" t="s">
        <v>184</v>
      </c>
      <c r="C554" s="2" t="s">
        <v>49</v>
      </c>
      <c r="D554" s="2" t="s">
        <v>10</v>
      </c>
      <c r="E554" s="2" t="s">
        <v>76</v>
      </c>
      <c r="F554" s="2" t="s">
        <v>1145</v>
      </c>
      <c r="G554" s="14" t="n">
        <v>17.5</v>
      </c>
      <c r="H554" s="14" t="n">
        <v>37.28</v>
      </c>
      <c r="I554" s="14"/>
      <c r="J554" s="22" t="n">
        <f aca="false">IF(E554="Priority",'Cost model'!N201,'Cost model'!M201)</f>
        <v>12.5</v>
      </c>
      <c r="K554" s="14" t="n">
        <f aca="false">J554-H554</f>
        <v>-24.78</v>
      </c>
      <c r="L554" s="14" t="n">
        <f aca="false">G554-H554</f>
        <v>-19.78</v>
      </c>
    </row>
    <row r="555" customFormat="false" ht="15" hidden="false" customHeight="false" outlineLevel="0" collapsed="false">
      <c r="A555" s="2" t="s">
        <v>184</v>
      </c>
      <c r="B555" s="2" t="s">
        <v>146</v>
      </c>
      <c r="C555" s="2" t="s">
        <v>50</v>
      </c>
      <c r="D555" s="2" t="s">
        <v>12</v>
      </c>
      <c r="E555" s="2" t="s">
        <v>76</v>
      </c>
      <c r="F555" s="2" t="s">
        <v>1146</v>
      </c>
      <c r="G555" s="14" t="n">
        <v>19.5</v>
      </c>
      <c r="H555" s="14" t="n">
        <v>25.97</v>
      </c>
      <c r="I555" s="14" t="n">
        <v>19.5</v>
      </c>
      <c r="J555" s="22" t="n">
        <f aca="false">IF(E555="Priority",'Cost model'!N151,'Cost model'!M151)</f>
        <v>55</v>
      </c>
      <c r="K555" s="14" t="n">
        <f aca="false">J555-H555</f>
        <v>29.03</v>
      </c>
      <c r="L555" s="14" t="n">
        <f aca="false">G555-H555</f>
        <v>-6.47</v>
      </c>
    </row>
    <row r="556" customFormat="false" ht="15" hidden="false" customHeight="false" outlineLevel="0" collapsed="false">
      <c r="A556" s="2" t="s">
        <v>126</v>
      </c>
      <c r="B556" s="2" t="s">
        <v>126</v>
      </c>
      <c r="C556" s="2" t="s">
        <v>49</v>
      </c>
      <c r="D556" s="2" t="s">
        <v>10</v>
      </c>
      <c r="E556" s="2" t="s">
        <v>76</v>
      </c>
      <c r="F556" s="2" t="s">
        <v>1145</v>
      </c>
      <c r="G556" s="14" t="n">
        <v>12.5</v>
      </c>
      <c r="H556" s="14" t="n">
        <v>8.04</v>
      </c>
      <c r="I556" s="14" t="n">
        <v>12.5</v>
      </c>
      <c r="J556" s="22" t="n">
        <f aca="false">IF(E556="Priority",'Cost model'!N381,'Cost model'!M381)</f>
        <v>14.5</v>
      </c>
      <c r="K556" s="14" t="n">
        <f aca="false">J556-H556</f>
        <v>6.46</v>
      </c>
      <c r="L556" s="14" t="n">
        <f aca="false">G556-H556</f>
        <v>4.46</v>
      </c>
    </row>
    <row r="557" customFormat="false" ht="15" hidden="false" customHeight="false" outlineLevel="0" collapsed="false">
      <c r="A557" s="2" t="s">
        <v>126</v>
      </c>
      <c r="B557" s="2" t="s">
        <v>126</v>
      </c>
      <c r="C557" s="2" t="s">
        <v>49</v>
      </c>
      <c r="D557" s="2" t="s">
        <v>13</v>
      </c>
      <c r="E557" s="2" t="s">
        <v>76</v>
      </c>
      <c r="F557" s="2" t="s">
        <v>1145</v>
      </c>
      <c r="G557" s="14" t="n">
        <v>24.5</v>
      </c>
      <c r="H557" s="14" t="n">
        <v>65.9</v>
      </c>
      <c r="I557" s="14" t="n">
        <v>24.5</v>
      </c>
      <c r="J557" s="22" t="n">
        <f aca="false">IF(E557="Priority",'Cost model'!N387,'Cost model'!M387)</f>
        <v>95</v>
      </c>
      <c r="K557" s="14" t="n">
        <f aca="false">J557-H557</f>
        <v>29.1</v>
      </c>
      <c r="L557" s="14" t="n">
        <f aca="false">G557-H557</f>
        <v>-41.4</v>
      </c>
    </row>
    <row r="558" customFormat="false" ht="15" hidden="false" customHeight="false" outlineLevel="0" collapsed="false">
      <c r="A558" s="2" t="s">
        <v>184</v>
      </c>
      <c r="B558" s="2" t="s">
        <v>184</v>
      </c>
      <c r="C558" s="2" t="s">
        <v>48</v>
      </c>
      <c r="D558" s="2" t="s">
        <v>12</v>
      </c>
      <c r="E558" s="2" t="s">
        <v>76</v>
      </c>
      <c r="F558" s="2" t="s">
        <v>1145</v>
      </c>
      <c r="G558" s="14" t="n">
        <v>9.5</v>
      </c>
      <c r="H558" s="14" t="n">
        <v>25.84</v>
      </c>
      <c r="I558" s="14" t="n">
        <v>9.5</v>
      </c>
      <c r="J558" s="22" t="n">
        <f aca="false">IF(E558="Priority",'Cost model'!N203,'Cost model'!M203)</f>
        <v>26.5</v>
      </c>
      <c r="K558" s="14" t="n">
        <f aca="false">J558-H558</f>
        <v>0.66</v>
      </c>
      <c r="L558" s="14" t="n">
        <f aca="false">G558-H558</f>
        <v>-16.34</v>
      </c>
    </row>
    <row r="559" customFormat="false" ht="15" hidden="false" customHeight="false" outlineLevel="0" collapsed="false">
      <c r="A559" s="2" t="s">
        <v>146</v>
      </c>
      <c r="B559" s="2" t="s">
        <v>146</v>
      </c>
      <c r="C559" s="2" t="s">
        <v>48</v>
      </c>
      <c r="D559" s="2" t="s">
        <v>12</v>
      </c>
      <c r="E559" s="2" t="s">
        <v>76</v>
      </c>
      <c r="F559" s="2" t="s">
        <v>1145</v>
      </c>
      <c r="G559" s="14" t="n">
        <v>9.5</v>
      </c>
      <c r="H559" s="14" t="n">
        <v>43.77</v>
      </c>
      <c r="I559" s="14" t="n">
        <v>9.5</v>
      </c>
      <c r="J559" s="22" t="n">
        <f aca="false">IF(E559="Priority",'Cost model'!N761,'Cost model'!M761)</f>
        <v>35</v>
      </c>
      <c r="K559" s="14" t="n">
        <f aca="false">J559-H559</f>
        <v>-8.77</v>
      </c>
      <c r="L559" s="14" t="n">
        <f aca="false">G559-H559</f>
        <v>-34.27</v>
      </c>
    </row>
    <row r="560" customFormat="false" ht="15" hidden="false" customHeight="false" outlineLevel="0" collapsed="false">
      <c r="A560" s="2" t="s">
        <v>240</v>
      </c>
      <c r="B560" s="2" t="s">
        <v>240</v>
      </c>
      <c r="C560" s="2" t="s">
        <v>50</v>
      </c>
      <c r="D560" s="2" t="s">
        <v>10</v>
      </c>
      <c r="E560" s="2" t="s">
        <v>76</v>
      </c>
      <c r="F560" s="2" t="s">
        <v>1145</v>
      </c>
      <c r="G560" s="14" t="n">
        <v>17.5</v>
      </c>
      <c r="H560" s="14" t="n">
        <v>14.29</v>
      </c>
      <c r="I560" s="14" t="n">
        <v>17.5</v>
      </c>
      <c r="J560" s="22" t="n">
        <f aca="false">IF(E560="Priority",'Cost model'!N886,'Cost model'!M886)</f>
        <v>17.5</v>
      </c>
      <c r="K560" s="14" t="n">
        <f aca="false">J560-H560</f>
        <v>3.21</v>
      </c>
      <c r="L560" s="14" t="n">
        <f aca="false">G560-H560</f>
        <v>3.21</v>
      </c>
    </row>
    <row r="561" customFormat="false" ht="15" hidden="false" customHeight="false" outlineLevel="0" collapsed="false">
      <c r="A561" s="2" t="s">
        <v>125</v>
      </c>
      <c r="B561" s="2" t="s">
        <v>184</v>
      </c>
      <c r="C561" s="2" t="s">
        <v>48</v>
      </c>
      <c r="D561" s="2" t="s">
        <v>12</v>
      </c>
      <c r="E561" s="2" t="s">
        <v>76</v>
      </c>
      <c r="F561" s="2" t="s">
        <v>1146</v>
      </c>
      <c r="G561" s="14" t="n">
        <v>19.5</v>
      </c>
      <c r="H561" s="14" t="n">
        <v>64.06</v>
      </c>
      <c r="I561" s="14" t="n">
        <v>19.5</v>
      </c>
      <c r="J561" s="22" t="n">
        <f aca="false">IF(E561="Priority",'Cost model'!N59,'Cost model'!M59)</f>
        <v>45</v>
      </c>
      <c r="K561" s="14" t="n">
        <f aca="false">J561-H561</f>
        <v>-19.06</v>
      </c>
      <c r="L561" s="14" t="n">
        <f aca="false">G561-H561</f>
        <v>-44.56</v>
      </c>
    </row>
    <row r="562" customFormat="false" ht="15" hidden="false" customHeight="false" outlineLevel="0" collapsed="false">
      <c r="A562" s="2" t="s">
        <v>184</v>
      </c>
      <c r="B562" s="2" t="s">
        <v>184</v>
      </c>
      <c r="C562" s="2" t="s">
        <v>49</v>
      </c>
      <c r="D562" s="2" t="s">
        <v>12</v>
      </c>
      <c r="E562" s="2" t="s">
        <v>76</v>
      </c>
      <c r="F562" s="2" t="s">
        <v>1145</v>
      </c>
      <c r="G562" s="14" t="n">
        <v>12.5</v>
      </c>
      <c r="H562" s="14" t="n">
        <v>32.95</v>
      </c>
      <c r="I562" s="14"/>
      <c r="J562" s="22" t="n">
        <f aca="false">IF(E562="Priority",'Cost model'!N204,'Cost model'!M204)</f>
        <v>45</v>
      </c>
      <c r="K562" s="14" t="n">
        <f aca="false">J562-H562</f>
        <v>12.05</v>
      </c>
      <c r="L562" s="14" t="n">
        <f aca="false">G562-H562</f>
        <v>-20.45</v>
      </c>
    </row>
    <row r="563" customFormat="false" ht="15" hidden="false" customHeight="false" outlineLevel="0" collapsed="false">
      <c r="A563" s="2" t="s">
        <v>165</v>
      </c>
      <c r="B563" s="2" t="s">
        <v>146</v>
      </c>
      <c r="C563" s="2" t="s">
        <v>48</v>
      </c>
      <c r="D563" s="2" t="s">
        <v>10</v>
      </c>
      <c r="E563" s="2" t="s">
        <v>76</v>
      </c>
      <c r="F563" s="2" t="s">
        <v>1146</v>
      </c>
      <c r="G563" s="14" t="n">
        <v>9.5</v>
      </c>
      <c r="H563" s="14" t="n">
        <v>7.71</v>
      </c>
      <c r="I563" s="14" t="n">
        <v>14.5</v>
      </c>
      <c r="J563" s="22" t="n">
        <f aca="false">IF(E563="Priority",'Cost model'!N524,'Cost model'!M524)</f>
        <v>14.5</v>
      </c>
      <c r="K563" s="14" t="n">
        <f aca="false">J563-H563</f>
        <v>6.79</v>
      </c>
      <c r="L563" s="14" t="n">
        <f aca="false">G563-H563</f>
        <v>1.79</v>
      </c>
    </row>
    <row r="564" customFormat="false" ht="15" hidden="false" customHeight="false" outlineLevel="0" collapsed="false">
      <c r="A564" s="2" t="s">
        <v>240</v>
      </c>
      <c r="B564" s="2" t="s">
        <v>240</v>
      </c>
      <c r="C564" s="2" t="s">
        <v>48</v>
      </c>
      <c r="D564" s="2" t="s">
        <v>16</v>
      </c>
      <c r="E564" s="2" t="s">
        <v>76</v>
      </c>
      <c r="F564" s="2" t="s">
        <v>1145</v>
      </c>
      <c r="G564" s="14" t="n">
        <v>45</v>
      </c>
      <c r="H564" s="14" t="n">
        <v>69.18</v>
      </c>
      <c r="I564" s="14" t="n">
        <v>45</v>
      </c>
      <c r="J564" s="22" t="n">
        <f aca="false">IF(E564="Priority",'Cost model'!N899,'Cost model'!M899)</f>
        <v>135</v>
      </c>
      <c r="K564" s="14" t="n">
        <f aca="false">J564-H564</f>
        <v>65.82</v>
      </c>
      <c r="L564" s="14" t="n">
        <f aca="false">G564-H564</f>
        <v>-24.18</v>
      </c>
    </row>
    <row r="565" customFormat="false" ht="15" hidden="false" customHeight="false" outlineLevel="0" collapsed="false">
      <c r="A565" s="2" t="s">
        <v>146</v>
      </c>
      <c r="B565" s="2" t="s">
        <v>146</v>
      </c>
      <c r="C565" s="2" t="s">
        <v>48</v>
      </c>
      <c r="D565" s="2" t="s">
        <v>12</v>
      </c>
      <c r="E565" s="2" t="s">
        <v>76</v>
      </c>
      <c r="F565" s="2" t="s">
        <v>1145</v>
      </c>
      <c r="G565" s="14" t="n">
        <v>9.5</v>
      </c>
      <c r="H565" s="14" t="n">
        <v>8.89</v>
      </c>
      <c r="I565" s="14" t="n">
        <v>9.5</v>
      </c>
      <c r="J565" s="22" t="n">
        <f aca="false">IF(E565="Priority",'Cost model'!N761,'Cost model'!M761)</f>
        <v>35</v>
      </c>
      <c r="K565" s="14" t="n">
        <f aca="false">J565-H565</f>
        <v>26.11</v>
      </c>
      <c r="L565" s="14" t="n">
        <f aca="false">G565-H565</f>
        <v>0.609999999999999</v>
      </c>
    </row>
    <row r="566" customFormat="false" ht="15" hidden="false" customHeight="false" outlineLevel="0" collapsed="false">
      <c r="A566" s="2" t="s">
        <v>184</v>
      </c>
      <c r="B566" s="2" t="s">
        <v>184</v>
      </c>
      <c r="C566" s="2" t="s">
        <v>48</v>
      </c>
      <c r="D566" s="2" t="s">
        <v>12</v>
      </c>
      <c r="E566" s="2" t="s">
        <v>76</v>
      </c>
      <c r="F566" s="2" t="s">
        <v>1145</v>
      </c>
      <c r="G566" s="14" t="n">
        <v>9.5</v>
      </c>
      <c r="H566" s="14" t="n">
        <v>27.63</v>
      </c>
      <c r="I566" s="14" t="n">
        <v>9.5</v>
      </c>
      <c r="J566" s="22" t="n">
        <f aca="false">IF(E566="Priority",'Cost model'!N203,'Cost model'!M203)</f>
        <v>26.5</v>
      </c>
      <c r="K566" s="14" t="n">
        <f aca="false">J566-H566</f>
        <v>-1.13</v>
      </c>
      <c r="L566" s="14" t="n">
        <f aca="false">G566-H566</f>
        <v>-18.13</v>
      </c>
    </row>
    <row r="567" customFormat="false" ht="15" hidden="false" customHeight="false" outlineLevel="0" collapsed="false">
      <c r="A567" s="2" t="s">
        <v>146</v>
      </c>
      <c r="B567" s="2" t="s">
        <v>146</v>
      </c>
      <c r="C567" s="2" t="s">
        <v>50</v>
      </c>
      <c r="D567" s="2" t="s">
        <v>12</v>
      </c>
      <c r="E567" s="2" t="s">
        <v>76</v>
      </c>
      <c r="F567" s="2" t="s">
        <v>1145</v>
      </c>
      <c r="G567" s="14" t="n">
        <v>19.5</v>
      </c>
      <c r="H567" s="14" t="n">
        <v>56.95</v>
      </c>
      <c r="I567" s="14" t="n">
        <v>19.5</v>
      </c>
      <c r="J567" s="22" t="n">
        <f aca="false">IF(E567="Priority",'Cost model'!N763,'Cost model'!M763)</f>
        <v>50</v>
      </c>
      <c r="K567" s="14" t="n">
        <f aca="false">J567-H567</f>
        <v>-6.95</v>
      </c>
      <c r="L567" s="14" t="n">
        <f aca="false">G567-H567</f>
        <v>-37.45</v>
      </c>
    </row>
    <row r="568" customFormat="false" ht="15" hidden="false" customHeight="false" outlineLevel="0" collapsed="false">
      <c r="A568" s="2" t="s">
        <v>126</v>
      </c>
      <c r="B568" s="2" t="s">
        <v>126</v>
      </c>
      <c r="C568" s="2" t="s">
        <v>50</v>
      </c>
      <c r="D568" s="2" t="s">
        <v>12</v>
      </c>
      <c r="E568" s="2" t="s">
        <v>85</v>
      </c>
      <c r="F568" s="2" t="s">
        <v>1145</v>
      </c>
      <c r="G568" s="14" t="n">
        <v>29.5</v>
      </c>
      <c r="H568" s="14" t="n">
        <v>28.85</v>
      </c>
      <c r="I568" s="14" t="n">
        <v>29.5</v>
      </c>
      <c r="J568" s="22" t="n">
        <f aca="false">IF(E568="Priority",'Cost model'!N385,'Cost model'!M385)</f>
        <v>70</v>
      </c>
      <c r="K568" s="14" t="n">
        <f aca="false">J568-H568</f>
        <v>41.15</v>
      </c>
      <c r="L568" s="14" t="n">
        <f aca="false">G568-H568</f>
        <v>0.649999999999999</v>
      </c>
    </row>
    <row r="569" customFormat="false" ht="15" hidden="false" customHeight="false" outlineLevel="0" collapsed="false">
      <c r="A569" s="2" t="s">
        <v>165</v>
      </c>
      <c r="B569" s="2" t="s">
        <v>165</v>
      </c>
      <c r="C569" s="2" t="s">
        <v>48</v>
      </c>
      <c r="D569" s="2" t="s">
        <v>12</v>
      </c>
      <c r="E569" s="2" t="s">
        <v>76</v>
      </c>
      <c r="F569" s="2" t="s">
        <v>1145</v>
      </c>
      <c r="G569" s="14" t="n">
        <v>9.5</v>
      </c>
      <c r="H569" s="14" t="n">
        <v>18.52</v>
      </c>
      <c r="I569" s="14" t="n">
        <v>9.5</v>
      </c>
      <c r="J569" s="22" t="n">
        <f aca="false">IF(E569="Priority",'Cost model'!N509,'Cost model'!M509)</f>
        <v>17.5</v>
      </c>
      <c r="K569" s="14" t="n">
        <f aca="false">J569-H569</f>
        <v>-1.02</v>
      </c>
      <c r="L569" s="14" t="n">
        <f aca="false">G569-H569</f>
        <v>-9.02</v>
      </c>
    </row>
    <row r="570" customFormat="false" ht="15" hidden="false" customHeight="false" outlineLevel="0" collapsed="false">
      <c r="A570" s="2" t="s">
        <v>184</v>
      </c>
      <c r="B570" s="2" t="s">
        <v>184</v>
      </c>
      <c r="C570" s="2" t="s">
        <v>49</v>
      </c>
      <c r="D570" s="2" t="s">
        <v>12</v>
      </c>
      <c r="E570" s="2" t="s">
        <v>76</v>
      </c>
      <c r="F570" s="2" t="s">
        <v>1145</v>
      </c>
      <c r="G570" s="14" t="n">
        <v>12.5</v>
      </c>
      <c r="H570" s="14" t="n">
        <v>48.45</v>
      </c>
      <c r="I570" s="14"/>
      <c r="J570" s="22" t="n">
        <f aca="false">IF(E570="Priority",'Cost model'!N204,'Cost model'!M204)</f>
        <v>45</v>
      </c>
      <c r="K570" s="14" t="n">
        <f aca="false">J570-H570</f>
        <v>-3.45</v>
      </c>
      <c r="L570" s="14" t="n">
        <f aca="false">G570-H570</f>
        <v>-35.95</v>
      </c>
    </row>
    <row r="571" customFormat="false" ht="15" hidden="false" customHeight="false" outlineLevel="0" collapsed="false">
      <c r="A571" s="2" t="s">
        <v>184</v>
      </c>
      <c r="B571" s="2" t="s">
        <v>184</v>
      </c>
      <c r="C571" s="2" t="s">
        <v>49</v>
      </c>
      <c r="D571" s="2" t="s">
        <v>10</v>
      </c>
      <c r="E571" s="2" t="s">
        <v>76</v>
      </c>
      <c r="F571" s="2" t="s">
        <v>1145</v>
      </c>
      <c r="G571" s="14" t="n">
        <v>12.5</v>
      </c>
      <c r="H571" s="14" t="n">
        <v>11.46</v>
      </c>
      <c r="I571" s="14"/>
      <c r="J571" s="22" t="n">
        <f aca="false">IF(E571="Priority",'Cost model'!N201,'Cost model'!M201)</f>
        <v>12.5</v>
      </c>
      <c r="K571" s="14" t="n">
        <f aca="false">J571-H571</f>
        <v>1.04</v>
      </c>
      <c r="L571" s="14" t="n">
        <f aca="false">G571-H571</f>
        <v>1.04</v>
      </c>
    </row>
    <row r="572" customFormat="false" ht="15" hidden="false" customHeight="false" outlineLevel="0" collapsed="false">
      <c r="A572" s="2" t="s">
        <v>146</v>
      </c>
      <c r="B572" s="2" t="s">
        <v>146</v>
      </c>
      <c r="C572" s="2" t="s">
        <v>48</v>
      </c>
      <c r="D572" s="2" t="s">
        <v>10</v>
      </c>
      <c r="E572" s="2" t="s">
        <v>76</v>
      </c>
      <c r="F572" s="2" t="s">
        <v>1145</v>
      </c>
      <c r="G572" s="14" t="n">
        <v>9.5</v>
      </c>
      <c r="H572" s="14" t="n">
        <v>7.71</v>
      </c>
      <c r="I572" s="14" t="n">
        <v>9.5</v>
      </c>
      <c r="J572" s="22" t="n">
        <f aca="false">IF(E572="Priority",'Cost model'!N758,'Cost model'!M758)</f>
        <v>9.5</v>
      </c>
      <c r="K572" s="14" t="n">
        <f aca="false">J572-H572</f>
        <v>1.79</v>
      </c>
      <c r="L572" s="14" t="n">
        <f aca="false">G572-H572</f>
        <v>1.79</v>
      </c>
    </row>
    <row r="573" customFormat="false" ht="15" hidden="false" customHeight="false" outlineLevel="0" collapsed="false">
      <c r="A573" s="2" t="s">
        <v>126</v>
      </c>
      <c r="B573" s="2" t="s">
        <v>146</v>
      </c>
      <c r="C573" s="2" t="s">
        <v>49</v>
      </c>
      <c r="D573" s="2" t="s">
        <v>10</v>
      </c>
      <c r="E573" s="2" t="s">
        <v>76</v>
      </c>
      <c r="F573" s="2" t="s">
        <v>1146</v>
      </c>
      <c r="G573" s="14" t="n">
        <v>24.5</v>
      </c>
      <c r="H573" s="14" t="n">
        <v>21.61</v>
      </c>
      <c r="I573" s="14" t="n">
        <v>14.5</v>
      </c>
      <c r="J573" s="22" t="n">
        <f aca="false">IF(E573="Priority",'Cost model'!N399,'Cost model'!M399)</f>
        <v>17.5</v>
      </c>
      <c r="K573" s="14" t="n">
        <f aca="false">J573-H573</f>
        <v>-4.11</v>
      </c>
      <c r="L573" s="14" t="n">
        <f aca="false">G573-H573</f>
        <v>2.89</v>
      </c>
    </row>
    <row r="574" customFormat="false" ht="15" hidden="false" customHeight="false" outlineLevel="0" collapsed="false">
      <c r="A574" s="2" t="s">
        <v>146</v>
      </c>
      <c r="B574" s="2" t="s">
        <v>146</v>
      </c>
      <c r="C574" s="2" t="s">
        <v>48</v>
      </c>
      <c r="D574" s="2" t="s">
        <v>10</v>
      </c>
      <c r="E574" s="2" t="s">
        <v>85</v>
      </c>
      <c r="F574" s="2" t="s">
        <v>1145</v>
      </c>
      <c r="G574" s="14" t="n">
        <v>14.5</v>
      </c>
      <c r="H574" s="14" t="n">
        <v>23.58</v>
      </c>
      <c r="I574" s="14" t="n">
        <v>14.5</v>
      </c>
      <c r="J574" s="22" t="n">
        <f aca="false">IF(E574="Priority",'Cost model'!N758,'Cost model'!M758)</f>
        <v>14.5</v>
      </c>
      <c r="K574" s="14" t="n">
        <f aca="false">J574-H574</f>
        <v>-9.08</v>
      </c>
      <c r="L574" s="14" t="n">
        <f aca="false">G574-H574</f>
        <v>-9.08</v>
      </c>
    </row>
    <row r="575" customFormat="false" ht="15" hidden="false" customHeight="false" outlineLevel="0" collapsed="false">
      <c r="A575" s="2" t="s">
        <v>126</v>
      </c>
      <c r="B575" s="2" t="s">
        <v>126</v>
      </c>
      <c r="C575" s="2" t="s">
        <v>50</v>
      </c>
      <c r="D575" s="2" t="s">
        <v>13</v>
      </c>
      <c r="E575" s="2" t="s">
        <v>85</v>
      </c>
      <c r="F575" s="2" t="s">
        <v>1145</v>
      </c>
      <c r="G575" s="14" t="n">
        <v>95</v>
      </c>
      <c r="H575" s="14" t="n">
        <v>72.29</v>
      </c>
      <c r="I575" s="14" t="n">
        <v>95</v>
      </c>
      <c r="J575" s="22" t="n">
        <f aca="false">IF(E575="Priority",'Cost model'!N388,'Cost model'!M388)</f>
        <v>150</v>
      </c>
      <c r="K575" s="14" t="n">
        <f aca="false">J575-H575</f>
        <v>77.71</v>
      </c>
      <c r="L575" s="14" t="n">
        <f aca="false">G575-H575</f>
        <v>22.71</v>
      </c>
    </row>
    <row r="576" customFormat="false" ht="15" hidden="false" customHeight="false" outlineLevel="0" collapsed="false">
      <c r="A576" s="2" t="s">
        <v>126</v>
      </c>
      <c r="B576" s="2" t="s">
        <v>146</v>
      </c>
      <c r="C576" s="2" t="s">
        <v>49</v>
      </c>
      <c r="D576" s="2" t="s">
        <v>12</v>
      </c>
      <c r="E576" s="2" t="s">
        <v>85</v>
      </c>
      <c r="F576" s="2" t="s">
        <v>1146</v>
      </c>
      <c r="G576" s="14" t="n">
        <v>24.5</v>
      </c>
      <c r="H576" s="14" t="n">
        <v>50.25</v>
      </c>
      <c r="I576" s="14" t="n">
        <v>24.5</v>
      </c>
      <c r="J576" s="22" t="n">
        <f aca="false">IF(E576="Priority",'Cost model'!N402,'Cost model'!M402)</f>
        <v>80</v>
      </c>
      <c r="K576" s="14" t="n">
        <f aca="false">J576-H576</f>
        <v>29.75</v>
      </c>
      <c r="L576" s="14" t="n">
        <f aca="false">G576-H576</f>
        <v>-25.75</v>
      </c>
    </row>
    <row r="577" customFormat="false" ht="15" hidden="false" customHeight="false" outlineLevel="0" collapsed="false">
      <c r="A577" s="2" t="s">
        <v>126</v>
      </c>
      <c r="B577" s="2" t="s">
        <v>126</v>
      </c>
      <c r="C577" s="2" t="s">
        <v>49</v>
      </c>
      <c r="D577" s="2" t="s">
        <v>10</v>
      </c>
      <c r="E577" s="2" t="s">
        <v>76</v>
      </c>
      <c r="F577" s="2" t="s">
        <v>1145</v>
      </c>
      <c r="G577" s="14" t="n">
        <v>12.5</v>
      </c>
      <c r="H577" s="14" t="n">
        <v>7.71</v>
      </c>
      <c r="I577" s="14" t="n">
        <v>12.5</v>
      </c>
      <c r="J577" s="22" t="n">
        <f aca="false">IF(E577="Priority",'Cost model'!N381,'Cost model'!M381)</f>
        <v>14.5</v>
      </c>
      <c r="K577" s="14" t="n">
        <f aca="false">J577-H577</f>
        <v>6.79</v>
      </c>
      <c r="L577" s="14" t="n">
        <f aca="false">G577-H577</f>
        <v>4.79</v>
      </c>
    </row>
    <row r="578" customFormat="false" ht="15" hidden="false" customHeight="false" outlineLevel="0" collapsed="false">
      <c r="A578" s="2" t="s">
        <v>184</v>
      </c>
      <c r="B578" s="2" t="s">
        <v>184</v>
      </c>
      <c r="C578" s="2" t="s">
        <v>49</v>
      </c>
      <c r="D578" s="2" t="s">
        <v>10</v>
      </c>
      <c r="E578" s="2" t="s">
        <v>76</v>
      </c>
      <c r="F578" s="2" t="s">
        <v>1145</v>
      </c>
      <c r="G578" s="14" t="n">
        <v>12.5</v>
      </c>
      <c r="H578" s="14" t="n">
        <v>25.78</v>
      </c>
      <c r="I578" s="14"/>
      <c r="J578" s="22" t="n">
        <f aca="false">IF(E578="Priority",'Cost model'!N201,'Cost model'!M201)</f>
        <v>12.5</v>
      </c>
      <c r="K578" s="14" t="n">
        <f aca="false">J578-H578</f>
        <v>-13.28</v>
      </c>
      <c r="L578" s="14" t="n">
        <f aca="false">G578-H578</f>
        <v>-13.28</v>
      </c>
    </row>
    <row r="579" customFormat="false" ht="15" hidden="false" customHeight="false" outlineLevel="0" collapsed="false">
      <c r="A579" s="2" t="s">
        <v>221</v>
      </c>
      <c r="B579" s="2" t="s">
        <v>126</v>
      </c>
      <c r="C579" s="2" t="s">
        <v>49</v>
      </c>
      <c r="D579" s="2" t="s">
        <v>10</v>
      </c>
      <c r="E579" s="2" t="s">
        <v>76</v>
      </c>
      <c r="F579" s="2" t="s">
        <v>1146</v>
      </c>
      <c r="G579" s="14" t="n">
        <v>14.5</v>
      </c>
      <c r="H579" s="14" t="n">
        <v>12.43</v>
      </c>
      <c r="I579" s="14" t="n">
        <v>19.5</v>
      </c>
      <c r="J579" s="22" t="n">
        <f aca="false">IF(E579="Priority",'Cost model'!N687,'Cost model'!M687)</f>
        <v>17.5</v>
      </c>
      <c r="K579" s="14" t="n">
        <f aca="false">J579-H579</f>
        <v>5.07</v>
      </c>
      <c r="L579" s="14" t="n">
        <f aca="false">G579-H579</f>
        <v>2.07</v>
      </c>
    </row>
    <row r="580" customFormat="false" ht="15" hidden="false" customHeight="false" outlineLevel="0" collapsed="false">
      <c r="A580" s="2" t="s">
        <v>126</v>
      </c>
      <c r="B580" s="2" t="s">
        <v>126</v>
      </c>
      <c r="C580" s="2" t="s">
        <v>48</v>
      </c>
      <c r="D580" s="2" t="s">
        <v>10</v>
      </c>
      <c r="E580" s="2" t="s">
        <v>76</v>
      </c>
      <c r="F580" s="2" t="s">
        <v>1145</v>
      </c>
      <c r="G580" s="14" t="n">
        <v>9.5</v>
      </c>
      <c r="H580" s="14" t="n">
        <v>6.2</v>
      </c>
      <c r="I580" s="14" t="n">
        <v>9.5</v>
      </c>
      <c r="J580" s="22" t="n">
        <f aca="false">IF(E580="Priority",'Cost model'!N380,'Cost model'!M380)</f>
        <v>8.5</v>
      </c>
      <c r="K580" s="14" t="n">
        <f aca="false">J580-H580</f>
        <v>2.3</v>
      </c>
      <c r="L580" s="14" t="n">
        <f aca="false">G580-H580</f>
        <v>3.3</v>
      </c>
    </row>
    <row r="581" customFormat="false" ht="15" hidden="false" customHeight="false" outlineLevel="0" collapsed="false">
      <c r="A581" s="2" t="s">
        <v>240</v>
      </c>
      <c r="B581" s="2" t="s">
        <v>240</v>
      </c>
      <c r="C581" s="2" t="s">
        <v>50</v>
      </c>
      <c r="D581" s="2" t="s">
        <v>12</v>
      </c>
      <c r="E581" s="2" t="s">
        <v>76</v>
      </c>
      <c r="F581" s="2" t="s">
        <v>1145</v>
      </c>
      <c r="G581" s="14" t="n">
        <v>19.5</v>
      </c>
      <c r="H581" s="14" t="n">
        <v>55.79</v>
      </c>
      <c r="I581" s="14" t="n">
        <v>19.5</v>
      </c>
      <c r="J581" s="22" t="n">
        <f aca="false">IF(E581="Priority",'Cost model'!N889,'Cost model'!M889)</f>
        <v>60</v>
      </c>
      <c r="K581" s="14" t="n">
        <f aca="false">J581-H581</f>
        <v>4.21</v>
      </c>
      <c r="L581" s="14" t="n">
        <f aca="false">G581-H581</f>
        <v>-36.29</v>
      </c>
    </row>
    <row r="582" customFormat="false" ht="15" hidden="false" customHeight="false" outlineLevel="0" collapsed="false">
      <c r="A582" s="2" t="s">
        <v>126</v>
      </c>
      <c r="B582" s="2" t="s">
        <v>126</v>
      </c>
      <c r="C582" s="2" t="s">
        <v>49</v>
      </c>
      <c r="D582" s="2" t="s">
        <v>10</v>
      </c>
      <c r="E582" s="2" t="s">
        <v>76</v>
      </c>
      <c r="F582" s="2" t="s">
        <v>1145</v>
      </c>
      <c r="G582" s="14" t="n">
        <v>12.5</v>
      </c>
      <c r="H582" s="14" t="n">
        <v>9.68</v>
      </c>
      <c r="I582" s="14" t="n">
        <v>12.5</v>
      </c>
      <c r="J582" s="22" t="n">
        <f aca="false">IF(E582="Priority",'Cost model'!N381,'Cost model'!M381)</f>
        <v>14.5</v>
      </c>
      <c r="K582" s="14" t="n">
        <f aca="false">J582-H582</f>
        <v>4.82</v>
      </c>
      <c r="L582" s="14" t="n">
        <f aca="false">G582-H582</f>
        <v>2.82</v>
      </c>
    </row>
    <row r="583" customFormat="false" ht="15" hidden="false" customHeight="false" outlineLevel="0" collapsed="false">
      <c r="A583" s="2" t="s">
        <v>146</v>
      </c>
      <c r="B583" s="2" t="s">
        <v>146</v>
      </c>
      <c r="C583" s="2" t="s">
        <v>48</v>
      </c>
      <c r="D583" s="2" t="s">
        <v>12</v>
      </c>
      <c r="E583" s="2" t="s">
        <v>76</v>
      </c>
      <c r="F583" s="2" t="s">
        <v>1145</v>
      </c>
      <c r="G583" s="14" t="n">
        <v>9.5</v>
      </c>
      <c r="H583" s="14" t="n">
        <v>44.11</v>
      </c>
      <c r="I583" s="14" t="n">
        <v>9.5</v>
      </c>
      <c r="J583" s="22" t="n">
        <f aca="false">IF(E583="Priority",'Cost model'!N761,'Cost model'!M761)</f>
        <v>35</v>
      </c>
      <c r="K583" s="14" t="n">
        <f aca="false">J583-H583</f>
        <v>-9.11</v>
      </c>
      <c r="L583" s="14" t="n">
        <f aca="false">G583-H583</f>
        <v>-34.61</v>
      </c>
    </row>
    <row r="584" customFormat="false" ht="15" hidden="false" customHeight="false" outlineLevel="0" collapsed="false">
      <c r="A584" s="2" t="s">
        <v>184</v>
      </c>
      <c r="B584" s="2" t="s">
        <v>126</v>
      </c>
      <c r="C584" s="2" t="s">
        <v>49</v>
      </c>
      <c r="D584" s="2" t="s">
        <v>12</v>
      </c>
      <c r="E584" s="2" t="s">
        <v>76</v>
      </c>
      <c r="F584" s="2" t="s">
        <v>1146</v>
      </c>
      <c r="G584" s="14" t="n">
        <v>12.5</v>
      </c>
      <c r="H584" s="14" t="n">
        <v>44.37</v>
      </c>
      <c r="I584" s="14"/>
      <c r="J584" s="22" t="n">
        <f aca="false">IF(E584="Priority",'Cost model'!N132,'Cost model'!M132)</f>
        <v>50</v>
      </c>
      <c r="K584" s="14" t="n">
        <f aca="false">J584-H584</f>
        <v>5.63</v>
      </c>
      <c r="L584" s="14" t="n">
        <f aca="false">G584-H584</f>
        <v>-31.87</v>
      </c>
    </row>
    <row r="585" customFormat="false" ht="15" hidden="false" customHeight="false" outlineLevel="0" collapsed="false">
      <c r="A585" s="2" t="s">
        <v>126</v>
      </c>
      <c r="B585" s="2" t="s">
        <v>184</v>
      </c>
      <c r="C585" s="2" t="s">
        <v>49</v>
      </c>
      <c r="D585" s="2" t="s">
        <v>12</v>
      </c>
      <c r="E585" s="2" t="s">
        <v>76</v>
      </c>
      <c r="F585" s="2" t="s">
        <v>1146</v>
      </c>
      <c r="G585" s="14" t="n">
        <v>14.5</v>
      </c>
      <c r="H585" s="14" t="n">
        <v>26.88</v>
      </c>
      <c r="I585" s="14" t="n">
        <v>19.5</v>
      </c>
      <c r="J585" s="22" t="n">
        <f aca="false">IF(E585="Priority",'Cost model'!N438,'Cost model'!M438)</f>
        <v>55</v>
      </c>
      <c r="K585" s="14" t="n">
        <f aca="false">J585-H585</f>
        <v>28.12</v>
      </c>
      <c r="L585" s="14" t="n">
        <f aca="false">G585-H585</f>
        <v>-12.38</v>
      </c>
    </row>
    <row r="586" customFormat="false" ht="15" hidden="false" customHeight="false" outlineLevel="0" collapsed="false">
      <c r="A586" s="2" t="s">
        <v>184</v>
      </c>
      <c r="B586" s="2" t="s">
        <v>146</v>
      </c>
      <c r="C586" s="2" t="s">
        <v>49</v>
      </c>
      <c r="D586" s="2" t="s">
        <v>12</v>
      </c>
      <c r="E586" s="2" t="s">
        <v>76</v>
      </c>
      <c r="F586" s="2" t="s">
        <v>1146</v>
      </c>
      <c r="G586" s="14" t="n">
        <v>12.5</v>
      </c>
      <c r="H586" s="14" t="n">
        <v>76.88</v>
      </c>
      <c r="I586" s="14"/>
      <c r="J586" s="22" t="n">
        <f aca="false">IF(E586="Priority",'Cost model'!N150,'Cost model'!M150)</f>
        <v>55</v>
      </c>
      <c r="K586" s="14" t="n">
        <f aca="false">J586-H586</f>
        <v>-21.88</v>
      </c>
      <c r="L586" s="14" t="n">
        <f aca="false">G586-H586</f>
        <v>-64.38</v>
      </c>
    </row>
    <row r="587" customFormat="false" ht="15" hidden="false" customHeight="false" outlineLevel="0" collapsed="false">
      <c r="A587" s="2" t="s">
        <v>221</v>
      </c>
      <c r="B587" s="2" t="s">
        <v>221</v>
      </c>
      <c r="C587" s="2" t="s">
        <v>49</v>
      </c>
      <c r="D587" s="2" t="s">
        <v>12</v>
      </c>
      <c r="E587" s="2" t="s">
        <v>85</v>
      </c>
      <c r="F587" s="2" t="s">
        <v>1145</v>
      </c>
      <c r="G587" s="14" t="n">
        <v>19.5</v>
      </c>
      <c r="H587" s="14" t="n">
        <v>10.58</v>
      </c>
      <c r="I587" s="14" t="n">
        <v>19.5</v>
      </c>
      <c r="J587" s="22" t="n">
        <f aca="false">IF(E587="Priority",'Cost model'!N636,'Cost model'!M636)</f>
        <v>70</v>
      </c>
      <c r="K587" s="14" t="n">
        <f aca="false">J587-H587</f>
        <v>59.42</v>
      </c>
      <c r="L587" s="14" t="n">
        <f aca="false">G587-H587</f>
        <v>8.92</v>
      </c>
    </row>
    <row r="588" customFormat="false" ht="15" hidden="false" customHeight="false" outlineLevel="0" collapsed="false">
      <c r="A588" s="2" t="s">
        <v>126</v>
      </c>
      <c r="B588" s="2" t="s">
        <v>126</v>
      </c>
      <c r="C588" s="2" t="s">
        <v>50</v>
      </c>
      <c r="D588" s="2" t="s">
        <v>10</v>
      </c>
      <c r="E588" s="2" t="s">
        <v>85</v>
      </c>
      <c r="F588" s="2" t="s">
        <v>1145</v>
      </c>
      <c r="G588" s="14" t="n">
        <v>24.5</v>
      </c>
      <c r="H588" s="14" t="n">
        <v>24.63</v>
      </c>
      <c r="I588" s="14" t="n">
        <v>24.5</v>
      </c>
      <c r="J588" s="22" t="n">
        <f aca="false">IF(E588="Priority",'Cost model'!N382,'Cost model'!M382)</f>
        <v>25.5</v>
      </c>
      <c r="K588" s="14" t="n">
        <f aca="false">J588-H588</f>
        <v>0.870000000000001</v>
      </c>
      <c r="L588" s="14" t="n">
        <f aca="false">G588-H588</f>
        <v>-0.129999999999999</v>
      </c>
    </row>
    <row r="589" customFormat="false" ht="15" hidden="false" customHeight="false" outlineLevel="0" collapsed="false">
      <c r="A589" s="2" t="s">
        <v>146</v>
      </c>
      <c r="B589" s="2" t="s">
        <v>184</v>
      </c>
      <c r="C589" s="2" t="s">
        <v>48</v>
      </c>
      <c r="D589" s="2" t="s">
        <v>12</v>
      </c>
      <c r="E589" s="2" t="s">
        <v>76</v>
      </c>
      <c r="F589" s="2" t="s">
        <v>1146</v>
      </c>
      <c r="G589" s="14" t="n">
        <v>19.5</v>
      </c>
      <c r="H589" s="14" t="n">
        <v>90.06</v>
      </c>
      <c r="I589" s="14" t="n">
        <v>19.5</v>
      </c>
      <c r="J589" s="22" t="n">
        <f aca="false">IF(E589="Priority",'Cost model'!N833,'Cost model'!M833)</f>
        <v>45</v>
      </c>
      <c r="K589" s="14" t="n">
        <f aca="false">J589-H589</f>
        <v>-45.06</v>
      </c>
      <c r="L589" s="14" t="n">
        <f aca="false">G589-H589</f>
        <v>-70.56</v>
      </c>
    </row>
    <row r="590" customFormat="false" ht="15" hidden="false" customHeight="false" outlineLevel="0" collapsed="false">
      <c r="A590" s="2" t="s">
        <v>146</v>
      </c>
      <c r="B590" s="2" t="s">
        <v>126</v>
      </c>
      <c r="C590" s="2" t="s">
        <v>48</v>
      </c>
      <c r="D590" s="2" t="s">
        <v>10</v>
      </c>
      <c r="E590" s="2" t="s">
        <v>76</v>
      </c>
      <c r="F590" s="2" t="s">
        <v>1146</v>
      </c>
      <c r="G590" s="14" t="n">
        <v>9.5</v>
      </c>
      <c r="H590" s="14" t="n">
        <v>7.58</v>
      </c>
      <c r="I590" s="14" t="n">
        <v>14.5</v>
      </c>
      <c r="J590" s="22" t="n">
        <f aca="false">IF(E590="Priority",'Cost model'!N794,'Cost model'!M794)</f>
        <v>12.5</v>
      </c>
      <c r="K590" s="14" t="n">
        <f aca="false">J590-H590</f>
        <v>4.92</v>
      </c>
      <c r="L590" s="14" t="n">
        <f aca="false">G590-H590</f>
        <v>1.92</v>
      </c>
    </row>
    <row r="591" customFormat="false" ht="15" hidden="false" customHeight="false" outlineLevel="0" collapsed="false">
      <c r="A591" s="2" t="s">
        <v>240</v>
      </c>
      <c r="B591" s="2" t="s">
        <v>240</v>
      </c>
      <c r="C591" s="2" t="s">
        <v>49</v>
      </c>
      <c r="D591" s="2" t="s">
        <v>12</v>
      </c>
      <c r="E591" s="2" t="s">
        <v>76</v>
      </c>
      <c r="F591" s="2" t="s">
        <v>1145</v>
      </c>
      <c r="G591" s="14" t="n">
        <v>12.5</v>
      </c>
      <c r="H591" s="14" t="n">
        <v>29.03</v>
      </c>
      <c r="I591" s="14" t="n">
        <v>12.5</v>
      </c>
      <c r="J591" s="22" t="n">
        <f aca="false">IF(E591="Priority",'Cost model'!N888,'Cost model'!M888)</f>
        <v>50</v>
      </c>
      <c r="K591" s="14" t="n">
        <f aca="false">J591-H591</f>
        <v>20.97</v>
      </c>
      <c r="L591" s="14" t="n">
        <f aca="false">G591-H591</f>
        <v>-16.53</v>
      </c>
    </row>
    <row r="592" customFormat="false" ht="15" hidden="false" customHeight="false" outlineLevel="0" collapsed="false">
      <c r="A592" s="2" t="s">
        <v>184</v>
      </c>
      <c r="B592" s="2" t="s">
        <v>184</v>
      </c>
      <c r="C592" s="2" t="s">
        <v>48</v>
      </c>
      <c r="D592" s="2" t="s">
        <v>10</v>
      </c>
      <c r="E592" s="2" t="s">
        <v>76</v>
      </c>
      <c r="F592" s="2" t="s">
        <v>1145</v>
      </c>
      <c r="G592" s="14" t="n">
        <v>9.5</v>
      </c>
      <c r="H592" s="14" t="n">
        <v>6.91</v>
      </c>
      <c r="I592" s="14" t="n">
        <v>9.5</v>
      </c>
      <c r="J592" s="22" t="n">
        <f aca="false">IF(E592="Priority",'Cost model'!N200,'Cost model'!M200)</f>
        <v>7.5</v>
      </c>
      <c r="K592" s="14" t="n">
        <f aca="false">J592-H592</f>
        <v>0.59</v>
      </c>
      <c r="L592" s="14" t="n">
        <f aca="false">G592-H592</f>
        <v>2.59</v>
      </c>
    </row>
    <row r="593" customFormat="false" ht="15" hidden="false" customHeight="false" outlineLevel="0" collapsed="false">
      <c r="A593" s="2" t="s">
        <v>126</v>
      </c>
      <c r="B593" s="2" t="s">
        <v>126</v>
      </c>
      <c r="C593" s="2" t="s">
        <v>49</v>
      </c>
      <c r="D593" s="2" t="s">
        <v>14</v>
      </c>
      <c r="E593" s="2" t="s">
        <v>76</v>
      </c>
      <c r="F593" s="2" t="s">
        <v>1145</v>
      </c>
      <c r="G593" s="14" t="n">
        <v>45</v>
      </c>
      <c r="H593" s="14" t="n">
        <v>83.57</v>
      </c>
      <c r="I593" s="14" t="n">
        <v>45</v>
      </c>
      <c r="J593" s="22" t="n">
        <f aca="false">IF(E593="Priority",'Cost model'!N390,'Cost model'!M390)</f>
        <v>115</v>
      </c>
      <c r="K593" s="14" t="n">
        <f aca="false">J593-H593</f>
        <v>31.43</v>
      </c>
      <c r="L593" s="14" t="n">
        <f aca="false">G593-H593</f>
        <v>-38.57</v>
      </c>
    </row>
    <row r="594" customFormat="false" ht="15" hidden="false" customHeight="false" outlineLevel="0" collapsed="false">
      <c r="A594" s="2" t="s">
        <v>184</v>
      </c>
      <c r="B594" s="2" t="s">
        <v>184</v>
      </c>
      <c r="C594" s="2" t="s">
        <v>50</v>
      </c>
      <c r="D594" s="2" t="s">
        <v>12</v>
      </c>
      <c r="E594" s="2" t="s">
        <v>76</v>
      </c>
      <c r="F594" s="2" t="s">
        <v>1145</v>
      </c>
      <c r="G594" s="14" t="n">
        <v>19.5</v>
      </c>
      <c r="H594" s="14" t="n">
        <v>45.65</v>
      </c>
      <c r="I594" s="14" t="n">
        <v>19.5</v>
      </c>
      <c r="J594" s="22" t="n">
        <f aca="false">IF(E594="Priority",'Cost model'!N205,'Cost model'!M205)</f>
        <v>50</v>
      </c>
      <c r="K594" s="14" t="n">
        <f aca="false">J594-H594</f>
        <v>4.35</v>
      </c>
      <c r="L594" s="14" t="n">
        <f aca="false">G594-H594</f>
        <v>-26.15</v>
      </c>
    </row>
    <row r="595" customFormat="false" ht="15" hidden="false" customHeight="false" outlineLevel="0" collapsed="false">
      <c r="A595" s="2" t="s">
        <v>126</v>
      </c>
      <c r="B595" s="2" t="s">
        <v>126</v>
      </c>
      <c r="C595" s="2" t="s">
        <v>49</v>
      </c>
      <c r="D595" s="2" t="s">
        <v>12</v>
      </c>
      <c r="E595" s="2" t="s">
        <v>85</v>
      </c>
      <c r="F595" s="2" t="s">
        <v>1145</v>
      </c>
      <c r="G595" s="14" t="n">
        <v>19.5</v>
      </c>
      <c r="H595" s="14" t="n">
        <v>23.74</v>
      </c>
      <c r="I595" s="14" t="n">
        <v>19.5</v>
      </c>
      <c r="J595" s="22" t="n">
        <f aca="false">IF(E595="Priority",'Cost model'!N384,'Cost model'!M384)</f>
        <v>60</v>
      </c>
      <c r="K595" s="14" t="n">
        <f aca="false">J595-H595</f>
        <v>36.26</v>
      </c>
      <c r="L595" s="14" t="n">
        <f aca="false">G595-H595</f>
        <v>-4.24</v>
      </c>
    </row>
    <row r="596" customFormat="false" ht="15" hidden="false" customHeight="false" outlineLevel="0" collapsed="false">
      <c r="A596" s="2" t="s">
        <v>184</v>
      </c>
      <c r="B596" s="2" t="s">
        <v>146</v>
      </c>
      <c r="C596" s="2" t="s">
        <v>48</v>
      </c>
      <c r="D596" s="2" t="s">
        <v>12</v>
      </c>
      <c r="E596" s="2" t="s">
        <v>76</v>
      </c>
      <c r="F596" s="2" t="s">
        <v>1146</v>
      </c>
      <c r="G596" s="14" t="n">
        <v>9.5</v>
      </c>
      <c r="H596" s="14" t="n">
        <v>56.53</v>
      </c>
      <c r="I596" s="14" t="n">
        <v>9.5</v>
      </c>
      <c r="J596" s="22" t="n">
        <f aca="false">IF(E596="Priority",'Cost model'!N149,'Cost model'!M149)</f>
        <v>45</v>
      </c>
      <c r="K596" s="14" t="n">
        <f aca="false">J596-H596</f>
        <v>-11.53</v>
      </c>
      <c r="L596" s="14" t="n">
        <f aca="false">G596-H596</f>
        <v>-47.03</v>
      </c>
    </row>
    <row r="597" customFormat="false" ht="15" hidden="false" customHeight="false" outlineLevel="0" collapsed="false">
      <c r="A597" s="2" t="s">
        <v>146</v>
      </c>
      <c r="B597" s="2" t="s">
        <v>146</v>
      </c>
      <c r="C597" s="2" t="s">
        <v>49</v>
      </c>
      <c r="D597" s="2" t="s">
        <v>10</v>
      </c>
      <c r="E597" s="2" t="s">
        <v>76</v>
      </c>
      <c r="F597" s="2" t="s">
        <v>1145</v>
      </c>
      <c r="G597" s="14" t="n">
        <v>12.5</v>
      </c>
      <c r="H597" s="14" t="n">
        <v>17.31</v>
      </c>
      <c r="I597" s="14" t="n">
        <v>12.5</v>
      </c>
      <c r="J597" s="22" t="n">
        <f aca="false">IF(E597="Priority",'Cost model'!N759,'Cost model'!M759)</f>
        <v>15.5</v>
      </c>
      <c r="K597" s="14" t="n">
        <f aca="false">J597-H597</f>
        <v>-1.81</v>
      </c>
      <c r="L597" s="14" t="n">
        <f aca="false">G597-H597</f>
        <v>-4.81</v>
      </c>
    </row>
    <row r="598" customFormat="false" ht="15" hidden="false" customHeight="false" outlineLevel="0" collapsed="false">
      <c r="A598" s="2" t="s">
        <v>126</v>
      </c>
      <c r="B598" s="2" t="s">
        <v>126</v>
      </c>
      <c r="C598" s="2" t="s">
        <v>48</v>
      </c>
      <c r="D598" s="2" t="s">
        <v>12</v>
      </c>
      <c r="E598" s="2" t="s">
        <v>76</v>
      </c>
      <c r="F598" s="2" t="s">
        <v>1145</v>
      </c>
      <c r="G598" s="14" t="n">
        <v>9.5</v>
      </c>
      <c r="H598" s="14" t="n">
        <v>28.84</v>
      </c>
      <c r="I598" s="14" t="n">
        <v>9.5</v>
      </c>
      <c r="J598" s="22" t="n">
        <f aca="false">IF(E598="Priority",'Cost model'!N383,'Cost model'!M383)</f>
        <v>27.5</v>
      </c>
      <c r="K598" s="14" t="n">
        <f aca="false">J598-H598</f>
        <v>-1.34</v>
      </c>
      <c r="L598" s="14" t="n">
        <f aca="false">G598-H598</f>
        <v>-19.34</v>
      </c>
    </row>
    <row r="599" customFormat="false" ht="15" hidden="false" customHeight="false" outlineLevel="0" collapsed="false">
      <c r="A599" s="2" t="s">
        <v>184</v>
      </c>
      <c r="B599" s="2" t="s">
        <v>184</v>
      </c>
      <c r="C599" s="2" t="s">
        <v>49</v>
      </c>
      <c r="D599" s="2" t="s">
        <v>16</v>
      </c>
      <c r="E599" s="2" t="s">
        <v>76</v>
      </c>
      <c r="F599" s="2" t="s">
        <v>1145</v>
      </c>
      <c r="G599" s="14" t="n">
        <v>85</v>
      </c>
      <c r="H599" s="14" t="n">
        <v>211.97</v>
      </c>
      <c r="I599" s="14"/>
      <c r="J599" s="22" t="n">
        <f aca="false">IF(E599="Priority",'Cost model'!N216,'Cost model'!M216)</f>
        <v>215</v>
      </c>
      <c r="K599" s="14" t="n">
        <f aca="false">J599-H599</f>
        <v>3.03</v>
      </c>
      <c r="L599" s="14" t="n">
        <f aca="false">G599-H599</f>
        <v>-126.97</v>
      </c>
    </row>
    <row r="600" customFormat="false" ht="15" hidden="false" customHeight="false" outlineLevel="0" collapsed="false">
      <c r="A600" s="2" t="s">
        <v>221</v>
      </c>
      <c r="B600" s="2" t="s">
        <v>146</v>
      </c>
      <c r="C600" s="2" t="s">
        <v>49</v>
      </c>
      <c r="D600" s="2" t="s">
        <v>13</v>
      </c>
      <c r="E600" s="2" t="s">
        <v>76</v>
      </c>
      <c r="F600" s="2" t="s">
        <v>1146</v>
      </c>
      <c r="G600" s="14" t="n">
        <v>45</v>
      </c>
      <c r="H600" s="14" t="n">
        <v>176.88</v>
      </c>
      <c r="I600" s="14" t="n">
        <v>24.5</v>
      </c>
      <c r="J600" s="22" t="n">
        <f aca="false">IF(E600="Priority",'Cost model'!N657,'Cost model'!M657)</f>
        <v>135</v>
      </c>
      <c r="K600" s="14" t="n">
        <f aca="false">J600-H600</f>
        <v>-41.88</v>
      </c>
      <c r="L600" s="14" t="n">
        <f aca="false">G600-H600</f>
        <v>-131.88</v>
      </c>
    </row>
    <row r="601" customFormat="false" ht="15" hidden="false" customHeight="false" outlineLevel="0" collapsed="false">
      <c r="A601" s="2" t="s">
        <v>126</v>
      </c>
      <c r="B601" s="2" t="s">
        <v>126</v>
      </c>
      <c r="C601" s="2" t="s">
        <v>48</v>
      </c>
      <c r="D601" s="2" t="s">
        <v>14</v>
      </c>
      <c r="E601" s="2" t="s">
        <v>76</v>
      </c>
      <c r="F601" s="2" t="s">
        <v>1145</v>
      </c>
      <c r="G601" s="14" t="n">
        <v>25</v>
      </c>
      <c r="H601" s="14" t="n">
        <v>79.02</v>
      </c>
      <c r="I601" s="14" t="n">
        <v>25</v>
      </c>
      <c r="J601" s="22" t="n">
        <f aca="false">IF(E601="Priority",'Cost model'!N389,'Cost model'!M389)</f>
        <v>95</v>
      </c>
      <c r="K601" s="14" t="n">
        <f aca="false">J601-H601</f>
        <v>15.98</v>
      </c>
      <c r="L601" s="14" t="n">
        <f aca="false">G601-H601</f>
        <v>-54.02</v>
      </c>
    </row>
    <row r="602" customFormat="false" ht="15" hidden="false" customHeight="false" outlineLevel="0" collapsed="false">
      <c r="A602" s="2" t="s">
        <v>126</v>
      </c>
      <c r="B602" s="2" t="s">
        <v>184</v>
      </c>
      <c r="C602" s="2" t="s">
        <v>49</v>
      </c>
      <c r="D602" s="2" t="s">
        <v>12</v>
      </c>
      <c r="E602" s="2" t="s">
        <v>76</v>
      </c>
      <c r="F602" s="2" t="s">
        <v>1146</v>
      </c>
      <c r="G602" s="14" t="n">
        <v>19.5</v>
      </c>
      <c r="H602" s="14" t="n">
        <v>36.83</v>
      </c>
      <c r="I602" s="14" t="n">
        <v>19.5</v>
      </c>
      <c r="J602" s="22" t="n">
        <f aca="false">IF(E602="Priority",'Cost model'!N438,'Cost model'!M438)</f>
        <v>55</v>
      </c>
      <c r="K602" s="14" t="n">
        <f aca="false">J602-H602</f>
        <v>18.17</v>
      </c>
      <c r="L602" s="14" t="n">
        <f aca="false">G602-H602</f>
        <v>-17.33</v>
      </c>
    </row>
    <row r="603" customFormat="false" ht="15" hidden="false" customHeight="false" outlineLevel="0" collapsed="false">
      <c r="A603" s="2" t="s">
        <v>240</v>
      </c>
      <c r="B603" s="2" t="s">
        <v>221</v>
      </c>
      <c r="C603" s="2" t="s">
        <v>49</v>
      </c>
      <c r="D603" s="2" t="s">
        <v>10</v>
      </c>
      <c r="E603" s="2" t="s">
        <v>76</v>
      </c>
      <c r="F603" s="2" t="s">
        <v>1146</v>
      </c>
      <c r="G603" s="14" t="n">
        <v>12.5</v>
      </c>
      <c r="H603" s="14" t="n">
        <v>25.17</v>
      </c>
      <c r="I603" s="14"/>
      <c r="J603" s="22" t="n">
        <f aca="false">IF(E603="Priority",'Cost model'!N993,'Cost model'!M993)</f>
        <v>15.5</v>
      </c>
      <c r="K603" s="14" t="n">
        <f aca="false">J603-H603</f>
        <v>-9.67</v>
      </c>
      <c r="L603" s="14" t="n">
        <f aca="false">G603-H603</f>
        <v>-12.67</v>
      </c>
    </row>
    <row r="604" customFormat="false" ht="15" hidden="false" customHeight="false" outlineLevel="0" collapsed="false">
      <c r="A604" s="2" t="s">
        <v>146</v>
      </c>
      <c r="B604" s="2" t="s">
        <v>146</v>
      </c>
      <c r="C604" s="2" t="s">
        <v>50</v>
      </c>
      <c r="D604" s="2" t="s">
        <v>12</v>
      </c>
      <c r="E604" s="2" t="s">
        <v>76</v>
      </c>
      <c r="F604" s="2" t="s">
        <v>1145</v>
      </c>
      <c r="G604" s="14" t="n">
        <v>19.5</v>
      </c>
      <c r="H604" s="14" t="n">
        <v>43.59</v>
      </c>
      <c r="I604" s="14" t="n">
        <v>19.5</v>
      </c>
      <c r="J604" s="22" t="n">
        <f aca="false">IF(E604="Priority",'Cost model'!N763,'Cost model'!M763)</f>
        <v>50</v>
      </c>
      <c r="K604" s="14" t="n">
        <f aca="false">J604-H604</f>
        <v>6.41</v>
      </c>
      <c r="L604" s="14" t="n">
        <f aca="false">G604-H604</f>
        <v>-24.09</v>
      </c>
    </row>
    <row r="605" customFormat="false" ht="15" hidden="false" customHeight="false" outlineLevel="0" collapsed="false">
      <c r="A605" s="2" t="s">
        <v>240</v>
      </c>
      <c r="B605" s="2" t="s">
        <v>240</v>
      </c>
      <c r="C605" s="2" t="s">
        <v>49</v>
      </c>
      <c r="D605" s="2" t="s">
        <v>12</v>
      </c>
      <c r="E605" s="2" t="s">
        <v>76</v>
      </c>
      <c r="F605" s="2" t="s">
        <v>1145</v>
      </c>
      <c r="G605" s="14" t="n">
        <v>24.5</v>
      </c>
      <c r="H605" s="14" t="n">
        <v>43.66</v>
      </c>
      <c r="I605" s="14" t="n">
        <v>12.5</v>
      </c>
      <c r="J605" s="22" t="n">
        <f aca="false">IF(E605="Priority",'Cost model'!N888,'Cost model'!M888)</f>
        <v>50</v>
      </c>
      <c r="K605" s="14" t="n">
        <f aca="false">J605-H605</f>
        <v>6.34</v>
      </c>
      <c r="L605" s="14" t="n">
        <f aca="false">G605-H605</f>
        <v>-19.16</v>
      </c>
    </row>
    <row r="606" customFormat="false" ht="15" hidden="false" customHeight="false" outlineLevel="0" collapsed="false">
      <c r="A606" s="2" t="s">
        <v>146</v>
      </c>
      <c r="B606" s="2" t="s">
        <v>146</v>
      </c>
      <c r="C606" s="2" t="s">
        <v>50</v>
      </c>
      <c r="D606" s="2" t="s">
        <v>12</v>
      </c>
      <c r="E606" s="2" t="s">
        <v>76</v>
      </c>
      <c r="F606" s="2" t="s">
        <v>1145</v>
      </c>
      <c r="G606" s="14" t="n">
        <v>19.5</v>
      </c>
      <c r="H606" s="14" t="n">
        <v>60.06</v>
      </c>
      <c r="I606" s="14" t="n">
        <v>19.5</v>
      </c>
      <c r="J606" s="22" t="n">
        <f aca="false">IF(E606="Priority",'Cost model'!N763,'Cost model'!M763)</f>
        <v>50</v>
      </c>
      <c r="K606" s="14" t="n">
        <f aca="false">J606-H606</f>
        <v>-10.06</v>
      </c>
      <c r="L606" s="14" t="n">
        <f aca="false">G606-H606</f>
        <v>-40.56</v>
      </c>
    </row>
    <row r="607" customFormat="false" ht="15" hidden="false" customHeight="false" outlineLevel="0" collapsed="false">
      <c r="A607" s="2" t="s">
        <v>184</v>
      </c>
      <c r="B607" s="2" t="s">
        <v>126</v>
      </c>
      <c r="C607" s="2" t="s">
        <v>49</v>
      </c>
      <c r="D607" s="2" t="s">
        <v>10</v>
      </c>
      <c r="E607" s="2" t="s">
        <v>76</v>
      </c>
      <c r="F607" s="2" t="s">
        <v>1146</v>
      </c>
      <c r="G607" s="14" t="n">
        <v>17.5</v>
      </c>
      <c r="H607" s="14" t="n">
        <v>37.28</v>
      </c>
      <c r="I607" s="14"/>
      <c r="J607" s="22" t="n">
        <f aca="false">IF(E607="Priority",'Cost model'!N129,'Cost model'!M129)</f>
        <v>13.5</v>
      </c>
      <c r="K607" s="14" t="n">
        <f aca="false">J607-H607</f>
        <v>-23.78</v>
      </c>
      <c r="L607" s="14" t="n">
        <f aca="false">G607-H607</f>
        <v>-19.78</v>
      </c>
    </row>
    <row r="608" customFormat="false" ht="15" hidden="false" customHeight="false" outlineLevel="0" collapsed="false">
      <c r="A608" s="2" t="s">
        <v>240</v>
      </c>
      <c r="B608" s="2" t="s">
        <v>146</v>
      </c>
      <c r="C608" s="2" t="s">
        <v>48</v>
      </c>
      <c r="D608" s="2" t="s">
        <v>10</v>
      </c>
      <c r="E608" s="2" t="s">
        <v>76</v>
      </c>
      <c r="F608" s="2" t="s">
        <v>1146</v>
      </c>
      <c r="G608" s="14" t="n">
        <v>9.5</v>
      </c>
      <c r="H608" s="14" t="n">
        <v>13.2</v>
      </c>
      <c r="I608" s="14" t="n">
        <v>19.5</v>
      </c>
      <c r="J608" s="22" t="n">
        <f aca="false">IF(E608="Priority",'Cost model'!N920,'Cost model'!M920)</f>
        <v>16.5</v>
      </c>
      <c r="K608" s="14" t="n">
        <f aca="false">J608-H608</f>
        <v>3.3</v>
      </c>
      <c r="L608" s="14" t="n">
        <f aca="false">G608-H608</f>
        <v>-3.7</v>
      </c>
    </row>
    <row r="609" customFormat="false" ht="15" hidden="false" customHeight="false" outlineLevel="0" collapsed="false">
      <c r="A609" s="2" t="s">
        <v>126</v>
      </c>
      <c r="B609" s="2" t="s">
        <v>126</v>
      </c>
      <c r="C609" s="2" t="s">
        <v>50</v>
      </c>
      <c r="D609" s="2" t="s">
        <v>10</v>
      </c>
      <c r="E609" s="2" t="s">
        <v>85</v>
      </c>
      <c r="F609" s="2" t="s">
        <v>1145</v>
      </c>
      <c r="G609" s="14" t="n">
        <v>24.5</v>
      </c>
      <c r="H609" s="14" t="n">
        <v>21.76</v>
      </c>
      <c r="I609" s="14" t="n">
        <v>24.5</v>
      </c>
      <c r="J609" s="22" t="n">
        <f aca="false">IF(E609="Priority",'Cost model'!N382,'Cost model'!M382)</f>
        <v>25.5</v>
      </c>
      <c r="K609" s="14" t="n">
        <f aca="false">J609-H609</f>
        <v>3.74</v>
      </c>
      <c r="L609" s="14" t="n">
        <f aca="false">G609-H609</f>
        <v>2.74</v>
      </c>
    </row>
    <row r="610" customFormat="false" ht="15" hidden="false" customHeight="false" outlineLevel="0" collapsed="false">
      <c r="A610" s="2" t="s">
        <v>125</v>
      </c>
      <c r="B610" s="2" t="s">
        <v>126</v>
      </c>
      <c r="C610" s="2" t="s">
        <v>48</v>
      </c>
      <c r="D610" s="2" t="s">
        <v>12</v>
      </c>
      <c r="E610" s="2" t="s">
        <v>76</v>
      </c>
      <c r="F610" s="2" t="s">
        <v>1146</v>
      </c>
      <c r="G610" s="14" t="n">
        <v>19.5</v>
      </c>
      <c r="H610" s="14" t="n">
        <v>58.65</v>
      </c>
      <c r="I610" s="14" t="n">
        <v>19.5</v>
      </c>
      <c r="J610" s="22" t="n">
        <f aca="false">IF(E610="Priority",'Cost model'!N5,'Cost model'!M5)</f>
        <v>50</v>
      </c>
      <c r="K610" s="14" t="n">
        <f aca="false">J610-H610</f>
        <v>-8.65</v>
      </c>
      <c r="L610" s="14" t="n">
        <f aca="false">G610-H610</f>
        <v>-39.15</v>
      </c>
    </row>
    <row r="611" customFormat="false" ht="15" hidden="false" customHeight="false" outlineLevel="0" collapsed="false">
      <c r="A611" s="2" t="s">
        <v>126</v>
      </c>
      <c r="B611" s="2" t="s">
        <v>126</v>
      </c>
      <c r="C611" s="2" t="s">
        <v>50</v>
      </c>
      <c r="D611" s="2" t="s">
        <v>12</v>
      </c>
      <c r="E611" s="2" t="s">
        <v>76</v>
      </c>
      <c r="F611" s="2" t="s">
        <v>1145</v>
      </c>
      <c r="G611" s="14" t="n">
        <v>19.5</v>
      </c>
      <c r="H611" s="14" t="n">
        <v>65.82</v>
      </c>
      <c r="I611" s="14" t="n">
        <v>19.5</v>
      </c>
      <c r="J611" s="22" t="n">
        <f aca="false">IF(E611="Priority",'Cost model'!N385,'Cost model'!M385)</f>
        <v>55</v>
      </c>
      <c r="K611" s="14" t="n">
        <f aca="false">J611-H611</f>
        <v>-10.82</v>
      </c>
      <c r="L611" s="14" t="n">
        <f aca="false">G611-H611</f>
        <v>-46.32</v>
      </c>
    </row>
    <row r="612" customFormat="false" ht="15" hidden="false" customHeight="false" outlineLevel="0" collapsed="false">
      <c r="A612" s="2" t="s">
        <v>184</v>
      </c>
      <c r="B612" s="2" t="s">
        <v>184</v>
      </c>
      <c r="C612" s="2" t="s">
        <v>48</v>
      </c>
      <c r="D612" s="2" t="s">
        <v>13</v>
      </c>
      <c r="E612" s="2" t="s">
        <v>76</v>
      </c>
      <c r="F612" s="2" t="s">
        <v>1145</v>
      </c>
      <c r="G612" s="14" t="n">
        <v>19</v>
      </c>
      <c r="H612" s="14" t="n">
        <v>33.26</v>
      </c>
      <c r="I612" s="14" t="n">
        <v>19</v>
      </c>
      <c r="J612" s="22" t="n">
        <f aca="false">IF(E612="Priority",'Cost model'!N206,'Cost model'!M206)</f>
        <v>55</v>
      </c>
      <c r="K612" s="14" t="n">
        <f aca="false">J612-H612</f>
        <v>21.74</v>
      </c>
      <c r="L612" s="14" t="n">
        <f aca="false">G612-H612</f>
        <v>-14.26</v>
      </c>
    </row>
    <row r="613" customFormat="false" ht="15" hidden="false" customHeight="false" outlineLevel="0" collapsed="false">
      <c r="A613" s="2" t="s">
        <v>184</v>
      </c>
      <c r="B613" s="2" t="s">
        <v>126</v>
      </c>
      <c r="C613" s="2" t="s">
        <v>49</v>
      </c>
      <c r="D613" s="2" t="s">
        <v>10</v>
      </c>
      <c r="E613" s="2" t="s">
        <v>76</v>
      </c>
      <c r="F613" s="2" t="s">
        <v>1146</v>
      </c>
      <c r="G613" s="14" t="n">
        <v>12.5</v>
      </c>
      <c r="H613" s="14" t="n">
        <v>20.11</v>
      </c>
      <c r="I613" s="14" t="n">
        <v>12.5</v>
      </c>
      <c r="J613" s="22" t="n">
        <f aca="false">IF(E613="Priority",'Cost model'!N129,'Cost model'!M129)</f>
        <v>13.5</v>
      </c>
      <c r="K613" s="14" t="n">
        <f aca="false">J613-H613</f>
        <v>-6.61</v>
      </c>
      <c r="L613" s="14" t="n">
        <f aca="false">G613-H613</f>
        <v>-7.61</v>
      </c>
    </row>
    <row r="614" customFormat="false" ht="15" hidden="false" customHeight="false" outlineLevel="0" collapsed="false">
      <c r="A614" s="2" t="s">
        <v>146</v>
      </c>
      <c r="B614" s="2" t="s">
        <v>146</v>
      </c>
      <c r="C614" s="2" t="s">
        <v>48</v>
      </c>
      <c r="D614" s="2" t="s">
        <v>10</v>
      </c>
      <c r="E614" s="2" t="s">
        <v>76</v>
      </c>
      <c r="F614" s="2" t="s">
        <v>1145</v>
      </c>
      <c r="G614" s="14" t="n">
        <v>9.5</v>
      </c>
      <c r="H614" s="14" t="n">
        <v>5.27</v>
      </c>
      <c r="I614" s="14" t="n">
        <v>9.5</v>
      </c>
      <c r="J614" s="22" t="n">
        <f aca="false">IF(E614="Priority",'Cost model'!N758,'Cost model'!M758)</f>
        <v>9.5</v>
      </c>
      <c r="K614" s="14" t="n">
        <f aca="false">J614-H614</f>
        <v>4.23</v>
      </c>
      <c r="L614" s="14" t="n">
        <f aca="false">G614-H614</f>
        <v>4.23</v>
      </c>
    </row>
    <row r="615" customFormat="false" ht="15" hidden="false" customHeight="false" outlineLevel="0" collapsed="false">
      <c r="A615" s="2" t="s">
        <v>385</v>
      </c>
      <c r="B615" s="2" t="s">
        <v>165</v>
      </c>
      <c r="C615" s="2" t="s">
        <v>48</v>
      </c>
      <c r="D615" s="2" t="s">
        <v>13</v>
      </c>
      <c r="E615" s="2" t="s">
        <v>76</v>
      </c>
      <c r="F615" s="2" t="s">
        <v>1146</v>
      </c>
      <c r="G615" s="14" t="n">
        <v>45</v>
      </c>
      <c r="H615" s="14" t="n">
        <v>61.97</v>
      </c>
      <c r="I615" s="14" t="n">
        <v>45</v>
      </c>
      <c r="J615" s="22" t="n">
        <f aca="false">IF(E615="Priority",'Cost model'!N260,'Cost model'!M260)</f>
        <v>115</v>
      </c>
      <c r="K615" s="14" t="n">
        <f aca="false">J615-H615</f>
        <v>53.03</v>
      </c>
      <c r="L615" s="14" t="n">
        <f aca="false">G615-H615</f>
        <v>-16.97</v>
      </c>
    </row>
    <row r="616" customFormat="false" ht="15" hidden="false" customHeight="false" outlineLevel="0" collapsed="false">
      <c r="A616" s="2" t="s">
        <v>184</v>
      </c>
      <c r="B616" s="2" t="s">
        <v>126</v>
      </c>
      <c r="C616" s="2" t="s">
        <v>49</v>
      </c>
      <c r="D616" s="2" t="s">
        <v>13</v>
      </c>
      <c r="E616" s="2" t="s">
        <v>76</v>
      </c>
      <c r="F616" s="2" t="s">
        <v>1146</v>
      </c>
      <c r="G616" s="14" t="n">
        <v>24.5</v>
      </c>
      <c r="H616" s="14" t="n">
        <v>38.1</v>
      </c>
      <c r="I616" s="14"/>
      <c r="J616" s="22" t="n">
        <f aca="false">IF(E616="Priority",'Cost model'!N135,'Cost model'!M135)</f>
        <v>80</v>
      </c>
      <c r="K616" s="14" t="n">
        <f aca="false">J616-H616</f>
        <v>41.9</v>
      </c>
      <c r="L616" s="14" t="n">
        <f aca="false">G616-H616</f>
        <v>-13.6</v>
      </c>
    </row>
    <row r="617" customFormat="false" ht="15" hidden="false" customHeight="false" outlineLevel="0" collapsed="false">
      <c r="A617" s="2" t="s">
        <v>221</v>
      </c>
      <c r="B617" s="2" t="s">
        <v>221</v>
      </c>
      <c r="C617" s="2" t="s">
        <v>49</v>
      </c>
      <c r="D617" s="2" t="s">
        <v>14</v>
      </c>
      <c r="E617" s="2" t="s">
        <v>85</v>
      </c>
      <c r="F617" s="2" t="s">
        <v>1145</v>
      </c>
      <c r="G617" s="14" t="n">
        <v>125</v>
      </c>
      <c r="H617" s="14" t="n">
        <v>183.76</v>
      </c>
      <c r="I617" s="14" t="n">
        <v>125</v>
      </c>
      <c r="J617" s="22" t="n">
        <f aca="false">IF(E617="Priority",'Cost model'!N642,'Cost model'!M642)</f>
        <v>180</v>
      </c>
      <c r="K617" s="14" t="n">
        <f aca="false">J617-H617</f>
        <v>-3.75999999999999</v>
      </c>
      <c r="L617" s="14" t="n">
        <f aca="false">G617-H617</f>
        <v>-58.76</v>
      </c>
    </row>
    <row r="618" customFormat="false" ht="15" hidden="false" customHeight="false" outlineLevel="0" collapsed="false">
      <c r="A618" s="2" t="s">
        <v>146</v>
      </c>
      <c r="B618" s="2" t="s">
        <v>146</v>
      </c>
      <c r="C618" s="2" t="s">
        <v>48</v>
      </c>
      <c r="D618" s="2" t="s">
        <v>10</v>
      </c>
      <c r="E618" s="2" t="s">
        <v>76</v>
      </c>
      <c r="F618" s="2" t="s">
        <v>1145</v>
      </c>
      <c r="G618" s="14" t="n">
        <v>9.5</v>
      </c>
      <c r="H618" s="14" t="n">
        <v>24.48</v>
      </c>
      <c r="I618" s="14" t="n">
        <v>9.5</v>
      </c>
      <c r="J618" s="22" t="n">
        <f aca="false">IF(E618="Priority",'Cost model'!N758,'Cost model'!M758)</f>
        <v>9.5</v>
      </c>
      <c r="K618" s="14" t="n">
        <f aca="false">J618-H618</f>
        <v>-14.98</v>
      </c>
      <c r="L618" s="14" t="n">
        <f aca="false">G618-H618</f>
        <v>-14.98</v>
      </c>
    </row>
    <row r="619" customFormat="false" ht="15" hidden="false" customHeight="false" outlineLevel="0" collapsed="false">
      <c r="A619" s="2" t="s">
        <v>240</v>
      </c>
      <c r="B619" s="2" t="s">
        <v>240</v>
      </c>
      <c r="C619" s="2" t="s">
        <v>50</v>
      </c>
      <c r="D619" s="2" t="s">
        <v>12</v>
      </c>
      <c r="E619" s="2" t="s">
        <v>76</v>
      </c>
      <c r="F619" s="2" t="s">
        <v>1145</v>
      </c>
      <c r="G619" s="14" t="n">
        <v>19.5</v>
      </c>
      <c r="H619" s="14" t="n">
        <v>23.58</v>
      </c>
      <c r="I619" s="14" t="n">
        <v>19.5</v>
      </c>
      <c r="J619" s="22" t="n">
        <f aca="false">IF(E619="Priority",'Cost model'!N889,'Cost model'!M889)</f>
        <v>60</v>
      </c>
      <c r="K619" s="14" t="n">
        <f aca="false">J619-H619</f>
        <v>36.42</v>
      </c>
      <c r="L619" s="14" t="n">
        <f aca="false">G619-H619</f>
        <v>-4.08</v>
      </c>
    </row>
    <row r="620" customFormat="false" ht="15" hidden="false" customHeight="false" outlineLevel="0" collapsed="false">
      <c r="A620" s="2" t="s">
        <v>184</v>
      </c>
      <c r="B620" s="2" t="s">
        <v>184</v>
      </c>
      <c r="C620" s="2" t="s">
        <v>48</v>
      </c>
      <c r="D620" s="2" t="s">
        <v>12</v>
      </c>
      <c r="E620" s="2" t="s">
        <v>76</v>
      </c>
      <c r="F620" s="2" t="s">
        <v>1145</v>
      </c>
      <c r="G620" s="14" t="n">
        <v>9.5</v>
      </c>
      <c r="H620" s="14" t="n">
        <v>29.26</v>
      </c>
      <c r="I620" s="14" t="n">
        <v>9.5</v>
      </c>
      <c r="J620" s="22" t="n">
        <f aca="false">IF(E620="Priority",'Cost model'!N203,'Cost model'!M203)</f>
        <v>26.5</v>
      </c>
      <c r="K620" s="14" t="n">
        <f aca="false">J620-H620</f>
        <v>-2.76</v>
      </c>
      <c r="L620" s="14" t="n">
        <f aca="false">G620-H620</f>
        <v>-19.76</v>
      </c>
    </row>
    <row r="621" customFormat="false" ht="15" hidden="false" customHeight="false" outlineLevel="0" collapsed="false">
      <c r="A621" s="2" t="s">
        <v>184</v>
      </c>
      <c r="B621" s="2" t="s">
        <v>184</v>
      </c>
      <c r="C621" s="2" t="s">
        <v>48</v>
      </c>
      <c r="D621" s="2" t="s">
        <v>10</v>
      </c>
      <c r="E621" s="2" t="s">
        <v>76</v>
      </c>
      <c r="F621" s="2" t="s">
        <v>1145</v>
      </c>
      <c r="G621" s="14" t="n">
        <v>9.5</v>
      </c>
      <c r="H621" s="14" t="n">
        <v>6.11</v>
      </c>
      <c r="I621" s="14" t="n">
        <v>9.5</v>
      </c>
      <c r="J621" s="22" t="n">
        <f aca="false">IF(E621="Priority",'Cost model'!N200,'Cost model'!M200)</f>
        <v>7.5</v>
      </c>
      <c r="K621" s="14" t="n">
        <f aca="false">J621-H621</f>
        <v>1.39</v>
      </c>
      <c r="L621" s="14" t="n">
        <f aca="false">G621-H621</f>
        <v>3.39</v>
      </c>
    </row>
    <row r="622" customFormat="false" ht="15" hidden="false" customHeight="false" outlineLevel="0" collapsed="false">
      <c r="A622" s="2" t="s">
        <v>240</v>
      </c>
      <c r="B622" s="2" t="s">
        <v>184</v>
      </c>
      <c r="C622" s="2" t="s">
        <v>50</v>
      </c>
      <c r="D622" s="2" t="s">
        <v>10</v>
      </c>
      <c r="E622" s="2" t="s">
        <v>76</v>
      </c>
      <c r="F622" s="2" t="s">
        <v>1146</v>
      </c>
      <c r="G622" s="14" t="n">
        <v>17.5</v>
      </c>
      <c r="H622" s="14" t="n">
        <v>15.39</v>
      </c>
      <c r="I622" s="14" t="n">
        <v>19.5</v>
      </c>
      <c r="J622" s="22" t="n">
        <f aca="false">IF(E622="Priority",'Cost model'!N940,'Cost model'!M940)</f>
        <v>23.5</v>
      </c>
      <c r="K622" s="14" t="n">
        <f aca="false">J622-H622</f>
        <v>8.11</v>
      </c>
      <c r="L622" s="14" t="n">
        <f aca="false">G622-H622</f>
        <v>2.11</v>
      </c>
    </row>
    <row r="623" customFormat="false" ht="15" hidden="false" customHeight="false" outlineLevel="0" collapsed="false">
      <c r="A623" s="2" t="s">
        <v>125</v>
      </c>
      <c r="B623" s="2" t="s">
        <v>184</v>
      </c>
      <c r="C623" s="2" t="s">
        <v>48</v>
      </c>
      <c r="D623" s="2" t="s">
        <v>12</v>
      </c>
      <c r="E623" s="2" t="s">
        <v>76</v>
      </c>
      <c r="F623" s="2" t="s">
        <v>1146</v>
      </c>
      <c r="G623" s="14" t="n">
        <v>19.5</v>
      </c>
      <c r="H623" s="14" t="n">
        <v>42.61</v>
      </c>
      <c r="I623" s="14" t="n">
        <v>19.5</v>
      </c>
      <c r="J623" s="22" t="n">
        <f aca="false">IF(E623="Priority",'Cost model'!N59,'Cost model'!M59)</f>
        <v>45</v>
      </c>
      <c r="K623" s="14" t="n">
        <f aca="false">J623-H623</f>
        <v>2.39</v>
      </c>
      <c r="L623" s="14" t="n">
        <f aca="false">G623-H623</f>
        <v>-23.11</v>
      </c>
    </row>
    <row r="624" customFormat="false" ht="15" hidden="false" customHeight="false" outlineLevel="0" collapsed="false">
      <c r="A624" s="2" t="s">
        <v>126</v>
      </c>
      <c r="B624" s="2" t="s">
        <v>184</v>
      </c>
      <c r="C624" s="2" t="s">
        <v>49</v>
      </c>
      <c r="D624" s="2" t="s">
        <v>12</v>
      </c>
      <c r="E624" s="2" t="s">
        <v>76</v>
      </c>
      <c r="F624" s="2" t="s">
        <v>1146</v>
      </c>
      <c r="G624" s="14" t="n">
        <v>19.5</v>
      </c>
      <c r="H624" s="14" t="n">
        <v>50.78</v>
      </c>
      <c r="I624" s="14" t="n">
        <v>19.5</v>
      </c>
      <c r="J624" s="22" t="n">
        <f aca="false">IF(E624="Priority",'Cost model'!N438,'Cost model'!M438)</f>
        <v>55</v>
      </c>
      <c r="K624" s="14" t="n">
        <f aca="false">J624-H624</f>
        <v>4.22</v>
      </c>
      <c r="L624" s="14" t="n">
        <f aca="false">G624-H624</f>
        <v>-31.28</v>
      </c>
    </row>
    <row r="625" customFormat="false" ht="15" hidden="false" customHeight="false" outlineLevel="0" collapsed="false">
      <c r="A625" s="2" t="s">
        <v>184</v>
      </c>
      <c r="B625" s="2" t="s">
        <v>184</v>
      </c>
      <c r="C625" s="2" t="s">
        <v>48</v>
      </c>
      <c r="D625" s="2" t="s">
        <v>12</v>
      </c>
      <c r="E625" s="2" t="s">
        <v>76</v>
      </c>
      <c r="F625" s="2" t="s">
        <v>1145</v>
      </c>
      <c r="G625" s="14" t="n">
        <v>9.5</v>
      </c>
      <c r="H625" s="14" t="n">
        <v>29.38</v>
      </c>
      <c r="I625" s="14" t="n">
        <v>9.5</v>
      </c>
      <c r="J625" s="22" t="n">
        <f aca="false">IF(E625="Priority",'Cost model'!N203,'Cost model'!M203)</f>
        <v>26.5</v>
      </c>
      <c r="K625" s="14" t="n">
        <f aca="false">J625-H625</f>
        <v>-2.88</v>
      </c>
      <c r="L625" s="14" t="n">
        <f aca="false">G625-H625</f>
        <v>-19.88</v>
      </c>
    </row>
    <row r="626" customFormat="false" ht="15" hidden="false" customHeight="false" outlineLevel="0" collapsed="false">
      <c r="A626" s="2" t="s">
        <v>184</v>
      </c>
      <c r="B626" s="2" t="s">
        <v>184</v>
      </c>
      <c r="C626" s="2" t="s">
        <v>48</v>
      </c>
      <c r="D626" s="2" t="s">
        <v>10</v>
      </c>
      <c r="E626" s="2" t="s">
        <v>76</v>
      </c>
      <c r="F626" s="2" t="s">
        <v>1145</v>
      </c>
      <c r="G626" s="14" t="n">
        <v>9.5</v>
      </c>
      <c r="H626" s="14" t="n">
        <v>7.45</v>
      </c>
      <c r="I626" s="14" t="n">
        <v>9.5</v>
      </c>
      <c r="J626" s="22" t="n">
        <f aca="false">IF(E626="Priority",'Cost model'!N200,'Cost model'!M200)</f>
        <v>7.5</v>
      </c>
      <c r="K626" s="14" t="n">
        <f aca="false">J626-H626</f>
        <v>0.0499999999999998</v>
      </c>
      <c r="L626" s="14" t="n">
        <f aca="false">G626-H626</f>
        <v>2.05</v>
      </c>
    </row>
    <row r="627" customFormat="false" ht="15" hidden="false" customHeight="false" outlineLevel="0" collapsed="false">
      <c r="A627" s="2" t="s">
        <v>184</v>
      </c>
      <c r="B627" s="2" t="s">
        <v>184</v>
      </c>
      <c r="C627" s="2" t="s">
        <v>48</v>
      </c>
      <c r="D627" s="2" t="s">
        <v>10</v>
      </c>
      <c r="E627" s="2" t="s">
        <v>76</v>
      </c>
      <c r="F627" s="2" t="s">
        <v>1145</v>
      </c>
      <c r="G627" s="14" t="n">
        <v>9.5</v>
      </c>
      <c r="H627" s="14" t="n">
        <v>7.46</v>
      </c>
      <c r="I627" s="14" t="n">
        <v>9.5</v>
      </c>
      <c r="J627" s="22" t="n">
        <f aca="false">IF(E627="Priority",'Cost model'!N200,'Cost model'!M200)</f>
        <v>7.5</v>
      </c>
      <c r="K627" s="14" t="n">
        <f aca="false">J627-H627</f>
        <v>0.04</v>
      </c>
      <c r="L627" s="14" t="n">
        <f aca="false">G627-H627</f>
        <v>2.04</v>
      </c>
    </row>
    <row r="628" customFormat="false" ht="15" hidden="false" customHeight="false" outlineLevel="0" collapsed="false">
      <c r="A628" s="2" t="s">
        <v>184</v>
      </c>
      <c r="B628" s="2" t="s">
        <v>165</v>
      </c>
      <c r="C628" s="2" t="s">
        <v>48</v>
      </c>
      <c r="D628" s="2" t="s">
        <v>12</v>
      </c>
      <c r="E628" s="2" t="s">
        <v>76</v>
      </c>
      <c r="F628" s="2" t="s">
        <v>1146</v>
      </c>
      <c r="G628" s="14" t="n">
        <v>9.5</v>
      </c>
      <c r="H628" s="14" t="n">
        <v>52.25</v>
      </c>
      <c r="I628" s="14" t="n">
        <v>19.5</v>
      </c>
      <c r="J628" s="22" t="n">
        <f aca="false">IF(E628="Priority",'Cost model'!N167,'Cost model'!M167)</f>
        <v>60</v>
      </c>
      <c r="K628" s="14" t="n">
        <f aca="false">J628-H628</f>
        <v>7.75</v>
      </c>
      <c r="L628" s="14" t="n">
        <f aca="false">G628-H628</f>
        <v>-42.75</v>
      </c>
    </row>
    <row r="629" customFormat="false" ht="15" hidden="false" customHeight="false" outlineLevel="0" collapsed="false">
      <c r="A629" s="2" t="s">
        <v>240</v>
      </c>
      <c r="B629" s="2" t="s">
        <v>240</v>
      </c>
      <c r="C629" s="2" t="s">
        <v>50</v>
      </c>
      <c r="D629" s="2" t="s">
        <v>10</v>
      </c>
      <c r="E629" s="2" t="s">
        <v>76</v>
      </c>
      <c r="F629" s="2" t="s">
        <v>1145</v>
      </c>
      <c r="G629" s="14" t="n">
        <v>17.5</v>
      </c>
      <c r="H629" s="14" t="n">
        <v>16.84</v>
      </c>
      <c r="I629" s="14" t="n">
        <v>17.5</v>
      </c>
      <c r="J629" s="22" t="n">
        <f aca="false">IF(E629="Priority",'Cost model'!N886,'Cost model'!M886)</f>
        <v>17.5</v>
      </c>
      <c r="K629" s="14" t="n">
        <f aca="false">J629-H629</f>
        <v>0.66</v>
      </c>
      <c r="L629" s="14" t="n">
        <f aca="false">G629-H629</f>
        <v>0.66</v>
      </c>
    </row>
    <row r="630" customFormat="false" ht="15" hidden="false" customHeight="false" outlineLevel="0" collapsed="false">
      <c r="A630" s="2" t="s">
        <v>184</v>
      </c>
      <c r="B630" s="2" t="s">
        <v>184</v>
      </c>
      <c r="C630" s="2" t="s">
        <v>48</v>
      </c>
      <c r="D630" s="2" t="s">
        <v>10</v>
      </c>
      <c r="E630" s="2" t="s">
        <v>76</v>
      </c>
      <c r="F630" s="2" t="s">
        <v>1145</v>
      </c>
      <c r="G630" s="14" t="n">
        <v>9.5</v>
      </c>
      <c r="H630" s="14" t="n">
        <v>7.45</v>
      </c>
      <c r="I630" s="14" t="n">
        <v>9.5</v>
      </c>
      <c r="J630" s="22" t="n">
        <f aca="false">IF(E630="Priority",'Cost model'!N200,'Cost model'!M200)</f>
        <v>7.5</v>
      </c>
      <c r="K630" s="14" t="n">
        <f aca="false">J630-H630</f>
        <v>0.0499999999999998</v>
      </c>
      <c r="L630" s="14" t="n">
        <f aca="false">G630-H630</f>
        <v>2.05</v>
      </c>
    </row>
    <row r="631" customFormat="false" ht="15" hidden="false" customHeight="false" outlineLevel="0" collapsed="false">
      <c r="A631" s="2" t="s">
        <v>126</v>
      </c>
      <c r="B631" s="2" t="s">
        <v>146</v>
      </c>
      <c r="C631" s="2" t="s">
        <v>50</v>
      </c>
      <c r="D631" s="2" t="s">
        <v>13</v>
      </c>
      <c r="E631" s="2" t="s">
        <v>76</v>
      </c>
      <c r="F631" s="2" t="s">
        <v>1146</v>
      </c>
      <c r="G631" s="14" t="n">
        <v>50</v>
      </c>
      <c r="H631" s="14" t="n">
        <v>168.92</v>
      </c>
      <c r="I631" s="14" t="n">
        <v>85</v>
      </c>
      <c r="J631" s="22" t="n">
        <f aca="false">IF(E631="Priority",'Cost model'!N406,'Cost model'!M406)</f>
        <v>140</v>
      </c>
      <c r="K631" s="14" t="n">
        <f aca="false">J631-H631</f>
        <v>-28.92</v>
      </c>
      <c r="L631" s="14" t="n">
        <f aca="false">G631-H631</f>
        <v>-118.92</v>
      </c>
    </row>
    <row r="632" customFormat="false" ht="15" hidden="false" customHeight="false" outlineLevel="0" collapsed="false">
      <c r="A632" s="2" t="s">
        <v>126</v>
      </c>
      <c r="B632" s="2" t="s">
        <v>184</v>
      </c>
      <c r="C632" s="2" t="s">
        <v>49</v>
      </c>
      <c r="D632" s="2" t="s">
        <v>12</v>
      </c>
      <c r="E632" s="2" t="s">
        <v>76</v>
      </c>
      <c r="F632" s="2" t="s">
        <v>1146</v>
      </c>
      <c r="G632" s="14" t="n">
        <v>12.5</v>
      </c>
      <c r="H632" s="14" t="n">
        <v>60.39</v>
      </c>
      <c r="I632" s="14" t="n">
        <v>19.5</v>
      </c>
      <c r="J632" s="22" t="n">
        <f aca="false">IF(E632="Priority",'Cost model'!N438,'Cost model'!M438)</f>
        <v>55</v>
      </c>
      <c r="K632" s="14" t="n">
        <f aca="false">J632-H632</f>
        <v>-5.39</v>
      </c>
      <c r="L632" s="14" t="n">
        <f aca="false">G632-H632</f>
        <v>-47.89</v>
      </c>
    </row>
    <row r="633" customFormat="false" ht="15" hidden="false" customHeight="false" outlineLevel="0" collapsed="false">
      <c r="A633" s="2" t="s">
        <v>146</v>
      </c>
      <c r="B633" s="2" t="s">
        <v>184</v>
      </c>
      <c r="C633" s="2" t="s">
        <v>48</v>
      </c>
      <c r="D633" s="2" t="s">
        <v>12</v>
      </c>
      <c r="E633" s="2" t="s">
        <v>76</v>
      </c>
      <c r="F633" s="2" t="s">
        <v>1146</v>
      </c>
      <c r="G633" s="14" t="n">
        <v>9.5</v>
      </c>
      <c r="H633" s="14" t="n">
        <v>42.61</v>
      </c>
      <c r="I633" s="14" t="n">
        <v>19.5</v>
      </c>
      <c r="J633" s="22" t="n">
        <f aca="false">IF(E633="Priority",'Cost model'!N833,'Cost model'!M833)</f>
        <v>45</v>
      </c>
      <c r="K633" s="14" t="n">
        <f aca="false">J633-H633</f>
        <v>2.39</v>
      </c>
      <c r="L633" s="14" t="n">
        <f aca="false">G633-H633</f>
        <v>-33.11</v>
      </c>
    </row>
    <row r="634" customFormat="false" ht="15" hidden="false" customHeight="false" outlineLevel="0" collapsed="false">
      <c r="A634" s="2" t="s">
        <v>184</v>
      </c>
      <c r="B634" s="2" t="s">
        <v>184</v>
      </c>
      <c r="C634" s="2" t="s">
        <v>49</v>
      </c>
      <c r="D634" s="2" t="s">
        <v>14</v>
      </c>
      <c r="E634" s="2" t="s">
        <v>76</v>
      </c>
      <c r="F634" s="2" t="s">
        <v>1145</v>
      </c>
      <c r="G634" s="14" t="n">
        <v>125</v>
      </c>
      <c r="H634" s="14" t="n">
        <v>161.16</v>
      </c>
      <c r="I634" s="14"/>
      <c r="J634" s="22" t="n">
        <f aca="false">IF(E634="Priority",'Cost model'!N210,'Cost model'!M210)</f>
        <v>135</v>
      </c>
      <c r="K634" s="14" t="n">
        <f aca="false">J634-H634</f>
        <v>-26.16</v>
      </c>
      <c r="L634" s="14" t="n">
        <f aca="false">G634-H634</f>
        <v>-36.16</v>
      </c>
    </row>
    <row r="635" customFormat="false" ht="15" hidden="false" customHeight="false" outlineLevel="0" collapsed="false">
      <c r="A635" s="2" t="s">
        <v>184</v>
      </c>
      <c r="B635" s="2" t="s">
        <v>184</v>
      </c>
      <c r="C635" s="2" t="s">
        <v>49</v>
      </c>
      <c r="D635" s="2" t="s">
        <v>10</v>
      </c>
      <c r="E635" s="2" t="s">
        <v>76</v>
      </c>
      <c r="F635" s="2" t="s">
        <v>1145</v>
      </c>
      <c r="G635" s="14" t="n">
        <v>12.5</v>
      </c>
      <c r="H635" s="14" t="n">
        <v>12.2</v>
      </c>
      <c r="I635" s="14"/>
      <c r="J635" s="22" t="n">
        <f aca="false">IF(E635="Priority",'Cost model'!N201,'Cost model'!M201)</f>
        <v>12.5</v>
      </c>
      <c r="K635" s="14" t="n">
        <f aca="false">J635-H635</f>
        <v>0.300000000000001</v>
      </c>
      <c r="L635" s="14" t="n">
        <f aca="false">G635-H635</f>
        <v>0.300000000000001</v>
      </c>
    </row>
    <row r="636" customFormat="false" ht="15" hidden="false" customHeight="false" outlineLevel="0" collapsed="false">
      <c r="A636" s="2" t="s">
        <v>165</v>
      </c>
      <c r="B636" s="2" t="s">
        <v>165</v>
      </c>
      <c r="C636" s="2" t="s">
        <v>48</v>
      </c>
      <c r="D636" s="2" t="s">
        <v>10</v>
      </c>
      <c r="E636" s="2" t="s">
        <v>76</v>
      </c>
      <c r="F636" s="2" t="s">
        <v>1145</v>
      </c>
      <c r="G636" s="14" t="n">
        <v>9.5</v>
      </c>
      <c r="H636" s="14" t="n">
        <v>7.5</v>
      </c>
      <c r="I636" s="14" t="n">
        <v>9.5</v>
      </c>
      <c r="J636" s="22" t="n">
        <f aca="false">IF(E636="Priority",'Cost model'!N506,'Cost model'!M506)</f>
        <v>7.5</v>
      </c>
      <c r="K636" s="14" t="n">
        <f aca="false">J636-H636</f>
        <v>0</v>
      </c>
      <c r="L636" s="14" t="n">
        <f aca="false">G636-H636</f>
        <v>2</v>
      </c>
    </row>
    <row r="637" customFormat="false" ht="15" hidden="false" customHeight="false" outlineLevel="0" collapsed="false">
      <c r="A637" s="2" t="s">
        <v>240</v>
      </c>
      <c r="B637" s="2" t="s">
        <v>240</v>
      </c>
      <c r="C637" s="2" t="s">
        <v>48</v>
      </c>
      <c r="D637" s="2" t="s">
        <v>12</v>
      </c>
      <c r="E637" s="2" t="s">
        <v>76</v>
      </c>
      <c r="F637" s="2" t="s">
        <v>1145</v>
      </c>
      <c r="G637" s="14" t="n">
        <v>9.5</v>
      </c>
      <c r="H637" s="14" t="n">
        <v>15.95</v>
      </c>
      <c r="I637" s="14" t="n">
        <v>9.5</v>
      </c>
      <c r="J637" s="22" t="n">
        <f aca="false">IF(E637="Priority",'Cost model'!N887,'Cost model'!M887)</f>
        <v>21.5</v>
      </c>
      <c r="K637" s="14" t="n">
        <f aca="false">J637-H637</f>
        <v>5.55</v>
      </c>
      <c r="L637" s="14" t="n">
        <f aca="false">G637-H637</f>
        <v>-6.45</v>
      </c>
    </row>
    <row r="638" customFormat="false" ht="15" hidden="false" customHeight="false" outlineLevel="0" collapsed="false">
      <c r="A638" s="2" t="s">
        <v>184</v>
      </c>
      <c r="B638" s="2" t="s">
        <v>184</v>
      </c>
      <c r="C638" s="2" t="s">
        <v>50</v>
      </c>
      <c r="D638" s="2" t="s">
        <v>13</v>
      </c>
      <c r="E638" s="2" t="s">
        <v>76</v>
      </c>
      <c r="F638" s="2" t="s">
        <v>1145</v>
      </c>
      <c r="G638" s="14" t="n">
        <v>50</v>
      </c>
      <c r="H638" s="14" t="n">
        <v>40.54</v>
      </c>
      <c r="I638" s="14" t="n">
        <v>50</v>
      </c>
      <c r="J638" s="22" t="n">
        <f aca="false">IF(E638="Priority",'Cost model'!N208,'Cost model'!M208)</f>
        <v>80</v>
      </c>
      <c r="K638" s="14" t="n">
        <f aca="false">J638-H638</f>
        <v>39.46</v>
      </c>
      <c r="L638" s="14" t="n">
        <f aca="false">G638-H638</f>
        <v>9.46</v>
      </c>
    </row>
    <row r="639" customFormat="false" ht="15" hidden="false" customHeight="false" outlineLevel="0" collapsed="false">
      <c r="A639" s="2" t="s">
        <v>240</v>
      </c>
      <c r="B639" s="2" t="s">
        <v>240</v>
      </c>
      <c r="C639" s="2" t="s">
        <v>50</v>
      </c>
      <c r="D639" s="2" t="s">
        <v>10</v>
      </c>
      <c r="E639" s="2" t="s">
        <v>76</v>
      </c>
      <c r="F639" s="2" t="s">
        <v>1145</v>
      </c>
      <c r="G639" s="14" t="n">
        <v>17.5</v>
      </c>
      <c r="H639" s="14" t="n">
        <v>17.57</v>
      </c>
      <c r="I639" s="14" t="n">
        <v>17.5</v>
      </c>
      <c r="J639" s="22" t="n">
        <f aca="false">IF(E639="Priority",'Cost model'!N886,'Cost model'!M886)</f>
        <v>17.5</v>
      </c>
      <c r="K639" s="14" t="n">
        <f aca="false">J639-H639</f>
        <v>-0.0700000000000003</v>
      </c>
      <c r="L639" s="14" t="n">
        <f aca="false">G639-H639</f>
        <v>-0.0700000000000003</v>
      </c>
    </row>
    <row r="640" customFormat="false" ht="15" hidden="false" customHeight="false" outlineLevel="0" collapsed="false">
      <c r="A640" s="2" t="s">
        <v>184</v>
      </c>
      <c r="B640" s="2" t="s">
        <v>184</v>
      </c>
      <c r="C640" s="2" t="s">
        <v>50</v>
      </c>
      <c r="D640" s="2" t="s">
        <v>10</v>
      </c>
      <c r="E640" s="2" t="s">
        <v>85</v>
      </c>
      <c r="F640" s="2" t="s">
        <v>1145</v>
      </c>
      <c r="G640" s="14" t="n">
        <v>24.5</v>
      </c>
      <c r="H640" s="14" t="n">
        <v>21.34</v>
      </c>
      <c r="I640" s="14" t="n">
        <v>24.5</v>
      </c>
      <c r="J640" s="22" t="n">
        <f aca="false">IF(E640="Priority",'Cost model'!N202,'Cost model'!M202)</f>
        <v>23.5</v>
      </c>
      <c r="K640" s="14" t="n">
        <f aca="false">J640-H640</f>
        <v>2.16</v>
      </c>
      <c r="L640" s="14" t="n">
        <f aca="false">G640-H640</f>
        <v>3.16</v>
      </c>
    </row>
    <row r="641" customFormat="false" ht="15" hidden="false" customHeight="false" outlineLevel="0" collapsed="false">
      <c r="A641" s="2" t="s">
        <v>184</v>
      </c>
      <c r="B641" s="2" t="s">
        <v>184</v>
      </c>
      <c r="C641" s="2" t="s">
        <v>48</v>
      </c>
      <c r="D641" s="2" t="s">
        <v>10</v>
      </c>
      <c r="E641" s="2" t="s">
        <v>76</v>
      </c>
      <c r="F641" s="2" t="s">
        <v>1145</v>
      </c>
      <c r="G641" s="14" t="n">
        <v>9.5</v>
      </c>
      <c r="H641" s="14" t="n">
        <v>7.69</v>
      </c>
      <c r="I641" s="14" t="n">
        <v>9.5</v>
      </c>
      <c r="J641" s="22" t="n">
        <f aca="false">IF(E641="Priority",'Cost model'!N200,'Cost model'!M200)</f>
        <v>7.5</v>
      </c>
      <c r="K641" s="14" t="n">
        <f aca="false">J641-H641</f>
        <v>-0.19</v>
      </c>
      <c r="L641" s="14" t="n">
        <f aca="false">G641-H641</f>
        <v>1.81</v>
      </c>
    </row>
    <row r="642" customFormat="false" ht="15" hidden="false" customHeight="false" outlineLevel="0" collapsed="false">
      <c r="A642" s="2" t="s">
        <v>126</v>
      </c>
      <c r="B642" s="2" t="s">
        <v>126</v>
      </c>
      <c r="C642" s="2" t="s">
        <v>49</v>
      </c>
      <c r="D642" s="2" t="s">
        <v>14</v>
      </c>
      <c r="E642" s="2" t="s">
        <v>76</v>
      </c>
      <c r="F642" s="2" t="s">
        <v>1145</v>
      </c>
      <c r="G642" s="14" t="n">
        <v>45</v>
      </c>
      <c r="H642" s="14" t="n">
        <v>136.88</v>
      </c>
      <c r="I642" s="14" t="n">
        <v>45</v>
      </c>
      <c r="J642" s="22" t="n">
        <f aca="false">IF(E642="Priority",'Cost model'!N390,'Cost model'!M390)</f>
        <v>115</v>
      </c>
      <c r="K642" s="14" t="n">
        <f aca="false">J642-H642</f>
        <v>-21.88</v>
      </c>
      <c r="L642" s="14" t="n">
        <f aca="false">G642-H642</f>
        <v>-91.88</v>
      </c>
    </row>
    <row r="643" customFormat="false" ht="15" hidden="false" customHeight="false" outlineLevel="0" collapsed="false">
      <c r="A643" s="2" t="s">
        <v>221</v>
      </c>
      <c r="B643" s="2" t="s">
        <v>221</v>
      </c>
      <c r="C643" s="2" t="s">
        <v>49</v>
      </c>
      <c r="D643" s="2" t="s">
        <v>13</v>
      </c>
      <c r="E643" s="2" t="s">
        <v>76</v>
      </c>
      <c r="F643" s="2" t="s">
        <v>1145</v>
      </c>
      <c r="G643" s="14" t="n">
        <v>24.5</v>
      </c>
      <c r="H643" s="14" t="n">
        <v>93.19</v>
      </c>
      <c r="I643" s="14" t="n">
        <v>24.5</v>
      </c>
      <c r="J643" s="22" t="n">
        <f aca="false">IF(E643="Priority",'Cost model'!N639,'Cost model'!M639)</f>
        <v>90</v>
      </c>
      <c r="K643" s="14" t="n">
        <f aca="false">J643-H643</f>
        <v>-3.19</v>
      </c>
      <c r="L643" s="14" t="n">
        <f aca="false">G643-H643</f>
        <v>-68.69</v>
      </c>
    </row>
    <row r="644" customFormat="false" ht="15" hidden="false" customHeight="false" outlineLevel="0" collapsed="false">
      <c r="A644" s="2" t="s">
        <v>184</v>
      </c>
      <c r="B644" s="2" t="s">
        <v>184</v>
      </c>
      <c r="C644" s="2" t="s">
        <v>49</v>
      </c>
      <c r="D644" s="2" t="s">
        <v>10</v>
      </c>
      <c r="E644" s="2" t="s">
        <v>76</v>
      </c>
      <c r="F644" s="2" t="s">
        <v>1145</v>
      </c>
      <c r="G644" s="14" t="n">
        <v>19.5</v>
      </c>
      <c r="H644" s="14" t="n">
        <v>7.22</v>
      </c>
      <c r="I644" s="14"/>
      <c r="J644" s="22" t="n">
        <f aca="false">IF(E644="Priority",'Cost model'!N201,'Cost model'!M201)</f>
        <v>12.5</v>
      </c>
      <c r="K644" s="14" t="n">
        <f aca="false">J644-H644</f>
        <v>5.28</v>
      </c>
      <c r="L644" s="14" t="n">
        <f aca="false">G644-H644</f>
        <v>12.28</v>
      </c>
    </row>
    <row r="645" customFormat="false" ht="15" hidden="false" customHeight="false" outlineLevel="0" collapsed="false">
      <c r="A645" s="2" t="s">
        <v>385</v>
      </c>
      <c r="B645" s="2" t="s">
        <v>165</v>
      </c>
      <c r="C645" s="2" t="s">
        <v>50</v>
      </c>
      <c r="D645" s="2" t="s">
        <v>10</v>
      </c>
      <c r="E645" s="2" t="s">
        <v>76</v>
      </c>
      <c r="F645" s="2" t="s">
        <v>1146</v>
      </c>
      <c r="G645" s="14" t="n">
        <v>19.5</v>
      </c>
      <c r="H645" s="14" t="n">
        <v>24.17</v>
      </c>
      <c r="I645" s="14" t="n">
        <v>19.5</v>
      </c>
      <c r="J645" s="22" t="n">
        <f aca="false">IF(E645="Priority",'Cost model'!N256,'Cost model'!M256)</f>
        <v>25.5</v>
      </c>
      <c r="K645" s="14" t="n">
        <f aca="false">J645-H645</f>
        <v>1.33</v>
      </c>
      <c r="L645" s="14" t="n">
        <f aca="false">G645-H645</f>
        <v>-4.67</v>
      </c>
    </row>
    <row r="646" customFormat="false" ht="15" hidden="false" customHeight="false" outlineLevel="0" collapsed="false">
      <c r="A646" s="2" t="s">
        <v>146</v>
      </c>
      <c r="B646" s="2" t="s">
        <v>146</v>
      </c>
      <c r="C646" s="2" t="s">
        <v>50</v>
      </c>
      <c r="D646" s="2" t="s">
        <v>12</v>
      </c>
      <c r="E646" s="2" t="s">
        <v>76</v>
      </c>
      <c r="F646" s="2" t="s">
        <v>1145</v>
      </c>
      <c r="G646" s="14" t="n">
        <v>19.5</v>
      </c>
      <c r="H646" s="14" t="n">
        <v>128.46</v>
      </c>
      <c r="I646" s="14" t="n">
        <v>19.5</v>
      </c>
      <c r="J646" s="22" t="n">
        <f aca="false">IF(E646="Priority",'Cost model'!N763,'Cost model'!M763)</f>
        <v>50</v>
      </c>
      <c r="K646" s="14" t="n">
        <f aca="false">J646-H646</f>
        <v>-78.46</v>
      </c>
      <c r="L646" s="14" t="n">
        <f aca="false">G646-H646</f>
        <v>-108.96</v>
      </c>
    </row>
    <row r="647" customFormat="false" ht="15" hidden="false" customHeight="false" outlineLevel="0" collapsed="false">
      <c r="A647" s="2" t="s">
        <v>126</v>
      </c>
      <c r="B647" s="2" t="s">
        <v>126</v>
      </c>
      <c r="C647" s="2" t="s">
        <v>49</v>
      </c>
      <c r="D647" s="2" t="s">
        <v>12</v>
      </c>
      <c r="E647" s="2" t="s">
        <v>76</v>
      </c>
      <c r="F647" s="2" t="s">
        <v>1145</v>
      </c>
      <c r="G647" s="14" t="n">
        <v>12.5</v>
      </c>
      <c r="H647" s="14" t="n">
        <v>10.95</v>
      </c>
      <c r="I647" s="14" t="n">
        <v>12.5</v>
      </c>
      <c r="J647" s="22" t="n">
        <f aca="false">IF(E647="Priority",'Cost model'!N384,'Cost model'!M384)</f>
        <v>45</v>
      </c>
      <c r="K647" s="14" t="n">
        <f aca="false">J647-H647</f>
        <v>34.05</v>
      </c>
      <c r="L647" s="14" t="n">
        <f aca="false">G647-H647</f>
        <v>1.55</v>
      </c>
    </row>
    <row r="648" customFormat="false" ht="15" hidden="false" customHeight="false" outlineLevel="0" collapsed="false">
      <c r="A648" s="2" t="s">
        <v>184</v>
      </c>
      <c r="B648" s="2" t="s">
        <v>184</v>
      </c>
      <c r="C648" s="2" t="s">
        <v>49</v>
      </c>
      <c r="D648" s="2" t="s">
        <v>10</v>
      </c>
      <c r="E648" s="2" t="s">
        <v>76</v>
      </c>
      <c r="F648" s="2" t="s">
        <v>1145</v>
      </c>
      <c r="G648" s="14" t="n">
        <v>12.5</v>
      </c>
      <c r="H648" s="14" t="n">
        <v>8.68</v>
      </c>
      <c r="I648" s="14"/>
      <c r="J648" s="22" t="n">
        <f aca="false">IF(E648="Priority",'Cost model'!N201,'Cost model'!M201)</f>
        <v>12.5</v>
      </c>
      <c r="K648" s="14" t="n">
        <f aca="false">J648-H648</f>
        <v>3.82</v>
      </c>
      <c r="L648" s="14" t="n">
        <f aca="false">G648-H648</f>
        <v>3.82</v>
      </c>
    </row>
    <row r="649" customFormat="false" ht="15" hidden="false" customHeight="false" outlineLevel="0" collapsed="false">
      <c r="A649" s="2" t="s">
        <v>240</v>
      </c>
      <c r="B649" s="2" t="s">
        <v>240</v>
      </c>
      <c r="C649" s="2" t="s">
        <v>48</v>
      </c>
      <c r="D649" s="2" t="s">
        <v>10</v>
      </c>
      <c r="E649" s="2" t="s">
        <v>76</v>
      </c>
      <c r="F649" s="2" t="s">
        <v>1145</v>
      </c>
      <c r="G649" s="14" t="n">
        <v>9.5</v>
      </c>
      <c r="H649" s="14" t="n">
        <v>9.24</v>
      </c>
      <c r="I649" s="14" t="n">
        <v>9.5</v>
      </c>
      <c r="J649" s="22" t="n">
        <f aca="false">IF(E649="Priority",'Cost model'!N884,'Cost model'!M884)</f>
        <v>7.5</v>
      </c>
      <c r="K649" s="14" t="n">
        <f aca="false">J649-H649</f>
        <v>-1.74</v>
      </c>
      <c r="L649" s="14" t="n">
        <f aca="false">G649-H649</f>
        <v>0.26</v>
      </c>
    </row>
    <row r="650" customFormat="false" ht="15" hidden="false" customHeight="false" outlineLevel="0" collapsed="false">
      <c r="A650" s="2" t="s">
        <v>184</v>
      </c>
      <c r="B650" s="2" t="s">
        <v>165</v>
      </c>
      <c r="C650" s="2" t="s">
        <v>50</v>
      </c>
      <c r="D650" s="2" t="s">
        <v>12</v>
      </c>
      <c r="E650" s="2" t="s">
        <v>76</v>
      </c>
      <c r="F650" s="2" t="s">
        <v>1146</v>
      </c>
      <c r="G650" s="14" t="n">
        <v>19.5</v>
      </c>
      <c r="H650" s="14" t="n">
        <v>36.7</v>
      </c>
      <c r="I650" s="14" t="n">
        <v>19.5</v>
      </c>
      <c r="J650" s="22" t="n">
        <f aca="false">IF(E650="Priority",'Cost model'!N169,'Cost model'!M169)</f>
        <v>60</v>
      </c>
      <c r="K650" s="14" t="n">
        <f aca="false">J650-H650</f>
        <v>23.3</v>
      </c>
      <c r="L650" s="14" t="n">
        <f aca="false">G650-H650</f>
        <v>-17.2</v>
      </c>
    </row>
    <row r="651" customFormat="false" ht="15" hidden="false" customHeight="false" outlineLevel="0" collapsed="false">
      <c r="A651" s="2" t="s">
        <v>146</v>
      </c>
      <c r="B651" s="2" t="s">
        <v>146</v>
      </c>
      <c r="C651" s="2" t="s">
        <v>49</v>
      </c>
      <c r="D651" s="2" t="s">
        <v>13</v>
      </c>
      <c r="E651" s="2" t="s">
        <v>76</v>
      </c>
      <c r="F651" s="2" t="s">
        <v>1145</v>
      </c>
      <c r="G651" s="14" t="n">
        <v>24.5</v>
      </c>
      <c r="H651" s="14" t="n">
        <v>60.81</v>
      </c>
      <c r="I651" s="14" t="n">
        <v>24.5</v>
      </c>
      <c r="J651" s="22" t="n">
        <f aca="false">IF(E651="Priority",'Cost model'!N765,'Cost model'!M765)</f>
        <v>70</v>
      </c>
      <c r="K651" s="14" t="n">
        <f aca="false">J651-H651</f>
        <v>9.19</v>
      </c>
      <c r="L651" s="14" t="n">
        <f aca="false">G651-H651</f>
        <v>-36.31</v>
      </c>
    </row>
    <row r="652" customFormat="false" ht="15" hidden="false" customHeight="false" outlineLevel="0" collapsed="false">
      <c r="A652" s="2" t="s">
        <v>146</v>
      </c>
      <c r="B652" s="2" t="s">
        <v>184</v>
      </c>
      <c r="C652" s="2" t="s">
        <v>50</v>
      </c>
      <c r="D652" s="2" t="s">
        <v>12</v>
      </c>
      <c r="E652" s="2" t="s">
        <v>85</v>
      </c>
      <c r="F652" s="2" t="s">
        <v>1146</v>
      </c>
      <c r="G652" s="14" t="n">
        <v>34.5</v>
      </c>
      <c r="H652" s="14" t="n">
        <v>34.93</v>
      </c>
      <c r="I652" s="14" t="n">
        <v>34.5</v>
      </c>
      <c r="J652" s="22" t="n">
        <f aca="false">IF(E652="Priority",'Cost model'!N835,'Cost model'!M835)</f>
        <v>65</v>
      </c>
      <c r="K652" s="14" t="n">
        <f aca="false">J652-H652</f>
        <v>30.07</v>
      </c>
      <c r="L652" s="14" t="n">
        <f aca="false">G652-H652</f>
        <v>-0.43</v>
      </c>
    </row>
    <row r="653" customFormat="false" ht="15" hidden="false" customHeight="false" outlineLevel="0" collapsed="false">
      <c r="A653" s="2" t="s">
        <v>146</v>
      </c>
      <c r="B653" s="2" t="s">
        <v>146</v>
      </c>
      <c r="C653" s="2" t="s">
        <v>48</v>
      </c>
      <c r="D653" s="2" t="s">
        <v>13</v>
      </c>
      <c r="E653" s="2" t="s">
        <v>76</v>
      </c>
      <c r="F653" s="2" t="s">
        <v>1145</v>
      </c>
      <c r="G653" s="14" t="n">
        <v>19</v>
      </c>
      <c r="H653" s="14" t="n">
        <v>19.54</v>
      </c>
      <c r="I653" s="14" t="n">
        <v>19</v>
      </c>
      <c r="J653" s="22" t="n">
        <f aca="false">IF(E653="Priority",'Cost model'!N764,'Cost model'!M764)</f>
        <v>55</v>
      </c>
      <c r="K653" s="14" t="n">
        <f aca="false">J653-H653</f>
        <v>35.46</v>
      </c>
      <c r="L653" s="14" t="n">
        <f aca="false">G653-H653</f>
        <v>-0.539999999999999</v>
      </c>
    </row>
    <row r="654" customFormat="false" ht="15" hidden="false" customHeight="false" outlineLevel="0" collapsed="false">
      <c r="A654" s="2" t="s">
        <v>240</v>
      </c>
      <c r="B654" s="2" t="s">
        <v>240</v>
      </c>
      <c r="C654" s="2" t="s">
        <v>48</v>
      </c>
      <c r="D654" s="2" t="s">
        <v>12</v>
      </c>
      <c r="E654" s="2" t="s">
        <v>76</v>
      </c>
      <c r="F654" s="2" t="s">
        <v>1145</v>
      </c>
      <c r="G654" s="14" t="n">
        <v>9.5</v>
      </c>
      <c r="H654" s="14" t="n">
        <v>42.23</v>
      </c>
      <c r="I654" s="14" t="n">
        <v>9.5</v>
      </c>
      <c r="J654" s="22" t="n">
        <f aca="false">IF(E654="Priority",'Cost model'!N887,'Cost model'!M887)</f>
        <v>21.5</v>
      </c>
      <c r="K654" s="14" t="n">
        <f aca="false">J654-H654</f>
        <v>-20.73</v>
      </c>
      <c r="L654" s="14" t="n">
        <f aca="false">G654-H654</f>
        <v>-32.73</v>
      </c>
    </row>
    <row r="655" customFormat="false" ht="15" hidden="false" customHeight="false" outlineLevel="0" collapsed="false">
      <c r="A655" s="2" t="s">
        <v>184</v>
      </c>
      <c r="B655" s="2" t="s">
        <v>184</v>
      </c>
      <c r="C655" s="2" t="s">
        <v>48</v>
      </c>
      <c r="D655" s="2" t="s">
        <v>12</v>
      </c>
      <c r="E655" s="2" t="s">
        <v>76</v>
      </c>
      <c r="F655" s="2" t="s">
        <v>1145</v>
      </c>
      <c r="G655" s="14" t="n">
        <v>9.5</v>
      </c>
      <c r="H655" s="14" t="n">
        <v>27.5</v>
      </c>
      <c r="I655" s="14" t="n">
        <v>9.5</v>
      </c>
      <c r="J655" s="22" t="n">
        <f aca="false">IF(E655="Priority",'Cost model'!N203,'Cost model'!M203)</f>
        <v>26.5</v>
      </c>
      <c r="K655" s="14" t="n">
        <f aca="false">J655-H655</f>
        <v>-1</v>
      </c>
      <c r="L655" s="14" t="n">
        <f aca="false">G655-H655</f>
        <v>-18</v>
      </c>
    </row>
    <row r="656" customFormat="false" ht="15" hidden="false" customHeight="false" outlineLevel="0" collapsed="false">
      <c r="A656" s="2" t="s">
        <v>126</v>
      </c>
      <c r="B656" s="2" t="s">
        <v>126</v>
      </c>
      <c r="C656" s="2" t="s">
        <v>49</v>
      </c>
      <c r="D656" s="2" t="s">
        <v>12</v>
      </c>
      <c r="E656" s="2" t="s">
        <v>85</v>
      </c>
      <c r="F656" s="2" t="s">
        <v>1145</v>
      </c>
      <c r="G656" s="14" t="n">
        <v>19.5</v>
      </c>
      <c r="H656" s="14" t="n">
        <v>60.62</v>
      </c>
      <c r="I656" s="14" t="n">
        <v>19.5</v>
      </c>
      <c r="J656" s="22" t="n">
        <f aca="false">IF(E656="Priority",'Cost model'!N384,'Cost model'!M384)</f>
        <v>60</v>
      </c>
      <c r="K656" s="14" t="n">
        <f aca="false">J656-H656</f>
        <v>-0.619999999999997</v>
      </c>
      <c r="L656" s="14" t="n">
        <f aca="false">G656-H656</f>
        <v>-41.12</v>
      </c>
    </row>
    <row r="657" customFormat="false" ht="15" hidden="false" customHeight="false" outlineLevel="0" collapsed="false">
      <c r="A657" s="2" t="s">
        <v>184</v>
      </c>
      <c r="B657" s="2" t="s">
        <v>146</v>
      </c>
      <c r="C657" s="2" t="s">
        <v>48</v>
      </c>
      <c r="D657" s="2" t="s">
        <v>14</v>
      </c>
      <c r="E657" s="2" t="s">
        <v>85</v>
      </c>
      <c r="F657" s="2" t="s">
        <v>1146</v>
      </c>
      <c r="G657" s="14" t="n">
        <v>85</v>
      </c>
      <c r="H657" s="14" t="n">
        <v>85.06</v>
      </c>
      <c r="I657" s="14" t="n">
        <v>85</v>
      </c>
      <c r="J657" s="22" t="n">
        <f aca="false">IF(E657="Priority",'Cost model'!N155,'Cost model'!M155)</f>
        <v>150</v>
      </c>
      <c r="K657" s="14" t="n">
        <f aca="false">J657-H657</f>
        <v>64.94</v>
      </c>
      <c r="L657" s="14" t="n">
        <f aca="false">G657-H657</f>
        <v>-0.0600000000000023</v>
      </c>
    </row>
    <row r="658" customFormat="false" ht="15" hidden="false" customHeight="false" outlineLevel="0" collapsed="false">
      <c r="A658" s="2" t="s">
        <v>184</v>
      </c>
      <c r="B658" s="2" t="s">
        <v>126</v>
      </c>
      <c r="C658" s="2" t="s">
        <v>48</v>
      </c>
      <c r="D658" s="2" t="s">
        <v>10</v>
      </c>
      <c r="E658" s="2" t="s">
        <v>76</v>
      </c>
      <c r="F658" s="2" t="s">
        <v>1146</v>
      </c>
      <c r="G658" s="14" t="n">
        <v>9.5</v>
      </c>
      <c r="H658" s="14" t="n">
        <v>9.85</v>
      </c>
      <c r="I658" s="14" t="n">
        <v>9.5</v>
      </c>
      <c r="J658" s="22" t="n">
        <f aca="false">IF(E658="Priority",'Cost model'!N128,'Cost model'!M128)</f>
        <v>10.5</v>
      </c>
      <c r="K658" s="14" t="n">
        <f aca="false">J658-H658</f>
        <v>0.65</v>
      </c>
      <c r="L658" s="14" t="n">
        <f aca="false">G658-H658</f>
        <v>-0.35</v>
      </c>
    </row>
    <row r="659" customFormat="false" ht="15" hidden="false" customHeight="false" outlineLevel="0" collapsed="false">
      <c r="A659" s="2" t="s">
        <v>165</v>
      </c>
      <c r="B659" s="2" t="s">
        <v>165</v>
      </c>
      <c r="C659" s="2" t="s">
        <v>48</v>
      </c>
      <c r="D659" s="2" t="s">
        <v>10</v>
      </c>
      <c r="E659" s="2" t="s">
        <v>76</v>
      </c>
      <c r="F659" s="2" t="s">
        <v>1145</v>
      </c>
      <c r="G659" s="14" t="n">
        <v>9.5</v>
      </c>
      <c r="H659" s="14" t="n">
        <v>7.93</v>
      </c>
      <c r="I659" s="14" t="n">
        <v>9.5</v>
      </c>
      <c r="J659" s="22" t="n">
        <f aca="false">IF(E659="Priority",'Cost model'!N506,'Cost model'!M506)</f>
        <v>7.5</v>
      </c>
      <c r="K659" s="14" t="n">
        <f aca="false">J659-H659</f>
        <v>-0.43</v>
      </c>
      <c r="L659" s="14" t="n">
        <f aca="false">G659-H659</f>
        <v>1.57</v>
      </c>
    </row>
    <row r="660" customFormat="false" ht="15" hidden="false" customHeight="false" outlineLevel="0" collapsed="false">
      <c r="A660" s="2" t="s">
        <v>184</v>
      </c>
      <c r="B660" s="2" t="s">
        <v>184</v>
      </c>
      <c r="C660" s="2" t="s">
        <v>49</v>
      </c>
      <c r="D660" s="2" t="s">
        <v>10</v>
      </c>
      <c r="E660" s="2" t="s">
        <v>76</v>
      </c>
      <c r="F660" s="2" t="s">
        <v>1145</v>
      </c>
      <c r="G660" s="14" t="n">
        <v>12.5</v>
      </c>
      <c r="H660" s="14" t="n">
        <v>7.33</v>
      </c>
      <c r="I660" s="14"/>
      <c r="J660" s="22" t="n">
        <f aca="false">IF(E660="Priority",'Cost model'!N201,'Cost model'!M201)</f>
        <v>12.5</v>
      </c>
      <c r="K660" s="14" t="n">
        <f aca="false">J660-H660</f>
        <v>5.17</v>
      </c>
      <c r="L660" s="14" t="n">
        <f aca="false">G660-H660</f>
        <v>5.17</v>
      </c>
    </row>
    <row r="661" customFormat="false" ht="15" hidden="false" customHeight="false" outlineLevel="0" collapsed="false">
      <c r="A661" s="2" t="s">
        <v>184</v>
      </c>
      <c r="B661" s="2" t="s">
        <v>146</v>
      </c>
      <c r="C661" s="2" t="s">
        <v>49</v>
      </c>
      <c r="D661" s="2" t="s">
        <v>10</v>
      </c>
      <c r="E661" s="2" t="s">
        <v>85</v>
      </c>
      <c r="F661" s="2" t="s">
        <v>1146</v>
      </c>
      <c r="G661" s="14" t="n">
        <v>17.5</v>
      </c>
      <c r="H661" s="14" t="n">
        <v>21.23</v>
      </c>
      <c r="I661" s="14" t="n">
        <v>17.5</v>
      </c>
      <c r="J661" s="22" t="n">
        <f aca="false">IF(E661="Priority",'Cost model'!N147,'Cost model'!M147)</f>
        <v>19.5</v>
      </c>
      <c r="K661" s="14" t="n">
        <f aca="false">J661-H661</f>
        <v>-1.73</v>
      </c>
      <c r="L661" s="14" t="n">
        <f aca="false">G661-H661</f>
        <v>-3.73</v>
      </c>
    </row>
    <row r="662" customFormat="false" ht="15" hidden="false" customHeight="false" outlineLevel="0" collapsed="false">
      <c r="A662" s="2" t="s">
        <v>146</v>
      </c>
      <c r="B662" s="2" t="s">
        <v>146</v>
      </c>
      <c r="C662" s="2" t="s">
        <v>50</v>
      </c>
      <c r="D662" s="2" t="s">
        <v>12</v>
      </c>
      <c r="E662" s="2" t="s">
        <v>76</v>
      </c>
      <c r="F662" s="2" t="s">
        <v>1145</v>
      </c>
      <c r="G662" s="14" t="n">
        <v>19.5</v>
      </c>
      <c r="H662" s="14" t="n">
        <v>44.18</v>
      </c>
      <c r="I662" s="14" t="n">
        <v>19.5</v>
      </c>
      <c r="J662" s="22" t="n">
        <f aca="false">IF(E662="Priority",'Cost model'!N763,'Cost model'!M763)</f>
        <v>50</v>
      </c>
      <c r="K662" s="14" t="n">
        <f aca="false">J662-H662</f>
        <v>5.82</v>
      </c>
      <c r="L662" s="14" t="n">
        <f aca="false">G662-H662</f>
        <v>-24.68</v>
      </c>
    </row>
    <row r="663" customFormat="false" ht="15" hidden="false" customHeight="false" outlineLevel="0" collapsed="false">
      <c r="A663" s="2" t="s">
        <v>184</v>
      </c>
      <c r="B663" s="2" t="s">
        <v>126</v>
      </c>
      <c r="C663" s="2" t="s">
        <v>49</v>
      </c>
      <c r="D663" s="2" t="s">
        <v>10</v>
      </c>
      <c r="E663" s="2" t="s">
        <v>76</v>
      </c>
      <c r="F663" s="2" t="s">
        <v>1146</v>
      </c>
      <c r="G663" s="14" t="n">
        <v>12.5</v>
      </c>
      <c r="H663" s="14" t="n">
        <v>8.68</v>
      </c>
      <c r="I663" s="14"/>
      <c r="J663" s="22" t="n">
        <f aca="false">IF(E663="Priority",'Cost model'!N129,'Cost model'!M129)</f>
        <v>13.5</v>
      </c>
      <c r="K663" s="14" t="n">
        <f aca="false">J663-H663</f>
        <v>4.82</v>
      </c>
      <c r="L663" s="14" t="n">
        <f aca="false">G663-H663</f>
        <v>3.82</v>
      </c>
    </row>
    <row r="664" customFormat="false" ht="15" hidden="false" customHeight="false" outlineLevel="0" collapsed="false">
      <c r="A664" s="2" t="s">
        <v>126</v>
      </c>
      <c r="B664" s="2" t="s">
        <v>126</v>
      </c>
      <c r="C664" s="2" t="s">
        <v>48</v>
      </c>
      <c r="D664" s="2" t="s">
        <v>10</v>
      </c>
      <c r="E664" s="2" t="s">
        <v>85</v>
      </c>
      <c r="F664" s="2" t="s">
        <v>1145</v>
      </c>
      <c r="G664" s="14" t="n">
        <v>14.5</v>
      </c>
      <c r="H664" s="14" t="n">
        <v>14.15</v>
      </c>
      <c r="I664" s="14" t="n">
        <v>14.5</v>
      </c>
      <c r="J664" s="22" t="n">
        <f aca="false">IF(E664="Priority",'Cost model'!N380,'Cost model'!M380)</f>
        <v>13.5</v>
      </c>
      <c r="K664" s="14" t="n">
        <f aca="false">J664-H664</f>
        <v>-0.65</v>
      </c>
      <c r="L664" s="14" t="n">
        <f aca="false">G664-H664</f>
        <v>0.35</v>
      </c>
    </row>
    <row r="665" customFormat="false" ht="15" hidden="false" customHeight="false" outlineLevel="0" collapsed="false">
      <c r="A665" s="2" t="s">
        <v>126</v>
      </c>
      <c r="B665" s="2" t="s">
        <v>125</v>
      </c>
      <c r="C665" s="2" t="s">
        <v>50</v>
      </c>
      <c r="D665" s="2" t="s">
        <v>10</v>
      </c>
      <c r="E665" s="2" t="s">
        <v>76</v>
      </c>
      <c r="F665" s="2" t="s">
        <v>1146</v>
      </c>
      <c r="G665" s="14" t="n">
        <v>17.5</v>
      </c>
      <c r="H665" s="14" t="n">
        <v>21.34</v>
      </c>
      <c r="I665" s="14" t="n">
        <v>19.5</v>
      </c>
      <c r="J665" s="22" t="n">
        <f aca="false">IF(E665="Priority",'Cost model'!N472,'Cost model'!M472)</f>
        <v>35</v>
      </c>
      <c r="K665" s="14" t="n">
        <f aca="false">J665-H665</f>
        <v>13.66</v>
      </c>
      <c r="L665" s="14" t="n">
        <f aca="false">G665-H665</f>
        <v>-3.84</v>
      </c>
    </row>
    <row r="666" customFormat="false" ht="15" hidden="false" customHeight="false" outlineLevel="0" collapsed="false">
      <c r="A666" s="2" t="s">
        <v>184</v>
      </c>
      <c r="B666" s="2" t="s">
        <v>184</v>
      </c>
      <c r="C666" s="2" t="s">
        <v>48</v>
      </c>
      <c r="D666" s="2" t="s">
        <v>10</v>
      </c>
      <c r="E666" s="2" t="s">
        <v>76</v>
      </c>
      <c r="F666" s="2" t="s">
        <v>1145</v>
      </c>
      <c r="G666" s="14" t="n">
        <v>9.5</v>
      </c>
      <c r="H666" s="14" t="n">
        <v>7.46</v>
      </c>
      <c r="I666" s="14" t="n">
        <v>9.5</v>
      </c>
      <c r="J666" s="22" t="n">
        <f aca="false">IF(E666="Priority",'Cost model'!N200,'Cost model'!M200)</f>
        <v>7.5</v>
      </c>
      <c r="K666" s="14" t="n">
        <f aca="false">J666-H666</f>
        <v>0.04</v>
      </c>
      <c r="L666" s="14" t="n">
        <f aca="false">G666-H666</f>
        <v>2.04</v>
      </c>
    </row>
    <row r="667" customFormat="false" ht="15" hidden="false" customHeight="false" outlineLevel="0" collapsed="false">
      <c r="A667" s="2" t="s">
        <v>184</v>
      </c>
      <c r="B667" s="2" t="s">
        <v>184</v>
      </c>
      <c r="C667" s="2" t="s">
        <v>50</v>
      </c>
      <c r="D667" s="2" t="s">
        <v>10</v>
      </c>
      <c r="E667" s="2" t="s">
        <v>76</v>
      </c>
      <c r="F667" s="2" t="s">
        <v>1145</v>
      </c>
      <c r="G667" s="14" t="n">
        <v>17.5</v>
      </c>
      <c r="H667" s="14" t="n">
        <v>12.18</v>
      </c>
      <c r="I667" s="14" t="n">
        <v>17.5</v>
      </c>
      <c r="J667" s="22" t="n">
        <f aca="false">IF(E667="Priority",'Cost model'!N202,'Cost model'!M202)</f>
        <v>17.5</v>
      </c>
      <c r="K667" s="14" t="n">
        <f aca="false">J667-H667</f>
        <v>5.32</v>
      </c>
      <c r="L667" s="14" t="n">
        <f aca="false">G667-H667</f>
        <v>5.32</v>
      </c>
    </row>
    <row r="668" customFormat="false" ht="15" hidden="false" customHeight="false" outlineLevel="0" collapsed="false">
      <c r="A668" s="2" t="s">
        <v>146</v>
      </c>
      <c r="B668" s="2" t="s">
        <v>146</v>
      </c>
      <c r="C668" s="2" t="s">
        <v>50</v>
      </c>
      <c r="D668" s="2" t="s">
        <v>10</v>
      </c>
      <c r="E668" s="2" t="s">
        <v>76</v>
      </c>
      <c r="F668" s="2" t="s">
        <v>1145</v>
      </c>
      <c r="G668" s="14" t="n">
        <v>17.5</v>
      </c>
      <c r="H668" s="14" t="n">
        <v>15.39</v>
      </c>
      <c r="I668" s="14" t="n">
        <v>17.5</v>
      </c>
      <c r="J668" s="22" t="n">
        <f aca="false">IF(E668="Priority",'Cost model'!N760,'Cost model'!M760)</f>
        <v>18.5</v>
      </c>
      <c r="K668" s="14" t="n">
        <f aca="false">J668-H668</f>
        <v>3.11</v>
      </c>
      <c r="L668" s="14" t="n">
        <f aca="false">G668-H668</f>
        <v>2.11</v>
      </c>
    </row>
    <row r="669" customFormat="false" ht="15" hidden="false" customHeight="false" outlineLevel="0" collapsed="false">
      <c r="A669" s="2" t="s">
        <v>126</v>
      </c>
      <c r="B669" s="2" t="s">
        <v>126</v>
      </c>
      <c r="C669" s="2" t="s">
        <v>50</v>
      </c>
      <c r="D669" s="2" t="s">
        <v>16</v>
      </c>
      <c r="E669" s="2" t="s">
        <v>76</v>
      </c>
      <c r="F669" s="2" t="s">
        <v>1145</v>
      </c>
      <c r="G669" s="14" t="n">
        <v>85</v>
      </c>
      <c r="H669" s="14" t="n">
        <v>190.78</v>
      </c>
      <c r="I669" s="14" t="n">
        <v>85</v>
      </c>
      <c r="J669" s="22" t="n">
        <f aca="false">IF(E669="Priority",'Cost model'!N397,'Cost model'!M397)</f>
        <v>295</v>
      </c>
      <c r="K669" s="14" t="n">
        <f aca="false">J669-H669</f>
        <v>104.22</v>
      </c>
      <c r="L669" s="14" t="n">
        <f aca="false">G669-H669</f>
        <v>-105.78</v>
      </c>
    </row>
    <row r="670" customFormat="false" ht="15" hidden="false" customHeight="false" outlineLevel="0" collapsed="false">
      <c r="A670" s="2" t="s">
        <v>240</v>
      </c>
      <c r="B670" s="2" t="s">
        <v>126</v>
      </c>
      <c r="C670" s="2" t="s">
        <v>50</v>
      </c>
      <c r="D670" s="2" t="s">
        <v>10</v>
      </c>
      <c r="E670" s="2" t="s">
        <v>76</v>
      </c>
      <c r="F670" s="2" t="s">
        <v>1146</v>
      </c>
      <c r="G670" s="14" t="n">
        <v>17.5</v>
      </c>
      <c r="H670" s="14" t="n">
        <v>23.58</v>
      </c>
      <c r="I670" s="14" t="n">
        <v>19.5</v>
      </c>
      <c r="J670" s="22" t="n">
        <f aca="false">IF(E670="Priority",'Cost model'!N958,'Cost model'!M958)</f>
        <v>24.5</v>
      </c>
      <c r="K670" s="14" t="n">
        <f aca="false">J670-H670</f>
        <v>0.920000000000002</v>
      </c>
      <c r="L670" s="14" t="n">
        <f aca="false">G670-H670</f>
        <v>-6.08</v>
      </c>
    </row>
    <row r="671" customFormat="false" ht="15" hidden="false" customHeight="false" outlineLevel="0" collapsed="false">
      <c r="A671" s="2" t="s">
        <v>125</v>
      </c>
      <c r="B671" s="2" t="s">
        <v>184</v>
      </c>
      <c r="C671" s="2" t="s">
        <v>48</v>
      </c>
      <c r="D671" s="2" t="s">
        <v>14</v>
      </c>
      <c r="E671" s="2" t="s">
        <v>76</v>
      </c>
      <c r="F671" s="2" t="s">
        <v>1146</v>
      </c>
      <c r="G671" s="14" t="n">
        <v>85</v>
      </c>
      <c r="H671" s="14" t="n">
        <v>205</v>
      </c>
      <c r="I671" s="14" t="n">
        <v>85</v>
      </c>
      <c r="J671" s="22" t="n">
        <f aca="false">IF(E671="Priority",'Cost model'!N65,'Cost model'!M65)</f>
        <v>130</v>
      </c>
      <c r="K671" s="14" t="n">
        <f aca="false">J671-H671</f>
        <v>-75</v>
      </c>
      <c r="L671" s="14" t="n">
        <f aca="false">G671-H671</f>
        <v>-120</v>
      </c>
    </row>
    <row r="672" customFormat="false" ht="15" hidden="false" customHeight="false" outlineLevel="0" collapsed="false">
      <c r="A672" s="2" t="s">
        <v>126</v>
      </c>
      <c r="B672" s="2" t="s">
        <v>126</v>
      </c>
      <c r="C672" s="2" t="s">
        <v>48</v>
      </c>
      <c r="D672" s="2" t="s">
        <v>12</v>
      </c>
      <c r="E672" s="2" t="s">
        <v>76</v>
      </c>
      <c r="F672" s="2" t="s">
        <v>1145</v>
      </c>
      <c r="G672" s="14" t="n">
        <v>14.5</v>
      </c>
      <c r="H672" s="14" t="n">
        <v>28.11</v>
      </c>
      <c r="I672" s="14" t="n">
        <v>9.5</v>
      </c>
      <c r="J672" s="22" t="n">
        <f aca="false">IF(E672="Priority",'Cost model'!N383,'Cost model'!M383)</f>
        <v>27.5</v>
      </c>
      <c r="K672" s="14" t="n">
        <f aca="false">J672-H672</f>
        <v>-0.609999999999999</v>
      </c>
      <c r="L672" s="14" t="n">
        <f aca="false">G672-H672</f>
        <v>-13.61</v>
      </c>
    </row>
    <row r="673" customFormat="false" ht="15" hidden="false" customHeight="false" outlineLevel="0" collapsed="false">
      <c r="A673" s="2" t="s">
        <v>146</v>
      </c>
      <c r="B673" s="2" t="s">
        <v>184</v>
      </c>
      <c r="C673" s="2" t="s">
        <v>48</v>
      </c>
      <c r="D673" s="2" t="s">
        <v>10</v>
      </c>
      <c r="E673" s="2" t="s">
        <v>76</v>
      </c>
      <c r="F673" s="2" t="s">
        <v>1146</v>
      </c>
      <c r="G673" s="14" t="n">
        <v>14.5</v>
      </c>
      <c r="H673" s="14" t="n">
        <v>7.71</v>
      </c>
      <c r="I673" s="14" t="n">
        <v>14.5</v>
      </c>
      <c r="J673" s="22" t="n">
        <f aca="false">IF(E673="Priority",'Cost model'!N830,'Cost model'!M830)</f>
        <v>9.5</v>
      </c>
      <c r="K673" s="14" t="n">
        <f aca="false">J673-H673</f>
        <v>1.79</v>
      </c>
      <c r="L673" s="14" t="n">
        <f aca="false">G673-H673</f>
        <v>6.79</v>
      </c>
    </row>
    <row r="674" customFormat="false" ht="15" hidden="false" customHeight="false" outlineLevel="0" collapsed="false">
      <c r="A674" s="2" t="s">
        <v>240</v>
      </c>
      <c r="B674" s="2" t="s">
        <v>240</v>
      </c>
      <c r="C674" s="2" t="s">
        <v>48</v>
      </c>
      <c r="D674" s="2" t="s">
        <v>14</v>
      </c>
      <c r="E674" s="2" t="s">
        <v>76</v>
      </c>
      <c r="F674" s="2" t="s">
        <v>1145</v>
      </c>
      <c r="G674" s="14" t="n">
        <v>25</v>
      </c>
      <c r="H674" s="14" t="n">
        <v>132.92</v>
      </c>
      <c r="I674" s="14" t="n">
        <v>25</v>
      </c>
      <c r="J674" s="22" t="n">
        <f aca="false">IF(E674="Priority",'Cost model'!N893,'Cost model'!M893)</f>
        <v>135</v>
      </c>
      <c r="K674" s="14" t="n">
        <f aca="false">J674-H674</f>
        <v>2.08000000000001</v>
      </c>
      <c r="L674" s="14" t="n">
        <f aca="false">G674-H674</f>
        <v>-107.92</v>
      </c>
    </row>
    <row r="675" customFormat="false" ht="15" hidden="false" customHeight="false" outlineLevel="0" collapsed="false">
      <c r="A675" s="2" t="s">
        <v>126</v>
      </c>
      <c r="B675" s="2" t="s">
        <v>126</v>
      </c>
      <c r="C675" s="2" t="s">
        <v>48</v>
      </c>
      <c r="D675" s="2" t="s">
        <v>10</v>
      </c>
      <c r="E675" s="2" t="s">
        <v>76</v>
      </c>
      <c r="F675" s="2" t="s">
        <v>1145</v>
      </c>
      <c r="G675" s="14" t="n">
        <v>9.5</v>
      </c>
      <c r="H675" s="14" t="n">
        <v>5.25</v>
      </c>
      <c r="I675" s="14" t="n">
        <v>9.5</v>
      </c>
      <c r="J675" s="22" t="n">
        <f aca="false">IF(E675="Priority",'Cost model'!N380,'Cost model'!M380)</f>
        <v>8.5</v>
      </c>
      <c r="K675" s="14" t="n">
        <f aca="false">J675-H675</f>
        <v>3.25</v>
      </c>
      <c r="L675" s="14" t="n">
        <f aca="false">G675-H675</f>
        <v>4.25</v>
      </c>
    </row>
    <row r="676" customFormat="false" ht="15" hidden="false" customHeight="false" outlineLevel="0" collapsed="false">
      <c r="A676" s="2" t="s">
        <v>146</v>
      </c>
      <c r="B676" s="2" t="s">
        <v>146</v>
      </c>
      <c r="C676" s="2" t="s">
        <v>48</v>
      </c>
      <c r="D676" s="2" t="s">
        <v>12</v>
      </c>
      <c r="E676" s="2" t="s">
        <v>76</v>
      </c>
      <c r="F676" s="2" t="s">
        <v>1145</v>
      </c>
      <c r="G676" s="14" t="n">
        <v>9.5</v>
      </c>
      <c r="H676" s="14" t="n">
        <v>43.55</v>
      </c>
      <c r="I676" s="14" t="n">
        <v>9.5</v>
      </c>
      <c r="J676" s="22" t="n">
        <f aca="false">IF(E676="Priority",'Cost model'!N761,'Cost model'!M761)</f>
        <v>35</v>
      </c>
      <c r="K676" s="14" t="n">
        <f aca="false">J676-H676</f>
        <v>-8.55</v>
      </c>
      <c r="L676" s="14" t="n">
        <f aca="false">G676-H676</f>
        <v>-34.05</v>
      </c>
    </row>
    <row r="677" customFormat="false" ht="15" hidden="false" customHeight="false" outlineLevel="0" collapsed="false">
      <c r="A677" s="2" t="s">
        <v>126</v>
      </c>
      <c r="B677" s="2" t="s">
        <v>126</v>
      </c>
      <c r="C677" s="2" t="s">
        <v>48</v>
      </c>
      <c r="D677" s="2" t="s">
        <v>10</v>
      </c>
      <c r="E677" s="2" t="s">
        <v>76</v>
      </c>
      <c r="F677" s="2" t="s">
        <v>1145</v>
      </c>
      <c r="G677" s="14" t="n">
        <v>9.5</v>
      </c>
      <c r="H677" s="14" t="n">
        <v>7.46</v>
      </c>
      <c r="I677" s="14" t="n">
        <v>9.5</v>
      </c>
      <c r="J677" s="22" t="n">
        <f aca="false">IF(E677="Priority",'Cost model'!N380,'Cost model'!M380)</f>
        <v>8.5</v>
      </c>
      <c r="K677" s="14" t="n">
        <f aca="false">J677-H677</f>
        <v>1.04</v>
      </c>
      <c r="L677" s="14" t="n">
        <f aca="false">G677-H677</f>
        <v>2.04</v>
      </c>
    </row>
    <row r="678" customFormat="false" ht="15" hidden="false" customHeight="false" outlineLevel="0" collapsed="false">
      <c r="A678" s="2" t="s">
        <v>126</v>
      </c>
      <c r="B678" s="2" t="s">
        <v>126</v>
      </c>
      <c r="C678" s="2" t="s">
        <v>49</v>
      </c>
      <c r="D678" s="2" t="s">
        <v>12</v>
      </c>
      <c r="E678" s="2" t="s">
        <v>76</v>
      </c>
      <c r="F678" s="2" t="s">
        <v>1145</v>
      </c>
      <c r="G678" s="14" t="n">
        <v>12.5</v>
      </c>
      <c r="H678" s="14" t="n">
        <v>14.21</v>
      </c>
      <c r="I678" s="14" t="n">
        <v>12.5</v>
      </c>
      <c r="J678" s="22" t="n">
        <f aca="false">IF(E678="Priority",'Cost model'!N384,'Cost model'!M384)</f>
        <v>45</v>
      </c>
      <c r="K678" s="14" t="n">
        <f aca="false">J678-H678</f>
        <v>30.79</v>
      </c>
      <c r="L678" s="14" t="n">
        <f aca="false">G678-H678</f>
        <v>-1.71</v>
      </c>
    </row>
    <row r="679" customFormat="false" ht="15" hidden="false" customHeight="false" outlineLevel="0" collapsed="false">
      <c r="A679" s="2" t="s">
        <v>165</v>
      </c>
      <c r="B679" s="2" t="s">
        <v>165</v>
      </c>
      <c r="C679" s="2" t="s">
        <v>48</v>
      </c>
      <c r="D679" s="2" t="s">
        <v>10</v>
      </c>
      <c r="E679" s="2" t="s">
        <v>85</v>
      </c>
      <c r="F679" s="2" t="s">
        <v>1145</v>
      </c>
      <c r="G679" s="14" t="n">
        <v>14.5</v>
      </c>
      <c r="H679" s="14" t="n">
        <v>7.14</v>
      </c>
      <c r="I679" s="14" t="n">
        <v>14.5</v>
      </c>
      <c r="J679" s="22" t="n">
        <f aca="false">IF(E679="Priority",'Cost model'!N506,'Cost model'!M506)</f>
        <v>12.5</v>
      </c>
      <c r="K679" s="14" t="n">
        <f aca="false">J679-H679</f>
        <v>5.36</v>
      </c>
      <c r="L679" s="14" t="n">
        <f aca="false">G679-H679</f>
        <v>7.36</v>
      </c>
    </row>
    <row r="680" customFormat="false" ht="15" hidden="false" customHeight="false" outlineLevel="0" collapsed="false">
      <c r="A680" s="2" t="s">
        <v>240</v>
      </c>
      <c r="B680" s="2" t="s">
        <v>240</v>
      </c>
      <c r="C680" s="2" t="s">
        <v>50</v>
      </c>
      <c r="D680" s="2" t="s">
        <v>10</v>
      </c>
      <c r="E680" s="2" t="s">
        <v>76</v>
      </c>
      <c r="F680" s="2" t="s">
        <v>1145</v>
      </c>
      <c r="G680" s="14" t="n">
        <v>29.5</v>
      </c>
      <c r="H680" s="14" t="n">
        <v>23.58</v>
      </c>
      <c r="I680" s="14" t="n">
        <v>17.5</v>
      </c>
      <c r="J680" s="22" t="n">
        <f aca="false">IF(E680="Priority",'Cost model'!N886,'Cost model'!M886)</f>
        <v>17.5</v>
      </c>
      <c r="K680" s="14" t="n">
        <f aca="false">J680-H680</f>
        <v>-6.08</v>
      </c>
      <c r="L680" s="14" t="n">
        <f aca="false">G680-H680</f>
        <v>5.92</v>
      </c>
    </row>
    <row r="681" customFormat="false" ht="15" hidden="false" customHeight="false" outlineLevel="0" collapsed="false">
      <c r="A681" s="2" t="s">
        <v>126</v>
      </c>
      <c r="B681" s="2" t="s">
        <v>126</v>
      </c>
      <c r="C681" s="2" t="s">
        <v>48</v>
      </c>
      <c r="D681" s="2" t="s">
        <v>12</v>
      </c>
      <c r="E681" s="2" t="s">
        <v>76</v>
      </c>
      <c r="F681" s="2" t="s">
        <v>1145</v>
      </c>
      <c r="G681" s="14" t="n">
        <v>9.5</v>
      </c>
      <c r="H681" s="14" t="n">
        <v>28.52</v>
      </c>
      <c r="I681" s="14" t="n">
        <v>9.5</v>
      </c>
      <c r="J681" s="22" t="n">
        <f aca="false">IF(E681="Priority",'Cost model'!N383,'Cost model'!M383)</f>
        <v>27.5</v>
      </c>
      <c r="K681" s="14" t="n">
        <f aca="false">J681-H681</f>
        <v>-1.02</v>
      </c>
      <c r="L681" s="14" t="n">
        <f aca="false">G681-H681</f>
        <v>-19.02</v>
      </c>
    </row>
    <row r="682" customFormat="false" ht="15" hidden="false" customHeight="false" outlineLevel="0" collapsed="false">
      <c r="A682" s="2" t="s">
        <v>126</v>
      </c>
      <c r="B682" s="2" t="s">
        <v>126</v>
      </c>
      <c r="C682" s="2" t="s">
        <v>48</v>
      </c>
      <c r="D682" s="2" t="s">
        <v>10</v>
      </c>
      <c r="E682" s="2" t="s">
        <v>76</v>
      </c>
      <c r="F682" s="2" t="s">
        <v>1145</v>
      </c>
      <c r="G682" s="14" t="n">
        <v>9.5</v>
      </c>
      <c r="H682" s="14" t="n">
        <v>7.47</v>
      </c>
      <c r="I682" s="14" t="n">
        <v>9.5</v>
      </c>
      <c r="J682" s="22" t="n">
        <f aca="false">IF(E682="Priority",'Cost model'!N380,'Cost model'!M380)</f>
        <v>8.5</v>
      </c>
      <c r="K682" s="14" t="n">
        <f aca="false">J682-H682</f>
        <v>1.03</v>
      </c>
      <c r="L682" s="14" t="n">
        <f aca="false">G682-H682</f>
        <v>2.03</v>
      </c>
    </row>
    <row r="683" customFormat="false" ht="15" hidden="false" customHeight="false" outlineLevel="0" collapsed="false">
      <c r="A683" s="2" t="s">
        <v>126</v>
      </c>
      <c r="B683" s="2" t="s">
        <v>126</v>
      </c>
      <c r="C683" s="2" t="s">
        <v>49</v>
      </c>
      <c r="D683" s="2" t="s">
        <v>10</v>
      </c>
      <c r="E683" s="2" t="s">
        <v>76</v>
      </c>
      <c r="F683" s="2" t="s">
        <v>1145</v>
      </c>
      <c r="G683" s="14" t="n">
        <v>14.5</v>
      </c>
      <c r="H683" s="14" t="n">
        <v>6.64</v>
      </c>
      <c r="I683" s="14" t="n">
        <v>12.5</v>
      </c>
      <c r="J683" s="22" t="n">
        <f aca="false">IF(E683="Priority",'Cost model'!N381,'Cost model'!M381)</f>
        <v>14.5</v>
      </c>
      <c r="K683" s="14" t="n">
        <f aca="false">J683-H683</f>
        <v>7.86</v>
      </c>
      <c r="L683" s="14" t="n">
        <f aca="false">G683-H683</f>
        <v>7.86</v>
      </c>
    </row>
    <row r="684" customFormat="false" ht="15" hidden="false" customHeight="false" outlineLevel="0" collapsed="false">
      <c r="A684" s="2" t="s">
        <v>221</v>
      </c>
      <c r="B684" s="2" t="s">
        <v>126</v>
      </c>
      <c r="C684" s="2" t="s">
        <v>49</v>
      </c>
      <c r="D684" s="2" t="s">
        <v>10</v>
      </c>
      <c r="E684" s="2" t="s">
        <v>76</v>
      </c>
      <c r="F684" s="2" t="s">
        <v>1146</v>
      </c>
      <c r="G684" s="14" t="n">
        <v>19.5</v>
      </c>
      <c r="H684" s="14" t="n">
        <v>21.34</v>
      </c>
      <c r="I684" s="14" t="n">
        <v>19.5</v>
      </c>
      <c r="J684" s="22" t="n">
        <f aca="false">IF(E684="Priority",'Cost model'!N687,'Cost model'!M687)</f>
        <v>17.5</v>
      </c>
      <c r="K684" s="14" t="n">
        <f aca="false">J684-H684</f>
        <v>-3.84</v>
      </c>
      <c r="L684" s="14" t="n">
        <f aca="false">G684-H684</f>
        <v>-1.84</v>
      </c>
    </row>
    <row r="685" customFormat="false" ht="15" hidden="false" customHeight="false" outlineLevel="0" collapsed="false">
      <c r="A685" s="2" t="s">
        <v>184</v>
      </c>
      <c r="B685" s="2" t="s">
        <v>184</v>
      </c>
      <c r="C685" s="2" t="s">
        <v>50</v>
      </c>
      <c r="D685" s="2" t="s">
        <v>12</v>
      </c>
      <c r="E685" s="2" t="s">
        <v>76</v>
      </c>
      <c r="F685" s="2" t="s">
        <v>1145</v>
      </c>
      <c r="G685" s="14" t="n">
        <v>19.5</v>
      </c>
      <c r="H685" s="14" t="n">
        <v>119.73</v>
      </c>
      <c r="I685" s="14" t="n">
        <v>19.5</v>
      </c>
      <c r="J685" s="22" t="n">
        <f aca="false">IF(E685="Priority",'Cost model'!N205,'Cost model'!M205)</f>
        <v>50</v>
      </c>
      <c r="K685" s="14" t="n">
        <f aca="false">J685-H685</f>
        <v>-69.73</v>
      </c>
      <c r="L685" s="14" t="n">
        <f aca="false">G685-H685</f>
        <v>-100.23</v>
      </c>
    </row>
    <row r="686" customFormat="false" ht="15" hidden="false" customHeight="false" outlineLevel="0" collapsed="false">
      <c r="A686" s="2" t="s">
        <v>126</v>
      </c>
      <c r="B686" s="2" t="s">
        <v>125</v>
      </c>
      <c r="C686" s="2" t="s">
        <v>50</v>
      </c>
      <c r="D686" s="2" t="s">
        <v>12</v>
      </c>
      <c r="E686" s="2" t="s">
        <v>76</v>
      </c>
      <c r="F686" s="2" t="s">
        <v>1146</v>
      </c>
      <c r="G686" s="14" t="n">
        <v>24.5</v>
      </c>
      <c r="H686" s="14" t="n">
        <v>116.77</v>
      </c>
      <c r="I686" s="14" t="n">
        <v>24.5</v>
      </c>
      <c r="J686" s="22" t="n">
        <f aca="false">IF(E686="Priority",'Cost model'!N475,'Cost model'!M475)</f>
        <v>75</v>
      </c>
      <c r="K686" s="14" t="n">
        <f aca="false">J686-H686</f>
        <v>-41.77</v>
      </c>
      <c r="L686" s="14" t="n">
        <f aca="false">G686-H686</f>
        <v>-92.27</v>
      </c>
    </row>
    <row r="687" customFormat="false" ht="15" hidden="false" customHeight="false" outlineLevel="0" collapsed="false">
      <c r="A687" s="2" t="s">
        <v>165</v>
      </c>
      <c r="B687" s="2" t="s">
        <v>165</v>
      </c>
      <c r="C687" s="2" t="s">
        <v>50</v>
      </c>
      <c r="D687" s="2" t="s">
        <v>12</v>
      </c>
      <c r="E687" s="2" t="s">
        <v>76</v>
      </c>
      <c r="F687" s="2" t="s">
        <v>1145</v>
      </c>
      <c r="G687" s="14" t="n">
        <v>19.5</v>
      </c>
      <c r="H687" s="14" t="n">
        <v>28.24</v>
      </c>
      <c r="I687" s="14" t="n">
        <v>19.5</v>
      </c>
      <c r="J687" s="22" t="n">
        <f aca="false">IF(E687="Priority",'Cost model'!N511,'Cost model'!M511)</f>
        <v>35</v>
      </c>
      <c r="K687" s="14" t="n">
        <f aca="false">J687-H687</f>
        <v>6.76</v>
      </c>
      <c r="L687" s="14" t="n">
        <f aca="false">G687-H687</f>
        <v>-8.74</v>
      </c>
    </row>
    <row r="688" customFormat="false" ht="15" hidden="false" customHeight="false" outlineLevel="0" collapsed="false">
      <c r="A688" s="2" t="s">
        <v>240</v>
      </c>
      <c r="B688" s="2" t="s">
        <v>240</v>
      </c>
      <c r="C688" s="2" t="s">
        <v>48</v>
      </c>
      <c r="D688" s="2" t="s">
        <v>13</v>
      </c>
      <c r="E688" s="2" t="s">
        <v>76</v>
      </c>
      <c r="F688" s="2" t="s">
        <v>1145</v>
      </c>
      <c r="G688" s="14" t="n">
        <v>19.5</v>
      </c>
      <c r="H688" s="14" t="n">
        <v>44.43</v>
      </c>
      <c r="I688" s="14" t="n">
        <v>19.5</v>
      </c>
      <c r="J688" s="22" t="n">
        <f aca="false">IF(E688="Priority",'Cost model'!N890,'Cost model'!M890)</f>
        <v>45</v>
      </c>
      <c r="K688" s="14" t="n">
        <f aca="false">J688-H688</f>
        <v>0.57</v>
      </c>
      <c r="L688" s="14" t="n">
        <f aca="false">G688-H688</f>
        <v>-24.93</v>
      </c>
    </row>
    <row r="689" customFormat="false" ht="15" hidden="false" customHeight="false" outlineLevel="0" collapsed="false">
      <c r="A689" s="2" t="s">
        <v>165</v>
      </c>
      <c r="B689" s="2" t="s">
        <v>165</v>
      </c>
      <c r="C689" s="2" t="s">
        <v>50</v>
      </c>
      <c r="D689" s="2" t="s">
        <v>10</v>
      </c>
      <c r="E689" s="2" t="s">
        <v>76</v>
      </c>
      <c r="F689" s="2" t="s">
        <v>1145</v>
      </c>
      <c r="G689" s="14" t="n">
        <v>17.5</v>
      </c>
      <c r="H689" s="14" t="n">
        <v>21.14</v>
      </c>
      <c r="I689" s="14" t="n">
        <v>17.5</v>
      </c>
      <c r="J689" s="22" t="n">
        <f aca="false">IF(E689="Priority",'Cost model'!N508,'Cost model'!M508)</f>
        <v>17.5</v>
      </c>
      <c r="K689" s="14" t="n">
        <f aca="false">J689-H689</f>
        <v>-3.64</v>
      </c>
      <c r="L689" s="14" t="n">
        <f aca="false">G689-H689</f>
        <v>-3.64</v>
      </c>
    </row>
    <row r="690" customFormat="false" ht="15" hidden="false" customHeight="false" outlineLevel="0" collapsed="false">
      <c r="A690" s="2" t="s">
        <v>146</v>
      </c>
      <c r="B690" s="2" t="s">
        <v>146</v>
      </c>
      <c r="C690" s="2" t="s">
        <v>49</v>
      </c>
      <c r="D690" s="2" t="s">
        <v>10</v>
      </c>
      <c r="E690" s="2" t="s">
        <v>76</v>
      </c>
      <c r="F690" s="2" t="s">
        <v>1145</v>
      </c>
      <c r="G690" s="14" t="n">
        <v>12.5</v>
      </c>
      <c r="H690" s="14" t="n">
        <v>12.23</v>
      </c>
      <c r="I690" s="14" t="n">
        <v>12.5</v>
      </c>
      <c r="J690" s="22" t="n">
        <f aca="false">IF(E690="Priority",'Cost model'!N759,'Cost model'!M759)</f>
        <v>15.5</v>
      </c>
      <c r="K690" s="14" t="n">
        <f aca="false">J690-H690</f>
        <v>3.27</v>
      </c>
      <c r="L690" s="14" t="n">
        <f aca="false">G690-H690</f>
        <v>0.27</v>
      </c>
    </row>
    <row r="691" customFormat="false" ht="15" hidden="false" customHeight="false" outlineLevel="0" collapsed="false">
      <c r="A691" s="2" t="s">
        <v>146</v>
      </c>
      <c r="B691" s="2" t="s">
        <v>146</v>
      </c>
      <c r="C691" s="2" t="s">
        <v>50</v>
      </c>
      <c r="D691" s="2" t="s">
        <v>12</v>
      </c>
      <c r="E691" s="2" t="s">
        <v>76</v>
      </c>
      <c r="F691" s="2" t="s">
        <v>1145</v>
      </c>
      <c r="G691" s="14" t="n">
        <v>19.5</v>
      </c>
      <c r="H691" s="14" t="n">
        <v>52.8</v>
      </c>
      <c r="I691" s="14" t="n">
        <v>19.5</v>
      </c>
      <c r="J691" s="22" t="n">
        <f aca="false">IF(E691="Priority",'Cost model'!N763,'Cost model'!M763)</f>
        <v>50</v>
      </c>
      <c r="K691" s="14" t="n">
        <f aca="false">J691-H691</f>
        <v>-2.8</v>
      </c>
      <c r="L691" s="14" t="n">
        <f aca="false">G691-H691</f>
        <v>-33.3</v>
      </c>
    </row>
    <row r="692" customFormat="false" ht="15" hidden="false" customHeight="false" outlineLevel="0" collapsed="false">
      <c r="A692" s="2" t="s">
        <v>146</v>
      </c>
      <c r="B692" s="2" t="s">
        <v>146</v>
      </c>
      <c r="C692" s="2" t="s">
        <v>49</v>
      </c>
      <c r="D692" s="2" t="s">
        <v>10</v>
      </c>
      <c r="E692" s="2" t="s">
        <v>76</v>
      </c>
      <c r="F692" s="2" t="s">
        <v>1145</v>
      </c>
      <c r="G692" s="14" t="n">
        <v>12.5</v>
      </c>
      <c r="H692" s="14" t="n">
        <v>10.8</v>
      </c>
      <c r="I692" s="14" t="n">
        <v>12.5</v>
      </c>
      <c r="J692" s="22" t="n">
        <f aca="false">IF(E692="Priority",'Cost model'!N759,'Cost model'!M759)</f>
        <v>15.5</v>
      </c>
      <c r="K692" s="14" t="n">
        <f aca="false">J692-H692</f>
        <v>4.7</v>
      </c>
      <c r="L692" s="14" t="n">
        <f aca="false">G692-H692</f>
        <v>1.7</v>
      </c>
    </row>
    <row r="693" customFormat="false" ht="15" hidden="false" customHeight="false" outlineLevel="0" collapsed="false">
      <c r="A693" s="2" t="s">
        <v>146</v>
      </c>
      <c r="B693" s="2" t="s">
        <v>126</v>
      </c>
      <c r="C693" s="2" t="s">
        <v>48</v>
      </c>
      <c r="D693" s="2" t="s">
        <v>12</v>
      </c>
      <c r="E693" s="2" t="s">
        <v>76</v>
      </c>
      <c r="F693" s="2" t="s">
        <v>1146</v>
      </c>
      <c r="G693" s="14" t="n">
        <v>9.5</v>
      </c>
      <c r="H693" s="14" t="n">
        <v>25.19</v>
      </c>
      <c r="I693" s="14" t="n">
        <v>19.5</v>
      </c>
      <c r="J693" s="22" t="n">
        <f aca="false">IF(E693="Priority",'Cost model'!N797,'Cost model'!M797)</f>
        <v>40</v>
      </c>
      <c r="K693" s="14" t="n">
        <f aca="false">J693-H693</f>
        <v>14.81</v>
      </c>
      <c r="L693" s="14" t="n">
        <f aca="false">G693-H693</f>
        <v>-15.69</v>
      </c>
    </row>
    <row r="694" customFormat="false" ht="15" hidden="false" customHeight="false" outlineLevel="0" collapsed="false">
      <c r="A694" s="2" t="s">
        <v>184</v>
      </c>
      <c r="B694" s="2" t="s">
        <v>184</v>
      </c>
      <c r="C694" s="2" t="s">
        <v>48</v>
      </c>
      <c r="D694" s="2" t="s">
        <v>10</v>
      </c>
      <c r="E694" s="2" t="s">
        <v>76</v>
      </c>
      <c r="F694" s="2" t="s">
        <v>1145</v>
      </c>
      <c r="G694" s="14" t="n">
        <v>9.5</v>
      </c>
      <c r="H694" s="14" t="n">
        <v>9.78</v>
      </c>
      <c r="I694" s="14" t="n">
        <v>9.5</v>
      </c>
      <c r="J694" s="22" t="n">
        <f aca="false">IF(E694="Priority",'Cost model'!N200,'Cost model'!M200)</f>
        <v>7.5</v>
      </c>
      <c r="K694" s="14" t="n">
        <f aca="false">J694-H694</f>
        <v>-2.28</v>
      </c>
      <c r="L694" s="14" t="n">
        <f aca="false">G694-H694</f>
        <v>-0.279999999999999</v>
      </c>
    </row>
    <row r="695" customFormat="false" ht="15" hidden="false" customHeight="false" outlineLevel="0" collapsed="false">
      <c r="A695" s="2" t="s">
        <v>126</v>
      </c>
      <c r="B695" s="2" t="s">
        <v>126</v>
      </c>
      <c r="C695" s="2" t="s">
        <v>49</v>
      </c>
      <c r="D695" s="2" t="s">
        <v>10</v>
      </c>
      <c r="E695" s="2" t="s">
        <v>76</v>
      </c>
      <c r="F695" s="2" t="s">
        <v>1145</v>
      </c>
      <c r="G695" s="14" t="n">
        <v>19.5</v>
      </c>
      <c r="H695" s="14" t="n">
        <v>24.17</v>
      </c>
      <c r="I695" s="14" t="n">
        <v>12.5</v>
      </c>
      <c r="J695" s="22" t="n">
        <f aca="false">IF(E695="Priority",'Cost model'!N381,'Cost model'!M381)</f>
        <v>14.5</v>
      </c>
      <c r="K695" s="14" t="n">
        <f aca="false">J695-H695</f>
        <v>-9.67</v>
      </c>
      <c r="L695" s="14" t="n">
        <f aca="false">G695-H695</f>
        <v>-4.67</v>
      </c>
    </row>
    <row r="696" customFormat="false" ht="15" hidden="false" customHeight="false" outlineLevel="0" collapsed="false">
      <c r="A696" s="2" t="s">
        <v>126</v>
      </c>
      <c r="B696" s="2" t="s">
        <v>126</v>
      </c>
      <c r="C696" s="2" t="s">
        <v>48</v>
      </c>
      <c r="D696" s="2" t="s">
        <v>10</v>
      </c>
      <c r="E696" s="2" t="s">
        <v>76</v>
      </c>
      <c r="F696" s="2" t="s">
        <v>1145</v>
      </c>
      <c r="G696" s="14" t="n">
        <v>9.5</v>
      </c>
      <c r="H696" s="14" t="n">
        <v>5.95</v>
      </c>
      <c r="I696" s="14" t="n">
        <v>9.5</v>
      </c>
      <c r="J696" s="22" t="n">
        <f aca="false">IF(E696="Priority",'Cost model'!N380,'Cost model'!M380)</f>
        <v>8.5</v>
      </c>
      <c r="K696" s="14" t="n">
        <f aca="false">J696-H696</f>
        <v>2.55</v>
      </c>
      <c r="L696" s="14" t="n">
        <f aca="false">G696-H696</f>
        <v>3.55</v>
      </c>
    </row>
    <row r="697" customFormat="false" ht="15" hidden="false" customHeight="false" outlineLevel="0" collapsed="false">
      <c r="A697" s="2" t="s">
        <v>184</v>
      </c>
      <c r="B697" s="2" t="s">
        <v>184</v>
      </c>
      <c r="C697" s="2" t="s">
        <v>48</v>
      </c>
      <c r="D697" s="2" t="s">
        <v>12</v>
      </c>
      <c r="E697" s="2" t="s">
        <v>76</v>
      </c>
      <c r="F697" s="2" t="s">
        <v>1145</v>
      </c>
      <c r="G697" s="14" t="n">
        <v>9.5</v>
      </c>
      <c r="H697" s="14" t="n">
        <v>12.1</v>
      </c>
      <c r="I697" s="14" t="n">
        <v>9.5</v>
      </c>
      <c r="J697" s="22" t="n">
        <f aca="false">IF(E697="Priority",'Cost model'!N203,'Cost model'!M203)</f>
        <v>26.5</v>
      </c>
      <c r="K697" s="14" t="n">
        <f aca="false">J697-H697</f>
        <v>14.4</v>
      </c>
      <c r="L697" s="14" t="n">
        <f aca="false">G697-H697</f>
        <v>-2.6</v>
      </c>
    </row>
    <row r="698" customFormat="false" ht="15" hidden="false" customHeight="false" outlineLevel="0" collapsed="false">
      <c r="A698" s="2" t="s">
        <v>126</v>
      </c>
      <c r="B698" s="2" t="s">
        <v>126</v>
      </c>
      <c r="C698" s="2" t="s">
        <v>48</v>
      </c>
      <c r="D698" s="2" t="s">
        <v>12</v>
      </c>
      <c r="E698" s="2" t="s">
        <v>76</v>
      </c>
      <c r="F698" s="2" t="s">
        <v>1145</v>
      </c>
      <c r="G698" s="14" t="n">
        <v>9.5</v>
      </c>
      <c r="H698" s="14" t="n">
        <v>28.73</v>
      </c>
      <c r="I698" s="14" t="n">
        <v>9.5</v>
      </c>
      <c r="J698" s="22" t="n">
        <f aca="false">IF(E698="Priority",'Cost model'!N383,'Cost model'!M383)</f>
        <v>27.5</v>
      </c>
      <c r="K698" s="14" t="n">
        <f aca="false">J698-H698</f>
        <v>-1.23</v>
      </c>
      <c r="L698" s="14" t="n">
        <f aca="false">G698-H698</f>
        <v>-19.23</v>
      </c>
    </row>
    <row r="699" customFormat="false" ht="15" hidden="false" customHeight="false" outlineLevel="0" collapsed="false">
      <c r="A699" s="2" t="s">
        <v>146</v>
      </c>
      <c r="B699" s="2" t="s">
        <v>146</v>
      </c>
      <c r="C699" s="2" t="s">
        <v>50</v>
      </c>
      <c r="D699" s="2" t="s">
        <v>12</v>
      </c>
      <c r="E699" s="2" t="s">
        <v>76</v>
      </c>
      <c r="F699" s="2" t="s">
        <v>1145</v>
      </c>
      <c r="G699" s="14" t="n">
        <v>19.5</v>
      </c>
      <c r="H699" s="14" t="n">
        <v>24.49</v>
      </c>
      <c r="I699" s="14" t="n">
        <v>19.5</v>
      </c>
      <c r="J699" s="22" t="n">
        <f aca="false">IF(E699="Priority",'Cost model'!N763,'Cost model'!M763)</f>
        <v>50</v>
      </c>
      <c r="K699" s="14" t="n">
        <f aca="false">J699-H699</f>
        <v>25.51</v>
      </c>
      <c r="L699" s="14" t="n">
        <f aca="false">G699-H699</f>
        <v>-4.99</v>
      </c>
    </row>
    <row r="700" customFormat="false" ht="15" hidden="false" customHeight="false" outlineLevel="0" collapsed="false">
      <c r="A700" s="2" t="s">
        <v>126</v>
      </c>
      <c r="B700" s="2" t="s">
        <v>126</v>
      </c>
      <c r="C700" s="2" t="s">
        <v>49</v>
      </c>
      <c r="D700" s="2" t="s">
        <v>13</v>
      </c>
      <c r="E700" s="2" t="s">
        <v>76</v>
      </c>
      <c r="F700" s="2" t="s">
        <v>1145</v>
      </c>
      <c r="G700" s="14" t="n">
        <v>24.5</v>
      </c>
      <c r="H700" s="14" t="n">
        <v>203.28</v>
      </c>
      <c r="I700" s="14" t="n">
        <v>24.5</v>
      </c>
      <c r="J700" s="22" t="n">
        <f aca="false">IF(E700="Priority",'Cost model'!N387,'Cost model'!M387)</f>
        <v>95</v>
      </c>
      <c r="K700" s="14" t="n">
        <f aca="false">J700-H700</f>
        <v>-108.28</v>
      </c>
      <c r="L700" s="14" t="n">
        <f aca="false">G700-H700</f>
        <v>-178.78</v>
      </c>
    </row>
    <row r="701" customFormat="false" ht="15" hidden="false" customHeight="false" outlineLevel="0" collapsed="false">
      <c r="A701" s="2" t="s">
        <v>221</v>
      </c>
      <c r="B701" s="2" t="s">
        <v>221</v>
      </c>
      <c r="C701" s="2" t="s">
        <v>49</v>
      </c>
      <c r="D701" s="2" t="s">
        <v>12</v>
      </c>
      <c r="E701" s="2" t="s">
        <v>85</v>
      </c>
      <c r="F701" s="2" t="s">
        <v>1145</v>
      </c>
      <c r="G701" s="14" t="n">
        <v>19.5</v>
      </c>
      <c r="H701" s="14" t="n">
        <v>52.25</v>
      </c>
      <c r="I701" s="14" t="n">
        <v>19.5</v>
      </c>
      <c r="J701" s="22" t="n">
        <f aca="false">IF(E701="Priority",'Cost model'!N636,'Cost model'!M636)</f>
        <v>70</v>
      </c>
      <c r="K701" s="14" t="n">
        <f aca="false">J701-H701</f>
        <v>17.75</v>
      </c>
      <c r="L701" s="14" t="n">
        <f aca="false">G701-H701</f>
        <v>-32.75</v>
      </c>
    </row>
    <row r="702" customFormat="false" ht="15" hidden="false" customHeight="false" outlineLevel="0" collapsed="false">
      <c r="A702" s="2" t="s">
        <v>126</v>
      </c>
      <c r="B702" s="2" t="s">
        <v>126</v>
      </c>
      <c r="C702" s="2" t="s">
        <v>50</v>
      </c>
      <c r="D702" s="2" t="s">
        <v>12</v>
      </c>
      <c r="E702" s="2" t="s">
        <v>76</v>
      </c>
      <c r="F702" s="2" t="s">
        <v>1145</v>
      </c>
      <c r="G702" s="14" t="n">
        <v>19.5</v>
      </c>
      <c r="H702" s="14" t="n">
        <v>17.31</v>
      </c>
      <c r="I702" s="14" t="n">
        <v>19.5</v>
      </c>
      <c r="J702" s="22" t="n">
        <f aca="false">IF(E702="Priority",'Cost model'!N385,'Cost model'!M385)</f>
        <v>55</v>
      </c>
      <c r="K702" s="14" t="n">
        <f aca="false">J702-H702</f>
        <v>37.69</v>
      </c>
      <c r="L702" s="14" t="n">
        <f aca="false">G702-H702</f>
        <v>2.19</v>
      </c>
    </row>
    <row r="703" customFormat="false" ht="15" hidden="false" customHeight="false" outlineLevel="0" collapsed="false">
      <c r="A703" s="2" t="s">
        <v>146</v>
      </c>
      <c r="B703" s="2" t="s">
        <v>146</v>
      </c>
      <c r="C703" s="2" t="s">
        <v>49</v>
      </c>
      <c r="D703" s="2" t="s">
        <v>10</v>
      </c>
      <c r="E703" s="2" t="s">
        <v>76</v>
      </c>
      <c r="F703" s="2" t="s">
        <v>1145</v>
      </c>
      <c r="G703" s="14" t="n">
        <v>12.5</v>
      </c>
      <c r="H703" s="14" t="n">
        <v>11.03</v>
      </c>
      <c r="I703" s="14" t="n">
        <v>12.5</v>
      </c>
      <c r="J703" s="22" t="n">
        <f aca="false">IF(E703="Priority",'Cost model'!N759,'Cost model'!M759)</f>
        <v>15.5</v>
      </c>
      <c r="K703" s="14" t="n">
        <f aca="false">J703-H703</f>
        <v>4.47</v>
      </c>
      <c r="L703" s="14" t="n">
        <f aca="false">G703-H703</f>
        <v>1.47</v>
      </c>
    </row>
    <row r="704" customFormat="false" ht="15" hidden="false" customHeight="false" outlineLevel="0" collapsed="false">
      <c r="A704" s="2" t="s">
        <v>126</v>
      </c>
      <c r="B704" s="2" t="s">
        <v>126</v>
      </c>
      <c r="C704" s="2" t="s">
        <v>48</v>
      </c>
      <c r="D704" s="2" t="s">
        <v>10</v>
      </c>
      <c r="E704" s="2" t="s">
        <v>76</v>
      </c>
      <c r="F704" s="2" t="s">
        <v>1145</v>
      </c>
      <c r="G704" s="14" t="n">
        <v>9.5</v>
      </c>
      <c r="H704" s="14" t="n">
        <v>9.25</v>
      </c>
      <c r="I704" s="14" t="n">
        <v>9.5</v>
      </c>
      <c r="J704" s="22" t="n">
        <f aca="false">IF(E704="Priority",'Cost model'!N380,'Cost model'!M380)</f>
        <v>8.5</v>
      </c>
      <c r="K704" s="14" t="n">
        <f aca="false">J704-H704</f>
        <v>-0.75</v>
      </c>
      <c r="L704" s="14" t="n">
        <f aca="false">G704-H704</f>
        <v>0.25</v>
      </c>
    </row>
    <row r="705" customFormat="false" ht="15" hidden="false" customHeight="false" outlineLevel="0" collapsed="false">
      <c r="A705" s="2" t="s">
        <v>126</v>
      </c>
      <c r="B705" s="2" t="s">
        <v>126</v>
      </c>
      <c r="C705" s="2" t="s">
        <v>49</v>
      </c>
      <c r="D705" s="2" t="s">
        <v>10</v>
      </c>
      <c r="E705" s="2" t="s">
        <v>76</v>
      </c>
      <c r="F705" s="2" t="s">
        <v>1145</v>
      </c>
      <c r="G705" s="14" t="n">
        <v>12.5</v>
      </c>
      <c r="H705" s="14" t="n">
        <v>16.89</v>
      </c>
      <c r="I705" s="14" t="n">
        <v>12.5</v>
      </c>
      <c r="J705" s="22" t="n">
        <f aca="false">IF(E705="Priority",'Cost model'!N381,'Cost model'!M381)</f>
        <v>14.5</v>
      </c>
      <c r="K705" s="14" t="n">
        <f aca="false">J705-H705</f>
        <v>-2.39</v>
      </c>
      <c r="L705" s="14" t="n">
        <f aca="false">G705-H705</f>
        <v>-4.39</v>
      </c>
    </row>
    <row r="706" customFormat="false" ht="15" hidden="false" customHeight="false" outlineLevel="0" collapsed="false">
      <c r="A706" s="2" t="s">
        <v>146</v>
      </c>
      <c r="B706" s="2" t="s">
        <v>146</v>
      </c>
      <c r="C706" s="2" t="s">
        <v>49</v>
      </c>
      <c r="D706" s="2" t="s">
        <v>10</v>
      </c>
      <c r="E706" s="2" t="s">
        <v>76</v>
      </c>
      <c r="F706" s="2" t="s">
        <v>1145</v>
      </c>
      <c r="G706" s="14" t="n">
        <v>12.5</v>
      </c>
      <c r="H706" s="14" t="n">
        <v>14.39</v>
      </c>
      <c r="I706" s="14" t="n">
        <v>12.5</v>
      </c>
      <c r="J706" s="22" t="n">
        <f aca="false">IF(E706="Priority",'Cost model'!N759,'Cost model'!M759)</f>
        <v>15.5</v>
      </c>
      <c r="K706" s="14" t="n">
        <f aca="false">J706-H706</f>
        <v>1.11</v>
      </c>
      <c r="L706" s="14" t="n">
        <f aca="false">G706-H706</f>
        <v>-1.89</v>
      </c>
    </row>
    <row r="707" customFormat="false" ht="15" hidden="false" customHeight="false" outlineLevel="0" collapsed="false">
      <c r="A707" s="2" t="s">
        <v>126</v>
      </c>
      <c r="B707" s="2" t="s">
        <v>126</v>
      </c>
      <c r="C707" s="2" t="s">
        <v>49</v>
      </c>
      <c r="D707" s="2" t="s">
        <v>13</v>
      </c>
      <c r="E707" s="2" t="s">
        <v>76</v>
      </c>
      <c r="F707" s="2" t="s">
        <v>1145</v>
      </c>
      <c r="G707" s="14" t="n">
        <v>24.5</v>
      </c>
      <c r="H707" s="14" t="n">
        <v>183.71</v>
      </c>
      <c r="I707" s="14" t="n">
        <v>24.5</v>
      </c>
      <c r="J707" s="22" t="n">
        <f aca="false">IF(E707="Priority",'Cost model'!N387,'Cost model'!M387)</f>
        <v>95</v>
      </c>
      <c r="K707" s="14" t="n">
        <f aca="false">J707-H707</f>
        <v>-88.71</v>
      </c>
      <c r="L707" s="14" t="n">
        <f aca="false">G707-H707</f>
        <v>-159.21</v>
      </c>
    </row>
    <row r="708" customFormat="false" ht="15" hidden="false" customHeight="false" outlineLevel="0" collapsed="false">
      <c r="A708" s="2" t="s">
        <v>240</v>
      </c>
      <c r="B708" s="2" t="s">
        <v>126</v>
      </c>
      <c r="C708" s="2" t="s">
        <v>48</v>
      </c>
      <c r="D708" s="2" t="s">
        <v>10</v>
      </c>
      <c r="E708" s="2" t="s">
        <v>76</v>
      </c>
      <c r="F708" s="2" t="s">
        <v>1146</v>
      </c>
      <c r="G708" s="14" t="n">
        <v>9.5</v>
      </c>
      <c r="H708" s="14" t="n">
        <v>10.93</v>
      </c>
      <c r="I708" s="14" t="n">
        <v>19.5</v>
      </c>
      <c r="J708" s="22" t="n">
        <f aca="false">IF(E708="Priority",'Cost model'!N956,'Cost model'!M956)</f>
        <v>15.5</v>
      </c>
      <c r="K708" s="14" t="n">
        <f aca="false">J708-H708</f>
        <v>4.57</v>
      </c>
      <c r="L708" s="14" t="n">
        <f aca="false">G708-H708</f>
        <v>-1.43</v>
      </c>
    </row>
    <row r="709" customFormat="false" ht="15" hidden="false" customHeight="false" outlineLevel="0" collapsed="false">
      <c r="A709" s="2" t="s">
        <v>240</v>
      </c>
      <c r="B709" s="2" t="s">
        <v>165</v>
      </c>
      <c r="C709" s="2" t="s">
        <v>50</v>
      </c>
      <c r="D709" s="2" t="s">
        <v>12</v>
      </c>
      <c r="E709" s="2" t="s">
        <v>76</v>
      </c>
      <c r="F709" s="2" t="s">
        <v>1146</v>
      </c>
      <c r="G709" s="14" t="n">
        <v>19.5</v>
      </c>
      <c r="H709" s="14" t="n">
        <v>68.95</v>
      </c>
      <c r="I709" s="14" t="n">
        <v>19.5</v>
      </c>
      <c r="J709" s="22" t="n">
        <f aca="false">IF(E709="Priority",'Cost model'!N907,'Cost model'!M907)</f>
        <v>70</v>
      </c>
      <c r="K709" s="14" t="n">
        <f aca="false">J709-H709</f>
        <v>1.05</v>
      </c>
      <c r="L709" s="14" t="n">
        <f aca="false">G709-H709</f>
        <v>-49.45</v>
      </c>
    </row>
    <row r="710" customFormat="false" ht="15" hidden="false" customHeight="false" outlineLevel="0" collapsed="false">
      <c r="A710" s="2" t="s">
        <v>126</v>
      </c>
      <c r="B710" s="2" t="s">
        <v>126</v>
      </c>
      <c r="C710" s="2" t="s">
        <v>48</v>
      </c>
      <c r="D710" s="2" t="s">
        <v>10</v>
      </c>
      <c r="E710" s="2" t="s">
        <v>85</v>
      </c>
      <c r="F710" s="2" t="s">
        <v>1145</v>
      </c>
      <c r="G710" s="14" t="n">
        <v>14.5</v>
      </c>
      <c r="H710" s="14" t="n">
        <v>7.47</v>
      </c>
      <c r="I710" s="14" t="n">
        <v>14.5</v>
      </c>
      <c r="J710" s="22" t="n">
        <f aca="false">IF(E710="Priority",'Cost model'!N380,'Cost model'!M380)</f>
        <v>13.5</v>
      </c>
      <c r="K710" s="14" t="n">
        <f aca="false">J710-H710</f>
        <v>6.03</v>
      </c>
      <c r="L710" s="14" t="n">
        <f aca="false">G710-H710</f>
        <v>7.03</v>
      </c>
    </row>
    <row r="711" customFormat="false" ht="15" hidden="false" customHeight="false" outlineLevel="0" collapsed="false">
      <c r="A711" s="2" t="s">
        <v>146</v>
      </c>
      <c r="B711" s="2" t="s">
        <v>146</v>
      </c>
      <c r="C711" s="2" t="s">
        <v>48</v>
      </c>
      <c r="D711" s="2" t="s">
        <v>10</v>
      </c>
      <c r="E711" s="2" t="s">
        <v>85</v>
      </c>
      <c r="F711" s="2" t="s">
        <v>1145</v>
      </c>
      <c r="G711" s="14" t="n">
        <v>14.5</v>
      </c>
      <c r="H711" s="14" t="n">
        <v>25.99</v>
      </c>
      <c r="I711" s="14" t="n">
        <v>14.5</v>
      </c>
      <c r="J711" s="22" t="n">
        <f aca="false">IF(E711="Priority",'Cost model'!N758,'Cost model'!M758)</f>
        <v>14.5</v>
      </c>
      <c r="K711" s="14" t="n">
        <f aca="false">J711-H711</f>
        <v>-11.49</v>
      </c>
      <c r="L711" s="14" t="n">
        <f aca="false">G711-H711</f>
        <v>-11.49</v>
      </c>
    </row>
    <row r="712" customFormat="false" ht="15" hidden="false" customHeight="false" outlineLevel="0" collapsed="false">
      <c r="A712" s="2" t="s">
        <v>146</v>
      </c>
      <c r="B712" s="2" t="s">
        <v>126</v>
      </c>
      <c r="C712" s="2" t="s">
        <v>48</v>
      </c>
      <c r="D712" s="2" t="s">
        <v>10</v>
      </c>
      <c r="E712" s="2" t="s">
        <v>76</v>
      </c>
      <c r="F712" s="2" t="s">
        <v>1146</v>
      </c>
      <c r="G712" s="14" t="n">
        <v>9.5</v>
      </c>
      <c r="H712" s="14" t="n">
        <v>9.85</v>
      </c>
      <c r="I712" s="14" t="n">
        <v>14.5</v>
      </c>
      <c r="J712" s="22" t="n">
        <f aca="false">IF(E712="Priority",'Cost model'!N794,'Cost model'!M794)</f>
        <v>12.5</v>
      </c>
      <c r="K712" s="14" t="n">
        <f aca="false">J712-H712</f>
        <v>2.65</v>
      </c>
      <c r="L712" s="14" t="n">
        <f aca="false">G712-H712</f>
        <v>-0.35</v>
      </c>
    </row>
    <row r="713" customFormat="false" ht="15" hidden="false" customHeight="false" outlineLevel="0" collapsed="false">
      <c r="A713" s="2" t="s">
        <v>125</v>
      </c>
      <c r="B713" s="2" t="s">
        <v>184</v>
      </c>
      <c r="C713" s="2" t="s">
        <v>48</v>
      </c>
      <c r="D713" s="2" t="s">
        <v>12</v>
      </c>
      <c r="E713" s="2" t="s">
        <v>76</v>
      </c>
      <c r="F713" s="2" t="s">
        <v>1146</v>
      </c>
      <c r="G713" s="14" t="n">
        <v>19.5</v>
      </c>
      <c r="H713" s="14" t="n">
        <v>43.25</v>
      </c>
      <c r="I713" s="14" t="n">
        <v>19.5</v>
      </c>
      <c r="J713" s="22" t="n">
        <f aca="false">IF(E713="Priority",'Cost model'!N59,'Cost model'!M59)</f>
        <v>45</v>
      </c>
      <c r="K713" s="14" t="n">
        <f aca="false">J713-H713</f>
        <v>1.75</v>
      </c>
      <c r="L713" s="14" t="n">
        <f aca="false">G713-H713</f>
        <v>-23.75</v>
      </c>
    </row>
    <row r="714" customFormat="false" ht="15" hidden="false" customHeight="false" outlineLevel="0" collapsed="false">
      <c r="A714" s="2" t="s">
        <v>126</v>
      </c>
      <c r="B714" s="2" t="s">
        <v>126</v>
      </c>
      <c r="C714" s="2" t="s">
        <v>49</v>
      </c>
      <c r="D714" s="2" t="s">
        <v>14</v>
      </c>
      <c r="E714" s="2" t="s">
        <v>76</v>
      </c>
      <c r="F714" s="2" t="s">
        <v>1145</v>
      </c>
      <c r="G714" s="14" t="n">
        <v>45</v>
      </c>
      <c r="H714" s="14" t="n">
        <v>123.24</v>
      </c>
      <c r="I714" s="14" t="n">
        <v>45</v>
      </c>
      <c r="J714" s="22" t="n">
        <f aca="false">IF(E714="Priority",'Cost model'!N390,'Cost model'!M390)</f>
        <v>115</v>
      </c>
      <c r="K714" s="14" t="n">
        <f aca="false">J714-H714</f>
        <v>-8.24</v>
      </c>
      <c r="L714" s="14" t="n">
        <f aca="false">G714-H714</f>
        <v>-78.24</v>
      </c>
    </row>
    <row r="715" customFormat="false" ht="15" hidden="false" customHeight="false" outlineLevel="0" collapsed="false">
      <c r="A715" s="2" t="s">
        <v>126</v>
      </c>
      <c r="B715" s="2" t="s">
        <v>126</v>
      </c>
      <c r="C715" s="2" t="s">
        <v>48</v>
      </c>
      <c r="D715" s="2" t="s">
        <v>10</v>
      </c>
      <c r="E715" s="2" t="s">
        <v>85</v>
      </c>
      <c r="F715" s="2" t="s">
        <v>1145</v>
      </c>
      <c r="G715" s="14" t="n">
        <v>14.5</v>
      </c>
      <c r="H715" s="14" t="n">
        <v>8.04</v>
      </c>
      <c r="I715" s="14" t="n">
        <v>14.5</v>
      </c>
      <c r="J715" s="22" t="n">
        <f aca="false">IF(E715="Priority",'Cost model'!N380,'Cost model'!M380)</f>
        <v>13.5</v>
      </c>
      <c r="K715" s="14" t="n">
        <f aca="false">J715-H715</f>
        <v>5.46</v>
      </c>
      <c r="L715" s="14" t="n">
        <f aca="false">G715-H715</f>
        <v>6.46</v>
      </c>
    </row>
    <row r="716" customFormat="false" ht="15" hidden="false" customHeight="false" outlineLevel="0" collapsed="false">
      <c r="A716" s="2" t="s">
        <v>126</v>
      </c>
      <c r="B716" s="2" t="s">
        <v>125</v>
      </c>
      <c r="C716" s="2" t="s">
        <v>50</v>
      </c>
      <c r="D716" s="2" t="s">
        <v>12</v>
      </c>
      <c r="E716" s="2" t="s">
        <v>76</v>
      </c>
      <c r="F716" s="2" t="s">
        <v>1146</v>
      </c>
      <c r="G716" s="14" t="n">
        <v>24.5</v>
      </c>
      <c r="H716" s="14" t="n">
        <v>23.58</v>
      </c>
      <c r="I716" s="14" t="n">
        <v>24.5</v>
      </c>
      <c r="J716" s="22" t="n">
        <f aca="false">IF(E716="Priority",'Cost model'!N475,'Cost model'!M475)</f>
        <v>75</v>
      </c>
      <c r="K716" s="14" t="n">
        <f aca="false">J716-H716</f>
        <v>51.42</v>
      </c>
      <c r="L716" s="14" t="n">
        <f aca="false">G716-H716</f>
        <v>0.920000000000002</v>
      </c>
    </row>
    <row r="717" customFormat="false" ht="15" hidden="false" customHeight="false" outlineLevel="0" collapsed="false">
      <c r="A717" s="2" t="s">
        <v>146</v>
      </c>
      <c r="B717" s="2" t="s">
        <v>146</v>
      </c>
      <c r="C717" s="2" t="s">
        <v>48</v>
      </c>
      <c r="D717" s="2" t="s">
        <v>12</v>
      </c>
      <c r="E717" s="2" t="s">
        <v>76</v>
      </c>
      <c r="F717" s="2" t="s">
        <v>1145</v>
      </c>
      <c r="G717" s="14" t="n">
        <v>9.5</v>
      </c>
      <c r="H717" s="14" t="n">
        <v>38.69</v>
      </c>
      <c r="I717" s="14" t="n">
        <v>9.5</v>
      </c>
      <c r="J717" s="22" t="n">
        <f aca="false">IF(E717="Priority",'Cost model'!N761,'Cost model'!M761)</f>
        <v>35</v>
      </c>
      <c r="K717" s="14" t="n">
        <f aca="false">J717-H717</f>
        <v>-3.69</v>
      </c>
      <c r="L717" s="14" t="n">
        <f aca="false">G717-H717</f>
        <v>-29.19</v>
      </c>
    </row>
    <row r="718" customFormat="false" ht="15" hidden="false" customHeight="false" outlineLevel="0" collapsed="false">
      <c r="A718" s="2" t="s">
        <v>240</v>
      </c>
      <c r="B718" s="2" t="s">
        <v>240</v>
      </c>
      <c r="C718" s="2" t="s">
        <v>48</v>
      </c>
      <c r="D718" s="2" t="s">
        <v>10</v>
      </c>
      <c r="E718" s="2" t="s">
        <v>76</v>
      </c>
      <c r="F718" s="2" t="s">
        <v>1145</v>
      </c>
      <c r="G718" s="14" t="n">
        <v>9.5</v>
      </c>
      <c r="H718" s="14" t="n">
        <v>4.99</v>
      </c>
      <c r="I718" s="14" t="n">
        <v>9.5</v>
      </c>
      <c r="J718" s="22" t="n">
        <f aca="false">IF(E718="Priority",'Cost model'!N884,'Cost model'!M884)</f>
        <v>7.5</v>
      </c>
      <c r="K718" s="14" t="n">
        <f aca="false">J718-H718</f>
        <v>2.51</v>
      </c>
      <c r="L718" s="14" t="n">
        <f aca="false">G718-H718</f>
        <v>4.51</v>
      </c>
    </row>
    <row r="719" customFormat="false" ht="15" hidden="false" customHeight="false" outlineLevel="0" collapsed="false">
      <c r="A719" s="2" t="s">
        <v>165</v>
      </c>
      <c r="B719" s="2" t="s">
        <v>126</v>
      </c>
      <c r="C719" s="2" t="s">
        <v>50</v>
      </c>
      <c r="D719" s="2" t="s">
        <v>10</v>
      </c>
      <c r="E719" s="2" t="s">
        <v>76</v>
      </c>
      <c r="F719" s="2" t="s">
        <v>1146</v>
      </c>
      <c r="G719" s="14" t="n">
        <v>24.5</v>
      </c>
      <c r="H719" s="14" t="n">
        <v>24.63</v>
      </c>
      <c r="I719" s="14" t="n">
        <v>17.5</v>
      </c>
      <c r="J719" s="22" t="n">
        <f aca="false">IF(E719="Priority",'Cost model'!N544,'Cost model'!M544)</f>
        <v>21.5</v>
      </c>
      <c r="K719" s="14" t="n">
        <f aca="false">J719-H719</f>
        <v>-3.13</v>
      </c>
      <c r="L719" s="14" t="n">
        <f aca="false">G719-H719</f>
        <v>-0.129999999999999</v>
      </c>
    </row>
    <row r="720" customFormat="false" ht="15" hidden="false" customHeight="false" outlineLevel="0" collapsed="false">
      <c r="A720" s="2" t="s">
        <v>126</v>
      </c>
      <c r="B720" s="2" t="s">
        <v>126</v>
      </c>
      <c r="C720" s="2" t="s">
        <v>49</v>
      </c>
      <c r="D720" s="2" t="s">
        <v>12</v>
      </c>
      <c r="E720" s="2" t="s">
        <v>76</v>
      </c>
      <c r="F720" s="2" t="s">
        <v>1145</v>
      </c>
      <c r="G720" s="14" t="n">
        <v>12.5</v>
      </c>
      <c r="H720" s="14" t="n">
        <v>17.61</v>
      </c>
      <c r="I720" s="14" t="n">
        <v>12.5</v>
      </c>
      <c r="J720" s="22" t="n">
        <f aca="false">IF(E720="Priority",'Cost model'!N384,'Cost model'!M384)</f>
        <v>45</v>
      </c>
      <c r="K720" s="14" t="n">
        <f aca="false">J720-H720</f>
        <v>27.39</v>
      </c>
      <c r="L720" s="14" t="n">
        <f aca="false">G720-H720</f>
        <v>-5.11</v>
      </c>
    </row>
    <row r="721" customFormat="false" ht="15" hidden="false" customHeight="false" outlineLevel="0" collapsed="false">
      <c r="A721" s="2" t="s">
        <v>240</v>
      </c>
      <c r="B721" s="2" t="s">
        <v>240</v>
      </c>
      <c r="C721" s="2" t="s">
        <v>50</v>
      </c>
      <c r="D721" s="2" t="s">
        <v>13</v>
      </c>
      <c r="E721" s="2" t="s">
        <v>76</v>
      </c>
      <c r="F721" s="2" t="s">
        <v>1145</v>
      </c>
      <c r="G721" s="14" t="n">
        <v>400</v>
      </c>
      <c r="H721" s="14" t="n">
        <v>464.62</v>
      </c>
      <c r="I721" s="14" t="n">
        <v>50</v>
      </c>
      <c r="J721" s="22" t="n">
        <f aca="false">IF(E721="Priority",'Cost model'!N892,'Cost model'!M892)</f>
        <v>130</v>
      </c>
      <c r="K721" s="14" t="n">
        <f aca="false">J721-H721</f>
        <v>-334.62</v>
      </c>
      <c r="L721" s="14" t="n">
        <f aca="false">G721-H721</f>
        <v>-64.62</v>
      </c>
    </row>
    <row r="722" customFormat="false" ht="15" hidden="false" customHeight="false" outlineLevel="0" collapsed="false">
      <c r="A722" s="2" t="s">
        <v>126</v>
      </c>
      <c r="B722" s="2" t="s">
        <v>126</v>
      </c>
      <c r="C722" s="2" t="s">
        <v>49</v>
      </c>
      <c r="D722" s="2" t="s">
        <v>10</v>
      </c>
      <c r="E722" s="2" t="s">
        <v>76</v>
      </c>
      <c r="F722" s="2" t="s">
        <v>1145</v>
      </c>
      <c r="G722" s="14" t="n">
        <v>12.5</v>
      </c>
      <c r="H722" s="14" t="n">
        <v>9.94</v>
      </c>
      <c r="I722" s="14" t="n">
        <v>12.5</v>
      </c>
      <c r="J722" s="22" t="n">
        <f aca="false">IF(E722="Priority",'Cost model'!N381,'Cost model'!M381)</f>
        <v>14.5</v>
      </c>
      <c r="K722" s="14" t="n">
        <f aca="false">J722-H722</f>
        <v>4.56</v>
      </c>
      <c r="L722" s="14" t="n">
        <f aca="false">G722-H722</f>
        <v>2.56</v>
      </c>
    </row>
    <row r="723" customFormat="false" ht="15" hidden="false" customHeight="false" outlineLevel="0" collapsed="false">
      <c r="A723" s="2" t="s">
        <v>146</v>
      </c>
      <c r="B723" s="2" t="s">
        <v>221</v>
      </c>
      <c r="C723" s="2" t="s">
        <v>50</v>
      </c>
      <c r="D723" s="2" t="s">
        <v>12</v>
      </c>
      <c r="E723" s="2" t="s">
        <v>76</v>
      </c>
      <c r="F723" s="2" t="s">
        <v>1146</v>
      </c>
      <c r="G723" s="14" t="n">
        <v>19.5</v>
      </c>
      <c r="H723" s="14" t="n">
        <v>54.88</v>
      </c>
      <c r="I723" s="14" t="n">
        <v>24.5</v>
      </c>
      <c r="J723" s="22" t="n">
        <f aca="false">IF(E723="Priority",'Cost model'!N853,'Cost model'!M853)</f>
        <v>50</v>
      </c>
      <c r="K723" s="14" t="n">
        <f aca="false">J723-H723</f>
        <v>-4.88</v>
      </c>
      <c r="L723" s="14" t="n">
        <f aca="false">G723-H723</f>
        <v>-35.38</v>
      </c>
    </row>
    <row r="724" customFormat="false" ht="15" hidden="false" customHeight="false" outlineLevel="0" collapsed="false">
      <c r="A724" s="2" t="s">
        <v>184</v>
      </c>
      <c r="B724" s="2" t="s">
        <v>184</v>
      </c>
      <c r="C724" s="2" t="s">
        <v>50</v>
      </c>
      <c r="D724" s="2" t="s">
        <v>10</v>
      </c>
      <c r="E724" s="2" t="s">
        <v>76</v>
      </c>
      <c r="F724" s="2" t="s">
        <v>1145</v>
      </c>
      <c r="G724" s="14" t="n">
        <v>17.5</v>
      </c>
      <c r="H724" s="14" t="n">
        <v>15.65</v>
      </c>
      <c r="I724" s="14" t="n">
        <v>17.5</v>
      </c>
      <c r="J724" s="22" t="n">
        <f aca="false">IF(E724="Priority",'Cost model'!N202,'Cost model'!M202)</f>
        <v>17.5</v>
      </c>
      <c r="K724" s="14" t="n">
        <f aca="false">J724-H724</f>
        <v>1.85</v>
      </c>
      <c r="L724" s="14" t="n">
        <f aca="false">G724-H724</f>
        <v>1.85</v>
      </c>
    </row>
    <row r="725" customFormat="false" ht="15" hidden="false" customHeight="false" outlineLevel="0" collapsed="false">
      <c r="A725" s="2" t="s">
        <v>184</v>
      </c>
      <c r="B725" s="2" t="s">
        <v>146</v>
      </c>
      <c r="C725" s="2" t="s">
        <v>50</v>
      </c>
      <c r="D725" s="2" t="s">
        <v>10</v>
      </c>
      <c r="E725" s="2" t="s">
        <v>76</v>
      </c>
      <c r="F725" s="2" t="s">
        <v>1146</v>
      </c>
      <c r="G725" s="14" t="n">
        <v>17.5</v>
      </c>
      <c r="H725" s="14" t="n">
        <v>20.83</v>
      </c>
      <c r="I725" s="14" t="n">
        <v>17.5</v>
      </c>
      <c r="J725" s="22" t="n">
        <f aca="false">IF(E725="Priority",'Cost model'!N148,'Cost model'!M148)</f>
        <v>21.5</v>
      </c>
      <c r="K725" s="14" t="n">
        <f aca="false">J725-H725</f>
        <v>0.670000000000002</v>
      </c>
      <c r="L725" s="14" t="n">
        <f aca="false">G725-H725</f>
        <v>-3.33</v>
      </c>
    </row>
    <row r="726" customFormat="false" ht="15" hidden="false" customHeight="false" outlineLevel="0" collapsed="false">
      <c r="A726" s="2" t="s">
        <v>126</v>
      </c>
      <c r="B726" s="2" t="s">
        <v>126</v>
      </c>
      <c r="C726" s="2" t="s">
        <v>48</v>
      </c>
      <c r="D726" s="2" t="s">
        <v>12</v>
      </c>
      <c r="E726" s="2" t="s">
        <v>76</v>
      </c>
      <c r="F726" s="2" t="s">
        <v>1145</v>
      </c>
      <c r="G726" s="14" t="n">
        <v>9.5</v>
      </c>
      <c r="H726" s="14" t="n">
        <v>7.46</v>
      </c>
      <c r="I726" s="14" t="n">
        <v>9.5</v>
      </c>
      <c r="J726" s="22" t="n">
        <f aca="false">IF(E726="Priority",'Cost model'!N383,'Cost model'!M383)</f>
        <v>27.5</v>
      </c>
      <c r="K726" s="14" t="n">
        <f aca="false">J726-H726</f>
        <v>20.04</v>
      </c>
      <c r="L726" s="14" t="n">
        <f aca="false">G726-H726</f>
        <v>2.04</v>
      </c>
    </row>
    <row r="727" customFormat="false" ht="15" hidden="false" customHeight="false" outlineLevel="0" collapsed="false">
      <c r="A727" s="2" t="s">
        <v>184</v>
      </c>
      <c r="B727" s="2" t="s">
        <v>184</v>
      </c>
      <c r="C727" s="2" t="s">
        <v>50</v>
      </c>
      <c r="D727" s="2" t="s">
        <v>10</v>
      </c>
      <c r="E727" s="2" t="s">
        <v>76</v>
      </c>
      <c r="F727" s="2" t="s">
        <v>1145</v>
      </c>
      <c r="G727" s="14" t="n">
        <v>17.5</v>
      </c>
      <c r="H727" s="14" t="n">
        <v>20.55</v>
      </c>
      <c r="I727" s="14" t="n">
        <v>17.5</v>
      </c>
      <c r="J727" s="22" t="n">
        <f aca="false">IF(E727="Priority",'Cost model'!N202,'Cost model'!M202)</f>
        <v>17.5</v>
      </c>
      <c r="K727" s="14" t="n">
        <f aca="false">J727-H727</f>
        <v>-3.05</v>
      </c>
      <c r="L727" s="14" t="n">
        <f aca="false">G727-H727</f>
        <v>-3.05</v>
      </c>
    </row>
    <row r="728" customFormat="false" ht="15" hidden="false" customHeight="false" outlineLevel="0" collapsed="false">
      <c r="A728" s="2" t="s">
        <v>184</v>
      </c>
      <c r="B728" s="2" t="s">
        <v>165</v>
      </c>
      <c r="C728" s="2" t="s">
        <v>48</v>
      </c>
      <c r="D728" s="2" t="s">
        <v>10</v>
      </c>
      <c r="E728" s="2" t="s">
        <v>85</v>
      </c>
      <c r="F728" s="2" t="s">
        <v>1146</v>
      </c>
      <c r="G728" s="14" t="n">
        <v>19.5</v>
      </c>
      <c r="H728" s="14" t="n">
        <v>21.34</v>
      </c>
      <c r="I728" s="14" t="n">
        <v>19.5</v>
      </c>
      <c r="J728" s="22" t="n">
        <f aca="false">IF(E728="Priority",'Cost model'!N164,'Cost model'!M164)</f>
        <v>16.5</v>
      </c>
      <c r="K728" s="14" t="n">
        <f aca="false">J728-H728</f>
        <v>-4.84</v>
      </c>
      <c r="L728" s="14" t="n">
        <f aca="false">G728-H728</f>
        <v>-1.84</v>
      </c>
    </row>
    <row r="729" customFormat="false" ht="15" hidden="false" customHeight="false" outlineLevel="0" collapsed="false">
      <c r="A729" s="2" t="s">
        <v>126</v>
      </c>
      <c r="B729" s="2" t="s">
        <v>126</v>
      </c>
      <c r="C729" s="2" t="s">
        <v>49</v>
      </c>
      <c r="D729" s="2" t="s">
        <v>10</v>
      </c>
      <c r="E729" s="2" t="s">
        <v>76</v>
      </c>
      <c r="F729" s="2" t="s">
        <v>1145</v>
      </c>
      <c r="G729" s="14" t="n">
        <v>12.5</v>
      </c>
      <c r="H729" s="14" t="n">
        <v>10.95</v>
      </c>
      <c r="I729" s="14" t="n">
        <v>12.5</v>
      </c>
      <c r="J729" s="22" t="n">
        <f aca="false">IF(E729="Priority",'Cost model'!N381,'Cost model'!M381)</f>
        <v>14.5</v>
      </c>
      <c r="K729" s="14" t="n">
        <f aca="false">J729-H729</f>
        <v>3.55</v>
      </c>
      <c r="L729" s="14" t="n">
        <f aca="false">G729-H729</f>
        <v>1.55</v>
      </c>
    </row>
    <row r="730" customFormat="false" ht="15" hidden="false" customHeight="false" outlineLevel="0" collapsed="false">
      <c r="A730" s="2" t="s">
        <v>240</v>
      </c>
      <c r="B730" s="2" t="s">
        <v>240</v>
      </c>
      <c r="C730" s="2" t="s">
        <v>48</v>
      </c>
      <c r="D730" s="2" t="s">
        <v>12</v>
      </c>
      <c r="E730" s="2" t="s">
        <v>76</v>
      </c>
      <c r="F730" s="2" t="s">
        <v>1145</v>
      </c>
      <c r="G730" s="14" t="n">
        <v>9.5</v>
      </c>
      <c r="H730" s="14" t="n">
        <v>33.08</v>
      </c>
      <c r="I730" s="14" t="n">
        <v>9.5</v>
      </c>
      <c r="J730" s="22" t="n">
        <f aca="false">IF(E730="Priority",'Cost model'!N887,'Cost model'!M887)</f>
        <v>21.5</v>
      </c>
      <c r="K730" s="14" t="n">
        <f aca="false">J730-H730</f>
        <v>-11.58</v>
      </c>
      <c r="L730" s="14" t="n">
        <f aca="false">G730-H730</f>
        <v>-23.58</v>
      </c>
    </row>
    <row r="731" customFormat="false" ht="15" hidden="false" customHeight="false" outlineLevel="0" collapsed="false">
      <c r="A731" s="2" t="s">
        <v>184</v>
      </c>
      <c r="B731" s="2" t="s">
        <v>184</v>
      </c>
      <c r="C731" s="2" t="s">
        <v>49</v>
      </c>
      <c r="D731" s="2" t="s">
        <v>12</v>
      </c>
      <c r="E731" s="2" t="s">
        <v>76</v>
      </c>
      <c r="F731" s="2" t="s">
        <v>1145</v>
      </c>
      <c r="G731" s="14" t="n">
        <v>12.5</v>
      </c>
      <c r="H731" s="14" t="n">
        <v>43.59</v>
      </c>
      <c r="I731" s="14"/>
      <c r="J731" s="22" t="n">
        <f aca="false">IF(E731="Priority",'Cost model'!N204,'Cost model'!M204)</f>
        <v>45</v>
      </c>
      <c r="K731" s="14" t="n">
        <f aca="false">J731-H731</f>
        <v>1.41</v>
      </c>
      <c r="L731" s="14" t="n">
        <f aca="false">G731-H731</f>
        <v>-31.09</v>
      </c>
    </row>
    <row r="732" customFormat="false" ht="15" hidden="false" customHeight="false" outlineLevel="0" collapsed="false">
      <c r="A732" s="2" t="s">
        <v>146</v>
      </c>
      <c r="B732" s="2" t="s">
        <v>146</v>
      </c>
      <c r="C732" s="2" t="s">
        <v>50</v>
      </c>
      <c r="D732" s="2" t="s">
        <v>12</v>
      </c>
      <c r="E732" s="2" t="s">
        <v>85</v>
      </c>
      <c r="F732" s="2" t="s">
        <v>1145</v>
      </c>
      <c r="G732" s="14" t="n">
        <v>29.5</v>
      </c>
      <c r="H732" s="14" t="n">
        <v>59.58</v>
      </c>
      <c r="I732" s="14" t="n">
        <v>29.5</v>
      </c>
      <c r="J732" s="22" t="n">
        <f aca="false">IF(E732="Priority",'Cost model'!N763,'Cost model'!M763)</f>
        <v>65</v>
      </c>
      <c r="K732" s="14" t="n">
        <f aca="false">J732-H732</f>
        <v>5.42</v>
      </c>
      <c r="L732" s="14" t="n">
        <f aca="false">G732-H732</f>
        <v>-30.08</v>
      </c>
    </row>
    <row r="733" customFormat="false" ht="15" hidden="false" customHeight="false" outlineLevel="0" collapsed="false">
      <c r="A733" s="2" t="s">
        <v>184</v>
      </c>
      <c r="B733" s="2" t="s">
        <v>184</v>
      </c>
      <c r="C733" s="2" t="s">
        <v>49</v>
      </c>
      <c r="D733" s="2" t="s">
        <v>13</v>
      </c>
      <c r="E733" s="2" t="s">
        <v>76</v>
      </c>
      <c r="F733" s="2" t="s">
        <v>1145</v>
      </c>
      <c r="G733" s="14" t="n">
        <v>24.5</v>
      </c>
      <c r="H733" s="14" t="n">
        <v>52.43</v>
      </c>
      <c r="I733" s="14" t="n">
        <v>24.5</v>
      </c>
      <c r="J733" s="22" t="n">
        <f aca="false">IF(E733="Priority",'Cost model'!N207,'Cost model'!M207)</f>
        <v>75</v>
      </c>
      <c r="K733" s="14" t="n">
        <f aca="false">J733-H733</f>
        <v>22.57</v>
      </c>
      <c r="L733" s="14" t="n">
        <f aca="false">G733-H733</f>
        <v>-27.93</v>
      </c>
    </row>
    <row r="734" customFormat="false" ht="15" hidden="false" customHeight="false" outlineLevel="0" collapsed="false">
      <c r="A734" s="2" t="s">
        <v>184</v>
      </c>
      <c r="B734" s="2" t="s">
        <v>184</v>
      </c>
      <c r="C734" s="2" t="s">
        <v>49</v>
      </c>
      <c r="D734" s="2" t="s">
        <v>16</v>
      </c>
      <c r="E734" s="2" t="s">
        <v>76</v>
      </c>
      <c r="F734" s="2" t="s">
        <v>1145</v>
      </c>
      <c r="G734" s="14" t="n">
        <v>45</v>
      </c>
      <c r="H734" s="14" t="n">
        <v>160.54</v>
      </c>
      <c r="I734" s="14" t="n">
        <v>45</v>
      </c>
      <c r="J734" s="22" t="n">
        <f aca="false">IF(E734="Priority",'Cost model'!N216,'Cost model'!M216)</f>
        <v>215</v>
      </c>
      <c r="K734" s="14" t="n">
        <f aca="false">J734-H734</f>
        <v>54.46</v>
      </c>
      <c r="L734" s="14" t="n">
        <f aca="false">G734-H734</f>
        <v>-115.54</v>
      </c>
    </row>
    <row r="735" customFormat="false" ht="15" hidden="false" customHeight="false" outlineLevel="0" collapsed="false">
      <c r="A735" s="2" t="s">
        <v>184</v>
      </c>
      <c r="B735" s="2" t="s">
        <v>146</v>
      </c>
      <c r="C735" s="2" t="s">
        <v>50</v>
      </c>
      <c r="D735" s="2" t="s">
        <v>12</v>
      </c>
      <c r="E735" s="2" t="s">
        <v>76</v>
      </c>
      <c r="F735" s="2" t="s">
        <v>1146</v>
      </c>
      <c r="G735" s="14" t="n">
        <v>19.5</v>
      </c>
      <c r="H735" s="14" t="n">
        <v>24.17</v>
      </c>
      <c r="I735" s="14" t="n">
        <v>19.5</v>
      </c>
      <c r="J735" s="22" t="n">
        <f aca="false">IF(E735="Priority",'Cost model'!N151,'Cost model'!M151)</f>
        <v>55</v>
      </c>
      <c r="K735" s="14" t="n">
        <f aca="false">J735-H735</f>
        <v>30.83</v>
      </c>
      <c r="L735" s="14" t="n">
        <f aca="false">G735-H735</f>
        <v>-4.67</v>
      </c>
    </row>
    <row r="736" customFormat="false" ht="15" hidden="false" customHeight="false" outlineLevel="0" collapsed="false">
      <c r="A736" s="2" t="s">
        <v>126</v>
      </c>
      <c r="B736" s="2" t="s">
        <v>126</v>
      </c>
      <c r="C736" s="2" t="s">
        <v>49</v>
      </c>
      <c r="D736" s="2" t="s">
        <v>12</v>
      </c>
      <c r="E736" s="2" t="s">
        <v>85</v>
      </c>
      <c r="F736" s="2" t="s">
        <v>1145</v>
      </c>
      <c r="G736" s="14" t="n">
        <v>19.5</v>
      </c>
      <c r="H736" s="14" t="n">
        <v>45.75</v>
      </c>
      <c r="I736" s="14" t="n">
        <v>19.5</v>
      </c>
      <c r="J736" s="22" t="n">
        <f aca="false">IF(E736="Priority",'Cost model'!N384,'Cost model'!M384)</f>
        <v>60</v>
      </c>
      <c r="K736" s="14" t="n">
        <f aca="false">J736-H736</f>
        <v>14.25</v>
      </c>
      <c r="L736" s="14" t="n">
        <f aca="false">G736-H736</f>
        <v>-26.25</v>
      </c>
    </row>
    <row r="737" customFormat="false" ht="15" hidden="false" customHeight="false" outlineLevel="0" collapsed="false">
      <c r="A737" s="2" t="s">
        <v>146</v>
      </c>
      <c r="B737" s="2" t="s">
        <v>146</v>
      </c>
      <c r="C737" s="2" t="s">
        <v>49</v>
      </c>
      <c r="D737" s="2" t="s">
        <v>10</v>
      </c>
      <c r="E737" s="2" t="s">
        <v>76</v>
      </c>
      <c r="F737" s="2" t="s">
        <v>1145</v>
      </c>
      <c r="G737" s="14" t="n">
        <v>14.5</v>
      </c>
      <c r="H737" s="14" t="n">
        <v>10.8</v>
      </c>
      <c r="I737" s="14" t="n">
        <v>12.5</v>
      </c>
      <c r="J737" s="22" t="n">
        <f aca="false">IF(E737="Priority",'Cost model'!N759,'Cost model'!M759)</f>
        <v>15.5</v>
      </c>
      <c r="K737" s="14" t="n">
        <f aca="false">J737-H737</f>
        <v>4.7</v>
      </c>
      <c r="L737" s="14" t="n">
        <f aca="false">G737-H737</f>
        <v>3.7</v>
      </c>
    </row>
    <row r="738" customFormat="false" ht="15" hidden="false" customHeight="false" outlineLevel="0" collapsed="false">
      <c r="A738" s="2" t="s">
        <v>146</v>
      </c>
      <c r="B738" s="2" t="s">
        <v>146</v>
      </c>
      <c r="C738" s="2" t="s">
        <v>48</v>
      </c>
      <c r="D738" s="2" t="s">
        <v>12</v>
      </c>
      <c r="E738" s="2" t="s">
        <v>76</v>
      </c>
      <c r="F738" s="2" t="s">
        <v>1145</v>
      </c>
      <c r="G738" s="14" t="n">
        <v>9.5</v>
      </c>
      <c r="H738" s="14" t="n">
        <v>43.25</v>
      </c>
      <c r="I738" s="14" t="n">
        <v>9.5</v>
      </c>
      <c r="J738" s="22" t="n">
        <f aca="false">IF(E738="Priority",'Cost model'!N761,'Cost model'!M761)</f>
        <v>35</v>
      </c>
      <c r="K738" s="14" t="n">
        <f aca="false">J738-H738</f>
        <v>-8.25</v>
      </c>
      <c r="L738" s="14" t="n">
        <f aca="false">G738-H738</f>
        <v>-33.75</v>
      </c>
    </row>
    <row r="739" customFormat="false" ht="15" hidden="false" customHeight="false" outlineLevel="0" collapsed="false">
      <c r="A739" s="2" t="s">
        <v>146</v>
      </c>
      <c r="B739" s="2" t="s">
        <v>146</v>
      </c>
      <c r="C739" s="2" t="s">
        <v>49</v>
      </c>
      <c r="D739" s="2" t="s">
        <v>13</v>
      </c>
      <c r="E739" s="2" t="s">
        <v>76</v>
      </c>
      <c r="F739" s="2" t="s">
        <v>1145</v>
      </c>
      <c r="G739" s="14" t="n">
        <v>24.5</v>
      </c>
      <c r="H739" s="14" t="n">
        <v>66.87</v>
      </c>
      <c r="I739" s="14" t="n">
        <v>24.5</v>
      </c>
      <c r="J739" s="22" t="n">
        <f aca="false">IF(E739="Priority",'Cost model'!N765,'Cost model'!M765)</f>
        <v>70</v>
      </c>
      <c r="K739" s="14" t="n">
        <f aca="false">J739-H739</f>
        <v>3.13</v>
      </c>
      <c r="L739" s="14" t="n">
        <f aca="false">G739-H739</f>
        <v>-42.37</v>
      </c>
    </row>
    <row r="740" customFormat="false" ht="15" hidden="false" customHeight="false" outlineLevel="0" collapsed="false">
      <c r="A740" s="2" t="s">
        <v>240</v>
      </c>
      <c r="B740" s="2" t="s">
        <v>240</v>
      </c>
      <c r="C740" s="2" t="s">
        <v>48</v>
      </c>
      <c r="D740" s="2" t="s">
        <v>14</v>
      </c>
      <c r="E740" s="2" t="s">
        <v>76</v>
      </c>
      <c r="F740" s="2" t="s">
        <v>1145</v>
      </c>
      <c r="G740" s="14" t="n">
        <v>25</v>
      </c>
      <c r="H740" s="14" t="n">
        <v>155.49</v>
      </c>
      <c r="I740" s="14" t="n">
        <v>25</v>
      </c>
      <c r="J740" s="22" t="n">
        <f aca="false">IF(E740="Priority",'Cost model'!N893,'Cost model'!M893)</f>
        <v>135</v>
      </c>
      <c r="K740" s="14" t="n">
        <f aca="false">J740-H740</f>
        <v>-20.49</v>
      </c>
      <c r="L740" s="14" t="n">
        <f aca="false">G740-H740</f>
        <v>-130.49</v>
      </c>
    </row>
    <row r="741" customFormat="false" ht="15" hidden="false" customHeight="false" outlineLevel="0" collapsed="false">
      <c r="A741" s="2" t="s">
        <v>184</v>
      </c>
      <c r="B741" s="2" t="s">
        <v>184</v>
      </c>
      <c r="C741" s="2" t="s">
        <v>48</v>
      </c>
      <c r="D741" s="2" t="s">
        <v>13</v>
      </c>
      <c r="E741" s="2" t="s">
        <v>85</v>
      </c>
      <c r="F741" s="2" t="s">
        <v>1145</v>
      </c>
      <c r="G741" s="14" t="n">
        <v>45</v>
      </c>
      <c r="H741" s="14" t="n">
        <v>40.73</v>
      </c>
      <c r="I741" s="14" t="n">
        <v>45</v>
      </c>
      <c r="J741" s="22" t="n">
        <f aca="false">IF(E741="Priority",'Cost model'!N206,'Cost model'!M206)</f>
        <v>75</v>
      </c>
      <c r="K741" s="14" t="n">
        <f aca="false">J741-H741</f>
        <v>34.27</v>
      </c>
      <c r="L741" s="14" t="n">
        <f aca="false">G741-H741</f>
        <v>4.27</v>
      </c>
    </row>
    <row r="742" customFormat="false" ht="15" hidden="false" customHeight="false" outlineLevel="0" collapsed="false">
      <c r="A742" s="2" t="s">
        <v>240</v>
      </c>
      <c r="B742" s="2" t="s">
        <v>240</v>
      </c>
      <c r="C742" s="2" t="s">
        <v>50</v>
      </c>
      <c r="D742" s="2" t="s">
        <v>12</v>
      </c>
      <c r="E742" s="2" t="s">
        <v>76</v>
      </c>
      <c r="F742" s="2" t="s">
        <v>1145</v>
      </c>
      <c r="G742" s="14" t="n">
        <v>34.5</v>
      </c>
      <c r="H742" s="14" t="n">
        <v>49.57</v>
      </c>
      <c r="I742" s="14" t="n">
        <v>19.5</v>
      </c>
      <c r="J742" s="22" t="n">
        <f aca="false">IF(E742="Priority",'Cost model'!N889,'Cost model'!M889)</f>
        <v>60</v>
      </c>
      <c r="K742" s="14" t="n">
        <f aca="false">J742-H742</f>
        <v>10.43</v>
      </c>
      <c r="L742" s="14" t="n">
        <f aca="false">G742-H742</f>
        <v>-15.07</v>
      </c>
    </row>
    <row r="743" customFormat="false" ht="15" hidden="false" customHeight="false" outlineLevel="0" collapsed="false">
      <c r="A743" s="2" t="s">
        <v>184</v>
      </c>
      <c r="B743" s="2" t="s">
        <v>126</v>
      </c>
      <c r="C743" s="2" t="s">
        <v>50</v>
      </c>
      <c r="D743" s="2" t="s">
        <v>12</v>
      </c>
      <c r="E743" s="2" t="s">
        <v>76</v>
      </c>
      <c r="F743" s="2" t="s">
        <v>1146</v>
      </c>
      <c r="G743" s="14" t="n">
        <v>19.5</v>
      </c>
      <c r="H743" s="14" t="n">
        <v>53.27</v>
      </c>
      <c r="I743" s="14" t="n">
        <v>19.5</v>
      </c>
      <c r="J743" s="22" t="n">
        <f aca="false">IF(E743="Priority",'Cost model'!N133,'Cost model'!M133)</f>
        <v>55</v>
      </c>
      <c r="K743" s="14" t="n">
        <f aca="false">J743-H743</f>
        <v>1.73</v>
      </c>
      <c r="L743" s="14" t="n">
        <f aca="false">G743-H743</f>
        <v>-33.77</v>
      </c>
    </row>
    <row r="744" customFormat="false" ht="15" hidden="false" customHeight="false" outlineLevel="0" collapsed="false">
      <c r="A744" s="2" t="s">
        <v>146</v>
      </c>
      <c r="B744" s="2" t="s">
        <v>146</v>
      </c>
      <c r="C744" s="2" t="s">
        <v>50</v>
      </c>
      <c r="D744" s="2" t="s">
        <v>12</v>
      </c>
      <c r="E744" s="2" t="s">
        <v>76</v>
      </c>
      <c r="F744" s="2" t="s">
        <v>1145</v>
      </c>
      <c r="G744" s="14" t="n">
        <v>19.5</v>
      </c>
      <c r="H744" s="14" t="n">
        <v>62.98</v>
      </c>
      <c r="I744" s="14" t="n">
        <v>19.5</v>
      </c>
      <c r="J744" s="22" t="n">
        <f aca="false">IF(E744="Priority",'Cost model'!N763,'Cost model'!M763)</f>
        <v>50</v>
      </c>
      <c r="K744" s="14" t="n">
        <f aca="false">J744-H744</f>
        <v>-12.98</v>
      </c>
      <c r="L744" s="14" t="n">
        <f aca="false">G744-H744</f>
        <v>-43.48</v>
      </c>
    </row>
    <row r="745" customFormat="false" ht="15" hidden="false" customHeight="false" outlineLevel="0" collapsed="false">
      <c r="A745" s="2" t="s">
        <v>165</v>
      </c>
      <c r="B745" s="2" t="s">
        <v>146</v>
      </c>
      <c r="C745" s="2" t="s">
        <v>50</v>
      </c>
      <c r="D745" s="2" t="s">
        <v>14</v>
      </c>
      <c r="E745" s="2" t="s">
        <v>85</v>
      </c>
      <c r="F745" s="2" t="s">
        <v>1146</v>
      </c>
      <c r="G745" s="14" t="n">
        <v>175</v>
      </c>
      <c r="H745" s="14" t="n">
        <v>203.41</v>
      </c>
      <c r="I745" s="14" t="n">
        <v>175</v>
      </c>
      <c r="J745" s="22" t="n">
        <f aca="false">IF(E745="Priority",'Cost model'!N535,'Cost model'!M535)</f>
        <v>240</v>
      </c>
      <c r="K745" s="14" t="n">
        <f aca="false">J745-H745</f>
        <v>36.59</v>
      </c>
      <c r="L745" s="14" t="n">
        <f aca="false">G745-H745</f>
        <v>-28.41</v>
      </c>
    </row>
    <row r="746" customFormat="false" ht="15" hidden="false" customHeight="false" outlineLevel="0" collapsed="false">
      <c r="A746" s="2" t="s">
        <v>126</v>
      </c>
      <c r="B746" s="2" t="s">
        <v>184</v>
      </c>
      <c r="C746" s="2" t="s">
        <v>50</v>
      </c>
      <c r="D746" s="2" t="s">
        <v>10</v>
      </c>
      <c r="E746" s="2" t="s">
        <v>76</v>
      </c>
      <c r="F746" s="2" t="s">
        <v>1146</v>
      </c>
      <c r="G746" s="14" t="n">
        <v>17.5</v>
      </c>
      <c r="H746" s="14" t="n">
        <v>17.31</v>
      </c>
      <c r="I746" s="14" t="n">
        <v>17.5</v>
      </c>
      <c r="J746" s="22" t="n">
        <f aca="false">IF(E746="Priority",'Cost model'!N436,'Cost model'!M436)</f>
        <v>19.5</v>
      </c>
      <c r="K746" s="14" t="n">
        <f aca="false">J746-H746</f>
        <v>2.19</v>
      </c>
      <c r="L746" s="14" t="n">
        <f aca="false">G746-H746</f>
        <v>0.190000000000001</v>
      </c>
    </row>
    <row r="747" customFormat="false" ht="15" hidden="false" customHeight="false" outlineLevel="0" collapsed="false">
      <c r="A747" s="2" t="s">
        <v>165</v>
      </c>
      <c r="B747" s="2" t="s">
        <v>126</v>
      </c>
      <c r="C747" s="2" t="s">
        <v>50</v>
      </c>
      <c r="D747" s="2" t="s">
        <v>12</v>
      </c>
      <c r="E747" s="2" t="s">
        <v>76</v>
      </c>
      <c r="F747" s="2" t="s">
        <v>1146</v>
      </c>
      <c r="G747" s="14" t="n">
        <v>19.5</v>
      </c>
      <c r="H747" s="14" t="n">
        <v>32.6</v>
      </c>
      <c r="I747" s="14" t="n">
        <v>19.5</v>
      </c>
      <c r="J747" s="22" t="n">
        <f aca="false">IF(E747="Priority",'Cost model'!N547,'Cost model'!M547)</f>
        <v>60</v>
      </c>
      <c r="K747" s="14" t="n">
        <f aca="false">J747-H747</f>
        <v>27.4</v>
      </c>
      <c r="L747" s="14" t="n">
        <f aca="false">G747-H747</f>
        <v>-13.1</v>
      </c>
    </row>
    <row r="748" customFormat="false" ht="15" hidden="false" customHeight="false" outlineLevel="0" collapsed="false">
      <c r="A748" s="2" t="s">
        <v>184</v>
      </c>
      <c r="B748" s="2" t="s">
        <v>126</v>
      </c>
      <c r="C748" s="2" t="s">
        <v>49</v>
      </c>
      <c r="D748" s="2" t="s">
        <v>10</v>
      </c>
      <c r="E748" s="2" t="s">
        <v>76</v>
      </c>
      <c r="F748" s="2" t="s">
        <v>1146</v>
      </c>
      <c r="G748" s="14" t="n">
        <v>12.5</v>
      </c>
      <c r="H748" s="14" t="n">
        <v>11.46</v>
      </c>
      <c r="I748" s="14"/>
      <c r="J748" s="22" t="n">
        <f aca="false">IF(E748="Priority",'Cost model'!N129,'Cost model'!M129)</f>
        <v>13.5</v>
      </c>
      <c r="K748" s="14" t="n">
        <f aca="false">J748-H748</f>
        <v>2.04</v>
      </c>
      <c r="L748" s="14" t="n">
        <f aca="false">G748-H748</f>
        <v>1.04</v>
      </c>
    </row>
    <row r="749" customFormat="false" ht="15" hidden="false" customHeight="false" outlineLevel="0" collapsed="false">
      <c r="A749" s="2" t="s">
        <v>126</v>
      </c>
      <c r="B749" s="2" t="s">
        <v>126</v>
      </c>
      <c r="C749" s="2" t="s">
        <v>49</v>
      </c>
      <c r="D749" s="2" t="s">
        <v>12</v>
      </c>
      <c r="E749" s="2" t="s">
        <v>76</v>
      </c>
      <c r="F749" s="2" t="s">
        <v>1145</v>
      </c>
      <c r="G749" s="14" t="n">
        <v>12.5</v>
      </c>
      <c r="H749" s="14" t="n">
        <v>42.61</v>
      </c>
      <c r="I749" s="14" t="n">
        <v>12.5</v>
      </c>
      <c r="J749" s="22" t="n">
        <f aca="false">IF(E749="Priority",'Cost model'!N384,'Cost model'!M384)</f>
        <v>45</v>
      </c>
      <c r="K749" s="14" t="n">
        <f aca="false">J749-H749</f>
        <v>2.39</v>
      </c>
      <c r="L749" s="14" t="n">
        <f aca="false">G749-H749</f>
        <v>-30.11</v>
      </c>
    </row>
    <row r="750" customFormat="false" ht="15" hidden="false" customHeight="false" outlineLevel="0" collapsed="false">
      <c r="A750" s="2" t="s">
        <v>126</v>
      </c>
      <c r="B750" s="2" t="s">
        <v>126</v>
      </c>
      <c r="C750" s="2" t="s">
        <v>48</v>
      </c>
      <c r="D750" s="2" t="s">
        <v>14</v>
      </c>
      <c r="E750" s="2" t="s">
        <v>76</v>
      </c>
      <c r="F750" s="2" t="s">
        <v>1145</v>
      </c>
      <c r="G750" s="14" t="n">
        <v>25</v>
      </c>
      <c r="H750" s="14" t="n">
        <v>71.86</v>
      </c>
      <c r="I750" s="14" t="n">
        <v>25</v>
      </c>
      <c r="J750" s="22" t="n">
        <f aca="false">IF(E750="Priority",'Cost model'!N389,'Cost model'!M389)</f>
        <v>95</v>
      </c>
      <c r="K750" s="14" t="n">
        <f aca="false">J750-H750</f>
        <v>23.14</v>
      </c>
      <c r="L750" s="14" t="n">
        <f aca="false">G750-H750</f>
        <v>-46.86</v>
      </c>
    </row>
    <row r="751" customFormat="false" ht="15" hidden="false" customHeight="false" outlineLevel="0" collapsed="false">
      <c r="A751" s="2" t="s">
        <v>126</v>
      </c>
      <c r="B751" s="2" t="s">
        <v>126</v>
      </c>
      <c r="C751" s="2" t="s">
        <v>49</v>
      </c>
      <c r="D751" s="2" t="s">
        <v>12</v>
      </c>
      <c r="E751" s="2" t="s">
        <v>76</v>
      </c>
      <c r="F751" s="2" t="s">
        <v>1145</v>
      </c>
      <c r="G751" s="14" t="n">
        <v>12.5</v>
      </c>
      <c r="H751" s="14" t="n">
        <v>17.69</v>
      </c>
      <c r="I751" s="14" t="n">
        <v>12.5</v>
      </c>
      <c r="J751" s="22" t="n">
        <f aca="false">IF(E751="Priority",'Cost model'!N384,'Cost model'!M384)</f>
        <v>45</v>
      </c>
      <c r="K751" s="14" t="n">
        <f aca="false">J751-H751</f>
        <v>27.31</v>
      </c>
      <c r="L751" s="14" t="n">
        <f aca="false">G751-H751</f>
        <v>-5.19</v>
      </c>
    </row>
    <row r="752" customFormat="false" ht="15" hidden="false" customHeight="false" outlineLevel="0" collapsed="false">
      <c r="A752" s="2" t="s">
        <v>240</v>
      </c>
      <c r="B752" s="2" t="s">
        <v>240</v>
      </c>
      <c r="C752" s="2" t="s">
        <v>48</v>
      </c>
      <c r="D752" s="2" t="s">
        <v>10</v>
      </c>
      <c r="E752" s="2" t="s">
        <v>76</v>
      </c>
      <c r="F752" s="2" t="s">
        <v>1145</v>
      </c>
      <c r="G752" s="14" t="n">
        <v>9.5</v>
      </c>
      <c r="H752" s="14" t="n">
        <v>4.99</v>
      </c>
      <c r="I752" s="14" t="n">
        <v>9.5</v>
      </c>
      <c r="J752" s="22" t="n">
        <f aca="false">IF(E752="Priority",'Cost model'!N884,'Cost model'!M884)</f>
        <v>7.5</v>
      </c>
      <c r="K752" s="14" t="n">
        <f aca="false">J752-H752</f>
        <v>2.51</v>
      </c>
      <c r="L752" s="14" t="n">
        <f aca="false">G752-H752</f>
        <v>4.51</v>
      </c>
    </row>
    <row r="753" customFormat="false" ht="15" hidden="false" customHeight="false" outlineLevel="0" collapsed="false">
      <c r="A753" s="2" t="s">
        <v>184</v>
      </c>
      <c r="B753" s="2" t="s">
        <v>126</v>
      </c>
      <c r="C753" s="2" t="s">
        <v>49</v>
      </c>
      <c r="D753" s="2" t="s">
        <v>12</v>
      </c>
      <c r="E753" s="2" t="s">
        <v>76</v>
      </c>
      <c r="F753" s="2" t="s">
        <v>1146</v>
      </c>
      <c r="G753" s="14" t="n">
        <v>19.5</v>
      </c>
      <c r="H753" s="14" t="n">
        <v>72.96</v>
      </c>
      <c r="I753" s="14"/>
      <c r="J753" s="22" t="n">
        <f aca="false">IF(E753="Priority",'Cost model'!N132,'Cost model'!M132)</f>
        <v>50</v>
      </c>
      <c r="K753" s="14" t="n">
        <f aca="false">J753-H753</f>
        <v>-22.96</v>
      </c>
      <c r="L753" s="14" t="n">
        <f aca="false">G753-H753</f>
        <v>-53.46</v>
      </c>
    </row>
    <row r="754" customFormat="false" ht="15" hidden="false" customHeight="false" outlineLevel="0" collapsed="false">
      <c r="A754" s="2" t="s">
        <v>184</v>
      </c>
      <c r="B754" s="2" t="s">
        <v>184</v>
      </c>
      <c r="C754" s="2" t="s">
        <v>49</v>
      </c>
      <c r="D754" s="2" t="s">
        <v>12</v>
      </c>
      <c r="E754" s="2" t="s">
        <v>76</v>
      </c>
      <c r="F754" s="2" t="s">
        <v>1145</v>
      </c>
      <c r="G754" s="14" t="n">
        <v>12.5</v>
      </c>
      <c r="H754" s="14" t="n">
        <v>41.18</v>
      </c>
      <c r="I754" s="14"/>
      <c r="J754" s="22" t="n">
        <f aca="false">IF(E754="Priority",'Cost model'!N204,'Cost model'!M204)</f>
        <v>45</v>
      </c>
      <c r="K754" s="14" t="n">
        <f aca="false">J754-H754</f>
        <v>3.82</v>
      </c>
      <c r="L754" s="14" t="n">
        <f aca="false">G754-H754</f>
        <v>-28.68</v>
      </c>
    </row>
    <row r="755" customFormat="false" ht="15" hidden="false" customHeight="false" outlineLevel="0" collapsed="false">
      <c r="A755" s="2" t="s">
        <v>184</v>
      </c>
      <c r="B755" s="2" t="s">
        <v>184</v>
      </c>
      <c r="C755" s="2" t="s">
        <v>49</v>
      </c>
      <c r="D755" s="2" t="s">
        <v>12</v>
      </c>
      <c r="E755" s="2" t="s">
        <v>76</v>
      </c>
      <c r="F755" s="2" t="s">
        <v>1145</v>
      </c>
      <c r="G755" s="14" t="n">
        <v>12.5</v>
      </c>
      <c r="H755" s="14" t="n">
        <v>43.77</v>
      </c>
      <c r="I755" s="14"/>
      <c r="J755" s="22" t="n">
        <f aca="false">IF(E755="Priority",'Cost model'!N204,'Cost model'!M204)</f>
        <v>45</v>
      </c>
      <c r="K755" s="14" t="n">
        <f aca="false">J755-H755</f>
        <v>1.23</v>
      </c>
      <c r="L755" s="14" t="n">
        <f aca="false">G755-H755</f>
        <v>-31.27</v>
      </c>
    </row>
    <row r="756" customFormat="false" ht="15" hidden="false" customHeight="false" outlineLevel="0" collapsed="false">
      <c r="A756" s="2" t="s">
        <v>146</v>
      </c>
      <c r="B756" s="2" t="s">
        <v>146</v>
      </c>
      <c r="C756" s="2" t="s">
        <v>49</v>
      </c>
      <c r="D756" s="2" t="s">
        <v>10</v>
      </c>
      <c r="E756" s="2" t="s">
        <v>85</v>
      </c>
      <c r="F756" s="2" t="s">
        <v>1145</v>
      </c>
      <c r="G756" s="14" t="n">
        <v>17.5</v>
      </c>
      <c r="H756" s="14" t="n">
        <v>13.7</v>
      </c>
      <c r="I756" s="14" t="n">
        <v>17.5</v>
      </c>
      <c r="J756" s="22" t="n">
        <f aca="false">IF(E756="Priority",'Cost model'!N759,'Cost model'!M759)</f>
        <v>21.5</v>
      </c>
      <c r="K756" s="14" t="n">
        <f aca="false">J756-H756</f>
        <v>7.8</v>
      </c>
      <c r="L756" s="14" t="n">
        <f aca="false">G756-H756</f>
        <v>3.8</v>
      </c>
    </row>
    <row r="757" customFormat="false" ht="15" hidden="false" customHeight="false" outlineLevel="0" collapsed="false">
      <c r="A757" s="2" t="s">
        <v>126</v>
      </c>
      <c r="B757" s="2" t="s">
        <v>126</v>
      </c>
      <c r="C757" s="2" t="s">
        <v>49</v>
      </c>
      <c r="D757" s="2" t="s">
        <v>10</v>
      </c>
      <c r="E757" s="2" t="s">
        <v>76</v>
      </c>
      <c r="F757" s="2" t="s">
        <v>1145</v>
      </c>
      <c r="G757" s="14" t="n">
        <v>12.5</v>
      </c>
      <c r="H757" s="14" t="n">
        <v>7.93</v>
      </c>
      <c r="I757" s="14" t="n">
        <v>12.5</v>
      </c>
      <c r="J757" s="22" t="n">
        <f aca="false">IF(E757="Priority",'Cost model'!N381,'Cost model'!M381)</f>
        <v>14.5</v>
      </c>
      <c r="K757" s="14" t="n">
        <f aca="false">J757-H757</f>
        <v>6.57</v>
      </c>
      <c r="L757" s="14" t="n">
        <f aca="false">G757-H757</f>
        <v>4.57</v>
      </c>
    </row>
    <row r="758" customFormat="false" ht="15" hidden="false" customHeight="false" outlineLevel="0" collapsed="false">
      <c r="A758" s="2" t="s">
        <v>125</v>
      </c>
      <c r="B758" s="2" t="s">
        <v>184</v>
      </c>
      <c r="C758" s="2" t="s">
        <v>48</v>
      </c>
      <c r="D758" s="2" t="s">
        <v>10</v>
      </c>
      <c r="E758" s="2" t="s">
        <v>76</v>
      </c>
      <c r="F758" s="2" t="s">
        <v>1146</v>
      </c>
      <c r="G758" s="14" t="n">
        <v>12.5</v>
      </c>
      <c r="H758" s="14" t="n">
        <v>7.22</v>
      </c>
      <c r="I758" s="14" t="n">
        <v>14.5</v>
      </c>
      <c r="J758" s="22" t="n">
        <f aca="false">IF(E758="Priority",'Cost model'!N56,'Cost model'!M56)</f>
        <v>11.5</v>
      </c>
      <c r="K758" s="14" t="n">
        <f aca="false">J758-H758</f>
        <v>4.28</v>
      </c>
      <c r="L758" s="14" t="n">
        <f aca="false">G758-H758</f>
        <v>5.28</v>
      </c>
    </row>
    <row r="759" customFormat="false" ht="15" hidden="false" customHeight="false" outlineLevel="0" collapsed="false">
      <c r="A759" s="2" t="s">
        <v>240</v>
      </c>
      <c r="B759" s="2" t="s">
        <v>240</v>
      </c>
      <c r="C759" s="2" t="s">
        <v>50</v>
      </c>
      <c r="D759" s="2" t="s">
        <v>12</v>
      </c>
      <c r="E759" s="2" t="s">
        <v>76</v>
      </c>
      <c r="F759" s="2" t="s">
        <v>1145</v>
      </c>
      <c r="G759" s="14" t="n">
        <v>19.5</v>
      </c>
      <c r="H759" s="14" t="n">
        <v>166.44</v>
      </c>
      <c r="I759" s="14" t="n">
        <v>19.5</v>
      </c>
      <c r="J759" s="22" t="n">
        <f aca="false">IF(E759="Priority",'Cost model'!N889,'Cost model'!M889)</f>
        <v>60</v>
      </c>
      <c r="K759" s="14" t="n">
        <f aca="false">J759-H759</f>
        <v>-106.44</v>
      </c>
      <c r="L759" s="14" t="n">
        <f aca="false">G759-H759</f>
        <v>-146.94</v>
      </c>
    </row>
    <row r="760" customFormat="false" ht="15" hidden="false" customHeight="false" outlineLevel="0" collapsed="false">
      <c r="A760" s="2" t="s">
        <v>126</v>
      </c>
      <c r="B760" s="2" t="s">
        <v>126</v>
      </c>
      <c r="C760" s="2" t="s">
        <v>50</v>
      </c>
      <c r="D760" s="2" t="s">
        <v>12</v>
      </c>
      <c r="E760" s="2" t="s">
        <v>76</v>
      </c>
      <c r="F760" s="2" t="s">
        <v>1145</v>
      </c>
      <c r="G760" s="14" t="n">
        <v>19.5</v>
      </c>
      <c r="H760" s="14" t="n">
        <v>57.24</v>
      </c>
      <c r="I760" s="14" t="n">
        <v>19.5</v>
      </c>
      <c r="J760" s="22" t="n">
        <f aca="false">IF(E760="Priority",'Cost model'!N385,'Cost model'!M385)</f>
        <v>55</v>
      </c>
      <c r="K760" s="14" t="n">
        <f aca="false">J760-H760</f>
        <v>-2.24</v>
      </c>
      <c r="L760" s="14" t="n">
        <f aca="false">G760-H760</f>
        <v>-37.74</v>
      </c>
    </row>
    <row r="761" customFormat="false" ht="15" hidden="false" customHeight="false" outlineLevel="0" collapsed="false">
      <c r="A761" s="2" t="s">
        <v>126</v>
      </c>
      <c r="B761" s="2" t="s">
        <v>126</v>
      </c>
      <c r="C761" s="2" t="s">
        <v>48</v>
      </c>
      <c r="D761" s="2" t="s">
        <v>12</v>
      </c>
      <c r="E761" s="2" t="s">
        <v>76</v>
      </c>
      <c r="F761" s="2" t="s">
        <v>1145</v>
      </c>
      <c r="G761" s="14" t="n">
        <v>9.5</v>
      </c>
      <c r="H761" s="14" t="n">
        <v>7.72</v>
      </c>
      <c r="I761" s="14" t="n">
        <v>9.5</v>
      </c>
      <c r="J761" s="22" t="n">
        <f aca="false">IF(E761="Priority",'Cost model'!N383,'Cost model'!M383)</f>
        <v>27.5</v>
      </c>
      <c r="K761" s="14" t="n">
        <f aca="false">J761-H761</f>
        <v>19.78</v>
      </c>
      <c r="L761" s="14" t="n">
        <f aca="false">G761-H761</f>
        <v>1.78</v>
      </c>
    </row>
    <row r="762" customFormat="false" ht="15" hidden="false" customHeight="false" outlineLevel="0" collapsed="false">
      <c r="A762" s="2" t="s">
        <v>125</v>
      </c>
      <c r="B762" s="2" t="s">
        <v>125</v>
      </c>
      <c r="C762" s="2" t="s">
        <v>48</v>
      </c>
      <c r="D762" s="2" t="s">
        <v>12</v>
      </c>
      <c r="E762" s="2" t="s">
        <v>76</v>
      </c>
      <c r="F762" s="2" t="s">
        <v>1145</v>
      </c>
      <c r="G762" s="14" t="n">
        <v>24.5</v>
      </c>
      <c r="H762" s="14" t="n">
        <v>33.81</v>
      </c>
      <c r="I762" s="14" t="n">
        <v>9.5</v>
      </c>
      <c r="J762" s="22" t="n">
        <f aca="false">IF(E762="Priority",'Cost model'!N77,'Cost model'!M77)</f>
        <v>50</v>
      </c>
      <c r="K762" s="14" t="n">
        <f aca="false">J762-H762</f>
        <v>16.19</v>
      </c>
      <c r="L762" s="14" t="n">
        <f aca="false">G762-H762</f>
        <v>-9.31</v>
      </c>
    </row>
    <row r="763" customFormat="false" ht="15" hidden="false" customHeight="false" outlineLevel="0" collapsed="false">
      <c r="A763" s="2" t="s">
        <v>165</v>
      </c>
      <c r="B763" s="2" t="s">
        <v>165</v>
      </c>
      <c r="C763" s="2" t="s">
        <v>50</v>
      </c>
      <c r="D763" s="2" t="s">
        <v>12</v>
      </c>
      <c r="E763" s="2" t="s">
        <v>76</v>
      </c>
      <c r="F763" s="2" t="s">
        <v>1145</v>
      </c>
      <c r="G763" s="14" t="n">
        <v>19.5</v>
      </c>
      <c r="H763" s="14" t="n">
        <v>27.66</v>
      </c>
      <c r="I763" s="14" t="n">
        <v>19.5</v>
      </c>
      <c r="J763" s="22" t="n">
        <f aca="false">IF(E763="Priority",'Cost model'!N511,'Cost model'!M511)</f>
        <v>35</v>
      </c>
      <c r="K763" s="14" t="n">
        <f aca="false">J763-H763</f>
        <v>7.34</v>
      </c>
      <c r="L763" s="14" t="n">
        <f aca="false">G763-H763</f>
        <v>-8.16</v>
      </c>
    </row>
    <row r="764" customFormat="false" ht="15" hidden="false" customHeight="false" outlineLevel="0" collapsed="false">
      <c r="A764" s="2" t="s">
        <v>126</v>
      </c>
      <c r="B764" s="2" t="s">
        <v>126</v>
      </c>
      <c r="C764" s="2" t="s">
        <v>49</v>
      </c>
      <c r="D764" s="2" t="s">
        <v>13</v>
      </c>
      <c r="E764" s="2" t="s">
        <v>76</v>
      </c>
      <c r="F764" s="2" t="s">
        <v>1145</v>
      </c>
      <c r="G764" s="14" t="n">
        <v>24.5</v>
      </c>
      <c r="H764" s="14" t="n">
        <v>72.7</v>
      </c>
      <c r="I764" s="14" t="n">
        <v>24.5</v>
      </c>
      <c r="J764" s="22" t="n">
        <f aca="false">IF(E764="Priority",'Cost model'!N387,'Cost model'!M387)</f>
        <v>95</v>
      </c>
      <c r="K764" s="14" t="n">
        <f aca="false">J764-H764</f>
        <v>22.3</v>
      </c>
      <c r="L764" s="14" t="n">
        <f aca="false">G764-H764</f>
        <v>-48.2</v>
      </c>
    </row>
    <row r="765" customFormat="false" ht="15" hidden="false" customHeight="false" outlineLevel="0" collapsed="false">
      <c r="A765" s="2" t="s">
        <v>146</v>
      </c>
      <c r="B765" s="2" t="s">
        <v>126</v>
      </c>
      <c r="C765" s="2" t="s">
        <v>48</v>
      </c>
      <c r="D765" s="2" t="s">
        <v>10</v>
      </c>
      <c r="E765" s="2" t="s">
        <v>76</v>
      </c>
      <c r="F765" s="2" t="s">
        <v>1146</v>
      </c>
      <c r="G765" s="14" t="n">
        <v>14.5</v>
      </c>
      <c r="H765" s="14" t="n">
        <v>20.83</v>
      </c>
      <c r="I765" s="14" t="n">
        <v>14.5</v>
      </c>
      <c r="J765" s="22" t="n">
        <f aca="false">IF(E765="Priority",'Cost model'!N794,'Cost model'!M794)</f>
        <v>12.5</v>
      </c>
      <c r="K765" s="14" t="n">
        <f aca="false">J765-H765</f>
        <v>-8.33</v>
      </c>
      <c r="L765" s="14" t="n">
        <f aca="false">G765-H765</f>
        <v>-6.33</v>
      </c>
    </row>
    <row r="766" customFormat="false" ht="15" hidden="false" customHeight="false" outlineLevel="0" collapsed="false">
      <c r="A766" s="2" t="s">
        <v>126</v>
      </c>
      <c r="B766" s="2" t="s">
        <v>126</v>
      </c>
      <c r="C766" s="2" t="s">
        <v>49</v>
      </c>
      <c r="D766" s="2" t="s">
        <v>10</v>
      </c>
      <c r="E766" s="2" t="s">
        <v>76</v>
      </c>
      <c r="F766" s="2" t="s">
        <v>1145</v>
      </c>
      <c r="G766" s="14" t="n">
        <v>12.5</v>
      </c>
      <c r="H766" s="14" t="n">
        <v>11.25</v>
      </c>
      <c r="I766" s="14" t="n">
        <v>12.5</v>
      </c>
      <c r="J766" s="22" t="n">
        <f aca="false">IF(E766="Priority",'Cost model'!N381,'Cost model'!M381)</f>
        <v>14.5</v>
      </c>
      <c r="K766" s="14" t="n">
        <f aca="false">J766-H766</f>
        <v>3.25</v>
      </c>
      <c r="L766" s="14" t="n">
        <f aca="false">G766-H766</f>
        <v>1.25</v>
      </c>
    </row>
    <row r="767" customFormat="false" ht="15" hidden="false" customHeight="false" outlineLevel="0" collapsed="false">
      <c r="A767" s="2" t="s">
        <v>146</v>
      </c>
      <c r="B767" s="2" t="s">
        <v>146</v>
      </c>
      <c r="C767" s="2" t="s">
        <v>49</v>
      </c>
      <c r="D767" s="2" t="s">
        <v>10</v>
      </c>
      <c r="E767" s="2" t="s">
        <v>76</v>
      </c>
      <c r="F767" s="2" t="s">
        <v>1145</v>
      </c>
      <c r="G767" s="14" t="n">
        <v>12.5</v>
      </c>
      <c r="H767" s="14" t="n">
        <v>25.01</v>
      </c>
      <c r="I767" s="14" t="n">
        <v>12.5</v>
      </c>
      <c r="J767" s="22" t="n">
        <f aca="false">IF(E767="Priority",'Cost model'!N759,'Cost model'!M759)</f>
        <v>15.5</v>
      </c>
      <c r="K767" s="14" t="n">
        <f aca="false">J767-H767</f>
        <v>-9.51</v>
      </c>
      <c r="L767" s="14" t="n">
        <f aca="false">G767-H767</f>
        <v>-12.51</v>
      </c>
    </row>
    <row r="768" customFormat="false" ht="15" hidden="false" customHeight="false" outlineLevel="0" collapsed="false">
      <c r="A768" s="2" t="s">
        <v>184</v>
      </c>
      <c r="B768" s="2" t="s">
        <v>184</v>
      </c>
      <c r="C768" s="2" t="s">
        <v>49</v>
      </c>
      <c r="D768" s="2" t="s">
        <v>12</v>
      </c>
      <c r="E768" s="2" t="s">
        <v>76</v>
      </c>
      <c r="F768" s="2" t="s">
        <v>1145</v>
      </c>
      <c r="G768" s="14" t="n">
        <v>12.5</v>
      </c>
      <c r="H768" s="14" t="n">
        <v>11.94</v>
      </c>
      <c r="I768" s="14"/>
      <c r="J768" s="22" t="n">
        <f aca="false">IF(E768="Priority",'Cost model'!N204,'Cost model'!M204)</f>
        <v>45</v>
      </c>
      <c r="K768" s="14" t="n">
        <f aca="false">J768-H768</f>
        <v>33.06</v>
      </c>
      <c r="L768" s="14" t="n">
        <f aca="false">G768-H768</f>
        <v>0.560000000000001</v>
      </c>
    </row>
    <row r="769" customFormat="false" ht="15" hidden="false" customHeight="false" outlineLevel="0" collapsed="false">
      <c r="A769" s="2" t="s">
        <v>240</v>
      </c>
      <c r="B769" s="2" t="s">
        <v>240</v>
      </c>
      <c r="C769" s="2" t="s">
        <v>48</v>
      </c>
      <c r="D769" s="2" t="s">
        <v>12</v>
      </c>
      <c r="E769" s="2" t="s">
        <v>76</v>
      </c>
      <c r="F769" s="2" t="s">
        <v>1145</v>
      </c>
      <c r="G769" s="14" t="n">
        <v>9.5</v>
      </c>
      <c r="H769" s="14" t="n">
        <v>28</v>
      </c>
      <c r="I769" s="14" t="n">
        <v>9.5</v>
      </c>
      <c r="J769" s="22" t="n">
        <f aca="false">IF(E769="Priority",'Cost model'!N887,'Cost model'!M887)</f>
        <v>21.5</v>
      </c>
      <c r="K769" s="14" t="n">
        <f aca="false">J769-H769</f>
        <v>-6.5</v>
      </c>
      <c r="L769" s="14" t="n">
        <f aca="false">G769-H769</f>
        <v>-18.5</v>
      </c>
    </row>
    <row r="770" customFormat="false" ht="15" hidden="false" customHeight="false" outlineLevel="0" collapsed="false">
      <c r="A770" s="2" t="s">
        <v>126</v>
      </c>
      <c r="B770" s="2" t="s">
        <v>126</v>
      </c>
      <c r="C770" s="2" t="s">
        <v>50</v>
      </c>
      <c r="D770" s="2" t="s">
        <v>12</v>
      </c>
      <c r="E770" s="2" t="s">
        <v>85</v>
      </c>
      <c r="F770" s="2" t="s">
        <v>1145</v>
      </c>
      <c r="G770" s="14" t="n">
        <v>29.5</v>
      </c>
      <c r="H770" s="14" t="n">
        <v>43.25</v>
      </c>
      <c r="I770" s="14" t="n">
        <v>29.5</v>
      </c>
      <c r="J770" s="22" t="n">
        <f aca="false">IF(E770="Priority",'Cost model'!N385,'Cost model'!M385)</f>
        <v>70</v>
      </c>
      <c r="K770" s="14" t="n">
        <f aca="false">J770-H770</f>
        <v>26.75</v>
      </c>
      <c r="L770" s="14" t="n">
        <f aca="false">G770-H770</f>
        <v>-13.75</v>
      </c>
    </row>
    <row r="771" customFormat="false" ht="15" hidden="false" customHeight="false" outlineLevel="0" collapsed="false">
      <c r="A771" s="2" t="s">
        <v>184</v>
      </c>
      <c r="B771" s="2" t="s">
        <v>184</v>
      </c>
      <c r="C771" s="2" t="s">
        <v>48</v>
      </c>
      <c r="D771" s="2" t="s">
        <v>10</v>
      </c>
      <c r="E771" s="2" t="s">
        <v>76</v>
      </c>
      <c r="F771" s="2" t="s">
        <v>1145</v>
      </c>
      <c r="G771" s="14" t="n">
        <v>9.5</v>
      </c>
      <c r="H771" s="14" t="n">
        <v>7.45</v>
      </c>
      <c r="I771" s="14" t="n">
        <v>9.5</v>
      </c>
      <c r="J771" s="22" t="n">
        <f aca="false">IF(E771="Priority",'Cost model'!N200,'Cost model'!M200)</f>
        <v>7.5</v>
      </c>
      <c r="K771" s="14" t="n">
        <f aca="false">J771-H771</f>
        <v>0.0499999999999998</v>
      </c>
      <c r="L771" s="14" t="n">
        <f aca="false">G771-H771</f>
        <v>2.05</v>
      </c>
    </row>
    <row r="772" customFormat="false" ht="15" hidden="false" customHeight="false" outlineLevel="0" collapsed="false">
      <c r="A772" s="2" t="s">
        <v>184</v>
      </c>
      <c r="B772" s="2" t="s">
        <v>184</v>
      </c>
      <c r="C772" s="2" t="s">
        <v>48</v>
      </c>
      <c r="D772" s="2" t="s">
        <v>12</v>
      </c>
      <c r="E772" s="2" t="s">
        <v>76</v>
      </c>
      <c r="F772" s="2" t="s">
        <v>1145</v>
      </c>
      <c r="G772" s="14" t="n">
        <v>9.5</v>
      </c>
      <c r="H772" s="14" t="n">
        <v>62.02</v>
      </c>
      <c r="I772" s="14" t="n">
        <v>9.5</v>
      </c>
      <c r="J772" s="22" t="n">
        <f aca="false">IF(E772="Priority",'Cost model'!N203,'Cost model'!M203)</f>
        <v>26.5</v>
      </c>
      <c r="K772" s="14" t="n">
        <f aca="false">J772-H772</f>
        <v>-35.52</v>
      </c>
      <c r="L772" s="14" t="n">
        <f aca="false">G772-H772</f>
        <v>-52.52</v>
      </c>
    </row>
    <row r="773" customFormat="false" ht="15" hidden="false" customHeight="false" outlineLevel="0" collapsed="false">
      <c r="A773" s="2" t="s">
        <v>165</v>
      </c>
      <c r="B773" s="2" t="s">
        <v>165</v>
      </c>
      <c r="C773" s="2" t="s">
        <v>50</v>
      </c>
      <c r="D773" s="2" t="s">
        <v>10</v>
      </c>
      <c r="E773" s="2" t="s">
        <v>76</v>
      </c>
      <c r="F773" s="2" t="s">
        <v>1145</v>
      </c>
      <c r="G773" s="14" t="n">
        <v>17.5</v>
      </c>
      <c r="H773" s="14" t="n">
        <v>26.32</v>
      </c>
      <c r="I773" s="14" t="n">
        <v>17.5</v>
      </c>
      <c r="J773" s="22" t="n">
        <f aca="false">IF(E773="Priority",'Cost model'!N508,'Cost model'!M508)</f>
        <v>17.5</v>
      </c>
      <c r="K773" s="14" t="n">
        <f aca="false">J773-H773</f>
        <v>-8.82</v>
      </c>
      <c r="L773" s="14" t="n">
        <f aca="false">G773-H773</f>
        <v>-8.82</v>
      </c>
    </row>
    <row r="774" customFormat="false" ht="15" hidden="false" customHeight="false" outlineLevel="0" collapsed="false">
      <c r="A774" s="2" t="s">
        <v>184</v>
      </c>
      <c r="B774" s="2" t="s">
        <v>184</v>
      </c>
      <c r="C774" s="2" t="s">
        <v>49</v>
      </c>
      <c r="D774" s="2" t="s">
        <v>10</v>
      </c>
      <c r="E774" s="2" t="s">
        <v>76</v>
      </c>
      <c r="F774" s="2" t="s">
        <v>1145</v>
      </c>
      <c r="G774" s="14" t="n">
        <v>12.5</v>
      </c>
      <c r="H774" s="14" t="n">
        <v>22.3</v>
      </c>
      <c r="I774" s="14"/>
      <c r="J774" s="22" t="n">
        <f aca="false">IF(E774="Priority",'Cost model'!N201,'Cost model'!M201)</f>
        <v>12.5</v>
      </c>
      <c r="K774" s="14" t="n">
        <f aca="false">J774-H774</f>
        <v>-9.8</v>
      </c>
      <c r="L774" s="14" t="n">
        <f aca="false">G774-H774</f>
        <v>-9.8</v>
      </c>
    </row>
    <row r="775" customFormat="false" ht="15" hidden="false" customHeight="false" outlineLevel="0" collapsed="false">
      <c r="A775" s="2" t="s">
        <v>126</v>
      </c>
      <c r="B775" s="2" t="s">
        <v>126</v>
      </c>
      <c r="C775" s="2" t="s">
        <v>48</v>
      </c>
      <c r="D775" s="2" t="s">
        <v>12</v>
      </c>
      <c r="E775" s="2" t="s">
        <v>85</v>
      </c>
      <c r="F775" s="2" t="s">
        <v>1145</v>
      </c>
      <c r="G775" s="14" t="n">
        <v>19.5</v>
      </c>
      <c r="H775" s="14" t="n">
        <v>31.28</v>
      </c>
      <c r="I775" s="14" t="n">
        <v>19.5</v>
      </c>
      <c r="J775" s="22" t="n">
        <f aca="false">IF(E775="Priority",'Cost model'!N383,'Cost model'!M383)</f>
        <v>35</v>
      </c>
      <c r="K775" s="14" t="n">
        <f aca="false">J775-H775</f>
        <v>3.72</v>
      </c>
      <c r="L775" s="14" t="n">
        <f aca="false">G775-H775</f>
        <v>-11.78</v>
      </c>
    </row>
    <row r="776" customFormat="false" ht="15" hidden="false" customHeight="false" outlineLevel="0" collapsed="false">
      <c r="A776" s="2" t="s">
        <v>184</v>
      </c>
      <c r="B776" s="2" t="s">
        <v>146</v>
      </c>
      <c r="C776" s="2" t="s">
        <v>50</v>
      </c>
      <c r="D776" s="2" t="s">
        <v>12</v>
      </c>
      <c r="E776" s="2" t="s">
        <v>76</v>
      </c>
      <c r="F776" s="2" t="s">
        <v>1146</v>
      </c>
      <c r="G776" s="14" t="n">
        <v>19.5</v>
      </c>
      <c r="H776" s="14" t="n">
        <v>41.18</v>
      </c>
      <c r="I776" s="14" t="n">
        <v>19.5</v>
      </c>
      <c r="J776" s="22" t="n">
        <f aca="false">IF(E776="Priority",'Cost model'!N151,'Cost model'!M151)</f>
        <v>55</v>
      </c>
      <c r="K776" s="14" t="n">
        <f aca="false">J776-H776</f>
        <v>13.82</v>
      </c>
      <c r="L776" s="14" t="n">
        <f aca="false">G776-H776</f>
        <v>-21.68</v>
      </c>
    </row>
    <row r="777" customFormat="false" ht="15" hidden="false" customHeight="false" outlineLevel="0" collapsed="false">
      <c r="A777" s="2" t="s">
        <v>146</v>
      </c>
      <c r="B777" s="2" t="s">
        <v>146</v>
      </c>
      <c r="C777" s="2" t="s">
        <v>50</v>
      </c>
      <c r="D777" s="2" t="s">
        <v>12</v>
      </c>
      <c r="E777" s="2" t="s">
        <v>85</v>
      </c>
      <c r="F777" s="2" t="s">
        <v>1145</v>
      </c>
      <c r="G777" s="14" t="n">
        <v>29.5</v>
      </c>
      <c r="H777" s="14" t="n">
        <v>43.77</v>
      </c>
      <c r="I777" s="14" t="n">
        <v>29.5</v>
      </c>
      <c r="J777" s="22" t="n">
        <f aca="false">IF(E777="Priority",'Cost model'!N763,'Cost model'!M763)</f>
        <v>65</v>
      </c>
      <c r="K777" s="14" t="n">
        <f aca="false">J777-H777</f>
        <v>21.23</v>
      </c>
      <c r="L777" s="14" t="n">
        <f aca="false">G777-H777</f>
        <v>-14.27</v>
      </c>
    </row>
    <row r="778" customFormat="false" ht="15" hidden="false" customHeight="false" outlineLevel="0" collapsed="false">
      <c r="A778" s="2" t="s">
        <v>146</v>
      </c>
      <c r="B778" s="2" t="s">
        <v>146</v>
      </c>
      <c r="C778" s="2" t="s">
        <v>50</v>
      </c>
      <c r="D778" s="2" t="s">
        <v>14</v>
      </c>
      <c r="E778" s="2" t="s">
        <v>76</v>
      </c>
      <c r="F778" s="2" t="s">
        <v>1145</v>
      </c>
      <c r="G778" s="14" t="n">
        <v>175</v>
      </c>
      <c r="H778" s="14" t="n">
        <v>75.12</v>
      </c>
      <c r="I778" s="14" t="n">
        <v>85</v>
      </c>
      <c r="J778" s="22" t="n">
        <f aca="false">IF(E778="Priority",'Cost model'!N769,'Cost model'!M769)</f>
        <v>160</v>
      </c>
      <c r="K778" s="14" t="n">
        <f aca="false">J778-H778</f>
        <v>84.88</v>
      </c>
      <c r="L778" s="14" t="n">
        <f aca="false">G778-H778</f>
        <v>99.88</v>
      </c>
    </row>
    <row r="779" customFormat="false" ht="15" hidden="false" customHeight="false" outlineLevel="0" collapsed="false">
      <c r="A779" s="2" t="s">
        <v>126</v>
      </c>
      <c r="B779" s="2" t="s">
        <v>126</v>
      </c>
      <c r="C779" s="2" t="s">
        <v>48</v>
      </c>
      <c r="D779" s="2" t="s">
        <v>14</v>
      </c>
      <c r="E779" s="2" t="s">
        <v>76</v>
      </c>
      <c r="F779" s="2" t="s">
        <v>1145</v>
      </c>
      <c r="G779" s="14" t="n">
        <v>25</v>
      </c>
      <c r="H779" s="14" t="n">
        <v>86.54</v>
      </c>
      <c r="I779" s="14" t="n">
        <v>25</v>
      </c>
      <c r="J779" s="22" t="n">
        <f aca="false">IF(E779="Priority",'Cost model'!N389,'Cost model'!M389)</f>
        <v>95</v>
      </c>
      <c r="K779" s="14" t="n">
        <f aca="false">J779-H779</f>
        <v>8.45999999999999</v>
      </c>
      <c r="L779" s="14" t="n">
        <f aca="false">G779-H779</f>
        <v>-61.54</v>
      </c>
    </row>
    <row r="780" customFormat="false" ht="15" hidden="false" customHeight="false" outlineLevel="0" collapsed="false">
      <c r="A780" s="2" t="s">
        <v>126</v>
      </c>
      <c r="B780" s="2" t="s">
        <v>126</v>
      </c>
      <c r="C780" s="2" t="s">
        <v>50</v>
      </c>
      <c r="D780" s="2" t="s">
        <v>12</v>
      </c>
      <c r="E780" s="2" t="s">
        <v>76</v>
      </c>
      <c r="F780" s="2" t="s">
        <v>1145</v>
      </c>
      <c r="G780" s="14" t="n">
        <v>19.5</v>
      </c>
      <c r="H780" s="14" t="n">
        <v>17.31</v>
      </c>
      <c r="I780" s="14" t="n">
        <v>19.5</v>
      </c>
      <c r="J780" s="22" t="n">
        <f aca="false">IF(E780="Priority",'Cost model'!N385,'Cost model'!M385)</f>
        <v>55</v>
      </c>
      <c r="K780" s="14" t="n">
        <f aca="false">J780-H780</f>
        <v>37.69</v>
      </c>
      <c r="L780" s="14" t="n">
        <f aca="false">G780-H780</f>
        <v>2.19</v>
      </c>
    </row>
    <row r="781" customFormat="false" ht="15" hidden="false" customHeight="false" outlineLevel="0" collapsed="false">
      <c r="A781" s="2" t="s">
        <v>240</v>
      </c>
      <c r="B781" s="2" t="s">
        <v>240</v>
      </c>
      <c r="C781" s="2" t="s">
        <v>48</v>
      </c>
      <c r="D781" s="2" t="s">
        <v>10</v>
      </c>
      <c r="E781" s="2" t="s">
        <v>76</v>
      </c>
      <c r="F781" s="2" t="s">
        <v>1145</v>
      </c>
      <c r="G781" s="14" t="n">
        <v>9.5</v>
      </c>
      <c r="H781" s="14" t="n">
        <v>7.12</v>
      </c>
      <c r="I781" s="14" t="n">
        <v>9.5</v>
      </c>
      <c r="J781" s="22" t="n">
        <f aca="false">IF(E781="Priority",'Cost model'!N884,'Cost model'!M884)</f>
        <v>7.5</v>
      </c>
      <c r="K781" s="14" t="n">
        <f aca="false">J781-H781</f>
        <v>0.38</v>
      </c>
      <c r="L781" s="14" t="n">
        <f aca="false">G781-H781</f>
        <v>2.38</v>
      </c>
    </row>
    <row r="782" customFormat="false" ht="15" hidden="false" customHeight="false" outlineLevel="0" collapsed="false">
      <c r="A782" s="2" t="s">
        <v>146</v>
      </c>
      <c r="B782" s="2" t="s">
        <v>165</v>
      </c>
      <c r="C782" s="2" t="s">
        <v>50</v>
      </c>
      <c r="D782" s="2" t="s">
        <v>10</v>
      </c>
      <c r="E782" s="2" t="s">
        <v>76</v>
      </c>
      <c r="F782" s="2" t="s">
        <v>1146</v>
      </c>
      <c r="G782" s="14" t="n">
        <v>17.5</v>
      </c>
      <c r="H782" s="14" t="n">
        <v>15.94</v>
      </c>
      <c r="I782" s="14" t="n">
        <v>17.5</v>
      </c>
      <c r="J782" s="22" t="n">
        <f aca="false">IF(E782="Priority",'Cost model'!N778,'Cost model'!M778)</f>
        <v>19.5</v>
      </c>
      <c r="K782" s="14" t="n">
        <f aca="false">J782-H782</f>
        <v>3.56</v>
      </c>
      <c r="L782" s="14" t="n">
        <f aca="false">G782-H782</f>
        <v>1.56</v>
      </c>
    </row>
    <row r="783" customFormat="false" ht="15" hidden="false" customHeight="false" outlineLevel="0" collapsed="false">
      <c r="A783" s="2" t="s">
        <v>126</v>
      </c>
      <c r="B783" s="2" t="s">
        <v>126</v>
      </c>
      <c r="C783" s="2" t="s">
        <v>50</v>
      </c>
      <c r="D783" s="2" t="s">
        <v>12</v>
      </c>
      <c r="E783" s="2" t="s">
        <v>76</v>
      </c>
      <c r="F783" s="2" t="s">
        <v>1145</v>
      </c>
      <c r="G783" s="14" t="n">
        <v>19.5</v>
      </c>
      <c r="H783" s="14" t="n">
        <v>67.72</v>
      </c>
      <c r="I783" s="14" t="n">
        <v>19.5</v>
      </c>
      <c r="J783" s="22" t="n">
        <f aca="false">IF(E783="Priority",'Cost model'!N385,'Cost model'!M385)</f>
        <v>55</v>
      </c>
      <c r="K783" s="14" t="n">
        <f aca="false">J783-H783</f>
        <v>-12.72</v>
      </c>
      <c r="L783" s="14" t="n">
        <f aca="false">G783-H783</f>
        <v>-48.22</v>
      </c>
    </row>
    <row r="784" customFormat="false" ht="15" hidden="false" customHeight="false" outlineLevel="0" collapsed="false">
      <c r="A784" s="2" t="s">
        <v>146</v>
      </c>
      <c r="B784" s="2" t="s">
        <v>146</v>
      </c>
      <c r="C784" s="2" t="s">
        <v>50</v>
      </c>
      <c r="D784" s="2" t="s">
        <v>10</v>
      </c>
      <c r="E784" s="2" t="s">
        <v>76</v>
      </c>
      <c r="F784" s="2" t="s">
        <v>1145</v>
      </c>
      <c r="G784" s="14" t="n">
        <v>17.5</v>
      </c>
      <c r="H784" s="14" t="n">
        <v>19.53</v>
      </c>
      <c r="I784" s="14" t="n">
        <v>17.5</v>
      </c>
      <c r="J784" s="22" t="n">
        <f aca="false">IF(E784="Priority",'Cost model'!N760,'Cost model'!M760)</f>
        <v>18.5</v>
      </c>
      <c r="K784" s="14" t="n">
        <f aca="false">J784-H784</f>
        <v>-1.03</v>
      </c>
      <c r="L784" s="14" t="n">
        <f aca="false">G784-H784</f>
        <v>-2.03</v>
      </c>
    </row>
    <row r="785" customFormat="false" ht="15" hidden="false" customHeight="false" outlineLevel="0" collapsed="false">
      <c r="A785" s="2" t="s">
        <v>385</v>
      </c>
      <c r="B785" s="2" t="s">
        <v>165</v>
      </c>
      <c r="C785" s="2" t="s">
        <v>48</v>
      </c>
      <c r="D785" s="2" t="s">
        <v>14</v>
      </c>
      <c r="E785" s="2" t="s">
        <v>76</v>
      </c>
      <c r="F785" s="2" t="s">
        <v>1146</v>
      </c>
      <c r="G785" s="14" t="n">
        <v>95</v>
      </c>
      <c r="H785" s="14" t="n">
        <v>148.73</v>
      </c>
      <c r="I785" s="14" t="n">
        <v>95</v>
      </c>
      <c r="J785" s="22" t="n">
        <f aca="false">IF(E785="Priority",'Cost model'!N263,'Cost model'!M263)</f>
        <v>185</v>
      </c>
      <c r="K785" s="14" t="n">
        <f aca="false">J785-H785</f>
        <v>36.27</v>
      </c>
      <c r="L785" s="14" t="n">
        <f aca="false">G785-H785</f>
        <v>-53.73</v>
      </c>
    </row>
    <row r="786" customFormat="false" ht="15" hidden="false" customHeight="false" outlineLevel="0" collapsed="false">
      <c r="A786" s="2" t="s">
        <v>240</v>
      </c>
      <c r="B786" s="2" t="s">
        <v>240</v>
      </c>
      <c r="C786" s="2" t="s">
        <v>48</v>
      </c>
      <c r="D786" s="2" t="s">
        <v>12</v>
      </c>
      <c r="E786" s="2" t="s">
        <v>85</v>
      </c>
      <c r="F786" s="2" t="s">
        <v>1145</v>
      </c>
      <c r="G786" s="14" t="n">
        <v>19.5</v>
      </c>
      <c r="H786" s="14" t="n">
        <v>62.02</v>
      </c>
      <c r="I786" s="14" t="n">
        <v>19.5</v>
      </c>
      <c r="J786" s="22" t="n">
        <f aca="false">IF(E786="Priority",'Cost model'!N887,'Cost model'!M887)</f>
        <v>27.5</v>
      </c>
      <c r="K786" s="14" t="n">
        <f aca="false">J786-H786</f>
        <v>-34.52</v>
      </c>
      <c r="L786" s="14" t="n">
        <f aca="false">G786-H786</f>
        <v>-42.52</v>
      </c>
    </row>
    <row r="787" customFormat="false" ht="15" hidden="false" customHeight="false" outlineLevel="0" collapsed="false">
      <c r="A787" s="2" t="s">
        <v>126</v>
      </c>
      <c r="B787" s="2" t="s">
        <v>184</v>
      </c>
      <c r="C787" s="2" t="s">
        <v>50</v>
      </c>
      <c r="D787" s="2" t="s">
        <v>13</v>
      </c>
      <c r="E787" s="2" t="s">
        <v>76</v>
      </c>
      <c r="F787" s="2" t="s">
        <v>1146</v>
      </c>
      <c r="G787" s="14" t="n">
        <v>50</v>
      </c>
      <c r="H787" s="14" t="n">
        <v>99.79</v>
      </c>
      <c r="I787" s="14" t="n">
        <v>85</v>
      </c>
      <c r="J787" s="22" t="n">
        <f aca="false">IF(E787="Priority",'Cost model'!N442,'Cost model'!M442)</f>
        <v>140</v>
      </c>
      <c r="K787" s="14" t="n">
        <f aca="false">J787-H787</f>
        <v>40.21</v>
      </c>
      <c r="L787" s="14" t="n">
        <f aca="false">G787-H787</f>
        <v>-49.79</v>
      </c>
    </row>
    <row r="788" customFormat="false" ht="15" hidden="false" customHeight="false" outlineLevel="0" collapsed="false">
      <c r="A788" s="2" t="s">
        <v>146</v>
      </c>
      <c r="B788" s="2" t="s">
        <v>125</v>
      </c>
      <c r="C788" s="2" t="s">
        <v>50</v>
      </c>
      <c r="D788" s="2" t="s">
        <v>10</v>
      </c>
      <c r="E788" s="2" t="s">
        <v>76</v>
      </c>
      <c r="F788" s="2" t="s">
        <v>1146</v>
      </c>
      <c r="G788" s="14" t="n">
        <v>24.5</v>
      </c>
      <c r="H788" s="14" t="n">
        <v>24.17</v>
      </c>
      <c r="I788" s="14" t="n">
        <v>19.5</v>
      </c>
      <c r="J788" s="22" t="n">
        <f aca="false">IF(E788="Priority",'Cost model'!N868,'Cost model'!M868)</f>
        <v>19.5</v>
      </c>
      <c r="K788" s="14" t="n">
        <f aca="false">J788-H788</f>
        <v>-4.67</v>
      </c>
      <c r="L788" s="14" t="n">
        <f aca="false">G788-H788</f>
        <v>0.329999999999998</v>
      </c>
    </row>
    <row r="789" customFormat="false" ht="15" hidden="false" customHeight="false" outlineLevel="0" collapsed="false">
      <c r="A789" s="2" t="s">
        <v>126</v>
      </c>
      <c r="B789" s="2" t="s">
        <v>126</v>
      </c>
      <c r="C789" s="2" t="s">
        <v>49</v>
      </c>
      <c r="D789" s="2" t="s">
        <v>10</v>
      </c>
      <c r="E789" s="2" t="s">
        <v>76</v>
      </c>
      <c r="F789" s="2" t="s">
        <v>1145</v>
      </c>
      <c r="G789" s="14" t="n">
        <v>12.5</v>
      </c>
      <c r="H789" s="14" t="n">
        <v>7.71</v>
      </c>
      <c r="I789" s="14" t="n">
        <v>12.5</v>
      </c>
      <c r="J789" s="22" t="n">
        <f aca="false">IF(E789="Priority",'Cost model'!N381,'Cost model'!M381)</f>
        <v>14.5</v>
      </c>
      <c r="K789" s="14" t="n">
        <f aca="false">J789-H789</f>
        <v>6.79</v>
      </c>
      <c r="L789" s="14" t="n">
        <f aca="false">G789-H789</f>
        <v>4.79</v>
      </c>
    </row>
    <row r="790" customFormat="false" ht="15" hidden="false" customHeight="false" outlineLevel="0" collapsed="false">
      <c r="A790" s="2" t="s">
        <v>240</v>
      </c>
      <c r="B790" s="2" t="s">
        <v>240</v>
      </c>
      <c r="C790" s="2" t="s">
        <v>48</v>
      </c>
      <c r="D790" s="2" t="s">
        <v>12</v>
      </c>
      <c r="E790" s="2" t="s">
        <v>76</v>
      </c>
      <c r="F790" s="2" t="s">
        <v>1145</v>
      </c>
      <c r="G790" s="14" t="n">
        <v>9.5</v>
      </c>
      <c r="H790" s="14" t="n">
        <v>30.83</v>
      </c>
      <c r="I790" s="14" t="n">
        <v>9.5</v>
      </c>
      <c r="J790" s="22" t="n">
        <f aca="false">IF(E790="Priority",'Cost model'!N887,'Cost model'!M887)</f>
        <v>21.5</v>
      </c>
      <c r="K790" s="14" t="n">
        <f aca="false">J790-H790</f>
        <v>-9.33</v>
      </c>
      <c r="L790" s="14" t="n">
        <f aca="false">G790-H790</f>
        <v>-21.33</v>
      </c>
    </row>
    <row r="791" customFormat="false" ht="15" hidden="false" customHeight="false" outlineLevel="0" collapsed="false">
      <c r="A791" s="2" t="s">
        <v>184</v>
      </c>
      <c r="B791" s="2" t="s">
        <v>146</v>
      </c>
      <c r="C791" s="2" t="s">
        <v>49</v>
      </c>
      <c r="D791" s="2" t="s">
        <v>10</v>
      </c>
      <c r="E791" s="2" t="s">
        <v>76</v>
      </c>
      <c r="F791" s="2" t="s">
        <v>1146</v>
      </c>
      <c r="G791" s="14" t="n">
        <v>12.5</v>
      </c>
      <c r="H791" s="14" t="n">
        <v>12.27</v>
      </c>
      <c r="I791" s="14"/>
      <c r="J791" s="22" t="n">
        <f aca="false">IF(E791="Priority",'Cost model'!N147,'Cost model'!M147)</f>
        <v>14.5</v>
      </c>
      <c r="K791" s="14" t="n">
        <f aca="false">J791-H791</f>
        <v>2.23</v>
      </c>
      <c r="L791" s="14" t="n">
        <f aca="false">G791-H791</f>
        <v>0.23</v>
      </c>
    </row>
    <row r="792" customFormat="false" ht="15" hidden="false" customHeight="false" outlineLevel="0" collapsed="false">
      <c r="A792" s="2" t="s">
        <v>146</v>
      </c>
      <c r="B792" s="2" t="s">
        <v>146</v>
      </c>
      <c r="C792" s="2" t="s">
        <v>48</v>
      </c>
      <c r="D792" s="2" t="s">
        <v>12</v>
      </c>
      <c r="E792" s="2" t="s">
        <v>76</v>
      </c>
      <c r="F792" s="2" t="s">
        <v>1145</v>
      </c>
      <c r="G792" s="14" t="n">
        <v>9.5</v>
      </c>
      <c r="H792" s="14" t="n">
        <v>57.96</v>
      </c>
      <c r="I792" s="14" t="n">
        <v>9.5</v>
      </c>
      <c r="J792" s="22" t="n">
        <f aca="false">IF(E792="Priority",'Cost model'!N761,'Cost model'!M761)</f>
        <v>35</v>
      </c>
      <c r="K792" s="14" t="n">
        <f aca="false">J792-H792</f>
        <v>-22.96</v>
      </c>
      <c r="L792" s="14" t="n">
        <f aca="false">G792-H792</f>
        <v>-48.46</v>
      </c>
    </row>
    <row r="793" customFormat="false" ht="15" hidden="false" customHeight="false" outlineLevel="0" collapsed="false">
      <c r="A793" s="2" t="s">
        <v>126</v>
      </c>
      <c r="B793" s="2" t="s">
        <v>126</v>
      </c>
      <c r="C793" s="2" t="s">
        <v>49</v>
      </c>
      <c r="D793" s="2" t="s">
        <v>12</v>
      </c>
      <c r="E793" s="2" t="s">
        <v>76</v>
      </c>
      <c r="F793" s="2" t="s">
        <v>1145</v>
      </c>
      <c r="G793" s="14" t="n">
        <v>12.5</v>
      </c>
      <c r="H793" s="14" t="n">
        <v>64.23</v>
      </c>
      <c r="I793" s="14" t="n">
        <v>12.5</v>
      </c>
      <c r="J793" s="22" t="n">
        <f aca="false">IF(E793="Priority",'Cost model'!N384,'Cost model'!M384)</f>
        <v>45</v>
      </c>
      <c r="K793" s="14" t="n">
        <f aca="false">J793-H793</f>
        <v>-19.23</v>
      </c>
      <c r="L793" s="14" t="n">
        <f aca="false">G793-H793</f>
        <v>-51.73</v>
      </c>
    </row>
    <row r="794" customFormat="false" ht="15" hidden="false" customHeight="false" outlineLevel="0" collapsed="false">
      <c r="A794" s="2" t="s">
        <v>146</v>
      </c>
      <c r="B794" s="2" t="s">
        <v>184</v>
      </c>
      <c r="C794" s="2" t="s">
        <v>50</v>
      </c>
      <c r="D794" s="2" t="s">
        <v>10</v>
      </c>
      <c r="E794" s="2" t="s">
        <v>76</v>
      </c>
      <c r="F794" s="2" t="s">
        <v>1146</v>
      </c>
      <c r="G794" s="14" t="n">
        <v>17.5</v>
      </c>
      <c r="H794" s="14" t="n">
        <v>13.7</v>
      </c>
      <c r="I794" s="14" t="n">
        <v>17.5</v>
      </c>
      <c r="J794" s="22" t="n">
        <f aca="false">IF(E794="Priority",'Cost model'!N832,'Cost model'!M832)</f>
        <v>15.5</v>
      </c>
      <c r="K794" s="14" t="n">
        <f aca="false">J794-H794</f>
        <v>1.8</v>
      </c>
      <c r="L794" s="14" t="n">
        <f aca="false">G794-H794</f>
        <v>3.8</v>
      </c>
    </row>
    <row r="795" customFormat="false" ht="15" hidden="false" customHeight="false" outlineLevel="0" collapsed="false">
      <c r="A795" s="2" t="s">
        <v>184</v>
      </c>
      <c r="B795" s="2" t="s">
        <v>184</v>
      </c>
      <c r="C795" s="2" t="s">
        <v>50</v>
      </c>
      <c r="D795" s="2" t="s">
        <v>10</v>
      </c>
      <c r="E795" s="2" t="s">
        <v>76</v>
      </c>
      <c r="F795" s="2" t="s">
        <v>1145</v>
      </c>
      <c r="G795" s="14" t="n">
        <v>17.5</v>
      </c>
      <c r="H795" s="14" t="n">
        <v>24.72</v>
      </c>
      <c r="I795" s="14" t="n">
        <v>17.5</v>
      </c>
      <c r="J795" s="22" t="n">
        <f aca="false">IF(E795="Priority",'Cost model'!N202,'Cost model'!M202)</f>
        <v>17.5</v>
      </c>
      <c r="K795" s="14" t="n">
        <f aca="false">J795-H795</f>
        <v>-7.22</v>
      </c>
      <c r="L795" s="14" t="n">
        <f aca="false">G795-H795</f>
        <v>-7.22</v>
      </c>
    </row>
    <row r="796" customFormat="false" ht="15" hidden="false" customHeight="false" outlineLevel="0" collapsed="false">
      <c r="A796" s="2" t="s">
        <v>184</v>
      </c>
      <c r="B796" s="2" t="s">
        <v>184</v>
      </c>
      <c r="C796" s="2" t="s">
        <v>50</v>
      </c>
      <c r="D796" s="2" t="s">
        <v>10</v>
      </c>
      <c r="E796" s="2" t="s">
        <v>76</v>
      </c>
      <c r="F796" s="2" t="s">
        <v>1145</v>
      </c>
      <c r="G796" s="14" t="n">
        <v>17.5</v>
      </c>
      <c r="H796" s="14" t="n">
        <v>20.55</v>
      </c>
      <c r="I796" s="14" t="n">
        <v>17.5</v>
      </c>
      <c r="J796" s="22" t="n">
        <f aca="false">IF(E796="Priority",'Cost model'!N202,'Cost model'!M202)</f>
        <v>17.5</v>
      </c>
      <c r="K796" s="14" t="n">
        <f aca="false">J796-H796</f>
        <v>-3.05</v>
      </c>
      <c r="L796" s="14" t="n">
        <f aca="false">G796-H796</f>
        <v>-3.05</v>
      </c>
    </row>
    <row r="797" customFormat="false" ht="15" hidden="false" customHeight="false" outlineLevel="0" collapsed="false">
      <c r="A797" s="2" t="s">
        <v>240</v>
      </c>
      <c r="B797" s="2" t="s">
        <v>240</v>
      </c>
      <c r="C797" s="2" t="s">
        <v>50</v>
      </c>
      <c r="D797" s="2" t="s">
        <v>12</v>
      </c>
      <c r="E797" s="2" t="s">
        <v>85</v>
      </c>
      <c r="F797" s="2" t="s">
        <v>1145</v>
      </c>
      <c r="G797" s="14" t="n">
        <v>29.5</v>
      </c>
      <c r="H797" s="14" t="n">
        <v>42.23</v>
      </c>
      <c r="I797" s="14" t="n">
        <v>29.5</v>
      </c>
      <c r="J797" s="22" t="n">
        <f aca="false">IF(E797="Priority",'Cost model'!N889,'Cost model'!M889)</f>
        <v>80</v>
      </c>
      <c r="K797" s="14" t="n">
        <f aca="false">J797-H797</f>
        <v>37.77</v>
      </c>
      <c r="L797" s="14" t="n">
        <f aca="false">G797-H797</f>
        <v>-12.73</v>
      </c>
    </row>
    <row r="798" customFormat="false" ht="15" hidden="false" customHeight="false" outlineLevel="0" collapsed="false">
      <c r="A798" s="2" t="s">
        <v>126</v>
      </c>
      <c r="B798" s="2" t="s">
        <v>165</v>
      </c>
      <c r="C798" s="2" t="s">
        <v>49</v>
      </c>
      <c r="D798" s="2" t="s">
        <v>10</v>
      </c>
      <c r="E798" s="2" t="s">
        <v>76</v>
      </c>
      <c r="F798" s="2" t="s">
        <v>1146</v>
      </c>
      <c r="G798" s="14" t="n">
        <v>14.5</v>
      </c>
      <c r="H798" s="14" t="n">
        <v>10.93</v>
      </c>
      <c r="I798" s="14" t="n">
        <v>14.5</v>
      </c>
      <c r="J798" s="22" t="n">
        <f aca="false">IF(E798="Priority",'Cost model'!N417,'Cost model'!M417)</f>
        <v>18.5</v>
      </c>
      <c r="K798" s="14" t="n">
        <f aca="false">J798-H798</f>
        <v>7.57</v>
      </c>
      <c r="L798" s="14" t="n">
        <f aca="false">G798-H798</f>
        <v>3.57</v>
      </c>
    </row>
    <row r="799" customFormat="false" ht="15" hidden="false" customHeight="false" outlineLevel="0" collapsed="false">
      <c r="A799" s="2" t="s">
        <v>184</v>
      </c>
      <c r="B799" s="2" t="s">
        <v>184</v>
      </c>
      <c r="C799" s="2" t="s">
        <v>48</v>
      </c>
      <c r="D799" s="2" t="s">
        <v>10</v>
      </c>
      <c r="E799" s="2" t="s">
        <v>76</v>
      </c>
      <c r="F799" s="2" t="s">
        <v>1145</v>
      </c>
      <c r="G799" s="14" t="n">
        <v>9.5</v>
      </c>
      <c r="H799" s="14" t="n">
        <v>10.76</v>
      </c>
      <c r="I799" s="14" t="n">
        <v>9.5</v>
      </c>
      <c r="J799" s="22" t="n">
        <f aca="false">IF(E799="Priority",'Cost model'!N200,'Cost model'!M200)</f>
        <v>7.5</v>
      </c>
      <c r="K799" s="14" t="n">
        <f aca="false">J799-H799</f>
        <v>-3.26</v>
      </c>
      <c r="L799" s="14" t="n">
        <f aca="false">G799-H799</f>
        <v>-1.26</v>
      </c>
    </row>
    <row r="800" customFormat="false" ht="15" hidden="false" customHeight="false" outlineLevel="0" collapsed="false">
      <c r="A800" s="2" t="s">
        <v>184</v>
      </c>
      <c r="B800" s="2" t="s">
        <v>184</v>
      </c>
      <c r="C800" s="2" t="s">
        <v>49</v>
      </c>
      <c r="D800" s="2" t="s">
        <v>14</v>
      </c>
      <c r="E800" s="2" t="s">
        <v>76</v>
      </c>
      <c r="F800" s="2" t="s">
        <v>1145</v>
      </c>
      <c r="G800" s="14" t="n">
        <v>45</v>
      </c>
      <c r="H800" s="14" t="n">
        <v>72.96</v>
      </c>
      <c r="I800" s="14" t="n">
        <v>45</v>
      </c>
      <c r="J800" s="22" t="n">
        <f aca="false">IF(E800="Priority",'Cost model'!N210,'Cost model'!M210)</f>
        <v>135</v>
      </c>
      <c r="K800" s="14" t="n">
        <f aca="false">J800-H800</f>
        <v>62.04</v>
      </c>
      <c r="L800" s="14" t="n">
        <f aca="false">G800-H800</f>
        <v>-27.96</v>
      </c>
    </row>
    <row r="801" customFormat="false" ht="15" hidden="false" customHeight="false" outlineLevel="0" collapsed="false">
      <c r="A801" s="2" t="s">
        <v>126</v>
      </c>
      <c r="B801" s="2" t="s">
        <v>184</v>
      </c>
      <c r="C801" s="2" t="s">
        <v>49</v>
      </c>
      <c r="D801" s="2" t="s">
        <v>12</v>
      </c>
      <c r="E801" s="2" t="s">
        <v>76</v>
      </c>
      <c r="F801" s="2" t="s">
        <v>1146</v>
      </c>
      <c r="G801" s="14" t="n">
        <v>12.5</v>
      </c>
      <c r="H801" s="14" t="n">
        <v>71.23</v>
      </c>
      <c r="I801" s="14" t="n">
        <v>19.5</v>
      </c>
      <c r="J801" s="22" t="n">
        <f aca="false">IF(E801="Priority",'Cost model'!N438,'Cost model'!M438)</f>
        <v>55</v>
      </c>
      <c r="K801" s="14" t="n">
        <f aca="false">J801-H801</f>
        <v>-16.23</v>
      </c>
      <c r="L801" s="14" t="n">
        <f aca="false">G801-H801</f>
        <v>-58.73</v>
      </c>
    </row>
    <row r="802" customFormat="false" ht="15" hidden="false" customHeight="false" outlineLevel="0" collapsed="false">
      <c r="A802" s="2" t="s">
        <v>184</v>
      </c>
      <c r="B802" s="2" t="s">
        <v>184</v>
      </c>
      <c r="C802" s="2" t="s">
        <v>50</v>
      </c>
      <c r="D802" s="2" t="s">
        <v>12</v>
      </c>
      <c r="E802" s="2" t="s">
        <v>85</v>
      </c>
      <c r="F802" s="2" t="s">
        <v>1145</v>
      </c>
      <c r="G802" s="14" t="n">
        <v>29.5</v>
      </c>
      <c r="H802" s="14" t="n">
        <v>48.57</v>
      </c>
      <c r="I802" s="14" t="n">
        <v>29.5</v>
      </c>
      <c r="J802" s="22" t="n">
        <f aca="false">IF(E802="Priority",'Cost model'!N205,'Cost model'!M205)</f>
        <v>65</v>
      </c>
      <c r="K802" s="14" t="n">
        <f aca="false">J802-H802</f>
        <v>16.43</v>
      </c>
      <c r="L802" s="14" t="n">
        <f aca="false">G802-H802</f>
        <v>-19.07</v>
      </c>
    </row>
    <row r="803" customFormat="false" ht="15" hidden="false" customHeight="false" outlineLevel="0" collapsed="false">
      <c r="A803" s="2" t="s">
        <v>146</v>
      </c>
      <c r="B803" s="2" t="s">
        <v>165</v>
      </c>
      <c r="C803" s="2" t="s">
        <v>50</v>
      </c>
      <c r="D803" s="2" t="s">
        <v>10</v>
      </c>
      <c r="E803" s="2" t="s">
        <v>76</v>
      </c>
      <c r="F803" s="2" t="s">
        <v>1146</v>
      </c>
      <c r="G803" s="14" t="n">
        <v>24.5</v>
      </c>
      <c r="H803" s="14" t="n">
        <v>21.34</v>
      </c>
      <c r="I803" s="14" t="n">
        <v>17.5</v>
      </c>
      <c r="J803" s="22" t="n">
        <f aca="false">IF(E803="Priority",'Cost model'!N778,'Cost model'!M778)</f>
        <v>19.5</v>
      </c>
      <c r="K803" s="14" t="n">
        <f aca="false">J803-H803</f>
        <v>-1.84</v>
      </c>
      <c r="L803" s="14" t="n">
        <f aca="false">G803-H803</f>
        <v>3.16</v>
      </c>
    </row>
    <row r="804" customFormat="false" ht="15" hidden="false" customHeight="false" outlineLevel="0" collapsed="false">
      <c r="A804" s="2" t="s">
        <v>240</v>
      </c>
      <c r="B804" s="2" t="s">
        <v>240</v>
      </c>
      <c r="C804" s="2" t="s">
        <v>50</v>
      </c>
      <c r="D804" s="2" t="s">
        <v>12</v>
      </c>
      <c r="E804" s="2" t="s">
        <v>85</v>
      </c>
      <c r="F804" s="2" t="s">
        <v>1145</v>
      </c>
      <c r="G804" s="14" t="n">
        <v>29.5</v>
      </c>
      <c r="H804" s="14" t="n">
        <v>71.69</v>
      </c>
      <c r="I804" s="14" t="n">
        <v>29.5</v>
      </c>
      <c r="J804" s="22" t="n">
        <f aca="false">IF(E804="Priority",'Cost model'!N889,'Cost model'!M889)</f>
        <v>80</v>
      </c>
      <c r="K804" s="14" t="n">
        <f aca="false">J804-H804</f>
        <v>8.31</v>
      </c>
      <c r="L804" s="14" t="n">
        <f aca="false">G804-H804</f>
        <v>-42.19</v>
      </c>
    </row>
    <row r="805" customFormat="false" ht="15" hidden="false" customHeight="false" outlineLevel="0" collapsed="false">
      <c r="A805" s="2" t="s">
        <v>126</v>
      </c>
      <c r="B805" s="2" t="s">
        <v>126</v>
      </c>
      <c r="C805" s="2" t="s">
        <v>49</v>
      </c>
      <c r="D805" s="2" t="s">
        <v>12</v>
      </c>
      <c r="E805" s="2" t="s">
        <v>76</v>
      </c>
      <c r="F805" s="2" t="s">
        <v>1145</v>
      </c>
      <c r="G805" s="14" t="n">
        <v>44.99</v>
      </c>
      <c r="H805" s="14" t="n">
        <v>24.93</v>
      </c>
      <c r="I805" s="14" t="n">
        <v>12.5</v>
      </c>
      <c r="J805" s="22" t="n">
        <f aca="false">IF(E805="Priority",'Cost model'!N384,'Cost model'!M384)</f>
        <v>45</v>
      </c>
      <c r="K805" s="14" t="n">
        <f aca="false">J805-H805</f>
        <v>20.07</v>
      </c>
      <c r="L805" s="14" t="n">
        <f aca="false">G805-H805</f>
        <v>20.06</v>
      </c>
    </row>
    <row r="806" customFormat="false" ht="15" hidden="false" customHeight="false" outlineLevel="0" collapsed="false">
      <c r="A806" s="2" t="s">
        <v>240</v>
      </c>
      <c r="B806" s="2" t="s">
        <v>126</v>
      </c>
      <c r="C806" s="2" t="s">
        <v>48</v>
      </c>
      <c r="D806" s="2" t="s">
        <v>12</v>
      </c>
      <c r="E806" s="2" t="s">
        <v>76</v>
      </c>
      <c r="F806" s="2" t="s">
        <v>1146</v>
      </c>
      <c r="G806" s="14" t="n">
        <v>19.5</v>
      </c>
      <c r="H806" s="14" t="n">
        <v>56.95</v>
      </c>
      <c r="I806" s="14" t="n">
        <v>24.5</v>
      </c>
      <c r="J806" s="22" t="n">
        <f aca="false">IF(E806="Priority",'Cost model'!N959,'Cost model'!M959)</f>
        <v>55</v>
      </c>
      <c r="K806" s="14" t="n">
        <f aca="false">J806-H806</f>
        <v>-1.95</v>
      </c>
      <c r="L806" s="14" t="n">
        <f aca="false">G806-H806</f>
        <v>-37.45</v>
      </c>
    </row>
    <row r="807" customFormat="false" ht="15" hidden="false" customHeight="false" outlineLevel="0" collapsed="false">
      <c r="A807" s="2" t="s">
        <v>126</v>
      </c>
      <c r="B807" s="2" t="s">
        <v>125</v>
      </c>
      <c r="C807" s="2" t="s">
        <v>48</v>
      </c>
      <c r="D807" s="2" t="s">
        <v>14</v>
      </c>
      <c r="E807" s="2" t="s">
        <v>76</v>
      </c>
      <c r="F807" s="2" t="s">
        <v>1146</v>
      </c>
      <c r="G807" s="14" t="n">
        <v>85</v>
      </c>
      <c r="H807" s="14" t="n">
        <v>219.52</v>
      </c>
      <c r="I807" s="14" t="n">
        <v>99</v>
      </c>
      <c r="J807" s="22" t="n">
        <f aca="false">IF(E807="Priority",'Cost model'!N479,'Cost model'!M479)</f>
        <v>190</v>
      </c>
      <c r="K807" s="14" t="n">
        <f aca="false">J807-H807</f>
        <v>-29.52</v>
      </c>
      <c r="L807" s="14" t="n">
        <f aca="false">G807-H807</f>
        <v>-134.52</v>
      </c>
    </row>
    <row r="808" customFormat="false" ht="15" hidden="false" customHeight="false" outlineLevel="0" collapsed="false">
      <c r="A808" s="2" t="s">
        <v>126</v>
      </c>
      <c r="B808" s="2" t="s">
        <v>126</v>
      </c>
      <c r="C808" s="2" t="s">
        <v>49</v>
      </c>
      <c r="D808" s="2" t="s">
        <v>12</v>
      </c>
      <c r="E808" s="2" t="s">
        <v>76</v>
      </c>
      <c r="F808" s="2" t="s">
        <v>1145</v>
      </c>
      <c r="G808" s="14" t="n">
        <v>12.5</v>
      </c>
      <c r="H808" s="14" t="n">
        <v>46.34</v>
      </c>
      <c r="I808" s="14" t="n">
        <v>12.5</v>
      </c>
      <c r="J808" s="22" t="n">
        <f aca="false">IF(E808="Priority",'Cost model'!N384,'Cost model'!M384)</f>
        <v>45</v>
      </c>
      <c r="K808" s="14" t="n">
        <f aca="false">J808-H808</f>
        <v>-1.34</v>
      </c>
      <c r="L808" s="14" t="n">
        <f aca="false">G808-H808</f>
        <v>-33.84</v>
      </c>
    </row>
    <row r="809" customFormat="false" ht="15" hidden="false" customHeight="false" outlineLevel="0" collapsed="false">
      <c r="A809" s="2" t="s">
        <v>146</v>
      </c>
      <c r="B809" s="2" t="s">
        <v>146</v>
      </c>
      <c r="C809" s="2" t="s">
        <v>48</v>
      </c>
      <c r="D809" s="2" t="s">
        <v>12</v>
      </c>
      <c r="E809" s="2" t="s">
        <v>85</v>
      </c>
      <c r="F809" s="2" t="s">
        <v>1145</v>
      </c>
      <c r="G809" s="14" t="n">
        <v>19.5</v>
      </c>
      <c r="H809" s="14" t="n">
        <v>38.69</v>
      </c>
      <c r="I809" s="14" t="n">
        <v>19.5</v>
      </c>
      <c r="J809" s="22" t="n">
        <f aca="false">IF(E809="Priority",'Cost model'!N761,'Cost model'!M761)</f>
        <v>45</v>
      </c>
      <c r="K809" s="14" t="n">
        <f aca="false">J809-H809</f>
        <v>6.31</v>
      </c>
      <c r="L809" s="14" t="n">
        <f aca="false">G809-H809</f>
        <v>-19.19</v>
      </c>
    </row>
    <row r="810" customFormat="false" ht="15" hidden="false" customHeight="false" outlineLevel="0" collapsed="false">
      <c r="A810" s="2" t="s">
        <v>184</v>
      </c>
      <c r="B810" s="2" t="s">
        <v>126</v>
      </c>
      <c r="C810" s="2" t="s">
        <v>49</v>
      </c>
      <c r="D810" s="2" t="s">
        <v>10</v>
      </c>
      <c r="E810" s="2" t="s">
        <v>76</v>
      </c>
      <c r="F810" s="2" t="s">
        <v>1146</v>
      </c>
      <c r="G810" s="14" t="n">
        <v>12.5</v>
      </c>
      <c r="H810" s="14" t="n">
        <v>10.79</v>
      </c>
      <c r="I810" s="14" t="n">
        <v>12.5</v>
      </c>
      <c r="J810" s="22" t="n">
        <f aca="false">IF(E810="Priority",'Cost model'!N129,'Cost model'!M129)</f>
        <v>13.5</v>
      </c>
      <c r="K810" s="14" t="n">
        <f aca="false">J810-H810</f>
        <v>2.71</v>
      </c>
      <c r="L810" s="14" t="n">
        <f aca="false">G810-H810</f>
        <v>1.71</v>
      </c>
    </row>
    <row r="811" customFormat="false" ht="15" hidden="false" customHeight="false" outlineLevel="0" collapsed="false">
      <c r="A811" s="2" t="s">
        <v>240</v>
      </c>
      <c r="B811" s="2" t="s">
        <v>240</v>
      </c>
      <c r="C811" s="2" t="s">
        <v>50</v>
      </c>
      <c r="D811" s="2" t="s">
        <v>12</v>
      </c>
      <c r="E811" s="2" t="s">
        <v>76</v>
      </c>
      <c r="F811" s="2" t="s">
        <v>1145</v>
      </c>
      <c r="G811" s="14" t="n">
        <v>19.5</v>
      </c>
      <c r="H811" s="14" t="n">
        <v>37.28</v>
      </c>
      <c r="I811" s="14" t="n">
        <v>19.5</v>
      </c>
      <c r="J811" s="22" t="n">
        <f aca="false">IF(E811="Priority",'Cost model'!N889,'Cost model'!M889)</f>
        <v>60</v>
      </c>
      <c r="K811" s="14" t="n">
        <f aca="false">J811-H811</f>
        <v>22.72</v>
      </c>
      <c r="L811" s="14" t="n">
        <f aca="false">G811-H811</f>
        <v>-17.78</v>
      </c>
    </row>
    <row r="812" customFormat="false" ht="15" hidden="false" customHeight="false" outlineLevel="0" collapsed="false">
      <c r="A812" s="2" t="s">
        <v>126</v>
      </c>
      <c r="B812" s="2" t="s">
        <v>184</v>
      </c>
      <c r="C812" s="2" t="s">
        <v>49</v>
      </c>
      <c r="D812" s="2" t="s">
        <v>12</v>
      </c>
      <c r="E812" s="2" t="s">
        <v>76</v>
      </c>
      <c r="F812" s="2" t="s">
        <v>1146</v>
      </c>
      <c r="G812" s="14" t="n">
        <v>19.5</v>
      </c>
      <c r="H812" s="14" t="n">
        <v>41.18</v>
      </c>
      <c r="I812" s="14" t="n">
        <v>19.5</v>
      </c>
      <c r="J812" s="22" t="n">
        <f aca="false">IF(E812="Priority",'Cost model'!N438,'Cost model'!M438)</f>
        <v>55</v>
      </c>
      <c r="K812" s="14" t="n">
        <f aca="false">J812-H812</f>
        <v>13.82</v>
      </c>
      <c r="L812" s="14" t="n">
        <f aca="false">G812-H812</f>
        <v>-21.68</v>
      </c>
    </row>
    <row r="813" customFormat="false" ht="15" hidden="false" customHeight="false" outlineLevel="0" collapsed="false">
      <c r="A813" s="2" t="s">
        <v>126</v>
      </c>
      <c r="B813" s="2" t="s">
        <v>126</v>
      </c>
      <c r="C813" s="2" t="s">
        <v>48</v>
      </c>
      <c r="D813" s="2" t="s">
        <v>10</v>
      </c>
      <c r="E813" s="2" t="s">
        <v>85</v>
      </c>
      <c r="F813" s="2" t="s">
        <v>1145</v>
      </c>
      <c r="G813" s="14" t="n">
        <v>14.5</v>
      </c>
      <c r="H813" s="14" t="n">
        <v>42.61</v>
      </c>
      <c r="I813" s="14" t="n">
        <v>14.5</v>
      </c>
      <c r="J813" s="22" t="n">
        <f aca="false">IF(E813="Priority",'Cost model'!N380,'Cost model'!M380)</f>
        <v>13.5</v>
      </c>
      <c r="K813" s="14" t="n">
        <f aca="false">J813-H813</f>
        <v>-29.11</v>
      </c>
      <c r="L813" s="14" t="n">
        <f aca="false">G813-H813</f>
        <v>-28.11</v>
      </c>
    </row>
    <row r="814" customFormat="false" ht="15" hidden="false" customHeight="false" outlineLevel="0" collapsed="false">
      <c r="A814" s="2" t="s">
        <v>126</v>
      </c>
      <c r="B814" s="2" t="s">
        <v>126</v>
      </c>
      <c r="C814" s="2" t="s">
        <v>48</v>
      </c>
      <c r="D814" s="2" t="s">
        <v>10</v>
      </c>
      <c r="E814" s="2" t="s">
        <v>76</v>
      </c>
      <c r="F814" s="2" t="s">
        <v>1145</v>
      </c>
      <c r="G814" s="14" t="n">
        <v>9.5</v>
      </c>
      <c r="H814" s="14" t="n">
        <v>10.16</v>
      </c>
      <c r="I814" s="14" t="n">
        <v>9.5</v>
      </c>
      <c r="J814" s="22" t="n">
        <f aca="false">IF(E814="Priority",'Cost model'!N380,'Cost model'!M380)</f>
        <v>8.5</v>
      </c>
      <c r="K814" s="14" t="n">
        <f aca="false">J814-H814</f>
        <v>-1.66</v>
      </c>
      <c r="L814" s="14" t="n">
        <f aca="false">G814-H814</f>
        <v>-0.66</v>
      </c>
    </row>
    <row r="815" customFormat="false" ht="15" hidden="false" customHeight="false" outlineLevel="0" collapsed="false">
      <c r="A815" s="2" t="s">
        <v>240</v>
      </c>
      <c r="B815" s="2" t="s">
        <v>240</v>
      </c>
      <c r="C815" s="2" t="s">
        <v>48</v>
      </c>
      <c r="D815" s="2" t="s">
        <v>12</v>
      </c>
      <c r="E815" s="2" t="s">
        <v>85</v>
      </c>
      <c r="F815" s="2" t="s">
        <v>1145</v>
      </c>
      <c r="G815" s="14" t="n">
        <v>19.5</v>
      </c>
      <c r="H815" s="14" t="n">
        <v>10.53</v>
      </c>
      <c r="I815" s="14" t="n">
        <v>19.5</v>
      </c>
      <c r="J815" s="22" t="n">
        <f aca="false">IF(E815="Priority",'Cost model'!N887,'Cost model'!M887)</f>
        <v>27.5</v>
      </c>
      <c r="K815" s="14" t="n">
        <f aca="false">J815-H815</f>
        <v>16.97</v>
      </c>
      <c r="L815" s="14" t="n">
        <f aca="false">G815-H815</f>
        <v>8.97</v>
      </c>
    </row>
    <row r="816" customFormat="false" ht="15" hidden="false" customHeight="false" outlineLevel="0" collapsed="false">
      <c r="A816" s="2" t="s">
        <v>240</v>
      </c>
      <c r="B816" s="2" t="s">
        <v>146</v>
      </c>
      <c r="C816" s="2" t="s">
        <v>50</v>
      </c>
      <c r="D816" s="2" t="s">
        <v>13</v>
      </c>
      <c r="E816" s="2" t="s">
        <v>76</v>
      </c>
      <c r="F816" s="2" t="s">
        <v>1146</v>
      </c>
      <c r="G816" s="14" t="n">
        <v>95</v>
      </c>
      <c r="H816" s="14" t="n">
        <v>204.04</v>
      </c>
      <c r="I816" s="14" t="n">
        <v>125</v>
      </c>
      <c r="J816" s="22" t="n">
        <f aca="false">IF(E816="Priority",'Cost model'!N928,'Cost model'!M928)</f>
        <v>155</v>
      </c>
      <c r="K816" s="14" t="n">
        <f aca="false">J816-H816</f>
        <v>-49.04</v>
      </c>
      <c r="L816" s="14" t="n">
        <f aca="false">G816-H816</f>
        <v>-109.04</v>
      </c>
    </row>
    <row r="817" customFormat="false" ht="15" hidden="false" customHeight="false" outlineLevel="0" collapsed="false">
      <c r="A817" s="2" t="s">
        <v>126</v>
      </c>
      <c r="B817" s="2" t="s">
        <v>126</v>
      </c>
      <c r="C817" s="2" t="s">
        <v>49</v>
      </c>
      <c r="D817" s="2" t="s">
        <v>10</v>
      </c>
      <c r="E817" s="2" t="s">
        <v>76</v>
      </c>
      <c r="F817" s="2" t="s">
        <v>1145</v>
      </c>
      <c r="G817" s="14" t="n">
        <v>12.5</v>
      </c>
      <c r="H817" s="14" t="n">
        <v>8.04</v>
      </c>
      <c r="I817" s="14" t="n">
        <v>12.5</v>
      </c>
      <c r="J817" s="22" t="n">
        <f aca="false">IF(E817="Priority",'Cost model'!N381,'Cost model'!M381)</f>
        <v>14.5</v>
      </c>
      <c r="K817" s="14" t="n">
        <f aca="false">J817-H817</f>
        <v>6.46</v>
      </c>
      <c r="L817" s="14" t="n">
        <f aca="false">G817-H817</f>
        <v>4.46</v>
      </c>
    </row>
    <row r="818" customFormat="false" ht="15" hidden="false" customHeight="false" outlineLevel="0" collapsed="false">
      <c r="A818" s="2" t="s">
        <v>240</v>
      </c>
      <c r="B818" s="2" t="s">
        <v>240</v>
      </c>
      <c r="C818" s="2" t="s">
        <v>48</v>
      </c>
      <c r="D818" s="2" t="s">
        <v>10</v>
      </c>
      <c r="E818" s="2" t="s">
        <v>76</v>
      </c>
      <c r="F818" s="2" t="s">
        <v>1145</v>
      </c>
      <c r="G818" s="14" t="n">
        <v>19.5</v>
      </c>
      <c r="H818" s="14" t="n">
        <v>7.5</v>
      </c>
      <c r="I818" s="14" t="n">
        <v>9.5</v>
      </c>
      <c r="J818" s="22" t="n">
        <f aca="false">IF(E818="Priority",'Cost model'!N884,'Cost model'!M884)</f>
        <v>7.5</v>
      </c>
      <c r="K818" s="14" t="n">
        <f aca="false">J818-H818</f>
        <v>0</v>
      </c>
      <c r="L818" s="14" t="n">
        <f aca="false">G818-H818</f>
        <v>12</v>
      </c>
    </row>
    <row r="819" customFormat="false" ht="15" hidden="false" customHeight="false" outlineLevel="0" collapsed="false">
      <c r="A819" s="2" t="s">
        <v>184</v>
      </c>
      <c r="B819" s="2" t="s">
        <v>184</v>
      </c>
      <c r="C819" s="2" t="s">
        <v>48</v>
      </c>
      <c r="D819" s="2" t="s">
        <v>12</v>
      </c>
      <c r="E819" s="2" t="s">
        <v>76</v>
      </c>
      <c r="F819" s="2" t="s">
        <v>1145</v>
      </c>
      <c r="G819" s="14" t="n">
        <v>9.5</v>
      </c>
      <c r="H819" s="14" t="n">
        <v>28.47</v>
      </c>
      <c r="I819" s="14" t="n">
        <v>9.5</v>
      </c>
      <c r="J819" s="22" t="n">
        <f aca="false">IF(E819="Priority",'Cost model'!N203,'Cost model'!M203)</f>
        <v>26.5</v>
      </c>
      <c r="K819" s="14" t="n">
        <f aca="false">J819-H819</f>
        <v>-1.97</v>
      </c>
      <c r="L819" s="14" t="n">
        <f aca="false">G819-H819</f>
        <v>-18.97</v>
      </c>
    </row>
    <row r="820" customFormat="false" ht="15" hidden="false" customHeight="false" outlineLevel="0" collapsed="false">
      <c r="A820" s="2" t="s">
        <v>184</v>
      </c>
      <c r="B820" s="2" t="s">
        <v>184</v>
      </c>
      <c r="C820" s="2" t="s">
        <v>49</v>
      </c>
      <c r="D820" s="2" t="s">
        <v>12</v>
      </c>
      <c r="E820" s="2" t="s">
        <v>76</v>
      </c>
      <c r="F820" s="2" t="s">
        <v>1145</v>
      </c>
      <c r="G820" s="14" t="n">
        <v>19.5</v>
      </c>
      <c r="H820" s="14" t="n">
        <v>25.65</v>
      </c>
      <c r="I820" s="14"/>
      <c r="J820" s="22" t="n">
        <f aca="false">IF(E820="Priority",'Cost model'!N204,'Cost model'!M204)</f>
        <v>45</v>
      </c>
      <c r="K820" s="14" t="n">
        <f aca="false">J820-H820</f>
        <v>19.35</v>
      </c>
      <c r="L820" s="14" t="n">
        <f aca="false">G820-H820</f>
        <v>-6.15</v>
      </c>
    </row>
    <row r="821" customFormat="false" ht="15" hidden="false" customHeight="false" outlineLevel="0" collapsed="false">
      <c r="A821" s="2" t="s">
        <v>126</v>
      </c>
      <c r="B821" s="2" t="s">
        <v>126</v>
      </c>
      <c r="C821" s="2" t="s">
        <v>49</v>
      </c>
      <c r="D821" s="2" t="s">
        <v>12</v>
      </c>
      <c r="E821" s="2" t="s">
        <v>85</v>
      </c>
      <c r="F821" s="2" t="s">
        <v>1145</v>
      </c>
      <c r="G821" s="14" t="n">
        <v>19.5</v>
      </c>
      <c r="H821" s="14" t="n">
        <v>32.44</v>
      </c>
      <c r="I821" s="14" t="n">
        <v>19.5</v>
      </c>
      <c r="J821" s="22" t="n">
        <f aca="false">IF(E821="Priority",'Cost model'!N384,'Cost model'!M384)</f>
        <v>60</v>
      </c>
      <c r="K821" s="14" t="n">
        <f aca="false">J821-H821</f>
        <v>27.56</v>
      </c>
      <c r="L821" s="14" t="n">
        <f aca="false">G821-H821</f>
        <v>-12.94</v>
      </c>
    </row>
    <row r="822" customFormat="false" ht="15" hidden="false" customHeight="false" outlineLevel="0" collapsed="false">
      <c r="A822" s="2" t="s">
        <v>184</v>
      </c>
      <c r="B822" s="2" t="s">
        <v>184</v>
      </c>
      <c r="C822" s="2" t="s">
        <v>49</v>
      </c>
      <c r="D822" s="2" t="s">
        <v>10</v>
      </c>
      <c r="E822" s="2" t="s">
        <v>76</v>
      </c>
      <c r="F822" s="2" t="s">
        <v>1145</v>
      </c>
      <c r="G822" s="14" t="n">
        <v>17.5</v>
      </c>
      <c r="H822" s="14" t="n">
        <v>11.22</v>
      </c>
      <c r="I822" s="14"/>
      <c r="J822" s="22" t="n">
        <f aca="false">IF(E822="Priority",'Cost model'!N201,'Cost model'!M201)</f>
        <v>12.5</v>
      </c>
      <c r="K822" s="14" t="n">
        <f aca="false">J822-H822</f>
        <v>1.28</v>
      </c>
      <c r="L822" s="14" t="n">
        <f aca="false">G822-H822</f>
        <v>6.28</v>
      </c>
    </row>
    <row r="823" customFormat="false" ht="15" hidden="false" customHeight="false" outlineLevel="0" collapsed="false">
      <c r="A823" s="2" t="s">
        <v>126</v>
      </c>
      <c r="B823" s="2" t="s">
        <v>126</v>
      </c>
      <c r="C823" s="2" t="s">
        <v>50</v>
      </c>
      <c r="D823" s="2" t="s">
        <v>10</v>
      </c>
      <c r="E823" s="2" t="s">
        <v>76</v>
      </c>
      <c r="F823" s="2" t="s">
        <v>1145</v>
      </c>
      <c r="G823" s="14" t="n">
        <v>19.5</v>
      </c>
      <c r="H823" s="14" t="n">
        <v>50.19</v>
      </c>
      <c r="I823" s="14" t="n">
        <v>17.5</v>
      </c>
      <c r="J823" s="22" t="n">
        <f aca="false">IF(E823="Priority",'Cost model'!N382,'Cost model'!M382)</f>
        <v>18.5</v>
      </c>
      <c r="K823" s="14" t="n">
        <f aca="false">J823-H823</f>
        <v>-31.69</v>
      </c>
      <c r="L823" s="14" t="n">
        <f aca="false">G823-H823</f>
        <v>-30.69</v>
      </c>
    </row>
    <row r="824" customFormat="false" ht="15" hidden="false" customHeight="false" outlineLevel="0" collapsed="false">
      <c r="A824" s="2" t="s">
        <v>184</v>
      </c>
      <c r="B824" s="2" t="s">
        <v>240</v>
      </c>
      <c r="C824" s="2" t="s">
        <v>50</v>
      </c>
      <c r="D824" s="2" t="s">
        <v>12</v>
      </c>
      <c r="E824" s="2" t="s">
        <v>76</v>
      </c>
      <c r="F824" s="2" t="s">
        <v>1146</v>
      </c>
      <c r="G824" s="14" t="n">
        <v>19.5</v>
      </c>
      <c r="H824" s="14" t="n">
        <v>99.75</v>
      </c>
      <c r="I824" s="14" t="n">
        <v>24.5</v>
      </c>
      <c r="J824" s="22" t="n">
        <f aca="false">IF(E824="Priority",'Cost model'!N187,'Cost model'!M187)</f>
        <v>75</v>
      </c>
      <c r="K824" s="14" t="n">
        <f aca="false">J824-H824</f>
        <v>-24.75</v>
      </c>
      <c r="L824" s="14" t="n">
        <f aca="false">G824-H824</f>
        <v>-80.25</v>
      </c>
    </row>
    <row r="825" customFormat="false" ht="15" hidden="false" customHeight="false" outlineLevel="0" collapsed="false">
      <c r="A825" s="2" t="s">
        <v>221</v>
      </c>
      <c r="B825" s="2" t="s">
        <v>221</v>
      </c>
      <c r="C825" s="2" t="s">
        <v>49</v>
      </c>
      <c r="D825" s="2" t="s">
        <v>12</v>
      </c>
      <c r="E825" s="2" t="s">
        <v>76</v>
      </c>
      <c r="F825" s="2" t="s">
        <v>1145</v>
      </c>
      <c r="G825" s="14" t="n">
        <v>24.5</v>
      </c>
      <c r="H825" s="14" t="n">
        <v>55.04</v>
      </c>
      <c r="I825" s="14" t="n">
        <v>12.5</v>
      </c>
      <c r="J825" s="22" t="n">
        <f aca="false">IF(E825="Priority",'Cost model'!N636,'Cost model'!M636)</f>
        <v>55</v>
      </c>
      <c r="K825" s="14" t="n">
        <f aca="false">J825-H825</f>
        <v>-0.0399999999999992</v>
      </c>
      <c r="L825" s="14" t="n">
        <f aca="false">G825-H825</f>
        <v>-30.54</v>
      </c>
    </row>
    <row r="826" customFormat="false" ht="15" hidden="false" customHeight="false" outlineLevel="0" collapsed="false">
      <c r="A826" s="2" t="s">
        <v>126</v>
      </c>
      <c r="B826" s="2" t="s">
        <v>126</v>
      </c>
      <c r="C826" s="2" t="s">
        <v>49</v>
      </c>
      <c r="D826" s="2" t="s">
        <v>10</v>
      </c>
      <c r="E826" s="2" t="s">
        <v>76</v>
      </c>
      <c r="F826" s="2" t="s">
        <v>1145</v>
      </c>
      <c r="G826" s="14" t="n">
        <v>12.5</v>
      </c>
      <c r="H826" s="14" t="n">
        <v>61.15</v>
      </c>
      <c r="I826" s="14" t="n">
        <v>12.5</v>
      </c>
      <c r="J826" s="22" t="n">
        <f aca="false">IF(E826="Priority",'Cost model'!N381,'Cost model'!M381)</f>
        <v>14.5</v>
      </c>
      <c r="K826" s="14" t="n">
        <f aca="false">J826-H826</f>
        <v>-46.65</v>
      </c>
      <c r="L826" s="14" t="n">
        <f aca="false">G826-H826</f>
        <v>-48.65</v>
      </c>
    </row>
    <row r="827" customFormat="false" ht="15" hidden="false" customHeight="false" outlineLevel="0" collapsed="false">
      <c r="A827" s="2" t="s">
        <v>385</v>
      </c>
      <c r="B827" s="2" t="s">
        <v>165</v>
      </c>
      <c r="C827" s="2" t="s">
        <v>48</v>
      </c>
      <c r="D827" s="2" t="s">
        <v>12</v>
      </c>
      <c r="E827" s="2" t="s">
        <v>85</v>
      </c>
      <c r="F827" s="2" t="s">
        <v>1146</v>
      </c>
      <c r="G827" s="14" t="n">
        <v>29.5</v>
      </c>
      <c r="H827" s="14" t="n">
        <v>24.48</v>
      </c>
      <c r="I827" s="14" t="n">
        <v>29.5</v>
      </c>
      <c r="J827" s="22" t="n">
        <f aca="false">IF(E827="Priority",'Cost model'!N257,'Cost model'!M257)</f>
        <v>80</v>
      </c>
      <c r="K827" s="14" t="n">
        <f aca="false">J827-H827</f>
        <v>55.52</v>
      </c>
      <c r="L827" s="14" t="n">
        <f aca="false">G827-H827</f>
        <v>5.02</v>
      </c>
    </row>
    <row r="828" customFormat="false" ht="15" hidden="false" customHeight="false" outlineLevel="0" collapsed="false">
      <c r="A828" s="2" t="s">
        <v>146</v>
      </c>
      <c r="B828" s="2" t="s">
        <v>146</v>
      </c>
      <c r="C828" s="2" t="s">
        <v>48</v>
      </c>
      <c r="D828" s="2" t="s">
        <v>12</v>
      </c>
      <c r="E828" s="2" t="s">
        <v>76</v>
      </c>
      <c r="F828" s="2" t="s">
        <v>1145</v>
      </c>
      <c r="G828" s="14" t="n">
        <v>9.5</v>
      </c>
      <c r="H828" s="14" t="n">
        <v>34.72</v>
      </c>
      <c r="I828" s="14" t="n">
        <v>9.5</v>
      </c>
      <c r="J828" s="22" t="n">
        <f aca="false">IF(E828="Priority",'Cost model'!N761,'Cost model'!M761)</f>
        <v>35</v>
      </c>
      <c r="K828" s="14" t="n">
        <f aca="false">J828-H828</f>
        <v>0.280000000000001</v>
      </c>
      <c r="L828" s="14" t="n">
        <f aca="false">G828-H828</f>
        <v>-25.22</v>
      </c>
    </row>
    <row r="829" customFormat="false" ht="15" hidden="false" customHeight="false" outlineLevel="0" collapsed="false">
      <c r="A829" s="2" t="s">
        <v>184</v>
      </c>
      <c r="B829" s="2" t="s">
        <v>146</v>
      </c>
      <c r="C829" s="2" t="s">
        <v>49</v>
      </c>
      <c r="D829" s="2" t="s">
        <v>12</v>
      </c>
      <c r="E829" s="2" t="s">
        <v>76</v>
      </c>
      <c r="F829" s="2" t="s">
        <v>1146</v>
      </c>
      <c r="G829" s="14" t="n">
        <v>12.5</v>
      </c>
      <c r="H829" s="14" t="n">
        <v>92.54</v>
      </c>
      <c r="I829" s="14" t="n">
        <v>12.5</v>
      </c>
      <c r="J829" s="22" t="n">
        <f aca="false">IF(E829="Priority",'Cost model'!N150,'Cost model'!M150)</f>
        <v>55</v>
      </c>
      <c r="K829" s="14" t="n">
        <f aca="false">J829-H829</f>
        <v>-37.54</v>
      </c>
      <c r="L829" s="14" t="n">
        <f aca="false">G829-H829</f>
        <v>-80.04</v>
      </c>
    </row>
    <row r="830" customFormat="false" ht="15" hidden="false" customHeight="false" outlineLevel="0" collapsed="false">
      <c r="A830" s="2" t="s">
        <v>184</v>
      </c>
      <c r="B830" s="2" t="s">
        <v>240</v>
      </c>
      <c r="C830" s="2" t="s">
        <v>48</v>
      </c>
      <c r="D830" s="2" t="s">
        <v>10</v>
      </c>
      <c r="E830" s="2" t="s">
        <v>76</v>
      </c>
      <c r="F830" s="2" t="s">
        <v>1146</v>
      </c>
      <c r="G830" s="14" t="n">
        <v>19.5</v>
      </c>
      <c r="H830" s="14" t="n">
        <v>22.95</v>
      </c>
      <c r="I830" s="14" t="n">
        <v>19.5</v>
      </c>
      <c r="J830" s="22" t="n">
        <f aca="false">IF(E830="Priority",'Cost model'!N182,'Cost model'!M182)</f>
        <v>15.5</v>
      </c>
      <c r="K830" s="14" t="n">
        <f aca="false">J830-H830</f>
        <v>-7.45</v>
      </c>
      <c r="L830" s="14" t="n">
        <f aca="false">G830-H830</f>
        <v>-3.45</v>
      </c>
    </row>
    <row r="831" customFormat="false" ht="15" hidden="false" customHeight="false" outlineLevel="0" collapsed="false">
      <c r="A831" s="2" t="s">
        <v>240</v>
      </c>
      <c r="B831" s="2" t="s">
        <v>165</v>
      </c>
      <c r="C831" s="2" t="s">
        <v>50</v>
      </c>
      <c r="D831" s="2" t="s">
        <v>10</v>
      </c>
      <c r="E831" s="2" t="s">
        <v>85</v>
      </c>
      <c r="F831" s="2" t="s">
        <v>1146</v>
      </c>
      <c r="G831" s="14" t="n">
        <v>29.5</v>
      </c>
      <c r="H831" s="14" t="n">
        <v>21.61</v>
      </c>
      <c r="I831" s="14" t="n">
        <v>29.5</v>
      </c>
      <c r="J831" s="22" t="n">
        <f aca="false">IF(E831="Priority",'Cost model'!N904,'Cost model'!M904)</f>
        <v>35</v>
      </c>
      <c r="K831" s="14" t="n">
        <f aca="false">J831-H831</f>
        <v>13.39</v>
      </c>
      <c r="L831" s="14" t="n">
        <f aca="false">G831-H831</f>
        <v>7.89</v>
      </c>
    </row>
    <row r="832" customFormat="false" ht="15" hidden="false" customHeight="false" outlineLevel="0" collapsed="false">
      <c r="A832" s="2" t="s">
        <v>184</v>
      </c>
      <c r="B832" s="2" t="s">
        <v>184</v>
      </c>
      <c r="C832" s="2" t="s">
        <v>48</v>
      </c>
      <c r="D832" s="2" t="s">
        <v>12</v>
      </c>
      <c r="E832" s="2" t="s">
        <v>76</v>
      </c>
      <c r="F832" s="2" t="s">
        <v>1145</v>
      </c>
      <c r="G832" s="14" t="n">
        <v>9.5</v>
      </c>
      <c r="H832" s="14" t="n">
        <v>31.03</v>
      </c>
      <c r="I832" s="14" t="n">
        <v>9.5</v>
      </c>
      <c r="J832" s="22" t="n">
        <f aca="false">IF(E832="Priority",'Cost model'!N203,'Cost model'!M203)</f>
        <v>26.5</v>
      </c>
      <c r="K832" s="14" t="n">
        <f aca="false">J832-H832</f>
        <v>-4.53</v>
      </c>
      <c r="L832" s="14" t="n">
        <f aca="false">G832-H832</f>
        <v>-21.53</v>
      </c>
    </row>
    <row r="833" customFormat="false" ht="15" hidden="false" customHeight="false" outlineLevel="0" collapsed="false">
      <c r="A833" s="2" t="s">
        <v>126</v>
      </c>
      <c r="B833" s="2" t="s">
        <v>240</v>
      </c>
      <c r="C833" s="2" t="s">
        <v>48</v>
      </c>
      <c r="D833" s="2" t="s">
        <v>12</v>
      </c>
      <c r="E833" s="2" t="s">
        <v>76</v>
      </c>
      <c r="F833" s="2" t="s">
        <v>1146</v>
      </c>
      <c r="G833" s="14" t="n">
        <v>24.5</v>
      </c>
      <c r="H833" s="14" t="n">
        <v>38.69</v>
      </c>
      <c r="I833" s="14" t="n">
        <v>24.5</v>
      </c>
      <c r="J833" s="22" t="n">
        <f aca="false">IF(E833="Priority",'Cost model'!N491,'Cost model'!M491)</f>
        <v>55</v>
      </c>
      <c r="K833" s="14" t="n">
        <f aca="false">J833-H833</f>
        <v>16.31</v>
      </c>
      <c r="L833" s="14" t="n">
        <f aca="false">G833-H833</f>
        <v>-14.19</v>
      </c>
    </row>
    <row r="834" customFormat="false" ht="15" hidden="false" customHeight="false" outlineLevel="0" collapsed="false">
      <c r="A834" s="2" t="s">
        <v>126</v>
      </c>
      <c r="B834" s="2" t="s">
        <v>165</v>
      </c>
      <c r="C834" s="2" t="s">
        <v>48</v>
      </c>
      <c r="D834" s="2" t="s">
        <v>12</v>
      </c>
      <c r="E834" s="2" t="s">
        <v>76</v>
      </c>
      <c r="F834" s="2" t="s">
        <v>1146</v>
      </c>
      <c r="G834" s="14" t="n">
        <v>19.5</v>
      </c>
      <c r="H834" s="14" t="n">
        <v>64.28</v>
      </c>
      <c r="I834" s="14" t="n">
        <v>19.5</v>
      </c>
      <c r="J834" s="22" t="n">
        <f aca="false">IF(E834="Priority",'Cost model'!N419,'Cost model'!M419)</f>
        <v>55</v>
      </c>
      <c r="K834" s="14" t="n">
        <f aca="false">J834-H834</f>
        <v>-9.28</v>
      </c>
      <c r="L834" s="14" t="n">
        <f aca="false">G834-H834</f>
        <v>-44.78</v>
      </c>
    </row>
    <row r="835" customFormat="false" ht="15" hidden="false" customHeight="false" outlineLevel="0" collapsed="false">
      <c r="A835" s="2" t="s">
        <v>184</v>
      </c>
      <c r="B835" s="2" t="s">
        <v>184</v>
      </c>
      <c r="C835" s="2" t="s">
        <v>48</v>
      </c>
      <c r="D835" s="2" t="s">
        <v>10</v>
      </c>
      <c r="E835" s="2" t="s">
        <v>76</v>
      </c>
      <c r="F835" s="2" t="s">
        <v>1145</v>
      </c>
      <c r="G835" s="14" t="n">
        <v>9.5</v>
      </c>
      <c r="H835" s="14" t="n">
        <v>7.58</v>
      </c>
      <c r="I835" s="14" t="n">
        <v>9.5</v>
      </c>
      <c r="J835" s="22" t="n">
        <f aca="false">IF(E835="Priority",'Cost model'!N200,'Cost model'!M200)</f>
        <v>7.5</v>
      </c>
      <c r="K835" s="14" t="n">
        <f aca="false">J835-H835</f>
        <v>-0.0800000000000001</v>
      </c>
      <c r="L835" s="14" t="n">
        <f aca="false">G835-H835</f>
        <v>1.92</v>
      </c>
    </row>
    <row r="836" customFormat="false" ht="15" hidden="false" customHeight="false" outlineLevel="0" collapsed="false">
      <c r="A836" s="2" t="s">
        <v>184</v>
      </c>
      <c r="B836" s="2" t="s">
        <v>146</v>
      </c>
      <c r="C836" s="2" t="s">
        <v>48</v>
      </c>
      <c r="D836" s="2" t="s">
        <v>10</v>
      </c>
      <c r="E836" s="2" t="s">
        <v>85</v>
      </c>
      <c r="F836" s="2" t="s">
        <v>1146</v>
      </c>
      <c r="G836" s="14" t="n">
        <v>14.5</v>
      </c>
      <c r="H836" s="14" t="n">
        <v>21.34</v>
      </c>
      <c r="I836" s="14" t="n">
        <v>14.5</v>
      </c>
      <c r="J836" s="22" t="n">
        <f aca="false">IF(E836="Priority",'Cost model'!N146,'Cost model'!M146)</f>
        <v>17.5</v>
      </c>
      <c r="K836" s="14" t="n">
        <f aca="false">J836-H836</f>
        <v>-3.84</v>
      </c>
      <c r="L836" s="14" t="n">
        <f aca="false">G836-H836</f>
        <v>-6.84</v>
      </c>
    </row>
    <row r="837" customFormat="false" ht="15" hidden="false" customHeight="false" outlineLevel="0" collapsed="false">
      <c r="A837" s="2" t="s">
        <v>240</v>
      </c>
      <c r="B837" s="2" t="s">
        <v>240</v>
      </c>
      <c r="C837" s="2" t="s">
        <v>48</v>
      </c>
      <c r="D837" s="2" t="s">
        <v>10</v>
      </c>
      <c r="E837" s="2" t="s">
        <v>85</v>
      </c>
      <c r="F837" s="2" t="s">
        <v>1145</v>
      </c>
      <c r="G837" s="14" t="n">
        <v>14.5</v>
      </c>
      <c r="H837" s="14" t="n">
        <v>8.16</v>
      </c>
      <c r="I837" s="14" t="n">
        <v>14.5</v>
      </c>
      <c r="J837" s="22" t="n">
        <f aca="false">IF(E837="Priority",'Cost model'!N884,'Cost model'!M884)</f>
        <v>12.5</v>
      </c>
      <c r="K837" s="14" t="n">
        <f aca="false">J837-H837</f>
        <v>4.34</v>
      </c>
      <c r="L837" s="14" t="n">
        <f aca="false">G837-H837</f>
        <v>6.34</v>
      </c>
    </row>
    <row r="838" customFormat="false" ht="15" hidden="false" customHeight="false" outlineLevel="0" collapsed="false">
      <c r="A838" s="2" t="s">
        <v>240</v>
      </c>
      <c r="B838" s="2" t="s">
        <v>240</v>
      </c>
      <c r="C838" s="2" t="s">
        <v>48</v>
      </c>
      <c r="D838" s="2" t="s">
        <v>13</v>
      </c>
      <c r="E838" s="2" t="s">
        <v>76</v>
      </c>
      <c r="F838" s="2" t="s">
        <v>1145</v>
      </c>
      <c r="G838" s="14" t="n">
        <v>19.5</v>
      </c>
      <c r="H838" s="14" t="n">
        <v>144.87</v>
      </c>
      <c r="I838" s="14" t="n">
        <v>19.5</v>
      </c>
      <c r="J838" s="22" t="n">
        <f aca="false">IF(E838="Priority",'Cost model'!N890,'Cost model'!M890)</f>
        <v>45</v>
      </c>
      <c r="K838" s="14" t="n">
        <f aca="false">J838-H838</f>
        <v>-99.87</v>
      </c>
      <c r="L838" s="14" t="n">
        <f aca="false">G838-H838</f>
        <v>-125.37</v>
      </c>
    </row>
    <row r="839" customFormat="false" ht="15" hidden="false" customHeight="false" outlineLevel="0" collapsed="false">
      <c r="A839" s="2" t="s">
        <v>126</v>
      </c>
      <c r="B839" s="2" t="s">
        <v>126</v>
      </c>
      <c r="C839" s="2" t="s">
        <v>50</v>
      </c>
      <c r="D839" s="2" t="s">
        <v>10</v>
      </c>
      <c r="E839" s="2" t="s">
        <v>76</v>
      </c>
      <c r="F839" s="2" t="s">
        <v>1145</v>
      </c>
      <c r="G839" s="14" t="n">
        <v>17.5</v>
      </c>
      <c r="H839" s="14" t="n">
        <v>17.31</v>
      </c>
      <c r="I839" s="14" t="n">
        <v>17.5</v>
      </c>
      <c r="J839" s="22" t="n">
        <f aca="false">IF(E839="Priority",'Cost model'!N382,'Cost model'!M382)</f>
        <v>18.5</v>
      </c>
      <c r="K839" s="14" t="n">
        <f aca="false">J839-H839</f>
        <v>1.19</v>
      </c>
      <c r="L839" s="14" t="n">
        <f aca="false">G839-H839</f>
        <v>0.190000000000001</v>
      </c>
    </row>
    <row r="840" customFormat="false" ht="15" hidden="false" customHeight="false" outlineLevel="0" collapsed="false">
      <c r="A840" s="2" t="s">
        <v>184</v>
      </c>
      <c r="B840" s="2" t="s">
        <v>184</v>
      </c>
      <c r="C840" s="2" t="s">
        <v>50</v>
      </c>
      <c r="D840" s="2" t="s">
        <v>10</v>
      </c>
      <c r="E840" s="2" t="s">
        <v>76</v>
      </c>
      <c r="F840" s="2" t="s">
        <v>1145</v>
      </c>
      <c r="G840" s="14" t="n">
        <v>12.5</v>
      </c>
      <c r="H840" s="14" t="n">
        <v>11.03</v>
      </c>
      <c r="I840" s="14" t="n">
        <v>17.5</v>
      </c>
      <c r="J840" s="22" t="n">
        <f aca="false">IF(E840="Priority",'Cost model'!N202,'Cost model'!M202)</f>
        <v>17.5</v>
      </c>
      <c r="K840" s="14" t="n">
        <f aca="false">J840-H840</f>
        <v>6.47</v>
      </c>
      <c r="L840" s="14" t="n">
        <f aca="false">G840-H840</f>
        <v>1.47</v>
      </c>
    </row>
    <row r="841" customFormat="false" ht="15" hidden="false" customHeight="false" outlineLevel="0" collapsed="false">
      <c r="A841" s="2" t="s">
        <v>126</v>
      </c>
      <c r="B841" s="2" t="s">
        <v>146</v>
      </c>
      <c r="C841" s="2" t="s">
        <v>48</v>
      </c>
      <c r="D841" s="2" t="s">
        <v>12</v>
      </c>
      <c r="E841" s="2" t="s">
        <v>85</v>
      </c>
      <c r="F841" s="2" t="s">
        <v>1146</v>
      </c>
      <c r="G841" s="14" t="n">
        <v>24.5</v>
      </c>
      <c r="H841" s="14" t="n">
        <v>64.44</v>
      </c>
      <c r="I841" s="14" t="n">
        <v>24.5</v>
      </c>
      <c r="J841" s="22" t="n">
        <f aca="false">IF(E841="Priority",'Cost model'!N401,'Cost model'!M401)</f>
        <v>80</v>
      </c>
      <c r="K841" s="14" t="n">
        <f aca="false">J841-H841</f>
        <v>15.56</v>
      </c>
      <c r="L841" s="14" t="n">
        <f aca="false">G841-H841</f>
        <v>-39.94</v>
      </c>
    </row>
    <row r="842" customFormat="false" ht="15" hidden="false" customHeight="false" outlineLevel="0" collapsed="false">
      <c r="A842" s="2" t="s">
        <v>240</v>
      </c>
      <c r="B842" s="2" t="s">
        <v>146</v>
      </c>
      <c r="C842" s="2" t="s">
        <v>48</v>
      </c>
      <c r="D842" s="2" t="s">
        <v>10</v>
      </c>
      <c r="E842" s="2" t="s">
        <v>76</v>
      </c>
      <c r="F842" s="2" t="s">
        <v>1146</v>
      </c>
      <c r="G842" s="14" t="n">
        <v>9.5</v>
      </c>
      <c r="H842" s="14" t="n">
        <v>17</v>
      </c>
      <c r="I842" s="14" t="n">
        <v>19.5</v>
      </c>
      <c r="J842" s="22" t="n">
        <f aca="false">IF(E842="Priority",'Cost model'!N920,'Cost model'!M920)</f>
        <v>16.5</v>
      </c>
      <c r="K842" s="14" t="n">
        <f aca="false">J842-H842</f>
        <v>-0.5</v>
      </c>
      <c r="L842" s="14" t="n">
        <f aca="false">G842-H842</f>
        <v>-7.5</v>
      </c>
    </row>
    <row r="843" customFormat="false" ht="15" hidden="false" customHeight="false" outlineLevel="0" collapsed="false">
      <c r="A843" s="2" t="s">
        <v>126</v>
      </c>
      <c r="B843" s="2" t="s">
        <v>126</v>
      </c>
      <c r="C843" s="2" t="s">
        <v>49</v>
      </c>
      <c r="D843" s="2" t="s">
        <v>14</v>
      </c>
      <c r="E843" s="2" t="s">
        <v>76</v>
      </c>
      <c r="F843" s="2" t="s">
        <v>1145</v>
      </c>
      <c r="G843" s="14" t="n">
        <v>45</v>
      </c>
      <c r="H843" s="14" t="n">
        <v>127.81</v>
      </c>
      <c r="I843" s="14" t="n">
        <v>45</v>
      </c>
      <c r="J843" s="22" t="n">
        <f aca="false">IF(E843="Priority",'Cost model'!N390,'Cost model'!M390)</f>
        <v>115</v>
      </c>
      <c r="K843" s="14" t="n">
        <f aca="false">J843-H843</f>
        <v>-12.81</v>
      </c>
      <c r="L843" s="14" t="n">
        <f aca="false">G843-H843</f>
        <v>-82.81</v>
      </c>
    </row>
    <row r="844" customFormat="false" ht="15" hidden="false" customHeight="false" outlineLevel="0" collapsed="false">
      <c r="A844" s="2" t="s">
        <v>126</v>
      </c>
      <c r="B844" s="2" t="s">
        <v>126</v>
      </c>
      <c r="C844" s="2" t="s">
        <v>49</v>
      </c>
      <c r="D844" s="2" t="s">
        <v>12</v>
      </c>
      <c r="E844" s="2" t="s">
        <v>76</v>
      </c>
      <c r="F844" s="2" t="s">
        <v>1145</v>
      </c>
      <c r="G844" s="14" t="n">
        <v>12.5</v>
      </c>
      <c r="H844" s="14" t="n">
        <v>42.23</v>
      </c>
      <c r="I844" s="14" t="n">
        <v>12.5</v>
      </c>
      <c r="J844" s="22" t="n">
        <f aca="false">IF(E844="Priority",'Cost model'!N384,'Cost model'!M384)</f>
        <v>45</v>
      </c>
      <c r="K844" s="14" t="n">
        <f aca="false">J844-H844</f>
        <v>2.77</v>
      </c>
      <c r="L844" s="14" t="n">
        <f aca="false">G844-H844</f>
        <v>-29.73</v>
      </c>
    </row>
    <row r="845" customFormat="false" ht="15" hidden="false" customHeight="false" outlineLevel="0" collapsed="false">
      <c r="A845" s="2" t="s">
        <v>184</v>
      </c>
      <c r="B845" s="2" t="s">
        <v>184</v>
      </c>
      <c r="C845" s="2" t="s">
        <v>48</v>
      </c>
      <c r="D845" s="2" t="s">
        <v>10</v>
      </c>
      <c r="E845" s="2" t="s">
        <v>76</v>
      </c>
      <c r="F845" s="2" t="s">
        <v>1145</v>
      </c>
      <c r="G845" s="14" t="n">
        <v>9.5</v>
      </c>
      <c r="H845" s="14" t="n">
        <v>6.24</v>
      </c>
      <c r="I845" s="14" t="n">
        <v>9.5</v>
      </c>
      <c r="J845" s="22" t="n">
        <f aca="false">IF(E845="Priority",'Cost model'!N200,'Cost model'!M200)</f>
        <v>7.5</v>
      </c>
      <c r="K845" s="14" t="n">
        <f aca="false">J845-H845</f>
        <v>1.26</v>
      </c>
      <c r="L845" s="14" t="n">
        <f aca="false">G845-H845</f>
        <v>3.26</v>
      </c>
    </row>
    <row r="846" customFormat="false" ht="15" hidden="false" customHeight="false" outlineLevel="0" collapsed="false">
      <c r="A846" s="2" t="s">
        <v>146</v>
      </c>
      <c r="B846" s="2" t="s">
        <v>146</v>
      </c>
      <c r="C846" s="2" t="s">
        <v>48</v>
      </c>
      <c r="D846" s="2" t="s">
        <v>15</v>
      </c>
      <c r="E846" s="2" t="s">
        <v>76</v>
      </c>
      <c r="F846" s="2" t="s">
        <v>1145</v>
      </c>
      <c r="G846" s="14" t="n">
        <v>45</v>
      </c>
      <c r="H846" s="14" t="n">
        <v>211.46</v>
      </c>
      <c r="I846" s="14" t="n">
        <v>45</v>
      </c>
      <c r="J846" s="22" t="n">
        <f aca="false">IF(E846="Priority",'Cost model'!N770,'Cost model'!M770)</f>
        <v>125</v>
      </c>
      <c r="K846" s="14" t="n">
        <f aca="false">J846-H846</f>
        <v>-86.46</v>
      </c>
      <c r="L846" s="14" t="n">
        <f aca="false">G846-H846</f>
        <v>-166.46</v>
      </c>
    </row>
    <row r="847" customFormat="false" ht="15" hidden="false" customHeight="false" outlineLevel="0" collapsed="false">
      <c r="A847" s="2" t="s">
        <v>126</v>
      </c>
      <c r="B847" s="2" t="s">
        <v>126</v>
      </c>
      <c r="C847" s="2" t="s">
        <v>48</v>
      </c>
      <c r="D847" s="2" t="s">
        <v>10</v>
      </c>
      <c r="E847" s="2" t="s">
        <v>76</v>
      </c>
      <c r="F847" s="2" t="s">
        <v>1145</v>
      </c>
      <c r="G847" s="14" t="n">
        <v>9.5</v>
      </c>
      <c r="H847" s="14" t="n">
        <v>7.45</v>
      </c>
      <c r="I847" s="14" t="n">
        <v>9.5</v>
      </c>
      <c r="J847" s="22" t="n">
        <f aca="false">IF(E847="Priority",'Cost model'!N380,'Cost model'!M380)</f>
        <v>8.5</v>
      </c>
      <c r="K847" s="14" t="n">
        <f aca="false">J847-H847</f>
        <v>1.05</v>
      </c>
      <c r="L847" s="14" t="n">
        <f aca="false">G847-H847</f>
        <v>2.05</v>
      </c>
    </row>
    <row r="848" customFormat="false" ht="15" hidden="false" customHeight="false" outlineLevel="0" collapsed="false">
      <c r="A848" s="2" t="s">
        <v>146</v>
      </c>
      <c r="B848" s="2" t="s">
        <v>146</v>
      </c>
      <c r="C848" s="2" t="s">
        <v>48</v>
      </c>
      <c r="D848" s="2" t="s">
        <v>12</v>
      </c>
      <c r="E848" s="2" t="s">
        <v>76</v>
      </c>
      <c r="F848" s="2" t="s">
        <v>1145</v>
      </c>
      <c r="G848" s="14" t="n">
        <v>9.5</v>
      </c>
      <c r="H848" s="14" t="n">
        <v>43.25</v>
      </c>
      <c r="I848" s="14" t="n">
        <v>9.5</v>
      </c>
      <c r="J848" s="22" t="n">
        <f aca="false">IF(E848="Priority",'Cost model'!N761,'Cost model'!M761)</f>
        <v>35</v>
      </c>
      <c r="K848" s="14" t="n">
        <f aca="false">J848-H848</f>
        <v>-8.25</v>
      </c>
      <c r="L848" s="14" t="n">
        <f aca="false">G848-H848</f>
        <v>-33.75</v>
      </c>
    </row>
    <row r="849" customFormat="false" ht="15" hidden="false" customHeight="false" outlineLevel="0" collapsed="false">
      <c r="A849" s="2" t="s">
        <v>126</v>
      </c>
      <c r="B849" s="2" t="s">
        <v>126</v>
      </c>
      <c r="C849" s="2" t="s">
        <v>48</v>
      </c>
      <c r="D849" s="2" t="s">
        <v>12</v>
      </c>
      <c r="E849" s="2" t="s">
        <v>85</v>
      </c>
      <c r="F849" s="2" t="s">
        <v>1145</v>
      </c>
      <c r="G849" s="14" t="n">
        <v>19.5</v>
      </c>
      <c r="H849" s="14" t="n">
        <v>41.77</v>
      </c>
      <c r="I849" s="14" t="n">
        <v>19.5</v>
      </c>
      <c r="J849" s="22" t="n">
        <f aca="false">IF(E849="Priority",'Cost model'!N383,'Cost model'!M383)</f>
        <v>35</v>
      </c>
      <c r="K849" s="14" t="n">
        <f aca="false">J849-H849</f>
        <v>-6.77</v>
      </c>
      <c r="L849" s="14" t="n">
        <f aca="false">G849-H849</f>
        <v>-22.27</v>
      </c>
    </row>
    <row r="850" customFormat="false" ht="15" hidden="false" customHeight="false" outlineLevel="0" collapsed="false">
      <c r="A850" s="2" t="s">
        <v>126</v>
      </c>
      <c r="B850" s="2" t="s">
        <v>126</v>
      </c>
      <c r="C850" s="2" t="s">
        <v>50</v>
      </c>
      <c r="D850" s="2" t="s">
        <v>10</v>
      </c>
      <c r="E850" s="2" t="s">
        <v>85</v>
      </c>
      <c r="F850" s="2" t="s">
        <v>1145</v>
      </c>
      <c r="G850" s="14" t="n">
        <v>24.5</v>
      </c>
      <c r="H850" s="14" t="n">
        <v>24.63</v>
      </c>
      <c r="I850" s="14" t="n">
        <v>24.5</v>
      </c>
      <c r="J850" s="22" t="n">
        <f aca="false">IF(E850="Priority",'Cost model'!N382,'Cost model'!M382)</f>
        <v>25.5</v>
      </c>
      <c r="K850" s="14" t="n">
        <f aca="false">J850-H850</f>
        <v>0.870000000000001</v>
      </c>
      <c r="L850" s="14" t="n">
        <f aca="false">G850-H850</f>
        <v>-0.129999999999999</v>
      </c>
    </row>
    <row r="851" customFormat="false" ht="15" hidden="false" customHeight="false" outlineLevel="0" collapsed="false">
      <c r="A851" s="2" t="s">
        <v>146</v>
      </c>
      <c r="B851" s="2" t="s">
        <v>146</v>
      </c>
      <c r="C851" s="2" t="s">
        <v>49</v>
      </c>
      <c r="D851" s="2" t="s">
        <v>12</v>
      </c>
      <c r="E851" s="2" t="s">
        <v>76</v>
      </c>
      <c r="F851" s="2" t="s">
        <v>1145</v>
      </c>
      <c r="G851" s="14" t="n">
        <v>12.5</v>
      </c>
      <c r="H851" s="14" t="n">
        <v>17.31</v>
      </c>
      <c r="I851" s="14" t="n">
        <v>12.5</v>
      </c>
      <c r="J851" s="22" t="n">
        <f aca="false">IF(E851="Priority",'Cost model'!N762,'Cost model'!M762)</f>
        <v>45</v>
      </c>
      <c r="K851" s="14" t="n">
        <f aca="false">J851-H851</f>
        <v>27.69</v>
      </c>
      <c r="L851" s="14" t="n">
        <f aca="false">G851-H851</f>
        <v>-4.81</v>
      </c>
    </row>
    <row r="852" customFormat="false" ht="15" hidden="false" customHeight="false" outlineLevel="0" collapsed="false">
      <c r="A852" s="2" t="s">
        <v>240</v>
      </c>
      <c r="B852" s="2" t="s">
        <v>165</v>
      </c>
      <c r="C852" s="2" t="s">
        <v>48</v>
      </c>
      <c r="D852" s="2" t="s">
        <v>10</v>
      </c>
      <c r="E852" s="2" t="s">
        <v>76</v>
      </c>
      <c r="F852" s="2" t="s">
        <v>1146</v>
      </c>
      <c r="G852" s="14" t="n">
        <v>9.5</v>
      </c>
      <c r="H852" s="14" t="n">
        <v>11.24</v>
      </c>
      <c r="I852" s="14" t="n">
        <v>14.5</v>
      </c>
      <c r="J852" s="22" t="n">
        <f aca="false">IF(E852="Priority",'Cost model'!N902,'Cost model'!M902)</f>
        <v>13.5</v>
      </c>
      <c r="K852" s="14" t="n">
        <f aca="false">J852-H852</f>
        <v>2.26</v>
      </c>
      <c r="L852" s="14" t="n">
        <f aca="false">G852-H852</f>
        <v>-1.74</v>
      </c>
    </row>
    <row r="853" customFormat="false" ht="15" hidden="false" customHeight="false" outlineLevel="0" collapsed="false">
      <c r="A853" s="2" t="s">
        <v>146</v>
      </c>
      <c r="B853" s="2" t="s">
        <v>126</v>
      </c>
      <c r="C853" s="2" t="s">
        <v>49</v>
      </c>
      <c r="D853" s="2" t="s">
        <v>13</v>
      </c>
      <c r="E853" s="2" t="s">
        <v>76</v>
      </c>
      <c r="F853" s="2" t="s">
        <v>1146</v>
      </c>
      <c r="G853" s="14" t="n">
        <v>24.5</v>
      </c>
      <c r="H853" s="14" t="n">
        <v>128.37</v>
      </c>
      <c r="I853" s="14" t="n">
        <v>24.5</v>
      </c>
      <c r="J853" s="22" t="n">
        <f aca="false">IF(E853="Priority",'Cost model'!N801,'Cost model'!M801)</f>
        <v>85</v>
      </c>
      <c r="K853" s="14" t="n">
        <f aca="false">J853-H853</f>
        <v>-43.37</v>
      </c>
      <c r="L853" s="14" t="n">
        <f aca="false">G853-H853</f>
        <v>-103.87</v>
      </c>
    </row>
    <row r="854" customFormat="false" ht="15" hidden="false" customHeight="false" outlineLevel="0" collapsed="false">
      <c r="A854" s="2" t="s">
        <v>184</v>
      </c>
      <c r="B854" s="2" t="s">
        <v>184</v>
      </c>
      <c r="C854" s="2" t="s">
        <v>48</v>
      </c>
      <c r="D854" s="2" t="s">
        <v>10</v>
      </c>
      <c r="E854" s="2" t="s">
        <v>76</v>
      </c>
      <c r="F854" s="2" t="s">
        <v>1145</v>
      </c>
      <c r="G854" s="14" t="n">
        <v>9.5</v>
      </c>
      <c r="H854" s="14" t="n">
        <v>7.72</v>
      </c>
      <c r="I854" s="14" t="n">
        <v>9.5</v>
      </c>
      <c r="J854" s="22" t="n">
        <f aca="false">IF(E854="Priority",'Cost model'!N200,'Cost model'!M200)</f>
        <v>7.5</v>
      </c>
      <c r="K854" s="14" t="n">
        <f aca="false">J854-H854</f>
        <v>-0.22</v>
      </c>
      <c r="L854" s="14" t="n">
        <f aca="false">G854-H854</f>
        <v>1.78</v>
      </c>
    </row>
    <row r="855" customFormat="false" ht="15" hidden="false" customHeight="false" outlineLevel="0" collapsed="false">
      <c r="A855" s="2" t="s">
        <v>146</v>
      </c>
      <c r="B855" s="2" t="s">
        <v>146</v>
      </c>
      <c r="C855" s="2" t="s">
        <v>48</v>
      </c>
      <c r="D855" s="2" t="s">
        <v>12</v>
      </c>
      <c r="E855" s="2" t="s">
        <v>85</v>
      </c>
      <c r="F855" s="2" t="s">
        <v>1145</v>
      </c>
      <c r="G855" s="14" t="n">
        <v>19.5</v>
      </c>
      <c r="H855" s="14" t="n">
        <v>28.14</v>
      </c>
      <c r="I855" s="14" t="n">
        <v>19.5</v>
      </c>
      <c r="J855" s="22" t="n">
        <f aca="false">IF(E855="Priority",'Cost model'!N761,'Cost model'!M761)</f>
        <v>45</v>
      </c>
      <c r="K855" s="14" t="n">
        <f aca="false">J855-H855</f>
        <v>16.86</v>
      </c>
      <c r="L855" s="14" t="n">
        <f aca="false">G855-H855</f>
        <v>-8.64</v>
      </c>
    </row>
    <row r="856" customFormat="false" ht="15" hidden="false" customHeight="false" outlineLevel="0" collapsed="false">
      <c r="A856" s="2" t="s">
        <v>240</v>
      </c>
      <c r="B856" s="2" t="s">
        <v>240</v>
      </c>
      <c r="C856" s="2" t="s">
        <v>48</v>
      </c>
      <c r="D856" s="2" t="s">
        <v>10</v>
      </c>
      <c r="E856" s="2" t="s">
        <v>85</v>
      </c>
      <c r="F856" s="2" t="s">
        <v>1145</v>
      </c>
      <c r="G856" s="14" t="n">
        <v>14.5</v>
      </c>
      <c r="H856" s="14" t="n">
        <v>7.68</v>
      </c>
      <c r="I856" s="14" t="n">
        <v>14.5</v>
      </c>
      <c r="J856" s="22" t="n">
        <f aca="false">IF(E856="Priority",'Cost model'!N884,'Cost model'!M884)</f>
        <v>12.5</v>
      </c>
      <c r="K856" s="14" t="n">
        <f aca="false">J856-H856</f>
        <v>4.82</v>
      </c>
      <c r="L856" s="14" t="n">
        <f aca="false">G856-H856</f>
        <v>6.82</v>
      </c>
    </row>
    <row r="857" customFormat="false" ht="15" hidden="false" customHeight="false" outlineLevel="0" collapsed="false">
      <c r="A857" s="2" t="s">
        <v>240</v>
      </c>
      <c r="B857" s="2" t="s">
        <v>240</v>
      </c>
      <c r="C857" s="2" t="s">
        <v>48</v>
      </c>
      <c r="D857" s="2" t="s">
        <v>10</v>
      </c>
      <c r="E857" s="2" t="s">
        <v>85</v>
      </c>
      <c r="F857" s="2" t="s">
        <v>1145</v>
      </c>
      <c r="G857" s="14" t="n">
        <v>14.5</v>
      </c>
      <c r="H857" s="14" t="n">
        <v>7.12</v>
      </c>
      <c r="I857" s="14" t="n">
        <v>14.5</v>
      </c>
      <c r="J857" s="22" t="n">
        <f aca="false">IF(E857="Priority",'Cost model'!N884,'Cost model'!M884)</f>
        <v>12.5</v>
      </c>
      <c r="K857" s="14" t="n">
        <f aca="false">J857-H857</f>
        <v>5.38</v>
      </c>
      <c r="L857" s="14" t="n">
        <f aca="false">G857-H857</f>
        <v>7.38</v>
      </c>
    </row>
    <row r="858" customFormat="false" ht="15" hidden="false" customHeight="false" outlineLevel="0" collapsed="false">
      <c r="A858" s="2" t="s">
        <v>240</v>
      </c>
      <c r="B858" s="2" t="s">
        <v>240</v>
      </c>
      <c r="C858" s="2" t="s">
        <v>48</v>
      </c>
      <c r="D858" s="2" t="s">
        <v>10</v>
      </c>
      <c r="E858" s="2" t="s">
        <v>85</v>
      </c>
      <c r="F858" s="2" t="s">
        <v>1145</v>
      </c>
      <c r="G858" s="14" t="n">
        <v>14.5</v>
      </c>
      <c r="H858" s="14" t="n">
        <v>8.09</v>
      </c>
      <c r="I858" s="14" t="n">
        <v>14.5</v>
      </c>
      <c r="J858" s="22" t="n">
        <f aca="false">IF(E858="Priority",'Cost model'!N884,'Cost model'!M884)</f>
        <v>12.5</v>
      </c>
      <c r="K858" s="14" t="n">
        <f aca="false">J858-H858</f>
        <v>4.41</v>
      </c>
      <c r="L858" s="14" t="n">
        <f aca="false">G858-H858</f>
        <v>6.41</v>
      </c>
    </row>
    <row r="859" customFormat="false" ht="15" hidden="false" customHeight="false" outlineLevel="0" collapsed="false">
      <c r="A859" s="2" t="s">
        <v>126</v>
      </c>
      <c r="B859" s="2" t="s">
        <v>184</v>
      </c>
      <c r="C859" s="2" t="s">
        <v>50</v>
      </c>
      <c r="D859" s="2" t="s">
        <v>10</v>
      </c>
      <c r="E859" s="2" t="s">
        <v>76</v>
      </c>
      <c r="F859" s="2" t="s">
        <v>1146</v>
      </c>
      <c r="G859" s="14" t="n">
        <v>17.5</v>
      </c>
      <c r="H859" s="14" t="n">
        <v>10.26</v>
      </c>
      <c r="I859" s="14" t="n">
        <v>17.5</v>
      </c>
      <c r="J859" s="22" t="n">
        <f aca="false">IF(E859="Priority",'Cost model'!N436,'Cost model'!M436)</f>
        <v>19.5</v>
      </c>
      <c r="K859" s="14" t="n">
        <f aca="false">J859-H859</f>
        <v>9.24</v>
      </c>
      <c r="L859" s="14" t="n">
        <f aca="false">G859-H859</f>
        <v>7.24</v>
      </c>
    </row>
    <row r="860" customFormat="false" ht="15" hidden="false" customHeight="false" outlineLevel="0" collapsed="false">
      <c r="A860" s="2" t="s">
        <v>184</v>
      </c>
      <c r="B860" s="2" t="s">
        <v>184</v>
      </c>
      <c r="C860" s="2" t="s">
        <v>49</v>
      </c>
      <c r="D860" s="2" t="s">
        <v>10</v>
      </c>
      <c r="E860" s="2" t="s">
        <v>76</v>
      </c>
      <c r="F860" s="2" t="s">
        <v>1145</v>
      </c>
      <c r="G860" s="14" t="n">
        <v>12.5</v>
      </c>
      <c r="H860" s="14" t="n">
        <v>12.27</v>
      </c>
      <c r="I860" s="14"/>
      <c r="J860" s="22" t="n">
        <f aca="false">IF(E860="Priority",'Cost model'!N201,'Cost model'!M201)</f>
        <v>12.5</v>
      </c>
      <c r="K860" s="14" t="n">
        <f aca="false">J860-H860</f>
        <v>0.23</v>
      </c>
      <c r="L860" s="14" t="n">
        <f aca="false">G860-H860</f>
        <v>0.23</v>
      </c>
    </row>
    <row r="861" customFormat="false" ht="15" hidden="false" customHeight="false" outlineLevel="0" collapsed="false">
      <c r="A861" s="2" t="s">
        <v>240</v>
      </c>
      <c r="B861" s="2" t="s">
        <v>165</v>
      </c>
      <c r="C861" s="2" t="s">
        <v>48</v>
      </c>
      <c r="D861" s="2" t="s">
        <v>10</v>
      </c>
      <c r="E861" s="2" t="s">
        <v>85</v>
      </c>
      <c r="F861" s="2" t="s">
        <v>1146</v>
      </c>
      <c r="G861" s="14" t="n">
        <v>19.5</v>
      </c>
      <c r="H861" s="14" t="n">
        <v>21.61</v>
      </c>
      <c r="I861" s="14" t="n">
        <v>19.5</v>
      </c>
      <c r="J861" s="22" t="n">
        <f aca="false">IF(E861="Priority",'Cost model'!N902,'Cost model'!M902)</f>
        <v>18.5</v>
      </c>
      <c r="K861" s="14" t="n">
        <f aca="false">J861-H861</f>
        <v>-3.11</v>
      </c>
      <c r="L861" s="14" t="n">
        <f aca="false">G861-H861</f>
        <v>-2.11</v>
      </c>
    </row>
    <row r="862" customFormat="false" ht="15" hidden="false" customHeight="false" outlineLevel="0" collapsed="false">
      <c r="A862" s="2" t="s">
        <v>146</v>
      </c>
      <c r="B862" s="2" t="s">
        <v>146</v>
      </c>
      <c r="C862" s="2" t="s">
        <v>48</v>
      </c>
      <c r="D862" s="2" t="s">
        <v>10</v>
      </c>
      <c r="E862" s="2" t="s">
        <v>76</v>
      </c>
      <c r="F862" s="2" t="s">
        <v>1145</v>
      </c>
      <c r="G862" s="14" t="n">
        <v>9.5</v>
      </c>
      <c r="H862" s="14" t="n">
        <v>24.48</v>
      </c>
      <c r="I862" s="14" t="n">
        <v>9.5</v>
      </c>
      <c r="J862" s="22" t="n">
        <f aca="false">IF(E862="Priority",'Cost model'!N758,'Cost model'!M758)</f>
        <v>9.5</v>
      </c>
      <c r="K862" s="14" t="n">
        <f aca="false">J862-H862</f>
        <v>-14.98</v>
      </c>
      <c r="L862" s="14" t="n">
        <f aca="false">G862-H862</f>
        <v>-14.98</v>
      </c>
    </row>
    <row r="863" customFormat="false" ht="15" hidden="false" customHeight="false" outlineLevel="0" collapsed="false">
      <c r="A863" s="2" t="s">
        <v>184</v>
      </c>
      <c r="B863" s="2" t="s">
        <v>146</v>
      </c>
      <c r="C863" s="2" t="s">
        <v>48</v>
      </c>
      <c r="D863" s="2" t="s">
        <v>12</v>
      </c>
      <c r="E863" s="2" t="s">
        <v>76</v>
      </c>
      <c r="F863" s="2" t="s">
        <v>1146</v>
      </c>
      <c r="G863" s="14" t="n">
        <v>9.5</v>
      </c>
      <c r="H863" s="14" t="n">
        <v>41.18</v>
      </c>
      <c r="I863" s="14" t="n">
        <v>9.5</v>
      </c>
      <c r="J863" s="22" t="n">
        <f aca="false">IF(E863="Priority",'Cost model'!N149,'Cost model'!M149)</f>
        <v>45</v>
      </c>
      <c r="K863" s="14" t="n">
        <f aca="false">J863-H863</f>
        <v>3.82</v>
      </c>
      <c r="L863" s="14" t="n">
        <f aca="false">G863-H863</f>
        <v>-31.68</v>
      </c>
    </row>
    <row r="864" customFormat="false" ht="15" hidden="false" customHeight="false" outlineLevel="0" collapsed="false">
      <c r="A864" s="2" t="s">
        <v>146</v>
      </c>
      <c r="B864" s="2" t="s">
        <v>184</v>
      </c>
      <c r="C864" s="2" t="s">
        <v>48</v>
      </c>
      <c r="D864" s="2" t="s">
        <v>10</v>
      </c>
      <c r="E864" s="2" t="s">
        <v>76</v>
      </c>
      <c r="F864" s="2" t="s">
        <v>1146</v>
      </c>
      <c r="G864" s="14" t="n">
        <v>14.5</v>
      </c>
      <c r="H864" s="14" t="n">
        <v>26.17</v>
      </c>
      <c r="I864" s="14" t="n">
        <v>14.5</v>
      </c>
      <c r="J864" s="22" t="n">
        <f aca="false">IF(E864="Priority",'Cost model'!N830,'Cost model'!M830)</f>
        <v>9.5</v>
      </c>
      <c r="K864" s="14" t="n">
        <f aca="false">J864-H864</f>
        <v>-16.67</v>
      </c>
      <c r="L864" s="14" t="n">
        <f aca="false">G864-H864</f>
        <v>-11.67</v>
      </c>
    </row>
    <row r="865" customFormat="false" ht="15" hidden="false" customHeight="false" outlineLevel="0" collapsed="false">
      <c r="A865" s="2" t="s">
        <v>184</v>
      </c>
      <c r="B865" s="2" t="s">
        <v>184</v>
      </c>
      <c r="C865" s="2" t="s">
        <v>49</v>
      </c>
      <c r="D865" s="2" t="s">
        <v>12</v>
      </c>
      <c r="E865" s="2" t="s">
        <v>76</v>
      </c>
      <c r="F865" s="2" t="s">
        <v>1145</v>
      </c>
      <c r="G865" s="14" t="n">
        <v>19.5</v>
      </c>
      <c r="H865" s="14" t="n">
        <v>47.65</v>
      </c>
      <c r="I865" s="14"/>
      <c r="J865" s="22" t="n">
        <f aca="false">IF(E865="Priority",'Cost model'!N204,'Cost model'!M204)</f>
        <v>45</v>
      </c>
      <c r="K865" s="14" t="n">
        <f aca="false">J865-H865</f>
        <v>-2.65</v>
      </c>
      <c r="L865" s="14" t="n">
        <f aca="false">G865-H865</f>
        <v>-28.15</v>
      </c>
    </row>
    <row r="866" customFormat="false" ht="15" hidden="false" customHeight="false" outlineLevel="0" collapsed="false">
      <c r="A866" s="2" t="s">
        <v>184</v>
      </c>
      <c r="B866" s="2" t="s">
        <v>165</v>
      </c>
      <c r="C866" s="2" t="s">
        <v>49</v>
      </c>
      <c r="D866" s="2" t="s">
        <v>12</v>
      </c>
      <c r="E866" s="2" t="s">
        <v>76</v>
      </c>
      <c r="F866" s="2" t="s">
        <v>1146</v>
      </c>
      <c r="G866" s="14" t="n">
        <v>19.5</v>
      </c>
      <c r="H866" s="14" t="n">
        <v>56.69</v>
      </c>
      <c r="I866" s="14"/>
      <c r="J866" s="22" t="n">
        <f aca="false">IF(E866="Priority",'Cost model'!N168,'Cost model'!M168)</f>
        <v>60</v>
      </c>
      <c r="K866" s="14" t="n">
        <f aca="false">J866-H866</f>
        <v>3.31</v>
      </c>
      <c r="L866" s="14" t="n">
        <f aca="false">G866-H866</f>
        <v>-37.19</v>
      </c>
    </row>
    <row r="867" customFormat="false" ht="15" hidden="false" customHeight="false" outlineLevel="0" collapsed="false">
      <c r="A867" s="2" t="s">
        <v>240</v>
      </c>
      <c r="B867" s="2" t="s">
        <v>240</v>
      </c>
      <c r="C867" s="2" t="s">
        <v>50</v>
      </c>
      <c r="D867" s="2" t="s">
        <v>14</v>
      </c>
      <c r="E867" s="2" t="s">
        <v>76</v>
      </c>
      <c r="F867" s="2" t="s">
        <v>1145</v>
      </c>
      <c r="G867" s="14" t="n">
        <v>300</v>
      </c>
      <c r="H867" s="14" t="n">
        <v>563.39</v>
      </c>
      <c r="I867" s="14" t="n">
        <v>125</v>
      </c>
      <c r="J867" s="22" t="n">
        <f aca="false">IF(E867="Priority",'Cost model'!N895,'Cost model'!M895)</f>
        <v>320</v>
      </c>
      <c r="K867" s="14" t="n">
        <f aca="false">J867-H867</f>
        <v>-243.39</v>
      </c>
      <c r="L867" s="14" t="n">
        <f aca="false">G867-H867</f>
        <v>-263.39</v>
      </c>
    </row>
    <row r="868" customFormat="false" ht="15" hidden="false" customHeight="false" outlineLevel="0" collapsed="false">
      <c r="A868" s="2" t="s">
        <v>146</v>
      </c>
      <c r="B868" s="2" t="s">
        <v>146</v>
      </c>
      <c r="C868" s="2" t="s">
        <v>49</v>
      </c>
      <c r="D868" s="2" t="s">
        <v>12</v>
      </c>
      <c r="E868" s="2" t="s">
        <v>85</v>
      </c>
      <c r="F868" s="2" t="s">
        <v>1145</v>
      </c>
      <c r="G868" s="14" t="n">
        <v>19.5</v>
      </c>
      <c r="H868" s="14" t="n">
        <v>61.29</v>
      </c>
      <c r="I868" s="14" t="n">
        <v>19.5</v>
      </c>
      <c r="J868" s="22" t="n">
        <f aca="false">IF(E868="Priority",'Cost model'!N762,'Cost model'!M762)</f>
        <v>60</v>
      </c>
      <c r="K868" s="14" t="n">
        <f aca="false">J868-H868</f>
        <v>-1.29</v>
      </c>
      <c r="L868" s="14" t="n">
        <f aca="false">G868-H868</f>
        <v>-41.79</v>
      </c>
    </row>
    <row r="869" customFormat="false" ht="15" hidden="false" customHeight="false" outlineLevel="0" collapsed="false">
      <c r="A869" s="2" t="s">
        <v>126</v>
      </c>
      <c r="B869" s="2" t="s">
        <v>126</v>
      </c>
      <c r="C869" s="2" t="s">
        <v>50</v>
      </c>
      <c r="D869" s="2" t="s">
        <v>13</v>
      </c>
      <c r="E869" s="2" t="s">
        <v>76</v>
      </c>
      <c r="F869" s="2" t="s">
        <v>1145</v>
      </c>
      <c r="G869" s="14" t="n">
        <v>50</v>
      </c>
      <c r="H869" s="14" t="n">
        <v>84.95</v>
      </c>
      <c r="I869" s="14" t="n">
        <v>50</v>
      </c>
      <c r="J869" s="22" t="n">
        <f aca="false">IF(E869="Priority",'Cost model'!N388,'Cost model'!M388)</f>
        <v>110</v>
      </c>
      <c r="K869" s="14" t="n">
        <f aca="false">J869-H869</f>
        <v>25.05</v>
      </c>
      <c r="L869" s="14" t="n">
        <f aca="false">G869-H869</f>
        <v>-34.95</v>
      </c>
    </row>
    <row r="870" customFormat="false" ht="15" hidden="false" customHeight="false" outlineLevel="0" collapsed="false">
      <c r="A870" s="2" t="s">
        <v>146</v>
      </c>
      <c r="B870" s="2" t="s">
        <v>146</v>
      </c>
      <c r="C870" s="2" t="s">
        <v>49</v>
      </c>
      <c r="D870" s="2" t="s">
        <v>12</v>
      </c>
      <c r="E870" s="2" t="s">
        <v>76</v>
      </c>
      <c r="F870" s="2" t="s">
        <v>1145</v>
      </c>
      <c r="G870" s="14" t="n">
        <v>29.5</v>
      </c>
      <c r="H870" s="14" t="n">
        <v>43.46</v>
      </c>
      <c r="I870" s="14" t="n">
        <v>12.5</v>
      </c>
      <c r="J870" s="22" t="n">
        <f aca="false">IF(E870="Priority",'Cost model'!N762,'Cost model'!M762)</f>
        <v>45</v>
      </c>
      <c r="K870" s="14" t="n">
        <f aca="false">J870-H870</f>
        <v>1.54</v>
      </c>
      <c r="L870" s="14" t="n">
        <f aca="false">G870-H870</f>
        <v>-13.96</v>
      </c>
    </row>
    <row r="871" customFormat="false" ht="15" hidden="false" customHeight="false" outlineLevel="0" collapsed="false">
      <c r="A871" s="2" t="s">
        <v>184</v>
      </c>
      <c r="B871" s="2" t="s">
        <v>184</v>
      </c>
      <c r="C871" s="2" t="s">
        <v>50</v>
      </c>
      <c r="D871" s="2" t="s">
        <v>10</v>
      </c>
      <c r="E871" s="2" t="s">
        <v>85</v>
      </c>
      <c r="F871" s="2" t="s">
        <v>1145</v>
      </c>
      <c r="G871" s="14" t="n">
        <v>24.5</v>
      </c>
      <c r="H871" s="14" t="n">
        <v>10.79</v>
      </c>
      <c r="I871" s="14" t="n">
        <v>24.5</v>
      </c>
      <c r="J871" s="22" t="n">
        <f aca="false">IF(E871="Priority",'Cost model'!N202,'Cost model'!M202)</f>
        <v>23.5</v>
      </c>
      <c r="K871" s="14" t="n">
        <f aca="false">J871-H871</f>
        <v>12.71</v>
      </c>
      <c r="L871" s="14" t="n">
        <f aca="false">G871-H871</f>
        <v>13.71</v>
      </c>
    </row>
    <row r="872" customFormat="false" ht="15" hidden="false" customHeight="false" outlineLevel="0" collapsed="false">
      <c r="A872" s="2" t="s">
        <v>146</v>
      </c>
      <c r="B872" s="2" t="s">
        <v>146</v>
      </c>
      <c r="C872" s="2" t="s">
        <v>50</v>
      </c>
      <c r="D872" s="2" t="s">
        <v>10</v>
      </c>
      <c r="E872" s="2" t="s">
        <v>85</v>
      </c>
      <c r="F872" s="2" t="s">
        <v>1145</v>
      </c>
      <c r="G872" s="14" t="n">
        <v>24.5</v>
      </c>
      <c r="H872" s="14" t="n">
        <v>24.17</v>
      </c>
      <c r="I872" s="14" t="n">
        <v>24.5</v>
      </c>
      <c r="J872" s="22" t="n">
        <f aca="false">IF(E872="Priority",'Cost model'!N760,'Cost model'!M760)</f>
        <v>25.5</v>
      </c>
      <c r="K872" s="14" t="n">
        <f aca="false">J872-H872</f>
        <v>1.33</v>
      </c>
      <c r="L872" s="14" t="n">
        <f aca="false">G872-H872</f>
        <v>0.329999999999998</v>
      </c>
    </row>
    <row r="873" customFormat="false" ht="15" hidden="false" customHeight="false" outlineLevel="0" collapsed="false">
      <c r="A873" s="2" t="s">
        <v>146</v>
      </c>
      <c r="B873" s="2" t="s">
        <v>146</v>
      </c>
      <c r="C873" s="2" t="s">
        <v>49</v>
      </c>
      <c r="D873" s="2" t="s">
        <v>12</v>
      </c>
      <c r="E873" s="2" t="s">
        <v>76</v>
      </c>
      <c r="F873" s="2" t="s">
        <v>1145</v>
      </c>
      <c r="G873" s="14" t="n">
        <v>14.5</v>
      </c>
      <c r="H873" s="14" t="n">
        <v>64.85</v>
      </c>
      <c r="I873" s="14" t="n">
        <v>12.5</v>
      </c>
      <c r="J873" s="22" t="n">
        <f aca="false">IF(E873="Priority",'Cost model'!N762,'Cost model'!M762)</f>
        <v>45</v>
      </c>
      <c r="K873" s="14" t="n">
        <f aca="false">J873-H873</f>
        <v>-19.85</v>
      </c>
      <c r="L873" s="14" t="n">
        <f aca="false">G873-H873</f>
        <v>-50.35</v>
      </c>
    </row>
    <row r="874" customFormat="false" ht="15" hidden="false" customHeight="false" outlineLevel="0" collapsed="false">
      <c r="A874" s="2" t="s">
        <v>126</v>
      </c>
      <c r="B874" s="2" t="s">
        <v>126</v>
      </c>
      <c r="C874" s="2" t="s">
        <v>48</v>
      </c>
      <c r="D874" s="2" t="s">
        <v>12</v>
      </c>
      <c r="E874" s="2" t="s">
        <v>76</v>
      </c>
      <c r="F874" s="2" t="s">
        <v>1145</v>
      </c>
      <c r="G874" s="14" t="n">
        <v>9.5</v>
      </c>
      <c r="H874" s="14" t="n">
        <v>27.58</v>
      </c>
      <c r="I874" s="14" t="n">
        <v>9.5</v>
      </c>
      <c r="J874" s="22" t="n">
        <f aca="false">IF(E874="Priority",'Cost model'!N383,'Cost model'!M383)</f>
        <v>27.5</v>
      </c>
      <c r="K874" s="14" t="n">
        <f aca="false">J874-H874</f>
        <v>-0.0799999999999983</v>
      </c>
      <c r="L874" s="14" t="n">
        <f aca="false">G874-H874</f>
        <v>-18.08</v>
      </c>
    </row>
    <row r="875" customFormat="false" ht="15" hidden="false" customHeight="false" outlineLevel="0" collapsed="false">
      <c r="A875" s="2" t="s">
        <v>240</v>
      </c>
      <c r="B875" s="2" t="s">
        <v>240</v>
      </c>
      <c r="C875" s="2" t="s">
        <v>48</v>
      </c>
      <c r="D875" s="2" t="s">
        <v>10</v>
      </c>
      <c r="E875" s="2" t="s">
        <v>76</v>
      </c>
      <c r="F875" s="2" t="s">
        <v>1145</v>
      </c>
      <c r="G875" s="14" t="n">
        <v>9.5</v>
      </c>
      <c r="H875" s="14" t="n">
        <v>8.14</v>
      </c>
      <c r="I875" s="14" t="n">
        <v>9.5</v>
      </c>
      <c r="J875" s="22" t="n">
        <f aca="false">IF(E875="Priority",'Cost model'!N884,'Cost model'!M884)</f>
        <v>7.5</v>
      </c>
      <c r="K875" s="14" t="n">
        <f aca="false">J875-H875</f>
        <v>-0.640000000000001</v>
      </c>
      <c r="L875" s="14" t="n">
        <f aca="false">G875-H875</f>
        <v>1.36</v>
      </c>
    </row>
    <row r="876" customFormat="false" ht="15" hidden="false" customHeight="false" outlineLevel="0" collapsed="false">
      <c r="A876" s="2" t="s">
        <v>125</v>
      </c>
      <c r="B876" s="2" t="s">
        <v>126</v>
      </c>
      <c r="C876" s="2" t="s">
        <v>48</v>
      </c>
      <c r="D876" s="2" t="s">
        <v>12</v>
      </c>
      <c r="E876" s="2" t="s">
        <v>76</v>
      </c>
      <c r="F876" s="2" t="s">
        <v>1146</v>
      </c>
      <c r="G876" s="14" t="n">
        <v>19.5</v>
      </c>
      <c r="H876" s="14" t="n">
        <v>55.85</v>
      </c>
      <c r="I876" s="14" t="n">
        <v>19.5</v>
      </c>
      <c r="J876" s="22" t="n">
        <f aca="false">IF(E876="Priority",'Cost model'!N5,'Cost model'!M5)</f>
        <v>50</v>
      </c>
      <c r="K876" s="14" t="n">
        <f aca="false">J876-H876</f>
        <v>-5.85</v>
      </c>
      <c r="L876" s="14" t="n">
        <f aca="false">G876-H876</f>
        <v>-36.35</v>
      </c>
    </row>
    <row r="877" customFormat="false" ht="15" hidden="false" customHeight="false" outlineLevel="0" collapsed="false">
      <c r="A877" s="2" t="s">
        <v>165</v>
      </c>
      <c r="B877" s="2" t="s">
        <v>165</v>
      </c>
      <c r="C877" s="2" t="s">
        <v>50</v>
      </c>
      <c r="D877" s="2" t="s">
        <v>10</v>
      </c>
      <c r="E877" s="2" t="s">
        <v>76</v>
      </c>
      <c r="F877" s="2" t="s">
        <v>1145</v>
      </c>
      <c r="G877" s="14" t="n">
        <v>17.5</v>
      </c>
      <c r="H877" s="14" t="n">
        <v>14.53</v>
      </c>
      <c r="I877" s="14" t="n">
        <v>17.5</v>
      </c>
      <c r="J877" s="22" t="n">
        <f aca="false">IF(E877="Priority",'Cost model'!N508,'Cost model'!M508)</f>
        <v>17.5</v>
      </c>
      <c r="K877" s="14" t="n">
        <f aca="false">J877-H877</f>
        <v>2.97</v>
      </c>
      <c r="L877" s="14" t="n">
        <f aca="false">G877-H877</f>
        <v>2.97</v>
      </c>
    </row>
    <row r="878" customFormat="false" ht="15" hidden="false" customHeight="false" outlineLevel="0" collapsed="false">
      <c r="A878" s="2" t="s">
        <v>126</v>
      </c>
      <c r="B878" s="2" t="s">
        <v>126</v>
      </c>
      <c r="C878" s="2" t="s">
        <v>50</v>
      </c>
      <c r="D878" s="2" t="s">
        <v>12</v>
      </c>
      <c r="E878" s="2" t="s">
        <v>76</v>
      </c>
      <c r="F878" s="2" t="s">
        <v>1145</v>
      </c>
      <c r="G878" s="14" t="n">
        <v>19.5</v>
      </c>
      <c r="H878" s="14" t="n">
        <v>57.94</v>
      </c>
      <c r="I878" s="14" t="n">
        <v>19.5</v>
      </c>
      <c r="J878" s="22" t="n">
        <f aca="false">IF(E878="Priority",'Cost model'!N385,'Cost model'!M385)</f>
        <v>55</v>
      </c>
      <c r="K878" s="14" t="n">
        <f aca="false">J878-H878</f>
        <v>-2.94</v>
      </c>
      <c r="L878" s="14" t="n">
        <f aca="false">G878-H878</f>
        <v>-38.44</v>
      </c>
    </row>
    <row r="879" customFormat="false" ht="15" hidden="false" customHeight="false" outlineLevel="0" collapsed="false">
      <c r="A879" s="2" t="s">
        <v>146</v>
      </c>
      <c r="B879" s="2" t="s">
        <v>146</v>
      </c>
      <c r="C879" s="2" t="s">
        <v>50</v>
      </c>
      <c r="D879" s="2" t="s">
        <v>14</v>
      </c>
      <c r="E879" s="2" t="s">
        <v>85</v>
      </c>
      <c r="F879" s="2" t="s">
        <v>1145</v>
      </c>
      <c r="G879" s="14" t="n">
        <v>150</v>
      </c>
      <c r="H879" s="14" t="n">
        <v>267.67</v>
      </c>
      <c r="I879" s="14" t="n">
        <v>150</v>
      </c>
      <c r="J879" s="22" t="n">
        <f aca="false">IF(E879="Priority",'Cost model'!N769,'Cost model'!M769)</f>
        <v>195</v>
      </c>
      <c r="K879" s="14" t="n">
        <f aca="false">J879-H879</f>
        <v>-72.67</v>
      </c>
      <c r="L879" s="14" t="n">
        <f aca="false">G879-H879</f>
        <v>-117.67</v>
      </c>
    </row>
    <row r="880" customFormat="false" ht="15" hidden="false" customHeight="false" outlineLevel="0" collapsed="false">
      <c r="A880" s="2" t="s">
        <v>126</v>
      </c>
      <c r="B880" s="2" t="s">
        <v>126</v>
      </c>
      <c r="C880" s="2" t="s">
        <v>50</v>
      </c>
      <c r="D880" s="2" t="s">
        <v>10</v>
      </c>
      <c r="E880" s="2" t="s">
        <v>85</v>
      </c>
      <c r="F880" s="2" t="s">
        <v>1145</v>
      </c>
      <c r="G880" s="14" t="n">
        <v>24.5</v>
      </c>
      <c r="H880" s="14" t="n">
        <v>21.34</v>
      </c>
      <c r="I880" s="14" t="n">
        <v>24.5</v>
      </c>
      <c r="J880" s="22" t="n">
        <f aca="false">IF(E880="Priority",'Cost model'!N382,'Cost model'!M382)</f>
        <v>25.5</v>
      </c>
      <c r="K880" s="14" t="n">
        <f aca="false">J880-H880</f>
        <v>4.16</v>
      </c>
      <c r="L880" s="14" t="n">
        <f aca="false">G880-H880</f>
        <v>3.16</v>
      </c>
    </row>
    <row r="881" customFormat="false" ht="15" hidden="false" customHeight="false" outlineLevel="0" collapsed="false">
      <c r="A881" s="2" t="s">
        <v>240</v>
      </c>
      <c r="B881" s="2" t="s">
        <v>240</v>
      </c>
      <c r="C881" s="2" t="s">
        <v>48</v>
      </c>
      <c r="D881" s="2" t="s">
        <v>12</v>
      </c>
      <c r="E881" s="2" t="s">
        <v>76</v>
      </c>
      <c r="F881" s="2" t="s">
        <v>1145</v>
      </c>
      <c r="G881" s="14" t="n">
        <v>9.5</v>
      </c>
      <c r="H881" s="14" t="n">
        <v>9.25</v>
      </c>
      <c r="I881" s="14" t="n">
        <v>9.5</v>
      </c>
      <c r="J881" s="22" t="n">
        <f aca="false">IF(E881="Priority",'Cost model'!N887,'Cost model'!M887)</f>
        <v>21.5</v>
      </c>
      <c r="K881" s="14" t="n">
        <f aca="false">J881-H881</f>
        <v>12.25</v>
      </c>
      <c r="L881" s="14" t="n">
        <f aca="false">G881-H881</f>
        <v>0.25</v>
      </c>
    </row>
    <row r="882" customFormat="false" ht="15" hidden="false" customHeight="false" outlineLevel="0" collapsed="false">
      <c r="A882" s="2" t="s">
        <v>240</v>
      </c>
      <c r="B882" s="2" t="s">
        <v>240</v>
      </c>
      <c r="C882" s="2" t="s">
        <v>49</v>
      </c>
      <c r="D882" s="2" t="s">
        <v>10</v>
      </c>
      <c r="E882" s="2" t="s">
        <v>76</v>
      </c>
      <c r="F882" s="2" t="s">
        <v>1145</v>
      </c>
      <c r="G882" s="14" t="n">
        <v>12.5</v>
      </c>
      <c r="H882" s="14" t="n">
        <v>9.94</v>
      </c>
      <c r="I882" s="14" t="n">
        <v>12.5</v>
      </c>
      <c r="J882" s="22" t="n">
        <f aca="false">IF(E882="Priority",'Cost model'!N885,'Cost model'!M885)</f>
        <v>13.5</v>
      </c>
      <c r="K882" s="14" t="n">
        <f aca="false">J882-H882</f>
        <v>3.56</v>
      </c>
      <c r="L882" s="14" t="n">
        <f aca="false">G882-H882</f>
        <v>2.56</v>
      </c>
    </row>
    <row r="883" customFormat="false" ht="15" hidden="false" customHeight="false" outlineLevel="0" collapsed="false">
      <c r="A883" s="2" t="s">
        <v>240</v>
      </c>
      <c r="B883" s="2" t="s">
        <v>165</v>
      </c>
      <c r="C883" s="2" t="s">
        <v>48</v>
      </c>
      <c r="D883" s="2" t="s">
        <v>12</v>
      </c>
      <c r="E883" s="2" t="s">
        <v>76</v>
      </c>
      <c r="F883" s="2" t="s">
        <v>1146</v>
      </c>
      <c r="G883" s="14" t="n">
        <v>19.5</v>
      </c>
      <c r="H883" s="14" t="n">
        <v>51.47</v>
      </c>
      <c r="I883" s="14" t="n">
        <v>19.5</v>
      </c>
      <c r="J883" s="22" t="n">
        <f aca="false">IF(E883="Priority",'Cost model'!N905,'Cost model'!M905)</f>
        <v>50</v>
      </c>
      <c r="K883" s="14" t="n">
        <f aca="false">J883-H883</f>
        <v>-1.47</v>
      </c>
      <c r="L883" s="14" t="n">
        <f aca="false">G883-H883</f>
        <v>-31.97</v>
      </c>
    </row>
    <row r="884" customFormat="false" ht="15" hidden="false" customHeight="false" outlineLevel="0" collapsed="false">
      <c r="A884" s="2" t="s">
        <v>126</v>
      </c>
      <c r="B884" s="2" t="s">
        <v>184</v>
      </c>
      <c r="C884" s="2" t="s">
        <v>49</v>
      </c>
      <c r="D884" s="2" t="s">
        <v>12</v>
      </c>
      <c r="E884" s="2" t="s">
        <v>76</v>
      </c>
      <c r="F884" s="2" t="s">
        <v>1146</v>
      </c>
      <c r="G884" s="14" t="n">
        <v>19.5</v>
      </c>
      <c r="H884" s="14" t="n">
        <v>63.2</v>
      </c>
      <c r="I884" s="14" t="n">
        <v>19.5</v>
      </c>
      <c r="J884" s="22" t="n">
        <f aca="false">IF(E884="Priority",'Cost model'!N438,'Cost model'!M438)</f>
        <v>55</v>
      </c>
      <c r="K884" s="14" t="n">
        <f aca="false">J884-H884</f>
        <v>-8.2</v>
      </c>
      <c r="L884" s="14" t="n">
        <f aca="false">G884-H884</f>
        <v>-43.7</v>
      </c>
    </row>
    <row r="885" customFormat="false" ht="15" hidden="false" customHeight="false" outlineLevel="0" collapsed="false">
      <c r="A885" s="2" t="s">
        <v>165</v>
      </c>
      <c r="B885" s="2" t="s">
        <v>184</v>
      </c>
      <c r="C885" s="2" t="s">
        <v>50</v>
      </c>
      <c r="D885" s="2" t="s">
        <v>12</v>
      </c>
      <c r="E885" s="2" t="s">
        <v>76</v>
      </c>
      <c r="F885" s="2" t="s">
        <v>1146</v>
      </c>
      <c r="G885" s="14" t="n">
        <v>19.5</v>
      </c>
      <c r="H885" s="14" t="n">
        <v>78.22</v>
      </c>
      <c r="I885" s="14" t="n">
        <v>19.5</v>
      </c>
      <c r="J885" s="22" t="n">
        <f aca="false">IF(E885="Priority",'Cost model'!N583,'Cost model'!M583)</f>
        <v>55</v>
      </c>
      <c r="K885" s="14" t="n">
        <f aca="false">J885-H885</f>
        <v>-23.22</v>
      </c>
      <c r="L885" s="14" t="n">
        <f aca="false">G885-H885</f>
        <v>-58.72</v>
      </c>
    </row>
    <row r="886" customFormat="false" ht="15" hidden="false" customHeight="false" outlineLevel="0" collapsed="false">
      <c r="A886" s="2" t="s">
        <v>184</v>
      </c>
      <c r="B886" s="2" t="s">
        <v>165</v>
      </c>
      <c r="C886" s="2" t="s">
        <v>48</v>
      </c>
      <c r="D886" s="2" t="s">
        <v>12</v>
      </c>
      <c r="E886" s="2" t="s">
        <v>76</v>
      </c>
      <c r="F886" s="2" t="s">
        <v>1146</v>
      </c>
      <c r="G886" s="14" t="n">
        <v>9.5</v>
      </c>
      <c r="H886" s="14" t="n">
        <v>58.55</v>
      </c>
      <c r="I886" s="14" t="n">
        <v>19.5</v>
      </c>
      <c r="J886" s="22" t="n">
        <f aca="false">IF(E886="Priority",'Cost model'!N167,'Cost model'!M167)</f>
        <v>60</v>
      </c>
      <c r="K886" s="14" t="n">
        <f aca="false">J886-H886</f>
        <v>1.45</v>
      </c>
      <c r="L886" s="14" t="n">
        <f aca="false">G886-H886</f>
        <v>-49.05</v>
      </c>
    </row>
    <row r="887" customFormat="false" ht="15" hidden="false" customHeight="false" outlineLevel="0" collapsed="false">
      <c r="A887" s="2" t="s">
        <v>146</v>
      </c>
      <c r="B887" s="2" t="s">
        <v>146</v>
      </c>
      <c r="C887" s="2" t="s">
        <v>48</v>
      </c>
      <c r="D887" s="2" t="s">
        <v>10</v>
      </c>
      <c r="E887" s="2" t="s">
        <v>76</v>
      </c>
      <c r="F887" s="2" t="s">
        <v>1145</v>
      </c>
      <c r="G887" s="14" t="n">
        <v>9.5</v>
      </c>
      <c r="H887" s="14" t="n">
        <v>6.12</v>
      </c>
      <c r="I887" s="14" t="n">
        <v>9.5</v>
      </c>
      <c r="J887" s="22" t="n">
        <f aca="false">IF(E887="Priority",'Cost model'!N758,'Cost model'!M758)</f>
        <v>9.5</v>
      </c>
      <c r="K887" s="14" t="n">
        <f aca="false">J887-H887</f>
        <v>3.38</v>
      </c>
      <c r="L887" s="14" t="n">
        <f aca="false">G887-H887</f>
        <v>3.38</v>
      </c>
    </row>
    <row r="888" customFormat="false" ht="15" hidden="false" customHeight="false" outlineLevel="0" collapsed="false">
      <c r="A888" s="2" t="s">
        <v>240</v>
      </c>
      <c r="B888" s="2" t="s">
        <v>165</v>
      </c>
      <c r="C888" s="2" t="s">
        <v>48</v>
      </c>
      <c r="D888" s="2" t="s">
        <v>10</v>
      </c>
      <c r="E888" s="2" t="s">
        <v>76</v>
      </c>
      <c r="F888" s="2" t="s">
        <v>1146</v>
      </c>
      <c r="G888" s="14" t="n">
        <v>9.5</v>
      </c>
      <c r="H888" s="14" t="n">
        <v>9.28</v>
      </c>
      <c r="I888" s="14" t="n">
        <v>14.5</v>
      </c>
      <c r="J888" s="22" t="n">
        <f aca="false">IF(E888="Priority",'Cost model'!N902,'Cost model'!M902)</f>
        <v>13.5</v>
      </c>
      <c r="K888" s="14" t="n">
        <f aca="false">J888-H888</f>
        <v>4.22</v>
      </c>
      <c r="L888" s="14" t="n">
        <f aca="false">G888-H888</f>
        <v>0.220000000000001</v>
      </c>
    </row>
    <row r="889" customFormat="false" ht="15" hidden="false" customHeight="false" outlineLevel="0" collapsed="false">
      <c r="A889" s="2" t="s">
        <v>126</v>
      </c>
      <c r="B889" s="2" t="s">
        <v>184</v>
      </c>
      <c r="C889" s="2" t="s">
        <v>50</v>
      </c>
      <c r="D889" s="2" t="s">
        <v>12</v>
      </c>
      <c r="E889" s="2" t="s">
        <v>76</v>
      </c>
      <c r="F889" s="2" t="s">
        <v>1146</v>
      </c>
      <c r="G889" s="14" t="n">
        <v>19.5</v>
      </c>
      <c r="H889" s="14" t="n">
        <v>77.11</v>
      </c>
      <c r="I889" s="14" t="n">
        <v>19.5</v>
      </c>
      <c r="J889" s="22" t="n">
        <f aca="false">IF(E889="Priority",'Cost model'!N439,'Cost model'!M439)</f>
        <v>60</v>
      </c>
      <c r="K889" s="14" t="n">
        <f aca="false">J889-H889</f>
        <v>-17.11</v>
      </c>
      <c r="L889" s="14" t="n">
        <f aca="false">G889-H889</f>
        <v>-57.61</v>
      </c>
    </row>
    <row r="890" customFormat="false" ht="15" hidden="false" customHeight="false" outlineLevel="0" collapsed="false">
      <c r="A890" s="2" t="s">
        <v>184</v>
      </c>
      <c r="B890" s="2" t="s">
        <v>184</v>
      </c>
      <c r="C890" s="2" t="s">
        <v>48</v>
      </c>
      <c r="D890" s="2" t="s">
        <v>10</v>
      </c>
      <c r="E890" s="2" t="s">
        <v>76</v>
      </c>
      <c r="F890" s="2" t="s">
        <v>1145</v>
      </c>
      <c r="G890" s="14" t="n">
        <v>9.5</v>
      </c>
      <c r="H890" s="14" t="n">
        <v>6.11</v>
      </c>
      <c r="I890" s="14" t="n">
        <v>9.5</v>
      </c>
      <c r="J890" s="22" t="n">
        <f aca="false">IF(E890="Priority",'Cost model'!N200,'Cost model'!M200)</f>
        <v>7.5</v>
      </c>
      <c r="K890" s="14" t="n">
        <f aca="false">J890-H890</f>
        <v>1.39</v>
      </c>
      <c r="L890" s="14" t="n">
        <f aca="false">G890-H890</f>
        <v>3.39</v>
      </c>
    </row>
    <row r="891" customFormat="false" ht="15" hidden="false" customHeight="false" outlineLevel="0" collapsed="false">
      <c r="A891" s="2" t="s">
        <v>240</v>
      </c>
      <c r="B891" s="2" t="s">
        <v>240</v>
      </c>
      <c r="C891" s="2" t="s">
        <v>48</v>
      </c>
      <c r="D891" s="2" t="s">
        <v>10</v>
      </c>
      <c r="E891" s="2" t="s">
        <v>76</v>
      </c>
      <c r="F891" s="2" t="s">
        <v>1145</v>
      </c>
      <c r="G891" s="14" t="n">
        <v>9.5</v>
      </c>
      <c r="H891" s="14" t="n">
        <v>8.01</v>
      </c>
      <c r="I891" s="14" t="n">
        <v>9.5</v>
      </c>
      <c r="J891" s="22" t="n">
        <f aca="false">IF(E891="Priority",'Cost model'!N884,'Cost model'!M884)</f>
        <v>7.5</v>
      </c>
      <c r="K891" s="14" t="n">
        <f aca="false">J891-H891</f>
        <v>-0.51</v>
      </c>
      <c r="L891" s="14" t="n">
        <f aca="false">G891-H891</f>
        <v>1.49</v>
      </c>
    </row>
    <row r="892" customFormat="false" ht="15" hidden="false" customHeight="false" outlineLevel="0" collapsed="false">
      <c r="A892" s="2" t="s">
        <v>184</v>
      </c>
      <c r="B892" s="2" t="s">
        <v>184</v>
      </c>
      <c r="C892" s="2" t="s">
        <v>48</v>
      </c>
      <c r="D892" s="2" t="s">
        <v>12</v>
      </c>
      <c r="E892" s="2" t="s">
        <v>76</v>
      </c>
      <c r="F892" s="2" t="s">
        <v>1145</v>
      </c>
      <c r="G892" s="14" t="n">
        <v>9.5</v>
      </c>
      <c r="H892" s="14" t="n">
        <v>27.62</v>
      </c>
      <c r="I892" s="14" t="n">
        <v>9.5</v>
      </c>
      <c r="J892" s="22" t="n">
        <f aca="false">IF(E892="Priority",'Cost model'!N203,'Cost model'!M203)</f>
        <v>26.5</v>
      </c>
      <c r="K892" s="14" t="n">
        <f aca="false">J892-H892</f>
        <v>-1.12</v>
      </c>
      <c r="L892" s="14" t="n">
        <f aca="false">G892-H892</f>
        <v>-18.12</v>
      </c>
    </row>
    <row r="893" customFormat="false" ht="15" hidden="false" customHeight="false" outlineLevel="0" collapsed="false">
      <c r="A893" s="2" t="s">
        <v>146</v>
      </c>
      <c r="B893" s="2" t="s">
        <v>146</v>
      </c>
      <c r="C893" s="2" t="s">
        <v>50</v>
      </c>
      <c r="D893" s="2" t="s">
        <v>10</v>
      </c>
      <c r="E893" s="2" t="s">
        <v>76</v>
      </c>
      <c r="F893" s="2" t="s">
        <v>1145</v>
      </c>
      <c r="G893" s="14" t="n">
        <v>17.5</v>
      </c>
      <c r="H893" s="14" t="n">
        <v>17.31</v>
      </c>
      <c r="I893" s="14" t="n">
        <v>17.5</v>
      </c>
      <c r="J893" s="22" t="n">
        <f aca="false">IF(E893="Priority",'Cost model'!N760,'Cost model'!M760)</f>
        <v>18.5</v>
      </c>
      <c r="K893" s="14" t="n">
        <f aca="false">J893-H893</f>
        <v>1.19</v>
      </c>
      <c r="L893" s="14" t="n">
        <f aca="false">G893-H893</f>
        <v>0.190000000000001</v>
      </c>
    </row>
    <row r="894" customFormat="false" ht="15" hidden="false" customHeight="false" outlineLevel="0" collapsed="false">
      <c r="A894" s="2" t="s">
        <v>184</v>
      </c>
      <c r="B894" s="2" t="s">
        <v>184</v>
      </c>
      <c r="C894" s="2" t="s">
        <v>49</v>
      </c>
      <c r="D894" s="2" t="s">
        <v>12</v>
      </c>
      <c r="E894" s="2" t="s">
        <v>76</v>
      </c>
      <c r="F894" s="2" t="s">
        <v>1145</v>
      </c>
      <c r="G894" s="14" t="n">
        <v>12.5</v>
      </c>
      <c r="H894" s="14" t="n">
        <v>15.9</v>
      </c>
      <c r="I894" s="14"/>
      <c r="J894" s="22" t="n">
        <f aca="false">IF(E894="Priority",'Cost model'!N204,'Cost model'!M204)</f>
        <v>45</v>
      </c>
      <c r="K894" s="14" t="n">
        <f aca="false">J894-H894</f>
        <v>29.1</v>
      </c>
      <c r="L894" s="14" t="n">
        <f aca="false">G894-H894</f>
        <v>-3.4</v>
      </c>
    </row>
    <row r="895" customFormat="false" ht="15" hidden="false" customHeight="false" outlineLevel="0" collapsed="false">
      <c r="A895" s="2" t="s">
        <v>240</v>
      </c>
      <c r="B895" s="2" t="s">
        <v>240</v>
      </c>
      <c r="C895" s="2" t="s">
        <v>50</v>
      </c>
      <c r="D895" s="2" t="s">
        <v>10</v>
      </c>
      <c r="E895" s="2" t="s">
        <v>76</v>
      </c>
      <c r="F895" s="2" t="s">
        <v>1145</v>
      </c>
      <c r="G895" s="14" t="n">
        <v>17.5</v>
      </c>
      <c r="H895" s="14" t="n">
        <v>11.34</v>
      </c>
      <c r="I895" s="14" t="n">
        <v>17.5</v>
      </c>
      <c r="J895" s="22" t="n">
        <f aca="false">IF(E895="Priority",'Cost model'!N886,'Cost model'!M886)</f>
        <v>17.5</v>
      </c>
      <c r="K895" s="14" t="n">
        <f aca="false">J895-H895</f>
        <v>6.16</v>
      </c>
      <c r="L895" s="14" t="n">
        <f aca="false">G895-H895</f>
        <v>6.16</v>
      </c>
    </row>
    <row r="896" customFormat="false" ht="15" hidden="false" customHeight="false" outlineLevel="0" collapsed="false">
      <c r="A896" s="2" t="s">
        <v>146</v>
      </c>
      <c r="B896" s="2" t="s">
        <v>165</v>
      </c>
      <c r="C896" s="2" t="s">
        <v>50</v>
      </c>
      <c r="D896" s="2" t="s">
        <v>10</v>
      </c>
      <c r="E896" s="2" t="s">
        <v>76</v>
      </c>
      <c r="F896" s="2" t="s">
        <v>1146</v>
      </c>
      <c r="G896" s="14" t="n">
        <v>17.5</v>
      </c>
      <c r="H896" s="14" t="n">
        <v>20.11</v>
      </c>
      <c r="I896" s="14" t="n">
        <v>17.5</v>
      </c>
      <c r="J896" s="22" t="n">
        <f aca="false">IF(E896="Priority",'Cost model'!N778,'Cost model'!M778)</f>
        <v>19.5</v>
      </c>
      <c r="K896" s="14" t="n">
        <f aca="false">J896-H896</f>
        <v>-0.609999999999999</v>
      </c>
      <c r="L896" s="14" t="n">
        <f aca="false">G896-H896</f>
        <v>-2.61</v>
      </c>
    </row>
    <row r="897" customFormat="false" ht="15" hidden="false" customHeight="false" outlineLevel="0" collapsed="false">
      <c r="A897" s="2" t="s">
        <v>146</v>
      </c>
      <c r="B897" s="2" t="s">
        <v>146</v>
      </c>
      <c r="C897" s="2" t="s">
        <v>49</v>
      </c>
      <c r="D897" s="2" t="s">
        <v>10</v>
      </c>
      <c r="E897" s="2" t="s">
        <v>76</v>
      </c>
      <c r="F897" s="2" t="s">
        <v>1145</v>
      </c>
      <c r="G897" s="14" t="n">
        <v>12.5</v>
      </c>
      <c r="H897" s="14" t="n">
        <v>25.01</v>
      </c>
      <c r="I897" s="14" t="n">
        <v>12.5</v>
      </c>
      <c r="J897" s="22" t="n">
        <f aca="false">IF(E897="Priority",'Cost model'!N759,'Cost model'!M759)</f>
        <v>15.5</v>
      </c>
      <c r="K897" s="14" t="n">
        <f aca="false">J897-H897</f>
        <v>-9.51</v>
      </c>
      <c r="L897" s="14" t="n">
        <f aca="false">G897-H897</f>
        <v>-12.51</v>
      </c>
    </row>
    <row r="898" customFormat="false" ht="15" hidden="false" customHeight="false" outlineLevel="0" collapsed="false">
      <c r="A898" s="2" t="s">
        <v>184</v>
      </c>
      <c r="B898" s="2" t="s">
        <v>184</v>
      </c>
      <c r="C898" s="2" t="s">
        <v>49</v>
      </c>
      <c r="D898" s="2" t="s">
        <v>10</v>
      </c>
      <c r="E898" s="2" t="s">
        <v>76</v>
      </c>
      <c r="F898" s="2" t="s">
        <v>1145</v>
      </c>
      <c r="G898" s="14" t="n">
        <v>17.5</v>
      </c>
      <c r="H898" s="14" t="n">
        <v>20.83</v>
      </c>
      <c r="I898" s="14"/>
      <c r="J898" s="22" t="n">
        <f aca="false">IF(E898="Priority",'Cost model'!N201,'Cost model'!M201)</f>
        <v>12.5</v>
      </c>
      <c r="K898" s="14" t="n">
        <f aca="false">J898-H898</f>
        <v>-8.33</v>
      </c>
      <c r="L898" s="14" t="n">
        <f aca="false">G898-H898</f>
        <v>-3.33</v>
      </c>
    </row>
    <row r="899" customFormat="false" ht="15" hidden="false" customHeight="false" outlineLevel="0" collapsed="false">
      <c r="A899" s="2" t="s">
        <v>165</v>
      </c>
      <c r="B899" s="2" t="s">
        <v>165</v>
      </c>
      <c r="C899" s="2" t="s">
        <v>48</v>
      </c>
      <c r="D899" s="2" t="s">
        <v>12</v>
      </c>
      <c r="E899" s="2" t="s">
        <v>85</v>
      </c>
      <c r="F899" s="2" t="s">
        <v>1145</v>
      </c>
      <c r="G899" s="14" t="n">
        <v>19.5</v>
      </c>
      <c r="H899" s="14" t="n">
        <v>16.84</v>
      </c>
      <c r="I899" s="14" t="n">
        <v>19.5</v>
      </c>
      <c r="J899" s="22" t="n">
        <f aca="false">IF(E899="Priority",'Cost model'!N509,'Cost model'!M509)</f>
        <v>22.5</v>
      </c>
      <c r="K899" s="14" t="n">
        <f aca="false">J899-H899</f>
        <v>5.66</v>
      </c>
      <c r="L899" s="14" t="n">
        <f aca="false">G899-H899</f>
        <v>2.66</v>
      </c>
    </row>
    <row r="900" customFormat="false" ht="15" hidden="false" customHeight="false" outlineLevel="0" collapsed="false">
      <c r="A900" s="2" t="s">
        <v>184</v>
      </c>
      <c r="B900" s="2" t="s">
        <v>126</v>
      </c>
      <c r="C900" s="2" t="s">
        <v>50</v>
      </c>
      <c r="D900" s="2" t="s">
        <v>10</v>
      </c>
      <c r="E900" s="2" t="s">
        <v>76</v>
      </c>
      <c r="F900" s="2" t="s">
        <v>1146</v>
      </c>
      <c r="G900" s="14" t="n">
        <v>17.5</v>
      </c>
      <c r="H900" s="14" t="n">
        <v>15.99</v>
      </c>
      <c r="I900" s="14" t="n">
        <v>17.5</v>
      </c>
      <c r="J900" s="22" t="n">
        <f aca="false">IF(E900="Priority",'Cost model'!N130,'Cost model'!M130)</f>
        <v>18.5</v>
      </c>
      <c r="K900" s="14" t="n">
        <f aca="false">J900-H900</f>
        <v>2.51</v>
      </c>
      <c r="L900" s="14" t="n">
        <f aca="false">G900-H900</f>
        <v>1.51</v>
      </c>
    </row>
    <row r="901" customFormat="false" ht="15" hidden="false" customHeight="false" outlineLevel="0" collapsed="false">
      <c r="A901" s="2" t="s">
        <v>184</v>
      </c>
      <c r="B901" s="2" t="s">
        <v>184</v>
      </c>
      <c r="C901" s="2" t="s">
        <v>48</v>
      </c>
      <c r="D901" s="2" t="s">
        <v>12</v>
      </c>
      <c r="E901" s="2" t="s">
        <v>76</v>
      </c>
      <c r="F901" s="2" t="s">
        <v>1145</v>
      </c>
      <c r="G901" s="14" t="n">
        <v>9.5</v>
      </c>
      <c r="H901" s="14" t="n">
        <v>28.09</v>
      </c>
      <c r="I901" s="14" t="n">
        <v>9.5</v>
      </c>
      <c r="J901" s="22" t="n">
        <f aca="false">IF(E901="Priority",'Cost model'!N203,'Cost model'!M203)</f>
        <v>26.5</v>
      </c>
      <c r="K901" s="14" t="n">
        <f aca="false">J901-H901</f>
        <v>-1.59</v>
      </c>
      <c r="L901" s="14" t="n">
        <f aca="false">G901-H901</f>
        <v>-18.59</v>
      </c>
    </row>
    <row r="902" customFormat="false" ht="15" hidden="false" customHeight="false" outlineLevel="0" collapsed="false">
      <c r="A902" s="2" t="s">
        <v>184</v>
      </c>
      <c r="B902" s="2" t="s">
        <v>184</v>
      </c>
      <c r="C902" s="2" t="s">
        <v>48</v>
      </c>
      <c r="D902" s="2" t="s">
        <v>12</v>
      </c>
      <c r="E902" s="2" t="s">
        <v>76</v>
      </c>
      <c r="F902" s="2" t="s">
        <v>1145</v>
      </c>
      <c r="G902" s="14" t="n">
        <v>9.5</v>
      </c>
      <c r="H902" s="14" t="n">
        <v>30.4</v>
      </c>
      <c r="I902" s="14" t="n">
        <v>9.5</v>
      </c>
      <c r="J902" s="22" t="n">
        <f aca="false">IF(E902="Priority",'Cost model'!N203,'Cost model'!M203)</f>
        <v>26.5</v>
      </c>
      <c r="K902" s="14" t="n">
        <f aca="false">J902-H902</f>
        <v>-3.9</v>
      </c>
      <c r="L902" s="14" t="n">
        <f aca="false">G902-H902</f>
        <v>-20.9</v>
      </c>
    </row>
    <row r="903" customFormat="false" ht="15" hidden="false" customHeight="false" outlineLevel="0" collapsed="false">
      <c r="A903" s="2" t="s">
        <v>221</v>
      </c>
      <c r="B903" s="2" t="s">
        <v>221</v>
      </c>
      <c r="C903" s="2" t="s">
        <v>49</v>
      </c>
      <c r="D903" s="2" t="s">
        <v>12</v>
      </c>
      <c r="E903" s="2" t="s">
        <v>85</v>
      </c>
      <c r="F903" s="2" t="s">
        <v>1145</v>
      </c>
      <c r="G903" s="14" t="n">
        <v>19.5</v>
      </c>
      <c r="H903" s="14" t="n">
        <v>37.28</v>
      </c>
      <c r="I903" s="14" t="n">
        <v>19.5</v>
      </c>
      <c r="J903" s="22" t="n">
        <f aca="false">IF(E903="Priority",'Cost model'!N636,'Cost model'!M636)</f>
        <v>70</v>
      </c>
      <c r="K903" s="14" t="n">
        <f aca="false">J903-H903</f>
        <v>32.72</v>
      </c>
      <c r="L903" s="14" t="n">
        <f aca="false">G903-H903</f>
        <v>-17.78</v>
      </c>
    </row>
    <row r="904" customFormat="false" ht="15" hidden="false" customHeight="false" outlineLevel="0" collapsed="false">
      <c r="A904" s="2" t="s">
        <v>126</v>
      </c>
      <c r="B904" s="2" t="s">
        <v>126</v>
      </c>
      <c r="C904" s="2" t="s">
        <v>49</v>
      </c>
      <c r="D904" s="2" t="s">
        <v>10</v>
      </c>
      <c r="E904" s="2" t="s">
        <v>76</v>
      </c>
      <c r="F904" s="2" t="s">
        <v>1145</v>
      </c>
      <c r="G904" s="14" t="n">
        <v>12.5</v>
      </c>
      <c r="H904" s="14" t="n">
        <v>10.1</v>
      </c>
      <c r="I904" s="14" t="n">
        <v>12.5</v>
      </c>
      <c r="J904" s="22" t="n">
        <f aca="false">IF(E904="Priority",'Cost model'!N381,'Cost model'!M381)</f>
        <v>14.5</v>
      </c>
      <c r="K904" s="14" t="n">
        <f aca="false">J904-H904</f>
        <v>4.4</v>
      </c>
      <c r="L904" s="14" t="n">
        <f aca="false">G904-H904</f>
        <v>2.4</v>
      </c>
    </row>
    <row r="905" customFormat="false" ht="15" hidden="false" customHeight="false" outlineLevel="0" collapsed="false">
      <c r="A905" s="2" t="s">
        <v>184</v>
      </c>
      <c r="B905" s="2" t="s">
        <v>184</v>
      </c>
      <c r="C905" s="2" t="s">
        <v>48</v>
      </c>
      <c r="D905" s="2" t="s">
        <v>12</v>
      </c>
      <c r="E905" s="2" t="s">
        <v>76</v>
      </c>
      <c r="F905" s="2" t="s">
        <v>1145</v>
      </c>
      <c r="G905" s="14" t="n">
        <v>9.5</v>
      </c>
      <c r="H905" s="14" t="n">
        <v>28.4</v>
      </c>
      <c r="I905" s="14" t="n">
        <v>9.5</v>
      </c>
      <c r="J905" s="22" t="n">
        <f aca="false">IF(E905="Priority",'Cost model'!N203,'Cost model'!M203)</f>
        <v>26.5</v>
      </c>
      <c r="K905" s="14" t="n">
        <f aca="false">J905-H905</f>
        <v>-1.9</v>
      </c>
      <c r="L905" s="14" t="n">
        <f aca="false">G905-H905</f>
        <v>-18.9</v>
      </c>
    </row>
    <row r="906" customFormat="false" ht="15" hidden="false" customHeight="false" outlineLevel="0" collapsed="false">
      <c r="A906" s="2" t="s">
        <v>146</v>
      </c>
      <c r="B906" s="2" t="s">
        <v>146</v>
      </c>
      <c r="C906" s="2" t="s">
        <v>50</v>
      </c>
      <c r="D906" s="2" t="s">
        <v>12</v>
      </c>
      <c r="E906" s="2" t="s">
        <v>76</v>
      </c>
      <c r="F906" s="2" t="s">
        <v>1145</v>
      </c>
      <c r="G906" s="14" t="n">
        <v>19.5</v>
      </c>
      <c r="H906" s="14" t="n">
        <v>44.18</v>
      </c>
      <c r="I906" s="14" t="n">
        <v>19.5</v>
      </c>
      <c r="J906" s="22" t="n">
        <f aca="false">IF(E906="Priority",'Cost model'!N763,'Cost model'!M763)</f>
        <v>50</v>
      </c>
      <c r="K906" s="14" t="n">
        <f aca="false">J906-H906</f>
        <v>5.82</v>
      </c>
      <c r="L906" s="14" t="n">
        <f aca="false">G906-H906</f>
        <v>-24.68</v>
      </c>
    </row>
    <row r="907" customFormat="false" ht="15" hidden="false" customHeight="false" outlineLevel="0" collapsed="false">
      <c r="A907" s="2" t="s">
        <v>184</v>
      </c>
      <c r="B907" s="2" t="s">
        <v>184</v>
      </c>
      <c r="C907" s="2" t="s">
        <v>48</v>
      </c>
      <c r="D907" s="2" t="s">
        <v>12</v>
      </c>
      <c r="E907" s="2" t="s">
        <v>76</v>
      </c>
      <c r="F907" s="2" t="s">
        <v>1145</v>
      </c>
      <c r="G907" s="14" t="n">
        <v>9.5</v>
      </c>
      <c r="H907" s="14" t="n">
        <v>7.46</v>
      </c>
      <c r="I907" s="14" t="n">
        <v>9.5</v>
      </c>
      <c r="J907" s="22" t="n">
        <f aca="false">IF(E907="Priority",'Cost model'!N203,'Cost model'!M203)</f>
        <v>26.5</v>
      </c>
      <c r="K907" s="14" t="n">
        <f aca="false">J907-H907</f>
        <v>19.04</v>
      </c>
      <c r="L907" s="14" t="n">
        <f aca="false">G907-H907</f>
        <v>2.04</v>
      </c>
    </row>
    <row r="908" customFormat="false" ht="15" hidden="false" customHeight="false" outlineLevel="0" collapsed="false">
      <c r="A908" s="2" t="s">
        <v>126</v>
      </c>
      <c r="B908" s="2" t="s">
        <v>126</v>
      </c>
      <c r="C908" s="2" t="s">
        <v>48</v>
      </c>
      <c r="D908" s="2" t="s">
        <v>12</v>
      </c>
      <c r="E908" s="2" t="s">
        <v>76</v>
      </c>
      <c r="F908" s="2" t="s">
        <v>1145</v>
      </c>
      <c r="G908" s="14" t="n">
        <v>9.5</v>
      </c>
      <c r="H908" s="14" t="n">
        <v>7.45</v>
      </c>
      <c r="I908" s="14" t="n">
        <v>9.5</v>
      </c>
      <c r="J908" s="22" t="n">
        <f aca="false">IF(E908="Priority",'Cost model'!N383,'Cost model'!M383)</f>
        <v>27.5</v>
      </c>
      <c r="K908" s="14" t="n">
        <f aca="false">J908-H908</f>
        <v>20.05</v>
      </c>
      <c r="L908" s="14" t="n">
        <f aca="false">G908-H908</f>
        <v>2.05</v>
      </c>
    </row>
    <row r="909" customFormat="false" ht="15" hidden="false" customHeight="false" outlineLevel="0" collapsed="false">
      <c r="A909" s="2" t="s">
        <v>125</v>
      </c>
      <c r="B909" s="2" t="s">
        <v>165</v>
      </c>
      <c r="C909" s="2" t="s">
        <v>48</v>
      </c>
      <c r="D909" s="2" t="s">
        <v>10</v>
      </c>
      <c r="E909" s="2" t="s">
        <v>76</v>
      </c>
      <c r="F909" s="2" t="s">
        <v>1146</v>
      </c>
      <c r="G909" s="14" t="n">
        <v>14.5</v>
      </c>
      <c r="H909" s="14" t="n">
        <v>11.43</v>
      </c>
      <c r="I909" s="14" t="n">
        <v>19.5</v>
      </c>
      <c r="J909" s="22" t="n">
        <f aca="false">IF(E909="Priority",'Cost model'!N38,'Cost model'!M38)</f>
        <v>13.5</v>
      </c>
      <c r="K909" s="14" t="n">
        <f aca="false">J909-H909</f>
        <v>2.07</v>
      </c>
      <c r="L909" s="14" t="n">
        <f aca="false">G909-H909</f>
        <v>3.07</v>
      </c>
    </row>
    <row r="910" customFormat="false" ht="15" hidden="false" customHeight="false" outlineLevel="0" collapsed="false">
      <c r="A910" s="2" t="s">
        <v>184</v>
      </c>
      <c r="B910" s="2" t="s">
        <v>126</v>
      </c>
      <c r="C910" s="2" t="s">
        <v>48</v>
      </c>
      <c r="D910" s="2" t="s">
        <v>10</v>
      </c>
      <c r="E910" s="2" t="s">
        <v>76</v>
      </c>
      <c r="F910" s="2" t="s">
        <v>1146</v>
      </c>
      <c r="G910" s="14" t="n">
        <v>9.5</v>
      </c>
      <c r="H910" s="14" t="n">
        <v>7.37</v>
      </c>
      <c r="I910" s="14" t="n">
        <v>9.5</v>
      </c>
      <c r="J910" s="22" t="n">
        <f aca="false">IF(E910="Priority",'Cost model'!N128,'Cost model'!M128)</f>
        <v>10.5</v>
      </c>
      <c r="K910" s="14" t="n">
        <f aca="false">J910-H910</f>
        <v>3.13</v>
      </c>
      <c r="L910" s="14" t="n">
        <f aca="false">G910-H910</f>
        <v>2.13</v>
      </c>
    </row>
    <row r="911" customFormat="false" ht="15" hidden="false" customHeight="false" outlineLevel="0" collapsed="false">
      <c r="A911" s="2" t="s">
        <v>126</v>
      </c>
      <c r="B911" s="2" t="s">
        <v>126</v>
      </c>
      <c r="C911" s="2" t="s">
        <v>48</v>
      </c>
      <c r="D911" s="2" t="s">
        <v>14</v>
      </c>
      <c r="E911" s="2" t="s">
        <v>85</v>
      </c>
      <c r="F911" s="2" t="s">
        <v>1145</v>
      </c>
      <c r="G911" s="14" t="n">
        <v>85</v>
      </c>
      <c r="H911" s="14" t="n">
        <v>95.55</v>
      </c>
      <c r="I911" s="14" t="n">
        <v>85</v>
      </c>
      <c r="J911" s="22" t="n">
        <f aca="false">IF(E911="Priority",'Cost model'!N389,'Cost model'!M389)</f>
        <v>115</v>
      </c>
      <c r="K911" s="14" t="n">
        <f aca="false">J911-H911</f>
        <v>19.45</v>
      </c>
      <c r="L911" s="14" t="n">
        <f aca="false">G911-H911</f>
        <v>-10.55</v>
      </c>
    </row>
    <row r="912" customFormat="false" ht="15" hidden="false" customHeight="false" outlineLevel="0" collapsed="false">
      <c r="A912" s="2" t="s">
        <v>146</v>
      </c>
      <c r="B912" s="2" t="s">
        <v>146</v>
      </c>
      <c r="C912" s="2" t="s">
        <v>49</v>
      </c>
      <c r="D912" s="2" t="s">
        <v>10</v>
      </c>
      <c r="E912" s="2" t="s">
        <v>76</v>
      </c>
      <c r="F912" s="2" t="s">
        <v>1145</v>
      </c>
      <c r="G912" s="14" t="n">
        <v>12.5</v>
      </c>
      <c r="H912" s="14" t="n">
        <v>10.95</v>
      </c>
      <c r="I912" s="14" t="n">
        <v>12.5</v>
      </c>
      <c r="J912" s="22" t="n">
        <f aca="false">IF(E912="Priority",'Cost model'!N759,'Cost model'!M759)</f>
        <v>15.5</v>
      </c>
      <c r="K912" s="14" t="n">
        <f aca="false">J912-H912</f>
        <v>4.55</v>
      </c>
      <c r="L912" s="14" t="n">
        <f aca="false">G912-H912</f>
        <v>1.55</v>
      </c>
    </row>
    <row r="913" customFormat="false" ht="15" hidden="false" customHeight="false" outlineLevel="0" collapsed="false">
      <c r="A913" s="2" t="s">
        <v>165</v>
      </c>
      <c r="B913" s="2" t="s">
        <v>165</v>
      </c>
      <c r="C913" s="2" t="s">
        <v>50</v>
      </c>
      <c r="D913" s="2" t="s">
        <v>10</v>
      </c>
      <c r="E913" s="2" t="s">
        <v>76</v>
      </c>
      <c r="F913" s="2" t="s">
        <v>1145</v>
      </c>
      <c r="G913" s="14" t="n">
        <v>17.5</v>
      </c>
      <c r="H913" s="14" t="n">
        <v>13.7</v>
      </c>
      <c r="I913" s="14" t="n">
        <v>17.5</v>
      </c>
      <c r="J913" s="22" t="n">
        <f aca="false">IF(E913="Priority",'Cost model'!N508,'Cost model'!M508)</f>
        <v>17.5</v>
      </c>
      <c r="K913" s="14" t="n">
        <f aca="false">J913-H913</f>
        <v>3.8</v>
      </c>
      <c r="L913" s="14" t="n">
        <f aca="false">G913-H913</f>
        <v>3.8</v>
      </c>
    </row>
    <row r="914" customFormat="false" ht="15" hidden="false" customHeight="false" outlineLevel="0" collapsed="false">
      <c r="A914" s="2" t="s">
        <v>184</v>
      </c>
      <c r="B914" s="2" t="s">
        <v>184</v>
      </c>
      <c r="C914" s="2" t="s">
        <v>49</v>
      </c>
      <c r="D914" s="2" t="s">
        <v>10</v>
      </c>
      <c r="E914" s="2" t="s">
        <v>76</v>
      </c>
      <c r="F914" s="2" t="s">
        <v>1145</v>
      </c>
      <c r="G914" s="14" t="n">
        <v>12.5</v>
      </c>
      <c r="H914" s="14" t="n">
        <v>7.45</v>
      </c>
      <c r="I914" s="14"/>
      <c r="J914" s="22" t="n">
        <f aca="false">IF(E914="Priority",'Cost model'!N201,'Cost model'!M201)</f>
        <v>12.5</v>
      </c>
      <c r="K914" s="14" t="n">
        <f aca="false">J914-H914</f>
        <v>5.05</v>
      </c>
      <c r="L914" s="14" t="n">
        <f aca="false">G914-H914</f>
        <v>5.05</v>
      </c>
    </row>
    <row r="915" customFormat="false" ht="15" hidden="false" customHeight="false" outlineLevel="0" collapsed="false">
      <c r="A915" s="2" t="s">
        <v>184</v>
      </c>
      <c r="B915" s="2" t="s">
        <v>146</v>
      </c>
      <c r="C915" s="2" t="s">
        <v>49</v>
      </c>
      <c r="D915" s="2" t="s">
        <v>12</v>
      </c>
      <c r="E915" s="2" t="s">
        <v>76</v>
      </c>
      <c r="F915" s="2" t="s">
        <v>1146</v>
      </c>
      <c r="G915" s="14" t="n">
        <v>12.5</v>
      </c>
      <c r="H915" s="14" t="n">
        <v>77.48</v>
      </c>
      <c r="I915" s="14"/>
      <c r="J915" s="22" t="n">
        <f aca="false">IF(E915="Priority",'Cost model'!N150,'Cost model'!M150)</f>
        <v>55</v>
      </c>
      <c r="K915" s="14" t="n">
        <f aca="false">J915-H915</f>
        <v>-22.48</v>
      </c>
      <c r="L915" s="14" t="n">
        <f aca="false">G915-H915</f>
        <v>-64.98</v>
      </c>
    </row>
    <row r="916" customFormat="false" ht="15" hidden="false" customHeight="false" outlineLevel="0" collapsed="false">
      <c r="A916" s="2" t="s">
        <v>126</v>
      </c>
      <c r="B916" s="2" t="s">
        <v>126</v>
      </c>
      <c r="C916" s="2" t="s">
        <v>50</v>
      </c>
      <c r="D916" s="2" t="s">
        <v>13</v>
      </c>
      <c r="E916" s="2" t="s">
        <v>76</v>
      </c>
      <c r="F916" s="2" t="s">
        <v>1145</v>
      </c>
      <c r="G916" s="14" t="n">
        <v>50</v>
      </c>
      <c r="H916" s="14" t="n">
        <v>75.41</v>
      </c>
      <c r="I916" s="14" t="n">
        <v>50</v>
      </c>
      <c r="J916" s="22" t="n">
        <f aca="false">IF(E916="Priority",'Cost model'!N388,'Cost model'!M388)</f>
        <v>110</v>
      </c>
      <c r="K916" s="14" t="n">
        <f aca="false">J916-H916</f>
        <v>34.59</v>
      </c>
      <c r="L916" s="14" t="n">
        <f aca="false">G916-H916</f>
        <v>-25.41</v>
      </c>
    </row>
    <row r="917" customFormat="false" ht="15" hidden="false" customHeight="false" outlineLevel="0" collapsed="false">
      <c r="A917" s="2" t="s">
        <v>184</v>
      </c>
      <c r="B917" s="2" t="s">
        <v>184</v>
      </c>
      <c r="C917" s="2" t="s">
        <v>48</v>
      </c>
      <c r="D917" s="2" t="s">
        <v>14</v>
      </c>
      <c r="E917" s="2" t="s">
        <v>76</v>
      </c>
      <c r="F917" s="2" t="s">
        <v>1145</v>
      </c>
      <c r="G917" s="14" t="n">
        <v>25</v>
      </c>
      <c r="H917" s="14" t="n">
        <v>68.88</v>
      </c>
      <c r="I917" s="14" t="n">
        <v>25</v>
      </c>
      <c r="J917" s="22" t="n">
        <f aca="false">IF(E917="Priority",'Cost model'!N209,'Cost model'!M209)</f>
        <v>105</v>
      </c>
      <c r="K917" s="14" t="n">
        <f aca="false">J917-H917</f>
        <v>36.12</v>
      </c>
      <c r="L917" s="14" t="n">
        <f aca="false">G917-H917</f>
        <v>-43.88</v>
      </c>
    </row>
    <row r="918" customFormat="false" ht="15" hidden="false" customHeight="false" outlineLevel="0" collapsed="false">
      <c r="A918" s="2" t="s">
        <v>184</v>
      </c>
      <c r="B918" s="2" t="s">
        <v>184</v>
      </c>
      <c r="C918" s="2" t="s">
        <v>48</v>
      </c>
      <c r="D918" s="2" t="s">
        <v>10</v>
      </c>
      <c r="E918" s="2" t="s">
        <v>76</v>
      </c>
      <c r="F918" s="2" t="s">
        <v>1145</v>
      </c>
      <c r="G918" s="14" t="n">
        <v>9.5</v>
      </c>
      <c r="H918" s="14" t="n">
        <v>6.24</v>
      </c>
      <c r="I918" s="14" t="n">
        <v>9.5</v>
      </c>
      <c r="J918" s="22" t="n">
        <f aca="false">IF(E918="Priority",'Cost model'!N200,'Cost model'!M200)</f>
        <v>7.5</v>
      </c>
      <c r="K918" s="14" t="n">
        <f aca="false">J918-H918</f>
        <v>1.26</v>
      </c>
      <c r="L918" s="14" t="n">
        <f aca="false">G918-H918</f>
        <v>3.26</v>
      </c>
    </row>
    <row r="919" customFormat="false" ht="15" hidden="false" customHeight="false" outlineLevel="0" collapsed="false">
      <c r="A919" s="2" t="s">
        <v>126</v>
      </c>
      <c r="B919" s="2" t="s">
        <v>126</v>
      </c>
      <c r="C919" s="2" t="s">
        <v>48</v>
      </c>
      <c r="D919" s="2" t="s">
        <v>13</v>
      </c>
      <c r="E919" s="2" t="s">
        <v>76</v>
      </c>
      <c r="F919" s="2" t="s">
        <v>1145</v>
      </c>
      <c r="G919" s="14" t="n">
        <v>19</v>
      </c>
      <c r="H919" s="14" t="n">
        <v>114.58</v>
      </c>
      <c r="I919" s="14" t="n">
        <v>19</v>
      </c>
      <c r="J919" s="22" t="n">
        <f aca="false">IF(E919="Priority",'Cost model'!N386,'Cost model'!M386)</f>
        <v>55</v>
      </c>
      <c r="K919" s="14" t="n">
        <f aca="false">J919-H919</f>
        <v>-59.58</v>
      </c>
      <c r="L919" s="14" t="n">
        <f aca="false">G919-H919</f>
        <v>-95.58</v>
      </c>
    </row>
    <row r="920" customFormat="false" ht="15" hidden="false" customHeight="false" outlineLevel="0" collapsed="false">
      <c r="A920" s="2" t="s">
        <v>126</v>
      </c>
      <c r="B920" s="2" t="s">
        <v>126</v>
      </c>
      <c r="C920" s="2" t="s">
        <v>49</v>
      </c>
      <c r="D920" s="2" t="s">
        <v>12</v>
      </c>
      <c r="E920" s="2" t="s">
        <v>76</v>
      </c>
      <c r="F920" s="2" t="s">
        <v>1145</v>
      </c>
      <c r="G920" s="14" t="n">
        <v>12.5</v>
      </c>
      <c r="H920" s="14" t="n">
        <v>78.66</v>
      </c>
      <c r="I920" s="14" t="n">
        <v>12.5</v>
      </c>
      <c r="J920" s="22" t="n">
        <f aca="false">IF(E920="Priority",'Cost model'!N384,'Cost model'!M384)</f>
        <v>45</v>
      </c>
      <c r="K920" s="14" t="n">
        <f aca="false">J920-H920</f>
        <v>-33.66</v>
      </c>
      <c r="L920" s="14" t="n">
        <f aca="false">G920-H920</f>
        <v>-66.16</v>
      </c>
    </row>
    <row r="921" customFormat="false" ht="15" hidden="false" customHeight="false" outlineLevel="0" collapsed="false">
      <c r="A921" s="2" t="s">
        <v>240</v>
      </c>
      <c r="B921" s="2" t="s">
        <v>240</v>
      </c>
      <c r="C921" s="2" t="s">
        <v>50</v>
      </c>
      <c r="D921" s="2" t="s">
        <v>12</v>
      </c>
      <c r="E921" s="2" t="s">
        <v>76</v>
      </c>
      <c r="F921" s="2" t="s">
        <v>1145</v>
      </c>
      <c r="G921" s="14" t="n">
        <v>19.5</v>
      </c>
      <c r="H921" s="14" t="n">
        <v>109.57</v>
      </c>
      <c r="I921" s="14" t="n">
        <v>19.5</v>
      </c>
      <c r="J921" s="22" t="n">
        <f aca="false">IF(E921="Priority",'Cost model'!N889,'Cost model'!M889)</f>
        <v>60</v>
      </c>
      <c r="K921" s="14" t="n">
        <f aca="false">J921-H921</f>
        <v>-49.57</v>
      </c>
      <c r="L921" s="14" t="n">
        <f aca="false">G921-H921</f>
        <v>-90.07</v>
      </c>
    </row>
    <row r="922" customFormat="false" ht="15" hidden="false" customHeight="false" outlineLevel="0" collapsed="false">
      <c r="A922" s="2" t="s">
        <v>184</v>
      </c>
      <c r="B922" s="2" t="s">
        <v>184</v>
      </c>
      <c r="C922" s="2" t="s">
        <v>48</v>
      </c>
      <c r="D922" s="2" t="s">
        <v>12</v>
      </c>
      <c r="E922" s="2" t="s">
        <v>76</v>
      </c>
      <c r="F922" s="2" t="s">
        <v>1145</v>
      </c>
      <c r="G922" s="14" t="n">
        <v>9.5</v>
      </c>
      <c r="H922" s="14" t="n">
        <v>7.45</v>
      </c>
      <c r="I922" s="14" t="n">
        <v>9.5</v>
      </c>
      <c r="J922" s="22" t="n">
        <f aca="false">IF(E922="Priority",'Cost model'!N203,'Cost model'!M203)</f>
        <v>26.5</v>
      </c>
      <c r="K922" s="14" t="n">
        <f aca="false">J922-H922</f>
        <v>19.05</v>
      </c>
      <c r="L922" s="14" t="n">
        <f aca="false">G922-H922</f>
        <v>2.05</v>
      </c>
    </row>
    <row r="923" customFormat="false" ht="15" hidden="false" customHeight="false" outlineLevel="0" collapsed="false">
      <c r="A923" s="2" t="s">
        <v>126</v>
      </c>
      <c r="B923" s="2" t="s">
        <v>126</v>
      </c>
      <c r="C923" s="2" t="s">
        <v>49</v>
      </c>
      <c r="D923" s="2" t="s">
        <v>10</v>
      </c>
      <c r="E923" s="2" t="s">
        <v>76</v>
      </c>
      <c r="F923" s="2" t="s">
        <v>1145</v>
      </c>
      <c r="G923" s="14" t="n">
        <v>12.5</v>
      </c>
      <c r="H923" s="14" t="n">
        <v>11.51</v>
      </c>
      <c r="I923" s="14" t="n">
        <v>12.5</v>
      </c>
      <c r="J923" s="22" t="n">
        <f aca="false">IF(E923="Priority",'Cost model'!N381,'Cost model'!M381)</f>
        <v>14.5</v>
      </c>
      <c r="K923" s="14" t="n">
        <f aca="false">J923-H923</f>
        <v>2.99</v>
      </c>
      <c r="L923" s="14" t="n">
        <f aca="false">G923-H923</f>
        <v>0.99</v>
      </c>
    </row>
    <row r="924" customFormat="false" ht="15" hidden="false" customHeight="false" outlineLevel="0" collapsed="false">
      <c r="A924" s="2" t="s">
        <v>126</v>
      </c>
      <c r="B924" s="2" t="s">
        <v>126</v>
      </c>
      <c r="C924" s="2" t="s">
        <v>50</v>
      </c>
      <c r="D924" s="2" t="s">
        <v>10</v>
      </c>
      <c r="E924" s="2" t="s">
        <v>76</v>
      </c>
      <c r="F924" s="2" t="s">
        <v>1145</v>
      </c>
      <c r="G924" s="14" t="n">
        <v>17.5</v>
      </c>
      <c r="H924" s="14" t="n">
        <v>11.03</v>
      </c>
      <c r="I924" s="14" t="n">
        <v>17.5</v>
      </c>
      <c r="J924" s="22" t="n">
        <f aca="false">IF(E924="Priority",'Cost model'!N382,'Cost model'!M382)</f>
        <v>18.5</v>
      </c>
      <c r="K924" s="14" t="n">
        <f aca="false">J924-H924</f>
        <v>7.47</v>
      </c>
      <c r="L924" s="14" t="n">
        <f aca="false">G924-H924</f>
        <v>6.47</v>
      </c>
    </row>
    <row r="925" customFormat="false" ht="15" hidden="false" customHeight="false" outlineLevel="0" collapsed="false">
      <c r="A925" s="2" t="s">
        <v>146</v>
      </c>
      <c r="B925" s="2" t="s">
        <v>146</v>
      </c>
      <c r="C925" s="2" t="s">
        <v>49</v>
      </c>
      <c r="D925" s="2" t="s">
        <v>12</v>
      </c>
      <c r="E925" s="2" t="s">
        <v>76</v>
      </c>
      <c r="F925" s="2" t="s">
        <v>1145</v>
      </c>
      <c r="G925" s="14" t="n">
        <v>12.5</v>
      </c>
      <c r="H925" s="14" t="n">
        <v>26.87</v>
      </c>
      <c r="I925" s="14" t="n">
        <v>12.5</v>
      </c>
      <c r="J925" s="22" t="n">
        <f aca="false">IF(E925="Priority",'Cost model'!N762,'Cost model'!M762)</f>
        <v>45</v>
      </c>
      <c r="K925" s="14" t="n">
        <f aca="false">J925-H925</f>
        <v>18.13</v>
      </c>
      <c r="L925" s="14" t="n">
        <f aca="false">G925-H925</f>
        <v>-14.37</v>
      </c>
    </row>
    <row r="926" customFormat="false" ht="15" hidden="false" customHeight="false" outlineLevel="0" collapsed="false">
      <c r="A926" s="2" t="s">
        <v>126</v>
      </c>
      <c r="B926" s="2" t="s">
        <v>126</v>
      </c>
      <c r="C926" s="2" t="s">
        <v>50</v>
      </c>
      <c r="D926" s="2" t="s">
        <v>10</v>
      </c>
      <c r="E926" s="2" t="s">
        <v>76</v>
      </c>
      <c r="F926" s="2" t="s">
        <v>1145</v>
      </c>
      <c r="G926" s="14" t="n">
        <v>17.5</v>
      </c>
      <c r="H926" s="14" t="n">
        <v>16.84</v>
      </c>
      <c r="I926" s="14" t="n">
        <v>17.5</v>
      </c>
      <c r="J926" s="22" t="n">
        <f aca="false">IF(E926="Priority",'Cost model'!N382,'Cost model'!M382)</f>
        <v>18.5</v>
      </c>
      <c r="K926" s="14" t="n">
        <f aca="false">J926-H926</f>
        <v>1.66</v>
      </c>
      <c r="L926" s="14" t="n">
        <f aca="false">G926-H926</f>
        <v>0.66</v>
      </c>
    </row>
    <row r="927" customFormat="false" ht="15" hidden="false" customHeight="false" outlineLevel="0" collapsed="false">
      <c r="A927" s="2" t="s">
        <v>184</v>
      </c>
      <c r="B927" s="2" t="s">
        <v>146</v>
      </c>
      <c r="C927" s="2" t="s">
        <v>49</v>
      </c>
      <c r="D927" s="2" t="s">
        <v>13</v>
      </c>
      <c r="E927" s="2" t="s">
        <v>76</v>
      </c>
      <c r="F927" s="2" t="s">
        <v>1146</v>
      </c>
      <c r="G927" s="14" t="n">
        <v>24.5</v>
      </c>
      <c r="H927" s="14" t="n">
        <v>147.02</v>
      </c>
      <c r="I927" s="14"/>
      <c r="J927" s="22" t="n">
        <f aca="false">IF(E927="Priority",'Cost model'!N153,'Cost model'!M153)</f>
        <v>100</v>
      </c>
      <c r="K927" s="14" t="n">
        <f aca="false">J927-H927</f>
        <v>-47.02</v>
      </c>
      <c r="L927" s="14" t="n">
        <f aca="false">G927-H927</f>
        <v>-122.52</v>
      </c>
    </row>
    <row r="928" customFormat="false" ht="15" hidden="false" customHeight="false" outlineLevel="0" collapsed="false">
      <c r="A928" s="2" t="s">
        <v>146</v>
      </c>
      <c r="B928" s="2" t="s">
        <v>221</v>
      </c>
      <c r="C928" s="2" t="s">
        <v>48</v>
      </c>
      <c r="D928" s="2" t="s">
        <v>10</v>
      </c>
      <c r="E928" s="2" t="s">
        <v>76</v>
      </c>
      <c r="F928" s="2" t="s">
        <v>1146</v>
      </c>
      <c r="G928" s="14" t="n">
        <v>9.5</v>
      </c>
      <c r="H928" s="14" t="n">
        <v>11.64</v>
      </c>
      <c r="I928" s="14" t="n">
        <v>19.5</v>
      </c>
      <c r="J928" s="22" t="n">
        <f aca="false">IF(E928="Priority",'Cost model'!N848,'Cost model'!M848)</f>
        <v>9.5</v>
      </c>
      <c r="K928" s="14" t="n">
        <f aca="false">J928-H928</f>
        <v>-2.14</v>
      </c>
      <c r="L928" s="14" t="n">
        <f aca="false">G928-H928</f>
        <v>-2.14</v>
      </c>
    </row>
    <row r="929" customFormat="false" ht="15" hidden="false" customHeight="false" outlineLevel="0" collapsed="false">
      <c r="A929" s="2" t="s">
        <v>126</v>
      </c>
      <c r="B929" s="2" t="s">
        <v>126</v>
      </c>
      <c r="C929" s="2" t="s">
        <v>49</v>
      </c>
      <c r="D929" s="2" t="s">
        <v>12</v>
      </c>
      <c r="E929" s="2" t="s">
        <v>85</v>
      </c>
      <c r="F929" s="2" t="s">
        <v>1145</v>
      </c>
      <c r="G929" s="14" t="n">
        <v>19.5</v>
      </c>
      <c r="H929" s="14" t="n">
        <v>62.18</v>
      </c>
      <c r="I929" s="14" t="n">
        <v>19.5</v>
      </c>
      <c r="J929" s="22" t="n">
        <f aca="false">IF(E929="Priority",'Cost model'!N384,'Cost model'!M384)</f>
        <v>60</v>
      </c>
      <c r="K929" s="14" t="n">
        <f aca="false">J929-H929</f>
        <v>-2.18</v>
      </c>
      <c r="L929" s="14" t="n">
        <f aca="false">G929-H929</f>
        <v>-42.68</v>
      </c>
    </row>
    <row r="930" customFormat="false" ht="15" hidden="false" customHeight="false" outlineLevel="0" collapsed="false">
      <c r="A930" s="2" t="s">
        <v>184</v>
      </c>
      <c r="B930" s="2" t="s">
        <v>184</v>
      </c>
      <c r="C930" s="2" t="s">
        <v>48</v>
      </c>
      <c r="D930" s="2" t="s">
        <v>12</v>
      </c>
      <c r="E930" s="2" t="s">
        <v>76</v>
      </c>
      <c r="F930" s="2" t="s">
        <v>1145</v>
      </c>
      <c r="G930" s="14" t="n">
        <v>9.5</v>
      </c>
      <c r="H930" s="14" t="n">
        <v>25.06</v>
      </c>
      <c r="I930" s="14" t="n">
        <v>9.5</v>
      </c>
      <c r="J930" s="22" t="n">
        <f aca="false">IF(E930="Priority",'Cost model'!N203,'Cost model'!M203)</f>
        <v>26.5</v>
      </c>
      <c r="K930" s="14" t="n">
        <f aca="false">J930-H930</f>
        <v>1.44</v>
      </c>
      <c r="L930" s="14" t="n">
        <f aca="false">G930-H930</f>
        <v>-15.56</v>
      </c>
    </row>
    <row r="931" customFormat="false" ht="15" hidden="false" customHeight="false" outlineLevel="0" collapsed="false">
      <c r="A931" s="2" t="s">
        <v>146</v>
      </c>
      <c r="B931" s="2" t="s">
        <v>146</v>
      </c>
      <c r="C931" s="2" t="s">
        <v>49</v>
      </c>
      <c r="D931" s="2" t="s">
        <v>12</v>
      </c>
      <c r="E931" s="2" t="s">
        <v>76</v>
      </c>
      <c r="F931" s="2" t="s">
        <v>1145</v>
      </c>
      <c r="G931" s="14" t="n">
        <v>12.5</v>
      </c>
      <c r="H931" s="14" t="n">
        <v>44.47</v>
      </c>
      <c r="I931" s="14" t="n">
        <v>12.5</v>
      </c>
      <c r="J931" s="22" t="n">
        <f aca="false">IF(E931="Priority",'Cost model'!N762,'Cost model'!M762)</f>
        <v>45</v>
      </c>
      <c r="K931" s="14" t="n">
        <f aca="false">J931-H931</f>
        <v>0.530000000000001</v>
      </c>
      <c r="L931" s="14" t="n">
        <f aca="false">G931-H931</f>
        <v>-31.97</v>
      </c>
    </row>
    <row r="932" customFormat="false" ht="15" hidden="false" customHeight="false" outlineLevel="0" collapsed="false">
      <c r="A932" s="2" t="s">
        <v>165</v>
      </c>
      <c r="B932" s="2" t="s">
        <v>165</v>
      </c>
      <c r="C932" s="2" t="s">
        <v>50</v>
      </c>
      <c r="D932" s="2" t="s">
        <v>16</v>
      </c>
      <c r="E932" s="2" t="s">
        <v>76</v>
      </c>
      <c r="F932" s="2" t="s">
        <v>1145</v>
      </c>
      <c r="G932" s="14" t="n">
        <v>85</v>
      </c>
      <c r="H932" s="14" t="n">
        <v>377.2</v>
      </c>
      <c r="I932" s="14" t="n">
        <v>85</v>
      </c>
      <c r="J932" s="22" t="n">
        <f aca="false">IF(E932="Priority",'Cost model'!N523,'Cost model'!M523)</f>
        <v>250</v>
      </c>
      <c r="K932" s="14" t="n">
        <f aca="false">J932-H932</f>
        <v>-127.2</v>
      </c>
      <c r="L932" s="14" t="n">
        <f aca="false">G932-H932</f>
        <v>-292.2</v>
      </c>
    </row>
    <row r="933" customFormat="false" ht="15" hidden="false" customHeight="false" outlineLevel="0" collapsed="false">
      <c r="A933" s="2" t="s">
        <v>146</v>
      </c>
      <c r="B933" s="2" t="s">
        <v>146</v>
      </c>
      <c r="C933" s="2" t="s">
        <v>48</v>
      </c>
      <c r="D933" s="2" t="s">
        <v>12</v>
      </c>
      <c r="E933" s="2" t="s">
        <v>76</v>
      </c>
      <c r="F933" s="2" t="s">
        <v>1145</v>
      </c>
      <c r="G933" s="14" t="n">
        <v>9.5</v>
      </c>
      <c r="H933" s="14" t="n">
        <v>8.33</v>
      </c>
      <c r="I933" s="14" t="n">
        <v>9.5</v>
      </c>
      <c r="J933" s="22" t="n">
        <f aca="false">IF(E933="Priority",'Cost model'!N761,'Cost model'!M761)</f>
        <v>35</v>
      </c>
      <c r="K933" s="14" t="n">
        <f aca="false">J933-H933</f>
        <v>26.67</v>
      </c>
      <c r="L933" s="14" t="n">
        <f aca="false">G933-H933</f>
        <v>1.17</v>
      </c>
    </row>
    <row r="934" customFormat="false" ht="15" hidden="false" customHeight="false" outlineLevel="0" collapsed="false">
      <c r="A934" s="2" t="s">
        <v>184</v>
      </c>
      <c r="B934" s="2" t="s">
        <v>184</v>
      </c>
      <c r="C934" s="2" t="s">
        <v>49</v>
      </c>
      <c r="D934" s="2" t="s">
        <v>12</v>
      </c>
      <c r="E934" s="2" t="s">
        <v>76</v>
      </c>
      <c r="F934" s="2" t="s">
        <v>1145</v>
      </c>
      <c r="G934" s="14" t="n">
        <v>12.5</v>
      </c>
      <c r="H934" s="14" t="n">
        <v>42.66</v>
      </c>
      <c r="I934" s="14" t="n">
        <v>12.5</v>
      </c>
      <c r="J934" s="22" t="n">
        <f aca="false">IF(E934="Priority",'Cost model'!N204,'Cost model'!M204)</f>
        <v>45</v>
      </c>
      <c r="K934" s="14" t="n">
        <f aca="false">J934-H934</f>
        <v>2.34</v>
      </c>
      <c r="L934" s="14" t="n">
        <f aca="false">G934-H934</f>
        <v>-30.16</v>
      </c>
    </row>
    <row r="935" customFormat="false" ht="15" hidden="false" customHeight="false" outlineLevel="0" collapsed="false">
      <c r="A935" s="2" t="s">
        <v>146</v>
      </c>
      <c r="B935" s="2" t="s">
        <v>146</v>
      </c>
      <c r="C935" s="2" t="s">
        <v>48</v>
      </c>
      <c r="D935" s="2" t="s">
        <v>12</v>
      </c>
      <c r="E935" s="2" t="s">
        <v>76</v>
      </c>
      <c r="F935" s="2" t="s">
        <v>1145</v>
      </c>
      <c r="G935" s="14" t="n">
        <v>9.5</v>
      </c>
      <c r="H935" s="14" t="n">
        <v>8.16</v>
      </c>
      <c r="I935" s="14" t="n">
        <v>9.5</v>
      </c>
      <c r="J935" s="22" t="n">
        <f aca="false">IF(E935="Priority",'Cost model'!N761,'Cost model'!M761)</f>
        <v>35</v>
      </c>
      <c r="K935" s="14" t="n">
        <f aca="false">J935-H935</f>
        <v>26.84</v>
      </c>
      <c r="L935" s="14" t="n">
        <f aca="false">G935-H935</f>
        <v>1.34</v>
      </c>
    </row>
    <row r="936" customFormat="false" ht="15" hidden="false" customHeight="false" outlineLevel="0" collapsed="false">
      <c r="A936" s="2" t="s">
        <v>184</v>
      </c>
      <c r="B936" s="2" t="s">
        <v>184</v>
      </c>
      <c r="C936" s="2" t="s">
        <v>49</v>
      </c>
      <c r="D936" s="2" t="s">
        <v>10</v>
      </c>
      <c r="E936" s="2" t="s">
        <v>76</v>
      </c>
      <c r="F936" s="2" t="s">
        <v>1145</v>
      </c>
      <c r="G936" s="14" t="n">
        <v>12.5</v>
      </c>
      <c r="H936" s="14" t="n">
        <v>8.68</v>
      </c>
      <c r="I936" s="14" t="n">
        <v>12.5</v>
      </c>
      <c r="J936" s="22" t="n">
        <f aca="false">IF(E936="Priority",'Cost model'!N201,'Cost model'!M201)</f>
        <v>12.5</v>
      </c>
      <c r="K936" s="14" t="n">
        <f aca="false">J936-H936</f>
        <v>3.82</v>
      </c>
      <c r="L936" s="14" t="n">
        <f aca="false">G936-H936</f>
        <v>3.82</v>
      </c>
    </row>
    <row r="937" customFormat="false" ht="15" hidden="false" customHeight="false" outlineLevel="0" collapsed="false">
      <c r="A937" s="2" t="s">
        <v>184</v>
      </c>
      <c r="B937" s="2" t="s">
        <v>184</v>
      </c>
      <c r="C937" s="2" t="s">
        <v>50</v>
      </c>
      <c r="D937" s="2" t="s">
        <v>10</v>
      </c>
      <c r="E937" s="2" t="s">
        <v>76</v>
      </c>
      <c r="F937" s="2" t="s">
        <v>1145</v>
      </c>
      <c r="G937" s="14" t="n">
        <v>17.5</v>
      </c>
      <c r="H937" s="14" t="n">
        <v>19.56</v>
      </c>
      <c r="I937" s="14" t="n">
        <v>17.5</v>
      </c>
      <c r="J937" s="22" t="n">
        <f aca="false">IF(E937="Priority",'Cost model'!N202,'Cost model'!M202)</f>
        <v>17.5</v>
      </c>
      <c r="K937" s="14" t="n">
        <f aca="false">J937-H937</f>
        <v>-2.06</v>
      </c>
      <c r="L937" s="14" t="n">
        <f aca="false">G937-H937</f>
        <v>-2.06</v>
      </c>
    </row>
    <row r="938" customFormat="false" ht="15" hidden="false" customHeight="false" outlineLevel="0" collapsed="false">
      <c r="A938" s="2" t="s">
        <v>184</v>
      </c>
      <c r="B938" s="2" t="s">
        <v>165</v>
      </c>
      <c r="C938" s="2" t="s">
        <v>49</v>
      </c>
      <c r="D938" s="2" t="s">
        <v>14</v>
      </c>
      <c r="E938" s="2" t="s">
        <v>76</v>
      </c>
      <c r="F938" s="2" t="s">
        <v>1146</v>
      </c>
      <c r="G938" s="14" t="n">
        <v>45</v>
      </c>
      <c r="H938" s="14" t="n">
        <v>295.23</v>
      </c>
      <c r="I938" s="14" t="n">
        <v>125</v>
      </c>
      <c r="J938" s="22" t="n">
        <f aca="false">IF(E938="Priority",'Cost model'!N174,'Cost model'!M174)</f>
        <v>170</v>
      </c>
      <c r="K938" s="14" t="n">
        <f aca="false">J938-H938</f>
        <v>-125.23</v>
      </c>
      <c r="L938" s="14" t="n">
        <f aca="false">G938-H938</f>
        <v>-250.23</v>
      </c>
    </row>
    <row r="939" customFormat="false" ht="15" hidden="false" customHeight="false" outlineLevel="0" collapsed="false">
      <c r="A939" s="2" t="s">
        <v>126</v>
      </c>
      <c r="B939" s="2" t="s">
        <v>126</v>
      </c>
      <c r="C939" s="2" t="s">
        <v>49</v>
      </c>
      <c r="D939" s="2" t="s">
        <v>12</v>
      </c>
      <c r="E939" s="2" t="s">
        <v>76</v>
      </c>
      <c r="F939" s="2" t="s">
        <v>1145</v>
      </c>
      <c r="G939" s="14" t="n">
        <v>24.5</v>
      </c>
      <c r="H939" s="14" t="n">
        <v>55.77</v>
      </c>
      <c r="I939" s="14" t="n">
        <v>12.5</v>
      </c>
      <c r="J939" s="22" t="n">
        <f aca="false">IF(E939="Priority",'Cost model'!N384,'Cost model'!M384)</f>
        <v>45</v>
      </c>
      <c r="K939" s="14" t="n">
        <f aca="false">J939-H939</f>
        <v>-10.77</v>
      </c>
      <c r="L939" s="14" t="n">
        <f aca="false">G939-H939</f>
        <v>-31.27</v>
      </c>
    </row>
    <row r="940" customFormat="false" ht="15" hidden="false" customHeight="false" outlineLevel="0" collapsed="false">
      <c r="A940" s="2" t="s">
        <v>184</v>
      </c>
      <c r="B940" s="2" t="s">
        <v>184</v>
      </c>
      <c r="C940" s="2" t="s">
        <v>49</v>
      </c>
      <c r="D940" s="2" t="s">
        <v>10</v>
      </c>
      <c r="E940" s="2" t="s">
        <v>76</v>
      </c>
      <c r="F940" s="2" t="s">
        <v>1145</v>
      </c>
      <c r="G940" s="14" t="n">
        <v>12.5</v>
      </c>
      <c r="H940" s="14" t="n">
        <v>9.05</v>
      </c>
      <c r="I940" s="14"/>
      <c r="J940" s="22" t="n">
        <f aca="false">IF(E940="Priority",'Cost model'!N201,'Cost model'!M201)</f>
        <v>12.5</v>
      </c>
      <c r="K940" s="14" t="n">
        <f aca="false">J940-H940</f>
        <v>3.45</v>
      </c>
      <c r="L940" s="14" t="n">
        <f aca="false">G940-H940</f>
        <v>3.45</v>
      </c>
    </row>
    <row r="941" customFormat="false" ht="15" hidden="false" customHeight="false" outlineLevel="0" collapsed="false">
      <c r="A941" s="2" t="s">
        <v>165</v>
      </c>
      <c r="B941" s="2" t="s">
        <v>146</v>
      </c>
      <c r="C941" s="2" t="s">
        <v>48</v>
      </c>
      <c r="D941" s="2" t="s">
        <v>12</v>
      </c>
      <c r="E941" s="2" t="s">
        <v>76</v>
      </c>
      <c r="F941" s="2" t="s">
        <v>1146</v>
      </c>
      <c r="G941" s="14" t="n">
        <v>19.5</v>
      </c>
      <c r="H941" s="14" t="n">
        <v>45.45</v>
      </c>
      <c r="I941" s="14" t="n">
        <v>19.5</v>
      </c>
      <c r="J941" s="22" t="n">
        <f aca="false">IF(E941="Priority",'Cost model'!N527,'Cost model'!M527)</f>
        <v>55</v>
      </c>
      <c r="K941" s="14" t="n">
        <f aca="false">J941-H941</f>
        <v>9.55</v>
      </c>
      <c r="L941" s="14" t="n">
        <f aca="false">G941-H941</f>
        <v>-25.95</v>
      </c>
    </row>
    <row r="942" customFormat="false" ht="15" hidden="false" customHeight="false" outlineLevel="0" collapsed="false">
      <c r="A942" s="2" t="s">
        <v>184</v>
      </c>
      <c r="B942" s="2" t="s">
        <v>146</v>
      </c>
      <c r="C942" s="2" t="s">
        <v>48</v>
      </c>
      <c r="D942" s="2" t="s">
        <v>12</v>
      </c>
      <c r="E942" s="2" t="s">
        <v>76</v>
      </c>
      <c r="F942" s="2" t="s">
        <v>1146</v>
      </c>
      <c r="G942" s="14" t="n">
        <v>9.5</v>
      </c>
      <c r="H942" s="14" t="n">
        <v>27.95</v>
      </c>
      <c r="I942" s="14" t="n">
        <v>9.5</v>
      </c>
      <c r="J942" s="22" t="n">
        <f aca="false">IF(E942="Priority",'Cost model'!N149,'Cost model'!M149)</f>
        <v>45</v>
      </c>
      <c r="K942" s="14" t="n">
        <f aca="false">J942-H942</f>
        <v>17.05</v>
      </c>
      <c r="L942" s="14" t="n">
        <f aca="false">G942-H942</f>
        <v>-18.45</v>
      </c>
    </row>
    <row r="943" customFormat="false" ht="15" hidden="false" customHeight="false" outlineLevel="0" collapsed="false">
      <c r="A943" s="2" t="s">
        <v>184</v>
      </c>
      <c r="B943" s="2" t="s">
        <v>184</v>
      </c>
      <c r="C943" s="2" t="s">
        <v>49</v>
      </c>
      <c r="D943" s="2" t="s">
        <v>13</v>
      </c>
      <c r="E943" s="2" t="s">
        <v>76</v>
      </c>
      <c r="F943" s="2" t="s">
        <v>1145</v>
      </c>
      <c r="G943" s="14" t="n">
        <v>24.5</v>
      </c>
      <c r="H943" s="14" t="n">
        <v>66.64</v>
      </c>
      <c r="I943" s="14"/>
      <c r="J943" s="22" t="n">
        <f aca="false">IF(E943="Priority",'Cost model'!N207,'Cost model'!M207)</f>
        <v>75</v>
      </c>
      <c r="K943" s="14" t="n">
        <f aca="false">J943-H943</f>
        <v>8.36</v>
      </c>
      <c r="L943" s="14" t="n">
        <f aca="false">G943-H943</f>
        <v>-42.14</v>
      </c>
    </row>
    <row r="944" customFormat="false" ht="15" hidden="false" customHeight="false" outlineLevel="0" collapsed="false">
      <c r="A944" s="2" t="s">
        <v>184</v>
      </c>
      <c r="B944" s="2" t="s">
        <v>126</v>
      </c>
      <c r="C944" s="2" t="s">
        <v>48</v>
      </c>
      <c r="D944" s="2" t="s">
        <v>10</v>
      </c>
      <c r="E944" s="2" t="s">
        <v>85</v>
      </c>
      <c r="F944" s="2" t="s">
        <v>1146</v>
      </c>
      <c r="G944" s="14" t="n">
        <v>14.5</v>
      </c>
      <c r="H944" s="14" t="n">
        <v>20.83</v>
      </c>
      <c r="I944" s="14" t="n">
        <v>14.5</v>
      </c>
      <c r="J944" s="22" t="n">
        <f aca="false">IF(E944="Priority",'Cost model'!N128,'Cost model'!M128)</f>
        <v>15.5</v>
      </c>
      <c r="K944" s="14" t="n">
        <f aca="false">J944-H944</f>
        <v>-5.33</v>
      </c>
      <c r="L944" s="14" t="n">
        <f aca="false">G944-H944</f>
        <v>-6.33</v>
      </c>
    </row>
    <row r="945" customFormat="false" ht="15" hidden="false" customHeight="false" outlineLevel="0" collapsed="false">
      <c r="A945" s="2" t="s">
        <v>126</v>
      </c>
      <c r="B945" s="2" t="s">
        <v>146</v>
      </c>
      <c r="C945" s="2" t="s">
        <v>49</v>
      </c>
      <c r="D945" s="2" t="s">
        <v>13</v>
      </c>
      <c r="E945" s="2" t="s">
        <v>76</v>
      </c>
      <c r="F945" s="2" t="s">
        <v>1146</v>
      </c>
      <c r="G945" s="14" t="n">
        <v>24.5</v>
      </c>
      <c r="H945" s="14" t="n">
        <v>61.5</v>
      </c>
      <c r="I945" s="14" t="n">
        <v>24.5</v>
      </c>
      <c r="J945" s="22" t="n">
        <f aca="false">IF(E945="Priority",'Cost model'!N405,'Cost model'!M405)</f>
        <v>120</v>
      </c>
      <c r="K945" s="14" t="n">
        <f aca="false">J945-H945</f>
        <v>58.5</v>
      </c>
      <c r="L945" s="14" t="n">
        <f aca="false">G945-H945</f>
        <v>-37</v>
      </c>
    </row>
    <row r="946" customFormat="false" ht="15" hidden="false" customHeight="false" outlineLevel="0" collapsed="false">
      <c r="A946" s="2" t="s">
        <v>184</v>
      </c>
      <c r="B946" s="2" t="s">
        <v>184</v>
      </c>
      <c r="C946" s="2" t="s">
        <v>48</v>
      </c>
      <c r="D946" s="2" t="s">
        <v>12</v>
      </c>
      <c r="E946" s="2" t="s">
        <v>76</v>
      </c>
      <c r="F946" s="2" t="s">
        <v>1145</v>
      </c>
      <c r="G946" s="14" t="n">
        <v>9.5</v>
      </c>
      <c r="H946" s="14" t="n">
        <v>7.46</v>
      </c>
      <c r="I946" s="14" t="n">
        <v>9.5</v>
      </c>
      <c r="J946" s="22" t="n">
        <f aca="false">IF(E946="Priority",'Cost model'!N203,'Cost model'!M203)</f>
        <v>26.5</v>
      </c>
      <c r="K946" s="14" t="n">
        <f aca="false">J946-H946</f>
        <v>19.04</v>
      </c>
      <c r="L946" s="14" t="n">
        <f aca="false">G946-H946</f>
        <v>2.04</v>
      </c>
    </row>
    <row r="947" customFormat="false" ht="15" hidden="false" customHeight="false" outlineLevel="0" collapsed="false">
      <c r="A947" s="2" t="s">
        <v>125</v>
      </c>
      <c r="B947" s="2" t="s">
        <v>125</v>
      </c>
      <c r="C947" s="2" t="s">
        <v>48</v>
      </c>
      <c r="D947" s="2" t="s">
        <v>10</v>
      </c>
      <c r="E947" s="2" t="s">
        <v>85</v>
      </c>
      <c r="F947" s="2" t="s">
        <v>1145</v>
      </c>
      <c r="G947" s="14" t="n">
        <v>14.5</v>
      </c>
      <c r="H947" s="14" t="n">
        <v>7.37</v>
      </c>
      <c r="I947" s="14" t="n">
        <v>14.5</v>
      </c>
      <c r="J947" s="22" t="n">
        <f aca="false">IF(E947="Priority",'Cost model'!N74,'Cost model'!M74)</f>
        <v>29.5</v>
      </c>
      <c r="K947" s="14" t="n">
        <f aca="false">J947-H947</f>
        <v>22.13</v>
      </c>
      <c r="L947" s="14" t="n">
        <f aca="false">G947-H947</f>
        <v>7.13</v>
      </c>
    </row>
    <row r="948" customFormat="false" ht="15" hidden="false" customHeight="false" outlineLevel="0" collapsed="false">
      <c r="A948" s="2" t="s">
        <v>126</v>
      </c>
      <c r="B948" s="2" t="s">
        <v>126</v>
      </c>
      <c r="C948" s="2" t="s">
        <v>49</v>
      </c>
      <c r="D948" s="2" t="s">
        <v>10</v>
      </c>
      <c r="E948" s="2" t="s">
        <v>85</v>
      </c>
      <c r="F948" s="2" t="s">
        <v>1145</v>
      </c>
      <c r="G948" s="14" t="n">
        <v>17.5</v>
      </c>
      <c r="H948" s="14" t="n">
        <v>28.15</v>
      </c>
      <c r="I948" s="14" t="n">
        <v>17.5</v>
      </c>
      <c r="J948" s="22" t="n">
        <f aca="false">IF(E948="Priority",'Cost model'!N381,'Cost model'!M381)</f>
        <v>19.5</v>
      </c>
      <c r="K948" s="14" t="n">
        <f aca="false">J948-H948</f>
        <v>-8.65</v>
      </c>
      <c r="L948" s="14" t="n">
        <f aca="false">G948-H948</f>
        <v>-10.65</v>
      </c>
    </row>
    <row r="949" customFormat="false" ht="15" hidden="false" customHeight="false" outlineLevel="0" collapsed="false">
      <c r="A949" s="2" t="s">
        <v>184</v>
      </c>
      <c r="B949" s="2" t="s">
        <v>146</v>
      </c>
      <c r="C949" s="2" t="s">
        <v>48</v>
      </c>
      <c r="D949" s="2" t="s">
        <v>10</v>
      </c>
      <c r="E949" s="2" t="s">
        <v>76</v>
      </c>
      <c r="F949" s="2" t="s">
        <v>1146</v>
      </c>
      <c r="G949" s="14" t="n">
        <v>9.5</v>
      </c>
      <c r="H949" s="14" t="n">
        <v>8.45</v>
      </c>
      <c r="I949" s="14" t="n">
        <v>9.5</v>
      </c>
      <c r="J949" s="22" t="n">
        <f aca="false">IF(E949="Priority",'Cost model'!N146,'Cost model'!M146)</f>
        <v>12.5</v>
      </c>
      <c r="K949" s="14" t="n">
        <f aca="false">J949-H949</f>
        <v>4.05</v>
      </c>
      <c r="L949" s="14" t="n">
        <f aca="false">G949-H949</f>
        <v>1.05</v>
      </c>
    </row>
    <row r="950" customFormat="false" ht="15" hidden="false" customHeight="false" outlineLevel="0" collapsed="false">
      <c r="A950" s="2" t="s">
        <v>221</v>
      </c>
      <c r="B950" s="2" t="s">
        <v>221</v>
      </c>
      <c r="C950" s="2" t="s">
        <v>49</v>
      </c>
      <c r="D950" s="2" t="s">
        <v>12</v>
      </c>
      <c r="E950" s="2" t="s">
        <v>85</v>
      </c>
      <c r="F950" s="2" t="s">
        <v>1145</v>
      </c>
      <c r="G950" s="14" t="n">
        <v>19.5</v>
      </c>
      <c r="H950" s="14" t="n">
        <v>55.79</v>
      </c>
      <c r="I950" s="14" t="n">
        <v>19.5</v>
      </c>
      <c r="J950" s="22" t="n">
        <f aca="false">IF(E950="Priority",'Cost model'!N636,'Cost model'!M636)</f>
        <v>70</v>
      </c>
      <c r="K950" s="14" t="n">
        <f aca="false">J950-H950</f>
        <v>14.21</v>
      </c>
      <c r="L950" s="14" t="n">
        <f aca="false">G950-H950</f>
        <v>-36.29</v>
      </c>
    </row>
    <row r="951" customFormat="false" ht="15" hidden="false" customHeight="false" outlineLevel="0" collapsed="false">
      <c r="A951" s="2" t="s">
        <v>184</v>
      </c>
      <c r="B951" s="2" t="s">
        <v>184</v>
      </c>
      <c r="C951" s="2" t="s">
        <v>48</v>
      </c>
      <c r="D951" s="2" t="s">
        <v>12</v>
      </c>
      <c r="E951" s="2" t="s">
        <v>76</v>
      </c>
      <c r="F951" s="2" t="s">
        <v>1145</v>
      </c>
      <c r="G951" s="14" t="n">
        <v>9.5</v>
      </c>
      <c r="H951" s="14" t="n">
        <v>7.45</v>
      </c>
      <c r="I951" s="14" t="n">
        <v>9.5</v>
      </c>
      <c r="J951" s="22" t="n">
        <f aca="false">IF(E951="Priority",'Cost model'!N203,'Cost model'!M203)</f>
        <v>26.5</v>
      </c>
      <c r="K951" s="14" t="n">
        <f aca="false">J951-H951</f>
        <v>19.05</v>
      </c>
      <c r="L951" s="14" t="n">
        <f aca="false">G951-H951</f>
        <v>2.05</v>
      </c>
    </row>
    <row r="952" customFormat="false" ht="15" hidden="false" customHeight="false" outlineLevel="0" collapsed="false">
      <c r="A952" s="2" t="s">
        <v>165</v>
      </c>
      <c r="B952" s="2" t="s">
        <v>146</v>
      </c>
      <c r="C952" s="2" t="s">
        <v>48</v>
      </c>
      <c r="D952" s="2" t="s">
        <v>12</v>
      </c>
      <c r="E952" s="2" t="s">
        <v>76</v>
      </c>
      <c r="F952" s="2" t="s">
        <v>1146</v>
      </c>
      <c r="G952" s="14" t="n">
        <v>9.5</v>
      </c>
      <c r="H952" s="14" t="n">
        <v>62.4</v>
      </c>
      <c r="I952" s="14" t="n">
        <v>19.5</v>
      </c>
      <c r="J952" s="22" t="n">
        <f aca="false">IF(E952="Priority",'Cost model'!N527,'Cost model'!M527)</f>
        <v>55</v>
      </c>
      <c r="K952" s="14" t="n">
        <f aca="false">J952-H952</f>
        <v>-7.4</v>
      </c>
      <c r="L952" s="14" t="n">
        <f aca="false">G952-H952</f>
        <v>-52.9</v>
      </c>
    </row>
    <row r="953" customFormat="false" ht="15" hidden="false" customHeight="false" outlineLevel="0" collapsed="false">
      <c r="A953" s="2" t="s">
        <v>126</v>
      </c>
      <c r="B953" s="2" t="s">
        <v>126</v>
      </c>
      <c r="C953" s="2" t="s">
        <v>49</v>
      </c>
      <c r="D953" s="2" t="s">
        <v>10</v>
      </c>
      <c r="E953" s="2" t="s">
        <v>76</v>
      </c>
      <c r="F953" s="2" t="s">
        <v>1145</v>
      </c>
      <c r="G953" s="14" t="n">
        <v>12.5</v>
      </c>
      <c r="H953" s="14" t="n">
        <v>11.51</v>
      </c>
      <c r="I953" s="14" t="n">
        <v>12.5</v>
      </c>
      <c r="J953" s="22" t="n">
        <f aca="false">IF(E953="Priority",'Cost model'!N381,'Cost model'!M381)</f>
        <v>14.5</v>
      </c>
      <c r="K953" s="14" t="n">
        <f aca="false">J953-H953</f>
        <v>2.99</v>
      </c>
      <c r="L953" s="14" t="n">
        <f aca="false">G953-H953</f>
        <v>0.99</v>
      </c>
    </row>
    <row r="954" customFormat="false" ht="15" hidden="false" customHeight="false" outlineLevel="0" collapsed="false">
      <c r="A954" s="2" t="s">
        <v>146</v>
      </c>
      <c r="B954" s="2" t="s">
        <v>146</v>
      </c>
      <c r="C954" s="2" t="s">
        <v>50</v>
      </c>
      <c r="D954" s="2" t="s">
        <v>12</v>
      </c>
      <c r="E954" s="2" t="s">
        <v>85</v>
      </c>
      <c r="F954" s="2" t="s">
        <v>1145</v>
      </c>
      <c r="G954" s="14" t="n">
        <v>29.5</v>
      </c>
      <c r="H954" s="14" t="n">
        <v>48.47</v>
      </c>
      <c r="I954" s="14" t="n">
        <v>29.5</v>
      </c>
      <c r="J954" s="22" t="n">
        <f aca="false">IF(E954="Priority",'Cost model'!N763,'Cost model'!M763)</f>
        <v>65</v>
      </c>
      <c r="K954" s="14" t="n">
        <f aca="false">J954-H954</f>
        <v>16.53</v>
      </c>
      <c r="L954" s="14" t="n">
        <f aca="false">G954-H954</f>
        <v>-18.97</v>
      </c>
    </row>
    <row r="955" customFormat="false" ht="15" hidden="false" customHeight="false" outlineLevel="0" collapsed="false">
      <c r="A955" s="2" t="s">
        <v>126</v>
      </c>
      <c r="B955" s="2" t="s">
        <v>126</v>
      </c>
      <c r="C955" s="2" t="s">
        <v>48</v>
      </c>
      <c r="D955" s="2" t="s">
        <v>10</v>
      </c>
      <c r="E955" s="2" t="s">
        <v>85</v>
      </c>
      <c r="F955" s="2" t="s">
        <v>1145</v>
      </c>
      <c r="G955" s="14" t="n">
        <v>14.5</v>
      </c>
      <c r="H955" s="14" t="n">
        <v>10.16</v>
      </c>
      <c r="I955" s="14" t="n">
        <v>14.5</v>
      </c>
      <c r="J955" s="22" t="n">
        <f aca="false">IF(E955="Priority",'Cost model'!N380,'Cost model'!M380)</f>
        <v>13.5</v>
      </c>
      <c r="K955" s="14" t="n">
        <f aca="false">J955-H955</f>
        <v>3.34</v>
      </c>
      <c r="L955" s="14" t="n">
        <f aca="false">G955-H955</f>
        <v>4.34</v>
      </c>
    </row>
    <row r="956" customFormat="false" ht="15" hidden="false" customHeight="false" outlineLevel="0" collapsed="false">
      <c r="A956" s="2" t="s">
        <v>165</v>
      </c>
      <c r="B956" s="2" t="s">
        <v>240</v>
      </c>
      <c r="C956" s="2" t="s">
        <v>48</v>
      </c>
      <c r="D956" s="2" t="s">
        <v>12</v>
      </c>
      <c r="E956" s="2" t="s">
        <v>76</v>
      </c>
      <c r="F956" s="2" t="s">
        <v>1146</v>
      </c>
      <c r="G956" s="14" t="n">
        <v>9.5</v>
      </c>
      <c r="H956" s="14" t="n">
        <v>55.04</v>
      </c>
      <c r="I956" s="14" t="n">
        <v>24.5</v>
      </c>
      <c r="J956" s="22" t="n">
        <f aca="false">IF(E956="Priority",'Cost model'!N563,'Cost model'!M563)</f>
        <v>55</v>
      </c>
      <c r="K956" s="14" t="n">
        <f aca="false">J956-H956</f>
        <v>-0.0399999999999992</v>
      </c>
      <c r="L956" s="14" t="n">
        <f aca="false">G956-H956</f>
        <v>-45.54</v>
      </c>
    </row>
    <row r="957" customFormat="false" ht="15" hidden="false" customHeight="false" outlineLevel="0" collapsed="false">
      <c r="A957" s="2" t="s">
        <v>184</v>
      </c>
      <c r="B957" s="2" t="s">
        <v>184</v>
      </c>
      <c r="C957" s="2" t="s">
        <v>48</v>
      </c>
      <c r="D957" s="2" t="s">
        <v>14</v>
      </c>
      <c r="E957" s="2" t="s">
        <v>76</v>
      </c>
      <c r="F957" s="2" t="s">
        <v>1145</v>
      </c>
      <c r="G957" s="14" t="n">
        <v>25</v>
      </c>
      <c r="H957" s="14" t="n">
        <v>49.68</v>
      </c>
      <c r="I957" s="14" t="n">
        <v>25</v>
      </c>
      <c r="J957" s="22" t="n">
        <f aca="false">IF(E957="Priority",'Cost model'!N209,'Cost model'!M209)</f>
        <v>105</v>
      </c>
      <c r="K957" s="14" t="n">
        <f aca="false">J957-H957</f>
        <v>55.32</v>
      </c>
      <c r="L957" s="14" t="n">
        <f aca="false">G957-H957</f>
        <v>-24.68</v>
      </c>
    </row>
    <row r="958" customFormat="false" ht="15" hidden="false" customHeight="false" outlineLevel="0" collapsed="false">
      <c r="A958" s="2" t="s">
        <v>126</v>
      </c>
      <c r="B958" s="2" t="s">
        <v>126</v>
      </c>
      <c r="C958" s="2" t="s">
        <v>49</v>
      </c>
      <c r="D958" s="2" t="s">
        <v>12</v>
      </c>
      <c r="E958" s="2" t="s">
        <v>76</v>
      </c>
      <c r="F958" s="2" t="s">
        <v>1145</v>
      </c>
      <c r="G958" s="14" t="n">
        <v>12.5</v>
      </c>
      <c r="H958" s="14" t="n">
        <v>45.78</v>
      </c>
      <c r="I958" s="14" t="n">
        <v>12.5</v>
      </c>
      <c r="J958" s="22" t="n">
        <f aca="false">IF(E958="Priority",'Cost model'!N384,'Cost model'!M384)</f>
        <v>45</v>
      </c>
      <c r="K958" s="14" t="n">
        <f aca="false">J958-H958</f>
        <v>-0.780000000000001</v>
      </c>
      <c r="L958" s="14" t="n">
        <f aca="false">G958-H958</f>
        <v>-33.28</v>
      </c>
    </row>
    <row r="959" customFormat="false" ht="15" hidden="false" customHeight="false" outlineLevel="0" collapsed="false">
      <c r="A959" s="2" t="s">
        <v>184</v>
      </c>
      <c r="B959" s="2" t="s">
        <v>146</v>
      </c>
      <c r="C959" s="2" t="s">
        <v>48</v>
      </c>
      <c r="D959" s="2" t="s">
        <v>12</v>
      </c>
      <c r="E959" s="2" t="s">
        <v>76</v>
      </c>
      <c r="F959" s="2" t="s">
        <v>1146</v>
      </c>
      <c r="G959" s="14" t="n">
        <v>9.5</v>
      </c>
      <c r="H959" s="14" t="n">
        <v>44.84</v>
      </c>
      <c r="I959" s="14" t="n">
        <v>9.5</v>
      </c>
      <c r="J959" s="22" t="n">
        <f aca="false">IF(E959="Priority",'Cost model'!N149,'Cost model'!M149)</f>
        <v>45</v>
      </c>
      <c r="K959" s="14" t="n">
        <f aca="false">J959-H959</f>
        <v>0.159999999999997</v>
      </c>
      <c r="L959" s="14" t="n">
        <f aca="false">G959-H959</f>
        <v>-35.34</v>
      </c>
    </row>
    <row r="960" customFormat="false" ht="15" hidden="false" customHeight="false" outlineLevel="0" collapsed="false">
      <c r="A960" s="2" t="s">
        <v>146</v>
      </c>
      <c r="B960" s="2" t="s">
        <v>146</v>
      </c>
      <c r="C960" s="2" t="s">
        <v>48</v>
      </c>
      <c r="D960" s="2" t="s">
        <v>12</v>
      </c>
      <c r="E960" s="2" t="s">
        <v>85</v>
      </c>
      <c r="F960" s="2" t="s">
        <v>1145</v>
      </c>
      <c r="G960" s="14" t="n">
        <v>19.5</v>
      </c>
      <c r="H960" s="14" t="n">
        <v>42.61</v>
      </c>
      <c r="I960" s="14" t="n">
        <v>19.5</v>
      </c>
      <c r="J960" s="22" t="n">
        <f aca="false">IF(E960="Priority",'Cost model'!N761,'Cost model'!M761)</f>
        <v>45</v>
      </c>
      <c r="K960" s="14" t="n">
        <f aca="false">J960-H960</f>
        <v>2.39</v>
      </c>
      <c r="L960" s="14" t="n">
        <f aca="false">G960-H960</f>
        <v>-23.11</v>
      </c>
    </row>
    <row r="961" customFormat="false" ht="15" hidden="false" customHeight="false" outlineLevel="0" collapsed="false">
      <c r="A961" s="2" t="s">
        <v>184</v>
      </c>
      <c r="B961" s="2" t="s">
        <v>184</v>
      </c>
      <c r="C961" s="2" t="s">
        <v>50</v>
      </c>
      <c r="D961" s="2" t="s">
        <v>12</v>
      </c>
      <c r="E961" s="2" t="s">
        <v>76</v>
      </c>
      <c r="F961" s="2" t="s">
        <v>1145</v>
      </c>
      <c r="G961" s="14" t="n">
        <v>19.5</v>
      </c>
      <c r="H961" s="14" t="n">
        <v>44.66</v>
      </c>
      <c r="I961" s="14" t="n">
        <v>19.5</v>
      </c>
      <c r="J961" s="22" t="n">
        <f aca="false">IF(E961="Priority",'Cost model'!N205,'Cost model'!M205)</f>
        <v>50</v>
      </c>
      <c r="K961" s="14" t="n">
        <f aca="false">J961-H961</f>
        <v>5.34</v>
      </c>
      <c r="L961" s="14" t="n">
        <f aca="false">G961-H961</f>
        <v>-25.16</v>
      </c>
    </row>
    <row r="962" customFormat="false" ht="15" hidden="false" customHeight="false" outlineLevel="0" collapsed="false">
      <c r="A962" s="2" t="s">
        <v>126</v>
      </c>
      <c r="B962" s="2" t="s">
        <v>126</v>
      </c>
      <c r="C962" s="2" t="s">
        <v>49</v>
      </c>
      <c r="D962" s="2" t="s">
        <v>10</v>
      </c>
      <c r="E962" s="2" t="s">
        <v>76</v>
      </c>
      <c r="F962" s="2" t="s">
        <v>1145</v>
      </c>
      <c r="G962" s="14" t="n">
        <v>14.5</v>
      </c>
      <c r="H962" s="14" t="n">
        <v>7.93</v>
      </c>
      <c r="I962" s="14" t="n">
        <v>12.5</v>
      </c>
      <c r="J962" s="22" t="n">
        <f aca="false">IF(E962="Priority",'Cost model'!N381,'Cost model'!M381)</f>
        <v>14.5</v>
      </c>
      <c r="K962" s="14" t="n">
        <f aca="false">J962-H962</f>
        <v>6.57</v>
      </c>
      <c r="L962" s="14" t="n">
        <f aca="false">G962-H962</f>
        <v>6.57</v>
      </c>
    </row>
    <row r="963" customFormat="false" ht="15" hidden="false" customHeight="false" outlineLevel="0" collapsed="false">
      <c r="A963" s="2" t="s">
        <v>184</v>
      </c>
      <c r="B963" s="2" t="s">
        <v>184</v>
      </c>
      <c r="C963" s="2" t="s">
        <v>48</v>
      </c>
      <c r="D963" s="2" t="s">
        <v>12</v>
      </c>
      <c r="E963" s="2" t="s">
        <v>76</v>
      </c>
      <c r="F963" s="2" t="s">
        <v>1145</v>
      </c>
      <c r="G963" s="14" t="n">
        <v>9.5</v>
      </c>
      <c r="H963" s="14" t="n">
        <v>7.72</v>
      </c>
      <c r="I963" s="14" t="n">
        <v>9.5</v>
      </c>
      <c r="J963" s="22" t="n">
        <f aca="false">IF(E963="Priority",'Cost model'!N203,'Cost model'!M203)</f>
        <v>26.5</v>
      </c>
      <c r="K963" s="14" t="n">
        <f aca="false">J963-H963</f>
        <v>18.78</v>
      </c>
      <c r="L963" s="14" t="n">
        <f aca="false">G963-H963</f>
        <v>1.78</v>
      </c>
    </row>
    <row r="964" customFormat="false" ht="15" hidden="false" customHeight="false" outlineLevel="0" collapsed="false">
      <c r="A964" s="2" t="s">
        <v>240</v>
      </c>
      <c r="B964" s="2" t="s">
        <v>240</v>
      </c>
      <c r="C964" s="2" t="s">
        <v>50</v>
      </c>
      <c r="D964" s="2" t="s">
        <v>10</v>
      </c>
      <c r="E964" s="2" t="s">
        <v>85</v>
      </c>
      <c r="F964" s="2" t="s">
        <v>1145</v>
      </c>
      <c r="G964" s="14" t="n">
        <v>24.5</v>
      </c>
      <c r="H964" s="14" t="n">
        <v>24.63</v>
      </c>
      <c r="I964" s="14" t="n">
        <v>24.5</v>
      </c>
      <c r="J964" s="22" t="n">
        <f aca="false">IF(E964="Priority",'Cost model'!N886,'Cost model'!M886)</f>
        <v>23.5</v>
      </c>
      <c r="K964" s="14" t="n">
        <f aca="false">J964-H964</f>
        <v>-1.13</v>
      </c>
      <c r="L964" s="14" t="n">
        <f aca="false">G964-H964</f>
        <v>-0.129999999999999</v>
      </c>
    </row>
    <row r="965" customFormat="false" ht="15" hidden="false" customHeight="false" outlineLevel="0" collapsed="false">
      <c r="A965" s="2" t="s">
        <v>240</v>
      </c>
      <c r="B965" s="2" t="s">
        <v>240</v>
      </c>
      <c r="C965" s="2" t="s">
        <v>48</v>
      </c>
      <c r="D965" s="2" t="s">
        <v>10</v>
      </c>
      <c r="E965" s="2" t="s">
        <v>76</v>
      </c>
      <c r="F965" s="2" t="s">
        <v>1145</v>
      </c>
      <c r="G965" s="14" t="n">
        <v>9.5</v>
      </c>
      <c r="H965" s="14" t="n">
        <v>7.32</v>
      </c>
      <c r="I965" s="14" t="n">
        <v>9.5</v>
      </c>
      <c r="J965" s="22" t="n">
        <f aca="false">IF(E965="Priority",'Cost model'!N884,'Cost model'!M884)</f>
        <v>7.5</v>
      </c>
      <c r="K965" s="14" t="n">
        <f aca="false">J965-H965</f>
        <v>0.18</v>
      </c>
      <c r="L965" s="14" t="n">
        <f aca="false">G965-H965</f>
        <v>2.18</v>
      </c>
    </row>
    <row r="966" customFormat="false" ht="15" hidden="false" customHeight="false" outlineLevel="0" collapsed="false">
      <c r="A966" s="2" t="s">
        <v>184</v>
      </c>
      <c r="B966" s="2" t="s">
        <v>184</v>
      </c>
      <c r="C966" s="2" t="s">
        <v>49</v>
      </c>
      <c r="D966" s="2" t="s">
        <v>12</v>
      </c>
      <c r="E966" s="2" t="s">
        <v>76</v>
      </c>
      <c r="F966" s="2" t="s">
        <v>1145</v>
      </c>
      <c r="G966" s="14" t="n">
        <v>12.5</v>
      </c>
      <c r="H966" s="14" t="n">
        <v>62.98</v>
      </c>
      <c r="I966" s="14"/>
      <c r="J966" s="22" t="n">
        <f aca="false">IF(E966="Priority",'Cost model'!N204,'Cost model'!M204)</f>
        <v>45</v>
      </c>
      <c r="K966" s="14" t="n">
        <f aca="false">J966-H966</f>
        <v>-17.98</v>
      </c>
      <c r="L966" s="14" t="n">
        <f aca="false">G966-H966</f>
        <v>-50.48</v>
      </c>
    </row>
    <row r="967" customFormat="false" ht="15" hidden="false" customHeight="false" outlineLevel="0" collapsed="false">
      <c r="A967" s="2" t="s">
        <v>385</v>
      </c>
      <c r="B967" s="2" t="s">
        <v>126</v>
      </c>
      <c r="C967" s="2" t="s">
        <v>50</v>
      </c>
      <c r="D967" s="2" t="s">
        <v>12</v>
      </c>
      <c r="E967" s="2" t="s">
        <v>76</v>
      </c>
      <c r="F967" s="2" t="s">
        <v>1146</v>
      </c>
      <c r="G967" s="14" t="n">
        <v>24.5</v>
      </c>
      <c r="H967" s="14" t="n">
        <v>20.83</v>
      </c>
      <c r="I967" s="14" t="n">
        <v>45</v>
      </c>
      <c r="J967" s="22" t="n">
        <f aca="false">IF(E967="Priority",'Cost model'!N313,'Cost model'!M313)</f>
        <v>70</v>
      </c>
      <c r="K967" s="14" t="n">
        <f aca="false">J967-H967</f>
        <v>49.17</v>
      </c>
      <c r="L967" s="14" t="n">
        <f aca="false">G967-H967</f>
        <v>3.67</v>
      </c>
    </row>
    <row r="968" customFormat="false" ht="15" hidden="false" customHeight="false" outlineLevel="0" collapsed="false">
      <c r="A968" s="2" t="s">
        <v>240</v>
      </c>
      <c r="B968" s="2" t="s">
        <v>240</v>
      </c>
      <c r="C968" s="2" t="s">
        <v>48</v>
      </c>
      <c r="D968" s="2" t="s">
        <v>10</v>
      </c>
      <c r="E968" s="2" t="s">
        <v>76</v>
      </c>
      <c r="F968" s="2" t="s">
        <v>1145</v>
      </c>
      <c r="G968" s="14" t="n">
        <v>9.5</v>
      </c>
      <c r="H968" s="14" t="n">
        <v>7.9</v>
      </c>
      <c r="I968" s="14" t="n">
        <v>9.5</v>
      </c>
      <c r="J968" s="22" t="n">
        <f aca="false">IF(E968="Priority",'Cost model'!N884,'Cost model'!M884)</f>
        <v>7.5</v>
      </c>
      <c r="K968" s="14" t="n">
        <f aca="false">J968-H968</f>
        <v>-0.4</v>
      </c>
      <c r="L968" s="14" t="n">
        <f aca="false">G968-H968</f>
        <v>1.6</v>
      </c>
    </row>
    <row r="969" customFormat="false" ht="15" hidden="false" customHeight="false" outlineLevel="0" collapsed="false">
      <c r="A969" s="2" t="s">
        <v>184</v>
      </c>
      <c r="B969" s="2" t="s">
        <v>184</v>
      </c>
      <c r="C969" s="2" t="s">
        <v>48</v>
      </c>
      <c r="D969" s="2" t="s">
        <v>10</v>
      </c>
      <c r="E969" s="2" t="s">
        <v>76</v>
      </c>
      <c r="F969" s="2" t="s">
        <v>1145</v>
      </c>
      <c r="G969" s="14" t="n">
        <v>9.5</v>
      </c>
      <c r="H969" s="14" t="n">
        <v>7.45</v>
      </c>
      <c r="I969" s="14" t="n">
        <v>9.5</v>
      </c>
      <c r="J969" s="22" t="n">
        <f aca="false">IF(E969="Priority",'Cost model'!N200,'Cost model'!M200)</f>
        <v>7.5</v>
      </c>
      <c r="K969" s="14" t="n">
        <f aca="false">J969-H969</f>
        <v>0.0499999999999998</v>
      </c>
      <c r="L969" s="14" t="n">
        <f aca="false">G969-H969</f>
        <v>2.05</v>
      </c>
    </row>
    <row r="970" customFormat="false" ht="15" hidden="false" customHeight="false" outlineLevel="0" collapsed="false">
      <c r="A970" s="2" t="s">
        <v>240</v>
      </c>
      <c r="B970" s="2" t="s">
        <v>240</v>
      </c>
      <c r="C970" s="2" t="s">
        <v>48</v>
      </c>
      <c r="D970" s="2" t="s">
        <v>10</v>
      </c>
      <c r="E970" s="2" t="s">
        <v>76</v>
      </c>
      <c r="F970" s="2" t="s">
        <v>1145</v>
      </c>
      <c r="G970" s="14" t="n">
        <v>9.5</v>
      </c>
      <c r="H970" s="14" t="n">
        <v>7.68</v>
      </c>
      <c r="I970" s="14" t="n">
        <v>9.5</v>
      </c>
      <c r="J970" s="22" t="n">
        <f aca="false">IF(E970="Priority",'Cost model'!N884,'Cost model'!M884)</f>
        <v>7.5</v>
      </c>
      <c r="K970" s="14" t="n">
        <f aca="false">J970-H970</f>
        <v>-0.18</v>
      </c>
      <c r="L970" s="14" t="n">
        <f aca="false">G970-H970</f>
        <v>1.82</v>
      </c>
    </row>
    <row r="971" customFormat="false" ht="15" hidden="false" customHeight="false" outlineLevel="0" collapsed="false">
      <c r="A971" s="2" t="s">
        <v>184</v>
      </c>
      <c r="B971" s="2" t="s">
        <v>184</v>
      </c>
      <c r="C971" s="2" t="s">
        <v>49</v>
      </c>
      <c r="D971" s="2" t="s">
        <v>10</v>
      </c>
      <c r="E971" s="2" t="s">
        <v>76</v>
      </c>
      <c r="F971" s="2" t="s">
        <v>1145</v>
      </c>
      <c r="G971" s="14" t="n">
        <v>12.5</v>
      </c>
      <c r="H971" s="14" t="n">
        <v>7.69</v>
      </c>
      <c r="I971" s="14"/>
      <c r="J971" s="22" t="n">
        <f aca="false">IF(E971="Priority",'Cost model'!N201,'Cost model'!M201)</f>
        <v>12.5</v>
      </c>
      <c r="K971" s="14" t="n">
        <f aca="false">J971-H971</f>
        <v>4.81</v>
      </c>
      <c r="L971" s="14" t="n">
        <f aca="false">G971-H971</f>
        <v>4.81</v>
      </c>
    </row>
    <row r="972" customFormat="false" ht="15" hidden="false" customHeight="false" outlineLevel="0" collapsed="false">
      <c r="A972" s="2" t="s">
        <v>184</v>
      </c>
      <c r="B972" s="2" t="s">
        <v>184</v>
      </c>
      <c r="C972" s="2" t="s">
        <v>50</v>
      </c>
      <c r="D972" s="2" t="s">
        <v>13</v>
      </c>
      <c r="E972" s="2" t="s">
        <v>76</v>
      </c>
      <c r="F972" s="2" t="s">
        <v>1145</v>
      </c>
      <c r="G972" s="14" t="n">
        <v>50</v>
      </c>
      <c r="H972" s="14" t="n">
        <v>52.77</v>
      </c>
      <c r="I972" s="14" t="n">
        <v>50</v>
      </c>
      <c r="J972" s="22" t="n">
        <f aca="false">IF(E972="Priority",'Cost model'!N208,'Cost model'!M208)</f>
        <v>80</v>
      </c>
      <c r="K972" s="14" t="n">
        <f aca="false">J972-H972</f>
        <v>27.23</v>
      </c>
      <c r="L972" s="14" t="n">
        <f aca="false">G972-H972</f>
        <v>-2.77</v>
      </c>
    </row>
    <row r="973" customFormat="false" ht="15" hidden="false" customHeight="false" outlineLevel="0" collapsed="false">
      <c r="A973" s="2" t="s">
        <v>126</v>
      </c>
      <c r="B973" s="2" t="s">
        <v>126</v>
      </c>
      <c r="C973" s="2" t="s">
        <v>49</v>
      </c>
      <c r="D973" s="2" t="s">
        <v>10</v>
      </c>
      <c r="E973" s="2" t="s">
        <v>76</v>
      </c>
      <c r="F973" s="2" t="s">
        <v>1145</v>
      </c>
      <c r="G973" s="14" t="n">
        <v>12.5</v>
      </c>
      <c r="H973" s="14" t="n">
        <v>13.7</v>
      </c>
      <c r="I973" s="14" t="n">
        <v>12.5</v>
      </c>
      <c r="J973" s="22" t="n">
        <f aca="false">IF(E973="Priority",'Cost model'!N381,'Cost model'!M381)</f>
        <v>14.5</v>
      </c>
      <c r="K973" s="14" t="n">
        <f aca="false">J973-H973</f>
        <v>0.800000000000001</v>
      </c>
      <c r="L973" s="14" t="n">
        <f aca="false">G973-H973</f>
        <v>-1.2</v>
      </c>
    </row>
    <row r="974" customFormat="false" ht="15" hidden="false" customHeight="false" outlineLevel="0" collapsed="false">
      <c r="A974" s="2" t="s">
        <v>184</v>
      </c>
      <c r="B974" s="2" t="s">
        <v>184</v>
      </c>
      <c r="C974" s="2" t="s">
        <v>48</v>
      </c>
      <c r="D974" s="2" t="s">
        <v>12</v>
      </c>
      <c r="E974" s="2" t="s">
        <v>76</v>
      </c>
      <c r="F974" s="2" t="s">
        <v>1145</v>
      </c>
      <c r="G974" s="14" t="n">
        <v>9.5</v>
      </c>
      <c r="H974" s="14" t="n">
        <v>28.11</v>
      </c>
      <c r="I974" s="14" t="n">
        <v>9.5</v>
      </c>
      <c r="J974" s="22" t="n">
        <f aca="false">IF(E974="Priority",'Cost model'!N203,'Cost model'!M203)</f>
        <v>26.5</v>
      </c>
      <c r="K974" s="14" t="n">
        <f aca="false">J974-H974</f>
        <v>-1.61</v>
      </c>
      <c r="L974" s="14" t="n">
        <f aca="false">G974-H974</f>
        <v>-18.61</v>
      </c>
    </row>
    <row r="975" customFormat="false" ht="15" hidden="false" customHeight="false" outlineLevel="0" collapsed="false">
      <c r="A975" s="2" t="s">
        <v>146</v>
      </c>
      <c r="B975" s="2" t="s">
        <v>146</v>
      </c>
      <c r="C975" s="2" t="s">
        <v>48</v>
      </c>
      <c r="D975" s="2" t="s">
        <v>10</v>
      </c>
      <c r="E975" s="2" t="s">
        <v>85</v>
      </c>
      <c r="F975" s="2" t="s">
        <v>1145</v>
      </c>
      <c r="G975" s="14" t="n">
        <v>14.5</v>
      </c>
      <c r="H975" s="14" t="n">
        <v>21.34</v>
      </c>
      <c r="I975" s="14" t="n">
        <v>14.5</v>
      </c>
      <c r="J975" s="22" t="n">
        <f aca="false">IF(E975="Priority",'Cost model'!N758,'Cost model'!M758)</f>
        <v>14.5</v>
      </c>
      <c r="K975" s="14" t="n">
        <f aca="false">J975-H975</f>
        <v>-6.84</v>
      </c>
      <c r="L975" s="14" t="n">
        <f aca="false">G975-H975</f>
        <v>-6.84</v>
      </c>
    </row>
    <row r="976" customFormat="false" ht="15" hidden="false" customHeight="false" outlineLevel="0" collapsed="false">
      <c r="A976" s="2" t="s">
        <v>240</v>
      </c>
      <c r="B976" s="2" t="s">
        <v>240</v>
      </c>
      <c r="C976" s="2" t="s">
        <v>48</v>
      </c>
      <c r="D976" s="2" t="s">
        <v>12</v>
      </c>
      <c r="E976" s="2" t="s">
        <v>76</v>
      </c>
      <c r="F976" s="2" t="s">
        <v>1145</v>
      </c>
      <c r="G976" s="14" t="n">
        <v>9.5</v>
      </c>
      <c r="H976" s="14" t="n">
        <v>7.9</v>
      </c>
      <c r="I976" s="14" t="n">
        <v>9.5</v>
      </c>
      <c r="J976" s="22" t="n">
        <f aca="false">IF(E976="Priority",'Cost model'!N887,'Cost model'!M887)</f>
        <v>21.5</v>
      </c>
      <c r="K976" s="14" t="n">
        <f aca="false">J976-H976</f>
        <v>13.6</v>
      </c>
      <c r="L976" s="14" t="n">
        <f aca="false">G976-H976</f>
        <v>1.6</v>
      </c>
    </row>
    <row r="977" customFormat="false" ht="15" hidden="false" customHeight="false" outlineLevel="0" collapsed="false">
      <c r="A977" s="2" t="s">
        <v>184</v>
      </c>
      <c r="B977" s="2" t="s">
        <v>146</v>
      </c>
      <c r="C977" s="2" t="s">
        <v>50</v>
      </c>
      <c r="D977" s="2" t="s">
        <v>12</v>
      </c>
      <c r="E977" s="2" t="s">
        <v>76</v>
      </c>
      <c r="F977" s="2" t="s">
        <v>1146</v>
      </c>
      <c r="G977" s="14" t="n">
        <v>19.5</v>
      </c>
      <c r="H977" s="14" t="n">
        <v>53.42</v>
      </c>
      <c r="I977" s="14" t="n">
        <v>19.5</v>
      </c>
      <c r="J977" s="22" t="n">
        <f aca="false">IF(E977="Priority",'Cost model'!N151,'Cost model'!M151)</f>
        <v>55</v>
      </c>
      <c r="K977" s="14" t="n">
        <f aca="false">J977-H977</f>
        <v>1.58</v>
      </c>
      <c r="L977" s="14" t="n">
        <f aca="false">G977-H977</f>
        <v>-33.92</v>
      </c>
    </row>
    <row r="978" customFormat="false" ht="15" hidden="false" customHeight="false" outlineLevel="0" collapsed="false">
      <c r="A978" s="2" t="s">
        <v>184</v>
      </c>
      <c r="B978" s="2" t="s">
        <v>184</v>
      </c>
      <c r="C978" s="2" t="s">
        <v>48</v>
      </c>
      <c r="D978" s="2" t="s">
        <v>10</v>
      </c>
      <c r="E978" s="2" t="s">
        <v>76</v>
      </c>
      <c r="F978" s="2" t="s">
        <v>1145</v>
      </c>
      <c r="G978" s="14" t="n">
        <v>9.5</v>
      </c>
      <c r="H978" s="14" t="n">
        <v>13.52</v>
      </c>
      <c r="I978" s="14" t="n">
        <v>9.5</v>
      </c>
      <c r="J978" s="22" t="n">
        <f aca="false">IF(E978="Priority",'Cost model'!N200,'Cost model'!M200)</f>
        <v>7.5</v>
      </c>
      <c r="K978" s="14" t="n">
        <f aca="false">J978-H978</f>
        <v>-6.02</v>
      </c>
      <c r="L978" s="14" t="n">
        <f aca="false">G978-H978</f>
        <v>-4.02</v>
      </c>
    </row>
    <row r="979" customFormat="false" ht="15" hidden="false" customHeight="false" outlineLevel="0" collapsed="false">
      <c r="A979" s="2" t="s">
        <v>146</v>
      </c>
      <c r="B979" s="2" t="s">
        <v>146</v>
      </c>
      <c r="C979" s="2" t="s">
        <v>48</v>
      </c>
      <c r="D979" s="2" t="s">
        <v>12</v>
      </c>
      <c r="E979" s="2" t="s">
        <v>76</v>
      </c>
      <c r="F979" s="2" t="s">
        <v>1145</v>
      </c>
      <c r="G979" s="14" t="n">
        <v>9.5</v>
      </c>
      <c r="H979" s="14" t="n">
        <v>37.84</v>
      </c>
      <c r="I979" s="14" t="n">
        <v>9.5</v>
      </c>
      <c r="J979" s="22" t="n">
        <f aca="false">IF(E979="Priority",'Cost model'!N761,'Cost model'!M761)</f>
        <v>35</v>
      </c>
      <c r="K979" s="14" t="n">
        <f aca="false">J979-H979</f>
        <v>-2.84</v>
      </c>
      <c r="L979" s="14" t="n">
        <f aca="false">G979-H979</f>
        <v>-28.34</v>
      </c>
    </row>
    <row r="980" customFormat="false" ht="15" hidden="false" customHeight="false" outlineLevel="0" collapsed="false">
      <c r="A980" s="2" t="s">
        <v>184</v>
      </c>
      <c r="B980" s="2" t="s">
        <v>184</v>
      </c>
      <c r="C980" s="2" t="s">
        <v>49</v>
      </c>
      <c r="D980" s="2" t="s">
        <v>12</v>
      </c>
      <c r="E980" s="2" t="s">
        <v>76</v>
      </c>
      <c r="F980" s="2" t="s">
        <v>1145</v>
      </c>
      <c r="G980" s="14" t="n">
        <v>12.5</v>
      </c>
      <c r="H980" s="14" t="n">
        <v>57.63</v>
      </c>
      <c r="I980" s="14"/>
      <c r="J980" s="22" t="n">
        <f aca="false">IF(E980="Priority",'Cost model'!N204,'Cost model'!M204)</f>
        <v>45</v>
      </c>
      <c r="K980" s="14" t="n">
        <f aca="false">J980-H980</f>
        <v>-12.63</v>
      </c>
      <c r="L980" s="14" t="n">
        <f aca="false">G980-H980</f>
        <v>-45.13</v>
      </c>
    </row>
    <row r="981" customFormat="false" ht="15" hidden="false" customHeight="false" outlineLevel="0" collapsed="false">
      <c r="A981" s="2" t="s">
        <v>126</v>
      </c>
      <c r="B981" s="2" t="s">
        <v>146</v>
      </c>
      <c r="C981" s="2" t="s">
        <v>49</v>
      </c>
      <c r="D981" s="2" t="s">
        <v>10</v>
      </c>
      <c r="E981" s="2" t="s">
        <v>76</v>
      </c>
      <c r="F981" s="2" t="s">
        <v>1146</v>
      </c>
      <c r="G981" s="14" t="n">
        <v>12.5</v>
      </c>
      <c r="H981" s="14" t="n">
        <v>15.22</v>
      </c>
      <c r="I981" s="14" t="n">
        <v>14.5</v>
      </c>
      <c r="J981" s="22" t="n">
        <f aca="false">IF(E981="Priority",'Cost model'!N399,'Cost model'!M399)</f>
        <v>17.5</v>
      </c>
      <c r="K981" s="14" t="n">
        <f aca="false">J981-H981</f>
        <v>2.28</v>
      </c>
      <c r="L981" s="14" t="n">
        <f aca="false">G981-H981</f>
        <v>-2.72</v>
      </c>
    </row>
    <row r="982" customFormat="false" ht="15" hidden="false" customHeight="false" outlineLevel="0" collapsed="false">
      <c r="A982" s="2" t="s">
        <v>126</v>
      </c>
      <c r="B982" s="2" t="s">
        <v>126</v>
      </c>
      <c r="C982" s="2" t="s">
        <v>50</v>
      </c>
      <c r="D982" s="2" t="s">
        <v>12</v>
      </c>
      <c r="E982" s="2" t="s">
        <v>85</v>
      </c>
      <c r="F982" s="2" t="s">
        <v>1145</v>
      </c>
      <c r="G982" s="14" t="n">
        <v>29.5</v>
      </c>
      <c r="H982" s="14" t="n">
        <v>100.53</v>
      </c>
      <c r="I982" s="14" t="n">
        <v>29.5</v>
      </c>
      <c r="J982" s="22" t="n">
        <f aca="false">IF(E982="Priority",'Cost model'!N385,'Cost model'!M385)</f>
        <v>70</v>
      </c>
      <c r="K982" s="14" t="n">
        <f aca="false">J982-H982</f>
        <v>-30.53</v>
      </c>
      <c r="L982" s="14" t="n">
        <f aca="false">G982-H982</f>
        <v>-71.03</v>
      </c>
    </row>
    <row r="983" customFormat="false" ht="15" hidden="false" customHeight="false" outlineLevel="0" collapsed="false">
      <c r="A983" s="2" t="s">
        <v>146</v>
      </c>
      <c r="B983" s="2" t="s">
        <v>126</v>
      </c>
      <c r="C983" s="2" t="s">
        <v>49</v>
      </c>
      <c r="D983" s="2" t="s">
        <v>10</v>
      </c>
      <c r="E983" s="2" t="s">
        <v>76</v>
      </c>
      <c r="F983" s="2" t="s">
        <v>1146</v>
      </c>
      <c r="G983" s="14" t="n">
        <v>14.5</v>
      </c>
      <c r="H983" s="14" t="n">
        <v>11.92</v>
      </c>
      <c r="I983" s="14" t="n">
        <v>14.5</v>
      </c>
      <c r="J983" s="22" t="n">
        <f aca="false">IF(E983="Priority",'Cost model'!N795,'Cost model'!M795)</f>
        <v>13.5</v>
      </c>
      <c r="K983" s="14" t="n">
        <f aca="false">J983-H983</f>
        <v>1.58</v>
      </c>
      <c r="L983" s="14" t="n">
        <f aca="false">G983-H983</f>
        <v>2.58</v>
      </c>
    </row>
    <row r="984" customFormat="false" ht="15" hidden="false" customHeight="false" outlineLevel="0" collapsed="false">
      <c r="A984" s="2" t="s">
        <v>146</v>
      </c>
      <c r="B984" s="2" t="s">
        <v>146</v>
      </c>
      <c r="C984" s="2" t="s">
        <v>48</v>
      </c>
      <c r="D984" s="2" t="s">
        <v>10</v>
      </c>
      <c r="E984" s="2" t="s">
        <v>76</v>
      </c>
      <c r="F984" s="2" t="s">
        <v>1145</v>
      </c>
      <c r="G984" s="14" t="n">
        <v>9.5</v>
      </c>
      <c r="H984" s="14" t="n">
        <v>5.25</v>
      </c>
      <c r="I984" s="14" t="n">
        <v>9.5</v>
      </c>
      <c r="J984" s="22" t="n">
        <f aca="false">IF(E984="Priority",'Cost model'!N758,'Cost model'!M758)</f>
        <v>9.5</v>
      </c>
      <c r="K984" s="14" t="n">
        <f aca="false">J984-H984</f>
        <v>4.25</v>
      </c>
      <c r="L984" s="14" t="n">
        <f aca="false">G984-H984</f>
        <v>4.25</v>
      </c>
    </row>
    <row r="985" customFormat="false" ht="15" hidden="false" customHeight="false" outlineLevel="0" collapsed="false">
      <c r="A985" s="2" t="s">
        <v>165</v>
      </c>
      <c r="B985" s="2" t="s">
        <v>165</v>
      </c>
      <c r="C985" s="2" t="s">
        <v>48</v>
      </c>
      <c r="D985" s="2" t="s">
        <v>10</v>
      </c>
      <c r="E985" s="2" t="s">
        <v>76</v>
      </c>
      <c r="F985" s="2" t="s">
        <v>1145</v>
      </c>
      <c r="G985" s="14" t="n">
        <v>9.5</v>
      </c>
      <c r="H985" s="14" t="n">
        <v>7.71</v>
      </c>
      <c r="I985" s="14" t="n">
        <v>9.5</v>
      </c>
      <c r="J985" s="22" t="n">
        <f aca="false">IF(E985="Priority",'Cost model'!N506,'Cost model'!M506)</f>
        <v>7.5</v>
      </c>
      <c r="K985" s="14" t="n">
        <f aca="false">J985-H985</f>
        <v>-0.21</v>
      </c>
      <c r="L985" s="14" t="n">
        <f aca="false">G985-H985</f>
        <v>1.79</v>
      </c>
    </row>
    <row r="986" customFormat="false" ht="15" hidden="false" customHeight="false" outlineLevel="0" collapsed="false">
      <c r="A986" s="2" t="s">
        <v>126</v>
      </c>
      <c r="B986" s="2" t="s">
        <v>126</v>
      </c>
      <c r="C986" s="2" t="s">
        <v>49</v>
      </c>
      <c r="D986" s="2" t="s">
        <v>12</v>
      </c>
      <c r="E986" s="2" t="s">
        <v>76</v>
      </c>
      <c r="F986" s="2" t="s">
        <v>1145</v>
      </c>
      <c r="G986" s="14" t="n">
        <v>24.5</v>
      </c>
      <c r="H986" s="14" t="n">
        <v>44.28</v>
      </c>
      <c r="I986" s="14" t="n">
        <v>12.5</v>
      </c>
      <c r="J986" s="22" t="n">
        <f aca="false">IF(E986="Priority",'Cost model'!N384,'Cost model'!M384)</f>
        <v>45</v>
      </c>
      <c r="K986" s="14" t="n">
        <f aca="false">J986-H986</f>
        <v>0.719999999999999</v>
      </c>
      <c r="L986" s="14" t="n">
        <f aca="false">G986-H986</f>
        <v>-19.78</v>
      </c>
    </row>
    <row r="987" customFormat="false" ht="15" hidden="false" customHeight="false" outlineLevel="0" collapsed="false">
      <c r="A987" s="2" t="s">
        <v>184</v>
      </c>
      <c r="B987" s="2" t="s">
        <v>146</v>
      </c>
      <c r="C987" s="2" t="s">
        <v>50</v>
      </c>
      <c r="D987" s="2" t="s">
        <v>12</v>
      </c>
      <c r="E987" s="2" t="s">
        <v>76</v>
      </c>
      <c r="F987" s="2" t="s">
        <v>1146</v>
      </c>
      <c r="G987" s="14" t="n">
        <v>19.5</v>
      </c>
      <c r="H987" s="14" t="n">
        <v>52.12</v>
      </c>
      <c r="I987" s="14" t="n">
        <v>19.5</v>
      </c>
      <c r="J987" s="22" t="n">
        <f aca="false">IF(E987="Priority",'Cost model'!N151,'Cost model'!M151)</f>
        <v>55</v>
      </c>
      <c r="K987" s="14" t="n">
        <f aca="false">J987-H987</f>
        <v>2.88</v>
      </c>
      <c r="L987" s="14" t="n">
        <f aca="false">G987-H987</f>
        <v>-32.62</v>
      </c>
    </row>
    <row r="988" customFormat="false" ht="15" hidden="false" customHeight="false" outlineLevel="0" collapsed="false">
      <c r="A988" s="2" t="s">
        <v>126</v>
      </c>
      <c r="B988" s="2" t="s">
        <v>126</v>
      </c>
      <c r="C988" s="2" t="s">
        <v>50</v>
      </c>
      <c r="D988" s="2" t="s">
        <v>10</v>
      </c>
      <c r="E988" s="2" t="s">
        <v>76</v>
      </c>
      <c r="F988" s="2" t="s">
        <v>1145</v>
      </c>
      <c r="G988" s="14" t="n">
        <v>17.5</v>
      </c>
      <c r="H988" s="14" t="n">
        <v>17.57</v>
      </c>
      <c r="I988" s="14" t="n">
        <v>17.5</v>
      </c>
      <c r="J988" s="22" t="n">
        <f aca="false">IF(E988="Priority",'Cost model'!N382,'Cost model'!M382)</f>
        <v>18.5</v>
      </c>
      <c r="K988" s="14" t="n">
        <f aca="false">J988-H988</f>
        <v>0.93</v>
      </c>
      <c r="L988" s="14" t="n">
        <f aca="false">G988-H988</f>
        <v>-0.0700000000000003</v>
      </c>
    </row>
    <row r="989" customFormat="false" ht="15" hidden="false" customHeight="false" outlineLevel="0" collapsed="false">
      <c r="A989" s="2" t="s">
        <v>184</v>
      </c>
      <c r="B989" s="2" t="s">
        <v>184</v>
      </c>
      <c r="C989" s="2" t="s">
        <v>50</v>
      </c>
      <c r="D989" s="2" t="s">
        <v>12</v>
      </c>
      <c r="E989" s="2" t="s">
        <v>76</v>
      </c>
      <c r="F989" s="2" t="s">
        <v>1145</v>
      </c>
      <c r="G989" s="14" t="n">
        <v>19.5</v>
      </c>
      <c r="H989" s="14" t="n">
        <v>43.64</v>
      </c>
      <c r="I989" s="14" t="n">
        <v>19.5</v>
      </c>
      <c r="J989" s="22" t="n">
        <f aca="false">IF(E989="Priority",'Cost model'!N205,'Cost model'!M205)</f>
        <v>50</v>
      </c>
      <c r="K989" s="14" t="n">
        <f aca="false">J989-H989</f>
        <v>6.36</v>
      </c>
      <c r="L989" s="14" t="n">
        <f aca="false">G989-H989</f>
        <v>-24.14</v>
      </c>
    </row>
    <row r="990" customFormat="false" ht="15" hidden="false" customHeight="false" outlineLevel="0" collapsed="false">
      <c r="A990" s="2" t="s">
        <v>240</v>
      </c>
      <c r="B990" s="2" t="s">
        <v>240</v>
      </c>
      <c r="C990" s="2" t="s">
        <v>50</v>
      </c>
      <c r="D990" s="2" t="s">
        <v>12</v>
      </c>
      <c r="E990" s="2" t="s">
        <v>76</v>
      </c>
      <c r="F990" s="2" t="s">
        <v>1145</v>
      </c>
      <c r="G990" s="14" t="n">
        <v>19.5</v>
      </c>
      <c r="H990" s="14" t="n">
        <v>101.33</v>
      </c>
      <c r="I990" s="14" t="n">
        <v>19.5</v>
      </c>
      <c r="J990" s="22" t="n">
        <f aca="false">IF(E990="Priority",'Cost model'!N889,'Cost model'!M889)</f>
        <v>60</v>
      </c>
      <c r="K990" s="14" t="n">
        <f aca="false">J990-H990</f>
        <v>-41.33</v>
      </c>
      <c r="L990" s="14" t="n">
        <f aca="false">G990-H990</f>
        <v>-81.83</v>
      </c>
    </row>
    <row r="991" customFormat="false" ht="15" hidden="false" customHeight="false" outlineLevel="0" collapsed="false">
      <c r="A991" s="2" t="s">
        <v>165</v>
      </c>
      <c r="B991" s="2" t="s">
        <v>184</v>
      </c>
      <c r="C991" s="2" t="s">
        <v>48</v>
      </c>
      <c r="D991" s="2" t="s">
        <v>12</v>
      </c>
      <c r="E991" s="2" t="s">
        <v>76</v>
      </c>
      <c r="F991" s="2" t="s">
        <v>1146</v>
      </c>
      <c r="G991" s="14" t="n">
        <v>9.5</v>
      </c>
      <c r="H991" s="14" t="n">
        <v>47.06</v>
      </c>
      <c r="I991" s="14" t="n">
        <v>19.5</v>
      </c>
      <c r="J991" s="22" t="n">
        <f aca="false">IF(E991="Priority",'Cost model'!N581,'Cost model'!M581)</f>
        <v>45</v>
      </c>
      <c r="K991" s="14" t="n">
        <f aca="false">J991-H991</f>
        <v>-2.06</v>
      </c>
      <c r="L991" s="14" t="n">
        <f aca="false">G991-H991</f>
        <v>-37.56</v>
      </c>
    </row>
    <row r="992" customFormat="false" ht="15" hidden="false" customHeight="false" outlineLevel="0" collapsed="false">
      <c r="A992" s="2" t="s">
        <v>126</v>
      </c>
      <c r="B992" s="2" t="s">
        <v>126</v>
      </c>
      <c r="C992" s="2" t="s">
        <v>48</v>
      </c>
      <c r="D992" s="2" t="s">
        <v>12</v>
      </c>
      <c r="E992" s="2" t="s">
        <v>76</v>
      </c>
      <c r="F992" s="2" t="s">
        <v>1145</v>
      </c>
      <c r="G992" s="14" t="n">
        <v>9.5</v>
      </c>
      <c r="H992" s="14" t="n">
        <v>10.8</v>
      </c>
      <c r="I992" s="14" t="n">
        <v>9.5</v>
      </c>
      <c r="J992" s="22" t="n">
        <f aca="false">IF(E992="Priority",'Cost model'!N383,'Cost model'!M383)</f>
        <v>27.5</v>
      </c>
      <c r="K992" s="14" t="n">
        <f aca="false">J992-H992</f>
        <v>16.7</v>
      </c>
      <c r="L992" s="14" t="n">
        <f aca="false">G992-H992</f>
        <v>-1.3</v>
      </c>
    </row>
    <row r="993" customFormat="false" ht="15" hidden="false" customHeight="false" outlineLevel="0" collapsed="false">
      <c r="A993" s="2" t="s">
        <v>126</v>
      </c>
      <c r="B993" s="2" t="s">
        <v>126</v>
      </c>
      <c r="C993" s="2" t="s">
        <v>49</v>
      </c>
      <c r="D993" s="2" t="s">
        <v>10</v>
      </c>
      <c r="E993" s="2" t="s">
        <v>85</v>
      </c>
      <c r="F993" s="2" t="s">
        <v>1145</v>
      </c>
      <c r="G993" s="14" t="n">
        <v>17.5</v>
      </c>
      <c r="H993" s="14" t="n">
        <v>21.34</v>
      </c>
      <c r="I993" s="14" t="n">
        <v>17.5</v>
      </c>
      <c r="J993" s="22" t="n">
        <f aca="false">IF(E993="Priority",'Cost model'!N381,'Cost model'!M381)</f>
        <v>19.5</v>
      </c>
      <c r="K993" s="14" t="n">
        <f aca="false">J993-H993</f>
        <v>-1.84</v>
      </c>
      <c r="L993" s="14" t="n">
        <f aca="false">G993-H993</f>
        <v>-3.84</v>
      </c>
    </row>
    <row r="994" customFormat="false" ht="15" hidden="false" customHeight="false" outlineLevel="0" collapsed="false">
      <c r="A994" s="2" t="s">
        <v>184</v>
      </c>
      <c r="B994" s="2" t="s">
        <v>221</v>
      </c>
      <c r="C994" s="2" t="s">
        <v>50</v>
      </c>
      <c r="D994" s="2" t="s">
        <v>10</v>
      </c>
      <c r="E994" s="2" t="s">
        <v>76</v>
      </c>
      <c r="F994" s="2" t="s">
        <v>1146</v>
      </c>
      <c r="G994" s="14" t="n">
        <v>17.5</v>
      </c>
      <c r="H994" s="14" t="n">
        <v>11.03</v>
      </c>
      <c r="I994" s="14" t="n">
        <v>19.5</v>
      </c>
      <c r="J994" s="22" t="n">
        <f aca="false">IF(E994="Priority",'Cost model'!N220,'Cost model'!M220)</f>
        <v>25.5</v>
      </c>
      <c r="K994" s="14" t="n">
        <f aca="false">J994-H994</f>
        <v>14.47</v>
      </c>
      <c r="L994" s="14" t="n">
        <f aca="false">G994-H994</f>
        <v>6.47</v>
      </c>
    </row>
    <row r="995" customFormat="false" ht="15" hidden="false" customHeight="false" outlineLevel="0" collapsed="false">
      <c r="A995" s="2" t="s">
        <v>165</v>
      </c>
      <c r="B995" s="2" t="s">
        <v>165</v>
      </c>
      <c r="C995" s="2" t="s">
        <v>48</v>
      </c>
      <c r="D995" s="2" t="s">
        <v>12</v>
      </c>
      <c r="E995" s="2" t="s">
        <v>76</v>
      </c>
      <c r="F995" s="2" t="s">
        <v>1145</v>
      </c>
      <c r="G995" s="14" t="n">
        <v>9.5</v>
      </c>
      <c r="H995" s="14" t="n">
        <v>15.92</v>
      </c>
      <c r="I995" s="14" t="n">
        <v>9.5</v>
      </c>
      <c r="J995" s="22" t="n">
        <f aca="false">IF(E995="Priority",'Cost model'!N509,'Cost model'!M509)</f>
        <v>17.5</v>
      </c>
      <c r="K995" s="14" t="n">
        <f aca="false">J995-H995</f>
        <v>1.58</v>
      </c>
      <c r="L995" s="14" t="n">
        <f aca="false">G995-H995</f>
        <v>-6.42</v>
      </c>
    </row>
    <row r="996" customFormat="false" ht="15" hidden="false" customHeight="false" outlineLevel="0" collapsed="false">
      <c r="A996" s="2" t="s">
        <v>165</v>
      </c>
      <c r="B996" s="2" t="s">
        <v>165</v>
      </c>
      <c r="C996" s="2" t="s">
        <v>48</v>
      </c>
      <c r="D996" s="2" t="s">
        <v>10</v>
      </c>
      <c r="E996" s="2" t="s">
        <v>76</v>
      </c>
      <c r="F996" s="2" t="s">
        <v>1145</v>
      </c>
      <c r="G996" s="14" t="n">
        <v>9.5</v>
      </c>
      <c r="H996" s="14" t="n">
        <v>5.25</v>
      </c>
      <c r="I996" s="14" t="n">
        <v>9.5</v>
      </c>
      <c r="J996" s="22" t="n">
        <f aca="false">IF(E996="Priority",'Cost model'!N506,'Cost model'!M506)</f>
        <v>7.5</v>
      </c>
      <c r="K996" s="14" t="n">
        <f aca="false">J996-H996</f>
        <v>2.25</v>
      </c>
      <c r="L996" s="14" t="n">
        <f aca="false">G996-H996</f>
        <v>4.25</v>
      </c>
    </row>
    <row r="997" customFormat="false" ht="15" hidden="false" customHeight="false" outlineLevel="0" collapsed="false">
      <c r="A997" s="2" t="s">
        <v>126</v>
      </c>
      <c r="B997" s="2" t="s">
        <v>126</v>
      </c>
      <c r="C997" s="2" t="s">
        <v>48</v>
      </c>
      <c r="D997" s="2" t="s">
        <v>12</v>
      </c>
      <c r="E997" s="2" t="s">
        <v>76</v>
      </c>
      <c r="F997" s="2" t="s">
        <v>1145</v>
      </c>
      <c r="G997" s="14" t="n">
        <v>9.5</v>
      </c>
      <c r="H997" s="14" t="n">
        <v>71.51</v>
      </c>
      <c r="I997" s="14" t="n">
        <v>9.5</v>
      </c>
      <c r="J997" s="22" t="n">
        <f aca="false">IF(E997="Priority",'Cost model'!N383,'Cost model'!M383)</f>
        <v>27.5</v>
      </c>
      <c r="K997" s="14" t="n">
        <f aca="false">J997-H997</f>
        <v>-44.01</v>
      </c>
      <c r="L997" s="14" t="n">
        <f aca="false">G997-H997</f>
        <v>-62.01</v>
      </c>
    </row>
    <row r="998" customFormat="false" ht="15" hidden="false" customHeight="false" outlineLevel="0" collapsed="false">
      <c r="A998" s="2" t="s">
        <v>146</v>
      </c>
      <c r="B998" s="2" t="s">
        <v>184</v>
      </c>
      <c r="C998" s="2" t="s">
        <v>48</v>
      </c>
      <c r="D998" s="2" t="s">
        <v>10</v>
      </c>
      <c r="E998" s="2" t="s">
        <v>85</v>
      </c>
      <c r="F998" s="2" t="s">
        <v>1146</v>
      </c>
      <c r="G998" s="14" t="n">
        <v>19.5</v>
      </c>
      <c r="H998" s="14" t="n">
        <v>7.34</v>
      </c>
      <c r="I998" s="14" t="n">
        <v>19.5</v>
      </c>
      <c r="J998" s="22" t="n">
        <f aca="false">IF(E998="Priority",'Cost model'!N830,'Cost model'!M830)</f>
        <v>14.5</v>
      </c>
      <c r="K998" s="14" t="n">
        <f aca="false">J998-H998</f>
        <v>7.16</v>
      </c>
      <c r="L998" s="14" t="n">
        <f aca="false">G998-H998</f>
        <v>12.16</v>
      </c>
    </row>
    <row r="999" customFormat="false" ht="15" hidden="false" customHeight="false" outlineLevel="0" collapsed="false">
      <c r="A999" s="2" t="s">
        <v>126</v>
      </c>
      <c r="B999" s="2" t="s">
        <v>146</v>
      </c>
      <c r="C999" s="2" t="s">
        <v>49</v>
      </c>
      <c r="D999" s="2" t="s">
        <v>12</v>
      </c>
      <c r="E999" s="2" t="s">
        <v>76</v>
      </c>
      <c r="F999" s="2" t="s">
        <v>1146</v>
      </c>
      <c r="G999" s="14" t="n">
        <v>19.5</v>
      </c>
      <c r="H999" s="14" t="n">
        <v>56.34</v>
      </c>
      <c r="I999" s="14" t="n">
        <v>19.5</v>
      </c>
      <c r="J999" s="22" t="n">
        <f aca="false">IF(E999="Priority",'Cost model'!N402,'Cost model'!M402)</f>
        <v>60</v>
      </c>
      <c r="K999" s="14" t="n">
        <f aca="false">J999-H999</f>
        <v>3.66</v>
      </c>
      <c r="L999" s="14" t="n">
        <f aca="false">G999-H999</f>
        <v>-36.84</v>
      </c>
    </row>
    <row r="1000" customFormat="false" ht="15" hidden="false" customHeight="false" outlineLevel="0" collapsed="false">
      <c r="A1000" s="2" t="s">
        <v>184</v>
      </c>
      <c r="B1000" s="2" t="s">
        <v>184</v>
      </c>
      <c r="C1000" s="2" t="s">
        <v>50</v>
      </c>
      <c r="D1000" s="2" t="s">
        <v>10</v>
      </c>
      <c r="E1000" s="2" t="s">
        <v>76</v>
      </c>
      <c r="F1000" s="2" t="s">
        <v>1145</v>
      </c>
      <c r="G1000" s="14" t="n">
        <v>17.5</v>
      </c>
      <c r="H1000" s="14" t="n">
        <v>20.11</v>
      </c>
      <c r="I1000" s="14" t="n">
        <v>17.5</v>
      </c>
      <c r="J1000" s="22" t="n">
        <f aca="false">IF(E1000="Priority",'Cost model'!N202,'Cost model'!M202)</f>
        <v>17.5</v>
      </c>
      <c r="K1000" s="14" t="n">
        <f aca="false">J1000-H1000</f>
        <v>-2.61</v>
      </c>
      <c r="L1000" s="14" t="n">
        <f aca="false">G1000-H1000</f>
        <v>-2.61</v>
      </c>
    </row>
    <row r="1001" customFormat="false" ht="15" hidden="false" customHeight="false" outlineLevel="0" collapsed="false">
      <c r="A1001" s="2" t="s">
        <v>146</v>
      </c>
      <c r="B1001" s="2" t="s">
        <v>146</v>
      </c>
      <c r="C1001" s="2" t="s">
        <v>50</v>
      </c>
      <c r="D1001" s="2" t="s">
        <v>12</v>
      </c>
      <c r="E1001" s="2" t="s">
        <v>76</v>
      </c>
      <c r="F1001" s="2" t="s">
        <v>1145</v>
      </c>
      <c r="G1001" s="14" t="n">
        <v>19.5</v>
      </c>
      <c r="H1001" s="14" t="n">
        <v>44.37</v>
      </c>
      <c r="I1001" s="14" t="n">
        <v>19.5</v>
      </c>
      <c r="J1001" s="22" t="n">
        <f aca="false">IF(E1001="Priority",'Cost model'!N763,'Cost model'!M763)</f>
        <v>50</v>
      </c>
      <c r="K1001" s="14" t="n">
        <f aca="false">J1001-H1001</f>
        <v>5.63</v>
      </c>
      <c r="L1001" s="14" t="n">
        <f aca="false">G1001-H1001</f>
        <v>-24.87</v>
      </c>
    </row>
    <row r="1002" customFormat="false" ht="15" hidden="false" customHeight="false" outlineLevel="0" collapsed="false">
      <c r="A1002" s="2" t="s">
        <v>126</v>
      </c>
      <c r="B1002" s="2" t="s">
        <v>126</v>
      </c>
      <c r="C1002" s="2" t="s">
        <v>49</v>
      </c>
      <c r="D1002" s="2" t="s">
        <v>12</v>
      </c>
      <c r="E1002" s="2" t="s">
        <v>76</v>
      </c>
      <c r="F1002" s="2" t="s">
        <v>1145</v>
      </c>
      <c r="G1002" s="14" t="n">
        <v>12.5</v>
      </c>
      <c r="H1002" s="14" t="n">
        <v>50.5</v>
      </c>
      <c r="I1002" s="14" t="n">
        <v>12.5</v>
      </c>
      <c r="J1002" s="22" t="n">
        <f aca="false">IF(E1002="Priority",'Cost model'!N384,'Cost model'!M384)</f>
        <v>45</v>
      </c>
      <c r="K1002" s="14" t="n">
        <f aca="false">J1002-H1002</f>
        <v>-5.5</v>
      </c>
      <c r="L1002" s="14" t="n">
        <f aca="false">G1002-H1002</f>
        <v>-38</v>
      </c>
    </row>
    <row r="1003" customFormat="false" ht="15" hidden="false" customHeight="false" outlineLevel="0" collapsed="false">
      <c r="A1003" s="2" t="s">
        <v>126</v>
      </c>
      <c r="B1003" s="2" t="s">
        <v>126</v>
      </c>
      <c r="C1003" s="2" t="s">
        <v>48</v>
      </c>
      <c r="D1003" s="2" t="s">
        <v>12</v>
      </c>
      <c r="E1003" s="2" t="s">
        <v>85</v>
      </c>
      <c r="F1003" s="2" t="s">
        <v>1145</v>
      </c>
      <c r="G1003" s="14" t="n">
        <v>19.5</v>
      </c>
      <c r="H1003" s="14" t="n">
        <v>27.54</v>
      </c>
      <c r="I1003" s="14" t="n">
        <v>19.5</v>
      </c>
      <c r="J1003" s="22" t="n">
        <f aca="false">IF(E1003="Priority",'Cost model'!N383,'Cost model'!M383)</f>
        <v>35</v>
      </c>
      <c r="K1003" s="14" t="n">
        <f aca="false">J1003-H1003</f>
        <v>7.46</v>
      </c>
      <c r="L1003" s="14" t="n">
        <f aca="false">G1003-H1003</f>
        <v>-8.04</v>
      </c>
    </row>
    <row r="1004" customFormat="false" ht="15" hidden="false" customHeight="false" outlineLevel="0" collapsed="false">
      <c r="A1004" s="2" t="s">
        <v>165</v>
      </c>
      <c r="B1004" s="2" t="s">
        <v>126</v>
      </c>
      <c r="C1004" s="2" t="s">
        <v>48</v>
      </c>
      <c r="D1004" s="2" t="s">
        <v>10</v>
      </c>
      <c r="E1004" s="2" t="s">
        <v>85</v>
      </c>
      <c r="F1004" s="2" t="s">
        <v>1146</v>
      </c>
      <c r="G1004" s="14" t="n">
        <v>19.5</v>
      </c>
      <c r="H1004" s="14" t="n">
        <v>21.34</v>
      </c>
      <c r="I1004" s="14" t="n">
        <v>19.5</v>
      </c>
      <c r="J1004" s="22" t="n">
        <f aca="false">IF(E1004="Priority",'Cost model'!N542,'Cost model'!M542)</f>
        <v>19.5</v>
      </c>
      <c r="K1004" s="14" t="n">
        <f aca="false">J1004-H1004</f>
        <v>-1.84</v>
      </c>
      <c r="L1004" s="14" t="n">
        <f aca="false">G1004-H1004</f>
        <v>-1.84</v>
      </c>
    </row>
    <row r="1005" customFormat="false" ht="15" hidden="false" customHeight="false" outlineLevel="0" collapsed="false">
      <c r="A1005" s="2" t="s">
        <v>126</v>
      </c>
      <c r="B1005" s="2" t="s">
        <v>126</v>
      </c>
      <c r="C1005" s="2" t="s">
        <v>48</v>
      </c>
      <c r="D1005" s="2" t="s">
        <v>10</v>
      </c>
      <c r="E1005" s="2" t="s">
        <v>76</v>
      </c>
      <c r="F1005" s="2" t="s">
        <v>1145</v>
      </c>
      <c r="G1005" s="14" t="n">
        <v>9.5</v>
      </c>
      <c r="H1005" s="14" t="n">
        <v>7.46</v>
      </c>
      <c r="I1005" s="14" t="n">
        <v>9.5</v>
      </c>
      <c r="J1005" s="22" t="n">
        <f aca="false">IF(E1005="Priority",'Cost model'!N380,'Cost model'!M380)</f>
        <v>8.5</v>
      </c>
      <c r="K1005" s="14" t="n">
        <f aca="false">J1005-H1005</f>
        <v>1.04</v>
      </c>
      <c r="L1005" s="14" t="n">
        <f aca="false">G1005-H1005</f>
        <v>2.04</v>
      </c>
    </row>
    <row r="1006" customFormat="false" ht="15" hidden="false" customHeight="false" outlineLevel="0" collapsed="false">
      <c r="A1006" s="2" t="s">
        <v>184</v>
      </c>
      <c r="B1006" s="2" t="s">
        <v>184</v>
      </c>
      <c r="C1006" s="2" t="s">
        <v>50</v>
      </c>
      <c r="D1006" s="2" t="s">
        <v>10</v>
      </c>
      <c r="E1006" s="2" t="s">
        <v>76</v>
      </c>
      <c r="F1006" s="2" t="s">
        <v>1145</v>
      </c>
      <c r="G1006" s="14" t="n">
        <v>17.5</v>
      </c>
      <c r="H1006" s="14" t="n">
        <v>20.39</v>
      </c>
      <c r="I1006" s="14" t="n">
        <v>17.5</v>
      </c>
      <c r="J1006" s="22" t="n">
        <f aca="false">IF(E1006="Priority",'Cost model'!N202,'Cost model'!M202)</f>
        <v>17.5</v>
      </c>
      <c r="K1006" s="14" t="n">
        <f aca="false">J1006-H1006</f>
        <v>-2.89</v>
      </c>
      <c r="L1006" s="14" t="n">
        <f aca="false">G1006-H1006</f>
        <v>-2.89</v>
      </c>
    </row>
    <row r="1007" customFormat="false" ht="15" hidden="false" customHeight="false" outlineLevel="0" collapsed="false">
      <c r="A1007" s="2" t="s">
        <v>184</v>
      </c>
      <c r="B1007" s="2" t="s">
        <v>184</v>
      </c>
      <c r="C1007" s="2" t="s">
        <v>48</v>
      </c>
      <c r="D1007" s="2" t="s">
        <v>12</v>
      </c>
      <c r="E1007" s="2" t="s">
        <v>76</v>
      </c>
      <c r="F1007" s="2" t="s">
        <v>1145</v>
      </c>
      <c r="G1007" s="14" t="n">
        <v>9.5</v>
      </c>
      <c r="H1007" s="14" t="n">
        <v>41.18</v>
      </c>
      <c r="I1007" s="14" t="n">
        <v>9.5</v>
      </c>
      <c r="J1007" s="22" t="n">
        <f aca="false">IF(E1007="Priority",'Cost model'!N203,'Cost model'!M203)</f>
        <v>26.5</v>
      </c>
      <c r="K1007" s="14" t="n">
        <f aca="false">J1007-H1007</f>
        <v>-14.68</v>
      </c>
      <c r="L1007" s="14" t="n">
        <f aca="false">G1007-H1007</f>
        <v>-31.68</v>
      </c>
    </row>
    <row r="1008" customFormat="false" ht="15" hidden="false" customHeight="false" outlineLevel="0" collapsed="false">
      <c r="A1008" s="2" t="s">
        <v>125</v>
      </c>
      <c r="B1008" s="2" t="s">
        <v>125</v>
      </c>
      <c r="C1008" s="2" t="s">
        <v>48</v>
      </c>
      <c r="D1008" s="2" t="s">
        <v>12</v>
      </c>
      <c r="E1008" s="2" t="s">
        <v>76</v>
      </c>
      <c r="F1008" s="2" t="s">
        <v>1145</v>
      </c>
      <c r="G1008" s="14" t="n">
        <v>9.5</v>
      </c>
      <c r="H1008" s="14" t="n">
        <v>37.42</v>
      </c>
      <c r="I1008" s="14" t="n">
        <v>9.5</v>
      </c>
      <c r="J1008" s="22" t="n">
        <f aca="false">IF(E1008="Priority",'Cost model'!N77,'Cost model'!M77)</f>
        <v>50</v>
      </c>
      <c r="K1008" s="14" t="n">
        <f aca="false">J1008-H1008</f>
        <v>12.58</v>
      </c>
      <c r="L1008" s="14" t="n">
        <f aca="false">G1008-H1008</f>
        <v>-27.92</v>
      </c>
    </row>
    <row r="1009" customFormat="false" ht="15" hidden="false" customHeight="false" outlineLevel="0" collapsed="false">
      <c r="A1009" s="2" t="s">
        <v>184</v>
      </c>
      <c r="B1009" s="2" t="s">
        <v>184</v>
      </c>
      <c r="C1009" s="2" t="s">
        <v>48</v>
      </c>
      <c r="D1009" s="2" t="s">
        <v>12</v>
      </c>
      <c r="E1009" s="2" t="s">
        <v>76</v>
      </c>
      <c r="F1009" s="2" t="s">
        <v>1145</v>
      </c>
      <c r="G1009" s="14" t="n">
        <v>9.5</v>
      </c>
      <c r="H1009" s="14" t="n">
        <v>28.25</v>
      </c>
      <c r="I1009" s="14" t="n">
        <v>9.5</v>
      </c>
      <c r="J1009" s="22" t="n">
        <f aca="false">IF(E1009="Priority",'Cost model'!N203,'Cost model'!M203)</f>
        <v>26.5</v>
      </c>
      <c r="K1009" s="14" t="n">
        <f aca="false">J1009-H1009</f>
        <v>-1.75</v>
      </c>
      <c r="L1009" s="14" t="n">
        <f aca="false">G1009-H1009</f>
        <v>-18.75</v>
      </c>
    </row>
    <row r="1010" customFormat="false" ht="15" hidden="false" customHeight="false" outlineLevel="0" collapsed="false">
      <c r="A1010" s="2" t="s">
        <v>184</v>
      </c>
      <c r="B1010" s="2" t="s">
        <v>165</v>
      </c>
      <c r="C1010" s="2" t="s">
        <v>50</v>
      </c>
      <c r="D1010" s="2" t="s">
        <v>12</v>
      </c>
      <c r="E1010" s="2" t="s">
        <v>76</v>
      </c>
      <c r="F1010" s="2" t="s">
        <v>1146</v>
      </c>
      <c r="G1010" s="14" t="n">
        <v>29.5</v>
      </c>
      <c r="H1010" s="14" t="n">
        <v>60.78</v>
      </c>
      <c r="I1010" s="14" t="n">
        <v>19.5</v>
      </c>
      <c r="J1010" s="22" t="n">
        <f aca="false">IF(E1010="Priority",'Cost model'!N169,'Cost model'!M169)</f>
        <v>60</v>
      </c>
      <c r="K1010" s="14" t="n">
        <f aca="false">J1010-H1010</f>
        <v>-0.780000000000001</v>
      </c>
      <c r="L1010" s="14" t="n">
        <f aca="false">G1010-H1010</f>
        <v>-31.28</v>
      </c>
    </row>
    <row r="1011" customFormat="false" ht="15" hidden="false" customHeight="false" outlineLevel="0" collapsed="false">
      <c r="A1011" s="2" t="s">
        <v>126</v>
      </c>
      <c r="B1011" s="2" t="s">
        <v>184</v>
      </c>
      <c r="C1011" s="2" t="s">
        <v>49</v>
      </c>
      <c r="D1011" s="2" t="s">
        <v>12</v>
      </c>
      <c r="E1011" s="2" t="s">
        <v>76</v>
      </c>
      <c r="F1011" s="2" t="s">
        <v>1146</v>
      </c>
      <c r="G1011" s="14" t="n">
        <v>12.5</v>
      </c>
      <c r="H1011" s="14" t="n">
        <v>12.54</v>
      </c>
      <c r="I1011" s="14" t="n">
        <v>19.5</v>
      </c>
      <c r="J1011" s="22" t="n">
        <f aca="false">IF(E1011="Priority",'Cost model'!N438,'Cost model'!M438)</f>
        <v>55</v>
      </c>
      <c r="K1011" s="14" t="n">
        <f aca="false">J1011-H1011</f>
        <v>42.46</v>
      </c>
      <c r="L1011" s="14" t="n">
        <f aca="false">G1011-H1011</f>
        <v>-0.0399999999999992</v>
      </c>
    </row>
    <row r="1012" customFormat="false" ht="15" hidden="false" customHeight="false" outlineLevel="0" collapsed="false">
      <c r="A1012" s="2" t="s">
        <v>240</v>
      </c>
      <c r="B1012" s="2" t="s">
        <v>240</v>
      </c>
      <c r="C1012" s="2" t="s">
        <v>48</v>
      </c>
      <c r="D1012" s="2" t="s">
        <v>10</v>
      </c>
      <c r="E1012" s="2" t="s">
        <v>76</v>
      </c>
      <c r="F1012" s="2" t="s">
        <v>1145</v>
      </c>
      <c r="G1012" s="14" t="n">
        <v>9.5</v>
      </c>
      <c r="H1012" s="14" t="n">
        <v>7.43</v>
      </c>
      <c r="I1012" s="14" t="n">
        <v>9.5</v>
      </c>
      <c r="J1012" s="22" t="n">
        <f aca="false">IF(E1012="Priority",'Cost model'!N884,'Cost model'!M884)</f>
        <v>7.5</v>
      </c>
      <c r="K1012" s="14" t="n">
        <f aca="false">J1012-H1012</f>
        <v>0.0700000000000003</v>
      </c>
      <c r="L1012" s="14" t="n">
        <f aca="false">G1012-H1012</f>
        <v>2.07</v>
      </c>
    </row>
    <row r="1013" customFormat="false" ht="15" hidden="false" customHeight="false" outlineLevel="0" collapsed="false">
      <c r="A1013" s="2" t="s">
        <v>240</v>
      </c>
      <c r="B1013" s="2" t="s">
        <v>165</v>
      </c>
      <c r="C1013" s="2" t="s">
        <v>50</v>
      </c>
      <c r="D1013" s="2" t="s">
        <v>10</v>
      </c>
      <c r="E1013" s="2" t="s">
        <v>76</v>
      </c>
      <c r="F1013" s="2" t="s">
        <v>1146</v>
      </c>
      <c r="G1013" s="14" t="n">
        <v>17.5</v>
      </c>
      <c r="H1013" s="14" t="n">
        <v>24.17</v>
      </c>
      <c r="I1013" s="14" t="n">
        <v>17.5</v>
      </c>
      <c r="J1013" s="22" t="n">
        <f aca="false">IF(E1013="Priority",'Cost model'!N904,'Cost model'!M904)</f>
        <v>24.5</v>
      </c>
      <c r="K1013" s="14" t="n">
        <f aca="false">J1013-H1013</f>
        <v>0.329999999999998</v>
      </c>
      <c r="L1013" s="14" t="n">
        <f aca="false">G1013-H1013</f>
        <v>-6.67</v>
      </c>
    </row>
    <row r="1014" customFormat="false" ht="15" hidden="false" customHeight="false" outlineLevel="0" collapsed="false">
      <c r="A1014" s="2" t="s">
        <v>184</v>
      </c>
      <c r="B1014" s="2" t="s">
        <v>184</v>
      </c>
      <c r="C1014" s="2" t="s">
        <v>49</v>
      </c>
      <c r="D1014" s="2" t="s">
        <v>10</v>
      </c>
      <c r="E1014" s="2" t="s">
        <v>76</v>
      </c>
      <c r="F1014" s="2" t="s">
        <v>1145</v>
      </c>
      <c r="G1014" s="14" t="n">
        <v>12.5</v>
      </c>
      <c r="H1014" s="14" t="n">
        <v>7.22</v>
      </c>
      <c r="I1014" s="14"/>
      <c r="J1014" s="22" t="n">
        <f aca="false">IF(E1014="Priority",'Cost model'!N201,'Cost model'!M201)</f>
        <v>12.5</v>
      </c>
      <c r="K1014" s="14" t="n">
        <f aca="false">J1014-H1014</f>
        <v>5.28</v>
      </c>
      <c r="L1014" s="14" t="n">
        <f aca="false">G1014-H1014</f>
        <v>5.28</v>
      </c>
    </row>
    <row r="1015" customFormat="false" ht="15" hidden="false" customHeight="false" outlineLevel="0" collapsed="false">
      <c r="A1015" s="2" t="s">
        <v>240</v>
      </c>
      <c r="B1015" s="2" t="s">
        <v>240</v>
      </c>
      <c r="C1015" s="2" t="s">
        <v>50</v>
      </c>
      <c r="D1015" s="2" t="s">
        <v>14</v>
      </c>
      <c r="E1015" s="2" t="s">
        <v>76</v>
      </c>
      <c r="F1015" s="2" t="s">
        <v>1145</v>
      </c>
      <c r="G1015" s="14" t="n">
        <v>125</v>
      </c>
      <c r="H1015" s="14" t="n">
        <v>238.69</v>
      </c>
      <c r="I1015" s="14" t="n">
        <v>125</v>
      </c>
      <c r="J1015" s="22" t="n">
        <f aca="false">IF(E1015="Priority",'Cost model'!N895,'Cost model'!M895)</f>
        <v>320</v>
      </c>
      <c r="K1015" s="14" t="n">
        <f aca="false">J1015-H1015</f>
        <v>81.31</v>
      </c>
      <c r="L1015" s="14" t="n">
        <f aca="false">G1015-H1015</f>
        <v>-113.69</v>
      </c>
    </row>
    <row r="1016" customFormat="false" ht="15" hidden="false" customHeight="false" outlineLevel="0" collapsed="false">
      <c r="A1016" s="2" t="s">
        <v>126</v>
      </c>
      <c r="B1016" s="2" t="s">
        <v>126</v>
      </c>
      <c r="C1016" s="2" t="s">
        <v>49</v>
      </c>
      <c r="D1016" s="2" t="s">
        <v>10</v>
      </c>
      <c r="E1016" s="2" t="s">
        <v>76</v>
      </c>
      <c r="F1016" s="2" t="s">
        <v>1145</v>
      </c>
      <c r="G1016" s="14" t="n">
        <v>12.5</v>
      </c>
      <c r="H1016" s="14" t="n">
        <v>6.64</v>
      </c>
      <c r="I1016" s="14" t="n">
        <v>12.5</v>
      </c>
      <c r="J1016" s="22" t="n">
        <f aca="false">IF(E1016="Priority",'Cost model'!N381,'Cost model'!M381)</f>
        <v>14.5</v>
      </c>
      <c r="K1016" s="14" t="n">
        <f aca="false">J1016-H1016</f>
        <v>7.86</v>
      </c>
      <c r="L1016" s="14" t="n">
        <f aca="false">G1016-H1016</f>
        <v>5.86</v>
      </c>
    </row>
    <row r="1017" customFormat="false" ht="15" hidden="false" customHeight="false" outlineLevel="0" collapsed="false">
      <c r="A1017" s="2" t="s">
        <v>146</v>
      </c>
      <c r="B1017" s="2" t="s">
        <v>146</v>
      </c>
      <c r="C1017" s="2" t="s">
        <v>49</v>
      </c>
      <c r="D1017" s="2" t="s">
        <v>12</v>
      </c>
      <c r="E1017" s="2" t="s">
        <v>76</v>
      </c>
      <c r="F1017" s="2" t="s">
        <v>1145</v>
      </c>
      <c r="G1017" s="14" t="n">
        <v>12.5</v>
      </c>
      <c r="H1017" s="14" t="n">
        <v>70.73</v>
      </c>
      <c r="I1017" s="14" t="n">
        <v>12.5</v>
      </c>
      <c r="J1017" s="22" t="n">
        <f aca="false">IF(E1017="Priority",'Cost model'!N762,'Cost model'!M762)</f>
        <v>45</v>
      </c>
      <c r="K1017" s="14" t="n">
        <f aca="false">J1017-H1017</f>
        <v>-25.73</v>
      </c>
      <c r="L1017" s="14" t="n">
        <f aca="false">G1017-H1017</f>
        <v>-58.23</v>
      </c>
    </row>
    <row r="1018" customFormat="false" ht="15" hidden="false" customHeight="false" outlineLevel="0" collapsed="false">
      <c r="A1018" s="2" t="s">
        <v>184</v>
      </c>
      <c r="B1018" s="2" t="s">
        <v>165</v>
      </c>
      <c r="C1018" s="2" t="s">
        <v>49</v>
      </c>
      <c r="D1018" s="2" t="s">
        <v>12</v>
      </c>
      <c r="E1018" s="2" t="s">
        <v>76</v>
      </c>
      <c r="F1018" s="2" t="s">
        <v>1146</v>
      </c>
      <c r="G1018" s="14" t="n">
        <v>24.5</v>
      </c>
      <c r="H1018" s="14" t="n">
        <v>48.29</v>
      </c>
      <c r="I1018" s="14"/>
      <c r="J1018" s="22" t="n">
        <f aca="false">IF(E1018="Priority",'Cost model'!N168,'Cost model'!M168)</f>
        <v>60</v>
      </c>
      <c r="K1018" s="14" t="n">
        <f aca="false">J1018-H1018</f>
        <v>11.71</v>
      </c>
      <c r="L1018" s="14" t="n">
        <f aca="false">G1018-H1018</f>
        <v>-23.79</v>
      </c>
    </row>
    <row r="1019" customFormat="false" ht="15" hidden="false" customHeight="false" outlineLevel="0" collapsed="false">
      <c r="A1019" s="2" t="s">
        <v>146</v>
      </c>
      <c r="B1019" s="2" t="s">
        <v>146</v>
      </c>
      <c r="C1019" s="2" t="s">
        <v>49</v>
      </c>
      <c r="D1019" s="2" t="s">
        <v>12</v>
      </c>
      <c r="E1019" s="2" t="s">
        <v>76</v>
      </c>
      <c r="F1019" s="2" t="s">
        <v>1145</v>
      </c>
      <c r="G1019" s="14" t="n">
        <v>12.5</v>
      </c>
      <c r="H1019" s="14" t="n">
        <v>44.72</v>
      </c>
      <c r="I1019" s="14" t="n">
        <v>12.5</v>
      </c>
      <c r="J1019" s="22" t="n">
        <f aca="false">IF(E1019="Priority",'Cost model'!N762,'Cost model'!M762)</f>
        <v>45</v>
      </c>
      <c r="K1019" s="14" t="n">
        <f aca="false">J1019-H1019</f>
        <v>0.280000000000001</v>
      </c>
      <c r="L1019" s="14" t="n">
        <f aca="false">G1019-H1019</f>
        <v>-32.22</v>
      </c>
    </row>
    <row r="1020" customFormat="false" ht="15" hidden="false" customHeight="false" outlineLevel="0" collapsed="false">
      <c r="A1020" s="2" t="s">
        <v>126</v>
      </c>
      <c r="B1020" s="2" t="s">
        <v>221</v>
      </c>
      <c r="C1020" s="2" t="s">
        <v>49</v>
      </c>
      <c r="D1020" s="2" t="s">
        <v>10</v>
      </c>
      <c r="E1020" s="2" t="s">
        <v>76</v>
      </c>
      <c r="F1020" s="2" t="s">
        <v>1146</v>
      </c>
      <c r="G1020" s="14" t="n">
        <v>12.5</v>
      </c>
      <c r="H1020" s="14" t="n">
        <v>25.97</v>
      </c>
      <c r="I1020" s="14" t="n">
        <v>19.5</v>
      </c>
      <c r="J1020" s="22" t="n">
        <f aca="false">IF(E1020="Priority",'Cost model'!N453,'Cost model'!M453)</f>
        <v>16.5</v>
      </c>
      <c r="K1020" s="14" t="n">
        <f aca="false">J1020-H1020</f>
        <v>-9.47</v>
      </c>
      <c r="L1020" s="14" t="n">
        <f aca="false">G1020-H1020</f>
        <v>-13.47</v>
      </c>
    </row>
    <row r="1021" customFormat="false" ht="15" hidden="false" customHeight="false" outlineLevel="0" collapsed="false">
      <c r="A1021" s="2" t="s">
        <v>184</v>
      </c>
      <c r="B1021" s="2" t="s">
        <v>184</v>
      </c>
      <c r="C1021" s="2" t="s">
        <v>48</v>
      </c>
      <c r="D1021" s="2" t="s">
        <v>10</v>
      </c>
      <c r="E1021" s="2" t="s">
        <v>76</v>
      </c>
      <c r="F1021" s="2" t="s">
        <v>1145</v>
      </c>
      <c r="G1021" s="14" t="n">
        <v>9.5</v>
      </c>
      <c r="H1021" s="14" t="n">
        <v>5.94</v>
      </c>
      <c r="I1021" s="14" t="n">
        <v>9.5</v>
      </c>
      <c r="J1021" s="22" t="n">
        <f aca="false">IF(E1021="Priority",'Cost model'!N200,'Cost model'!M200)</f>
        <v>7.5</v>
      </c>
      <c r="K1021" s="14" t="n">
        <f aca="false">J1021-H1021</f>
        <v>1.56</v>
      </c>
      <c r="L1021" s="14" t="n">
        <f aca="false">G1021-H1021</f>
        <v>3.56</v>
      </c>
    </row>
    <row r="1022" customFormat="false" ht="15" hidden="false" customHeight="false" outlineLevel="0" collapsed="false">
      <c r="A1022" s="2" t="s">
        <v>146</v>
      </c>
      <c r="B1022" s="2" t="s">
        <v>146</v>
      </c>
      <c r="C1022" s="2" t="s">
        <v>50</v>
      </c>
      <c r="D1022" s="2" t="s">
        <v>10</v>
      </c>
      <c r="E1022" s="2" t="s">
        <v>76</v>
      </c>
      <c r="F1022" s="2" t="s">
        <v>1145</v>
      </c>
      <c r="G1022" s="14" t="n">
        <v>17.5</v>
      </c>
      <c r="H1022" s="14" t="n">
        <v>16.05</v>
      </c>
      <c r="I1022" s="14" t="n">
        <v>17.5</v>
      </c>
      <c r="J1022" s="22" t="n">
        <f aca="false">IF(E1022="Priority",'Cost model'!N760,'Cost model'!M760)</f>
        <v>18.5</v>
      </c>
      <c r="K1022" s="14" t="n">
        <f aca="false">J1022-H1022</f>
        <v>2.45</v>
      </c>
      <c r="L1022" s="14" t="n">
        <f aca="false">G1022-H1022</f>
        <v>1.45</v>
      </c>
    </row>
    <row r="1023" customFormat="false" ht="15" hidden="false" customHeight="false" outlineLevel="0" collapsed="false">
      <c r="A1023" s="2" t="s">
        <v>126</v>
      </c>
      <c r="B1023" s="2" t="s">
        <v>126</v>
      </c>
      <c r="C1023" s="2" t="s">
        <v>50</v>
      </c>
      <c r="D1023" s="2" t="s">
        <v>10</v>
      </c>
      <c r="E1023" s="2" t="s">
        <v>76</v>
      </c>
      <c r="F1023" s="2" t="s">
        <v>1145</v>
      </c>
      <c r="G1023" s="14" t="n">
        <v>17.5</v>
      </c>
      <c r="H1023" s="14" t="n">
        <v>15.39</v>
      </c>
      <c r="I1023" s="14" t="n">
        <v>17.5</v>
      </c>
      <c r="J1023" s="22" t="n">
        <f aca="false">IF(E1023="Priority",'Cost model'!N382,'Cost model'!M382)</f>
        <v>18.5</v>
      </c>
      <c r="K1023" s="14" t="n">
        <f aca="false">J1023-H1023</f>
        <v>3.11</v>
      </c>
      <c r="L1023" s="14" t="n">
        <f aca="false">G1023-H1023</f>
        <v>2.11</v>
      </c>
    </row>
    <row r="1024" customFormat="false" ht="15" hidden="false" customHeight="false" outlineLevel="0" collapsed="false">
      <c r="A1024" s="2" t="s">
        <v>221</v>
      </c>
      <c r="B1024" s="2" t="s">
        <v>125</v>
      </c>
      <c r="C1024" s="2" t="s">
        <v>49</v>
      </c>
      <c r="D1024" s="2" t="s">
        <v>10</v>
      </c>
      <c r="E1024" s="2" t="s">
        <v>76</v>
      </c>
      <c r="F1024" s="2" t="s">
        <v>1146</v>
      </c>
      <c r="G1024" s="14" t="n">
        <v>12.5</v>
      </c>
      <c r="H1024" s="14" t="n">
        <v>21.61</v>
      </c>
      <c r="I1024" s="14" t="n">
        <v>19.5</v>
      </c>
      <c r="J1024" s="22" t="n">
        <f aca="false">IF(E1024="Priority",'Cost model'!N723,'Cost model'!M723)</f>
        <v>17.5</v>
      </c>
      <c r="K1024" s="14" t="n">
        <f aca="false">J1024-H1024</f>
        <v>-4.11</v>
      </c>
      <c r="L1024" s="14" t="n">
        <f aca="false">G1024-H1024</f>
        <v>-9.11</v>
      </c>
    </row>
    <row r="1025" customFormat="false" ht="15" hidden="false" customHeight="false" outlineLevel="0" collapsed="false">
      <c r="A1025" s="2" t="s">
        <v>184</v>
      </c>
      <c r="B1025" s="2" t="s">
        <v>126</v>
      </c>
      <c r="C1025" s="2" t="s">
        <v>49</v>
      </c>
      <c r="D1025" s="2" t="s">
        <v>12</v>
      </c>
      <c r="E1025" s="2" t="s">
        <v>76</v>
      </c>
      <c r="F1025" s="2" t="s">
        <v>1146</v>
      </c>
      <c r="G1025" s="14" t="n">
        <v>12.5</v>
      </c>
      <c r="H1025" s="14" t="n">
        <v>73.89</v>
      </c>
      <c r="I1025" s="14"/>
      <c r="J1025" s="22" t="n">
        <f aca="false">IF(E1025="Priority",'Cost model'!N132,'Cost model'!M132)</f>
        <v>50</v>
      </c>
      <c r="K1025" s="14" t="n">
        <f aca="false">J1025-H1025</f>
        <v>-23.89</v>
      </c>
      <c r="L1025" s="14" t="n">
        <f aca="false">G1025-H1025</f>
        <v>-61.39</v>
      </c>
    </row>
    <row r="1026" customFormat="false" ht="15" hidden="false" customHeight="false" outlineLevel="0" collapsed="false">
      <c r="A1026" s="2" t="s">
        <v>126</v>
      </c>
      <c r="B1026" s="2" t="s">
        <v>146</v>
      </c>
      <c r="C1026" s="2" t="s">
        <v>49</v>
      </c>
      <c r="D1026" s="2" t="s">
        <v>12</v>
      </c>
      <c r="E1026" s="2" t="s">
        <v>76</v>
      </c>
      <c r="F1026" s="2" t="s">
        <v>1146</v>
      </c>
      <c r="G1026" s="14" t="n">
        <v>19.5</v>
      </c>
      <c r="H1026" s="14" t="n">
        <v>63.91</v>
      </c>
      <c r="I1026" s="14" t="n">
        <v>19.5</v>
      </c>
      <c r="J1026" s="22" t="n">
        <f aca="false">IF(E1026="Priority",'Cost model'!N402,'Cost model'!M402)</f>
        <v>60</v>
      </c>
      <c r="K1026" s="14" t="n">
        <f aca="false">J1026-H1026</f>
        <v>-3.91</v>
      </c>
      <c r="L1026" s="14" t="n">
        <f aca="false">G1026-H1026</f>
        <v>-44.41</v>
      </c>
    </row>
    <row r="1027" customFormat="false" ht="15" hidden="false" customHeight="false" outlineLevel="0" collapsed="false">
      <c r="A1027" s="2" t="s">
        <v>240</v>
      </c>
      <c r="B1027" s="2" t="s">
        <v>240</v>
      </c>
      <c r="C1027" s="2" t="s">
        <v>48</v>
      </c>
      <c r="D1027" s="2" t="s">
        <v>12</v>
      </c>
      <c r="E1027" s="2" t="s">
        <v>76</v>
      </c>
      <c r="F1027" s="2" t="s">
        <v>1145</v>
      </c>
      <c r="G1027" s="14" t="n">
        <v>9.5</v>
      </c>
      <c r="H1027" s="14" t="n">
        <v>29.48</v>
      </c>
      <c r="I1027" s="14" t="n">
        <v>9.5</v>
      </c>
      <c r="J1027" s="22" t="n">
        <f aca="false">IF(E1027="Priority",'Cost model'!N887,'Cost model'!M887)</f>
        <v>21.5</v>
      </c>
      <c r="K1027" s="14" t="n">
        <f aca="false">J1027-H1027</f>
        <v>-7.98</v>
      </c>
      <c r="L1027" s="14" t="n">
        <f aca="false">G1027-H1027</f>
        <v>-19.98</v>
      </c>
    </row>
    <row r="1028" customFormat="false" ht="15" hidden="false" customHeight="false" outlineLevel="0" collapsed="false">
      <c r="A1028" s="2" t="s">
        <v>126</v>
      </c>
      <c r="B1028" s="2" t="s">
        <v>221</v>
      </c>
      <c r="C1028" s="2" t="s">
        <v>48</v>
      </c>
      <c r="D1028" s="2" t="s">
        <v>13</v>
      </c>
      <c r="E1028" s="2" t="s">
        <v>76</v>
      </c>
      <c r="F1028" s="2" t="s">
        <v>1146</v>
      </c>
      <c r="G1028" s="14" t="n">
        <v>19</v>
      </c>
      <c r="H1028" s="14" t="n">
        <v>20.48</v>
      </c>
      <c r="I1028" s="14" t="n">
        <v>45</v>
      </c>
      <c r="J1028" s="22" t="n">
        <f aca="false">IF(E1028="Priority",'Cost model'!N458,'Cost model'!M458)</f>
        <v>85</v>
      </c>
      <c r="K1028" s="14" t="n">
        <f aca="false">J1028-H1028</f>
        <v>64.52</v>
      </c>
      <c r="L1028" s="14" t="n">
        <f aca="false">G1028-H1028</f>
        <v>-1.48</v>
      </c>
    </row>
    <row r="1029" customFormat="false" ht="15" hidden="false" customHeight="false" outlineLevel="0" collapsed="false">
      <c r="A1029" s="2" t="s">
        <v>146</v>
      </c>
      <c r="B1029" s="2" t="s">
        <v>146</v>
      </c>
      <c r="C1029" s="2" t="s">
        <v>49</v>
      </c>
      <c r="D1029" s="2" t="s">
        <v>10</v>
      </c>
      <c r="E1029" s="2" t="s">
        <v>85</v>
      </c>
      <c r="F1029" s="2" t="s">
        <v>1145</v>
      </c>
      <c r="G1029" s="14" t="n">
        <v>17.5</v>
      </c>
      <c r="H1029" s="14" t="n">
        <v>23.58</v>
      </c>
      <c r="I1029" s="14" t="n">
        <v>17.5</v>
      </c>
      <c r="J1029" s="22" t="n">
        <f aca="false">IF(E1029="Priority",'Cost model'!N759,'Cost model'!M759)</f>
        <v>21.5</v>
      </c>
      <c r="K1029" s="14" t="n">
        <f aca="false">J1029-H1029</f>
        <v>-2.08</v>
      </c>
      <c r="L1029" s="14" t="n">
        <f aca="false">G1029-H1029</f>
        <v>-6.08</v>
      </c>
    </row>
    <row r="1030" customFormat="false" ht="15" hidden="false" customHeight="false" outlineLevel="0" collapsed="false">
      <c r="A1030" s="2" t="s">
        <v>184</v>
      </c>
      <c r="B1030" s="2" t="s">
        <v>184</v>
      </c>
      <c r="C1030" s="2" t="s">
        <v>50</v>
      </c>
      <c r="D1030" s="2" t="s">
        <v>12</v>
      </c>
      <c r="E1030" s="2" t="s">
        <v>76</v>
      </c>
      <c r="F1030" s="2" t="s">
        <v>1145</v>
      </c>
      <c r="G1030" s="14" t="n">
        <v>19.5</v>
      </c>
      <c r="H1030" s="14" t="n">
        <v>34.2</v>
      </c>
      <c r="I1030" s="14" t="n">
        <v>19.5</v>
      </c>
      <c r="J1030" s="22" t="n">
        <f aca="false">IF(E1030="Priority",'Cost model'!N205,'Cost model'!M205)</f>
        <v>50</v>
      </c>
      <c r="K1030" s="14" t="n">
        <f aca="false">J1030-H1030</f>
        <v>15.8</v>
      </c>
      <c r="L1030" s="14" t="n">
        <f aca="false">G1030-H1030</f>
        <v>-14.7</v>
      </c>
    </row>
    <row r="1031" customFormat="false" ht="15" hidden="false" customHeight="false" outlineLevel="0" collapsed="false">
      <c r="A1031" s="2" t="s">
        <v>184</v>
      </c>
      <c r="B1031" s="2" t="s">
        <v>184</v>
      </c>
      <c r="C1031" s="2" t="s">
        <v>49</v>
      </c>
      <c r="D1031" s="2" t="s">
        <v>12</v>
      </c>
      <c r="E1031" s="2" t="s">
        <v>76</v>
      </c>
      <c r="F1031" s="2" t="s">
        <v>1145</v>
      </c>
      <c r="G1031" s="14" t="n">
        <v>19.5</v>
      </c>
      <c r="H1031" s="14" t="n">
        <v>24.63</v>
      </c>
      <c r="I1031" s="14"/>
      <c r="J1031" s="22" t="n">
        <f aca="false">IF(E1031="Priority",'Cost model'!N204,'Cost model'!M204)</f>
        <v>45</v>
      </c>
      <c r="K1031" s="14" t="n">
        <f aca="false">J1031-H1031</f>
        <v>20.37</v>
      </c>
      <c r="L1031" s="14" t="n">
        <f aca="false">G1031-H1031</f>
        <v>-5.13</v>
      </c>
    </row>
    <row r="1032" customFormat="false" ht="15" hidden="false" customHeight="false" outlineLevel="0" collapsed="false">
      <c r="A1032" s="2" t="s">
        <v>126</v>
      </c>
      <c r="B1032" s="2" t="s">
        <v>165</v>
      </c>
      <c r="C1032" s="2" t="s">
        <v>49</v>
      </c>
      <c r="D1032" s="2" t="s">
        <v>10</v>
      </c>
      <c r="E1032" s="2" t="s">
        <v>76</v>
      </c>
      <c r="F1032" s="2" t="s">
        <v>1146</v>
      </c>
      <c r="G1032" s="14" t="n">
        <v>14.5</v>
      </c>
      <c r="H1032" s="14" t="n">
        <v>18.64</v>
      </c>
      <c r="I1032" s="14" t="n">
        <v>14.5</v>
      </c>
      <c r="J1032" s="22" t="n">
        <f aca="false">IF(E1032="Priority",'Cost model'!N417,'Cost model'!M417)</f>
        <v>18.5</v>
      </c>
      <c r="K1032" s="14" t="n">
        <f aca="false">J1032-H1032</f>
        <v>-0.140000000000001</v>
      </c>
      <c r="L1032" s="14" t="n">
        <f aca="false">G1032-H1032</f>
        <v>-4.14</v>
      </c>
    </row>
    <row r="1033" customFormat="false" ht="15" hidden="false" customHeight="false" outlineLevel="0" collapsed="false">
      <c r="A1033" s="2" t="s">
        <v>221</v>
      </c>
      <c r="B1033" s="2" t="s">
        <v>221</v>
      </c>
      <c r="C1033" s="2" t="s">
        <v>49</v>
      </c>
      <c r="D1033" s="2" t="s">
        <v>12</v>
      </c>
      <c r="E1033" s="2" t="s">
        <v>76</v>
      </c>
      <c r="F1033" s="2" t="s">
        <v>1145</v>
      </c>
      <c r="G1033" s="14" t="n">
        <v>12.5</v>
      </c>
      <c r="H1033" s="14" t="n">
        <v>64.37</v>
      </c>
      <c r="I1033" s="14" t="n">
        <v>12.5</v>
      </c>
      <c r="J1033" s="22" t="n">
        <f aca="false">IF(E1033="Priority",'Cost model'!N636,'Cost model'!M636)</f>
        <v>55</v>
      </c>
      <c r="K1033" s="14" t="n">
        <f aca="false">J1033-H1033</f>
        <v>-9.37000000000001</v>
      </c>
      <c r="L1033" s="14" t="n">
        <f aca="false">G1033-H1033</f>
        <v>-51.87</v>
      </c>
    </row>
    <row r="1034" customFormat="false" ht="15" hidden="false" customHeight="false" outlineLevel="0" collapsed="false">
      <c r="A1034" s="2" t="s">
        <v>125</v>
      </c>
      <c r="B1034" s="2" t="s">
        <v>125</v>
      </c>
      <c r="C1034" s="2" t="s">
        <v>48</v>
      </c>
      <c r="D1034" s="2" t="s">
        <v>10</v>
      </c>
      <c r="E1034" s="2" t="s">
        <v>85</v>
      </c>
      <c r="F1034" s="2" t="s">
        <v>1145</v>
      </c>
      <c r="G1034" s="14" t="n">
        <v>14.5</v>
      </c>
      <c r="H1034" s="14" t="n">
        <v>21.61</v>
      </c>
      <c r="I1034" s="14" t="n">
        <v>14.5</v>
      </c>
      <c r="J1034" s="22" t="n">
        <f aca="false">IF(E1034="Priority",'Cost model'!N74,'Cost model'!M74)</f>
        <v>29.5</v>
      </c>
      <c r="K1034" s="14" t="n">
        <f aca="false">J1034-H1034</f>
        <v>7.89</v>
      </c>
      <c r="L1034" s="14" t="n">
        <f aca="false">G1034-H1034</f>
        <v>-7.11</v>
      </c>
    </row>
    <row r="1035" customFormat="false" ht="15" hidden="false" customHeight="false" outlineLevel="0" collapsed="false">
      <c r="A1035" s="2" t="s">
        <v>126</v>
      </c>
      <c r="B1035" s="2" t="s">
        <v>126</v>
      </c>
      <c r="C1035" s="2" t="s">
        <v>48</v>
      </c>
      <c r="D1035" s="2" t="s">
        <v>10</v>
      </c>
      <c r="E1035" s="2" t="s">
        <v>76</v>
      </c>
      <c r="F1035" s="2" t="s">
        <v>1145</v>
      </c>
      <c r="G1035" s="14" t="n">
        <v>9.5</v>
      </c>
      <c r="H1035" s="14" t="n">
        <v>6.12</v>
      </c>
      <c r="I1035" s="14" t="n">
        <v>9.5</v>
      </c>
      <c r="J1035" s="22" t="n">
        <f aca="false">IF(E1035="Priority",'Cost model'!N380,'Cost model'!M380)</f>
        <v>8.5</v>
      </c>
      <c r="K1035" s="14" t="n">
        <f aca="false">J1035-H1035</f>
        <v>2.38</v>
      </c>
      <c r="L1035" s="14" t="n">
        <f aca="false">G1035-H1035</f>
        <v>3.38</v>
      </c>
    </row>
    <row r="1036" customFormat="false" ht="15" hidden="false" customHeight="false" outlineLevel="0" collapsed="false">
      <c r="A1036" s="2" t="s">
        <v>184</v>
      </c>
      <c r="B1036" s="2" t="s">
        <v>184</v>
      </c>
      <c r="C1036" s="2" t="s">
        <v>48</v>
      </c>
      <c r="D1036" s="2" t="s">
        <v>12</v>
      </c>
      <c r="E1036" s="2" t="s">
        <v>85</v>
      </c>
      <c r="F1036" s="2" t="s">
        <v>1145</v>
      </c>
      <c r="G1036" s="14" t="n">
        <v>19.5</v>
      </c>
      <c r="H1036" s="14" t="n">
        <v>43.55</v>
      </c>
      <c r="I1036" s="14" t="n">
        <v>19.5</v>
      </c>
      <c r="J1036" s="22" t="n">
        <f aca="false">IF(E1036="Priority",'Cost model'!N203,'Cost model'!M203)</f>
        <v>35</v>
      </c>
      <c r="K1036" s="14" t="n">
        <f aca="false">J1036-H1036</f>
        <v>-8.55</v>
      </c>
      <c r="L1036" s="14" t="n">
        <f aca="false">G1036-H1036</f>
        <v>-24.05</v>
      </c>
    </row>
    <row r="1037" customFormat="false" ht="15" hidden="false" customHeight="false" outlineLevel="0" collapsed="false">
      <c r="A1037" s="2" t="s">
        <v>184</v>
      </c>
      <c r="B1037" s="2" t="s">
        <v>125</v>
      </c>
      <c r="C1037" s="2" t="s">
        <v>48</v>
      </c>
      <c r="D1037" s="2" t="s">
        <v>10</v>
      </c>
      <c r="E1037" s="2" t="s">
        <v>76</v>
      </c>
      <c r="F1037" s="2" t="s">
        <v>1146</v>
      </c>
      <c r="G1037" s="14" t="n">
        <v>9.5</v>
      </c>
      <c r="H1037" s="14" t="n">
        <v>23.58</v>
      </c>
      <c r="I1037" s="14" t="n">
        <v>19.5</v>
      </c>
      <c r="J1037" s="22" t="n">
        <f aca="false">IF(E1037="Priority",'Cost model'!N236,'Cost model'!M236)</f>
        <v>17.5</v>
      </c>
      <c r="K1037" s="14" t="n">
        <f aca="false">J1037-H1037</f>
        <v>-6.08</v>
      </c>
      <c r="L1037" s="14" t="n">
        <f aca="false">G1037-H1037</f>
        <v>-14.08</v>
      </c>
    </row>
    <row r="1038" customFormat="false" ht="15" hidden="false" customHeight="false" outlineLevel="0" collapsed="false">
      <c r="A1038" s="2" t="s">
        <v>165</v>
      </c>
      <c r="B1038" s="2" t="s">
        <v>165</v>
      </c>
      <c r="C1038" s="2" t="s">
        <v>48</v>
      </c>
      <c r="D1038" s="2" t="s">
        <v>13</v>
      </c>
      <c r="E1038" s="2" t="s">
        <v>76</v>
      </c>
      <c r="F1038" s="2" t="s">
        <v>1145</v>
      </c>
      <c r="G1038" s="14" t="n">
        <v>19</v>
      </c>
      <c r="H1038" s="14" t="n">
        <v>20.22</v>
      </c>
      <c r="I1038" s="14" t="n">
        <v>19</v>
      </c>
      <c r="J1038" s="22" t="n">
        <f aca="false">IF(E1038="Priority",'Cost model'!N512,'Cost model'!M512)</f>
        <v>35</v>
      </c>
      <c r="K1038" s="14" t="n">
        <f aca="false">J1038-H1038</f>
        <v>14.78</v>
      </c>
      <c r="L1038" s="14" t="n">
        <f aca="false">G1038-H1038</f>
        <v>-1.22</v>
      </c>
    </row>
    <row r="1039" customFormat="false" ht="15" hidden="false" customHeight="false" outlineLevel="0" collapsed="false">
      <c r="A1039" s="2" t="s">
        <v>385</v>
      </c>
      <c r="B1039" s="2" t="s">
        <v>165</v>
      </c>
      <c r="C1039" s="2" t="s">
        <v>48</v>
      </c>
      <c r="D1039" s="2" t="s">
        <v>12</v>
      </c>
      <c r="E1039" s="2" t="s">
        <v>76</v>
      </c>
      <c r="F1039" s="2" t="s">
        <v>1146</v>
      </c>
      <c r="G1039" s="14" t="n">
        <v>24.5</v>
      </c>
      <c r="H1039" s="14" t="n">
        <v>45.47</v>
      </c>
      <c r="I1039" s="14" t="n">
        <v>24.5</v>
      </c>
      <c r="J1039" s="22" t="n">
        <f aca="false">IF(E1039="Priority",'Cost model'!N257,'Cost model'!M257)</f>
        <v>60</v>
      </c>
      <c r="K1039" s="14" t="n">
        <f aca="false">J1039-H1039</f>
        <v>14.53</v>
      </c>
      <c r="L1039" s="14" t="n">
        <f aca="false">G1039-H1039</f>
        <v>-20.97</v>
      </c>
    </row>
    <row r="1040" customFormat="false" ht="15" hidden="false" customHeight="false" outlineLevel="0" collapsed="false">
      <c r="A1040" s="2" t="s">
        <v>146</v>
      </c>
      <c r="B1040" s="2" t="s">
        <v>146</v>
      </c>
      <c r="C1040" s="2" t="s">
        <v>49</v>
      </c>
      <c r="D1040" s="2" t="s">
        <v>12</v>
      </c>
      <c r="E1040" s="2" t="s">
        <v>76</v>
      </c>
      <c r="F1040" s="2" t="s">
        <v>1145</v>
      </c>
      <c r="G1040" s="14" t="n">
        <v>12.5</v>
      </c>
      <c r="H1040" s="14" t="n">
        <v>11.03</v>
      </c>
      <c r="I1040" s="14" t="n">
        <v>12.5</v>
      </c>
      <c r="J1040" s="22" t="n">
        <f aca="false">IF(E1040="Priority",'Cost model'!N762,'Cost model'!M762)</f>
        <v>45</v>
      </c>
      <c r="K1040" s="14" t="n">
        <f aca="false">J1040-H1040</f>
        <v>33.97</v>
      </c>
      <c r="L1040" s="14" t="n">
        <f aca="false">G1040-H1040</f>
        <v>1.47</v>
      </c>
    </row>
    <row r="1041" customFormat="false" ht="15" hidden="false" customHeight="false" outlineLevel="0" collapsed="false">
      <c r="A1041" s="2" t="s">
        <v>125</v>
      </c>
      <c r="B1041" s="2" t="s">
        <v>184</v>
      </c>
      <c r="C1041" s="2" t="s">
        <v>48</v>
      </c>
      <c r="D1041" s="2" t="s">
        <v>12</v>
      </c>
      <c r="E1041" s="2" t="s">
        <v>76</v>
      </c>
      <c r="F1041" s="2" t="s">
        <v>1146</v>
      </c>
      <c r="G1041" s="14" t="n">
        <v>19.5</v>
      </c>
      <c r="H1041" s="14" t="n">
        <v>56.42</v>
      </c>
      <c r="I1041" s="14" t="n">
        <v>19.5</v>
      </c>
      <c r="J1041" s="22" t="n">
        <f aca="false">IF(E1041="Priority",'Cost model'!N59,'Cost model'!M59)</f>
        <v>45</v>
      </c>
      <c r="K1041" s="14" t="n">
        <f aca="false">J1041-H1041</f>
        <v>-11.42</v>
      </c>
      <c r="L1041" s="14" t="n">
        <f aca="false">G1041-H1041</f>
        <v>-36.92</v>
      </c>
    </row>
    <row r="1042" customFormat="false" ht="15" hidden="false" customHeight="false" outlineLevel="0" collapsed="false">
      <c r="A1042" s="2" t="s">
        <v>126</v>
      </c>
      <c r="B1042" s="2" t="s">
        <v>126</v>
      </c>
      <c r="C1042" s="2" t="s">
        <v>50</v>
      </c>
      <c r="D1042" s="2" t="s">
        <v>13</v>
      </c>
      <c r="E1042" s="2" t="s">
        <v>76</v>
      </c>
      <c r="F1042" s="2" t="s">
        <v>1145</v>
      </c>
      <c r="G1042" s="14" t="n">
        <v>50</v>
      </c>
      <c r="H1042" s="14" t="n">
        <v>104.94</v>
      </c>
      <c r="I1042" s="14" t="n">
        <v>50</v>
      </c>
      <c r="J1042" s="22" t="n">
        <f aca="false">IF(E1042="Priority",'Cost model'!N388,'Cost model'!M388)</f>
        <v>110</v>
      </c>
      <c r="K1042" s="14" t="n">
        <f aca="false">J1042-H1042</f>
        <v>5.06</v>
      </c>
      <c r="L1042" s="14" t="n">
        <f aca="false">G1042-H1042</f>
        <v>-54.94</v>
      </c>
    </row>
    <row r="1043" customFormat="false" ht="15" hidden="false" customHeight="false" outlineLevel="0" collapsed="false">
      <c r="A1043" s="2" t="s">
        <v>240</v>
      </c>
      <c r="B1043" s="2" t="s">
        <v>240</v>
      </c>
      <c r="C1043" s="2" t="s">
        <v>48</v>
      </c>
      <c r="D1043" s="2" t="s">
        <v>12</v>
      </c>
      <c r="E1043" s="2" t="s">
        <v>85</v>
      </c>
      <c r="F1043" s="2" t="s">
        <v>1145</v>
      </c>
      <c r="G1043" s="14" t="n">
        <v>19.5</v>
      </c>
      <c r="H1043" s="14" t="n">
        <v>13.96</v>
      </c>
      <c r="I1043" s="14" t="n">
        <v>19.5</v>
      </c>
      <c r="J1043" s="22" t="n">
        <f aca="false">IF(E1043="Priority",'Cost model'!N887,'Cost model'!M887)</f>
        <v>27.5</v>
      </c>
      <c r="K1043" s="14" t="n">
        <f aca="false">J1043-H1043</f>
        <v>13.54</v>
      </c>
      <c r="L1043" s="14" t="n">
        <f aca="false">G1043-H1043</f>
        <v>5.54</v>
      </c>
    </row>
    <row r="1044" customFormat="false" ht="15" hidden="false" customHeight="false" outlineLevel="0" collapsed="false">
      <c r="A1044" s="2" t="s">
        <v>240</v>
      </c>
      <c r="B1044" s="2" t="s">
        <v>240</v>
      </c>
      <c r="C1044" s="2" t="s">
        <v>48</v>
      </c>
      <c r="D1044" s="2" t="s">
        <v>12</v>
      </c>
      <c r="E1044" s="2" t="s">
        <v>76</v>
      </c>
      <c r="F1044" s="2" t="s">
        <v>1145</v>
      </c>
      <c r="G1044" s="14" t="n">
        <v>9.5</v>
      </c>
      <c r="H1044" s="14" t="n">
        <v>7.4</v>
      </c>
      <c r="I1044" s="14" t="n">
        <v>9.5</v>
      </c>
      <c r="J1044" s="22" t="n">
        <f aca="false">IF(E1044="Priority",'Cost model'!N887,'Cost model'!M887)</f>
        <v>21.5</v>
      </c>
      <c r="K1044" s="14" t="n">
        <f aca="false">J1044-H1044</f>
        <v>14.1</v>
      </c>
      <c r="L1044" s="14" t="n">
        <f aca="false">G1044-H1044</f>
        <v>2.1</v>
      </c>
    </row>
    <row r="1045" customFormat="false" ht="15" hidden="false" customHeight="false" outlineLevel="0" collapsed="false">
      <c r="A1045" s="2" t="s">
        <v>126</v>
      </c>
      <c r="B1045" s="2" t="s">
        <v>126</v>
      </c>
      <c r="C1045" s="2" t="s">
        <v>49</v>
      </c>
      <c r="D1045" s="2" t="s">
        <v>12</v>
      </c>
      <c r="E1045" s="2" t="s">
        <v>76</v>
      </c>
      <c r="F1045" s="2" t="s">
        <v>1145</v>
      </c>
      <c r="G1045" s="14" t="n">
        <v>12.5</v>
      </c>
      <c r="H1045" s="14" t="n">
        <v>44.66</v>
      </c>
      <c r="I1045" s="14" t="n">
        <v>12.5</v>
      </c>
      <c r="J1045" s="22" t="n">
        <f aca="false">IF(E1045="Priority",'Cost model'!N384,'Cost model'!M384)</f>
        <v>45</v>
      </c>
      <c r="K1045" s="14" t="n">
        <f aca="false">J1045-H1045</f>
        <v>0.340000000000003</v>
      </c>
      <c r="L1045" s="14" t="n">
        <f aca="false">G1045-H1045</f>
        <v>-32.16</v>
      </c>
    </row>
    <row r="1046" customFormat="false" ht="15" hidden="false" customHeight="false" outlineLevel="0" collapsed="false">
      <c r="A1046" s="2" t="s">
        <v>126</v>
      </c>
      <c r="B1046" s="2" t="s">
        <v>126</v>
      </c>
      <c r="C1046" s="2" t="s">
        <v>49</v>
      </c>
      <c r="D1046" s="2" t="s">
        <v>12</v>
      </c>
      <c r="E1046" s="2" t="s">
        <v>76</v>
      </c>
      <c r="F1046" s="2" t="s">
        <v>1145</v>
      </c>
      <c r="G1046" s="14" t="n">
        <v>12.5</v>
      </c>
      <c r="H1046" s="14" t="n">
        <v>9.68</v>
      </c>
      <c r="I1046" s="14" t="n">
        <v>12.5</v>
      </c>
      <c r="J1046" s="22" t="n">
        <f aca="false">IF(E1046="Priority",'Cost model'!N384,'Cost model'!M384)</f>
        <v>45</v>
      </c>
      <c r="K1046" s="14" t="n">
        <f aca="false">J1046-H1046</f>
        <v>35.32</v>
      </c>
      <c r="L1046" s="14" t="n">
        <f aca="false">G1046-H1046</f>
        <v>2.82</v>
      </c>
    </row>
    <row r="1047" customFormat="false" ht="15" hidden="false" customHeight="false" outlineLevel="0" collapsed="false">
      <c r="A1047" s="2" t="s">
        <v>146</v>
      </c>
      <c r="B1047" s="2" t="s">
        <v>184</v>
      </c>
      <c r="C1047" s="2" t="s">
        <v>48</v>
      </c>
      <c r="D1047" s="2" t="s">
        <v>12</v>
      </c>
      <c r="E1047" s="2" t="s">
        <v>76</v>
      </c>
      <c r="F1047" s="2" t="s">
        <v>1146</v>
      </c>
      <c r="G1047" s="14" t="n">
        <v>9.5</v>
      </c>
      <c r="H1047" s="14" t="n">
        <v>7.93</v>
      </c>
      <c r="I1047" s="14" t="n">
        <v>19.5</v>
      </c>
      <c r="J1047" s="22" t="n">
        <f aca="false">IF(E1047="Priority",'Cost model'!N833,'Cost model'!M833)</f>
        <v>45</v>
      </c>
      <c r="K1047" s="14" t="n">
        <f aca="false">J1047-H1047</f>
        <v>37.07</v>
      </c>
      <c r="L1047" s="14" t="n">
        <f aca="false">G1047-H1047</f>
        <v>1.57</v>
      </c>
    </row>
    <row r="1048" customFormat="false" ht="15" hidden="false" customHeight="false" outlineLevel="0" collapsed="false">
      <c r="A1048" s="2" t="s">
        <v>184</v>
      </c>
      <c r="B1048" s="2" t="s">
        <v>184</v>
      </c>
      <c r="C1048" s="2" t="s">
        <v>49</v>
      </c>
      <c r="D1048" s="2" t="s">
        <v>10</v>
      </c>
      <c r="E1048" s="2" t="s">
        <v>76</v>
      </c>
      <c r="F1048" s="2" t="s">
        <v>1145</v>
      </c>
      <c r="G1048" s="14" t="n">
        <v>12.5</v>
      </c>
      <c r="H1048" s="14" t="n">
        <v>12.18</v>
      </c>
      <c r="I1048" s="14" t="n">
        <v>12.5</v>
      </c>
      <c r="J1048" s="22" t="n">
        <f aca="false">IF(E1048="Priority",'Cost model'!N201,'Cost model'!M201)</f>
        <v>12.5</v>
      </c>
      <c r="K1048" s="14" t="n">
        <f aca="false">J1048-H1048</f>
        <v>0.32</v>
      </c>
      <c r="L1048" s="14" t="n">
        <f aca="false">G1048-H1048</f>
        <v>0.32</v>
      </c>
    </row>
    <row r="1049" customFormat="false" ht="15" hidden="false" customHeight="false" outlineLevel="0" collapsed="false">
      <c r="A1049" s="2" t="s">
        <v>184</v>
      </c>
      <c r="B1049" s="2" t="s">
        <v>184</v>
      </c>
      <c r="C1049" s="2" t="s">
        <v>48</v>
      </c>
      <c r="D1049" s="2" t="s">
        <v>12</v>
      </c>
      <c r="E1049" s="2" t="s">
        <v>76</v>
      </c>
      <c r="F1049" s="2" t="s">
        <v>1145</v>
      </c>
      <c r="G1049" s="14" t="n">
        <v>9.5</v>
      </c>
      <c r="H1049" s="14" t="n">
        <v>28.47</v>
      </c>
      <c r="I1049" s="14" t="n">
        <v>9.5</v>
      </c>
      <c r="J1049" s="22" t="n">
        <f aca="false">IF(E1049="Priority",'Cost model'!N203,'Cost model'!M203)</f>
        <v>26.5</v>
      </c>
      <c r="K1049" s="14" t="n">
        <f aca="false">J1049-H1049</f>
        <v>-1.97</v>
      </c>
      <c r="L1049" s="14" t="n">
        <f aca="false">G1049-H1049</f>
        <v>-18.97</v>
      </c>
    </row>
    <row r="1050" customFormat="false" ht="15" hidden="false" customHeight="false" outlineLevel="0" collapsed="false">
      <c r="A1050" s="2" t="s">
        <v>146</v>
      </c>
      <c r="B1050" s="2" t="s">
        <v>146</v>
      </c>
      <c r="C1050" s="2" t="s">
        <v>48</v>
      </c>
      <c r="D1050" s="2" t="s">
        <v>12</v>
      </c>
      <c r="E1050" s="2" t="s">
        <v>76</v>
      </c>
      <c r="F1050" s="2" t="s">
        <v>1145</v>
      </c>
      <c r="G1050" s="14" t="n">
        <v>9.5</v>
      </c>
      <c r="H1050" s="14" t="n">
        <v>25.65</v>
      </c>
      <c r="I1050" s="14" t="n">
        <v>9.5</v>
      </c>
      <c r="J1050" s="22" t="n">
        <f aca="false">IF(E1050="Priority",'Cost model'!N761,'Cost model'!M761)</f>
        <v>35</v>
      </c>
      <c r="K1050" s="14" t="n">
        <f aca="false">J1050-H1050</f>
        <v>9.35</v>
      </c>
      <c r="L1050" s="14" t="n">
        <f aca="false">G1050-H1050</f>
        <v>-16.15</v>
      </c>
    </row>
    <row r="1051" customFormat="false" ht="15" hidden="false" customHeight="false" outlineLevel="0" collapsed="false">
      <c r="A1051" s="2" t="s">
        <v>146</v>
      </c>
      <c r="B1051" s="2" t="s">
        <v>146</v>
      </c>
      <c r="C1051" s="2" t="s">
        <v>48</v>
      </c>
      <c r="D1051" s="2" t="s">
        <v>12</v>
      </c>
      <c r="E1051" s="2" t="s">
        <v>76</v>
      </c>
      <c r="F1051" s="2" t="s">
        <v>1145</v>
      </c>
      <c r="G1051" s="14" t="n">
        <v>9.5</v>
      </c>
      <c r="H1051" s="14" t="n">
        <v>7.34</v>
      </c>
      <c r="I1051" s="14" t="n">
        <v>9.5</v>
      </c>
      <c r="J1051" s="22" t="n">
        <f aca="false">IF(E1051="Priority",'Cost model'!N761,'Cost model'!M761)</f>
        <v>35</v>
      </c>
      <c r="K1051" s="14" t="n">
        <f aca="false">J1051-H1051</f>
        <v>27.66</v>
      </c>
      <c r="L1051" s="14" t="n">
        <f aca="false">G1051-H1051</f>
        <v>2.16</v>
      </c>
    </row>
    <row r="1052" customFormat="false" ht="15" hidden="false" customHeight="false" outlineLevel="0" collapsed="false">
      <c r="A1052" s="2" t="s">
        <v>146</v>
      </c>
      <c r="B1052" s="2" t="s">
        <v>146</v>
      </c>
      <c r="C1052" s="2" t="s">
        <v>48</v>
      </c>
      <c r="D1052" s="2" t="s">
        <v>10</v>
      </c>
      <c r="E1052" s="2" t="s">
        <v>76</v>
      </c>
      <c r="F1052" s="2" t="s">
        <v>1145</v>
      </c>
      <c r="G1052" s="14" t="n">
        <v>9.5</v>
      </c>
      <c r="H1052" s="14" t="n">
        <v>7.72</v>
      </c>
      <c r="I1052" s="14" t="n">
        <v>9.5</v>
      </c>
      <c r="J1052" s="22" t="n">
        <f aca="false">IF(E1052="Priority",'Cost model'!N758,'Cost model'!M758)</f>
        <v>9.5</v>
      </c>
      <c r="K1052" s="14" t="n">
        <f aca="false">J1052-H1052</f>
        <v>1.78</v>
      </c>
      <c r="L1052" s="14" t="n">
        <f aca="false">G1052-H1052</f>
        <v>1.78</v>
      </c>
    </row>
    <row r="1053" customFormat="false" ht="15" hidden="false" customHeight="false" outlineLevel="0" collapsed="false">
      <c r="A1053" s="2" t="s">
        <v>125</v>
      </c>
      <c r="B1053" s="2" t="s">
        <v>126</v>
      </c>
      <c r="C1053" s="2" t="s">
        <v>48</v>
      </c>
      <c r="D1053" s="2" t="s">
        <v>12</v>
      </c>
      <c r="E1053" s="2" t="s">
        <v>76</v>
      </c>
      <c r="F1053" s="2" t="s">
        <v>1146</v>
      </c>
      <c r="G1053" s="14" t="n">
        <v>19.5</v>
      </c>
      <c r="H1053" s="14" t="n">
        <v>31.74</v>
      </c>
      <c r="I1053" s="14" t="n">
        <v>19.5</v>
      </c>
      <c r="J1053" s="22" t="n">
        <f aca="false">IF(E1053="Priority",'Cost model'!N5,'Cost model'!M5)</f>
        <v>50</v>
      </c>
      <c r="K1053" s="14" t="n">
        <f aca="false">J1053-H1053</f>
        <v>18.26</v>
      </c>
      <c r="L1053" s="14" t="n">
        <f aca="false">G1053-H1053</f>
        <v>-12.24</v>
      </c>
    </row>
    <row r="1054" customFormat="false" ht="15" hidden="false" customHeight="false" outlineLevel="0" collapsed="false">
      <c r="A1054" s="2" t="s">
        <v>240</v>
      </c>
      <c r="B1054" s="2" t="s">
        <v>240</v>
      </c>
      <c r="C1054" s="2" t="s">
        <v>48</v>
      </c>
      <c r="D1054" s="2" t="s">
        <v>10</v>
      </c>
      <c r="E1054" s="2" t="s">
        <v>85</v>
      </c>
      <c r="F1054" s="2" t="s">
        <v>1145</v>
      </c>
      <c r="G1054" s="14" t="n">
        <v>14.5</v>
      </c>
      <c r="H1054" s="14" t="n">
        <v>10.96</v>
      </c>
      <c r="I1054" s="14" t="n">
        <v>14.5</v>
      </c>
      <c r="J1054" s="22" t="n">
        <f aca="false">IF(E1054="Priority",'Cost model'!N884,'Cost model'!M884)</f>
        <v>12.5</v>
      </c>
      <c r="K1054" s="14" t="n">
        <f aca="false">J1054-H1054</f>
        <v>1.54</v>
      </c>
      <c r="L1054" s="14" t="n">
        <f aca="false">G1054-H1054</f>
        <v>3.54</v>
      </c>
    </row>
    <row r="1055" customFormat="false" ht="15" hidden="false" customHeight="false" outlineLevel="0" collapsed="false">
      <c r="A1055" s="2" t="s">
        <v>126</v>
      </c>
      <c r="B1055" s="2" t="s">
        <v>126</v>
      </c>
      <c r="C1055" s="2" t="s">
        <v>48</v>
      </c>
      <c r="D1055" s="2" t="s">
        <v>12</v>
      </c>
      <c r="E1055" s="2" t="s">
        <v>76</v>
      </c>
      <c r="F1055" s="2" t="s">
        <v>1145</v>
      </c>
      <c r="G1055" s="14" t="n">
        <v>9.5</v>
      </c>
      <c r="H1055" s="14" t="n">
        <v>27.66</v>
      </c>
      <c r="I1055" s="14" t="n">
        <v>9.5</v>
      </c>
      <c r="J1055" s="22" t="n">
        <f aca="false">IF(E1055="Priority",'Cost model'!N383,'Cost model'!M383)</f>
        <v>27.5</v>
      </c>
      <c r="K1055" s="14" t="n">
        <f aca="false">J1055-H1055</f>
        <v>-0.16</v>
      </c>
      <c r="L1055" s="14" t="n">
        <f aca="false">G1055-H1055</f>
        <v>-18.16</v>
      </c>
    </row>
    <row r="1056" customFormat="false" ht="15" hidden="false" customHeight="false" outlineLevel="0" collapsed="false">
      <c r="A1056" s="2" t="s">
        <v>184</v>
      </c>
      <c r="B1056" s="2" t="s">
        <v>126</v>
      </c>
      <c r="C1056" s="2" t="s">
        <v>48</v>
      </c>
      <c r="D1056" s="2" t="s">
        <v>10</v>
      </c>
      <c r="E1056" s="2" t="s">
        <v>76</v>
      </c>
      <c r="F1056" s="2" t="s">
        <v>1146</v>
      </c>
      <c r="G1056" s="14" t="n">
        <v>19.5</v>
      </c>
      <c r="H1056" s="14" t="n">
        <v>21.34</v>
      </c>
      <c r="I1056" s="14" t="n">
        <v>9.5</v>
      </c>
      <c r="J1056" s="22" t="n">
        <f aca="false">IF(E1056="Priority",'Cost model'!N128,'Cost model'!M128)</f>
        <v>10.5</v>
      </c>
      <c r="K1056" s="14" t="n">
        <f aca="false">J1056-H1056</f>
        <v>-10.84</v>
      </c>
      <c r="L1056" s="14" t="n">
        <f aca="false">G1056-H1056</f>
        <v>-1.84</v>
      </c>
    </row>
    <row r="1057" customFormat="false" ht="15" hidden="false" customHeight="false" outlineLevel="0" collapsed="false">
      <c r="A1057" s="2" t="s">
        <v>240</v>
      </c>
      <c r="B1057" s="2" t="s">
        <v>240</v>
      </c>
      <c r="C1057" s="2" t="s">
        <v>48</v>
      </c>
      <c r="D1057" s="2" t="s">
        <v>10</v>
      </c>
      <c r="E1057" s="2" t="s">
        <v>76</v>
      </c>
      <c r="F1057" s="2" t="s">
        <v>1145</v>
      </c>
      <c r="G1057" s="14" t="n">
        <v>9.5</v>
      </c>
      <c r="H1057" s="14" t="n">
        <v>7.15</v>
      </c>
      <c r="I1057" s="14" t="n">
        <v>9.5</v>
      </c>
      <c r="J1057" s="22" t="n">
        <f aca="false">IF(E1057="Priority",'Cost model'!N884,'Cost model'!M884)</f>
        <v>7.5</v>
      </c>
      <c r="K1057" s="14" t="n">
        <f aca="false">J1057-H1057</f>
        <v>0.35</v>
      </c>
      <c r="L1057" s="14" t="n">
        <f aca="false">G1057-H1057</f>
        <v>2.35</v>
      </c>
    </row>
    <row r="1058" customFormat="false" ht="15" hidden="false" customHeight="false" outlineLevel="0" collapsed="false">
      <c r="A1058" s="2" t="s">
        <v>126</v>
      </c>
      <c r="B1058" s="2" t="s">
        <v>126</v>
      </c>
      <c r="C1058" s="2" t="s">
        <v>50</v>
      </c>
      <c r="D1058" s="2" t="s">
        <v>10</v>
      </c>
      <c r="E1058" s="2" t="s">
        <v>76</v>
      </c>
      <c r="F1058" s="2" t="s">
        <v>1145</v>
      </c>
      <c r="G1058" s="14" t="n">
        <v>17.5</v>
      </c>
      <c r="H1058" s="14" t="n">
        <v>11.34</v>
      </c>
      <c r="I1058" s="14" t="n">
        <v>17.5</v>
      </c>
      <c r="J1058" s="22" t="n">
        <f aca="false">IF(E1058="Priority",'Cost model'!N382,'Cost model'!M382)</f>
        <v>18.5</v>
      </c>
      <c r="K1058" s="14" t="n">
        <f aca="false">J1058-H1058</f>
        <v>7.16</v>
      </c>
      <c r="L1058" s="14" t="n">
        <f aca="false">G1058-H1058</f>
        <v>6.16</v>
      </c>
    </row>
    <row r="1059" customFormat="false" ht="15" hidden="false" customHeight="false" outlineLevel="0" collapsed="false">
      <c r="A1059" s="2" t="s">
        <v>126</v>
      </c>
      <c r="B1059" s="2" t="s">
        <v>126</v>
      </c>
      <c r="C1059" s="2" t="s">
        <v>49</v>
      </c>
      <c r="D1059" s="2" t="s">
        <v>10</v>
      </c>
      <c r="E1059" s="2" t="s">
        <v>76</v>
      </c>
      <c r="F1059" s="2" t="s">
        <v>1145</v>
      </c>
      <c r="G1059" s="14" t="n">
        <v>12.5</v>
      </c>
      <c r="H1059" s="14" t="n">
        <v>16.84</v>
      </c>
      <c r="I1059" s="14" t="n">
        <v>12.5</v>
      </c>
      <c r="J1059" s="22" t="n">
        <f aca="false">IF(E1059="Priority",'Cost model'!N381,'Cost model'!M381)</f>
        <v>14.5</v>
      </c>
      <c r="K1059" s="14" t="n">
        <f aca="false">J1059-H1059</f>
        <v>-2.34</v>
      </c>
      <c r="L1059" s="14" t="n">
        <f aca="false">G1059-H1059</f>
        <v>-4.34</v>
      </c>
    </row>
    <row r="1060" customFormat="false" ht="15" hidden="false" customHeight="false" outlineLevel="0" collapsed="false">
      <c r="A1060" s="2" t="s">
        <v>146</v>
      </c>
      <c r="B1060" s="2" t="s">
        <v>184</v>
      </c>
      <c r="C1060" s="2" t="s">
        <v>49</v>
      </c>
      <c r="D1060" s="2" t="s">
        <v>12</v>
      </c>
      <c r="E1060" s="2" t="s">
        <v>76</v>
      </c>
      <c r="F1060" s="2" t="s">
        <v>1146</v>
      </c>
      <c r="G1060" s="14" t="n">
        <v>19.5</v>
      </c>
      <c r="H1060" s="14" t="n">
        <v>75.13</v>
      </c>
      <c r="I1060" s="14" t="n">
        <v>19.5</v>
      </c>
      <c r="J1060" s="22" t="n">
        <f aca="false">IF(E1060="Priority",'Cost model'!N834,'Cost model'!M834)</f>
        <v>45</v>
      </c>
      <c r="K1060" s="14" t="n">
        <f aca="false">J1060-H1060</f>
        <v>-30.13</v>
      </c>
      <c r="L1060" s="14" t="n">
        <f aca="false">G1060-H1060</f>
        <v>-55.63</v>
      </c>
    </row>
    <row r="1061" customFormat="false" ht="15" hidden="false" customHeight="false" outlineLevel="0" collapsed="false">
      <c r="A1061" s="2" t="s">
        <v>184</v>
      </c>
      <c r="B1061" s="2" t="s">
        <v>184</v>
      </c>
      <c r="C1061" s="2" t="s">
        <v>48</v>
      </c>
      <c r="D1061" s="2" t="s">
        <v>10</v>
      </c>
      <c r="E1061" s="2" t="s">
        <v>85</v>
      </c>
      <c r="F1061" s="2" t="s">
        <v>1145</v>
      </c>
      <c r="G1061" s="14" t="n">
        <v>14.5</v>
      </c>
      <c r="H1061" s="14" t="n">
        <v>7.46</v>
      </c>
      <c r="I1061" s="14" t="n">
        <v>14.5</v>
      </c>
      <c r="J1061" s="22" t="n">
        <f aca="false">IF(E1061="Priority",'Cost model'!N200,'Cost model'!M200)</f>
        <v>12.5</v>
      </c>
      <c r="K1061" s="14" t="n">
        <f aca="false">J1061-H1061</f>
        <v>5.04</v>
      </c>
      <c r="L1061" s="14" t="n">
        <f aca="false">G1061-H1061</f>
        <v>7.04</v>
      </c>
    </row>
    <row r="1062" customFormat="false" ht="15" hidden="false" customHeight="false" outlineLevel="0" collapsed="false">
      <c r="A1062" s="2" t="s">
        <v>126</v>
      </c>
      <c r="B1062" s="2" t="s">
        <v>126</v>
      </c>
      <c r="C1062" s="2" t="s">
        <v>49</v>
      </c>
      <c r="D1062" s="2" t="s">
        <v>10</v>
      </c>
      <c r="E1062" s="2" t="s">
        <v>85</v>
      </c>
      <c r="F1062" s="2" t="s">
        <v>1145</v>
      </c>
      <c r="G1062" s="14" t="n">
        <v>17.5</v>
      </c>
      <c r="H1062" s="14" t="n">
        <v>16.59</v>
      </c>
      <c r="I1062" s="14" t="n">
        <v>17.5</v>
      </c>
      <c r="J1062" s="22" t="n">
        <f aca="false">IF(E1062="Priority",'Cost model'!N381,'Cost model'!M381)</f>
        <v>19.5</v>
      </c>
      <c r="K1062" s="14" t="n">
        <f aca="false">J1062-H1062</f>
        <v>2.91</v>
      </c>
      <c r="L1062" s="14" t="n">
        <f aca="false">G1062-H1062</f>
        <v>0.91</v>
      </c>
    </row>
    <row r="1063" customFormat="false" ht="15" hidden="false" customHeight="false" outlineLevel="0" collapsed="false">
      <c r="A1063" s="2" t="s">
        <v>184</v>
      </c>
      <c r="B1063" s="2" t="s">
        <v>184</v>
      </c>
      <c r="C1063" s="2" t="s">
        <v>48</v>
      </c>
      <c r="D1063" s="2" t="s">
        <v>12</v>
      </c>
      <c r="E1063" s="2" t="s">
        <v>76</v>
      </c>
      <c r="F1063" s="2" t="s">
        <v>1145</v>
      </c>
      <c r="G1063" s="14" t="n">
        <v>9.5</v>
      </c>
      <c r="H1063" s="14" t="n">
        <v>28.09</v>
      </c>
      <c r="I1063" s="14" t="n">
        <v>9.5</v>
      </c>
      <c r="J1063" s="22" t="n">
        <f aca="false">IF(E1063="Priority",'Cost model'!N203,'Cost model'!M203)</f>
        <v>26.5</v>
      </c>
      <c r="K1063" s="14" t="n">
        <f aca="false">J1063-H1063</f>
        <v>-1.59</v>
      </c>
      <c r="L1063" s="14" t="n">
        <f aca="false">G1063-H1063</f>
        <v>-18.59</v>
      </c>
    </row>
    <row r="1064" customFormat="false" ht="15" hidden="false" customHeight="false" outlineLevel="0" collapsed="false">
      <c r="A1064" s="2" t="s">
        <v>146</v>
      </c>
      <c r="B1064" s="2" t="s">
        <v>146</v>
      </c>
      <c r="C1064" s="2" t="s">
        <v>50</v>
      </c>
      <c r="D1064" s="2" t="s">
        <v>12</v>
      </c>
      <c r="E1064" s="2" t="s">
        <v>76</v>
      </c>
      <c r="F1064" s="2" t="s">
        <v>1145</v>
      </c>
      <c r="G1064" s="14" t="n">
        <v>19.5</v>
      </c>
      <c r="H1064" s="14" t="n">
        <v>71.95</v>
      </c>
      <c r="I1064" s="14" t="n">
        <v>19.5</v>
      </c>
      <c r="J1064" s="22" t="n">
        <f aca="false">IF(E1064="Priority",'Cost model'!N763,'Cost model'!M763)</f>
        <v>50</v>
      </c>
      <c r="K1064" s="14" t="n">
        <f aca="false">J1064-H1064</f>
        <v>-21.95</v>
      </c>
      <c r="L1064" s="14" t="n">
        <f aca="false">G1064-H1064</f>
        <v>-52.45</v>
      </c>
    </row>
    <row r="1065" customFormat="false" ht="15" hidden="false" customHeight="false" outlineLevel="0" collapsed="false">
      <c r="A1065" s="2" t="s">
        <v>146</v>
      </c>
      <c r="B1065" s="2" t="s">
        <v>146</v>
      </c>
      <c r="C1065" s="2" t="s">
        <v>50</v>
      </c>
      <c r="D1065" s="2" t="s">
        <v>12</v>
      </c>
      <c r="E1065" s="2" t="s">
        <v>76</v>
      </c>
      <c r="F1065" s="2" t="s">
        <v>1145</v>
      </c>
      <c r="G1065" s="14" t="n">
        <v>19.5</v>
      </c>
      <c r="H1065" s="14" t="n">
        <v>42.61</v>
      </c>
      <c r="I1065" s="14" t="n">
        <v>19.5</v>
      </c>
      <c r="J1065" s="22" t="n">
        <f aca="false">IF(E1065="Priority",'Cost model'!N763,'Cost model'!M763)</f>
        <v>50</v>
      </c>
      <c r="K1065" s="14" t="n">
        <f aca="false">J1065-H1065</f>
        <v>7.39</v>
      </c>
      <c r="L1065" s="14" t="n">
        <f aca="false">G1065-H1065</f>
        <v>-23.11</v>
      </c>
    </row>
    <row r="1066" customFormat="false" ht="15" hidden="false" customHeight="false" outlineLevel="0" collapsed="false">
      <c r="A1066" s="2" t="s">
        <v>146</v>
      </c>
      <c r="B1066" s="2" t="s">
        <v>126</v>
      </c>
      <c r="C1066" s="2" t="s">
        <v>50</v>
      </c>
      <c r="D1066" s="2" t="s">
        <v>14</v>
      </c>
      <c r="E1066" s="2" t="s">
        <v>76</v>
      </c>
      <c r="F1066" s="2" t="s">
        <v>1146</v>
      </c>
      <c r="G1066" s="14" t="n">
        <v>85</v>
      </c>
      <c r="H1066" s="14" t="n">
        <v>175.76</v>
      </c>
      <c r="I1066" s="14" t="n">
        <v>199</v>
      </c>
      <c r="J1066" s="22" t="n">
        <f aca="false">IF(E1066="Priority",'Cost model'!N805,'Cost model'!M805)</f>
        <v>180</v>
      </c>
      <c r="K1066" s="14" t="n">
        <f aca="false">J1066-H1066</f>
        <v>4.24000000000001</v>
      </c>
      <c r="L1066" s="14" t="n">
        <f aca="false">G1066-H1066</f>
        <v>-90.76</v>
      </c>
    </row>
    <row r="1067" customFormat="false" ht="15" hidden="false" customHeight="false" outlineLevel="0" collapsed="false">
      <c r="A1067" s="2" t="s">
        <v>184</v>
      </c>
      <c r="B1067" s="2" t="s">
        <v>184</v>
      </c>
      <c r="C1067" s="2" t="s">
        <v>50</v>
      </c>
      <c r="D1067" s="2" t="s">
        <v>14</v>
      </c>
      <c r="E1067" s="2" t="s">
        <v>76</v>
      </c>
      <c r="F1067" s="2" t="s">
        <v>1145</v>
      </c>
      <c r="G1067" s="14" t="n">
        <v>85</v>
      </c>
      <c r="H1067" s="14" t="n">
        <v>218.56</v>
      </c>
      <c r="I1067" s="14" t="n">
        <v>85</v>
      </c>
      <c r="J1067" s="22" t="n">
        <f aca="false">IF(E1067="Priority",'Cost model'!N211,'Cost model'!M211)</f>
        <v>175</v>
      </c>
      <c r="K1067" s="14" t="n">
        <f aca="false">J1067-H1067</f>
        <v>-43.56</v>
      </c>
      <c r="L1067" s="14" t="n">
        <f aca="false">G1067-H1067</f>
        <v>-133.56</v>
      </c>
    </row>
    <row r="1068" customFormat="false" ht="15" hidden="false" customHeight="false" outlineLevel="0" collapsed="false">
      <c r="A1068" s="2" t="s">
        <v>146</v>
      </c>
      <c r="B1068" s="2" t="s">
        <v>146</v>
      </c>
      <c r="C1068" s="2" t="s">
        <v>50</v>
      </c>
      <c r="D1068" s="2" t="s">
        <v>10</v>
      </c>
      <c r="E1068" s="2" t="s">
        <v>76</v>
      </c>
      <c r="F1068" s="2" t="s">
        <v>1145</v>
      </c>
      <c r="G1068" s="14" t="n">
        <v>17.5</v>
      </c>
      <c r="H1068" s="14" t="n">
        <v>10.48</v>
      </c>
      <c r="I1068" s="14" t="n">
        <v>17.5</v>
      </c>
      <c r="J1068" s="22" t="n">
        <f aca="false">IF(E1068="Priority",'Cost model'!N760,'Cost model'!M760)</f>
        <v>18.5</v>
      </c>
      <c r="K1068" s="14" t="n">
        <f aca="false">J1068-H1068</f>
        <v>8.02</v>
      </c>
      <c r="L1068" s="14" t="n">
        <f aca="false">G1068-H1068</f>
        <v>7.02</v>
      </c>
    </row>
    <row r="1069" customFormat="false" ht="15" hidden="false" customHeight="false" outlineLevel="0" collapsed="false">
      <c r="A1069" s="2" t="s">
        <v>146</v>
      </c>
      <c r="B1069" s="2" t="s">
        <v>184</v>
      </c>
      <c r="C1069" s="2" t="s">
        <v>48</v>
      </c>
      <c r="D1069" s="2" t="s">
        <v>10</v>
      </c>
      <c r="E1069" s="2" t="s">
        <v>85</v>
      </c>
      <c r="F1069" s="2" t="s">
        <v>1146</v>
      </c>
      <c r="G1069" s="14" t="n">
        <v>19.5</v>
      </c>
      <c r="H1069" s="14" t="n">
        <v>24.48</v>
      </c>
      <c r="I1069" s="14" t="n">
        <v>19.5</v>
      </c>
      <c r="J1069" s="22" t="n">
        <f aca="false">IF(E1069="Priority",'Cost model'!N830,'Cost model'!M830)</f>
        <v>14.5</v>
      </c>
      <c r="K1069" s="14" t="n">
        <f aca="false">J1069-H1069</f>
        <v>-9.98</v>
      </c>
      <c r="L1069" s="14" t="n">
        <f aca="false">G1069-H1069</f>
        <v>-4.98</v>
      </c>
    </row>
    <row r="1070" customFormat="false" ht="15" hidden="false" customHeight="false" outlineLevel="0" collapsed="false">
      <c r="A1070" s="2" t="s">
        <v>125</v>
      </c>
      <c r="B1070" s="2" t="s">
        <v>126</v>
      </c>
      <c r="C1070" s="2" t="s">
        <v>48</v>
      </c>
      <c r="D1070" s="2" t="s">
        <v>12</v>
      </c>
      <c r="E1070" s="2" t="s">
        <v>76</v>
      </c>
      <c r="F1070" s="2" t="s">
        <v>1146</v>
      </c>
      <c r="G1070" s="14" t="n">
        <v>19.5</v>
      </c>
      <c r="H1070" s="14" t="n">
        <v>42.23</v>
      </c>
      <c r="I1070" s="14" t="n">
        <v>19.5</v>
      </c>
      <c r="J1070" s="22" t="n">
        <f aca="false">IF(E1070="Priority",'Cost model'!N5,'Cost model'!M5)</f>
        <v>50</v>
      </c>
      <c r="K1070" s="14" t="n">
        <f aca="false">J1070-H1070</f>
        <v>7.77</v>
      </c>
      <c r="L1070" s="14" t="n">
        <f aca="false">G1070-H1070</f>
        <v>-22.73</v>
      </c>
    </row>
    <row r="1071" customFormat="false" ht="15" hidden="false" customHeight="false" outlineLevel="0" collapsed="false">
      <c r="A1071" s="2" t="s">
        <v>221</v>
      </c>
      <c r="B1071" s="2" t="s">
        <v>221</v>
      </c>
      <c r="C1071" s="2" t="s">
        <v>49</v>
      </c>
      <c r="D1071" s="2" t="s">
        <v>10</v>
      </c>
      <c r="E1071" s="2" t="s">
        <v>76</v>
      </c>
      <c r="F1071" s="2" t="s">
        <v>1145</v>
      </c>
      <c r="G1071" s="14" t="n">
        <v>14.5</v>
      </c>
      <c r="H1071" s="14" t="n">
        <v>11.22</v>
      </c>
      <c r="I1071" s="14" t="n">
        <v>12.5</v>
      </c>
      <c r="J1071" s="22" t="n">
        <f aca="false">IF(E1071="Priority",'Cost model'!N633,'Cost model'!M633)</f>
        <v>13.5</v>
      </c>
      <c r="K1071" s="14" t="n">
        <f aca="false">J1071-H1071</f>
        <v>2.28</v>
      </c>
      <c r="L1071" s="14" t="n">
        <f aca="false">G1071-H1071</f>
        <v>3.28</v>
      </c>
    </row>
    <row r="1072" customFormat="false" ht="15" hidden="false" customHeight="false" outlineLevel="0" collapsed="false">
      <c r="A1072" s="2" t="s">
        <v>165</v>
      </c>
      <c r="B1072" s="2" t="s">
        <v>165</v>
      </c>
      <c r="C1072" s="2" t="s">
        <v>48</v>
      </c>
      <c r="D1072" s="2" t="s">
        <v>10</v>
      </c>
      <c r="E1072" s="2" t="s">
        <v>76</v>
      </c>
      <c r="F1072" s="2" t="s">
        <v>1145</v>
      </c>
      <c r="G1072" s="14" t="n">
        <v>9.5</v>
      </c>
      <c r="H1072" s="14" t="n">
        <v>6.23</v>
      </c>
      <c r="I1072" s="14" t="n">
        <v>9.5</v>
      </c>
      <c r="J1072" s="22" t="n">
        <f aca="false">IF(E1072="Priority",'Cost model'!N506,'Cost model'!M506)</f>
        <v>7.5</v>
      </c>
      <c r="K1072" s="14" t="n">
        <f aca="false">J1072-H1072</f>
        <v>1.27</v>
      </c>
      <c r="L1072" s="14" t="n">
        <f aca="false">G1072-H1072</f>
        <v>3.27</v>
      </c>
    </row>
    <row r="1073" customFormat="false" ht="15" hidden="false" customHeight="false" outlineLevel="0" collapsed="false">
      <c r="A1073" s="2" t="s">
        <v>165</v>
      </c>
      <c r="B1073" s="2" t="s">
        <v>165</v>
      </c>
      <c r="C1073" s="2" t="s">
        <v>48</v>
      </c>
      <c r="D1073" s="2" t="s">
        <v>10</v>
      </c>
      <c r="E1073" s="2" t="s">
        <v>76</v>
      </c>
      <c r="F1073" s="2" t="s">
        <v>1145</v>
      </c>
      <c r="G1073" s="14" t="n">
        <v>9.5</v>
      </c>
      <c r="H1073" s="14" t="n">
        <v>7.71</v>
      </c>
      <c r="I1073" s="14" t="n">
        <v>9.5</v>
      </c>
      <c r="J1073" s="22" t="n">
        <f aca="false">IF(E1073="Priority",'Cost model'!N506,'Cost model'!M506)</f>
        <v>7.5</v>
      </c>
      <c r="K1073" s="14" t="n">
        <f aca="false">J1073-H1073</f>
        <v>-0.21</v>
      </c>
      <c r="L1073" s="14" t="n">
        <f aca="false">G1073-H1073</f>
        <v>1.79</v>
      </c>
    </row>
    <row r="1074" customFormat="false" ht="15" hidden="false" customHeight="false" outlineLevel="0" collapsed="false">
      <c r="A1074" s="2" t="s">
        <v>126</v>
      </c>
      <c r="B1074" s="2" t="s">
        <v>126</v>
      </c>
      <c r="C1074" s="2" t="s">
        <v>48</v>
      </c>
      <c r="D1074" s="2" t="s">
        <v>12</v>
      </c>
      <c r="E1074" s="2" t="s">
        <v>76</v>
      </c>
      <c r="F1074" s="2" t="s">
        <v>1145</v>
      </c>
      <c r="G1074" s="14" t="n">
        <v>9.5</v>
      </c>
      <c r="H1074" s="14" t="n">
        <v>30.16</v>
      </c>
      <c r="I1074" s="14" t="n">
        <v>9.5</v>
      </c>
      <c r="J1074" s="22" t="n">
        <f aca="false">IF(E1074="Priority",'Cost model'!N383,'Cost model'!M383)</f>
        <v>27.5</v>
      </c>
      <c r="K1074" s="14" t="n">
        <f aca="false">J1074-H1074</f>
        <v>-2.66</v>
      </c>
      <c r="L1074" s="14" t="n">
        <f aca="false">G1074-H1074</f>
        <v>-20.66</v>
      </c>
    </row>
    <row r="1075" customFormat="false" ht="15" hidden="false" customHeight="false" outlineLevel="0" collapsed="false">
      <c r="A1075" s="2" t="s">
        <v>146</v>
      </c>
      <c r="B1075" s="2" t="s">
        <v>184</v>
      </c>
      <c r="C1075" s="2" t="s">
        <v>50</v>
      </c>
      <c r="D1075" s="2" t="s">
        <v>12</v>
      </c>
      <c r="E1075" s="2" t="s">
        <v>76</v>
      </c>
      <c r="F1075" s="2" t="s">
        <v>1146</v>
      </c>
      <c r="G1075" s="14" t="n">
        <v>29.5</v>
      </c>
      <c r="H1075" s="14" t="n">
        <v>63.98</v>
      </c>
      <c r="I1075" s="14" t="n">
        <v>19.5</v>
      </c>
      <c r="J1075" s="22" t="n">
        <f aca="false">IF(E1075="Priority",'Cost model'!N835,'Cost model'!M835)</f>
        <v>50</v>
      </c>
      <c r="K1075" s="14" t="n">
        <f aca="false">J1075-H1075</f>
        <v>-13.98</v>
      </c>
      <c r="L1075" s="14" t="n">
        <f aca="false">G1075-H1075</f>
        <v>-34.48</v>
      </c>
    </row>
    <row r="1076" customFormat="false" ht="15" hidden="false" customHeight="false" outlineLevel="0" collapsed="false">
      <c r="A1076" s="2" t="s">
        <v>184</v>
      </c>
      <c r="B1076" s="2" t="s">
        <v>184</v>
      </c>
      <c r="C1076" s="2" t="s">
        <v>49</v>
      </c>
      <c r="D1076" s="2" t="s">
        <v>10</v>
      </c>
      <c r="E1076" s="2" t="s">
        <v>76</v>
      </c>
      <c r="F1076" s="2" t="s">
        <v>1145</v>
      </c>
      <c r="G1076" s="14" t="n">
        <v>17.5</v>
      </c>
      <c r="H1076" s="14" t="n">
        <v>11.94</v>
      </c>
      <c r="I1076" s="14"/>
      <c r="J1076" s="22" t="n">
        <f aca="false">IF(E1076="Priority",'Cost model'!N201,'Cost model'!M201)</f>
        <v>12.5</v>
      </c>
      <c r="K1076" s="14" t="n">
        <f aca="false">J1076-H1076</f>
        <v>0.560000000000001</v>
      </c>
      <c r="L1076" s="14" t="n">
        <f aca="false">G1076-H1076</f>
        <v>5.56</v>
      </c>
    </row>
    <row r="1077" customFormat="false" ht="15" hidden="false" customHeight="false" outlineLevel="0" collapsed="false">
      <c r="A1077" s="2" t="s">
        <v>240</v>
      </c>
      <c r="B1077" s="2" t="s">
        <v>240</v>
      </c>
      <c r="C1077" s="2" t="s">
        <v>48</v>
      </c>
      <c r="D1077" s="2" t="s">
        <v>12</v>
      </c>
      <c r="E1077" s="2" t="s">
        <v>76</v>
      </c>
      <c r="F1077" s="2" t="s">
        <v>1145</v>
      </c>
      <c r="G1077" s="14" t="n">
        <v>9.5</v>
      </c>
      <c r="H1077" s="14" t="n">
        <v>30.87</v>
      </c>
      <c r="I1077" s="14" t="n">
        <v>9.5</v>
      </c>
      <c r="J1077" s="22" t="n">
        <f aca="false">IF(E1077="Priority",'Cost model'!N887,'Cost model'!M887)</f>
        <v>21.5</v>
      </c>
      <c r="K1077" s="14" t="n">
        <f aca="false">J1077-H1077</f>
        <v>-9.37</v>
      </c>
      <c r="L1077" s="14" t="n">
        <f aca="false">G1077-H1077</f>
        <v>-21.37</v>
      </c>
    </row>
    <row r="1078" customFormat="false" ht="15" hidden="false" customHeight="false" outlineLevel="0" collapsed="false">
      <c r="A1078" s="2" t="s">
        <v>240</v>
      </c>
      <c r="B1078" s="2" t="s">
        <v>240</v>
      </c>
      <c r="C1078" s="2" t="s">
        <v>48</v>
      </c>
      <c r="D1078" s="2" t="s">
        <v>10</v>
      </c>
      <c r="E1078" s="2" t="s">
        <v>76</v>
      </c>
      <c r="F1078" s="2" t="s">
        <v>1145</v>
      </c>
      <c r="G1078" s="14" t="n">
        <v>9.5</v>
      </c>
      <c r="H1078" s="14" t="n">
        <v>7.4</v>
      </c>
      <c r="I1078" s="14" t="n">
        <v>9.5</v>
      </c>
      <c r="J1078" s="22" t="n">
        <f aca="false">IF(E1078="Priority",'Cost model'!N884,'Cost model'!M884)</f>
        <v>7.5</v>
      </c>
      <c r="K1078" s="14" t="n">
        <f aca="false">J1078-H1078</f>
        <v>0.0999999999999996</v>
      </c>
      <c r="L1078" s="14" t="n">
        <f aca="false">G1078-H1078</f>
        <v>2.1</v>
      </c>
    </row>
    <row r="1079" customFormat="false" ht="15" hidden="false" customHeight="false" outlineLevel="0" collapsed="false">
      <c r="A1079" s="2" t="s">
        <v>184</v>
      </c>
      <c r="B1079" s="2" t="s">
        <v>184</v>
      </c>
      <c r="C1079" s="2" t="s">
        <v>49</v>
      </c>
      <c r="D1079" s="2" t="s">
        <v>10</v>
      </c>
      <c r="E1079" s="2" t="s">
        <v>76</v>
      </c>
      <c r="F1079" s="2" t="s">
        <v>1145</v>
      </c>
      <c r="G1079" s="14" t="n">
        <v>12.5</v>
      </c>
      <c r="H1079" s="14" t="n">
        <v>9.12</v>
      </c>
      <c r="I1079" s="14"/>
      <c r="J1079" s="22" t="n">
        <f aca="false">IF(E1079="Priority",'Cost model'!N201,'Cost model'!M201)</f>
        <v>12.5</v>
      </c>
      <c r="K1079" s="14" t="n">
        <f aca="false">J1079-H1079</f>
        <v>3.38</v>
      </c>
      <c r="L1079" s="14" t="n">
        <f aca="false">G1079-H1079</f>
        <v>3.38</v>
      </c>
    </row>
    <row r="1080" customFormat="false" ht="15" hidden="false" customHeight="false" outlineLevel="0" collapsed="false">
      <c r="A1080" s="2" t="s">
        <v>240</v>
      </c>
      <c r="B1080" s="2" t="s">
        <v>146</v>
      </c>
      <c r="C1080" s="2" t="s">
        <v>50</v>
      </c>
      <c r="D1080" s="2" t="s">
        <v>10</v>
      </c>
      <c r="E1080" s="2" t="s">
        <v>76</v>
      </c>
      <c r="F1080" s="2" t="s">
        <v>1146</v>
      </c>
      <c r="G1080" s="14" t="n">
        <v>29.5</v>
      </c>
      <c r="H1080" s="14" t="n">
        <v>56.53</v>
      </c>
      <c r="I1080" s="14" t="n">
        <v>19.5</v>
      </c>
      <c r="J1080" s="22" t="n">
        <f aca="false">IF(E1080="Priority",'Cost model'!N922,'Cost model'!M922)</f>
        <v>35</v>
      </c>
      <c r="K1080" s="14" t="n">
        <f aca="false">J1080-H1080</f>
        <v>-21.53</v>
      </c>
      <c r="L1080" s="14" t="n">
        <f aca="false">G1080-H1080</f>
        <v>-27.03</v>
      </c>
    </row>
    <row r="1081" customFormat="false" ht="15" hidden="false" customHeight="false" outlineLevel="0" collapsed="false">
      <c r="A1081" s="2" t="s">
        <v>146</v>
      </c>
      <c r="B1081" s="2" t="s">
        <v>184</v>
      </c>
      <c r="C1081" s="2" t="s">
        <v>48</v>
      </c>
      <c r="D1081" s="2" t="s">
        <v>16</v>
      </c>
      <c r="E1081" s="2" t="s">
        <v>76</v>
      </c>
      <c r="F1081" s="2" t="s">
        <v>1146</v>
      </c>
      <c r="G1081" s="14" t="n">
        <v>25</v>
      </c>
      <c r="H1081" s="14" t="n">
        <v>61.24</v>
      </c>
      <c r="I1081" s="14" t="n">
        <v>85</v>
      </c>
      <c r="J1081" s="22" t="n">
        <f aca="false">IF(E1081="Priority",'Cost model'!N845,'Cost model'!M845)</f>
        <v>160</v>
      </c>
      <c r="K1081" s="14" t="n">
        <f aca="false">J1081-H1081</f>
        <v>98.76</v>
      </c>
      <c r="L1081" s="14" t="n">
        <f aca="false">G1081-H1081</f>
        <v>-36.24</v>
      </c>
    </row>
    <row r="1082" customFormat="false" ht="15" hidden="false" customHeight="false" outlineLevel="0" collapsed="false">
      <c r="A1082" s="2" t="s">
        <v>240</v>
      </c>
      <c r="B1082" s="2" t="s">
        <v>240</v>
      </c>
      <c r="C1082" s="2" t="s">
        <v>48</v>
      </c>
      <c r="D1082" s="2" t="s">
        <v>10</v>
      </c>
      <c r="E1082" s="2" t="s">
        <v>76</v>
      </c>
      <c r="F1082" s="2" t="s">
        <v>1145</v>
      </c>
      <c r="G1082" s="14" t="n">
        <v>9.5</v>
      </c>
      <c r="H1082" s="14" t="n">
        <v>6.25</v>
      </c>
      <c r="I1082" s="14" t="n">
        <v>9.5</v>
      </c>
      <c r="J1082" s="22" t="n">
        <f aca="false">IF(E1082="Priority",'Cost model'!N884,'Cost model'!M884)</f>
        <v>7.5</v>
      </c>
      <c r="K1082" s="14" t="n">
        <f aca="false">J1082-H1082</f>
        <v>1.25</v>
      </c>
      <c r="L1082" s="14" t="n">
        <f aca="false">G1082-H1082</f>
        <v>3.25</v>
      </c>
    </row>
    <row r="1083" customFormat="false" ht="15" hidden="false" customHeight="false" outlineLevel="0" collapsed="false">
      <c r="A1083" s="2" t="s">
        <v>126</v>
      </c>
      <c r="B1083" s="2" t="s">
        <v>126</v>
      </c>
      <c r="C1083" s="2" t="s">
        <v>48</v>
      </c>
      <c r="D1083" s="2" t="s">
        <v>12</v>
      </c>
      <c r="E1083" s="2" t="s">
        <v>85</v>
      </c>
      <c r="F1083" s="2" t="s">
        <v>1145</v>
      </c>
      <c r="G1083" s="14" t="n">
        <v>19.5</v>
      </c>
      <c r="H1083" s="14" t="n">
        <v>8.09</v>
      </c>
      <c r="I1083" s="14" t="n">
        <v>19.5</v>
      </c>
      <c r="J1083" s="22" t="n">
        <f aca="false">IF(E1083="Priority",'Cost model'!N383,'Cost model'!M383)</f>
        <v>35</v>
      </c>
      <c r="K1083" s="14" t="n">
        <f aca="false">J1083-H1083</f>
        <v>26.91</v>
      </c>
      <c r="L1083" s="14" t="n">
        <f aca="false">G1083-H1083</f>
        <v>11.41</v>
      </c>
    </row>
    <row r="1084" customFormat="false" ht="15" hidden="false" customHeight="false" outlineLevel="0" collapsed="false">
      <c r="A1084" s="2" t="s">
        <v>146</v>
      </c>
      <c r="B1084" s="2" t="s">
        <v>146</v>
      </c>
      <c r="C1084" s="2" t="s">
        <v>50</v>
      </c>
      <c r="D1084" s="2" t="s">
        <v>12</v>
      </c>
      <c r="E1084" s="2" t="s">
        <v>76</v>
      </c>
      <c r="F1084" s="2" t="s">
        <v>1145</v>
      </c>
      <c r="G1084" s="14" t="n">
        <v>19.5</v>
      </c>
      <c r="H1084" s="14" t="n">
        <v>46.13</v>
      </c>
      <c r="I1084" s="14" t="n">
        <v>19.5</v>
      </c>
      <c r="J1084" s="22" t="n">
        <f aca="false">IF(E1084="Priority",'Cost model'!N763,'Cost model'!M763)</f>
        <v>50</v>
      </c>
      <c r="K1084" s="14" t="n">
        <f aca="false">J1084-H1084</f>
        <v>3.87</v>
      </c>
      <c r="L1084" s="14" t="n">
        <f aca="false">G1084-H1084</f>
        <v>-26.63</v>
      </c>
    </row>
    <row r="1085" customFormat="false" ht="15" hidden="false" customHeight="false" outlineLevel="0" collapsed="false">
      <c r="A1085" s="2" t="s">
        <v>165</v>
      </c>
      <c r="B1085" s="2" t="s">
        <v>240</v>
      </c>
      <c r="C1085" s="2" t="s">
        <v>48</v>
      </c>
      <c r="D1085" s="2" t="s">
        <v>10</v>
      </c>
      <c r="E1085" s="2" t="s">
        <v>76</v>
      </c>
      <c r="F1085" s="2" t="s">
        <v>1146</v>
      </c>
      <c r="G1085" s="14" t="n">
        <v>9.5</v>
      </c>
      <c r="H1085" s="14" t="n">
        <v>6.81</v>
      </c>
      <c r="I1085" s="14" t="n">
        <v>19.5</v>
      </c>
      <c r="J1085" s="22" t="n">
        <f aca="false">IF(E1085="Priority",'Cost model'!N560,'Cost model'!M560)</f>
        <v>13.5</v>
      </c>
      <c r="K1085" s="14" t="n">
        <f aca="false">J1085-H1085</f>
        <v>6.69</v>
      </c>
      <c r="L1085" s="14" t="n">
        <f aca="false">G1085-H1085</f>
        <v>2.69</v>
      </c>
    </row>
    <row r="1086" customFormat="false" ht="15" hidden="false" customHeight="false" outlineLevel="0" collapsed="false">
      <c r="A1086" s="2" t="s">
        <v>126</v>
      </c>
      <c r="B1086" s="2" t="s">
        <v>126</v>
      </c>
      <c r="C1086" s="2" t="s">
        <v>50</v>
      </c>
      <c r="D1086" s="2" t="s">
        <v>12</v>
      </c>
      <c r="E1086" s="2" t="s">
        <v>85</v>
      </c>
      <c r="F1086" s="2" t="s">
        <v>1145</v>
      </c>
      <c r="G1086" s="14" t="n">
        <v>29.5</v>
      </c>
      <c r="H1086" s="14" t="n">
        <v>43.76</v>
      </c>
      <c r="I1086" s="14" t="n">
        <v>29.5</v>
      </c>
      <c r="J1086" s="22" t="n">
        <f aca="false">IF(E1086="Priority",'Cost model'!N385,'Cost model'!M385)</f>
        <v>70</v>
      </c>
      <c r="K1086" s="14" t="n">
        <f aca="false">J1086-H1086</f>
        <v>26.24</v>
      </c>
      <c r="L1086" s="14" t="n">
        <f aca="false">G1086-H1086</f>
        <v>-14.26</v>
      </c>
    </row>
    <row r="1087" customFormat="false" ht="15" hidden="false" customHeight="false" outlineLevel="0" collapsed="false">
      <c r="A1087" s="2" t="s">
        <v>184</v>
      </c>
      <c r="B1087" s="2" t="s">
        <v>126</v>
      </c>
      <c r="C1087" s="2" t="s">
        <v>49</v>
      </c>
      <c r="D1087" s="2" t="s">
        <v>16</v>
      </c>
      <c r="E1087" s="2" t="s">
        <v>76</v>
      </c>
      <c r="F1087" s="2" t="s">
        <v>1146</v>
      </c>
      <c r="G1087" s="14" t="n">
        <v>45</v>
      </c>
      <c r="H1087" s="14" t="n">
        <v>341.89</v>
      </c>
      <c r="I1087" s="14"/>
      <c r="J1087" s="22" t="n">
        <f aca="false">IF(E1087="Priority",'Cost model'!N144,'Cost model'!M144)</f>
        <v>330</v>
      </c>
      <c r="K1087" s="14" t="n">
        <f aca="false">J1087-H1087</f>
        <v>-11.89</v>
      </c>
      <c r="L1087" s="14" t="n">
        <f aca="false">G1087-H1087</f>
        <v>-296.89</v>
      </c>
    </row>
    <row r="1088" customFormat="false" ht="15" hidden="false" customHeight="false" outlineLevel="0" collapsed="false">
      <c r="A1088" s="2" t="s">
        <v>240</v>
      </c>
      <c r="B1088" s="2" t="s">
        <v>240</v>
      </c>
      <c r="C1088" s="2" t="s">
        <v>50</v>
      </c>
      <c r="D1088" s="2" t="s">
        <v>10</v>
      </c>
      <c r="E1088" s="2" t="s">
        <v>76</v>
      </c>
      <c r="F1088" s="2" t="s">
        <v>1145</v>
      </c>
      <c r="G1088" s="14" t="n">
        <v>17.5</v>
      </c>
      <c r="H1088" s="14" t="n">
        <v>21.6</v>
      </c>
      <c r="I1088" s="14" t="n">
        <v>17.5</v>
      </c>
      <c r="J1088" s="22" t="n">
        <f aca="false">IF(E1088="Priority",'Cost model'!N886,'Cost model'!M886)</f>
        <v>17.5</v>
      </c>
      <c r="K1088" s="14" t="n">
        <f aca="false">J1088-H1088</f>
        <v>-4.1</v>
      </c>
      <c r="L1088" s="14" t="n">
        <f aca="false">G1088-H1088</f>
        <v>-4.1</v>
      </c>
    </row>
    <row r="1089" customFormat="false" ht="15" hidden="false" customHeight="false" outlineLevel="0" collapsed="false">
      <c r="A1089" s="2" t="s">
        <v>184</v>
      </c>
      <c r="B1089" s="2" t="s">
        <v>184</v>
      </c>
      <c r="C1089" s="2" t="s">
        <v>49</v>
      </c>
      <c r="D1089" s="2" t="s">
        <v>10</v>
      </c>
      <c r="E1089" s="2" t="s">
        <v>76</v>
      </c>
      <c r="F1089" s="2" t="s">
        <v>1145</v>
      </c>
      <c r="G1089" s="14" t="n">
        <v>17.5</v>
      </c>
      <c r="H1089" s="14" t="n">
        <v>23.58</v>
      </c>
      <c r="I1089" s="14"/>
      <c r="J1089" s="22" t="n">
        <f aca="false">IF(E1089="Priority",'Cost model'!N201,'Cost model'!M201)</f>
        <v>12.5</v>
      </c>
      <c r="K1089" s="14" t="n">
        <f aca="false">J1089-H1089</f>
        <v>-11.08</v>
      </c>
      <c r="L1089" s="14" t="n">
        <f aca="false">G1089-H1089</f>
        <v>-6.08</v>
      </c>
    </row>
    <row r="1090" customFormat="false" ht="15" hidden="false" customHeight="false" outlineLevel="0" collapsed="false">
      <c r="A1090" s="2" t="s">
        <v>146</v>
      </c>
      <c r="B1090" s="2" t="s">
        <v>146</v>
      </c>
      <c r="C1090" s="2" t="s">
        <v>48</v>
      </c>
      <c r="D1090" s="2" t="s">
        <v>12</v>
      </c>
      <c r="E1090" s="2" t="s">
        <v>85</v>
      </c>
      <c r="F1090" s="2" t="s">
        <v>1145</v>
      </c>
      <c r="G1090" s="14" t="n">
        <v>19.5</v>
      </c>
      <c r="H1090" s="14" t="n">
        <v>43</v>
      </c>
      <c r="I1090" s="14" t="n">
        <v>19.5</v>
      </c>
      <c r="J1090" s="22" t="n">
        <f aca="false">IF(E1090="Priority",'Cost model'!N761,'Cost model'!M761)</f>
        <v>45</v>
      </c>
      <c r="K1090" s="14" t="n">
        <f aca="false">J1090-H1090</f>
        <v>2</v>
      </c>
      <c r="L1090" s="14" t="n">
        <f aca="false">G1090-H1090</f>
        <v>-23.5</v>
      </c>
    </row>
    <row r="1091" customFormat="false" ht="15" hidden="false" customHeight="false" outlineLevel="0" collapsed="false">
      <c r="A1091" s="2" t="s">
        <v>184</v>
      </c>
      <c r="B1091" s="2" t="s">
        <v>184</v>
      </c>
      <c r="C1091" s="2" t="s">
        <v>50</v>
      </c>
      <c r="D1091" s="2" t="s">
        <v>10</v>
      </c>
      <c r="E1091" s="2" t="s">
        <v>85</v>
      </c>
      <c r="F1091" s="2" t="s">
        <v>1145</v>
      </c>
      <c r="G1091" s="14" t="n">
        <v>24.5</v>
      </c>
      <c r="H1091" s="14" t="n">
        <v>43.59</v>
      </c>
      <c r="I1091" s="14" t="n">
        <v>24.5</v>
      </c>
      <c r="J1091" s="22" t="n">
        <f aca="false">IF(E1091="Priority",'Cost model'!N202,'Cost model'!M202)</f>
        <v>23.5</v>
      </c>
      <c r="K1091" s="14" t="n">
        <f aca="false">J1091-H1091</f>
        <v>-20.09</v>
      </c>
      <c r="L1091" s="14" t="n">
        <f aca="false">G1091-H1091</f>
        <v>-19.09</v>
      </c>
    </row>
    <row r="1092" customFormat="false" ht="15" hidden="false" customHeight="false" outlineLevel="0" collapsed="false">
      <c r="A1092" s="2" t="s">
        <v>146</v>
      </c>
      <c r="B1092" s="2" t="s">
        <v>146</v>
      </c>
      <c r="C1092" s="2" t="s">
        <v>48</v>
      </c>
      <c r="D1092" s="2" t="s">
        <v>10</v>
      </c>
      <c r="E1092" s="2" t="s">
        <v>76</v>
      </c>
      <c r="F1092" s="2" t="s">
        <v>1145</v>
      </c>
      <c r="G1092" s="14" t="n">
        <v>9.5</v>
      </c>
      <c r="H1092" s="14" t="n">
        <v>21.34</v>
      </c>
      <c r="I1092" s="14" t="n">
        <v>9.5</v>
      </c>
      <c r="J1092" s="22" t="n">
        <f aca="false">IF(E1092="Priority",'Cost model'!N758,'Cost model'!M758)</f>
        <v>9.5</v>
      </c>
      <c r="K1092" s="14" t="n">
        <f aca="false">J1092-H1092</f>
        <v>-11.84</v>
      </c>
      <c r="L1092" s="14" t="n">
        <f aca="false">G1092-H1092</f>
        <v>-11.84</v>
      </c>
    </row>
    <row r="1093" customFormat="false" ht="15" hidden="false" customHeight="false" outlineLevel="0" collapsed="false">
      <c r="A1093" s="2" t="s">
        <v>240</v>
      </c>
      <c r="B1093" s="2" t="s">
        <v>165</v>
      </c>
      <c r="C1093" s="2" t="s">
        <v>48</v>
      </c>
      <c r="D1093" s="2" t="s">
        <v>12</v>
      </c>
      <c r="E1093" s="2" t="s">
        <v>76</v>
      </c>
      <c r="F1093" s="2" t="s">
        <v>1146</v>
      </c>
      <c r="G1093" s="14" t="n">
        <v>19.5</v>
      </c>
      <c r="H1093" s="14" t="n">
        <v>58.38</v>
      </c>
      <c r="I1093" s="14" t="n">
        <v>19.5</v>
      </c>
      <c r="J1093" s="22" t="n">
        <f aca="false">IF(E1093="Priority",'Cost model'!N905,'Cost model'!M905)</f>
        <v>50</v>
      </c>
      <c r="K1093" s="14" t="n">
        <f aca="false">J1093-H1093</f>
        <v>-8.38</v>
      </c>
      <c r="L1093" s="14" t="n">
        <f aca="false">G1093-H1093</f>
        <v>-38.88</v>
      </c>
    </row>
    <row r="1094" customFormat="false" ht="15" hidden="false" customHeight="false" outlineLevel="0" collapsed="false">
      <c r="A1094" s="2" t="s">
        <v>126</v>
      </c>
      <c r="B1094" s="2" t="s">
        <v>126</v>
      </c>
      <c r="C1094" s="2" t="s">
        <v>48</v>
      </c>
      <c r="D1094" s="2" t="s">
        <v>10</v>
      </c>
      <c r="E1094" s="2" t="s">
        <v>76</v>
      </c>
      <c r="F1094" s="2" t="s">
        <v>1145</v>
      </c>
      <c r="G1094" s="14" t="n">
        <v>9.5</v>
      </c>
      <c r="H1094" s="14" t="n">
        <v>7.69</v>
      </c>
      <c r="I1094" s="14" t="n">
        <v>9.5</v>
      </c>
      <c r="J1094" s="22" t="n">
        <f aca="false">IF(E1094="Priority",'Cost model'!N380,'Cost model'!M380)</f>
        <v>8.5</v>
      </c>
      <c r="K1094" s="14" t="n">
        <f aca="false">J1094-H1094</f>
        <v>0.81</v>
      </c>
      <c r="L1094" s="14" t="n">
        <f aca="false">G1094-H1094</f>
        <v>1.81</v>
      </c>
    </row>
    <row r="1095" customFormat="false" ht="15" hidden="false" customHeight="false" outlineLevel="0" collapsed="false">
      <c r="A1095" s="2" t="s">
        <v>126</v>
      </c>
      <c r="B1095" s="2" t="s">
        <v>146</v>
      </c>
      <c r="C1095" s="2" t="s">
        <v>49</v>
      </c>
      <c r="D1095" s="2" t="s">
        <v>15</v>
      </c>
      <c r="E1095" s="2" t="s">
        <v>76</v>
      </c>
      <c r="F1095" s="2" t="s">
        <v>1146</v>
      </c>
      <c r="G1095" s="14" t="n">
        <v>85</v>
      </c>
      <c r="H1095" s="14" t="n">
        <v>369.84</v>
      </c>
      <c r="I1095" s="14" t="n">
        <v>250</v>
      </c>
      <c r="J1095" s="22" t="n">
        <f aca="false">IF(E1095="Priority",'Cost model'!N411,'Cost model'!M411)</f>
        <v>310</v>
      </c>
      <c r="K1095" s="14" t="n">
        <f aca="false">J1095-H1095</f>
        <v>-59.84</v>
      </c>
      <c r="L1095" s="14" t="n">
        <f aca="false">G1095-H1095</f>
        <v>-284.84</v>
      </c>
    </row>
    <row r="1096" customFormat="false" ht="15" hidden="false" customHeight="false" outlineLevel="0" collapsed="false">
      <c r="A1096" s="2" t="s">
        <v>146</v>
      </c>
      <c r="B1096" s="2" t="s">
        <v>146</v>
      </c>
      <c r="C1096" s="2" t="s">
        <v>48</v>
      </c>
      <c r="D1096" s="2" t="s">
        <v>10</v>
      </c>
      <c r="E1096" s="2" t="s">
        <v>76</v>
      </c>
      <c r="F1096" s="2" t="s">
        <v>1145</v>
      </c>
      <c r="G1096" s="14" t="n">
        <v>9.5</v>
      </c>
      <c r="H1096" s="14" t="n">
        <v>16.23</v>
      </c>
      <c r="I1096" s="14" t="n">
        <v>9.5</v>
      </c>
      <c r="J1096" s="22" t="n">
        <f aca="false">IF(E1096="Priority",'Cost model'!N758,'Cost model'!M758)</f>
        <v>9.5</v>
      </c>
      <c r="K1096" s="14" t="n">
        <f aca="false">J1096-H1096</f>
        <v>-6.73</v>
      </c>
      <c r="L1096" s="14" t="n">
        <f aca="false">G1096-H1096</f>
        <v>-6.73</v>
      </c>
    </row>
    <row r="1097" customFormat="false" ht="15" hidden="false" customHeight="false" outlineLevel="0" collapsed="false">
      <c r="A1097" s="2" t="s">
        <v>184</v>
      </c>
      <c r="B1097" s="2" t="s">
        <v>146</v>
      </c>
      <c r="C1097" s="2" t="s">
        <v>48</v>
      </c>
      <c r="D1097" s="2" t="s">
        <v>12</v>
      </c>
      <c r="E1097" s="2" t="s">
        <v>76</v>
      </c>
      <c r="F1097" s="2" t="s">
        <v>1146</v>
      </c>
      <c r="G1097" s="14" t="n">
        <v>9.5</v>
      </c>
      <c r="H1097" s="14" t="n">
        <v>44.84</v>
      </c>
      <c r="I1097" s="14" t="n">
        <v>9.5</v>
      </c>
      <c r="J1097" s="22" t="n">
        <f aca="false">IF(E1097="Priority",'Cost model'!N149,'Cost model'!M149)</f>
        <v>45</v>
      </c>
      <c r="K1097" s="14" t="n">
        <f aca="false">J1097-H1097</f>
        <v>0.159999999999997</v>
      </c>
      <c r="L1097" s="14" t="n">
        <f aca="false">G1097-H1097</f>
        <v>-35.34</v>
      </c>
    </row>
    <row r="1098" customFormat="false" ht="15" hidden="false" customHeight="false" outlineLevel="0" collapsed="false">
      <c r="A1098" s="2" t="s">
        <v>184</v>
      </c>
      <c r="B1098" s="2" t="s">
        <v>184</v>
      </c>
      <c r="C1098" s="2" t="s">
        <v>50</v>
      </c>
      <c r="D1098" s="2" t="s">
        <v>10</v>
      </c>
      <c r="E1098" s="2" t="s">
        <v>76</v>
      </c>
      <c r="F1098" s="2" t="s">
        <v>1145</v>
      </c>
      <c r="G1098" s="14" t="n">
        <v>17.5</v>
      </c>
      <c r="H1098" s="14" t="n">
        <v>10.51</v>
      </c>
      <c r="I1098" s="14" t="n">
        <v>17.5</v>
      </c>
      <c r="J1098" s="22" t="n">
        <f aca="false">IF(E1098="Priority",'Cost model'!N202,'Cost model'!M202)</f>
        <v>17.5</v>
      </c>
      <c r="K1098" s="14" t="n">
        <f aca="false">J1098-H1098</f>
        <v>6.99</v>
      </c>
      <c r="L1098" s="14" t="n">
        <f aca="false">G1098-H1098</f>
        <v>6.99</v>
      </c>
    </row>
    <row r="1099" customFormat="false" ht="15" hidden="false" customHeight="false" outlineLevel="0" collapsed="false">
      <c r="A1099" s="2" t="s">
        <v>146</v>
      </c>
      <c r="B1099" s="2" t="s">
        <v>146</v>
      </c>
      <c r="C1099" s="2" t="s">
        <v>48</v>
      </c>
      <c r="D1099" s="2" t="s">
        <v>10</v>
      </c>
      <c r="E1099" s="2" t="s">
        <v>85</v>
      </c>
      <c r="F1099" s="2" t="s">
        <v>1145</v>
      </c>
      <c r="G1099" s="14" t="n">
        <v>14.5</v>
      </c>
      <c r="H1099" s="14" t="n">
        <v>20.83</v>
      </c>
      <c r="I1099" s="14" t="n">
        <v>14.5</v>
      </c>
      <c r="J1099" s="22" t="n">
        <f aca="false">IF(E1099="Priority",'Cost model'!N758,'Cost model'!M758)</f>
        <v>14.5</v>
      </c>
      <c r="K1099" s="14" t="n">
        <f aca="false">J1099-H1099</f>
        <v>-6.33</v>
      </c>
      <c r="L1099" s="14" t="n">
        <f aca="false">G1099-H1099</f>
        <v>-6.33</v>
      </c>
    </row>
    <row r="1100" customFormat="false" ht="15" hidden="false" customHeight="false" outlineLevel="0" collapsed="false">
      <c r="A1100" s="2" t="s">
        <v>184</v>
      </c>
      <c r="B1100" s="2" t="s">
        <v>184</v>
      </c>
      <c r="C1100" s="2" t="s">
        <v>50</v>
      </c>
      <c r="D1100" s="2" t="s">
        <v>12</v>
      </c>
      <c r="E1100" s="2" t="s">
        <v>76</v>
      </c>
      <c r="F1100" s="2" t="s">
        <v>1145</v>
      </c>
      <c r="G1100" s="14" t="n">
        <v>19.5</v>
      </c>
      <c r="H1100" s="14" t="n">
        <v>48.13</v>
      </c>
      <c r="I1100" s="14" t="n">
        <v>19.5</v>
      </c>
      <c r="J1100" s="22" t="n">
        <f aca="false">IF(E1100="Priority",'Cost model'!N205,'Cost model'!M205)</f>
        <v>50</v>
      </c>
      <c r="K1100" s="14" t="n">
        <f aca="false">J1100-H1100</f>
        <v>1.87</v>
      </c>
      <c r="L1100" s="14" t="n">
        <f aca="false">G1100-H1100</f>
        <v>-28.63</v>
      </c>
    </row>
    <row r="1101" customFormat="false" ht="15" hidden="false" customHeight="false" outlineLevel="0" collapsed="false">
      <c r="A1101" s="2" t="s">
        <v>184</v>
      </c>
      <c r="B1101" s="2" t="s">
        <v>184</v>
      </c>
      <c r="C1101" s="2" t="s">
        <v>48</v>
      </c>
      <c r="D1101" s="2" t="s">
        <v>12</v>
      </c>
      <c r="E1101" s="2" t="s">
        <v>76</v>
      </c>
      <c r="F1101" s="2" t="s">
        <v>1145</v>
      </c>
      <c r="G1101" s="14" t="n">
        <v>9.5</v>
      </c>
      <c r="H1101" s="14" t="n">
        <v>28.57</v>
      </c>
      <c r="I1101" s="14" t="n">
        <v>9.5</v>
      </c>
      <c r="J1101" s="22" t="n">
        <f aca="false">IF(E1101="Priority",'Cost model'!N203,'Cost model'!M203)</f>
        <v>26.5</v>
      </c>
      <c r="K1101" s="14" t="n">
        <f aca="false">J1101-H1101</f>
        <v>-2.07</v>
      </c>
      <c r="L1101" s="14" t="n">
        <f aca="false">G1101-H1101</f>
        <v>-19.07</v>
      </c>
    </row>
    <row r="1102" customFormat="false" ht="15" hidden="false" customHeight="false" outlineLevel="0" collapsed="false">
      <c r="A1102" s="2" t="s">
        <v>126</v>
      </c>
      <c r="B1102" s="2" t="s">
        <v>146</v>
      </c>
      <c r="C1102" s="2" t="s">
        <v>49</v>
      </c>
      <c r="D1102" s="2" t="s">
        <v>10</v>
      </c>
      <c r="E1102" s="2" t="s">
        <v>76</v>
      </c>
      <c r="F1102" s="2" t="s">
        <v>1146</v>
      </c>
      <c r="G1102" s="14" t="n">
        <v>17.5</v>
      </c>
      <c r="H1102" s="14" t="n">
        <v>21.61</v>
      </c>
      <c r="I1102" s="14" t="n">
        <v>14.5</v>
      </c>
      <c r="J1102" s="22" t="n">
        <f aca="false">IF(E1102="Priority",'Cost model'!N399,'Cost model'!M399)</f>
        <v>17.5</v>
      </c>
      <c r="K1102" s="14" t="n">
        <f aca="false">J1102-H1102</f>
        <v>-4.11</v>
      </c>
      <c r="L1102" s="14" t="n">
        <f aca="false">G1102-H1102</f>
        <v>-4.11</v>
      </c>
    </row>
    <row r="1103" customFormat="false" ht="15" hidden="false" customHeight="false" outlineLevel="0" collapsed="false">
      <c r="A1103" s="2" t="s">
        <v>126</v>
      </c>
      <c r="B1103" s="2" t="s">
        <v>126</v>
      </c>
      <c r="C1103" s="2" t="s">
        <v>50</v>
      </c>
      <c r="D1103" s="2" t="s">
        <v>12</v>
      </c>
      <c r="E1103" s="2" t="s">
        <v>76</v>
      </c>
      <c r="F1103" s="2" t="s">
        <v>1145</v>
      </c>
      <c r="G1103" s="14" t="n">
        <v>19.5</v>
      </c>
      <c r="H1103" s="14" t="n">
        <v>73.6</v>
      </c>
      <c r="I1103" s="14" t="n">
        <v>19.5</v>
      </c>
      <c r="J1103" s="22" t="n">
        <f aca="false">IF(E1103="Priority",'Cost model'!N385,'Cost model'!M385)</f>
        <v>55</v>
      </c>
      <c r="K1103" s="14" t="n">
        <f aca="false">J1103-H1103</f>
        <v>-18.6</v>
      </c>
      <c r="L1103" s="14" t="n">
        <f aca="false">G1103-H1103</f>
        <v>-54.1</v>
      </c>
    </row>
    <row r="1104" customFormat="false" ht="15" hidden="false" customHeight="false" outlineLevel="0" collapsed="false">
      <c r="A1104" s="2" t="s">
        <v>146</v>
      </c>
      <c r="B1104" s="2" t="s">
        <v>125</v>
      </c>
      <c r="C1104" s="2" t="s">
        <v>50</v>
      </c>
      <c r="D1104" s="2" t="s">
        <v>12</v>
      </c>
      <c r="E1104" s="2" t="s">
        <v>76</v>
      </c>
      <c r="F1104" s="2" t="s">
        <v>1146</v>
      </c>
      <c r="G1104" s="14" t="n">
        <v>19.5</v>
      </c>
      <c r="H1104" s="14" t="n">
        <v>37.28</v>
      </c>
      <c r="I1104" s="14" t="n">
        <v>24.5</v>
      </c>
      <c r="J1104" s="22" t="n">
        <f aca="false">IF(E1104="Priority",'Cost model'!N871,'Cost model'!M871)</f>
        <v>55</v>
      </c>
      <c r="K1104" s="14" t="n">
        <f aca="false">J1104-H1104</f>
        <v>17.72</v>
      </c>
      <c r="L1104" s="14" t="n">
        <f aca="false">G1104-H1104</f>
        <v>-17.78</v>
      </c>
    </row>
    <row r="1105" customFormat="false" ht="15" hidden="false" customHeight="false" outlineLevel="0" collapsed="false">
      <c r="A1105" s="2" t="s">
        <v>184</v>
      </c>
      <c r="B1105" s="2" t="s">
        <v>184</v>
      </c>
      <c r="C1105" s="2" t="s">
        <v>48</v>
      </c>
      <c r="D1105" s="2" t="s">
        <v>10</v>
      </c>
      <c r="E1105" s="2" t="s">
        <v>76</v>
      </c>
      <c r="F1105" s="2" t="s">
        <v>1145</v>
      </c>
      <c r="G1105" s="14" t="n">
        <v>9.5</v>
      </c>
      <c r="H1105" s="14" t="n">
        <v>5.94</v>
      </c>
      <c r="I1105" s="14" t="n">
        <v>9.5</v>
      </c>
      <c r="J1105" s="22" t="n">
        <f aca="false">IF(E1105="Priority",'Cost model'!N200,'Cost model'!M200)</f>
        <v>7.5</v>
      </c>
      <c r="K1105" s="14" t="n">
        <f aca="false">J1105-H1105</f>
        <v>1.56</v>
      </c>
      <c r="L1105" s="14" t="n">
        <f aca="false">G1105-H1105</f>
        <v>3.56</v>
      </c>
    </row>
    <row r="1106" customFormat="false" ht="15" hidden="false" customHeight="false" outlineLevel="0" collapsed="false">
      <c r="A1106" s="2" t="s">
        <v>184</v>
      </c>
      <c r="B1106" s="2" t="s">
        <v>184</v>
      </c>
      <c r="C1106" s="2" t="s">
        <v>50</v>
      </c>
      <c r="D1106" s="2" t="s">
        <v>13</v>
      </c>
      <c r="E1106" s="2" t="s">
        <v>76</v>
      </c>
      <c r="F1106" s="2" t="s">
        <v>1145</v>
      </c>
      <c r="G1106" s="14" t="n">
        <v>50</v>
      </c>
      <c r="H1106" s="14" t="n">
        <v>197.21</v>
      </c>
      <c r="I1106" s="14" t="n">
        <v>50</v>
      </c>
      <c r="J1106" s="22" t="n">
        <f aca="false">IF(E1106="Priority",'Cost model'!N208,'Cost model'!M208)</f>
        <v>80</v>
      </c>
      <c r="K1106" s="14" t="n">
        <f aca="false">J1106-H1106</f>
        <v>-117.21</v>
      </c>
      <c r="L1106" s="14" t="n">
        <f aca="false">G1106-H1106</f>
        <v>-147.21</v>
      </c>
    </row>
    <row r="1107" customFormat="false" ht="15" hidden="false" customHeight="false" outlineLevel="0" collapsed="false">
      <c r="A1107" s="2" t="s">
        <v>146</v>
      </c>
      <c r="B1107" s="2" t="s">
        <v>184</v>
      </c>
      <c r="C1107" s="2" t="s">
        <v>50</v>
      </c>
      <c r="D1107" s="2" t="s">
        <v>13</v>
      </c>
      <c r="E1107" s="2" t="s">
        <v>76</v>
      </c>
      <c r="F1107" s="2" t="s">
        <v>1146</v>
      </c>
      <c r="G1107" s="14" t="n">
        <v>85</v>
      </c>
      <c r="H1107" s="14" t="n">
        <v>64.69</v>
      </c>
      <c r="I1107" s="14" t="n">
        <v>85</v>
      </c>
      <c r="J1107" s="22" t="n">
        <f aca="false">IF(E1107="Priority",'Cost model'!N838,'Cost model'!M838)</f>
        <v>80</v>
      </c>
      <c r="K1107" s="14" t="n">
        <f aca="false">J1107-H1107</f>
        <v>15.31</v>
      </c>
      <c r="L1107" s="14" t="n">
        <f aca="false">G1107-H1107</f>
        <v>20.31</v>
      </c>
    </row>
    <row r="1108" customFormat="false" ht="15" hidden="false" customHeight="false" outlineLevel="0" collapsed="false">
      <c r="A1108" s="2" t="s">
        <v>184</v>
      </c>
      <c r="B1108" s="2" t="s">
        <v>146</v>
      </c>
      <c r="C1108" s="2" t="s">
        <v>48</v>
      </c>
      <c r="D1108" s="2" t="s">
        <v>13</v>
      </c>
      <c r="E1108" s="2" t="s">
        <v>76</v>
      </c>
      <c r="F1108" s="2" t="s">
        <v>1146</v>
      </c>
      <c r="G1108" s="14" t="n">
        <v>24.5</v>
      </c>
      <c r="H1108" s="14" t="n">
        <v>101.99</v>
      </c>
      <c r="I1108" s="14" t="n">
        <v>19</v>
      </c>
      <c r="J1108" s="22" t="n">
        <f aca="false">IF(E1108="Priority",'Cost model'!N152,'Cost model'!M152)</f>
        <v>65</v>
      </c>
      <c r="K1108" s="14" t="n">
        <f aca="false">J1108-H1108</f>
        <v>-36.99</v>
      </c>
      <c r="L1108" s="14" t="n">
        <f aca="false">G1108-H1108</f>
        <v>-77.49</v>
      </c>
    </row>
    <row r="1109" customFormat="false" ht="15" hidden="false" customHeight="false" outlineLevel="0" collapsed="false">
      <c r="A1109" s="2" t="s">
        <v>126</v>
      </c>
      <c r="B1109" s="2" t="s">
        <v>126</v>
      </c>
      <c r="C1109" s="2" t="s">
        <v>49</v>
      </c>
      <c r="D1109" s="2" t="s">
        <v>10</v>
      </c>
      <c r="E1109" s="2" t="s">
        <v>76</v>
      </c>
      <c r="F1109" s="2" t="s">
        <v>1145</v>
      </c>
      <c r="G1109" s="14" t="n">
        <v>12.5</v>
      </c>
      <c r="H1109" s="14" t="n">
        <v>6.64</v>
      </c>
      <c r="I1109" s="14" t="n">
        <v>12.5</v>
      </c>
      <c r="J1109" s="22" t="n">
        <f aca="false">IF(E1109="Priority",'Cost model'!N381,'Cost model'!M381)</f>
        <v>14.5</v>
      </c>
      <c r="K1109" s="14" t="n">
        <f aca="false">J1109-H1109</f>
        <v>7.86</v>
      </c>
      <c r="L1109" s="14" t="n">
        <f aca="false">G1109-H1109</f>
        <v>5.86</v>
      </c>
    </row>
    <row r="1110" customFormat="false" ht="15" hidden="false" customHeight="false" outlineLevel="0" collapsed="false">
      <c r="A1110" s="2" t="s">
        <v>126</v>
      </c>
      <c r="B1110" s="2" t="s">
        <v>126</v>
      </c>
      <c r="C1110" s="2" t="s">
        <v>49</v>
      </c>
      <c r="D1110" s="2" t="s">
        <v>10</v>
      </c>
      <c r="E1110" s="2" t="s">
        <v>85</v>
      </c>
      <c r="F1110" s="2" t="s">
        <v>1145</v>
      </c>
      <c r="G1110" s="14" t="n">
        <v>17.5</v>
      </c>
      <c r="H1110" s="14" t="n">
        <v>24.63</v>
      </c>
      <c r="I1110" s="14" t="n">
        <v>17.5</v>
      </c>
      <c r="J1110" s="22" t="n">
        <f aca="false">IF(E1110="Priority",'Cost model'!N381,'Cost model'!M381)</f>
        <v>19.5</v>
      </c>
      <c r="K1110" s="14" t="n">
        <f aca="false">J1110-H1110</f>
        <v>-5.13</v>
      </c>
      <c r="L1110" s="14" t="n">
        <f aca="false">G1110-H1110</f>
        <v>-7.13</v>
      </c>
    </row>
    <row r="1111" customFormat="false" ht="15" hidden="false" customHeight="false" outlineLevel="0" collapsed="false">
      <c r="A1111" s="2" t="s">
        <v>184</v>
      </c>
      <c r="B1111" s="2" t="s">
        <v>184</v>
      </c>
      <c r="C1111" s="2" t="s">
        <v>48</v>
      </c>
      <c r="D1111" s="2" t="s">
        <v>12</v>
      </c>
      <c r="E1111" s="2" t="s">
        <v>76</v>
      </c>
      <c r="F1111" s="2" t="s">
        <v>1145</v>
      </c>
      <c r="G1111" s="14" t="n">
        <v>9.5</v>
      </c>
      <c r="H1111" s="14" t="n">
        <v>7.45</v>
      </c>
      <c r="I1111" s="14" t="n">
        <v>9.5</v>
      </c>
      <c r="J1111" s="22" t="n">
        <f aca="false">IF(E1111="Priority",'Cost model'!N203,'Cost model'!M203)</f>
        <v>26.5</v>
      </c>
      <c r="K1111" s="14" t="n">
        <f aca="false">J1111-H1111</f>
        <v>19.05</v>
      </c>
      <c r="L1111" s="14" t="n">
        <f aca="false">G1111-H1111</f>
        <v>2.05</v>
      </c>
    </row>
    <row r="1112" customFormat="false" ht="15" hidden="false" customHeight="false" outlineLevel="0" collapsed="false">
      <c r="A1112" s="2" t="s">
        <v>184</v>
      </c>
      <c r="B1112" s="2" t="s">
        <v>184</v>
      </c>
      <c r="C1112" s="2" t="s">
        <v>48</v>
      </c>
      <c r="D1112" s="2" t="s">
        <v>10</v>
      </c>
      <c r="E1112" s="2" t="s">
        <v>76</v>
      </c>
      <c r="F1112" s="2" t="s">
        <v>1145</v>
      </c>
      <c r="G1112" s="14" t="n">
        <v>9.5</v>
      </c>
      <c r="H1112" s="14" t="n">
        <v>6.19</v>
      </c>
      <c r="I1112" s="14" t="n">
        <v>9.5</v>
      </c>
      <c r="J1112" s="22" t="n">
        <f aca="false">IF(E1112="Priority",'Cost model'!N200,'Cost model'!M200)</f>
        <v>7.5</v>
      </c>
      <c r="K1112" s="14" t="n">
        <f aca="false">J1112-H1112</f>
        <v>1.31</v>
      </c>
      <c r="L1112" s="14" t="n">
        <f aca="false">G1112-H1112</f>
        <v>3.31</v>
      </c>
    </row>
    <row r="1113" customFormat="false" ht="15" hidden="false" customHeight="false" outlineLevel="0" collapsed="false">
      <c r="A1113" s="2" t="s">
        <v>184</v>
      </c>
      <c r="B1113" s="2" t="s">
        <v>184</v>
      </c>
      <c r="C1113" s="2" t="s">
        <v>48</v>
      </c>
      <c r="D1113" s="2" t="s">
        <v>10</v>
      </c>
      <c r="E1113" s="2" t="s">
        <v>76</v>
      </c>
      <c r="F1113" s="2" t="s">
        <v>1145</v>
      </c>
      <c r="G1113" s="14" t="n">
        <v>9.5</v>
      </c>
      <c r="H1113" s="14" t="n">
        <v>7.69</v>
      </c>
      <c r="I1113" s="14" t="n">
        <v>9.5</v>
      </c>
      <c r="J1113" s="22" t="n">
        <f aca="false">IF(E1113="Priority",'Cost model'!N200,'Cost model'!M200)</f>
        <v>7.5</v>
      </c>
      <c r="K1113" s="14" t="n">
        <f aca="false">J1113-H1113</f>
        <v>-0.19</v>
      </c>
      <c r="L1113" s="14" t="n">
        <f aca="false">G1113-H1113</f>
        <v>1.81</v>
      </c>
    </row>
    <row r="1114" customFormat="false" ht="15" hidden="false" customHeight="false" outlineLevel="0" collapsed="false">
      <c r="A1114" s="2" t="s">
        <v>146</v>
      </c>
      <c r="B1114" s="2" t="s">
        <v>146</v>
      </c>
      <c r="C1114" s="2" t="s">
        <v>48</v>
      </c>
      <c r="D1114" s="2" t="s">
        <v>10</v>
      </c>
      <c r="E1114" s="2" t="s">
        <v>76</v>
      </c>
      <c r="F1114" s="2" t="s">
        <v>1145</v>
      </c>
      <c r="G1114" s="14" t="n">
        <v>9.5</v>
      </c>
      <c r="H1114" s="14" t="n">
        <v>7.93</v>
      </c>
      <c r="I1114" s="14" t="n">
        <v>9.5</v>
      </c>
      <c r="J1114" s="22" t="n">
        <f aca="false">IF(E1114="Priority",'Cost model'!N758,'Cost model'!M758)</f>
        <v>9.5</v>
      </c>
      <c r="K1114" s="14" t="n">
        <f aca="false">J1114-H1114</f>
        <v>1.57</v>
      </c>
      <c r="L1114" s="14" t="n">
        <f aca="false">G1114-H1114</f>
        <v>1.57</v>
      </c>
    </row>
    <row r="1115" customFormat="false" ht="15" hidden="false" customHeight="false" outlineLevel="0" collapsed="false">
      <c r="A1115" s="2" t="s">
        <v>146</v>
      </c>
      <c r="B1115" s="2" t="s">
        <v>146</v>
      </c>
      <c r="C1115" s="2" t="s">
        <v>50</v>
      </c>
      <c r="D1115" s="2" t="s">
        <v>14</v>
      </c>
      <c r="E1115" s="2" t="s">
        <v>76</v>
      </c>
      <c r="F1115" s="2" t="s">
        <v>1145</v>
      </c>
      <c r="G1115" s="14" t="n">
        <v>85</v>
      </c>
      <c r="H1115" s="14" t="n">
        <v>24.48</v>
      </c>
      <c r="I1115" s="14" t="n">
        <v>85</v>
      </c>
      <c r="J1115" s="22" t="n">
        <f aca="false">IF(E1115="Priority",'Cost model'!N769,'Cost model'!M769)</f>
        <v>160</v>
      </c>
      <c r="K1115" s="14" t="n">
        <f aca="false">J1115-H1115</f>
        <v>135.52</v>
      </c>
      <c r="L1115" s="14" t="n">
        <f aca="false">G1115-H1115</f>
        <v>60.52</v>
      </c>
    </row>
    <row r="1116" customFormat="false" ht="15" hidden="false" customHeight="false" outlineLevel="0" collapsed="false">
      <c r="A1116" s="2" t="s">
        <v>146</v>
      </c>
      <c r="B1116" s="2" t="s">
        <v>146</v>
      </c>
      <c r="C1116" s="2" t="s">
        <v>48</v>
      </c>
      <c r="D1116" s="2" t="s">
        <v>12</v>
      </c>
      <c r="E1116" s="2" t="s">
        <v>76</v>
      </c>
      <c r="F1116" s="2" t="s">
        <v>1145</v>
      </c>
      <c r="G1116" s="14" t="n">
        <v>9.5</v>
      </c>
      <c r="H1116" s="14" t="n">
        <v>44.74</v>
      </c>
      <c r="I1116" s="14" t="n">
        <v>9.5</v>
      </c>
      <c r="J1116" s="22" t="n">
        <f aca="false">IF(E1116="Priority",'Cost model'!N761,'Cost model'!M761)</f>
        <v>35</v>
      </c>
      <c r="K1116" s="14" t="n">
        <f aca="false">J1116-H1116</f>
        <v>-9.74</v>
      </c>
      <c r="L1116" s="14" t="n">
        <f aca="false">G1116-H1116</f>
        <v>-35.24</v>
      </c>
    </row>
    <row r="1117" customFormat="false" ht="15" hidden="false" customHeight="false" outlineLevel="0" collapsed="false">
      <c r="A1117" s="2" t="s">
        <v>184</v>
      </c>
      <c r="B1117" s="2" t="s">
        <v>146</v>
      </c>
      <c r="C1117" s="2" t="s">
        <v>48</v>
      </c>
      <c r="D1117" s="2" t="s">
        <v>10</v>
      </c>
      <c r="E1117" s="2" t="s">
        <v>76</v>
      </c>
      <c r="F1117" s="2" t="s">
        <v>1146</v>
      </c>
      <c r="G1117" s="14" t="n">
        <v>9.5</v>
      </c>
      <c r="H1117" s="14" t="n">
        <v>9.98</v>
      </c>
      <c r="I1117" s="14" t="n">
        <v>9.5</v>
      </c>
      <c r="J1117" s="22" t="n">
        <f aca="false">IF(E1117="Priority",'Cost model'!N146,'Cost model'!M146)</f>
        <v>12.5</v>
      </c>
      <c r="K1117" s="14" t="n">
        <f aca="false">J1117-H1117</f>
        <v>2.52</v>
      </c>
      <c r="L1117" s="14" t="n">
        <f aca="false">G1117-H1117</f>
        <v>-0.48</v>
      </c>
    </row>
    <row r="1118" customFormat="false" ht="15" hidden="false" customHeight="false" outlineLevel="0" collapsed="false">
      <c r="A1118" s="2" t="s">
        <v>184</v>
      </c>
      <c r="B1118" s="2" t="s">
        <v>184</v>
      </c>
      <c r="C1118" s="2" t="s">
        <v>48</v>
      </c>
      <c r="D1118" s="2" t="s">
        <v>12</v>
      </c>
      <c r="E1118" s="2" t="s">
        <v>76</v>
      </c>
      <c r="F1118" s="2" t="s">
        <v>1145</v>
      </c>
      <c r="G1118" s="14" t="n">
        <v>9.5</v>
      </c>
      <c r="H1118" s="14" t="n">
        <v>28.49</v>
      </c>
      <c r="I1118" s="14" t="n">
        <v>9.5</v>
      </c>
      <c r="J1118" s="22" t="n">
        <f aca="false">IF(E1118="Priority",'Cost model'!N203,'Cost model'!M203)</f>
        <v>26.5</v>
      </c>
      <c r="K1118" s="14" t="n">
        <f aca="false">J1118-H1118</f>
        <v>-1.99</v>
      </c>
      <c r="L1118" s="14" t="n">
        <f aca="false">G1118-H1118</f>
        <v>-18.99</v>
      </c>
    </row>
    <row r="1119" customFormat="false" ht="15" hidden="false" customHeight="false" outlineLevel="0" collapsed="false">
      <c r="A1119" s="2" t="s">
        <v>240</v>
      </c>
      <c r="B1119" s="2" t="s">
        <v>165</v>
      </c>
      <c r="C1119" s="2" t="s">
        <v>48</v>
      </c>
      <c r="D1119" s="2" t="s">
        <v>10</v>
      </c>
      <c r="E1119" s="2" t="s">
        <v>85</v>
      </c>
      <c r="F1119" s="2" t="s">
        <v>1146</v>
      </c>
      <c r="G1119" s="14" t="n">
        <v>19.5</v>
      </c>
      <c r="H1119" s="14" t="n">
        <v>9.28</v>
      </c>
      <c r="I1119" s="14" t="n">
        <v>19.5</v>
      </c>
      <c r="J1119" s="22" t="n">
        <f aca="false">IF(E1119="Priority",'Cost model'!N902,'Cost model'!M902)</f>
        <v>18.5</v>
      </c>
      <c r="K1119" s="14" t="n">
        <f aca="false">J1119-H1119</f>
        <v>9.22</v>
      </c>
      <c r="L1119" s="14" t="n">
        <f aca="false">G1119-H1119</f>
        <v>10.22</v>
      </c>
    </row>
    <row r="1120" customFormat="false" ht="15" hidden="false" customHeight="false" outlineLevel="0" collapsed="false">
      <c r="A1120" s="2" t="s">
        <v>221</v>
      </c>
      <c r="B1120" s="2" t="s">
        <v>221</v>
      </c>
      <c r="C1120" s="2" t="s">
        <v>49</v>
      </c>
      <c r="D1120" s="2" t="s">
        <v>10</v>
      </c>
      <c r="E1120" s="2" t="s">
        <v>76</v>
      </c>
      <c r="F1120" s="2" t="s">
        <v>1145</v>
      </c>
      <c r="G1120" s="14" t="n">
        <v>19.5</v>
      </c>
      <c r="H1120" s="14" t="n">
        <v>21.76</v>
      </c>
      <c r="I1120" s="14" t="n">
        <v>12.5</v>
      </c>
      <c r="J1120" s="22" t="n">
        <f aca="false">IF(E1120="Priority",'Cost model'!N633,'Cost model'!M633)</f>
        <v>13.5</v>
      </c>
      <c r="K1120" s="14" t="n">
        <f aca="false">J1120-H1120</f>
        <v>-8.26</v>
      </c>
      <c r="L1120" s="14" t="n">
        <f aca="false">G1120-H1120</f>
        <v>-2.26</v>
      </c>
    </row>
    <row r="1121" customFormat="false" ht="15" hidden="false" customHeight="false" outlineLevel="0" collapsed="false">
      <c r="A1121" s="2" t="s">
        <v>126</v>
      </c>
      <c r="B1121" s="2" t="s">
        <v>126</v>
      </c>
      <c r="C1121" s="2" t="s">
        <v>50</v>
      </c>
      <c r="D1121" s="2" t="s">
        <v>12</v>
      </c>
      <c r="E1121" s="2" t="s">
        <v>76</v>
      </c>
      <c r="F1121" s="2" t="s">
        <v>1145</v>
      </c>
      <c r="G1121" s="14" t="n">
        <v>19.5</v>
      </c>
      <c r="H1121" s="14" t="n">
        <v>94.34</v>
      </c>
      <c r="I1121" s="14" t="n">
        <v>19.5</v>
      </c>
      <c r="J1121" s="22" t="n">
        <f aca="false">IF(E1121="Priority",'Cost model'!N385,'Cost model'!M385)</f>
        <v>55</v>
      </c>
      <c r="K1121" s="14" t="n">
        <f aca="false">J1121-H1121</f>
        <v>-39.34</v>
      </c>
      <c r="L1121" s="14" t="n">
        <f aca="false">G1121-H1121</f>
        <v>-74.84</v>
      </c>
    </row>
    <row r="1122" customFormat="false" ht="15" hidden="false" customHeight="false" outlineLevel="0" collapsed="false">
      <c r="A1122" s="2" t="s">
        <v>146</v>
      </c>
      <c r="B1122" s="2" t="s">
        <v>126</v>
      </c>
      <c r="C1122" s="2" t="s">
        <v>50</v>
      </c>
      <c r="D1122" s="2" t="s">
        <v>12</v>
      </c>
      <c r="E1122" s="2" t="s">
        <v>76</v>
      </c>
      <c r="F1122" s="2" t="s">
        <v>1146</v>
      </c>
      <c r="G1122" s="14" t="n">
        <v>19.5</v>
      </c>
      <c r="H1122" s="14" t="n">
        <v>50.85</v>
      </c>
      <c r="I1122" s="14" t="n">
        <v>19.5</v>
      </c>
      <c r="J1122" s="22" t="n">
        <f aca="false">IF(E1122="Priority",'Cost model'!N799,'Cost model'!M799)</f>
        <v>55</v>
      </c>
      <c r="K1122" s="14" t="n">
        <f aca="false">J1122-H1122</f>
        <v>4.15</v>
      </c>
      <c r="L1122" s="14" t="n">
        <f aca="false">G1122-H1122</f>
        <v>-31.35</v>
      </c>
    </row>
    <row r="1123" customFormat="false" ht="15" hidden="false" customHeight="false" outlineLevel="0" collapsed="false">
      <c r="A1123" s="2" t="s">
        <v>184</v>
      </c>
      <c r="B1123" s="2" t="s">
        <v>184</v>
      </c>
      <c r="C1123" s="2" t="s">
        <v>49</v>
      </c>
      <c r="D1123" s="2" t="s">
        <v>10</v>
      </c>
      <c r="E1123" s="2" t="s">
        <v>76</v>
      </c>
      <c r="F1123" s="2" t="s">
        <v>1145</v>
      </c>
      <c r="G1123" s="14" t="n">
        <v>12.5</v>
      </c>
      <c r="H1123" s="14" t="n">
        <v>12.09</v>
      </c>
      <c r="I1123" s="14"/>
      <c r="J1123" s="22" t="n">
        <f aca="false">IF(E1123="Priority",'Cost model'!N201,'Cost model'!M201)</f>
        <v>12.5</v>
      </c>
      <c r="K1123" s="14" t="n">
        <f aca="false">J1123-H1123</f>
        <v>0.41</v>
      </c>
      <c r="L1123" s="14" t="n">
        <f aca="false">G1123-H1123</f>
        <v>0.41</v>
      </c>
    </row>
    <row r="1124" customFormat="false" ht="15" hidden="false" customHeight="false" outlineLevel="0" collapsed="false">
      <c r="A1124" s="2" t="s">
        <v>184</v>
      </c>
      <c r="B1124" s="2" t="s">
        <v>184</v>
      </c>
      <c r="C1124" s="2" t="s">
        <v>49</v>
      </c>
      <c r="D1124" s="2" t="s">
        <v>12</v>
      </c>
      <c r="E1124" s="2" t="s">
        <v>76</v>
      </c>
      <c r="F1124" s="2" t="s">
        <v>1145</v>
      </c>
      <c r="G1124" s="14" t="n">
        <v>12.5</v>
      </c>
      <c r="H1124" s="14" t="n">
        <v>47</v>
      </c>
      <c r="I1124" s="14"/>
      <c r="J1124" s="22" t="n">
        <f aca="false">IF(E1124="Priority",'Cost model'!N204,'Cost model'!M204)</f>
        <v>45</v>
      </c>
      <c r="K1124" s="14" t="n">
        <f aca="false">J1124-H1124</f>
        <v>-2</v>
      </c>
      <c r="L1124" s="14" t="n">
        <f aca="false">G1124-H1124</f>
        <v>-34.5</v>
      </c>
    </row>
    <row r="1125" customFormat="false" ht="15" hidden="false" customHeight="false" outlineLevel="0" collapsed="false">
      <c r="A1125" s="2" t="s">
        <v>184</v>
      </c>
      <c r="B1125" s="2" t="s">
        <v>184</v>
      </c>
      <c r="C1125" s="2" t="s">
        <v>48</v>
      </c>
      <c r="D1125" s="2" t="s">
        <v>10</v>
      </c>
      <c r="E1125" s="2" t="s">
        <v>76</v>
      </c>
      <c r="F1125" s="2" t="s">
        <v>1145</v>
      </c>
      <c r="G1125" s="14" t="n">
        <v>9.5</v>
      </c>
      <c r="H1125" s="14" t="n">
        <v>7.72</v>
      </c>
      <c r="I1125" s="14" t="n">
        <v>9.5</v>
      </c>
      <c r="J1125" s="22" t="n">
        <f aca="false">IF(E1125="Priority",'Cost model'!N200,'Cost model'!M200)</f>
        <v>7.5</v>
      </c>
      <c r="K1125" s="14" t="n">
        <f aca="false">J1125-H1125</f>
        <v>-0.22</v>
      </c>
      <c r="L1125" s="14" t="n">
        <f aca="false">G1125-H1125</f>
        <v>1.78</v>
      </c>
    </row>
    <row r="1126" customFormat="false" ht="15" hidden="false" customHeight="false" outlineLevel="0" collapsed="false">
      <c r="A1126" s="2" t="s">
        <v>184</v>
      </c>
      <c r="B1126" s="2" t="s">
        <v>184</v>
      </c>
      <c r="C1126" s="2" t="s">
        <v>49</v>
      </c>
      <c r="D1126" s="2" t="s">
        <v>12</v>
      </c>
      <c r="E1126" s="2" t="s">
        <v>76</v>
      </c>
      <c r="F1126" s="2" t="s">
        <v>1145</v>
      </c>
      <c r="G1126" s="14" t="n">
        <v>12.5</v>
      </c>
      <c r="H1126" s="14" t="n">
        <v>43.77</v>
      </c>
      <c r="I1126" s="14"/>
      <c r="J1126" s="22" t="n">
        <f aca="false">IF(E1126="Priority",'Cost model'!N204,'Cost model'!M204)</f>
        <v>45</v>
      </c>
      <c r="K1126" s="14" t="n">
        <f aca="false">J1126-H1126</f>
        <v>1.23</v>
      </c>
      <c r="L1126" s="14" t="n">
        <f aca="false">G1126-H1126</f>
        <v>-31.27</v>
      </c>
    </row>
    <row r="1127" customFormat="false" ht="15" hidden="false" customHeight="false" outlineLevel="0" collapsed="false">
      <c r="A1127" s="2" t="s">
        <v>184</v>
      </c>
      <c r="B1127" s="2" t="s">
        <v>184</v>
      </c>
      <c r="C1127" s="2" t="s">
        <v>48</v>
      </c>
      <c r="D1127" s="2" t="s">
        <v>12</v>
      </c>
      <c r="E1127" s="2" t="s">
        <v>76</v>
      </c>
      <c r="F1127" s="2" t="s">
        <v>1145</v>
      </c>
      <c r="G1127" s="14" t="n">
        <v>9.5</v>
      </c>
      <c r="H1127" s="14" t="n">
        <v>12.18</v>
      </c>
      <c r="I1127" s="14" t="n">
        <v>9.5</v>
      </c>
      <c r="J1127" s="22" t="n">
        <f aca="false">IF(E1127="Priority",'Cost model'!N203,'Cost model'!M203)</f>
        <v>26.5</v>
      </c>
      <c r="K1127" s="14" t="n">
        <f aca="false">J1127-H1127</f>
        <v>14.32</v>
      </c>
      <c r="L1127" s="14" t="n">
        <f aca="false">G1127-H1127</f>
        <v>-2.68</v>
      </c>
    </row>
    <row r="1128" customFormat="false" ht="15" hidden="false" customHeight="false" outlineLevel="0" collapsed="false">
      <c r="A1128" s="2" t="s">
        <v>126</v>
      </c>
      <c r="B1128" s="2" t="s">
        <v>184</v>
      </c>
      <c r="C1128" s="2" t="s">
        <v>49</v>
      </c>
      <c r="D1128" s="2" t="s">
        <v>10</v>
      </c>
      <c r="E1128" s="2" t="s">
        <v>76</v>
      </c>
      <c r="F1128" s="2" t="s">
        <v>1146</v>
      </c>
      <c r="G1128" s="14" t="n">
        <v>12.5</v>
      </c>
      <c r="H1128" s="14" t="n">
        <v>10.95</v>
      </c>
      <c r="I1128" s="14" t="n">
        <v>14.5</v>
      </c>
      <c r="J1128" s="22" t="n">
        <f aca="false">IF(E1128="Priority",'Cost model'!N435,'Cost model'!M435)</f>
        <v>15.5</v>
      </c>
      <c r="K1128" s="14" t="n">
        <f aca="false">J1128-H1128</f>
        <v>4.55</v>
      </c>
      <c r="L1128" s="14" t="n">
        <f aca="false">G1128-H1128</f>
        <v>1.55</v>
      </c>
    </row>
    <row r="1129" customFormat="false" ht="15" hidden="false" customHeight="false" outlineLevel="0" collapsed="false">
      <c r="A1129" s="2" t="s">
        <v>240</v>
      </c>
      <c r="B1129" s="2" t="s">
        <v>240</v>
      </c>
      <c r="C1129" s="2" t="s">
        <v>48</v>
      </c>
      <c r="D1129" s="2" t="s">
        <v>10</v>
      </c>
      <c r="E1129" s="2" t="s">
        <v>85</v>
      </c>
      <c r="F1129" s="2" t="s">
        <v>1145</v>
      </c>
      <c r="G1129" s="14" t="n">
        <v>14.5</v>
      </c>
      <c r="H1129" s="14" t="n">
        <v>5.16</v>
      </c>
      <c r="I1129" s="14" t="n">
        <v>14.5</v>
      </c>
      <c r="J1129" s="22" t="n">
        <f aca="false">IF(E1129="Priority",'Cost model'!N884,'Cost model'!M884)</f>
        <v>12.5</v>
      </c>
      <c r="K1129" s="14" t="n">
        <f aca="false">J1129-H1129</f>
        <v>7.34</v>
      </c>
      <c r="L1129" s="14" t="n">
        <f aca="false">G1129-H1129</f>
        <v>9.34</v>
      </c>
    </row>
    <row r="1130" customFormat="false" ht="15" hidden="false" customHeight="false" outlineLevel="0" collapsed="false">
      <c r="A1130" s="2" t="s">
        <v>146</v>
      </c>
      <c r="B1130" s="2" t="s">
        <v>184</v>
      </c>
      <c r="C1130" s="2" t="s">
        <v>48</v>
      </c>
      <c r="D1130" s="2" t="s">
        <v>10</v>
      </c>
      <c r="E1130" s="2" t="s">
        <v>76</v>
      </c>
      <c r="F1130" s="2" t="s">
        <v>1146</v>
      </c>
      <c r="G1130" s="14" t="n">
        <v>9.5</v>
      </c>
      <c r="H1130" s="14" t="n">
        <v>8.27</v>
      </c>
      <c r="I1130" s="14" t="n">
        <v>14.5</v>
      </c>
      <c r="J1130" s="22" t="n">
        <f aca="false">IF(E1130="Priority",'Cost model'!N830,'Cost model'!M830)</f>
        <v>9.5</v>
      </c>
      <c r="K1130" s="14" t="n">
        <f aca="false">J1130-H1130</f>
        <v>1.23</v>
      </c>
      <c r="L1130" s="14" t="n">
        <f aca="false">G1130-H1130</f>
        <v>1.23</v>
      </c>
    </row>
    <row r="1131" customFormat="false" ht="15" hidden="false" customHeight="false" outlineLevel="0" collapsed="false">
      <c r="A1131" s="2" t="s">
        <v>240</v>
      </c>
      <c r="B1131" s="2" t="s">
        <v>165</v>
      </c>
      <c r="C1131" s="2" t="s">
        <v>50</v>
      </c>
      <c r="D1131" s="2" t="s">
        <v>13</v>
      </c>
      <c r="E1131" s="2" t="s">
        <v>76</v>
      </c>
      <c r="F1131" s="2" t="s">
        <v>1146</v>
      </c>
      <c r="G1131" s="14" t="n">
        <v>50</v>
      </c>
      <c r="H1131" s="14" t="n">
        <v>249.51</v>
      </c>
      <c r="I1131" s="14" t="n">
        <v>85</v>
      </c>
      <c r="J1131" s="22" t="n">
        <f aca="false">IF(E1131="Priority",'Cost model'!N910,'Cost model'!M910)</f>
        <v>145</v>
      </c>
      <c r="K1131" s="14" t="n">
        <f aca="false">J1131-H1131</f>
        <v>-104.51</v>
      </c>
      <c r="L1131" s="14" t="n">
        <f aca="false">G1131-H1131</f>
        <v>-199.51</v>
      </c>
    </row>
    <row r="1132" customFormat="false" ht="15" hidden="false" customHeight="false" outlineLevel="0" collapsed="false">
      <c r="A1132" s="2" t="s">
        <v>184</v>
      </c>
      <c r="B1132" s="2" t="s">
        <v>184</v>
      </c>
      <c r="C1132" s="2" t="s">
        <v>48</v>
      </c>
      <c r="D1132" s="2" t="s">
        <v>10</v>
      </c>
      <c r="E1132" s="2" t="s">
        <v>76</v>
      </c>
      <c r="F1132" s="2" t="s">
        <v>1145</v>
      </c>
      <c r="G1132" s="14" t="n">
        <v>9.5</v>
      </c>
      <c r="H1132" s="14" t="n">
        <v>6.89</v>
      </c>
      <c r="I1132" s="14" t="n">
        <v>9.5</v>
      </c>
      <c r="J1132" s="22" t="n">
        <f aca="false">IF(E1132="Priority",'Cost model'!N200,'Cost model'!M200)</f>
        <v>7.5</v>
      </c>
      <c r="K1132" s="14" t="n">
        <f aca="false">J1132-H1132</f>
        <v>0.61</v>
      </c>
      <c r="L1132" s="14" t="n">
        <f aca="false">G1132-H1132</f>
        <v>2.61</v>
      </c>
    </row>
    <row r="1133" customFormat="false" ht="15" hidden="false" customHeight="false" outlineLevel="0" collapsed="false">
      <c r="A1133" s="2" t="s">
        <v>240</v>
      </c>
      <c r="B1133" s="2" t="s">
        <v>240</v>
      </c>
      <c r="C1133" s="2" t="s">
        <v>48</v>
      </c>
      <c r="D1133" s="2" t="s">
        <v>14</v>
      </c>
      <c r="E1133" s="2" t="s">
        <v>76</v>
      </c>
      <c r="F1133" s="2" t="s">
        <v>1145</v>
      </c>
      <c r="G1133" s="14" t="n">
        <v>25</v>
      </c>
      <c r="H1133" s="14" t="n">
        <v>61.73</v>
      </c>
      <c r="I1133" s="14" t="n">
        <v>25</v>
      </c>
      <c r="J1133" s="22" t="n">
        <f aca="false">IF(E1133="Priority",'Cost model'!N893,'Cost model'!M893)</f>
        <v>135</v>
      </c>
      <c r="K1133" s="14" t="n">
        <f aca="false">J1133-H1133</f>
        <v>73.27</v>
      </c>
      <c r="L1133" s="14" t="n">
        <f aca="false">G1133-H1133</f>
        <v>-36.73</v>
      </c>
    </row>
    <row r="1134" customFormat="false" ht="15" hidden="false" customHeight="false" outlineLevel="0" collapsed="false">
      <c r="A1134" s="2" t="s">
        <v>126</v>
      </c>
      <c r="B1134" s="2" t="s">
        <v>126</v>
      </c>
      <c r="C1134" s="2" t="s">
        <v>50</v>
      </c>
      <c r="D1134" s="2" t="s">
        <v>12</v>
      </c>
      <c r="E1134" s="2" t="s">
        <v>76</v>
      </c>
      <c r="F1134" s="2" t="s">
        <v>1145</v>
      </c>
      <c r="G1134" s="14" t="n">
        <v>19.5</v>
      </c>
      <c r="H1134" s="14" t="n">
        <v>107.95</v>
      </c>
      <c r="I1134" s="14" t="n">
        <v>19.5</v>
      </c>
      <c r="J1134" s="22" t="n">
        <f aca="false">IF(E1134="Priority",'Cost model'!N385,'Cost model'!M385)</f>
        <v>55</v>
      </c>
      <c r="K1134" s="14" t="n">
        <f aca="false">J1134-H1134</f>
        <v>-52.95</v>
      </c>
      <c r="L1134" s="14" t="n">
        <f aca="false">G1134-H1134</f>
        <v>-88.45</v>
      </c>
    </row>
    <row r="1135" customFormat="false" ht="15" hidden="false" customHeight="false" outlineLevel="0" collapsed="false">
      <c r="A1135" s="2" t="s">
        <v>146</v>
      </c>
      <c r="B1135" s="2" t="s">
        <v>146</v>
      </c>
      <c r="C1135" s="2" t="s">
        <v>48</v>
      </c>
      <c r="D1135" s="2" t="s">
        <v>10</v>
      </c>
      <c r="E1135" s="2" t="s">
        <v>76</v>
      </c>
      <c r="F1135" s="2" t="s">
        <v>1145</v>
      </c>
      <c r="G1135" s="14" t="n">
        <v>9.5</v>
      </c>
      <c r="H1135" s="14" t="n">
        <v>8.04</v>
      </c>
      <c r="I1135" s="14" t="n">
        <v>9.5</v>
      </c>
      <c r="J1135" s="22" t="n">
        <f aca="false">IF(E1135="Priority",'Cost model'!N758,'Cost model'!M758)</f>
        <v>9.5</v>
      </c>
      <c r="K1135" s="14" t="n">
        <f aca="false">J1135-H1135</f>
        <v>1.46</v>
      </c>
      <c r="L1135" s="14" t="n">
        <f aca="false">G1135-H1135</f>
        <v>1.46</v>
      </c>
    </row>
    <row r="1136" customFormat="false" ht="15" hidden="false" customHeight="false" outlineLevel="0" collapsed="false">
      <c r="A1136" s="2" t="s">
        <v>184</v>
      </c>
      <c r="B1136" s="2" t="s">
        <v>126</v>
      </c>
      <c r="C1136" s="2" t="s">
        <v>50</v>
      </c>
      <c r="D1136" s="2" t="s">
        <v>12</v>
      </c>
      <c r="E1136" s="2" t="s">
        <v>76</v>
      </c>
      <c r="F1136" s="2" t="s">
        <v>1146</v>
      </c>
      <c r="G1136" s="14" t="n">
        <v>19.5</v>
      </c>
      <c r="H1136" s="14" t="n">
        <v>56.47</v>
      </c>
      <c r="I1136" s="14" t="n">
        <v>19.5</v>
      </c>
      <c r="J1136" s="22" t="n">
        <f aca="false">IF(E1136="Priority",'Cost model'!N133,'Cost model'!M133)</f>
        <v>55</v>
      </c>
      <c r="K1136" s="14" t="n">
        <f aca="false">J1136-H1136</f>
        <v>-1.47</v>
      </c>
      <c r="L1136" s="14" t="n">
        <f aca="false">G1136-H1136</f>
        <v>-36.97</v>
      </c>
    </row>
    <row r="1137" customFormat="false" ht="15" hidden="false" customHeight="false" outlineLevel="0" collapsed="false">
      <c r="A1137" s="2" t="s">
        <v>184</v>
      </c>
      <c r="B1137" s="2" t="s">
        <v>146</v>
      </c>
      <c r="C1137" s="2" t="s">
        <v>48</v>
      </c>
      <c r="D1137" s="2" t="s">
        <v>16</v>
      </c>
      <c r="E1137" s="2" t="s">
        <v>76</v>
      </c>
      <c r="F1137" s="2" t="s">
        <v>1146</v>
      </c>
      <c r="G1137" s="14" t="n">
        <v>45</v>
      </c>
      <c r="H1137" s="14" t="n">
        <v>254.9</v>
      </c>
      <c r="I1137" s="14" t="n">
        <v>45</v>
      </c>
      <c r="J1137" s="22" t="n">
        <f aca="false">IF(E1137="Priority",'Cost model'!N161,'Cost model'!M161)</f>
        <v>230</v>
      </c>
      <c r="K1137" s="14" t="n">
        <f aca="false">J1137-H1137</f>
        <v>-24.9</v>
      </c>
      <c r="L1137" s="14" t="n">
        <f aca="false">G1137-H1137</f>
        <v>-209.9</v>
      </c>
    </row>
    <row r="1138" customFormat="false" ht="15" hidden="false" customHeight="false" outlineLevel="0" collapsed="false">
      <c r="A1138" s="2" t="s">
        <v>184</v>
      </c>
      <c r="B1138" s="2" t="s">
        <v>146</v>
      </c>
      <c r="C1138" s="2" t="s">
        <v>48</v>
      </c>
      <c r="D1138" s="2" t="s">
        <v>10</v>
      </c>
      <c r="E1138" s="2" t="s">
        <v>76</v>
      </c>
      <c r="F1138" s="2" t="s">
        <v>1146</v>
      </c>
      <c r="G1138" s="14" t="n">
        <v>9.5</v>
      </c>
      <c r="H1138" s="14" t="n">
        <v>12.98</v>
      </c>
      <c r="I1138" s="14" t="n">
        <v>9.5</v>
      </c>
      <c r="J1138" s="22" t="n">
        <f aca="false">IF(E1138="Priority",'Cost model'!N146,'Cost model'!M146)</f>
        <v>12.5</v>
      </c>
      <c r="K1138" s="14" t="n">
        <f aca="false">J1138-H1138</f>
        <v>-0.48</v>
      </c>
      <c r="L1138" s="14" t="n">
        <f aca="false">G1138-H1138</f>
        <v>-3.48</v>
      </c>
    </row>
    <row r="1139" customFormat="false" ht="15" hidden="false" customHeight="false" outlineLevel="0" collapsed="false">
      <c r="A1139" s="2" t="s">
        <v>184</v>
      </c>
      <c r="B1139" s="2" t="s">
        <v>126</v>
      </c>
      <c r="C1139" s="2" t="s">
        <v>50</v>
      </c>
      <c r="D1139" s="2" t="s">
        <v>10</v>
      </c>
      <c r="E1139" s="2" t="s">
        <v>76</v>
      </c>
      <c r="F1139" s="2" t="s">
        <v>1146</v>
      </c>
      <c r="G1139" s="14" t="n">
        <v>17.5</v>
      </c>
      <c r="H1139" s="14" t="n">
        <v>10.51</v>
      </c>
      <c r="I1139" s="14" t="n">
        <v>17.5</v>
      </c>
      <c r="J1139" s="22" t="n">
        <f aca="false">IF(E1139="Priority",'Cost model'!N130,'Cost model'!M130)</f>
        <v>18.5</v>
      </c>
      <c r="K1139" s="14" t="n">
        <f aca="false">J1139-H1139</f>
        <v>7.99</v>
      </c>
      <c r="L1139" s="14" t="n">
        <f aca="false">G1139-H1139</f>
        <v>6.99</v>
      </c>
    </row>
    <row r="1140" customFormat="false" ht="15" hidden="false" customHeight="false" outlineLevel="0" collapsed="false">
      <c r="A1140" s="2" t="s">
        <v>240</v>
      </c>
      <c r="B1140" s="2" t="s">
        <v>240</v>
      </c>
      <c r="C1140" s="2" t="s">
        <v>49</v>
      </c>
      <c r="D1140" s="2" t="s">
        <v>12</v>
      </c>
      <c r="E1140" s="2" t="s">
        <v>76</v>
      </c>
      <c r="F1140" s="2" t="s">
        <v>1145</v>
      </c>
      <c r="G1140" s="14" t="n">
        <v>12.5</v>
      </c>
      <c r="H1140" s="14" t="n">
        <v>46.29</v>
      </c>
      <c r="I1140" s="14" t="n">
        <v>12.5</v>
      </c>
      <c r="J1140" s="22" t="n">
        <f aca="false">IF(E1140="Priority",'Cost model'!N888,'Cost model'!M888)</f>
        <v>50</v>
      </c>
      <c r="K1140" s="14" t="n">
        <f aca="false">J1140-H1140</f>
        <v>3.71</v>
      </c>
      <c r="L1140" s="14" t="n">
        <f aca="false">G1140-H1140</f>
        <v>-33.79</v>
      </c>
    </row>
    <row r="1141" customFormat="false" ht="15" hidden="false" customHeight="false" outlineLevel="0" collapsed="false">
      <c r="A1141" s="2" t="s">
        <v>126</v>
      </c>
      <c r="B1141" s="2" t="s">
        <v>126</v>
      </c>
      <c r="C1141" s="2" t="s">
        <v>49</v>
      </c>
      <c r="D1141" s="2" t="s">
        <v>10</v>
      </c>
      <c r="E1141" s="2" t="s">
        <v>76</v>
      </c>
      <c r="F1141" s="2" t="s">
        <v>1145</v>
      </c>
      <c r="G1141" s="14" t="n">
        <v>12.5</v>
      </c>
      <c r="H1141" s="14" t="n">
        <v>14.08</v>
      </c>
      <c r="I1141" s="14" t="n">
        <v>12.5</v>
      </c>
      <c r="J1141" s="22" t="n">
        <f aca="false">IF(E1141="Priority",'Cost model'!N381,'Cost model'!M381)</f>
        <v>14.5</v>
      </c>
      <c r="K1141" s="14" t="n">
        <f aca="false">J1141-H1141</f>
        <v>0.42</v>
      </c>
      <c r="L1141" s="14" t="n">
        <f aca="false">G1141-H1141</f>
        <v>-1.58</v>
      </c>
    </row>
    <row r="1142" customFormat="false" ht="15" hidden="false" customHeight="false" outlineLevel="0" collapsed="false">
      <c r="A1142" s="2" t="s">
        <v>146</v>
      </c>
      <c r="B1142" s="2" t="s">
        <v>126</v>
      </c>
      <c r="C1142" s="2" t="s">
        <v>48</v>
      </c>
      <c r="D1142" s="2" t="s">
        <v>12</v>
      </c>
      <c r="E1142" s="2" t="s">
        <v>76</v>
      </c>
      <c r="F1142" s="2" t="s">
        <v>1146</v>
      </c>
      <c r="G1142" s="14" t="n">
        <v>9.5</v>
      </c>
      <c r="H1142" s="14" t="n">
        <v>13.52</v>
      </c>
      <c r="I1142" s="14" t="n">
        <v>19.5</v>
      </c>
      <c r="J1142" s="22" t="n">
        <f aca="false">IF(E1142="Priority",'Cost model'!N797,'Cost model'!M797)</f>
        <v>40</v>
      </c>
      <c r="K1142" s="14" t="n">
        <f aca="false">J1142-H1142</f>
        <v>26.48</v>
      </c>
      <c r="L1142" s="14" t="n">
        <f aca="false">G1142-H1142</f>
        <v>-4.02</v>
      </c>
    </row>
    <row r="1143" customFormat="false" ht="15" hidden="false" customHeight="false" outlineLevel="0" collapsed="false">
      <c r="A1143" s="2" t="s">
        <v>126</v>
      </c>
      <c r="B1143" s="2" t="s">
        <v>184</v>
      </c>
      <c r="C1143" s="2" t="s">
        <v>50</v>
      </c>
      <c r="D1143" s="2" t="s">
        <v>10</v>
      </c>
      <c r="E1143" s="2" t="s">
        <v>76</v>
      </c>
      <c r="F1143" s="2" t="s">
        <v>1146</v>
      </c>
      <c r="G1143" s="14" t="n">
        <v>17.5</v>
      </c>
      <c r="H1143" s="14" t="n">
        <v>23.58</v>
      </c>
      <c r="I1143" s="14" t="n">
        <v>17.5</v>
      </c>
      <c r="J1143" s="22" t="n">
        <f aca="false">IF(E1143="Priority",'Cost model'!N436,'Cost model'!M436)</f>
        <v>19.5</v>
      </c>
      <c r="K1143" s="14" t="n">
        <f aca="false">J1143-H1143</f>
        <v>-4.08</v>
      </c>
      <c r="L1143" s="14" t="n">
        <f aca="false">G1143-H1143</f>
        <v>-6.08</v>
      </c>
    </row>
    <row r="1144" customFormat="false" ht="15" hidden="false" customHeight="false" outlineLevel="0" collapsed="false">
      <c r="A1144" s="2" t="s">
        <v>126</v>
      </c>
      <c r="B1144" s="2" t="s">
        <v>126</v>
      </c>
      <c r="C1144" s="2" t="s">
        <v>48</v>
      </c>
      <c r="D1144" s="2" t="s">
        <v>12</v>
      </c>
      <c r="E1144" s="2" t="s">
        <v>85</v>
      </c>
      <c r="F1144" s="2" t="s">
        <v>1145</v>
      </c>
      <c r="G1144" s="14" t="n">
        <v>19.5</v>
      </c>
      <c r="H1144" s="14" t="n">
        <v>41.77</v>
      </c>
      <c r="I1144" s="14" t="n">
        <v>19.5</v>
      </c>
      <c r="J1144" s="22" t="n">
        <f aca="false">IF(E1144="Priority",'Cost model'!N383,'Cost model'!M383)</f>
        <v>35</v>
      </c>
      <c r="K1144" s="14" t="n">
        <f aca="false">J1144-H1144</f>
        <v>-6.77</v>
      </c>
      <c r="L1144" s="14" t="n">
        <f aca="false">G1144-H1144</f>
        <v>-22.27</v>
      </c>
    </row>
    <row r="1145" customFormat="false" ht="15" hidden="false" customHeight="false" outlineLevel="0" collapsed="false">
      <c r="A1145" s="2" t="s">
        <v>126</v>
      </c>
      <c r="B1145" s="2" t="s">
        <v>126</v>
      </c>
      <c r="C1145" s="2" t="s">
        <v>48</v>
      </c>
      <c r="D1145" s="2" t="s">
        <v>10</v>
      </c>
      <c r="E1145" s="2" t="s">
        <v>76</v>
      </c>
      <c r="F1145" s="2" t="s">
        <v>1145</v>
      </c>
      <c r="G1145" s="14" t="n">
        <v>9.5</v>
      </c>
      <c r="H1145" s="14" t="n">
        <v>6.27</v>
      </c>
      <c r="I1145" s="14" t="n">
        <v>9.5</v>
      </c>
      <c r="J1145" s="22" t="n">
        <f aca="false">IF(E1145="Priority",'Cost model'!N380,'Cost model'!M380)</f>
        <v>8.5</v>
      </c>
      <c r="K1145" s="14" t="n">
        <f aca="false">J1145-H1145</f>
        <v>2.23</v>
      </c>
      <c r="L1145" s="14" t="n">
        <f aca="false">G1145-H1145</f>
        <v>3.23</v>
      </c>
    </row>
    <row r="1146" customFormat="false" ht="15" hidden="false" customHeight="false" outlineLevel="0" collapsed="false">
      <c r="A1146" s="2" t="s">
        <v>126</v>
      </c>
      <c r="B1146" s="2" t="s">
        <v>126</v>
      </c>
      <c r="C1146" s="2" t="s">
        <v>50</v>
      </c>
      <c r="D1146" s="2" t="s">
        <v>10</v>
      </c>
      <c r="E1146" s="2" t="s">
        <v>85</v>
      </c>
      <c r="F1146" s="2" t="s">
        <v>1145</v>
      </c>
      <c r="G1146" s="14" t="n">
        <v>24.5</v>
      </c>
      <c r="H1146" s="14" t="n">
        <v>37.28</v>
      </c>
      <c r="I1146" s="14" t="n">
        <v>24.5</v>
      </c>
      <c r="J1146" s="22" t="n">
        <f aca="false">IF(E1146="Priority",'Cost model'!N382,'Cost model'!M382)</f>
        <v>25.5</v>
      </c>
      <c r="K1146" s="14" t="n">
        <f aca="false">J1146-H1146</f>
        <v>-11.78</v>
      </c>
      <c r="L1146" s="14" t="n">
        <f aca="false">G1146-H1146</f>
        <v>-12.78</v>
      </c>
    </row>
    <row r="1147" customFormat="false" ht="15" hidden="false" customHeight="false" outlineLevel="0" collapsed="false">
      <c r="A1147" s="2" t="s">
        <v>240</v>
      </c>
      <c r="B1147" s="2" t="s">
        <v>184</v>
      </c>
      <c r="C1147" s="2" t="s">
        <v>48</v>
      </c>
      <c r="D1147" s="2" t="s">
        <v>10</v>
      </c>
      <c r="E1147" s="2" t="s">
        <v>76</v>
      </c>
      <c r="F1147" s="2" t="s">
        <v>1146</v>
      </c>
      <c r="G1147" s="14" t="n">
        <v>14.5</v>
      </c>
      <c r="H1147" s="14" t="n">
        <v>41.62</v>
      </c>
      <c r="I1147" s="14" t="n">
        <v>19.5</v>
      </c>
      <c r="J1147" s="22" t="n">
        <f aca="false">IF(E1147="Priority",'Cost model'!N938,'Cost model'!M938)</f>
        <v>16.5</v>
      </c>
      <c r="K1147" s="14" t="n">
        <f aca="false">J1147-H1147</f>
        <v>-25.12</v>
      </c>
      <c r="L1147" s="14" t="n">
        <f aca="false">G1147-H1147</f>
        <v>-27.12</v>
      </c>
    </row>
    <row r="1148" customFormat="false" ht="15" hidden="false" customHeight="false" outlineLevel="0" collapsed="false">
      <c r="A1148" s="2" t="s">
        <v>146</v>
      </c>
      <c r="B1148" s="2" t="s">
        <v>146</v>
      </c>
      <c r="C1148" s="2" t="s">
        <v>50</v>
      </c>
      <c r="D1148" s="2" t="s">
        <v>13</v>
      </c>
      <c r="E1148" s="2" t="s">
        <v>76</v>
      </c>
      <c r="F1148" s="2" t="s">
        <v>1145</v>
      </c>
      <c r="G1148" s="14" t="n">
        <v>50</v>
      </c>
      <c r="H1148" s="14" t="n">
        <v>28.01</v>
      </c>
      <c r="I1148" s="14" t="n">
        <v>50</v>
      </c>
      <c r="J1148" s="22" t="n">
        <f aca="false">IF(E1148="Priority",'Cost model'!N766,'Cost model'!M766)</f>
        <v>90</v>
      </c>
      <c r="K1148" s="14" t="n">
        <f aca="false">J1148-H1148</f>
        <v>61.99</v>
      </c>
      <c r="L1148" s="14" t="n">
        <f aca="false">G1148-H1148</f>
        <v>21.99</v>
      </c>
    </row>
    <row r="1149" customFormat="false" ht="15" hidden="false" customHeight="false" outlineLevel="0" collapsed="false">
      <c r="A1149" s="2" t="s">
        <v>126</v>
      </c>
      <c r="B1149" s="2" t="s">
        <v>126</v>
      </c>
      <c r="C1149" s="2" t="s">
        <v>48</v>
      </c>
      <c r="D1149" s="2" t="s">
        <v>10</v>
      </c>
      <c r="E1149" s="2" t="s">
        <v>76</v>
      </c>
      <c r="F1149" s="2" t="s">
        <v>1145</v>
      </c>
      <c r="G1149" s="14" t="n">
        <v>9.5</v>
      </c>
      <c r="H1149" s="14" t="n">
        <v>7.46</v>
      </c>
      <c r="I1149" s="14" t="n">
        <v>9.5</v>
      </c>
      <c r="J1149" s="22" t="n">
        <f aca="false">IF(E1149="Priority",'Cost model'!N380,'Cost model'!M380)</f>
        <v>8.5</v>
      </c>
      <c r="K1149" s="14" t="n">
        <f aca="false">J1149-H1149</f>
        <v>1.04</v>
      </c>
      <c r="L1149" s="14" t="n">
        <f aca="false">G1149-H1149</f>
        <v>2.04</v>
      </c>
    </row>
    <row r="1150" customFormat="false" ht="15" hidden="false" customHeight="false" outlineLevel="0" collapsed="false">
      <c r="A1150" s="2" t="s">
        <v>165</v>
      </c>
      <c r="B1150" s="2" t="s">
        <v>165</v>
      </c>
      <c r="C1150" s="2" t="s">
        <v>49</v>
      </c>
      <c r="D1150" s="2" t="s">
        <v>10</v>
      </c>
      <c r="E1150" s="2" t="s">
        <v>76</v>
      </c>
      <c r="F1150" s="2" t="s">
        <v>1145</v>
      </c>
      <c r="G1150" s="14" t="n">
        <v>12.5</v>
      </c>
      <c r="H1150" s="14" t="n">
        <v>11.25</v>
      </c>
      <c r="I1150" s="14" t="n">
        <v>12.5</v>
      </c>
      <c r="J1150" s="22" t="n">
        <f aca="false">IF(E1150="Priority",'Cost model'!N507,'Cost model'!M507)</f>
        <v>11.5</v>
      </c>
      <c r="K1150" s="14" t="n">
        <f aca="false">J1150-H1150</f>
        <v>0.25</v>
      </c>
      <c r="L1150" s="14" t="n">
        <f aca="false">G1150-H1150</f>
        <v>1.25</v>
      </c>
    </row>
    <row r="1151" customFormat="false" ht="15" hidden="false" customHeight="false" outlineLevel="0" collapsed="false">
      <c r="A1151" s="2" t="s">
        <v>240</v>
      </c>
      <c r="B1151" s="2" t="s">
        <v>125</v>
      </c>
      <c r="C1151" s="2" t="s">
        <v>48</v>
      </c>
      <c r="D1151" s="2" t="s">
        <v>12</v>
      </c>
      <c r="E1151" s="2" t="s">
        <v>76</v>
      </c>
      <c r="F1151" s="2" t="s">
        <v>1146</v>
      </c>
      <c r="G1151" s="14" t="n">
        <v>9.5</v>
      </c>
      <c r="H1151" s="14" t="n">
        <v>234.98</v>
      </c>
      <c r="I1151" s="14" t="n">
        <v>24.5</v>
      </c>
      <c r="J1151" s="22" t="n">
        <f aca="false">IF(E1151="Priority",'Cost model'!N977,'Cost model'!M977)</f>
        <v>85</v>
      </c>
      <c r="K1151" s="14" t="n">
        <f aca="false">J1151-H1151</f>
        <v>-149.98</v>
      </c>
      <c r="L1151" s="14" t="n">
        <f aca="false">G1151-H1151</f>
        <v>-225.48</v>
      </c>
    </row>
    <row r="1152" customFormat="false" ht="15" hidden="false" customHeight="false" outlineLevel="0" collapsed="false">
      <c r="A1152" s="2" t="s">
        <v>240</v>
      </c>
      <c r="B1152" s="2" t="s">
        <v>126</v>
      </c>
      <c r="C1152" s="2" t="s">
        <v>48</v>
      </c>
      <c r="D1152" s="2" t="s">
        <v>10</v>
      </c>
      <c r="E1152" s="2" t="s">
        <v>76</v>
      </c>
      <c r="F1152" s="2" t="s">
        <v>1146</v>
      </c>
      <c r="G1152" s="14" t="n">
        <v>19.5</v>
      </c>
      <c r="H1152" s="14" t="n">
        <v>12.57</v>
      </c>
      <c r="I1152" s="14" t="n">
        <v>19.5</v>
      </c>
      <c r="J1152" s="22" t="n">
        <f aca="false">IF(E1152="Priority",'Cost model'!N956,'Cost model'!M956)</f>
        <v>15.5</v>
      </c>
      <c r="K1152" s="14" t="n">
        <f aca="false">J1152-H1152</f>
        <v>2.93</v>
      </c>
      <c r="L1152" s="14" t="n">
        <f aca="false">G1152-H1152</f>
        <v>6.93</v>
      </c>
    </row>
    <row r="1153" customFormat="false" ht="15" hidden="false" customHeight="false" outlineLevel="0" collapsed="false">
      <c r="A1153" s="2" t="s">
        <v>184</v>
      </c>
      <c r="B1153" s="2" t="s">
        <v>146</v>
      </c>
      <c r="C1153" s="2" t="s">
        <v>50</v>
      </c>
      <c r="D1153" s="2" t="s">
        <v>12</v>
      </c>
      <c r="E1153" s="2" t="s">
        <v>76</v>
      </c>
      <c r="F1153" s="2" t="s">
        <v>1146</v>
      </c>
      <c r="G1153" s="14" t="n">
        <v>19.5</v>
      </c>
      <c r="H1153" s="14" t="n">
        <v>59.22</v>
      </c>
      <c r="I1153" s="14" t="n">
        <v>19.5</v>
      </c>
      <c r="J1153" s="22" t="n">
        <f aca="false">IF(E1153="Priority",'Cost model'!N151,'Cost model'!M151)</f>
        <v>55</v>
      </c>
      <c r="K1153" s="14" t="n">
        <f aca="false">J1153-H1153</f>
        <v>-4.22</v>
      </c>
      <c r="L1153" s="14" t="n">
        <f aca="false">G1153-H1153</f>
        <v>-39.72</v>
      </c>
    </row>
    <row r="1154" customFormat="false" ht="15" hidden="false" customHeight="false" outlineLevel="0" collapsed="false">
      <c r="A1154" s="2" t="s">
        <v>184</v>
      </c>
      <c r="B1154" s="2" t="s">
        <v>184</v>
      </c>
      <c r="C1154" s="2" t="s">
        <v>50</v>
      </c>
      <c r="D1154" s="2" t="s">
        <v>10</v>
      </c>
      <c r="E1154" s="2" t="s">
        <v>76</v>
      </c>
      <c r="F1154" s="2" t="s">
        <v>1145</v>
      </c>
      <c r="G1154" s="14" t="n">
        <v>17.5</v>
      </c>
      <c r="H1154" s="14" t="n">
        <v>19.56</v>
      </c>
      <c r="I1154" s="14" t="n">
        <v>17.5</v>
      </c>
      <c r="J1154" s="22" t="n">
        <f aca="false">IF(E1154="Priority",'Cost model'!N202,'Cost model'!M202)</f>
        <v>17.5</v>
      </c>
      <c r="K1154" s="14" t="n">
        <f aca="false">J1154-H1154</f>
        <v>-2.06</v>
      </c>
      <c r="L1154" s="14" t="n">
        <f aca="false">G1154-H1154</f>
        <v>-2.06</v>
      </c>
    </row>
    <row r="1155" customFormat="false" ht="15" hidden="false" customHeight="false" outlineLevel="0" collapsed="false">
      <c r="A1155" s="2" t="s">
        <v>126</v>
      </c>
      <c r="B1155" s="2" t="s">
        <v>184</v>
      </c>
      <c r="C1155" s="2" t="s">
        <v>49</v>
      </c>
      <c r="D1155" s="2" t="s">
        <v>12</v>
      </c>
      <c r="E1155" s="2" t="s">
        <v>76</v>
      </c>
      <c r="F1155" s="2" t="s">
        <v>1146</v>
      </c>
      <c r="G1155" s="14" t="n">
        <v>12.5</v>
      </c>
      <c r="H1155" s="14" t="n">
        <v>47.59</v>
      </c>
      <c r="I1155" s="14" t="n">
        <v>19.5</v>
      </c>
      <c r="J1155" s="22" t="n">
        <f aca="false">IF(E1155="Priority",'Cost model'!N438,'Cost model'!M438)</f>
        <v>55</v>
      </c>
      <c r="K1155" s="14" t="n">
        <f aca="false">J1155-H1155</f>
        <v>7.41</v>
      </c>
      <c r="L1155" s="14" t="n">
        <f aca="false">G1155-H1155</f>
        <v>-35.09</v>
      </c>
    </row>
    <row r="1156" customFormat="false" ht="15" hidden="false" customHeight="false" outlineLevel="0" collapsed="false">
      <c r="A1156" s="2" t="s">
        <v>240</v>
      </c>
      <c r="B1156" s="2" t="s">
        <v>240</v>
      </c>
      <c r="C1156" s="2" t="s">
        <v>50</v>
      </c>
      <c r="D1156" s="2" t="s">
        <v>12</v>
      </c>
      <c r="E1156" s="2" t="s">
        <v>76</v>
      </c>
      <c r="F1156" s="2" t="s">
        <v>1145</v>
      </c>
      <c r="G1156" s="14" t="n">
        <v>19.5</v>
      </c>
      <c r="H1156" s="14" t="n">
        <v>142.18</v>
      </c>
      <c r="I1156" s="14" t="n">
        <v>19.5</v>
      </c>
      <c r="J1156" s="22" t="n">
        <f aca="false">IF(E1156="Priority",'Cost model'!N889,'Cost model'!M889)</f>
        <v>60</v>
      </c>
      <c r="K1156" s="14" t="n">
        <f aca="false">J1156-H1156</f>
        <v>-82.18</v>
      </c>
      <c r="L1156" s="14" t="n">
        <f aca="false">G1156-H1156</f>
        <v>-122.68</v>
      </c>
    </row>
    <row r="1157" customFormat="false" ht="15" hidden="false" customHeight="false" outlineLevel="0" collapsed="false">
      <c r="A1157" s="2" t="s">
        <v>165</v>
      </c>
      <c r="B1157" s="2" t="s">
        <v>165</v>
      </c>
      <c r="C1157" s="2" t="s">
        <v>50</v>
      </c>
      <c r="D1157" s="2" t="s">
        <v>12</v>
      </c>
      <c r="E1157" s="2" t="s">
        <v>85</v>
      </c>
      <c r="F1157" s="2" t="s">
        <v>1145</v>
      </c>
      <c r="G1157" s="14" t="n">
        <v>29.5</v>
      </c>
      <c r="H1157" s="14" t="n">
        <v>24.93</v>
      </c>
      <c r="I1157" s="14" t="n">
        <v>29.5</v>
      </c>
      <c r="J1157" s="22" t="n">
        <f aca="false">IF(E1157="Priority",'Cost model'!N511,'Cost model'!M511)</f>
        <v>45</v>
      </c>
      <c r="K1157" s="14" t="n">
        <f aca="false">J1157-H1157</f>
        <v>20.07</v>
      </c>
      <c r="L1157" s="14" t="n">
        <f aca="false">G1157-H1157</f>
        <v>4.57</v>
      </c>
    </row>
    <row r="1158" customFormat="false" ht="15" hidden="false" customHeight="false" outlineLevel="0" collapsed="false">
      <c r="A1158" s="2" t="s">
        <v>146</v>
      </c>
      <c r="B1158" s="2" t="s">
        <v>146</v>
      </c>
      <c r="C1158" s="2" t="s">
        <v>49</v>
      </c>
      <c r="D1158" s="2" t="s">
        <v>13</v>
      </c>
      <c r="E1158" s="2" t="s">
        <v>76</v>
      </c>
      <c r="F1158" s="2" t="s">
        <v>1145</v>
      </c>
      <c r="G1158" s="14" t="n">
        <v>24.5</v>
      </c>
      <c r="H1158" s="14" t="n">
        <v>34.24</v>
      </c>
      <c r="I1158" s="14" t="n">
        <v>24.5</v>
      </c>
      <c r="J1158" s="22" t="n">
        <f aca="false">IF(E1158="Priority",'Cost model'!N765,'Cost model'!M765)</f>
        <v>70</v>
      </c>
      <c r="K1158" s="14" t="n">
        <f aca="false">J1158-H1158</f>
        <v>35.76</v>
      </c>
      <c r="L1158" s="14" t="n">
        <f aca="false">G1158-H1158</f>
        <v>-9.74</v>
      </c>
    </row>
    <row r="1159" customFormat="false" ht="15" hidden="false" customHeight="false" outlineLevel="0" collapsed="false">
      <c r="A1159" s="2" t="s">
        <v>126</v>
      </c>
      <c r="B1159" s="2" t="s">
        <v>126</v>
      </c>
      <c r="C1159" s="2" t="s">
        <v>49</v>
      </c>
      <c r="D1159" s="2" t="s">
        <v>15</v>
      </c>
      <c r="E1159" s="2" t="s">
        <v>76</v>
      </c>
      <c r="F1159" s="2" t="s">
        <v>1145</v>
      </c>
      <c r="G1159" s="14" t="n">
        <v>85</v>
      </c>
      <c r="H1159" s="14" t="n">
        <v>122.07</v>
      </c>
      <c r="I1159" s="14" t="n">
        <v>85</v>
      </c>
      <c r="J1159" s="22" t="n">
        <f aca="false">IF(E1159="Priority",'Cost model'!N393,'Cost model'!M393)</f>
        <v>160</v>
      </c>
      <c r="K1159" s="14" t="n">
        <f aca="false">J1159-H1159</f>
        <v>37.93</v>
      </c>
      <c r="L1159" s="14" t="n">
        <f aca="false">G1159-H1159</f>
        <v>-37.07</v>
      </c>
    </row>
    <row r="1160" customFormat="false" ht="15" hidden="false" customHeight="false" outlineLevel="0" collapsed="false">
      <c r="A1160" s="2" t="s">
        <v>184</v>
      </c>
      <c r="B1160" s="2" t="s">
        <v>184</v>
      </c>
      <c r="C1160" s="2" t="s">
        <v>50</v>
      </c>
      <c r="D1160" s="2" t="s">
        <v>12</v>
      </c>
      <c r="E1160" s="2" t="s">
        <v>76</v>
      </c>
      <c r="F1160" s="2" t="s">
        <v>1145</v>
      </c>
      <c r="G1160" s="14" t="n">
        <v>19.5</v>
      </c>
      <c r="H1160" s="14" t="n">
        <v>44.89</v>
      </c>
      <c r="I1160" s="14" t="n">
        <v>19.5</v>
      </c>
      <c r="J1160" s="22" t="n">
        <f aca="false">IF(E1160="Priority",'Cost model'!N205,'Cost model'!M205)</f>
        <v>50</v>
      </c>
      <c r="K1160" s="14" t="n">
        <f aca="false">J1160-H1160</f>
        <v>5.11</v>
      </c>
      <c r="L1160" s="14" t="n">
        <f aca="false">G1160-H1160</f>
        <v>-25.39</v>
      </c>
    </row>
    <row r="1161" customFormat="false" ht="15" hidden="false" customHeight="false" outlineLevel="0" collapsed="false">
      <c r="A1161" s="2" t="s">
        <v>146</v>
      </c>
      <c r="B1161" s="2" t="s">
        <v>146</v>
      </c>
      <c r="C1161" s="2" t="s">
        <v>48</v>
      </c>
      <c r="D1161" s="2" t="s">
        <v>10</v>
      </c>
      <c r="E1161" s="2" t="s">
        <v>76</v>
      </c>
      <c r="F1161" s="2" t="s">
        <v>1145</v>
      </c>
      <c r="G1161" s="14" t="n">
        <v>9.5</v>
      </c>
      <c r="H1161" s="14" t="n">
        <v>7.47</v>
      </c>
      <c r="I1161" s="14" t="n">
        <v>9.5</v>
      </c>
      <c r="J1161" s="22" t="n">
        <f aca="false">IF(E1161="Priority",'Cost model'!N758,'Cost model'!M758)</f>
        <v>9.5</v>
      </c>
      <c r="K1161" s="14" t="n">
        <f aca="false">J1161-H1161</f>
        <v>2.03</v>
      </c>
      <c r="L1161" s="14" t="n">
        <f aca="false">G1161-H1161</f>
        <v>2.03</v>
      </c>
    </row>
    <row r="1162" customFormat="false" ht="15" hidden="false" customHeight="false" outlineLevel="0" collapsed="false">
      <c r="A1162" s="2" t="s">
        <v>184</v>
      </c>
      <c r="B1162" s="2" t="s">
        <v>184</v>
      </c>
      <c r="C1162" s="2" t="s">
        <v>48</v>
      </c>
      <c r="D1162" s="2" t="s">
        <v>10</v>
      </c>
      <c r="E1162" s="2" t="s">
        <v>76</v>
      </c>
      <c r="F1162" s="2" t="s">
        <v>1145</v>
      </c>
      <c r="G1162" s="14" t="n">
        <v>9.5</v>
      </c>
      <c r="H1162" s="14" t="n">
        <v>7.72</v>
      </c>
      <c r="I1162" s="14" t="n">
        <v>9.5</v>
      </c>
      <c r="J1162" s="22" t="n">
        <f aca="false">IF(E1162="Priority",'Cost model'!N200,'Cost model'!M200)</f>
        <v>7.5</v>
      </c>
      <c r="K1162" s="14" t="n">
        <f aca="false">J1162-H1162</f>
        <v>-0.22</v>
      </c>
      <c r="L1162" s="14" t="n">
        <f aca="false">G1162-H1162</f>
        <v>1.78</v>
      </c>
    </row>
    <row r="1163" customFormat="false" ht="15" hidden="false" customHeight="false" outlineLevel="0" collapsed="false">
      <c r="A1163" s="2" t="s">
        <v>240</v>
      </c>
      <c r="B1163" s="2" t="s">
        <v>165</v>
      </c>
      <c r="C1163" s="2" t="s">
        <v>48</v>
      </c>
      <c r="D1163" s="2" t="s">
        <v>10</v>
      </c>
      <c r="E1163" s="2" t="s">
        <v>85</v>
      </c>
      <c r="F1163" s="2" t="s">
        <v>1146</v>
      </c>
      <c r="G1163" s="14" t="n">
        <v>19.5</v>
      </c>
      <c r="H1163" s="14" t="n">
        <v>18.86</v>
      </c>
      <c r="I1163" s="14" t="n">
        <v>19.5</v>
      </c>
      <c r="J1163" s="22" t="n">
        <f aca="false">IF(E1163="Priority",'Cost model'!N902,'Cost model'!M902)</f>
        <v>18.5</v>
      </c>
      <c r="K1163" s="14" t="n">
        <f aca="false">J1163-H1163</f>
        <v>-0.359999999999999</v>
      </c>
      <c r="L1163" s="14" t="n">
        <f aca="false">G1163-H1163</f>
        <v>0.640000000000001</v>
      </c>
    </row>
    <row r="1164" customFormat="false" ht="15" hidden="false" customHeight="false" outlineLevel="0" collapsed="false">
      <c r="A1164" s="2" t="s">
        <v>146</v>
      </c>
      <c r="B1164" s="2" t="s">
        <v>240</v>
      </c>
      <c r="C1164" s="2" t="s">
        <v>50</v>
      </c>
      <c r="D1164" s="2" t="s">
        <v>10</v>
      </c>
      <c r="E1164" s="2" t="s">
        <v>76</v>
      </c>
      <c r="F1164" s="2" t="s">
        <v>1146</v>
      </c>
      <c r="G1164" s="14" t="n">
        <v>17.5</v>
      </c>
      <c r="H1164" s="14" t="n">
        <v>19.05</v>
      </c>
      <c r="I1164" s="14" t="n">
        <v>19.5</v>
      </c>
      <c r="J1164" s="22" t="n">
        <f aca="false">IF(E1164="Priority",'Cost model'!N814,'Cost model'!M814)</f>
        <v>20.5</v>
      </c>
      <c r="K1164" s="14" t="n">
        <f aca="false">J1164-H1164</f>
        <v>1.45</v>
      </c>
      <c r="L1164" s="14" t="n">
        <f aca="false">G1164-H1164</f>
        <v>-1.55</v>
      </c>
    </row>
    <row r="1165" customFormat="false" ht="15" hidden="false" customHeight="false" outlineLevel="0" collapsed="false">
      <c r="A1165" s="2" t="s">
        <v>240</v>
      </c>
      <c r="B1165" s="2" t="s">
        <v>240</v>
      </c>
      <c r="C1165" s="2" t="s">
        <v>48</v>
      </c>
      <c r="D1165" s="2" t="s">
        <v>12</v>
      </c>
      <c r="E1165" s="2" t="s">
        <v>76</v>
      </c>
      <c r="F1165" s="2" t="s">
        <v>1145</v>
      </c>
      <c r="G1165" s="14" t="n">
        <v>9.5</v>
      </c>
      <c r="H1165" s="14" t="n">
        <v>16.64</v>
      </c>
      <c r="I1165" s="14" t="n">
        <v>9.5</v>
      </c>
      <c r="J1165" s="22" t="n">
        <f aca="false">IF(E1165="Priority",'Cost model'!N887,'Cost model'!M887)</f>
        <v>21.5</v>
      </c>
      <c r="K1165" s="14" t="n">
        <f aca="false">J1165-H1165</f>
        <v>4.86</v>
      </c>
      <c r="L1165" s="14" t="n">
        <f aca="false">G1165-H1165</f>
        <v>-7.14</v>
      </c>
    </row>
    <row r="1166" customFormat="false" ht="15" hidden="false" customHeight="false" outlineLevel="0" collapsed="false">
      <c r="A1166" s="2" t="s">
        <v>146</v>
      </c>
      <c r="B1166" s="2" t="s">
        <v>146</v>
      </c>
      <c r="C1166" s="2" t="s">
        <v>49</v>
      </c>
      <c r="D1166" s="2" t="s">
        <v>10</v>
      </c>
      <c r="E1166" s="2" t="s">
        <v>76</v>
      </c>
      <c r="F1166" s="2" t="s">
        <v>1145</v>
      </c>
      <c r="G1166" s="14" t="n">
        <v>12.5</v>
      </c>
      <c r="H1166" s="14" t="n">
        <v>10.48</v>
      </c>
      <c r="I1166" s="14" t="n">
        <v>12.5</v>
      </c>
      <c r="J1166" s="22" t="n">
        <f aca="false">IF(E1166="Priority",'Cost model'!N759,'Cost model'!M759)</f>
        <v>15.5</v>
      </c>
      <c r="K1166" s="14" t="n">
        <f aca="false">J1166-H1166</f>
        <v>5.02</v>
      </c>
      <c r="L1166" s="14" t="n">
        <f aca="false">G1166-H1166</f>
        <v>2.02</v>
      </c>
    </row>
    <row r="1167" customFormat="false" ht="15" hidden="false" customHeight="false" outlineLevel="0" collapsed="false">
      <c r="A1167" s="2" t="s">
        <v>240</v>
      </c>
      <c r="B1167" s="2" t="s">
        <v>240</v>
      </c>
      <c r="C1167" s="2" t="s">
        <v>48</v>
      </c>
      <c r="D1167" s="2" t="s">
        <v>10</v>
      </c>
      <c r="E1167" s="2" t="s">
        <v>76</v>
      </c>
      <c r="F1167" s="2" t="s">
        <v>1145</v>
      </c>
      <c r="G1167" s="14" t="n">
        <v>9.5</v>
      </c>
      <c r="H1167" s="14" t="n">
        <v>6.25</v>
      </c>
      <c r="I1167" s="14" t="n">
        <v>9.5</v>
      </c>
      <c r="J1167" s="22" t="n">
        <f aca="false">IF(E1167="Priority",'Cost model'!N884,'Cost model'!M884)</f>
        <v>7.5</v>
      </c>
      <c r="K1167" s="14" t="n">
        <f aca="false">J1167-H1167</f>
        <v>1.25</v>
      </c>
      <c r="L1167" s="14" t="n">
        <f aca="false">G1167-H1167</f>
        <v>3.25</v>
      </c>
    </row>
    <row r="1168" customFormat="false" ht="15" hidden="false" customHeight="false" outlineLevel="0" collapsed="false">
      <c r="A1168" s="2" t="s">
        <v>146</v>
      </c>
      <c r="B1168" s="2" t="s">
        <v>146</v>
      </c>
      <c r="C1168" s="2" t="s">
        <v>48</v>
      </c>
      <c r="D1168" s="2" t="s">
        <v>10</v>
      </c>
      <c r="E1168" s="2" t="s">
        <v>76</v>
      </c>
      <c r="F1168" s="2" t="s">
        <v>1145</v>
      </c>
      <c r="G1168" s="14" t="n">
        <v>9.5</v>
      </c>
      <c r="H1168" s="14" t="n">
        <v>10.51</v>
      </c>
      <c r="I1168" s="14" t="n">
        <v>9.5</v>
      </c>
      <c r="J1168" s="22" t="n">
        <f aca="false">IF(E1168="Priority",'Cost model'!N758,'Cost model'!M758)</f>
        <v>9.5</v>
      </c>
      <c r="K1168" s="14" t="n">
        <f aca="false">J1168-H1168</f>
        <v>-1.01</v>
      </c>
      <c r="L1168" s="14" t="n">
        <f aca="false">G1168-H1168</f>
        <v>-1.01</v>
      </c>
    </row>
    <row r="1169" customFormat="false" ht="15" hidden="false" customHeight="false" outlineLevel="0" collapsed="false">
      <c r="A1169" s="2" t="s">
        <v>146</v>
      </c>
      <c r="B1169" s="2" t="s">
        <v>126</v>
      </c>
      <c r="C1169" s="2" t="s">
        <v>48</v>
      </c>
      <c r="D1169" s="2" t="s">
        <v>12</v>
      </c>
      <c r="E1169" s="2" t="s">
        <v>76</v>
      </c>
      <c r="F1169" s="2" t="s">
        <v>1146</v>
      </c>
      <c r="G1169" s="14" t="n">
        <v>14.5</v>
      </c>
      <c r="H1169" s="14" t="n">
        <v>10.24</v>
      </c>
      <c r="I1169" s="14" t="n">
        <v>19.5</v>
      </c>
      <c r="J1169" s="22" t="n">
        <f aca="false">IF(E1169="Priority",'Cost model'!N797,'Cost model'!M797)</f>
        <v>40</v>
      </c>
      <c r="K1169" s="14" t="n">
        <f aca="false">J1169-H1169</f>
        <v>29.76</v>
      </c>
      <c r="L1169" s="14" t="n">
        <f aca="false">G1169-H1169</f>
        <v>4.26</v>
      </c>
    </row>
    <row r="1170" customFormat="false" ht="15" hidden="false" customHeight="false" outlineLevel="0" collapsed="false">
      <c r="A1170" s="2" t="s">
        <v>146</v>
      </c>
      <c r="B1170" s="2" t="s">
        <v>126</v>
      </c>
      <c r="C1170" s="2" t="s">
        <v>49</v>
      </c>
      <c r="D1170" s="2" t="s">
        <v>12</v>
      </c>
      <c r="E1170" s="2" t="s">
        <v>76</v>
      </c>
      <c r="F1170" s="2" t="s">
        <v>1146</v>
      </c>
      <c r="G1170" s="14" t="n">
        <v>12.5</v>
      </c>
      <c r="H1170" s="14" t="n">
        <v>47.06</v>
      </c>
      <c r="I1170" s="14" t="n">
        <v>19.5</v>
      </c>
      <c r="J1170" s="22" t="n">
        <f aca="false">IF(E1170="Priority",'Cost model'!N798,'Cost model'!M798)</f>
        <v>45</v>
      </c>
      <c r="K1170" s="14" t="n">
        <f aca="false">J1170-H1170</f>
        <v>-2.06</v>
      </c>
      <c r="L1170" s="14" t="n">
        <f aca="false">G1170-H1170</f>
        <v>-34.56</v>
      </c>
    </row>
    <row r="1171" customFormat="false" ht="15" hidden="false" customHeight="false" outlineLevel="0" collapsed="false">
      <c r="A1171" s="2" t="s">
        <v>146</v>
      </c>
      <c r="B1171" s="2" t="s">
        <v>146</v>
      </c>
      <c r="C1171" s="2" t="s">
        <v>48</v>
      </c>
      <c r="D1171" s="2" t="s">
        <v>10</v>
      </c>
      <c r="E1171" s="2" t="s">
        <v>85</v>
      </c>
      <c r="F1171" s="2" t="s">
        <v>1145</v>
      </c>
      <c r="G1171" s="14" t="n">
        <v>14.5</v>
      </c>
      <c r="H1171" s="14" t="n">
        <v>5.23</v>
      </c>
      <c r="I1171" s="14" t="n">
        <v>14.5</v>
      </c>
      <c r="J1171" s="22" t="n">
        <f aca="false">IF(E1171="Priority",'Cost model'!N758,'Cost model'!M758)</f>
        <v>14.5</v>
      </c>
      <c r="K1171" s="14" t="n">
        <f aca="false">J1171-H1171</f>
        <v>9.27</v>
      </c>
      <c r="L1171" s="14" t="n">
        <f aca="false">G1171-H1171</f>
        <v>9.27</v>
      </c>
    </row>
    <row r="1172" customFormat="false" ht="15" hidden="false" customHeight="false" outlineLevel="0" collapsed="false">
      <c r="A1172" s="2" t="s">
        <v>165</v>
      </c>
      <c r="B1172" s="2" t="s">
        <v>165</v>
      </c>
      <c r="C1172" s="2" t="s">
        <v>50</v>
      </c>
      <c r="D1172" s="2" t="s">
        <v>10</v>
      </c>
      <c r="E1172" s="2" t="s">
        <v>76</v>
      </c>
      <c r="F1172" s="2" t="s">
        <v>1145</v>
      </c>
      <c r="G1172" s="14" t="n">
        <v>17.5</v>
      </c>
      <c r="H1172" s="14" t="n">
        <v>15.82</v>
      </c>
      <c r="I1172" s="14" t="n">
        <v>17.5</v>
      </c>
      <c r="J1172" s="22" t="n">
        <f aca="false">IF(E1172="Priority",'Cost model'!N508,'Cost model'!M508)</f>
        <v>17.5</v>
      </c>
      <c r="K1172" s="14" t="n">
        <f aca="false">J1172-H1172</f>
        <v>1.68</v>
      </c>
      <c r="L1172" s="14" t="n">
        <f aca="false">G1172-H1172</f>
        <v>1.68</v>
      </c>
    </row>
    <row r="1173" customFormat="false" ht="15" hidden="false" customHeight="false" outlineLevel="0" collapsed="false">
      <c r="A1173" s="2" t="s">
        <v>146</v>
      </c>
      <c r="B1173" s="2" t="s">
        <v>146</v>
      </c>
      <c r="C1173" s="2" t="s">
        <v>50</v>
      </c>
      <c r="D1173" s="2" t="s">
        <v>10</v>
      </c>
      <c r="E1173" s="2" t="s">
        <v>76</v>
      </c>
      <c r="F1173" s="2" t="s">
        <v>1145</v>
      </c>
      <c r="G1173" s="14" t="n">
        <v>17.5</v>
      </c>
      <c r="H1173" s="14" t="n">
        <v>21.61</v>
      </c>
      <c r="I1173" s="14" t="n">
        <v>17.5</v>
      </c>
      <c r="J1173" s="22" t="n">
        <f aca="false">IF(E1173="Priority",'Cost model'!N760,'Cost model'!M760)</f>
        <v>18.5</v>
      </c>
      <c r="K1173" s="14" t="n">
        <f aca="false">J1173-H1173</f>
        <v>-3.11</v>
      </c>
      <c r="L1173" s="14" t="n">
        <f aca="false">G1173-H1173</f>
        <v>-4.11</v>
      </c>
    </row>
    <row r="1174" customFormat="false" ht="15" hidden="false" customHeight="false" outlineLevel="0" collapsed="false">
      <c r="A1174" s="2" t="s">
        <v>184</v>
      </c>
      <c r="B1174" s="2" t="s">
        <v>184</v>
      </c>
      <c r="C1174" s="2" t="s">
        <v>48</v>
      </c>
      <c r="D1174" s="2" t="s">
        <v>12</v>
      </c>
      <c r="E1174" s="2" t="s">
        <v>76</v>
      </c>
      <c r="F1174" s="2" t="s">
        <v>1145</v>
      </c>
      <c r="G1174" s="14" t="n">
        <v>9.5</v>
      </c>
      <c r="H1174" s="14" t="n">
        <v>43.59</v>
      </c>
      <c r="I1174" s="14" t="n">
        <v>9.5</v>
      </c>
      <c r="J1174" s="22" t="n">
        <f aca="false">IF(E1174="Priority",'Cost model'!N203,'Cost model'!M203)</f>
        <v>26.5</v>
      </c>
      <c r="K1174" s="14" t="n">
        <f aca="false">J1174-H1174</f>
        <v>-17.09</v>
      </c>
      <c r="L1174" s="14" t="n">
        <f aca="false">G1174-H1174</f>
        <v>-34.09</v>
      </c>
    </row>
    <row r="1175" customFormat="false" ht="15" hidden="false" customHeight="false" outlineLevel="0" collapsed="false">
      <c r="A1175" s="2" t="s">
        <v>184</v>
      </c>
      <c r="B1175" s="2" t="s">
        <v>184</v>
      </c>
      <c r="C1175" s="2" t="s">
        <v>48</v>
      </c>
      <c r="D1175" s="2" t="s">
        <v>10</v>
      </c>
      <c r="E1175" s="2" t="s">
        <v>76</v>
      </c>
      <c r="F1175" s="2" t="s">
        <v>1145</v>
      </c>
      <c r="G1175" s="14" t="n">
        <v>9.5</v>
      </c>
      <c r="H1175" s="14" t="n">
        <v>7.72</v>
      </c>
      <c r="I1175" s="14" t="n">
        <v>9.5</v>
      </c>
      <c r="J1175" s="22" t="n">
        <f aca="false">IF(E1175="Priority",'Cost model'!N200,'Cost model'!M200)</f>
        <v>7.5</v>
      </c>
      <c r="K1175" s="14" t="n">
        <f aca="false">J1175-H1175</f>
        <v>-0.22</v>
      </c>
      <c r="L1175" s="14" t="n">
        <f aca="false">G1175-H1175</f>
        <v>1.78</v>
      </c>
    </row>
    <row r="1176" customFormat="false" ht="15" hidden="false" customHeight="false" outlineLevel="0" collapsed="false">
      <c r="A1176" s="2" t="s">
        <v>146</v>
      </c>
      <c r="B1176" s="2" t="s">
        <v>126</v>
      </c>
      <c r="C1176" s="2" t="s">
        <v>48</v>
      </c>
      <c r="D1176" s="2" t="s">
        <v>10</v>
      </c>
      <c r="E1176" s="2" t="s">
        <v>76</v>
      </c>
      <c r="F1176" s="2" t="s">
        <v>1146</v>
      </c>
      <c r="G1176" s="14" t="n">
        <v>14.5</v>
      </c>
      <c r="H1176" s="14" t="n">
        <v>10.53</v>
      </c>
      <c r="I1176" s="14" t="n">
        <v>14.5</v>
      </c>
      <c r="J1176" s="22" t="n">
        <f aca="false">IF(E1176="Priority",'Cost model'!N794,'Cost model'!M794)</f>
        <v>12.5</v>
      </c>
      <c r="K1176" s="14" t="n">
        <f aca="false">J1176-H1176</f>
        <v>1.97</v>
      </c>
      <c r="L1176" s="14" t="n">
        <f aca="false">G1176-H1176</f>
        <v>3.97</v>
      </c>
    </row>
    <row r="1177" customFormat="false" ht="15" hidden="false" customHeight="false" outlineLevel="0" collapsed="false">
      <c r="A1177" s="2" t="s">
        <v>126</v>
      </c>
      <c r="B1177" s="2" t="s">
        <v>184</v>
      </c>
      <c r="C1177" s="2" t="s">
        <v>49</v>
      </c>
      <c r="D1177" s="2" t="s">
        <v>12</v>
      </c>
      <c r="E1177" s="2" t="s">
        <v>76</v>
      </c>
      <c r="F1177" s="2" t="s">
        <v>1146</v>
      </c>
      <c r="G1177" s="14" t="n">
        <v>19.5</v>
      </c>
      <c r="H1177" s="14" t="n">
        <v>41.77</v>
      </c>
      <c r="I1177" s="14" t="n">
        <v>19.5</v>
      </c>
      <c r="J1177" s="22" t="n">
        <f aca="false">IF(E1177="Priority",'Cost model'!N438,'Cost model'!M438)</f>
        <v>55</v>
      </c>
      <c r="K1177" s="14" t="n">
        <f aca="false">J1177-H1177</f>
        <v>13.23</v>
      </c>
      <c r="L1177" s="14" t="n">
        <f aca="false">G1177-H1177</f>
        <v>-22.27</v>
      </c>
    </row>
    <row r="1178" customFormat="false" ht="15" hidden="false" customHeight="false" outlineLevel="0" collapsed="false">
      <c r="A1178" s="2" t="s">
        <v>126</v>
      </c>
      <c r="B1178" s="2" t="s">
        <v>126</v>
      </c>
      <c r="C1178" s="2" t="s">
        <v>49</v>
      </c>
      <c r="D1178" s="2" t="s">
        <v>14</v>
      </c>
      <c r="E1178" s="2" t="s">
        <v>76</v>
      </c>
      <c r="F1178" s="2" t="s">
        <v>1145</v>
      </c>
      <c r="G1178" s="14" t="n">
        <v>45</v>
      </c>
      <c r="H1178" s="14" t="n">
        <v>127.45</v>
      </c>
      <c r="I1178" s="14" t="n">
        <v>45</v>
      </c>
      <c r="J1178" s="22" t="n">
        <f aca="false">IF(E1178="Priority",'Cost model'!N390,'Cost model'!M390)</f>
        <v>115</v>
      </c>
      <c r="K1178" s="14" t="n">
        <f aca="false">J1178-H1178</f>
        <v>-12.45</v>
      </c>
      <c r="L1178" s="14" t="n">
        <f aca="false">G1178-H1178</f>
        <v>-82.45</v>
      </c>
    </row>
    <row r="1179" customFormat="false" ht="15" hidden="false" customHeight="false" outlineLevel="0" collapsed="false">
      <c r="A1179" s="2" t="s">
        <v>240</v>
      </c>
      <c r="B1179" s="2" t="s">
        <v>240</v>
      </c>
      <c r="C1179" s="2" t="s">
        <v>50</v>
      </c>
      <c r="D1179" s="2" t="s">
        <v>12</v>
      </c>
      <c r="E1179" s="2" t="s">
        <v>85</v>
      </c>
      <c r="F1179" s="2" t="s">
        <v>1145</v>
      </c>
      <c r="G1179" s="14" t="n">
        <v>29.5</v>
      </c>
      <c r="H1179" s="14" t="n">
        <v>80.18</v>
      </c>
      <c r="I1179" s="14" t="n">
        <v>29.5</v>
      </c>
      <c r="J1179" s="22" t="n">
        <f aca="false">IF(E1179="Priority",'Cost model'!N889,'Cost model'!M889)</f>
        <v>80</v>
      </c>
      <c r="K1179" s="14" t="n">
        <f aca="false">J1179-H1179</f>
        <v>-0.180000000000007</v>
      </c>
      <c r="L1179" s="14" t="n">
        <f aca="false">G1179-H1179</f>
        <v>-50.68</v>
      </c>
    </row>
    <row r="1180" customFormat="false" ht="15" hidden="false" customHeight="false" outlineLevel="0" collapsed="false">
      <c r="A1180" s="2" t="s">
        <v>240</v>
      </c>
      <c r="B1180" s="2" t="s">
        <v>165</v>
      </c>
      <c r="C1180" s="2" t="s">
        <v>50</v>
      </c>
      <c r="D1180" s="2" t="s">
        <v>10</v>
      </c>
      <c r="E1180" s="2" t="s">
        <v>85</v>
      </c>
      <c r="F1180" s="2" t="s">
        <v>1146</v>
      </c>
      <c r="G1180" s="14" t="n">
        <v>29.5</v>
      </c>
      <c r="H1180" s="14" t="n">
        <v>20.83</v>
      </c>
      <c r="I1180" s="14" t="n">
        <v>29.5</v>
      </c>
      <c r="J1180" s="22" t="n">
        <f aca="false">IF(E1180="Priority",'Cost model'!N904,'Cost model'!M904)</f>
        <v>35</v>
      </c>
      <c r="K1180" s="14" t="n">
        <f aca="false">J1180-H1180</f>
        <v>14.17</v>
      </c>
      <c r="L1180" s="14" t="n">
        <f aca="false">G1180-H1180</f>
        <v>8.67</v>
      </c>
    </row>
    <row r="1181" customFormat="false" ht="15" hidden="false" customHeight="false" outlineLevel="0" collapsed="false">
      <c r="A1181" s="2" t="s">
        <v>240</v>
      </c>
      <c r="B1181" s="2" t="s">
        <v>165</v>
      </c>
      <c r="C1181" s="2" t="s">
        <v>50</v>
      </c>
      <c r="D1181" s="2" t="s">
        <v>10</v>
      </c>
      <c r="E1181" s="2" t="s">
        <v>76</v>
      </c>
      <c r="F1181" s="2" t="s">
        <v>1146</v>
      </c>
      <c r="G1181" s="14" t="n">
        <v>17.5</v>
      </c>
      <c r="H1181" s="14" t="n">
        <v>24.63</v>
      </c>
      <c r="I1181" s="14" t="n">
        <v>17.5</v>
      </c>
      <c r="J1181" s="22" t="n">
        <f aca="false">IF(E1181="Priority",'Cost model'!N904,'Cost model'!M904)</f>
        <v>24.5</v>
      </c>
      <c r="K1181" s="14" t="n">
        <f aca="false">J1181-H1181</f>
        <v>-0.129999999999999</v>
      </c>
      <c r="L1181" s="14" t="n">
        <f aca="false">G1181-H1181</f>
        <v>-7.13</v>
      </c>
    </row>
    <row r="1182" customFormat="false" ht="15" hidden="false" customHeight="false" outlineLevel="0" collapsed="false">
      <c r="A1182" s="2" t="s">
        <v>126</v>
      </c>
      <c r="B1182" s="2" t="s">
        <v>126</v>
      </c>
      <c r="C1182" s="2" t="s">
        <v>48</v>
      </c>
      <c r="D1182" s="2" t="s">
        <v>12</v>
      </c>
      <c r="E1182" s="2" t="s">
        <v>76</v>
      </c>
      <c r="F1182" s="2" t="s">
        <v>1145</v>
      </c>
      <c r="G1182" s="14" t="n">
        <v>9.5</v>
      </c>
      <c r="H1182" s="14" t="n">
        <v>27.71</v>
      </c>
      <c r="I1182" s="14" t="n">
        <v>9.5</v>
      </c>
      <c r="J1182" s="22" t="n">
        <f aca="false">IF(E1182="Priority",'Cost model'!N383,'Cost model'!M383)</f>
        <v>27.5</v>
      </c>
      <c r="K1182" s="14" t="n">
        <f aca="false">J1182-H1182</f>
        <v>-0.210000000000001</v>
      </c>
      <c r="L1182" s="14" t="n">
        <f aca="false">G1182-H1182</f>
        <v>-18.21</v>
      </c>
    </row>
    <row r="1183" customFormat="false" ht="15" hidden="false" customHeight="false" outlineLevel="0" collapsed="false">
      <c r="A1183" s="2" t="s">
        <v>126</v>
      </c>
      <c r="B1183" s="2" t="s">
        <v>184</v>
      </c>
      <c r="C1183" s="2" t="s">
        <v>48</v>
      </c>
      <c r="D1183" s="2" t="s">
        <v>10</v>
      </c>
      <c r="E1183" s="2" t="s">
        <v>76</v>
      </c>
      <c r="F1183" s="2" t="s">
        <v>1146</v>
      </c>
      <c r="G1183" s="14" t="n">
        <v>9.5</v>
      </c>
      <c r="H1183" s="14" t="n">
        <v>9.68</v>
      </c>
      <c r="I1183" s="14" t="n">
        <v>14.5</v>
      </c>
      <c r="J1183" s="22" t="n">
        <f aca="false">IF(E1183="Priority",'Cost model'!N434,'Cost model'!M434)</f>
        <v>13.5</v>
      </c>
      <c r="K1183" s="14" t="n">
        <f aca="false">J1183-H1183</f>
        <v>3.82</v>
      </c>
      <c r="L1183" s="14" t="n">
        <f aca="false">G1183-H1183</f>
        <v>-0.18</v>
      </c>
    </row>
    <row r="1184" customFormat="false" ht="15" hidden="false" customHeight="false" outlineLevel="0" collapsed="false">
      <c r="A1184" s="2" t="s">
        <v>125</v>
      </c>
      <c r="B1184" s="2" t="s">
        <v>126</v>
      </c>
      <c r="C1184" s="2" t="s">
        <v>48</v>
      </c>
      <c r="D1184" s="2" t="s">
        <v>10</v>
      </c>
      <c r="E1184" s="2" t="s">
        <v>85</v>
      </c>
      <c r="F1184" s="2" t="s">
        <v>1146</v>
      </c>
      <c r="G1184" s="14" t="n">
        <v>19.5</v>
      </c>
      <c r="H1184" s="14" t="n">
        <v>24.48</v>
      </c>
      <c r="I1184" s="14" t="n">
        <v>19.5</v>
      </c>
      <c r="J1184" s="22" t="n">
        <f aca="false">IF(E1184="Priority",'Cost model'!N2,'Cost model'!M2)</f>
        <v>19.5</v>
      </c>
      <c r="K1184" s="14" t="n">
        <f aca="false">J1184-H1184</f>
        <v>-4.98</v>
      </c>
      <c r="L1184" s="14" t="n">
        <f aca="false">G1184-H1184</f>
        <v>-4.98</v>
      </c>
    </row>
    <row r="1185" customFormat="false" ht="15" hidden="false" customHeight="false" outlineLevel="0" collapsed="false">
      <c r="A1185" s="2" t="s">
        <v>240</v>
      </c>
      <c r="B1185" s="2" t="s">
        <v>126</v>
      </c>
      <c r="C1185" s="2" t="s">
        <v>48</v>
      </c>
      <c r="D1185" s="2" t="s">
        <v>10</v>
      </c>
      <c r="E1185" s="2" t="s">
        <v>76</v>
      </c>
      <c r="F1185" s="2" t="s">
        <v>1146</v>
      </c>
      <c r="G1185" s="14" t="n">
        <v>9.5</v>
      </c>
      <c r="H1185" s="14" t="n">
        <v>11.24</v>
      </c>
      <c r="I1185" s="14" t="n">
        <v>19.5</v>
      </c>
      <c r="J1185" s="22" t="n">
        <f aca="false">IF(E1185="Priority",'Cost model'!N956,'Cost model'!M956)</f>
        <v>15.5</v>
      </c>
      <c r="K1185" s="14" t="n">
        <f aca="false">J1185-H1185</f>
        <v>4.26</v>
      </c>
      <c r="L1185" s="14" t="n">
        <f aca="false">G1185-H1185</f>
        <v>-1.74</v>
      </c>
    </row>
    <row r="1186" customFormat="false" ht="15" hidden="false" customHeight="false" outlineLevel="0" collapsed="false">
      <c r="A1186" s="2" t="s">
        <v>126</v>
      </c>
      <c r="B1186" s="2" t="s">
        <v>126</v>
      </c>
      <c r="C1186" s="2" t="s">
        <v>49</v>
      </c>
      <c r="D1186" s="2" t="s">
        <v>14</v>
      </c>
      <c r="E1186" s="2" t="s">
        <v>76</v>
      </c>
      <c r="F1186" s="2" t="s">
        <v>1145</v>
      </c>
      <c r="G1186" s="14" t="n">
        <v>45</v>
      </c>
      <c r="H1186" s="14" t="n">
        <v>75.35</v>
      </c>
      <c r="I1186" s="14" t="n">
        <v>45</v>
      </c>
      <c r="J1186" s="22" t="n">
        <f aca="false">IF(E1186="Priority",'Cost model'!N390,'Cost model'!M390)</f>
        <v>115</v>
      </c>
      <c r="K1186" s="14" t="n">
        <f aca="false">J1186-H1186</f>
        <v>39.65</v>
      </c>
      <c r="L1186" s="14" t="n">
        <f aca="false">G1186-H1186</f>
        <v>-30.35</v>
      </c>
    </row>
    <row r="1187" customFormat="false" ht="15" hidden="false" customHeight="false" outlineLevel="0" collapsed="false">
      <c r="A1187" s="2" t="s">
        <v>240</v>
      </c>
      <c r="B1187" s="2" t="s">
        <v>240</v>
      </c>
      <c r="C1187" s="2" t="s">
        <v>48</v>
      </c>
      <c r="D1187" s="2" t="s">
        <v>12</v>
      </c>
      <c r="E1187" s="2" t="s">
        <v>76</v>
      </c>
      <c r="F1187" s="2" t="s">
        <v>1145</v>
      </c>
      <c r="G1187" s="14" t="n">
        <v>9.5</v>
      </c>
      <c r="H1187" s="14" t="n">
        <v>27.28</v>
      </c>
      <c r="I1187" s="14" t="n">
        <v>9.5</v>
      </c>
      <c r="J1187" s="22" t="n">
        <f aca="false">IF(E1187="Priority",'Cost model'!N887,'Cost model'!M887)</f>
        <v>21.5</v>
      </c>
      <c r="K1187" s="14" t="n">
        <f aca="false">J1187-H1187</f>
        <v>-5.78</v>
      </c>
      <c r="L1187" s="14" t="n">
        <f aca="false">G1187-H1187</f>
        <v>-17.78</v>
      </c>
    </row>
    <row r="1188" customFormat="false" ht="15" hidden="false" customHeight="false" outlineLevel="0" collapsed="false">
      <c r="A1188" s="2" t="s">
        <v>126</v>
      </c>
      <c r="B1188" s="2" t="s">
        <v>184</v>
      </c>
      <c r="C1188" s="2" t="s">
        <v>49</v>
      </c>
      <c r="D1188" s="2" t="s">
        <v>10</v>
      </c>
      <c r="E1188" s="2" t="s">
        <v>76</v>
      </c>
      <c r="F1188" s="2" t="s">
        <v>1146</v>
      </c>
      <c r="G1188" s="14" t="n">
        <v>14.5</v>
      </c>
      <c r="H1188" s="14" t="n">
        <v>6.64</v>
      </c>
      <c r="I1188" s="14" t="n">
        <v>14.5</v>
      </c>
      <c r="J1188" s="22" t="n">
        <f aca="false">IF(E1188="Priority",'Cost model'!N435,'Cost model'!M435)</f>
        <v>15.5</v>
      </c>
      <c r="K1188" s="14" t="n">
        <f aca="false">J1188-H1188</f>
        <v>8.86</v>
      </c>
      <c r="L1188" s="14" t="n">
        <f aca="false">G1188-H1188</f>
        <v>7.86</v>
      </c>
    </row>
    <row r="1189" customFormat="false" ht="15" hidden="false" customHeight="false" outlineLevel="0" collapsed="false">
      <c r="A1189" s="2" t="s">
        <v>240</v>
      </c>
      <c r="B1189" s="2" t="s">
        <v>240</v>
      </c>
      <c r="C1189" s="2" t="s">
        <v>50</v>
      </c>
      <c r="D1189" s="2" t="s">
        <v>13</v>
      </c>
      <c r="E1189" s="2" t="s">
        <v>76</v>
      </c>
      <c r="F1189" s="2" t="s">
        <v>1145</v>
      </c>
      <c r="G1189" s="14" t="n">
        <v>85</v>
      </c>
      <c r="H1189" s="14" t="n">
        <v>171.63</v>
      </c>
      <c r="I1189" s="14" t="n">
        <v>50</v>
      </c>
      <c r="J1189" s="22" t="n">
        <f aca="false">IF(E1189="Priority",'Cost model'!N892,'Cost model'!M892)</f>
        <v>130</v>
      </c>
      <c r="K1189" s="14" t="n">
        <f aca="false">J1189-H1189</f>
        <v>-41.63</v>
      </c>
      <c r="L1189" s="14" t="n">
        <f aca="false">G1189-H1189</f>
        <v>-86.63</v>
      </c>
    </row>
    <row r="1190" customFormat="false" ht="15" hidden="false" customHeight="false" outlineLevel="0" collapsed="false">
      <c r="A1190" s="2" t="s">
        <v>126</v>
      </c>
      <c r="B1190" s="2" t="s">
        <v>126</v>
      </c>
      <c r="C1190" s="2" t="s">
        <v>49</v>
      </c>
      <c r="D1190" s="2" t="s">
        <v>12</v>
      </c>
      <c r="E1190" s="2" t="s">
        <v>76</v>
      </c>
      <c r="F1190" s="2" t="s">
        <v>1145</v>
      </c>
      <c r="G1190" s="14" t="n">
        <v>12.5</v>
      </c>
      <c r="H1190" s="14" t="n">
        <v>11.51</v>
      </c>
      <c r="I1190" s="14" t="n">
        <v>12.5</v>
      </c>
      <c r="J1190" s="22" t="n">
        <f aca="false">IF(E1190="Priority",'Cost model'!N384,'Cost model'!M384)</f>
        <v>45</v>
      </c>
      <c r="K1190" s="14" t="n">
        <f aca="false">J1190-H1190</f>
        <v>33.49</v>
      </c>
      <c r="L1190" s="14" t="n">
        <f aca="false">G1190-H1190</f>
        <v>0.99</v>
      </c>
    </row>
    <row r="1191" customFormat="false" ht="15" hidden="false" customHeight="false" outlineLevel="0" collapsed="false">
      <c r="A1191" s="2" t="s">
        <v>184</v>
      </c>
      <c r="B1191" s="2" t="s">
        <v>126</v>
      </c>
      <c r="C1191" s="2" t="s">
        <v>50</v>
      </c>
      <c r="D1191" s="2" t="s">
        <v>12</v>
      </c>
      <c r="E1191" s="2" t="s">
        <v>76</v>
      </c>
      <c r="F1191" s="2" t="s">
        <v>1146</v>
      </c>
      <c r="G1191" s="14" t="n">
        <v>19.5</v>
      </c>
      <c r="H1191" s="14" t="n">
        <v>43.11</v>
      </c>
      <c r="I1191" s="14" t="n">
        <v>19.5</v>
      </c>
      <c r="J1191" s="22" t="n">
        <f aca="false">IF(E1191="Priority",'Cost model'!N133,'Cost model'!M133)</f>
        <v>55</v>
      </c>
      <c r="K1191" s="14" t="n">
        <f aca="false">J1191-H1191</f>
        <v>11.89</v>
      </c>
      <c r="L1191" s="14" t="n">
        <f aca="false">G1191-H1191</f>
        <v>-23.61</v>
      </c>
    </row>
    <row r="1192" customFormat="false" ht="15" hidden="false" customHeight="false" outlineLevel="0" collapsed="false">
      <c r="A1192" s="2" t="s">
        <v>165</v>
      </c>
      <c r="B1192" s="2" t="s">
        <v>165</v>
      </c>
      <c r="C1192" s="2" t="s">
        <v>50</v>
      </c>
      <c r="D1192" s="2" t="s">
        <v>10</v>
      </c>
      <c r="E1192" s="2" t="s">
        <v>76</v>
      </c>
      <c r="F1192" s="2" t="s">
        <v>1145</v>
      </c>
      <c r="G1192" s="14" t="n">
        <v>17.5</v>
      </c>
      <c r="H1192" s="14" t="n">
        <v>13.92</v>
      </c>
      <c r="I1192" s="14" t="n">
        <v>17.5</v>
      </c>
      <c r="J1192" s="22" t="n">
        <f aca="false">IF(E1192="Priority",'Cost model'!N508,'Cost model'!M508)</f>
        <v>17.5</v>
      </c>
      <c r="K1192" s="14" t="n">
        <f aca="false">J1192-H1192</f>
        <v>3.58</v>
      </c>
      <c r="L1192" s="14" t="n">
        <f aca="false">G1192-H1192</f>
        <v>3.58</v>
      </c>
    </row>
    <row r="1193" customFormat="false" ht="15" hidden="false" customHeight="false" outlineLevel="0" collapsed="false">
      <c r="A1193" s="2" t="s">
        <v>146</v>
      </c>
      <c r="B1193" s="2" t="s">
        <v>146</v>
      </c>
      <c r="C1193" s="2" t="s">
        <v>49</v>
      </c>
      <c r="D1193" s="2" t="s">
        <v>12</v>
      </c>
      <c r="E1193" s="2" t="s">
        <v>76</v>
      </c>
      <c r="F1193" s="2" t="s">
        <v>1145</v>
      </c>
      <c r="G1193" s="14" t="n">
        <v>12.5</v>
      </c>
      <c r="H1193" s="14" t="n">
        <v>48.84</v>
      </c>
      <c r="I1193" s="14" t="n">
        <v>12.5</v>
      </c>
      <c r="J1193" s="22" t="n">
        <f aca="false">IF(E1193="Priority",'Cost model'!N762,'Cost model'!M762)</f>
        <v>45</v>
      </c>
      <c r="K1193" s="14" t="n">
        <f aca="false">J1193-H1193</f>
        <v>-3.84</v>
      </c>
      <c r="L1193" s="14" t="n">
        <f aca="false">G1193-H1193</f>
        <v>-36.34</v>
      </c>
    </row>
    <row r="1194" customFormat="false" ht="15" hidden="false" customHeight="false" outlineLevel="0" collapsed="false">
      <c r="A1194" s="2" t="s">
        <v>165</v>
      </c>
      <c r="B1194" s="2" t="s">
        <v>165</v>
      </c>
      <c r="C1194" s="2" t="s">
        <v>48</v>
      </c>
      <c r="D1194" s="2" t="s">
        <v>12</v>
      </c>
      <c r="E1194" s="2" t="s">
        <v>76</v>
      </c>
      <c r="F1194" s="2" t="s">
        <v>1145</v>
      </c>
      <c r="G1194" s="14" t="n">
        <v>9.5</v>
      </c>
      <c r="H1194" s="14" t="n">
        <v>15.35</v>
      </c>
      <c r="I1194" s="14" t="n">
        <v>9.5</v>
      </c>
      <c r="J1194" s="22" t="n">
        <f aca="false">IF(E1194="Priority",'Cost model'!N509,'Cost model'!M509)</f>
        <v>17.5</v>
      </c>
      <c r="K1194" s="14" t="n">
        <f aca="false">J1194-H1194</f>
        <v>2.15</v>
      </c>
      <c r="L1194" s="14" t="n">
        <f aca="false">G1194-H1194</f>
        <v>-5.85</v>
      </c>
    </row>
    <row r="1195" customFormat="false" ht="15" hidden="false" customHeight="false" outlineLevel="0" collapsed="false">
      <c r="A1195" s="2" t="s">
        <v>240</v>
      </c>
      <c r="B1195" s="2" t="s">
        <v>165</v>
      </c>
      <c r="C1195" s="2" t="s">
        <v>48</v>
      </c>
      <c r="D1195" s="2" t="s">
        <v>10</v>
      </c>
      <c r="E1195" s="2" t="s">
        <v>76</v>
      </c>
      <c r="F1195" s="2" t="s">
        <v>1146</v>
      </c>
      <c r="G1195" s="14" t="n">
        <v>14.5</v>
      </c>
      <c r="H1195" s="14" t="n">
        <v>13.11</v>
      </c>
      <c r="I1195" s="14" t="n">
        <v>14.5</v>
      </c>
      <c r="J1195" s="22" t="n">
        <f aca="false">IF(E1195="Priority",'Cost model'!N902,'Cost model'!M902)</f>
        <v>13.5</v>
      </c>
      <c r="K1195" s="14" t="n">
        <f aca="false">J1195-H1195</f>
        <v>0.390000000000001</v>
      </c>
      <c r="L1195" s="14" t="n">
        <f aca="false">G1195-H1195</f>
        <v>1.39</v>
      </c>
    </row>
    <row r="1196" customFormat="false" ht="15" hidden="false" customHeight="false" outlineLevel="0" collapsed="false">
      <c r="A1196" s="2" t="s">
        <v>184</v>
      </c>
      <c r="B1196" s="2" t="s">
        <v>165</v>
      </c>
      <c r="C1196" s="2" t="s">
        <v>50</v>
      </c>
      <c r="D1196" s="2" t="s">
        <v>13</v>
      </c>
      <c r="E1196" s="2" t="s">
        <v>76</v>
      </c>
      <c r="F1196" s="2" t="s">
        <v>1146</v>
      </c>
      <c r="G1196" s="14" t="n">
        <v>50</v>
      </c>
      <c r="H1196" s="14" t="n">
        <v>106.77</v>
      </c>
      <c r="I1196" s="14" t="n">
        <v>85</v>
      </c>
      <c r="J1196" s="22" t="n">
        <f aca="false">IF(E1196="Priority",'Cost model'!N172,'Cost model'!M172)</f>
        <v>115</v>
      </c>
      <c r="K1196" s="14" t="n">
        <f aca="false">J1196-H1196</f>
        <v>8.23</v>
      </c>
      <c r="L1196" s="14" t="n">
        <f aca="false">G1196-H1196</f>
        <v>-56.77</v>
      </c>
    </row>
    <row r="1197" customFormat="false" ht="15" hidden="false" customHeight="false" outlineLevel="0" collapsed="false">
      <c r="A1197" s="2" t="s">
        <v>184</v>
      </c>
      <c r="B1197" s="2" t="s">
        <v>184</v>
      </c>
      <c r="C1197" s="2" t="s">
        <v>49</v>
      </c>
      <c r="D1197" s="2" t="s">
        <v>12</v>
      </c>
      <c r="E1197" s="2" t="s">
        <v>76</v>
      </c>
      <c r="F1197" s="2" t="s">
        <v>1145</v>
      </c>
      <c r="G1197" s="14" t="n">
        <v>12.5</v>
      </c>
      <c r="H1197" s="14" t="n">
        <v>43.85</v>
      </c>
      <c r="I1197" s="14"/>
      <c r="J1197" s="22" t="n">
        <f aca="false">IF(E1197="Priority",'Cost model'!N204,'Cost model'!M204)</f>
        <v>45</v>
      </c>
      <c r="K1197" s="14" t="n">
        <f aca="false">J1197-H1197</f>
        <v>1.15</v>
      </c>
      <c r="L1197" s="14" t="n">
        <f aca="false">G1197-H1197</f>
        <v>-31.35</v>
      </c>
    </row>
    <row r="1198" customFormat="false" ht="15" hidden="false" customHeight="false" outlineLevel="0" collapsed="false">
      <c r="A1198" s="2" t="s">
        <v>126</v>
      </c>
      <c r="B1198" s="2" t="s">
        <v>126</v>
      </c>
      <c r="C1198" s="2" t="s">
        <v>49</v>
      </c>
      <c r="D1198" s="2" t="s">
        <v>10</v>
      </c>
      <c r="E1198" s="2" t="s">
        <v>76</v>
      </c>
      <c r="F1198" s="2" t="s">
        <v>1145</v>
      </c>
      <c r="G1198" s="14" t="n">
        <v>12.5</v>
      </c>
      <c r="H1198" s="14" t="n">
        <v>8.11</v>
      </c>
      <c r="I1198" s="14" t="n">
        <v>12.5</v>
      </c>
      <c r="J1198" s="22" t="n">
        <f aca="false">IF(E1198="Priority",'Cost model'!N381,'Cost model'!M381)</f>
        <v>14.5</v>
      </c>
      <c r="K1198" s="14" t="n">
        <f aca="false">J1198-H1198</f>
        <v>6.39</v>
      </c>
      <c r="L1198" s="14" t="n">
        <f aca="false">G1198-H1198</f>
        <v>4.39</v>
      </c>
    </row>
    <row r="1199" customFormat="false" ht="15" hidden="false" customHeight="false" outlineLevel="0" collapsed="false">
      <c r="A1199" s="2" t="s">
        <v>184</v>
      </c>
      <c r="B1199" s="2" t="s">
        <v>184</v>
      </c>
      <c r="C1199" s="2" t="s">
        <v>49</v>
      </c>
      <c r="D1199" s="2" t="s">
        <v>10</v>
      </c>
      <c r="E1199" s="2" t="s">
        <v>76</v>
      </c>
      <c r="F1199" s="2" t="s">
        <v>1145</v>
      </c>
      <c r="G1199" s="14" t="n">
        <v>12.5</v>
      </c>
      <c r="H1199" s="14" t="n">
        <v>7.37</v>
      </c>
      <c r="I1199" s="14"/>
      <c r="J1199" s="22" t="n">
        <f aca="false">IF(E1199="Priority",'Cost model'!N201,'Cost model'!M201)</f>
        <v>12.5</v>
      </c>
      <c r="K1199" s="14" t="n">
        <f aca="false">J1199-H1199</f>
        <v>5.13</v>
      </c>
      <c r="L1199" s="14" t="n">
        <f aca="false">G1199-H1199</f>
        <v>5.13</v>
      </c>
    </row>
    <row r="1200" customFormat="false" ht="15" hidden="false" customHeight="false" outlineLevel="0" collapsed="false">
      <c r="A1200" s="2" t="s">
        <v>126</v>
      </c>
      <c r="B1200" s="2" t="s">
        <v>126</v>
      </c>
      <c r="C1200" s="2" t="s">
        <v>49</v>
      </c>
      <c r="D1200" s="2" t="s">
        <v>10</v>
      </c>
      <c r="E1200" s="2" t="s">
        <v>76</v>
      </c>
      <c r="F1200" s="2" t="s">
        <v>1145</v>
      </c>
      <c r="G1200" s="14" t="n">
        <v>12.5</v>
      </c>
      <c r="H1200" s="14" t="n">
        <v>7.45</v>
      </c>
      <c r="I1200" s="14" t="n">
        <v>12.5</v>
      </c>
      <c r="J1200" s="22" t="n">
        <f aca="false">IF(E1200="Priority",'Cost model'!N381,'Cost model'!M381)</f>
        <v>14.5</v>
      </c>
      <c r="K1200" s="14" t="n">
        <f aca="false">J1200-H1200</f>
        <v>7.05</v>
      </c>
      <c r="L1200" s="14" t="n">
        <f aca="false">G1200-H1200</f>
        <v>5.05</v>
      </c>
    </row>
    <row r="1201" customFormat="false" ht="15" hidden="false" customHeight="false" outlineLevel="0" collapsed="false">
      <c r="A1201" s="2" t="s">
        <v>184</v>
      </c>
      <c r="B1201" s="2" t="s">
        <v>126</v>
      </c>
      <c r="C1201" s="2" t="s">
        <v>48</v>
      </c>
      <c r="D1201" s="2" t="s">
        <v>12</v>
      </c>
      <c r="E1201" s="2" t="s">
        <v>76</v>
      </c>
      <c r="F1201" s="2" t="s">
        <v>1146</v>
      </c>
      <c r="G1201" s="14" t="n">
        <v>9.5</v>
      </c>
      <c r="H1201" s="14" t="n">
        <v>9.85</v>
      </c>
      <c r="I1201" s="14" t="n">
        <v>9.5</v>
      </c>
      <c r="J1201" s="22" t="n">
        <f aca="false">IF(E1201="Priority",'Cost model'!N131,'Cost model'!M131)</f>
        <v>40</v>
      </c>
      <c r="K1201" s="14" t="n">
        <f aca="false">J1201-H1201</f>
        <v>30.15</v>
      </c>
      <c r="L1201" s="14" t="n">
        <f aca="false">G1201-H1201</f>
        <v>-0.35</v>
      </c>
    </row>
    <row r="1202" customFormat="false" ht="15" hidden="false" customHeight="false" outlineLevel="0" collapsed="false">
      <c r="A1202" s="2" t="s">
        <v>184</v>
      </c>
      <c r="B1202" s="2" t="s">
        <v>184</v>
      </c>
      <c r="C1202" s="2" t="s">
        <v>50</v>
      </c>
      <c r="D1202" s="2" t="s">
        <v>12</v>
      </c>
      <c r="E1202" s="2" t="s">
        <v>76</v>
      </c>
      <c r="F1202" s="2" t="s">
        <v>1145</v>
      </c>
      <c r="G1202" s="14" t="n">
        <v>19.5</v>
      </c>
      <c r="H1202" s="14" t="n">
        <v>55.79</v>
      </c>
      <c r="I1202" s="14" t="n">
        <v>19.5</v>
      </c>
      <c r="J1202" s="22" t="n">
        <f aca="false">IF(E1202="Priority",'Cost model'!N205,'Cost model'!M205)</f>
        <v>50</v>
      </c>
      <c r="K1202" s="14" t="n">
        <f aca="false">J1202-H1202</f>
        <v>-5.79</v>
      </c>
      <c r="L1202" s="14" t="n">
        <f aca="false">G1202-H1202</f>
        <v>-36.29</v>
      </c>
    </row>
    <row r="1203" customFormat="false" ht="15" hidden="false" customHeight="false" outlineLevel="0" collapsed="false">
      <c r="A1203" s="2" t="s">
        <v>240</v>
      </c>
      <c r="B1203" s="2" t="s">
        <v>146</v>
      </c>
      <c r="C1203" s="2" t="s">
        <v>50</v>
      </c>
      <c r="D1203" s="2" t="s">
        <v>10</v>
      </c>
      <c r="E1203" s="2" t="s">
        <v>76</v>
      </c>
      <c r="F1203" s="2" t="s">
        <v>1146</v>
      </c>
      <c r="G1203" s="14" t="n">
        <v>19.5</v>
      </c>
      <c r="H1203" s="14" t="n">
        <v>21.34</v>
      </c>
      <c r="I1203" s="14" t="n">
        <v>19.5</v>
      </c>
      <c r="J1203" s="22" t="n">
        <f aca="false">IF(E1203="Priority",'Cost model'!N922,'Cost model'!M922)</f>
        <v>35</v>
      </c>
      <c r="K1203" s="14" t="n">
        <f aca="false">J1203-H1203</f>
        <v>13.66</v>
      </c>
      <c r="L1203" s="14" t="n">
        <f aca="false">G1203-H1203</f>
        <v>-1.84</v>
      </c>
    </row>
    <row r="1204" customFormat="false" ht="15" hidden="false" customHeight="false" outlineLevel="0" collapsed="false">
      <c r="A1204" s="2" t="s">
        <v>146</v>
      </c>
      <c r="B1204" s="2" t="s">
        <v>146</v>
      </c>
      <c r="C1204" s="2" t="s">
        <v>48</v>
      </c>
      <c r="D1204" s="2" t="s">
        <v>12</v>
      </c>
      <c r="E1204" s="2" t="s">
        <v>76</v>
      </c>
      <c r="F1204" s="2" t="s">
        <v>1145</v>
      </c>
      <c r="G1204" s="14" t="n">
        <v>9.5</v>
      </c>
      <c r="H1204" s="14" t="n">
        <v>10.81</v>
      </c>
      <c r="I1204" s="14" t="n">
        <v>9.5</v>
      </c>
      <c r="J1204" s="22" t="n">
        <f aca="false">IF(E1204="Priority",'Cost model'!N761,'Cost model'!M761)</f>
        <v>35</v>
      </c>
      <c r="K1204" s="14" t="n">
        <f aca="false">J1204-H1204</f>
        <v>24.19</v>
      </c>
      <c r="L1204" s="14" t="n">
        <f aca="false">G1204-H1204</f>
        <v>-1.31</v>
      </c>
    </row>
    <row r="1205" customFormat="false" ht="15" hidden="false" customHeight="false" outlineLevel="0" collapsed="false">
      <c r="A1205" s="2" t="s">
        <v>240</v>
      </c>
      <c r="B1205" s="2" t="s">
        <v>240</v>
      </c>
      <c r="C1205" s="2" t="s">
        <v>48</v>
      </c>
      <c r="D1205" s="2" t="s">
        <v>12</v>
      </c>
      <c r="E1205" s="2" t="s">
        <v>85</v>
      </c>
      <c r="F1205" s="2" t="s">
        <v>1145</v>
      </c>
      <c r="G1205" s="14" t="n">
        <v>19.5</v>
      </c>
      <c r="H1205" s="14" t="n">
        <v>8.86</v>
      </c>
      <c r="I1205" s="14" t="n">
        <v>19.5</v>
      </c>
      <c r="J1205" s="22" t="n">
        <f aca="false">IF(E1205="Priority",'Cost model'!N887,'Cost model'!M887)</f>
        <v>27.5</v>
      </c>
      <c r="K1205" s="14" t="n">
        <f aca="false">J1205-H1205</f>
        <v>18.64</v>
      </c>
      <c r="L1205" s="14" t="n">
        <f aca="false">G1205-H1205</f>
        <v>10.64</v>
      </c>
    </row>
    <row r="1206" customFormat="false" ht="15" hidden="false" customHeight="false" outlineLevel="0" collapsed="false">
      <c r="A1206" s="2" t="s">
        <v>240</v>
      </c>
      <c r="B1206" s="2" t="s">
        <v>240</v>
      </c>
      <c r="C1206" s="2" t="s">
        <v>50</v>
      </c>
      <c r="D1206" s="2" t="s">
        <v>12</v>
      </c>
      <c r="E1206" s="2" t="s">
        <v>76</v>
      </c>
      <c r="F1206" s="2" t="s">
        <v>1145</v>
      </c>
      <c r="G1206" s="14" t="n">
        <v>19.5</v>
      </c>
      <c r="H1206" s="14" t="n">
        <v>38.25</v>
      </c>
      <c r="I1206" s="14" t="n">
        <v>19.5</v>
      </c>
      <c r="J1206" s="22" t="n">
        <f aca="false">IF(E1206="Priority",'Cost model'!N889,'Cost model'!M889)</f>
        <v>60</v>
      </c>
      <c r="K1206" s="14" t="n">
        <f aca="false">J1206-H1206</f>
        <v>21.75</v>
      </c>
      <c r="L1206" s="14" t="n">
        <f aca="false">G1206-H1206</f>
        <v>-18.75</v>
      </c>
    </row>
    <row r="1207" customFormat="false" ht="15" hidden="false" customHeight="false" outlineLevel="0" collapsed="false">
      <c r="A1207" s="2" t="s">
        <v>184</v>
      </c>
      <c r="B1207" s="2" t="s">
        <v>184</v>
      </c>
      <c r="C1207" s="2" t="s">
        <v>49</v>
      </c>
      <c r="D1207" s="2" t="s">
        <v>10</v>
      </c>
      <c r="E1207" s="2" t="s">
        <v>76</v>
      </c>
      <c r="F1207" s="2" t="s">
        <v>1145</v>
      </c>
      <c r="G1207" s="14" t="n">
        <v>12.5</v>
      </c>
      <c r="H1207" s="14" t="n">
        <v>7.37</v>
      </c>
      <c r="I1207" s="14"/>
      <c r="J1207" s="22" t="n">
        <f aca="false">IF(E1207="Priority",'Cost model'!N201,'Cost model'!M201)</f>
        <v>12.5</v>
      </c>
      <c r="K1207" s="14" t="n">
        <f aca="false">J1207-H1207</f>
        <v>5.13</v>
      </c>
      <c r="L1207" s="14" t="n">
        <f aca="false">G1207-H1207</f>
        <v>5.13</v>
      </c>
    </row>
    <row r="1208" customFormat="false" ht="15" hidden="false" customHeight="false" outlineLevel="0" collapsed="false">
      <c r="A1208" s="2" t="s">
        <v>125</v>
      </c>
      <c r="B1208" s="2" t="s">
        <v>125</v>
      </c>
      <c r="C1208" s="2" t="s">
        <v>48</v>
      </c>
      <c r="D1208" s="2" t="s">
        <v>10</v>
      </c>
      <c r="E1208" s="2" t="s">
        <v>76</v>
      </c>
      <c r="F1208" s="2" t="s">
        <v>1145</v>
      </c>
      <c r="G1208" s="14" t="n">
        <v>9.5</v>
      </c>
      <c r="H1208" s="14" t="n">
        <v>21.61</v>
      </c>
      <c r="I1208" s="14" t="n">
        <v>9.5</v>
      </c>
      <c r="J1208" s="22" t="n">
        <f aca="false">IF(E1208="Priority",'Cost model'!N74,'Cost model'!M74)</f>
        <v>21.5</v>
      </c>
      <c r="K1208" s="14" t="n">
        <f aca="false">J1208-H1208</f>
        <v>-0.109999999999999</v>
      </c>
      <c r="L1208" s="14" t="n">
        <f aca="false">G1208-H1208</f>
        <v>-12.11</v>
      </c>
    </row>
    <row r="1209" customFormat="false" ht="15" hidden="false" customHeight="false" outlineLevel="0" collapsed="false">
      <c r="A1209" s="2" t="s">
        <v>126</v>
      </c>
      <c r="B1209" s="2" t="s">
        <v>126</v>
      </c>
      <c r="C1209" s="2" t="s">
        <v>49</v>
      </c>
      <c r="D1209" s="2" t="s">
        <v>10</v>
      </c>
      <c r="E1209" s="2" t="s">
        <v>85</v>
      </c>
      <c r="F1209" s="2" t="s">
        <v>1145</v>
      </c>
      <c r="G1209" s="14" t="n">
        <v>17.5</v>
      </c>
      <c r="H1209" s="14" t="n">
        <v>24.63</v>
      </c>
      <c r="I1209" s="14" t="n">
        <v>17.5</v>
      </c>
      <c r="J1209" s="22" t="n">
        <f aca="false">IF(E1209="Priority",'Cost model'!N381,'Cost model'!M381)</f>
        <v>19.5</v>
      </c>
      <c r="K1209" s="14" t="n">
        <f aca="false">J1209-H1209</f>
        <v>-5.13</v>
      </c>
      <c r="L1209" s="14" t="n">
        <f aca="false">G1209-H1209</f>
        <v>-7.13</v>
      </c>
    </row>
    <row r="1210" customFormat="false" ht="15" hidden="false" customHeight="false" outlineLevel="0" collapsed="false">
      <c r="A1210" s="2" t="s">
        <v>184</v>
      </c>
      <c r="B1210" s="2" t="s">
        <v>126</v>
      </c>
      <c r="C1210" s="2" t="s">
        <v>48</v>
      </c>
      <c r="D1210" s="2" t="s">
        <v>10</v>
      </c>
      <c r="E1210" s="2" t="s">
        <v>76</v>
      </c>
      <c r="F1210" s="2" t="s">
        <v>1146</v>
      </c>
      <c r="G1210" s="14" t="n">
        <v>9.5</v>
      </c>
      <c r="H1210" s="14" t="n">
        <v>7.58</v>
      </c>
      <c r="I1210" s="14" t="n">
        <v>9.5</v>
      </c>
      <c r="J1210" s="22" t="n">
        <f aca="false">IF(E1210="Priority",'Cost model'!N128,'Cost model'!M128)</f>
        <v>10.5</v>
      </c>
      <c r="K1210" s="14" t="n">
        <f aca="false">J1210-H1210</f>
        <v>2.92</v>
      </c>
      <c r="L1210" s="14" t="n">
        <f aca="false">G1210-H1210</f>
        <v>1.92</v>
      </c>
    </row>
    <row r="1211" customFormat="false" ht="15" hidden="false" customHeight="false" outlineLevel="0" collapsed="false">
      <c r="A1211" s="2" t="s">
        <v>165</v>
      </c>
      <c r="B1211" s="2" t="s">
        <v>165</v>
      </c>
      <c r="C1211" s="2" t="s">
        <v>48</v>
      </c>
      <c r="D1211" s="2" t="s">
        <v>12</v>
      </c>
      <c r="E1211" s="2" t="s">
        <v>76</v>
      </c>
      <c r="F1211" s="2" t="s">
        <v>1145</v>
      </c>
      <c r="G1211" s="14" t="n">
        <v>9.5</v>
      </c>
      <c r="H1211" s="14" t="n">
        <v>13.93</v>
      </c>
      <c r="I1211" s="14" t="n">
        <v>9.5</v>
      </c>
      <c r="J1211" s="22" t="n">
        <f aca="false">IF(E1211="Priority",'Cost model'!N509,'Cost model'!M509)</f>
        <v>17.5</v>
      </c>
      <c r="K1211" s="14" t="n">
        <f aca="false">J1211-H1211</f>
        <v>3.57</v>
      </c>
      <c r="L1211" s="14" t="n">
        <f aca="false">G1211-H1211</f>
        <v>-4.43</v>
      </c>
    </row>
    <row r="1212" customFormat="false" ht="15" hidden="false" customHeight="false" outlineLevel="0" collapsed="false">
      <c r="A1212" s="2" t="s">
        <v>184</v>
      </c>
      <c r="B1212" s="2" t="s">
        <v>184</v>
      </c>
      <c r="C1212" s="2" t="s">
        <v>48</v>
      </c>
      <c r="D1212" s="2" t="s">
        <v>14</v>
      </c>
      <c r="E1212" s="2" t="s">
        <v>76</v>
      </c>
      <c r="F1212" s="2" t="s">
        <v>1145</v>
      </c>
      <c r="G1212" s="14" t="n">
        <v>25</v>
      </c>
      <c r="H1212" s="14" t="n">
        <v>112.05</v>
      </c>
      <c r="I1212" s="14" t="n">
        <v>25</v>
      </c>
      <c r="J1212" s="22" t="n">
        <f aca="false">IF(E1212="Priority",'Cost model'!N209,'Cost model'!M209)</f>
        <v>105</v>
      </c>
      <c r="K1212" s="14" t="n">
        <f aca="false">J1212-H1212</f>
        <v>-7.05</v>
      </c>
      <c r="L1212" s="14" t="n">
        <f aca="false">G1212-H1212</f>
        <v>-87.05</v>
      </c>
    </row>
    <row r="1213" customFormat="false" ht="15" hidden="false" customHeight="false" outlineLevel="0" collapsed="false">
      <c r="A1213" s="2" t="s">
        <v>184</v>
      </c>
      <c r="B1213" s="2" t="s">
        <v>184</v>
      </c>
      <c r="C1213" s="2" t="s">
        <v>48</v>
      </c>
      <c r="D1213" s="2" t="s">
        <v>12</v>
      </c>
      <c r="E1213" s="2" t="s">
        <v>76</v>
      </c>
      <c r="F1213" s="2" t="s">
        <v>1145</v>
      </c>
      <c r="G1213" s="14" t="n">
        <v>9.5</v>
      </c>
      <c r="H1213" s="14" t="n">
        <v>70.53</v>
      </c>
      <c r="I1213" s="14" t="n">
        <v>9.5</v>
      </c>
      <c r="J1213" s="22" t="n">
        <f aca="false">IF(E1213="Priority",'Cost model'!N203,'Cost model'!M203)</f>
        <v>26.5</v>
      </c>
      <c r="K1213" s="14" t="n">
        <f aca="false">J1213-H1213</f>
        <v>-44.03</v>
      </c>
      <c r="L1213" s="14" t="n">
        <f aca="false">G1213-H1213</f>
        <v>-61.03</v>
      </c>
    </row>
    <row r="1214" customFormat="false" ht="15" hidden="false" customHeight="false" outlineLevel="0" collapsed="false">
      <c r="A1214" s="2" t="s">
        <v>146</v>
      </c>
      <c r="B1214" s="2" t="s">
        <v>146</v>
      </c>
      <c r="C1214" s="2" t="s">
        <v>48</v>
      </c>
      <c r="D1214" s="2" t="s">
        <v>10</v>
      </c>
      <c r="E1214" s="2" t="s">
        <v>76</v>
      </c>
      <c r="F1214" s="2" t="s">
        <v>1145</v>
      </c>
      <c r="G1214" s="14" t="n">
        <v>9.5</v>
      </c>
      <c r="H1214" s="14" t="n">
        <v>7.12</v>
      </c>
      <c r="I1214" s="14" t="n">
        <v>9.5</v>
      </c>
      <c r="J1214" s="22" t="n">
        <f aca="false">IF(E1214="Priority",'Cost model'!N758,'Cost model'!M758)</f>
        <v>9.5</v>
      </c>
      <c r="K1214" s="14" t="n">
        <f aca="false">J1214-H1214</f>
        <v>2.38</v>
      </c>
      <c r="L1214" s="14" t="n">
        <f aca="false">G1214-H1214</f>
        <v>2.38</v>
      </c>
    </row>
    <row r="1215" customFormat="false" ht="15" hidden="false" customHeight="false" outlineLevel="0" collapsed="false">
      <c r="A1215" s="2" t="s">
        <v>240</v>
      </c>
      <c r="B1215" s="2" t="s">
        <v>240</v>
      </c>
      <c r="C1215" s="2" t="s">
        <v>50</v>
      </c>
      <c r="D1215" s="2" t="s">
        <v>10</v>
      </c>
      <c r="E1215" s="2" t="s">
        <v>85</v>
      </c>
      <c r="F1215" s="2" t="s">
        <v>1145</v>
      </c>
      <c r="G1215" s="14" t="n">
        <v>24.5</v>
      </c>
      <c r="H1215" s="14" t="n">
        <v>24.17</v>
      </c>
      <c r="I1215" s="14" t="n">
        <v>24.5</v>
      </c>
      <c r="J1215" s="22" t="n">
        <f aca="false">IF(E1215="Priority",'Cost model'!N886,'Cost model'!M886)</f>
        <v>23.5</v>
      </c>
      <c r="K1215" s="14" t="n">
        <f aca="false">J1215-H1215</f>
        <v>-0.670000000000002</v>
      </c>
      <c r="L1215" s="14" t="n">
        <f aca="false">G1215-H1215</f>
        <v>0.329999999999998</v>
      </c>
    </row>
    <row r="1216" customFormat="false" ht="15" hidden="false" customHeight="false" outlineLevel="0" collapsed="false">
      <c r="A1216" s="2" t="s">
        <v>240</v>
      </c>
      <c r="B1216" s="2" t="s">
        <v>240</v>
      </c>
      <c r="C1216" s="2" t="s">
        <v>48</v>
      </c>
      <c r="D1216" s="2" t="s">
        <v>10</v>
      </c>
      <c r="E1216" s="2" t="s">
        <v>76</v>
      </c>
      <c r="F1216" s="2" t="s">
        <v>1145</v>
      </c>
      <c r="G1216" s="14" t="n">
        <v>9.5</v>
      </c>
      <c r="H1216" s="14" t="n">
        <v>7.12</v>
      </c>
      <c r="I1216" s="14" t="n">
        <v>9.5</v>
      </c>
      <c r="J1216" s="22" t="n">
        <f aca="false">IF(E1216="Priority",'Cost model'!N884,'Cost model'!M884)</f>
        <v>7.5</v>
      </c>
      <c r="K1216" s="14" t="n">
        <f aca="false">J1216-H1216</f>
        <v>0.38</v>
      </c>
      <c r="L1216" s="14" t="n">
        <f aca="false">G1216-H1216</f>
        <v>2.38</v>
      </c>
    </row>
    <row r="1217" customFormat="false" ht="15" hidden="false" customHeight="false" outlineLevel="0" collapsed="false">
      <c r="A1217" s="2" t="s">
        <v>184</v>
      </c>
      <c r="B1217" s="2" t="s">
        <v>184</v>
      </c>
      <c r="C1217" s="2" t="s">
        <v>50</v>
      </c>
      <c r="D1217" s="2" t="s">
        <v>12</v>
      </c>
      <c r="E1217" s="2" t="s">
        <v>76</v>
      </c>
      <c r="F1217" s="2" t="s">
        <v>1145</v>
      </c>
      <c r="G1217" s="14" t="n">
        <v>19.5</v>
      </c>
      <c r="H1217" s="14" t="n">
        <v>49.54</v>
      </c>
      <c r="I1217" s="14" t="n">
        <v>19.5</v>
      </c>
      <c r="J1217" s="22" t="n">
        <f aca="false">IF(E1217="Priority",'Cost model'!N205,'Cost model'!M205)</f>
        <v>50</v>
      </c>
      <c r="K1217" s="14" t="n">
        <f aca="false">J1217-H1217</f>
        <v>0.460000000000001</v>
      </c>
      <c r="L1217" s="14" t="n">
        <f aca="false">G1217-H1217</f>
        <v>-30.04</v>
      </c>
    </row>
    <row r="1218" customFormat="false" ht="15" hidden="false" customHeight="false" outlineLevel="0" collapsed="false">
      <c r="A1218" s="2" t="s">
        <v>126</v>
      </c>
      <c r="B1218" s="2" t="s">
        <v>126</v>
      </c>
      <c r="C1218" s="2" t="s">
        <v>49</v>
      </c>
      <c r="D1218" s="2" t="s">
        <v>12</v>
      </c>
      <c r="E1218" s="2" t="s">
        <v>76</v>
      </c>
      <c r="F1218" s="2" t="s">
        <v>1145</v>
      </c>
      <c r="G1218" s="14" t="n">
        <v>12.5</v>
      </c>
      <c r="H1218" s="14" t="n">
        <v>17.31</v>
      </c>
      <c r="I1218" s="14" t="n">
        <v>12.5</v>
      </c>
      <c r="J1218" s="22" t="n">
        <f aca="false">IF(E1218="Priority",'Cost model'!N384,'Cost model'!M384)</f>
        <v>45</v>
      </c>
      <c r="K1218" s="14" t="n">
        <f aca="false">J1218-H1218</f>
        <v>27.69</v>
      </c>
      <c r="L1218" s="14" t="n">
        <f aca="false">G1218-H1218</f>
        <v>-4.81</v>
      </c>
    </row>
    <row r="1219" customFormat="false" ht="15" hidden="false" customHeight="false" outlineLevel="0" collapsed="false">
      <c r="A1219" s="2" t="s">
        <v>184</v>
      </c>
      <c r="B1219" s="2" t="s">
        <v>184</v>
      </c>
      <c r="C1219" s="2" t="s">
        <v>48</v>
      </c>
      <c r="D1219" s="2" t="s">
        <v>10</v>
      </c>
      <c r="E1219" s="2" t="s">
        <v>76</v>
      </c>
      <c r="F1219" s="2" t="s">
        <v>1145</v>
      </c>
      <c r="G1219" s="14" t="n">
        <v>9.5</v>
      </c>
      <c r="H1219" s="14" t="n">
        <v>6.24</v>
      </c>
      <c r="I1219" s="14" t="n">
        <v>9.5</v>
      </c>
      <c r="J1219" s="22" t="n">
        <f aca="false">IF(E1219="Priority",'Cost model'!N200,'Cost model'!M200)</f>
        <v>7.5</v>
      </c>
      <c r="K1219" s="14" t="n">
        <f aca="false">J1219-H1219</f>
        <v>1.26</v>
      </c>
      <c r="L1219" s="14" t="n">
        <f aca="false">G1219-H1219</f>
        <v>3.26</v>
      </c>
    </row>
    <row r="1220" customFormat="false" ht="15" hidden="false" customHeight="false" outlineLevel="0" collapsed="false">
      <c r="A1220" s="2" t="s">
        <v>184</v>
      </c>
      <c r="B1220" s="2" t="s">
        <v>184</v>
      </c>
      <c r="C1220" s="2" t="s">
        <v>50</v>
      </c>
      <c r="D1220" s="2" t="s">
        <v>12</v>
      </c>
      <c r="E1220" s="2" t="s">
        <v>76</v>
      </c>
      <c r="F1220" s="2" t="s">
        <v>1145</v>
      </c>
      <c r="G1220" s="14" t="n">
        <v>19.5</v>
      </c>
      <c r="H1220" s="14" t="n">
        <v>59.51</v>
      </c>
      <c r="I1220" s="14" t="n">
        <v>19.5</v>
      </c>
      <c r="J1220" s="22" t="n">
        <f aca="false">IF(E1220="Priority",'Cost model'!N205,'Cost model'!M205)</f>
        <v>50</v>
      </c>
      <c r="K1220" s="14" t="n">
        <f aca="false">J1220-H1220</f>
        <v>-9.51</v>
      </c>
      <c r="L1220" s="14" t="n">
        <f aca="false">G1220-H1220</f>
        <v>-40.01</v>
      </c>
    </row>
    <row r="1221" customFormat="false" ht="15" hidden="false" customHeight="false" outlineLevel="0" collapsed="false">
      <c r="A1221" s="2" t="s">
        <v>184</v>
      </c>
      <c r="B1221" s="2" t="s">
        <v>184</v>
      </c>
      <c r="C1221" s="2" t="s">
        <v>48</v>
      </c>
      <c r="D1221" s="2" t="s">
        <v>12</v>
      </c>
      <c r="E1221" s="2" t="s">
        <v>76</v>
      </c>
      <c r="F1221" s="2" t="s">
        <v>1145</v>
      </c>
      <c r="G1221" s="14" t="n">
        <v>9.5</v>
      </c>
      <c r="H1221" s="14" t="n">
        <v>25.32</v>
      </c>
      <c r="I1221" s="14" t="n">
        <v>9.5</v>
      </c>
      <c r="J1221" s="22" t="n">
        <f aca="false">IF(E1221="Priority",'Cost model'!N203,'Cost model'!M203)</f>
        <v>26.5</v>
      </c>
      <c r="K1221" s="14" t="n">
        <f aca="false">J1221-H1221</f>
        <v>1.18</v>
      </c>
      <c r="L1221" s="14" t="n">
        <f aca="false">G1221-H1221</f>
        <v>-15.82</v>
      </c>
    </row>
    <row r="1222" customFormat="false" ht="15" hidden="false" customHeight="false" outlineLevel="0" collapsed="false">
      <c r="A1222" s="2" t="s">
        <v>184</v>
      </c>
      <c r="B1222" s="2" t="s">
        <v>184</v>
      </c>
      <c r="C1222" s="2" t="s">
        <v>49</v>
      </c>
      <c r="D1222" s="2" t="s">
        <v>12</v>
      </c>
      <c r="E1222" s="2" t="s">
        <v>76</v>
      </c>
      <c r="F1222" s="2" t="s">
        <v>1145</v>
      </c>
      <c r="G1222" s="14" t="n">
        <v>12.5</v>
      </c>
      <c r="H1222" s="14" t="n">
        <v>44.73</v>
      </c>
      <c r="I1222" s="14"/>
      <c r="J1222" s="22" t="n">
        <f aca="false">IF(E1222="Priority",'Cost model'!N204,'Cost model'!M204)</f>
        <v>45</v>
      </c>
      <c r="K1222" s="14" t="n">
        <f aca="false">J1222-H1222</f>
        <v>0.270000000000003</v>
      </c>
      <c r="L1222" s="14" t="n">
        <f aca="false">G1222-H1222</f>
        <v>-32.23</v>
      </c>
    </row>
    <row r="1223" customFormat="false" ht="15" hidden="false" customHeight="false" outlineLevel="0" collapsed="false">
      <c r="A1223" s="2" t="s">
        <v>126</v>
      </c>
      <c r="B1223" s="2" t="s">
        <v>126</v>
      </c>
      <c r="C1223" s="2" t="s">
        <v>49</v>
      </c>
      <c r="D1223" s="2" t="s">
        <v>12</v>
      </c>
      <c r="E1223" s="2" t="s">
        <v>85</v>
      </c>
      <c r="F1223" s="2" t="s">
        <v>1145</v>
      </c>
      <c r="G1223" s="14" t="n">
        <v>19.5</v>
      </c>
      <c r="H1223" s="14" t="n">
        <v>47.67</v>
      </c>
      <c r="I1223" s="14" t="n">
        <v>19.5</v>
      </c>
      <c r="J1223" s="22" t="n">
        <f aca="false">IF(E1223="Priority",'Cost model'!N384,'Cost model'!M384)</f>
        <v>60</v>
      </c>
      <c r="K1223" s="14" t="n">
        <f aca="false">J1223-H1223</f>
        <v>12.33</v>
      </c>
      <c r="L1223" s="14" t="n">
        <f aca="false">G1223-H1223</f>
        <v>-28.17</v>
      </c>
    </row>
    <row r="1224" customFormat="false" ht="15" hidden="false" customHeight="false" outlineLevel="0" collapsed="false">
      <c r="A1224" s="2" t="s">
        <v>126</v>
      </c>
      <c r="B1224" s="2" t="s">
        <v>165</v>
      </c>
      <c r="C1224" s="2" t="s">
        <v>49</v>
      </c>
      <c r="D1224" s="2" t="s">
        <v>10</v>
      </c>
      <c r="E1224" s="2" t="s">
        <v>76</v>
      </c>
      <c r="F1224" s="2" t="s">
        <v>1146</v>
      </c>
      <c r="G1224" s="14" t="n">
        <v>14.5</v>
      </c>
      <c r="H1224" s="14" t="n">
        <v>26.71</v>
      </c>
      <c r="I1224" s="14" t="n">
        <v>14.5</v>
      </c>
      <c r="J1224" s="22" t="n">
        <f aca="false">IF(E1224="Priority",'Cost model'!N417,'Cost model'!M417)</f>
        <v>18.5</v>
      </c>
      <c r="K1224" s="14" t="n">
        <f aca="false">J1224-H1224</f>
        <v>-8.21</v>
      </c>
      <c r="L1224" s="14" t="n">
        <f aca="false">G1224-H1224</f>
        <v>-12.21</v>
      </c>
    </row>
    <row r="1225" customFormat="false" ht="15" hidden="false" customHeight="false" outlineLevel="0" collapsed="false">
      <c r="A1225" s="2" t="s">
        <v>184</v>
      </c>
      <c r="B1225" s="2" t="s">
        <v>240</v>
      </c>
      <c r="C1225" s="2" t="s">
        <v>49</v>
      </c>
      <c r="D1225" s="2" t="s">
        <v>12</v>
      </c>
      <c r="E1225" s="2" t="s">
        <v>76</v>
      </c>
      <c r="F1225" s="2" t="s">
        <v>1146</v>
      </c>
      <c r="G1225" s="14" t="n">
        <v>24.5</v>
      </c>
      <c r="H1225" s="14" t="n">
        <v>38.69</v>
      </c>
      <c r="I1225" s="14"/>
      <c r="J1225" s="22" t="n">
        <f aca="false">IF(E1225="Priority",'Cost model'!N186,'Cost model'!M186)</f>
        <v>55</v>
      </c>
      <c r="K1225" s="14" t="n">
        <f aca="false">J1225-H1225</f>
        <v>16.31</v>
      </c>
      <c r="L1225" s="14" t="n">
        <f aca="false">G1225-H1225</f>
        <v>-14.19</v>
      </c>
    </row>
    <row r="1226" customFormat="false" ht="15" hidden="false" customHeight="false" outlineLevel="0" collapsed="false">
      <c r="A1226" s="2" t="s">
        <v>184</v>
      </c>
      <c r="B1226" s="2" t="s">
        <v>146</v>
      </c>
      <c r="C1226" s="2" t="s">
        <v>50</v>
      </c>
      <c r="D1226" s="2" t="s">
        <v>13</v>
      </c>
      <c r="E1226" s="2" t="s">
        <v>76</v>
      </c>
      <c r="F1226" s="2" t="s">
        <v>1146</v>
      </c>
      <c r="G1226" s="14" t="n">
        <v>50</v>
      </c>
      <c r="H1226" s="14" t="n">
        <v>72.92</v>
      </c>
      <c r="I1226" s="14" t="n">
        <v>50</v>
      </c>
      <c r="J1226" s="22" t="n">
        <f aca="false">IF(E1226="Priority",'Cost model'!N154,'Cost model'!M154)</f>
        <v>130</v>
      </c>
      <c r="K1226" s="14" t="n">
        <f aca="false">J1226-H1226</f>
        <v>57.08</v>
      </c>
      <c r="L1226" s="14" t="n">
        <f aca="false">G1226-H1226</f>
        <v>-22.92</v>
      </c>
    </row>
    <row r="1227" customFormat="false" ht="15" hidden="false" customHeight="false" outlineLevel="0" collapsed="false">
      <c r="A1227" s="2" t="s">
        <v>240</v>
      </c>
      <c r="B1227" s="2" t="s">
        <v>240</v>
      </c>
      <c r="C1227" s="2" t="s">
        <v>50</v>
      </c>
      <c r="D1227" s="2" t="s">
        <v>10</v>
      </c>
      <c r="E1227" s="2" t="s">
        <v>85</v>
      </c>
      <c r="F1227" s="2" t="s">
        <v>1145</v>
      </c>
      <c r="G1227" s="14" t="n">
        <v>24.5</v>
      </c>
      <c r="H1227" s="14" t="n">
        <v>20.37</v>
      </c>
      <c r="I1227" s="14" t="n">
        <v>24.5</v>
      </c>
      <c r="J1227" s="22" t="n">
        <f aca="false">IF(E1227="Priority",'Cost model'!N886,'Cost model'!M886)</f>
        <v>23.5</v>
      </c>
      <c r="K1227" s="14" t="n">
        <f aca="false">J1227-H1227</f>
        <v>3.13</v>
      </c>
      <c r="L1227" s="14" t="n">
        <f aca="false">G1227-H1227</f>
        <v>4.13</v>
      </c>
    </row>
    <row r="1228" customFormat="false" ht="15" hidden="false" customHeight="false" outlineLevel="0" collapsed="false">
      <c r="A1228" s="2" t="s">
        <v>184</v>
      </c>
      <c r="B1228" s="2" t="s">
        <v>184</v>
      </c>
      <c r="C1228" s="2" t="s">
        <v>49</v>
      </c>
      <c r="D1228" s="2" t="s">
        <v>10</v>
      </c>
      <c r="E1228" s="2" t="s">
        <v>76</v>
      </c>
      <c r="F1228" s="2" t="s">
        <v>1145</v>
      </c>
      <c r="G1228" s="14" t="n">
        <v>12.5</v>
      </c>
      <c r="H1228" s="14" t="n">
        <v>7.02</v>
      </c>
      <c r="I1228" s="14"/>
      <c r="J1228" s="22" t="n">
        <f aca="false">IF(E1228="Priority",'Cost model'!N201,'Cost model'!M201)</f>
        <v>12.5</v>
      </c>
      <c r="K1228" s="14" t="n">
        <f aca="false">J1228-H1228</f>
        <v>5.48</v>
      </c>
      <c r="L1228" s="14" t="n">
        <f aca="false">G1228-H1228</f>
        <v>5.48</v>
      </c>
    </row>
    <row r="1229" customFormat="false" ht="15" hidden="false" customHeight="false" outlineLevel="0" collapsed="false">
      <c r="A1229" s="2" t="s">
        <v>126</v>
      </c>
      <c r="B1229" s="2" t="s">
        <v>126</v>
      </c>
      <c r="C1229" s="2" t="s">
        <v>49</v>
      </c>
      <c r="D1229" s="2" t="s">
        <v>13</v>
      </c>
      <c r="E1229" s="2" t="s">
        <v>76</v>
      </c>
      <c r="F1229" s="2" t="s">
        <v>1145</v>
      </c>
      <c r="G1229" s="14" t="n">
        <v>24.5</v>
      </c>
      <c r="H1229" s="14" t="n">
        <v>149.95</v>
      </c>
      <c r="I1229" s="14" t="n">
        <v>24.5</v>
      </c>
      <c r="J1229" s="22" t="n">
        <f aca="false">IF(E1229="Priority",'Cost model'!N387,'Cost model'!M387)</f>
        <v>95</v>
      </c>
      <c r="K1229" s="14" t="n">
        <f aca="false">J1229-H1229</f>
        <v>-54.95</v>
      </c>
      <c r="L1229" s="14" t="n">
        <f aca="false">G1229-H1229</f>
        <v>-125.45</v>
      </c>
    </row>
    <row r="1230" customFormat="false" ht="15" hidden="false" customHeight="false" outlineLevel="0" collapsed="false">
      <c r="A1230" s="2" t="s">
        <v>184</v>
      </c>
      <c r="B1230" s="2" t="s">
        <v>184</v>
      </c>
      <c r="C1230" s="2" t="s">
        <v>49</v>
      </c>
      <c r="D1230" s="2" t="s">
        <v>12</v>
      </c>
      <c r="E1230" s="2" t="s">
        <v>76</v>
      </c>
      <c r="F1230" s="2" t="s">
        <v>1145</v>
      </c>
      <c r="G1230" s="14" t="n">
        <v>12.5</v>
      </c>
      <c r="H1230" s="14" t="n">
        <v>43.51</v>
      </c>
      <c r="I1230" s="14"/>
      <c r="J1230" s="22" t="n">
        <f aca="false">IF(E1230="Priority",'Cost model'!N204,'Cost model'!M204)</f>
        <v>45</v>
      </c>
      <c r="K1230" s="14" t="n">
        <f aca="false">J1230-H1230</f>
        <v>1.49</v>
      </c>
      <c r="L1230" s="14" t="n">
        <f aca="false">G1230-H1230</f>
        <v>-31.01</v>
      </c>
    </row>
    <row r="1231" customFormat="false" ht="15" hidden="false" customHeight="false" outlineLevel="0" collapsed="false">
      <c r="A1231" s="2" t="s">
        <v>184</v>
      </c>
      <c r="B1231" s="2" t="s">
        <v>184</v>
      </c>
      <c r="C1231" s="2" t="s">
        <v>49</v>
      </c>
      <c r="D1231" s="2" t="s">
        <v>16</v>
      </c>
      <c r="E1231" s="2" t="s">
        <v>76</v>
      </c>
      <c r="F1231" s="2" t="s">
        <v>1145</v>
      </c>
      <c r="G1231" s="14" t="n">
        <v>85</v>
      </c>
      <c r="H1231" s="14" t="n">
        <v>136.58</v>
      </c>
      <c r="I1231" s="14"/>
      <c r="J1231" s="22" t="n">
        <f aca="false">IF(E1231="Priority",'Cost model'!N216,'Cost model'!M216)</f>
        <v>215</v>
      </c>
      <c r="K1231" s="14" t="n">
        <f aca="false">J1231-H1231</f>
        <v>78.42</v>
      </c>
      <c r="L1231" s="14" t="n">
        <f aca="false">G1231-H1231</f>
        <v>-51.58</v>
      </c>
    </row>
    <row r="1232" customFormat="false" ht="15" hidden="false" customHeight="false" outlineLevel="0" collapsed="false">
      <c r="A1232" s="2" t="s">
        <v>165</v>
      </c>
      <c r="B1232" s="2" t="s">
        <v>165</v>
      </c>
      <c r="C1232" s="2" t="s">
        <v>50</v>
      </c>
      <c r="D1232" s="2" t="s">
        <v>10</v>
      </c>
      <c r="E1232" s="2" t="s">
        <v>85</v>
      </c>
      <c r="F1232" s="2" t="s">
        <v>1145</v>
      </c>
      <c r="G1232" s="14" t="n">
        <v>24.5</v>
      </c>
      <c r="H1232" s="14" t="n">
        <v>23.58</v>
      </c>
      <c r="I1232" s="14" t="n">
        <v>24.5</v>
      </c>
      <c r="J1232" s="22" t="n">
        <f aca="false">IF(E1232="Priority",'Cost model'!N508,'Cost model'!M508)</f>
        <v>23.5</v>
      </c>
      <c r="K1232" s="14" t="n">
        <f aca="false">J1232-H1232</f>
        <v>-0.0799999999999983</v>
      </c>
      <c r="L1232" s="14" t="n">
        <f aca="false">G1232-H1232</f>
        <v>0.920000000000002</v>
      </c>
    </row>
    <row r="1233" customFormat="false" ht="15" hidden="false" customHeight="false" outlineLevel="0" collapsed="false">
      <c r="A1233" s="2" t="s">
        <v>126</v>
      </c>
      <c r="B1233" s="2" t="s">
        <v>126</v>
      </c>
      <c r="C1233" s="2" t="s">
        <v>50</v>
      </c>
      <c r="D1233" s="2" t="s">
        <v>13</v>
      </c>
      <c r="E1233" s="2" t="s">
        <v>76</v>
      </c>
      <c r="F1233" s="2" t="s">
        <v>1145</v>
      </c>
      <c r="G1233" s="14" t="n">
        <v>125</v>
      </c>
      <c r="H1233" s="14" t="n">
        <v>99.99</v>
      </c>
      <c r="I1233" s="14" t="n">
        <v>50</v>
      </c>
      <c r="J1233" s="22" t="n">
        <f aca="false">IF(E1233="Priority",'Cost model'!N388,'Cost model'!M388)</f>
        <v>110</v>
      </c>
      <c r="K1233" s="14" t="n">
        <f aca="false">J1233-H1233</f>
        <v>10.01</v>
      </c>
      <c r="L1233" s="14" t="n">
        <f aca="false">G1233-H1233</f>
        <v>25.01</v>
      </c>
    </row>
    <row r="1234" customFormat="false" ht="15" hidden="false" customHeight="false" outlineLevel="0" collapsed="false">
      <c r="A1234" s="2" t="s">
        <v>146</v>
      </c>
      <c r="B1234" s="2" t="s">
        <v>146</v>
      </c>
      <c r="C1234" s="2" t="s">
        <v>50</v>
      </c>
      <c r="D1234" s="2" t="s">
        <v>12</v>
      </c>
      <c r="E1234" s="2" t="s">
        <v>76</v>
      </c>
      <c r="F1234" s="2" t="s">
        <v>1145</v>
      </c>
      <c r="G1234" s="14" t="n">
        <v>19.5</v>
      </c>
      <c r="H1234" s="14" t="n">
        <v>63.18</v>
      </c>
      <c r="I1234" s="14" t="n">
        <v>19.5</v>
      </c>
      <c r="J1234" s="22" t="n">
        <f aca="false">IF(E1234="Priority",'Cost model'!N763,'Cost model'!M763)</f>
        <v>50</v>
      </c>
      <c r="K1234" s="14" t="n">
        <f aca="false">J1234-H1234</f>
        <v>-13.18</v>
      </c>
      <c r="L1234" s="14" t="n">
        <f aca="false">G1234-H1234</f>
        <v>-43.68</v>
      </c>
    </row>
    <row r="1235" customFormat="false" ht="15" hidden="false" customHeight="false" outlineLevel="0" collapsed="false">
      <c r="A1235" s="2" t="s">
        <v>146</v>
      </c>
      <c r="B1235" s="2" t="s">
        <v>146</v>
      </c>
      <c r="C1235" s="2" t="s">
        <v>49</v>
      </c>
      <c r="D1235" s="2" t="s">
        <v>12</v>
      </c>
      <c r="E1235" s="2" t="s">
        <v>76</v>
      </c>
      <c r="F1235" s="2" t="s">
        <v>1145</v>
      </c>
      <c r="G1235" s="14" t="n">
        <v>12.5</v>
      </c>
      <c r="H1235" s="14" t="n">
        <v>42.61</v>
      </c>
      <c r="I1235" s="14" t="n">
        <v>12.5</v>
      </c>
      <c r="J1235" s="22" t="n">
        <f aca="false">IF(E1235="Priority",'Cost model'!N762,'Cost model'!M762)</f>
        <v>45</v>
      </c>
      <c r="K1235" s="14" t="n">
        <f aca="false">J1235-H1235</f>
        <v>2.39</v>
      </c>
      <c r="L1235" s="14" t="n">
        <f aca="false">G1235-H1235</f>
        <v>-30.11</v>
      </c>
    </row>
    <row r="1236" customFormat="false" ht="15" hidden="false" customHeight="false" outlineLevel="0" collapsed="false">
      <c r="A1236" s="2" t="s">
        <v>240</v>
      </c>
      <c r="B1236" s="2" t="s">
        <v>165</v>
      </c>
      <c r="C1236" s="2" t="s">
        <v>48</v>
      </c>
      <c r="D1236" s="2" t="s">
        <v>10</v>
      </c>
      <c r="E1236" s="2" t="s">
        <v>76</v>
      </c>
      <c r="F1236" s="2" t="s">
        <v>1146</v>
      </c>
      <c r="G1236" s="14" t="n">
        <v>9.5</v>
      </c>
      <c r="H1236" s="14" t="n">
        <v>12.93</v>
      </c>
      <c r="I1236" s="14" t="n">
        <v>14.5</v>
      </c>
      <c r="J1236" s="22" t="n">
        <f aca="false">IF(E1236="Priority",'Cost model'!N902,'Cost model'!M902)</f>
        <v>13.5</v>
      </c>
      <c r="K1236" s="14" t="n">
        <f aca="false">J1236-H1236</f>
        <v>0.57</v>
      </c>
      <c r="L1236" s="14" t="n">
        <f aca="false">G1236-H1236</f>
        <v>-3.43</v>
      </c>
    </row>
    <row r="1237" customFormat="false" ht="15" hidden="false" customHeight="false" outlineLevel="0" collapsed="false">
      <c r="A1237" s="2" t="s">
        <v>184</v>
      </c>
      <c r="B1237" s="2" t="s">
        <v>146</v>
      </c>
      <c r="C1237" s="2" t="s">
        <v>48</v>
      </c>
      <c r="D1237" s="2" t="s">
        <v>10</v>
      </c>
      <c r="E1237" s="2" t="s">
        <v>76</v>
      </c>
      <c r="F1237" s="2" t="s">
        <v>1146</v>
      </c>
      <c r="G1237" s="14" t="n">
        <v>9.5</v>
      </c>
      <c r="H1237" s="14" t="n">
        <v>14.86</v>
      </c>
      <c r="I1237" s="14" t="n">
        <v>9.5</v>
      </c>
      <c r="J1237" s="22" t="n">
        <f aca="false">IF(E1237="Priority",'Cost model'!N146,'Cost model'!M146)</f>
        <v>12.5</v>
      </c>
      <c r="K1237" s="14" t="n">
        <f aca="false">J1237-H1237</f>
        <v>-2.36</v>
      </c>
      <c r="L1237" s="14" t="n">
        <f aca="false">G1237-H1237</f>
        <v>-5.36</v>
      </c>
    </row>
    <row r="1238" customFormat="false" ht="15" hidden="false" customHeight="false" outlineLevel="0" collapsed="false">
      <c r="A1238" s="2" t="s">
        <v>221</v>
      </c>
      <c r="B1238" s="2" t="s">
        <v>221</v>
      </c>
      <c r="C1238" s="2" t="s">
        <v>49</v>
      </c>
      <c r="D1238" s="2" t="s">
        <v>10</v>
      </c>
      <c r="E1238" s="2" t="s">
        <v>76</v>
      </c>
      <c r="F1238" s="2" t="s">
        <v>1145</v>
      </c>
      <c r="G1238" s="14" t="n">
        <v>19.5</v>
      </c>
      <c r="H1238" s="14" t="n">
        <v>16.84</v>
      </c>
      <c r="I1238" s="14" t="n">
        <v>12.5</v>
      </c>
      <c r="J1238" s="22" t="n">
        <f aca="false">IF(E1238="Priority",'Cost model'!N633,'Cost model'!M633)</f>
        <v>13.5</v>
      </c>
      <c r="K1238" s="14" t="n">
        <f aca="false">J1238-H1238</f>
        <v>-3.34</v>
      </c>
      <c r="L1238" s="14" t="n">
        <f aca="false">G1238-H1238</f>
        <v>2.66</v>
      </c>
    </row>
    <row r="1239" customFormat="false" ht="15" hidden="false" customHeight="false" outlineLevel="0" collapsed="false">
      <c r="A1239" s="2" t="s">
        <v>184</v>
      </c>
      <c r="B1239" s="2" t="s">
        <v>184</v>
      </c>
      <c r="C1239" s="2" t="s">
        <v>49</v>
      </c>
      <c r="D1239" s="2" t="s">
        <v>13</v>
      </c>
      <c r="E1239" s="2" t="s">
        <v>76</v>
      </c>
      <c r="F1239" s="2" t="s">
        <v>1145</v>
      </c>
      <c r="G1239" s="14" t="n">
        <v>75</v>
      </c>
      <c r="H1239" s="14" t="n">
        <v>30.05</v>
      </c>
      <c r="I1239" s="14"/>
      <c r="J1239" s="22" t="n">
        <f aca="false">IF(E1239="Priority",'Cost model'!N207,'Cost model'!M207)</f>
        <v>75</v>
      </c>
      <c r="K1239" s="14" t="n">
        <f aca="false">J1239-H1239</f>
        <v>44.95</v>
      </c>
      <c r="L1239" s="14" t="n">
        <f aca="false">G1239-H1239</f>
        <v>44.95</v>
      </c>
    </row>
    <row r="1240" customFormat="false" ht="15" hidden="false" customHeight="false" outlineLevel="0" collapsed="false">
      <c r="A1240" s="2" t="s">
        <v>240</v>
      </c>
      <c r="B1240" s="2" t="s">
        <v>240</v>
      </c>
      <c r="C1240" s="2" t="s">
        <v>50</v>
      </c>
      <c r="D1240" s="2" t="s">
        <v>12</v>
      </c>
      <c r="E1240" s="2" t="s">
        <v>76</v>
      </c>
      <c r="F1240" s="2" t="s">
        <v>1145</v>
      </c>
      <c r="G1240" s="14" t="n">
        <v>19.5</v>
      </c>
      <c r="H1240" s="14" t="n">
        <v>43.66</v>
      </c>
      <c r="I1240" s="14" t="n">
        <v>19.5</v>
      </c>
      <c r="J1240" s="22" t="n">
        <f aca="false">IF(E1240="Priority",'Cost model'!N889,'Cost model'!M889)</f>
        <v>60</v>
      </c>
      <c r="K1240" s="14" t="n">
        <f aca="false">J1240-H1240</f>
        <v>16.34</v>
      </c>
      <c r="L1240" s="14" t="n">
        <f aca="false">G1240-H1240</f>
        <v>-24.16</v>
      </c>
    </row>
    <row r="1241" customFormat="false" ht="15" hidden="false" customHeight="false" outlineLevel="0" collapsed="false">
      <c r="A1241" s="2" t="s">
        <v>125</v>
      </c>
      <c r="B1241" s="2" t="s">
        <v>125</v>
      </c>
      <c r="C1241" s="2" t="s">
        <v>48</v>
      </c>
      <c r="D1241" s="2" t="s">
        <v>10</v>
      </c>
      <c r="E1241" s="2" t="s">
        <v>76</v>
      </c>
      <c r="F1241" s="2" t="s">
        <v>1145</v>
      </c>
      <c r="G1241" s="14" t="n">
        <v>9.5</v>
      </c>
      <c r="H1241" s="14" t="n">
        <v>37.06</v>
      </c>
      <c r="I1241" s="14" t="n">
        <v>9.5</v>
      </c>
      <c r="J1241" s="22" t="n">
        <f aca="false">IF(E1241="Priority",'Cost model'!N74,'Cost model'!M74)</f>
        <v>21.5</v>
      </c>
      <c r="K1241" s="14" t="n">
        <f aca="false">J1241-H1241</f>
        <v>-15.56</v>
      </c>
      <c r="L1241" s="14" t="n">
        <f aca="false">G1241-H1241</f>
        <v>-27.56</v>
      </c>
    </row>
    <row r="1242" customFormat="false" ht="15" hidden="false" customHeight="false" outlineLevel="0" collapsed="false">
      <c r="A1242" s="2" t="s">
        <v>126</v>
      </c>
      <c r="B1242" s="2" t="s">
        <v>165</v>
      </c>
      <c r="C1242" s="2" t="s">
        <v>48</v>
      </c>
      <c r="D1242" s="2" t="s">
        <v>10</v>
      </c>
      <c r="E1242" s="2" t="s">
        <v>76</v>
      </c>
      <c r="F1242" s="2" t="s">
        <v>1146</v>
      </c>
      <c r="G1242" s="14" t="n">
        <v>9.5</v>
      </c>
      <c r="H1242" s="14" t="n">
        <v>8.87</v>
      </c>
      <c r="I1242" s="14" t="n">
        <v>14.5</v>
      </c>
      <c r="J1242" s="22" t="n">
        <f aca="false">IF(E1242="Priority",'Cost model'!N416,'Cost model'!M416)</f>
        <v>16.5</v>
      </c>
      <c r="K1242" s="14" t="n">
        <f aca="false">J1242-H1242</f>
        <v>7.63</v>
      </c>
      <c r="L1242" s="14" t="n">
        <f aca="false">G1242-H1242</f>
        <v>0.630000000000001</v>
      </c>
    </row>
    <row r="1243" customFormat="false" ht="15" hidden="false" customHeight="false" outlineLevel="0" collapsed="false">
      <c r="A1243" s="2" t="s">
        <v>240</v>
      </c>
      <c r="B1243" s="2" t="s">
        <v>240</v>
      </c>
      <c r="C1243" s="2" t="s">
        <v>50</v>
      </c>
      <c r="D1243" s="2" t="s">
        <v>12</v>
      </c>
      <c r="E1243" s="2" t="s">
        <v>85</v>
      </c>
      <c r="F1243" s="2" t="s">
        <v>1145</v>
      </c>
      <c r="G1243" s="14" t="n">
        <v>29.5</v>
      </c>
      <c r="H1243" s="14" t="n">
        <v>41.77</v>
      </c>
      <c r="I1243" s="14" t="n">
        <v>29.5</v>
      </c>
      <c r="J1243" s="22" t="n">
        <f aca="false">IF(E1243="Priority",'Cost model'!N889,'Cost model'!M889)</f>
        <v>80</v>
      </c>
      <c r="K1243" s="14" t="n">
        <f aca="false">J1243-H1243</f>
        <v>38.23</v>
      </c>
      <c r="L1243" s="14" t="n">
        <f aca="false">G1243-H1243</f>
        <v>-12.27</v>
      </c>
    </row>
    <row r="1244" customFormat="false" ht="15" hidden="false" customHeight="false" outlineLevel="0" collapsed="false">
      <c r="A1244" s="2" t="s">
        <v>126</v>
      </c>
      <c r="B1244" s="2" t="s">
        <v>126</v>
      </c>
      <c r="C1244" s="2" t="s">
        <v>49</v>
      </c>
      <c r="D1244" s="2" t="s">
        <v>10</v>
      </c>
      <c r="E1244" s="2" t="s">
        <v>76</v>
      </c>
      <c r="F1244" s="2" t="s">
        <v>1145</v>
      </c>
      <c r="G1244" s="14" t="n">
        <v>12.5</v>
      </c>
      <c r="H1244" s="14" t="n">
        <v>10.1</v>
      </c>
      <c r="I1244" s="14" t="n">
        <v>12.5</v>
      </c>
      <c r="J1244" s="22" t="n">
        <f aca="false">IF(E1244="Priority",'Cost model'!N381,'Cost model'!M381)</f>
        <v>14.5</v>
      </c>
      <c r="K1244" s="14" t="n">
        <f aca="false">J1244-H1244</f>
        <v>4.4</v>
      </c>
      <c r="L1244" s="14" t="n">
        <f aca="false">G1244-H1244</f>
        <v>2.4</v>
      </c>
    </row>
    <row r="1245" customFormat="false" ht="15" hidden="false" customHeight="false" outlineLevel="0" collapsed="false">
      <c r="A1245" s="2" t="s">
        <v>184</v>
      </c>
      <c r="B1245" s="2" t="s">
        <v>184</v>
      </c>
      <c r="C1245" s="2" t="s">
        <v>48</v>
      </c>
      <c r="D1245" s="2" t="s">
        <v>12</v>
      </c>
      <c r="E1245" s="2" t="s">
        <v>76</v>
      </c>
      <c r="F1245" s="2" t="s">
        <v>1145</v>
      </c>
      <c r="G1245" s="14" t="n">
        <v>9.5</v>
      </c>
      <c r="H1245" s="14" t="n">
        <v>47.45</v>
      </c>
      <c r="I1245" s="14" t="n">
        <v>9.5</v>
      </c>
      <c r="J1245" s="22" t="n">
        <f aca="false">IF(E1245="Priority",'Cost model'!N203,'Cost model'!M203)</f>
        <v>26.5</v>
      </c>
      <c r="K1245" s="14" t="n">
        <f aca="false">J1245-H1245</f>
        <v>-20.95</v>
      </c>
      <c r="L1245" s="14" t="n">
        <f aca="false">G1245-H1245</f>
        <v>-37.95</v>
      </c>
    </row>
    <row r="1246" customFormat="false" ht="15" hidden="false" customHeight="false" outlineLevel="0" collapsed="false">
      <c r="A1246" s="2" t="s">
        <v>184</v>
      </c>
      <c r="B1246" s="2" t="s">
        <v>184</v>
      </c>
      <c r="C1246" s="2" t="s">
        <v>50</v>
      </c>
      <c r="D1246" s="2" t="s">
        <v>10</v>
      </c>
      <c r="E1246" s="2" t="s">
        <v>85</v>
      </c>
      <c r="F1246" s="2" t="s">
        <v>1145</v>
      </c>
      <c r="G1246" s="14" t="n">
        <v>24.5</v>
      </c>
      <c r="H1246" s="14" t="n">
        <v>15.06</v>
      </c>
      <c r="I1246" s="14" t="n">
        <v>24.5</v>
      </c>
      <c r="J1246" s="22" t="n">
        <f aca="false">IF(E1246="Priority",'Cost model'!N202,'Cost model'!M202)</f>
        <v>23.5</v>
      </c>
      <c r="K1246" s="14" t="n">
        <f aca="false">J1246-H1246</f>
        <v>8.44</v>
      </c>
      <c r="L1246" s="14" t="n">
        <f aca="false">G1246-H1246</f>
        <v>9.44</v>
      </c>
    </row>
    <row r="1247" customFormat="false" ht="15" hidden="false" customHeight="false" outlineLevel="0" collapsed="false">
      <c r="A1247" s="2" t="s">
        <v>184</v>
      </c>
      <c r="B1247" s="2" t="s">
        <v>184</v>
      </c>
      <c r="C1247" s="2" t="s">
        <v>48</v>
      </c>
      <c r="D1247" s="2" t="s">
        <v>10</v>
      </c>
      <c r="E1247" s="2" t="s">
        <v>76</v>
      </c>
      <c r="F1247" s="2" t="s">
        <v>1145</v>
      </c>
      <c r="G1247" s="14" t="n">
        <v>9.5</v>
      </c>
      <c r="H1247" s="14" t="n">
        <v>5.94</v>
      </c>
      <c r="I1247" s="14" t="n">
        <v>9.5</v>
      </c>
      <c r="J1247" s="22" t="n">
        <f aca="false">IF(E1247="Priority",'Cost model'!N200,'Cost model'!M200)</f>
        <v>7.5</v>
      </c>
      <c r="K1247" s="14" t="n">
        <f aca="false">J1247-H1247</f>
        <v>1.56</v>
      </c>
      <c r="L1247" s="14" t="n">
        <f aca="false">G1247-H1247</f>
        <v>3.56</v>
      </c>
    </row>
    <row r="1248" customFormat="false" ht="15" hidden="false" customHeight="false" outlineLevel="0" collapsed="false">
      <c r="A1248" s="2" t="s">
        <v>240</v>
      </c>
      <c r="B1248" s="2" t="s">
        <v>125</v>
      </c>
      <c r="C1248" s="2" t="s">
        <v>48</v>
      </c>
      <c r="D1248" s="2" t="s">
        <v>12</v>
      </c>
      <c r="E1248" s="2" t="s">
        <v>76</v>
      </c>
      <c r="F1248" s="2" t="s">
        <v>1146</v>
      </c>
      <c r="G1248" s="14" t="n">
        <v>9.5</v>
      </c>
      <c r="H1248" s="14" t="n">
        <v>81.63</v>
      </c>
      <c r="I1248" s="14" t="n">
        <v>24.5</v>
      </c>
      <c r="J1248" s="22" t="n">
        <f aca="false">IF(E1248="Priority",'Cost model'!N977,'Cost model'!M977)</f>
        <v>85</v>
      </c>
      <c r="K1248" s="14" t="n">
        <f aca="false">J1248-H1248</f>
        <v>3.37</v>
      </c>
      <c r="L1248" s="14" t="n">
        <f aca="false">G1248-H1248</f>
        <v>-72.13</v>
      </c>
    </row>
    <row r="1249" customFormat="false" ht="15" hidden="false" customHeight="false" outlineLevel="0" collapsed="false">
      <c r="A1249" s="2" t="s">
        <v>184</v>
      </c>
      <c r="B1249" s="2" t="s">
        <v>184</v>
      </c>
      <c r="C1249" s="2" t="s">
        <v>48</v>
      </c>
      <c r="D1249" s="2" t="s">
        <v>12</v>
      </c>
      <c r="E1249" s="2" t="s">
        <v>76</v>
      </c>
      <c r="F1249" s="2" t="s">
        <v>1145</v>
      </c>
      <c r="G1249" s="14" t="n">
        <v>9.5</v>
      </c>
      <c r="H1249" s="14" t="n">
        <v>66.51</v>
      </c>
      <c r="I1249" s="14" t="n">
        <v>9.5</v>
      </c>
      <c r="J1249" s="22" t="n">
        <f aca="false">IF(E1249="Priority",'Cost model'!N203,'Cost model'!M203)</f>
        <v>26.5</v>
      </c>
      <c r="K1249" s="14" t="n">
        <f aca="false">J1249-H1249</f>
        <v>-40.01</v>
      </c>
      <c r="L1249" s="14" t="n">
        <f aca="false">G1249-H1249</f>
        <v>-57.01</v>
      </c>
    </row>
    <row r="1250" customFormat="false" ht="15" hidden="false" customHeight="false" outlineLevel="0" collapsed="false">
      <c r="A1250" s="2" t="s">
        <v>146</v>
      </c>
      <c r="B1250" s="2" t="s">
        <v>146</v>
      </c>
      <c r="C1250" s="2" t="s">
        <v>49</v>
      </c>
      <c r="D1250" s="2" t="s">
        <v>12</v>
      </c>
      <c r="E1250" s="2" t="s">
        <v>76</v>
      </c>
      <c r="F1250" s="2" t="s">
        <v>1145</v>
      </c>
      <c r="G1250" s="14" t="n">
        <v>12.5</v>
      </c>
      <c r="H1250" s="14" t="n">
        <v>10.95</v>
      </c>
      <c r="I1250" s="14" t="n">
        <v>12.5</v>
      </c>
      <c r="J1250" s="22" t="n">
        <f aca="false">IF(E1250="Priority",'Cost model'!N762,'Cost model'!M762)</f>
        <v>45</v>
      </c>
      <c r="K1250" s="14" t="n">
        <f aca="false">J1250-H1250</f>
        <v>34.05</v>
      </c>
      <c r="L1250" s="14" t="n">
        <f aca="false">G1250-H1250</f>
        <v>1.55</v>
      </c>
    </row>
    <row r="1251" customFormat="false" ht="15" hidden="false" customHeight="false" outlineLevel="0" collapsed="false">
      <c r="A1251" s="2" t="s">
        <v>240</v>
      </c>
      <c r="B1251" s="2" t="s">
        <v>240</v>
      </c>
      <c r="C1251" s="2" t="s">
        <v>48</v>
      </c>
      <c r="D1251" s="2" t="s">
        <v>10</v>
      </c>
      <c r="E1251" s="2" t="s">
        <v>76</v>
      </c>
      <c r="F1251" s="2" t="s">
        <v>1145</v>
      </c>
      <c r="G1251" s="14" t="n">
        <v>19.5</v>
      </c>
      <c r="H1251" s="14" t="n">
        <v>9.14</v>
      </c>
      <c r="I1251" s="14" t="n">
        <v>9.5</v>
      </c>
      <c r="J1251" s="22" t="n">
        <f aca="false">IF(E1251="Priority",'Cost model'!N884,'Cost model'!M884)</f>
        <v>7.5</v>
      </c>
      <c r="K1251" s="14" t="n">
        <f aca="false">J1251-H1251</f>
        <v>-1.64</v>
      </c>
      <c r="L1251" s="14" t="n">
        <f aca="false">G1251-H1251</f>
        <v>10.36</v>
      </c>
    </row>
    <row r="1252" customFormat="false" ht="15" hidden="false" customHeight="false" outlineLevel="0" collapsed="false">
      <c r="A1252" s="2" t="s">
        <v>184</v>
      </c>
      <c r="B1252" s="2" t="s">
        <v>184</v>
      </c>
      <c r="C1252" s="2" t="s">
        <v>49</v>
      </c>
      <c r="D1252" s="2" t="s">
        <v>13</v>
      </c>
      <c r="E1252" s="2" t="s">
        <v>76</v>
      </c>
      <c r="F1252" s="2" t="s">
        <v>1145</v>
      </c>
      <c r="G1252" s="14" t="n">
        <v>24.5</v>
      </c>
      <c r="H1252" s="14" t="n">
        <v>87.51</v>
      </c>
      <c r="I1252" s="14"/>
      <c r="J1252" s="22" t="n">
        <f aca="false">IF(E1252="Priority",'Cost model'!N207,'Cost model'!M207)</f>
        <v>75</v>
      </c>
      <c r="K1252" s="14" t="n">
        <f aca="false">J1252-H1252</f>
        <v>-12.51</v>
      </c>
      <c r="L1252" s="14" t="n">
        <f aca="false">G1252-H1252</f>
        <v>-63.01</v>
      </c>
    </row>
    <row r="1253" customFormat="false" ht="15" hidden="false" customHeight="false" outlineLevel="0" collapsed="false">
      <c r="A1253" s="2" t="s">
        <v>146</v>
      </c>
      <c r="B1253" s="2" t="s">
        <v>126</v>
      </c>
      <c r="C1253" s="2" t="s">
        <v>48</v>
      </c>
      <c r="D1253" s="2" t="s">
        <v>12</v>
      </c>
      <c r="E1253" s="2" t="s">
        <v>76</v>
      </c>
      <c r="F1253" s="2" t="s">
        <v>1146</v>
      </c>
      <c r="G1253" s="14" t="n">
        <v>19.5</v>
      </c>
      <c r="H1253" s="14" t="n">
        <v>58.01</v>
      </c>
      <c r="I1253" s="14" t="n">
        <v>19.5</v>
      </c>
      <c r="J1253" s="22" t="n">
        <f aca="false">IF(E1253="Priority",'Cost model'!N797,'Cost model'!M797)</f>
        <v>40</v>
      </c>
      <c r="K1253" s="14" t="n">
        <f aca="false">J1253-H1253</f>
        <v>-18.01</v>
      </c>
      <c r="L1253" s="14" t="n">
        <f aca="false">G1253-H1253</f>
        <v>-38.51</v>
      </c>
    </row>
    <row r="1254" customFormat="false" ht="15" hidden="false" customHeight="false" outlineLevel="0" collapsed="false">
      <c r="A1254" s="2" t="s">
        <v>184</v>
      </c>
      <c r="B1254" s="2" t="s">
        <v>184</v>
      </c>
      <c r="C1254" s="2" t="s">
        <v>50</v>
      </c>
      <c r="D1254" s="2" t="s">
        <v>10</v>
      </c>
      <c r="E1254" s="2" t="s">
        <v>76</v>
      </c>
      <c r="F1254" s="2" t="s">
        <v>1145</v>
      </c>
      <c r="G1254" s="14" t="n">
        <v>17.5</v>
      </c>
      <c r="H1254" s="14" t="n">
        <v>19.56</v>
      </c>
      <c r="I1254" s="14" t="n">
        <v>17.5</v>
      </c>
      <c r="J1254" s="22" t="n">
        <f aca="false">IF(E1254="Priority",'Cost model'!N202,'Cost model'!M202)</f>
        <v>17.5</v>
      </c>
      <c r="K1254" s="14" t="n">
        <f aca="false">J1254-H1254</f>
        <v>-2.06</v>
      </c>
      <c r="L1254" s="14" t="n">
        <f aca="false">G1254-H1254</f>
        <v>-2.06</v>
      </c>
    </row>
    <row r="1255" customFormat="false" ht="15" hidden="false" customHeight="false" outlineLevel="0" collapsed="false">
      <c r="A1255" s="2" t="s">
        <v>184</v>
      </c>
      <c r="B1255" s="2" t="s">
        <v>184</v>
      </c>
      <c r="C1255" s="2" t="s">
        <v>48</v>
      </c>
      <c r="D1255" s="2" t="s">
        <v>10</v>
      </c>
      <c r="E1255" s="2" t="s">
        <v>76</v>
      </c>
      <c r="F1255" s="2" t="s">
        <v>1145</v>
      </c>
      <c r="G1255" s="14" t="n">
        <v>9.5</v>
      </c>
      <c r="H1255" s="14" t="n">
        <v>7.69</v>
      </c>
      <c r="I1255" s="14" t="n">
        <v>9.5</v>
      </c>
      <c r="J1255" s="22" t="n">
        <f aca="false">IF(E1255="Priority",'Cost model'!N200,'Cost model'!M200)</f>
        <v>7.5</v>
      </c>
      <c r="K1255" s="14" t="n">
        <f aca="false">J1255-H1255</f>
        <v>-0.19</v>
      </c>
      <c r="L1255" s="14" t="n">
        <f aca="false">G1255-H1255</f>
        <v>1.81</v>
      </c>
    </row>
    <row r="1256" customFormat="false" ht="15" hidden="false" customHeight="false" outlineLevel="0" collapsed="false">
      <c r="A1256" s="2" t="s">
        <v>184</v>
      </c>
      <c r="B1256" s="2" t="s">
        <v>184</v>
      </c>
      <c r="C1256" s="2" t="s">
        <v>50</v>
      </c>
      <c r="D1256" s="2" t="s">
        <v>10</v>
      </c>
      <c r="E1256" s="2" t="s">
        <v>85</v>
      </c>
      <c r="F1256" s="2" t="s">
        <v>1145</v>
      </c>
      <c r="G1256" s="14" t="n">
        <v>24.5</v>
      </c>
      <c r="H1256" s="14" t="n">
        <v>20.83</v>
      </c>
      <c r="I1256" s="14" t="n">
        <v>24.5</v>
      </c>
      <c r="J1256" s="22" t="n">
        <f aca="false">IF(E1256="Priority",'Cost model'!N202,'Cost model'!M202)</f>
        <v>23.5</v>
      </c>
      <c r="K1256" s="14" t="n">
        <f aca="false">J1256-H1256</f>
        <v>2.67</v>
      </c>
      <c r="L1256" s="14" t="n">
        <f aca="false">G1256-H1256</f>
        <v>3.67</v>
      </c>
    </row>
    <row r="1257" customFormat="false" ht="15" hidden="false" customHeight="false" outlineLevel="0" collapsed="false">
      <c r="A1257" s="2" t="s">
        <v>126</v>
      </c>
      <c r="B1257" s="2" t="s">
        <v>126</v>
      </c>
      <c r="C1257" s="2" t="s">
        <v>50</v>
      </c>
      <c r="D1257" s="2" t="s">
        <v>14</v>
      </c>
      <c r="E1257" s="2" t="s">
        <v>76</v>
      </c>
      <c r="F1257" s="2" t="s">
        <v>1145</v>
      </c>
      <c r="G1257" s="14" t="n">
        <v>85</v>
      </c>
      <c r="H1257" s="14" t="n">
        <v>120.63</v>
      </c>
      <c r="I1257" s="14" t="n">
        <v>85</v>
      </c>
      <c r="J1257" s="22" t="n">
        <f aca="false">IF(E1257="Priority",'Cost model'!N391,'Cost model'!M391)</f>
        <v>170</v>
      </c>
      <c r="K1257" s="14" t="n">
        <f aca="false">J1257-H1257</f>
        <v>49.37</v>
      </c>
      <c r="L1257" s="14" t="n">
        <f aca="false">G1257-H1257</f>
        <v>-35.63</v>
      </c>
    </row>
    <row r="1258" customFormat="false" ht="15" hidden="false" customHeight="false" outlineLevel="0" collapsed="false">
      <c r="A1258" s="2" t="s">
        <v>165</v>
      </c>
      <c r="B1258" s="2" t="s">
        <v>165</v>
      </c>
      <c r="C1258" s="2" t="s">
        <v>48</v>
      </c>
      <c r="D1258" s="2" t="s">
        <v>10</v>
      </c>
      <c r="E1258" s="2" t="s">
        <v>76</v>
      </c>
      <c r="F1258" s="2" t="s">
        <v>1145</v>
      </c>
      <c r="G1258" s="14" t="n">
        <v>9.5</v>
      </c>
      <c r="H1258" s="14" t="n">
        <v>6.66</v>
      </c>
      <c r="I1258" s="14" t="n">
        <v>9.5</v>
      </c>
      <c r="J1258" s="22" t="n">
        <f aca="false">IF(E1258="Priority",'Cost model'!N506,'Cost model'!M506)</f>
        <v>7.5</v>
      </c>
      <c r="K1258" s="14" t="n">
        <f aca="false">J1258-H1258</f>
        <v>0.84</v>
      </c>
      <c r="L1258" s="14" t="n">
        <f aca="false">G1258-H1258</f>
        <v>2.84</v>
      </c>
    </row>
    <row r="1259" customFormat="false" ht="15" hidden="false" customHeight="false" outlineLevel="0" collapsed="false">
      <c r="A1259" s="2" t="s">
        <v>184</v>
      </c>
      <c r="B1259" s="2" t="s">
        <v>146</v>
      </c>
      <c r="C1259" s="2" t="s">
        <v>49</v>
      </c>
      <c r="D1259" s="2" t="s">
        <v>10</v>
      </c>
      <c r="E1259" s="2" t="s">
        <v>76</v>
      </c>
      <c r="F1259" s="2" t="s">
        <v>1146</v>
      </c>
      <c r="G1259" s="14" t="n">
        <v>12.5</v>
      </c>
      <c r="H1259" s="14" t="n">
        <v>15.16</v>
      </c>
      <c r="I1259" s="14"/>
      <c r="J1259" s="22" t="n">
        <f aca="false">IF(E1259="Priority",'Cost model'!N147,'Cost model'!M147)</f>
        <v>14.5</v>
      </c>
      <c r="K1259" s="14" t="n">
        <f aca="false">J1259-H1259</f>
        <v>-0.66</v>
      </c>
      <c r="L1259" s="14" t="n">
        <f aca="false">G1259-H1259</f>
        <v>-2.66</v>
      </c>
    </row>
    <row r="1260" customFormat="false" ht="15" hidden="false" customHeight="false" outlineLevel="0" collapsed="false">
      <c r="A1260" s="2" t="s">
        <v>184</v>
      </c>
      <c r="B1260" s="2" t="s">
        <v>184</v>
      </c>
      <c r="C1260" s="2" t="s">
        <v>50</v>
      </c>
      <c r="D1260" s="2" t="s">
        <v>10</v>
      </c>
      <c r="E1260" s="2" t="s">
        <v>76</v>
      </c>
      <c r="F1260" s="2" t="s">
        <v>1145</v>
      </c>
      <c r="G1260" s="14" t="n">
        <v>17.5</v>
      </c>
      <c r="H1260" s="14" t="n">
        <v>15.88</v>
      </c>
      <c r="I1260" s="14" t="n">
        <v>17.5</v>
      </c>
      <c r="J1260" s="22" t="n">
        <f aca="false">IF(E1260="Priority",'Cost model'!N202,'Cost model'!M202)</f>
        <v>17.5</v>
      </c>
      <c r="K1260" s="14" t="n">
        <f aca="false">J1260-H1260</f>
        <v>1.62</v>
      </c>
      <c r="L1260" s="14" t="n">
        <f aca="false">G1260-H1260</f>
        <v>1.62</v>
      </c>
    </row>
    <row r="1261" customFormat="false" ht="15" hidden="false" customHeight="false" outlineLevel="0" collapsed="false">
      <c r="A1261" s="2" t="s">
        <v>184</v>
      </c>
      <c r="B1261" s="2" t="s">
        <v>184</v>
      </c>
      <c r="C1261" s="2" t="s">
        <v>49</v>
      </c>
      <c r="D1261" s="2" t="s">
        <v>10</v>
      </c>
      <c r="E1261" s="2" t="s">
        <v>76</v>
      </c>
      <c r="F1261" s="2" t="s">
        <v>1145</v>
      </c>
      <c r="G1261" s="14" t="n">
        <v>12.5</v>
      </c>
      <c r="H1261" s="14" t="n">
        <v>11.92</v>
      </c>
      <c r="I1261" s="14"/>
      <c r="J1261" s="22" t="n">
        <f aca="false">IF(E1261="Priority",'Cost model'!N201,'Cost model'!M201)</f>
        <v>12.5</v>
      </c>
      <c r="K1261" s="14" t="n">
        <f aca="false">J1261-H1261</f>
        <v>0.58</v>
      </c>
      <c r="L1261" s="14" t="n">
        <f aca="false">G1261-H1261</f>
        <v>0.58</v>
      </c>
    </row>
    <row r="1262" customFormat="false" ht="15" hidden="false" customHeight="false" outlineLevel="0" collapsed="false">
      <c r="A1262" s="2" t="s">
        <v>184</v>
      </c>
      <c r="B1262" s="2" t="s">
        <v>126</v>
      </c>
      <c r="C1262" s="2" t="s">
        <v>49</v>
      </c>
      <c r="D1262" s="2" t="s">
        <v>10</v>
      </c>
      <c r="E1262" s="2" t="s">
        <v>76</v>
      </c>
      <c r="F1262" s="2" t="s">
        <v>1146</v>
      </c>
      <c r="G1262" s="14" t="n">
        <v>17.5</v>
      </c>
      <c r="H1262" s="14" t="n">
        <v>14.74</v>
      </c>
      <c r="I1262" s="14"/>
      <c r="J1262" s="22" t="n">
        <f aca="false">IF(E1262="Priority",'Cost model'!N129,'Cost model'!M129)</f>
        <v>13.5</v>
      </c>
      <c r="K1262" s="14" t="n">
        <f aca="false">J1262-H1262</f>
        <v>-1.24</v>
      </c>
      <c r="L1262" s="14" t="n">
        <f aca="false">G1262-H1262</f>
        <v>2.76</v>
      </c>
    </row>
    <row r="1263" customFormat="false" ht="15" hidden="false" customHeight="false" outlineLevel="0" collapsed="false">
      <c r="A1263" s="2" t="s">
        <v>146</v>
      </c>
      <c r="B1263" s="2" t="s">
        <v>146</v>
      </c>
      <c r="C1263" s="2" t="s">
        <v>50</v>
      </c>
      <c r="D1263" s="2" t="s">
        <v>12</v>
      </c>
      <c r="E1263" s="2" t="s">
        <v>76</v>
      </c>
      <c r="F1263" s="2" t="s">
        <v>1145</v>
      </c>
      <c r="G1263" s="14" t="n">
        <v>19.5</v>
      </c>
      <c r="H1263" s="14" t="n">
        <v>51.19</v>
      </c>
      <c r="I1263" s="14" t="n">
        <v>19.5</v>
      </c>
      <c r="J1263" s="22" t="n">
        <f aca="false">IF(E1263="Priority",'Cost model'!N763,'Cost model'!M763)</f>
        <v>50</v>
      </c>
      <c r="K1263" s="14" t="n">
        <f aca="false">J1263-H1263</f>
        <v>-1.19</v>
      </c>
      <c r="L1263" s="14" t="n">
        <f aca="false">G1263-H1263</f>
        <v>-31.69</v>
      </c>
    </row>
    <row r="1264" customFormat="false" ht="15" hidden="false" customHeight="false" outlineLevel="0" collapsed="false">
      <c r="A1264" s="2" t="s">
        <v>165</v>
      </c>
      <c r="B1264" s="2" t="s">
        <v>165</v>
      </c>
      <c r="C1264" s="2" t="s">
        <v>50</v>
      </c>
      <c r="D1264" s="2" t="s">
        <v>10</v>
      </c>
      <c r="E1264" s="2" t="s">
        <v>76</v>
      </c>
      <c r="F1264" s="2" t="s">
        <v>1145</v>
      </c>
      <c r="G1264" s="14" t="n">
        <v>17.5</v>
      </c>
      <c r="H1264" s="14" t="n">
        <v>14.08</v>
      </c>
      <c r="I1264" s="14" t="n">
        <v>17.5</v>
      </c>
      <c r="J1264" s="22" t="n">
        <f aca="false">IF(E1264="Priority",'Cost model'!N508,'Cost model'!M508)</f>
        <v>17.5</v>
      </c>
      <c r="K1264" s="14" t="n">
        <f aca="false">J1264-H1264</f>
        <v>3.42</v>
      </c>
      <c r="L1264" s="14" t="n">
        <f aca="false">G1264-H1264</f>
        <v>3.42</v>
      </c>
    </row>
    <row r="1265" customFormat="false" ht="15" hidden="false" customHeight="false" outlineLevel="0" collapsed="false">
      <c r="A1265" s="2" t="s">
        <v>146</v>
      </c>
      <c r="B1265" s="2" t="s">
        <v>146</v>
      </c>
      <c r="C1265" s="2" t="s">
        <v>50</v>
      </c>
      <c r="D1265" s="2" t="s">
        <v>13</v>
      </c>
      <c r="E1265" s="2" t="s">
        <v>76</v>
      </c>
      <c r="F1265" s="2" t="s">
        <v>1145</v>
      </c>
      <c r="G1265" s="14" t="n">
        <v>50</v>
      </c>
      <c r="H1265" s="14" t="n">
        <v>59.17</v>
      </c>
      <c r="I1265" s="14" t="n">
        <v>50</v>
      </c>
      <c r="J1265" s="22" t="n">
        <f aca="false">IF(E1265="Priority",'Cost model'!N766,'Cost model'!M766)</f>
        <v>90</v>
      </c>
      <c r="K1265" s="14" t="n">
        <f aca="false">J1265-H1265</f>
        <v>30.83</v>
      </c>
      <c r="L1265" s="14" t="n">
        <f aca="false">G1265-H1265</f>
        <v>-9.17</v>
      </c>
    </row>
    <row r="1266" customFormat="false" ht="15" hidden="false" customHeight="false" outlineLevel="0" collapsed="false">
      <c r="A1266" s="2" t="s">
        <v>184</v>
      </c>
      <c r="B1266" s="2" t="s">
        <v>146</v>
      </c>
      <c r="C1266" s="2" t="s">
        <v>48</v>
      </c>
      <c r="D1266" s="2" t="s">
        <v>10</v>
      </c>
      <c r="E1266" s="2" t="s">
        <v>76</v>
      </c>
      <c r="F1266" s="2" t="s">
        <v>1146</v>
      </c>
      <c r="G1266" s="14" t="n">
        <v>9.5</v>
      </c>
      <c r="H1266" s="14" t="n">
        <v>6.11</v>
      </c>
      <c r="I1266" s="14" t="n">
        <v>9.5</v>
      </c>
      <c r="J1266" s="22" t="n">
        <f aca="false">IF(E1266="Priority",'Cost model'!N146,'Cost model'!M146)</f>
        <v>12.5</v>
      </c>
      <c r="K1266" s="14" t="n">
        <f aca="false">J1266-H1266</f>
        <v>6.39</v>
      </c>
      <c r="L1266" s="14" t="n">
        <f aca="false">G1266-H1266</f>
        <v>3.39</v>
      </c>
    </row>
    <row r="1267" customFormat="false" ht="15" hidden="false" customHeight="false" outlineLevel="0" collapsed="false">
      <c r="A1267" s="2" t="s">
        <v>165</v>
      </c>
      <c r="B1267" s="2" t="s">
        <v>184</v>
      </c>
      <c r="C1267" s="2" t="s">
        <v>50</v>
      </c>
      <c r="D1267" s="2" t="s">
        <v>10</v>
      </c>
      <c r="E1267" s="2" t="s">
        <v>76</v>
      </c>
      <c r="F1267" s="2" t="s">
        <v>1146</v>
      </c>
      <c r="G1267" s="14" t="n">
        <v>17.5</v>
      </c>
      <c r="H1267" s="14" t="n">
        <v>24.17</v>
      </c>
      <c r="I1267" s="14" t="n">
        <v>17.5</v>
      </c>
      <c r="J1267" s="22" t="n">
        <f aca="false">IF(E1267="Priority",'Cost model'!N580,'Cost model'!M580)</f>
        <v>18.5</v>
      </c>
      <c r="K1267" s="14" t="n">
        <f aca="false">J1267-H1267</f>
        <v>-5.67</v>
      </c>
      <c r="L1267" s="14" t="n">
        <f aca="false">G1267-H1267</f>
        <v>-6.67</v>
      </c>
    </row>
    <row r="1268" customFormat="false" ht="15" hidden="false" customHeight="false" outlineLevel="0" collapsed="false">
      <c r="A1268" s="2" t="s">
        <v>184</v>
      </c>
      <c r="B1268" s="2" t="s">
        <v>184</v>
      </c>
      <c r="C1268" s="2" t="s">
        <v>49</v>
      </c>
      <c r="D1268" s="2" t="s">
        <v>10</v>
      </c>
      <c r="E1268" s="2" t="s">
        <v>76</v>
      </c>
      <c r="F1268" s="2" t="s">
        <v>1145</v>
      </c>
      <c r="G1268" s="14" t="n">
        <v>12.5</v>
      </c>
      <c r="H1268" s="14" t="n">
        <v>7.02</v>
      </c>
      <c r="I1268" s="14"/>
      <c r="J1268" s="22" t="n">
        <f aca="false">IF(E1268="Priority",'Cost model'!N201,'Cost model'!M201)</f>
        <v>12.5</v>
      </c>
      <c r="K1268" s="14" t="n">
        <f aca="false">J1268-H1268</f>
        <v>5.48</v>
      </c>
      <c r="L1268" s="14" t="n">
        <f aca="false">G1268-H1268</f>
        <v>5.48</v>
      </c>
    </row>
    <row r="1269" customFormat="false" ht="15" hidden="false" customHeight="false" outlineLevel="0" collapsed="false">
      <c r="A1269" s="2" t="s">
        <v>146</v>
      </c>
      <c r="B1269" s="2" t="s">
        <v>146</v>
      </c>
      <c r="C1269" s="2" t="s">
        <v>48</v>
      </c>
      <c r="D1269" s="2" t="s">
        <v>10</v>
      </c>
      <c r="E1269" s="2" t="s">
        <v>76</v>
      </c>
      <c r="F1269" s="2" t="s">
        <v>1145</v>
      </c>
      <c r="G1269" s="14" t="n">
        <v>9.5</v>
      </c>
      <c r="H1269" s="14" t="n">
        <v>5.23</v>
      </c>
      <c r="I1269" s="14" t="n">
        <v>9.5</v>
      </c>
      <c r="J1269" s="22" t="n">
        <f aca="false">IF(E1269="Priority",'Cost model'!N758,'Cost model'!M758)</f>
        <v>9.5</v>
      </c>
      <c r="K1269" s="14" t="n">
        <f aca="false">J1269-H1269</f>
        <v>4.27</v>
      </c>
      <c r="L1269" s="14" t="n">
        <f aca="false">G1269-H1269</f>
        <v>4.27</v>
      </c>
    </row>
    <row r="1270" customFormat="false" ht="15" hidden="false" customHeight="false" outlineLevel="0" collapsed="false">
      <c r="A1270" s="2" t="s">
        <v>146</v>
      </c>
      <c r="B1270" s="2" t="s">
        <v>146</v>
      </c>
      <c r="C1270" s="2" t="s">
        <v>49</v>
      </c>
      <c r="D1270" s="2" t="s">
        <v>12</v>
      </c>
      <c r="E1270" s="2" t="s">
        <v>76</v>
      </c>
      <c r="F1270" s="2" t="s">
        <v>1145</v>
      </c>
      <c r="G1270" s="14" t="n">
        <v>12.5</v>
      </c>
      <c r="H1270" s="14" t="n">
        <v>24.63</v>
      </c>
      <c r="I1270" s="14" t="n">
        <v>12.5</v>
      </c>
      <c r="J1270" s="22" t="n">
        <f aca="false">IF(E1270="Priority",'Cost model'!N762,'Cost model'!M762)</f>
        <v>45</v>
      </c>
      <c r="K1270" s="14" t="n">
        <f aca="false">J1270-H1270</f>
        <v>20.37</v>
      </c>
      <c r="L1270" s="14" t="n">
        <f aca="false">G1270-H1270</f>
        <v>-12.13</v>
      </c>
    </row>
    <row r="1271" customFormat="false" ht="15" hidden="false" customHeight="false" outlineLevel="0" collapsed="false">
      <c r="A1271" s="2" t="s">
        <v>184</v>
      </c>
      <c r="B1271" s="2" t="s">
        <v>184</v>
      </c>
      <c r="C1271" s="2" t="s">
        <v>49</v>
      </c>
      <c r="D1271" s="2" t="s">
        <v>12</v>
      </c>
      <c r="E1271" s="2" t="s">
        <v>76</v>
      </c>
      <c r="F1271" s="2" t="s">
        <v>1145</v>
      </c>
      <c r="G1271" s="14" t="n">
        <v>12.5</v>
      </c>
      <c r="H1271" s="14" t="n">
        <v>68.49</v>
      </c>
      <c r="I1271" s="14"/>
      <c r="J1271" s="22" t="n">
        <f aca="false">IF(E1271="Priority",'Cost model'!N204,'Cost model'!M204)</f>
        <v>45</v>
      </c>
      <c r="K1271" s="14" t="n">
        <f aca="false">J1271-H1271</f>
        <v>-23.49</v>
      </c>
      <c r="L1271" s="14" t="n">
        <f aca="false">G1271-H1271</f>
        <v>-55.99</v>
      </c>
    </row>
    <row r="1272" customFormat="false" ht="15" hidden="false" customHeight="false" outlineLevel="0" collapsed="false">
      <c r="A1272" s="2" t="s">
        <v>184</v>
      </c>
      <c r="B1272" s="2" t="s">
        <v>184</v>
      </c>
      <c r="C1272" s="2" t="s">
        <v>48</v>
      </c>
      <c r="D1272" s="2" t="s">
        <v>12</v>
      </c>
      <c r="E1272" s="2" t="s">
        <v>76</v>
      </c>
      <c r="F1272" s="2" t="s">
        <v>1145</v>
      </c>
      <c r="G1272" s="14" t="n">
        <v>9.5</v>
      </c>
      <c r="H1272" s="14" t="n">
        <v>31.33</v>
      </c>
      <c r="I1272" s="14" t="n">
        <v>9.5</v>
      </c>
      <c r="J1272" s="22" t="n">
        <f aca="false">IF(E1272="Priority",'Cost model'!N203,'Cost model'!M203)</f>
        <v>26.5</v>
      </c>
      <c r="K1272" s="14" t="n">
        <f aca="false">J1272-H1272</f>
        <v>-4.83</v>
      </c>
      <c r="L1272" s="14" t="n">
        <f aca="false">G1272-H1272</f>
        <v>-21.83</v>
      </c>
    </row>
    <row r="1273" customFormat="false" ht="15" hidden="false" customHeight="false" outlineLevel="0" collapsed="false">
      <c r="A1273" s="2" t="s">
        <v>240</v>
      </c>
      <c r="B1273" s="2" t="s">
        <v>240</v>
      </c>
      <c r="C1273" s="2" t="s">
        <v>48</v>
      </c>
      <c r="D1273" s="2" t="s">
        <v>10</v>
      </c>
      <c r="E1273" s="2" t="s">
        <v>76</v>
      </c>
      <c r="F1273" s="2" t="s">
        <v>1145</v>
      </c>
      <c r="G1273" s="14" t="n">
        <v>9.5</v>
      </c>
      <c r="H1273" s="14" t="n">
        <v>7.68</v>
      </c>
      <c r="I1273" s="14" t="n">
        <v>9.5</v>
      </c>
      <c r="J1273" s="22" t="n">
        <f aca="false">IF(E1273="Priority",'Cost model'!N884,'Cost model'!M884)</f>
        <v>7.5</v>
      </c>
      <c r="K1273" s="14" t="n">
        <f aca="false">J1273-H1273</f>
        <v>-0.18</v>
      </c>
      <c r="L1273" s="14" t="n">
        <f aca="false">G1273-H1273</f>
        <v>1.82</v>
      </c>
    </row>
    <row r="1274" customFormat="false" ht="15" hidden="false" customHeight="false" outlineLevel="0" collapsed="false">
      <c r="A1274" s="2" t="s">
        <v>146</v>
      </c>
      <c r="B1274" s="2" t="s">
        <v>146</v>
      </c>
      <c r="C1274" s="2" t="s">
        <v>49</v>
      </c>
      <c r="D1274" s="2" t="s">
        <v>10</v>
      </c>
      <c r="E1274" s="2" t="s">
        <v>76</v>
      </c>
      <c r="F1274" s="2" t="s">
        <v>1145</v>
      </c>
      <c r="G1274" s="14" t="n">
        <v>12.5</v>
      </c>
      <c r="H1274" s="14" t="n">
        <v>14.15</v>
      </c>
      <c r="I1274" s="14" t="n">
        <v>12.5</v>
      </c>
      <c r="J1274" s="22" t="n">
        <f aca="false">IF(E1274="Priority",'Cost model'!N759,'Cost model'!M759)</f>
        <v>15.5</v>
      </c>
      <c r="K1274" s="14" t="n">
        <f aca="false">J1274-H1274</f>
        <v>1.35</v>
      </c>
      <c r="L1274" s="14" t="n">
        <f aca="false">G1274-H1274</f>
        <v>-1.65</v>
      </c>
    </row>
    <row r="1275" customFormat="false" ht="15" hidden="false" customHeight="false" outlineLevel="0" collapsed="false">
      <c r="A1275" s="2" t="s">
        <v>126</v>
      </c>
      <c r="B1275" s="2" t="s">
        <v>126</v>
      </c>
      <c r="C1275" s="2" t="s">
        <v>48</v>
      </c>
      <c r="D1275" s="2" t="s">
        <v>12</v>
      </c>
      <c r="E1275" s="2" t="s">
        <v>76</v>
      </c>
      <c r="F1275" s="2" t="s">
        <v>1145</v>
      </c>
      <c r="G1275" s="14" t="n">
        <v>9.5</v>
      </c>
      <c r="H1275" s="14" t="n">
        <v>25.84</v>
      </c>
      <c r="I1275" s="14" t="n">
        <v>9.5</v>
      </c>
      <c r="J1275" s="22" t="n">
        <f aca="false">IF(E1275="Priority",'Cost model'!N383,'Cost model'!M383)</f>
        <v>27.5</v>
      </c>
      <c r="K1275" s="14" t="n">
        <f aca="false">J1275-H1275</f>
        <v>1.66</v>
      </c>
      <c r="L1275" s="14" t="n">
        <f aca="false">G1275-H1275</f>
        <v>-16.34</v>
      </c>
    </row>
    <row r="1276" customFormat="false" ht="15" hidden="false" customHeight="false" outlineLevel="0" collapsed="false">
      <c r="A1276" s="2" t="s">
        <v>221</v>
      </c>
      <c r="B1276" s="2" t="s">
        <v>221</v>
      </c>
      <c r="C1276" s="2" t="s">
        <v>49</v>
      </c>
      <c r="D1276" s="2" t="s">
        <v>12</v>
      </c>
      <c r="E1276" s="2" t="s">
        <v>76</v>
      </c>
      <c r="F1276" s="2" t="s">
        <v>1145</v>
      </c>
      <c r="G1276" s="14" t="n">
        <v>24.5</v>
      </c>
      <c r="H1276" s="14" t="n">
        <v>39.57</v>
      </c>
      <c r="I1276" s="14" t="n">
        <v>12.5</v>
      </c>
      <c r="J1276" s="22" t="n">
        <f aca="false">IF(E1276="Priority",'Cost model'!N636,'Cost model'!M636)</f>
        <v>55</v>
      </c>
      <c r="K1276" s="14" t="n">
        <f aca="false">J1276-H1276</f>
        <v>15.43</v>
      </c>
      <c r="L1276" s="14" t="n">
        <f aca="false">G1276-H1276</f>
        <v>-15.07</v>
      </c>
    </row>
    <row r="1277" customFormat="false" ht="15" hidden="false" customHeight="false" outlineLevel="0" collapsed="false">
      <c r="A1277" s="2" t="s">
        <v>184</v>
      </c>
      <c r="B1277" s="2" t="s">
        <v>184</v>
      </c>
      <c r="C1277" s="2" t="s">
        <v>48</v>
      </c>
      <c r="D1277" s="2" t="s">
        <v>12</v>
      </c>
      <c r="E1277" s="2" t="s">
        <v>76</v>
      </c>
      <c r="F1277" s="2" t="s">
        <v>1145</v>
      </c>
      <c r="G1277" s="14" t="n">
        <v>9.5</v>
      </c>
      <c r="H1277" s="14" t="n">
        <v>28.11</v>
      </c>
      <c r="I1277" s="14" t="n">
        <v>9.5</v>
      </c>
      <c r="J1277" s="22" t="n">
        <f aca="false">IF(E1277="Priority",'Cost model'!N203,'Cost model'!M203)</f>
        <v>26.5</v>
      </c>
      <c r="K1277" s="14" t="n">
        <f aca="false">J1277-H1277</f>
        <v>-1.61</v>
      </c>
      <c r="L1277" s="14" t="n">
        <f aca="false">G1277-H1277</f>
        <v>-18.61</v>
      </c>
    </row>
    <row r="1278" customFormat="false" ht="15" hidden="false" customHeight="false" outlineLevel="0" collapsed="false">
      <c r="A1278" s="2" t="s">
        <v>125</v>
      </c>
      <c r="B1278" s="2" t="s">
        <v>184</v>
      </c>
      <c r="C1278" s="2" t="s">
        <v>48</v>
      </c>
      <c r="D1278" s="2" t="s">
        <v>12</v>
      </c>
      <c r="E1278" s="2" t="s">
        <v>76</v>
      </c>
      <c r="F1278" s="2" t="s">
        <v>1146</v>
      </c>
      <c r="G1278" s="14" t="n">
        <v>9.5</v>
      </c>
      <c r="H1278" s="14" t="n">
        <v>17.96</v>
      </c>
      <c r="I1278" s="14" t="n">
        <v>19.5</v>
      </c>
      <c r="J1278" s="22" t="n">
        <f aca="false">IF(E1278="Priority",'Cost model'!N59,'Cost model'!M59)</f>
        <v>45</v>
      </c>
      <c r="K1278" s="14" t="n">
        <f aca="false">J1278-H1278</f>
        <v>27.04</v>
      </c>
      <c r="L1278" s="14" t="n">
        <f aca="false">G1278-H1278</f>
        <v>-8.46</v>
      </c>
    </row>
    <row r="1279" customFormat="false" ht="15" hidden="false" customHeight="false" outlineLevel="0" collapsed="false">
      <c r="A1279" s="2" t="s">
        <v>126</v>
      </c>
      <c r="B1279" s="2" t="s">
        <v>126</v>
      </c>
      <c r="C1279" s="2" t="s">
        <v>48</v>
      </c>
      <c r="D1279" s="2" t="s">
        <v>12</v>
      </c>
      <c r="E1279" s="2" t="s">
        <v>76</v>
      </c>
      <c r="F1279" s="2" t="s">
        <v>1145</v>
      </c>
      <c r="G1279" s="14" t="n">
        <v>9.5</v>
      </c>
      <c r="H1279" s="14" t="n">
        <v>43.77</v>
      </c>
      <c r="I1279" s="14" t="n">
        <v>9.5</v>
      </c>
      <c r="J1279" s="22" t="n">
        <f aca="false">IF(E1279="Priority",'Cost model'!N383,'Cost model'!M383)</f>
        <v>27.5</v>
      </c>
      <c r="K1279" s="14" t="n">
        <f aca="false">J1279-H1279</f>
        <v>-16.27</v>
      </c>
      <c r="L1279" s="14" t="n">
        <f aca="false">G1279-H1279</f>
        <v>-34.27</v>
      </c>
    </row>
    <row r="1280" customFormat="false" ht="15" hidden="false" customHeight="false" outlineLevel="0" collapsed="false">
      <c r="A1280" s="2" t="s">
        <v>184</v>
      </c>
      <c r="B1280" s="2" t="s">
        <v>184</v>
      </c>
      <c r="C1280" s="2" t="s">
        <v>49</v>
      </c>
      <c r="D1280" s="2" t="s">
        <v>12</v>
      </c>
      <c r="E1280" s="2" t="s">
        <v>76</v>
      </c>
      <c r="F1280" s="2" t="s">
        <v>1145</v>
      </c>
      <c r="G1280" s="14" t="n">
        <v>12.5</v>
      </c>
      <c r="H1280" s="14" t="n">
        <v>42.23</v>
      </c>
      <c r="I1280" s="14"/>
      <c r="J1280" s="22" t="n">
        <f aca="false">IF(E1280="Priority",'Cost model'!N204,'Cost model'!M204)</f>
        <v>45</v>
      </c>
      <c r="K1280" s="14" t="n">
        <f aca="false">J1280-H1280</f>
        <v>2.77</v>
      </c>
      <c r="L1280" s="14" t="n">
        <f aca="false">G1280-H1280</f>
        <v>-29.73</v>
      </c>
    </row>
    <row r="1281" customFormat="false" ht="15" hidden="false" customHeight="false" outlineLevel="0" collapsed="false">
      <c r="A1281" s="2" t="s">
        <v>146</v>
      </c>
      <c r="B1281" s="2" t="s">
        <v>146</v>
      </c>
      <c r="C1281" s="2" t="s">
        <v>49</v>
      </c>
      <c r="D1281" s="2" t="s">
        <v>10</v>
      </c>
      <c r="E1281" s="2" t="s">
        <v>85</v>
      </c>
      <c r="F1281" s="2" t="s">
        <v>1145</v>
      </c>
      <c r="G1281" s="14" t="n">
        <v>17.5</v>
      </c>
      <c r="H1281" s="14" t="n">
        <v>24.48</v>
      </c>
      <c r="I1281" s="14" t="n">
        <v>17.5</v>
      </c>
      <c r="J1281" s="22" t="n">
        <f aca="false">IF(E1281="Priority",'Cost model'!N759,'Cost model'!M759)</f>
        <v>21.5</v>
      </c>
      <c r="K1281" s="14" t="n">
        <f aca="false">J1281-H1281</f>
        <v>-2.98</v>
      </c>
      <c r="L1281" s="14" t="n">
        <f aca="false">G1281-H1281</f>
        <v>-6.98</v>
      </c>
    </row>
    <row r="1282" customFormat="false" ht="15" hidden="false" customHeight="false" outlineLevel="0" collapsed="false">
      <c r="A1282" s="2" t="s">
        <v>184</v>
      </c>
      <c r="B1282" s="2" t="s">
        <v>184</v>
      </c>
      <c r="C1282" s="2" t="s">
        <v>48</v>
      </c>
      <c r="D1282" s="2" t="s">
        <v>12</v>
      </c>
      <c r="E1282" s="2" t="s">
        <v>76</v>
      </c>
      <c r="F1282" s="2" t="s">
        <v>1145</v>
      </c>
      <c r="G1282" s="14" t="n">
        <v>9.5</v>
      </c>
      <c r="H1282" s="14" t="n">
        <v>8.24</v>
      </c>
      <c r="I1282" s="14" t="n">
        <v>9.5</v>
      </c>
      <c r="J1282" s="22" t="n">
        <f aca="false">IF(E1282="Priority",'Cost model'!N203,'Cost model'!M203)</f>
        <v>26.5</v>
      </c>
      <c r="K1282" s="14" t="n">
        <f aca="false">J1282-H1282</f>
        <v>18.26</v>
      </c>
      <c r="L1282" s="14" t="n">
        <f aca="false">G1282-H1282</f>
        <v>1.26</v>
      </c>
    </row>
    <row r="1283" customFormat="false" ht="15" hidden="false" customHeight="false" outlineLevel="0" collapsed="false">
      <c r="A1283" s="2" t="s">
        <v>240</v>
      </c>
      <c r="B1283" s="2" t="s">
        <v>240</v>
      </c>
      <c r="C1283" s="2" t="s">
        <v>50</v>
      </c>
      <c r="D1283" s="2" t="s">
        <v>12</v>
      </c>
      <c r="E1283" s="2" t="s">
        <v>76</v>
      </c>
      <c r="F1283" s="2" t="s">
        <v>1145</v>
      </c>
      <c r="G1283" s="14" t="n">
        <v>19.5</v>
      </c>
      <c r="H1283" s="14" t="n">
        <v>41.57</v>
      </c>
      <c r="I1283" s="14" t="n">
        <v>19.5</v>
      </c>
      <c r="J1283" s="22" t="n">
        <f aca="false">IF(E1283="Priority",'Cost model'!N889,'Cost model'!M889)</f>
        <v>60</v>
      </c>
      <c r="K1283" s="14" t="n">
        <f aca="false">J1283-H1283</f>
        <v>18.43</v>
      </c>
      <c r="L1283" s="14" t="n">
        <f aca="false">G1283-H1283</f>
        <v>-22.07</v>
      </c>
    </row>
    <row r="1284" customFormat="false" ht="15" hidden="false" customHeight="false" outlineLevel="0" collapsed="false">
      <c r="A1284" s="2" t="s">
        <v>184</v>
      </c>
      <c r="B1284" s="2" t="s">
        <v>184</v>
      </c>
      <c r="C1284" s="2" t="s">
        <v>48</v>
      </c>
      <c r="D1284" s="2" t="s">
        <v>12</v>
      </c>
      <c r="E1284" s="2" t="s">
        <v>76</v>
      </c>
      <c r="F1284" s="2" t="s">
        <v>1145</v>
      </c>
      <c r="G1284" s="14" t="n">
        <v>9.5</v>
      </c>
      <c r="H1284" s="14" t="n">
        <v>28.11</v>
      </c>
      <c r="I1284" s="14" t="n">
        <v>9.5</v>
      </c>
      <c r="J1284" s="22" t="n">
        <f aca="false">IF(E1284="Priority",'Cost model'!N203,'Cost model'!M203)</f>
        <v>26.5</v>
      </c>
      <c r="K1284" s="14" t="n">
        <f aca="false">J1284-H1284</f>
        <v>-1.61</v>
      </c>
      <c r="L1284" s="14" t="n">
        <f aca="false">G1284-H1284</f>
        <v>-18.61</v>
      </c>
    </row>
    <row r="1285" customFormat="false" ht="15" hidden="false" customHeight="false" outlineLevel="0" collapsed="false">
      <c r="A1285" s="2" t="s">
        <v>184</v>
      </c>
      <c r="B1285" s="2" t="s">
        <v>146</v>
      </c>
      <c r="C1285" s="2" t="s">
        <v>48</v>
      </c>
      <c r="D1285" s="2" t="s">
        <v>12</v>
      </c>
      <c r="E1285" s="2" t="s">
        <v>85</v>
      </c>
      <c r="F1285" s="2" t="s">
        <v>1146</v>
      </c>
      <c r="G1285" s="14" t="n">
        <v>19.5</v>
      </c>
      <c r="H1285" s="14" t="n">
        <v>42.61</v>
      </c>
      <c r="I1285" s="14" t="n">
        <v>19.5</v>
      </c>
      <c r="J1285" s="22" t="n">
        <f aca="false">IF(E1285="Priority",'Cost model'!N149,'Cost model'!M149)</f>
        <v>60</v>
      </c>
      <c r="K1285" s="14" t="n">
        <f aca="false">J1285-H1285</f>
        <v>17.39</v>
      </c>
      <c r="L1285" s="14" t="n">
        <f aca="false">G1285-H1285</f>
        <v>-23.11</v>
      </c>
    </row>
    <row r="1286" customFormat="false" ht="15" hidden="false" customHeight="false" outlineLevel="0" collapsed="false">
      <c r="A1286" s="2" t="s">
        <v>184</v>
      </c>
      <c r="B1286" s="2" t="s">
        <v>126</v>
      </c>
      <c r="C1286" s="2" t="s">
        <v>50</v>
      </c>
      <c r="D1286" s="2" t="s">
        <v>10</v>
      </c>
      <c r="E1286" s="2" t="s">
        <v>76</v>
      </c>
      <c r="F1286" s="2" t="s">
        <v>1146</v>
      </c>
      <c r="G1286" s="14" t="n">
        <v>17.5</v>
      </c>
      <c r="H1286" s="14" t="n">
        <v>21.61</v>
      </c>
      <c r="I1286" s="14" t="n">
        <v>17.5</v>
      </c>
      <c r="J1286" s="22" t="n">
        <f aca="false">IF(E1286="Priority",'Cost model'!N130,'Cost model'!M130)</f>
        <v>18.5</v>
      </c>
      <c r="K1286" s="14" t="n">
        <f aca="false">J1286-H1286</f>
        <v>-3.11</v>
      </c>
      <c r="L1286" s="14" t="n">
        <f aca="false">G1286-H1286</f>
        <v>-4.11</v>
      </c>
    </row>
    <row r="1287" customFormat="false" ht="15" hidden="false" customHeight="false" outlineLevel="0" collapsed="false">
      <c r="A1287" s="2" t="s">
        <v>240</v>
      </c>
      <c r="B1287" s="2" t="s">
        <v>240</v>
      </c>
      <c r="C1287" s="2" t="s">
        <v>50</v>
      </c>
      <c r="D1287" s="2" t="s">
        <v>12</v>
      </c>
      <c r="E1287" s="2" t="s">
        <v>76</v>
      </c>
      <c r="F1287" s="2" t="s">
        <v>1145</v>
      </c>
      <c r="G1287" s="14" t="n">
        <v>19.5</v>
      </c>
      <c r="H1287" s="14" t="n">
        <v>41.77</v>
      </c>
      <c r="I1287" s="14" t="n">
        <v>19.5</v>
      </c>
      <c r="J1287" s="22" t="n">
        <f aca="false">IF(E1287="Priority",'Cost model'!N889,'Cost model'!M889)</f>
        <v>60</v>
      </c>
      <c r="K1287" s="14" t="n">
        <f aca="false">J1287-H1287</f>
        <v>18.23</v>
      </c>
      <c r="L1287" s="14" t="n">
        <f aca="false">G1287-H1287</f>
        <v>-22.27</v>
      </c>
    </row>
    <row r="1288" customFormat="false" ht="15" hidden="false" customHeight="false" outlineLevel="0" collapsed="false">
      <c r="A1288" s="2" t="s">
        <v>165</v>
      </c>
      <c r="B1288" s="2" t="s">
        <v>165</v>
      </c>
      <c r="C1288" s="2" t="s">
        <v>48</v>
      </c>
      <c r="D1288" s="2" t="s">
        <v>12</v>
      </c>
      <c r="E1288" s="2" t="s">
        <v>85</v>
      </c>
      <c r="F1288" s="2" t="s">
        <v>1145</v>
      </c>
      <c r="G1288" s="14" t="n">
        <v>19.5</v>
      </c>
      <c r="H1288" s="14" t="n">
        <v>15.3</v>
      </c>
      <c r="I1288" s="14" t="n">
        <v>19.5</v>
      </c>
      <c r="J1288" s="22" t="n">
        <f aca="false">IF(E1288="Priority",'Cost model'!N509,'Cost model'!M509)</f>
        <v>22.5</v>
      </c>
      <c r="K1288" s="14" t="n">
        <f aca="false">J1288-H1288</f>
        <v>7.2</v>
      </c>
      <c r="L1288" s="14" t="n">
        <f aca="false">G1288-H1288</f>
        <v>4.2</v>
      </c>
    </row>
    <row r="1289" customFormat="false" ht="15" hidden="false" customHeight="false" outlineLevel="0" collapsed="false">
      <c r="A1289" s="2" t="s">
        <v>184</v>
      </c>
      <c r="B1289" s="2" t="s">
        <v>184</v>
      </c>
      <c r="C1289" s="2" t="s">
        <v>48</v>
      </c>
      <c r="D1289" s="2" t="s">
        <v>10</v>
      </c>
      <c r="E1289" s="2" t="s">
        <v>76</v>
      </c>
      <c r="F1289" s="2" t="s">
        <v>1145</v>
      </c>
      <c r="G1289" s="14" t="n">
        <v>9.5</v>
      </c>
      <c r="H1289" s="14" t="n">
        <v>6.24</v>
      </c>
      <c r="I1289" s="14" t="n">
        <v>9.5</v>
      </c>
      <c r="J1289" s="22" t="n">
        <f aca="false">IF(E1289="Priority",'Cost model'!N200,'Cost model'!M200)</f>
        <v>7.5</v>
      </c>
      <c r="K1289" s="14" t="n">
        <f aca="false">J1289-H1289</f>
        <v>1.26</v>
      </c>
      <c r="L1289" s="14" t="n">
        <f aca="false">G1289-H1289</f>
        <v>3.26</v>
      </c>
    </row>
    <row r="1290" customFormat="false" ht="15" hidden="false" customHeight="false" outlineLevel="0" collapsed="false">
      <c r="A1290" s="2" t="s">
        <v>146</v>
      </c>
      <c r="B1290" s="2" t="s">
        <v>146</v>
      </c>
      <c r="C1290" s="2" t="s">
        <v>48</v>
      </c>
      <c r="D1290" s="2" t="s">
        <v>10</v>
      </c>
      <c r="E1290" s="2" t="s">
        <v>76</v>
      </c>
      <c r="F1290" s="2" t="s">
        <v>1145</v>
      </c>
      <c r="G1290" s="14" t="n">
        <v>9.5</v>
      </c>
      <c r="H1290" s="14" t="n">
        <v>7.45</v>
      </c>
      <c r="I1290" s="14" t="n">
        <v>9.5</v>
      </c>
      <c r="J1290" s="22" t="n">
        <f aca="false">IF(E1290="Priority",'Cost model'!N758,'Cost model'!M758)</f>
        <v>9.5</v>
      </c>
      <c r="K1290" s="14" t="n">
        <f aca="false">J1290-H1290</f>
        <v>2.05</v>
      </c>
      <c r="L1290" s="14" t="n">
        <f aca="false">G1290-H1290</f>
        <v>2.05</v>
      </c>
    </row>
    <row r="1291" customFormat="false" ht="15" hidden="false" customHeight="false" outlineLevel="0" collapsed="false">
      <c r="A1291" s="2" t="s">
        <v>126</v>
      </c>
      <c r="B1291" s="2" t="s">
        <v>126</v>
      </c>
      <c r="C1291" s="2" t="s">
        <v>50</v>
      </c>
      <c r="D1291" s="2" t="s">
        <v>10</v>
      </c>
      <c r="E1291" s="2" t="s">
        <v>76</v>
      </c>
      <c r="F1291" s="2" t="s">
        <v>1145</v>
      </c>
      <c r="G1291" s="14" t="n">
        <v>17.5</v>
      </c>
      <c r="H1291" s="14" t="n">
        <v>21.34</v>
      </c>
      <c r="I1291" s="14" t="n">
        <v>17.5</v>
      </c>
      <c r="J1291" s="22" t="n">
        <f aca="false">IF(E1291="Priority",'Cost model'!N382,'Cost model'!M382)</f>
        <v>18.5</v>
      </c>
      <c r="K1291" s="14" t="n">
        <f aca="false">J1291-H1291</f>
        <v>-2.84</v>
      </c>
      <c r="L1291" s="14" t="n">
        <f aca="false">G1291-H1291</f>
        <v>-3.84</v>
      </c>
    </row>
    <row r="1292" customFormat="false" ht="15" hidden="false" customHeight="false" outlineLevel="0" collapsed="false">
      <c r="A1292" s="2" t="s">
        <v>240</v>
      </c>
      <c r="B1292" s="2" t="s">
        <v>240</v>
      </c>
      <c r="C1292" s="2" t="s">
        <v>48</v>
      </c>
      <c r="D1292" s="2" t="s">
        <v>12</v>
      </c>
      <c r="E1292" s="2" t="s">
        <v>76</v>
      </c>
      <c r="F1292" s="2" t="s">
        <v>1145</v>
      </c>
      <c r="G1292" s="14" t="n">
        <v>9.5</v>
      </c>
      <c r="H1292" s="14" t="n">
        <v>8.24</v>
      </c>
      <c r="I1292" s="14" t="n">
        <v>9.5</v>
      </c>
      <c r="J1292" s="22" t="n">
        <f aca="false">IF(E1292="Priority",'Cost model'!N887,'Cost model'!M887)</f>
        <v>21.5</v>
      </c>
      <c r="K1292" s="14" t="n">
        <f aca="false">J1292-H1292</f>
        <v>13.26</v>
      </c>
      <c r="L1292" s="14" t="n">
        <f aca="false">G1292-H1292</f>
        <v>1.26</v>
      </c>
    </row>
    <row r="1293" customFormat="false" ht="15" hidden="false" customHeight="false" outlineLevel="0" collapsed="false">
      <c r="A1293" s="2" t="s">
        <v>184</v>
      </c>
      <c r="B1293" s="2" t="s">
        <v>184</v>
      </c>
      <c r="C1293" s="2" t="s">
        <v>50</v>
      </c>
      <c r="D1293" s="2" t="s">
        <v>10</v>
      </c>
      <c r="E1293" s="2" t="s">
        <v>85</v>
      </c>
      <c r="F1293" s="2" t="s">
        <v>1145</v>
      </c>
      <c r="G1293" s="14" t="n">
        <v>24.5</v>
      </c>
      <c r="H1293" s="14" t="n">
        <v>21.61</v>
      </c>
      <c r="I1293" s="14" t="n">
        <v>24.5</v>
      </c>
      <c r="J1293" s="22" t="n">
        <f aca="false">IF(E1293="Priority",'Cost model'!N202,'Cost model'!M202)</f>
        <v>23.5</v>
      </c>
      <c r="K1293" s="14" t="n">
        <f aca="false">J1293-H1293</f>
        <v>1.89</v>
      </c>
      <c r="L1293" s="14" t="n">
        <f aca="false">G1293-H1293</f>
        <v>2.89</v>
      </c>
    </row>
    <row r="1294" customFormat="false" ht="15" hidden="false" customHeight="false" outlineLevel="0" collapsed="false">
      <c r="A1294" s="2" t="s">
        <v>126</v>
      </c>
      <c r="B1294" s="2" t="s">
        <v>184</v>
      </c>
      <c r="C1294" s="2" t="s">
        <v>50</v>
      </c>
      <c r="D1294" s="2" t="s">
        <v>12</v>
      </c>
      <c r="E1294" s="2" t="s">
        <v>76</v>
      </c>
      <c r="F1294" s="2" t="s">
        <v>1146</v>
      </c>
      <c r="G1294" s="14" t="n">
        <v>19.5</v>
      </c>
      <c r="H1294" s="14" t="n">
        <v>16.84</v>
      </c>
      <c r="I1294" s="14" t="n">
        <v>19.5</v>
      </c>
      <c r="J1294" s="22" t="n">
        <f aca="false">IF(E1294="Priority",'Cost model'!N439,'Cost model'!M439)</f>
        <v>60</v>
      </c>
      <c r="K1294" s="14" t="n">
        <f aca="false">J1294-H1294</f>
        <v>43.16</v>
      </c>
      <c r="L1294" s="14" t="n">
        <f aca="false">G1294-H1294</f>
        <v>2.66</v>
      </c>
    </row>
    <row r="1295" customFormat="false" ht="15" hidden="false" customHeight="false" outlineLevel="0" collapsed="false">
      <c r="A1295" s="2" t="s">
        <v>146</v>
      </c>
      <c r="B1295" s="2" t="s">
        <v>146</v>
      </c>
      <c r="C1295" s="2" t="s">
        <v>48</v>
      </c>
      <c r="D1295" s="2" t="s">
        <v>10</v>
      </c>
      <c r="E1295" s="2" t="s">
        <v>76</v>
      </c>
      <c r="F1295" s="2" t="s">
        <v>1145</v>
      </c>
      <c r="G1295" s="14" t="n">
        <v>9.5</v>
      </c>
      <c r="H1295" s="14" t="n">
        <v>8.8</v>
      </c>
      <c r="I1295" s="14" t="n">
        <v>9.5</v>
      </c>
      <c r="J1295" s="22" t="n">
        <f aca="false">IF(E1295="Priority",'Cost model'!N758,'Cost model'!M758)</f>
        <v>9.5</v>
      </c>
      <c r="K1295" s="14" t="n">
        <f aca="false">J1295-H1295</f>
        <v>0.699999999999999</v>
      </c>
      <c r="L1295" s="14" t="n">
        <f aca="false">G1295-H1295</f>
        <v>0.699999999999999</v>
      </c>
    </row>
    <row r="1296" customFormat="false" ht="15" hidden="false" customHeight="false" outlineLevel="0" collapsed="false">
      <c r="A1296" s="2" t="s">
        <v>184</v>
      </c>
      <c r="B1296" s="2" t="s">
        <v>184</v>
      </c>
      <c r="C1296" s="2" t="s">
        <v>48</v>
      </c>
      <c r="D1296" s="2" t="s">
        <v>12</v>
      </c>
      <c r="E1296" s="2" t="s">
        <v>76</v>
      </c>
      <c r="F1296" s="2" t="s">
        <v>1145</v>
      </c>
      <c r="G1296" s="14" t="n">
        <v>9.5</v>
      </c>
      <c r="H1296" s="14" t="n">
        <v>25.84</v>
      </c>
      <c r="I1296" s="14" t="n">
        <v>9.5</v>
      </c>
      <c r="J1296" s="22" t="n">
        <f aca="false">IF(E1296="Priority",'Cost model'!N203,'Cost model'!M203)</f>
        <v>26.5</v>
      </c>
      <c r="K1296" s="14" t="n">
        <f aca="false">J1296-H1296</f>
        <v>0.66</v>
      </c>
      <c r="L1296" s="14" t="n">
        <f aca="false">G1296-H1296</f>
        <v>-16.34</v>
      </c>
    </row>
    <row r="1297" customFormat="false" ht="15" hidden="false" customHeight="false" outlineLevel="0" collapsed="false">
      <c r="A1297" s="2" t="s">
        <v>126</v>
      </c>
      <c r="B1297" s="2" t="s">
        <v>126</v>
      </c>
      <c r="C1297" s="2" t="s">
        <v>50</v>
      </c>
      <c r="D1297" s="2" t="s">
        <v>12</v>
      </c>
      <c r="E1297" s="2" t="s">
        <v>85</v>
      </c>
      <c r="F1297" s="2" t="s">
        <v>1145</v>
      </c>
      <c r="G1297" s="14" t="n">
        <v>29.5</v>
      </c>
      <c r="H1297" s="14" t="n">
        <v>43.3</v>
      </c>
      <c r="I1297" s="14" t="n">
        <v>29.5</v>
      </c>
      <c r="J1297" s="22" t="n">
        <f aca="false">IF(E1297="Priority",'Cost model'!N385,'Cost model'!M385)</f>
        <v>70</v>
      </c>
      <c r="K1297" s="14" t="n">
        <f aca="false">J1297-H1297</f>
        <v>26.7</v>
      </c>
      <c r="L1297" s="14" t="n">
        <f aca="false">G1297-H1297</f>
        <v>-13.8</v>
      </c>
    </row>
    <row r="1298" customFormat="false" ht="15" hidden="false" customHeight="false" outlineLevel="0" collapsed="false">
      <c r="A1298" s="2" t="s">
        <v>126</v>
      </c>
      <c r="B1298" s="2" t="s">
        <v>126</v>
      </c>
      <c r="C1298" s="2" t="s">
        <v>48</v>
      </c>
      <c r="D1298" s="2" t="s">
        <v>10</v>
      </c>
      <c r="E1298" s="2" t="s">
        <v>85</v>
      </c>
      <c r="F1298" s="2" t="s">
        <v>1145</v>
      </c>
      <c r="G1298" s="14" t="n">
        <v>14.5</v>
      </c>
      <c r="H1298" s="14" t="n">
        <v>7.46</v>
      </c>
      <c r="I1298" s="14" t="n">
        <v>14.5</v>
      </c>
      <c r="J1298" s="22" t="n">
        <f aca="false">IF(E1298="Priority",'Cost model'!N380,'Cost model'!M380)</f>
        <v>13.5</v>
      </c>
      <c r="K1298" s="14" t="n">
        <f aca="false">J1298-H1298</f>
        <v>6.04</v>
      </c>
      <c r="L1298" s="14" t="n">
        <f aca="false">G1298-H1298</f>
        <v>7.04</v>
      </c>
    </row>
    <row r="1299" customFormat="false" ht="15" hidden="false" customHeight="false" outlineLevel="0" collapsed="false">
      <c r="A1299" s="2" t="s">
        <v>240</v>
      </c>
      <c r="B1299" s="2" t="s">
        <v>240</v>
      </c>
      <c r="C1299" s="2" t="s">
        <v>48</v>
      </c>
      <c r="D1299" s="2" t="s">
        <v>10</v>
      </c>
      <c r="E1299" s="2" t="s">
        <v>85</v>
      </c>
      <c r="F1299" s="2" t="s">
        <v>1145</v>
      </c>
      <c r="G1299" s="14" t="n">
        <v>14.5</v>
      </c>
      <c r="H1299" s="14" t="n">
        <v>15.79</v>
      </c>
      <c r="I1299" s="14" t="n">
        <v>14.5</v>
      </c>
      <c r="J1299" s="22" t="n">
        <f aca="false">IF(E1299="Priority",'Cost model'!N884,'Cost model'!M884)</f>
        <v>12.5</v>
      </c>
      <c r="K1299" s="14" t="n">
        <f aca="false">J1299-H1299</f>
        <v>-3.29</v>
      </c>
      <c r="L1299" s="14" t="n">
        <f aca="false">G1299-H1299</f>
        <v>-1.29</v>
      </c>
    </row>
    <row r="1300" customFormat="false" ht="15" hidden="false" customHeight="false" outlineLevel="0" collapsed="false">
      <c r="A1300" s="2" t="s">
        <v>126</v>
      </c>
      <c r="B1300" s="2" t="s">
        <v>126</v>
      </c>
      <c r="C1300" s="2" t="s">
        <v>48</v>
      </c>
      <c r="D1300" s="2" t="s">
        <v>10</v>
      </c>
      <c r="E1300" s="2" t="s">
        <v>76</v>
      </c>
      <c r="F1300" s="2" t="s">
        <v>1145</v>
      </c>
      <c r="G1300" s="14" t="n">
        <v>19.5</v>
      </c>
      <c r="H1300" s="14" t="n">
        <v>6.23</v>
      </c>
      <c r="I1300" s="14" t="n">
        <v>9.5</v>
      </c>
      <c r="J1300" s="22" t="n">
        <f aca="false">IF(E1300="Priority",'Cost model'!N380,'Cost model'!M380)</f>
        <v>8.5</v>
      </c>
      <c r="K1300" s="14" t="n">
        <f aca="false">J1300-H1300</f>
        <v>2.27</v>
      </c>
      <c r="L1300" s="14" t="n">
        <f aca="false">G1300-H1300</f>
        <v>13.27</v>
      </c>
    </row>
    <row r="1301" customFormat="false" ht="15" hidden="false" customHeight="false" outlineLevel="0" collapsed="false">
      <c r="A1301" s="2" t="s">
        <v>126</v>
      </c>
      <c r="B1301" s="2" t="s">
        <v>126</v>
      </c>
      <c r="C1301" s="2" t="s">
        <v>49</v>
      </c>
      <c r="D1301" s="2" t="s">
        <v>10</v>
      </c>
      <c r="E1301" s="2" t="s">
        <v>76</v>
      </c>
      <c r="F1301" s="2" t="s">
        <v>1145</v>
      </c>
      <c r="G1301" s="14" t="n">
        <v>12.5</v>
      </c>
      <c r="H1301" s="14" t="n">
        <v>11.51</v>
      </c>
      <c r="I1301" s="14" t="n">
        <v>12.5</v>
      </c>
      <c r="J1301" s="22" t="n">
        <f aca="false">IF(E1301="Priority",'Cost model'!N381,'Cost model'!M381)</f>
        <v>14.5</v>
      </c>
      <c r="K1301" s="14" t="n">
        <f aca="false">J1301-H1301</f>
        <v>2.99</v>
      </c>
      <c r="L1301" s="14" t="n">
        <f aca="false">G1301-H1301</f>
        <v>0.99</v>
      </c>
    </row>
    <row r="1302" customFormat="false" ht="15" hidden="false" customHeight="false" outlineLevel="0" collapsed="false">
      <c r="A1302" s="2" t="s">
        <v>146</v>
      </c>
      <c r="B1302" s="2" t="s">
        <v>184</v>
      </c>
      <c r="C1302" s="2" t="s">
        <v>48</v>
      </c>
      <c r="D1302" s="2" t="s">
        <v>12</v>
      </c>
      <c r="E1302" s="2" t="s">
        <v>76</v>
      </c>
      <c r="F1302" s="2" t="s">
        <v>1146</v>
      </c>
      <c r="G1302" s="14" t="n">
        <v>9.5</v>
      </c>
      <c r="H1302" s="14" t="n">
        <v>64.06</v>
      </c>
      <c r="I1302" s="14" t="n">
        <v>19.5</v>
      </c>
      <c r="J1302" s="22" t="n">
        <f aca="false">IF(E1302="Priority",'Cost model'!N833,'Cost model'!M833)</f>
        <v>45</v>
      </c>
      <c r="K1302" s="14" t="n">
        <f aca="false">J1302-H1302</f>
        <v>-19.06</v>
      </c>
      <c r="L1302" s="14" t="n">
        <f aca="false">G1302-H1302</f>
        <v>-54.56</v>
      </c>
    </row>
    <row r="1303" customFormat="false" ht="15" hidden="false" customHeight="false" outlineLevel="0" collapsed="false">
      <c r="A1303" s="2" t="s">
        <v>184</v>
      </c>
      <c r="B1303" s="2" t="s">
        <v>184</v>
      </c>
      <c r="C1303" s="2" t="s">
        <v>50</v>
      </c>
      <c r="D1303" s="2" t="s">
        <v>12</v>
      </c>
      <c r="E1303" s="2" t="s">
        <v>85</v>
      </c>
      <c r="F1303" s="2" t="s">
        <v>1145</v>
      </c>
      <c r="G1303" s="14" t="n">
        <v>29.5</v>
      </c>
      <c r="H1303" s="14" t="n">
        <v>49.42</v>
      </c>
      <c r="I1303" s="14" t="n">
        <v>29.5</v>
      </c>
      <c r="J1303" s="22" t="n">
        <f aca="false">IF(E1303="Priority",'Cost model'!N205,'Cost model'!M205)</f>
        <v>65</v>
      </c>
      <c r="K1303" s="14" t="n">
        <f aca="false">J1303-H1303</f>
        <v>15.58</v>
      </c>
      <c r="L1303" s="14" t="n">
        <f aca="false">G1303-H1303</f>
        <v>-19.92</v>
      </c>
    </row>
    <row r="1304" customFormat="false" ht="15" hidden="false" customHeight="false" outlineLevel="0" collapsed="false">
      <c r="A1304" s="2" t="s">
        <v>146</v>
      </c>
      <c r="B1304" s="2" t="s">
        <v>146</v>
      </c>
      <c r="C1304" s="2" t="s">
        <v>49</v>
      </c>
      <c r="D1304" s="2" t="s">
        <v>10</v>
      </c>
      <c r="E1304" s="2" t="s">
        <v>76</v>
      </c>
      <c r="F1304" s="2" t="s">
        <v>1145</v>
      </c>
      <c r="G1304" s="14" t="n">
        <v>12.5</v>
      </c>
      <c r="H1304" s="14" t="n">
        <v>24.48</v>
      </c>
      <c r="I1304" s="14" t="n">
        <v>12.5</v>
      </c>
      <c r="J1304" s="22" t="n">
        <f aca="false">IF(E1304="Priority",'Cost model'!N759,'Cost model'!M759)</f>
        <v>15.5</v>
      </c>
      <c r="K1304" s="14" t="n">
        <f aca="false">J1304-H1304</f>
        <v>-8.98</v>
      </c>
      <c r="L1304" s="14" t="n">
        <f aca="false">G1304-H1304</f>
        <v>-11.98</v>
      </c>
    </row>
    <row r="1305" customFormat="false" ht="15" hidden="false" customHeight="false" outlineLevel="0" collapsed="false">
      <c r="A1305" s="2" t="s">
        <v>146</v>
      </c>
      <c r="B1305" s="2" t="s">
        <v>146</v>
      </c>
      <c r="C1305" s="2" t="s">
        <v>48</v>
      </c>
      <c r="D1305" s="2" t="s">
        <v>12</v>
      </c>
      <c r="E1305" s="2" t="s">
        <v>76</v>
      </c>
      <c r="F1305" s="2" t="s">
        <v>1145</v>
      </c>
      <c r="G1305" s="14" t="n">
        <v>9.5</v>
      </c>
      <c r="H1305" s="14" t="n">
        <v>63.42</v>
      </c>
      <c r="I1305" s="14" t="n">
        <v>9.5</v>
      </c>
      <c r="J1305" s="22" t="n">
        <f aca="false">IF(E1305="Priority",'Cost model'!N761,'Cost model'!M761)</f>
        <v>35</v>
      </c>
      <c r="K1305" s="14" t="n">
        <f aca="false">J1305-H1305</f>
        <v>-28.42</v>
      </c>
      <c r="L1305" s="14" t="n">
        <f aca="false">G1305-H1305</f>
        <v>-53.92</v>
      </c>
    </row>
    <row r="1306" customFormat="false" ht="15" hidden="false" customHeight="false" outlineLevel="0" collapsed="false">
      <c r="A1306" s="2" t="s">
        <v>184</v>
      </c>
      <c r="B1306" s="2" t="s">
        <v>184</v>
      </c>
      <c r="C1306" s="2" t="s">
        <v>50</v>
      </c>
      <c r="D1306" s="2" t="s">
        <v>10</v>
      </c>
      <c r="E1306" s="2" t="s">
        <v>76</v>
      </c>
      <c r="F1306" s="2" t="s">
        <v>1145</v>
      </c>
      <c r="G1306" s="14" t="n">
        <v>17.5</v>
      </c>
      <c r="H1306" s="14" t="n">
        <v>10.51</v>
      </c>
      <c r="I1306" s="14" t="n">
        <v>17.5</v>
      </c>
      <c r="J1306" s="22" t="n">
        <f aca="false">IF(E1306="Priority",'Cost model'!N202,'Cost model'!M202)</f>
        <v>17.5</v>
      </c>
      <c r="K1306" s="14" t="n">
        <f aca="false">J1306-H1306</f>
        <v>6.99</v>
      </c>
      <c r="L1306" s="14" t="n">
        <f aca="false">G1306-H1306</f>
        <v>6.99</v>
      </c>
    </row>
    <row r="1307" customFormat="false" ht="15" hidden="false" customHeight="false" outlineLevel="0" collapsed="false">
      <c r="A1307" s="2" t="s">
        <v>126</v>
      </c>
      <c r="B1307" s="2" t="s">
        <v>126</v>
      </c>
      <c r="C1307" s="2" t="s">
        <v>48</v>
      </c>
      <c r="D1307" s="2" t="s">
        <v>12</v>
      </c>
      <c r="E1307" s="2" t="s">
        <v>76</v>
      </c>
      <c r="F1307" s="2" t="s">
        <v>1145</v>
      </c>
      <c r="G1307" s="14" t="n">
        <v>9.5</v>
      </c>
      <c r="H1307" s="14" t="n">
        <v>32.8</v>
      </c>
      <c r="I1307" s="14" t="n">
        <v>9.5</v>
      </c>
      <c r="J1307" s="22" t="n">
        <f aca="false">IF(E1307="Priority",'Cost model'!N383,'Cost model'!M383)</f>
        <v>27.5</v>
      </c>
      <c r="K1307" s="14" t="n">
        <f aca="false">J1307-H1307</f>
        <v>-5.3</v>
      </c>
      <c r="L1307" s="14" t="n">
        <f aca="false">G1307-H1307</f>
        <v>-23.3</v>
      </c>
    </row>
    <row r="1308" customFormat="false" ht="15" hidden="false" customHeight="false" outlineLevel="0" collapsed="false">
      <c r="A1308" s="2" t="s">
        <v>184</v>
      </c>
      <c r="B1308" s="2" t="s">
        <v>165</v>
      </c>
      <c r="C1308" s="2" t="s">
        <v>48</v>
      </c>
      <c r="D1308" s="2" t="s">
        <v>10</v>
      </c>
      <c r="E1308" s="2" t="s">
        <v>76</v>
      </c>
      <c r="F1308" s="2" t="s">
        <v>1146</v>
      </c>
      <c r="G1308" s="14" t="n">
        <v>9.5</v>
      </c>
      <c r="H1308" s="14" t="n">
        <v>6.24</v>
      </c>
      <c r="I1308" s="14" t="n">
        <v>14.5</v>
      </c>
      <c r="J1308" s="22" t="n">
        <f aca="false">IF(E1308="Priority",'Cost model'!N164,'Cost model'!M164)</f>
        <v>11.5</v>
      </c>
      <c r="K1308" s="14" t="n">
        <f aca="false">J1308-H1308</f>
        <v>5.26</v>
      </c>
      <c r="L1308" s="14" t="n">
        <f aca="false">G1308-H1308</f>
        <v>3.26</v>
      </c>
    </row>
    <row r="1309" customFormat="false" ht="15" hidden="false" customHeight="false" outlineLevel="0" collapsed="false">
      <c r="A1309" s="2" t="s">
        <v>184</v>
      </c>
      <c r="B1309" s="2" t="s">
        <v>184</v>
      </c>
      <c r="C1309" s="2" t="s">
        <v>49</v>
      </c>
      <c r="D1309" s="2" t="s">
        <v>13</v>
      </c>
      <c r="E1309" s="2" t="s">
        <v>76</v>
      </c>
      <c r="F1309" s="2" t="s">
        <v>1145</v>
      </c>
      <c r="G1309" s="14" t="n">
        <v>24.5</v>
      </c>
      <c r="H1309" s="14" t="n">
        <v>83.36</v>
      </c>
      <c r="I1309" s="14"/>
      <c r="J1309" s="22" t="n">
        <f aca="false">IF(E1309="Priority",'Cost model'!N207,'Cost model'!M207)</f>
        <v>75</v>
      </c>
      <c r="K1309" s="14" t="n">
        <f aca="false">J1309-H1309</f>
        <v>-8.36</v>
      </c>
      <c r="L1309" s="14" t="n">
        <f aca="false">G1309-H1309</f>
        <v>-58.86</v>
      </c>
    </row>
    <row r="1310" customFormat="false" ht="15" hidden="false" customHeight="false" outlineLevel="0" collapsed="false">
      <c r="A1310" s="2" t="s">
        <v>240</v>
      </c>
      <c r="B1310" s="2" t="s">
        <v>240</v>
      </c>
      <c r="C1310" s="2" t="s">
        <v>48</v>
      </c>
      <c r="D1310" s="2" t="s">
        <v>10</v>
      </c>
      <c r="E1310" s="2" t="s">
        <v>76</v>
      </c>
      <c r="F1310" s="2" t="s">
        <v>1145</v>
      </c>
      <c r="G1310" s="14" t="n">
        <v>9.5</v>
      </c>
      <c r="H1310" s="14" t="n">
        <v>9.52</v>
      </c>
      <c r="I1310" s="14" t="n">
        <v>9.5</v>
      </c>
      <c r="J1310" s="22" t="n">
        <f aca="false">IF(E1310="Priority",'Cost model'!N884,'Cost model'!M884)</f>
        <v>7.5</v>
      </c>
      <c r="K1310" s="14" t="n">
        <f aca="false">J1310-H1310</f>
        <v>-2.02</v>
      </c>
      <c r="L1310" s="14" t="n">
        <f aca="false">G1310-H1310</f>
        <v>-0.0199999999999996</v>
      </c>
    </row>
    <row r="1311" customFormat="false" ht="15" hidden="false" customHeight="false" outlineLevel="0" collapsed="false">
      <c r="A1311" s="2" t="s">
        <v>146</v>
      </c>
      <c r="B1311" s="2" t="s">
        <v>126</v>
      </c>
      <c r="C1311" s="2" t="s">
        <v>48</v>
      </c>
      <c r="D1311" s="2" t="s">
        <v>13</v>
      </c>
      <c r="E1311" s="2" t="s">
        <v>76</v>
      </c>
      <c r="F1311" s="2" t="s">
        <v>1146</v>
      </c>
      <c r="G1311" s="14" t="n">
        <v>19</v>
      </c>
      <c r="H1311" s="14" t="n">
        <v>55.51</v>
      </c>
      <c r="I1311" s="14" t="n">
        <v>24.5</v>
      </c>
      <c r="J1311" s="22" t="n">
        <f aca="false">IF(E1311="Priority",'Cost model'!N800,'Cost model'!M800)</f>
        <v>70</v>
      </c>
      <c r="K1311" s="14" t="n">
        <f aca="false">J1311-H1311</f>
        <v>14.49</v>
      </c>
      <c r="L1311" s="14" t="n">
        <f aca="false">G1311-H1311</f>
        <v>-36.51</v>
      </c>
    </row>
    <row r="1312" customFormat="false" ht="15" hidden="false" customHeight="false" outlineLevel="0" collapsed="false">
      <c r="A1312" s="2" t="s">
        <v>184</v>
      </c>
      <c r="B1312" s="2" t="s">
        <v>184</v>
      </c>
      <c r="C1312" s="2" t="s">
        <v>48</v>
      </c>
      <c r="D1312" s="2" t="s">
        <v>12</v>
      </c>
      <c r="E1312" s="2" t="s">
        <v>76</v>
      </c>
      <c r="F1312" s="2" t="s">
        <v>1145</v>
      </c>
      <c r="G1312" s="14" t="n">
        <v>9.5</v>
      </c>
      <c r="H1312" s="14" t="n">
        <v>27.51</v>
      </c>
      <c r="I1312" s="14" t="n">
        <v>9.5</v>
      </c>
      <c r="J1312" s="22" t="n">
        <f aca="false">IF(E1312="Priority",'Cost model'!N203,'Cost model'!M203)</f>
        <v>26.5</v>
      </c>
      <c r="K1312" s="14" t="n">
        <f aca="false">J1312-H1312</f>
        <v>-1.01</v>
      </c>
      <c r="L1312" s="14" t="n">
        <f aca="false">G1312-H1312</f>
        <v>-18.01</v>
      </c>
    </row>
    <row r="1313" customFormat="false" ht="15" hidden="false" customHeight="false" outlineLevel="0" collapsed="false">
      <c r="A1313" s="2" t="s">
        <v>126</v>
      </c>
      <c r="B1313" s="2" t="s">
        <v>126</v>
      </c>
      <c r="C1313" s="2" t="s">
        <v>49</v>
      </c>
      <c r="D1313" s="2" t="s">
        <v>10</v>
      </c>
      <c r="E1313" s="2" t="s">
        <v>76</v>
      </c>
      <c r="F1313" s="2" t="s">
        <v>1145</v>
      </c>
      <c r="G1313" s="14" t="n">
        <v>12.5</v>
      </c>
      <c r="H1313" s="14" t="n">
        <v>20.83</v>
      </c>
      <c r="I1313" s="14" t="n">
        <v>12.5</v>
      </c>
      <c r="J1313" s="22" t="n">
        <f aca="false">IF(E1313="Priority",'Cost model'!N381,'Cost model'!M381)</f>
        <v>14.5</v>
      </c>
      <c r="K1313" s="14" t="n">
        <f aca="false">J1313-H1313</f>
        <v>-6.33</v>
      </c>
      <c r="L1313" s="14" t="n">
        <f aca="false">G1313-H1313</f>
        <v>-8.33</v>
      </c>
    </row>
    <row r="1314" customFormat="false" ht="15" hidden="false" customHeight="false" outlineLevel="0" collapsed="false">
      <c r="A1314" s="2" t="s">
        <v>184</v>
      </c>
      <c r="B1314" s="2" t="s">
        <v>184</v>
      </c>
      <c r="C1314" s="2" t="s">
        <v>48</v>
      </c>
      <c r="D1314" s="2" t="s">
        <v>10</v>
      </c>
      <c r="E1314" s="2" t="s">
        <v>76</v>
      </c>
      <c r="F1314" s="2" t="s">
        <v>1145</v>
      </c>
      <c r="G1314" s="14" t="n">
        <v>9.5</v>
      </c>
      <c r="H1314" s="14" t="n">
        <v>9.64</v>
      </c>
      <c r="I1314" s="14" t="n">
        <v>9.5</v>
      </c>
      <c r="J1314" s="22" t="n">
        <f aca="false">IF(E1314="Priority",'Cost model'!N200,'Cost model'!M200)</f>
        <v>7.5</v>
      </c>
      <c r="K1314" s="14" t="n">
        <f aca="false">J1314-H1314</f>
        <v>-2.14</v>
      </c>
      <c r="L1314" s="14" t="n">
        <f aca="false">G1314-H1314</f>
        <v>-0.140000000000001</v>
      </c>
    </row>
    <row r="1315" customFormat="false" ht="15" hidden="false" customHeight="false" outlineLevel="0" collapsed="false">
      <c r="A1315" s="2" t="s">
        <v>146</v>
      </c>
      <c r="B1315" s="2" t="s">
        <v>126</v>
      </c>
      <c r="C1315" s="2" t="s">
        <v>48</v>
      </c>
      <c r="D1315" s="2" t="s">
        <v>12</v>
      </c>
      <c r="E1315" s="2" t="s">
        <v>85</v>
      </c>
      <c r="F1315" s="2" t="s">
        <v>1146</v>
      </c>
      <c r="G1315" s="14" t="n">
        <v>24.5</v>
      </c>
      <c r="H1315" s="14" t="n">
        <v>23.88</v>
      </c>
      <c r="I1315" s="14" t="n">
        <v>24.5</v>
      </c>
      <c r="J1315" s="22" t="n">
        <f aca="false">IF(E1315="Priority",'Cost model'!N797,'Cost model'!M797)</f>
        <v>55</v>
      </c>
      <c r="K1315" s="14" t="n">
        <f aca="false">J1315-H1315</f>
        <v>31.12</v>
      </c>
      <c r="L1315" s="14" t="n">
        <f aca="false">G1315-H1315</f>
        <v>0.620000000000001</v>
      </c>
    </row>
    <row r="1316" customFormat="false" ht="15" hidden="false" customHeight="false" outlineLevel="0" collapsed="false">
      <c r="A1316" s="2" t="s">
        <v>184</v>
      </c>
      <c r="B1316" s="2" t="s">
        <v>184</v>
      </c>
      <c r="C1316" s="2" t="s">
        <v>48</v>
      </c>
      <c r="D1316" s="2" t="s">
        <v>10</v>
      </c>
      <c r="E1316" s="2" t="s">
        <v>85</v>
      </c>
      <c r="F1316" s="2" t="s">
        <v>1145</v>
      </c>
      <c r="G1316" s="14" t="n">
        <v>14.5</v>
      </c>
      <c r="H1316" s="14" t="n">
        <v>7.46</v>
      </c>
      <c r="I1316" s="14" t="n">
        <v>14.5</v>
      </c>
      <c r="J1316" s="22" t="n">
        <f aca="false">IF(E1316="Priority",'Cost model'!N200,'Cost model'!M200)</f>
        <v>12.5</v>
      </c>
      <c r="K1316" s="14" t="n">
        <f aca="false">J1316-H1316</f>
        <v>5.04</v>
      </c>
      <c r="L1316" s="14" t="n">
        <f aca="false">G1316-H1316</f>
        <v>7.04</v>
      </c>
    </row>
    <row r="1317" customFormat="false" ht="15" hidden="false" customHeight="false" outlineLevel="0" collapsed="false">
      <c r="A1317" s="2" t="s">
        <v>184</v>
      </c>
      <c r="B1317" s="2" t="s">
        <v>146</v>
      </c>
      <c r="C1317" s="2" t="s">
        <v>49</v>
      </c>
      <c r="D1317" s="2" t="s">
        <v>12</v>
      </c>
      <c r="E1317" s="2" t="s">
        <v>76</v>
      </c>
      <c r="F1317" s="2" t="s">
        <v>1146</v>
      </c>
      <c r="G1317" s="14" t="n">
        <v>12.5</v>
      </c>
      <c r="H1317" s="14" t="n">
        <v>83.59</v>
      </c>
      <c r="I1317" s="14"/>
      <c r="J1317" s="22" t="n">
        <f aca="false">IF(E1317="Priority",'Cost model'!N150,'Cost model'!M150)</f>
        <v>55</v>
      </c>
      <c r="K1317" s="14" t="n">
        <f aca="false">J1317-H1317</f>
        <v>-28.59</v>
      </c>
      <c r="L1317" s="14" t="n">
        <f aca="false">G1317-H1317</f>
        <v>-71.09</v>
      </c>
    </row>
    <row r="1318" customFormat="false" ht="15" hidden="false" customHeight="false" outlineLevel="0" collapsed="false">
      <c r="A1318" s="2" t="s">
        <v>146</v>
      </c>
      <c r="B1318" s="2" t="s">
        <v>126</v>
      </c>
      <c r="C1318" s="2" t="s">
        <v>48</v>
      </c>
      <c r="D1318" s="2" t="s">
        <v>12</v>
      </c>
      <c r="E1318" s="2" t="s">
        <v>76</v>
      </c>
      <c r="F1318" s="2" t="s">
        <v>1146</v>
      </c>
      <c r="G1318" s="14" t="n">
        <v>19.5</v>
      </c>
      <c r="H1318" s="14" t="n">
        <v>44.68</v>
      </c>
      <c r="I1318" s="14" t="n">
        <v>19.5</v>
      </c>
      <c r="J1318" s="22" t="n">
        <f aca="false">IF(E1318="Priority",'Cost model'!N797,'Cost model'!M797)</f>
        <v>40</v>
      </c>
      <c r="K1318" s="14" t="n">
        <f aca="false">J1318-H1318</f>
        <v>-4.68</v>
      </c>
      <c r="L1318" s="14" t="n">
        <f aca="false">G1318-H1318</f>
        <v>-25.18</v>
      </c>
    </row>
    <row r="1319" customFormat="false" ht="15" hidden="false" customHeight="false" outlineLevel="0" collapsed="false">
      <c r="A1319" s="2" t="s">
        <v>184</v>
      </c>
      <c r="B1319" s="2" t="s">
        <v>146</v>
      </c>
      <c r="C1319" s="2" t="s">
        <v>48</v>
      </c>
      <c r="D1319" s="2" t="s">
        <v>10</v>
      </c>
      <c r="E1319" s="2" t="s">
        <v>76</v>
      </c>
      <c r="F1319" s="2" t="s">
        <v>1146</v>
      </c>
      <c r="G1319" s="14" t="n">
        <v>9.5</v>
      </c>
      <c r="H1319" s="14" t="n">
        <v>13.55</v>
      </c>
      <c r="I1319" s="14" t="n">
        <v>9.5</v>
      </c>
      <c r="J1319" s="22" t="n">
        <f aca="false">IF(E1319="Priority",'Cost model'!N146,'Cost model'!M146)</f>
        <v>12.5</v>
      </c>
      <c r="K1319" s="14" t="n">
        <f aca="false">J1319-H1319</f>
        <v>-1.05</v>
      </c>
      <c r="L1319" s="14" t="n">
        <f aca="false">G1319-H1319</f>
        <v>-4.05</v>
      </c>
    </row>
    <row r="1320" customFormat="false" ht="15" hidden="false" customHeight="false" outlineLevel="0" collapsed="false">
      <c r="A1320" s="2" t="s">
        <v>165</v>
      </c>
      <c r="B1320" s="2" t="s">
        <v>165</v>
      </c>
      <c r="C1320" s="2" t="s">
        <v>50</v>
      </c>
      <c r="D1320" s="2" t="s">
        <v>10</v>
      </c>
      <c r="E1320" s="2" t="s">
        <v>76</v>
      </c>
      <c r="F1320" s="2" t="s">
        <v>1145</v>
      </c>
      <c r="G1320" s="14" t="n">
        <v>17.5</v>
      </c>
      <c r="H1320" s="14" t="n">
        <v>17.57</v>
      </c>
      <c r="I1320" s="14" t="n">
        <v>17.5</v>
      </c>
      <c r="J1320" s="22" t="n">
        <f aca="false">IF(E1320="Priority",'Cost model'!N508,'Cost model'!M508)</f>
        <v>17.5</v>
      </c>
      <c r="K1320" s="14" t="n">
        <f aca="false">J1320-H1320</f>
        <v>-0.0700000000000003</v>
      </c>
      <c r="L1320" s="14" t="n">
        <f aca="false">G1320-H1320</f>
        <v>-0.0700000000000003</v>
      </c>
    </row>
    <row r="1321" customFormat="false" ht="15" hidden="false" customHeight="false" outlineLevel="0" collapsed="false">
      <c r="A1321" s="2" t="s">
        <v>126</v>
      </c>
      <c r="B1321" s="2" t="s">
        <v>126</v>
      </c>
      <c r="C1321" s="2" t="s">
        <v>49</v>
      </c>
      <c r="D1321" s="2" t="s">
        <v>14</v>
      </c>
      <c r="E1321" s="2" t="s">
        <v>76</v>
      </c>
      <c r="F1321" s="2" t="s">
        <v>1145</v>
      </c>
      <c r="G1321" s="14" t="n">
        <v>45</v>
      </c>
      <c r="H1321" s="14" t="n">
        <v>131.02</v>
      </c>
      <c r="I1321" s="14" t="n">
        <v>45</v>
      </c>
      <c r="J1321" s="22" t="n">
        <f aca="false">IF(E1321="Priority",'Cost model'!N390,'Cost model'!M390)</f>
        <v>115</v>
      </c>
      <c r="K1321" s="14" t="n">
        <f aca="false">J1321-H1321</f>
        <v>-16.02</v>
      </c>
      <c r="L1321" s="14" t="n">
        <f aca="false">G1321-H1321</f>
        <v>-86.02</v>
      </c>
    </row>
    <row r="1322" customFormat="false" ht="15" hidden="false" customHeight="false" outlineLevel="0" collapsed="false">
      <c r="A1322" s="2" t="s">
        <v>126</v>
      </c>
      <c r="B1322" s="2" t="s">
        <v>146</v>
      </c>
      <c r="C1322" s="2" t="s">
        <v>49</v>
      </c>
      <c r="D1322" s="2" t="s">
        <v>10</v>
      </c>
      <c r="E1322" s="2" t="s">
        <v>76</v>
      </c>
      <c r="F1322" s="2" t="s">
        <v>1146</v>
      </c>
      <c r="G1322" s="14" t="n">
        <v>14.5</v>
      </c>
      <c r="H1322" s="14" t="n">
        <v>23.58</v>
      </c>
      <c r="I1322" s="14" t="n">
        <v>14.5</v>
      </c>
      <c r="J1322" s="22" t="n">
        <f aca="false">IF(E1322="Priority",'Cost model'!N399,'Cost model'!M399)</f>
        <v>17.5</v>
      </c>
      <c r="K1322" s="14" t="n">
        <f aca="false">J1322-H1322</f>
        <v>-6.08</v>
      </c>
      <c r="L1322" s="14" t="n">
        <f aca="false">G1322-H1322</f>
        <v>-9.08</v>
      </c>
    </row>
    <row r="1323" customFormat="false" ht="15" hidden="false" customHeight="false" outlineLevel="0" collapsed="false">
      <c r="A1323" s="2" t="s">
        <v>126</v>
      </c>
      <c r="B1323" s="2" t="s">
        <v>126</v>
      </c>
      <c r="C1323" s="2" t="s">
        <v>49</v>
      </c>
      <c r="D1323" s="2" t="s">
        <v>10</v>
      </c>
      <c r="E1323" s="2" t="s">
        <v>76</v>
      </c>
      <c r="F1323" s="2" t="s">
        <v>1145</v>
      </c>
      <c r="G1323" s="14" t="n">
        <v>12.5</v>
      </c>
      <c r="H1323" s="14" t="n">
        <v>14.08</v>
      </c>
      <c r="I1323" s="14" t="n">
        <v>12.5</v>
      </c>
      <c r="J1323" s="22" t="n">
        <f aca="false">IF(E1323="Priority",'Cost model'!N381,'Cost model'!M381)</f>
        <v>14.5</v>
      </c>
      <c r="K1323" s="14" t="n">
        <f aca="false">J1323-H1323</f>
        <v>0.42</v>
      </c>
      <c r="L1323" s="14" t="n">
        <f aca="false">G1323-H1323</f>
        <v>-1.58</v>
      </c>
    </row>
    <row r="1324" customFormat="false" ht="15" hidden="false" customHeight="false" outlineLevel="0" collapsed="false">
      <c r="A1324" s="2" t="s">
        <v>126</v>
      </c>
      <c r="B1324" s="2" t="s">
        <v>126</v>
      </c>
      <c r="C1324" s="2" t="s">
        <v>48</v>
      </c>
      <c r="D1324" s="2" t="s">
        <v>10</v>
      </c>
      <c r="E1324" s="2" t="s">
        <v>76</v>
      </c>
      <c r="F1324" s="2" t="s">
        <v>1145</v>
      </c>
      <c r="G1324" s="14" t="n">
        <v>9.5</v>
      </c>
      <c r="H1324" s="14" t="n">
        <v>7.46</v>
      </c>
      <c r="I1324" s="14" t="n">
        <v>9.5</v>
      </c>
      <c r="J1324" s="22" t="n">
        <f aca="false">IF(E1324="Priority",'Cost model'!N380,'Cost model'!M380)</f>
        <v>8.5</v>
      </c>
      <c r="K1324" s="14" t="n">
        <f aca="false">J1324-H1324</f>
        <v>1.04</v>
      </c>
      <c r="L1324" s="14" t="n">
        <f aca="false">G1324-H1324</f>
        <v>2.04</v>
      </c>
    </row>
    <row r="1325" customFormat="false" ht="15" hidden="false" customHeight="false" outlineLevel="0" collapsed="false">
      <c r="A1325" s="2" t="s">
        <v>125</v>
      </c>
      <c r="B1325" s="2" t="s">
        <v>126</v>
      </c>
      <c r="C1325" s="2" t="s">
        <v>48</v>
      </c>
      <c r="D1325" s="2" t="s">
        <v>10</v>
      </c>
      <c r="E1325" s="2" t="s">
        <v>76</v>
      </c>
      <c r="F1325" s="2" t="s">
        <v>1146</v>
      </c>
      <c r="G1325" s="14" t="n">
        <v>14.5</v>
      </c>
      <c r="H1325" s="14" t="n">
        <v>12.54</v>
      </c>
      <c r="I1325" s="14" t="n">
        <v>14.5</v>
      </c>
      <c r="J1325" s="22" t="n">
        <f aca="false">IF(E1325="Priority",'Cost model'!N2,'Cost model'!M2)</f>
        <v>14.5</v>
      </c>
      <c r="K1325" s="14" t="n">
        <f aca="false">J1325-H1325</f>
        <v>1.96</v>
      </c>
      <c r="L1325" s="14" t="n">
        <f aca="false">G1325-H1325</f>
        <v>1.96</v>
      </c>
    </row>
    <row r="1326" customFormat="false" ht="15" hidden="false" customHeight="false" outlineLevel="0" collapsed="false">
      <c r="A1326" s="2" t="s">
        <v>184</v>
      </c>
      <c r="B1326" s="2" t="s">
        <v>240</v>
      </c>
      <c r="C1326" s="2" t="s">
        <v>48</v>
      </c>
      <c r="D1326" s="2" t="s">
        <v>12</v>
      </c>
      <c r="E1326" s="2" t="s">
        <v>76</v>
      </c>
      <c r="F1326" s="2" t="s">
        <v>1146</v>
      </c>
      <c r="G1326" s="14" t="n">
        <v>9.5</v>
      </c>
      <c r="H1326" s="14" t="n">
        <v>50.61</v>
      </c>
      <c r="I1326" s="14" t="n">
        <v>24.5</v>
      </c>
      <c r="J1326" s="22" t="n">
        <f aca="false">IF(E1326="Priority",'Cost model'!N185,'Cost model'!M185)</f>
        <v>55</v>
      </c>
      <c r="K1326" s="14" t="n">
        <f aca="false">J1326-H1326</f>
        <v>4.39</v>
      </c>
      <c r="L1326" s="14" t="n">
        <f aca="false">G1326-H1326</f>
        <v>-41.11</v>
      </c>
    </row>
    <row r="1327" customFormat="false" ht="15" hidden="false" customHeight="false" outlineLevel="0" collapsed="false">
      <c r="A1327" s="2" t="s">
        <v>165</v>
      </c>
      <c r="B1327" s="2" t="s">
        <v>165</v>
      </c>
      <c r="C1327" s="2" t="s">
        <v>48</v>
      </c>
      <c r="D1327" s="2" t="s">
        <v>13</v>
      </c>
      <c r="E1327" s="2" t="s">
        <v>76</v>
      </c>
      <c r="F1327" s="2" t="s">
        <v>1145</v>
      </c>
      <c r="G1327" s="14" t="n">
        <v>19</v>
      </c>
      <c r="H1327" s="14" t="n">
        <v>28.2</v>
      </c>
      <c r="I1327" s="14" t="n">
        <v>19</v>
      </c>
      <c r="J1327" s="22" t="n">
        <f aca="false">IF(E1327="Priority",'Cost model'!N512,'Cost model'!M512)</f>
        <v>35</v>
      </c>
      <c r="K1327" s="14" t="n">
        <f aca="false">J1327-H1327</f>
        <v>6.8</v>
      </c>
      <c r="L1327" s="14" t="n">
        <f aca="false">G1327-H1327</f>
        <v>-9.2</v>
      </c>
    </row>
    <row r="1328" customFormat="false" ht="15" hidden="false" customHeight="false" outlineLevel="0" collapsed="false">
      <c r="A1328" s="2" t="s">
        <v>240</v>
      </c>
      <c r="B1328" s="2" t="s">
        <v>240</v>
      </c>
      <c r="C1328" s="2" t="s">
        <v>48</v>
      </c>
      <c r="D1328" s="2" t="s">
        <v>12</v>
      </c>
      <c r="E1328" s="2" t="s">
        <v>76</v>
      </c>
      <c r="F1328" s="2" t="s">
        <v>1145</v>
      </c>
      <c r="G1328" s="14" t="n">
        <v>9.5</v>
      </c>
      <c r="H1328" s="14" t="n">
        <v>28.55</v>
      </c>
      <c r="I1328" s="14" t="n">
        <v>9.5</v>
      </c>
      <c r="J1328" s="22" t="n">
        <f aca="false">IF(E1328="Priority",'Cost model'!N887,'Cost model'!M887)</f>
        <v>21.5</v>
      </c>
      <c r="K1328" s="14" t="n">
        <f aca="false">J1328-H1328</f>
        <v>-7.05</v>
      </c>
      <c r="L1328" s="14" t="n">
        <f aca="false">G1328-H1328</f>
        <v>-19.05</v>
      </c>
    </row>
    <row r="1329" customFormat="false" ht="15" hidden="false" customHeight="false" outlineLevel="0" collapsed="false">
      <c r="A1329" s="2" t="s">
        <v>125</v>
      </c>
      <c r="B1329" s="2" t="s">
        <v>184</v>
      </c>
      <c r="C1329" s="2" t="s">
        <v>48</v>
      </c>
      <c r="D1329" s="2" t="s">
        <v>10</v>
      </c>
      <c r="E1329" s="2" t="s">
        <v>76</v>
      </c>
      <c r="F1329" s="2" t="s">
        <v>1146</v>
      </c>
      <c r="G1329" s="14" t="n">
        <v>14.5</v>
      </c>
      <c r="H1329" s="14" t="n">
        <v>11.92</v>
      </c>
      <c r="I1329" s="14" t="n">
        <v>14.5</v>
      </c>
      <c r="J1329" s="22" t="n">
        <f aca="false">IF(E1329="Priority",'Cost model'!N56,'Cost model'!M56)</f>
        <v>11.5</v>
      </c>
      <c r="K1329" s="14" t="n">
        <f aca="false">J1329-H1329</f>
        <v>-0.42</v>
      </c>
      <c r="L1329" s="14" t="n">
        <f aca="false">G1329-H1329</f>
        <v>2.58</v>
      </c>
    </row>
    <row r="1330" customFormat="false" ht="15" hidden="false" customHeight="false" outlineLevel="0" collapsed="false">
      <c r="A1330" s="2" t="s">
        <v>146</v>
      </c>
      <c r="B1330" s="2" t="s">
        <v>126</v>
      </c>
      <c r="C1330" s="2" t="s">
        <v>48</v>
      </c>
      <c r="D1330" s="2" t="s">
        <v>10</v>
      </c>
      <c r="E1330" s="2" t="s">
        <v>76</v>
      </c>
      <c r="F1330" s="2" t="s">
        <v>1146</v>
      </c>
      <c r="G1330" s="14" t="n">
        <v>9.5</v>
      </c>
      <c r="H1330" s="14" t="n">
        <v>10.76</v>
      </c>
      <c r="I1330" s="14" t="n">
        <v>14.5</v>
      </c>
      <c r="J1330" s="22" t="n">
        <f aca="false">IF(E1330="Priority",'Cost model'!N794,'Cost model'!M794)</f>
        <v>12.5</v>
      </c>
      <c r="K1330" s="14" t="n">
        <f aca="false">J1330-H1330</f>
        <v>1.74</v>
      </c>
      <c r="L1330" s="14" t="n">
        <f aca="false">G1330-H1330</f>
        <v>-1.26</v>
      </c>
    </row>
    <row r="1331" customFormat="false" ht="15" hidden="false" customHeight="false" outlineLevel="0" collapsed="false">
      <c r="A1331" s="2" t="s">
        <v>184</v>
      </c>
      <c r="B1331" s="2" t="s">
        <v>184</v>
      </c>
      <c r="C1331" s="2" t="s">
        <v>50</v>
      </c>
      <c r="D1331" s="2" t="s">
        <v>13</v>
      </c>
      <c r="E1331" s="2" t="s">
        <v>76</v>
      </c>
      <c r="F1331" s="2" t="s">
        <v>1145</v>
      </c>
      <c r="G1331" s="14" t="n">
        <v>50</v>
      </c>
      <c r="H1331" s="14" t="n">
        <v>118.78</v>
      </c>
      <c r="I1331" s="14" t="n">
        <v>50</v>
      </c>
      <c r="J1331" s="22" t="n">
        <f aca="false">IF(E1331="Priority",'Cost model'!N208,'Cost model'!M208)</f>
        <v>80</v>
      </c>
      <c r="K1331" s="14" t="n">
        <f aca="false">J1331-H1331</f>
        <v>-38.78</v>
      </c>
      <c r="L1331" s="14" t="n">
        <f aca="false">G1331-H1331</f>
        <v>-68.78</v>
      </c>
    </row>
    <row r="1332" customFormat="false" ht="15" hidden="false" customHeight="false" outlineLevel="0" collapsed="false">
      <c r="A1332" s="2" t="s">
        <v>221</v>
      </c>
      <c r="B1332" s="2" t="s">
        <v>221</v>
      </c>
      <c r="C1332" s="2" t="s">
        <v>49</v>
      </c>
      <c r="D1332" s="2" t="s">
        <v>10</v>
      </c>
      <c r="E1332" s="2" t="s">
        <v>76</v>
      </c>
      <c r="F1332" s="2" t="s">
        <v>1145</v>
      </c>
      <c r="G1332" s="14" t="n">
        <v>14.5</v>
      </c>
      <c r="H1332" s="14" t="n">
        <v>11.03</v>
      </c>
      <c r="I1332" s="14" t="n">
        <v>12.5</v>
      </c>
      <c r="J1332" s="22" t="n">
        <f aca="false">IF(E1332="Priority",'Cost model'!N633,'Cost model'!M633)</f>
        <v>13.5</v>
      </c>
      <c r="K1332" s="14" t="n">
        <f aca="false">J1332-H1332</f>
        <v>2.47</v>
      </c>
      <c r="L1332" s="14" t="n">
        <f aca="false">G1332-H1332</f>
        <v>3.47</v>
      </c>
    </row>
    <row r="1333" customFormat="false" ht="15" hidden="false" customHeight="false" outlineLevel="0" collapsed="false">
      <c r="A1333" s="2" t="s">
        <v>184</v>
      </c>
      <c r="B1333" s="2" t="s">
        <v>146</v>
      </c>
      <c r="C1333" s="2" t="s">
        <v>50</v>
      </c>
      <c r="D1333" s="2" t="s">
        <v>12</v>
      </c>
      <c r="E1333" s="2" t="s">
        <v>76</v>
      </c>
      <c r="F1333" s="2" t="s">
        <v>1146</v>
      </c>
      <c r="G1333" s="14" t="n">
        <v>19.5</v>
      </c>
      <c r="H1333" s="14" t="n">
        <v>24.17</v>
      </c>
      <c r="I1333" s="14" t="n">
        <v>19.5</v>
      </c>
      <c r="J1333" s="22" t="n">
        <f aca="false">IF(E1333="Priority",'Cost model'!N151,'Cost model'!M151)</f>
        <v>55</v>
      </c>
      <c r="K1333" s="14" t="n">
        <f aca="false">J1333-H1333</f>
        <v>30.83</v>
      </c>
      <c r="L1333" s="14" t="n">
        <f aca="false">G1333-H1333</f>
        <v>-4.67</v>
      </c>
    </row>
    <row r="1334" customFormat="false" ht="15" hidden="false" customHeight="false" outlineLevel="0" collapsed="false">
      <c r="A1334" s="2" t="s">
        <v>184</v>
      </c>
      <c r="B1334" s="2" t="s">
        <v>165</v>
      </c>
      <c r="C1334" s="2" t="s">
        <v>50</v>
      </c>
      <c r="D1334" s="2" t="s">
        <v>10</v>
      </c>
      <c r="E1334" s="2" t="s">
        <v>76</v>
      </c>
      <c r="F1334" s="2" t="s">
        <v>1146</v>
      </c>
      <c r="G1334" s="14" t="n">
        <v>17.5</v>
      </c>
      <c r="H1334" s="14" t="n">
        <v>12.18</v>
      </c>
      <c r="I1334" s="14" t="n">
        <v>17.5</v>
      </c>
      <c r="J1334" s="22" t="n">
        <f aca="false">IF(E1334="Priority",'Cost model'!N166,'Cost model'!M166)</f>
        <v>18.5</v>
      </c>
      <c r="K1334" s="14" t="n">
        <f aca="false">J1334-H1334</f>
        <v>6.32</v>
      </c>
      <c r="L1334" s="14" t="n">
        <f aca="false">G1334-H1334</f>
        <v>5.32</v>
      </c>
    </row>
    <row r="1335" customFormat="false" ht="15" hidden="false" customHeight="false" outlineLevel="0" collapsed="false">
      <c r="A1335" s="2" t="s">
        <v>165</v>
      </c>
      <c r="B1335" s="2" t="s">
        <v>165</v>
      </c>
      <c r="C1335" s="2" t="s">
        <v>50</v>
      </c>
      <c r="D1335" s="2" t="s">
        <v>10</v>
      </c>
      <c r="E1335" s="2" t="s">
        <v>76</v>
      </c>
      <c r="F1335" s="2" t="s">
        <v>1145</v>
      </c>
      <c r="G1335" s="14" t="n">
        <v>17.5</v>
      </c>
      <c r="H1335" s="14" t="n">
        <v>11.58</v>
      </c>
      <c r="I1335" s="14" t="n">
        <v>17.5</v>
      </c>
      <c r="J1335" s="22" t="n">
        <f aca="false">IF(E1335="Priority",'Cost model'!N508,'Cost model'!M508)</f>
        <v>17.5</v>
      </c>
      <c r="K1335" s="14" t="n">
        <f aca="false">J1335-H1335</f>
        <v>5.92</v>
      </c>
      <c r="L1335" s="14" t="n">
        <f aca="false">G1335-H1335</f>
        <v>5.92</v>
      </c>
    </row>
    <row r="1336" customFormat="false" ht="15" hidden="false" customHeight="false" outlineLevel="0" collapsed="false">
      <c r="A1336" s="2" t="s">
        <v>126</v>
      </c>
      <c r="B1336" s="2" t="s">
        <v>184</v>
      </c>
      <c r="C1336" s="2" t="s">
        <v>49</v>
      </c>
      <c r="D1336" s="2" t="s">
        <v>12</v>
      </c>
      <c r="E1336" s="2" t="s">
        <v>76</v>
      </c>
      <c r="F1336" s="2" t="s">
        <v>1146</v>
      </c>
      <c r="G1336" s="14" t="n">
        <v>12.5</v>
      </c>
      <c r="H1336" s="14" t="n">
        <v>54.88</v>
      </c>
      <c r="I1336" s="14" t="n">
        <v>19.5</v>
      </c>
      <c r="J1336" s="22" t="n">
        <f aca="false">IF(E1336="Priority",'Cost model'!N438,'Cost model'!M438)</f>
        <v>55</v>
      </c>
      <c r="K1336" s="14" t="n">
        <f aca="false">J1336-H1336</f>
        <v>0.119999999999997</v>
      </c>
      <c r="L1336" s="14" t="n">
        <f aca="false">G1336-H1336</f>
        <v>-42.38</v>
      </c>
    </row>
    <row r="1337" customFormat="false" ht="15" hidden="false" customHeight="false" outlineLevel="0" collapsed="false">
      <c r="A1337" s="2" t="s">
        <v>184</v>
      </c>
      <c r="B1337" s="2" t="s">
        <v>184</v>
      </c>
      <c r="C1337" s="2" t="s">
        <v>49</v>
      </c>
      <c r="D1337" s="2" t="s">
        <v>12</v>
      </c>
      <c r="E1337" s="2" t="s">
        <v>76</v>
      </c>
      <c r="F1337" s="2" t="s">
        <v>1145</v>
      </c>
      <c r="G1337" s="14" t="n">
        <v>12.5</v>
      </c>
      <c r="H1337" s="14" t="n">
        <v>59.52</v>
      </c>
      <c r="I1337" s="14" t="n">
        <v>12.5</v>
      </c>
      <c r="J1337" s="22" t="n">
        <f aca="false">IF(E1337="Priority",'Cost model'!N204,'Cost model'!M204)</f>
        <v>45</v>
      </c>
      <c r="K1337" s="14" t="n">
        <f aca="false">J1337-H1337</f>
        <v>-14.52</v>
      </c>
      <c r="L1337" s="14" t="n">
        <f aca="false">G1337-H1337</f>
        <v>-47.02</v>
      </c>
    </row>
    <row r="1338" customFormat="false" ht="15" hidden="false" customHeight="false" outlineLevel="0" collapsed="false">
      <c r="A1338" s="2" t="s">
        <v>146</v>
      </c>
      <c r="B1338" s="2" t="s">
        <v>184</v>
      </c>
      <c r="C1338" s="2" t="s">
        <v>48</v>
      </c>
      <c r="D1338" s="2" t="s">
        <v>13</v>
      </c>
      <c r="E1338" s="2" t="s">
        <v>76</v>
      </c>
      <c r="F1338" s="2" t="s">
        <v>1146</v>
      </c>
      <c r="G1338" s="14" t="n">
        <v>45</v>
      </c>
      <c r="H1338" s="14" t="n">
        <v>159.27</v>
      </c>
      <c r="I1338" s="14" t="n">
        <v>24.5</v>
      </c>
      <c r="J1338" s="22" t="n">
        <f aca="false">IF(E1338="Priority",'Cost model'!N836,'Cost model'!M836)</f>
        <v>75</v>
      </c>
      <c r="K1338" s="14" t="n">
        <f aca="false">J1338-H1338</f>
        <v>-84.27</v>
      </c>
      <c r="L1338" s="14" t="n">
        <f aca="false">G1338-H1338</f>
        <v>-114.27</v>
      </c>
    </row>
    <row r="1339" customFormat="false" ht="15" hidden="false" customHeight="false" outlineLevel="0" collapsed="false">
      <c r="A1339" s="2" t="s">
        <v>240</v>
      </c>
      <c r="B1339" s="2" t="s">
        <v>240</v>
      </c>
      <c r="C1339" s="2" t="s">
        <v>50</v>
      </c>
      <c r="D1339" s="2" t="s">
        <v>12</v>
      </c>
      <c r="E1339" s="2" t="s">
        <v>76</v>
      </c>
      <c r="F1339" s="2" t="s">
        <v>1145</v>
      </c>
      <c r="G1339" s="14" t="n">
        <v>19.5</v>
      </c>
      <c r="H1339" s="14" t="n">
        <v>64.95</v>
      </c>
      <c r="I1339" s="14" t="n">
        <v>19.5</v>
      </c>
      <c r="J1339" s="22" t="n">
        <f aca="false">IF(E1339="Priority",'Cost model'!N889,'Cost model'!M889)</f>
        <v>60</v>
      </c>
      <c r="K1339" s="14" t="n">
        <f aca="false">J1339-H1339</f>
        <v>-4.95</v>
      </c>
      <c r="L1339" s="14" t="n">
        <f aca="false">G1339-H1339</f>
        <v>-45.45</v>
      </c>
    </row>
    <row r="1340" customFormat="false" ht="15" hidden="false" customHeight="false" outlineLevel="0" collapsed="false">
      <c r="A1340" s="2" t="s">
        <v>126</v>
      </c>
      <c r="B1340" s="2" t="s">
        <v>126</v>
      </c>
      <c r="C1340" s="2" t="s">
        <v>49</v>
      </c>
      <c r="D1340" s="2" t="s">
        <v>10</v>
      </c>
      <c r="E1340" s="2" t="s">
        <v>76</v>
      </c>
      <c r="F1340" s="2" t="s">
        <v>1145</v>
      </c>
      <c r="G1340" s="14" t="n">
        <v>12.5</v>
      </c>
      <c r="H1340" s="14" t="n">
        <v>13.7</v>
      </c>
      <c r="I1340" s="14" t="n">
        <v>12.5</v>
      </c>
      <c r="J1340" s="22" t="n">
        <f aca="false">IF(E1340="Priority",'Cost model'!N381,'Cost model'!M381)</f>
        <v>14.5</v>
      </c>
      <c r="K1340" s="14" t="n">
        <f aca="false">J1340-H1340</f>
        <v>0.800000000000001</v>
      </c>
      <c r="L1340" s="14" t="n">
        <f aca="false">G1340-H1340</f>
        <v>-1.2</v>
      </c>
    </row>
    <row r="1341" customFormat="false" ht="15" hidden="false" customHeight="false" outlineLevel="0" collapsed="false">
      <c r="A1341" s="2" t="s">
        <v>165</v>
      </c>
      <c r="B1341" s="2" t="s">
        <v>165</v>
      </c>
      <c r="C1341" s="2" t="s">
        <v>48</v>
      </c>
      <c r="D1341" s="2" t="s">
        <v>12</v>
      </c>
      <c r="E1341" s="2" t="s">
        <v>85</v>
      </c>
      <c r="F1341" s="2" t="s">
        <v>1145</v>
      </c>
      <c r="G1341" s="14" t="n">
        <v>19.5</v>
      </c>
      <c r="H1341" s="14" t="n">
        <v>24.17</v>
      </c>
      <c r="I1341" s="14" t="n">
        <v>19.5</v>
      </c>
      <c r="J1341" s="22" t="n">
        <f aca="false">IF(E1341="Priority",'Cost model'!N509,'Cost model'!M509)</f>
        <v>22.5</v>
      </c>
      <c r="K1341" s="14" t="n">
        <f aca="false">J1341-H1341</f>
        <v>-1.67</v>
      </c>
      <c r="L1341" s="14" t="n">
        <f aca="false">G1341-H1341</f>
        <v>-4.67</v>
      </c>
    </row>
    <row r="1342" customFormat="false" ht="15" hidden="false" customHeight="false" outlineLevel="0" collapsed="false">
      <c r="A1342" s="2" t="s">
        <v>125</v>
      </c>
      <c r="B1342" s="2" t="s">
        <v>184</v>
      </c>
      <c r="C1342" s="2" t="s">
        <v>48</v>
      </c>
      <c r="D1342" s="2" t="s">
        <v>10</v>
      </c>
      <c r="E1342" s="2" t="s">
        <v>76</v>
      </c>
      <c r="F1342" s="2" t="s">
        <v>1146</v>
      </c>
      <c r="G1342" s="14" t="n">
        <v>14.5</v>
      </c>
      <c r="H1342" s="14" t="n">
        <v>15.22</v>
      </c>
      <c r="I1342" s="14" t="n">
        <v>14.5</v>
      </c>
      <c r="J1342" s="22" t="n">
        <f aca="false">IF(E1342="Priority",'Cost model'!N56,'Cost model'!M56)</f>
        <v>11.5</v>
      </c>
      <c r="K1342" s="14" t="n">
        <f aca="false">J1342-H1342</f>
        <v>-3.72</v>
      </c>
      <c r="L1342" s="14" t="n">
        <f aca="false">G1342-H1342</f>
        <v>-0.720000000000001</v>
      </c>
    </row>
    <row r="1343" customFormat="false" ht="15" hidden="false" customHeight="false" outlineLevel="0" collapsed="false">
      <c r="A1343" s="2" t="s">
        <v>146</v>
      </c>
      <c r="B1343" s="2" t="s">
        <v>126</v>
      </c>
      <c r="C1343" s="2" t="s">
        <v>48</v>
      </c>
      <c r="D1343" s="2" t="s">
        <v>12</v>
      </c>
      <c r="E1343" s="2" t="s">
        <v>76</v>
      </c>
      <c r="F1343" s="2" t="s">
        <v>1146</v>
      </c>
      <c r="G1343" s="14" t="n">
        <v>9.5</v>
      </c>
      <c r="H1343" s="14" t="n">
        <v>44.52</v>
      </c>
      <c r="I1343" s="14" t="n">
        <v>19.5</v>
      </c>
      <c r="J1343" s="22" t="n">
        <f aca="false">IF(E1343="Priority",'Cost model'!N797,'Cost model'!M797)</f>
        <v>40</v>
      </c>
      <c r="K1343" s="14" t="n">
        <f aca="false">J1343-H1343</f>
        <v>-4.52</v>
      </c>
      <c r="L1343" s="14" t="n">
        <f aca="false">G1343-H1343</f>
        <v>-35.02</v>
      </c>
    </row>
    <row r="1344" customFormat="false" ht="15" hidden="false" customHeight="false" outlineLevel="0" collapsed="false">
      <c r="A1344" s="2" t="s">
        <v>126</v>
      </c>
      <c r="B1344" s="2" t="s">
        <v>126</v>
      </c>
      <c r="C1344" s="2" t="s">
        <v>48</v>
      </c>
      <c r="D1344" s="2" t="s">
        <v>12</v>
      </c>
      <c r="E1344" s="2" t="s">
        <v>85</v>
      </c>
      <c r="F1344" s="2" t="s">
        <v>1145</v>
      </c>
      <c r="G1344" s="14" t="n">
        <v>19.5</v>
      </c>
      <c r="H1344" s="14" t="n">
        <v>28.18</v>
      </c>
      <c r="I1344" s="14" t="n">
        <v>19.5</v>
      </c>
      <c r="J1344" s="22" t="n">
        <f aca="false">IF(E1344="Priority",'Cost model'!N383,'Cost model'!M383)</f>
        <v>35</v>
      </c>
      <c r="K1344" s="14" t="n">
        <f aca="false">J1344-H1344</f>
        <v>6.82</v>
      </c>
      <c r="L1344" s="14" t="n">
        <f aca="false">G1344-H1344</f>
        <v>-8.68</v>
      </c>
    </row>
    <row r="1345" customFormat="false" ht="15" hidden="false" customHeight="false" outlineLevel="0" collapsed="false">
      <c r="A1345" s="2" t="s">
        <v>146</v>
      </c>
      <c r="B1345" s="2" t="s">
        <v>146</v>
      </c>
      <c r="C1345" s="2" t="s">
        <v>50</v>
      </c>
      <c r="D1345" s="2" t="s">
        <v>10</v>
      </c>
      <c r="E1345" s="2" t="s">
        <v>76</v>
      </c>
      <c r="F1345" s="2" t="s">
        <v>1145</v>
      </c>
      <c r="G1345" s="14" t="n">
        <v>17.5</v>
      </c>
      <c r="H1345" s="14" t="n">
        <v>12.18</v>
      </c>
      <c r="I1345" s="14" t="n">
        <v>17.5</v>
      </c>
      <c r="J1345" s="22" t="n">
        <f aca="false">IF(E1345="Priority",'Cost model'!N760,'Cost model'!M760)</f>
        <v>18.5</v>
      </c>
      <c r="K1345" s="14" t="n">
        <f aca="false">J1345-H1345</f>
        <v>6.32</v>
      </c>
      <c r="L1345" s="14" t="n">
        <f aca="false">G1345-H1345</f>
        <v>5.32</v>
      </c>
    </row>
    <row r="1346" customFormat="false" ht="15" hidden="false" customHeight="false" outlineLevel="0" collapsed="false">
      <c r="A1346" s="2" t="s">
        <v>184</v>
      </c>
      <c r="B1346" s="2" t="s">
        <v>184</v>
      </c>
      <c r="C1346" s="2" t="s">
        <v>50</v>
      </c>
      <c r="D1346" s="2" t="s">
        <v>12</v>
      </c>
      <c r="E1346" s="2" t="s">
        <v>85</v>
      </c>
      <c r="F1346" s="2" t="s">
        <v>1145</v>
      </c>
      <c r="G1346" s="14" t="n">
        <v>29.5</v>
      </c>
      <c r="H1346" s="14" t="n">
        <v>50.71</v>
      </c>
      <c r="I1346" s="14" t="n">
        <v>29.5</v>
      </c>
      <c r="J1346" s="22" t="n">
        <f aca="false">IF(E1346="Priority",'Cost model'!N205,'Cost model'!M205)</f>
        <v>65</v>
      </c>
      <c r="K1346" s="14" t="n">
        <f aca="false">J1346-H1346</f>
        <v>14.29</v>
      </c>
      <c r="L1346" s="14" t="n">
        <f aca="false">G1346-H1346</f>
        <v>-21.21</v>
      </c>
    </row>
    <row r="1347" customFormat="false" ht="15" hidden="false" customHeight="false" outlineLevel="0" collapsed="false">
      <c r="A1347" s="2" t="s">
        <v>126</v>
      </c>
      <c r="B1347" s="2" t="s">
        <v>126</v>
      </c>
      <c r="C1347" s="2" t="s">
        <v>48</v>
      </c>
      <c r="D1347" s="2" t="s">
        <v>10</v>
      </c>
      <c r="E1347" s="2" t="s">
        <v>85</v>
      </c>
      <c r="F1347" s="2" t="s">
        <v>1145</v>
      </c>
      <c r="G1347" s="14" t="n">
        <v>14.5</v>
      </c>
      <c r="H1347" s="14" t="n">
        <v>21.34</v>
      </c>
      <c r="I1347" s="14" t="n">
        <v>14.5</v>
      </c>
      <c r="J1347" s="22" t="n">
        <f aca="false">IF(E1347="Priority",'Cost model'!N380,'Cost model'!M380)</f>
        <v>13.5</v>
      </c>
      <c r="K1347" s="14" t="n">
        <f aca="false">J1347-H1347</f>
        <v>-7.84</v>
      </c>
      <c r="L1347" s="14" t="n">
        <f aca="false">G1347-H1347</f>
        <v>-6.84</v>
      </c>
    </row>
    <row r="1348" customFormat="false" ht="15" hidden="false" customHeight="false" outlineLevel="0" collapsed="false">
      <c r="A1348" s="2" t="s">
        <v>126</v>
      </c>
      <c r="B1348" s="2" t="s">
        <v>126</v>
      </c>
      <c r="C1348" s="2" t="s">
        <v>48</v>
      </c>
      <c r="D1348" s="2" t="s">
        <v>12</v>
      </c>
      <c r="E1348" s="2" t="s">
        <v>76</v>
      </c>
      <c r="F1348" s="2" t="s">
        <v>1145</v>
      </c>
      <c r="G1348" s="14" t="n">
        <v>9.5</v>
      </c>
      <c r="H1348" s="14" t="n">
        <v>25.01</v>
      </c>
      <c r="I1348" s="14" t="n">
        <v>9.5</v>
      </c>
      <c r="J1348" s="22" t="n">
        <f aca="false">IF(E1348="Priority",'Cost model'!N383,'Cost model'!M383)</f>
        <v>27.5</v>
      </c>
      <c r="K1348" s="14" t="n">
        <f aca="false">J1348-H1348</f>
        <v>2.49</v>
      </c>
      <c r="L1348" s="14" t="n">
        <f aca="false">G1348-H1348</f>
        <v>-15.51</v>
      </c>
    </row>
    <row r="1349" customFormat="false" ht="15" hidden="false" customHeight="false" outlineLevel="0" collapsed="false">
      <c r="A1349" s="2" t="s">
        <v>385</v>
      </c>
      <c r="B1349" s="2" t="s">
        <v>165</v>
      </c>
      <c r="C1349" s="2" t="s">
        <v>48</v>
      </c>
      <c r="D1349" s="2" t="s">
        <v>12</v>
      </c>
      <c r="E1349" s="2" t="s">
        <v>76</v>
      </c>
      <c r="F1349" s="2" t="s">
        <v>1146</v>
      </c>
      <c r="G1349" s="14" t="n">
        <v>24.5</v>
      </c>
      <c r="H1349" s="14" t="n">
        <v>100.51</v>
      </c>
      <c r="I1349" s="14" t="n">
        <v>24.5</v>
      </c>
      <c r="J1349" s="22" t="n">
        <f aca="false">IF(E1349="Priority",'Cost model'!N257,'Cost model'!M257)</f>
        <v>60</v>
      </c>
      <c r="K1349" s="14" t="n">
        <f aca="false">J1349-H1349</f>
        <v>-40.51</v>
      </c>
      <c r="L1349" s="14" t="n">
        <f aca="false">G1349-H1349</f>
        <v>-76.01</v>
      </c>
    </row>
    <row r="1350" customFormat="false" ht="15" hidden="false" customHeight="false" outlineLevel="0" collapsed="false">
      <c r="A1350" s="2" t="s">
        <v>240</v>
      </c>
      <c r="B1350" s="2" t="s">
        <v>240</v>
      </c>
      <c r="C1350" s="2" t="s">
        <v>50</v>
      </c>
      <c r="D1350" s="2" t="s">
        <v>10</v>
      </c>
      <c r="E1350" s="2" t="s">
        <v>76</v>
      </c>
      <c r="F1350" s="2" t="s">
        <v>1145</v>
      </c>
      <c r="G1350" s="14" t="n">
        <v>19.5</v>
      </c>
      <c r="H1350" s="14" t="n">
        <v>20.57</v>
      </c>
      <c r="I1350" s="14" t="n">
        <v>17.5</v>
      </c>
      <c r="J1350" s="22" t="n">
        <f aca="false">IF(E1350="Priority",'Cost model'!N886,'Cost model'!M886)</f>
        <v>17.5</v>
      </c>
      <c r="K1350" s="14" t="n">
        <f aca="false">J1350-H1350</f>
        <v>-3.07</v>
      </c>
      <c r="L1350" s="14" t="n">
        <f aca="false">G1350-H1350</f>
        <v>-1.07</v>
      </c>
    </row>
    <row r="1351" customFormat="false" ht="15" hidden="false" customHeight="false" outlineLevel="0" collapsed="false">
      <c r="A1351" s="2" t="s">
        <v>240</v>
      </c>
      <c r="B1351" s="2" t="s">
        <v>240</v>
      </c>
      <c r="C1351" s="2" t="s">
        <v>48</v>
      </c>
      <c r="D1351" s="2" t="s">
        <v>12</v>
      </c>
      <c r="E1351" s="2" t="s">
        <v>76</v>
      </c>
      <c r="F1351" s="2" t="s">
        <v>1145</v>
      </c>
      <c r="G1351" s="14" t="n">
        <v>9.5</v>
      </c>
      <c r="H1351" s="14" t="n">
        <v>7.15</v>
      </c>
      <c r="I1351" s="14" t="n">
        <v>9.5</v>
      </c>
      <c r="J1351" s="22" t="n">
        <f aca="false">IF(E1351="Priority",'Cost model'!N887,'Cost model'!M887)</f>
        <v>21.5</v>
      </c>
      <c r="K1351" s="14" t="n">
        <f aca="false">J1351-H1351</f>
        <v>14.35</v>
      </c>
      <c r="L1351" s="14" t="n">
        <f aca="false">G1351-H1351</f>
        <v>2.35</v>
      </c>
    </row>
    <row r="1352" customFormat="false" ht="15" hidden="false" customHeight="false" outlineLevel="0" collapsed="false">
      <c r="A1352" s="2" t="s">
        <v>126</v>
      </c>
      <c r="B1352" s="2" t="s">
        <v>126</v>
      </c>
      <c r="C1352" s="2" t="s">
        <v>49</v>
      </c>
      <c r="D1352" s="2" t="s">
        <v>10</v>
      </c>
      <c r="E1352" s="2" t="s">
        <v>76</v>
      </c>
      <c r="F1352" s="2" t="s">
        <v>1145</v>
      </c>
      <c r="G1352" s="14" t="n">
        <v>12.5</v>
      </c>
      <c r="H1352" s="14" t="n">
        <v>8.11</v>
      </c>
      <c r="I1352" s="14" t="n">
        <v>12.5</v>
      </c>
      <c r="J1352" s="22" t="n">
        <f aca="false">IF(E1352="Priority",'Cost model'!N381,'Cost model'!M381)</f>
        <v>14.5</v>
      </c>
      <c r="K1352" s="14" t="n">
        <f aca="false">J1352-H1352</f>
        <v>6.39</v>
      </c>
      <c r="L1352" s="14" t="n">
        <f aca="false">G1352-H1352</f>
        <v>4.39</v>
      </c>
    </row>
    <row r="1353" customFormat="false" ht="15" hidden="false" customHeight="false" outlineLevel="0" collapsed="false">
      <c r="A1353" s="2" t="s">
        <v>146</v>
      </c>
      <c r="B1353" s="2" t="s">
        <v>146</v>
      </c>
      <c r="C1353" s="2" t="s">
        <v>50</v>
      </c>
      <c r="D1353" s="2" t="s">
        <v>12</v>
      </c>
      <c r="E1353" s="2" t="s">
        <v>76</v>
      </c>
      <c r="F1353" s="2" t="s">
        <v>1145</v>
      </c>
      <c r="G1353" s="14" t="n">
        <v>19.5</v>
      </c>
      <c r="H1353" s="14" t="n">
        <v>44.36</v>
      </c>
      <c r="I1353" s="14" t="n">
        <v>19.5</v>
      </c>
      <c r="J1353" s="22" t="n">
        <f aca="false">IF(E1353="Priority",'Cost model'!N763,'Cost model'!M763)</f>
        <v>50</v>
      </c>
      <c r="K1353" s="14" t="n">
        <f aca="false">J1353-H1353</f>
        <v>5.64</v>
      </c>
      <c r="L1353" s="14" t="n">
        <f aca="false">G1353-H1353</f>
        <v>-24.86</v>
      </c>
    </row>
    <row r="1354" customFormat="false" ht="15" hidden="false" customHeight="false" outlineLevel="0" collapsed="false">
      <c r="A1354" s="2" t="s">
        <v>165</v>
      </c>
      <c r="B1354" s="2" t="s">
        <v>165</v>
      </c>
      <c r="C1354" s="2" t="s">
        <v>50</v>
      </c>
      <c r="D1354" s="2" t="s">
        <v>10</v>
      </c>
      <c r="E1354" s="2" t="s">
        <v>76</v>
      </c>
      <c r="F1354" s="2" t="s">
        <v>1145</v>
      </c>
      <c r="G1354" s="14" t="n">
        <v>17.5</v>
      </c>
      <c r="H1354" s="14" t="n">
        <v>21.14</v>
      </c>
      <c r="I1354" s="14" t="n">
        <v>17.5</v>
      </c>
      <c r="J1354" s="22" t="n">
        <f aca="false">IF(E1354="Priority",'Cost model'!N508,'Cost model'!M508)</f>
        <v>17.5</v>
      </c>
      <c r="K1354" s="14" t="n">
        <f aca="false">J1354-H1354</f>
        <v>-3.64</v>
      </c>
      <c r="L1354" s="14" t="n">
        <f aca="false">G1354-H1354</f>
        <v>-3.64</v>
      </c>
    </row>
    <row r="1355" customFormat="false" ht="15" hidden="false" customHeight="false" outlineLevel="0" collapsed="false">
      <c r="A1355" s="2" t="s">
        <v>126</v>
      </c>
      <c r="B1355" s="2" t="s">
        <v>126</v>
      </c>
      <c r="C1355" s="2" t="s">
        <v>48</v>
      </c>
      <c r="D1355" s="2" t="s">
        <v>10</v>
      </c>
      <c r="E1355" s="2" t="s">
        <v>76</v>
      </c>
      <c r="F1355" s="2" t="s">
        <v>1145</v>
      </c>
      <c r="G1355" s="14" t="n">
        <v>9.5</v>
      </c>
      <c r="H1355" s="14" t="n">
        <v>5.14</v>
      </c>
      <c r="I1355" s="14" t="n">
        <v>9.5</v>
      </c>
      <c r="J1355" s="22" t="n">
        <f aca="false">IF(E1355="Priority",'Cost model'!N380,'Cost model'!M380)</f>
        <v>8.5</v>
      </c>
      <c r="K1355" s="14" t="n">
        <f aca="false">J1355-H1355</f>
        <v>3.36</v>
      </c>
      <c r="L1355" s="14" t="n">
        <f aca="false">G1355-H1355</f>
        <v>4.36</v>
      </c>
    </row>
    <row r="1356" customFormat="false" ht="15" hidden="false" customHeight="false" outlineLevel="0" collapsed="false">
      <c r="A1356" s="2" t="s">
        <v>184</v>
      </c>
      <c r="B1356" s="2" t="s">
        <v>184</v>
      </c>
      <c r="C1356" s="2" t="s">
        <v>48</v>
      </c>
      <c r="D1356" s="2" t="s">
        <v>13</v>
      </c>
      <c r="E1356" s="2" t="s">
        <v>76</v>
      </c>
      <c r="F1356" s="2" t="s">
        <v>1145</v>
      </c>
      <c r="G1356" s="14" t="n">
        <v>19</v>
      </c>
      <c r="H1356" s="14" t="n">
        <v>56.35</v>
      </c>
      <c r="I1356" s="14" t="n">
        <v>19</v>
      </c>
      <c r="J1356" s="22" t="n">
        <f aca="false">IF(E1356="Priority",'Cost model'!N206,'Cost model'!M206)</f>
        <v>55</v>
      </c>
      <c r="K1356" s="14" t="n">
        <f aca="false">J1356-H1356</f>
        <v>-1.35</v>
      </c>
      <c r="L1356" s="14" t="n">
        <f aca="false">G1356-H1356</f>
        <v>-37.35</v>
      </c>
    </row>
    <row r="1357" customFormat="false" ht="15" hidden="false" customHeight="false" outlineLevel="0" collapsed="false">
      <c r="A1357" s="2" t="s">
        <v>184</v>
      </c>
      <c r="B1357" s="2" t="s">
        <v>184</v>
      </c>
      <c r="C1357" s="2" t="s">
        <v>49</v>
      </c>
      <c r="D1357" s="2" t="s">
        <v>12</v>
      </c>
      <c r="E1357" s="2" t="s">
        <v>76</v>
      </c>
      <c r="F1357" s="2" t="s">
        <v>1145</v>
      </c>
      <c r="G1357" s="14" t="n">
        <v>12.5</v>
      </c>
      <c r="H1357" s="14" t="n">
        <v>27.14</v>
      </c>
      <c r="I1357" s="14"/>
      <c r="J1357" s="22" t="n">
        <f aca="false">IF(E1357="Priority",'Cost model'!N204,'Cost model'!M204)</f>
        <v>45</v>
      </c>
      <c r="K1357" s="14" t="n">
        <f aca="false">J1357-H1357</f>
        <v>17.86</v>
      </c>
      <c r="L1357" s="14" t="n">
        <f aca="false">G1357-H1357</f>
        <v>-14.64</v>
      </c>
    </row>
    <row r="1358" customFormat="false" ht="15" hidden="false" customHeight="false" outlineLevel="0" collapsed="false">
      <c r="A1358" s="2" t="s">
        <v>146</v>
      </c>
      <c r="B1358" s="2" t="s">
        <v>146</v>
      </c>
      <c r="C1358" s="2" t="s">
        <v>48</v>
      </c>
      <c r="D1358" s="2" t="s">
        <v>16</v>
      </c>
      <c r="E1358" s="2" t="s">
        <v>76</v>
      </c>
      <c r="F1358" s="2" t="s">
        <v>1145</v>
      </c>
      <c r="G1358" s="14" t="n">
        <v>45</v>
      </c>
      <c r="H1358" s="14" t="n">
        <v>45.23</v>
      </c>
      <c r="I1358" s="14" t="n">
        <v>45</v>
      </c>
      <c r="J1358" s="22" t="n">
        <f aca="false">IF(E1358="Priority",'Cost model'!N773,'Cost model'!M773)</f>
        <v>125</v>
      </c>
      <c r="K1358" s="14" t="n">
        <f aca="false">J1358-H1358</f>
        <v>79.77</v>
      </c>
      <c r="L1358" s="14" t="n">
        <f aca="false">G1358-H1358</f>
        <v>-0.229999999999997</v>
      </c>
    </row>
    <row r="1359" customFormat="false" ht="15" hidden="false" customHeight="false" outlineLevel="0" collapsed="false">
      <c r="A1359" s="2" t="s">
        <v>126</v>
      </c>
      <c r="B1359" s="2" t="s">
        <v>126</v>
      </c>
      <c r="C1359" s="2" t="s">
        <v>50</v>
      </c>
      <c r="D1359" s="2" t="s">
        <v>13</v>
      </c>
      <c r="E1359" s="2" t="s">
        <v>85</v>
      </c>
      <c r="F1359" s="2" t="s">
        <v>1145</v>
      </c>
      <c r="G1359" s="14" t="n">
        <v>95</v>
      </c>
      <c r="H1359" s="14" t="n">
        <v>200.83</v>
      </c>
      <c r="I1359" s="14" t="n">
        <v>95</v>
      </c>
      <c r="J1359" s="22" t="n">
        <f aca="false">IF(E1359="Priority",'Cost model'!N388,'Cost model'!M388)</f>
        <v>150</v>
      </c>
      <c r="K1359" s="14" t="n">
        <f aca="false">J1359-H1359</f>
        <v>-50.83</v>
      </c>
      <c r="L1359" s="14" t="n">
        <f aca="false">G1359-H1359</f>
        <v>-105.83</v>
      </c>
    </row>
    <row r="1360" customFormat="false" ht="15" hidden="false" customHeight="false" outlineLevel="0" collapsed="false">
      <c r="A1360" s="2" t="s">
        <v>240</v>
      </c>
      <c r="B1360" s="2" t="s">
        <v>240</v>
      </c>
      <c r="C1360" s="2" t="s">
        <v>48</v>
      </c>
      <c r="D1360" s="2" t="s">
        <v>10</v>
      </c>
      <c r="E1360" s="2" t="s">
        <v>76</v>
      </c>
      <c r="F1360" s="2" t="s">
        <v>1145</v>
      </c>
      <c r="G1360" s="14" t="n">
        <v>9.5</v>
      </c>
      <c r="H1360" s="14" t="n">
        <v>7.15</v>
      </c>
      <c r="I1360" s="14" t="n">
        <v>9.5</v>
      </c>
      <c r="J1360" s="22" t="n">
        <f aca="false">IF(E1360="Priority",'Cost model'!N884,'Cost model'!M884)</f>
        <v>7.5</v>
      </c>
      <c r="K1360" s="14" t="n">
        <f aca="false">J1360-H1360</f>
        <v>0.35</v>
      </c>
      <c r="L1360" s="14" t="n">
        <f aca="false">G1360-H1360</f>
        <v>2.35</v>
      </c>
    </row>
    <row r="1361" customFormat="false" ht="15" hidden="false" customHeight="false" outlineLevel="0" collapsed="false">
      <c r="A1361" s="2" t="s">
        <v>146</v>
      </c>
      <c r="B1361" s="2" t="s">
        <v>146</v>
      </c>
      <c r="C1361" s="2" t="s">
        <v>50</v>
      </c>
      <c r="D1361" s="2" t="s">
        <v>12</v>
      </c>
      <c r="E1361" s="2" t="s">
        <v>76</v>
      </c>
      <c r="F1361" s="2" t="s">
        <v>1145</v>
      </c>
      <c r="G1361" s="14" t="n">
        <v>19.5</v>
      </c>
      <c r="H1361" s="14" t="n">
        <v>42.61</v>
      </c>
      <c r="I1361" s="14" t="n">
        <v>19.5</v>
      </c>
      <c r="J1361" s="22" t="n">
        <f aca="false">IF(E1361="Priority",'Cost model'!N763,'Cost model'!M763)</f>
        <v>50</v>
      </c>
      <c r="K1361" s="14" t="n">
        <f aca="false">J1361-H1361</f>
        <v>7.39</v>
      </c>
      <c r="L1361" s="14" t="n">
        <f aca="false">G1361-H1361</f>
        <v>-23.11</v>
      </c>
    </row>
    <row r="1362" customFormat="false" ht="15" hidden="false" customHeight="false" outlineLevel="0" collapsed="false">
      <c r="A1362" s="2" t="s">
        <v>126</v>
      </c>
      <c r="B1362" s="2" t="s">
        <v>126</v>
      </c>
      <c r="C1362" s="2" t="s">
        <v>48</v>
      </c>
      <c r="D1362" s="2" t="s">
        <v>10</v>
      </c>
      <c r="E1362" s="2" t="s">
        <v>85</v>
      </c>
      <c r="F1362" s="2" t="s">
        <v>1145</v>
      </c>
      <c r="G1362" s="14" t="n">
        <v>14.5</v>
      </c>
      <c r="H1362" s="14" t="n">
        <v>6.12</v>
      </c>
      <c r="I1362" s="14" t="n">
        <v>14.5</v>
      </c>
      <c r="J1362" s="22" t="n">
        <f aca="false">IF(E1362="Priority",'Cost model'!N380,'Cost model'!M380)</f>
        <v>13.5</v>
      </c>
      <c r="K1362" s="14" t="n">
        <f aca="false">J1362-H1362</f>
        <v>7.38</v>
      </c>
      <c r="L1362" s="14" t="n">
        <f aca="false">G1362-H1362</f>
        <v>8.38</v>
      </c>
    </row>
    <row r="1363" customFormat="false" ht="15" hidden="false" customHeight="false" outlineLevel="0" collapsed="false">
      <c r="A1363" s="2" t="s">
        <v>184</v>
      </c>
      <c r="B1363" s="2" t="s">
        <v>221</v>
      </c>
      <c r="C1363" s="2" t="s">
        <v>49</v>
      </c>
      <c r="D1363" s="2" t="s">
        <v>12</v>
      </c>
      <c r="E1363" s="2" t="s">
        <v>76</v>
      </c>
      <c r="F1363" s="2" t="s">
        <v>1146</v>
      </c>
      <c r="G1363" s="14" t="n">
        <v>24.5</v>
      </c>
      <c r="H1363" s="14" t="n">
        <v>15.66</v>
      </c>
      <c r="I1363" s="14"/>
      <c r="J1363" s="22" t="n">
        <f aca="false">IF(E1363="Priority",'Cost model'!N222,'Cost model'!M222)</f>
        <v>60</v>
      </c>
      <c r="K1363" s="14" t="n">
        <f aca="false">J1363-H1363</f>
        <v>44.34</v>
      </c>
      <c r="L1363" s="14" t="n">
        <f aca="false">G1363-H1363</f>
        <v>8.84</v>
      </c>
    </row>
    <row r="1364" customFormat="false" ht="15" hidden="false" customHeight="false" outlineLevel="0" collapsed="false">
      <c r="A1364" s="2" t="s">
        <v>240</v>
      </c>
      <c r="B1364" s="2" t="s">
        <v>240</v>
      </c>
      <c r="C1364" s="2" t="s">
        <v>50</v>
      </c>
      <c r="D1364" s="2" t="s">
        <v>10</v>
      </c>
      <c r="E1364" s="2" t="s">
        <v>76</v>
      </c>
      <c r="F1364" s="2" t="s">
        <v>1145</v>
      </c>
      <c r="G1364" s="14" t="n">
        <v>17.5</v>
      </c>
      <c r="H1364" s="14" t="n">
        <v>17.69</v>
      </c>
      <c r="I1364" s="14" t="n">
        <v>17.5</v>
      </c>
      <c r="J1364" s="22" t="n">
        <f aca="false">IF(E1364="Priority",'Cost model'!N886,'Cost model'!M886)</f>
        <v>17.5</v>
      </c>
      <c r="K1364" s="14" t="n">
        <f aca="false">J1364-H1364</f>
        <v>-0.190000000000001</v>
      </c>
      <c r="L1364" s="14" t="n">
        <f aca="false">G1364-H1364</f>
        <v>-0.190000000000001</v>
      </c>
    </row>
    <row r="1365" customFormat="false" ht="15" hidden="false" customHeight="false" outlineLevel="0" collapsed="false">
      <c r="A1365" s="2" t="s">
        <v>184</v>
      </c>
      <c r="B1365" s="2" t="s">
        <v>184</v>
      </c>
      <c r="C1365" s="2" t="s">
        <v>48</v>
      </c>
      <c r="D1365" s="2" t="s">
        <v>12</v>
      </c>
      <c r="E1365" s="2" t="s">
        <v>76</v>
      </c>
      <c r="F1365" s="2" t="s">
        <v>1145</v>
      </c>
      <c r="G1365" s="14" t="n">
        <v>9.5</v>
      </c>
      <c r="H1365" s="14" t="n">
        <v>25.85</v>
      </c>
      <c r="I1365" s="14" t="n">
        <v>9.5</v>
      </c>
      <c r="J1365" s="22" t="n">
        <f aca="false">IF(E1365="Priority",'Cost model'!N203,'Cost model'!M203)</f>
        <v>26.5</v>
      </c>
      <c r="K1365" s="14" t="n">
        <f aca="false">J1365-H1365</f>
        <v>0.649999999999999</v>
      </c>
      <c r="L1365" s="14" t="n">
        <f aca="false">G1365-H1365</f>
        <v>-16.35</v>
      </c>
    </row>
    <row r="1366" customFormat="false" ht="15" hidden="false" customHeight="false" outlineLevel="0" collapsed="false">
      <c r="A1366" s="2" t="s">
        <v>184</v>
      </c>
      <c r="B1366" s="2" t="s">
        <v>126</v>
      </c>
      <c r="C1366" s="2" t="s">
        <v>50</v>
      </c>
      <c r="D1366" s="2" t="s">
        <v>10</v>
      </c>
      <c r="E1366" s="2" t="s">
        <v>85</v>
      </c>
      <c r="F1366" s="2" t="s">
        <v>1146</v>
      </c>
      <c r="G1366" s="14" t="n">
        <v>24.5</v>
      </c>
      <c r="H1366" s="14" t="n">
        <v>21.34</v>
      </c>
      <c r="I1366" s="14" t="n">
        <v>24.5</v>
      </c>
      <c r="J1366" s="22" t="n">
        <f aca="false">IF(E1366="Priority",'Cost model'!N130,'Cost model'!M130)</f>
        <v>25.5</v>
      </c>
      <c r="K1366" s="14" t="n">
        <f aca="false">J1366-H1366</f>
        <v>4.16</v>
      </c>
      <c r="L1366" s="14" t="n">
        <f aca="false">G1366-H1366</f>
        <v>3.16</v>
      </c>
    </row>
    <row r="1367" customFormat="false" ht="15" hidden="false" customHeight="false" outlineLevel="0" collapsed="false">
      <c r="A1367" s="2" t="s">
        <v>126</v>
      </c>
      <c r="B1367" s="2" t="s">
        <v>165</v>
      </c>
      <c r="C1367" s="2" t="s">
        <v>48</v>
      </c>
      <c r="D1367" s="2" t="s">
        <v>10</v>
      </c>
      <c r="E1367" s="2" t="s">
        <v>76</v>
      </c>
      <c r="F1367" s="2" t="s">
        <v>1146</v>
      </c>
      <c r="G1367" s="14" t="n">
        <v>9.5</v>
      </c>
      <c r="H1367" s="14" t="n">
        <v>12.93</v>
      </c>
      <c r="I1367" s="14" t="n">
        <v>14.5</v>
      </c>
      <c r="J1367" s="22" t="n">
        <f aca="false">IF(E1367="Priority",'Cost model'!N416,'Cost model'!M416)</f>
        <v>16.5</v>
      </c>
      <c r="K1367" s="14" t="n">
        <f aca="false">J1367-H1367</f>
        <v>3.57</v>
      </c>
      <c r="L1367" s="14" t="n">
        <f aca="false">G1367-H1367</f>
        <v>-3.43</v>
      </c>
    </row>
    <row r="1368" customFormat="false" ht="15" hidden="false" customHeight="false" outlineLevel="0" collapsed="false">
      <c r="A1368" s="2" t="s">
        <v>126</v>
      </c>
      <c r="B1368" s="2" t="s">
        <v>125</v>
      </c>
      <c r="C1368" s="2" t="s">
        <v>48</v>
      </c>
      <c r="D1368" s="2" t="s">
        <v>12</v>
      </c>
      <c r="E1368" s="2" t="s">
        <v>76</v>
      </c>
      <c r="F1368" s="2" t="s">
        <v>1146</v>
      </c>
      <c r="G1368" s="14" t="n">
        <v>9.5</v>
      </c>
      <c r="H1368" s="14" t="n">
        <v>81.75</v>
      </c>
      <c r="I1368" s="14" t="n">
        <v>24.5</v>
      </c>
      <c r="J1368" s="22" t="n">
        <f aca="false">IF(E1368="Priority",'Cost model'!N473,'Cost model'!M473)</f>
        <v>65</v>
      </c>
      <c r="K1368" s="14" t="n">
        <f aca="false">J1368-H1368</f>
        <v>-16.75</v>
      </c>
      <c r="L1368" s="14" t="n">
        <f aca="false">G1368-H1368</f>
        <v>-72.25</v>
      </c>
    </row>
    <row r="1369" customFormat="false" ht="15" hidden="false" customHeight="false" outlineLevel="0" collapsed="false">
      <c r="A1369" s="2" t="s">
        <v>146</v>
      </c>
      <c r="B1369" s="2" t="s">
        <v>146</v>
      </c>
      <c r="C1369" s="2" t="s">
        <v>50</v>
      </c>
      <c r="D1369" s="2" t="s">
        <v>12</v>
      </c>
      <c r="E1369" s="2" t="s">
        <v>76</v>
      </c>
      <c r="F1369" s="2" t="s">
        <v>1145</v>
      </c>
      <c r="G1369" s="14" t="n">
        <v>19.5</v>
      </c>
      <c r="H1369" s="14" t="n">
        <v>59.06</v>
      </c>
      <c r="I1369" s="14" t="n">
        <v>19.5</v>
      </c>
      <c r="J1369" s="22" t="n">
        <f aca="false">IF(E1369="Priority",'Cost model'!N763,'Cost model'!M763)</f>
        <v>50</v>
      </c>
      <c r="K1369" s="14" t="n">
        <f aca="false">J1369-H1369</f>
        <v>-9.06</v>
      </c>
      <c r="L1369" s="14" t="n">
        <f aca="false">G1369-H1369</f>
        <v>-39.56</v>
      </c>
    </row>
    <row r="1370" customFormat="false" ht="15" hidden="false" customHeight="false" outlineLevel="0" collapsed="false">
      <c r="A1370" s="2" t="s">
        <v>240</v>
      </c>
      <c r="B1370" s="2" t="s">
        <v>240</v>
      </c>
      <c r="C1370" s="2" t="s">
        <v>50</v>
      </c>
      <c r="D1370" s="2" t="s">
        <v>12</v>
      </c>
      <c r="E1370" s="2" t="s">
        <v>76</v>
      </c>
      <c r="F1370" s="2" t="s">
        <v>1145</v>
      </c>
      <c r="G1370" s="14" t="n">
        <v>19.5</v>
      </c>
      <c r="H1370" s="14" t="n">
        <v>56.53</v>
      </c>
      <c r="I1370" s="14" t="n">
        <v>19.5</v>
      </c>
      <c r="J1370" s="22" t="n">
        <f aca="false">IF(E1370="Priority",'Cost model'!N889,'Cost model'!M889)</f>
        <v>60</v>
      </c>
      <c r="K1370" s="14" t="n">
        <f aca="false">J1370-H1370</f>
        <v>3.47</v>
      </c>
      <c r="L1370" s="14" t="n">
        <f aca="false">G1370-H1370</f>
        <v>-37.03</v>
      </c>
    </row>
    <row r="1371" customFormat="false" ht="15" hidden="false" customHeight="false" outlineLevel="0" collapsed="false">
      <c r="A1371" s="2" t="s">
        <v>184</v>
      </c>
      <c r="B1371" s="2" t="s">
        <v>184</v>
      </c>
      <c r="C1371" s="2" t="s">
        <v>50</v>
      </c>
      <c r="D1371" s="2" t="s">
        <v>12</v>
      </c>
      <c r="E1371" s="2" t="s">
        <v>76</v>
      </c>
      <c r="F1371" s="2" t="s">
        <v>1145</v>
      </c>
      <c r="G1371" s="14" t="n">
        <v>19.5</v>
      </c>
      <c r="H1371" s="14" t="n">
        <v>24.72</v>
      </c>
      <c r="I1371" s="14" t="n">
        <v>19.5</v>
      </c>
      <c r="J1371" s="22" t="n">
        <f aca="false">IF(E1371="Priority",'Cost model'!N205,'Cost model'!M205)</f>
        <v>50</v>
      </c>
      <c r="K1371" s="14" t="n">
        <f aca="false">J1371-H1371</f>
        <v>25.28</v>
      </c>
      <c r="L1371" s="14" t="n">
        <f aca="false">G1371-H1371</f>
        <v>-5.22</v>
      </c>
    </row>
    <row r="1372" customFormat="false" ht="15" hidden="false" customHeight="false" outlineLevel="0" collapsed="false">
      <c r="A1372" s="2" t="s">
        <v>184</v>
      </c>
      <c r="B1372" s="2" t="s">
        <v>184</v>
      </c>
      <c r="C1372" s="2" t="s">
        <v>48</v>
      </c>
      <c r="D1372" s="2" t="s">
        <v>12</v>
      </c>
      <c r="E1372" s="2" t="s">
        <v>76</v>
      </c>
      <c r="F1372" s="2" t="s">
        <v>1145</v>
      </c>
      <c r="G1372" s="14" t="n">
        <v>9.5</v>
      </c>
      <c r="H1372" s="14" t="n">
        <v>27.62</v>
      </c>
      <c r="I1372" s="14" t="n">
        <v>9.5</v>
      </c>
      <c r="J1372" s="22" t="n">
        <f aca="false">IF(E1372="Priority",'Cost model'!N203,'Cost model'!M203)</f>
        <v>26.5</v>
      </c>
      <c r="K1372" s="14" t="n">
        <f aca="false">J1372-H1372</f>
        <v>-1.12</v>
      </c>
      <c r="L1372" s="14" t="n">
        <f aca="false">G1372-H1372</f>
        <v>-18.12</v>
      </c>
    </row>
    <row r="1373" customFormat="false" ht="15" hidden="false" customHeight="false" outlineLevel="0" collapsed="false">
      <c r="A1373" s="2" t="s">
        <v>146</v>
      </c>
      <c r="B1373" s="2" t="s">
        <v>146</v>
      </c>
      <c r="C1373" s="2" t="s">
        <v>50</v>
      </c>
      <c r="D1373" s="2" t="s">
        <v>10</v>
      </c>
      <c r="E1373" s="2" t="s">
        <v>76</v>
      </c>
      <c r="F1373" s="2" t="s">
        <v>1145</v>
      </c>
      <c r="G1373" s="14" t="n">
        <v>17.5</v>
      </c>
      <c r="H1373" s="14" t="n">
        <v>21.61</v>
      </c>
      <c r="I1373" s="14" t="n">
        <v>17.5</v>
      </c>
      <c r="J1373" s="22" t="n">
        <f aca="false">IF(E1373="Priority",'Cost model'!N760,'Cost model'!M760)</f>
        <v>18.5</v>
      </c>
      <c r="K1373" s="14" t="n">
        <f aca="false">J1373-H1373</f>
        <v>-3.11</v>
      </c>
      <c r="L1373" s="14" t="n">
        <f aca="false">G1373-H1373</f>
        <v>-4.11</v>
      </c>
    </row>
    <row r="1374" customFormat="false" ht="15" hidden="false" customHeight="false" outlineLevel="0" collapsed="false">
      <c r="A1374" s="2" t="s">
        <v>240</v>
      </c>
      <c r="B1374" s="2" t="s">
        <v>146</v>
      </c>
      <c r="C1374" s="2" t="s">
        <v>48</v>
      </c>
      <c r="D1374" s="2" t="s">
        <v>10</v>
      </c>
      <c r="E1374" s="2" t="s">
        <v>76</v>
      </c>
      <c r="F1374" s="2" t="s">
        <v>1146</v>
      </c>
      <c r="G1374" s="14" t="n">
        <v>19.5</v>
      </c>
      <c r="H1374" s="14" t="n">
        <v>26.9</v>
      </c>
      <c r="I1374" s="14" t="n">
        <v>19.5</v>
      </c>
      <c r="J1374" s="22" t="n">
        <f aca="false">IF(E1374="Priority",'Cost model'!N920,'Cost model'!M920)</f>
        <v>16.5</v>
      </c>
      <c r="K1374" s="14" t="n">
        <f aca="false">J1374-H1374</f>
        <v>-10.4</v>
      </c>
      <c r="L1374" s="14" t="n">
        <f aca="false">G1374-H1374</f>
        <v>-7.4</v>
      </c>
    </row>
    <row r="1375" customFormat="false" ht="15" hidden="false" customHeight="false" outlineLevel="0" collapsed="false">
      <c r="A1375" s="2" t="s">
        <v>184</v>
      </c>
      <c r="B1375" s="2" t="s">
        <v>184</v>
      </c>
      <c r="C1375" s="2" t="s">
        <v>48</v>
      </c>
      <c r="D1375" s="2" t="s">
        <v>12</v>
      </c>
      <c r="E1375" s="2" t="s">
        <v>76</v>
      </c>
      <c r="F1375" s="2" t="s">
        <v>1145</v>
      </c>
      <c r="G1375" s="14" t="n">
        <v>9.5</v>
      </c>
      <c r="H1375" s="14" t="n">
        <v>28.51</v>
      </c>
      <c r="I1375" s="14" t="n">
        <v>9.5</v>
      </c>
      <c r="J1375" s="22" t="n">
        <f aca="false">IF(E1375="Priority",'Cost model'!N203,'Cost model'!M203)</f>
        <v>26.5</v>
      </c>
      <c r="K1375" s="14" t="n">
        <f aca="false">J1375-H1375</f>
        <v>-2.01</v>
      </c>
      <c r="L1375" s="14" t="n">
        <f aca="false">G1375-H1375</f>
        <v>-19.01</v>
      </c>
    </row>
    <row r="1376" customFormat="false" ht="15" hidden="false" customHeight="false" outlineLevel="0" collapsed="false">
      <c r="A1376" s="2" t="s">
        <v>126</v>
      </c>
      <c r="B1376" s="2" t="s">
        <v>126</v>
      </c>
      <c r="C1376" s="2" t="s">
        <v>48</v>
      </c>
      <c r="D1376" s="2" t="s">
        <v>12</v>
      </c>
      <c r="E1376" s="2" t="s">
        <v>76</v>
      </c>
      <c r="F1376" s="2" t="s">
        <v>1145</v>
      </c>
      <c r="G1376" s="14" t="n">
        <v>9.5</v>
      </c>
      <c r="H1376" s="14" t="n">
        <v>28.36</v>
      </c>
      <c r="I1376" s="14" t="n">
        <v>9.5</v>
      </c>
      <c r="J1376" s="22" t="n">
        <f aca="false">IF(E1376="Priority",'Cost model'!N383,'Cost model'!M383)</f>
        <v>27.5</v>
      </c>
      <c r="K1376" s="14" t="n">
        <f aca="false">J1376-H1376</f>
        <v>-0.859999999999999</v>
      </c>
      <c r="L1376" s="14" t="n">
        <f aca="false">G1376-H1376</f>
        <v>-18.86</v>
      </c>
    </row>
    <row r="1377" customFormat="false" ht="15" hidden="false" customHeight="false" outlineLevel="0" collapsed="false">
      <c r="A1377" s="2" t="s">
        <v>165</v>
      </c>
      <c r="B1377" s="2" t="s">
        <v>165</v>
      </c>
      <c r="C1377" s="2" t="s">
        <v>48</v>
      </c>
      <c r="D1377" s="2" t="s">
        <v>12</v>
      </c>
      <c r="E1377" s="2" t="s">
        <v>76</v>
      </c>
      <c r="F1377" s="2" t="s">
        <v>1145</v>
      </c>
      <c r="G1377" s="14" t="n">
        <v>9.5</v>
      </c>
      <c r="H1377" s="14" t="n">
        <v>17.31</v>
      </c>
      <c r="I1377" s="14" t="n">
        <v>9.5</v>
      </c>
      <c r="J1377" s="22" t="n">
        <f aca="false">IF(E1377="Priority",'Cost model'!N509,'Cost model'!M509)</f>
        <v>17.5</v>
      </c>
      <c r="K1377" s="14" t="n">
        <f aca="false">J1377-H1377</f>
        <v>0.190000000000001</v>
      </c>
      <c r="L1377" s="14" t="n">
        <f aca="false">G1377-H1377</f>
        <v>-7.81</v>
      </c>
    </row>
    <row r="1378" customFormat="false" ht="15" hidden="false" customHeight="false" outlineLevel="0" collapsed="false">
      <c r="A1378" s="2" t="s">
        <v>184</v>
      </c>
      <c r="B1378" s="2" t="s">
        <v>184</v>
      </c>
      <c r="C1378" s="2" t="s">
        <v>48</v>
      </c>
      <c r="D1378" s="2" t="s">
        <v>12</v>
      </c>
      <c r="E1378" s="2" t="s">
        <v>76</v>
      </c>
      <c r="F1378" s="2" t="s">
        <v>1145</v>
      </c>
      <c r="G1378" s="14" t="n">
        <v>9.5</v>
      </c>
      <c r="H1378" s="14" t="n">
        <v>60.68</v>
      </c>
      <c r="I1378" s="14" t="n">
        <v>9.5</v>
      </c>
      <c r="J1378" s="22" t="n">
        <f aca="false">IF(E1378="Priority",'Cost model'!N203,'Cost model'!M203)</f>
        <v>26.5</v>
      </c>
      <c r="K1378" s="14" t="n">
        <f aca="false">J1378-H1378</f>
        <v>-34.18</v>
      </c>
      <c r="L1378" s="14" t="n">
        <f aca="false">G1378-H1378</f>
        <v>-51.18</v>
      </c>
    </row>
    <row r="1379" customFormat="false" ht="15" hidden="false" customHeight="false" outlineLevel="0" collapsed="false">
      <c r="A1379" s="2" t="s">
        <v>126</v>
      </c>
      <c r="B1379" s="2" t="s">
        <v>126</v>
      </c>
      <c r="C1379" s="2" t="s">
        <v>48</v>
      </c>
      <c r="D1379" s="2" t="s">
        <v>12</v>
      </c>
      <c r="E1379" s="2" t="s">
        <v>76</v>
      </c>
      <c r="F1379" s="2" t="s">
        <v>1145</v>
      </c>
      <c r="G1379" s="14" t="n">
        <v>9.5</v>
      </c>
      <c r="H1379" s="14" t="n">
        <v>42.61</v>
      </c>
      <c r="I1379" s="14" t="n">
        <v>9.5</v>
      </c>
      <c r="J1379" s="22" t="n">
        <f aca="false">IF(E1379="Priority",'Cost model'!N383,'Cost model'!M383)</f>
        <v>27.5</v>
      </c>
      <c r="K1379" s="14" t="n">
        <f aca="false">J1379-H1379</f>
        <v>-15.11</v>
      </c>
      <c r="L1379" s="14" t="n">
        <f aca="false">G1379-H1379</f>
        <v>-33.11</v>
      </c>
    </row>
    <row r="1380" customFormat="false" ht="15" hidden="false" customHeight="false" outlineLevel="0" collapsed="false">
      <c r="A1380" s="2" t="s">
        <v>146</v>
      </c>
      <c r="B1380" s="2" t="s">
        <v>126</v>
      </c>
      <c r="C1380" s="2" t="s">
        <v>48</v>
      </c>
      <c r="D1380" s="2" t="s">
        <v>12</v>
      </c>
      <c r="E1380" s="2" t="s">
        <v>76</v>
      </c>
      <c r="F1380" s="2" t="s">
        <v>1146</v>
      </c>
      <c r="G1380" s="14" t="n">
        <v>9.5</v>
      </c>
      <c r="H1380" s="14" t="n">
        <v>43.67</v>
      </c>
      <c r="I1380" s="14" t="n">
        <v>19.5</v>
      </c>
      <c r="J1380" s="22" t="n">
        <f aca="false">IF(E1380="Priority",'Cost model'!N797,'Cost model'!M797)</f>
        <v>40</v>
      </c>
      <c r="K1380" s="14" t="n">
        <f aca="false">J1380-H1380</f>
        <v>-3.67</v>
      </c>
      <c r="L1380" s="14" t="n">
        <f aca="false">G1380-H1380</f>
        <v>-34.17</v>
      </c>
    </row>
    <row r="1381" customFormat="false" ht="15" hidden="false" customHeight="false" outlineLevel="0" collapsed="false">
      <c r="A1381" s="2" t="s">
        <v>146</v>
      </c>
      <c r="B1381" s="2" t="s">
        <v>126</v>
      </c>
      <c r="C1381" s="2" t="s">
        <v>48</v>
      </c>
      <c r="D1381" s="2" t="s">
        <v>13</v>
      </c>
      <c r="E1381" s="2" t="s">
        <v>76</v>
      </c>
      <c r="F1381" s="2" t="s">
        <v>1146</v>
      </c>
      <c r="G1381" s="14" t="n">
        <v>24.5</v>
      </c>
      <c r="H1381" s="14" t="n">
        <v>101.38</v>
      </c>
      <c r="I1381" s="14" t="n">
        <v>24.5</v>
      </c>
      <c r="J1381" s="22" t="n">
        <f aca="false">IF(E1381="Priority",'Cost model'!N800,'Cost model'!M800)</f>
        <v>70</v>
      </c>
      <c r="K1381" s="14" t="n">
        <f aca="false">J1381-H1381</f>
        <v>-31.38</v>
      </c>
      <c r="L1381" s="14" t="n">
        <f aca="false">G1381-H1381</f>
        <v>-76.88</v>
      </c>
    </row>
    <row r="1382" customFormat="false" ht="15" hidden="false" customHeight="false" outlineLevel="0" collapsed="false">
      <c r="A1382" s="2" t="s">
        <v>221</v>
      </c>
      <c r="B1382" s="2" t="s">
        <v>146</v>
      </c>
      <c r="C1382" s="2" t="s">
        <v>48</v>
      </c>
      <c r="D1382" s="2" t="s">
        <v>12</v>
      </c>
      <c r="E1382" s="2" t="s">
        <v>85</v>
      </c>
      <c r="F1382" s="2" t="s">
        <v>1146</v>
      </c>
      <c r="G1382" s="14" t="n">
        <v>24.5</v>
      </c>
      <c r="H1382" s="14" t="n">
        <v>30.96</v>
      </c>
      <c r="I1382" s="14" t="n">
        <v>24.5</v>
      </c>
      <c r="J1382" s="22" t="n">
        <f aca="false">IF(E1382="Priority",'Cost model'!N653,'Cost model'!M653)</f>
        <v>85</v>
      </c>
      <c r="K1382" s="14" t="n">
        <f aca="false">J1382-H1382</f>
        <v>54.04</v>
      </c>
      <c r="L1382" s="14" t="n">
        <f aca="false">G1382-H1382</f>
        <v>-6.46</v>
      </c>
    </row>
    <row r="1383" customFormat="false" ht="15" hidden="false" customHeight="false" outlineLevel="0" collapsed="false">
      <c r="A1383" s="2" t="s">
        <v>184</v>
      </c>
      <c r="B1383" s="2" t="s">
        <v>184</v>
      </c>
      <c r="C1383" s="2" t="s">
        <v>48</v>
      </c>
      <c r="D1383" s="2" t="s">
        <v>12</v>
      </c>
      <c r="E1383" s="2" t="s">
        <v>76</v>
      </c>
      <c r="F1383" s="2" t="s">
        <v>1145</v>
      </c>
      <c r="G1383" s="14" t="n">
        <v>9.5</v>
      </c>
      <c r="H1383" s="14" t="n">
        <v>27.97</v>
      </c>
      <c r="I1383" s="14" t="n">
        <v>9.5</v>
      </c>
      <c r="J1383" s="22" t="n">
        <f aca="false">IF(E1383="Priority",'Cost model'!N203,'Cost model'!M203)</f>
        <v>26.5</v>
      </c>
      <c r="K1383" s="14" t="n">
        <f aca="false">J1383-H1383</f>
        <v>-1.47</v>
      </c>
      <c r="L1383" s="14" t="n">
        <f aca="false">G1383-H1383</f>
        <v>-18.47</v>
      </c>
    </row>
    <row r="1384" customFormat="false" ht="15" hidden="false" customHeight="false" outlineLevel="0" collapsed="false">
      <c r="A1384" s="2" t="s">
        <v>125</v>
      </c>
      <c r="B1384" s="2" t="s">
        <v>126</v>
      </c>
      <c r="C1384" s="2" t="s">
        <v>48</v>
      </c>
      <c r="D1384" s="2" t="s">
        <v>14</v>
      </c>
      <c r="E1384" s="2" t="s">
        <v>76</v>
      </c>
      <c r="F1384" s="2" t="s">
        <v>1146</v>
      </c>
      <c r="G1384" s="14" t="n">
        <v>85.5</v>
      </c>
      <c r="H1384" s="14" t="n">
        <v>110.67</v>
      </c>
      <c r="I1384" s="14" t="n">
        <v>85</v>
      </c>
      <c r="J1384" s="22" t="n">
        <f aca="false">IF(E1384="Priority",'Cost model'!N11,'Cost model'!M11)</f>
        <v>135</v>
      </c>
      <c r="K1384" s="14" t="n">
        <f aca="false">J1384-H1384</f>
        <v>24.33</v>
      </c>
      <c r="L1384" s="14" t="n">
        <f aca="false">G1384-H1384</f>
        <v>-25.17</v>
      </c>
    </row>
    <row r="1385" customFormat="false" ht="15" hidden="false" customHeight="false" outlineLevel="0" collapsed="false">
      <c r="A1385" s="2" t="s">
        <v>146</v>
      </c>
      <c r="B1385" s="2" t="s">
        <v>184</v>
      </c>
      <c r="C1385" s="2" t="s">
        <v>50</v>
      </c>
      <c r="D1385" s="2" t="s">
        <v>10</v>
      </c>
      <c r="E1385" s="2" t="s">
        <v>76</v>
      </c>
      <c r="F1385" s="2" t="s">
        <v>1146</v>
      </c>
      <c r="G1385" s="14" t="n">
        <v>17.5</v>
      </c>
      <c r="H1385" s="14" t="n">
        <v>21.14</v>
      </c>
      <c r="I1385" s="14" t="n">
        <v>17.5</v>
      </c>
      <c r="J1385" s="22" t="n">
        <f aca="false">IF(E1385="Priority",'Cost model'!N832,'Cost model'!M832)</f>
        <v>15.5</v>
      </c>
      <c r="K1385" s="14" t="n">
        <f aca="false">J1385-H1385</f>
        <v>-5.64</v>
      </c>
      <c r="L1385" s="14" t="n">
        <f aca="false">G1385-H1385</f>
        <v>-3.64</v>
      </c>
    </row>
    <row r="1386" customFormat="false" ht="15" hidden="false" customHeight="false" outlineLevel="0" collapsed="false">
      <c r="A1386" s="2" t="s">
        <v>165</v>
      </c>
      <c r="B1386" s="2" t="s">
        <v>165</v>
      </c>
      <c r="C1386" s="2" t="s">
        <v>48</v>
      </c>
      <c r="D1386" s="2" t="s">
        <v>10</v>
      </c>
      <c r="E1386" s="2" t="s">
        <v>76</v>
      </c>
      <c r="F1386" s="2" t="s">
        <v>1145</v>
      </c>
      <c r="G1386" s="14" t="n">
        <v>9.5</v>
      </c>
      <c r="H1386" s="14" t="n">
        <v>7.5</v>
      </c>
      <c r="I1386" s="14" t="n">
        <v>9.5</v>
      </c>
      <c r="J1386" s="22" t="n">
        <f aca="false">IF(E1386="Priority",'Cost model'!N506,'Cost model'!M506)</f>
        <v>7.5</v>
      </c>
      <c r="K1386" s="14" t="n">
        <f aca="false">J1386-H1386</f>
        <v>0</v>
      </c>
      <c r="L1386" s="14" t="n">
        <f aca="false">G1386-H1386</f>
        <v>2</v>
      </c>
    </row>
    <row r="1387" customFormat="false" ht="15" hidden="false" customHeight="false" outlineLevel="0" collapsed="false">
      <c r="A1387" s="2" t="s">
        <v>126</v>
      </c>
      <c r="B1387" s="2" t="s">
        <v>126</v>
      </c>
      <c r="C1387" s="2" t="s">
        <v>50</v>
      </c>
      <c r="D1387" s="2" t="s">
        <v>12</v>
      </c>
      <c r="E1387" s="2" t="s">
        <v>85</v>
      </c>
      <c r="F1387" s="2" t="s">
        <v>1145</v>
      </c>
      <c r="G1387" s="14" t="n">
        <v>29.5</v>
      </c>
      <c r="H1387" s="14" t="n">
        <v>56.41</v>
      </c>
      <c r="I1387" s="14" t="n">
        <v>29.5</v>
      </c>
      <c r="J1387" s="22" t="n">
        <f aca="false">IF(E1387="Priority",'Cost model'!N385,'Cost model'!M385)</f>
        <v>70</v>
      </c>
      <c r="K1387" s="14" t="n">
        <f aca="false">J1387-H1387</f>
        <v>13.59</v>
      </c>
      <c r="L1387" s="14" t="n">
        <f aca="false">G1387-H1387</f>
        <v>-26.91</v>
      </c>
    </row>
    <row r="1388" customFormat="false" ht="15" hidden="false" customHeight="false" outlineLevel="0" collapsed="false">
      <c r="A1388" s="2" t="s">
        <v>184</v>
      </c>
      <c r="B1388" s="2" t="s">
        <v>184</v>
      </c>
      <c r="C1388" s="2" t="s">
        <v>48</v>
      </c>
      <c r="D1388" s="2" t="s">
        <v>10</v>
      </c>
      <c r="E1388" s="2" t="s">
        <v>76</v>
      </c>
      <c r="F1388" s="2" t="s">
        <v>1145</v>
      </c>
      <c r="G1388" s="14" t="n">
        <v>9.5</v>
      </c>
      <c r="H1388" s="14" t="n">
        <v>6.24</v>
      </c>
      <c r="I1388" s="14" t="n">
        <v>9.5</v>
      </c>
      <c r="J1388" s="22" t="n">
        <f aca="false">IF(E1388="Priority",'Cost model'!N200,'Cost model'!M200)</f>
        <v>7.5</v>
      </c>
      <c r="K1388" s="14" t="n">
        <f aca="false">J1388-H1388</f>
        <v>1.26</v>
      </c>
      <c r="L1388" s="14" t="n">
        <f aca="false">G1388-H1388</f>
        <v>3.26</v>
      </c>
    </row>
    <row r="1389" customFormat="false" ht="15" hidden="false" customHeight="false" outlineLevel="0" collapsed="false">
      <c r="A1389" s="2" t="s">
        <v>126</v>
      </c>
      <c r="B1389" s="2" t="s">
        <v>126</v>
      </c>
      <c r="C1389" s="2" t="s">
        <v>50</v>
      </c>
      <c r="D1389" s="2" t="s">
        <v>10</v>
      </c>
      <c r="E1389" s="2" t="s">
        <v>76</v>
      </c>
      <c r="F1389" s="2" t="s">
        <v>1145</v>
      </c>
      <c r="G1389" s="14" t="n">
        <v>17.5</v>
      </c>
      <c r="H1389" s="14" t="n">
        <v>11.34</v>
      </c>
      <c r="I1389" s="14" t="n">
        <v>17.5</v>
      </c>
      <c r="J1389" s="22" t="n">
        <f aca="false">IF(E1389="Priority",'Cost model'!N382,'Cost model'!M382)</f>
        <v>18.5</v>
      </c>
      <c r="K1389" s="14" t="n">
        <f aca="false">J1389-H1389</f>
        <v>7.16</v>
      </c>
      <c r="L1389" s="14" t="n">
        <f aca="false">G1389-H1389</f>
        <v>6.16</v>
      </c>
    </row>
    <row r="1390" customFormat="false" ht="15" hidden="false" customHeight="false" outlineLevel="0" collapsed="false">
      <c r="A1390" s="2" t="s">
        <v>184</v>
      </c>
      <c r="B1390" s="2" t="s">
        <v>146</v>
      </c>
      <c r="C1390" s="2" t="s">
        <v>48</v>
      </c>
      <c r="D1390" s="2" t="s">
        <v>10</v>
      </c>
      <c r="E1390" s="2" t="s">
        <v>76</v>
      </c>
      <c r="F1390" s="2" t="s">
        <v>1146</v>
      </c>
      <c r="G1390" s="14" t="n">
        <v>9.5</v>
      </c>
      <c r="H1390" s="14" t="n">
        <v>10.24</v>
      </c>
      <c r="I1390" s="14" t="n">
        <v>9.5</v>
      </c>
      <c r="J1390" s="22" t="n">
        <f aca="false">IF(E1390="Priority",'Cost model'!N146,'Cost model'!M146)</f>
        <v>12.5</v>
      </c>
      <c r="K1390" s="14" t="n">
        <f aca="false">J1390-H1390</f>
        <v>2.26</v>
      </c>
      <c r="L1390" s="14" t="n">
        <f aca="false">G1390-H1390</f>
        <v>-0.74</v>
      </c>
    </row>
    <row r="1391" customFormat="false" ht="15" hidden="false" customHeight="false" outlineLevel="0" collapsed="false">
      <c r="A1391" s="2" t="s">
        <v>126</v>
      </c>
      <c r="B1391" s="2" t="s">
        <v>184</v>
      </c>
      <c r="C1391" s="2" t="s">
        <v>48</v>
      </c>
      <c r="D1391" s="2" t="s">
        <v>10</v>
      </c>
      <c r="E1391" s="2" t="s">
        <v>76</v>
      </c>
      <c r="F1391" s="2" t="s">
        <v>1146</v>
      </c>
      <c r="G1391" s="14" t="n">
        <v>9.5</v>
      </c>
      <c r="H1391" s="14" t="n">
        <v>6.14</v>
      </c>
      <c r="I1391" s="14" t="n">
        <v>14.5</v>
      </c>
      <c r="J1391" s="22" t="n">
        <f aca="false">IF(E1391="Priority",'Cost model'!N434,'Cost model'!M434)</f>
        <v>13.5</v>
      </c>
      <c r="K1391" s="14" t="n">
        <f aca="false">J1391-H1391</f>
        <v>7.36</v>
      </c>
      <c r="L1391" s="14" t="n">
        <f aca="false">G1391-H1391</f>
        <v>3.36</v>
      </c>
    </row>
    <row r="1392" customFormat="false" ht="15" hidden="false" customHeight="false" outlineLevel="0" collapsed="false">
      <c r="A1392" s="2" t="s">
        <v>126</v>
      </c>
      <c r="B1392" s="2" t="s">
        <v>126</v>
      </c>
      <c r="C1392" s="2" t="s">
        <v>48</v>
      </c>
      <c r="D1392" s="2" t="s">
        <v>10</v>
      </c>
      <c r="E1392" s="2" t="s">
        <v>76</v>
      </c>
      <c r="F1392" s="2" t="s">
        <v>1145</v>
      </c>
      <c r="G1392" s="14" t="n">
        <v>9.5</v>
      </c>
      <c r="H1392" s="14" t="n">
        <v>7.45</v>
      </c>
      <c r="I1392" s="14" t="n">
        <v>9.5</v>
      </c>
      <c r="J1392" s="22" t="n">
        <f aca="false">IF(E1392="Priority",'Cost model'!N380,'Cost model'!M380)</f>
        <v>8.5</v>
      </c>
      <c r="K1392" s="14" t="n">
        <f aca="false">J1392-H1392</f>
        <v>1.05</v>
      </c>
      <c r="L1392" s="14" t="n">
        <f aca="false">G1392-H1392</f>
        <v>2.05</v>
      </c>
    </row>
    <row r="1393" customFormat="false" ht="15" hidden="false" customHeight="false" outlineLevel="0" collapsed="false">
      <c r="A1393" s="2" t="s">
        <v>126</v>
      </c>
      <c r="B1393" s="2" t="s">
        <v>126</v>
      </c>
      <c r="C1393" s="2" t="s">
        <v>50</v>
      </c>
      <c r="D1393" s="2" t="s">
        <v>12</v>
      </c>
      <c r="E1393" s="2" t="s">
        <v>85</v>
      </c>
      <c r="F1393" s="2" t="s">
        <v>1145</v>
      </c>
      <c r="G1393" s="14" t="n">
        <v>29.5</v>
      </c>
      <c r="H1393" s="14" t="n">
        <v>86.53</v>
      </c>
      <c r="I1393" s="14" t="n">
        <v>29.5</v>
      </c>
      <c r="J1393" s="22" t="n">
        <f aca="false">IF(E1393="Priority",'Cost model'!N385,'Cost model'!M385)</f>
        <v>70</v>
      </c>
      <c r="K1393" s="14" t="n">
        <f aca="false">J1393-H1393</f>
        <v>-16.53</v>
      </c>
      <c r="L1393" s="14" t="n">
        <f aca="false">G1393-H1393</f>
        <v>-57.03</v>
      </c>
    </row>
    <row r="1394" customFormat="false" ht="15" hidden="false" customHeight="false" outlineLevel="0" collapsed="false">
      <c r="A1394" s="2" t="s">
        <v>146</v>
      </c>
      <c r="B1394" s="2" t="s">
        <v>126</v>
      </c>
      <c r="C1394" s="2" t="s">
        <v>48</v>
      </c>
      <c r="D1394" s="2" t="s">
        <v>10</v>
      </c>
      <c r="E1394" s="2" t="s">
        <v>76</v>
      </c>
      <c r="F1394" s="2" t="s">
        <v>1146</v>
      </c>
      <c r="G1394" s="14" t="n">
        <v>14.5</v>
      </c>
      <c r="H1394" s="14" t="n">
        <v>9.78</v>
      </c>
      <c r="I1394" s="14" t="n">
        <v>14.5</v>
      </c>
      <c r="J1394" s="22" t="n">
        <f aca="false">IF(E1394="Priority",'Cost model'!N794,'Cost model'!M794)</f>
        <v>12.5</v>
      </c>
      <c r="K1394" s="14" t="n">
        <f aca="false">J1394-H1394</f>
        <v>2.72</v>
      </c>
      <c r="L1394" s="14" t="n">
        <f aca="false">G1394-H1394</f>
        <v>4.72</v>
      </c>
    </row>
    <row r="1395" customFormat="false" ht="15" hidden="false" customHeight="false" outlineLevel="0" collapsed="false">
      <c r="A1395" s="2" t="s">
        <v>184</v>
      </c>
      <c r="B1395" s="2" t="s">
        <v>184</v>
      </c>
      <c r="C1395" s="2" t="s">
        <v>50</v>
      </c>
      <c r="D1395" s="2" t="s">
        <v>10</v>
      </c>
      <c r="E1395" s="2" t="s">
        <v>76</v>
      </c>
      <c r="F1395" s="2" t="s">
        <v>1145</v>
      </c>
      <c r="G1395" s="14" t="n">
        <v>17.5</v>
      </c>
      <c r="H1395" s="14" t="n">
        <v>15.22</v>
      </c>
      <c r="I1395" s="14" t="n">
        <v>17.5</v>
      </c>
      <c r="J1395" s="22" t="n">
        <f aca="false">IF(E1395="Priority",'Cost model'!N202,'Cost model'!M202)</f>
        <v>17.5</v>
      </c>
      <c r="K1395" s="14" t="n">
        <f aca="false">J1395-H1395</f>
        <v>2.28</v>
      </c>
      <c r="L1395" s="14" t="n">
        <f aca="false">G1395-H1395</f>
        <v>2.28</v>
      </c>
    </row>
    <row r="1396" customFormat="false" ht="15" hidden="false" customHeight="false" outlineLevel="0" collapsed="false">
      <c r="A1396" s="2" t="s">
        <v>184</v>
      </c>
      <c r="B1396" s="2" t="s">
        <v>184</v>
      </c>
      <c r="C1396" s="2" t="s">
        <v>49</v>
      </c>
      <c r="D1396" s="2" t="s">
        <v>12</v>
      </c>
      <c r="E1396" s="2" t="s">
        <v>76</v>
      </c>
      <c r="F1396" s="2" t="s">
        <v>1145</v>
      </c>
      <c r="G1396" s="14" t="n">
        <v>12.5</v>
      </c>
      <c r="H1396" s="14" t="n">
        <v>32.66</v>
      </c>
      <c r="I1396" s="14"/>
      <c r="J1396" s="22" t="n">
        <f aca="false">IF(E1396="Priority",'Cost model'!N204,'Cost model'!M204)</f>
        <v>45</v>
      </c>
      <c r="K1396" s="14" t="n">
        <f aca="false">J1396-H1396</f>
        <v>12.34</v>
      </c>
      <c r="L1396" s="14" t="n">
        <f aca="false">G1396-H1396</f>
        <v>-20.16</v>
      </c>
    </row>
    <row r="1397" customFormat="false" ht="15" hidden="false" customHeight="false" outlineLevel="0" collapsed="false">
      <c r="A1397" s="2" t="s">
        <v>184</v>
      </c>
      <c r="B1397" s="2" t="s">
        <v>184</v>
      </c>
      <c r="C1397" s="2" t="s">
        <v>48</v>
      </c>
      <c r="D1397" s="2" t="s">
        <v>12</v>
      </c>
      <c r="E1397" s="2" t="s">
        <v>76</v>
      </c>
      <c r="F1397" s="2" t="s">
        <v>1145</v>
      </c>
      <c r="G1397" s="14" t="n">
        <v>9.5</v>
      </c>
      <c r="H1397" s="14" t="n">
        <v>11.09</v>
      </c>
      <c r="I1397" s="14" t="n">
        <v>9.5</v>
      </c>
      <c r="J1397" s="22" t="n">
        <f aca="false">IF(E1397="Priority",'Cost model'!N203,'Cost model'!M203)</f>
        <v>26.5</v>
      </c>
      <c r="K1397" s="14" t="n">
        <f aca="false">J1397-H1397</f>
        <v>15.41</v>
      </c>
      <c r="L1397" s="14" t="n">
        <f aca="false">G1397-H1397</f>
        <v>-1.59</v>
      </c>
    </row>
    <row r="1398" customFormat="false" ht="15" hidden="false" customHeight="false" outlineLevel="0" collapsed="false">
      <c r="A1398" s="2" t="s">
        <v>126</v>
      </c>
      <c r="B1398" s="2" t="s">
        <v>126</v>
      </c>
      <c r="C1398" s="2" t="s">
        <v>49</v>
      </c>
      <c r="D1398" s="2" t="s">
        <v>12</v>
      </c>
      <c r="E1398" s="2" t="s">
        <v>85</v>
      </c>
      <c r="F1398" s="2" t="s">
        <v>1145</v>
      </c>
      <c r="G1398" s="14" t="n">
        <v>19.5</v>
      </c>
      <c r="H1398" s="14" t="n">
        <v>28.07</v>
      </c>
      <c r="I1398" s="14" t="n">
        <v>19.5</v>
      </c>
      <c r="J1398" s="22" t="n">
        <f aca="false">IF(E1398="Priority",'Cost model'!N384,'Cost model'!M384)</f>
        <v>60</v>
      </c>
      <c r="K1398" s="14" t="n">
        <f aca="false">J1398-H1398</f>
        <v>31.93</v>
      </c>
      <c r="L1398" s="14" t="n">
        <f aca="false">G1398-H1398</f>
        <v>-8.57</v>
      </c>
    </row>
    <row r="1399" customFormat="false" ht="15" hidden="false" customHeight="false" outlineLevel="0" collapsed="false">
      <c r="A1399" s="2" t="s">
        <v>146</v>
      </c>
      <c r="B1399" s="2" t="s">
        <v>146</v>
      </c>
      <c r="C1399" s="2" t="s">
        <v>49</v>
      </c>
      <c r="D1399" s="2" t="s">
        <v>12</v>
      </c>
      <c r="E1399" s="2" t="s">
        <v>76</v>
      </c>
      <c r="F1399" s="2" t="s">
        <v>1145</v>
      </c>
      <c r="G1399" s="14" t="n">
        <v>12.5</v>
      </c>
      <c r="H1399" s="14" t="n">
        <v>60.12</v>
      </c>
      <c r="I1399" s="14" t="n">
        <v>12.5</v>
      </c>
      <c r="J1399" s="22" t="n">
        <f aca="false">IF(E1399="Priority",'Cost model'!N762,'Cost model'!M762)</f>
        <v>45</v>
      </c>
      <c r="K1399" s="14" t="n">
        <f aca="false">J1399-H1399</f>
        <v>-15.12</v>
      </c>
      <c r="L1399" s="14" t="n">
        <f aca="false">G1399-H1399</f>
        <v>-47.62</v>
      </c>
    </row>
    <row r="1400" customFormat="false" ht="15" hidden="false" customHeight="false" outlineLevel="0" collapsed="false">
      <c r="A1400" s="2" t="s">
        <v>146</v>
      </c>
      <c r="B1400" s="2" t="s">
        <v>146</v>
      </c>
      <c r="C1400" s="2" t="s">
        <v>49</v>
      </c>
      <c r="D1400" s="2" t="s">
        <v>16</v>
      </c>
      <c r="E1400" s="2" t="s">
        <v>76</v>
      </c>
      <c r="F1400" s="2" t="s">
        <v>1145</v>
      </c>
      <c r="G1400" s="14" t="n">
        <v>85</v>
      </c>
      <c r="H1400" s="14" t="n">
        <v>173.49</v>
      </c>
      <c r="I1400" s="14" t="n">
        <v>85</v>
      </c>
      <c r="J1400" s="22" t="n">
        <f aca="false">IF(E1400="Priority",'Cost model'!N774,'Cost model'!M774)</f>
        <v>225</v>
      </c>
      <c r="K1400" s="14" t="n">
        <f aca="false">J1400-H1400</f>
        <v>51.51</v>
      </c>
      <c r="L1400" s="14" t="n">
        <f aca="false">G1400-H1400</f>
        <v>-88.49</v>
      </c>
    </row>
    <row r="1401" customFormat="false" ht="15" hidden="false" customHeight="false" outlineLevel="0" collapsed="false">
      <c r="A1401" s="2" t="s">
        <v>126</v>
      </c>
      <c r="B1401" s="2" t="s">
        <v>126</v>
      </c>
      <c r="C1401" s="2" t="s">
        <v>48</v>
      </c>
      <c r="D1401" s="2" t="s">
        <v>12</v>
      </c>
      <c r="E1401" s="2" t="s">
        <v>85</v>
      </c>
      <c r="F1401" s="2" t="s">
        <v>1145</v>
      </c>
      <c r="G1401" s="14" t="n">
        <v>19.5</v>
      </c>
      <c r="H1401" s="14" t="n">
        <v>28.75</v>
      </c>
      <c r="I1401" s="14" t="n">
        <v>19.5</v>
      </c>
      <c r="J1401" s="22" t="n">
        <f aca="false">IF(E1401="Priority",'Cost model'!N383,'Cost model'!M383)</f>
        <v>35</v>
      </c>
      <c r="K1401" s="14" t="n">
        <f aca="false">J1401-H1401</f>
        <v>6.25</v>
      </c>
      <c r="L1401" s="14" t="n">
        <f aca="false">G1401-H1401</f>
        <v>-9.25</v>
      </c>
    </row>
    <row r="1402" customFormat="false" ht="15" hidden="false" customHeight="false" outlineLevel="0" collapsed="false">
      <c r="A1402" s="2" t="s">
        <v>146</v>
      </c>
      <c r="B1402" s="2" t="s">
        <v>146</v>
      </c>
      <c r="C1402" s="2" t="s">
        <v>49</v>
      </c>
      <c r="D1402" s="2" t="s">
        <v>10</v>
      </c>
      <c r="E1402" s="2" t="s">
        <v>76</v>
      </c>
      <c r="F1402" s="2" t="s">
        <v>1145</v>
      </c>
      <c r="G1402" s="14" t="n">
        <v>12.5</v>
      </c>
      <c r="H1402" s="14" t="n">
        <v>13.95</v>
      </c>
      <c r="I1402" s="14" t="n">
        <v>12.5</v>
      </c>
      <c r="J1402" s="22" t="n">
        <f aca="false">IF(E1402="Priority",'Cost model'!N759,'Cost model'!M759)</f>
        <v>15.5</v>
      </c>
      <c r="K1402" s="14" t="n">
        <f aca="false">J1402-H1402</f>
        <v>1.55</v>
      </c>
      <c r="L1402" s="14" t="n">
        <f aca="false">G1402-H1402</f>
        <v>-1.45</v>
      </c>
    </row>
    <row r="1403" customFormat="false" ht="15" hidden="false" customHeight="false" outlineLevel="0" collapsed="false">
      <c r="A1403" s="2" t="s">
        <v>146</v>
      </c>
      <c r="B1403" s="2" t="s">
        <v>146</v>
      </c>
      <c r="C1403" s="2" t="s">
        <v>48</v>
      </c>
      <c r="D1403" s="2" t="s">
        <v>10</v>
      </c>
      <c r="E1403" s="2" t="s">
        <v>76</v>
      </c>
      <c r="F1403" s="2" t="s">
        <v>1145</v>
      </c>
      <c r="G1403" s="14" t="n">
        <v>9.5</v>
      </c>
      <c r="H1403" s="14" t="n">
        <v>4.99</v>
      </c>
      <c r="I1403" s="14" t="n">
        <v>9.5</v>
      </c>
      <c r="J1403" s="22" t="n">
        <f aca="false">IF(E1403="Priority",'Cost model'!N758,'Cost model'!M758)</f>
        <v>9.5</v>
      </c>
      <c r="K1403" s="14" t="n">
        <f aca="false">J1403-H1403</f>
        <v>4.51</v>
      </c>
      <c r="L1403" s="14" t="n">
        <f aca="false">G1403-H1403</f>
        <v>4.51</v>
      </c>
    </row>
    <row r="1404" customFormat="false" ht="15" hidden="false" customHeight="false" outlineLevel="0" collapsed="false">
      <c r="A1404" s="2" t="s">
        <v>184</v>
      </c>
      <c r="B1404" s="2" t="s">
        <v>184</v>
      </c>
      <c r="C1404" s="2" t="s">
        <v>50</v>
      </c>
      <c r="D1404" s="2" t="s">
        <v>12</v>
      </c>
      <c r="E1404" s="2" t="s">
        <v>76</v>
      </c>
      <c r="F1404" s="2" t="s">
        <v>1145</v>
      </c>
      <c r="G1404" s="14" t="n">
        <v>19.5</v>
      </c>
      <c r="H1404" s="14" t="n">
        <v>54.21</v>
      </c>
      <c r="I1404" s="14" t="n">
        <v>19.5</v>
      </c>
      <c r="J1404" s="22" t="n">
        <f aca="false">IF(E1404="Priority",'Cost model'!N205,'Cost model'!M205)</f>
        <v>50</v>
      </c>
      <c r="K1404" s="14" t="n">
        <f aca="false">J1404-H1404</f>
        <v>-4.21</v>
      </c>
      <c r="L1404" s="14" t="n">
        <f aca="false">G1404-H1404</f>
        <v>-34.71</v>
      </c>
    </row>
    <row r="1405" customFormat="false" ht="15" hidden="false" customHeight="false" outlineLevel="0" collapsed="false">
      <c r="A1405" s="2" t="s">
        <v>146</v>
      </c>
      <c r="B1405" s="2" t="s">
        <v>146</v>
      </c>
      <c r="C1405" s="2" t="s">
        <v>49</v>
      </c>
      <c r="D1405" s="2" t="s">
        <v>12</v>
      </c>
      <c r="E1405" s="2" t="s">
        <v>76</v>
      </c>
      <c r="F1405" s="2" t="s">
        <v>1145</v>
      </c>
      <c r="G1405" s="14" t="n">
        <v>12.5</v>
      </c>
      <c r="H1405" s="14" t="n">
        <v>44.02</v>
      </c>
      <c r="I1405" s="14" t="n">
        <v>12.5</v>
      </c>
      <c r="J1405" s="22" t="n">
        <f aca="false">IF(E1405="Priority",'Cost model'!N762,'Cost model'!M762)</f>
        <v>45</v>
      </c>
      <c r="K1405" s="14" t="n">
        <f aca="false">J1405-H1405</f>
        <v>0.979999999999997</v>
      </c>
      <c r="L1405" s="14" t="n">
        <f aca="false">G1405-H1405</f>
        <v>-31.52</v>
      </c>
    </row>
    <row r="1406" customFormat="false" ht="15" hidden="false" customHeight="false" outlineLevel="0" collapsed="false">
      <c r="A1406" s="2" t="s">
        <v>126</v>
      </c>
      <c r="B1406" s="2" t="s">
        <v>126</v>
      </c>
      <c r="C1406" s="2" t="s">
        <v>49</v>
      </c>
      <c r="D1406" s="2" t="s">
        <v>12</v>
      </c>
      <c r="E1406" s="2" t="s">
        <v>76</v>
      </c>
      <c r="F1406" s="2" t="s">
        <v>1145</v>
      </c>
      <c r="G1406" s="14" t="n">
        <v>12.5</v>
      </c>
      <c r="H1406" s="14" t="n">
        <v>43.77</v>
      </c>
      <c r="I1406" s="14" t="n">
        <v>12.5</v>
      </c>
      <c r="J1406" s="22" t="n">
        <f aca="false">IF(E1406="Priority",'Cost model'!N384,'Cost model'!M384)</f>
        <v>45</v>
      </c>
      <c r="K1406" s="14" t="n">
        <f aca="false">J1406-H1406</f>
        <v>1.23</v>
      </c>
      <c r="L1406" s="14" t="n">
        <f aca="false">G1406-H1406</f>
        <v>-31.27</v>
      </c>
    </row>
    <row r="1407" customFormat="false" ht="15" hidden="false" customHeight="false" outlineLevel="0" collapsed="false">
      <c r="A1407" s="2" t="s">
        <v>240</v>
      </c>
      <c r="B1407" s="2" t="s">
        <v>240</v>
      </c>
      <c r="C1407" s="2" t="s">
        <v>50</v>
      </c>
      <c r="D1407" s="2" t="s">
        <v>12</v>
      </c>
      <c r="E1407" s="2" t="s">
        <v>85</v>
      </c>
      <c r="F1407" s="2" t="s">
        <v>1145</v>
      </c>
      <c r="G1407" s="14" t="n">
        <v>29.5</v>
      </c>
      <c r="H1407" s="14" t="n">
        <v>200.08</v>
      </c>
      <c r="I1407" s="14" t="n">
        <v>29.5</v>
      </c>
      <c r="J1407" s="22" t="n">
        <f aca="false">IF(E1407="Priority",'Cost model'!N889,'Cost model'!M889)</f>
        <v>80</v>
      </c>
      <c r="K1407" s="14" t="n">
        <f aca="false">J1407-H1407</f>
        <v>-120.08</v>
      </c>
      <c r="L1407" s="14" t="n">
        <f aca="false">G1407-H1407</f>
        <v>-170.58</v>
      </c>
    </row>
    <row r="1408" customFormat="false" ht="15" hidden="false" customHeight="false" outlineLevel="0" collapsed="false">
      <c r="A1408" s="2" t="s">
        <v>221</v>
      </c>
      <c r="B1408" s="2" t="s">
        <v>146</v>
      </c>
      <c r="C1408" s="2" t="s">
        <v>49</v>
      </c>
      <c r="D1408" s="2" t="s">
        <v>13</v>
      </c>
      <c r="E1408" s="2" t="s">
        <v>76</v>
      </c>
      <c r="F1408" s="2" t="s">
        <v>1146</v>
      </c>
      <c r="G1408" s="14" t="n">
        <v>45</v>
      </c>
      <c r="H1408" s="14" t="n">
        <v>65.58</v>
      </c>
      <c r="I1408" s="14" t="n">
        <v>24.5</v>
      </c>
      <c r="J1408" s="22" t="n">
        <f aca="false">IF(E1408="Priority",'Cost model'!N657,'Cost model'!M657)</f>
        <v>135</v>
      </c>
      <c r="K1408" s="14" t="n">
        <f aca="false">J1408-H1408</f>
        <v>69.42</v>
      </c>
      <c r="L1408" s="14" t="n">
        <f aca="false">G1408-H1408</f>
        <v>-20.58</v>
      </c>
    </row>
    <row r="1409" customFormat="false" ht="15" hidden="false" customHeight="false" outlineLevel="0" collapsed="false">
      <c r="A1409" s="2" t="s">
        <v>240</v>
      </c>
      <c r="B1409" s="2" t="s">
        <v>240</v>
      </c>
      <c r="C1409" s="2" t="s">
        <v>48</v>
      </c>
      <c r="D1409" s="2" t="s">
        <v>12</v>
      </c>
      <c r="E1409" s="2" t="s">
        <v>76</v>
      </c>
      <c r="F1409" s="2" t="s">
        <v>1145</v>
      </c>
      <c r="G1409" s="14" t="n">
        <v>9.5</v>
      </c>
      <c r="H1409" s="14" t="n">
        <v>13.96</v>
      </c>
      <c r="I1409" s="14" t="n">
        <v>9.5</v>
      </c>
      <c r="J1409" s="22" t="n">
        <f aca="false">IF(E1409="Priority",'Cost model'!N887,'Cost model'!M887)</f>
        <v>21.5</v>
      </c>
      <c r="K1409" s="14" t="n">
        <f aca="false">J1409-H1409</f>
        <v>7.54</v>
      </c>
      <c r="L1409" s="14" t="n">
        <f aca="false">G1409-H1409</f>
        <v>-4.46</v>
      </c>
    </row>
    <row r="1410" customFormat="false" ht="15" hidden="false" customHeight="false" outlineLevel="0" collapsed="false">
      <c r="A1410" s="2" t="s">
        <v>184</v>
      </c>
      <c r="B1410" s="2" t="s">
        <v>184</v>
      </c>
      <c r="C1410" s="2" t="s">
        <v>49</v>
      </c>
      <c r="D1410" s="2" t="s">
        <v>12</v>
      </c>
      <c r="E1410" s="2" t="s">
        <v>76</v>
      </c>
      <c r="F1410" s="2" t="s">
        <v>1145</v>
      </c>
      <c r="G1410" s="14" t="n">
        <v>12.5</v>
      </c>
      <c r="H1410" s="14" t="n">
        <v>45.09</v>
      </c>
      <c r="I1410" s="14"/>
      <c r="J1410" s="22" t="n">
        <f aca="false">IF(E1410="Priority",'Cost model'!N204,'Cost model'!M204)</f>
        <v>45</v>
      </c>
      <c r="K1410" s="14" t="n">
        <f aca="false">J1410-H1410</f>
        <v>-0.0900000000000034</v>
      </c>
      <c r="L1410" s="14" t="n">
        <f aca="false">G1410-H1410</f>
        <v>-32.59</v>
      </c>
    </row>
    <row r="1411" customFormat="false" ht="15" hidden="false" customHeight="false" outlineLevel="0" collapsed="false">
      <c r="A1411" s="2" t="s">
        <v>184</v>
      </c>
      <c r="B1411" s="2" t="s">
        <v>146</v>
      </c>
      <c r="C1411" s="2" t="s">
        <v>50</v>
      </c>
      <c r="D1411" s="2" t="s">
        <v>10</v>
      </c>
      <c r="E1411" s="2" t="s">
        <v>76</v>
      </c>
      <c r="F1411" s="2" t="s">
        <v>1146</v>
      </c>
      <c r="G1411" s="14" t="n">
        <v>17.5</v>
      </c>
      <c r="H1411" s="14" t="n">
        <v>15.99</v>
      </c>
      <c r="I1411" s="14" t="n">
        <v>17.5</v>
      </c>
      <c r="J1411" s="22" t="n">
        <f aca="false">IF(E1411="Priority",'Cost model'!N148,'Cost model'!M148)</f>
        <v>21.5</v>
      </c>
      <c r="K1411" s="14" t="n">
        <f aca="false">J1411-H1411</f>
        <v>5.51</v>
      </c>
      <c r="L1411" s="14" t="n">
        <f aca="false">G1411-H1411</f>
        <v>1.51</v>
      </c>
    </row>
    <row r="1412" customFormat="false" ht="15" hidden="false" customHeight="false" outlineLevel="0" collapsed="false">
      <c r="A1412" s="2" t="s">
        <v>126</v>
      </c>
      <c r="B1412" s="2" t="s">
        <v>126</v>
      </c>
      <c r="C1412" s="2" t="s">
        <v>49</v>
      </c>
      <c r="D1412" s="2" t="s">
        <v>12</v>
      </c>
      <c r="E1412" s="2" t="s">
        <v>76</v>
      </c>
      <c r="F1412" s="2" t="s">
        <v>1145</v>
      </c>
      <c r="G1412" s="14" t="n">
        <v>12.5</v>
      </c>
      <c r="H1412" s="14" t="n">
        <v>62.01</v>
      </c>
      <c r="I1412" s="14" t="n">
        <v>12.5</v>
      </c>
      <c r="J1412" s="22" t="n">
        <f aca="false">IF(E1412="Priority",'Cost model'!N384,'Cost model'!M384)</f>
        <v>45</v>
      </c>
      <c r="K1412" s="14" t="n">
        <f aca="false">J1412-H1412</f>
        <v>-17.01</v>
      </c>
      <c r="L1412" s="14" t="n">
        <f aca="false">G1412-H1412</f>
        <v>-49.51</v>
      </c>
    </row>
    <row r="1413" customFormat="false" ht="15" hidden="false" customHeight="false" outlineLevel="0" collapsed="false">
      <c r="A1413" s="2" t="s">
        <v>221</v>
      </c>
      <c r="B1413" s="2" t="s">
        <v>126</v>
      </c>
      <c r="C1413" s="2" t="s">
        <v>49</v>
      </c>
      <c r="D1413" s="2" t="s">
        <v>10</v>
      </c>
      <c r="E1413" s="2" t="s">
        <v>76</v>
      </c>
      <c r="F1413" s="2" t="s">
        <v>1146</v>
      </c>
      <c r="G1413" s="14" t="n">
        <v>14.5</v>
      </c>
      <c r="H1413" s="14" t="n">
        <v>18.64</v>
      </c>
      <c r="I1413" s="14" t="n">
        <v>19.5</v>
      </c>
      <c r="J1413" s="22" t="n">
        <f aca="false">IF(E1413="Priority",'Cost model'!N687,'Cost model'!M687)</f>
        <v>17.5</v>
      </c>
      <c r="K1413" s="14" t="n">
        <f aca="false">J1413-H1413</f>
        <v>-1.14</v>
      </c>
      <c r="L1413" s="14" t="n">
        <f aca="false">G1413-H1413</f>
        <v>-4.14</v>
      </c>
    </row>
    <row r="1414" customFormat="false" ht="15" hidden="false" customHeight="false" outlineLevel="0" collapsed="false">
      <c r="A1414" s="2" t="s">
        <v>184</v>
      </c>
      <c r="B1414" s="2" t="s">
        <v>184</v>
      </c>
      <c r="C1414" s="2" t="s">
        <v>49</v>
      </c>
      <c r="D1414" s="2" t="s">
        <v>12</v>
      </c>
      <c r="E1414" s="2" t="s">
        <v>76</v>
      </c>
      <c r="F1414" s="2" t="s">
        <v>1145</v>
      </c>
      <c r="G1414" s="14" t="n">
        <v>12.5</v>
      </c>
      <c r="H1414" s="14" t="n">
        <v>7.22</v>
      </c>
      <c r="I1414" s="14"/>
      <c r="J1414" s="22" t="n">
        <f aca="false">IF(E1414="Priority",'Cost model'!N204,'Cost model'!M204)</f>
        <v>45</v>
      </c>
      <c r="K1414" s="14" t="n">
        <f aca="false">J1414-H1414</f>
        <v>37.78</v>
      </c>
      <c r="L1414" s="14" t="n">
        <f aca="false">G1414-H1414</f>
        <v>5.28</v>
      </c>
    </row>
    <row r="1415" customFormat="false" ht="15" hidden="false" customHeight="false" outlineLevel="0" collapsed="false">
      <c r="A1415" s="2" t="s">
        <v>126</v>
      </c>
      <c r="B1415" s="2" t="s">
        <v>126</v>
      </c>
      <c r="C1415" s="2" t="s">
        <v>48</v>
      </c>
      <c r="D1415" s="2" t="s">
        <v>12</v>
      </c>
      <c r="E1415" s="2" t="s">
        <v>76</v>
      </c>
      <c r="F1415" s="2" t="s">
        <v>1145</v>
      </c>
      <c r="G1415" s="14" t="n">
        <v>9.5</v>
      </c>
      <c r="H1415" s="14" t="n">
        <v>27.64</v>
      </c>
      <c r="I1415" s="14" t="n">
        <v>9.5</v>
      </c>
      <c r="J1415" s="22" t="n">
        <f aca="false">IF(E1415="Priority",'Cost model'!N383,'Cost model'!M383)</f>
        <v>27.5</v>
      </c>
      <c r="K1415" s="14" t="n">
        <f aca="false">J1415-H1415</f>
        <v>-0.140000000000001</v>
      </c>
      <c r="L1415" s="14" t="n">
        <f aca="false">G1415-H1415</f>
        <v>-18.14</v>
      </c>
    </row>
    <row r="1416" customFormat="false" ht="15" hidden="false" customHeight="false" outlineLevel="0" collapsed="false">
      <c r="A1416" s="2" t="s">
        <v>165</v>
      </c>
      <c r="B1416" s="2" t="s">
        <v>125</v>
      </c>
      <c r="C1416" s="2" t="s">
        <v>50</v>
      </c>
      <c r="D1416" s="2" t="s">
        <v>12</v>
      </c>
      <c r="E1416" s="2" t="s">
        <v>76</v>
      </c>
      <c r="F1416" s="2" t="s">
        <v>1146</v>
      </c>
      <c r="G1416" s="14" t="n">
        <v>19.5</v>
      </c>
      <c r="H1416" s="14" t="n">
        <v>41.76</v>
      </c>
      <c r="I1416" s="14" t="n">
        <v>24.5</v>
      </c>
      <c r="J1416" s="22" t="n">
        <f aca="false">IF(E1416="Priority",'Cost model'!N619,'Cost model'!M619)</f>
        <v>60</v>
      </c>
      <c r="K1416" s="14" t="n">
        <f aca="false">J1416-H1416</f>
        <v>18.24</v>
      </c>
      <c r="L1416" s="14" t="n">
        <f aca="false">G1416-H1416</f>
        <v>-22.26</v>
      </c>
    </row>
    <row r="1417" customFormat="false" ht="15" hidden="false" customHeight="false" outlineLevel="0" collapsed="false">
      <c r="A1417" s="2" t="s">
        <v>184</v>
      </c>
      <c r="B1417" s="2" t="s">
        <v>184</v>
      </c>
      <c r="C1417" s="2" t="s">
        <v>49</v>
      </c>
      <c r="D1417" s="2" t="s">
        <v>12</v>
      </c>
      <c r="E1417" s="2" t="s">
        <v>76</v>
      </c>
      <c r="F1417" s="2" t="s">
        <v>1145</v>
      </c>
      <c r="G1417" s="14" t="n">
        <v>19.5</v>
      </c>
      <c r="H1417" s="14" t="n">
        <v>25.01</v>
      </c>
      <c r="I1417" s="14"/>
      <c r="J1417" s="22" t="n">
        <f aca="false">IF(E1417="Priority",'Cost model'!N204,'Cost model'!M204)</f>
        <v>45</v>
      </c>
      <c r="K1417" s="14" t="n">
        <f aca="false">J1417-H1417</f>
        <v>19.99</v>
      </c>
      <c r="L1417" s="14" t="n">
        <f aca="false">G1417-H1417</f>
        <v>-5.51</v>
      </c>
    </row>
    <row r="1418" customFormat="false" ht="15" hidden="false" customHeight="false" outlineLevel="0" collapsed="false">
      <c r="A1418" s="2" t="s">
        <v>240</v>
      </c>
      <c r="B1418" s="2" t="s">
        <v>240</v>
      </c>
      <c r="C1418" s="2" t="s">
        <v>50</v>
      </c>
      <c r="D1418" s="2" t="s">
        <v>13</v>
      </c>
      <c r="E1418" s="2" t="s">
        <v>76</v>
      </c>
      <c r="F1418" s="2" t="s">
        <v>1145</v>
      </c>
      <c r="G1418" s="14" t="n">
        <v>50</v>
      </c>
      <c r="H1418" s="14" t="n">
        <v>330.5</v>
      </c>
      <c r="I1418" s="14" t="n">
        <v>50</v>
      </c>
      <c r="J1418" s="22" t="n">
        <f aca="false">IF(E1418="Priority",'Cost model'!N892,'Cost model'!M892)</f>
        <v>130</v>
      </c>
      <c r="K1418" s="14" t="n">
        <f aca="false">J1418-H1418</f>
        <v>-200.5</v>
      </c>
      <c r="L1418" s="14" t="n">
        <f aca="false">G1418-H1418</f>
        <v>-280.5</v>
      </c>
    </row>
    <row r="1419" customFormat="false" ht="15" hidden="false" customHeight="false" outlineLevel="0" collapsed="false">
      <c r="A1419" s="2" t="s">
        <v>146</v>
      </c>
      <c r="B1419" s="2" t="s">
        <v>146</v>
      </c>
      <c r="C1419" s="2" t="s">
        <v>50</v>
      </c>
      <c r="D1419" s="2" t="s">
        <v>10</v>
      </c>
      <c r="E1419" s="2" t="s">
        <v>76</v>
      </c>
      <c r="F1419" s="2" t="s">
        <v>1145</v>
      </c>
      <c r="G1419" s="14" t="n">
        <v>17.5</v>
      </c>
      <c r="H1419" s="14" t="n">
        <v>11.34</v>
      </c>
      <c r="I1419" s="14" t="n">
        <v>17.5</v>
      </c>
      <c r="J1419" s="22" t="n">
        <f aca="false">IF(E1419="Priority",'Cost model'!N760,'Cost model'!M760)</f>
        <v>18.5</v>
      </c>
      <c r="K1419" s="14" t="n">
        <f aca="false">J1419-H1419</f>
        <v>7.16</v>
      </c>
      <c r="L1419" s="14" t="n">
        <f aca="false">G1419-H1419</f>
        <v>6.16</v>
      </c>
    </row>
    <row r="1420" customFormat="false" ht="15" hidden="false" customHeight="false" outlineLevel="0" collapsed="false">
      <c r="A1420" s="2" t="s">
        <v>240</v>
      </c>
      <c r="B1420" s="2" t="s">
        <v>240</v>
      </c>
      <c r="C1420" s="2" t="s">
        <v>48</v>
      </c>
      <c r="D1420" s="2" t="s">
        <v>12</v>
      </c>
      <c r="E1420" s="2" t="s">
        <v>76</v>
      </c>
      <c r="F1420" s="2" t="s">
        <v>1145</v>
      </c>
      <c r="G1420" s="14" t="n">
        <v>9.5</v>
      </c>
      <c r="H1420" s="14" t="n">
        <v>34.33</v>
      </c>
      <c r="I1420" s="14" t="n">
        <v>9.5</v>
      </c>
      <c r="J1420" s="22" t="n">
        <f aca="false">IF(E1420="Priority",'Cost model'!N887,'Cost model'!M887)</f>
        <v>21.5</v>
      </c>
      <c r="K1420" s="14" t="n">
        <f aca="false">J1420-H1420</f>
        <v>-12.83</v>
      </c>
      <c r="L1420" s="14" t="n">
        <f aca="false">G1420-H1420</f>
        <v>-24.83</v>
      </c>
    </row>
    <row r="1421" customFormat="false" ht="15" hidden="false" customHeight="false" outlineLevel="0" collapsed="false">
      <c r="A1421" s="2" t="s">
        <v>184</v>
      </c>
      <c r="B1421" s="2" t="s">
        <v>184</v>
      </c>
      <c r="C1421" s="2" t="s">
        <v>48</v>
      </c>
      <c r="D1421" s="2" t="s">
        <v>14</v>
      </c>
      <c r="E1421" s="2" t="s">
        <v>76</v>
      </c>
      <c r="F1421" s="2" t="s">
        <v>1145</v>
      </c>
      <c r="G1421" s="14" t="n">
        <v>25</v>
      </c>
      <c r="H1421" s="14" t="n">
        <v>183.14</v>
      </c>
      <c r="I1421" s="14" t="n">
        <v>25</v>
      </c>
      <c r="J1421" s="22" t="n">
        <f aca="false">IF(E1421="Priority",'Cost model'!N209,'Cost model'!M209)</f>
        <v>105</v>
      </c>
      <c r="K1421" s="14" t="n">
        <f aca="false">J1421-H1421</f>
        <v>-78.14</v>
      </c>
      <c r="L1421" s="14" t="n">
        <f aca="false">G1421-H1421</f>
        <v>-158.14</v>
      </c>
    </row>
    <row r="1422" customFormat="false" ht="15" hidden="false" customHeight="false" outlineLevel="0" collapsed="false">
      <c r="A1422" s="2" t="s">
        <v>146</v>
      </c>
      <c r="B1422" s="2" t="s">
        <v>165</v>
      </c>
      <c r="C1422" s="2" t="s">
        <v>49</v>
      </c>
      <c r="D1422" s="2" t="s">
        <v>12</v>
      </c>
      <c r="E1422" s="2" t="s">
        <v>76</v>
      </c>
      <c r="F1422" s="2" t="s">
        <v>1146</v>
      </c>
      <c r="G1422" s="14" t="n">
        <v>12.5</v>
      </c>
      <c r="H1422" s="14" t="n">
        <v>53.71</v>
      </c>
      <c r="I1422" s="14" t="n">
        <v>19.5</v>
      </c>
      <c r="J1422" s="22" t="n">
        <f aca="false">IF(E1422="Priority",'Cost model'!N780,'Cost model'!M780)</f>
        <v>60</v>
      </c>
      <c r="K1422" s="14" t="n">
        <f aca="false">J1422-H1422</f>
        <v>6.29</v>
      </c>
      <c r="L1422" s="14" t="n">
        <f aca="false">G1422-H1422</f>
        <v>-41.21</v>
      </c>
    </row>
    <row r="1423" customFormat="false" ht="15" hidden="false" customHeight="false" outlineLevel="0" collapsed="false">
      <c r="A1423" s="2" t="s">
        <v>240</v>
      </c>
      <c r="B1423" s="2" t="s">
        <v>240</v>
      </c>
      <c r="C1423" s="2" t="s">
        <v>50</v>
      </c>
      <c r="D1423" s="2" t="s">
        <v>10</v>
      </c>
      <c r="E1423" s="2" t="s">
        <v>76</v>
      </c>
      <c r="F1423" s="2" t="s">
        <v>1145</v>
      </c>
      <c r="G1423" s="14" t="n">
        <v>17.5</v>
      </c>
      <c r="H1423" s="14" t="n">
        <v>20.57</v>
      </c>
      <c r="I1423" s="14" t="n">
        <v>17.5</v>
      </c>
      <c r="J1423" s="22" t="n">
        <f aca="false">IF(E1423="Priority",'Cost model'!N886,'Cost model'!M886)</f>
        <v>17.5</v>
      </c>
      <c r="K1423" s="14" t="n">
        <f aca="false">J1423-H1423</f>
        <v>-3.07</v>
      </c>
      <c r="L1423" s="14" t="n">
        <f aca="false">G1423-H1423</f>
        <v>-3.07</v>
      </c>
    </row>
    <row r="1424" customFormat="false" ht="15" hidden="false" customHeight="false" outlineLevel="0" collapsed="false">
      <c r="A1424" s="2" t="s">
        <v>146</v>
      </c>
      <c r="B1424" s="2" t="s">
        <v>165</v>
      </c>
      <c r="C1424" s="2" t="s">
        <v>49</v>
      </c>
      <c r="D1424" s="2" t="s">
        <v>10</v>
      </c>
      <c r="E1424" s="2" t="s">
        <v>85</v>
      </c>
      <c r="F1424" s="2" t="s">
        <v>1146</v>
      </c>
      <c r="G1424" s="14" t="n">
        <v>19.5</v>
      </c>
      <c r="H1424" s="14" t="n">
        <v>16.84</v>
      </c>
      <c r="I1424" s="14" t="n">
        <v>19.5</v>
      </c>
      <c r="J1424" s="22" t="n">
        <f aca="false">IF(E1424="Priority",'Cost model'!N777,'Cost model'!M777)</f>
        <v>22.5</v>
      </c>
      <c r="K1424" s="14" t="n">
        <f aca="false">J1424-H1424</f>
        <v>5.66</v>
      </c>
      <c r="L1424" s="14" t="n">
        <f aca="false">G1424-H1424</f>
        <v>2.66</v>
      </c>
    </row>
    <row r="1425" customFormat="false" ht="15" hidden="false" customHeight="false" outlineLevel="0" collapsed="false">
      <c r="A1425" s="2" t="s">
        <v>126</v>
      </c>
      <c r="B1425" s="2" t="s">
        <v>126</v>
      </c>
      <c r="C1425" s="2" t="s">
        <v>48</v>
      </c>
      <c r="D1425" s="2" t="s">
        <v>12</v>
      </c>
      <c r="E1425" s="2" t="s">
        <v>76</v>
      </c>
      <c r="F1425" s="2" t="s">
        <v>1145</v>
      </c>
      <c r="G1425" s="14" t="n">
        <v>9.5</v>
      </c>
      <c r="H1425" s="14" t="n">
        <v>7.72</v>
      </c>
      <c r="I1425" s="14" t="n">
        <v>9.5</v>
      </c>
      <c r="J1425" s="22" t="n">
        <f aca="false">IF(E1425="Priority",'Cost model'!N383,'Cost model'!M383)</f>
        <v>27.5</v>
      </c>
      <c r="K1425" s="14" t="n">
        <f aca="false">J1425-H1425</f>
        <v>19.78</v>
      </c>
      <c r="L1425" s="14" t="n">
        <f aca="false">G1425-H1425</f>
        <v>1.78</v>
      </c>
    </row>
    <row r="1426" customFormat="false" ht="15" hidden="false" customHeight="false" outlineLevel="0" collapsed="false">
      <c r="A1426" s="2" t="s">
        <v>146</v>
      </c>
      <c r="B1426" s="2" t="s">
        <v>126</v>
      </c>
      <c r="C1426" s="2" t="s">
        <v>49</v>
      </c>
      <c r="D1426" s="2" t="s">
        <v>10</v>
      </c>
      <c r="E1426" s="2" t="s">
        <v>76</v>
      </c>
      <c r="F1426" s="2" t="s">
        <v>1146</v>
      </c>
      <c r="G1426" s="14" t="n">
        <v>14.5</v>
      </c>
      <c r="H1426" s="14" t="n">
        <v>9.71</v>
      </c>
      <c r="I1426" s="14" t="n">
        <v>14.5</v>
      </c>
      <c r="J1426" s="22" t="n">
        <f aca="false">IF(E1426="Priority",'Cost model'!N795,'Cost model'!M795)</f>
        <v>13.5</v>
      </c>
      <c r="K1426" s="14" t="n">
        <f aca="false">J1426-H1426</f>
        <v>3.79</v>
      </c>
      <c r="L1426" s="14" t="n">
        <f aca="false">G1426-H1426</f>
        <v>4.79</v>
      </c>
    </row>
    <row r="1427" customFormat="false" ht="15" hidden="false" customHeight="false" outlineLevel="0" collapsed="false">
      <c r="A1427" s="2" t="s">
        <v>184</v>
      </c>
      <c r="B1427" s="2" t="s">
        <v>184</v>
      </c>
      <c r="C1427" s="2" t="s">
        <v>49</v>
      </c>
      <c r="D1427" s="2" t="s">
        <v>12</v>
      </c>
      <c r="E1427" s="2" t="s">
        <v>76</v>
      </c>
      <c r="F1427" s="2" t="s">
        <v>1145</v>
      </c>
      <c r="G1427" s="14" t="n">
        <v>12.5</v>
      </c>
      <c r="H1427" s="14" t="n">
        <v>58.01</v>
      </c>
      <c r="I1427" s="14"/>
      <c r="J1427" s="22" t="n">
        <f aca="false">IF(E1427="Priority",'Cost model'!N204,'Cost model'!M204)</f>
        <v>45</v>
      </c>
      <c r="K1427" s="14" t="n">
        <f aca="false">J1427-H1427</f>
        <v>-13.01</v>
      </c>
      <c r="L1427" s="14" t="n">
        <f aca="false">G1427-H1427</f>
        <v>-45.51</v>
      </c>
    </row>
    <row r="1428" customFormat="false" ht="15" hidden="false" customHeight="false" outlineLevel="0" collapsed="false">
      <c r="A1428" s="2" t="s">
        <v>146</v>
      </c>
      <c r="B1428" s="2" t="s">
        <v>146</v>
      </c>
      <c r="C1428" s="2" t="s">
        <v>50</v>
      </c>
      <c r="D1428" s="2" t="s">
        <v>10</v>
      </c>
      <c r="E1428" s="2" t="s">
        <v>76</v>
      </c>
      <c r="F1428" s="2" t="s">
        <v>1145</v>
      </c>
      <c r="G1428" s="14" t="n">
        <v>17.5</v>
      </c>
      <c r="H1428" s="14" t="n">
        <v>21.34</v>
      </c>
      <c r="I1428" s="14" t="n">
        <v>17.5</v>
      </c>
      <c r="J1428" s="22" t="n">
        <f aca="false">IF(E1428="Priority",'Cost model'!N760,'Cost model'!M760)</f>
        <v>18.5</v>
      </c>
      <c r="K1428" s="14" t="n">
        <f aca="false">J1428-H1428</f>
        <v>-2.84</v>
      </c>
      <c r="L1428" s="14" t="n">
        <f aca="false">G1428-H1428</f>
        <v>-3.84</v>
      </c>
    </row>
    <row r="1429" customFormat="false" ht="15" hidden="false" customHeight="false" outlineLevel="0" collapsed="false">
      <c r="A1429" s="2" t="s">
        <v>126</v>
      </c>
      <c r="B1429" s="2" t="s">
        <v>126</v>
      </c>
      <c r="C1429" s="2" t="s">
        <v>48</v>
      </c>
      <c r="D1429" s="2" t="s">
        <v>12</v>
      </c>
      <c r="E1429" s="2" t="s">
        <v>76</v>
      </c>
      <c r="F1429" s="2" t="s">
        <v>1145</v>
      </c>
      <c r="G1429" s="14" t="n">
        <v>9.5</v>
      </c>
      <c r="H1429" s="14" t="n">
        <v>29.46</v>
      </c>
      <c r="I1429" s="14" t="n">
        <v>9.5</v>
      </c>
      <c r="J1429" s="22" t="n">
        <f aca="false">IF(E1429="Priority",'Cost model'!N383,'Cost model'!M383)</f>
        <v>27.5</v>
      </c>
      <c r="K1429" s="14" t="n">
        <f aca="false">J1429-H1429</f>
        <v>-1.96</v>
      </c>
      <c r="L1429" s="14" t="n">
        <f aca="false">G1429-H1429</f>
        <v>-19.96</v>
      </c>
    </row>
    <row r="1430" customFormat="false" ht="15" hidden="false" customHeight="false" outlineLevel="0" collapsed="false">
      <c r="A1430" s="2" t="s">
        <v>126</v>
      </c>
      <c r="B1430" s="2" t="s">
        <v>126</v>
      </c>
      <c r="C1430" s="2" t="s">
        <v>50</v>
      </c>
      <c r="D1430" s="2" t="s">
        <v>12</v>
      </c>
      <c r="E1430" s="2" t="s">
        <v>76</v>
      </c>
      <c r="F1430" s="2" t="s">
        <v>1145</v>
      </c>
      <c r="G1430" s="14" t="n">
        <v>19.5</v>
      </c>
      <c r="H1430" s="14" t="n">
        <v>52.21</v>
      </c>
      <c r="I1430" s="14" t="n">
        <v>19.5</v>
      </c>
      <c r="J1430" s="22" t="n">
        <f aca="false">IF(E1430="Priority",'Cost model'!N385,'Cost model'!M385)</f>
        <v>55</v>
      </c>
      <c r="K1430" s="14" t="n">
        <f aca="false">J1430-H1430</f>
        <v>2.79</v>
      </c>
      <c r="L1430" s="14" t="n">
        <f aca="false">G1430-H1430</f>
        <v>-32.71</v>
      </c>
    </row>
    <row r="1431" customFormat="false" ht="15" hidden="false" customHeight="false" outlineLevel="0" collapsed="false">
      <c r="A1431" s="2" t="s">
        <v>126</v>
      </c>
      <c r="B1431" s="2" t="s">
        <v>126</v>
      </c>
      <c r="C1431" s="2" t="s">
        <v>49</v>
      </c>
      <c r="D1431" s="2" t="s">
        <v>10</v>
      </c>
      <c r="E1431" s="2" t="s">
        <v>76</v>
      </c>
      <c r="F1431" s="2" t="s">
        <v>1145</v>
      </c>
      <c r="G1431" s="14" t="n">
        <v>12.5</v>
      </c>
      <c r="H1431" s="14" t="n">
        <v>7.72</v>
      </c>
      <c r="I1431" s="14" t="n">
        <v>12.5</v>
      </c>
      <c r="J1431" s="22" t="n">
        <f aca="false">IF(E1431="Priority",'Cost model'!N381,'Cost model'!M381)</f>
        <v>14.5</v>
      </c>
      <c r="K1431" s="14" t="n">
        <f aca="false">J1431-H1431</f>
        <v>6.78</v>
      </c>
      <c r="L1431" s="14" t="n">
        <f aca="false">G1431-H1431</f>
        <v>4.78</v>
      </c>
    </row>
    <row r="1432" customFormat="false" ht="15" hidden="false" customHeight="false" outlineLevel="0" collapsed="false">
      <c r="A1432" s="2" t="s">
        <v>126</v>
      </c>
      <c r="B1432" s="2" t="s">
        <v>126</v>
      </c>
      <c r="C1432" s="2" t="s">
        <v>50</v>
      </c>
      <c r="D1432" s="2" t="s">
        <v>10</v>
      </c>
      <c r="E1432" s="2" t="s">
        <v>76</v>
      </c>
      <c r="F1432" s="2" t="s">
        <v>1145</v>
      </c>
      <c r="G1432" s="14" t="n">
        <v>17.5</v>
      </c>
      <c r="H1432" s="14" t="n">
        <v>16.84</v>
      </c>
      <c r="I1432" s="14" t="n">
        <v>17.5</v>
      </c>
      <c r="J1432" s="22" t="n">
        <f aca="false">IF(E1432="Priority",'Cost model'!N382,'Cost model'!M382)</f>
        <v>18.5</v>
      </c>
      <c r="K1432" s="14" t="n">
        <f aca="false">J1432-H1432</f>
        <v>1.66</v>
      </c>
      <c r="L1432" s="14" t="n">
        <f aca="false">G1432-H1432</f>
        <v>0.66</v>
      </c>
    </row>
    <row r="1433" customFormat="false" ht="15" hidden="false" customHeight="false" outlineLevel="0" collapsed="false">
      <c r="A1433" s="2" t="s">
        <v>184</v>
      </c>
      <c r="B1433" s="2" t="s">
        <v>126</v>
      </c>
      <c r="C1433" s="2" t="s">
        <v>50</v>
      </c>
      <c r="D1433" s="2" t="s">
        <v>12</v>
      </c>
      <c r="E1433" s="2" t="s">
        <v>76</v>
      </c>
      <c r="F1433" s="2" t="s">
        <v>1146</v>
      </c>
      <c r="G1433" s="14" t="n">
        <v>19.5</v>
      </c>
      <c r="H1433" s="14" t="n">
        <v>67.73</v>
      </c>
      <c r="I1433" s="14" t="n">
        <v>19.5</v>
      </c>
      <c r="J1433" s="22" t="n">
        <f aca="false">IF(E1433="Priority",'Cost model'!N133,'Cost model'!M133)</f>
        <v>55</v>
      </c>
      <c r="K1433" s="14" t="n">
        <f aca="false">J1433-H1433</f>
        <v>-12.73</v>
      </c>
      <c r="L1433" s="14" t="n">
        <f aca="false">G1433-H1433</f>
        <v>-48.23</v>
      </c>
    </row>
    <row r="1434" customFormat="false" ht="15" hidden="false" customHeight="false" outlineLevel="0" collapsed="false">
      <c r="A1434" s="2" t="s">
        <v>146</v>
      </c>
      <c r="B1434" s="2" t="s">
        <v>146</v>
      </c>
      <c r="C1434" s="2" t="s">
        <v>50</v>
      </c>
      <c r="D1434" s="2" t="s">
        <v>10</v>
      </c>
      <c r="E1434" s="2" t="s">
        <v>76</v>
      </c>
      <c r="F1434" s="2" t="s">
        <v>1145</v>
      </c>
      <c r="G1434" s="14" t="n">
        <v>17.5</v>
      </c>
      <c r="H1434" s="14" t="n">
        <v>17.57</v>
      </c>
      <c r="I1434" s="14" t="n">
        <v>17.5</v>
      </c>
      <c r="J1434" s="22" t="n">
        <f aca="false">IF(E1434="Priority",'Cost model'!N760,'Cost model'!M760)</f>
        <v>18.5</v>
      </c>
      <c r="K1434" s="14" t="n">
        <f aca="false">J1434-H1434</f>
        <v>0.93</v>
      </c>
      <c r="L1434" s="14" t="n">
        <f aca="false">G1434-H1434</f>
        <v>-0.0700000000000003</v>
      </c>
    </row>
    <row r="1435" customFormat="false" ht="15" hidden="false" customHeight="false" outlineLevel="0" collapsed="false">
      <c r="A1435" s="2" t="s">
        <v>126</v>
      </c>
      <c r="B1435" s="2" t="s">
        <v>126</v>
      </c>
      <c r="C1435" s="2" t="s">
        <v>48</v>
      </c>
      <c r="D1435" s="2" t="s">
        <v>12</v>
      </c>
      <c r="E1435" s="2" t="s">
        <v>76</v>
      </c>
      <c r="F1435" s="2" t="s">
        <v>1145</v>
      </c>
      <c r="G1435" s="14" t="n">
        <v>9.5</v>
      </c>
      <c r="H1435" s="14" t="n">
        <v>11.03</v>
      </c>
      <c r="I1435" s="14" t="n">
        <v>9.5</v>
      </c>
      <c r="J1435" s="22" t="n">
        <f aca="false">IF(E1435="Priority",'Cost model'!N383,'Cost model'!M383)</f>
        <v>27.5</v>
      </c>
      <c r="K1435" s="14" t="n">
        <f aca="false">J1435-H1435</f>
        <v>16.47</v>
      </c>
      <c r="L1435" s="14" t="n">
        <f aca="false">G1435-H1435</f>
        <v>-1.53</v>
      </c>
    </row>
    <row r="1436" customFormat="false" ht="15" hidden="false" customHeight="false" outlineLevel="0" collapsed="false">
      <c r="A1436" s="2" t="s">
        <v>146</v>
      </c>
      <c r="B1436" s="2" t="s">
        <v>146</v>
      </c>
      <c r="C1436" s="2" t="s">
        <v>49</v>
      </c>
      <c r="D1436" s="2" t="s">
        <v>12</v>
      </c>
      <c r="E1436" s="2" t="s">
        <v>76</v>
      </c>
      <c r="F1436" s="2" t="s">
        <v>1145</v>
      </c>
      <c r="G1436" s="14" t="n">
        <v>12.5</v>
      </c>
      <c r="H1436" s="14" t="n">
        <v>46.32</v>
      </c>
      <c r="I1436" s="14" t="n">
        <v>12.5</v>
      </c>
      <c r="J1436" s="22" t="n">
        <f aca="false">IF(E1436="Priority",'Cost model'!N762,'Cost model'!M762)</f>
        <v>45</v>
      </c>
      <c r="K1436" s="14" t="n">
        <f aca="false">J1436-H1436</f>
        <v>-1.32</v>
      </c>
      <c r="L1436" s="14" t="n">
        <f aca="false">G1436-H1436</f>
        <v>-33.82</v>
      </c>
    </row>
    <row r="1437" customFormat="false" ht="15" hidden="false" customHeight="false" outlineLevel="0" collapsed="false">
      <c r="A1437" s="2" t="s">
        <v>184</v>
      </c>
      <c r="B1437" s="2" t="s">
        <v>184</v>
      </c>
      <c r="C1437" s="2" t="s">
        <v>48</v>
      </c>
      <c r="D1437" s="2" t="s">
        <v>14</v>
      </c>
      <c r="E1437" s="2" t="s">
        <v>76</v>
      </c>
      <c r="F1437" s="2" t="s">
        <v>1145</v>
      </c>
      <c r="G1437" s="14" t="n">
        <v>25</v>
      </c>
      <c r="H1437" s="14" t="n">
        <v>199.01</v>
      </c>
      <c r="I1437" s="14" t="n">
        <v>25</v>
      </c>
      <c r="J1437" s="22" t="n">
        <f aca="false">IF(E1437="Priority",'Cost model'!N209,'Cost model'!M209)</f>
        <v>105</v>
      </c>
      <c r="K1437" s="14" t="n">
        <f aca="false">J1437-H1437</f>
        <v>-94.01</v>
      </c>
      <c r="L1437" s="14" t="n">
        <f aca="false">G1437-H1437</f>
        <v>-174.01</v>
      </c>
    </row>
    <row r="1438" customFormat="false" ht="15" hidden="false" customHeight="false" outlineLevel="0" collapsed="false">
      <c r="A1438" s="2" t="s">
        <v>184</v>
      </c>
      <c r="B1438" s="2" t="s">
        <v>146</v>
      </c>
      <c r="C1438" s="2" t="s">
        <v>50</v>
      </c>
      <c r="D1438" s="2" t="s">
        <v>10</v>
      </c>
      <c r="E1438" s="2" t="s">
        <v>76</v>
      </c>
      <c r="F1438" s="2" t="s">
        <v>1146</v>
      </c>
      <c r="G1438" s="14" t="n">
        <v>17.5</v>
      </c>
      <c r="H1438" s="14" t="n">
        <v>21.61</v>
      </c>
      <c r="I1438" s="14" t="n">
        <v>17.5</v>
      </c>
      <c r="J1438" s="22" t="n">
        <f aca="false">IF(E1438="Priority",'Cost model'!N148,'Cost model'!M148)</f>
        <v>21.5</v>
      </c>
      <c r="K1438" s="14" t="n">
        <f aca="false">J1438-H1438</f>
        <v>-0.109999999999999</v>
      </c>
      <c r="L1438" s="14" t="n">
        <f aca="false">G1438-H1438</f>
        <v>-4.11</v>
      </c>
    </row>
    <row r="1439" customFormat="false" ht="15" hidden="false" customHeight="false" outlineLevel="0" collapsed="false">
      <c r="A1439" s="2" t="s">
        <v>184</v>
      </c>
      <c r="B1439" s="2" t="s">
        <v>184</v>
      </c>
      <c r="C1439" s="2" t="s">
        <v>50</v>
      </c>
      <c r="D1439" s="2" t="s">
        <v>12</v>
      </c>
      <c r="E1439" s="2" t="s">
        <v>76</v>
      </c>
      <c r="F1439" s="2" t="s">
        <v>1145</v>
      </c>
      <c r="G1439" s="14" t="n">
        <v>19.5</v>
      </c>
      <c r="H1439" s="14" t="n">
        <v>56.53</v>
      </c>
      <c r="I1439" s="14" t="n">
        <v>19.5</v>
      </c>
      <c r="J1439" s="22" t="n">
        <f aca="false">IF(E1439="Priority",'Cost model'!N205,'Cost model'!M205)</f>
        <v>50</v>
      </c>
      <c r="K1439" s="14" t="n">
        <f aca="false">J1439-H1439</f>
        <v>-6.53</v>
      </c>
      <c r="L1439" s="14" t="n">
        <f aca="false">G1439-H1439</f>
        <v>-37.03</v>
      </c>
    </row>
    <row r="1440" customFormat="false" ht="15" hidden="false" customHeight="false" outlineLevel="0" collapsed="false">
      <c r="A1440" s="2" t="s">
        <v>240</v>
      </c>
      <c r="B1440" s="2" t="s">
        <v>125</v>
      </c>
      <c r="C1440" s="2" t="s">
        <v>50</v>
      </c>
      <c r="D1440" s="2" t="s">
        <v>10</v>
      </c>
      <c r="E1440" s="2" t="s">
        <v>76</v>
      </c>
      <c r="F1440" s="2" t="s">
        <v>1146</v>
      </c>
      <c r="G1440" s="14" t="n">
        <v>17.5</v>
      </c>
      <c r="H1440" s="14" t="n">
        <v>20.83</v>
      </c>
      <c r="I1440" s="14" t="n">
        <v>19.5</v>
      </c>
      <c r="J1440" s="22" t="n">
        <f aca="false">IF(E1440="Priority",'Cost model'!N976,'Cost model'!M976)</f>
        <v>27.5</v>
      </c>
      <c r="K1440" s="14" t="n">
        <f aca="false">J1440-H1440</f>
        <v>6.67</v>
      </c>
      <c r="L1440" s="14" t="n">
        <f aca="false">G1440-H1440</f>
        <v>-3.33</v>
      </c>
    </row>
    <row r="1441" customFormat="false" ht="15" hidden="false" customHeight="false" outlineLevel="0" collapsed="false">
      <c r="A1441" s="2" t="s">
        <v>146</v>
      </c>
      <c r="B1441" s="2" t="s">
        <v>146</v>
      </c>
      <c r="C1441" s="2" t="s">
        <v>50</v>
      </c>
      <c r="D1441" s="2" t="s">
        <v>12</v>
      </c>
      <c r="E1441" s="2" t="s">
        <v>76</v>
      </c>
      <c r="F1441" s="2" t="s">
        <v>1145</v>
      </c>
      <c r="G1441" s="14" t="n">
        <v>19.5</v>
      </c>
      <c r="H1441" s="14" t="n">
        <v>46.42</v>
      </c>
      <c r="I1441" s="14" t="n">
        <v>19.5</v>
      </c>
      <c r="J1441" s="22" t="n">
        <f aca="false">IF(E1441="Priority",'Cost model'!N763,'Cost model'!M763)</f>
        <v>50</v>
      </c>
      <c r="K1441" s="14" t="n">
        <f aca="false">J1441-H1441</f>
        <v>3.58</v>
      </c>
      <c r="L1441" s="14" t="n">
        <f aca="false">G1441-H1441</f>
        <v>-26.92</v>
      </c>
    </row>
    <row r="1442" customFormat="false" ht="15" hidden="false" customHeight="false" outlineLevel="0" collapsed="false">
      <c r="A1442" s="2" t="s">
        <v>240</v>
      </c>
      <c r="B1442" s="2" t="s">
        <v>126</v>
      </c>
      <c r="C1442" s="2" t="s">
        <v>48</v>
      </c>
      <c r="D1442" s="2" t="s">
        <v>12</v>
      </c>
      <c r="E1442" s="2" t="s">
        <v>76</v>
      </c>
      <c r="F1442" s="2" t="s">
        <v>1146</v>
      </c>
      <c r="G1442" s="14" t="n">
        <v>9.5</v>
      </c>
      <c r="H1442" s="14" t="n">
        <v>100.53</v>
      </c>
      <c r="I1442" s="14" t="n">
        <v>24.5</v>
      </c>
      <c r="J1442" s="22" t="n">
        <f aca="false">IF(E1442="Priority",'Cost model'!N959,'Cost model'!M959)</f>
        <v>55</v>
      </c>
      <c r="K1442" s="14" t="n">
        <f aca="false">J1442-H1442</f>
        <v>-45.53</v>
      </c>
      <c r="L1442" s="14" t="n">
        <f aca="false">G1442-H1442</f>
        <v>-91.03</v>
      </c>
    </row>
    <row r="1443" customFormat="false" ht="15" hidden="false" customHeight="false" outlineLevel="0" collapsed="false">
      <c r="A1443" s="2" t="s">
        <v>126</v>
      </c>
      <c r="B1443" s="2" t="s">
        <v>126</v>
      </c>
      <c r="C1443" s="2" t="s">
        <v>48</v>
      </c>
      <c r="D1443" s="2" t="s">
        <v>10</v>
      </c>
      <c r="E1443" s="2" t="s">
        <v>76</v>
      </c>
      <c r="F1443" s="2" t="s">
        <v>1145</v>
      </c>
      <c r="G1443" s="14" t="n">
        <v>9.5</v>
      </c>
      <c r="H1443" s="14" t="n">
        <v>5.95</v>
      </c>
      <c r="I1443" s="14" t="n">
        <v>9.5</v>
      </c>
      <c r="J1443" s="22" t="n">
        <f aca="false">IF(E1443="Priority",'Cost model'!N380,'Cost model'!M380)</f>
        <v>8.5</v>
      </c>
      <c r="K1443" s="14" t="n">
        <f aca="false">J1443-H1443</f>
        <v>2.55</v>
      </c>
      <c r="L1443" s="14" t="n">
        <f aca="false">G1443-H1443</f>
        <v>3.55</v>
      </c>
    </row>
    <row r="1444" customFormat="false" ht="15" hidden="false" customHeight="false" outlineLevel="0" collapsed="false">
      <c r="A1444" s="2" t="s">
        <v>126</v>
      </c>
      <c r="B1444" s="2" t="s">
        <v>184</v>
      </c>
      <c r="C1444" s="2" t="s">
        <v>48</v>
      </c>
      <c r="D1444" s="2" t="s">
        <v>12</v>
      </c>
      <c r="E1444" s="2" t="s">
        <v>76</v>
      </c>
      <c r="F1444" s="2" t="s">
        <v>1146</v>
      </c>
      <c r="G1444" s="14" t="n">
        <v>14.5</v>
      </c>
      <c r="H1444" s="14" t="n">
        <v>7.71</v>
      </c>
      <c r="I1444" s="14" t="n">
        <v>19.5</v>
      </c>
      <c r="J1444" s="22" t="n">
        <f aca="false">IF(E1444="Priority",'Cost model'!N437,'Cost model'!M437)</f>
        <v>50</v>
      </c>
      <c r="K1444" s="14" t="n">
        <f aca="false">J1444-H1444</f>
        <v>42.29</v>
      </c>
      <c r="L1444" s="14" t="n">
        <f aca="false">G1444-H1444</f>
        <v>6.79</v>
      </c>
    </row>
    <row r="1445" customFormat="false" ht="15" hidden="false" customHeight="false" outlineLevel="0" collapsed="false">
      <c r="A1445" s="2" t="s">
        <v>240</v>
      </c>
      <c r="B1445" s="2" t="s">
        <v>240</v>
      </c>
      <c r="C1445" s="2" t="s">
        <v>50</v>
      </c>
      <c r="D1445" s="2" t="s">
        <v>10</v>
      </c>
      <c r="E1445" s="2" t="s">
        <v>76</v>
      </c>
      <c r="F1445" s="2" t="s">
        <v>1145</v>
      </c>
      <c r="G1445" s="14" t="n">
        <v>17.5</v>
      </c>
      <c r="H1445" s="14" t="n">
        <v>11.03</v>
      </c>
      <c r="I1445" s="14" t="n">
        <v>17.5</v>
      </c>
      <c r="J1445" s="22" t="n">
        <f aca="false">IF(E1445="Priority",'Cost model'!N886,'Cost model'!M886)</f>
        <v>17.5</v>
      </c>
      <c r="K1445" s="14" t="n">
        <f aca="false">J1445-H1445</f>
        <v>6.47</v>
      </c>
      <c r="L1445" s="14" t="n">
        <f aca="false">G1445-H1445</f>
        <v>6.47</v>
      </c>
    </row>
    <row r="1446" customFormat="false" ht="15" hidden="false" customHeight="false" outlineLevel="0" collapsed="false">
      <c r="A1446" s="2" t="s">
        <v>184</v>
      </c>
      <c r="B1446" s="2" t="s">
        <v>184</v>
      </c>
      <c r="C1446" s="2" t="s">
        <v>48</v>
      </c>
      <c r="D1446" s="2" t="s">
        <v>10</v>
      </c>
      <c r="E1446" s="2" t="s">
        <v>76</v>
      </c>
      <c r="F1446" s="2" t="s">
        <v>1145</v>
      </c>
      <c r="G1446" s="14" t="n">
        <v>9.5</v>
      </c>
      <c r="H1446" s="14" t="n">
        <v>7.45</v>
      </c>
      <c r="I1446" s="14" t="n">
        <v>9.5</v>
      </c>
      <c r="J1446" s="22" t="n">
        <f aca="false">IF(E1446="Priority",'Cost model'!N200,'Cost model'!M200)</f>
        <v>7.5</v>
      </c>
      <c r="K1446" s="14" t="n">
        <f aca="false">J1446-H1446</f>
        <v>0.0499999999999998</v>
      </c>
      <c r="L1446" s="14" t="n">
        <f aca="false">G1446-H1446</f>
        <v>2.05</v>
      </c>
    </row>
    <row r="1447" customFormat="false" ht="15" hidden="false" customHeight="false" outlineLevel="0" collapsed="false">
      <c r="A1447" s="2" t="s">
        <v>126</v>
      </c>
      <c r="B1447" s="2" t="s">
        <v>126</v>
      </c>
      <c r="C1447" s="2" t="s">
        <v>49</v>
      </c>
      <c r="D1447" s="2" t="s">
        <v>12</v>
      </c>
      <c r="E1447" s="2" t="s">
        <v>76</v>
      </c>
      <c r="F1447" s="2" t="s">
        <v>1145</v>
      </c>
      <c r="G1447" s="14" t="n">
        <v>12.5</v>
      </c>
      <c r="H1447" s="14" t="n">
        <v>142.44</v>
      </c>
      <c r="I1447" s="14" t="n">
        <v>12.5</v>
      </c>
      <c r="J1447" s="22" t="n">
        <f aca="false">IF(E1447="Priority",'Cost model'!N384,'Cost model'!M384)</f>
        <v>45</v>
      </c>
      <c r="K1447" s="14" t="n">
        <f aca="false">J1447-H1447</f>
        <v>-97.44</v>
      </c>
      <c r="L1447" s="14" t="n">
        <f aca="false">G1447-H1447</f>
        <v>-129.94</v>
      </c>
    </row>
    <row r="1448" customFormat="false" ht="15" hidden="false" customHeight="false" outlineLevel="0" collapsed="false">
      <c r="A1448" s="2" t="s">
        <v>146</v>
      </c>
      <c r="B1448" s="2" t="s">
        <v>146</v>
      </c>
      <c r="C1448" s="2" t="s">
        <v>48</v>
      </c>
      <c r="D1448" s="2" t="s">
        <v>10</v>
      </c>
      <c r="E1448" s="2" t="s">
        <v>76</v>
      </c>
      <c r="F1448" s="2" t="s">
        <v>1145</v>
      </c>
      <c r="G1448" s="14" t="n">
        <v>9.5</v>
      </c>
      <c r="H1448" s="14" t="n">
        <v>10.8</v>
      </c>
      <c r="I1448" s="14" t="n">
        <v>9.5</v>
      </c>
      <c r="J1448" s="22" t="n">
        <f aca="false">IF(E1448="Priority",'Cost model'!N758,'Cost model'!M758)</f>
        <v>9.5</v>
      </c>
      <c r="K1448" s="14" t="n">
        <f aca="false">J1448-H1448</f>
        <v>-1.3</v>
      </c>
      <c r="L1448" s="14" t="n">
        <f aca="false">G1448-H1448</f>
        <v>-1.3</v>
      </c>
    </row>
    <row r="1449" customFormat="false" ht="15" hidden="false" customHeight="false" outlineLevel="0" collapsed="false">
      <c r="A1449" s="2" t="s">
        <v>240</v>
      </c>
      <c r="B1449" s="2" t="s">
        <v>240</v>
      </c>
      <c r="C1449" s="2" t="s">
        <v>48</v>
      </c>
      <c r="D1449" s="2" t="s">
        <v>10</v>
      </c>
      <c r="E1449" s="2" t="s">
        <v>76</v>
      </c>
      <c r="F1449" s="2" t="s">
        <v>1145</v>
      </c>
      <c r="G1449" s="14" t="n">
        <v>9.5</v>
      </c>
      <c r="H1449" s="14" t="n">
        <v>7.68</v>
      </c>
      <c r="I1449" s="14" t="n">
        <v>9.5</v>
      </c>
      <c r="J1449" s="22" t="n">
        <f aca="false">IF(E1449="Priority",'Cost model'!N884,'Cost model'!M884)</f>
        <v>7.5</v>
      </c>
      <c r="K1449" s="14" t="n">
        <f aca="false">J1449-H1449</f>
        <v>-0.18</v>
      </c>
      <c r="L1449" s="14" t="n">
        <f aca="false">G1449-H1449</f>
        <v>1.82</v>
      </c>
    </row>
    <row r="1450" customFormat="false" ht="15" hidden="false" customHeight="false" outlineLevel="0" collapsed="false">
      <c r="A1450" s="2" t="s">
        <v>125</v>
      </c>
      <c r="B1450" s="2" t="s">
        <v>146</v>
      </c>
      <c r="C1450" s="2" t="s">
        <v>48</v>
      </c>
      <c r="D1450" s="2" t="s">
        <v>12</v>
      </c>
      <c r="E1450" s="2" t="s">
        <v>85</v>
      </c>
      <c r="F1450" s="2" t="s">
        <v>1146</v>
      </c>
      <c r="G1450" s="14" t="n">
        <v>24.5</v>
      </c>
      <c r="H1450" s="14" t="n">
        <v>63.73</v>
      </c>
      <c r="I1450" s="14" t="n">
        <v>24.5</v>
      </c>
      <c r="J1450" s="22" t="n">
        <f aca="false">IF(E1450="Priority",'Cost model'!N23,'Cost model'!M23)</f>
        <v>70</v>
      </c>
      <c r="K1450" s="14" t="n">
        <f aca="false">J1450-H1450</f>
        <v>6.27</v>
      </c>
      <c r="L1450" s="14" t="n">
        <f aca="false">G1450-H1450</f>
        <v>-39.23</v>
      </c>
    </row>
    <row r="1451" customFormat="false" ht="15" hidden="false" customHeight="false" outlineLevel="0" collapsed="false">
      <c r="A1451" s="2" t="s">
        <v>126</v>
      </c>
      <c r="B1451" s="2" t="s">
        <v>126</v>
      </c>
      <c r="C1451" s="2" t="s">
        <v>49</v>
      </c>
      <c r="D1451" s="2" t="s">
        <v>10</v>
      </c>
      <c r="E1451" s="2" t="s">
        <v>76</v>
      </c>
      <c r="F1451" s="2" t="s">
        <v>1145</v>
      </c>
      <c r="G1451" s="14" t="n">
        <v>12.5</v>
      </c>
      <c r="H1451" s="14" t="n">
        <v>7.45</v>
      </c>
      <c r="I1451" s="14" t="n">
        <v>12.5</v>
      </c>
      <c r="J1451" s="22" t="n">
        <f aca="false">IF(E1451="Priority",'Cost model'!N381,'Cost model'!M381)</f>
        <v>14.5</v>
      </c>
      <c r="K1451" s="14" t="n">
        <f aca="false">J1451-H1451</f>
        <v>7.05</v>
      </c>
      <c r="L1451" s="14" t="n">
        <f aca="false">G1451-H1451</f>
        <v>5.05</v>
      </c>
    </row>
    <row r="1452" customFormat="false" ht="15" hidden="false" customHeight="false" outlineLevel="0" collapsed="false">
      <c r="A1452" s="2" t="s">
        <v>165</v>
      </c>
      <c r="B1452" s="2" t="s">
        <v>240</v>
      </c>
      <c r="C1452" s="2" t="s">
        <v>50</v>
      </c>
      <c r="D1452" s="2" t="s">
        <v>10</v>
      </c>
      <c r="E1452" s="2" t="s">
        <v>76</v>
      </c>
      <c r="F1452" s="2" t="s">
        <v>1146</v>
      </c>
      <c r="G1452" s="14" t="n">
        <v>24.5</v>
      </c>
      <c r="H1452" s="14" t="n">
        <v>21.34</v>
      </c>
      <c r="I1452" s="14" t="n">
        <v>19.5</v>
      </c>
      <c r="J1452" s="22" t="n">
        <f aca="false">IF(E1452="Priority",'Cost model'!N562,'Cost model'!M562)</f>
        <v>23.5</v>
      </c>
      <c r="K1452" s="14" t="n">
        <f aca="false">J1452-H1452</f>
        <v>2.16</v>
      </c>
      <c r="L1452" s="14" t="n">
        <f aca="false">G1452-H1452</f>
        <v>3.16</v>
      </c>
    </row>
    <row r="1453" customFormat="false" ht="15" hidden="false" customHeight="false" outlineLevel="0" collapsed="false">
      <c r="A1453" s="2" t="s">
        <v>184</v>
      </c>
      <c r="B1453" s="2" t="s">
        <v>184</v>
      </c>
      <c r="C1453" s="2" t="s">
        <v>48</v>
      </c>
      <c r="D1453" s="2" t="s">
        <v>12</v>
      </c>
      <c r="E1453" s="2" t="s">
        <v>76</v>
      </c>
      <c r="F1453" s="2" t="s">
        <v>1145</v>
      </c>
      <c r="G1453" s="14" t="n">
        <v>29.5</v>
      </c>
      <c r="H1453" s="14" t="n">
        <v>28.59</v>
      </c>
      <c r="I1453" s="14" t="n">
        <v>9.5</v>
      </c>
      <c r="J1453" s="22" t="n">
        <f aca="false">IF(E1453="Priority",'Cost model'!N203,'Cost model'!M203)</f>
        <v>26.5</v>
      </c>
      <c r="K1453" s="14" t="n">
        <f aca="false">J1453-H1453</f>
        <v>-2.09</v>
      </c>
      <c r="L1453" s="14" t="n">
        <f aca="false">G1453-H1453</f>
        <v>0.91</v>
      </c>
    </row>
    <row r="1454" customFormat="false" ht="15" hidden="false" customHeight="false" outlineLevel="0" collapsed="false">
      <c r="A1454" s="2" t="s">
        <v>184</v>
      </c>
      <c r="B1454" s="2" t="s">
        <v>126</v>
      </c>
      <c r="C1454" s="2" t="s">
        <v>50</v>
      </c>
      <c r="D1454" s="2" t="s">
        <v>12</v>
      </c>
      <c r="E1454" s="2" t="s">
        <v>76</v>
      </c>
      <c r="F1454" s="2" t="s">
        <v>1146</v>
      </c>
      <c r="G1454" s="14" t="n">
        <v>19.5</v>
      </c>
      <c r="H1454" s="14" t="n">
        <v>20.39</v>
      </c>
      <c r="I1454" s="14" t="n">
        <v>19.5</v>
      </c>
      <c r="J1454" s="22" t="n">
        <f aca="false">IF(E1454="Priority",'Cost model'!N133,'Cost model'!M133)</f>
        <v>55</v>
      </c>
      <c r="K1454" s="14" t="n">
        <f aca="false">J1454-H1454</f>
        <v>34.61</v>
      </c>
      <c r="L1454" s="14" t="n">
        <f aca="false">G1454-H1454</f>
        <v>-0.890000000000001</v>
      </c>
    </row>
    <row r="1455" customFormat="false" ht="15" hidden="false" customHeight="false" outlineLevel="0" collapsed="false">
      <c r="A1455" s="2" t="s">
        <v>184</v>
      </c>
      <c r="B1455" s="2" t="s">
        <v>184</v>
      </c>
      <c r="C1455" s="2" t="s">
        <v>48</v>
      </c>
      <c r="D1455" s="2" t="s">
        <v>14</v>
      </c>
      <c r="E1455" s="2" t="s">
        <v>76</v>
      </c>
      <c r="F1455" s="2" t="s">
        <v>1145</v>
      </c>
      <c r="G1455" s="14" t="n">
        <v>25</v>
      </c>
      <c r="H1455" s="14" t="n">
        <v>117.18</v>
      </c>
      <c r="I1455" s="14" t="n">
        <v>25</v>
      </c>
      <c r="J1455" s="22" t="n">
        <f aca="false">IF(E1455="Priority",'Cost model'!N209,'Cost model'!M209)</f>
        <v>105</v>
      </c>
      <c r="K1455" s="14" t="n">
        <f aca="false">J1455-H1455</f>
        <v>-12.18</v>
      </c>
      <c r="L1455" s="14" t="n">
        <f aca="false">G1455-H1455</f>
        <v>-92.18</v>
      </c>
    </row>
    <row r="1456" customFormat="false" ht="15" hidden="false" customHeight="false" outlineLevel="0" collapsed="false">
      <c r="A1456" s="2" t="s">
        <v>184</v>
      </c>
      <c r="B1456" s="2" t="s">
        <v>146</v>
      </c>
      <c r="C1456" s="2" t="s">
        <v>50</v>
      </c>
      <c r="D1456" s="2" t="s">
        <v>12</v>
      </c>
      <c r="E1456" s="2" t="s">
        <v>76</v>
      </c>
      <c r="F1456" s="2" t="s">
        <v>1146</v>
      </c>
      <c r="G1456" s="14" t="n">
        <v>19.5</v>
      </c>
      <c r="H1456" s="14" t="n">
        <v>40.85</v>
      </c>
      <c r="I1456" s="14" t="n">
        <v>19.5</v>
      </c>
      <c r="J1456" s="22" t="n">
        <f aca="false">IF(E1456="Priority",'Cost model'!N151,'Cost model'!M151)</f>
        <v>55</v>
      </c>
      <c r="K1456" s="14" t="n">
        <f aca="false">J1456-H1456</f>
        <v>14.15</v>
      </c>
      <c r="L1456" s="14" t="n">
        <f aca="false">G1456-H1456</f>
        <v>-21.35</v>
      </c>
    </row>
    <row r="1457" customFormat="false" ht="15" hidden="false" customHeight="false" outlineLevel="0" collapsed="false">
      <c r="A1457" s="2" t="s">
        <v>240</v>
      </c>
      <c r="B1457" s="2" t="s">
        <v>240</v>
      </c>
      <c r="C1457" s="2" t="s">
        <v>48</v>
      </c>
      <c r="D1457" s="2" t="s">
        <v>10</v>
      </c>
      <c r="E1457" s="2" t="s">
        <v>85</v>
      </c>
      <c r="F1457" s="2" t="s">
        <v>1145</v>
      </c>
      <c r="G1457" s="14" t="n">
        <v>14.5</v>
      </c>
      <c r="H1457" s="14" t="n">
        <v>7.15</v>
      </c>
      <c r="I1457" s="14" t="n">
        <v>14.5</v>
      </c>
      <c r="J1457" s="22" t="n">
        <f aca="false">IF(E1457="Priority",'Cost model'!N884,'Cost model'!M884)</f>
        <v>12.5</v>
      </c>
      <c r="K1457" s="14" t="n">
        <f aca="false">J1457-H1457</f>
        <v>5.35</v>
      </c>
      <c r="L1457" s="14" t="n">
        <f aca="false">G1457-H1457</f>
        <v>7.35</v>
      </c>
    </row>
    <row r="1458" customFormat="false" ht="15" hidden="false" customHeight="false" outlineLevel="0" collapsed="false">
      <c r="A1458" s="2" t="s">
        <v>184</v>
      </c>
      <c r="B1458" s="2" t="s">
        <v>184</v>
      </c>
      <c r="C1458" s="2" t="s">
        <v>50</v>
      </c>
      <c r="D1458" s="2" t="s">
        <v>12</v>
      </c>
      <c r="E1458" s="2" t="s">
        <v>76</v>
      </c>
      <c r="F1458" s="2" t="s">
        <v>1145</v>
      </c>
      <c r="G1458" s="14" t="n">
        <v>19.5</v>
      </c>
      <c r="H1458" s="14" t="n">
        <v>24.72</v>
      </c>
      <c r="I1458" s="14" t="n">
        <v>19.5</v>
      </c>
      <c r="J1458" s="22" t="n">
        <f aca="false">IF(E1458="Priority",'Cost model'!N205,'Cost model'!M205)</f>
        <v>50</v>
      </c>
      <c r="K1458" s="14" t="n">
        <f aca="false">J1458-H1458</f>
        <v>25.28</v>
      </c>
      <c r="L1458" s="14" t="n">
        <f aca="false">G1458-H1458</f>
        <v>-5.22</v>
      </c>
    </row>
    <row r="1459" customFormat="false" ht="15" hidden="false" customHeight="false" outlineLevel="0" collapsed="false">
      <c r="A1459" s="2" t="s">
        <v>184</v>
      </c>
      <c r="B1459" s="2" t="s">
        <v>184</v>
      </c>
      <c r="C1459" s="2" t="s">
        <v>49</v>
      </c>
      <c r="D1459" s="2" t="s">
        <v>10</v>
      </c>
      <c r="E1459" s="2" t="s">
        <v>76</v>
      </c>
      <c r="F1459" s="2" t="s">
        <v>1145</v>
      </c>
      <c r="G1459" s="14" t="n">
        <v>12.5</v>
      </c>
      <c r="H1459" s="14" t="n">
        <v>11.46</v>
      </c>
      <c r="I1459" s="14"/>
      <c r="J1459" s="22" t="n">
        <f aca="false">IF(E1459="Priority",'Cost model'!N201,'Cost model'!M201)</f>
        <v>12.5</v>
      </c>
      <c r="K1459" s="14" t="n">
        <f aca="false">J1459-H1459</f>
        <v>1.04</v>
      </c>
      <c r="L1459" s="14" t="n">
        <f aca="false">G1459-H1459</f>
        <v>1.04</v>
      </c>
    </row>
    <row r="1460" customFormat="false" ht="15" hidden="false" customHeight="false" outlineLevel="0" collapsed="false">
      <c r="A1460" s="2" t="s">
        <v>184</v>
      </c>
      <c r="B1460" s="2" t="s">
        <v>184</v>
      </c>
      <c r="C1460" s="2" t="s">
        <v>48</v>
      </c>
      <c r="D1460" s="2" t="s">
        <v>12</v>
      </c>
      <c r="E1460" s="2" t="s">
        <v>76</v>
      </c>
      <c r="F1460" s="2" t="s">
        <v>1145</v>
      </c>
      <c r="G1460" s="14" t="n">
        <v>9.5</v>
      </c>
      <c r="H1460" s="14" t="n">
        <v>7.46</v>
      </c>
      <c r="I1460" s="14" t="n">
        <v>9.5</v>
      </c>
      <c r="J1460" s="22" t="n">
        <f aca="false">IF(E1460="Priority",'Cost model'!N203,'Cost model'!M203)</f>
        <v>26.5</v>
      </c>
      <c r="K1460" s="14" t="n">
        <f aca="false">J1460-H1460</f>
        <v>19.04</v>
      </c>
      <c r="L1460" s="14" t="n">
        <f aca="false">G1460-H1460</f>
        <v>2.04</v>
      </c>
    </row>
    <row r="1461" customFormat="false" ht="15" hidden="false" customHeight="false" outlineLevel="0" collapsed="false">
      <c r="A1461" s="2" t="s">
        <v>184</v>
      </c>
      <c r="B1461" s="2" t="s">
        <v>184</v>
      </c>
      <c r="C1461" s="2" t="s">
        <v>49</v>
      </c>
      <c r="D1461" s="2" t="s">
        <v>13</v>
      </c>
      <c r="E1461" s="2" t="s">
        <v>76</v>
      </c>
      <c r="F1461" s="2" t="s">
        <v>1145</v>
      </c>
      <c r="G1461" s="14" t="n">
        <v>24.5</v>
      </c>
      <c r="H1461" s="14" t="n">
        <v>67.27</v>
      </c>
      <c r="I1461" s="14"/>
      <c r="J1461" s="22" t="n">
        <f aca="false">IF(E1461="Priority",'Cost model'!N207,'Cost model'!M207)</f>
        <v>75</v>
      </c>
      <c r="K1461" s="14" t="n">
        <f aca="false">J1461-H1461</f>
        <v>7.73</v>
      </c>
      <c r="L1461" s="14" t="n">
        <f aca="false">G1461-H1461</f>
        <v>-42.77</v>
      </c>
    </row>
    <row r="1462" customFormat="false" ht="15" hidden="false" customHeight="false" outlineLevel="0" collapsed="false">
      <c r="A1462" s="2" t="s">
        <v>126</v>
      </c>
      <c r="B1462" s="2" t="s">
        <v>126</v>
      </c>
      <c r="C1462" s="2" t="s">
        <v>49</v>
      </c>
      <c r="D1462" s="2" t="s">
        <v>14</v>
      </c>
      <c r="E1462" s="2" t="s">
        <v>76</v>
      </c>
      <c r="F1462" s="2" t="s">
        <v>1145</v>
      </c>
      <c r="G1462" s="14" t="n">
        <v>45</v>
      </c>
      <c r="H1462" s="14" t="n">
        <v>103.25</v>
      </c>
      <c r="I1462" s="14" t="n">
        <v>45</v>
      </c>
      <c r="J1462" s="22" t="n">
        <f aca="false">IF(E1462="Priority",'Cost model'!N390,'Cost model'!M390)</f>
        <v>115</v>
      </c>
      <c r="K1462" s="14" t="n">
        <f aca="false">J1462-H1462</f>
        <v>11.75</v>
      </c>
      <c r="L1462" s="14" t="n">
        <f aca="false">G1462-H1462</f>
        <v>-58.25</v>
      </c>
    </row>
    <row r="1463" customFormat="false" ht="15" hidden="false" customHeight="false" outlineLevel="0" collapsed="false">
      <c r="A1463" s="2" t="s">
        <v>126</v>
      </c>
      <c r="B1463" s="2" t="s">
        <v>126</v>
      </c>
      <c r="C1463" s="2" t="s">
        <v>49</v>
      </c>
      <c r="D1463" s="2" t="s">
        <v>12</v>
      </c>
      <c r="E1463" s="2" t="s">
        <v>85</v>
      </c>
      <c r="F1463" s="2" t="s">
        <v>1145</v>
      </c>
      <c r="G1463" s="14" t="n">
        <v>19.5</v>
      </c>
      <c r="H1463" s="14" t="n">
        <v>49.82</v>
      </c>
      <c r="I1463" s="14" t="n">
        <v>19.5</v>
      </c>
      <c r="J1463" s="22" t="n">
        <f aca="false">IF(E1463="Priority",'Cost model'!N384,'Cost model'!M384)</f>
        <v>60</v>
      </c>
      <c r="K1463" s="14" t="n">
        <f aca="false">J1463-H1463</f>
        <v>10.18</v>
      </c>
      <c r="L1463" s="14" t="n">
        <f aca="false">G1463-H1463</f>
        <v>-30.32</v>
      </c>
    </row>
    <row r="1464" customFormat="false" ht="15" hidden="false" customHeight="false" outlineLevel="0" collapsed="false">
      <c r="A1464" s="2" t="s">
        <v>184</v>
      </c>
      <c r="B1464" s="2" t="s">
        <v>184</v>
      </c>
      <c r="C1464" s="2" t="s">
        <v>49</v>
      </c>
      <c r="D1464" s="2" t="s">
        <v>12</v>
      </c>
      <c r="E1464" s="2" t="s">
        <v>76</v>
      </c>
      <c r="F1464" s="2" t="s">
        <v>1145</v>
      </c>
      <c r="G1464" s="14" t="n">
        <v>12.5</v>
      </c>
      <c r="H1464" s="14" t="n">
        <v>44.12</v>
      </c>
      <c r="I1464" s="14"/>
      <c r="J1464" s="22" t="n">
        <f aca="false">IF(E1464="Priority",'Cost model'!N204,'Cost model'!M204)</f>
        <v>45</v>
      </c>
      <c r="K1464" s="14" t="n">
        <f aca="false">J1464-H1464</f>
        <v>0.880000000000003</v>
      </c>
      <c r="L1464" s="14" t="n">
        <f aca="false">G1464-H1464</f>
        <v>-31.62</v>
      </c>
    </row>
    <row r="1465" customFormat="false" ht="15" hidden="false" customHeight="false" outlineLevel="0" collapsed="false">
      <c r="A1465" s="2" t="s">
        <v>126</v>
      </c>
      <c r="B1465" s="2" t="s">
        <v>126</v>
      </c>
      <c r="C1465" s="2" t="s">
        <v>49</v>
      </c>
      <c r="D1465" s="2" t="s">
        <v>10</v>
      </c>
      <c r="E1465" s="2" t="s">
        <v>76</v>
      </c>
      <c r="F1465" s="2" t="s">
        <v>1145</v>
      </c>
      <c r="G1465" s="14" t="n">
        <v>12.5</v>
      </c>
      <c r="H1465" s="14" t="n">
        <v>12.23</v>
      </c>
      <c r="I1465" s="14" t="n">
        <v>12.5</v>
      </c>
      <c r="J1465" s="22" t="n">
        <f aca="false">IF(E1465="Priority",'Cost model'!N381,'Cost model'!M381)</f>
        <v>14.5</v>
      </c>
      <c r="K1465" s="14" t="n">
        <f aca="false">J1465-H1465</f>
        <v>2.27</v>
      </c>
      <c r="L1465" s="14" t="n">
        <f aca="false">G1465-H1465</f>
        <v>0.27</v>
      </c>
    </row>
    <row r="1466" customFormat="false" ht="15" hidden="false" customHeight="false" outlineLevel="0" collapsed="false">
      <c r="A1466" s="2" t="s">
        <v>126</v>
      </c>
      <c r="B1466" s="2" t="s">
        <v>126</v>
      </c>
      <c r="C1466" s="2" t="s">
        <v>50</v>
      </c>
      <c r="D1466" s="2" t="s">
        <v>12</v>
      </c>
      <c r="E1466" s="2" t="s">
        <v>85</v>
      </c>
      <c r="F1466" s="2" t="s">
        <v>1145</v>
      </c>
      <c r="G1466" s="14" t="n">
        <v>29.5</v>
      </c>
      <c r="H1466" s="14" t="n">
        <v>51.6</v>
      </c>
      <c r="I1466" s="14" t="n">
        <v>29.5</v>
      </c>
      <c r="J1466" s="22" t="n">
        <f aca="false">IF(E1466="Priority",'Cost model'!N385,'Cost model'!M385)</f>
        <v>70</v>
      </c>
      <c r="K1466" s="14" t="n">
        <f aca="false">J1466-H1466</f>
        <v>18.4</v>
      </c>
      <c r="L1466" s="14" t="n">
        <f aca="false">G1466-H1466</f>
        <v>-22.1</v>
      </c>
    </row>
    <row r="1467" customFormat="false" ht="15" hidden="false" customHeight="false" outlineLevel="0" collapsed="false">
      <c r="A1467" s="2" t="s">
        <v>240</v>
      </c>
      <c r="B1467" s="2" t="s">
        <v>240</v>
      </c>
      <c r="C1467" s="2" t="s">
        <v>48</v>
      </c>
      <c r="D1467" s="2" t="s">
        <v>10</v>
      </c>
      <c r="E1467" s="2" t="s">
        <v>85</v>
      </c>
      <c r="F1467" s="2" t="s">
        <v>1145</v>
      </c>
      <c r="G1467" s="14" t="n">
        <v>14.5</v>
      </c>
      <c r="H1467" s="14" t="n">
        <v>8.33</v>
      </c>
      <c r="I1467" s="14" t="n">
        <v>14.5</v>
      </c>
      <c r="J1467" s="22" t="n">
        <f aca="false">IF(E1467="Priority",'Cost model'!N884,'Cost model'!M884)</f>
        <v>12.5</v>
      </c>
      <c r="K1467" s="14" t="n">
        <f aca="false">J1467-H1467</f>
        <v>4.17</v>
      </c>
      <c r="L1467" s="14" t="n">
        <f aca="false">G1467-H1467</f>
        <v>6.17</v>
      </c>
    </row>
    <row r="1468" customFormat="false" ht="15" hidden="false" customHeight="false" outlineLevel="0" collapsed="false">
      <c r="A1468" s="2" t="s">
        <v>184</v>
      </c>
      <c r="B1468" s="2" t="s">
        <v>184</v>
      </c>
      <c r="C1468" s="2" t="s">
        <v>50</v>
      </c>
      <c r="D1468" s="2" t="s">
        <v>14</v>
      </c>
      <c r="E1468" s="2" t="s">
        <v>76</v>
      </c>
      <c r="F1468" s="2" t="s">
        <v>1145</v>
      </c>
      <c r="G1468" s="14" t="n">
        <v>45</v>
      </c>
      <c r="H1468" s="14" t="n">
        <v>15.06</v>
      </c>
      <c r="I1468" s="14" t="n">
        <v>85</v>
      </c>
      <c r="J1468" s="22" t="n">
        <f aca="false">IF(E1468="Priority",'Cost model'!N211,'Cost model'!M211)</f>
        <v>175</v>
      </c>
      <c r="K1468" s="14" t="n">
        <f aca="false">J1468-H1468</f>
        <v>159.94</v>
      </c>
      <c r="L1468" s="14" t="n">
        <f aca="false">G1468-H1468</f>
        <v>29.94</v>
      </c>
    </row>
    <row r="1469" customFormat="false" ht="15" hidden="false" customHeight="false" outlineLevel="0" collapsed="false">
      <c r="A1469" s="2" t="s">
        <v>184</v>
      </c>
      <c r="B1469" s="2" t="s">
        <v>184</v>
      </c>
      <c r="C1469" s="2" t="s">
        <v>49</v>
      </c>
      <c r="D1469" s="2" t="s">
        <v>10</v>
      </c>
      <c r="E1469" s="2" t="s">
        <v>76</v>
      </c>
      <c r="F1469" s="2" t="s">
        <v>1145</v>
      </c>
      <c r="G1469" s="14" t="n">
        <v>12.5</v>
      </c>
      <c r="H1469" s="14" t="n">
        <v>11.94</v>
      </c>
      <c r="I1469" s="14"/>
      <c r="J1469" s="22" t="n">
        <f aca="false">IF(E1469="Priority",'Cost model'!N201,'Cost model'!M201)</f>
        <v>12.5</v>
      </c>
      <c r="K1469" s="14" t="n">
        <f aca="false">J1469-H1469</f>
        <v>0.560000000000001</v>
      </c>
      <c r="L1469" s="14" t="n">
        <f aca="false">G1469-H1469</f>
        <v>0.560000000000001</v>
      </c>
    </row>
    <row r="1470" customFormat="false" ht="15" hidden="false" customHeight="false" outlineLevel="0" collapsed="false">
      <c r="A1470" s="2" t="s">
        <v>184</v>
      </c>
      <c r="B1470" s="2" t="s">
        <v>184</v>
      </c>
      <c r="C1470" s="2" t="s">
        <v>50</v>
      </c>
      <c r="D1470" s="2" t="s">
        <v>12</v>
      </c>
      <c r="E1470" s="2" t="s">
        <v>76</v>
      </c>
      <c r="F1470" s="2" t="s">
        <v>1145</v>
      </c>
      <c r="G1470" s="14" t="n">
        <v>19.5</v>
      </c>
      <c r="H1470" s="14" t="n">
        <v>43.69</v>
      </c>
      <c r="I1470" s="14" t="n">
        <v>19.5</v>
      </c>
      <c r="J1470" s="22" t="n">
        <f aca="false">IF(E1470="Priority",'Cost model'!N205,'Cost model'!M205)</f>
        <v>50</v>
      </c>
      <c r="K1470" s="14" t="n">
        <f aca="false">J1470-H1470</f>
        <v>6.31</v>
      </c>
      <c r="L1470" s="14" t="n">
        <f aca="false">G1470-H1470</f>
        <v>-24.19</v>
      </c>
    </row>
    <row r="1471" customFormat="false" ht="15" hidden="false" customHeight="false" outlineLevel="0" collapsed="false">
      <c r="A1471" s="2" t="s">
        <v>146</v>
      </c>
      <c r="B1471" s="2" t="s">
        <v>146</v>
      </c>
      <c r="C1471" s="2" t="s">
        <v>48</v>
      </c>
      <c r="D1471" s="2" t="s">
        <v>10</v>
      </c>
      <c r="E1471" s="2" t="s">
        <v>76</v>
      </c>
      <c r="F1471" s="2" t="s">
        <v>1145</v>
      </c>
      <c r="G1471" s="14" t="n">
        <v>9.5</v>
      </c>
      <c r="H1471" s="14" t="n">
        <v>7.45</v>
      </c>
      <c r="I1471" s="14" t="n">
        <v>9.5</v>
      </c>
      <c r="J1471" s="22" t="n">
        <f aca="false">IF(E1471="Priority",'Cost model'!N758,'Cost model'!M758)</f>
        <v>9.5</v>
      </c>
      <c r="K1471" s="14" t="n">
        <f aca="false">J1471-H1471</f>
        <v>2.05</v>
      </c>
      <c r="L1471" s="14" t="n">
        <f aca="false">G1471-H1471</f>
        <v>2.05</v>
      </c>
    </row>
    <row r="1472" customFormat="false" ht="15" hidden="false" customHeight="false" outlineLevel="0" collapsed="false">
      <c r="A1472" s="2" t="s">
        <v>146</v>
      </c>
      <c r="B1472" s="2" t="s">
        <v>146</v>
      </c>
      <c r="C1472" s="2" t="s">
        <v>49</v>
      </c>
      <c r="D1472" s="2" t="s">
        <v>10</v>
      </c>
      <c r="E1472" s="2" t="s">
        <v>76</v>
      </c>
      <c r="F1472" s="2" t="s">
        <v>1145</v>
      </c>
      <c r="G1472" s="14" t="n">
        <v>12.5</v>
      </c>
      <c r="H1472" s="14" t="n">
        <v>8.11</v>
      </c>
      <c r="I1472" s="14" t="n">
        <v>12.5</v>
      </c>
      <c r="J1472" s="22" t="n">
        <f aca="false">IF(E1472="Priority",'Cost model'!N759,'Cost model'!M759)</f>
        <v>15.5</v>
      </c>
      <c r="K1472" s="14" t="n">
        <f aca="false">J1472-H1472</f>
        <v>7.39</v>
      </c>
      <c r="L1472" s="14" t="n">
        <f aca="false">G1472-H1472</f>
        <v>4.39</v>
      </c>
    </row>
    <row r="1473" customFormat="false" ht="15" hidden="false" customHeight="false" outlineLevel="0" collapsed="false">
      <c r="A1473" s="2" t="s">
        <v>221</v>
      </c>
      <c r="B1473" s="2" t="s">
        <v>126</v>
      </c>
      <c r="C1473" s="2" t="s">
        <v>49</v>
      </c>
      <c r="D1473" s="2" t="s">
        <v>12</v>
      </c>
      <c r="E1473" s="2" t="s">
        <v>76</v>
      </c>
      <c r="F1473" s="2" t="s">
        <v>1146</v>
      </c>
      <c r="G1473" s="14" t="n">
        <v>24.5</v>
      </c>
      <c r="H1473" s="14" t="n">
        <v>82.89</v>
      </c>
      <c r="I1473" s="14" t="n">
        <v>24.5</v>
      </c>
      <c r="J1473" s="22" t="n">
        <f aca="false">IF(E1473="Priority",'Cost model'!N690,'Cost model'!M690)</f>
        <v>60</v>
      </c>
      <c r="K1473" s="14" t="n">
        <f aca="false">J1473-H1473</f>
        <v>-22.89</v>
      </c>
      <c r="L1473" s="14" t="n">
        <f aca="false">G1473-H1473</f>
        <v>-58.39</v>
      </c>
    </row>
    <row r="1474" customFormat="false" ht="15" hidden="false" customHeight="false" outlineLevel="0" collapsed="false">
      <c r="A1474" s="2" t="s">
        <v>146</v>
      </c>
      <c r="B1474" s="2" t="s">
        <v>146</v>
      </c>
      <c r="C1474" s="2" t="s">
        <v>48</v>
      </c>
      <c r="D1474" s="2" t="s">
        <v>12</v>
      </c>
      <c r="E1474" s="2" t="s">
        <v>76</v>
      </c>
      <c r="F1474" s="2" t="s">
        <v>1145</v>
      </c>
      <c r="G1474" s="14" t="n">
        <v>9.5</v>
      </c>
      <c r="H1474" s="14" t="n">
        <v>39.69</v>
      </c>
      <c r="I1474" s="14" t="n">
        <v>9.5</v>
      </c>
      <c r="J1474" s="22" t="n">
        <f aca="false">IF(E1474="Priority",'Cost model'!N761,'Cost model'!M761)</f>
        <v>35</v>
      </c>
      <c r="K1474" s="14" t="n">
        <f aca="false">J1474-H1474</f>
        <v>-4.69</v>
      </c>
      <c r="L1474" s="14" t="n">
        <f aca="false">G1474-H1474</f>
        <v>-30.19</v>
      </c>
    </row>
    <row r="1475" customFormat="false" ht="15" hidden="false" customHeight="false" outlineLevel="0" collapsed="false">
      <c r="A1475" s="2" t="s">
        <v>240</v>
      </c>
      <c r="B1475" s="2" t="s">
        <v>240</v>
      </c>
      <c r="C1475" s="2" t="s">
        <v>48</v>
      </c>
      <c r="D1475" s="2" t="s">
        <v>10</v>
      </c>
      <c r="E1475" s="2" t="s">
        <v>76</v>
      </c>
      <c r="F1475" s="2" t="s">
        <v>1145</v>
      </c>
      <c r="G1475" s="14" t="n">
        <v>9.5</v>
      </c>
      <c r="H1475" s="14" t="n">
        <v>5.25</v>
      </c>
      <c r="I1475" s="14" t="n">
        <v>9.5</v>
      </c>
      <c r="J1475" s="22" t="n">
        <f aca="false">IF(E1475="Priority",'Cost model'!N884,'Cost model'!M884)</f>
        <v>7.5</v>
      </c>
      <c r="K1475" s="14" t="n">
        <f aca="false">J1475-H1475</f>
        <v>2.25</v>
      </c>
      <c r="L1475" s="14" t="n">
        <f aca="false">G1475-H1475</f>
        <v>4.25</v>
      </c>
    </row>
    <row r="1476" customFormat="false" ht="15" hidden="false" customHeight="false" outlineLevel="0" collapsed="false">
      <c r="A1476" s="2" t="s">
        <v>184</v>
      </c>
      <c r="B1476" s="2" t="s">
        <v>126</v>
      </c>
      <c r="C1476" s="2" t="s">
        <v>49</v>
      </c>
      <c r="D1476" s="2" t="s">
        <v>10</v>
      </c>
      <c r="E1476" s="2" t="s">
        <v>76</v>
      </c>
      <c r="F1476" s="2" t="s">
        <v>1146</v>
      </c>
      <c r="G1476" s="14" t="n">
        <v>12.5</v>
      </c>
      <c r="H1476" s="14" t="n">
        <v>17.03</v>
      </c>
      <c r="I1476" s="14"/>
      <c r="J1476" s="22" t="n">
        <f aca="false">IF(E1476="Priority",'Cost model'!N129,'Cost model'!M129)</f>
        <v>13.5</v>
      </c>
      <c r="K1476" s="14" t="n">
        <f aca="false">J1476-H1476</f>
        <v>-3.53</v>
      </c>
      <c r="L1476" s="14" t="n">
        <f aca="false">G1476-H1476</f>
        <v>-4.53</v>
      </c>
    </row>
    <row r="1477" customFormat="false" ht="15" hidden="false" customHeight="false" outlineLevel="0" collapsed="false">
      <c r="A1477" s="2" t="s">
        <v>126</v>
      </c>
      <c r="B1477" s="2" t="s">
        <v>126</v>
      </c>
      <c r="C1477" s="2" t="s">
        <v>48</v>
      </c>
      <c r="D1477" s="2" t="s">
        <v>10</v>
      </c>
      <c r="E1477" s="2" t="s">
        <v>76</v>
      </c>
      <c r="F1477" s="2" t="s">
        <v>1145</v>
      </c>
      <c r="G1477" s="14" t="n">
        <v>9.5</v>
      </c>
      <c r="H1477" s="14" t="n">
        <v>7.45</v>
      </c>
      <c r="I1477" s="14" t="n">
        <v>9.5</v>
      </c>
      <c r="J1477" s="22" t="n">
        <f aca="false">IF(E1477="Priority",'Cost model'!N380,'Cost model'!M380)</f>
        <v>8.5</v>
      </c>
      <c r="K1477" s="14" t="n">
        <f aca="false">J1477-H1477</f>
        <v>1.05</v>
      </c>
      <c r="L1477" s="14" t="n">
        <f aca="false">G1477-H1477</f>
        <v>2.05</v>
      </c>
    </row>
    <row r="1478" customFormat="false" ht="15" hidden="false" customHeight="false" outlineLevel="0" collapsed="false">
      <c r="A1478" s="2" t="s">
        <v>146</v>
      </c>
      <c r="B1478" s="2" t="s">
        <v>125</v>
      </c>
      <c r="C1478" s="2" t="s">
        <v>49</v>
      </c>
      <c r="D1478" s="2" t="s">
        <v>10</v>
      </c>
      <c r="E1478" s="2" t="s">
        <v>76</v>
      </c>
      <c r="F1478" s="2" t="s">
        <v>1146</v>
      </c>
      <c r="G1478" s="14" t="n">
        <v>12.5</v>
      </c>
      <c r="H1478" s="14" t="n">
        <v>10.16</v>
      </c>
      <c r="I1478" s="14" t="n">
        <v>19.5</v>
      </c>
      <c r="J1478" s="22" t="n">
        <f aca="false">IF(E1478="Priority",'Cost model'!N867,'Cost model'!M867)</f>
        <v>15.5</v>
      </c>
      <c r="K1478" s="14" t="n">
        <f aca="false">J1478-H1478</f>
        <v>5.34</v>
      </c>
      <c r="L1478" s="14" t="n">
        <f aca="false">G1478-H1478</f>
        <v>2.34</v>
      </c>
    </row>
    <row r="1479" customFormat="false" ht="15" hidden="false" customHeight="false" outlineLevel="0" collapsed="false">
      <c r="A1479" s="2" t="s">
        <v>126</v>
      </c>
      <c r="B1479" s="2" t="s">
        <v>126</v>
      </c>
      <c r="C1479" s="2" t="s">
        <v>48</v>
      </c>
      <c r="D1479" s="2" t="s">
        <v>12</v>
      </c>
      <c r="E1479" s="2" t="s">
        <v>76</v>
      </c>
      <c r="F1479" s="2" t="s">
        <v>1145</v>
      </c>
      <c r="G1479" s="14" t="n">
        <v>9.5</v>
      </c>
      <c r="H1479" s="14" t="n">
        <v>40.51</v>
      </c>
      <c r="I1479" s="14" t="n">
        <v>9.5</v>
      </c>
      <c r="J1479" s="22" t="n">
        <f aca="false">IF(E1479="Priority",'Cost model'!N383,'Cost model'!M383)</f>
        <v>27.5</v>
      </c>
      <c r="K1479" s="14" t="n">
        <f aca="false">J1479-H1479</f>
        <v>-13.01</v>
      </c>
      <c r="L1479" s="14" t="n">
        <f aca="false">G1479-H1479</f>
        <v>-31.01</v>
      </c>
    </row>
    <row r="1480" customFormat="false" ht="15" hidden="false" customHeight="false" outlineLevel="0" collapsed="false">
      <c r="A1480" s="2" t="s">
        <v>184</v>
      </c>
      <c r="B1480" s="2" t="s">
        <v>184</v>
      </c>
      <c r="C1480" s="2" t="s">
        <v>50</v>
      </c>
      <c r="D1480" s="2" t="s">
        <v>10</v>
      </c>
      <c r="E1480" s="2" t="s">
        <v>76</v>
      </c>
      <c r="F1480" s="2" t="s">
        <v>1145</v>
      </c>
      <c r="G1480" s="14" t="n">
        <v>17.5</v>
      </c>
      <c r="H1480" s="14" t="n">
        <v>12.09</v>
      </c>
      <c r="I1480" s="14" t="n">
        <v>17.5</v>
      </c>
      <c r="J1480" s="22" t="n">
        <f aca="false">IF(E1480="Priority",'Cost model'!N202,'Cost model'!M202)</f>
        <v>17.5</v>
      </c>
      <c r="K1480" s="14" t="n">
        <f aca="false">J1480-H1480</f>
        <v>5.41</v>
      </c>
      <c r="L1480" s="14" t="n">
        <f aca="false">G1480-H1480</f>
        <v>5.41</v>
      </c>
    </row>
    <row r="1481" customFormat="false" ht="15" hidden="false" customHeight="false" outlineLevel="0" collapsed="false">
      <c r="A1481" s="2" t="s">
        <v>146</v>
      </c>
      <c r="B1481" s="2" t="s">
        <v>146</v>
      </c>
      <c r="C1481" s="2" t="s">
        <v>50</v>
      </c>
      <c r="D1481" s="2" t="s">
        <v>12</v>
      </c>
      <c r="E1481" s="2" t="s">
        <v>76</v>
      </c>
      <c r="F1481" s="2" t="s">
        <v>1145</v>
      </c>
      <c r="G1481" s="14" t="n">
        <v>34.5</v>
      </c>
      <c r="H1481" s="14" t="n">
        <v>25.65</v>
      </c>
      <c r="I1481" s="14" t="n">
        <v>19.5</v>
      </c>
      <c r="J1481" s="22" t="n">
        <f aca="false">IF(E1481="Priority",'Cost model'!N763,'Cost model'!M763)</f>
        <v>50</v>
      </c>
      <c r="K1481" s="14" t="n">
        <f aca="false">J1481-H1481</f>
        <v>24.35</v>
      </c>
      <c r="L1481" s="14" t="n">
        <f aca="false">G1481-H1481</f>
        <v>8.85</v>
      </c>
    </row>
    <row r="1482" customFormat="false" ht="15" hidden="false" customHeight="false" outlineLevel="0" collapsed="false">
      <c r="A1482" s="2" t="s">
        <v>126</v>
      </c>
      <c r="B1482" s="2" t="s">
        <v>126</v>
      </c>
      <c r="C1482" s="2" t="s">
        <v>49</v>
      </c>
      <c r="D1482" s="2" t="s">
        <v>10</v>
      </c>
      <c r="E1482" s="2" t="s">
        <v>76</v>
      </c>
      <c r="F1482" s="2" t="s">
        <v>1145</v>
      </c>
      <c r="G1482" s="14" t="n">
        <v>12.5</v>
      </c>
      <c r="H1482" s="14" t="n">
        <v>8.04</v>
      </c>
      <c r="I1482" s="14" t="n">
        <v>12.5</v>
      </c>
      <c r="J1482" s="22" t="n">
        <f aca="false">IF(E1482="Priority",'Cost model'!N381,'Cost model'!M381)</f>
        <v>14.5</v>
      </c>
      <c r="K1482" s="14" t="n">
        <f aca="false">J1482-H1482</f>
        <v>6.46</v>
      </c>
      <c r="L1482" s="14" t="n">
        <f aca="false">G1482-H1482</f>
        <v>4.46</v>
      </c>
    </row>
    <row r="1483" customFormat="false" ht="15" hidden="false" customHeight="false" outlineLevel="0" collapsed="false">
      <c r="A1483" s="2" t="s">
        <v>184</v>
      </c>
      <c r="B1483" s="2" t="s">
        <v>184</v>
      </c>
      <c r="C1483" s="2" t="s">
        <v>48</v>
      </c>
      <c r="D1483" s="2" t="s">
        <v>16</v>
      </c>
      <c r="E1483" s="2" t="s">
        <v>85</v>
      </c>
      <c r="F1483" s="2" t="s">
        <v>1145</v>
      </c>
      <c r="G1483" s="14" t="n">
        <v>85</v>
      </c>
      <c r="H1483" s="14" t="n">
        <v>134.18</v>
      </c>
      <c r="I1483" s="14" t="n">
        <v>85</v>
      </c>
      <c r="J1483" s="22" t="n">
        <f aca="false">IF(E1483="Priority",'Cost model'!N215,'Cost model'!M215)</f>
        <v>165</v>
      </c>
      <c r="K1483" s="14" t="n">
        <f aca="false">J1483-H1483</f>
        <v>30.82</v>
      </c>
      <c r="L1483" s="14" t="n">
        <f aca="false">G1483-H1483</f>
        <v>-49.18</v>
      </c>
    </row>
    <row r="1484" customFormat="false" ht="15" hidden="false" customHeight="false" outlineLevel="0" collapsed="false">
      <c r="A1484" s="2" t="s">
        <v>184</v>
      </c>
      <c r="B1484" s="2" t="s">
        <v>126</v>
      </c>
      <c r="C1484" s="2" t="s">
        <v>48</v>
      </c>
      <c r="D1484" s="2" t="s">
        <v>10</v>
      </c>
      <c r="E1484" s="2" t="s">
        <v>76</v>
      </c>
      <c r="F1484" s="2" t="s">
        <v>1146</v>
      </c>
      <c r="G1484" s="14" t="n">
        <v>9.5</v>
      </c>
      <c r="H1484" s="14" t="n">
        <v>8.26</v>
      </c>
      <c r="I1484" s="14" t="n">
        <v>9.5</v>
      </c>
      <c r="J1484" s="22" t="n">
        <f aca="false">IF(E1484="Priority",'Cost model'!N128,'Cost model'!M128)</f>
        <v>10.5</v>
      </c>
      <c r="K1484" s="14" t="n">
        <f aca="false">J1484-H1484</f>
        <v>2.24</v>
      </c>
      <c r="L1484" s="14" t="n">
        <f aca="false">G1484-H1484</f>
        <v>1.24</v>
      </c>
    </row>
    <row r="1485" customFormat="false" ht="15" hidden="false" customHeight="false" outlineLevel="0" collapsed="false">
      <c r="A1485" s="2" t="s">
        <v>184</v>
      </c>
      <c r="B1485" s="2" t="s">
        <v>184</v>
      </c>
      <c r="C1485" s="2" t="s">
        <v>49</v>
      </c>
      <c r="D1485" s="2" t="s">
        <v>10</v>
      </c>
      <c r="E1485" s="2" t="s">
        <v>76</v>
      </c>
      <c r="F1485" s="2" t="s">
        <v>1145</v>
      </c>
      <c r="G1485" s="14" t="n">
        <v>12.5</v>
      </c>
      <c r="H1485" s="14" t="n">
        <v>7.37</v>
      </c>
      <c r="I1485" s="14"/>
      <c r="J1485" s="22" t="n">
        <f aca="false">IF(E1485="Priority",'Cost model'!N201,'Cost model'!M201)</f>
        <v>12.5</v>
      </c>
      <c r="K1485" s="14" t="n">
        <f aca="false">J1485-H1485</f>
        <v>5.13</v>
      </c>
      <c r="L1485" s="14" t="n">
        <f aca="false">G1485-H1485</f>
        <v>5.13</v>
      </c>
    </row>
    <row r="1486" customFormat="false" ht="15" hidden="false" customHeight="false" outlineLevel="0" collapsed="false">
      <c r="A1486" s="2" t="s">
        <v>184</v>
      </c>
      <c r="B1486" s="2" t="s">
        <v>184</v>
      </c>
      <c r="C1486" s="2" t="s">
        <v>48</v>
      </c>
      <c r="D1486" s="2" t="s">
        <v>12</v>
      </c>
      <c r="E1486" s="2" t="s">
        <v>76</v>
      </c>
      <c r="F1486" s="2" t="s">
        <v>1145</v>
      </c>
      <c r="G1486" s="14" t="n">
        <v>24.5</v>
      </c>
      <c r="H1486" s="14" t="n">
        <v>54.88</v>
      </c>
      <c r="I1486" s="14" t="n">
        <v>9.5</v>
      </c>
      <c r="J1486" s="22" t="n">
        <f aca="false">IF(E1486="Priority",'Cost model'!N203,'Cost model'!M203)</f>
        <v>26.5</v>
      </c>
      <c r="K1486" s="14" t="n">
        <f aca="false">J1486-H1486</f>
        <v>-28.38</v>
      </c>
      <c r="L1486" s="14" t="n">
        <f aca="false">G1486-H1486</f>
        <v>-30.38</v>
      </c>
    </row>
    <row r="1487" customFormat="false" ht="15" hidden="false" customHeight="false" outlineLevel="0" collapsed="false">
      <c r="A1487" s="2" t="s">
        <v>184</v>
      </c>
      <c r="B1487" s="2" t="s">
        <v>126</v>
      </c>
      <c r="C1487" s="2" t="s">
        <v>49</v>
      </c>
      <c r="D1487" s="2" t="s">
        <v>12</v>
      </c>
      <c r="E1487" s="2" t="s">
        <v>76</v>
      </c>
      <c r="F1487" s="2" t="s">
        <v>1146</v>
      </c>
      <c r="G1487" s="14" t="n">
        <v>12.5</v>
      </c>
      <c r="H1487" s="14" t="n">
        <v>83.69</v>
      </c>
      <c r="I1487" s="14"/>
      <c r="J1487" s="22" t="n">
        <f aca="false">IF(E1487="Priority",'Cost model'!N132,'Cost model'!M132)</f>
        <v>50</v>
      </c>
      <c r="K1487" s="14" t="n">
        <f aca="false">J1487-H1487</f>
        <v>-33.69</v>
      </c>
      <c r="L1487" s="14" t="n">
        <f aca="false">G1487-H1487</f>
        <v>-71.19</v>
      </c>
    </row>
    <row r="1488" customFormat="false" ht="15" hidden="false" customHeight="false" outlineLevel="0" collapsed="false">
      <c r="A1488" s="2" t="s">
        <v>146</v>
      </c>
      <c r="B1488" s="2" t="s">
        <v>184</v>
      </c>
      <c r="C1488" s="2" t="s">
        <v>48</v>
      </c>
      <c r="D1488" s="2" t="s">
        <v>10</v>
      </c>
      <c r="E1488" s="2" t="s">
        <v>76</v>
      </c>
      <c r="F1488" s="2" t="s">
        <v>1146</v>
      </c>
      <c r="G1488" s="14" t="n">
        <v>9.5</v>
      </c>
      <c r="H1488" s="14" t="n">
        <v>6.25</v>
      </c>
      <c r="I1488" s="14" t="n">
        <v>14.5</v>
      </c>
      <c r="J1488" s="22" t="n">
        <f aca="false">IF(E1488="Priority",'Cost model'!N830,'Cost model'!M830)</f>
        <v>9.5</v>
      </c>
      <c r="K1488" s="14" t="n">
        <f aca="false">J1488-H1488</f>
        <v>3.25</v>
      </c>
      <c r="L1488" s="14" t="n">
        <f aca="false">G1488-H1488</f>
        <v>3.25</v>
      </c>
    </row>
    <row r="1489" customFormat="false" ht="15" hidden="false" customHeight="false" outlineLevel="0" collapsed="false">
      <c r="A1489" s="2" t="s">
        <v>126</v>
      </c>
      <c r="B1489" s="2" t="s">
        <v>126</v>
      </c>
      <c r="C1489" s="2" t="s">
        <v>48</v>
      </c>
      <c r="D1489" s="2" t="s">
        <v>14</v>
      </c>
      <c r="E1489" s="2" t="s">
        <v>76</v>
      </c>
      <c r="F1489" s="2" t="s">
        <v>1145</v>
      </c>
      <c r="G1489" s="14" t="n">
        <v>25</v>
      </c>
      <c r="H1489" s="14" t="n">
        <v>179.55</v>
      </c>
      <c r="I1489" s="14" t="n">
        <v>25</v>
      </c>
      <c r="J1489" s="22" t="n">
        <f aca="false">IF(E1489="Priority",'Cost model'!N389,'Cost model'!M389)</f>
        <v>95</v>
      </c>
      <c r="K1489" s="14" t="n">
        <f aca="false">J1489-H1489</f>
        <v>-84.55</v>
      </c>
      <c r="L1489" s="14" t="n">
        <f aca="false">G1489-H1489</f>
        <v>-154.55</v>
      </c>
    </row>
    <row r="1490" customFormat="false" ht="15" hidden="false" customHeight="false" outlineLevel="0" collapsed="false">
      <c r="A1490" s="2" t="s">
        <v>184</v>
      </c>
      <c r="B1490" s="2" t="s">
        <v>184</v>
      </c>
      <c r="C1490" s="2" t="s">
        <v>48</v>
      </c>
      <c r="D1490" s="2" t="s">
        <v>12</v>
      </c>
      <c r="E1490" s="2" t="s">
        <v>76</v>
      </c>
      <c r="F1490" s="2" t="s">
        <v>1145</v>
      </c>
      <c r="G1490" s="14" t="n">
        <v>9.5</v>
      </c>
      <c r="H1490" s="14" t="n">
        <v>7.45</v>
      </c>
      <c r="I1490" s="14" t="n">
        <v>9.5</v>
      </c>
      <c r="J1490" s="22" t="n">
        <f aca="false">IF(E1490="Priority",'Cost model'!N203,'Cost model'!M203)</f>
        <v>26.5</v>
      </c>
      <c r="K1490" s="14" t="n">
        <f aca="false">J1490-H1490</f>
        <v>19.05</v>
      </c>
      <c r="L1490" s="14" t="n">
        <f aca="false">G1490-H1490</f>
        <v>2.05</v>
      </c>
    </row>
    <row r="1491" customFormat="false" ht="15" hidden="false" customHeight="false" outlineLevel="0" collapsed="false">
      <c r="A1491" s="2" t="s">
        <v>184</v>
      </c>
      <c r="B1491" s="2" t="s">
        <v>184</v>
      </c>
      <c r="C1491" s="2" t="s">
        <v>50</v>
      </c>
      <c r="D1491" s="2" t="s">
        <v>12</v>
      </c>
      <c r="E1491" s="2" t="s">
        <v>85</v>
      </c>
      <c r="F1491" s="2" t="s">
        <v>1145</v>
      </c>
      <c r="G1491" s="14" t="n">
        <v>29.5</v>
      </c>
      <c r="H1491" s="14" t="n">
        <v>42.72</v>
      </c>
      <c r="I1491" s="14" t="n">
        <v>29.5</v>
      </c>
      <c r="J1491" s="22" t="n">
        <f aca="false">IF(E1491="Priority",'Cost model'!N205,'Cost model'!M205)</f>
        <v>65</v>
      </c>
      <c r="K1491" s="14" t="n">
        <f aca="false">J1491-H1491</f>
        <v>22.28</v>
      </c>
      <c r="L1491" s="14" t="n">
        <f aca="false">G1491-H1491</f>
        <v>-13.22</v>
      </c>
    </row>
    <row r="1492" customFormat="false" ht="15" hidden="false" customHeight="false" outlineLevel="0" collapsed="false">
      <c r="A1492" s="2" t="s">
        <v>146</v>
      </c>
      <c r="B1492" s="2" t="s">
        <v>126</v>
      </c>
      <c r="C1492" s="2" t="s">
        <v>48</v>
      </c>
      <c r="D1492" s="2" t="s">
        <v>12</v>
      </c>
      <c r="E1492" s="2" t="s">
        <v>85</v>
      </c>
      <c r="F1492" s="2" t="s">
        <v>1146</v>
      </c>
      <c r="G1492" s="14" t="n">
        <v>24.5</v>
      </c>
      <c r="H1492" s="14" t="n">
        <v>50.11</v>
      </c>
      <c r="I1492" s="14" t="n">
        <v>24.5</v>
      </c>
      <c r="J1492" s="22" t="n">
        <f aca="false">IF(E1492="Priority",'Cost model'!N797,'Cost model'!M797)</f>
        <v>55</v>
      </c>
      <c r="K1492" s="14" t="n">
        <f aca="false">J1492-H1492</f>
        <v>4.89</v>
      </c>
      <c r="L1492" s="14" t="n">
        <f aca="false">G1492-H1492</f>
        <v>-25.61</v>
      </c>
    </row>
    <row r="1493" customFormat="false" ht="15" hidden="false" customHeight="false" outlineLevel="0" collapsed="false">
      <c r="A1493" s="2" t="s">
        <v>184</v>
      </c>
      <c r="B1493" s="2" t="s">
        <v>146</v>
      </c>
      <c r="C1493" s="2" t="s">
        <v>49</v>
      </c>
      <c r="D1493" s="2" t="s">
        <v>10</v>
      </c>
      <c r="E1493" s="2" t="s">
        <v>76</v>
      </c>
      <c r="F1493" s="2" t="s">
        <v>1146</v>
      </c>
      <c r="G1493" s="14" t="n">
        <v>12.5</v>
      </c>
      <c r="H1493" s="14" t="n">
        <v>20.55</v>
      </c>
      <c r="I1493" s="14"/>
      <c r="J1493" s="22" t="n">
        <f aca="false">IF(E1493="Priority",'Cost model'!N147,'Cost model'!M147)</f>
        <v>14.5</v>
      </c>
      <c r="K1493" s="14" t="n">
        <f aca="false">J1493-H1493</f>
        <v>-6.05</v>
      </c>
      <c r="L1493" s="14" t="n">
        <f aca="false">G1493-H1493</f>
        <v>-8.05</v>
      </c>
    </row>
    <row r="1494" customFormat="false" ht="15" hidden="false" customHeight="false" outlineLevel="0" collapsed="false">
      <c r="A1494" s="2" t="s">
        <v>146</v>
      </c>
      <c r="B1494" s="2" t="s">
        <v>165</v>
      </c>
      <c r="C1494" s="2" t="s">
        <v>48</v>
      </c>
      <c r="D1494" s="2" t="s">
        <v>10</v>
      </c>
      <c r="E1494" s="2" t="s">
        <v>76</v>
      </c>
      <c r="F1494" s="2" t="s">
        <v>1146</v>
      </c>
      <c r="G1494" s="14" t="n">
        <v>9.5</v>
      </c>
      <c r="H1494" s="14" t="n">
        <v>9.85</v>
      </c>
      <c r="I1494" s="14" t="n">
        <v>14.5</v>
      </c>
      <c r="J1494" s="22" t="n">
        <f aca="false">IF(E1494="Priority",'Cost model'!N776,'Cost model'!M776)</f>
        <v>13.5</v>
      </c>
      <c r="K1494" s="14" t="n">
        <f aca="false">J1494-H1494</f>
        <v>3.65</v>
      </c>
      <c r="L1494" s="14" t="n">
        <f aca="false">G1494-H1494</f>
        <v>-0.35</v>
      </c>
    </row>
    <row r="1495" customFormat="false" ht="15" hidden="false" customHeight="false" outlineLevel="0" collapsed="false">
      <c r="A1495" s="2" t="s">
        <v>184</v>
      </c>
      <c r="B1495" s="2" t="s">
        <v>184</v>
      </c>
      <c r="C1495" s="2" t="s">
        <v>48</v>
      </c>
      <c r="D1495" s="2" t="s">
        <v>10</v>
      </c>
      <c r="E1495" s="2" t="s">
        <v>85</v>
      </c>
      <c r="F1495" s="2" t="s">
        <v>1145</v>
      </c>
      <c r="G1495" s="14" t="n">
        <v>14.5</v>
      </c>
      <c r="H1495" s="14" t="n">
        <v>6.11</v>
      </c>
      <c r="I1495" s="14" t="n">
        <v>14.5</v>
      </c>
      <c r="J1495" s="22" t="n">
        <f aca="false">IF(E1495="Priority",'Cost model'!N200,'Cost model'!M200)</f>
        <v>12.5</v>
      </c>
      <c r="K1495" s="14" t="n">
        <f aca="false">J1495-H1495</f>
        <v>6.39</v>
      </c>
      <c r="L1495" s="14" t="n">
        <f aca="false">G1495-H1495</f>
        <v>8.39</v>
      </c>
    </row>
    <row r="1496" customFormat="false" ht="15" hidden="false" customHeight="false" outlineLevel="0" collapsed="false">
      <c r="A1496" s="2" t="s">
        <v>146</v>
      </c>
      <c r="B1496" s="2" t="s">
        <v>146</v>
      </c>
      <c r="C1496" s="2" t="s">
        <v>48</v>
      </c>
      <c r="D1496" s="2" t="s">
        <v>10</v>
      </c>
      <c r="E1496" s="2" t="s">
        <v>76</v>
      </c>
      <c r="F1496" s="2" t="s">
        <v>1145</v>
      </c>
      <c r="G1496" s="14" t="n">
        <v>9.5</v>
      </c>
      <c r="H1496" s="14" t="n">
        <v>64.06</v>
      </c>
      <c r="I1496" s="14" t="n">
        <v>9.5</v>
      </c>
      <c r="J1496" s="22" t="n">
        <f aca="false">IF(E1496="Priority",'Cost model'!N758,'Cost model'!M758)</f>
        <v>9.5</v>
      </c>
      <c r="K1496" s="14" t="n">
        <f aca="false">J1496-H1496</f>
        <v>-54.56</v>
      </c>
      <c r="L1496" s="14" t="n">
        <f aca="false">G1496-H1496</f>
        <v>-54.56</v>
      </c>
    </row>
    <row r="1497" customFormat="false" ht="15" hidden="false" customHeight="false" outlineLevel="0" collapsed="false">
      <c r="A1497" s="2" t="s">
        <v>126</v>
      </c>
      <c r="B1497" s="2" t="s">
        <v>126</v>
      </c>
      <c r="C1497" s="2" t="s">
        <v>49</v>
      </c>
      <c r="D1497" s="2" t="s">
        <v>12</v>
      </c>
      <c r="E1497" s="2" t="s">
        <v>76</v>
      </c>
      <c r="F1497" s="2" t="s">
        <v>1145</v>
      </c>
      <c r="G1497" s="14" t="n">
        <v>14.5</v>
      </c>
      <c r="H1497" s="14" t="n">
        <v>58.96</v>
      </c>
      <c r="I1497" s="14" t="n">
        <v>12.5</v>
      </c>
      <c r="J1497" s="22" t="n">
        <f aca="false">IF(E1497="Priority",'Cost model'!N384,'Cost model'!M384)</f>
        <v>45</v>
      </c>
      <c r="K1497" s="14" t="n">
        <f aca="false">J1497-H1497</f>
        <v>-13.96</v>
      </c>
      <c r="L1497" s="14" t="n">
        <f aca="false">G1497-H1497</f>
        <v>-44.46</v>
      </c>
    </row>
    <row r="1498" customFormat="false" ht="15" hidden="false" customHeight="false" outlineLevel="0" collapsed="false">
      <c r="A1498" s="2" t="s">
        <v>184</v>
      </c>
      <c r="B1498" s="2" t="s">
        <v>184</v>
      </c>
      <c r="C1498" s="2" t="s">
        <v>50</v>
      </c>
      <c r="D1498" s="2" t="s">
        <v>12</v>
      </c>
      <c r="E1498" s="2" t="s">
        <v>76</v>
      </c>
      <c r="F1498" s="2" t="s">
        <v>1145</v>
      </c>
      <c r="G1498" s="14" t="n">
        <v>19.5</v>
      </c>
      <c r="H1498" s="14" t="n">
        <v>51.49</v>
      </c>
      <c r="I1498" s="14" t="n">
        <v>19.5</v>
      </c>
      <c r="J1498" s="22" t="n">
        <f aca="false">IF(E1498="Priority",'Cost model'!N205,'Cost model'!M205)</f>
        <v>50</v>
      </c>
      <c r="K1498" s="14" t="n">
        <f aca="false">J1498-H1498</f>
        <v>-1.49</v>
      </c>
      <c r="L1498" s="14" t="n">
        <f aca="false">G1498-H1498</f>
        <v>-31.99</v>
      </c>
    </row>
    <row r="1499" customFormat="false" ht="15" hidden="false" customHeight="false" outlineLevel="0" collapsed="false">
      <c r="A1499" s="2" t="s">
        <v>125</v>
      </c>
      <c r="B1499" s="2" t="s">
        <v>184</v>
      </c>
      <c r="C1499" s="2" t="s">
        <v>48</v>
      </c>
      <c r="D1499" s="2" t="s">
        <v>10</v>
      </c>
      <c r="E1499" s="2" t="s">
        <v>85</v>
      </c>
      <c r="F1499" s="2" t="s">
        <v>1146</v>
      </c>
      <c r="G1499" s="14" t="n">
        <v>19.5</v>
      </c>
      <c r="H1499" s="14" t="n">
        <v>20.83</v>
      </c>
      <c r="I1499" s="14" t="n">
        <v>19.5</v>
      </c>
      <c r="J1499" s="22" t="n">
        <f aca="false">IF(E1499="Priority",'Cost model'!N56,'Cost model'!M56)</f>
        <v>16.5</v>
      </c>
      <c r="K1499" s="14" t="n">
        <f aca="false">J1499-H1499</f>
        <v>-4.33</v>
      </c>
      <c r="L1499" s="14" t="n">
        <f aca="false">G1499-H1499</f>
        <v>-1.33</v>
      </c>
    </row>
    <row r="1500" customFormat="false" ht="15" hidden="false" customHeight="false" outlineLevel="0" collapsed="false">
      <c r="A1500" s="2" t="s">
        <v>126</v>
      </c>
      <c r="B1500" s="2" t="s">
        <v>126</v>
      </c>
      <c r="C1500" s="2" t="s">
        <v>50</v>
      </c>
      <c r="D1500" s="2" t="s">
        <v>10</v>
      </c>
      <c r="E1500" s="2" t="s">
        <v>76</v>
      </c>
      <c r="F1500" s="2" t="s">
        <v>1145</v>
      </c>
      <c r="G1500" s="14" t="n">
        <v>17.5</v>
      </c>
      <c r="H1500" s="14" t="n">
        <v>11.34</v>
      </c>
      <c r="I1500" s="14" t="n">
        <v>17.5</v>
      </c>
      <c r="J1500" s="22" t="n">
        <f aca="false">IF(E1500="Priority",'Cost model'!N382,'Cost model'!M382)</f>
        <v>18.5</v>
      </c>
      <c r="K1500" s="14" t="n">
        <f aca="false">J1500-H1500</f>
        <v>7.16</v>
      </c>
      <c r="L1500" s="14" t="n">
        <f aca="false">G1500-H1500</f>
        <v>6.16</v>
      </c>
    </row>
    <row r="1501" customFormat="false" ht="15" hidden="false" customHeight="false" outlineLevel="0" collapsed="false">
      <c r="A1501" s="2" t="s">
        <v>165</v>
      </c>
      <c r="B1501" s="2" t="s">
        <v>146</v>
      </c>
      <c r="C1501" s="2" t="s">
        <v>48</v>
      </c>
      <c r="D1501" s="2" t="s">
        <v>12</v>
      </c>
      <c r="E1501" s="2" t="s">
        <v>76</v>
      </c>
      <c r="F1501" s="2" t="s">
        <v>1146</v>
      </c>
      <c r="G1501" s="14" t="n">
        <v>14.5</v>
      </c>
      <c r="H1501" s="14" t="n">
        <v>115.23</v>
      </c>
      <c r="I1501" s="14" t="n">
        <v>19.5</v>
      </c>
      <c r="J1501" s="22" t="n">
        <f aca="false">IF(E1501="Priority",'Cost model'!N527,'Cost model'!M527)</f>
        <v>55</v>
      </c>
      <c r="K1501" s="14" t="n">
        <f aca="false">J1501-H1501</f>
        <v>-60.23</v>
      </c>
      <c r="L1501" s="14" t="n">
        <f aca="false">G1501-H1501</f>
        <v>-100.73</v>
      </c>
    </row>
    <row r="1502" customFormat="false" ht="15" hidden="false" customHeight="false" outlineLevel="0" collapsed="false">
      <c r="A1502" s="2" t="s">
        <v>165</v>
      </c>
      <c r="B1502" s="2" t="s">
        <v>240</v>
      </c>
      <c r="C1502" s="2" t="s">
        <v>50</v>
      </c>
      <c r="D1502" s="2" t="s">
        <v>12</v>
      </c>
      <c r="E1502" s="2" t="s">
        <v>76</v>
      </c>
      <c r="F1502" s="2" t="s">
        <v>1146</v>
      </c>
      <c r="G1502" s="14" t="n">
        <v>19.5</v>
      </c>
      <c r="H1502" s="14" t="n">
        <v>57.92</v>
      </c>
      <c r="I1502" s="14" t="n">
        <v>24.5</v>
      </c>
      <c r="J1502" s="22" t="n">
        <f aca="false">IF(E1502="Priority",'Cost model'!N565,'Cost model'!M565)</f>
        <v>65</v>
      </c>
      <c r="K1502" s="14" t="n">
        <f aca="false">J1502-H1502</f>
        <v>7.08</v>
      </c>
      <c r="L1502" s="14" t="n">
        <f aca="false">G1502-H1502</f>
        <v>-38.42</v>
      </c>
    </row>
    <row r="1503" customFormat="false" ht="15" hidden="false" customHeight="false" outlineLevel="0" collapsed="false">
      <c r="A1503" s="2" t="s">
        <v>184</v>
      </c>
      <c r="B1503" s="2" t="s">
        <v>126</v>
      </c>
      <c r="C1503" s="2" t="s">
        <v>49</v>
      </c>
      <c r="D1503" s="2" t="s">
        <v>12</v>
      </c>
      <c r="E1503" s="2" t="s">
        <v>76</v>
      </c>
      <c r="F1503" s="2" t="s">
        <v>1146</v>
      </c>
      <c r="G1503" s="14" t="n">
        <v>19.5</v>
      </c>
      <c r="H1503" s="14" t="n">
        <v>52.76</v>
      </c>
      <c r="I1503" s="14"/>
      <c r="J1503" s="22" t="n">
        <f aca="false">IF(E1503="Priority",'Cost model'!N132,'Cost model'!M132)</f>
        <v>50</v>
      </c>
      <c r="K1503" s="14" t="n">
        <f aca="false">J1503-H1503</f>
        <v>-2.76</v>
      </c>
      <c r="L1503" s="14" t="n">
        <f aca="false">G1503-H1503</f>
        <v>-33.26</v>
      </c>
    </row>
    <row r="1504" customFormat="false" ht="15" hidden="false" customHeight="false" outlineLevel="0" collapsed="false">
      <c r="A1504" s="2" t="s">
        <v>126</v>
      </c>
      <c r="B1504" s="2" t="s">
        <v>126</v>
      </c>
      <c r="C1504" s="2" t="s">
        <v>49</v>
      </c>
      <c r="D1504" s="2" t="s">
        <v>12</v>
      </c>
      <c r="E1504" s="2" t="s">
        <v>76</v>
      </c>
      <c r="F1504" s="2" t="s">
        <v>1145</v>
      </c>
      <c r="G1504" s="14" t="n">
        <v>14.5</v>
      </c>
      <c r="H1504" s="14" t="n">
        <v>70.94</v>
      </c>
      <c r="I1504" s="14" t="n">
        <v>12.5</v>
      </c>
      <c r="J1504" s="22" t="n">
        <f aca="false">IF(E1504="Priority",'Cost model'!N384,'Cost model'!M384)</f>
        <v>45</v>
      </c>
      <c r="K1504" s="14" t="n">
        <f aca="false">J1504-H1504</f>
        <v>-25.94</v>
      </c>
      <c r="L1504" s="14" t="n">
        <f aca="false">G1504-H1504</f>
        <v>-56.44</v>
      </c>
    </row>
    <row r="1505" customFormat="false" ht="15" hidden="false" customHeight="false" outlineLevel="0" collapsed="false">
      <c r="A1505" s="2" t="s">
        <v>240</v>
      </c>
      <c r="B1505" s="2" t="s">
        <v>126</v>
      </c>
      <c r="C1505" s="2" t="s">
        <v>48</v>
      </c>
      <c r="D1505" s="2" t="s">
        <v>14</v>
      </c>
      <c r="E1505" s="2" t="s">
        <v>76</v>
      </c>
      <c r="F1505" s="2" t="s">
        <v>1146</v>
      </c>
      <c r="G1505" s="14" t="n">
        <v>25</v>
      </c>
      <c r="H1505" s="14" t="n">
        <v>180.84</v>
      </c>
      <c r="I1505" s="14" t="n">
        <v>99</v>
      </c>
      <c r="J1505" s="22" t="n">
        <f aca="false">IF(E1505="Priority",'Cost model'!N965,'Cost model'!M965)</f>
        <v>170</v>
      </c>
      <c r="K1505" s="14" t="n">
        <f aca="false">J1505-H1505</f>
        <v>-10.84</v>
      </c>
      <c r="L1505" s="14" t="n">
        <f aca="false">G1505-H1505</f>
        <v>-155.84</v>
      </c>
    </row>
    <row r="1506" customFormat="false" ht="15" hidden="false" customHeight="false" outlineLevel="0" collapsed="false">
      <c r="A1506" s="2" t="s">
        <v>184</v>
      </c>
      <c r="B1506" s="2" t="s">
        <v>184</v>
      </c>
      <c r="C1506" s="2" t="s">
        <v>50</v>
      </c>
      <c r="D1506" s="2" t="s">
        <v>12</v>
      </c>
      <c r="E1506" s="2" t="s">
        <v>76</v>
      </c>
      <c r="F1506" s="2" t="s">
        <v>1145</v>
      </c>
      <c r="G1506" s="14" t="n">
        <v>19.5</v>
      </c>
      <c r="H1506" s="14" t="n">
        <v>42.66</v>
      </c>
      <c r="I1506" s="14" t="n">
        <v>19.5</v>
      </c>
      <c r="J1506" s="22" t="n">
        <f aca="false">IF(E1506="Priority",'Cost model'!N205,'Cost model'!M205)</f>
        <v>50</v>
      </c>
      <c r="K1506" s="14" t="n">
        <f aca="false">J1506-H1506</f>
        <v>7.34</v>
      </c>
      <c r="L1506" s="14" t="n">
        <f aca="false">G1506-H1506</f>
        <v>-23.16</v>
      </c>
    </row>
    <row r="1507" customFormat="false" ht="15" hidden="false" customHeight="false" outlineLevel="0" collapsed="false">
      <c r="A1507" s="2" t="s">
        <v>184</v>
      </c>
      <c r="B1507" s="2" t="s">
        <v>184</v>
      </c>
      <c r="C1507" s="2" t="s">
        <v>50</v>
      </c>
      <c r="D1507" s="2" t="s">
        <v>12</v>
      </c>
      <c r="E1507" s="2" t="s">
        <v>76</v>
      </c>
      <c r="F1507" s="2" t="s">
        <v>1145</v>
      </c>
      <c r="G1507" s="14" t="n">
        <v>19.5</v>
      </c>
      <c r="H1507" s="14" t="n">
        <v>43.38</v>
      </c>
      <c r="I1507" s="14" t="n">
        <v>19.5</v>
      </c>
      <c r="J1507" s="22" t="n">
        <f aca="false">IF(E1507="Priority",'Cost model'!N205,'Cost model'!M205)</f>
        <v>50</v>
      </c>
      <c r="K1507" s="14" t="n">
        <f aca="false">J1507-H1507</f>
        <v>6.62</v>
      </c>
      <c r="L1507" s="14" t="n">
        <f aca="false">G1507-H1507</f>
        <v>-23.88</v>
      </c>
    </row>
    <row r="1508" customFormat="false" ht="15" hidden="false" customHeight="false" outlineLevel="0" collapsed="false">
      <c r="A1508" s="2" t="s">
        <v>146</v>
      </c>
      <c r="B1508" s="2" t="s">
        <v>125</v>
      </c>
      <c r="C1508" s="2" t="s">
        <v>48</v>
      </c>
      <c r="D1508" s="2" t="s">
        <v>10</v>
      </c>
      <c r="E1508" s="2" t="s">
        <v>76</v>
      </c>
      <c r="F1508" s="2" t="s">
        <v>1146</v>
      </c>
      <c r="G1508" s="14" t="n">
        <v>9.5</v>
      </c>
      <c r="H1508" s="14" t="n">
        <v>24.63</v>
      </c>
      <c r="I1508" s="14" t="n">
        <v>19.5</v>
      </c>
      <c r="J1508" s="22" t="n">
        <f aca="false">IF(E1508="Priority",'Cost model'!N866,'Cost model'!M866)</f>
        <v>15.5</v>
      </c>
      <c r="K1508" s="14" t="n">
        <f aca="false">J1508-H1508</f>
        <v>-9.13</v>
      </c>
      <c r="L1508" s="14" t="n">
        <f aca="false">G1508-H1508</f>
        <v>-15.13</v>
      </c>
    </row>
    <row r="1509" customFormat="false" ht="15" hidden="false" customHeight="false" outlineLevel="0" collapsed="false">
      <c r="A1509" s="2" t="s">
        <v>184</v>
      </c>
      <c r="B1509" s="2" t="s">
        <v>165</v>
      </c>
      <c r="C1509" s="2" t="s">
        <v>50</v>
      </c>
      <c r="D1509" s="2" t="s">
        <v>13</v>
      </c>
      <c r="E1509" s="2" t="s">
        <v>76</v>
      </c>
      <c r="F1509" s="2" t="s">
        <v>1146</v>
      </c>
      <c r="G1509" s="14" t="n">
        <v>50</v>
      </c>
      <c r="H1509" s="14" t="n">
        <v>72.42</v>
      </c>
      <c r="I1509" s="14" t="n">
        <v>85</v>
      </c>
      <c r="J1509" s="22" t="n">
        <f aca="false">IF(E1509="Priority",'Cost model'!N172,'Cost model'!M172)</f>
        <v>115</v>
      </c>
      <c r="K1509" s="14" t="n">
        <f aca="false">J1509-H1509</f>
        <v>42.58</v>
      </c>
      <c r="L1509" s="14" t="n">
        <f aca="false">G1509-H1509</f>
        <v>-22.42</v>
      </c>
    </row>
    <row r="1510" customFormat="false" ht="15" hidden="false" customHeight="false" outlineLevel="0" collapsed="false">
      <c r="A1510" s="2" t="s">
        <v>184</v>
      </c>
      <c r="B1510" s="2" t="s">
        <v>184</v>
      </c>
      <c r="C1510" s="2" t="s">
        <v>49</v>
      </c>
      <c r="D1510" s="2" t="s">
        <v>12</v>
      </c>
      <c r="E1510" s="2" t="s">
        <v>76</v>
      </c>
      <c r="F1510" s="2" t="s">
        <v>1145</v>
      </c>
      <c r="G1510" s="14" t="n">
        <v>12.5</v>
      </c>
      <c r="H1510" s="14" t="n">
        <v>72.49</v>
      </c>
      <c r="I1510" s="14"/>
      <c r="J1510" s="22" t="n">
        <f aca="false">IF(E1510="Priority",'Cost model'!N204,'Cost model'!M204)</f>
        <v>45</v>
      </c>
      <c r="K1510" s="14" t="n">
        <f aca="false">J1510-H1510</f>
        <v>-27.49</v>
      </c>
      <c r="L1510" s="14" t="n">
        <f aca="false">G1510-H1510</f>
        <v>-59.99</v>
      </c>
    </row>
    <row r="1511" customFormat="false" ht="15" hidden="false" customHeight="false" outlineLevel="0" collapsed="false">
      <c r="A1511" s="2" t="s">
        <v>184</v>
      </c>
      <c r="B1511" s="2" t="s">
        <v>126</v>
      </c>
      <c r="C1511" s="2" t="s">
        <v>48</v>
      </c>
      <c r="D1511" s="2" t="s">
        <v>12</v>
      </c>
      <c r="E1511" s="2" t="s">
        <v>76</v>
      </c>
      <c r="F1511" s="2" t="s">
        <v>1146</v>
      </c>
      <c r="G1511" s="14" t="n">
        <v>9.5</v>
      </c>
      <c r="H1511" s="14" t="n">
        <v>43.79</v>
      </c>
      <c r="I1511" s="14" t="n">
        <v>9.5</v>
      </c>
      <c r="J1511" s="22" t="n">
        <f aca="false">IF(E1511="Priority",'Cost model'!N131,'Cost model'!M131)</f>
        <v>40</v>
      </c>
      <c r="K1511" s="14" t="n">
        <f aca="false">J1511-H1511</f>
        <v>-3.79</v>
      </c>
      <c r="L1511" s="14" t="n">
        <f aca="false">G1511-H1511</f>
        <v>-34.29</v>
      </c>
    </row>
    <row r="1512" customFormat="false" ht="15" hidden="false" customHeight="false" outlineLevel="0" collapsed="false">
      <c r="A1512" s="2" t="s">
        <v>126</v>
      </c>
      <c r="B1512" s="2" t="s">
        <v>165</v>
      </c>
      <c r="C1512" s="2" t="s">
        <v>48</v>
      </c>
      <c r="D1512" s="2" t="s">
        <v>13</v>
      </c>
      <c r="E1512" s="2" t="s">
        <v>76</v>
      </c>
      <c r="F1512" s="2" t="s">
        <v>1146</v>
      </c>
      <c r="G1512" s="14" t="n">
        <v>19.5</v>
      </c>
      <c r="H1512" s="14" t="n">
        <v>209.04</v>
      </c>
      <c r="I1512" s="14" t="n">
        <v>24.5</v>
      </c>
      <c r="J1512" s="22" t="n">
        <f aca="false">IF(E1512="Priority",'Cost model'!N422,'Cost model'!M422)</f>
        <v>100</v>
      </c>
      <c r="K1512" s="14" t="n">
        <f aca="false">J1512-H1512</f>
        <v>-109.04</v>
      </c>
      <c r="L1512" s="14" t="n">
        <f aca="false">G1512-H1512</f>
        <v>-189.54</v>
      </c>
    </row>
    <row r="1513" customFormat="false" ht="15" hidden="false" customHeight="false" outlineLevel="0" collapsed="false">
      <c r="A1513" s="2" t="s">
        <v>126</v>
      </c>
      <c r="B1513" s="2" t="s">
        <v>126</v>
      </c>
      <c r="C1513" s="2" t="s">
        <v>48</v>
      </c>
      <c r="D1513" s="2" t="s">
        <v>12</v>
      </c>
      <c r="E1513" s="2" t="s">
        <v>85</v>
      </c>
      <c r="F1513" s="2" t="s">
        <v>1145</v>
      </c>
      <c r="G1513" s="14" t="n">
        <v>19.5</v>
      </c>
      <c r="H1513" s="14" t="n">
        <v>42.23</v>
      </c>
      <c r="I1513" s="14" t="n">
        <v>19.5</v>
      </c>
      <c r="J1513" s="22" t="n">
        <f aca="false">IF(E1513="Priority",'Cost model'!N383,'Cost model'!M383)</f>
        <v>35</v>
      </c>
      <c r="K1513" s="14" t="n">
        <f aca="false">J1513-H1513</f>
        <v>-7.23</v>
      </c>
      <c r="L1513" s="14" t="n">
        <f aca="false">G1513-H1513</f>
        <v>-22.73</v>
      </c>
    </row>
    <row r="1514" customFormat="false" ht="15" hidden="false" customHeight="false" outlineLevel="0" collapsed="false">
      <c r="A1514" s="2" t="s">
        <v>126</v>
      </c>
      <c r="B1514" s="2" t="s">
        <v>126</v>
      </c>
      <c r="C1514" s="2" t="s">
        <v>48</v>
      </c>
      <c r="D1514" s="2" t="s">
        <v>10</v>
      </c>
      <c r="E1514" s="2" t="s">
        <v>76</v>
      </c>
      <c r="F1514" s="2" t="s">
        <v>1145</v>
      </c>
      <c r="G1514" s="14" t="n">
        <v>9.5</v>
      </c>
      <c r="H1514" s="14" t="n">
        <v>7.46</v>
      </c>
      <c r="I1514" s="14" t="n">
        <v>9.5</v>
      </c>
      <c r="J1514" s="22" t="n">
        <f aca="false">IF(E1514="Priority",'Cost model'!N380,'Cost model'!M380)</f>
        <v>8.5</v>
      </c>
      <c r="K1514" s="14" t="n">
        <f aca="false">J1514-H1514</f>
        <v>1.04</v>
      </c>
      <c r="L1514" s="14" t="n">
        <f aca="false">G1514-H1514</f>
        <v>2.04</v>
      </c>
    </row>
    <row r="1515" customFormat="false" ht="15" hidden="false" customHeight="false" outlineLevel="0" collapsed="false">
      <c r="A1515" s="2" t="s">
        <v>240</v>
      </c>
      <c r="B1515" s="2" t="s">
        <v>240</v>
      </c>
      <c r="C1515" s="2" t="s">
        <v>50</v>
      </c>
      <c r="D1515" s="2" t="s">
        <v>12</v>
      </c>
      <c r="E1515" s="2" t="s">
        <v>76</v>
      </c>
      <c r="F1515" s="2" t="s">
        <v>1145</v>
      </c>
      <c r="G1515" s="14" t="n">
        <v>19.5</v>
      </c>
      <c r="H1515" s="14" t="n">
        <v>17.69</v>
      </c>
      <c r="I1515" s="14" t="n">
        <v>19.5</v>
      </c>
      <c r="J1515" s="22" t="n">
        <f aca="false">IF(E1515="Priority",'Cost model'!N889,'Cost model'!M889)</f>
        <v>60</v>
      </c>
      <c r="K1515" s="14" t="n">
        <f aca="false">J1515-H1515</f>
        <v>42.31</v>
      </c>
      <c r="L1515" s="14" t="n">
        <f aca="false">G1515-H1515</f>
        <v>1.81</v>
      </c>
    </row>
    <row r="1516" customFormat="false" ht="15" hidden="false" customHeight="false" outlineLevel="0" collapsed="false">
      <c r="A1516" s="2" t="s">
        <v>184</v>
      </c>
      <c r="B1516" s="2" t="s">
        <v>184</v>
      </c>
      <c r="C1516" s="2" t="s">
        <v>49</v>
      </c>
      <c r="D1516" s="2" t="s">
        <v>12</v>
      </c>
      <c r="E1516" s="2" t="s">
        <v>76</v>
      </c>
      <c r="F1516" s="2" t="s">
        <v>1145</v>
      </c>
      <c r="G1516" s="14" t="n">
        <v>12.5</v>
      </c>
      <c r="H1516" s="14" t="n">
        <v>12.54</v>
      </c>
      <c r="I1516" s="14"/>
      <c r="J1516" s="22" t="n">
        <f aca="false">IF(E1516="Priority",'Cost model'!N204,'Cost model'!M204)</f>
        <v>45</v>
      </c>
      <c r="K1516" s="14" t="n">
        <f aca="false">J1516-H1516</f>
        <v>32.46</v>
      </c>
      <c r="L1516" s="14" t="n">
        <f aca="false">G1516-H1516</f>
        <v>-0.0399999999999992</v>
      </c>
    </row>
    <row r="1517" customFormat="false" ht="15" hidden="false" customHeight="false" outlineLevel="0" collapsed="false">
      <c r="A1517" s="2" t="s">
        <v>126</v>
      </c>
      <c r="B1517" s="2" t="s">
        <v>184</v>
      </c>
      <c r="C1517" s="2" t="s">
        <v>49</v>
      </c>
      <c r="D1517" s="2" t="s">
        <v>12</v>
      </c>
      <c r="E1517" s="2" t="s">
        <v>76</v>
      </c>
      <c r="F1517" s="2" t="s">
        <v>1146</v>
      </c>
      <c r="G1517" s="14" t="n">
        <v>14.5</v>
      </c>
      <c r="H1517" s="14" t="n">
        <v>65.87</v>
      </c>
      <c r="I1517" s="14" t="n">
        <v>19.5</v>
      </c>
      <c r="J1517" s="22" t="n">
        <f aca="false">IF(E1517="Priority",'Cost model'!N438,'Cost model'!M438)</f>
        <v>55</v>
      </c>
      <c r="K1517" s="14" t="n">
        <f aca="false">J1517-H1517</f>
        <v>-10.87</v>
      </c>
      <c r="L1517" s="14" t="n">
        <f aca="false">G1517-H1517</f>
        <v>-51.37</v>
      </c>
    </row>
    <row r="1518" customFormat="false" ht="15" hidden="false" customHeight="false" outlineLevel="0" collapsed="false">
      <c r="A1518" s="2" t="s">
        <v>184</v>
      </c>
      <c r="B1518" s="2" t="s">
        <v>184</v>
      </c>
      <c r="C1518" s="2" t="s">
        <v>49</v>
      </c>
      <c r="D1518" s="2" t="s">
        <v>10</v>
      </c>
      <c r="E1518" s="2" t="s">
        <v>76</v>
      </c>
      <c r="F1518" s="2" t="s">
        <v>1145</v>
      </c>
      <c r="G1518" s="14" t="n">
        <v>12.5</v>
      </c>
      <c r="H1518" s="14" t="n">
        <v>25.41</v>
      </c>
      <c r="I1518" s="14" t="n">
        <v>12.5</v>
      </c>
      <c r="J1518" s="22" t="n">
        <f aca="false">IF(E1518="Priority",'Cost model'!N201,'Cost model'!M201)</f>
        <v>12.5</v>
      </c>
      <c r="K1518" s="14" t="n">
        <f aca="false">J1518-H1518</f>
        <v>-12.91</v>
      </c>
      <c r="L1518" s="14" t="n">
        <f aca="false">G1518-H1518</f>
        <v>-12.91</v>
      </c>
    </row>
    <row r="1519" customFormat="false" ht="15" hidden="false" customHeight="false" outlineLevel="0" collapsed="false">
      <c r="A1519" s="2" t="s">
        <v>126</v>
      </c>
      <c r="B1519" s="2" t="s">
        <v>126</v>
      </c>
      <c r="C1519" s="2" t="s">
        <v>48</v>
      </c>
      <c r="D1519" s="2" t="s">
        <v>12</v>
      </c>
      <c r="E1519" s="2" t="s">
        <v>76</v>
      </c>
      <c r="F1519" s="2" t="s">
        <v>1145</v>
      </c>
      <c r="G1519" s="14" t="n">
        <v>9.5</v>
      </c>
      <c r="H1519" s="14" t="n">
        <v>7.12</v>
      </c>
      <c r="I1519" s="14" t="n">
        <v>9.5</v>
      </c>
      <c r="J1519" s="22" t="n">
        <f aca="false">IF(E1519="Priority",'Cost model'!N383,'Cost model'!M383)</f>
        <v>27.5</v>
      </c>
      <c r="K1519" s="14" t="n">
        <f aca="false">J1519-H1519</f>
        <v>20.38</v>
      </c>
      <c r="L1519" s="14" t="n">
        <f aca="false">G1519-H1519</f>
        <v>2.38</v>
      </c>
    </row>
    <row r="1520" customFormat="false" ht="15" hidden="false" customHeight="false" outlineLevel="0" collapsed="false">
      <c r="A1520" s="2" t="s">
        <v>146</v>
      </c>
      <c r="B1520" s="2" t="s">
        <v>146</v>
      </c>
      <c r="C1520" s="2" t="s">
        <v>48</v>
      </c>
      <c r="D1520" s="2" t="s">
        <v>12</v>
      </c>
      <c r="E1520" s="2" t="s">
        <v>76</v>
      </c>
      <c r="F1520" s="2" t="s">
        <v>1145</v>
      </c>
      <c r="G1520" s="14" t="n">
        <v>9.5</v>
      </c>
      <c r="H1520" s="14" t="n">
        <v>43.77</v>
      </c>
      <c r="I1520" s="14" t="n">
        <v>9.5</v>
      </c>
      <c r="J1520" s="22" t="n">
        <f aca="false">IF(E1520="Priority",'Cost model'!N761,'Cost model'!M761)</f>
        <v>35</v>
      </c>
      <c r="K1520" s="14" t="n">
        <f aca="false">J1520-H1520</f>
        <v>-8.77</v>
      </c>
      <c r="L1520" s="14" t="n">
        <f aca="false">G1520-H1520</f>
        <v>-34.27</v>
      </c>
    </row>
    <row r="1521" customFormat="false" ht="15" hidden="false" customHeight="false" outlineLevel="0" collapsed="false">
      <c r="A1521" s="2" t="s">
        <v>240</v>
      </c>
      <c r="B1521" s="2" t="s">
        <v>146</v>
      </c>
      <c r="C1521" s="2" t="s">
        <v>48</v>
      </c>
      <c r="D1521" s="2" t="s">
        <v>12</v>
      </c>
      <c r="E1521" s="2" t="s">
        <v>76</v>
      </c>
      <c r="F1521" s="2" t="s">
        <v>1146</v>
      </c>
      <c r="G1521" s="14" t="n">
        <v>19.5</v>
      </c>
      <c r="H1521" s="14" t="n">
        <v>45.31</v>
      </c>
      <c r="I1521" s="14" t="n">
        <v>24.5</v>
      </c>
      <c r="J1521" s="22" t="n">
        <f aca="false">IF(E1521="Priority",'Cost model'!N923,'Cost model'!M923)</f>
        <v>65</v>
      </c>
      <c r="K1521" s="14" t="n">
        <f aca="false">J1521-H1521</f>
        <v>19.69</v>
      </c>
      <c r="L1521" s="14" t="n">
        <f aca="false">G1521-H1521</f>
        <v>-25.81</v>
      </c>
    </row>
    <row r="1522" customFormat="false" ht="15" hidden="false" customHeight="false" outlineLevel="0" collapsed="false">
      <c r="A1522" s="2" t="s">
        <v>184</v>
      </c>
      <c r="B1522" s="2" t="s">
        <v>165</v>
      </c>
      <c r="C1522" s="2" t="s">
        <v>49</v>
      </c>
      <c r="D1522" s="2" t="s">
        <v>10</v>
      </c>
      <c r="E1522" s="2" t="s">
        <v>76</v>
      </c>
      <c r="F1522" s="2" t="s">
        <v>1146</v>
      </c>
      <c r="G1522" s="14" t="n">
        <v>19.5</v>
      </c>
      <c r="H1522" s="14" t="n">
        <v>20.83</v>
      </c>
      <c r="I1522" s="14"/>
      <c r="J1522" s="22" t="n">
        <f aca="false">IF(E1522="Priority",'Cost model'!N165,'Cost model'!M165)</f>
        <v>15.5</v>
      </c>
      <c r="K1522" s="14" t="n">
        <f aca="false">J1522-H1522</f>
        <v>-5.33</v>
      </c>
      <c r="L1522" s="14" t="n">
        <f aca="false">G1522-H1522</f>
        <v>-1.33</v>
      </c>
    </row>
    <row r="1523" customFormat="false" ht="15" hidden="false" customHeight="false" outlineLevel="0" collapsed="false">
      <c r="A1523" s="2" t="s">
        <v>240</v>
      </c>
      <c r="B1523" s="2" t="s">
        <v>165</v>
      </c>
      <c r="C1523" s="2" t="s">
        <v>48</v>
      </c>
      <c r="D1523" s="2" t="s">
        <v>12</v>
      </c>
      <c r="E1523" s="2" t="s">
        <v>76</v>
      </c>
      <c r="F1523" s="2" t="s">
        <v>1146</v>
      </c>
      <c r="G1523" s="14" t="n">
        <v>19.5</v>
      </c>
      <c r="H1523" s="14" t="n">
        <v>55.87</v>
      </c>
      <c r="I1523" s="14" t="n">
        <v>19.5</v>
      </c>
      <c r="J1523" s="22" t="n">
        <f aca="false">IF(E1523="Priority",'Cost model'!N905,'Cost model'!M905)</f>
        <v>50</v>
      </c>
      <c r="K1523" s="14" t="n">
        <f aca="false">J1523-H1523</f>
        <v>-5.87</v>
      </c>
      <c r="L1523" s="14" t="n">
        <f aca="false">G1523-H1523</f>
        <v>-36.37</v>
      </c>
    </row>
    <row r="1524" customFormat="false" ht="15" hidden="false" customHeight="false" outlineLevel="0" collapsed="false">
      <c r="A1524" s="2" t="s">
        <v>240</v>
      </c>
      <c r="B1524" s="2" t="s">
        <v>240</v>
      </c>
      <c r="C1524" s="2" t="s">
        <v>50</v>
      </c>
      <c r="D1524" s="2" t="s">
        <v>12</v>
      </c>
      <c r="E1524" s="2" t="s">
        <v>85</v>
      </c>
      <c r="F1524" s="2" t="s">
        <v>1145</v>
      </c>
      <c r="G1524" s="14" t="n">
        <v>29.5</v>
      </c>
      <c r="H1524" s="14" t="n">
        <v>82.15</v>
      </c>
      <c r="I1524" s="14" t="n">
        <v>29.5</v>
      </c>
      <c r="J1524" s="22" t="n">
        <f aca="false">IF(E1524="Priority",'Cost model'!N889,'Cost model'!M889)</f>
        <v>80</v>
      </c>
      <c r="K1524" s="14" t="n">
        <f aca="false">J1524-H1524</f>
        <v>-2.15000000000001</v>
      </c>
      <c r="L1524" s="14" t="n">
        <f aca="false">G1524-H1524</f>
        <v>-52.65</v>
      </c>
    </row>
    <row r="1525" customFormat="false" ht="15" hidden="false" customHeight="false" outlineLevel="0" collapsed="false">
      <c r="A1525" s="2" t="s">
        <v>184</v>
      </c>
      <c r="B1525" s="2" t="s">
        <v>184</v>
      </c>
      <c r="C1525" s="2" t="s">
        <v>49</v>
      </c>
      <c r="D1525" s="2" t="s">
        <v>10</v>
      </c>
      <c r="E1525" s="2" t="s">
        <v>76</v>
      </c>
      <c r="F1525" s="2" t="s">
        <v>1145</v>
      </c>
      <c r="G1525" s="14" t="n">
        <v>17.5</v>
      </c>
      <c r="H1525" s="14" t="n">
        <v>42.61</v>
      </c>
      <c r="I1525" s="14"/>
      <c r="J1525" s="22" t="n">
        <f aca="false">IF(E1525="Priority",'Cost model'!N201,'Cost model'!M201)</f>
        <v>12.5</v>
      </c>
      <c r="K1525" s="14" t="n">
        <f aca="false">J1525-H1525</f>
        <v>-30.11</v>
      </c>
      <c r="L1525" s="14" t="n">
        <f aca="false">G1525-H1525</f>
        <v>-25.11</v>
      </c>
    </row>
    <row r="1526" customFormat="false" ht="15" hidden="false" customHeight="false" outlineLevel="0" collapsed="false">
      <c r="A1526" s="2" t="s">
        <v>146</v>
      </c>
      <c r="B1526" s="2" t="s">
        <v>146</v>
      </c>
      <c r="C1526" s="2" t="s">
        <v>49</v>
      </c>
      <c r="D1526" s="2" t="s">
        <v>10</v>
      </c>
      <c r="E1526" s="2" t="s">
        <v>76</v>
      </c>
      <c r="F1526" s="2" t="s">
        <v>1145</v>
      </c>
      <c r="G1526" s="14" t="n">
        <v>12.5</v>
      </c>
      <c r="H1526" s="14" t="n">
        <v>25.65</v>
      </c>
      <c r="I1526" s="14" t="n">
        <v>12.5</v>
      </c>
      <c r="J1526" s="22" t="n">
        <f aca="false">IF(E1526="Priority",'Cost model'!N759,'Cost model'!M759)</f>
        <v>15.5</v>
      </c>
      <c r="K1526" s="14" t="n">
        <f aca="false">J1526-H1526</f>
        <v>-10.15</v>
      </c>
      <c r="L1526" s="14" t="n">
        <f aca="false">G1526-H1526</f>
        <v>-13.15</v>
      </c>
    </row>
    <row r="1527" customFormat="false" ht="15" hidden="false" customHeight="false" outlineLevel="0" collapsed="false">
      <c r="A1527" s="2" t="s">
        <v>125</v>
      </c>
      <c r="B1527" s="2" t="s">
        <v>125</v>
      </c>
      <c r="C1527" s="2" t="s">
        <v>48</v>
      </c>
      <c r="D1527" s="2" t="s">
        <v>10</v>
      </c>
      <c r="E1527" s="2" t="s">
        <v>76</v>
      </c>
      <c r="F1527" s="2" t="s">
        <v>1145</v>
      </c>
      <c r="G1527" s="14" t="n">
        <v>9.5</v>
      </c>
      <c r="H1527" s="14" t="n">
        <v>20.83</v>
      </c>
      <c r="I1527" s="14" t="n">
        <v>9.5</v>
      </c>
      <c r="J1527" s="22" t="n">
        <f aca="false">IF(E1527="Priority",'Cost model'!N74,'Cost model'!M74)</f>
        <v>21.5</v>
      </c>
      <c r="K1527" s="14" t="n">
        <f aca="false">J1527-H1527</f>
        <v>0.670000000000002</v>
      </c>
      <c r="L1527" s="14" t="n">
        <f aca="false">G1527-H1527</f>
        <v>-11.33</v>
      </c>
    </row>
    <row r="1528" customFormat="false" ht="15" hidden="false" customHeight="false" outlineLevel="0" collapsed="false">
      <c r="A1528" s="2" t="s">
        <v>184</v>
      </c>
      <c r="B1528" s="2" t="s">
        <v>184</v>
      </c>
      <c r="C1528" s="2" t="s">
        <v>48</v>
      </c>
      <c r="D1528" s="2" t="s">
        <v>12</v>
      </c>
      <c r="E1528" s="2" t="s">
        <v>76</v>
      </c>
      <c r="F1528" s="2" t="s">
        <v>1145</v>
      </c>
      <c r="G1528" s="14" t="n">
        <v>9.5</v>
      </c>
      <c r="H1528" s="14" t="n">
        <v>13.14</v>
      </c>
      <c r="I1528" s="14" t="n">
        <v>9.5</v>
      </c>
      <c r="J1528" s="22" t="n">
        <f aca="false">IF(E1528="Priority",'Cost model'!N203,'Cost model'!M203)</f>
        <v>26.5</v>
      </c>
      <c r="K1528" s="14" t="n">
        <f aca="false">J1528-H1528</f>
        <v>13.36</v>
      </c>
      <c r="L1528" s="14" t="n">
        <f aca="false">G1528-H1528</f>
        <v>-3.64</v>
      </c>
    </row>
    <row r="1529" customFormat="false" ht="15" hidden="false" customHeight="false" outlineLevel="0" collapsed="false">
      <c r="A1529" s="2" t="s">
        <v>126</v>
      </c>
      <c r="B1529" s="2" t="s">
        <v>126</v>
      </c>
      <c r="C1529" s="2" t="s">
        <v>49</v>
      </c>
      <c r="D1529" s="2" t="s">
        <v>10</v>
      </c>
      <c r="E1529" s="2" t="s">
        <v>76</v>
      </c>
      <c r="F1529" s="2" t="s">
        <v>1145</v>
      </c>
      <c r="G1529" s="14" t="n">
        <v>12.5</v>
      </c>
      <c r="H1529" s="14" t="n">
        <v>17.31</v>
      </c>
      <c r="I1529" s="14" t="n">
        <v>12.5</v>
      </c>
      <c r="J1529" s="22" t="n">
        <f aca="false">IF(E1529="Priority",'Cost model'!N381,'Cost model'!M381)</f>
        <v>14.5</v>
      </c>
      <c r="K1529" s="14" t="n">
        <f aca="false">J1529-H1529</f>
        <v>-2.81</v>
      </c>
      <c r="L1529" s="14" t="n">
        <f aca="false">G1529-H1529</f>
        <v>-4.81</v>
      </c>
    </row>
    <row r="1530" customFormat="false" ht="15" hidden="false" customHeight="false" outlineLevel="0" collapsed="false">
      <c r="A1530" s="2" t="s">
        <v>146</v>
      </c>
      <c r="B1530" s="2" t="s">
        <v>146</v>
      </c>
      <c r="C1530" s="2" t="s">
        <v>50</v>
      </c>
      <c r="D1530" s="2" t="s">
        <v>10</v>
      </c>
      <c r="E1530" s="2" t="s">
        <v>76</v>
      </c>
      <c r="F1530" s="2" t="s">
        <v>1145</v>
      </c>
      <c r="G1530" s="14" t="n">
        <v>17.5</v>
      </c>
      <c r="H1530" s="14" t="n">
        <v>21.76</v>
      </c>
      <c r="I1530" s="14" t="n">
        <v>17.5</v>
      </c>
      <c r="J1530" s="22" t="n">
        <f aca="false">IF(E1530="Priority",'Cost model'!N760,'Cost model'!M760)</f>
        <v>18.5</v>
      </c>
      <c r="K1530" s="14" t="n">
        <f aca="false">J1530-H1530</f>
        <v>-3.26</v>
      </c>
      <c r="L1530" s="14" t="n">
        <f aca="false">G1530-H1530</f>
        <v>-4.26</v>
      </c>
    </row>
    <row r="1531" customFormat="false" ht="15" hidden="false" customHeight="false" outlineLevel="0" collapsed="false">
      <c r="A1531" s="2" t="s">
        <v>184</v>
      </c>
      <c r="B1531" s="2" t="s">
        <v>184</v>
      </c>
      <c r="C1531" s="2" t="s">
        <v>49</v>
      </c>
      <c r="D1531" s="2" t="s">
        <v>12</v>
      </c>
      <c r="E1531" s="2" t="s">
        <v>76</v>
      </c>
      <c r="F1531" s="2" t="s">
        <v>1145</v>
      </c>
      <c r="G1531" s="14" t="n">
        <v>19.5</v>
      </c>
      <c r="H1531" s="14" t="n">
        <v>44.12</v>
      </c>
      <c r="I1531" s="14"/>
      <c r="J1531" s="22" t="n">
        <f aca="false">IF(E1531="Priority",'Cost model'!N204,'Cost model'!M204)</f>
        <v>45</v>
      </c>
      <c r="K1531" s="14" t="n">
        <f aca="false">J1531-H1531</f>
        <v>0.880000000000003</v>
      </c>
      <c r="L1531" s="14" t="n">
        <f aca="false">G1531-H1531</f>
        <v>-24.62</v>
      </c>
    </row>
    <row r="1532" customFormat="false" ht="15" hidden="false" customHeight="false" outlineLevel="0" collapsed="false">
      <c r="A1532" s="2" t="s">
        <v>125</v>
      </c>
      <c r="B1532" s="2" t="s">
        <v>184</v>
      </c>
      <c r="C1532" s="2" t="s">
        <v>48</v>
      </c>
      <c r="D1532" s="2" t="s">
        <v>13</v>
      </c>
      <c r="E1532" s="2" t="s">
        <v>76</v>
      </c>
      <c r="F1532" s="2" t="s">
        <v>1146</v>
      </c>
      <c r="G1532" s="14" t="n">
        <v>19</v>
      </c>
      <c r="H1532" s="14" t="n">
        <v>101.37</v>
      </c>
      <c r="I1532" s="14" t="n">
        <v>24.5</v>
      </c>
      <c r="J1532" s="22" t="n">
        <f aca="false">IF(E1532="Priority",'Cost model'!N62,'Cost model'!M62)</f>
        <v>80</v>
      </c>
      <c r="K1532" s="14" t="n">
        <f aca="false">J1532-H1532</f>
        <v>-21.37</v>
      </c>
      <c r="L1532" s="14" t="n">
        <f aca="false">G1532-H1532</f>
        <v>-82.37</v>
      </c>
    </row>
    <row r="1533" customFormat="false" ht="15" hidden="false" customHeight="false" outlineLevel="0" collapsed="false">
      <c r="A1533" s="2" t="s">
        <v>184</v>
      </c>
      <c r="B1533" s="2" t="s">
        <v>184</v>
      </c>
      <c r="C1533" s="2" t="s">
        <v>48</v>
      </c>
      <c r="D1533" s="2" t="s">
        <v>12</v>
      </c>
      <c r="E1533" s="2" t="s">
        <v>76</v>
      </c>
      <c r="F1533" s="2" t="s">
        <v>1145</v>
      </c>
      <c r="G1533" s="14" t="n">
        <v>9.5</v>
      </c>
      <c r="H1533" s="14" t="n">
        <v>30.02</v>
      </c>
      <c r="I1533" s="14" t="n">
        <v>9.5</v>
      </c>
      <c r="J1533" s="22" t="n">
        <f aca="false">IF(E1533="Priority",'Cost model'!N203,'Cost model'!M203)</f>
        <v>26.5</v>
      </c>
      <c r="K1533" s="14" t="n">
        <f aca="false">J1533-H1533</f>
        <v>-3.52</v>
      </c>
      <c r="L1533" s="14" t="n">
        <f aca="false">G1533-H1533</f>
        <v>-20.52</v>
      </c>
    </row>
    <row r="1534" customFormat="false" ht="15" hidden="false" customHeight="false" outlineLevel="0" collapsed="false">
      <c r="A1534" s="2" t="s">
        <v>240</v>
      </c>
      <c r="B1534" s="2" t="s">
        <v>221</v>
      </c>
      <c r="C1534" s="2" t="s">
        <v>50</v>
      </c>
      <c r="D1534" s="2" t="s">
        <v>10</v>
      </c>
      <c r="E1534" s="2" t="s">
        <v>76</v>
      </c>
      <c r="F1534" s="2" t="s">
        <v>1146</v>
      </c>
      <c r="G1534" s="14" t="n">
        <v>19.5</v>
      </c>
      <c r="H1534" s="14" t="n">
        <v>13.7</v>
      </c>
      <c r="I1534" s="14"/>
      <c r="J1534" s="22" t="n">
        <f aca="false">IF(E1534="Priority",'Cost model'!N994,'Cost model'!M994)</f>
        <v>18.5</v>
      </c>
      <c r="K1534" s="14" t="n">
        <f aca="false">J1534-H1534</f>
        <v>4.8</v>
      </c>
      <c r="L1534" s="14" t="n">
        <f aca="false">G1534-H1534</f>
        <v>5.8</v>
      </c>
    </row>
    <row r="1535" customFormat="false" ht="15" hidden="false" customHeight="false" outlineLevel="0" collapsed="false">
      <c r="A1535" s="2" t="s">
        <v>126</v>
      </c>
      <c r="B1535" s="2" t="s">
        <v>126</v>
      </c>
      <c r="C1535" s="2" t="s">
        <v>48</v>
      </c>
      <c r="D1535" s="2" t="s">
        <v>12</v>
      </c>
      <c r="E1535" s="2" t="s">
        <v>76</v>
      </c>
      <c r="F1535" s="2" t="s">
        <v>1145</v>
      </c>
      <c r="G1535" s="14" t="n">
        <v>9.5</v>
      </c>
      <c r="H1535" s="14" t="n">
        <v>28.52</v>
      </c>
      <c r="I1535" s="14" t="n">
        <v>9.5</v>
      </c>
      <c r="J1535" s="22" t="n">
        <f aca="false">IF(E1535="Priority",'Cost model'!N383,'Cost model'!M383)</f>
        <v>27.5</v>
      </c>
      <c r="K1535" s="14" t="n">
        <f aca="false">J1535-H1535</f>
        <v>-1.02</v>
      </c>
      <c r="L1535" s="14" t="n">
        <f aca="false">G1535-H1535</f>
        <v>-19.02</v>
      </c>
    </row>
    <row r="1536" customFormat="false" ht="15" hidden="false" customHeight="false" outlineLevel="0" collapsed="false">
      <c r="A1536" s="2" t="s">
        <v>184</v>
      </c>
      <c r="B1536" s="2" t="s">
        <v>184</v>
      </c>
      <c r="C1536" s="2" t="s">
        <v>48</v>
      </c>
      <c r="D1536" s="2" t="s">
        <v>12</v>
      </c>
      <c r="E1536" s="2" t="s">
        <v>76</v>
      </c>
      <c r="F1536" s="2" t="s">
        <v>1145</v>
      </c>
      <c r="G1536" s="14" t="n">
        <v>9.5</v>
      </c>
      <c r="H1536" s="14" t="n">
        <v>47.45</v>
      </c>
      <c r="I1536" s="14" t="n">
        <v>9.5</v>
      </c>
      <c r="J1536" s="22" t="n">
        <f aca="false">IF(E1536="Priority",'Cost model'!N203,'Cost model'!M203)</f>
        <v>26.5</v>
      </c>
      <c r="K1536" s="14" t="n">
        <f aca="false">J1536-H1536</f>
        <v>-20.95</v>
      </c>
      <c r="L1536" s="14" t="n">
        <f aca="false">G1536-H1536</f>
        <v>-37.95</v>
      </c>
    </row>
    <row r="1537" customFormat="false" ht="15" hidden="false" customHeight="false" outlineLevel="0" collapsed="false">
      <c r="A1537" s="2" t="s">
        <v>184</v>
      </c>
      <c r="B1537" s="2" t="s">
        <v>126</v>
      </c>
      <c r="C1537" s="2" t="s">
        <v>50</v>
      </c>
      <c r="D1537" s="2" t="s">
        <v>10</v>
      </c>
      <c r="E1537" s="2" t="s">
        <v>76</v>
      </c>
      <c r="F1537" s="2" t="s">
        <v>1146</v>
      </c>
      <c r="G1537" s="14" t="n">
        <v>17.5</v>
      </c>
      <c r="H1537" s="14" t="n">
        <v>11.92</v>
      </c>
      <c r="I1537" s="14" t="n">
        <v>17.5</v>
      </c>
      <c r="J1537" s="22" t="n">
        <f aca="false">IF(E1537="Priority",'Cost model'!N130,'Cost model'!M130)</f>
        <v>18.5</v>
      </c>
      <c r="K1537" s="14" t="n">
        <f aca="false">J1537-H1537</f>
        <v>6.58</v>
      </c>
      <c r="L1537" s="14" t="n">
        <f aca="false">G1537-H1537</f>
        <v>5.58</v>
      </c>
    </row>
    <row r="1538" customFormat="false" ht="15" hidden="false" customHeight="false" outlineLevel="0" collapsed="false">
      <c r="A1538" s="2" t="s">
        <v>146</v>
      </c>
      <c r="B1538" s="2" t="s">
        <v>146</v>
      </c>
      <c r="C1538" s="2" t="s">
        <v>50</v>
      </c>
      <c r="D1538" s="2" t="s">
        <v>12</v>
      </c>
      <c r="E1538" s="2" t="s">
        <v>76</v>
      </c>
      <c r="F1538" s="2" t="s">
        <v>1145</v>
      </c>
      <c r="G1538" s="14" t="n">
        <v>19.5</v>
      </c>
      <c r="H1538" s="14" t="n">
        <v>54.33</v>
      </c>
      <c r="I1538" s="14" t="n">
        <v>19.5</v>
      </c>
      <c r="J1538" s="22" t="n">
        <f aca="false">IF(E1538="Priority",'Cost model'!N763,'Cost model'!M763)</f>
        <v>50</v>
      </c>
      <c r="K1538" s="14" t="n">
        <f aca="false">J1538-H1538</f>
        <v>-4.33</v>
      </c>
      <c r="L1538" s="14" t="n">
        <f aca="false">G1538-H1538</f>
        <v>-34.83</v>
      </c>
    </row>
    <row r="1539" customFormat="false" ht="15" hidden="false" customHeight="false" outlineLevel="0" collapsed="false">
      <c r="A1539" s="2" t="s">
        <v>126</v>
      </c>
      <c r="B1539" s="2" t="s">
        <v>126</v>
      </c>
      <c r="C1539" s="2" t="s">
        <v>50</v>
      </c>
      <c r="D1539" s="2" t="s">
        <v>14</v>
      </c>
      <c r="E1539" s="2" t="s">
        <v>76</v>
      </c>
      <c r="F1539" s="2" t="s">
        <v>1145</v>
      </c>
      <c r="G1539" s="14" t="n">
        <v>85</v>
      </c>
      <c r="H1539" s="14" t="n">
        <v>147.9</v>
      </c>
      <c r="I1539" s="14" t="n">
        <v>85</v>
      </c>
      <c r="J1539" s="22" t="n">
        <f aca="false">IF(E1539="Priority",'Cost model'!N391,'Cost model'!M391)</f>
        <v>170</v>
      </c>
      <c r="K1539" s="14" t="n">
        <f aca="false">J1539-H1539</f>
        <v>22.1</v>
      </c>
      <c r="L1539" s="14" t="n">
        <f aca="false">G1539-H1539</f>
        <v>-62.9</v>
      </c>
    </row>
    <row r="1540" customFormat="false" ht="15" hidden="false" customHeight="false" outlineLevel="0" collapsed="false">
      <c r="A1540" s="2" t="s">
        <v>184</v>
      </c>
      <c r="B1540" s="2" t="s">
        <v>184</v>
      </c>
      <c r="C1540" s="2" t="s">
        <v>50</v>
      </c>
      <c r="D1540" s="2" t="s">
        <v>12</v>
      </c>
      <c r="E1540" s="2" t="s">
        <v>76</v>
      </c>
      <c r="F1540" s="2" t="s">
        <v>1145</v>
      </c>
      <c r="G1540" s="14" t="n">
        <v>19.5</v>
      </c>
      <c r="H1540" s="14" t="n">
        <v>44.84</v>
      </c>
      <c r="I1540" s="14" t="n">
        <v>19.5</v>
      </c>
      <c r="J1540" s="22" t="n">
        <f aca="false">IF(E1540="Priority",'Cost model'!N205,'Cost model'!M205)</f>
        <v>50</v>
      </c>
      <c r="K1540" s="14" t="n">
        <f aca="false">J1540-H1540</f>
        <v>5.16</v>
      </c>
      <c r="L1540" s="14" t="n">
        <f aca="false">G1540-H1540</f>
        <v>-25.34</v>
      </c>
    </row>
    <row r="1541" customFormat="false" ht="15" hidden="false" customHeight="false" outlineLevel="0" collapsed="false">
      <c r="A1541" s="2" t="s">
        <v>240</v>
      </c>
      <c r="B1541" s="2" t="s">
        <v>240</v>
      </c>
      <c r="C1541" s="2" t="s">
        <v>48</v>
      </c>
      <c r="D1541" s="2" t="s">
        <v>14</v>
      </c>
      <c r="E1541" s="2" t="s">
        <v>76</v>
      </c>
      <c r="F1541" s="2" t="s">
        <v>1145</v>
      </c>
      <c r="G1541" s="14" t="n">
        <v>25</v>
      </c>
      <c r="H1541" s="14" t="n">
        <v>342.46</v>
      </c>
      <c r="I1541" s="14" t="n">
        <v>25</v>
      </c>
      <c r="J1541" s="22" t="n">
        <f aca="false">IF(E1541="Priority",'Cost model'!N893,'Cost model'!M893)</f>
        <v>135</v>
      </c>
      <c r="K1541" s="14" t="n">
        <f aca="false">J1541-H1541</f>
        <v>-207.46</v>
      </c>
      <c r="L1541" s="14" t="n">
        <f aca="false">G1541-H1541</f>
        <v>-317.46</v>
      </c>
    </row>
    <row r="1542" customFormat="false" ht="15" hidden="false" customHeight="false" outlineLevel="0" collapsed="false">
      <c r="A1542" s="2" t="s">
        <v>126</v>
      </c>
      <c r="B1542" s="2" t="s">
        <v>126</v>
      </c>
      <c r="C1542" s="2" t="s">
        <v>48</v>
      </c>
      <c r="D1542" s="2" t="s">
        <v>12</v>
      </c>
      <c r="E1542" s="2" t="s">
        <v>85</v>
      </c>
      <c r="F1542" s="2" t="s">
        <v>1145</v>
      </c>
      <c r="G1542" s="14" t="n">
        <v>19.5</v>
      </c>
      <c r="H1542" s="14" t="n">
        <v>25.65</v>
      </c>
      <c r="I1542" s="14" t="n">
        <v>19.5</v>
      </c>
      <c r="J1542" s="22" t="n">
        <f aca="false">IF(E1542="Priority",'Cost model'!N383,'Cost model'!M383)</f>
        <v>35</v>
      </c>
      <c r="K1542" s="14" t="n">
        <f aca="false">J1542-H1542</f>
        <v>9.35</v>
      </c>
      <c r="L1542" s="14" t="n">
        <f aca="false">G1542-H1542</f>
        <v>-6.15</v>
      </c>
    </row>
    <row r="1543" customFormat="false" ht="15" hidden="false" customHeight="false" outlineLevel="0" collapsed="false">
      <c r="A1543" s="2" t="s">
        <v>184</v>
      </c>
      <c r="B1543" s="2" t="s">
        <v>184</v>
      </c>
      <c r="C1543" s="2" t="s">
        <v>49</v>
      </c>
      <c r="D1543" s="2" t="s">
        <v>12</v>
      </c>
      <c r="E1543" s="2" t="s">
        <v>76</v>
      </c>
      <c r="F1543" s="2" t="s">
        <v>1145</v>
      </c>
      <c r="G1543" s="14" t="n">
        <v>12.5</v>
      </c>
      <c r="H1543" s="14" t="n">
        <v>45.96</v>
      </c>
      <c r="I1543" s="14"/>
      <c r="J1543" s="22" t="n">
        <f aca="false">IF(E1543="Priority",'Cost model'!N204,'Cost model'!M204)</f>
        <v>45</v>
      </c>
      <c r="K1543" s="14" t="n">
        <f aca="false">J1543-H1543</f>
        <v>-0.960000000000001</v>
      </c>
      <c r="L1543" s="14" t="n">
        <f aca="false">G1543-H1543</f>
        <v>-33.46</v>
      </c>
    </row>
    <row r="1544" customFormat="false" ht="15" hidden="false" customHeight="false" outlineLevel="0" collapsed="false">
      <c r="A1544" s="2" t="s">
        <v>184</v>
      </c>
      <c r="B1544" s="2" t="s">
        <v>126</v>
      </c>
      <c r="C1544" s="2" t="s">
        <v>49</v>
      </c>
      <c r="D1544" s="2" t="s">
        <v>12</v>
      </c>
      <c r="E1544" s="2" t="s">
        <v>76</v>
      </c>
      <c r="F1544" s="2" t="s">
        <v>1146</v>
      </c>
      <c r="G1544" s="14" t="n">
        <v>19.5</v>
      </c>
      <c r="H1544" s="14" t="n">
        <v>28.89</v>
      </c>
      <c r="I1544" s="14"/>
      <c r="J1544" s="22" t="n">
        <f aca="false">IF(E1544="Priority",'Cost model'!N132,'Cost model'!M132)</f>
        <v>50</v>
      </c>
      <c r="K1544" s="14" t="n">
        <f aca="false">J1544-H1544</f>
        <v>21.11</v>
      </c>
      <c r="L1544" s="14" t="n">
        <f aca="false">G1544-H1544</f>
        <v>-9.39</v>
      </c>
    </row>
    <row r="1545" customFormat="false" ht="15" hidden="false" customHeight="false" outlineLevel="0" collapsed="false">
      <c r="A1545" s="2" t="s">
        <v>184</v>
      </c>
      <c r="B1545" s="2" t="s">
        <v>184</v>
      </c>
      <c r="C1545" s="2" t="s">
        <v>48</v>
      </c>
      <c r="D1545" s="2" t="s">
        <v>12</v>
      </c>
      <c r="E1545" s="2" t="s">
        <v>85</v>
      </c>
      <c r="F1545" s="2" t="s">
        <v>1145</v>
      </c>
      <c r="G1545" s="14" t="n">
        <v>19.5</v>
      </c>
      <c r="H1545" s="14" t="n">
        <v>19.56</v>
      </c>
      <c r="I1545" s="14" t="n">
        <v>19.5</v>
      </c>
      <c r="J1545" s="22" t="n">
        <f aca="false">IF(E1545="Priority",'Cost model'!N203,'Cost model'!M203)</f>
        <v>35</v>
      </c>
      <c r="K1545" s="14" t="n">
        <f aca="false">J1545-H1545</f>
        <v>15.44</v>
      </c>
      <c r="L1545" s="14" t="n">
        <f aca="false">G1545-H1545</f>
        <v>-0.0599999999999987</v>
      </c>
    </row>
    <row r="1546" customFormat="false" ht="15" hidden="false" customHeight="false" outlineLevel="0" collapsed="false">
      <c r="A1546" s="2" t="s">
        <v>126</v>
      </c>
      <c r="B1546" s="2" t="s">
        <v>126</v>
      </c>
      <c r="C1546" s="2" t="s">
        <v>49</v>
      </c>
      <c r="D1546" s="2" t="s">
        <v>10</v>
      </c>
      <c r="E1546" s="2" t="s">
        <v>76</v>
      </c>
      <c r="F1546" s="2" t="s">
        <v>1145</v>
      </c>
      <c r="G1546" s="14" t="n">
        <v>12.5</v>
      </c>
      <c r="H1546" s="14" t="n">
        <v>17.69</v>
      </c>
      <c r="I1546" s="14" t="n">
        <v>12.5</v>
      </c>
      <c r="J1546" s="22" t="n">
        <f aca="false">IF(E1546="Priority",'Cost model'!N381,'Cost model'!M381)</f>
        <v>14.5</v>
      </c>
      <c r="K1546" s="14" t="n">
        <f aca="false">J1546-H1546</f>
        <v>-3.19</v>
      </c>
      <c r="L1546" s="14" t="n">
        <f aca="false">G1546-H1546</f>
        <v>-5.19</v>
      </c>
    </row>
    <row r="1547" customFormat="false" ht="15" hidden="false" customHeight="false" outlineLevel="0" collapsed="false">
      <c r="A1547" s="2" t="s">
        <v>240</v>
      </c>
      <c r="B1547" s="2" t="s">
        <v>240</v>
      </c>
      <c r="C1547" s="2" t="s">
        <v>48</v>
      </c>
      <c r="D1547" s="2" t="s">
        <v>10</v>
      </c>
      <c r="E1547" s="2" t="s">
        <v>76</v>
      </c>
      <c r="F1547" s="2" t="s">
        <v>1145</v>
      </c>
      <c r="G1547" s="14" t="n">
        <v>9.5</v>
      </c>
      <c r="H1547" s="14" t="n">
        <v>6.66</v>
      </c>
      <c r="I1547" s="14" t="n">
        <v>9.5</v>
      </c>
      <c r="J1547" s="22" t="n">
        <f aca="false">IF(E1547="Priority",'Cost model'!N884,'Cost model'!M884)</f>
        <v>7.5</v>
      </c>
      <c r="K1547" s="14" t="n">
        <f aca="false">J1547-H1547</f>
        <v>0.84</v>
      </c>
      <c r="L1547" s="14" t="n">
        <f aca="false">G1547-H1547</f>
        <v>2.84</v>
      </c>
    </row>
    <row r="1548" customFormat="false" ht="15" hidden="false" customHeight="false" outlineLevel="0" collapsed="false">
      <c r="A1548" s="2" t="s">
        <v>146</v>
      </c>
      <c r="B1548" s="2" t="s">
        <v>146</v>
      </c>
      <c r="C1548" s="2" t="s">
        <v>49</v>
      </c>
      <c r="D1548" s="2" t="s">
        <v>10</v>
      </c>
      <c r="E1548" s="2" t="s">
        <v>76</v>
      </c>
      <c r="F1548" s="2" t="s">
        <v>1145</v>
      </c>
      <c r="G1548" s="14" t="n">
        <v>12.5</v>
      </c>
      <c r="H1548" s="14" t="n">
        <v>14.32</v>
      </c>
      <c r="I1548" s="14" t="n">
        <v>12.5</v>
      </c>
      <c r="J1548" s="22" t="n">
        <f aca="false">IF(E1548="Priority",'Cost model'!N759,'Cost model'!M759)</f>
        <v>15.5</v>
      </c>
      <c r="K1548" s="14" t="n">
        <f aca="false">J1548-H1548</f>
        <v>1.18</v>
      </c>
      <c r="L1548" s="14" t="n">
        <f aca="false">G1548-H1548</f>
        <v>-1.82</v>
      </c>
    </row>
    <row r="1549" customFormat="false" ht="15" hidden="false" customHeight="false" outlineLevel="0" collapsed="false">
      <c r="A1549" s="2" t="s">
        <v>184</v>
      </c>
      <c r="B1549" s="2" t="s">
        <v>184</v>
      </c>
      <c r="C1549" s="2" t="s">
        <v>50</v>
      </c>
      <c r="D1549" s="2" t="s">
        <v>12</v>
      </c>
      <c r="E1549" s="2" t="s">
        <v>85</v>
      </c>
      <c r="F1549" s="2" t="s">
        <v>1145</v>
      </c>
      <c r="G1549" s="14" t="n">
        <v>29.5</v>
      </c>
      <c r="H1549" s="14" t="n">
        <v>45.53</v>
      </c>
      <c r="I1549" s="14" t="n">
        <v>29.5</v>
      </c>
      <c r="J1549" s="22" t="n">
        <f aca="false">IF(E1549="Priority",'Cost model'!N205,'Cost model'!M205)</f>
        <v>65</v>
      </c>
      <c r="K1549" s="14" t="n">
        <f aca="false">J1549-H1549</f>
        <v>19.47</v>
      </c>
      <c r="L1549" s="14" t="n">
        <f aca="false">G1549-H1549</f>
        <v>-16.03</v>
      </c>
    </row>
    <row r="1550" customFormat="false" ht="15" hidden="false" customHeight="false" outlineLevel="0" collapsed="false">
      <c r="A1550" s="2" t="s">
        <v>146</v>
      </c>
      <c r="B1550" s="2" t="s">
        <v>126</v>
      </c>
      <c r="C1550" s="2" t="s">
        <v>49</v>
      </c>
      <c r="D1550" s="2" t="s">
        <v>10</v>
      </c>
      <c r="E1550" s="2" t="s">
        <v>76</v>
      </c>
      <c r="F1550" s="2" t="s">
        <v>1146</v>
      </c>
      <c r="G1550" s="14" t="n">
        <v>14.5</v>
      </c>
      <c r="H1550" s="14" t="n">
        <v>10.91</v>
      </c>
      <c r="I1550" s="14" t="n">
        <v>14.5</v>
      </c>
      <c r="J1550" s="22" t="n">
        <f aca="false">IF(E1550="Priority",'Cost model'!N795,'Cost model'!M795)</f>
        <v>13.5</v>
      </c>
      <c r="K1550" s="14" t="n">
        <f aca="false">J1550-H1550</f>
        <v>2.59</v>
      </c>
      <c r="L1550" s="14" t="n">
        <f aca="false">G1550-H1550</f>
        <v>3.59</v>
      </c>
    </row>
    <row r="1551" customFormat="false" ht="15" hidden="false" customHeight="false" outlineLevel="0" collapsed="false">
      <c r="A1551" s="2" t="s">
        <v>146</v>
      </c>
      <c r="B1551" s="2" t="s">
        <v>146</v>
      </c>
      <c r="C1551" s="2" t="s">
        <v>48</v>
      </c>
      <c r="D1551" s="2" t="s">
        <v>12</v>
      </c>
      <c r="E1551" s="2" t="s">
        <v>76</v>
      </c>
      <c r="F1551" s="2" t="s">
        <v>1145</v>
      </c>
      <c r="G1551" s="14" t="n">
        <v>9.5</v>
      </c>
      <c r="H1551" s="14" t="n">
        <v>28.08</v>
      </c>
      <c r="I1551" s="14" t="n">
        <v>9.5</v>
      </c>
      <c r="J1551" s="22" t="n">
        <f aca="false">IF(E1551="Priority",'Cost model'!N761,'Cost model'!M761)</f>
        <v>35</v>
      </c>
      <c r="K1551" s="14" t="n">
        <f aca="false">J1551-H1551</f>
        <v>6.92</v>
      </c>
      <c r="L1551" s="14" t="n">
        <f aca="false">G1551-H1551</f>
        <v>-18.58</v>
      </c>
    </row>
    <row r="1552" customFormat="false" ht="15" hidden="false" customHeight="false" outlineLevel="0" collapsed="false">
      <c r="A1552" s="2" t="s">
        <v>126</v>
      </c>
      <c r="B1552" s="2" t="s">
        <v>126</v>
      </c>
      <c r="C1552" s="2" t="s">
        <v>48</v>
      </c>
      <c r="D1552" s="2" t="s">
        <v>10</v>
      </c>
      <c r="E1552" s="2" t="s">
        <v>76</v>
      </c>
      <c r="F1552" s="2" t="s">
        <v>1145</v>
      </c>
      <c r="G1552" s="14" t="n">
        <v>9.5</v>
      </c>
      <c r="H1552" s="14" t="n">
        <v>7.45</v>
      </c>
      <c r="I1552" s="14" t="n">
        <v>9.5</v>
      </c>
      <c r="J1552" s="22" t="n">
        <f aca="false">IF(E1552="Priority",'Cost model'!N380,'Cost model'!M380)</f>
        <v>8.5</v>
      </c>
      <c r="K1552" s="14" t="n">
        <f aca="false">J1552-H1552</f>
        <v>1.05</v>
      </c>
      <c r="L1552" s="14" t="n">
        <f aca="false">G1552-H1552</f>
        <v>2.05</v>
      </c>
    </row>
    <row r="1553" customFormat="false" ht="15" hidden="false" customHeight="false" outlineLevel="0" collapsed="false">
      <c r="A1553" s="2" t="s">
        <v>146</v>
      </c>
      <c r="B1553" s="2" t="s">
        <v>126</v>
      </c>
      <c r="C1553" s="2" t="s">
        <v>49</v>
      </c>
      <c r="D1553" s="2" t="s">
        <v>12</v>
      </c>
      <c r="E1553" s="2" t="s">
        <v>76</v>
      </c>
      <c r="F1553" s="2" t="s">
        <v>1146</v>
      </c>
      <c r="G1553" s="14" t="n">
        <v>19.5</v>
      </c>
      <c r="H1553" s="14" t="n">
        <v>47.36</v>
      </c>
      <c r="I1553" s="14" t="n">
        <v>19.5</v>
      </c>
      <c r="J1553" s="22" t="n">
        <f aca="false">IF(E1553="Priority",'Cost model'!N798,'Cost model'!M798)</f>
        <v>45</v>
      </c>
      <c r="K1553" s="14" t="n">
        <f aca="false">J1553-H1553</f>
        <v>-2.36</v>
      </c>
      <c r="L1553" s="14" t="n">
        <f aca="false">G1553-H1553</f>
        <v>-27.86</v>
      </c>
    </row>
    <row r="1554" customFormat="false" ht="15" hidden="false" customHeight="false" outlineLevel="0" collapsed="false">
      <c r="A1554" s="2" t="s">
        <v>126</v>
      </c>
      <c r="B1554" s="2" t="s">
        <v>184</v>
      </c>
      <c r="C1554" s="2" t="s">
        <v>49</v>
      </c>
      <c r="D1554" s="2" t="s">
        <v>10</v>
      </c>
      <c r="E1554" s="2" t="s">
        <v>76</v>
      </c>
      <c r="F1554" s="2" t="s">
        <v>1146</v>
      </c>
      <c r="G1554" s="14" t="n">
        <v>12.5</v>
      </c>
      <c r="H1554" s="14" t="n">
        <v>7.22</v>
      </c>
      <c r="I1554" s="14" t="n">
        <v>14.5</v>
      </c>
      <c r="J1554" s="22" t="n">
        <f aca="false">IF(E1554="Priority",'Cost model'!N435,'Cost model'!M435)</f>
        <v>15.5</v>
      </c>
      <c r="K1554" s="14" t="n">
        <f aca="false">J1554-H1554</f>
        <v>8.28</v>
      </c>
      <c r="L1554" s="14" t="n">
        <f aca="false">G1554-H1554</f>
        <v>5.28</v>
      </c>
    </row>
    <row r="1555" customFormat="false" ht="15" hidden="false" customHeight="false" outlineLevel="0" collapsed="false">
      <c r="A1555" s="2" t="s">
        <v>125</v>
      </c>
      <c r="B1555" s="2" t="s">
        <v>165</v>
      </c>
      <c r="C1555" s="2" t="s">
        <v>48</v>
      </c>
      <c r="D1555" s="2" t="s">
        <v>12</v>
      </c>
      <c r="E1555" s="2" t="s">
        <v>76</v>
      </c>
      <c r="F1555" s="2" t="s">
        <v>1146</v>
      </c>
      <c r="G1555" s="14" t="n">
        <v>24.5</v>
      </c>
      <c r="H1555" s="14" t="n">
        <v>31.21</v>
      </c>
      <c r="I1555" s="14" t="n">
        <v>24.5</v>
      </c>
      <c r="J1555" s="22" t="n">
        <f aca="false">IF(E1555="Priority",'Cost model'!N41,'Cost model'!M41)</f>
        <v>45</v>
      </c>
      <c r="K1555" s="14" t="n">
        <f aca="false">J1555-H1555</f>
        <v>13.79</v>
      </c>
      <c r="L1555" s="14" t="n">
        <f aca="false">G1555-H1555</f>
        <v>-6.71</v>
      </c>
    </row>
    <row r="1556" customFormat="false" ht="15" hidden="false" customHeight="false" outlineLevel="0" collapsed="false">
      <c r="A1556" s="2" t="s">
        <v>184</v>
      </c>
      <c r="B1556" s="2" t="s">
        <v>184</v>
      </c>
      <c r="C1556" s="2" t="s">
        <v>49</v>
      </c>
      <c r="D1556" s="2" t="s">
        <v>10</v>
      </c>
      <c r="E1556" s="2" t="s">
        <v>76</v>
      </c>
      <c r="F1556" s="2" t="s">
        <v>1145</v>
      </c>
      <c r="G1556" s="14" t="n">
        <v>12.5</v>
      </c>
      <c r="H1556" s="14" t="n">
        <v>12.54</v>
      </c>
      <c r="I1556" s="14"/>
      <c r="J1556" s="22" t="n">
        <f aca="false">IF(E1556="Priority",'Cost model'!N201,'Cost model'!M201)</f>
        <v>12.5</v>
      </c>
      <c r="K1556" s="14" t="n">
        <f aca="false">J1556-H1556</f>
        <v>-0.0399999999999992</v>
      </c>
      <c r="L1556" s="14" t="n">
        <f aca="false">G1556-H1556</f>
        <v>-0.0399999999999992</v>
      </c>
    </row>
    <row r="1557" customFormat="false" ht="15" hidden="false" customHeight="false" outlineLevel="0" collapsed="false">
      <c r="A1557" s="2" t="s">
        <v>165</v>
      </c>
      <c r="B1557" s="2" t="s">
        <v>165</v>
      </c>
      <c r="C1557" s="2" t="s">
        <v>48</v>
      </c>
      <c r="D1557" s="2" t="s">
        <v>10</v>
      </c>
      <c r="E1557" s="2" t="s">
        <v>76</v>
      </c>
      <c r="F1557" s="2" t="s">
        <v>1145</v>
      </c>
      <c r="G1557" s="14" t="n">
        <v>9.5</v>
      </c>
      <c r="H1557" s="14" t="n">
        <v>7.45</v>
      </c>
      <c r="I1557" s="14" t="n">
        <v>9.5</v>
      </c>
      <c r="J1557" s="22" t="n">
        <f aca="false">IF(E1557="Priority",'Cost model'!N506,'Cost model'!M506)</f>
        <v>7.5</v>
      </c>
      <c r="K1557" s="14" t="n">
        <f aca="false">J1557-H1557</f>
        <v>0.0499999999999998</v>
      </c>
      <c r="L1557" s="14" t="n">
        <f aca="false">G1557-H1557</f>
        <v>2.05</v>
      </c>
    </row>
    <row r="1558" customFormat="false" ht="15" hidden="false" customHeight="false" outlineLevel="0" collapsed="false">
      <c r="A1558" s="2" t="s">
        <v>184</v>
      </c>
      <c r="B1558" s="2" t="s">
        <v>126</v>
      </c>
      <c r="C1558" s="2" t="s">
        <v>49</v>
      </c>
      <c r="D1558" s="2" t="s">
        <v>12</v>
      </c>
      <c r="E1558" s="2" t="s">
        <v>76</v>
      </c>
      <c r="F1558" s="2" t="s">
        <v>1146</v>
      </c>
      <c r="G1558" s="14" t="n">
        <v>12.5</v>
      </c>
      <c r="H1558" s="14" t="n">
        <v>38.69</v>
      </c>
      <c r="I1558" s="14"/>
      <c r="J1558" s="22" t="n">
        <f aca="false">IF(E1558="Priority",'Cost model'!N132,'Cost model'!M132)</f>
        <v>50</v>
      </c>
      <c r="K1558" s="14" t="n">
        <f aca="false">J1558-H1558</f>
        <v>11.31</v>
      </c>
      <c r="L1558" s="14" t="n">
        <f aca="false">G1558-H1558</f>
        <v>-26.19</v>
      </c>
    </row>
    <row r="1559" customFormat="false" ht="15" hidden="false" customHeight="false" outlineLevel="0" collapsed="false">
      <c r="A1559" s="2" t="s">
        <v>184</v>
      </c>
      <c r="B1559" s="2" t="s">
        <v>184</v>
      </c>
      <c r="C1559" s="2" t="s">
        <v>49</v>
      </c>
      <c r="D1559" s="2" t="s">
        <v>12</v>
      </c>
      <c r="E1559" s="2" t="s">
        <v>76</v>
      </c>
      <c r="F1559" s="2" t="s">
        <v>1145</v>
      </c>
      <c r="G1559" s="14" t="n">
        <v>19.5</v>
      </c>
      <c r="H1559" s="14" t="n">
        <v>68.54</v>
      </c>
      <c r="I1559" s="14"/>
      <c r="J1559" s="22" t="n">
        <f aca="false">IF(E1559="Priority",'Cost model'!N204,'Cost model'!M204)</f>
        <v>45</v>
      </c>
      <c r="K1559" s="14" t="n">
        <f aca="false">J1559-H1559</f>
        <v>-23.54</v>
      </c>
      <c r="L1559" s="14" t="n">
        <f aca="false">G1559-H1559</f>
        <v>-49.04</v>
      </c>
    </row>
    <row r="1560" customFormat="false" ht="15" hidden="false" customHeight="false" outlineLevel="0" collapsed="false">
      <c r="A1560" s="2" t="s">
        <v>184</v>
      </c>
      <c r="B1560" s="2" t="s">
        <v>184</v>
      </c>
      <c r="C1560" s="2" t="s">
        <v>48</v>
      </c>
      <c r="D1560" s="2" t="s">
        <v>12</v>
      </c>
      <c r="E1560" s="2" t="s">
        <v>76</v>
      </c>
      <c r="F1560" s="2" t="s">
        <v>1145</v>
      </c>
      <c r="G1560" s="14" t="n">
        <v>9.5</v>
      </c>
      <c r="H1560" s="14" t="n">
        <v>25.84</v>
      </c>
      <c r="I1560" s="14" t="n">
        <v>9.5</v>
      </c>
      <c r="J1560" s="22" t="n">
        <f aca="false">IF(E1560="Priority",'Cost model'!N203,'Cost model'!M203)</f>
        <v>26.5</v>
      </c>
      <c r="K1560" s="14" t="n">
        <f aca="false">J1560-H1560</f>
        <v>0.66</v>
      </c>
      <c r="L1560" s="14" t="n">
        <f aca="false">G1560-H1560</f>
        <v>-16.34</v>
      </c>
    </row>
    <row r="1561" customFormat="false" ht="15" hidden="false" customHeight="false" outlineLevel="0" collapsed="false">
      <c r="A1561" s="2" t="s">
        <v>126</v>
      </c>
      <c r="B1561" s="2" t="s">
        <v>126</v>
      </c>
      <c r="C1561" s="2" t="s">
        <v>48</v>
      </c>
      <c r="D1561" s="2" t="s">
        <v>12</v>
      </c>
      <c r="E1561" s="2" t="s">
        <v>76</v>
      </c>
      <c r="F1561" s="2" t="s">
        <v>1145</v>
      </c>
      <c r="G1561" s="14" t="n">
        <v>9.5</v>
      </c>
      <c r="H1561" s="14" t="n">
        <v>7.45</v>
      </c>
      <c r="I1561" s="14" t="n">
        <v>9.5</v>
      </c>
      <c r="J1561" s="22" t="n">
        <f aca="false">IF(E1561="Priority",'Cost model'!N383,'Cost model'!M383)</f>
        <v>27.5</v>
      </c>
      <c r="K1561" s="14" t="n">
        <f aca="false">J1561-H1561</f>
        <v>20.05</v>
      </c>
      <c r="L1561" s="14" t="n">
        <f aca="false">G1561-H1561</f>
        <v>2.05</v>
      </c>
    </row>
    <row r="1562" customFormat="false" ht="15" hidden="false" customHeight="false" outlineLevel="0" collapsed="false">
      <c r="A1562" s="2" t="s">
        <v>126</v>
      </c>
      <c r="B1562" s="2" t="s">
        <v>126</v>
      </c>
      <c r="C1562" s="2" t="s">
        <v>49</v>
      </c>
      <c r="D1562" s="2" t="s">
        <v>12</v>
      </c>
      <c r="E1562" s="2" t="s">
        <v>76</v>
      </c>
      <c r="F1562" s="2" t="s">
        <v>1145</v>
      </c>
      <c r="G1562" s="14" t="n">
        <v>12.5</v>
      </c>
      <c r="H1562" s="14" t="n">
        <v>14.29</v>
      </c>
      <c r="I1562" s="14" t="n">
        <v>12.5</v>
      </c>
      <c r="J1562" s="22" t="n">
        <f aca="false">IF(E1562="Priority",'Cost model'!N384,'Cost model'!M384)</f>
        <v>45</v>
      </c>
      <c r="K1562" s="14" t="n">
        <f aca="false">J1562-H1562</f>
        <v>30.71</v>
      </c>
      <c r="L1562" s="14" t="n">
        <f aca="false">G1562-H1562</f>
        <v>-1.79</v>
      </c>
    </row>
    <row r="1563" customFormat="false" ht="15" hidden="false" customHeight="false" outlineLevel="0" collapsed="false">
      <c r="A1563" s="2" t="s">
        <v>146</v>
      </c>
      <c r="B1563" s="2" t="s">
        <v>146</v>
      </c>
      <c r="C1563" s="2" t="s">
        <v>50</v>
      </c>
      <c r="D1563" s="2" t="s">
        <v>13</v>
      </c>
      <c r="E1563" s="2" t="s">
        <v>76</v>
      </c>
      <c r="F1563" s="2" t="s">
        <v>1145</v>
      </c>
      <c r="G1563" s="14" t="n">
        <v>50</v>
      </c>
      <c r="H1563" s="14" t="n">
        <v>139.62</v>
      </c>
      <c r="I1563" s="14" t="n">
        <v>50</v>
      </c>
      <c r="J1563" s="22" t="n">
        <f aca="false">IF(E1563="Priority",'Cost model'!N766,'Cost model'!M766)</f>
        <v>90</v>
      </c>
      <c r="K1563" s="14" t="n">
        <f aca="false">J1563-H1563</f>
        <v>-49.62</v>
      </c>
      <c r="L1563" s="14" t="n">
        <f aca="false">G1563-H1563</f>
        <v>-89.62</v>
      </c>
    </row>
    <row r="1564" customFormat="false" ht="15" hidden="false" customHeight="false" outlineLevel="0" collapsed="false">
      <c r="A1564" s="2" t="s">
        <v>184</v>
      </c>
      <c r="B1564" s="2" t="s">
        <v>184</v>
      </c>
      <c r="C1564" s="2" t="s">
        <v>50</v>
      </c>
      <c r="D1564" s="2" t="s">
        <v>12</v>
      </c>
      <c r="E1564" s="2" t="s">
        <v>76</v>
      </c>
      <c r="F1564" s="2" t="s">
        <v>1145</v>
      </c>
      <c r="G1564" s="14" t="n">
        <v>19.5</v>
      </c>
      <c r="H1564" s="14" t="n">
        <v>44.36</v>
      </c>
      <c r="I1564" s="14" t="n">
        <v>19.5</v>
      </c>
      <c r="J1564" s="22" t="n">
        <f aca="false">IF(E1564="Priority",'Cost model'!N205,'Cost model'!M205)</f>
        <v>50</v>
      </c>
      <c r="K1564" s="14" t="n">
        <f aca="false">J1564-H1564</f>
        <v>5.64</v>
      </c>
      <c r="L1564" s="14" t="n">
        <f aca="false">G1564-H1564</f>
        <v>-24.86</v>
      </c>
    </row>
    <row r="1565" customFormat="false" ht="15" hidden="false" customHeight="false" outlineLevel="0" collapsed="false">
      <c r="A1565" s="2" t="s">
        <v>184</v>
      </c>
      <c r="B1565" s="2" t="s">
        <v>125</v>
      </c>
      <c r="C1565" s="2" t="s">
        <v>48</v>
      </c>
      <c r="D1565" s="2" t="s">
        <v>16</v>
      </c>
      <c r="E1565" s="2" t="s">
        <v>76</v>
      </c>
      <c r="F1565" s="2" t="s">
        <v>1146</v>
      </c>
      <c r="G1565" s="14" t="n">
        <v>25</v>
      </c>
      <c r="H1565" s="14" t="n">
        <v>157.3</v>
      </c>
      <c r="I1565" s="14" t="n">
        <v>99</v>
      </c>
      <c r="J1565" s="22" t="n">
        <f aca="false">IF(E1565="Priority",'Cost model'!N251,'Cost model'!M251)</f>
        <v>275</v>
      </c>
      <c r="K1565" s="14" t="n">
        <f aca="false">J1565-H1565</f>
        <v>117.7</v>
      </c>
      <c r="L1565" s="14" t="n">
        <f aca="false">G1565-H1565</f>
        <v>-132.3</v>
      </c>
    </row>
    <row r="1566" customFormat="false" ht="15" hidden="false" customHeight="false" outlineLevel="0" collapsed="false">
      <c r="A1566" s="2" t="s">
        <v>125</v>
      </c>
      <c r="B1566" s="2" t="s">
        <v>125</v>
      </c>
      <c r="C1566" s="2" t="s">
        <v>48</v>
      </c>
      <c r="D1566" s="2" t="s">
        <v>12</v>
      </c>
      <c r="E1566" s="2" t="s">
        <v>76</v>
      </c>
      <c r="F1566" s="2" t="s">
        <v>1145</v>
      </c>
      <c r="G1566" s="14" t="n">
        <v>24.5</v>
      </c>
      <c r="H1566" s="14" t="n">
        <v>59.44</v>
      </c>
      <c r="I1566" s="14" t="n">
        <v>9.5</v>
      </c>
      <c r="J1566" s="22" t="n">
        <f aca="false">IF(E1566="Priority",'Cost model'!N77,'Cost model'!M77)</f>
        <v>50</v>
      </c>
      <c r="K1566" s="14" t="n">
        <f aca="false">J1566-H1566</f>
        <v>-9.44</v>
      </c>
      <c r="L1566" s="14" t="n">
        <f aca="false">G1566-H1566</f>
        <v>-34.94</v>
      </c>
    </row>
    <row r="1567" customFormat="false" ht="15" hidden="false" customHeight="false" outlineLevel="0" collapsed="false">
      <c r="A1567" s="2" t="s">
        <v>184</v>
      </c>
      <c r="B1567" s="2" t="s">
        <v>146</v>
      </c>
      <c r="C1567" s="2" t="s">
        <v>48</v>
      </c>
      <c r="D1567" s="2" t="s">
        <v>12</v>
      </c>
      <c r="E1567" s="2" t="s">
        <v>76</v>
      </c>
      <c r="F1567" s="2" t="s">
        <v>1146</v>
      </c>
      <c r="G1567" s="14" t="n">
        <v>9.5</v>
      </c>
      <c r="H1567" s="14" t="n">
        <v>9.85</v>
      </c>
      <c r="I1567" s="14" t="n">
        <v>9.5</v>
      </c>
      <c r="J1567" s="22" t="n">
        <f aca="false">IF(E1567="Priority",'Cost model'!N149,'Cost model'!M149)</f>
        <v>45</v>
      </c>
      <c r="K1567" s="14" t="n">
        <f aca="false">J1567-H1567</f>
        <v>35.15</v>
      </c>
      <c r="L1567" s="14" t="n">
        <f aca="false">G1567-H1567</f>
        <v>-0.35</v>
      </c>
    </row>
    <row r="1568" customFormat="false" ht="15" hidden="false" customHeight="false" outlineLevel="0" collapsed="false">
      <c r="A1568" s="2" t="s">
        <v>126</v>
      </c>
      <c r="B1568" s="2" t="s">
        <v>126</v>
      </c>
      <c r="C1568" s="2" t="s">
        <v>49</v>
      </c>
      <c r="D1568" s="2" t="s">
        <v>10</v>
      </c>
      <c r="E1568" s="2" t="s">
        <v>76</v>
      </c>
      <c r="F1568" s="2" t="s">
        <v>1145</v>
      </c>
      <c r="G1568" s="14" t="n">
        <v>12.5</v>
      </c>
      <c r="H1568" s="14" t="n">
        <v>69.78</v>
      </c>
      <c r="I1568" s="14" t="n">
        <v>12.5</v>
      </c>
      <c r="J1568" s="22" t="n">
        <f aca="false">IF(E1568="Priority",'Cost model'!N381,'Cost model'!M381)</f>
        <v>14.5</v>
      </c>
      <c r="K1568" s="14" t="n">
        <f aca="false">J1568-H1568</f>
        <v>-55.28</v>
      </c>
      <c r="L1568" s="14" t="n">
        <f aca="false">G1568-H1568</f>
        <v>-57.28</v>
      </c>
    </row>
    <row r="1569" customFormat="false" ht="15" hidden="false" customHeight="false" outlineLevel="0" collapsed="false">
      <c r="A1569" s="2" t="s">
        <v>146</v>
      </c>
      <c r="B1569" s="2" t="s">
        <v>146</v>
      </c>
      <c r="C1569" s="2" t="s">
        <v>48</v>
      </c>
      <c r="D1569" s="2" t="s">
        <v>10</v>
      </c>
      <c r="E1569" s="2" t="s">
        <v>76</v>
      </c>
      <c r="F1569" s="2" t="s">
        <v>1145</v>
      </c>
      <c r="G1569" s="14" t="n">
        <v>9.5</v>
      </c>
      <c r="H1569" s="14" t="n">
        <v>5.23</v>
      </c>
      <c r="I1569" s="14" t="n">
        <v>9.5</v>
      </c>
      <c r="J1569" s="22" t="n">
        <f aca="false">IF(E1569="Priority",'Cost model'!N758,'Cost model'!M758)</f>
        <v>9.5</v>
      </c>
      <c r="K1569" s="14" t="n">
        <f aca="false">J1569-H1569</f>
        <v>4.27</v>
      </c>
      <c r="L1569" s="14" t="n">
        <f aca="false">G1569-H1569</f>
        <v>4.27</v>
      </c>
    </row>
    <row r="1570" customFormat="false" ht="15" hidden="false" customHeight="false" outlineLevel="0" collapsed="false">
      <c r="A1570" s="2" t="s">
        <v>184</v>
      </c>
      <c r="B1570" s="2" t="s">
        <v>146</v>
      </c>
      <c r="C1570" s="2" t="s">
        <v>48</v>
      </c>
      <c r="D1570" s="2" t="s">
        <v>13</v>
      </c>
      <c r="E1570" s="2" t="s">
        <v>76</v>
      </c>
      <c r="F1570" s="2" t="s">
        <v>1146</v>
      </c>
      <c r="G1570" s="14" t="n">
        <v>19</v>
      </c>
      <c r="H1570" s="14" t="n">
        <v>44.61</v>
      </c>
      <c r="I1570" s="14" t="n">
        <v>19</v>
      </c>
      <c r="J1570" s="22" t="n">
        <f aca="false">IF(E1570="Priority",'Cost model'!N152,'Cost model'!M152)</f>
        <v>65</v>
      </c>
      <c r="K1570" s="14" t="n">
        <f aca="false">J1570-H1570</f>
        <v>20.39</v>
      </c>
      <c r="L1570" s="14" t="n">
        <f aca="false">G1570-H1570</f>
        <v>-25.61</v>
      </c>
    </row>
    <row r="1571" customFormat="false" ht="15" hidden="false" customHeight="false" outlineLevel="0" collapsed="false">
      <c r="A1571" s="2" t="s">
        <v>146</v>
      </c>
      <c r="B1571" s="2" t="s">
        <v>240</v>
      </c>
      <c r="C1571" s="2" t="s">
        <v>50</v>
      </c>
      <c r="D1571" s="2" t="s">
        <v>10</v>
      </c>
      <c r="E1571" s="2" t="s">
        <v>76</v>
      </c>
      <c r="F1571" s="2" t="s">
        <v>1146</v>
      </c>
      <c r="G1571" s="14" t="n">
        <v>19.5</v>
      </c>
      <c r="H1571" s="14" t="n">
        <v>21.61</v>
      </c>
      <c r="I1571" s="14" t="n">
        <v>19.5</v>
      </c>
      <c r="J1571" s="22" t="n">
        <f aca="false">IF(E1571="Priority",'Cost model'!N814,'Cost model'!M814)</f>
        <v>20.5</v>
      </c>
      <c r="K1571" s="14" t="n">
        <f aca="false">J1571-H1571</f>
        <v>-1.11</v>
      </c>
      <c r="L1571" s="14" t="n">
        <f aca="false">G1571-H1571</f>
        <v>-2.11</v>
      </c>
    </row>
    <row r="1572" customFormat="false" ht="15" hidden="false" customHeight="false" outlineLevel="0" collapsed="false">
      <c r="A1572" s="2" t="s">
        <v>184</v>
      </c>
      <c r="B1572" s="2" t="s">
        <v>184</v>
      </c>
      <c r="C1572" s="2" t="s">
        <v>48</v>
      </c>
      <c r="D1572" s="2" t="s">
        <v>12</v>
      </c>
      <c r="E1572" s="2" t="s">
        <v>76</v>
      </c>
      <c r="F1572" s="2" t="s">
        <v>1145</v>
      </c>
      <c r="G1572" s="14" t="n">
        <v>9.5</v>
      </c>
      <c r="H1572" s="14" t="n">
        <v>19.82</v>
      </c>
      <c r="I1572" s="14" t="n">
        <v>9.5</v>
      </c>
      <c r="J1572" s="22" t="n">
        <f aca="false">IF(E1572="Priority",'Cost model'!N203,'Cost model'!M203)</f>
        <v>26.5</v>
      </c>
      <c r="K1572" s="14" t="n">
        <f aca="false">J1572-H1572</f>
        <v>6.68</v>
      </c>
      <c r="L1572" s="14" t="n">
        <f aca="false">G1572-H1572</f>
        <v>-10.32</v>
      </c>
    </row>
    <row r="1573" customFormat="false" ht="15" hidden="false" customHeight="false" outlineLevel="0" collapsed="false">
      <c r="A1573" s="2" t="s">
        <v>146</v>
      </c>
      <c r="B1573" s="2" t="s">
        <v>146</v>
      </c>
      <c r="C1573" s="2" t="s">
        <v>48</v>
      </c>
      <c r="D1573" s="2" t="s">
        <v>10</v>
      </c>
      <c r="E1573" s="2" t="s">
        <v>76</v>
      </c>
      <c r="F1573" s="2" t="s">
        <v>1145</v>
      </c>
      <c r="G1573" s="14" t="n">
        <v>9.5</v>
      </c>
      <c r="H1573" s="14" t="n">
        <v>7.93</v>
      </c>
      <c r="I1573" s="14" t="n">
        <v>9.5</v>
      </c>
      <c r="J1573" s="22" t="n">
        <f aca="false">IF(E1573="Priority",'Cost model'!N758,'Cost model'!M758)</f>
        <v>9.5</v>
      </c>
      <c r="K1573" s="14" t="n">
        <f aca="false">J1573-H1573</f>
        <v>1.57</v>
      </c>
      <c r="L1573" s="14" t="n">
        <f aca="false">G1573-H1573</f>
        <v>1.57</v>
      </c>
    </row>
    <row r="1574" customFormat="false" ht="15" hidden="false" customHeight="false" outlineLevel="0" collapsed="false">
      <c r="A1574" s="2" t="s">
        <v>184</v>
      </c>
      <c r="B1574" s="2" t="s">
        <v>184</v>
      </c>
      <c r="C1574" s="2" t="s">
        <v>48</v>
      </c>
      <c r="D1574" s="2" t="s">
        <v>10</v>
      </c>
      <c r="E1574" s="2" t="s">
        <v>76</v>
      </c>
      <c r="F1574" s="2" t="s">
        <v>1145</v>
      </c>
      <c r="G1574" s="14" t="n">
        <v>9.5</v>
      </c>
      <c r="H1574" s="14" t="n">
        <v>7.72</v>
      </c>
      <c r="I1574" s="14" t="n">
        <v>9.5</v>
      </c>
      <c r="J1574" s="22" t="n">
        <f aca="false">IF(E1574="Priority",'Cost model'!N200,'Cost model'!M200)</f>
        <v>7.5</v>
      </c>
      <c r="K1574" s="14" t="n">
        <f aca="false">J1574-H1574</f>
        <v>-0.22</v>
      </c>
      <c r="L1574" s="14" t="n">
        <f aca="false">G1574-H1574</f>
        <v>1.78</v>
      </c>
    </row>
    <row r="1575" customFormat="false" ht="15" hidden="false" customHeight="false" outlineLevel="0" collapsed="false">
      <c r="A1575" s="2" t="s">
        <v>184</v>
      </c>
      <c r="B1575" s="2" t="s">
        <v>184</v>
      </c>
      <c r="C1575" s="2" t="s">
        <v>50</v>
      </c>
      <c r="D1575" s="2" t="s">
        <v>12</v>
      </c>
      <c r="E1575" s="2" t="s">
        <v>85</v>
      </c>
      <c r="F1575" s="2" t="s">
        <v>1145</v>
      </c>
      <c r="G1575" s="14" t="n">
        <v>29.5</v>
      </c>
      <c r="H1575" s="14" t="n">
        <v>66.87</v>
      </c>
      <c r="I1575" s="14" t="n">
        <v>29.5</v>
      </c>
      <c r="J1575" s="22" t="n">
        <f aca="false">IF(E1575="Priority",'Cost model'!N205,'Cost model'!M205)</f>
        <v>65</v>
      </c>
      <c r="K1575" s="14" t="n">
        <f aca="false">J1575-H1575</f>
        <v>-1.87</v>
      </c>
      <c r="L1575" s="14" t="n">
        <f aca="false">G1575-H1575</f>
        <v>-37.37</v>
      </c>
    </row>
    <row r="1576" customFormat="false" ht="15" hidden="false" customHeight="false" outlineLevel="0" collapsed="false">
      <c r="A1576" s="2" t="s">
        <v>184</v>
      </c>
      <c r="B1576" s="2" t="s">
        <v>165</v>
      </c>
      <c r="C1576" s="2" t="s">
        <v>49</v>
      </c>
      <c r="D1576" s="2" t="s">
        <v>16</v>
      </c>
      <c r="E1576" s="2" t="s">
        <v>76</v>
      </c>
      <c r="F1576" s="2" t="s">
        <v>1146</v>
      </c>
      <c r="G1576" s="14" t="n">
        <v>125</v>
      </c>
      <c r="H1576" s="14" t="n">
        <v>211.08</v>
      </c>
      <c r="I1576" s="14"/>
      <c r="J1576" s="22" t="n">
        <f aca="false">IF(E1576="Priority",'Cost model'!N180,'Cost model'!M180)</f>
        <v>385</v>
      </c>
      <c r="K1576" s="14" t="n">
        <f aca="false">J1576-H1576</f>
        <v>173.92</v>
      </c>
      <c r="L1576" s="14" t="n">
        <f aca="false">G1576-H1576</f>
        <v>-86.08</v>
      </c>
    </row>
    <row r="1577" customFormat="false" ht="15" hidden="false" customHeight="false" outlineLevel="0" collapsed="false">
      <c r="A1577" s="2" t="s">
        <v>184</v>
      </c>
      <c r="B1577" s="2" t="s">
        <v>184</v>
      </c>
      <c r="C1577" s="2" t="s">
        <v>48</v>
      </c>
      <c r="D1577" s="2" t="s">
        <v>12</v>
      </c>
      <c r="E1577" s="2" t="s">
        <v>76</v>
      </c>
      <c r="F1577" s="2" t="s">
        <v>1145</v>
      </c>
      <c r="G1577" s="14" t="n">
        <v>9.5</v>
      </c>
      <c r="H1577" s="14" t="n">
        <v>27.32</v>
      </c>
      <c r="I1577" s="14" t="n">
        <v>9.5</v>
      </c>
      <c r="J1577" s="22" t="n">
        <f aca="false">IF(E1577="Priority",'Cost model'!N203,'Cost model'!M203)</f>
        <v>26.5</v>
      </c>
      <c r="K1577" s="14" t="n">
        <f aca="false">J1577-H1577</f>
        <v>-0.82</v>
      </c>
      <c r="L1577" s="14" t="n">
        <f aca="false">G1577-H1577</f>
        <v>-17.82</v>
      </c>
    </row>
    <row r="1578" customFormat="false" ht="15" hidden="false" customHeight="false" outlineLevel="0" collapsed="false">
      <c r="A1578" s="2" t="s">
        <v>184</v>
      </c>
      <c r="B1578" s="2" t="s">
        <v>184</v>
      </c>
      <c r="C1578" s="2" t="s">
        <v>50</v>
      </c>
      <c r="D1578" s="2" t="s">
        <v>12</v>
      </c>
      <c r="E1578" s="2" t="s">
        <v>76</v>
      </c>
      <c r="F1578" s="2" t="s">
        <v>1145</v>
      </c>
      <c r="G1578" s="14" t="n">
        <v>34.5</v>
      </c>
      <c r="H1578" s="14" t="n">
        <v>41.77</v>
      </c>
      <c r="I1578" s="14" t="n">
        <v>19.5</v>
      </c>
      <c r="J1578" s="22" t="n">
        <f aca="false">IF(E1578="Priority",'Cost model'!N205,'Cost model'!M205)</f>
        <v>50</v>
      </c>
      <c r="K1578" s="14" t="n">
        <f aca="false">J1578-H1578</f>
        <v>8.23</v>
      </c>
      <c r="L1578" s="14" t="n">
        <f aca="false">G1578-H1578</f>
        <v>-7.27</v>
      </c>
    </row>
    <row r="1579" customFormat="false" ht="15" hidden="false" customHeight="false" outlineLevel="0" collapsed="false">
      <c r="A1579" s="2" t="s">
        <v>184</v>
      </c>
      <c r="B1579" s="2" t="s">
        <v>184</v>
      </c>
      <c r="C1579" s="2" t="s">
        <v>50</v>
      </c>
      <c r="D1579" s="2" t="s">
        <v>10</v>
      </c>
      <c r="E1579" s="2" t="s">
        <v>76</v>
      </c>
      <c r="F1579" s="2" t="s">
        <v>1145</v>
      </c>
      <c r="G1579" s="14" t="n">
        <v>17.5</v>
      </c>
      <c r="H1579" s="14" t="n">
        <v>11.03</v>
      </c>
      <c r="I1579" s="14" t="n">
        <v>17.5</v>
      </c>
      <c r="J1579" s="22" t="n">
        <f aca="false">IF(E1579="Priority",'Cost model'!N202,'Cost model'!M202)</f>
        <v>17.5</v>
      </c>
      <c r="K1579" s="14" t="n">
        <f aca="false">J1579-H1579</f>
        <v>6.47</v>
      </c>
      <c r="L1579" s="14" t="n">
        <f aca="false">G1579-H1579</f>
        <v>6.47</v>
      </c>
    </row>
    <row r="1580" customFormat="false" ht="15" hidden="false" customHeight="false" outlineLevel="0" collapsed="false">
      <c r="A1580" s="2" t="s">
        <v>240</v>
      </c>
      <c r="B1580" s="2" t="s">
        <v>240</v>
      </c>
      <c r="C1580" s="2" t="s">
        <v>49</v>
      </c>
      <c r="D1580" s="2" t="s">
        <v>10</v>
      </c>
      <c r="E1580" s="2" t="s">
        <v>85</v>
      </c>
      <c r="F1580" s="2" t="s">
        <v>1145</v>
      </c>
      <c r="G1580" s="14" t="n">
        <v>17.5</v>
      </c>
      <c r="H1580" s="14" t="n">
        <v>20.83</v>
      </c>
      <c r="I1580" s="14" t="n">
        <v>17.5</v>
      </c>
      <c r="J1580" s="22" t="n">
        <f aca="false">IF(E1580="Priority",'Cost model'!N885,'Cost model'!M885)</f>
        <v>18.5</v>
      </c>
      <c r="K1580" s="14" t="n">
        <f aca="false">J1580-H1580</f>
        <v>-2.33</v>
      </c>
      <c r="L1580" s="14" t="n">
        <f aca="false">G1580-H1580</f>
        <v>-3.33</v>
      </c>
    </row>
    <row r="1581" customFormat="false" ht="15" hidden="false" customHeight="false" outlineLevel="0" collapsed="false">
      <c r="A1581" s="2" t="s">
        <v>126</v>
      </c>
      <c r="B1581" s="2" t="s">
        <v>126</v>
      </c>
      <c r="C1581" s="2" t="s">
        <v>48</v>
      </c>
      <c r="D1581" s="2" t="s">
        <v>12</v>
      </c>
      <c r="E1581" s="2" t="s">
        <v>76</v>
      </c>
      <c r="F1581" s="2" t="s">
        <v>1145</v>
      </c>
      <c r="G1581" s="14" t="n">
        <v>14.5</v>
      </c>
      <c r="H1581" s="14" t="n">
        <v>41.77</v>
      </c>
      <c r="I1581" s="14" t="n">
        <v>9.5</v>
      </c>
      <c r="J1581" s="22" t="n">
        <f aca="false">IF(E1581="Priority",'Cost model'!N383,'Cost model'!M383)</f>
        <v>27.5</v>
      </c>
      <c r="K1581" s="14" t="n">
        <f aca="false">J1581-H1581</f>
        <v>-14.27</v>
      </c>
      <c r="L1581" s="14" t="n">
        <f aca="false">G1581-H1581</f>
        <v>-27.27</v>
      </c>
    </row>
    <row r="1582" customFormat="false" ht="15" hidden="false" customHeight="false" outlineLevel="0" collapsed="false">
      <c r="A1582" s="2" t="s">
        <v>126</v>
      </c>
      <c r="B1582" s="2" t="s">
        <v>126</v>
      </c>
      <c r="C1582" s="2" t="s">
        <v>48</v>
      </c>
      <c r="D1582" s="2" t="s">
        <v>12</v>
      </c>
      <c r="E1582" s="2" t="s">
        <v>76</v>
      </c>
      <c r="F1582" s="2" t="s">
        <v>1145</v>
      </c>
      <c r="G1582" s="14" t="n">
        <v>9.5</v>
      </c>
      <c r="H1582" s="14" t="n">
        <v>43.25</v>
      </c>
      <c r="I1582" s="14" t="n">
        <v>9.5</v>
      </c>
      <c r="J1582" s="22" t="n">
        <f aca="false">IF(E1582="Priority",'Cost model'!N383,'Cost model'!M383)</f>
        <v>27.5</v>
      </c>
      <c r="K1582" s="14" t="n">
        <f aca="false">J1582-H1582</f>
        <v>-15.75</v>
      </c>
      <c r="L1582" s="14" t="n">
        <f aca="false">G1582-H1582</f>
        <v>-33.75</v>
      </c>
    </row>
    <row r="1583" customFormat="false" ht="15" hidden="false" customHeight="false" outlineLevel="0" collapsed="false">
      <c r="A1583" s="2" t="s">
        <v>184</v>
      </c>
      <c r="B1583" s="2" t="s">
        <v>184</v>
      </c>
      <c r="C1583" s="2" t="s">
        <v>48</v>
      </c>
      <c r="D1583" s="2" t="s">
        <v>10</v>
      </c>
      <c r="E1583" s="2" t="s">
        <v>76</v>
      </c>
      <c r="F1583" s="2" t="s">
        <v>1145</v>
      </c>
      <c r="G1583" s="14" t="n">
        <v>9.5</v>
      </c>
      <c r="H1583" s="14" t="n">
        <v>5.94</v>
      </c>
      <c r="I1583" s="14" t="n">
        <v>9.5</v>
      </c>
      <c r="J1583" s="22" t="n">
        <f aca="false">IF(E1583="Priority",'Cost model'!N200,'Cost model'!M200)</f>
        <v>7.5</v>
      </c>
      <c r="K1583" s="14" t="n">
        <f aca="false">J1583-H1583</f>
        <v>1.56</v>
      </c>
      <c r="L1583" s="14" t="n">
        <f aca="false">G1583-H1583</f>
        <v>3.56</v>
      </c>
    </row>
    <row r="1584" customFormat="false" ht="15" hidden="false" customHeight="false" outlineLevel="0" collapsed="false">
      <c r="A1584" s="2" t="s">
        <v>240</v>
      </c>
      <c r="B1584" s="2" t="s">
        <v>146</v>
      </c>
      <c r="C1584" s="2" t="s">
        <v>50</v>
      </c>
      <c r="D1584" s="2" t="s">
        <v>13</v>
      </c>
      <c r="E1584" s="2" t="s">
        <v>76</v>
      </c>
      <c r="F1584" s="2" t="s">
        <v>1146</v>
      </c>
      <c r="G1584" s="14" t="n">
        <v>50</v>
      </c>
      <c r="H1584" s="14" t="n">
        <v>85.88</v>
      </c>
      <c r="I1584" s="14" t="n">
        <v>125</v>
      </c>
      <c r="J1584" s="22" t="n">
        <f aca="false">IF(E1584="Priority",'Cost model'!N928,'Cost model'!M928)</f>
        <v>155</v>
      </c>
      <c r="K1584" s="14" t="n">
        <f aca="false">J1584-H1584</f>
        <v>69.12</v>
      </c>
      <c r="L1584" s="14" t="n">
        <f aca="false">G1584-H1584</f>
        <v>-35.88</v>
      </c>
    </row>
    <row r="1585" customFormat="false" ht="15" hidden="false" customHeight="false" outlineLevel="0" collapsed="false">
      <c r="A1585" s="2" t="s">
        <v>240</v>
      </c>
      <c r="B1585" s="2" t="s">
        <v>240</v>
      </c>
      <c r="C1585" s="2" t="s">
        <v>50</v>
      </c>
      <c r="D1585" s="2" t="s">
        <v>10</v>
      </c>
      <c r="E1585" s="2" t="s">
        <v>85</v>
      </c>
      <c r="F1585" s="2" t="s">
        <v>1145</v>
      </c>
      <c r="G1585" s="14" t="n">
        <v>24.5</v>
      </c>
      <c r="H1585" s="14" t="n">
        <v>24.17</v>
      </c>
      <c r="I1585" s="14" t="n">
        <v>24.5</v>
      </c>
      <c r="J1585" s="22" t="n">
        <f aca="false">IF(E1585="Priority",'Cost model'!N886,'Cost model'!M886)</f>
        <v>23.5</v>
      </c>
      <c r="K1585" s="14" t="n">
        <f aca="false">J1585-H1585</f>
        <v>-0.670000000000002</v>
      </c>
      <c r="L1585" s="14" t="n">
        <f aca="false">G1585-H1585</f>
        <v>0.329999999999998</v>
      </c>
    </row>
    <row r="1586" customFormat="false" ht="15" hidden="false" customHeight="false" outlineLevel="0" collapsed="false">
      <c r="A1586" s="2" t="s">
        <v>146</v>
      </c>
      <c r="B1586" s="2" t="s">
        <v>146</v>
      </c>
      <c r="C1586" s="2" t="s">
        <v>50</v>
      </c>
      <c r="D1586" s="2" t="s">
        <v>12</v>
      </c>
      <c r="E1586" s="2" t="s">
        <v>76</v>
      </c>
      <c r="F1586" s="2" t="s">
        <v>1145</v>
      </c>
      <c r="G1586" s="14" t="n">
        <v>19.5</v>
      </c>
      <c r="H1586" s="14" t="n">
        <v>43.66</v>
      </c>
      <c r="I1586" s="14" t="n">
        <v>19.5</v>
      </c>
      <c r="J1586" s="22" t="n">
        <f aca="false">IF(E1586="Priority",'Cost model'!N763,'Cost model'!M763)</f>
        <v>50</v>
      </c>
      <c r="K1586" s="14" t="n">
        <f aca="false">J1586-H1586</f>
        <v>6.34</v>
      </c>
      <c r="L1586" s="14" t="n">
        <f aca="false">G1586-H1586</f>
        <v>-24.16</v>
      </c>
    </row>
    <row r="1587" customFormat="false" ht="15" hidden="false" customHeight="false" outlineLevel="0" collapsed="false">
      <c r="A1587" s="2" t="s">
        <v>146</v>
      </c>
      <c r="B1587" s="2" t="s">
        <v>126</v>
      </c>
      <c r="C1587" s="2" t="s">
        <v>50</v>
      </c>
      <c r="D1587" s="2" t="s">
        <v>12</v>
      </c>
      <c r="E1587" s="2" t="s">
        <v>76</v>
      </c>
      <c r="F1587" s="2" t="s">
        <v>1146</v>
      </c>
      <c r="G1587" s="14" t="n">
        <v>19.5</v>
      </c>
      <c r="H1587" s="14" t="n">
        <v>54.71</v>
      </c>
      <c r="I1587" s="14" t="n">
        <v>19.5</v>
      </c>
      <c r="J1587" s="22" t="n">
        <f aca="false">IF(E1587="Priority",'Cost model'!N799,'Cost model'!M799)</f>
        <v>55</v>
      </c>
      <c r="K1587" s="14" t="n">
        <f aca="false">J1587-H1587</f>
        <v>0.289999999999999</v>
      </c>
      <c r="L1587" s="14" t="n">
        <f aca="false">G1587-H1587</f>
        <v>-35.21</v>
      </c>
    </row>
    <row r="1588" customFormat="false" ht="15" hidden="false" customHeight="false" outlineLevel="0" collapsed="false">
      <c r="A1588" s="2" t="s">
        <v>125</v>
      </c>
      <c r="B1588" s="2" t="s">
        <v>146</v>
      </c>
      <c r="C1588" s="2" t="s">
        <v>48</v>
      </c>
      <c r="D1588" s="2" t="s">
        <v>10</v>
      </c>
      <c r="E1588" s="2" t="s">
        <v>76</v>
      </c>
      <c r="F1588" s="2" t="s">
        <v>1146</v>
      </c>
      <c r="G1588" s="14" t="n">
        <v>14.5</v>
      </c>
      <c r="H1588" s="14" t="n">
        <v>21.61</v>
      </c>
      <c r="I1588" s="14" t="n">
        <v>14.5</v>
      </c>
      <c r="J1588" s="22" t="n">
        <f aca="false">IF(E1588="Priority",'Cost model'!N20,'Cost model'!M20)</f>
        <v>13.5</v>
      </c>
      <c r="K1588" s="14" t="n">
        <f aca="false">J1588-H1588</f>
        <v>-8.11</v>
      </c>
      <c r="L1588" s="14" t="n">
        <f aca="false">G1588-H1588</f>
        <v>-7.11</v>
      </c>
    </row>
    <row r="1589" customFormat="false" ht="15" hidden="false" customHeight="false" outlineLevel="0" collapsed="false">
      <c r="A1589" s="2" t="s">
        <v>126</v>
      </c>
      <c r="B1589" s="2" t="s">
        <v>126</v>
      </c>
      <c r="C1589" s="2" t="s">
        <v>50</v>
      </c>
      <c r="D1589" s="2" t="s">
        <v>12</v>
      </c>
      <c r="E1589" s="2" t="s">
        <v>76</v>
      </c>
      <c r="F1589" s="2" t="s">
        <v>1145</v>
      </c>
      <c r="G1589" s="14" t="n">
        <v>19.5</v>
      </c>
      <c r="H1589" s="14" t="n">
        <v>31.36</v>
      </c>
      <c r="I1589" s="14" t="n">
        <v>19.5</v>
      </c>
      <c r="J1589" s="22" t="n">
        <f aca="false">IF(E1589="Priority",'Cost model'!N385,'Cost model'!M385)</f>
        <v>55</v>
      </c>
      <c r="K1589" s="14" t="n">
        <f aca="false">J1589-H1589</f>
        <v>23.64</v>
      </c>
      <c r="L1589" s="14" t="n">
        <f aca="false">G1589-H1589</f>
        <v>-11.86</v>
      </c>
    </row>
    <row r="1590" customFormat="false" ht="15" hidden="false" customHeight="false" outlineLevel="0" collapsed="false">
      <c r="A1590" s="2" t="s">
        <v>126</v>
      </c>
      <c r="B1590" s="2" t="s">
        <v>126</v>
      </c>
      <c r="C1590" s="2" t="s">
        <v>50</v>
      </c>
      <c r="D1590" s="2" t="s">
        <v>12</v>
      </c>
      <c r="E1590" s="2" t="s">
        <v>85</v>
      </c>
      <c r="F1590" s="2" t="s">
        <v>1145</v>
      </c>
      <c r="G1590" s="14" t="n">
        <v>29.5</v>
      </c>
      <c r="H1590" s="14" t="n">
        <v>38.69</v>
      </c>
      <c r="I1590" s="14" t="n">
        <v>29.5</v>
      </c>
      <c r="J1590" s="22" t="n">
        <f aca="false">IF(E1590="Priority",'Cost model'!N385,'Cost model'!M385)</f>
        <v>70</v>
      </c>
      <c r="K1590" s="14" t="n">
        <f aca="false">J1590-H1590</f>
        <v>31.31</v>
      </c>
      <c r="L1590" s="14" t="n">
        <f aca="false">G1590-H1590</f>
        <v>-9.19</v>
      </c>
    </row>
    <row r="1591" customFormat="false" ht="15" hidden="false" customHeight="false" outlineLevel="0" collapsed="false">
      <c r="A1591" s="2" t="s">
        <v>184</v>
      </c>
      <c r="B1591" s="2" t="s">
        <v>146</v>
      </c>
      <c r="C1591" s="2" t="s">
        <v>48</v>
      </c>
      <c r="D1591" s="2" t="s">
        <v>10</v>
      </c>
      <c r="E1591" s="2" t="s">
        <v>76</v>
      </c>
      <c r="F1591" s="2" t="s">
        <v>1146</v>
      </c>
      <c r="G1591" s="14" t="n">
        <v>9.5</v>
      </c>
      <c r="H1591" s="14" t="n">
        <v>6.19</v>
      </c>
      <c r="I1591" s="14" t="n">
        <v>9.5</v>
      </c>
      <c r="J1591" s="22" t="n">
        <f aca="false">IF(E1591="Priority",'Cost model'!N146,'Cost model'!M146)</f>
        <v>12.5</v>
      </c>
      <c r="K1591" s="14" t="n">
        <f aca="false">J1591-H1591</f>
        <v>6.31</v>
      </c>
      <c r="L1591" s="14" t="n">
        <f aca="false">G1591-H1591</f>
        <v>3.31</v>
      </c>
    </row>
    <row r="1592" customFormat="false" ht="15" hidden="false" customHeight="false" outlineLevel="0" collapsed="false">
      <c r="A1592" s="2" t="s">
        <v>126</v>
      </c>
      <c r="B1592" s="2" t="s">
        <v>126</v>
      </c>
      <c r="C1592" s="2" t="s">
        <v>48</v>
      </c>
      <c r="D1592" s="2" t="s">
        <v>13</v>
      </c>
      <c r="E1592" s="2" t="s">
        <v>76</v>
      </c>
      <c r="F1592" s="2" t="s">
        <v>1145</v>
      </c>
      <c r="G1592" s="14" t="n">
        <v>19</v>
      </c>
      <c r="H1592" s="14" t="n">
        <v>83.58</v>
      </c>
      <c r="I1592" s="14" t="n">
        <v>19</v>
      </c>
      <c r="J1592" s="22" t="n">
        <f aca="false">IF(E1592="Priority",'Cost model'!N386,'Cost model'!M386)</f>
        <v>55</v>
      </c>
      <c r="K1592" s="14" t="n">
        <f aca="false">J1592-H1592</f>
        <v>-28.58</v>
      </c>
      <c r="L1592" s="14" t="n">
        <f aca="false">G1592-H1592</f>
        <v>-64.58</v>
      </c>
    </row>
    <row r="1593" customFormat="false" ht="15" hidden="false" customHeight="false" outlineLevel="0" collapsed="false">
      <c r="A1593" s="2" t="s">
        <v>240</v>
      </c>
      <c r="B1593" s="2" t="s">
        <v>146</v>
      </c>
      <c r="C1593" s="2" t="s">
        <v>48</v>
      </c>
      <c r="D1593" s="2" t="s">
        <v>10</v>
      </c>
      <c r="E1593" s="2" t="s">
        <v>76</v>
      </c>
      <c r="F1593" s="2" t="s">
        <v>1146</v>
      </c>
      <c r="G1593" s="14" t="n">
        <v>9.5</v>
      </c>
      <c r="H1593" s="14" t="n">
        <v>82.54</v>
      </c>
      <c r="I1593" s="14" t="n">
        <v>19.5</v>
      </c>
      <c r="J1593" s="22" t="n">
        <f aca="false">IF(E1593="Priority",'Cost model'!N920,'Cost model'!M920)</f>
        <v>16.5</v>
      </c>
      <c r="K1593" s="14" t="n">
        <f aca="false">J1593-H1593</f>
        <v>-66.04</v>
      </c>
      <c r="L1593" s="14" t="n">
        <f aca="false">G1593-H1593</f>
        <v>-73.04</v>
      </c>
    </row>
    <row r="1594" customFormat="false" ht="15" hidden="false" customHeight="false" outlineLevel="0" collapsed="false">
      <c r="A1594" s="2" t="s">
        <v>184</v>
      </c>
      <c r="B1594" s="2" t="s">
        <v>184</v>
      </c>
      <c r="C1594" s="2" t="s">
        <v>50</v>
      </c>
      <c r="D1594" s="2" t="s">
        <v>10</v>
      </c>
      <c r="E1594" s="2" t="s">
        <v>76</v>
      </c>
      <c r="F1594" s="2" t="s">
        <v>1145</v>
      </c>
      <c r="G1594" s="14" t="n">
        <v>17.5</v>
      </c>
      <c r="H1594" s="14" t="n">
        <v>12.18</v>
      </c>
      <c r="I1594" s="14" t="n">
        <v>17.5</v>
      </c>
      <c r="J1594" s="22" t="n">
        <f aca="false">IF(E1594="Priority",'Cost model'!N202,'Cost model'!M202)</f>
        <v>17.5</v>
      </c>
      <c r="K1594" s="14" t="n">
        <f aca="false">J1594-H1594</f>
        <v>5.32</v>
      </c>
      <c r="L1594" s="14" t="n">
        <f aca="false">G1594-H1594</f>
        <v>5.32</v>
      </c>
    </row>
    <row r="1595" customFormat="false" ht="15" hidden="false" customHeight="false" outlineLevel="0" collapsed="false">
      <c r="A1595" s="2" t="s">
        <v>240</v>
      </c>
      <c r="B1595" s="2" t="s">
        <v>126</v>
      </c>
      <c r="C1595" s="2" t="s">
        <v>49</v>
      </c>
      <c r="D1595" s="2" t="s">
        <v>10</v>
      </c>
      <c r="E1595" s="2" t="s">
        <v>85</v>
      </c>
      <c r="F1595" s="2" t="s">
        <v>1146</v>
      </c>
      <c r="G1595" s="14" t="n">
        <v>24.5</v>
      </c>
      <c r="H1595" s="14" t="n">
        <v>21.61</v>
      </c>
      <c r="I1595" s="14" t="n">
        <v>24.5</v>
      </c>
      <c r="J1595" s="22" t="n">
        <f aca="false">IF(E1595="Priority",'Cost model'!N957,'Cost model'!M957)</f>
        <v>25.5</v>
      </c>
      <c r="K1595" s="14" t="n">
        <f aca="false">J1595-H1595</f>
        <v>3.89</v>
      </c>
      <c r="L1595" s="14" t="n">
        <f aca="false">G1595-H1595</f>
        <v>2.89</v>
      </c>
    </row>
    <row r="1596" customFormat="false" ht="15" hidden="false" customHeight="false" outlineLevel="0" collapsed="false">
      <c r="A1596" s="2" t="s">
        <v>184</v>
      </c>
      <c r="B1596" s="2" t="s">
        <v>184</v>
      </c>
      <c r="C1596" s="2" t="s">
        <v>49</v>
      </c>
      <c r="D1596" s="2" t="s">
        <v>14</v>
      </c>
      <c r="E1596" s="2" t="s">
        <v>76</v>
      </c>
      <c r="F1596" s="2" t="s">
        <v>1145</v>
      </c>
      <c r="G1596" s="14" t="n">
        <v>45</v>
      </c>
      <c r="H1596" s="14" t="n">
        <v>98</v>
      </c>
      <c r="I1596" s="14"/>
      <c r="J1596" s="22" t="n">
        <f aca="false">IF(E1596="Priority",'Cost model'!N210,'Cost model'!M210)</f>
        <v>135</v>
      </c>
      <c r="K1596" s="14" t="n">
        <f aca="false">J1596-H1596</f>
        <v>37</v>
      </c>
      <c r="L1596" s="14" t="n">
        <f aca="false">G1596-H1596</f>
        <v>-53</v>
      </c>
    </row>
    <row r="1597" customFormat="false" ht="15" hidden="false" customHeight="false" outlineLevel="0" collapsed="false">
      <c r="A1597" s="2" t="s">
        <v>146</v>
      </c>
      <c r="B1597" s="2" t="s">
        <v>125</v>
      </c>
      <c r="C1597" s="2" t="s">
        <v>50</v>
      </c>
      <c r="D1597" s="2" t="s">
        <v>12</v>
      </c>
      <c r="E1597" s="2" t="s">
        <v>76</v>
      </c>
      <c r="F1597" s="2" t="s">
        <v>1146</v>
      </c>
      <c r="G1597" s="14" t="n">
        <v>19.5</v>
      </c>
      <c r="H1597" s="14" t="n">
        <v>37.28</v>
      </c>
      <c r="I1597" s="14" t="n">
        <v>24.5</v>
      </c>
      <c r="J1597" s="22" t="n">
        <f aca="false">IF(E1597="Priority",'Cost model'!N871,'Cost model'!M871)</f>
        <v>55</v>
      </c>
      <c r="K1597" s="14" t="n">
        <f aca="false">J1597-H1597</f>
        <v>17.72</v>
      </c>
      <c r="L1597" s="14" t="n">
        <f aca="false">G1597-H1597</f>
        <v>-17.78</v>
      </c>
    </row>
    <row r="1598" customFormat="false" ht="15" hidden="false" customHeight="false" outlineLevel="0" collapsed="false">
      <c r="A1598" s="2" t="s">
        <v>126</v>
      </c>
      <c r="B1598" s="2" t="s">
        <v>126</v>
      </c>
      <c r="C1598" s="2" t="s">
        <v>49</v>
      </c>
      <c r="D1598" s="2" t="s">
        <v>10</v>
      </c>
      <c r="E1598" s="2" t="s">
        <v>76</v>
      </c>
      <c r="F1598" s="2" t="s">
        <v>1145</v>
      </c>
      <c r="G1598" s="14" t="n">
        <v>12.5</v>
      </c>
      <c r="H1598" s="14" t="n">
        <v>24.63</v>
      </c>
      <c r="I1598" s="14" t="n">
        <v>12.5</v>
      </c>
      <c r="J1598" s="22" t="n">
        <f aca="false">IF(E1598="Priority",'Cost model'!N381,'Cost model'!M381)</f>
        <v>14.5</v>
      </c>
      <c r="K1598" s="14" t="n">
        <f aca="false">J1598-H1598</f>
        <v>-10.13</v>
      </c>
      <c r="L1598" s="14" t="n">
        <f aca="false">G1598-H1598</f>
        <v>-12.13</v>
      </c>
    </row>
    <row r="1599" customFormat="false" ht="15" hidden="false" customHeight="false" outlineLevel="0" collapsed="false">
      <c r="A1599" s="2" t="s">
        <v>146</v>
      </c>
      <c r="B1599" s="2" t="s">
        <v>146</v>
      </c>
      <c r="C1599" s="2" t="s">
        <v>49</v>
      </c>
      <c r="D1599" s="2" t="s">
        <v>10</v>
      </c>
      <c r="E1599" s="2" t="s">
        <v>85</v>
      </c>
      <c r="F1599" s="2" t="s">
        <v>1145</v>
      </c>
      <c r="G1599" s="14" t="n">
        <v>17.5</v>
      </c>
      <c r="H1599" s="14" t="n">
        <v>42.61</v>
      </c>
      <c r="I1599" s="14" t="n">
        <v>17.5</v>
      </c>
      <c r="J1599" s="22" t="n">
        <f aca="false">IF(E1599="Priority",'Cost model'!N759,'Cost model'!M759)</f>
        <v>21.5</v>
      </c>
      <c r="K1599" s="14" t="n">
        <f aca="false">J1599-H1599</f>
        <v>-21.11</v>
      </c>
      <c r="L1599" s="14" t="n">
        <f aca="false">G1599-H1599</f>
        <v>-25.11</v>
      </c>
    </row>
    <row r="1600" customFormat="false" ht="15" hidden="false" customHeight="false" outlineLevel="0" collapsed="false">
      <c r="A1600" s="2" t="s">
        <v>184</v>
      </c>
      <c r="B1600" s="2" t="s">
        <v>184</v>
      </c>
      <c r="C1600" s="2" t="s">
        <v>50</v>
      </c>
      <c r="D1600" s="2" t="s">
        <v>10</v>
      </c>
      <c r="E1600" s="2" t="s">
        <v>76</v>
      </c>
      <c r="F1600" s="2" t="s">
        <v>1145</v>
      </c>
      <c r="G1600" s="14" t="n">
        <v>17.5</v>
      </c>
      <c r="H1600" s="14" t="n">
        <v>20.11</v>
      </c>
      <c r="I1600" s="14" t="n">
        <v>17.5</v>
      </c>
      <c r="J1600" s="22" t="n">
        <f aca="false">IF(E1600="Priority",'Cost model'!N202,'Cost model'!M202)</f>
        <v>17.5</v>
      </c>
      <c r="K1600" s="14" t="n">
        <f aca="false">J1600-H1600</f>
        <v>-2.61</v>
      </c>
      <c r="L1600" s="14" t="n">
        <f aca="false">G1600-H1600</f>
        <v>-2.61</v>
      </c>
    </row>
    <row r="1601" customFormat="false" ht="15" hidden="false" customHeight="false" outlineLevel="0" collapsed="false">
      <c r="A1601" s="2" t="s">
        <v>184</v>
      </c>
      <c r="B1601" s="2" t="s">
        <v>184</v>
      </c>
      <c r="C1601" s="2" t="s">
        <v>49</v>
      </c>
      <c r="D1601" s="2" t="s">
        <v>10</v>
      </c>
      <c r="E1601" s="2" t="s">
        <v>76</v>
      </c>
      <c r="F1601" s="2" t="s">
        <v>1145</v>
      </c>
      <c r="G1601" s="14" t="n">
        <v>12.5</v>
      </c>
      <c r="H1601" s="14" t="n">
        <v>11.94</v>
      </c>
      <c r="I1601" s="14"/>
      <c r="J1601" s="22" t="n">
        <f aca="false">IF(E1601="Priority",'Cost model'!N201,'Cost model'!M201)</f>
        <v>12.5</v>
      </c>
      <c r="K1601" s="14" t="n">
        <f aca="false">J1601-H1601</f>
        <v>0.560000000000001</v>
      </c>
      <c r="L1601" s="14" t="n">
        <f aca="false">G1601-H1601</f>
        <v>0.560000000000001</v>
      </c>
    </row>
    <row r="1602" customFormat="false" ht="15" hidden="false" customHeight="false" outlineLevel="0" collapsed="false">
      <c r="A1602" s="2" t="s">
        <v>184</v>
      </c>
      <c r="B1602" s="2" t="s">
        <v>126</v>
      </c>
      <c r="C1602" s="2" t="s">
        <v>50</v>
      </c>
      <c r="D1602" s="2" t="s">
        <v>10</v>
      </c>
      <c r="E1602" s="2" t="s">
        <v>76</v>
      </c>
      <c r="F1602" s="2" t="s">
        <v>1146</v>
      </c>
      <c r="G1602" s="14" t="n">
        <v>17.5</v>
      </c>
      <c r="H1602" s="14" t="n">
        <v>24.17</v>
      </c>
      <c r="I1602" s="14" t="n">
        <v>17.5</v>
      </c>
      <c r="J1602" s="22" t="n">
        <f aca="false">IF(E1602="Priority",'Cost model'!N130,'Cost model'!M130)</f>
        <v>18.5</v>
      </c>
      <c r="K1602" s="14" t="n">
        <f aca="false">J1602-H1602</f>
        <v>-5.67</v>
      </c>
      <c r="L1602" s="14" t="n">
        <f aca="false">G1602-H1602</f>
        <v>-6.67</v>
      </c>
    </row>
    <row r="1603" customFormat="false" ht="15" hidden="false" customHeight="false" outlineLevel="0" collapsed="false">
      <c r="A1603" s="2" t="s">
        <v>184</v>
      </c>
      <c r="B1603" s="2" t="s">
        <v>165</v>
      </c>
      <c r="C1603" s="2" t="s">
        <v>49</v>
      </c>
      <c r="D1603" s="2" t="s">
        <v>14</v>
      </c>
      <c r="E1603" s="2" t="s">
        <v>76</v>
      </c>
      <c r="F1603" s="2" t="s">
        <v>1146</v>
      </c>
      <c r="G1603" s="14" t="n">
        <v>125</v>
      </c>
      <c r="H1603" s="14" t="n">
        <v>105.39</v>
      </c>
      <c r="I1603" s="14"/>
      <c r="J1603" s="22" t="n">
        <f aca="false">IF(E1603="Priority",'Cost model'!N174,'Cost model'!M174)</f>
        <v>170</v>
      </c>
      <c r="K1603" s="14" t="n">
        <f aca="false">J1603-H1603</f>
        <v>64.61</v>
      </c>
      <c r="L1603" s="14" t="n">
        <f aca="false">G1603-H1603</f>
        <v>19.61</v>
      </c>
    </row>
    <row r="1604" customFormat="false" ht="15" hidden="false" customHeight="false" outlineLevel="0" collapsed="false">
      <c r="A1604" s="2" t="s">
        <v>126</v>
      </c>
      <c r="B1604" s="2" t="s">
        <v>126</v>
      </c>
      <c r="C1604" s="2" t="s">
        <v>50</v>
      </c>
      <c r="D1604" s="2" t="s">
        <v>10</v>
      </c>
      <c r="E1604" s="2" t="s">
        <v>76</v>
      </c>
      <c r="F1604" s="2" t="s">
        <v>1145</v>
      </c>
      <c r="G1604" s="14" t="n">
        <v>17.5</v>
      </c>
      <c r="H1604" s="14" t="n">
        <v>17.69</v>
      </c>
      <c r="I1604" s="14" t="n">
        <v>17.5</v>
      </c>
      <c r="J1604" s="22" t="n">
        <f aca="false">IF(E1604="Priority",'Cost model'!N382,'Cost model'!M382)</f>
        <v>18.5</v>
      </c>
      <c r="K1604" s="14" t="n">
        <f aca="false">J1604-H1604</f>
        <v>0.809999999999999</v>
      </c>
      <c r="L1604" s="14" t="n">
        <f aca="false">G1604-H1604</f>
        <v>-0.190000000000001</v>
      </c>
    </row>
    <row r="1605" customFormat="false" ht="15" hidden="false" customHeight="false" outlineLevel="0" collapsed="false">
      <c r="A1605" s="2" t="s">
        <v>146</v>
      </c>
      <c r="B1605" s="2" t="s">
        <v>146</v>
      </c>
      <c r="C1605" s="2" t="s">
        <v>50</v>
      </c>
      <c r="D1605" s="2" t="s">
        <v>10</v>
      </c>
      <c r="E1605" s="2" t="s">
        <v>76</v>
      </c>
      <c r="F1605" s="2" t="s">
        <v>1145</v>
      </c>
      <c r="G1605" s="14" t="n">
        <v>17.5</v>
      </c>
      <c r="H1605" s="14" t="n">
        <v>17.69</v>
      </c>
      <c r="I1605" s="14" t="n">
        <v>17.5</v>
      </c>
      <c r="J1605" s="22" t="n">
        <f aca="false">IF(E1605="Priority",'Cost model'!N760,'Cost model'!M760)</f>
        <v>18.5</v>
      </c>
      <c r="K1605" s="14" t="n">
        <f aca="false">J1605-H1605</f>
        <v>0.809999999999999</v>
      </c>
      <c r="L1605" s="14" t="n">
        <f aca="false">G1605-H1605</f>
        <v>-0.190000000000001</v>
      </c>
    </row>
    <row r="1606" customFormat="false" ht="15" hidden="false" customHeight="false" outlineLevel="0" collapsed="false">
      <c r="A1606" s="2" t="s">
        <v>146</v>
      </c>
      <c r="B1606" s="2" t="s">
        <v>221</v>
      </c>
      <c r="C1606" s="2" t="s">
        <v>48</v>
      </c>
      <c r="D1606" s="2" t="s">
        <v>10</v>
      </c>
      <c r="E1606" s="2" t="s">
        <v>76</v>
      </c>
      <c r="F1606" s="2" t="s">
        <v>1146</v>
      </c>
      <c r="G1606" s="14" t="n">
        <v>9.5</v>
      </c>
      <c r="H1606" s="14" t="n">
        <v>8.06</v>
      </c>
      <c r="I1606" s="14" t="n">
        <v>19.5</v>
      </c>
      <c r="J1606" s="22" t="n">
        <f aca="false">IF(E1606="Priority",'Cost model'!N848,'Cost model'!M848)</f>
        <v>9.5</v>
      </c>
      <c r="K1606" s="14" t="n">
        <f aca="false">J1606-H1606</f>
        <v>1.44</v>
      </c>
      <c r="L1606" s="14" t="n">
        <f aca="false">G1606-H1606</f>
        <v>1.44</v>
      </c>
    </row>
    <row r="1607" customFormat="false" ht="15" hidden="false" customHeight="false" outlineLevel="0" collapsed="false">
      <c r="A1607" s="2" t="s">
        <v>126</v>
      </c>
      <c r="B1607" s="2" t="s">
        <v>126</v>
      </c>
      <c r="C1607" s="2" t="s">
        <v>50</v>
      </c>
      <c r="D1607" s="2" t="s">
        <v>12</v>
      </c>
      <c r="E1607" s="2" t="s">
        <v>76</v>
      </c>
      <c r="F1607" s="2" t="s">
        <v>1145</v>
      </c>
      <c r="G1607" s="14" t="n">
        <v>19.5</v>
      </c>
      <c r="H1607" s="14" t="n">
        <v>31.22</v>
      </c>
      <c r="I1607" s="14" t="n">
        <v>19.5</v>
      </c>
      <c r="J1607" s="22" t="n">
        <f aca="false">IF(E1607="Priority",'Cost model'!N385,'Cost model'!M385)</f>
        <v>55</v>
      </c>
      <c r="K1607" s="14" t="n">
        <f aca="false">J1607-H1607</f>
        <v>23.78</v>
      </c>
      <c r="L1607" s="14" t="n">
        <f aca="false">G1607-H1607</f>
        <v>-11.72</v>
      </c>
    </row>
    <row r="1608" customFormat="false" ht="15" hidden="false" customHeight="false" outlineLevel="0" collapsed="false">
      <c r="A1608" s="2" t="s">
        <v>240</v>
      </c>
      <c r="B1608" s="2" t="s">
        <v>240</v>
      </c>
      <c r="C1608" s="2" t="s">
        <v>48</v>
      </c>
      <c r="D1608" s="2" t="s">
        <v>12</v>
      </c>
      <c r="E1608" s="2" t="s">
        <v>76</v>
      </c>
      <c r="F1608" s="2" t="s">
        <v>1145</v>
      </c>
      <c r="G1608" s="14" t="n">
        <v>9.5</v>
      </c>
      <c r="H1608" s="14" t="n">
        <v>7.9</v>
      </c>
      <c r="I1608" s="14" t="n">
        <v>9.5</v>
      </c>
      <c r="J1608" s="22" t="n">
        <f aca="false">IF(E1608="Priority",'Cost model'!N887,'Cost model'!M887)</f>
        <v>21.5</v>
      </c>
      <c r="K1608" s="14" t="n">
        <f aca="false">J1608-H1608</f>
        <v>13.6</v>
      </c>
      <c r="L1608" s="14" t="n">
        <f aca="false">G1608-H1608</f>
        <v>1.6</v>
      </c>
    </row>
    <row r="1609" customFormat="false" ht="15" hidden="false" customHeight="false" outlineLevel="0" collapsed="false">
      <c r="A1609" s="2" t="s">
        <v>184</v>
      </c>
      <c r="B1609" s="2" t="s">
        <v>184</v>
      </c>
      <c r="C1609" s="2" t="s">
        <v>49</v>
      </c>
      <c r="D1609" s="2" t="s">
        <v>12</v>
      </c>
      <c r="E1609" s="2" t="s">
        <v>76</v>
      </c>
      <c r="F1609" s="2" t="s">
        <v>1145</v>
      </c>
      <c r="G1609" s="14" t="n">
        <v>12.5</v>
      </c>
      <c r="H1609" s="14" t="n">
        <v>25.99</v>
      </c>
      <c r="I1609" s="14"/>
      <c r="J1609" s="22" t="n">
        <f aca="false">IF(E1609="Priority",'Cost model'!N204,'Cost model'!M204)</f>
        <v>45</v>
      </c>
      <c r="K1609" s="14" t="n">
        <f aca="false">J1609-H1609</f>
        <v>19.01</v>
      </c>
      <c r="L1609" s="14" t="n">
        <f aca="false">G1609-H1609</f>
        <v>-13.49</v>
      </c>
    </row>
    <row r="1610" customFormat="false" ht="15" hidden="false" customHeight="false" outlineLevel="0" collapsed="false">
      <c r="A1610" s="2" t="s">
        <v>240</v>
      </c>
      <c r="B1610" s="2" t="s">
        <v>126</v>
      </c>
      <c r="C1610" s="2" t="s">
        <v>48</v>
      </c>
      <c r="D1610" s="2" t="s">
        <v>10</v>
      </c>
      <c r="E1610" s="2" t="s">
        <v>76</v>
      </c>
      <c r="F1610" s="2" t="s">
        <v>1146</v>
      </c>
      <c r="G1610" s="14" t="n">
        <v>9.5</v>
      </c>
      <c r="H1610" s="14" t="n">
        <v>8.84</v>
      </c>
      <c r="I1610" s="14" t="n">
        <v>19.5</v>
      </c>
      <c r="J1610" s="22" t="n">
        <f aca="false">IF(E1610="Priority",'Cost model'!N956,'Cost model'!M956)</f>
        <v>15.5</v>
      </c>
      <c r="K1610" s="14" t="n">
        <f aca="false">J1610-H1610</f>
        <v>6.66</v>
      </c>
      <c r="L1610" s="14" t="n">
        <f aca="false">G1610-H1610</f>
        <v>0.66</v>
      </c>
    </row>
    <row r="1611" customFormat="false" ht="15" hidden="false" customHeight="false" outlineLevel="0" collapsed="false">
      <c r="A1611" s="2" t="s">
        <v>221</v>
      </c>
      <c r="B1611" s="2" t="s">
        <v>221</v>
      </c>
      <c r="C1611" s="2" t="s">
        <v>49</v>
      </c>
      <c r="D1611" s="2" t="s">
        <v>12</v>
      </c>
      <c r="E1611" s="2" t="s">
        <v>76</v>
      </c>
      <c r="F1611" s="2" t="s">
        <v>1145</v>
      </c>
      <c r="G1611" s="14" t="n">
        <v>12.5</v>
      </c>
      <c r="H1611" s="14" t="n">
        <v>124.62</v>
      </c>
      <c r="I1611" s="14" t="n">
        <v>12.5</v>
      </c>
      <c r="J1611" s="22" t="n">
        <f aca="false">IF(E1611="Priority",'Cost model'!N636,'Cost model'!M636)</f>
        <v>55</v>
      </c>
      <c r="K1611" s="14" t="n">
        <f aca="false">J1611-H1611</f>
        <v>-69.62</v>
      </c>
      <c r="L1611" s="14" t="n">
        <f aca="false">G1611-H1611</f>
        <v>-112.12</v>
      </c>
    </row>
    <row r="1612" customFormat="false" ht="15" hidden="false" customHeight="false" outlineLevel="0" collapsed="false">
      <c r="A1612" s="2" t="s">
        <v>240</v>
      </c>
      <c r="B1612" s="2" t="s">
        <v>240</v>
      </c>
      <c r="C1612" s="2" t="s">
        <v>48</v>
      </c>
      <c r="D1612" s="2" t="s">
        <v>14</v>
      </c>
      <c r="E1612" s="2" t="s">
        <v>85</v>
      </c>
      <c r="F1612" s="2" t="s">
        <v>1145</v>
      </c>
      <c r="G1612" s="14" t="n">
        <v>85</v>
      </c>
      <c r="H1612" s="14" t="n">
        <v>178.41</v>
      </c>
      <c r="I1612" s="14" t="n">
        <v>85</v>
      </c>
      <c r="J1612" s="22" t="n">
        <f aca="false">IF(E1612="Priority",'Cost model'!N893,'Cost model'!M893)</f>
        <v>165</v>
      </c>
      <c r="K1612" s="14" t="n">
        <f aca="false">J1612-H1612</f>
        <v>-13.41</v>
      </c>
      <c r="L1612" s="14" t="n">
        <f aca="false">G1612-H1612</f>
        <v>-93.41</v>
      </c>
    </row>
    <row r="1613" customFormat="false" ht="15" hidden="false" customHeight="false" outlineLevel="0" collapsed="false">
      <c r="A1613" s="2" t="s">
        <v>146</v>
      </c>
      <c r="B1613" s="2" t="s">
        <v>146</v>
      </c>
      <c r="C1613" s="2" t="s">
        <v>48</v>
      </c>
      <c r="D1613" s="2" t="s">
        <v>10</v>
      </c>
      <c r="E1613" s="2" t="s">
        <v>85</v>
      </c>
      <c r="F1613" s="2" t="s">
        <v>1145</v>
      </c>
      <c r="G1613" s="14" t="n">
        <v>14.5</v>
      </c>
      <c r="H1613" s="14" t="n">
        <v>5.27</v>
      </c>
      <c r="I1613" s="14" t="n">
        <v>14.5</v>
      </c>
      <c r="J1613" s="22" t="n">
        <f aca="false">IF(E1613="Priority",'Cost model'!N758,'Cost model'!M758)</f>
        <v>14.5</v>
      </c>
      <c r="K1613" s="14" t="n">
        <f aca="false">J1613-H1613</f>
        <v>9.23</v>
      </c>
      <c r="L1613" s="14" t="n">
        <f aca="false">G1613-H1613</f>
        <v>9.23</v>
      </c>
    </row>
    <row r="1614" customFormat="false" ht="15" hidden="false" customHeight="false" outlineLevel="0" collapsed="false">
      <c r="A1614" s="2" t="s">
        <v>240</v>
      </c>
      <c r="B1614" s="2" t="s">
        <v>240</v>
      </c>
      <c r="C1614" s="2" t="s">
        <v>48</v>
      </c>
      <c r="D1614" s="2" t="s">
        <v>12</v>
      </c>
      <c r="E1614" s="2" t="s">
        <v>76</v>
      </c>
      <c r="F1614" s="2" t="s">
        <v>1145</v>
      </c>
      <c r="G1614" s="14" t="n">
        <v>9.5</v>
      </c>
      <c r="H1614" s="14" t="n">
        <v>28.47</v>
      </c>
      <c r="I1614" s="14" t="n">
        <v>9.5</v>
      </c>
      <c r="J1614" s="22" t="n">
        <f aca="false">IF(E1614="Priority",'Cost model'!N887,'Cost model'!M887)</f>
        <v>21.5</v>
      </c>
      <c r="K1614" s="14" t="n">
        <f aca="false">J1614-H1614</f>
        <v>-6.97</v>
      </c>
      <c r="L1614" s="14" t="n">
        <f aca="false">G1614-H1614</f>
        <v>-18.97</v>
      </c>
    </row>
    <row r="1615" customFormat="false" ht="15" hidden="false" customHeight="false" outlineLevel="0" collapsed="false">
      <c r="A1615" s="2" t="s">
        <v>125</v>
      </c>
      <c r="B1615" s="2" t="s">
        <v>184</v>
      </c>
      <c r="C1615" s="2" t="s">
        <v>48</v>
      </c>
      <c r="D1615" s="2" t="s">
        <v>10</v>
      </c>
      <c r="E1615" s="2" t="s">
        <v>76</v>
      </c>
      <c r="F1615" s="2" t="s">
        <v>1146</v>
      </c>
      <c r="G1615" s="14" t="n">
        <v>9.5</v>
      </c>
      <c r="H1615" s="14" t="n">
        <v>11.94</v>
      </c>
      <c r="I1615" s="14" t="n">
        <v>14.5</v>
      </c>
      <c r="J1615" s="22" t="n">
        <f aca="false">IF(E1615="Priority",'Cost model'!N56,'Cost model'!M56)</f>
        <v>11.5</v>
      </c>
      <c r="K1615" s="14" t="n">
        <f aca="false">J1615-H1615</f>
        <v>-0.44</v>
      </c>
      <c r="L1615" s="14" t="n">
        <f aca="false">G1615-H1615</f>
        <v>-2.44</v>
      </c>
    </row>
    <row r="1616" customFormat="false" ht="15" hidden="false" customHeight="false" outlineLevel="0" collapsed="false">
      <c r="A1616" s="2" t="s">
        <v>146</v>
      </c>
      <c r="B1616" s="2" t="s">
        <v>126</v>
      </c>
      <c r="C1616" s="2" t="s">
        <v>48</v>
      </c>
      <c r="D1616" s="2" t="s">
        <v>10</v>
      </c>
      <c r="E1616" s="2" t="s">
        <v>76</v>
      </c>
      <c r="F1616" s="2" t="s">
        <v>1146</v>
      </c>
      <c r="G1616" s="14" t="n">
        <v>9.5</v>
      </c>
      <c r="H1616" s="14" t="n">
        <v>12.98</v>
      </c>
      <c r="I1616" s="14" t="n">
        <v>14.5</v>
      </c>
      <c r="J1616" s="22" t="n">
        <f aca="false">IF(E1616="Priority",'Cost model'!N794,'Cost model'!M794)</f>
        <v>12.5</v>
      </c>
      <c r="K1616" s="14" t="n">
        <f aca="false">J1616-H1616</f>
        <v>-0.48</v>
      </c>
      <c r="L1616" s="14" t="n">
        <f aca="false">G1616-H1616</f>
        <v>-3.48</v>
      </c>
    </row>
    <row r="1617" customFormat="false" ht="15" hidden="false" customHeight="false" outlineLevel="0" collapsed="false">
      <c r="A1617" s="2" t="s">
        <v>240</v>
      </c>
      <c r="B1617" s="2" t="s">
        <v>240</v>
      </c>
      <c r="C1617" s="2" t="s">
        <v>49</v>
      </c>
      <c r="D1617" s="2" t="s">
        <v>12</v>
      </c>
      <c r="E1617" s="2" t="s">
        <v>76</v>
      </c>
      <c r="F1617" s="2" t="s">
        <v>1145</v>
      </c>
      <c r="G1617" s="14" t="n">
        <v>12.5</v>
      </c>
      <c r="H1617" s="14" t="n">
        <v>57.75</v>
      </c>
      <c r="I1617" s="14" t="n">
        <v>12.5</v>
      </c>
      <c r="J1617" s="22" t="n">
        <f aca="false">IF(E1617="Priority",'Cost model'!N888,'Cost model'!M888)</f>
        <v>50</v>
      </c>
      <c r="K1617" s="14" t="n">
        <f aca="false">J1617-H1617</f>
        <v>-7.75</v>
      </c>
      <c r="L1617" s="14" t="n">
        <f aca="false">G1617-H1617</f>
        <v>-45.25</v>
      </c>
    </row>
    <row r="1618" customFormat="false" ht="15" hidden="false" customHeight="false" outlineLevel="0" collapsed="false">
      <c r="A1618" s="2" t="s">
        <v>146</v>
      </c>
      <c r="B1618" s="2" t="s">
        <v>146</v>
      </c>
      <c r="C1618" s="2" t="s">
        <v>48</v>
      </c>
      <c r="D1618" s="2" t="s">
        <v>12</v>
      </c>
      <c r="E1618" s="2" t="s">
        <v>85</v>
      </c>
      <c r="F1618" s="2" t="s">
        <v>1145</v>
      </c>
      <c r="G1618" s="14" t="n">
        <v>19.5</v>
      </c>
      <c r="H1618" s="14" t="n">
        <v>28.95</v>
      </c>
      <c r="I1618" s="14" t="n">
        <v>19.5</v>
      </c>
      <c r="J1618" s="22" t="n">
        <f aca="false">IF(E1618="Priority",'Cost model'!N761,'Cost model'!M761)</f>
        <v>45</v>
      </c>
      <c r="K1618" s="14" t="n">
        <f aca="false">J1618-H1618</f>
        <v>16.05</v>
      </c>
      <c r="L1618" s="14" t="n">
        <f aca="false">G1618-H1618</f>
        <v>-9.45</v>
      </c>
    </row>
    <row r="1619" customFormat="false" ht="15" hidden="false" customHeight="false" outlineLevel="0" collapsed="false">
      <c r="A1619" s="2" t="s">
        <v>184</v>
      </c>
      <c r="B1619" s="2" t="s">
        <v>184</v>
      </c>
      <c r="C1619" s="2" t="s">
        <v>49</v>
      </c>
      <c r="D1619" s="2" t="s">
        <v>12</v>
      </c>
      <c r="E1619" s="2" t="s">
        <v>76</v>
      </c>
      <c r="F1619" s="2" t="s">
        <v>1145</v>
      </c>
      <c r="G1619" s="14" t="n">
        <v>12.5</v>
      </c>
      <c r="H1619" s="14" t="n">
        <v>58.65</v>
      </c>
      <c r="I1619" s="14"/>
      <c r="J1619" s="22" t="n">
        <f aca="false">IF(E1619="Priority",'Cost model'!N204,'Cost model'!M204)</f>
        <v>45</v>
      </c>
      <c r="K1619" s="14" t="n">
        <f aca="false">J1619-H1619</f>
        <v>-13.65</v>
      </c>
      <c r="L1619" s="14" t="n">
        <f aca="false">G1619-H1619</f>
        <v>-46.15</v>
      </c>
    </row>
    <row r="1620" customFormat="false" ht="15" hidden="false" customHeight="false" outlineLevel="0" collapsed="false">
      <c r="A1620" s="2" t="s">
        <v>240</v>
      </c>
      <c r="B1620" s="2" t="s">
        <v>240</v>
      </c>
      <c r="C1620" s="2" t="s">
        <v>48</v>
      </c>
      <c r="D1620" s="2" t="s">
        <v>10</v>
      </c>
      <c r="E1620" s="2" t="s">
        <v>76</v>
      </c>
      <c r="F1620" s="2" t="s">
        <v>1145</v>
      </c>
      <c r="G1620" s="14" t="n">
        <v>9.5</v>
      </c>
      <c r="H1620" s="14" t="n">
        <v>6.12</v>
      </c>
      <c r="I1620" s="14" t="n">
        <v>9.5</v>
      </c>
      <c r="J1620" s="22" t="n">
        <f aca="false">IF(E1620="Priority",'Cost model'!N884,'Cost model'!M884)</f>
        <v>7.5</v>
      </c>
      <c r="K1620" s="14" t="n">
        <f aca="false">J1620-H1620</f>
        <v>1.38</v>
      </c>
      <c r="L1620" s="14" t="n">
        <f aca="false">G1620-H1620</f>
        <v>3.38</v>
      </c>
    </row>
    <row r="1621" customFormat="false" ht="15" hidden="false" customHeight="false" outlineLevel="0" collapsed="false">
      <c r="A1621" s="2" t="s">
        <v>240</v>
      </c>
      <c r="B1621" s="2" t="s">
        <v>165</v>
      </c>
      <c r="C1621" s="2" t="s">
        <v>48</v>
      </c>
      <c r="D1621" s="2" t="s">
        <v>12</v>
      </c>
      <c r="E1621" s="2" t="s">
        <v>76</v>
      </c>
      <c r="F1621" s="2" t="s">
        <v>1146</v>
      </c>
      <c r="G1621" s="14" t="n">
        <v>19.5</v>
      </c>
      <c r="H1621" s="14" t="n">
        <v>25.11</v>
      </c>
      <c r="I1621" s="14" t="n">
        <v>19.5</v>
      </c>
      <c r="J1621" s="22" t="n">
        <f aca="false">IF(E1621="Priority",'Cost model'!N905,'Cost model'!M905)</f>
        <v>50</v>
      </c>
      <c r="K1621" s="14" t="n">
        <f aca="false">J1621-H1621</f>
        <v>24.89</v>
      </c>
      <c r="L1621" s="14" t="n">
        <f aca="false">G1621-H1621</f>
        <v>-5.61</v>
      </c>
    </row>
    <row r="1622" customFormat="false" ht="15" hidden="false" customHeight="false" outlineLevel="0" collapsed="false">
      <c r="A1622" s="2" t="s">
        <v>240</v>
      </c>
      <c r="B1622" s="2" t="s">
        <v>165</v>
      </c>
      <c r="C1622" s="2" t="s">
        <v>48</v>
      </c>
      <c r="D1622" s="2" t="s">
        <v>14</v>
      </c>
      <c r="E1622" s="2" t="s">
        <v>85</v>
      </c>
      <c r="F1622" s="2" t="s">
        <v>1146</v>
      </c>
      <c r="G1622" s="14" t="n">
        <v>125</v>
      </c>
      <c r="H1622" s="14" t="n">
        <v>165.76</v>
      </c>
      <c r="I1622" s="14" t="n">
        <v>125</v>
      </c>
      <c r="J1622" s="22" t="n">
        <f aca="false">IF(E1622="Priority",'Cost model'!N911,'Cost model'!M911)</f>
        <v>190</v>
      </c>
      <c r="K1622" s="14" t="n">
        <f aca="false">J1622-H1622</f>
        <v>24.24</v>
      </c>
      <c r="L1622" s="14" t="n">
        <f aca="false">G1622-H1622</f>
        <v>-40.76</v>
      </c>
    </row>
    <row r="1623" customFormat="false" ht="15" hidden="false" customHeight="false" outlineLevel="0" collapsed="false">
      <c r="A1623" s="2" t="s">
        <v>385</v>
      </c>
      <c r="B1623" s="2" t="s">
        <v>165</v>
      </c>
      <c r="C1623" s="2" t="s">
        <v>48</v>
      </c>
      <c r="D1623" s="2" t="s">
        <v>10</v>
      </c>
      <c r="E1623" s="2" t="s">
        <v>85</v>
      </c>
      <c r="F1623" s="2" t="s">
        <v>1146</v>
      </c>
      <c r="G1623" s="14" t="n">
        <v>24.5</v>
      </c>
      <c r="H1623" s="14" t="n">
        <v>21.34</v>
      </c>
      <c r="I1623" s="14" t="n">
        <v>24.5</v>
      </c>
      <c r="J1623" s="22" t="n">
        <f aca="false">IF(E1623="Priority",'Cost model'!N254,'Cost model'!M254)</f>
        <v>27.5</v>
      </c>
      <c r="K1623" s="14" t="n">
        <f aca="false">J1623-H1623</f>
        <v>6.16</v>
      </c>
      <c r="L1623" s="14" t="n">
        <f aca="false">G1623-H1623</f>
        <v>3.16</v>
      </c>
    </row>
    <row r="1624" customFormat="false" ht="15" hidden="false" customHeight="false" outlineLevel="0" collapsed="false">
      <c r="A1624" s="2" t="s">
        <v>126</v>
      </c>
      <c r="B1624" s="2" t="s">
        <v>126</v>
      </c>
      <c r="C1624" s="2" t="s">
        <v>50</v>
      </c>
      <c r="D1624" s="2" t="s">
        <v>13</v>
      </c>
      <c r="E1624" s="2" t="s">
        <v>76</v>
      </c>
      <c r="F1624" s="2" t="s">
        <v>1145</v>
      </c>
      <c r="G1624" s="14" t="n">
        <v>50</v>
      </c>
      <c r="H1624" s="14" t="n">
        <v>142.99</v>
      </c>
      <c r="I1624" s="14" t="n">
        <v>50</v>
      </c>
      <c r="J1624" s="22" t="n">
        <f aca="false">IF(E1624="Priority",'Cost model'!N388,'Cost model'!M388)</f>
        <v>110</v>
      </c>
      <c r="K1624" s="14" t="n">
        <f aca="false">J1624-H1624</f>
        <v>-32.99</v>
      </c>
      <c r="L1624" s="14" t="n">
        <f aca="false">G1624-H1624</f>
        <v>-92.99</v>
      </c>
    </row>
    <row r="1625" customFormat="false" ht="15" hidden="false" customHeight="false" outlineLevel="0" collapsed="false">
      <c r="A1625" s="2" t="s">
        <v>125</v>
      </c>
      <c r="B1625" s="2" t="s">
        <v>165</v>
      </c>
      <c r="C1625" s="2" t="s">
        <v>48</v>
      </c>
      <c r="D1625" s="2" t="s">
        <v>12</v>
      </c>
      <c r="E1625" s="2" t="s">
        <v>76</v>
      </c>
      <c r="F1625" s="2" t="s">
        <v>1146</v>
      </c>
      <c r="G1625" s="14" t="n">
        <v>19.5</v>
      </c>
      <c r="H1625" s="14" t="n">
        <v>49.6</v>
      </c>
      <c r="I1625" s="14" t="n">
        <v>24.5</v>
      </c>
      <c r="J1625" s="22" t="n">
        <f aca="false">IF(E1625="Priority",'Cost model'!N41,'Cost model'!M41)</f>
        <v>45</v>
      </c>
      <c r="K1625" s="14" t="n">
        <f aca="false">J1625-H1625</f>
        <v>-4.6</v>
      </c>
      <c r="L1625" s="14" t="n">
        <f aca="false">G1625-H1625</f>
        <v>-30.1</v>
      </c>
    </row>
    <row r="1626" customFormat="false" ht="15" hidden="false" customHeight="false" outlineLevel="0" collapsed="false">
      <c r="A1626" s="2" t="s">
        <v>184</v>
      </c>
      <c r="B1626" s="2" t="s">
        <v>184</v>
      </c>
      <c r="C1626" s="2" t="s">
        <v>49</v>
      </c>
      <c r="D1626" s="2" t="s">
        <v>14</v>
      </c>
      <c r="E1626" s="2" t="s">
        <v>76</v>
      </c>
      <c r="F1626" s="2" t="s">
        <v>1145</v>
      </c>
      <c r="G1626" s="14" t="n">
        <v>125</v>
      </c>
      <c r="H1626" s="14" t="n">
        <v>234</v>
      </c>
      <c r="I1626" s="14"/>
      <c r="J1626" s="22" t="n">
        <f aca="false">IF(E1626="Priority",'Cost model'!N210,'Cost model'!M210)</f>
        <v>135</v>
      </c>
      <c r="K1626" s="14" t="n">
        <f aca="false">J1626-H1626</f>
        <v>-99</v>
      </c>
      <c r="L1626" s="14" t="n">
        <f aca="false">G1626-H1626</f>
        <v>-109</v>
      </c>
    </row>
    <row r="1627" customFormat="false" ht="15" hidden="false" customHeight="false" outlineLevel="0" collapsed="false">
      <c r="A1627" s="2" t="s">
        <v>165</v>
      </c>
      <c r="B1627" s="2" t="s">
        <v>165</v>
      </c>
      <c r="C1627" s="2" t="s">
        <v>48</v>
      </c>
      <c r="D1627" s="2" t="s">
        <v>10</v>
      </c>
      <c r="E1627" s="2" t="s">
        <v>85</v>
      </c>
      <c r="F1627" s="2" t="s">
        <v>1145</v>
      </c>
      <c r="G1627" s="14" t="n">
        <v>14.5</v>
      </c>
      <c r="H1627" s="14" t="n">
        <v>8.16</v>
      </c>
      <c r="I1627" s="14" t="n">
        <v>14.5</v>
      </c>
      <c r="J1627" s="22" t="n">
        <f aca="false">IF(E1627="Priority",'Cost model'!N506,'Cost model'!M506)</f>
        <v>12.5</v>
      </c>
      <c r="K1627" s="14" t="n">
        <f aca="false">J1627-H1627</f>
        <v>4.34</v>
      </c>
      <c r="L1627" s="14" t="n">
        <f aca="false">G1627-H1627</f>
        <v>6.34</v>
      </c>
    </row>
    <row r="1628" customFormat="false" ht="15" hidden="false" customHeight="false" outlineLevel="0" collapsed="false">
      <c r="A1628" s="2" t="s">
        <v>184</v>
      </c>
      <c r="B1628" s="2" t="s">
        <v>184</v>
      </c>
      <c r="C1628" s="2" t="s">
        <v>49</v>
      </c>
      <c r="D1628" s="2" t="s">
        <v>12</v>
      </c>
      <c r="E1628" s="2" t="s">
        <v>76</v>
      </c>
      <c r="F1628" s="2" t="s">
        <v>1145</v>
      </c>
      <c r="G1628" s="14" t="n">
        <v>12.5</v>
      </c>
      <c r="H1628" s="14" t="n">
        <v>41.18</v>
      </c>
      <c r="I1628" s="14"/>
      <c r="J1628" s="22" t="n">
        <f aca="false">IF(E1628="Priority",'Cost model'!N204,'Cost model'!M204)</f>
        <v>45</v>
      </c>
      <c r="K1628" s="14" t="n">
        <f aca="false">J1628-H1628</f>
        <v>3.82</v>
      </c>
      <c r="L1628" s="14" t="n">
        <f aca="false">G1628-H1628</f>
        <v>-28.68</v>
      </c>
    </row>
    <row r="1629" customFormat="false" ht="15" hidden="false" customHeight="false" outlineLevel="0" collapsed="false">
      <c r="A1629" s="2" t="s">
        <v>126</v>
      </c>
      <c r="B1629" s="2" t="s">
        <v>126</v>
      </c>
      <c r="C1629" s="2" t="s">
        <v>49</v>
      </c>
      <c r="D1629" s="2" t="s">
        <v>12</v>
      </c>
      <c r="E1629" s="2" t="s">
        <v>85</v>
      </c>
      <c r="F1629" s="2" t="s">
        <v>1145</v>
      </c>
      <c r="G1629" s="14" t="n">
        <v>19.5</v>
      </c>
      <c r="H1629" s="14" t="n">
        <v>7.45</v>
      </c>
      <c r="I1629" s="14" t="n">
        <v>19.5</v>
      </c>
      <c r="J1629" s="22" t="n">
        <f aca="false">IF(E1629="Priority",'Cost model'!N384,'Cost model'!M384)</f>
        <v>60</v>
      </c>
      <c r="K1629" s="14" t="n">
        <f aca="false">J1629-H1629</f>
        <v>52.55</v>
      </c>
      <c r="L1629" s="14" t="n">
        <f aca="false">G1629-H1629</f>
        <v>12.05</v>
      </c>
    </row>
    <row r="1630" customFormat="false" ht="15" hidden="false" customHeight="false" outlineLevel="0" collapsed="false">
      <c r="A1630" s="2" t="s">
        <v>126</v>
      </c>
      <c r="B1630" s="2" t="s">
        <v>126</v>
      </c>
      <c r="C1630" s="2" t="s">
        <v>48</v>
      </c>
      <c r="D1630" s="2" t="s">
        <v>10</v>
      </c>
      <c r="E1630" s="2" t="s">
        <v>76</v>
      </c>
      <c r="F1630" s="2" t="s">
        <v>1145</v>
      </c>
      <c r="G1630" s="14" t="n">
        <v>19.5</v>
      </c>
      <c r="H1630" s="14" t="n">
        <v>21.34</v>
      </c>
      <c r="I1630" s="14" t="n">
        <v>9.5</v>
      </c>
      <c r="J1630" s="22" t="n">
        <f aca="false">IF(E1630="Priority",'Cost model'!N380,'Cost model'!M380)</f>
        <v>8.5</v>
      </c>
      <c r="K1630" s="14" t="n">
        <f aca="false">J1630-H1630</f>
        <v>-12.84</v>
      </c>
      <c r="L1630" s="14" t="n">
        <f aca="false">G1630-H1630</f>
        <v>-1.84</v>
      </c>
    </row>
    <row r="1631" customFormat="false" ht="15" hidden="false" customHeight="false" outlineLevel="0" collapsed="false">
      <c r="A1631" s="2" t="s">
        <v>184</v>
      </c>
      <c r="B1631" s="2" t="s">
        <v>184</v>
      </c>
      <c r="C1631" s="2" t="s">
        <v>49</v>
      </c>
      <c r="D1631" s="2" t="s">
        <v>12</v>
      </c>
      <c r="E1631" s="2" t="s">
        <v>76</v>
      </c>
      <c r="F1631" s="2" t="s">
        <v>1145</v>
      </c>
      <c r="G1631" s="14" t="n">
        <v>12.5</v>
      </c>
      <c r="H1631" s="14" t="n">
        <v>42.61</v>
      </c>
      <c r="I1631" s="14"/>
      <c r="J1631" s="22" t="n">
        <f aca="false">IF(E1631="Priority",'Cost model'!N204,'Cost model'!M204)</f>
        <v>45</v>
      </c>
      <c r="K1631" s="14" t="n">
        <f aca="false">J1631-H1631</f>
        <v>2.39</v>
      </c>
      <c r="L1631" s="14" t="n">
        <f aca="false">G1631-H1631</f>
        <v>-30.11</v>
      </c>
    </row>
    <row r="1632" customFormat="false" ht="15" hidden="false" customHeight="false" outlineLevel="0" collapsed="false">
      <c r="A1632" s="2" t="s">
        <v>184</v>
      </c>
      <c r="B1632" s="2" t="s">
        <v>146</v>
      </c>
      <c r="C1632" s="2" t="s">
        <v>49</v>
      </c>
      <c r="D1632" s="2" t="s">
        <v>12</v>
      </c>
      <c r="E1632" s="2" t="s">
        <v>76</v>
      </c>
      <c r="F1632" s="2" t="s">
        <v>1146</v>
      </c>
      <c r="G1632" s="14" t="n">
        <v>19.5</v>
      </c>
      <c r="H1632" s="14" t="n">
        <v>57.96</v>
      </c>
      <c r="I1632" s="14"/>
      <c r="J1632" s="22" t="n">
        <f aca="false">IF(E1632="Priority",'Cost model'!N150,'Cost model'!M150)</f>
        <v>55</v>
      </c>
      <c r="K1632" s="14" t="n">
        <f aca="false">J1632-H1632</f>
        <v>-2.96</v>
      </c>
      <c r="L1632" s="14" t="n">
        <f aca="false">G1632-H1632</f>
        <v>-38.46</v>
      </c>
    </row>
    <row r="1633" customFormat="false" ht="15" hidden="false" customHeight="false" outlineLevel="0" collapsed="false">
      <c r="A1633" s="2" t="s">
        <v>126</v>
      </c>
      <c r="B1633" s="2" t="s">
        <v>184</v>
      </c>
      <c r="C1633" s="2" t="s">
        <v>48</v>
      </c>
      <c r="D1633" s="2" t="s">
        <v>10</v>
      </c>
      <c r="E1633" s="2" t="s">
        <v>76</v>
      </c>
      <c r="F1633" s="2" t="s">
        <v>1146</v>
      </c>
      <c r="G1633" s="14" t="n">
        <v>9.5</v>
      </c>
      <c r="H1633" s="14" t="n">
        <v>7.93</v>
      </c>
      <c r="I1633" s="14" t="n">
        <v>14.5</v>
      </c>
      <c r="J1633" s="22" t="n">
        <f aca="false">IF(E1633="Priority",'Cost model'!N434,'Cost model'!M434)</f>
        <v>13.5</v>
      </c>
      <c r="K1633" s="14" t="n">
        <f aca="false">J1633-H1633</f>
        <v>5.57</v>
      </c>
      <c r="L1633" s="14" t="n">
        <f aca="false">G1633-H1633</f>
        <v>1.57</v>
      </c>
    </row>
    <row r="1634" customFormat="false" ht="15" hidden="false" customHeight="false" outlineLevel="0" collapsed="false">
      <c r="A1634" s="2" t="s">
        <v>126</v>
      </c>
      <c r="B1634" s="2" t="s">
        <v>126</v>
      </c>
      <c r="C1634" s="2" t="s">
        <v>50</v>
      </c>
      <c r="D1634" s="2" t="s">
        <v>12</v>
      </c>
      <c r="E1634" s="2" t="s">
        <v>76</v>
      </c>
      <c r="F1634" s="2" t="s">
        <v>1145</v>
      </c>
      <c r="G1634" s="14" t="n">
        <v>19.5</v>
      </c>
      <c r="H1634" s="14" t="n">
        <v>68.53</v>
      </c>
      <c r="I1634" s="14" t="n">
        <v>19.5</v>
      </c>
      <c r="J1634" s="22" t="n">
        <f aca="false">IF(E1634="Priority",'Cost model'!N385,'Cost model'!M385)</f>
        <v>55</v>
      </c>
      <c r="K1634" s="14" t="n">
        <f aca="false">J1634-H1634</f>
        <v>-13.53</v>
      </c>
      <c r="L1634" s="14" t="n">
        <f aca="false">G1634-H1634</f>
        <v>-49.03</v>
      </c>
    </row>
    <row r="1635" customFormat="false" ht="15" hidden="false" customHeight="false" outlineLevel="0" collapsed="false">
      <c r="A1635" s="2" t="s">
        <v>184</v>
      </c>
      <c r="B1635" s="2" t="s">
        <v>184</v>
      </c>
      <c r="C1635" s="2" t="s">
        <v>49</v>
      </c>
      <c r="D1635" s="2" t="s">
        <v>12</v>
      </c>
      <c r="E1635" s="2" t="s">
        <v>76</v>
      </c>
      <c r="F1635" s="2" t="s">
        <v>1145</v>
      </c>
      <c r="G1635" s="14" t="n">
        <v>12.5</v>
      </c>
      <c r="H1635" s="14" t="n">
        <v>58.27</v>
      </c>
      <c r="I1635" s="14"/>
      <c r="J1635" s="22" t="n">
        <f aca="false">IF(E1635="Priority",'Cost model'!N204,'Cost model'!M204)</f>
        <v>45</v>
      </c>
      <c r="K1635" s="14" t="n">
        <f aca="false">J1635-H1635</f>
        <v>-13.27</v>
      </c>
      <c r="L1635" s="14" t="n">
        <f aca="false">G1635-H1635</f>
        <v>-45.77</v>
      </c>
    </row>
    <row r="1636" customFormat="false" ht="15" hidden="false" customHeight="false" outlineLevel="0" collapsed="false">
      <c r="A1636" s="2" t="s">
        <v>126</v>
      </c>
      <c r="B1636" s="2" t="s">
        <v>126</v>
      </c>
      <c r="C1636" s="2" t="s">
        <v>49</v>
      </c>
      <c r="D1636" s="2" t="s">
        <v>10</v>
      </c>
      <c r="E1636" s="2" t="s">
        <v>76</v>
      </c>
      <c r="F1636" s="2" t="s">
        <v>1145</v>
      </c>
      <c r="G1636" s="14" t="n">
        <v>12.5</v>
      </c>
      <c r="H1636" s="14" t="n">
        <v>7.71</v>
      </c>
      <c r="I1636" s="14" t="n">
        <v>12.5</v>
      </c>
      <c r="J1636" s="22" t="n">
        <f aca="false">IF(E1636="Priority",'Cost model'!N381,'Cost model'!M381)</f>
        <v>14.5</v>
      </c>
      <c r="K1636" s="14" t="n">
        <f aca="false">J1636-H1636</f>
        <v>6.79</v>
      </c>
      <c r="L1636" s="14" t="n">
        <f aca="false">G1636-H1636</f>
        <v>4.79</v>
      </c>
    </row>
    <row r="1637" customFormat="false" ht="15" hidden="false" customHeight="false" outlineLevel="0" collapsed="false">
      <c r="A1637" s="2" t="s">
        <v>126</v>
      </c>
      <c r="B1637" s="2" t="s">
        <v>126</v>
      </c>
      <c r="C1637" s="2" t="s">
        <v>49</v>
      </c>
      <c r="D1637" s="2" t="s">
        <v>10</v>
      </c>
      <c r="E1637" s="2" t="s">
        <v>76</v>
      </c>
      <c r="F1637" s="2" t="s">
        <v>1145</v>
      </c>
      <c r="G1637" s="14" t="n">
        <v>12.5</v>
      </c>
      <c r="H1637" s="14" t="n">
        <v>13.7</v>
      </c>
      <c r="I1637" s="14" t="n">
        <v>12.5</v>
      </c>
      <c r="J1637" s="22" t="n">
        <f aca="false">IF(E1637="Priority",'Cost model'!N381,'Cost model'!M381)</f>
        <v>14.5</v>
      </c>
      <c r="K1637" s="14" t="n">
        <f aca="false">J1637-H1637</f>
        <v>0.800000000000001</v>
      </c>
      <c r="L1637" s="14" t="n">
        <f aca="false">G1637-H1637</f>
        <v>-1.2</v>
      </c>
    </row>
    <row r="1638" customFormat="false" ht="15" hidden="false" customHeight="false" outlineLevel="0" collapsed="false">
      <c r="A1638" s="2" t="s">
        <v>126</v>
      </c>
      <c r="B1638" s="2" t="s">
        <v>165</v>
      </c>
      <c r="C1638" s="2" t="s">
        <v>49</v>
      </c>
      <c r="D1638" s="2" t="s">
        <v>10</v>
      </c>
      <c r="E1638" s="2" t="s">
        <v>76</v>
      </c>
      <c r="F1638" s="2" t="s">
        <v>1146</v>
      </c>
      <c r="G1638" s="14" t="n">
        <v>12.5</v>
      </c>
      <c r="H1638" s="14" t="n">
        <v>18.64</v>
      </c>
      <c r="I1638" s="14" t="n">
        <v>14.5</v>
      </c>
      <c r="J1638" s="22" t="n">
        <f aca="false">IF(E1638="Priority",'Cost model'!N417,'Cost model'!M417)</f>
        <v>18.5</v>
      </c>
      <c r="K1638" s="14" t="n">
        <f aca="false">J1638-H1638</f>
        <v>-0.140000000000001</v>
      </c>
      <c r="L1638" s="14" t="n">
        <f aca="false">G1638-H1638</f>
        <v>-6.14</v>
      </c>
    </row>
    <row r="1639" customFormat="false" ht="15" hidden="false" customHeight="false" outlineLevel="0" collapsed="false">
      <c r="A1639" s="2" t="s">
        <v>165</v>
      </c>
      <c r="B1639" s="2" t="s">
        <v>165</v>
      </c>
      <c r="C1639" s="2" t="s">
        <v>50</v>
      </c>
      <c r="D1639" s="2" t="s">
        <v>10</v>
      </c>
      <c r="E1639" s="2" t="s">
        <v>76</v>
      </c>
      <c r="F1639" s="2" t="s">
        <v>1145</v>
      </c>
      <c r="G1639" s="14" t="n">
        <v>17.5</v>
      </c>
      <c r="H1639" s="14" t="n">
        <v>17.57</v>
      </c>
      <c r="I1639" s="14" t="n">
        <v>17.5</v>
      </c>
      <c r="J1639" s="22" t="n">
        <f aca="false">IF(E1639="Priority",'Cost model'!N508,'Cost model'!M508)</f>
        <v>17.5</v>
      </c>
      <c r="K1639" s="14" t="n">
        <f aca="false">J1639-H1639</f>
        <v>-0.0700000000000003</v>
      </c>
      <c r="L1639" s="14" t="n">
        <f aca="false">G1639-H1639</f>
        <v>-0.0700000000000003</v>
      </c>
    </row>
    <row r="1640" customFormat="false" ht="15" hidden="false" customHeight="false" outlineLevel="0" collapsed="false">
      <c r="A1640" s="2" t="s">
        <v>146</v>
      </c>
      <c r="B1640" s="2" t="s">
        <v>146</v>
      </c>
      <c r="C1640" s="2" t="s">
        <v>48</v>
      </c>
      <c r="D1640" s="2" t="s">
        <v>10</v>
      </c>
      <c r="E1640" s="2" t="s">
        <v>76</v>
      </c>
      <c r="F1640" s="2" t="s">
        <v>1145</v>
      </c>
      <c r="G1640" s="14" t="n">
        <v>9.5</v>
      </c>
      <c r="H1640" s="14" t="n">
        <v>5.23</v>
      </c>
      <c r="I1640" s="14" t="n">
        <v>9.5</v>
      </c>
      <c r="J1640" s="22" t="n">
        <f aca="false">IF(E1640="Priority",'Cost model'!N758,'Cost model'!M758)</f>
        <v>9.5</v>
      </c>
      <c r="K1640" s="14" t="n">
        <f aca="false">J1640-H1640</f>
        <v>4.27</v>
      </c>
      <c r="L1640" s="14" t="n">
        <f aca="false">G1640-H1640</f>
        <v>4.27</v>
      </c>
    </row>
    <row r="1641" customFormat="false" ht="15" hidden="false" customHeight="false" outlineLevel="0" collapsed="false">
      <c r="A1641" s="2" t="s">
        <v>184</v>
      </c>
      <c r="B1641" s="2" t="s">
        <v>126</v>
      </c>
      <c r="C1641" s="2" t="s">
        <v>50</v>
      </c>
      <c r="D1641" s="2" t="s">
        <v>10</v>
      </c>
      <c r="E1641" s="2" t="s">
        <v>85</v>
      </c>
      <c r="F1641" s="2" t="s">
        <v>1146</v>
      </c>
      <c r="G1641" s="14" t="n">
        <v>24.5</v>
      </c>
      <c r="H1641" s="14" t="n">
        <v>23.58</v>
      </c>
      <c r="I1641" s="14" t="n">
        <v>24.5</v>
      </c>
      <c r="J1641" s="22" t="n">
        <f aca="false">IF(E1641="Priority",'Cost model'!N130,'Cost model'!M130)</f>
        <v>25.5</v>
      </c>
      <c r="K1641" s="14" t="n">
        <f aca="false">J1641-H1641</f>
        <v>1.92</v>
      </c>
      <c r="L1641" s="14" t="n">
        <f aca="false">G1641-H1641</f>
        <v>0.920000000000002</v>
      </c>
    </row>
    <row r="1642" customFormat="false" ht="15" hidden="false" customHeight="false" outlineLevel="0" collapsed="false">
      <c r="A1642" s="2" t="s">
        <v>184</v>
      </c>
      <c r="B1642" s="2" t="s">
        <v>146</v>
      </c>
      <c r="C1642" s="2" t="s">
        <v>48</v>
      </c>
      <c r="D1642" s="2" t="s">
        <v>10</v>
      </c>
      <c r="E1642" s="2" t="s">
        <v>76</v>
      </c>
      <c r="F1642" s="2" t="s">
        <v>1146</v>
      </c>
      <c r="G1642" s="14" t="n">
        <v>9.5</v>
      </c>
      <c r="H1642" s="14" t="n">
        <v>6.11</v>
      </c>
      <c r="I1642" s="14" t="n">
        <v>9.5</v>
      </c>
      <c r="J1642" s="22" t="n">
        <f aca="false">IF(E1642="Priority",'Cost model'!N146,'Cost model'!M146)</f>
        <v>12.5</v>
      </c>
      <c r="K1642" s="14" t="n">
        <f aca="false">J1642-H1642</f>
        <v>6.39</v>
      </c>
      <c r="L1642" s="14" t="n">
        <f aca="false">G1642-H1642</f>
        <v>3.39</v>
      </c>
    </row>
    <row r="1643" customFormat="false" ht="15" hidden="false" customHeight="false" outlineLevel="0" collapsed="false">
      <c r="A1643" s="2" t="s">
        <v>146</v>
      </c>
      <c r="B1643" s="2" t="s">
        <v>146</v>
      </c>
      <c r="C1643" s="2" t="s">
        <v>48</v>
      </c>
      <c r="D1643" s="2" t="s">
        <v>10</v>
      </c>
      <c r="E1643" s="2" t="s">
        <v>76</v>
      </c>
      <c r="F1643" s="2" t="s">
        <v>1145</v>
      </c>
      <c r="G1643" s="14" t="n">
        <v>9.5</v>
      </c>
      <c r="H1643" s="14" t="n">
        <v>5.97</v>
      </c>
      <c r="I1643" s="14" t="n">
        <v>9.5</v>
      </c>
      <c r="J1643" s="22" t="n">
        <f aca="false">IF(E1643="Priority",'Cost model'!N758,'Cost model'!M758)</f>
        <v>9.5</v>
      </c>
      <c r="K1643" s="14" t="n">
        <f aca="false">J1643-H1643</f>
        <v>3.53</v>
      </c>
      <c r="L1643" s="14" t="n">
        <f aca="false">G1643-H1643</f>
        <v>3.53</v>
      </c>
    </row>
    <row r="1644" customFormat="false" ht="15" hidden="false" customHeight="false" outlineLevel="0" collapsed="false">
      <c r="A1644" s="2" t="s">
        <v>165</v>
      </c>
      <c r="B1644" s="2" t="s">
        <v>146</v>
      </c>
      <c r="C1644" s="2" t="s">
        <v>48</v>
      </c>
      <c r="D1644" s="2" t="s">
        <v>10</v>
      </c>
      <c r="E1644" s="2" t="s">
        <v>76</v>
      </c>
      <c r="F1644" s="2" t="s">
        <v>1146</v>
      </c>
      <c r="G1644" s="14" t="n">
        <v>9.5</v>
      </c>
      <c r="H1644" s="14" t="n">
        <v>10.53</v>
      </c>
      <c r="I1644" s="14" t="n">
        <v>14.5</v>
      </c>
      <c r="J1644" s="22" t="n">
        <f aca="false">IF(E1644="Priority",'Cost model'!N524,'Cost model'!M524)</f>
        <v>14.5</v>
      </c>
      <c r="K1644" s="14" t="n">
        <f aca="false">J1644-H1644</f>
        <v>3.97</v>
      </c>
      <c r="L1644" s="14" t="n">
        <f aca="false">G1644-H1644</f>
        <v>-1.03</v>
      </c>
    </row>
    <row r="1645" customFormat="false" ht="15" hidden="false" customHeight="false" outlineLevel="0" collapsed="false">
      <c r="A1645" s="2" t="s">
        <v>184</v>
      </c>
      <c r="B1645" s="2" t="s">
        <v>184</v>
      </c>
      <c r="C1645" s="2" t="s">
        <v>49</v>
      </c>
      <c r="D1645" s="2" t="s">
        <v>12</v>
      </c>
      <c r="E1645" s="2" t="s">
        <v>76</v>
      </c>
      <c r="F1645" s="2" t="s">
        <v>1145</v>
      </c>
      <c r="G1645" s="14" t="n">
        <v>12.5</v>
      </c>
      <c r="H1645" s="14" t="n">
        <v>54.34</v>
      </c>
      <c r="I1645" s="14"/>
      <c r="J1645" s="22" t="n">
        <f aca="false">IF(E1645="Priority",'Cost model'!N204,'Cost model'!M204)</f>
        <v>45</v>
      </c>
      <c r="K1645" s="14" t="n">
        <f aca="false">J1645-H1645</f>
        <v>-9.34</v>
      </c>
      <c r="L1645" s="14" t="n">
        <f aca="false">G1645-H1645</f>
        <v>-41.84</v>
      </c>
    </row>
    <row r="1646" customFormat="false" ht="15" hidden="false" customHeight="false" outlineLevel="0" collapsed="false">
      <c r="A1646" s="2" t="s">
        <v>146</v>
      </c>
      <c r="B1646" s="2" t="s">
        <v>126</v>
      </c>
      <c r="C1646" s="2" t="s">
        <v>48</v>
      </c>
      <c r="D1646" s="2" t="s">
        <v>16</v>
      </c>
      <c r="E1646" s="2" t="s">
        <v>76</v>
      </c>
      <c r="F1646" s="2" t="s">
        <v>1146</v>
      </c>
      <c r="G1646" s="14" t="n">
        <v>45</v>
      </c>
      <c r="H1646" s="14" t="n">
        <v>267.11</v>
      </c>
      <c r="I1646" s="14" t="n">
        <v>250</v>
      </c>
      <c r="J1646" s="22" t="n">
        <f aca="false">IF(E1646="Priority",'Cost model'!N809,'Cost model'!M809)</f>
        <v>225</v>
      </c>
      <c r="K1646" s="14" t="n">
        <f aca="false">J1646-H1646</f>
        <v>-42.11</v>
      </c>
      <c r="L1646" s="14" t="n">
        <f aca="false">G1646-H1646</f>
        <v>-222.11</v>
      </c>
    </row>
    <row r="1647" customFormat="false" ht="15" hidden="false" customHeight="false" outlineLevel="0" collapsed="false">
      <c r="A1647" s="2" t="s">
        <v>125</v>
      </c>
      <c r="B1647" s="2" t="s">
        <v>184</v>
      </c>
      <c r="C1647" s="2" t="s">
        <v>48</v>
      </c>
      <c r="D1647" s="2" t="s">
        <v>10</v>
      </c>
      <c r="E1647" s="2" t="s">
        <v>85</v>
      </c>
      <c r="F1647" s="2" t="s">
        <v>1146</v>
      </c>
      <c r="G1647" s="14" t="n">
        <v>19.5</v>
      </c>
      <c r="H1647" s="14" t="n">
        <v>24.17</v>
      </c>
      <c r="I1647" s="14" t="n">
        <v>19.5</v>
      </c>
      <c r="J1647" s="22" t="n">
        <f aca="false">IF(E1647="Priority",'Cost model'!N56,'Cost model'!M56)</f>
        <v>16.5</v>
      </c>
      <c r="K1647" s="14" t="n">
        <f aca="false">J1647-H1647</f>
        <v>-7.67</v>
      </c>
      <c r="L1647" s="14" t="n">
        <f aca="false">G1647-H1647</f>
        <v>-4.67</v>
      </c>
    </row>
    <row r="1648" customFormat="false" ht="15" hidden="false" customHeight="false" outlineLevel="0" collapsed="false">
      <c r="A1648" s="2" t="s">
        <v>126</v>
      </c>
      <c r="B1648" s="2" t="s">
        <v>126</v>
      </c>
      <c r="C1648" s="2" t="s">
        <v>48</v>
      </c>
      <c r="D1648" s="2" t="s">
        <v>10</v>
      </c>
      <c r="E1648" s="2" t="s">
        <v>76</v>
      </c>
      <c r="F1648" s="2" t="s">
        <v>1145</v>
      </c>
      <c r="G1648" s="14" t="n">
        <v>9.5</v>
      </c>
      <c r="H1648" s="14" t="n">
        <v>7.72</v>
      </c>
      <c r="I1648" s="14" t="n">
        <v>9.5</v>
      </c>
      <c r="J1648" s="22" t="n">
        <f aca="false">IF(E1648="Priority",'Cost model'!N380,'Cost model'!M380)</f>
        <v>8.5</v>
      </c>
      <c r="K1648" s="14" t="n">
        <f aca="false">J1648-H1648</f>
        <v>0.78</v>
      </c>
      <c r="L1648" s="14" t="n">
        <f aca="false">G1648-H1648</f>
        <v>1.78</v>
      </c>
    </row>
    <row r="1649" customFormat="false" ht="15" hidden="false" customHeight="false" outlineLevel="0" collapsed="false">
      <c r="A1649" s="2" t="s">
        <v>146</v>
      </c>
      <c r="B1649" s="2" t="s">
        <v>146</v>
      </c>
      <c r="C1649" s="2" t="s">
        <v>48</v>
      </c>
      <c r="D1649" s="2" t="s">
        <v>12</v>
      </c>
      <c r="E1649" s="2" t="s">
        <v>76</v>
      </c>
      <c r="F1649" s="2" t="s">
        <v>1145</v>
      </c>
      <c r="G1649" s="14" t="n">
        <v>9.5</v>
      </c>
      <c r="H1649" s="14" t="n">
        <v>73.55</v>
      </c>
      <c r="I1649" s="14" t="n">
        <v>9.5</v>
      </c>
      <c r="J1649" s="22" t="n">
        <f aca="false">IF(E1649="Priority",'Cost model'!N761,'Cost model'!M761)</f>
        <v>35</v>
      </c>
      <c r="K1649" s="14" t="n">
        <f aca="false">J1649-H1649</f>
        <v>-38.55</v>
      </c>
      <c r="L1649" s="14" t="n">
        <f aca="false">G1649-H1649</f>
        <v>-64.05</v>
      </c>
    </row>
    <row r="1650" customFormat="false" ht="15" hidden="false" customHeight="false" outlineLevel="0" collapsed="false">
      <c r="A1650" s="2" t="s">
        <v>184</v>
      </c>
      <c r="B1650" s="2" t="s">
        <v>184</v>
      </c>
      <c r="C1650" s="2" t="s">
        <v>49</v>
      </c>
      <c r="D1650" s="2" t="s">
        <v>12</v>
      </c>
      <c r="E1650" s="2" t="s">
        <v>76</v>
      </c>
      <c r="F1650" s="2" t="s">
        <v>1145</v>
      </c>
      <c r="G1650" s="14" t="n">
        <v>19.5</v>
      </c>
      <c r="H1650" s="14" t="n">
        <v>64.05</v>
      </c>
      <c r="I1650" s="14"/>
      <c r="J1650" s="22" t="n">
        <f aca="false">IF(E1650="Priority",'Cost model'!N204,'Cost model'!M204)</f>
        <v>45</v>
      </c>
      <c r="K1650" s="14" t="n">
        <f aca="false">J1650-H1650</f>
        <v>-19.05</v>
      </c>
      <c r="L1650" s="14" t="n">
        <f aca="false">G1650-H1650</f>
        <v>-44.55</v>
      </c>
    </row>
    <row r="1651" customFormat="false" ht="15" hidden="false" customHeight="false" outlineLevel="0" collapsed="false">
      <c r="A1651" s="2" t="s">
        <v>184</v>
      </c>
      <c r="B1651" s="2" t="s">
        <v>126</v>
      </c>
      <c r="C1651" s="2" t="s">
        <v>48</v>
      </c>
      <c r="D1651" s="2" t="s">
        <v>12</v>
      </c>
      <c r="E1651" s="2" t="s">
        <v>76</v>
      </c>
      <c r="F1651" s="2" t="s">
        <v>1146</v>
      </c>
      <c r="G1651" s="14" t="n">
        <v>9.5</v>
      </c>
      <c r="H1651" s="14" t="n">
        <v>32.32</v>
      </c>
      <c r="I1651" s="14" t="n">
        <v>9.5</v>
      </c>
      <c r="J1651" s="22" t="n">
        <f aca="false">IF(E1651="Priority",'Cost model'!N131,'Cost model'!M131)</f>
        <v>40</v>
      </c>
      <c r="K1651" s="14" t="n">
        <f aca="false">J1651-H1651</f>
        <v>7.68</v>
      </c>
      <c r="L1651" s="14" t="n">
        <f aca="false">G1651-H1651</f>
        <v>-22.82</v>
      </c>
    </row>
    <row r="1652" customFormat="false" ht="15" hidden="false" customHeight="false" outlineLevel="0" collapsed="false">
      <c r="A1652" s="2" t="s">
        <v>221</v>
      </c>
      <c r="B1652" s="2" t="s">
        <v>146</v>
      </c>
      <c r="C1652" s="2" t="s">
        <v>48</v>
      </c>
      <c r="D1652" s="2" t="s">
        <v>10</v>
      </c>
      <c r="E1652" s="2" t="s">
        <v>76</v>
      </c>
      <c r="F1652" s="2" t="s">
        <v>1146</v>
      </c>
      <c r="G1652" s="14" t="n">
        <v>14.5</v>
      </c>
      <c r="H1652" s="14" t="n">
        <v>14.74</v>
      </c>
      <c r="I1652" s="14" t="n">
        <v>14.5</v>
      </c>
      <c r="J1652" s="22" t="n">
        <f aca="false">IF(E1652="Priority",'Cost model'!N650,'Cost model'!M650)</f>
        <v>16.5</v>
      </c>
      <c r="K1652" s="14" t="n">
        <f aca="false">J1652-H1652</f>
        <v>1.76</v>
      </c>
      <c r="L1652" s="14" t="n">
        <f aca="false">G1652-H1652</f>
        <v>-0.24</v>
      </c>
    </row>
    <row r="1653" customFormat="false" ht="15" hidden="false" customHeight="false" outlineLevel="0" collapsed="false">
      <c r="A1653" s="2" t="s">
        <v>126</v>
      </c>
      <c r="B1653" s="2" t="s">
        <v>126</v>
      </c>
      <c r="C1653" s="2" t="s">
        <v>48</v>
      </c>
      <c r="D1653" s="2" t="s">
        <v>13</v>
      </c>
      <c r="E1653" s="2" t="s">
        <v>76</v>
      </c>
      <c r="F1653" s="2" t="s">
        <v>1145</v>
      </c>
      <c r="G1653" s="14" t="n">
        <v>19</v>
      </c>
      <c r="H1653" s="14" t="n">
        <v>65.23</v>
      </c>
      <c r="I1653" s="14" t="n">
        <v>19</v>
      </c>
      <c r="J1653" s="22" t="n">
        <f aca="false">IF(E1653="Priority",'Cost model'!N386,'Cost model'!M386)</f>
        <v>55</v>
      </c>
      <c r="K1653" s="14" t="n">
        <f aca="false">J1653-H1653</f>
        <v>-10.23</v>
      </c>
      <c r="L1653" s="14" t="n">
        <f aca="false">G1653-H1653</f>
        <v>-46.23</v>
      </c>
    </row>
    <row r="1654" customFormat="false" ht="15" hidden="false" customHeight="false" outlineLevel="0" collapsed="false">
      <c r="A1654" s="2" t="s">
        <v>146</v>
      </c>
      <c r="B1654" s="2" t="s">
        <v>126</v>
      </c>
      <c r="C1654" s="2" t="s">
        <v>49</v>
      </c>
      <c r="D1654" s="2" t="s">
        <v>10</v>
      </c>
      <c r="E1654" s="2" t="s">
        <v>76</v>
      </c>
      <c r="F1654" s="2" t="s">
        <v>1146</v>
      </c>
      <c r="G1654" s="14" t="n">
        <v>24.5</v>
      </c>
      <c r="H1654" s="14" t="n">
        <v>23.58</v>
      </c>
      <c r="I1654" s="14" t="n">
        <v>14.5</v>
      </c>
      <c r="J1654" s="22" t="n">
        <f aca="false">IF(E1654="Priority",'Cost model'!N795,'Cost model'!M795)</f>
        <v>13.5</v>
      </c>
      <c r="K1654" s="14" t="n">
        <f aca="false">J1654-H1654</f>
        <v>-10.08</v>
      </c>
      <c r="L1654" s="14" t="n">
        <f aca="false">G1654-H1654</f>
        <v>0.920000000000002</v>
      </c>
    </row>
    <row r="1655" customFormat="false" ht="15" hidden="false" customHeight="false" outlineLevel="0" collapsed="false">
      <c r="A1655" s="2" t="s">
        <v>184</v>
      </c>
      <c r="B1655" s="2" t="s">
        <v>146</v>
      </c>
      <c r="C1655" s="2" t="s">
        <v>50</v>
      </c>
      <c r="D1655" s="2" t="s">
        <v>12</v>
      </c>
      <c r="E1655" s="2" t="s">
        <v>76</v>
      </c>
      <c r="F1655" s="2" t="s">
        <v>1146</v>
      </c>
      <c r="G1655" s="14" t="n">
        <v>19.5</v>
      </c>
      <c r="H1655" s="14" t="n">
        <v>53.42</v>
      </c>
      <c r="I1655" s="14" t="n">
        <v>19.5</v>
      </c>
      <c r="J1655" s="22" t="n">
        <f aca="false">IF(E1655="Priority",'Cost model'!N151,'Cost model'!M151)</f>
        <v>55</v>
      </c>
      <c r="K1655" s="14" t="n">
        <f aca="false">J1655-H1655</f>
        <v>1.58</v>
      </c>
      <c r="L1655" s="14" t="n">
        <f aca="false">G1655-H1655</f>
        <v>-33.92</v>
      </c>
    </row>
    <row r="1656" customFormat="false" ht="15" hidden="false" customHeight="false" outlineLevel="0" collapsed="false">
      <c r="A1656" s="2" t="s">
        <v>125</v>
      </c>
      <c r="B1656" s="2" t="s">
        <v>184</v>
      </c>
      <c r="C1656" s="2" t="s">
        <v>48</v>
      </c>
      <c r="D1656" s="2" t="s">
        <v>10</v>
      </c>
      <c r="E1656" s="2" t="s">
        <v>85</v>
      </c>
      <c r="F1656" s="2" t="s">
        <v>1146</v>
      </c>
      <c r="G1656" s="14" t="n">
        <v>19.5</v>
      </c>
      <c r="H1656" s="14" t="n">
        <v>23.58</v>
      </c>
      <c r="I1656" s="14" t="n">
        <v>19.5</v>
      </c>
      <c r="J1656" s="22" t="n">
        <f aca="false">IF(E1656="Priority",'Cost model'!N56,'Cost model'!M56)</f>
        <v>16.5</v>
      </c>
      <c r="K1656" s="14" t="n">
        <f aca="false">J1656-H1656</f>
        <v>-7.08</v>
      </c>
      <c r="L1656" s="14" t="n">
        <f aca="false">G1656-H1656</f>
        <v>-4.08</v>
      </c>
    </row>
    <row r="1657" customFormat="false" ht="15" hidden="false" customHeight="false" outlineLevel="0" collapsed="false">
      <c r="A1657" s="2" t="s">
        <v>126</v>
      </c>
      <c r="B1657" s="2" t="s">
        <v>126</v>
      </c>
      <c r="C1657" s="2" t="s">
        <v>50</v>
      </c>
      <c r="D1657" s="2" t="s">
        <v>12</v>
      </c>
      <c r="E1657" s="2" t="s">
        <v>85</v>
      </c>
      <c r="F1657" s="2" t="s">
        <v>1145</v>
      </c>
      <c r="G1657" s="14" t="n">
        <v>29.5</v>
      </c>
      <c r="H1657" s="14" t="n">
        <v>24.63</v>
      </c>
      <c r="I1657" s="14" t="n">
        <v>29.5</v>
      </c>
      <c r="J1657" s="22" t="n">
        <f aca="false">IF(E1657="Priority",'Cost model'!N385,'Cost model'!M385)</f>
        <v>70</v>
      </c>
      <c r="K1657" s="14" t="n">
        <f aca="false">J1657-H1657</f>
        <v>45.37</v>
      </c>
      <c r="L1657" s="14" t="n">
        <f aca="false">G1657-H1657</f>
        <v>4.87</v>
      </c>
    </row>
    <row r="1658" customFormat="false" ht="15" hidden="false" customHeight="false" outlineLevel="0" collapsed="false">
      <c r="A1658" s="2" t="s">
        <v>146</v>
      </c>
      <c r="B1658" s="2" t="s">
        <v>146</v>
      </c>
      <c r="C1658" s="2" t="s">
        <v>48</v>
      </c>
      <c r="D1658" s="2" t="s">
        <v>13</v>
      </c>
      <c r="E1658" s="2" t="s">
        <v>76</v>
      </c>
      <c r="F1658" s="2" t="s">
        <v>1145</v>
      </c>
      <c r="G1658" s="14" t="n">
        <v>19</v>
      </c>
      <c r="H1658" s="14" t="n">
        <v>28.04</v>
      </c>
      <c r="I1658" s="14" t="n">
        <v>19</v>
      </c>
      <c r="J1658" s="22" t="n">
        <f aca="false">IF(E1658="Priority",'Cost model'!N764,'Cost model'!M764)</f>
        <v>55</v>
      </c>
      <c r="K1658" s="14" t="n">
        <f aca="false">J1658-H1658</f>
        <v>26.96</v>
      </c>
      <c r="L1658" s="14" t="n">
        <f aca="false">G1658-H1658</f>
        <v>-9.04</v>
      </c>
    </row>
    <row r="1659" customFormat="false" ht="15" hidden="false" customHeight="false" outlineLevel="0" collapsed="false">
      <c r="A1659" s="2" t="s">
        <v>184</v>
      </c>
      <c r="B1659" s="2" t="s">
        <v>184</v>
      </c>
      <c r="C1659" s="2" t="s">
        <v>50</v>
      </c>
      <c r="D1659" s="2" t="s">
        <v>12</v>
      </c>
      <c r="E1659" s="2" t="s">
        <v>76</v>
      </c>
      <c r="F1659" s="2" t="s">
        <v>1145</v>
      </c>
      <c r="G1659" s="14" t="n">
        <v>19.5</v>
      </c>
      <c r="H1659" s="14" t="n">
        <v>92.92</v>
      </c>
      <c r="I1659" s="14" t="n">
        <v>19.5</v>
      </c>
      <c r="J1659" s="22" t="n">
        <f aca="false">IF(E1659="Priority",'Cost model'!N205,'Cost model'!M205)</f>
        <v>50</v>
      </c>
      <c r="K1659" s="14" t="n">
        <f aca="false">J1659-H1659</f>
        <v>-42.92</v>
      </c>
      <c r="L1659" s="14" t="n">
        <f aca="false">G1659-H1659</f>
        <v>-73.42</v>
      </c>
    </row>
    <row r="1660" customFormat="false" ht="15" hidden="false" customHeight="false" outlineLevel="0" collapsed="false">
      <c r="A1660" s="2" t="s">
        <v>184</v>
      </c>
      <c r="B1660" s="2" t="s">
        <v>146</v>
      </c>
      <c r="C1660" s="2" t="s">
        <v>49</v>
      </c>
      <c r="D1660" s="2" t="s">
        <v>12</v>
      </c>
      <c r="E1660" s="2" t="s">
        <v>76</v>
      </c>
      <c r="F1660" s="2" t="s">
        <v>1146</v>
      </c>
      <c r="G1660" s="14" t="n">
        <v>12.5</v>
      </c>
      <c r="H1660" s="14" t="n">
        <v>57.19</v>
      </c>
      <c r="I1660" s="14"/>
      <c r="J1660" s="22" t="n">
        <f aca="false">IF(E1660="Priority",'Cost model'!N150,'Cost model'!M150)</f>
        <v>55</v>
      </c>
      <c r="K1660" s="14" t="n">
        <f aca="false">J1660-H1660</f>
        <v>-2.19</v>
      </c>
      <c r="L1660" s="14" t="n">
        <f aca="false">G1660-H1660</f>
        <v>-44.69</v>
      </c>
    </row>
    <row r="1661" customFormat="false" ht="15" hidden="false" customHeight="false" outlineLevel="0" collapsed="false">
      <c r="A1661" s="2" t="s">
        <v>240</v>
      </c>
      <c r="B1661" s="2" t="s">
        <v>126</v>
      </c>
      <c r="C1661" s="2" t="s">
        <v>48</v>
      </c>
      <c r="D1661" s="2" t="s">
        <v>10</v>
      </c>
      <c r="E1661" s="2" t="s">
        <v>76</v>
      </c>
      <c r="F1661" s="2" t="s">
        <v>1146</v>
      </c>
      <c r="G1661" s="14" t="n">
        <v>19.5</v>
      </c>
      <c r="H1661" s="14" t="n">
        <v>8.45</v>
      </c>
      <c r="I1661" s="14" t="n">
        <v>19.5</v>
      </c>
      <c r="J1661" s="22" t="n">
        <f aca="false">IF(E1661="Priority",'Cost model'!N956,'Cost model'!M956)</f>
        <v>15.5</v>
      </c>
      <c r="K1661" s="14" t="n">
        <f aca="false">J1661-H1661</f>
        <v>7.05</v>
      </c>
      <c r="L1661" s="14" t="n">
        <f aca="false">G1661-H1661</f>
        <v>11.05</v>
      </c>
    </row>
    <row r="1662" customFormat="false" ht="15" hidden="false" customHeight="false" outlineLevel="0" collapsed="false">
      <c r="A1662" s="2" t="s">
        <v>126</v>
      </c>
      <c r="B1662" s="2" t="s">
        <v>126</v>
      </c>
      <c r="C1662" s="2" t="s">
        <v>50</v>
      </c>
      <c r="D1662" s="2" t="s">
        <v>10</v>
      </c>
      <c r="E1662" s="2" t="s">
        <v>76</v>
      </c>
      <c r="F1662" s="2" t="s">
        <v>1145</v>
      </c>
      <c r="G1662" s="14" t="n">
        <v>17.5</v>
      </c>
      <c r="H1662" s="14" t="n">
        <v>21.34</v>
      </c>
      <c r="I1662" s="14" t="n">
        <v>17.5</v>
      </c>
      <c r="J1662" s="22" t="n">
        <f aca="false">IF(E1662="Priority",'Cost model'!N382,'Cost model'!M382)</f>
        <v>18.5</v>
      </c>
      <c r="K1662" s="14" t="n">
        <f aca="false">J1662-H1662</f>
        <v>-2.84</v>
      </c>
      <c r="L1662" s="14" t="n">
        <f aca="false">G1662-H1662</f>
        <v>-3.84</v>
      </c>
    </row>
    <row r="1663" customFormat="false" ht="15" hidden="false" customHeight="false" outlineLevel="0" collapsed="false">
      <c r="A1663" s="2" t="s">
        <v>184</v>
      </c>
      <c r="B1663" s="2" t="s">
        <v>184</v>
      </c>
      <c r="C1663" s="2" t="s">
        <v>50</v>
      </c>
      <c r="D1663" s="2" t="s">
        <v>12</v>
      </c>
      <c r="E1663" s="2" t="s">
        <v>76</v>
      </c>
      <c r="F1663" s="2" t="s">
        <v>1145</v>
      </c>
      <c r="G1663" s="14" t="n">
        <v>19.5</v>
      </c>
      <c r="H1663" s="14" t="n">
        <v>80.6</v>
      </c>
      <c r="I1663" s="14" t="n">
        <v>19.5</v>
      </c>
      <c r="J1663" s="22" t="n">
        <f aca="false">IF(E1663="Priority",'Cost model'!N205,'Cost model'!M205)</f>
        <v>50</v>
      </c>
      <c r="K1663" s="14" t="n">
        <f aca="false">J1663-H1663</f>
        <v>-30.6</v>
      </c>
      <c r="L1663" s="14" t="n">
        <f aca="false">G1663-H1663</f>
        <v>-61.1</v>
      </c>
    </row>
    <row r="1664" customFormat="false" ht="15" hidden="false" customHeight="false" outlineLevel="0" collapsed="false">
      <c r="A1664" s="2" t="s">
        <v>126</v>
      </c>
      <c r="B1664" s="2" t="s">
        <v>126</v>
      </c>
      <c r="C1664" s="2" t="s">
        <v>50</v>
      </c>
      <c r="D1664" s="2" t="s">
        <v>13</v>
      </c>
      <c r="E1664" s="2" t="s">
        <v>76</v>
      </c>
      <c r="F1664" s="2" t="s">
        <v>1145</v>
      </c>
      <c r="G1664" s="14" t="n">
        <v>50</v>
      </c>
      <c r="H1664" s="14" t="n">
        <v>122.07</v>
      </c>
      <c r="I1664" s="14" t="n">
        <v>50</v>
      </c>
      <c r="J1664" s="22" t="n">
        <f aca="false">IF(E1664="Priority",'Cost model'!N388,'Cost model'!M388)</f>
        <v>110</v>
      </c>
      <c r="K1664" s="14" t="n">
        <f aca="false">J1664-H1664</f>
        <v>-12.07</v>
      </c>
      <c r="L1664" s="14" t="n">
        <f aca="false">G1664-H1664</f>
        <v>-72.07</v>
      </c>
    </row>
    <row r="1665" customFormat="false" ht="15" hidden="false" customHeight="false" outlineLevel="0" collapsed="false">
      <c r="A1665" s="2" t="s">
        <v>240</v>
      </c>
      <c r="B1665" s="2" t="s">
        <v>240</v>
      </c>
      <c r="C1665" s="2" t="s">
        <v>50</v>
      </c>
      <c r="D1665" s="2" t="s">
        <v>15</v>
      </c>
      <c r="E1665" s="2" t="s">
        <v>85</v>
      </c>
      <c r="F1665" s="2" t="s">
        <v>1145</v>
      </c>
      <c r="G1665" s="14" t="n">
        <v>350</v>
      </c>
      <c r="H1665" s="14" t="n">
        <v>579.28</v>
      </c>
      <c r="I1665" s="14" t="n">
        <v>350</v>
      </c>
      <c r="J1665" s="22" t="n">
        <f aca="false">IF(E1665="Priority",'Cost model'!N898,'Cost model'!M898)</f>
        <v>385</v>
      </c>
      <c r="K1665" s="14" t="n">
        <f aca="false">J1665-H1665</f>
        <v>-194.28</v>
      </c>
      <c r="L1665" s="14" t="n">
        <f aca="false">G1665-H1665</f>
        <v>-229.28</v>
      </c>
    </row>
    <row r="1666" customFormat="false" ht="15" hidden="false" customHeight="false" outlineLevel="0" collapsed="false">
      <c r="A1666" s="2" t="s">
        <v>126</v>
      </c>
      <c r="B1666" s="2" t="s">
        <v>126</v>
      </c>
      <c r="C1666" s="2" t="s">
        <v>48</v>
      </c>
      <c r="D1666" s="2" t="s">
        <v>10</v>
      </c>
      <c r="E1666" s="2" t="s">
        <v>76</v>
      </c>
      <c r="F1666" s="2" t="s">
        <v>1145</v>
      </c>
      <c r="G1666" s="14" t="n">
        <v>9.5</v>
      </c>
      <c r="H1666" s="14" t="n">
        <v>7.45</v>
      </c>
      <c r="I1666" s="14" t="n">
        <v>9.5</v>
      </c>
      <c r="J1666" s="22" t="n">
        <f aca="false">IF(E1666="Priority",'Cost model'!N380,'Cost model'!M380)</f>
        <v>8.5</v>
      </c>
      <c r="K1666" s="14" t="n">
        <f aca="false">J1666-H1666</f>
        <v>1.05</v>
      </c>
      <c r="L1666" s="14" t="n">
        <f aca="false">G1666-H1666</f>
        <v>2.05</v>
      </c>
    </row>
    <row r="1667" customFormat="false" ht="15" hidden="false" customHeight="false" outlineLevel="0" collapsed="false">
      <c r="A1667" s="2" t="s">
        <v>146</v>
      </c>
      <c r="B1667" s="2" t="s">
        <v>146</v>
      </c>
      <c r="C1667" s="2" t="s">
        <v>48</v>
      </c>
      <c r="D1667" s="2" t="s">
        <v>12</v>
      </c>
      <c r="E1667" s="2" t="s">
        <v>76</v>
      </c>
      <c r="F1667" s="2" t="s">
        <v>1145</v>
      </c>
      <c r="G1667" s="14" t="n">
        <v>9.5</v>
      </c>
      <c r="H1667" s="14" t="n">
        <v>7.69</v>
      </c>
      <c r="I1667" s="14" t="n">
        <v>9.5</v>
      </c>
      <c r="J1667" s="22" t="n">
        <f aca="false">IF(E1667="Priority",'Cost model'!N761,'Cost model'!M761)</f>
        <v>35</v>
      </c>
      <c r="K1667" s="14" t="n">
        <f aca="false">J1667-H1667</f>
        <v>27.31</v>
      </c>
      <c r="L1667" s="14" t="n">
        <f aca="false">G1667-H1667</f>
        <v>1.81</v>
      </c>
    </row>
    <row r="1668" customFormat="false" ht="15" hidden="false" customHeight="false" outlineLevel="0" collapsed="false">
      <c r="A1668" s="2" t="s">
        <v>126</v>
      </c>
      <c r="B1668" s="2" t="s">
        <v>126</v>
      </c>
      <c r="C1668" s="2" t="s">
        <v>49</v>
      </c>
      <c r="D1668" s="2" t="s">
        <v>12</v>
      </c>
      <c r="E1668" s="2" t="s">
        <v>76</v>
      </c>
      <c r="F1668" s="2" t="s">
        <v>1145</v>
      </c>
      <c r="G1668" s="14" t="n">
        <v>12.5</v>
      </c>
      <c r="H1668" s="14" t="n">
        <v>59.52</v>
      </c>
      <c r="I1668" s="14" t="n">
        <v>12.5</v>
      </c>
      <c r="J1668" s="22" t="n">
        <f aca="false">IF(E1668="Priority",'Cost model'!N384,'Cost model'!M384)</f>
        <v>45</v>
      </c>
      <c r="K1668" s="14" t="n">
        <f aca="false">J1668-H1668</f>
        <v>-14.52</v>
      </c>
      <c r="L1668" s="14" t="n">
        <f aca="false">G1668-H1668</f>
        <v>-47.02</v>
      </c>
    </row>
    <row r="1669" customFormat="false" ht="15" hidden="false" customHeight="false" outlineLevel="0" collapsed="false">
      <c r="A1669" s="2" t="s">
        <v>146</v>
      </c>
      <c r="B1669" s="2" t="s">
        <v>146</v>
      </c>
      <c r="C1669" s="2" t="s">
        <v>49</v>
      </c>
      <c r="D1669" s="2" t="s">
        <v>10</v>
      </c>
      <c r="E1669" s="2" t="s">
        <v>76</v>
      </c>
      <c r="F1669" s="2" t="s">
        <v>1145</v>
      </c>
      <c r="G1669" s="14" t="n">
        <v>12.5</v>
      </c>
      <c r="H1669" s="14" t="n">
        <v>11.25</v>
      </c>
      <c r="I1669" s="14" t="n">
        <v>12.5</v>
      </c>
      <c r="J1669" s="22" t="n">
        <f aca="false">IF(E1669="Priority",'Cost model'!N759,'Cost model'!M759)</f>
        <v>15.5</v>
      </c>
      <c r="K1669" s="14" t="n">
        <f aca="false">J1669-H1669</f>
        <v>4.25</v>
      </c>
      <c r="L1669" s="14" t="n">
        <f aca="false">G1669-H1669</f>
        <v>1.25</v>
      </c>
    </row>
    <row r="1670" customFormat="false" ht="15" hidden="false" customHeight="false" outlineLevel="0" collapsed="false">
      <c r="A1670" s="2" t="s">
        <v>184</v>
      </c>
      <c r="B1670" s="2" t="s">
        <v>146</v>
      </c>
      <c r="C1670" s="2" t="s">
        <v>50</v>
      </c>
      <c r="D1670" s="2" t="s">
        <v>10</v>
      </c>
      <c r="E1670" s="2" t="s">
        <v>85</v>
      </c>
      <c r="F1670" s="2" t="s">
        <v>1146</v>
      </c>
      <c r="G1670" s="14" t="n">
        <v>24.5</v>
      </c>
      <c r="H1670" s="14" t="n">
        <v>20.83</v>
      </c>
      <c r="I1670" s="14" t="n">
        <v>24.5</v>
      </c>
      <c r="J1670" s="22" t="n">
        <f aca="false">IF(E1670="Priority",'Cost model'!N148,'Cost model'!M148)</f>
        <v>29.5</v>
      </c>
      <c r="K1670" s="14" t="n">
        <f aca="false">J1670-H1670</f>
        <v>8.67</v>
      </c>
      <c r="L1670" s="14" t="n">
        <f aca="false">G1670-H1670</f>
        <v>3.67</v>
      </c>
    </row>
    <row r="1671" customFormat="false" ht="15" hidden="false" customHeight="false" outlineLevel="0" collapsed="false">
      <c r="A1671" s="2" t="s">
        <v>126</v>
      </c>
      <c r="B1671" s="2" t="s">
        <v>126</v>
      </c>
      <c r="C1671" s="2" t="s">
        <v>49</v>
      </c>
      <c r="D1671" s="2" t="s">
        <v>10</v>
      </c>
      <c r="E1671" s="2" t="s">
        <v>76</v>
      </c>
      <c r="F1671" s="2" t="s">
        <v>1145</v>
      </c>
      <c r="G1671" s="14" t="n">
        <v>12.5</v>
      </c>
      <c r="H1671" s="14" t="n">
        <v>9.68</v>
      </c>
      <c r="I1671" s="14" t="n">
        <v>12.5</v>
      </c>
      <c r="J1671" s="22" t="n">
        <f aca="false">IF(E1671="Priority",'Cost model'!N381,'Cost model'!M381)</f>
        <v>14.5</v>
      </c>
      <c r="K1671" s="14" t="n">
        <f aca="false">J1671-H1671</f>
        <v>4.82</v>
      </c>
      <c r="L1671" s="14" t="n">
        <f aca="false">G1671-H1671</f>
        <v>2.82</v>
      </c>
    </row>
    <row r="1672" customFormat="false" ht="15" hidden="false" customHeight="false" outlineLevel="0" collapsed="false">
      <c r="A1672" s="2" t="s">
        <v>240</v>
      </c>
      <c r="B1672" s="2" t="s">
        <v>240</v>
      </c>
      <c r="C1672" s="2" t="s">
        <v>48</v>
      </c>
      <c r="D1672" s="2" t="s">
        <v>10</v>
      </c>
      <c r="E1672" s="2" t="s">
        <v>85</v>
      </c>
      <c r="F1672" s="2" t="s">
        <v>1145</v>
      </c>
      <c r="G1672" s="14" t="n">
        <v>14.5</v>
      </c>
      <c r="H1672" s="14" t="n">
        <v>5.14</v>
      </c>
      <c r="I1672" s="14" t="n">
        <v>14.5</v>
      </c>
      <c r="J1672" s="22" t="n">
        <f aca="false">IF(E1672="Priority",'Cost model'!N884,'Cost model'!M884)</f>
        <v>12.5</v>
      </c>
      <c r="K1672" s="14" t="n">
        <f aca="false">J1672-H1672</f>
        <v>7.36</v>
      </c>
      <c r="L1672" s="14" t="n">
        <f aca="false">G1672-H1672</f>
        <v>9.36</v>
      </c>
    </row>
    <row r="1673" customFormat="false" ht="15" hidden="false" customHeight="false" outlineLevel="0" collapsed="false">
      <c r="A1673" s="2" t="s">
        <v>184</v>
      </c>
      <c r="B1673" s="2" t="s">
        <v>126</v>
      </c>
      <c r="C1673" s="2" t="s">
        <v>48</v>
      </c>
      <c r="D1673" s="2" t="s">
        <v>13</v>
      </c>
      <c r="E1673" s="2" t="s">
        <v>85</v>
      </c>
      <c r="F1673" s="2" t="s">
        <v>1146</v>
      </c>
      <c r="G1673" s="14" t="n">
        <v>45</v>
      </c>
      <c r="H1673" s="14" t="n">
        <v>110.29</v>
      </c>
      <c r="I1673" s="14" t="n">
        <v>45</v>
      </c>
      <c r="J1673" s="22" t="n">
        <f aca="false">IF(E1673="Priority",'Cost model'!N134,'Cost model'!M134)</f>
        <v>110</v>
      </c>
      <c r="K1673" s="14" t="n">
        <f aca="false">J1673-H1673</f>
        <v>-0.290000000000006</v>
      </c>
      <c r="L1673" s="14" t="n">
        <f aca="false">G1673-H1673</f>
        <v>-65.29</v>
      </c>
    </row>
    <row r="1674" customFormat="false" ht="15" hidden="false" customHeight="false" outlineLevel="0" collapsed="false">
      <c r="A1674" s="2" t="s">
        <v>240</v>
      </c>
      <c r="B1674" s="2" t="s">
        <v>146</v>
      </c>
      <c r="C1674" s="2" t="s">
        <v>48</v>
      </c>
      <c r="D1674" s="2" t="s">
        <v>14</v>
      </c>
      <c r="E1674" s="2" t="s">
        <v>76</v>
      </c>
      <c r="F1674" s="2" t="s">
        <v>1146</v>
      </c>
      <c r="G1674" s="14" t="n">
        <v>125</v>
      </c>
      <c r="H1674" s="14" t="n">
        <v>146.79</v>
      </c>
      <c r="I1674" s="14" t="n">
        <v>125</v>
      </c>
      <c r="J1674" s="22" t="n">
        <f aca="false">IF(E1674="Priority",'Cost model'!N929,'Cost model'!M929)</f>
        <v>180</v>
      </c>
      <c r="K1674" s="14" t="n">
        <f aca="false">J1674-H1674</f>
        <v>33.21</v>
      </c>
      <c r="L1674" s="14" t="n">
        <f aca="false">G1674-H1674</f>
        <v>-21.79</v>
      </c>
    </row>
    <row r="1675" customFormat="false" ht="15" hidden="false" customHeight="false" outlineLevel="0" collapsed="false">
      <c r="A1675" s="2" t="s">
        <v>240</v>
      </c>
      <c r="B1675" s="2" t="s">
        <v>146</v>
      </c>
      <c r="C1675" s="2" t="s">
        <v>50</v>
      </c>
      <c r="D1675" s="2" t="s">
        <v>10</v>
      </c>
      <c r="E1675" s="2" t="s">
        <v>76</v>
      </c>
      <c r="F1675" s="2" t="s">
        <v>1146</v>
      </c>
      <c r="G1675" s="14" t="n">
        <v>19.5</v>
      </c>
      <c r="H1675" s="14" t="n">
        <v>99.75</v>
      </c>
      <c r="I1675" s="14" t="n">
        <v>19.5</v>
      </c>
      <c r="J1675" s="22" t="n">
        <f aca="false">IF(E1675="Priority",'Cost model'!N922,'Cost model'!M922)</f>
        <v>35</v>
      </c>
      <c r="K1675" s="14" t="n">
        <f aca="false">J1675-H1675</f>
        <v>-64.75</v>
      </c>
      <c r="L1675" s="14" t="n">
        <f aca="false">G1675-H1675</f>
        <v>-80.25</v>
      </c>
    </row>
    <row r="1676" customFormat="false" ht="15" hidden="false" customHeight="false" outlineLevel="0" collapsed="false">
      <c r="A1676" s="2" t="s">
        <v>126</v>
      </c>
      <c r="B1676" s="2" t="s">
        <v>125</v>
      </c>
      <c r="C1676" s="2" t="s">
        <v>49</v>
      </c>
      <c r="D1676" s="2" t="s">
        <v>16</v>
      </c>
      <c r="E1676" s="2" t="s">
        <v>76</v>
      </c>
      <c r="F1676" s="2" t="s">
        <v>1146</v>
      </c>
      <c r="G1676" s="14" t="n">
        <v>125</v>
      </c>
      <c r="H1676" s="14" t="n">
        <v>307.06</v>
      </c>
      <c r="I1676" s="14" t="n">
        <v>300</v>
      </c>
      <c r="J1676" s="22" t="n">
        <f aca="false">IF(E1676="Priority",'Cost model'!N486,'Cost model'!M486)</f>
        <v>490</v>
      </c>
      <c r="K1676" s="14" t="n">
        <f aca="false">J1676-H1676</f>
        <v>182.94</v>
      </c>
      <c r="L1676" s="14" t="n">
        <f aca="false">G1676-H1676</f>
        <v>-182.06</v>
      </c>
    </row>
    <row r="1677" customFormat="false" ht="15" hidden="false" customHeight="false" outlineLevel="0" collapsed="false">
      <c r="A1677" s="2" t="s">
        <v>146</v>
      </c>
      <c r="B1677" s="2" t="s">
        <v>184</v>
      </c>
      <c r="C1677" s="2" t="s">
        <v>48</v>
      </c>
      <c r="D1677" s="2" t="s">
        <v>10</v>
      </c>
      <c r="E1677" s="2" t="s">
        <v>76</v>
      </c>
      <c r="F1677" s="2" t="s">
        <v>1146</v>
      </c>
      <c r="G1677" s="14" t="n">
        <v>9.5</v>
      </c>
      <c r="H1677" s="14" t="n">
        <v>5.25</v>
      </c>
      <c r="I1677" s="14" t="n">
        <v>14.5</v>
      </c>
      <c r="J1677" s="22" t="n">
        <f aca="false">IF(E1677="Priority",'Cost model'!N830,'Cost model'!M830)</f>
        <v>9.5</v>
      </c>
      <c r="K1677" s="14" t="n">
        <f aca="false">J1677-H1677</f>
        <v>4.25</v>
      </c>
      <c r="L1677" s="14" t="n">
        <f aca="false">G1677-H1677</f>
        <v>4.25</v>
      </c>
    </row>
    <row r="1678" customFormat="false" ht="15" hidden="false" customHeight="false" outlineLevel="0" collapsed="false">
      <c r="A1678" s="2" t="s">
        <v>184</v>
      </c>
      <c r="B1678" s="2" t="s">
        <v>184</v>
      </c>
      <c r="C1678" s="2" t="s">
        <v>50</v>
      </c>
      <c r="D1678" s="2" t="s">
        <v>10</v>
      </c>
      <c r="E1678" s="2" t="s">
        <v>85</v>
      </c>
      <c r="F1678" s="2" t="s">
        <v>1145</v>
      </c>
      <c r="G1678" s="14" t="n">
        <v>24.5</v>
      </c>
      <c r="H1678" s="14" t="n">
        <v>21.34</v>
      </c>
      <c r="I1678" s="14" t="n">
        <v>24.5</v>
      </c>
      <c r="J1678" s="22" t="n">
        <f aca="false">IF(E1678="Priority",'Cost model'!N202,'Cost model'!M202)</f>
        <v>23.5</v>
      </c>
      <c r="K1678" s="14" t="n">
        <f aca="false">J1678-H1678</f>
        <v>2.16</v>
      </c>
      <c r="L1678" s="14" t="n">
        <f aca="false">G1678-H1678</f>
        <v>3.16</v>
      </c>
    </row>
    <row r="1679" customFormat="false" ht="15" hidden="false" customHeight="false" outlineLevel="0" collapsed="false">
      <c r="A1679" s="2" t="s">
        <v>126</v>
      </c>
      <c r="B1679" s="2" t="s">
        <v>126</v>
      </c>
      <c r="C1679" s="2" t="s">
        <v>49</v>
      </c>
      <c r="D1679" s="2" t="s">
        <v>10</v>
      </c>
      <c r="E1679" s="2" t="s">
        <v>76</v>
      </c>
      <c r="F1679" s="2" t="s">
        <v>1145</v>
      </c>
      <c r="G1679" s="14" t="n">
        <v>12.5</v>
      </c>
      <c r="H1679" s="14" t="n">
        <v>9.68</v>
      </c>
      <c r="I1679" s="14" t="n">
        <v>12.5</v>
      </c>
      <c r="J1679" s="22" t="n">
        <f aca="false">IF(E1679="Priority",'Cost model'!N381,'Cost model'!M381)</f>
        <v>14.5</v>
      </c>
      <c r="K1679" s="14" t="n">
        <f aca="false">J1679-H1679</f>
        <v>4.82</v>
      </c>
      <c r="L1679" s="14" t="n">
        <f aca="false">G1679-H1679</f>
        <v>2.82</v>
      </c>
    </row>
    <row r="1680" customFormat="false" ht="15" hidden="false" customHeight="false" outlineLevel="0" collapsed="false">
      <c r="A1680" s="2" t="s">
        <v>146</v>
      </c>
      <c r="B1680" s="2" t="s">
        <v>146</v>
      </c>
      <c r="C1680" s="2" t="s">
        <v>48</v>
      </c>
      <c r="D1680" s="2" t="s">
        <v>12</v>
      </c>
      <c r="E1680" s="2" t="s">
        <v>76</v>
      </c>
      <c r="F1680" s="2" t="s">
        <v>1145</v>
      </c>
      <c r="G1680" s="14" t="n">
        <v>9.5</v>
      </c>
      <c r="H1680" s="14" t="n">
        <v>12.29</v>
      </c>
      <c r="I1680" s="14" t="n">
        <v>9.5</v>
      </c>
      <c r="J1680" s="22" t="n">
        <f aca="false">IF(E1680="Priority",'Cost model'!N761,'Cost model'!M761)</f>
        <v>35</v>
      </c>
      <c r="K1680" s="14" t="n">
        <f aca="false">J1680-H1680</f>
        <v>22.71</v>
      </c>
      <c r="L1680" s="14" t="n">
        <f aca="false">G1680-H1680</f>
        <v>-2.79</v>
      </c>
    </row>
    <row r="1681" customFormat="false" ht="15" hidden="false" customHeight="false" outlineLevel="0" collapsed="false">
      <c r="A1681" s="2" t="s">
        <v>240</v>
      </c>
      <c r="B1681" s="2" t="s">
        <v>126</v>
      </c>
      <c r="C1681" s="2" t="s">
        <v>50</v>
      </c>
      <c r="D1681" s="2" t="s">
        <v>12</v>
      </c>
      <c r="E1681" s="2" t="s">
        <v>76</v>
      </c>
      <c r="F1681" s="2" t="s">
        <v>1146</v>
      </c>
      <c r="G1681" s="14" t="n">
        <v>19.5</v>
      </c>
      <c r="H1681" s="14" t="n">
        <v>82.15</v>
      </c>
      <c r="I1681" s="14" t="n">
        <v>24.5</v>
      </c>
      <c r="J1681" s="22" t="n">
        <f aca="false">IF(E1681="Priority",'Cost model'!N961,'Cost model'!M961)</f>
        <v>75</v>
      </c>
      <c r="K1681" s="14" t="n">
        <f aca="false">J1681-H1681</f>
        <v>-7.15000000000001</v>
      </c>
      <c r="L1681" s="14" t="n">
        <f aca="false">G1681-H1681</f>
        <v>-62.65</v>
      </c>
    </row>
    <row r="1682" customFormat="false" ht="15" hidden="false" customHeight="false" outlineLevel="0" collapsed="false">
      <c r="A1682" s="2" t="s">
        <v>146</v>
      </c>
      <c r="B1682" s="2" t="s">
        <v>146</v>
      </c>
      <c r="C1682" s="2" t="s">
        <v>49</v>
      </c>
      <c r="D1682" s="2" t="s">
        <v>10</v>
      </c>
      <c r="E1682" s="2" t="s">
        <v>76</v>
      </c>
      <c r="F1682" s="2" t="s">
        <v>1145</v>
      </c>
      <c r="G1682" s="14" t="n">
        <v>12.5</v>
      </c>
      <c r="H1682" s="14" t="n">
        <v>12.14</v>
      </c>
      <c r="I1682" s="14" t="n">
        <v>12.5</v>
      </c>
      <c r="J1682" s="22" t="n">
        <f aca="false">IF(E1682="Priority",'Cost model'!N759,'Cost model'!M759)</f>
        <v>15.5</v>
      </c>
      <c r="K1682" s="14" t="n">
        <f aca="false">J1682-H1682</f>
        <v>3.36</v>
      </c>
      <c r="L1682" s="14" t="n">
        <f aca="false">G1682-H1682</f>
        <v>0.359999999999999</v>
      </c>
    </row>
    <row r="1683" customFormat="false" ht="15" hidden="false" customHeight="false" outlineLevel="0" collapsed="false">
      <c r="A1683" s="2" t="s">
        <v>146</v>
      </c>
      <c r="B1683" s="2" t="s">
        <v>146</v>
      </c>
      <c r="C1683" s="2" t="s">
        <v>48</v>
      </c>
      <c r="D1683" s="2" t="s">
        <v>13</v>
      </c>
      <c r="E1683" s="2" t="s">
        <v>76</v>
      </c>
      <c r="F1683" s="2" t="s">
        <v>1145</v>
      </c>
      <c r="G1683" s="14" t="n">
        <v>19</v>
      </c>
      <c r="H1683" s="14" t="n">
        <v>61.41</v>
      </c>
      <c r="I1683" s="14" t="n">
        <v>19</v>
      </c>
      <c r="J1683" s="22" t="n">
        <f aca="false">IF(E1683="Priority",'Cost model'!N764,'Cost model'!M764)</f>
        <v>55</v>
      </c>
      <c r="K1683" s="14" t="n">
        <f aca="false">J1683-H1683</f>
        <v>-6.41</v>
      </c>
      <c r="L1683" s="14" t="n">
        <f aca="false">G1683-H1683</f>
        <v>-42.41</v>
      </c>
    </row>
    <row r="1684" customFormat="false" ht="15" hidden="false" customHeight="false" outlineLevel="0" collapsed="false">
      <c r="A1684" s="2" t="s">
        <v>165</v>
      </c>
      <c r="B1684" s="2" t="s">
        <v>165</v>
      </c>
      <c r="C1684" s="2" t="s">
        <v>50</v>
      </c>
      <c r="D1684" s="2" t="s">
        <v>12</v>
      </c>
      <c r="E1684" s="2" t="s">
        <v>76</v>
      </c>
      <c r="F1684" s="2" t="s">
        <v>1145</v>
      </c>
      <c r="G1684" s="14" t="n">
        <v>19.5</v>
      </c>
      <c r="H1684" s="14" t="n">
        <v>21.14</v>
      </c>
      <c r="I1684" s="14" t="n">
        <v>19.5</v>
      </c>
      <c r="J1684" s="22" t="n">
        <f aca="false">IF(E1684="Priority",'Cost model'!N511,'Cost model'!M511)</f>
        <v>35</v>
      </c>
      <c r="K1684" s="14" t="n">
        <f aca="false">J1684-H1684</f>
        <v>13.86</v>
      </c>
      <c r="L1684" s="14" t="n">
        <f aca="false">G1684-H1684</f>
        <v>-1.64</v>
      </c>
    </row>
    <row r="1685" customFormat="false" ht="15" hidden="false" customHeight="false" outlineLevel="0" collapsed="false">
      <c r="A1685" s="2" t="s">
        <v>126</v>
      </c>
      <c r="B1685" s="2" t="s">
        <v>146</v>
      </c>
      <c r="C1685" s="2" t="s">
        <v>48</v>
      </c>
      <c r="D1685" s="2" t="s">
        <v>12</v>
      </c>
      <c r="E1685" s="2" t="s">
        <v>85</v>
      </c>
      <c r="F1685" s="2" t="s">
        <v>1146</v>
      </c>
      <c r="G1685" s="14" t="n">
        <v>24.5</v>
      </c>
      <c r="H1685" s="14" t="n">
        <v>94.34</v>
      </c>
      <c r="I1685" s="14" t="n">
        <v>24.5</v>
      </c>
      <c r="J1685" s="22" t="n">
        <f aca="false">IF(E1685="Priority",'Cost model'!N401,'Cost model'!M401)</f>
        <v>80</v>
      </c>
      <c r="K1685" s="14" t="n">
        <f aca="false">J1685-H1685</f>
        <v>-14.34</v>
      </c>
      <c r="L1685" s="14" t="n">
        <f aca="false">G1685-H1685</f>
        <v>-69.84</v>
      </c>
    </row>
    <row r="1686" customFormat="false" ht="15" hidden="false" customHeight="false" outlineLevel="0" collapsed="false">
      <c r="A1686" s="2" t="s">
        <v>184</v>
      </c>
      <c r="B1686" s="2" t="s">
        <v>184</v>
      </c>
      <c r="C1686" s="2" t="s">
        <v>50</v>
      </c>
      <c r="D1686" s="2" t="s">
        <v>12</v>
      </c>
      <c r="E1686" s="2" t="s">
        <v>76</v>
      </c>
      <c r="F1686" s="2" t="s">
        <v>1145</v>
      </c>
      <c r="G1686" s="14" t="n">
        <v>50</v>
      </c>
      <c r="H1686" s="14" t="n">
        <v>91.69</v>
      </c>
      <c r="I1686" s="14" t="n">
        <v>19.5</v>
      </c>
      <c r="J1686" s="22" t="n">
        <f aca="false">IF(E1686="Priority",'Cost model'!N205,'Cost model'!M205)</f>
        <v>50</v>
      </c>
      <c r="K1686" s="14" t="n">
        <f aca="false">J1686-H1686</f>
        <v>-41.69</v>
      </c>
      <c r="L1686" s="14" t="n">
        <f aca="false">G1686-H1686</f>
        <v>-41.69</v>
      </c>
    </row>
    <row r="1687" customFormat="false" ht="15" hidden="false" customHeight="false" outlineLevel="0" collapsed="false">
      <c r="A1687" s="2" t="s">
        <v>126</v>
      </c>
      <c r="B1687" s="2" t="s">
        <v>126</v>
      </c>
      <c r="C1687" s="2" t="s">
        <v>49</v>
      </c>
      <c r="D1687" s="2" t="s">
        <v>12</v>
      </c>
      <c r="E1687" s="2" t="s">
        <v>76</v>
      </c>
      <c r="F1687" s="2" t="s">
        <v>1145</v>
      </c>
      <c r="G1687" s="14" t="n">
        <v>12.5</v>
      </c>
      <c r="H1687" s="14" t="n">
        <v>43.25</v>
      </c>
      <c r="I1687" s="14" t="n">
        <v>12.5</v>
      </c>
      <c r="J1687" s="22" t="n">
        <f aca="false">IF(E1687="Priority",'Cost model'!N384,'Cost model'!M384)</f>
        <v>45</v>
      </c>
      <c r="K1687" s="14" t="n">
        <f aca="false">J1687-H1687</f>
        <v>1.75</v>
      </c>
      <c r="L1687" s="14" t="n">
        <f aca="false">G1687-H1687</f>
        <v>-30.75</v>
      </c>
    </row>
    <row r="1688" customFormat="false" ht="15" hidden="false" customHeight="false" outlineLevel="0" collapsed="false">
      <c r="A1688" s="2" t="s">
        <v>126</v>
      </c>
      <c r="B1688" s="2" t="s">
        <v>126</v>
      </c>
      <c r="C1688" s="2" t="s">
        <v>48</v>
      </c>
      <c r="D1688" s="2" t="s">
        <v>10</v>
      </c>
      <c r="E1688" s="2" t="s">
        <v>76</v>
      </c>
      <c r="F1688" s="2" t="s">
        <v>1145</v>
      </c>
      <c r="G1688" s="14" t="n">
        <v>9.5</v>
      </c>
      <c r="H1688" s="14" t="n">
        <v>7.45</v>
      </c>
      <c r="I1688" s="14" t="n">
        <v>9.5</v>
      </c>
      <c r="J1688" s="22" t="n">
        <f aca="false">IF(E1688="Priority",'Cost model'!N380,'Cost model'!M380)</f>
        <v>8.5</v>
      </c>
      <c r="K1688" s="14" t="n">
        <f aca="false">J1688-H1688</f>
        <v>1.05</v>
      </c>
      <c r="L1688" s="14" t="n">
        <f aca="false">G1688-H1688</f>
        <v>2.05</v>
      </c>
    </row>
    <row r="1689" customFormat="false" ht="15" hidden="false" customHeight="false" outlineLevel="0" collapsed="false">
      <c r="A1689" s="2" t="s">
        <v>126</v>
      </c>
      <c r="B1689" s="2" t="s">
        <v>146</v>
      </c>
      <c r="C1689" s="2" t="s">
        <v>50</v>
      </c>
      <c r="D1689" s="2" t="s">
        <v>12</v>
      </c>
      <c r="E1689" s="2" t="s">
        <v>76</v>
      </c>
      <c r="F1689" s="2" t="s">
        <v>1146</v>
      </c>
      <c r="G1689" s="14" t="n">
        <v>19.5</v>
      </c>
      <c r="H1689" s="14" t="n">
        <v>101.33</v>
      </c>
      <c r="I1689" s="14" t="n">
        <v>19.5</v>
      </c>
      <c r="J1689" s="22" t="n">
        <f aca="false">IF(E1689="Priority",'Cost model'!N403,'Cost model'!M403)</f>
        <v>75</v>
      </c>
      <c r="K1689" s="14" t="n">
        <f aca="false">J1689-H1689</f>
        <v>-26.33</v>
      </c>
      <c r="L1689" s="14" t="n">
        <f aca="false">G1689-H1689</f>
        <v>-81.83</v>
      </c>
    </row>
    <row r="1690" customFormat="false" ht="15" hidden="false" customHeight="false" outlineLevel="0" collapsed="false">
      <c r="A1690" s="2" t="s">
        <v>146</v>
      </c>
      <c r="B1690" s="2" t="s">
        <v>126</v>
      </c>
      <c r="C1690" s="2" t="s">
        <v>49</v>
      </c>
      <c r="D1690" s="2" t="s">
        <v>10</v>
      </c>
      <c r="E1690" s="2" t="s">
        <v>76</v>
      </c>
      <c r="F1690" s="2" t="s">
        <v>1146</v>
      </c>
      <c r="G1690" s="14" t="n">
        <v>12.5</v>
      </c>
      <c r="H1690" s="14" t="n">
        <v>9.12</v>
      </c>
      <c r="I1690" s="14" t="n">
        <v>14.5</v>
      </c>
      <c r="J1690" s="22" t="n">
        <f aca="false">IF(E1690="Priority",'Cost model'!N795,'Cost model'!M795)</f>
        <v>13.5</v>
      </c>
      <c r="K1690" s="14" t="n">
        <f aca="false">J1690-H1690</f>
        <v>4.38</v>
      </c>
      <c r="L1690" s="14" t="n">
        <f aca="false">G1690-H1690</f>
        <v>3.38</v>
      </c>
    </row>
    <row r="1691" customFormat="false" ht="15" hidden="false" customHeight="false" outlineLevel="0" collapsed="false">
      <c r="A1691" s="2" t="s">
        <v>146</v>
      </c>
      <c r="B1691" s="2" t="s">
        <v>146</v>
      </c>
      <c r="C1691" s="2" t="s">
        <v>48</v>
      </c>
      <c r="D1691" s="2" t="s">
        <v>13</v>
      </c>
      <c r="E1691" s="2" t="s">
        <v>76</v>
      </c>
      <c r="F1691" s="2" t="s">
        <v>1145</v>
      </c>
      <c r="G1691" s="14" t="n">
        <v>19</v>
      </c>
      <c r="H1691" s="14" t="n">
        <v>27.93</v>
      </c>
      <c r="I1691" s="14" t="n">
        <v>19</v>
      </c>
      <c r="J1691" s="22" t="n">
        <f aca="false">IF(E1691="Priority",'Cost model'!N764,'Cost model'!M764)</f>
        <v>55</v>
      </c>
      <c r="K1691" s="14" t="n">
        <f aca="false">J1691-H1691</f>
        <v>27.07</v>
      </c>
      <c r="L1691" s="14" t="n">
        <f aca="false">G1691-H1691</f>
        <v>-8.93</v>
      </c>
    </row>
    <row r="1692" customFormat="false" ht="15" hidden="false" customHeight="false" outlineLevel="0" collapsed="false">
      <c r="A1692" s="2" t="s">
        <v>184</v>
      </c>
      <c r="B1692" s="2" t="s">
        <v>184</v>
      </c>
      <c r="C1692" s="2" t="s">
        <v>50</v>
      </c>
      <c r="D1692" s="2" t="s">
        <v>12</v>
      </c>
      <c r="E1692" s="2" t="s">
        <v>85</v>
      </c>
      <c r="F1692" s="2" t="s">
        <v>1145</v>
      </c>
      <c r="G1692" s="14" t="n">
        <v>29.5</v>
      </c>
      <c r="H1692" s="14" t="n">
        <v>99.75</v>
      </c>
      <c r="I1692" s="14" t="n">
        <v>29.5</v>
      </c>
      <c r="J1692" s="22" t="n">
        <f aca="false">IF(E1692="Priority",'Cost model'!N205,'Cost model'!M205)</f>
        <v>65</v>
      </c>
      <c r="K1692" s="14" t="n">
        <f aca="false">J1692-H1692</f>
        <v>-34.75</v>
      </c>
      <c r="L1692" s="14" t="n">
        <f aca="false">G1692-H1692</f>
        <v>-70.25</v>
      </c>
    </row>
    <row r="1693" customFormat="false" ht="15" hidden="false" customHeight="false" outlineLevel="0" collapsed="false">
      <c r="A1693" s="2" t="s">
        <v>165</v>
      </c>
      <c r="B1693" s="2" t="s">
        <v>165</v>
      </c>
      <c r="C1693" s="2" t="s">
        <v>50</v>
      </c>
      <c r="D1693" s="2" t="s">
        <v>13</v>
      </c>
      <c r="E1693" s="2" t="s">
        <v>76</v>
      </c>
      <c r="F1693" s="2" t="s">
        <v>1145</v>
      </c>
      <c r="G1693" s="14" t="n">
        <v>50</v>
      </c>
      <c r="H1693" s="14" t="n">
        <v>45.28</v>
      </c>
      <c r="I1693" s="14" t="n">
        <v>50</v>
      </c>
      <c r="J1693" s="22" t="n">
        <f aca="false">IF(E1693="Priority",'Cost model'!N514,'Cost model'!M514)</f>
        <v>70</v>
      </c>
      <c r="K1693" s="14" t="n">
        <f aca="false">J1693-H1693</f>
        <v>24.72</v>
      </c>
      <c r="L1693" s="14" t="n">
        <f aca="false">G1693-H1693</f>
        <v>4.72</v>
      </c>
    </row>
    <row r="1694" customFormat="false" ht="15" hidden="false" customHeight="false" outlineLevel="0" collapsed="false">
      <c r="A1694" s="2" t="s">
        <v>184</v>
      </c>
      <c r="B1694" s="2" t="s">
        <v>184</v>
      </c>
      <c r="C1694" s="2" t="s">
        <v>48</v>
      </c>
      <c r="D1694" s="2" t="s">
        <v>14</v>
      </c>
      <c r="E1694" s="2" t="s">
        <v>76</v>
      </c>
      <c r="F1694" s="2" t="s">
        <v>1145</v>
      </c>
      <c r="G1694" s="14" t="n">
        <v>25</v>
      </c>
      <c r="H1694" s="14" t="n">
        <v>106.49</v>
      </c>
      <c r="I1694" s="14" t="n">
        <v>25</v>
      </c>
      <c r="J1694" s="22" t="n">
        <f aca="false">IF(E1694="Priority",'Cost model'!N209,'Cost model'!M209)</f>
        <v>105</v>
      </c>
      <c r="K1694" s="14" t="n">
        <f aca="false">J1694-H1694</f>
        <v>-1.48999999999999</v>
      </c>
      <c r="L1694" s="14" t="n">
        <f aca="false">G1694-H1694</f>
        <v>-81.49</v>
      </c>
    </row>
    <row r="1695" customFormat="false" ht="15" hidden="false" customHeight="false" outlineLevel="0" collapsed="false">
      <c r="A1695" s="2" t="s">
        <v>240</v>
      </c>
      <c r="B1695" s="2" t="s">
        <v>125</v>
      </c>
      <c r="C1695" s="2" t="s">
        <v>48</v>
      </c>
      <c r="D1695" s="2" t="s">
        <v>10</v>
      </c>
      <c r="E1695" s="2" t="s">
        <v>76</v>
      </c>
      <c r="F1695" s="2" t="s">
        <v>1146</v>
      </c>
      <c r="G1695" s="14" t="n">
        <v>19.5</v>
      </c>
      <c r="H1695" s="14" t="n">
        <v>21.34</v>
      </c>
      <c r="I1695" s="14" t="n">
        <v>19.5</v>
      </c>
      <c r="J1695" s="22" t="n">
        <f aca="false">IF(E1695="Priority",'Cost model'!N974,'Cost model'!M974)</f>
        <v>22.5</v>
      </c>
      <c r="K1695" s="14" t="n">
        <f aca="false">J1695-H1695</f>
        <v>1.16</v>
      </c>
      <c r="L1695" s="14" t="n">
        <f aca="false">G1695-H1695</f>
        <v>-1.84</v>
      </c>
    </row>
    <row r="1696" customFormat="false" ht="15" hidden="false" customHeight="false" outlineLevel="0" collapsed="false">
      <c r="A1696" s="2" t="s">
        <v>184</v>
      </c>
      <c r="B1696" s="2" t="s">
        <v>184</v>
      </c>
      <c r="C1696" s="2" t="s">
        <v>49</v>
      </c>
      <c r="D1696" s="2" t="s">
        <v>12</v>
      </c>
      <c r="E1696" s="2" t="s">
        <v>76</v>
      </c>
      <c r="F1696" s="2" t="s">
        <v>1145</v>
      </c>
      <c r="G1696" s="14" t="n">
        <v>12.5</v>
      </c>
      <c r="H1696" s="14" t="n">
        <v>12.09</v>
      </c>
      <c r="I1696" s="14"/>
      <c r="J1696" s="22" t="n">
        <f aca="false">IF(E1696="Priority",'Cost model'!N204,'Cost model'!M204)</f>
        <v>45</v>
      </c>
      <c r="K1696" s="14" t="n">
        <f aca="false">J1696-H1696</f>
        <v>32.91</v>
      </c>
      <c r="L1696" s="14" t="n">
        <f aca="false">G1696-H1696</f>
        <v>0.41</v>
      </c>
    </row>
    <row r="1697" customFormat="false" ht="15" hidden="false" customHeight="false" outlineLevel="0" collapsed="false">
      <c r="A1697" s="2" t="s">
        <v>240</v>
      </c>
      <c r="B1697" s="2" t="s">
        <v>240</v>
      </c>
      <c r="C1697" s="2" t="s">
        <v>50</v>
      </c>
      <c r="D1697" s="2" t="s">
        <v>13</v>
      </c>
      <c r="E1697" s="2" t="s">
        <v>76</v>
      </c>
      <c r="F1697" s="2" t="s">
        <v>1145</v>
      </c>
      <c r="G1697" s="14" t="n">
        <v>150</v>
      </c>
      <c r="H1697" s="14" t="n">
        <v>251.65</v>
      </c>
      <c r="I1697" s="14" t="n">
        <v>50</v>
      </c>
      <c r="J1697" s="22" t="n">
        <f aca="false">IF(E1697="Priority",'Cost model'!N892,'Cost model'!M892)</f>
        <v>130</v>
      </c>
      <c r="K1697" s="14" t="n">
        <f aca="false">J1697-H1697</f>
        <v>-121.65</v>
      </c>
      <c r="L1697" s="14" t="n">
        <f aca="false">G1697-H1697</f>
        <v>-101.65</v>
      </c>
    </row>
    <row r="1698" customFormat="false" ht="15" hidden="false" customHeight="false" outlineLevel="0" collapsed="false">
      <c r="A1698" s="2" t="s">
        <v>184</v>
      </c>
      <c r="B1698" s="2" t="s">
        <v>184</v>
      </c>
      <c r="C1698" s="2" t="s">
        <v>48</v>
      </c>
      <c r="D1698" s="2" t="s">
        <v>12</v>
      </c>
      <c r="E1698" s="2" t="s">
        <v>76</v>
      </c>
      <c r="F1698" s="2" t="s">
        <v>1145</v>
      </c>
      <c r="G1698" s="14" t="n">
        <v>9.5</v>
      </c>
      <c r="H1698" s="14" t="n">
        <v>26.15</v>
      </c>
      <c r="I1698" s="14" t="n">
        <v>9.5</v>
      </c>
      <c r="J1698" s="22" t="n">
        <f aca="false">IF(E1698="Priority",'Cost model'!N203,'Cost model'!M203)</f>
        <v>26.5</v>
      </c>
      <c r="K1698" s="14" t="n">
        <f aca="false">J1698-H1698</f>
        <v>0.350000000000001</v>
      </c>
      <c r="L1698" s="14" t="n">
        <f aca="false">G1698-H1698</f>
        <v>-16.65</v>
      </c>
    </row>
    <row r="1699" customFormat="false" ht="15" hidden="false" customHeight="false" outlineLevel="0" collapsed="false">
      <c r="A1699" s="2" t="s">
        <v>184</v>
      </c>
      <c r="B1699" s="2" t="s">
        <v>184</v>
      </c>
      <c r="C1699" s="2" t="s">
        <v>49</v>
      </c>
      <c r="D1699" s="2" t="s">
        <v>12</v>
      </c>
      <c r="E1699" s="2" t="s">
        <v>76</v>
      </c>
      <c r="F1699" s="2" t="s">
        <v>1145</v>
      </c>
      <c r="G1699" s="14" t="n">
        <v>12.5</v>
      </c>
      <c r="H1699" s="14" t="n">
        <v>16.01</v>
      </c>
      <c r="I1699" s="14"/>
      <c r="J1699" s="22" t="n">
        <f aca="false">IF(E1699="Priority",'Cost model'!N204,'Cost model'!M204)</f>
        <v>45</v>
      </c>
      <c r="K1699" s="14" t="n">
        <f aca="false">J1699-H1699</f>
        <v>28.99</v>
      </c>
      <c r="L1699" s="14" t="n">
        <f aca="false">G1699-H1699</f>
        <v>-3.51</v>
      </c>
    </row>
    <row r="1700" customFormat="false" ht="15" hidden="false" customHeight="false" outlineLevel="0" collapsed="false">
      <c r="A1700" s="2" t="s">
        <v>146</v>
      </c>
      <c r="B1700" s="2" t="s">
        <v>126</v>
      </c>
      <c r="C1700" s="2" t="s">
        <v>48</v>
      </c>
      <c r="D1700" s="2" t="s">
        <v>10</v>
      </c>
      <c r="E1700" s="2" t="s">
        <v>76</v>
      </c>
      <c r="F1700" s="2" t="s">
        <v>1146</v>
      </c>
      <c r="G1700" s="14" t="n">
        <v>9.5</v>
      </c>
      <c r="H1700" s="14" t="n">
        <v>8.45</v>
      </c>
      <c r="I1700" s="14" t="n">
        <v>14.5</v>
      </c>
      <c r="J1700" s="22" t="n">
        <f aca="false">IF(E1700="Priority",'Cost model'!N794,'Cost model'!M794)</f>
        <v>12.5</v>
      </c>
      <c r="K1700" s="14" t="n">
        <f aca="false">J1700-H1700</f>
        <v>4.05</v>
      </c>
      <c r="L1700" s="14" t="n">
        <f aca="false">G1700-H1700</f>
        <v>1.05</v>
      </c>
    </row>
    <row r="1701" customFormat="false" ht="15" hidden="false" customHeight="false" outlineLevel="0" collapsed="false">
      <c r="A1701" s="2" t="s">
        <v>146</v>
      </c>
      <c r="B1701" s="2" t="s">
        <v>146</v>
      </c>
      <c r="C1701" s="2" t="s">
        <v>48</v>
      </c>
      <c r="D1701" s="2" t="s">
        <v>10</v>
      </c>
      <c r="E1701" s="2" t="s">
        <v>85</v>
      </c>
      <c r="F1701" s="2" t="s">
        <v>1145</v>
      </c>
      <c r="G1701" s="14" t="n">
        <v>14.5</v>
      </c>
      <c r="H1701" s="14" t="n">
        <v>25.01</v>
      </c>
      <c r="I1701" s="14" t="n">
        <v>14.5</v>
      </c>
      <c r="J1701" s="22" t="n">
        <f aca="false">IF(E1701="Priority",'Cost model'!N758,'Cost model'!M758)</f>
        <v>14.5</v>
      </c>
      <c r="K1701" s="14" t="n">
        <f aca="false">J1701-H1701</f>
        <v>-10.51</v>
      </c>
      <c r="L1701" s="14" t="n">
        <f aca="false">G1701-H1701</f>
        <v>-10.51</v>
      </c>
    </row>
    <row r="1702" customFormat="false" ht="15" hidden="false" customHeight="false" outlineLevel="0" collapsed="false">
      <c r="A1702" s="2" t="s">
        <v>184</v>
      </c>
      <c r="B1702" s="2" t="s">
        <v>184</v>
      </c>
      <c r="C1702" s="2" t="s">
        <v>50</v>
      </c>
      <c r="D1702" s="2" t="s">
        <v>12</v>
      </c>
      <c r="E1702" s="2" t="s">
        <v>76</v>
      </c>
      <c r="F1702" s="2" t="s">
        <v>1145</v>
      </c>
      <c r="G1702" s="14" t="n">
        <v>19.5</v>
      </c>
      <c r="H1702" s="14" t="n">
        <v>62.02</v>
      </c>
      <c r="I1702" s="14" t="n">
        <v>19.5</v>
      </c>
      <c r="J1702" s="22" t="n">
        <f aca="false">IF(E1702="Priority",'Cost model'!N205,'Cost model'!M205)</f>
        <v>50</v>
      </c>
      <c r="K1702" s="14" t="n">
        <f aca="false">J1702-H1702</f>
        <v>-12.02</v>
      </c>
      <c r="L1702" s="14" t="n">
        <f aca="false">G1702-H1702</f>
        <v>-42.52</v>
      </c>
    </row>
    <row r="1703" customFormat="false" ht="15" hidden="false" customHeight="false" outlineLevel="0" collapsed="false">
      <c r="A1703" s="2" t="s">
        <v>385</v>
      </c>
      <c r="B1703" s="2" t="s">
        <v>165</v>
      </c>
      <c r="C1703" s="2" t="s">
        <v>48</v>
      </c>
      <c r="D1703" s="2" t="s">
        <v>12</v>
      </c>
      <c r="E1703" s="2" t="s">
        <v>76</v>
      </c>
      <c r="F1703" s="2" t="s">
        <v>1146</v>
      </c>
      <c r="G1703" s="14" t="n">
        <v>24.5</v>
      </c>
      <c r="H1703" s="14" t="n">
        <v>57.28</v>
      </c>
      <c r="I1703" s="14" t="n">
        <v>24.5</v>
      </c>
      <c r="J1703" s="22" t="n">
        <f aca="false">IF(E1703="Priority",'Cost model'!N257,'Cost model'!M257)</f>
        <v>60</v>
      </c>
      <c r="K1703" s="14" t="n">
        <f aca="false">J1703-H1703</f>
        <v>2.72</v>
      </c>
      <c r="L1703" s="14" t="n">
        <f aca="false">G1703-H1703</f>
        <v>-32.78</v>
      </c>
    </row>
    <row r="1704" customFormat="false" ht="15" hidden="false" customHeight="false" outlineLevel="0" collapsed="false">
      <c r="A1704" s="2" t="s">
        <v>146</v>
      </c>
      <c r="B1704" s="2" t="s">
        <v>165</v>
      </c>
      <c r="C1704" s="2" t="s">
        <v>48</v>
      </c>
      <c r="D1704" s="2" t="s">
        <v>14</v>
      </c>
      <c r="E1704" s="2" t="s">
        <v>76</v>
      </c>
      <c r="F1704" s="2" t="s">
        <v>1146</v>
      </c>
      <c r="G1704" s="14" t="n">
        <v>25</v>
      </c>
      <c r="H1704" s="14" t="n">
        <v>52.91</v>
      </c>
      <c r="I1704" s="14" t="n">
        <v>85</v>
      </c>
      <c r="J1704" s="22" t="n">
        <f aca="false">IF(E1704="Priority",'Cost model'!N785,'Cost model'!M785)</f>
        <v>145</v>
      </c>
      <c r="K1704" s="14" t="n">
        <f aca="false">J1704-H1704</f>
        <v>92.09</v>
      </c>
      <c r="L1704" s="14" t="n">
        <f aca="false">G1704-H1704</f>
        <v>-27.91</v>
      </c>
    </row>
    <row r="1705" customFormat="false" ht="15" hidden="false" customHeight="false" outlineLevel="0" collapsed="false">
      <c r="A1705" s="2" t="s">
        <v>184</v>
      </c>
      <c r="B1705" s="2" t="s">
        <v>184</v>
      </c>
      <c r="C1705" s="2" t="s">
        <v>50</v>
      </c>
      <c r="D1705" s="2" t="s">
        <v>10</v>
      </c>
      <c r="E1705" s="2" t="s">
        <v>76</v>
      </c>
      <c r="F1705" s="2" t="s">
        <v>1145</v>
      </c>
      <c r="G1705" s="14" t="n">
        <v>17.5</v>
      </c>
      <c r="H1705" s="14" t="n">
        <v>10.79</v>
      </c>
      <c r="I1705" s="14" t="n">
        <v>17.5</v>
      </c>
      <c r="J1705" s="22" t="n">
        <f aca="false">IF(E1705="Priority",'Cost model'!N202,'Cost model'!M202)</f>
        <v>17.5</v>
      </c>
      <c r="K1705" s="14" t="n">
        <f aca="false">J1705-H1705</f>
        <v>6.71</v>
      </c>
      <c r="L1705" s="14" t="n">
        <f aca="false">G1705-H1705</f>
        <v>6.71</v>
      </c>
    </row>
    <row r="1706" customFormat="false" ht="15" hidden="false" customHeight="false" outlineLevel="0" collapsed="false">
      <c r="A1706" s="2" t="s">
        <v>146</v>
      </c>
      <c r="B1706" s="2" t="s">
        <v>165</v>
      </c>
      <c r="C1706" s="2" t="s">
        <v>49</v>
      </c>
      <c r="D1706" s="2" t="s">
        <v>10</v>
      </c>
      <c r="E1706" s="2" t="s">
        <v>76</v>
      </c>
      <c r="F1706" s="2" t="s">
        <v>1146</v>
      </c>
      <c r="G1706" s="14" t="n">
        <v>14.5</v>
      </c>
      <c r="H1706" s="14" t="n">
        <v>11.94</v>
      </c>
      <c r="I1706" s="14" t="n">
        <v>14.5</v>
      </c>
      <c r="J1706" s="22" t="n">
        <f aca="false">IF(E1706="Priority",'Cost model'!N777,'Cost model'!M777)</f>
        <v>16.5</v>
      </c>
      <c r="K1706" s="14" t="n">
        <f aca="false">J1706-H1706</f>
        <v>4.56</v>
      </c>
      <c r="L1706" s="14" t="n">
        <f aca="false">G1706-H1706</f>
        <v>2.56</v>
      </c>
    </row>
    <row r="1707" customFormat="false" ht="15" hidden="false" customHeight="false" outlineLevel="0" collapsed="false">
      <c r="A1707" s="2" t="s">
        <v>146</v>
      </c>
      <c r="B1707" s="2" t="s">
        <v>126</v>
      </c>
      <c r="C1707" s="2" t="s">
        <v>48</v>
      </c>
      <c r="D1707" s="2" t="s">
        <v>10</v>
      </c>
      <c r="E1707" s="2" t="s">
        <v>76</v>
      </c>
      <c r="F1707" s="2" t="s">
        <v>1146</v>
      </c>
      <c r="G1707" s="14" t="n">
        <v>9.5</v>
      </c>
      <c r="H1707" s="14" t="n">
        <v>9.85</v>
      </c>
      <c r="I1707" s="14" t="n">
        <v>14.5</v>
      </c>
      <c r="J1707" s="22" t="n">
        <f aca="false">IF(E1707="Priority",'Cost model'!N794,'Cost model'!M794)</f>
        <v>12.5</v>
      </c>
      <c r="K1707" s="14" t="n">
        <f aca="false">J1707-H1707</f>
        <v>2.65</v>
      </c>
      <c r="L1707" s="14" t="n">
        <f aca="false">G1707-H1707</f>
        <v>-0.35</v>
      </c>
    </row>
    <row r="1708" customFormat="false" ht="15" hidden="false" customHeight="false" outlineLevel="0" collapsed="false">
      <c r="A1708" s="2" t="s">
        <v>184</v>
      </c>
      <c r="B1708" s="2" t="s">
        <v>146</v>
      </c>
      <c r="C1708" s="2" t="s">
        <v>49</v>
      </c>
      <c r="D1708" s="2" t="s">
        <v>16</v>
      </c>
      <c r="E1708" s="2" t="s">
        <v>76</v>
      </c>
      <c r="F1708" s="2" t="s">
        <v>1146</v>
      </c>
      <c r="G1708" s="14" t="n">
        <v>85</v>
      </c>
      <c r="H1708" s="14" t="n">
        <v>284.13</v>
      </c>
      <c r="I1708" s="14"/>
      <c r="J1708" s="22" t="n">
        <f aca="false">IF(E1708="Priority",'Cost model'!N162,'Cost model'!M162)</f>
        <v>355</v>
      </c>
      <c r="K1708" s="14" t="n">
        <f aca="false">J1708-H1708</f>
        <v>70.87</v>
      </c>
      <c r="L1708" s="14" t="n">
        <f aca="false">G1708-H1708</f>
        <v>-199.13</v>
      </c>
    </row>
    <row r="1709" customFormat="false" ht="15" hidden="false" customHeight="false" outlineLevel="0" collapsed="false">
      <c r="A1709" s="2" t="s">
        <v>240</v>
      </c>
      <c r="B1709" s="2" t="s">
        <v>240</v>
      </c>
      <c r="C1709" s="2" t="s">
        <v>50</v>
      </c>
      <c r="D1709" s="2" t="s">
        <v>10</v>
      </c>
      <c r="E1709" s="2" t="s">
        <v>76</v>
      </c>
      <c r="F1709" s="2" t="s">
        <v>1145</v>
      </c>
      <c r="G1709" s="14" t="n">
        <v>17.5</v>
      </c>
      <c r="H1709" s="14" t="n">
        <v>11.03</v>
      </c>
      <c r="I1709" s="14" t="n">
        <v>17.5</v>
      </c>
      <c r="J1709" s="22" t="n">
        <f aca="false">IF(E1709="Priority",'Cost model'!N886,'Cost model'!M886)</f>
        <v>17.5</v>
      </c>
      <c r="K1709" s="14" t="n">
        <f aca="false">J1709-H1709</f>
        <v>6.47</v>
      </c>
      <c r="L1709" s="14" t="n">
        <f aca="false">G1709-H1709</f>
        <v>6.47</v>
      </c>
    </row>
    <row r="1710" customFormat="false" ht="15" hidden="false" customHeight="false" outlineLevel="0" collapsed="false">
      <c r="A1710" s="2" t="s">
        <v>126</v>
      </c>
      <c r="B1710" s="2" t="s">
        <v>126</v>
      </c>
      <c r="C1710" s="2" t="s">
        <v>49</v>
      </c>
      <c r="D1710" s="2" t="s">
        <v>13</v>
      </c>
      <c r="E1710" s="2" t="s">
        <v>76</v>
      </c>
      <c r="F1710" s="2" t="s">
        <v>1145</v>
      </c>
      <c r="G1710" s="14" t="n">
        <v>24.5</v>
      </c>
      <c r="H1710" s="14" t="n">
        <v>31.6</v>
      </c>
      <c r="I1710" s="14" t="n">
        <v>24.5</v>
      </c>
      <c r="J1710" s="22" t="n">
        <f aca="false">IF(E1710="Priority",'Cost model'!N387,'Cost model'!M387)</f>
        <v>95</v>
      </c>
      <c r="K1710" s="14" t="n">
        <f aca="false">J1710-H1710</f>
        <v>63.4</v>
      </c>
      <c r="L1710" s="14" t="n">
        <f aca="false">G1710-H1710</f>
        <v>-7.1</v>
      </c>
    </row>
    <row r="1711" customFormat="false" ht="15" hidden="false" customHeight="false" outlineLevel="0" collapsed="false">
      <c r="A1711" s="2" t="s">
        <v>126</v>
      </c>
      <c r="B1711" s="2" t="s">
        <v>184</v>
      </c>
      <c r="C1711" s="2" t="s">
        <v>50</v>
      </c>
      <c r="D1711" s="2" t="s">
        <v>12</v>
      </c>
      <c r="E1711" s="2" t="s">
        <v>76</v>
      </c>
      <c r="F1711" s="2" t="s">
        <v>1146</v>
      </c>
      <c r="G1711" s="14" t="n">
        <v>19.5</v>
      </c>
      <c r="H1711" s="14" t="n">
        <v>20.57</v>
      </c>
      <c r="I1711" s="14" t="n">
        <v>19.5</v>
      </c>
      <c r="J1711" s="22" t="n">
        <f aca="false">IF(E1711="Priority",'Cost model'!N439,'Cost model'!M439)</f>
        <v>60</v>
      </c>
      <c r="K1711" s="14" t="n">
        <f aca="false">J1711-H1711</f>
        <v>39.43</v>
      </c>
      <c r="L1711" s="14" t="n">
        <f aca="false">G1711-H1711</f>
        <v>-1.07</v>
      </c>
    </row>
    <row r="1712" customFormat="false" ht="15" hidden="false" customHeight="false" outlineLevel="0" collapsed="false">
      <c r="A1712" s="2" t="s">
        <v>184</v>
      </c>
      <c r="B1712" s="2" t="s">
        <v>126</v>
      </c>
      <c r="C1712" s="2" t="s">
        <v>50</v>
      </c>
      <c r="D1712" s="2" t="s">
        <v>12</v>
      </c>
      <c r="E1712" s="2" t="s">
        <v>76</v>
      </c>
      <c r="F1712" s="2" t="s">
        <v>1146</v>
      </c>
      <c r="G1712" s="14" t="n">
        <v>34.5</v>
      </c>
      <c r="H1712" s="14" t="n">
        <v>50.31</v>
      </c>
      <c r="I1712" s="14" t="n">
        <v>19.5</v>
      </c>
      <c r="J1712" s="22" t="n">
        <f aca="false">IF(E1712="Priority",'Cost model'!N133,'Cost model'!M133)</f>
        <v>55</v>
      </c>
      <c r="K1712" s="14" t="n">
        <f aca="false">J1712-H1712</f>
        <v>4.69</v>
      </c>
      <c r="L1712" s="14" t="n">
        <f aca="false">G1712-H1712</f>
        <v>-15.81</v>
      </c>
    </row>
    <row r="1713" customFormat="false" ht="15" hidden="false" customHeight="false" outlineLevel="0" collapsed="false">
      <c r="A1713" s="2" t="s">
        <v>184</v>
      </c>
      <c r="B1713" s="2" t="s">
        <v>184</v>
      </c>
      <c r="C1713" s="2" t="s">
        <v>49</v>
      </c>
      <c r="D1713" s="2" t="s">
        <v>12</v>
      </c>
      <c r="E1713" s="2" t="s">
        <v>76</v>
      </c>
      <c r="F1713" s="2" t="s">
        <v>1145</v>
      </c>
      <c r="G1713" s="14" t="n">
        <v>19.5</v>
      </c>
      <c r="H1713" s="14" t="n">
        <v>11.94</v>
      </c>
      <c r="I1713" s="14"/>
      <c r="J1713" s="22" t="n">
        <f aca="false">IF(E1713="Priority",'Cost model'!N204,'Cost model'!M204)</f>
        <v>45</v>
      </c>
      <c r="K1713" s="14" t="n">
        <f aca="false">J1713-H1713</f>
        <v>33.06</v>
      </c>
      <c r="L1713" s="14" t="n">
        <f aca="false">G1713-H1713</f>
        <v>7.56</v>
      </c>
    </row>
    <row r="1714" customFormat="false" ht="15" hidden="false" customHeight="false" outlineLevel="0" collapsed="false">
      <c r="A1714" s="2" t="s">
        <v>146</v>
      </c>
      <c r="B1714" s="2" t="s">
        <v>146</v>
      </c>
      <c r="C1714" s="2" t="s">
        <v>48</v>
      </c>
      <c r="D1714" s="2" t="s">
        <v>10</v>
      </c>
      <c r="E1714" s="2" t="s">
        <v>76</v>
      </c>
      <c r="F1714" s="2" t="s">
        <v>1145</v>
      </c>
      <c r="G1714" s="14" t="n">
        <v>9.5</v>
      </c>
      <c r="H1714" s="14" t="n">
        <v>13.95</v>
      </c>
      <c r="I1714" s="14" t="n">
        <v>9.5</v>
      </c>
      <c r="J1714" s="22" t="n">
        <f aca="false">IF(E1714="Priority",'Cost model'!N758,'Cost model'!M758)</f>
        <v>9.5</v>
      </c>
      <c r="K1714" s="14" t="n">
        <f aca="false">J1714-H1714</f>
        <v>-4.45</v>
      </c>
      <c r="L1714" s="14" t="n">
        <f aca="false">G1714-H1714</f>
        <v>-4.45</v>
      </c>
    </row>
    <row r="1715" customFormat="false" ht="15" hidden="false" customHeight="false" outlineLevel="0" collapsed="false">
      <c r="A1715" s="2" t="s">
        <v>184</v>
      </c>
      <c r="B1715" s="2" t="s">
        <v>146</v>
      </c>
      <c r="C1715" s="2" t="s">
        <v>48</v>
      </c>
      <c r="D1715" s="2" t="s">
        <v>12</v>
      </c>
      <c r="E1715" s="2" t="s">
        <v>76</v>
      </c>
      <c r="F1715" s="2" t="s">
        <v>1146</v>
      </c>
      <c r="G1715" s="14" t="n">
        <v>9.5</v>
      </c>
      <c r="H1715" s="14" t="n">
        <v>44.84</v>
      </c>
      <c r="I1715" s="14" t="n">
        <v>9.5</v>
      </c>
      <c r="J1715" s="22" t="n">
        <f aca="false">IF(E1715="Priority",'Cost model'!N149,'Cost model'!M149)</f>
        <v>45</v>
      </c>
      <c r="K1715" s="14" t="n">
        <f aca="false">J1715-H1715</f>
        <v>0.159999999999997</v>
      </c>
      <c r="L1715" s="14" t="n">
        <f aca="false">G1715-H1715</f>
        <v>-35.34</v>
      </c>
    </row>
    <row r="1716" customFormat="false" ht="15" hidden="false" customHeight="false" outlineLevel="0" collapsed="false">
      <c r="A1716" s="2" t="s">
        <v>146</v>
      </c>
      <c r="B1716" s="2" t="s">
        <v>146</v>
      </c>
      <c r="C1716" s="2" t="s">
        <v>50</v>
      </c>
      <c r="D1716" s="2" t="s">
        <v>12</v>
      </c>
      <c r="E1716" s="2" t="s">
        <v>76</v>
      </c>
      <c r="F1716" s="2" t="s">
        <v>1145</v>
      </c>
      <c r="G1716" s="14" t="n">
        <v>19.5</v>
      </c>
      <c r="H1716" s="14" t="n">
        <v>43.66</v>
      </c>
      <c r="I1716" s="14" t="n">
        <v>19.5</v>
      </c>
      <c r="J1716" s="22" t="n">
        <f aca="false">IF(E1716="Priority",'Cost model'!N763,'Cost model'!M763)</f>
        <v>50</v>
      </c>
      <c r="K1716" s="14" t="n">
        <f aca="false">J1716-H1716</f>
        <v>6.34</v>
      </c>
      <c r="L1716" s="14" t="n">
        <f aca="false">G1716-H1716</f>
        <v>-24.16</v>
      </c>
    </row>
    <row r="1717" customFormat="false" ht="15" hidden="false" customHeight="false" outlineLevel="0" collapsed="false">
      <c r="A1717" s="2" t="s">
        <v>146</v>
      </c>
      <c r="B1717" s="2" t="s">
        <v>146</v>
      </c>
      <c r="C1717" s="2" t="s">
        <v>48</v>
      </c>
      <c r="D1717" s="2" t="s">
        <v>12</v>
      </c>
      <c r="E1717" s="2" t="s">
        <v>76</v>
      </c>
      <c r="F1717" s="2" t="s">
        <v>1145</v>
      </c>
      <c r="G1717" s="14" t="n">
        <v>9.5</v>
      </c>
      <c r="H1717" s="14" t="n">
        <v>30.68</v>
      </c>
      <c r="I1717" s="14" t="n">
        <v>9.5</v>
      </c>
      <c r="J1717" s="22" t="n">
        <f aca="false">IF(E1717="Priority",'Cost model'!N761,'Cost model'!M761)</f>
        <v>35</v>
      </c>
      <c r="K1717" s="14" t="n">
        <f aca="false">J1717-H1717</f>
        <v>4.32</v>
      </c>
      <c r="L1717" s="14" t="n">
        <f aca="false">G1717-H1717</f>
        <v>-21.18</v>
      </c>
    </row>
    <row r="1718" customFormat="false" ht="15" hidden="false" customHeight="false" outlineLevel="0" collapsed="false">
      <c r="A1718" s="2" t="s">
        <v>184</v>
      </c>
      <c r="B1718" s="2" t="s">
        <v>146</v>
      </c>
      <c r="C1718" s="2" t="s">
        <v>50</v>
      </c>
      <c r="D1718" s="2" t="s">
        <v>13</v>
      </c>
      <c r="E1718" s="2" t="s">
        <v>76</v>
      </c>
      <c r="F1718" s="2" t="s">
        <v>1146</v>
      </c>
      <c r="G1718" s="14" t="n">
        <v>50</v>
      </c>
      <c r="H1718" s="14" t="n">
        <v>232.49</v>
      </c>
      <c r="I1718" s="14" t="n">
        <v>50</v>
      </c>
      <c r="J1718" s="22" t="n">
        <f aca="false">IF(E1718="Priority",'Cost model'!N154,'Cost model'!M154)</f>
        <v>130</v>
      </c>
      <c r="K1718" s="14" t="n">
        <f aca="false">J1718-H1718</f>
        <v>-102.49</v>
      </c>
      <c r="L1718" s="14" t="n">
        <f aca="false">G1718-H1718</f>
        <v>-182.49</v>
      </c>
    </row>
    <row r="1719" customFormat="false" ht="15" hidden="false" customHeight="false" outlineLevel="0" collapsed="false">
      <c r="A1719" s="2" t="s">
        <v>165</v>
      </c>
      <c r="B1719" s="2" t="s">
        <v>165</v>
      </c>
      <c r="C1719" s="2" t="s">
        <v>48</v>
      </c>
      <c r="D1719" s="2" t="s">
        <v>13</v>
      </c>
      <c r="E1719" s="2" t="s">
        <v>76</v>
      </c>
      <c r="F1719" s="2" t="s">
        <v>1145</v>
      </c>
      <c r="G1719" s="14" t="n">
        <v>19</v>
      </c>
      <c r="H1719" s="14" t="n">
        <v>18.68</v>
      </c>
      <c r="I1719" s="14" t="n">
        <v>19</v>
      </c>
      <c r="J1719" s="22" t="n">
        <f aca="false">IF(E1719="Priority",'Cost model'!N512,'Cost model'!M512)</f>
        <v>35</v>
      </c>
      <c r="K1719" s="14" t="n">
        <f aca="false">J1719-H1719</f>
        <v>16.32</v>
      </c>
      <c r="L1719" s="14" t="n">
        <f aca="false">G1719-H1719</f>
        <v>0.32</v>
      </c>
    </row>
    <row r="1720" customFormat="false" ht="15" hidden="false" customHeight="false" outlineLevel="0" collapsed="false">
      <c r="A1720" s="2" t="s">
        <v>126</v>
      </c>
      <c r="B1720" s="2" t="s">
        <v>126</v>
      </c>
      <c r="C1720" s="2" t="s">
        <v>49</v>
      </c>
      <c r="D1720" s="2" t="s">
        <v>10</v>
      </c>
      <c r="E1720" s="2" t="s">
        <v>85</v>
      </c>
      <c r="F1720" s="2" t="s">
        <v>1145</v>
      </c>
      <c r="G1720" s="14" t="n">
        <v>17.5</v>
      </c>
      <c r="H1720" s="14" t="n">
        <v>24.17</v>
      </c>
      <c r="I1720" s="14" t="n">
        <v>17.5</v>
      </c>
      <c r="J1720" s="22" t="n">
        <f aca="false">IF(E1720="Priority",'Cost model'!N381,'Cost model'!M381)</f>
        <v>19.5</v>
      </c>
      <c r="K1720" s="14" t="n">
        <f aca="false">J1720-H1720</f>
        <v>-4.67</v>
      </c>
      <c r="L1720" s="14" t="n">
        <f aca="false">G1720-H1720</f>
        <v>-6.67</v>
      </c>
    </row>
    <row r="1721" customFormat="false" ht="15" hidden="false" customHeight="false" outlineLevel="0" collapsed="false">
      <c r="A1721" s="2" t="s">
        <v>184</v>
      </c>
      <c r="B1721" s="2" t="s">
        <v>184</v>
      </c>
      <c r="C1721" s="2" t="s">
        <v>49</v>
      </c>
      <c r="D1721" s="2" t="s">
        <v>10</v>
      </c>
      <c r="E1721" s="2" t="s">
        <v>76</v>
      </c>
      <c r="F1721" s="2" t="s">
        <v>1145</v>
      </c>
      <c r="G1721" s="14" t="n">
        <v>12.5</v>
      </c>
      <c r="H1721" s="14" t="n">
        <v>8.92</v>
      </c>
      <c r="I1721" s="14"/>
      <c r="J1721" s="22" t="n">
        <f aca="false">IF(E1721="Priority",'Cost model'!N201,'Cost model'!M201)</f>
        <v>12.5</v>
      </c>
      <c r="K1721" s="14" t="n">
        <f aca="false">J1721-H1721</f>
        <v>3.58</v>
      </c>
      <c r="L1721" s="14" t="n">
        <f aca="false">G1721-H1721</f>
        <v>3.58</v>
      </c>
    </row>
    <row r="1722" customFormat="false" ht="15" hidden="false" customHeight="false" outlineLevel="0" collapsed="false">
      <c r="A1722" s="2" t="s">
        <v>125</v>
      </c>
      <c r="B1722" s="2" t="s">
        <v>184</v>
      </c>
      <c r="C1722" s="2" t="s">
        <v>48</v>
      </c>
      <c r="D1722" s="2" t="s">
        <v>10</v>
      </c>
      <c r="E1722" s="2" t="s">
        <v>76</v>
      </c>
      <c r="F1722" s="2" t="s">
        <v>1146</v>
      </c>
      <c r="G1722" s="14" t="n">
        <v>14.5</v>
      </c>
      <c r="H1722" s="14" t="n">
        <v>8.92</v>
      </c>
      <c r="I1722" s="14" t="n">
        <v>14.5</v>
      </c>
      <c r="J1722" s="22" t="n">
        <f aca="false">IF(E1722="Priority",'Cost model'!N56,'Cost model'!M56)</f>
        <v>11.5</v>
      </c>
      <c r="K1722" s="14" t="n">
        <f aca="false">J1722-H1722</f>
        <v>2.58</v>
      </c>
      <c r="L1722" s="14" t="n">
        <f aca="false">G1722-H1722</f>
        <v>5.58</v>
      </c>
    </row>
    <row r="1723" customFormat="false" ht="15" hidden="false" customHeight="false" outlineLevel="0" collapsed="false">
      <c r="A1723" s="2" t="s">
        <v>126</v>
      </c>
      <c r="B1723" s="2" t="s">
        <v>126</v>
      </c>
      <c r="C1723" s="2" t="s">
        <v>49</v>
      </c>
      <c r="D1723" s="2" t="s">
        <v>16</v>
      </c>
      <c r="E1723" s="2" t="s">
        <v>76</v>
      </c>
      <c r="F1723" s="2" t="s">
        <v>1145</v>
      </c>
      <c r="G1723" s="14" t="n">
        <v>85</v>
      </c>
      <c r="H1723" s="14" t="n">
        <v>325.88</v>
      </c>
      <c r="I1723" s="14" t="n">
        <v>85</v>
      </c>
      <c r="J1723" s="22" t="n">
        <f aca="false">IF(E1723="Priority",'Cost model'!N396,'Cost model'!M396)</f>
        <v>245</v>
      </c>
      <c r="K1723" s="14" t="n">
        <f aca="false">J1723-H1723</f>
        <v>-80.88</v>
      </c>
      <c r="L1723" s="14" t="n">
        <f aca="false">G1723-H1723</f>
        <v>-240.88</v>
      </c>
    </row>
    <row r="1724" customFormat="false" ht="15" hidden="false" customHeight="false" outlineLevel="0" collapsed="false">
      <c r="A1724" s="2" t="s">
        <v>184</v>
      </c>
      <c r="B1724" s="2" t="s">
        <v>184</v>
      </c>
      <c r="C1724" s="2" t="s">
        <v>48</v>
      </c>
      <c r="D1724" s="2" t="s">
        <v>12</v>
      </c>
      <c r="E1724" s="2" t="s">
        <v>76</v>
      </c>
      <c r="F1724" s="2" t="s">
        <v>1145</v>
      </c>
      <c r="G1724" s="14" t="n">
        <v>9.5</v>
      </c>
      <c r="H1724" s="14" t="n">
        <v>7.72</v>
      </c>
      <c r="I1724" s="14" t="n">
        <v>9.5</v>
      </c>
      <c r="J1724" s="22" t="n">
        <f aca="false">IF(E1724="Priority",'Cost model'!N203,'Cost model'!M203)</f>
        <v>26.5</v>
      </c>
      <c r="K1724" s="14" t="n">
        <f aca="false">J1724-H1724</f>
        <v>18.78</v>
      </c>
      <c r="L1724" s="14" t="n">
        <f aca="false">G1724-H1724</f>
        <v>1.78</v>
      </c>
    </row>
    <row r="1725" customFormat="false" ht="15" hidden="false" customHeight="false" outlineLevel="0" collapsed="false">
      <c r="A1725" s="2" t="s">
        <v>240</v>
      </c>
      <c r="B1725" s="2" t="s">
        <v>240</v>
      </c>
      <c r="C1725" s="2" t="s">
        <v>48</v>
      </c>
      <c r="D1725" s="2" t="s">
        <v>13</v>
      </c>
      <c r="E1725" s="2" t="s">
        <v>76</v>
      </c>
      <c r="F1725" s="2" t="s">
        <v>1145</v>
      </c>
      <c r="G1725" s="14" t="n">
        <v>19.5</v>
      </c>
      <c r="H1725" s="14" t="n">
        <v>12.16</v>
      </c>
      <c r="I1725" s="14" t="n">
        <v>19.5</v>
      </c>
      <c r="J1725" s="22" t="n">
        <f aca="false">IF(E1725="Priority",'Cost model'!N890,'Cost model'!M890)</f>
        <v>45</v>
      </c>
      <c r="K1725" s="14" t="n">
        <f aca="false">J1725-H1725</f>
        <v>32.84</v>
      </c>
      <c r="L1725" s="14" t="n">
        <f aca="false">G1725-H1725</f>
        <v>7.34</v>
      </c>
    </row>
    <row r="1726" customFormat="false" ht="15" hidden="false" customHeight="false" outlineLevel="0" collapsed="false">
      <c r="A1726" s="2" t="s">
        <v>146</v>
      </c>
      <c r="B1726" s="2" t="s">
        <v>165</v>
      </c>
      <c r="C1726" s="2" t="s">
        <v>50</v>
      </c>
      <c r="D1726" s="2" t="s">
        <v>10</v>
      </c>
      <c r="E1726" s="2" t="s">
        <v>76</v>
      </c>
      <c r="F1726" s="2" t="s">
        <v>1146</v>
      </c>
      <c r="G1726" s="14" t="n">
        <v>17.5</v>
      </c>
      <c r="H1726" s="14" t="n">
        <v>15.06</v>
      </c>
      <c r="I1726" s="14" t="n">
        <v>17.5</v>
      </c>
      <c r="J1726" s="22" t="n">
        <f aca="false">IF(E1726="Priority",'Cost model'!N778,'Cost model'!M778)</f>
        <v>19.5</v>
      </c>
      <c r="K1726" s="14" t="n">
        <f aca="false">J1726-H1726</f>
        <v>4.44</v>
      </c>
      <c r="L1726" s="14" t="n">
        <f aca="false">G1726-H1726</f>
        <v>2.44</v>
      </c>
    </row>
    <row r="1727" customFormat="false" ht="15" hidden="false" customHeight="false" outlineLevel="0" collapsed="false">
      <c r="A1727" s="2" t="s">
        <v>184</v>
      </c>
      <c r="B1727" s="2" t="s">
        <v>221</v>
      </c>
      <c r="C1727" s="2" t="s">
        <v>48</v>
      </c>
      <c r="D1727" s="2" t="s">
        <v>10</v>
      </c>
      <c r="E1727" s="2" t="s">
        <v>76</v>
      </c>
      <c r="F1727" s="2" t="s">
        <v>1146</v>
      </c>
      <c r="G1727" s="14" t="n">
        <v>14.5</v>
      </c>
      <c r="H1727" s="14" t="n">
        <v>10.53</v>
      </c>
      <c r="I1727" s="14" t="n">
        <v>19.5</v>
      </c>
      <c r="J1727" s="22" t="n">
        <f aca="false">IF(E1727="Priority",'Cost model'!N218,'Cost model'!M218)</f>
        <v>12.5</v>
      </c>
      <c r="K1727" s="14" t="n">
        <f aca="false">J1727-H1727</f>
        <v>1.97</v>
      </c>
      <c r="L1727" s="14" t="n">
        <f aca="false">G1727-H1727</f>
        <v>3.97</v>
      </c>
    </row>
    <row r="1728" customFormat="false" ht="15" hidden="false" customHeight="false" outlineLevel="0" collapsed="false">
      <c r="A1728" s="2" t="s">
        <v>146</v>
      </c>
      <c r="B1728" s="2" t="s">
        <v>126</v>
      </c>
      <c r="C1728" s="2" t="s">
        <v>48</v>
      </c>
      <c r="D1728" s="2" t="s">
        <v>12</v>
      </c>
      <c r="E1728" s="2" t="s">
        <v>76</v>
      </c>
      <c r="F1728" s="2" t="s">
        <v>1146</v>
      </c>
      <c r="G1728" s="14" t="n">
        <v>9.5</v>
      </c>
      <c r="H1728" s="14" t="n">
        <v>28.46</v>
      </c>
      <c r="I1728" s="14" t="n">
        <v>19.5</v>
      </c>
      <c r="J1728" s="22" t="n">
        <f aca="false">IF(E1728="Priority",'Cost model'!N797,'Cost model'!M797)</f>
        <v>40</v>
      </c>
      <c r="K1728" s="14" t="n">
        <f aca="false">J1728-H1728</f>
        <v>11.54</v>
      </c>
      <c r="L1728" s="14" t="n">
        <f aca="false">G1728-H1728</f>
        <v>-18.96</v>
      </c>
    </row>
    <row r="1729" customFormat="false" ht="15" hidden="false" customHeight="false" outlineLevel="0" collapsed="false">
      <c r="A1729" s="2" t="s">
        <v>126</v>
      </c>
      <c r="B1729" s="2" t="s">
        <v>126</v>
      </c>
      <c r="C1729" s="2" t="s">
        <v>49</v>
      </c>
      <c r="D1729" s="2" t="s">
        <v>12</v>
      </c>
      <c r="E1729" s="2" t="s">
        <v>76</v>
      </c>
      <c r="F1729" s="2" t="s">
        <v>1145</v>
      </c>
      <c r="G1729" s="14" t="n">
        <v>12.5</v>
      </c>
      <c r="H1729" s="14" t="n">
        <v>42.61</v>
      </c>
      <c r="I1729" s="14" t="n">
        <v>12.5</v>
      </c>
      <c r="J1729" s="22" t="n">
        <f aca="false">IF(E1729="Priority",'Cost model'!N384,'Cost model'!M384)</f>
        <v>45</v>
      </c>
      <c r="K1729" s="14" t="n">
        <f aca="false">J1729-H1729</f>
        <v>2.39</v>
      </c>
      <c r="L1729" s="14" t="n">
        <f aca="false">G1729-H1729</f>
        <v>-30.11</v>
      </c>
    </row>
    <row r="1730" customFormat="false" ht="15" hidden="false" customHeight="false" outlineLevel="0" collapsed="false">
      <c r="A1730" s="2" t="s">
        <v>184</v>
      </c>
      <c r="B1730" s="2" t="s">
        <v>125</v>
      </c>
      <c r="C1730" s="2" t="s">
        <v>48</v>
      </c>
      <c r="D1730" s="2" t="s">
        <v>10</v>
      </c>
      <c r="E1730" s="2" t="s">
        <v>76</v>
      </c>
      <c r="F1730" s="2" t="s">
        <v>1146</v>
      </c>
      <c r="G1730" s="14" t="n">
        <v>9.5</v>
      </c>
      <c r="H1730" s="14" t="n">
        <v>20.83</v>
      </c>
      <c r="I1730" s="14" t="n">
        <v>19.5</v>
      </c>
      <c r="J1730" s="22" t="n">
        <f aca="false">IF(E1730="Priority",'Cost model'!N236,'Cost model'!M236)</f>
        <v>17.5</v>
      </c>
      <c r="K1730" s="14" t="n">
        <f aca="false">J1730-H1730</f>
        <v>-3.33</v>
      </c>
      <c r="L1730" s="14" t="n">
        <f aca="false">G1730-H1730</f>
        <v>-11.33</v>
      </c>
    </row>
    <row r="1731" customFormat="false" ht="15" hidden="false" customHeight="false" outlineLevel="0" collapsed="false">
      <c r="A1731" s="2" t="s">
        <v>184</v>
      </c>
      <c r="B1731" s="2" t="s">
        <v>184</v>
      </c>
      <c r="C1731" s="2" t="s">
        <v>49</v>
      </c>
      <c r="D1731" s="2" t="s">
        <v>10</v>
      </c>
      <c r="E1731" s="2" t="s">
        <v>76</v>
      </c>
      <c r="F1731" s="2" t="s">
        <v>1145</v>
      </c>
      <c r="G1731" s="14" t="n">
        <v>12.5</v>
      </c>
      <c r="H1731" s="14" t="n">
        <v>10.51</v>
      </c>
      <c r="I1731" s="14" t="n">
        <v>12.5</v>
      </c>
      <c r="J1731" s="22" t="n">
        <f aca="false">IF(E1731="Priority",'Cost model'!N201,'Cost model'!M201)</f>
        <v>12.5</v>
      </c>
      <c r="K1731" s="14" t="n">
        <f aca="false">J1731-H1731</f>
        <v>1.99</v>
      </c>
      <c r="L1731" s="14" t="n">
        <f aca="false">G1731-H1731</f>
        <v>1.99</v>
      </c>
    </row>
    <row r="1732" customFormat="false" ht="15" hidden="false" customHeight="false" outlineLevel="0" collapsed="false">
      <c r="A1732" s="2" t="s">
        <v>146</v>
      </c>
      <c r="B1732" s="2" t="s">
        <v>165</v>
      </c>
      <c r="C1732" s="2" t="s">
        <v>50</v>
      </c>
      <c r="D1732" s="2" t="s">
        <v>10</v>
      </c>
      <c r="E1732" s="2" t="s">
        <v>76</v>
      </c>
      <c r="F1732" s="2" t="s">
        <v>1146</v>
      </c>
      <c r="G1732" s="14" t="n">
        <v>24.5</v>
      </c>
      <c r="H1732" s="14" t="n">
        <v>20.83</v>
      </c>
      <c r="I1732" s="14" t="n">
        <v>17.5</v>
      </c>
      <c r="J1732" s="22" t="n">
        <f aca="false">IF(E1732="Priority",'Cost model'!N778,'Cost model'!M778)</f>
        <v>19.5</v>
      </c>
      <c r="K1732" s="14" t="n">
        <f aca="false">J1732-H1732</f>
        <v>-1.33</v>
      </c>
      <c r="L1732" s="14" t="n">
        <f aca="false">G1732-H1732</f>
        <v>3.67</v>
      </c>
    </row>
    <row r="1733" customFormat="false" ht="15" hidden="false" customHeight="false" outlineLevel="0" collapsed="false">
      <c r="A1733" s="2" t="s">
        <v>146</v>
      </c>
      <c r="B1733" s="2" t="s">
        <v>146</v>
      </c>
      <c r="C1733" s="2" t="s">
        <v>48</v>
      </c>
      <c r="D1733" s="2" t="s">
        <v>10</v>
      </c>
      <c r="E1733" s="2" t="s">
        <v>76</v>
      </c>
      <c r="F1733" s="2" t="s">
        <v>1145</v>
      </c>
      <c r="G1733" s="14" t="n">
        <v>9.5</v>
      </c>
      <c r="H1733" s="14" t="n">
        <v>16.23</v>
      </c>
      <c r="I1733" s="14" t="n">
        <v>9.5</v>
      </c>
      <c r="J1733" s="22" t="n">
        <f aca="false">IF(E1733="Priority",'Cost model'!N758,'Cost model'!M758)</f>
        <v>9.5</v>
      </c>
      <c r="K1733" s="14" t="n">
        <f aca="false">J1733-H1733</f>
        <v>-6.73</v>
      </c>
      <c r="L1733" s="14" t="n">
        <f aca="false">G1733-H1733</f>
        <v>-6.73</v>
      </c>
    </row>
    <row r="1734" customFormat="false" ht="15" hidden="false" customHeight="false" outlineLevel="0" collapsed="false">
      <c r="A1734" s="2" t="s">
        <v>240</v>
      </c>
      <c r="B1734" s="2" t="s">
        <v>240</v>
      </c>
      <c r="C1734" s="2" t="s">
        <v>48</v>
      </c>
      <c r="D1734" s="2" t="s">
        <v>10</v>
      </c>
      <c r="E1734" s="2" t="s">
        <v>85</v>
      </c>
      <c r="F1734" s="2" t="s">
        <v>1145</v>
      </c>
      <c r="G1734" s="14" t="n">
        <v>14.5</v>
      </c>
      <c r="H1734" s="14" t="n">
        <v>24.63</v>
      </c>
      <c r="I1734" s="14" t="n">
        <v>14.5</v>
      </c>
      <c r="J1734" s="22" t="n">
        <f aca="false">IF(E1734="Priority",'Cost model'!N884,'Cost model'!M884)</f>
        <v>12.5</v>
      </c>
      <c r="K1734" s="14" t="n">
        <f aca="false">J1734-H1734</f>
        <v>-12.13</v>
      </c>
      <c r="L1734" s="14" t="n">
        <f aca="false">G1734-H1734</f>
        <v>-10.13</v>
      </c>
    </row>
    <row r="1735" customFormat="false" ht="15" hidden="false" customHeight="false" outlineLevel="0" collapsed="false">
      <c r="A1735" s="2" t="s">
        <v>126</v>
      </c>
      <c r="B1735" s="2" t="s">
        <v>126</v>
      </c>
      <c r="C1735" s="2" t="s">
        <v>48</v>
      </c>
      <c r="D1735" s="2" t="s">
        <v>12</v>
      </c>
      <c r="E1735" s="2" t="s">
        <v>76</v>
      </c>
      <c r="F1735" s="2" t="s">
        <v>1145</v>
      </c>
      <c r="G1735" s="14" t="n">
        <v>9.5</v>
      </c>
      <c r="H1735" s="14" t="n">
        <v>28.18</v>
      </c>
      <c r="I1735" s="14" t="n">
        <v>9.5</v>
      </c>
      <c r="J1735" s="22" t="n">
        <f aca="false">IF(E1735="Priority",'Cost model'!N383,'Cost model'!M383)</f>
        <v>27.5</v>
      </c>
      <c r="K1735" s="14" t="n">
        <f aca="false">J1735-H1735</f>
        <v>-0.68</v>
      </c>
      <c r="L1735" s="14" t="n">
        <f aca="false">G1735-H1735</f>
        <v>-18.68</v>
      </c>
    </row>
    <row r="1736" customFormat="false" ht="15" hidden="false" customHeight="false" outlineLevel="0" collapsed="false">
      <c r="A1736" s="2" t="s">
        <v>184</v>
      </c>
      <c r="B1736" s="2" t="s">
        <v>184</v>
      </c>
      <c r="C1736" s="2" t="s">
        <v>49</v>
      </c>
      <c r="D1736" s="2" t="s">
        <v>12</v>
      </c>
      <c r="E1736" s="2" t="s">
        <v>76</v>
      </c>
      <c r="F1736" s="2" t="s">
        <v>1145</v>
      </c>
      <c r="G1736" s="14" t="n">
        <v>12.5</v>
      </c>
      <c r="H1736" s="14" t="n">
        <v>42.61</v>
      </c>
      <c r="I1736" s="14"/>
      <c r="J1736" s="22" t="n">
        <f aca="false">IF(E1736="Priority",'Cost model'!N204,'Cost model'!M204)</f>
        <v>45</v>
      </c>
      <c r="K1736" s="14" t="n">
        <f aca="false">J1736-H1736</f>
        <v>2.39</v>
      </c>
      <c r="L1736" s="14" t="n">
        <f aca="false">G1736-H1736</f>
        <v>-30.11</v>
      </c>
    </row>
    <row r="1737" customFormat="false" ht="15" hidden="false" customHeight="false" outlineLevel="0" collapsed="false">
      <c r="A1737" s="2" t="s">
        <v>165</v>
      </c>
      <c r="B1737" s="2" t="s">
        <v>165</v>
      </c>
      <c r="C1737" s="2" t="s">
        <v>48</v>
      </c>
      <c r="D1737" s="2" t="s">
        <v>12</v>
      </c>
      <c r="E1737" s="2" t="s">
        <v>76</v>
      </c>
      <c r="F1737" s="2" t="s">
        <v>1145</v>
      </c>
      <c r="G1737" s="14" t="n">
        <v>9.5</v>
      </c>
      <c r="H1737" s="14" t="n">
        <v>14.49</v>
      </c>
      <c r="I1737" s="14" t="n">
        <v>9.5</v>
      </c>
      <c r="J1737" s="22" t="n">
        <f aca="false">IF(E1737="Priority",'Cost model'!N509,'Cost model'!M509)</f>
        <v>17.5</v>
      </c>
      <c r="K1737" s="14" t="n">
        <f aca="false">J1737-H1737</f>
        <v>3.01</v>
      </c>
      <c r="L1737" s="14" t="n">
        <f aca="false">G1737-H1737</f>
        <v>-4.99</v>
      </c>
    </row>
    <row r="1738" customFormat="false" ht="15" hidden="false" customHeight="false" outlineLevel="0" collapsed="false">
      <c r="A1738" s="2" t="s">
        <v>221</v>
      </c>
      <c r="B1738" s="2" t="s">
        <v>240</v>
      </c>
      <c r="C1738" s="2" t="s">
        <v>49</v>
      </c>
      <c r="D1738" s="2" t="s">
        <v>12</v>
      </c>
      <c r="E1738" s="2" t="s">
        <v>76</v>
      </c>
      <c r="F1738" s="2" t="s">
        <v>1146</v>
      </c>
      <c r="G1738" s="14" t="n">
        <v>12.5</v>
      </c>
      <c r="H1738" s="14" t="n">
        <v>17.93</v>
      </c>
      <c r="I1738" s="14" t="n">
        <v>24.5</v>
      </c>
      <c r="J1738" s="22" t="n">
        <f aca="false">IF(E1738="Priority",'Cost model'!N708,'Cost model'!M708)</f>
        <v>55</v>
      </c>
      <c r="K1738" s="14" t="n">
        <f aca="false">J1738-H1738</f>
        <v>37.07</v>
      </c>
      <c r="L1738" s="14" t="n">
        <f aca="false">G1738-H1738</f>
        <v>-5.43</v>
      </c>
    </row>
    <row r="1739" customFormat="false" ht="15" hidden="false" customHeight="false" outlineLevel="0" collapsed="false">
      <c r="A1739" s="2" t="s">
        <v>126</v>
      </c>
      <c r="B1739" s="2" t="s">
        <v>126</v>
      </c>
      <c r="C1739" s="2" t="s">
        <v>49</v>
      </c>
      <c r="D1739" s="2" t="s">
        <v>16</v>
      </c>
      <c r="E1739" s="2" t="s">
        <v>76</v>
      </c>
      <c r="F1739" s="2" t="s">
        <v>1145</v>
      </c>
      <c r="G1739" s="14" t="n">
        <v>85</v>
      </c>
      <c r="H1739" s="14" t="n">
        <v>319</v>
      </c>
      <c r="I1739" s="14" t="n">
        <v>45</v>
      </c>
      <c r="J1739" s="22" t="n">
        <f aca="false">IF(E1739="Priority",'Cost model'!N396,'Cost model'!M396)</f>
        <v>245</v>
      </c>
      <c r="K1739" s="14" t="n">
        <f aca="false">J1739-H1739</f>
        <v>-74</v>
      </c>
      <c r="L1739" s="14" t="n">
        <f aca="false">G1739-H1739</f>
        <v>-234</v>
      </c>
    </row>
    <row r="1740" customFormat="false" ht="15" hidden="false" customHeight="false" outlineLevel="0" collapsed="false">
      <c r="A1740" s="2" t="s">
        <v>126</v>
      </c>
      <c r="B1740" s="2" t="s">
        <v>126</v>
      </c>
      <c r="C1740" s="2" t="s">
        <v>49</v>
      </c>
      <c r="D1740" s="2" t="s">
        <v>10</v>
      </c>
      <c r="E1740" s="2" t="s">
        <v>76</v>
      </c>
      <c r="F1740" s="2" t="s">
        <v>1145</v>
      </c>
      <c r="G1740" s="14" t="n">
        <v>12.5</v>
      </c>
      <c r="H1740" s="14" t="n">
        <v>21.14</v>
      </c>
      <c r="I1740" s="14" t="n">
        <v>12.5</v>
      </c>
      <c r="J1740" s="22" t="n">
        <f aca="false">IF(E1740="Priority",'Cost model'!N381,'Cost model'!M381)</f>
        <v>14.5</v>
      </c>
      <c r="K1740" s="14" t="n">
        <f aca="false">J1740-H1740</f>
        <v>-6.64</v>
      </c>
      <c r="L1740" s="14" t="n">
        <f aca="false">G1740-H1740</f>
        <v>-8.64</v>
      </c>
    </row>
    <row r="1741" customFormat="false" ht="15" hidden="false" customHeight="false" outlineLevel="0" collapsed="false">
      <c r="A1741" s="2" t="s">
        <v>385</v>
      </c>
      <c r="B1741" s="2" t="s">
        <v>146</v>
      </c>
      <c r="C1741" s="2" t="s">
        <v>50</v>
      </c>
      <c r="D1741" s="2" t="s">
        <v>10</v>
      </c>
      <c r="E1741" s="2" t="s">
        <v>85</v>
      </c>
      <c r="F1741" s="2" t="s">
        <v>1146</v>
      </c>
      <c r="G1741" s="14" t="n">
        <v>34.5</v>
      </c>
      <c r="H1741" s="14" t="n">
        <v>25.17</v>
      </c>
      <c r="I1741" s="14" t="n">
        <v>34.5</v>
      </c>
      <c r="J1741" s="22" t="n">
        <f aca="false">IF(E1741="Priority",'Cost model'!N274,'Cost model'!M274)</f>
        <v>40</v>
      </c>
      <c r="K1741" s="14" t="n">
        <f aca="false">J1741-H1741</f>
        <v>14.83</v>
      </c>
      <c r="L1741" s="14" t="n">
        <f aca="false">G1741-H1741</f>
        <v>9.33</v>
      </c>
    </row>
    <row r="1742" customFormat="false" ht="15" hidden="false" customHeight="false" outlineLevel="0" collapsed="false">
      <c r="A1742" s="2" t="s">
        <v>146</v>
      </c>
      <c r="B1742" s="2" t="s">
        <v>126</v>
      </c>
      <c r="C1742" s="2" t="s">
        <v>48</v>
      </c>
      <c r="D1742" s="2" t="s">
        <v>12</v>
      </c>
      <c r="E1742" s="2" t="s">
        <v>76</v>
      </c>
      <c r="F1742" s="2" t="s">
        <v>1146</v>
      </c>
      <c r="G1742" s="14" t="n">
        <v>19.5</v>
      </c>
      <c r="H1742" s="14" t="n">
        <v>65.38</v>
      </c>
      <c r="I1742" s="14" t="n">
        <v>19.5</v>
      </c>
      <c r="J1742" s="22" t="n">
        <f aca="false">IF(E1742="Priority",'Cost model'!N797,'Cost model'!M797)</f>
        <v>40</v>
      </c>
      <c r="K1742" s="14" t="n">
        <f aca="false">J1742-H1742</f>
        <v>-25.38</v>
      </c>
      <c r="L1742" s="14" t="n">
        <f aca="false">G1742-H1742</f>
        <v>-45.88</v>
      </c>
    </row>
    <row r="1743" customFormat="false" ht="15" hidden="false" customHeight="false" outlineLevel="0" collapsed="false">
      <c r="A1743" s="2" t="s">
        <v>184</v>
      </c>
      <c r="B1743" s="2" t="s">
        <v>184</v>
      </c>
      <c r="C1743" s="2" t="s">
        <v>48</v>
      </c>
      <c r="D1743" s="2" t="s">
        <v>10</v>
      </c>
      <c r="E1743" s="2" t="s">
        <v>85</v>
      </c>
      <c r="F1743" s="2" t="s">
        <v>1145</v>
      </c>
      <c r="G1743" s="14" t="n">
        <v>14.5</v>
      </c>
      <c r="H1743" s="14" t="n">
        <v>8.38</v>
      </c>
      <c r="I1743" s="14" t="n">
        <v>14.5</v>
      </c>
      <c r="J1743" s="22" t="n">
        <f aca="false">IF(E1743="Priority",'Cost model'!N200,'Cost model'!M200)</f>
        <v>12.5</v>
      </c>
      <c r="K1743" s="14" t="n">
        <f aca="false">J1743-H1743</f>
        <v>4.12</v>
      </c>
      <c r="L1743" s="14" t="n">
        <f aca="false">G1743-H1743</f>
        <v>6.12</v>
      </c>
    </row>
    <row r="1744" customFormat="false" ht="15" hidden="false" customHeight="false" outlineLevel="0" collapsed="false">
      <c r="A1744" s="2" t="s">
        <v>165</v>
      </c>
      <c r="B1744" s="2" t="s">
        <v>165</v>
      </c>
      <c r="C1744" s="2" t="s">
        <v>48</v>
      </c>
      <c r="D1744" s="2" t="s">
        <v>12</v>
      </c>
      <c r="E1744" s="2" t="s">
        <v>76</v>
      </c>
      <c r="F1744" s="2" t="s">
        <v>1145</v>
      </c>
      <c r="G1744" s="14" t="n">
        <v>9.5</v>
      </c>
      <c r="H1744" s="14" t="n">
        <v>16.05</v>
      </c>
      <c r="I1744" s="14" t="n">
        <v>9.5</v>
      </c>
      <c r="J1744" s="22" t="n">
        <f aca="false">IF(E1744="Priority",'Cost model'!N509,'Cost model'!M509)</f>
        <v>17.5</v>
      </c>
      <c r="K1744" s="14" t="n">
        <f aca="false">J1744-H1744</f>
        <v>1.45</v>
      </c>
      <c r="L1744" s="14" t="n">
        <f aca="false">G1744-H1744</f>
        <v>-6.55</v>
      </c>
    </row>
    <row r="1745" customFormat="false" ht="15" hidden="false" customHeight="false" outlineLevel="0" collapsed="false">
      <c r="A1745" s="2" t="s">
        <v>221</v>
      </c>
      <c r="B1745" s="2" t="s">
        <v>126</v>
      </c>
      <c r="C1745" s="2" t="s">
        <v>48</v>
      </c>
      <c r="D1745" s="2" t="s">
        <v>10</v>
      </c>
      <c r="E1745" s="2" t="s">
        <v>76</v>
      </c>
      <c r="F1745" s="2" t="s">
        <v>1146</v>
      </c>
      <c r="G1745" s="14" t="n">
        <v>14.5</v>
      </c>
      <c r="H1745" s="14" t="n">
        <v>14.83</v>
      </c>
      <c r="I1745" s="14" t="n">
        <v>19.5</v>
      </c>
      <c r="J1745" s="22" t="n">
        <f aca="false">IF(E1745="Priority",'Cost model'!N686,'Cost model'!M686)</f>
        <v>14.5</v>
      </c>
      <c r="K1745" s="14" t="n">
        <f aca="false">J1745-H1745</f>
        <v>-0.33</v>
      </c>
      <c r="L1745" s="14" t="n">
        <f aca="false">G1745-H1745</f>
        <v>-0.33</v>
      </c>
    </row>
    <row r="1746" customFormat="false" ht="15" hidden="false" customHeight="false" outlineLevel="0" collapsed="false">
      <c r="A1746" s="2" t="s">
        <v>240</v>
      </c>
      <c r="B1746" s="2" t="s">
        <v>240</v>
      </c>
      <c r="C1746" s="2" t="s">
        <v>48</v>
      </c>
      <c r="D1746" s="2" t="s">
        <v>12</v>
      </c>
      <c r="E1746" s="2" t="s">
        <v>85</v>
      </c>
      <c r="F1746" s="2" t="s">
        <v>1145</v>
      </c>
      <c r="G1746" s="14" t="n">
        <v>19.5</v>
      </c>
      <c r="H1746" s="14" t="n">
        <v>28.49</v>
      </c>
      <c r="I1746" s="14" t="n">
        <v>19.5</v>
      </c>
      <c r="J1746" s="22" t="n">
        <f aca="false">IF(E1746="Priority",'Cost model'!N887,'Cost model'!M887)</f>
        <v>27.5</v>
      </c>
      <c r="K1746" s="14" t="n">
        <f aca="false">J1746-H1746</f>
        <v>-0.989999999999998</v>
      </c>
      <c r="L1746" s="14" t="n">
        <f aca="false">G1746-H1746</f>
        <v>-8.99</v>
      </c>
    </row>
    <row r="1747" customFormat="false" ht="15" hidden="false" customHeight="false" outlineLevel="0" collapsed="false">
      <c r="A1747" s="2" t="s">
        <v>184</v>
      </c>
      <c r="B1747" s="2" t="s">
        <v>146</v>
      </c>
      <c r="C1747" s="2" t="s">
        <v>50</v>
      </c>
      <c r="D1747" s="2" t="s">
        <v>12</v>
      </c>
      <c r="E1747" s="2" t="s">
        <v>85</v>
      </c>
      <c r="F1747" s="2" t="s">
        <v>1146</v>
      </c>
      <c r="G1747" s="14" t="n">
        <v>29.5</v>
      </c>
      <c r="H1747" s="14" t="n">
        <v>37.58</v>
      </c>
      <c r="I1747" s="14" t="n">
        <v>29.5</v>
      </c>
      <c r="J1747" s="22" t="n">
        <f aca="false">IF(E1747="Priority",'Cost model'!N151,'Cost model'!M151)</f>
        <v>70</v>
      </c>
      <c r="K1747" s="14" t="n">
        <f aca="false">J1747-H1747</f>
        <v>32.42</v>
      </c>
      <c r="L1747" s="14" t="n">
        <f aca="false">G1747-H1747</f>
        <v>-8.08</v>
      </c>
    </row>
    <row r="1748" customFormat="false" ht="15" hidden="false" customHeight="false" outlineLevel="0" collapsed="false">
      <c r="A1748" s="2" t="s">
        <v>184</v>
      </c>
      <c r="B1748" s="2" t="s">
        <v>126</v>
      </c>
      <c r="C1748" s="2" t="s">
        <v>48</v>
      </c>
      <c r="D1748" s="2" t="s">
        <v>12</v>
      </c>
      <c r="E1748" s="2" t="s">
        <v>85</v>
      </c>
      <c r="F1748" s="2" t="s">
        <v>1146</v>
      </c>
      <c r="G1748" s="14" t="n">
        <v>19.5</v>
      </c>
      <c r="H1748" s="14" t="n">
        <v>45.03</v>
      </c>
      <c r="I1748" s="14" t="n">
        <v>19.5</v>
      </c>
      <c r="J1748" s="22" t="n">
        <f aca="false">IF(E1748="Priority",'Cost model'!N131,'Cost model'!M131)</f>
        <v>55</v>
      </c>
      <c r="K1748" s="14" t="n">
        <f aca="false">J1748-H1748</f>
        <v>9.97</v>
      </c>
      <c r="L1748" s="14" t="n">
        <f aca="false">G1748-H1748</f>
        <v>-25.53</v>
      </c>
    </row>
    <row r="1749" customFormat="false" ht="15" hidden="false" customHeight="false" outlineLevel="0" collapsed="false">
      <c r="A1749" s="2" t="s">
        <v>126</v>
      </c>
      <c r="B1749" s="2" t="s">
        <v>184</v>
      </c>
      <c r="C1749" s="2" t="s">
        <v>49</v>
      </c>
      <c r="D1749" s="2" t="s">
        <v>10</v>
      </c>
      <c r="E1749" s="2" t="s">
        <v>76</v>
      </c>
      <c r="F1749" s="2" t="s">
        <v>1146</v>
      </c>
      <c r="G1749" s="14" t="n">
        <v>12.5</v>
      </c>
      <c r="H1749" s="14" t="n">
        <v>11.94</v>
      </c>
      <c r="I1749" s="14" t="n">
        <v>14.5</v>
      </c>
      <c r="J1749" s="22" t="n">
        <f aca="false">IF(E1749="Priority",'Cost model'!N435,'Cost model'!M435)</f>
        <v>15.5</v>
      </c>
      <c r="K1749" s="14" t="n">
        <f aca="false">J1749-H1749</f>
        <v>3.56</v>
      </c>
      <c r="L1749" s="14" t="n">
        <f aca="false">G1749-H1749</f>
        <v>0.560000000000001</v>
      </c>
    </row>
    <row r="1750" customFormat="false" ht="15" hidden="false" customHeight="false" outlineLevel="0" collapsed="false">
      <c r="A1750" s="2" t="s">
        <v>240</v>
      </c>
      <c r="B1750" s="2" t="s">
        <v>240</v>
      </c>
      <c r="C1750" s="2" t="s">
        <v>48</v>
      </c>
      <c r="D1750" s="2" t="s">
        <v>12</v>
      </c>
      <c r="E1750" s="2" t="s">
        <v>76</v>
      </c>
      <c r="F1750" s="2" t="s">
        <v>1145</v>
      </c>
      <c r="G1750" s="14" t="n">
        <v>9.5</v>
      </c>
      <c r="H1750" s="14" t="n">
        <v>57.75</v>
      </c>
      <c r="I1750" s="14" t="n">
        <v>9.5</v>
      </c>
      <c r="J1750" s="22" t="n">
        <f aca="false">IF(E1750="Priority",'Cost model'!N887,'Cost model'!M887)</f>
        <v>21.5</v>
      </c>
      <c r="K1750" s="14" t="n">
        <f aca="false">J1750-H1750</f>
        <v>-36.25</v>
      </c>
      <c r="L1750" s="14" t="n">
        <f aca="false">G1750-H1750</f>
        <v>-48.25</v>
      </c>
    </row>
    <row r="1751" customFormat="false" ht="15" hidden="false" customHeight="false" outlineLevel="0" collapsed="false">
      <c r="A1751" s="2" t="s">
        <v>240</v>
      </c>
      <c r="B1751" s="2" t="s">
        <v>240</v>
      </c>
      <c r="C1751" s="2" t="s">
        <v>48</v>
      </c>
      <c r="D1751" s="2" t="s">
        <v>10</v>
      </c>
      <c r="E1751" s="2" t="s">
        <v>76</v>
      </c>
      <c r="F1751" s="2" t="s">
        <v>1145</v>
      </c>
      <c r="G1751" s="14" t="n">
        <v>9.5</v>
      </c>
      <c r="H1751" s="14" t="n">
        <v>7.12</v>
      </c>
      <c r="I1751" s="14" t="n">
        <v>9.5</v>
      </c>
      <c r="J1751" s="22" t="n">
        <f aca="false">IF(E1751="Priority",'Cost model'!N884,'Cost model'!M884)</f>
        <v>7.5</v>
      </c>
      <c r="K1751" s="14" t="n">
        <f aca="false">J1751-H1751</f>
        <v>0.38</v>
      </c>
      <c r="L1751" s="14" t="n">
        <f aca="false">G1751-H1751</f>
        <v>2.38</v>
      </c>
    </row>
    <row r="1752" customFormat="false" ht="15" hidden="false" customHeight="false" outlineLevel="0" collapsed="false">
      <c r="A1752" s="2" t="s">
        <v>126</v>
      </c>
      <c r="B1752" s="2" t="s">
        <v>184</v>
      </c>
      <c r="C1752" s="2" t="s">
        <v>48</v>
      </c>
      <c r="D1752" s="2" t="s">
        <v>10</v>
      </c>
      <c r="E1752" s="2" t="s">
        <v>76</v>
      </c>
      <c r="F1752" s="2" t="s">
        <v>1146</v>
      </c>
      <c r="G1752" s="14" t="n">
        <v>14.5</v>
      </c>
      <c r="H1752" s="14" t="n">
        <v>23.82</v>
      </c>
      <c r="I1752" s="14" t="n">
        <v>14.5</v>
      </c>
      <c r="J1752" s="22" t="n">
        <f aca="false">IF(E1752="Priority",'Cost model'!N434,'Cost model'!M434)</f>
        <v>13.5</v>
      </c>
      <c r="K1752" s="14" t="n">
        <f aca="false">J1752-H1752</f>
        <v>-10.32</v>
      </c>
      <c r="L1752" s="14" t="n">
        <f aca="false">G1752-H1752</f>
        <v>-9.32</v>
      </c>
    </row>
    <row r="1753" customFormat="false" ht="15" hidden="false" customHeight="false" outlineLevel="0" collapsed="false">
      <c r="A1753" s="2" t="s">
        <v>146</v>
      </c>
      <c r="B1753" s="2" t="s">
        <v>146</v>
      </c>
      <c r="C1753" s="2" t="s">
        <v>49</v>
      </c>
      <c r="D1753" s="2" t="s">
        <v>12</v>
      </c>
      <c r="E1753" s="2" t="s">
        <v>76</v>
      </c>
      <c r="F1753" s="2" t="s">
        <v>1145</v>
      </c>
      <c r="G1753" s="14" t="n">
        <v>12.5</v>
      </c>
      <c r="H1753" s="14" t="n">
        <v>8.11</v>
      </c>
      <c r="I1753" s="14" t="n">
        <v>12.5</v>
      </c>
      <c r="J1753" s="22" t="n">
        <f aca="false">IF(E1753="Priority",'Cost model'!N762,'Cost model'!M762)</f>
        <v>45</v>
      </c>
      <c r="K1753" s="14" t="n">
        <f aca="false">J1753-H1753</f>
        <v>36.89</v>
      </c>
      <c r="L1753" s="14" t="n">
        <f aca="false">G1753-H1753</f>
        <v>4.39</v>
      </c>
    </row>
    <row r="1754" customFormat="false" ht="15" hidden="false" customHeight="false" outlineLevel="0" collapsed="false">
      <c r="A1754" s="2" t="s">
        <v>184</v>
      </c>
      <c r="B1754" s="2" t="s">
        <v>184</v>
      </c>
      <c r="C1754" s="2" t="s">
        <v>50</v>
      </c>
      <c r="D1754" s="2" t="s">
        <v>10</v>
      </c>
      <c r="E1754" s="2" t="s">
        <v>76</v>
      </c>
      <c r="F1754" s="2" t="s">
        <v>1145</v>
      </c>
      <c r="G1754" s="14" t="n">
        <v>17.5</v>
      </c>
      <c r="H1754" s="14" t="n">
        <v>46.62</v>
      </c>
      <c r="I1754" s="14" t="n">
        <v>17.5</v>
      </c>
      <c r="J1754" s="22" t="n">
        <f aca="false">IF(E1754="Priority",'Cost model'!N202,'Cost model'!M202)</f>
        <v>17.5</v>
      </c>
      <c r="K1754" s="14" t="n">
        <f aca="false">J1754-H1754</f>
        <v>-29.12</v>
      </c>
      <c r="L1754" s="14" t="n">
        <f aca="false">G1754-H1754</f>
        <v>-29.12</v>
      </c>
    </row>
    <row r="1755" customFormat="false" ht="15" hidden="false" customHeight="false" outlineLevel="0" collapsed="false">
      <c r="A1755" s="2" t="s">
        <v>165</v>
      </c>
      <c r="B1755" s="2" t="s">
        <v>165</v>
      </c>
      <c r="C1755" s="2" t="s">
        <v>48</v>
      </c>
      <c r="D1755" s="2" t="s">
        <v>12</v>
      </c>
      <c r="E1755" s="2" t="s">
        <v>76</v>
      </c>
      <c r="F1755" s="2" t="s">
        <v>1145</v>
      </c>
      <c r="G1755" s="14" t="n">
        <v>9.5</v>
      </c>
      <c r="H1755" s="14" t="n">
        <v>17.33</v>
      </c>
      <c r="I1755" s="14" t="n">
        <v>9.5</v>
      </c>
      <c r="J1755" s="22" t="n">
        <f aca="false">IF(E1755="Priority",'Cost model'!N509,'Cost model'!M509)</f>
        <v>17.5</v>
      </c>
      <c r="K1755" s="14" t="n">
        <f aca="false">J1755-H1755</f>
        <v>0.170000000000002</v>
      </c>
      <c r="L1755" s="14" t="n">
        <f aca="false">G1755-H1755</f>
        <v>-7.83</v>
      </c>
    </row>
    <row r="1756" customFormat="false" ht="15" hidden="false" customHeight="false" outlineLevel="0" collapsed="false">
      <c r="A1756" s="2" t="s">
        <v>240</v>
      </c>
      <c r="B1756" s="2" t="s">
        <v>221</v>
      </c>
      <c r="C1756" s="2" t="s">
        <v>49</v>
      </c>
      <c r="D1756" s="2" t="s">
        <v>10</v>
      </c>
      <c r="E1756" s="2" t="s">
        <v>76</v>
      </c>
      <c r="F1756" s="2" t="s">
        <v>1146</v>
      </c>
      <c r="G1756" s="14" t="n">
        <v>12.5</v>
      </c>
      <c r="H1756" s="14" t="n">
        <v>10.16</v>
      </c>
      <c r="I1756" s="14"/>
      <c r="J1756" s="22" t="n">
        <f aca="false">IF(E1756="Priority",'Cost model'!N993,'Cost model'!M993)</f>
        <v>15.5</v>
      </c>
      <c r="K1756" s="14" t="n">
        <f aca="false">J1756-H1756</f>
        <v>5.34</v>
      </c>
      <c r="L1756" s="14" t="n">
        <f aca="false">G1756-H1756</f>
        <v>2.34</v>
      </c>
    </row>
    <row r="1757" customFormat="false" ht="15" hidden="false" customHeight="false" outlineLevel="0" collapsed="false">
      <c r="A1757" s="2" t="s">
        <v>146</v>
      </c>
      <c r="B1757" s="2" t="s">
        <v>146</v>
      </c>
      <c r="C1757" s="2" t="s">
        <v>49</v>
      </c>
      <c r="D1757" s="2" t="s">
        <v>12</v>
      </c>
      <c r="E1757" s="2" t="s">
        <v>76</v>
      </c>
      <c r="F1757" s="2" t="s">
        <v>1145</v>
      </c>
      <c r="G1757" s="14" t="n">
        <v>12.5</v>
      </c>
      <c r="H1757" s="14" t="n">
        <v>43.25</v>
      </c>
      <c r="I1757" s="14" t="n">
        <v>12.5</v>
      </c>
      <c r="J1757" s="22" t="n">
        <f aca="false">IF(E1757="Priority",'Cost model'!N762,'Cost model'!M762)</f>
        <v>45</v>
      </c>
      <c r="K1757" s="14" t="n">
        <f aca="false">J1757-H1757</f>
        <v>1.75</v>
      </c>
      <c r="L1757" s="14" t="n">
        <f aca="false">G1757-H1757</f>
        <v>-30.75</v>
      </c>
    </row>
    <row r="1758" customFormat="false" ht="15" hidden="false" customHeight="false" outlineLevel="0" collapsed="false">
      <c r="A1758" s="2" t="s">
        <v>126</v>
      </c>
      <c r="B1758" s="2" t="s">
        <v>184</v>
      </c>
      <c r="C1758" s="2" t="s">
        <v>49</v>
      </c>
      <c r="D1758" s="2" t="s">
        <v>12</v>
      </c>
      <c r="E1758" s="2" t="s">
        <v>76</v>
      </c>
      <c r="F1758" s="2" t="s">
        <v>1146</v>
      </c>
      <c r="G1758" s="14" t="n">
        <v>12.5</v>
      </c>
      <c r="H1758" s="14" t="n">
        <v>45.61</v>
      </c>
      <c r="I1758" s="14" t="n">
        <v>19.5</v>
      </c>
      <c r="J1758" s="22" t="n">
        <f aca="false">IF(E1758="Priority",'Cost model'!N438,'Cost model'!M438)</f>
        <v>55</v>
      </c>
      <c r="K1758" s="14" t="n">
        <f aca="false">J1758-H1758</f>
        <v>9.39</v>
      </c>
      <c r="L1758" s="14" t="n">
        <f aca="false">G1758-H1758</f>
        <v>-33.11</v>
      </c>
    </row>
    <row r="1759" customFormat="false" ht="15" hidden="false" customHeight="false" outlineLevel="0" collapsed="false">
      <c r="A1759" s="2" t="s">
        <v>184</v>
      </c>
      <c r="B1759" s="2" t="s">
        <v>184</v>
      </c>
      <c r="C1759" s="2" t="s">
        <v>48</v>
      </c>
      <c r="D1759" s="2" t="s">
        <v>13</v>
      </c>
      <c r="E1759" s="2" t="s">
        <v>76</v>
      </c>
      <c r="F1759" s="2" t="s">
        <v>1145</v>
      </c>
      <c r="G1759" s="14" t="n">
        <v>19</v>
      </c>
      <c r="H1759" s="14" t="n">
        <v>12.58</v>
      </c>
      <c r="I1759" s="14" t="n">
        <v>19</v>
      </c>
      <c r="J1759" s="22" t="n">
        <f aca="false">IF(E1759="Priority",'Cost model'!N206,'Cost model'!M206)</f>
        <v>55</v>
      </c>
      <c r="K1759" s="14" t="n">
        <f aca="false">J1759-H1759</f>
        <v>42.42</v>
      </c>
      <c r="L1759" s="14" t="n">
        <f aca="false">G1759-H1759</f>
        <v>6.42</v>
      </c>
    </row>
    <row r="1760" customFormat="false" ht="15" hidden="false" customHeight="false" outlineLevel="0" collapsed="false">
      <c r="A1760" s="2" t="s">
        <v>126</v>
      </c>
      <c r="B1760" s="2" t="s">
        <v>126</v>
      </c>
      <c r="C1760" s="2" t="s">
        <v>49</v>
      </c>
      <c r="D1760" s="2" t="s">
        <v>10</v>
      </c>
      <c r="E1760" s="2" t="s">
        <v>76</v>
      </c>
      <c r="F1760" s="2" t="s">
        <v>1145</v>
      </c>
      <c r="G1760" s="14" t="n">
        <v>12.5</v>
      </c>
      <c r="H1760" s="14" t="n">
        <v>14.39</v>
      </c>
      <c r="I1760" s="14" t="n">
        <v>12.5</v>
      </c>
      <c r="J1760" s="22" t="n">
        <f aca="false">IF(E1760="Priority",'Cost model'!N381,'Cost model'!M381)</f>
        <v>14.5</v>
      </c>
      <c r="K1760" s="14" t="n">
        <f aca="false">J1760-H1760</f>
        <v>0.109999999999999</v>
      </c>
      <c r="L1760" s="14" t="n">
        <f aca="false">G1760-H1760</f>
        <v>-1.89</v>
      </c>
    </row>
    <row r="1761" customFormat="false" ht="15" hidden="false" customHeight="false" outlineLevel="0" collapsed="false">
      <c r="A1761" s="2" t="s">
        <v>184</v>
      </c>
      <c r="B1761" s="2" t="s">
        <v>184</v>
      </c>
      <c r="C1761" s="2" t="s">
        <v>50</v>
      </c>
      <c r="D1761" s="2" t="s">
        <v>12</v>
      </c>
      <c r="E1761" s="2" t="s">
        <v>76</v>
      </c>
      <c r="F1761" s="2" t="s">
        <v>1145</v>
      </c>
      <c r="G1761" s="14" t="n">
        <v>19.5</v>
      </c>
      <c r="H1761" s="14" t="n">
        <v>78.89</v>
      </c>
      <c r="I1761" s="14" t="n">
        <v>19.5</v>
      </c>
      <c r="J1761" s="22" t="n">
        <f aca="false">IF(E1761="Priority",'Cost model'!N205,'Cost model'!M205)</f>
        <v>50</v>
      </c>
      <c r="K1761" s="14" t="n">
        <f aca="false">J1761-H1761</f>
        <v>-28.89</v>
      </c>
      <c r="L1761" s="14" t="n">
        <f aca="false">G1761-H1761</f>
        <v>-59.39</v>
      </c>
    </row>
    <row r="1762" customFormat="false" ht="15" hidden="false" customHeight="false" outlineLevel="0" collapsed="false">
      <c r="A1762" s="2" t="s">
        <v>184</v>
      </c>
      <c r="B1762" s="2" t="s">
        <v>184</v>
      </c>
      <c r="C1762" s="2" t="s">
        <v>48</v>
      </c>
      <c r="D1762" s="2" t="s">
        <v>12</v>
      </c>
      <c r="E1762" s="2" t="s">
        <v>85</v>
      </c>
      <c r="F1762" s="2" t="s">
        <v>1145</v>
      </c>
      <c r="G1762" s="14" t="n">
        <v>19.5</v>
      </c>
      <c r="H1762" s="14" t="n">
        <v>28.74</v>
      </c>
      <c r="I1762" s="14" t="n">
        <v>19.5</v>
      </c>
      <c r="J1762" s="22" t="n">
        <f aca="false">IF(E1762="Priority",'Cost model'!N203,'Cost model'!M203)</f>
        <v>35</v>
      </c>
      <c r="K1762" s="14" t="n">
        <f aca="false">J1762-H1762</f>
        <v>6.26</v>
      </c>
      <c r="L1762" s="14" t="n">
        <f aca="false">G1762-H1762</f>
        <v>-9.24</v>
      </c>
    </row>
    <row r="1763" customFormat="false" ht="15" hidden="false" customHeight="false" outlineLevel="0" collapsed="false">
      <c r="A1763" s="2" t="s">
        <v>126</v>
      </c>
      <c r="B1763" s="2" t="s">
        <v>126</v>
      </c>
      <c r="C1763" s="2" t="s">
        <v>48</v>
      </c>
      <c r="D1763" s="2" t="s">
        <v>10</v>
      </c>
      <c r="E1763" s="2" t="s">
        <v>76</v>
      </c>
      <c r="F1763" s="2" t="s">
        <v>1145</v>
      </c>
      <c r="G1763" s="14" t="n">
        <v>9.5</v>
      </c>
      <c r="H1763" s="14" t="n">
        <v>7.46</v>
      </c>
      <c r="I1763" s="14" t="n">
        <v>9.5</v>
      </c>
      <c r="J1763" s="22" t="n">
        <f aca="false">IF(E1763="Priority",'Cost model'!N380,'Cost model'!M380)</f>
        <v>8.5</v>
      </c>
      <c r="K1763" s="14" t="n">
        <f aca="false">J1763-H1763</f>
        <v>1.04</v>
      </c>
      <c r="L1763" s="14" t="n">
        <f aca="false">G1763-H1763</f>
        <v>2.04</v>
      </c>
    </row>
    <row r="1764" customFormat="false" ht="15" hidden="false" customHeight="false" outlineLevel="0" collapsed="false">
      <c r="A1764" s="2" t="s">
        <v>146</v>
      </c>
      <c r="B1764" s="2" t="s">
        <v>146</v>
      </c>
      <c r="C1764" s="2" t="s">
        <v>49</v>
      </c>
      <c r="D1764" s="2" t="s">
        <v>12</v>
      </c>
      <c r="E1764" s="2" t="s">
        <v>76</v>
      </c>
      <c r="F1764" s="2" t="s">
        <v>1145</v>
      </c>
      <c r="G1764" s="14" t="n">
        <v>12.5</v>
      </c>
      <c r="H1764" s="14" t="n">
        <v>9.94</v>
      </c>
      <c r="I1764" s="14" t="n">
        <v>12.5</v>
      </c>
      <c r="J1764" s="22" t="n">
        <f aca="false">IF(E1764="Priority",'Cost model'!N762,'Cost model'!M762)</f>
        <v>45</v>
      </c>
      <c r="K1764" s="14" t="n">
        <f aca="false">J1764-H1764</f>
        <v>35.06</v>
      </c>
      <c r="L1764" s="14" t="n">
        <f aca="false">G1764-H1764</f>
        <v>2.56</v>
      </c>
    </row>
    <row r="1765" customFormat="false" ht="15" hidden="false" customHeight="false" outlineLevel="0" collapsed="false">
      <c r="A1765" s="2" t="s">
        <v>126</v>
      </c>
      <c r="B1765" s="2" t="s">
        <v>126</v>
      </c>
      <c r="C1765" s="2" t="s">
        <v>48</v>
      </c>
      <c r="D1765" s="2" t="s">
        <v>12</v>
      </c>
      <c r="E1765" s="2" t="s">
        <v>76</v>
      </c>
      <c r="F1765" s="2" t="s">
        <v>1145</v>
      </c>
      <c r="G1765" s="14" t="n">
        <v>9.5</v>
      </c>
      <c r="H1765" s="14" t="n">
        <v>28.06</v>
      </c>
      <c r="I1765" s="14" t="n">
        <v>9.5</v>
      </c>
      <c r="J1765" s="22" t="n">
        <f aca="false">IF(E1765="Priority",'Cost model'!N383,'Cost model'!M383)</f>
        <v>27.5</v>
      </c>
      <c r="K1765" s="14" t="n">
        <f aca="false">J1765-H1765</f>
        <v>-0.559999999999999</v>
      </c>
      <c r="L1765" s="14" t="n">
        <f aca="false">G1765-H1765</f>
        <v>-18.56</v>
      </c>
    </row>
    <row r="1766" customFormat="false" ht="15" hidden="false" customHeight="false" outlineLevel="0" collapsed="false">
      <c r="A1766" s="2" t="s">
        <v>126</v>
      </c>
      <c r="B1766" s="2" t="s">
        <v>126</v>
      </c>
      <c r="C1766" s="2" t="s">
        <v>48</v>
      </c>
      <c r="D1766" s="2" t="s">
        <v>12</v>
      </c>
      <c r="E1766" s="2" t="s">
        <v>76</v>
      </c>
      <c r="F1766" s="2" t="s">
        <v>1145</v>
      </c>
      <c r="G1766" s="14" t="n">
        <v>9.5</v>
      </c>
      <c r="H1766" s="14" t="n">
        <v>19.13</v>
      </c>
      <c r="I1766" s="14" t="n">
        <v>9.5</v>
      </c>
      <c r="J1766" s="22" t="n">
        <f aca="false">IF(E1766="Priority",'Cost model'!N383,'Cost model'!M383)</f>
        <v>27.5</v>
      </c>
      <c r="K1766" s="14" t="n">
        <f aca="false">J1766-H1766</f>
        <v>8.37</v>
      </c>
      <c r="L1766" s="14" t="n">
        <f aca="false">G1766-H1766</f>
        <v>-9.63</v>
      </c>
    </row>
    <row r="1767" customFormat="false" ht="15" hidden="false" customHeight="false" outlineLevel="0" collapsed="false">
      <c r="A1767" s="2" t="s">
        <v>385</v>
      </c>
      <c r="B1767" s="2" t="s">
        <v>126</v>
      </c>
      <c r="C1767" s="2" t="s">
        <v>50</v>
      </c>
      <c r="D1767" s="2" t="s">
        <v>12</v>
      </c>
      <c r="E1767" s="2" t="s">
        <v>76</v>
      </c>
      <c r="F1767" s="2" t="s">
        <v>1146</v>
      </c>
      <c r="G1767" s="14" t="n">
        <v>24.5</v>
      </c>
      <c r="H1767" s="14" t="n">
        <v>97.78</v>
      </c>
      <c r="I1767" s="14" t="n">
        <v>45</v>
      </c>
      <c r="J1767" s="22" t="n">
        <f aca="false">IF(E1767="Priority",'Cost model'!N313,'Cost model'!M313)</f>
        <v>70</v>
      </c>
      <c r="K1767" s="14" t="n">
        <f aca="false">J1767-H1767</f>
        <v>-27.78</v>
      </c>
      <c r="L1767" s="14" t="n">
        <f aca="false">G1767-H1767</f>
        <v>-73.28</v>
      </c>
    </row>
    <row r="1768" customFormat="false" ht="15" hidden="false" customHeight="false" outlineLevel="0" collapsed="false">
      <c r="A1768" s="2" t="s">
        <v>240</v>
      </c>
      <c r="B1768" s="2" t="s">
        <v>240</v>
      </c>
      <c r="C1768" s="2" t="s">
        <v>48</v>
      </c>
      <c r="D1768" s="2" t="s">
        <v>12</v>
      </c>
      <c r="E1768" s="2" t="s">
        <v>76</v>
      </c>
      <c r="F1768" s="2" t="s">
        <v>1145</v>
      </c>
      <c r="G1768" s="14" t="n">
        <v>9.5</v>
      </c>
      <c r="H1768" s="14" t="n">
        <v>27.59</v>
      </c>
      <c r="I1768" s="14" t="n">
        <v>9.5</v>
      </c>
      <c r="J1768" s="22" t="n">
        <f aca="false">IF(E1768="Priority",'Cost model'!N887,'Cost model'!M887)</f>
        <v>21.5</v>
      </c>
      <c r="K1768" s="14" t="n">
        <f aca="false">J1768-H1768</f>
        <v>-6.09</v>
      </c>
      <c r="L1768" s="14" t="n">
        <f aca="false">G1768-H1768</f>
        <v>-18.09</v>
      </c>
    </row>
    <row r="1769" customFormat="false" ht="15" hidden="false" customHeight="false" outlineLevel="0" collapsed="false">
      <c r="A1769" s="2" t="s">
        <v>184</v>
      </c>
      <c r="B1769" s="2" t="s">
        <v>184</v>
      </c>
      <c r="C1769" s="2" t="s">
        <v>48</v>
      </c>
      <c r="D1769" s="2" t="s">
        <v>10</v>
      </c>
      <c r="E1769" s="2" t="s">
        <v>76</v>
      </c>
      <c r="F1769" s="2" t="s">
        <v>1145</v>
      </c>
      <c r="G1769" s="14" t="n">
        <v>9.5</v>
      </c>
      <c r="H1769" s="14" t="n">
        <v>7.72</v>
      </c>
      <c r="I1769" s="14" t="n">
        <v>9.5</v>
      </c>
      <c r="J1769" s="22" t="n">
        <f aca="false">IF(E1769="Priority",'Cost model'!N200,'Cost model'!M200)</f>
        <v>7.5</v>
      </c>
      <c r="K1769" s="14" t="n">
        <f aca="false">J1769-H1769</f>
        <v>-0.22</v>
      </c>
      <c r="L1769" s="14" t="n">
        <f aca="false">G1769-H1769</f>
        <v>1.78</v>
      </c>
    </row>
    <row r="1770" customFormat="false" ht="15" hidden="false" customHeight="false" outlineLevel="0" collapsed="false">
      <c r="A1770" s="2" t="s">
        <v>184</v>
      </c>
      <c r="B1770" s="2" t="s">
        <v>184</v>
      </c>
      <c r="C1770" s="2" t="s">
        <v>50</v>
      </c>
      <c r="D1770" s="2" t="s">
        <v>12</v>
      </c>
      <c r="E1770" s="2" t="s">
        <v>76</v>
      </c>
      <c r="F1770" s="2" t="s">
        <v>1145</v>
      </c>
      <c r="G1770" s="14" t="n">
        <v>19.5</v>
      </c>
      <c r="H1770" s="14" t="n">
        <v>49.24</v>
      </c>
      <c r="I1770" s="14" t="n">
        <v>19.5</v>
      </c>
      <c r="J1770" s="22" t="n">
        <f aca="false">IF(E1770="Priority",'Cost model'!N205,'Cost model'!M205)</f>
        <v>50</v>
      </c>
      <c r="K1770" s="14" t="n">
        <f aca="false">J1770-H1770</f>
        <v>0.759999999999998</v>
      </c>
      <c r="L1770" s="14" t="n">
        <f aca="false">G1770-H1770</f>
        <v>-29.74</v>
      </c>
    </row>
    <row r="1771" customFormat="false" ht="15" hidden="false" customHeight="false" outlineLevel="0" collapsed="false">
      <c r="A1771" s="2" t="s">
        <v>240</v>
      </c>
      <c r="B1771" s="2" t="s">
        <v>240</v>
      </c>
      <c r="C1771" s="2" t="s">
        <v>48</v>
      </c>
      <c r="D1771" s="2" t="s">
        <v>12</v>
      </c>
      <c r="E1771" s="2" t="s">
        <v>76</v>
      </c>
      <c r="F1771" s="2" t="s">
        <v>1145</v>
      </c>
      <c r="G1771" s="14" t="n">
        <v>9.5</v>
      </c>
      <c r="H1771" s="14" t="n">
        <v>30.78</v>
      </c>
      <c r="I1771" s="14" t="n">
        <v>9.5</v>
      </c>
      <c r="J1771" s="22" t="n">
        <f aca="false">IF(E1771="Priority",'Cost model'!N887,'Cost model'!M887)</f>
        <v>21.5</v>
      </c>
      <c r="K1771" s="14" t="n">
        <f aca="false">J1771-H1771</f>
        <v>-9.28</v>
      </c>
      <c r="L1771" s="14" t="n">
        <f aca="false">G1771-H1771</f>
        <v>-21.28</v>
      </c>
    </row>
    <row r="1772" customFormat="false" ht="15" hidden="false" customHeight="false" outlineLevel="0" collapsed="false">
      <c r="A1772" s="2" t="s">
        <v>146</v>
      </c>
      <c r="B1772" s="2" t="s">
        <v>146</v>
      </c>
      <c r="C1772" s="2" t="s">
        <v>50</v>
      </c>
      <c r="D1772" s="2" t="s">
        <v>12</v>
      </c>
      <c r="E1772" s="2" t="s">
        <v>85</v>
      </c>
      <c r="F1772" s="2" t="s">
        <v>1145</v>
      </c>
      <c r="G1772" s="14" t="n">
        <v>29.5</v>
      </c>
      <c r="H1772" s="14" t="n">
        <v>26.58</v>
      </c>
      <c r="I1772" s="14" t="n">
        <v>29.5</v>
      </c>
      <c r="J1772" s="22" t="n">
        <f aca="false">IF(E1772="Priority",'Cost model'!N763,'Cost model'!M763)</f>
        <v>65</v>
      </c>
      <c r="K1772" s="14" t="n">
        <f aca="false">J1772-H1772</f>
        <v>38.42</v>
      </c>
      <c r="L1772" s="14" t="n">
        <f aca="false">G1772-H1772</f>
        <v>2.92</v>
      </c>
    </row>
    <row r="1773" customFormat="false" ht="15" hidden="false" customHeight="false" outlineLevel="0" collapsed="false">
      <c r="A1773" s="2" t="s">
        <v>184</v>
      </c>
      <c r="B1773" s="2" t="s">
        <v>126</v>
      </c>
      <c r="C1773" s="2" t="s">
        <v>48</v>
      </c>
      <c r="D1773" s="2" t="s">
        <v>12</v>
      </c>
      <c r="E1773" s="2" t="s">
        <v>76</v>
      </c>
      <c r="F1773" s="2" t="s">
        <v>1146</v>
      </c>
      <c r="G1773" s="14" t="n">
        <v>9.5</v>
      </c>
      <c r="H1773" s="14" t="n">
        <v>10.76</v>
      </c>
      <c r="I1773" s="14" t="n">
        <v>9.5</v>
      </c>
      <c r="J1773" s="22" t="n">
        <f aca="false">IF(E1773="Priority",'Cost model'!N131,'Cost model'!M131)</f>
        <v>40</v>
      </c>
      <c r="K1773" s="14" t="n">
        <f aca="false">J1773-H1773</f>
        <v>29.24</v>
      </c>
      <c r="L1773" s="14" t="n">
        <f aca="false">G1773-H1773</f>
        <v>-1.26</v>
      </c>
    </row>
    <row r="1774" customFormat="false" ht="15" hidden="false" customHeight="false" outlineLevel="0" collapsed="false">
      <c r="A1774" s="2" t="s">
        <v>240</v>
      </c>
      <c r="B1774" s="2" t="s">
        <v>240</v>
      </c>
      <c r="C1774" s="2" t="s">
        <v>50</v>
      </c>
      <c r="D1774" s="2" t="s">
        <v>10</v>
      </c>
      <c r="E1774" s="2" t="s">
        <v>76</v>
      </c>
      <c r="F1774" s="2" t="s">
        <v>1145</v>
      </c>
      <c r="G1774" s="14" t="n">
        <v>17.5</v>
      </c>
      <c r="H1774" s="14" t="n">
        <v>17.31</v>
      </c>
      <c r="I1774" s="14" t="n">
        <v>17.5</v>
      </c>
      <c r="J1774" s="22" t="n">
        <f aca="false">IF(E1774="Priority",'Cost model'!N886,'Cost model'!M886)</f>
        <v>17.5</v>
      </c>
      <c r="K1774" s="14" t="n">
        <f aca="false">J1774-H1774</f>
        <v>0.190000000000001</v>
      </c>
      <c r="L1774" s="14" t="n">
        <f aca="false">G1774-H1774</f>
        <v>0.190000000000001</v>
      </c>
    </row>
    <row r="1775" customFormat="false" ht="15" hidden="false" customHeight="false" outlineLevel="0" collapsed="false">
      <c r="A1775" s="2" t="s">
        <v>126</v>
      </c>
      <c r="B1775" s="2" t="s">
        <v>126</v>
      </c>
      <c r="C1775" s="2" t="s">
        <v>48</v>
      </c>
      <c r="D1775" s="2" t="s">
        <v>10</v>
      </c>
      <c r="E1775" s="2" t="s">
        <v>76</v>
      </c>
      <c r="F1775" s="2" t="s">
        <v>1145</v>
      </c>
      <c r="G1775" s="14" t="n">
        <v>9.5</v>
      </c>
      <c r="H1775" s="14" t="n">
        <v>7.45</v>
      </c>
      <c r="I1775" s="14" t="n">
        <v>9.5</v>
      </c>
      <c r="J1775" s="22" t="n">
        <f aca="false">IF(E1775="Priority",'Cost model'!N380,'Cost model'!M380)</f>
        <v>8.5</v>
      </c>
      <c r="K1775" s="14" t="n">
        <f aca="false">J1775-H1775</f>
        <v>1.05</v>
      </c>
      <c r="L1775" s="14" t="n">
        <f aca="false">G1775-H1775</f>
        <v>2.05</v>
      </c>
    </row>
    <row r="1776" customFormat="false" ht="15" hidden="false" customHeight="false" outlineLevel="0" collapsed="false">
      <c r="A1776" s="2" t="s">
        <v>126</v>
      </c>
      <c r="B1776" s="2" t="s">
        <v>126</v>
      </c>
      <c r="C1776" s="2" t="s">
        <v>48</v>
      </c>
      <c r="D1776" s="2" t="s">
        <v>12</v>
      </c>
      <c r="E1776" s="2" t="s">
        <v>85</v>
      </c>
      <c r="F1776" s="2" t="s">
        <v>1145</v>
      </c>
      <c r="G1776" s="14" t="n">
        <v>19.5</v>
      </c>
      <c r="H1776" s="14" t="n">
        <v>42.61</v>
      </c>
      <c r="I1776" s="14" t="n">
        <v>19.5</v>
      </c>
      <c r="J1776" s="22" t="n">
        <f aca="false">IF(E1776="Priority",'Cost model'!N383,'Cost model'!M383)</f>
        <v>35</v>
      </c>
      <c r="K1776" s="14" t="n">
        <f aca="false">J1776-H1776</f>
        <v>-7.61</v>
      </c>
      <c r="L1776" s="14" t="n">
        <f aca="false">G1776-H1776</f>
        <v>-23.11</v>
      </c>
    </row>
    <row r="1777" customFormat="false" ht="15" hidden="false" customHeight="false" outlineLevel="0" collapsed="false">
      <c r="A1777" s="2" t="s">
        <v>184</v>
      </c>
      <c r="B1777" s="2" t="s">
        <v>184</v>
      </c>
      <c r="C1777" s="2" t="s">
        <v>50</v>
      </c>
      <c r="D1777" s="2" t="s">
        <v>12</v>
      </c>
      <c r="E1777" s="2" t="s">
        <v>76</v>
      </c>
      <c r="F1777" s="2" t="s">
        <v>1145</v>
      </c>
      <c r="G1777" s="14" t="n">
        <v>19.5</v>
      </c>
      <c r="H1777" s="14" t="n">
        <v>48.76</v>
      </c>
      <c r="I1777" s="14" t="n">
        <v>19.5</v>
      </c>
      <c r="J1777" s="22" t="n">
        <f aca="false">IF(E1777="Priority",'Cost model'!N205,'Cost model'!M205)</f>
        <v>50</v>
      </c>
      <c r="K1777" s="14" t="n">
        <f aca="false">J1777-H1777</f>
        <v>1.24</v>
      </c>
      <c r="L1777" s="14" t="n">
        <f aca="false">G1777-H1777</f>
        <v>-29.26</v>
      </c>
    </row>
    <row r="1778" customFormat="false" ht="15" hidden="false" customHeight="false" outlineLevel="0" collapsed="false">
      <c r="A1778" s="2" t="s">
        <v>221</v>
      </c>
      <c r="B1778" s="2" t="s">
        <v>146</v>
      </c>
      <c r="C1778" s="2" t="s">
        <v>49</v>
      </c>
      <c r="D1778" s="2" t="s">
        <v>12</v>
      </c>
      <c r="E1778" s="2" t="s">
        <v>76</v>
      </c>
      <c r="F1778" s="2" t="s">
        <v>1146</v>
      </c>
      <c r="G1778" s="14" t="n">
        <v>19.5</v>
      </c>
      <c r="H1778" s="14" t="n">
        <v>66.4</v>
      </c>
      <c r="I1778" s="14" t="n">
        <v>19.5</v>
      </c>
      <c r="J1778" s="22" t="n">
        <f aca="false">IF(E1778="Priority",'Cost model'!N654,'Cost model'!M654)</f>
        <v>80</v>
      </c>
      <c r="K1778" s="14" t="n">
        <f aca="false">J1778-H1778</f>
        <v>13.6</v>
      </c>
      <c r="L1778" s="14" t="n">
        <f aca="false">G1778-H1778</f>
        <v>-46.9</v>
      </c>
    </row>
    <row r="1779" customFormat="false" ht="15" hidden="false" customHeight="false" outlineLevel="0" collapsed="false">
      <c r="A1779" s="2" t="s">
        <v>240</v>
      </c>
      <c r="B1779" s="2" t="s">
        <v>240</v>
      </c>
      <c r="C1779" s="2" t="s">
        <v>48</v>
      </c>
      <c r="D1779" s="2" t="s">
        <v>12</v>
      </c>
      <c r="E1779" s="2" t="s">
        <v>76</v>
      </c>
      <c r="F1779" s="2" t="s">
        <v>1145</v>
      </c>
      <c r="G1779" s="14" t="n">
        <v>24.5</v>
      </c>
      <c r="H1779" s="14" t="n">
        <v>60.68</v>
      </c>
      <c r="I1779" s="14" t="n">
        <v>9.5</v>
      </c>
      <c r="J1779" s="22" t="n">
        <f aca="false">IF(E1779="Priority",'Cost model'!N887,'Cost model'!M887)</f>
        <v>21.5</v>
      </c>
      <c r="K1779" s="14" t="n">
        <f aca="false">J1779-H1779</f>
        <v>-39.18</v>
      </c>
      <c r="L1779" s="14" t="n">
        <f aca="false">G1779-H1779</f>
        <v>-36.18</v>
      </c>
    </row>
    <row r="1780" customFormat="false" ht="15" hidden="false" customHeight="false" outlineLevel="0" collapsed="false">
      <c r="A1780" s="2" t="s">
        <v>184</v>
      </c>
      <c r="B1780" s="2" t="s">
        <v>184</v>
      </c>
      <c r="C1780" s="2" t="s">
        <v>49</v>
      </c>
      <c r="D1780" s="2" t="s">
        <v>12</v>
      </c>
      <c r="E1780" s="2" t="s">
        <v>76</v>
      </c>
      <c r="F1780" s="2" t="s">
        <v>1145</v>
      </c>
      <c r="G1780" s="14" t="n">
        <v>12.5</v>
      </c>
      <c r="H1780" s="14" t="n">
        <v>11.94</v>
      </c>
      <c r="I1780" s="14"/>
      <c r="J1780" s="22" t="n">
        <f aca="false">IF(E1780="Priority",'Cost model'!N204,'Cost model'!M204)</f>
        <v>45</v>
      </c>
      <c r="K1780" s="14" t="n">
        <f aca="false">J1780-H1780</f>
        <v>33.06</v>
      </c>
      <c r="L1780" s="14" t="n">
        <f aca="false">G1780-H1780</f>
        <v>0.560000000000001</v>
      </c>
    </row>
    <row r="1781" customFormat="false" ht="15" hidden="false" customHeight="false" outlineLevel="0" collapsed="false">
      <c r="A1781" s="2" t="s">
        <v>126</v>
      </c>
      <c r="B1781" s="2" t="s">
        <v>184</v>
      </c>
      <c r="C1781" s="2" t="s">
        <v>48</v>
      </c>
      <c r="D1781" s="2" t="s">
        <v>12</v>
      </c>
      <c r="E1781" s="2" t="s">
        <v>85</v>
      </c>
      <c r="F1781" s="2" t="s">
        <v>1146</v>
      </c>
      <c r="G1781" s="14" t="n">
        <v>24.5</v>
      </c>
      <c r="H1781" s="14" t="n">
        <v>49.18</v>
      </c>
      <c r="I1781" s="14" t="n">
        <v>24.5</v>
      </c>
      <c r="J1781" s="22" t="n">
        <f aca="false">IF(E1781="Priority",'Cost model'!N437,'Cost model'!M437)</f>
        <v>65</v>
      </c>
      <c r="K1781" s="14" t="n">
        <f aca="false">J1781-H1781</f>
        <v>15.82</v>
      </c>
      <c r="L1781" s="14" t="n">
        <f aca="false">G1781-H1781</f>
        <v>-24.68</v>
      </c>
    </row>
    <row r="1782" customFormat="false" ht="15" hidden="false" customHeight="false" outlineLevel="0" collapsed="false">
      <c r="A1782" s="2" t="s">
        <v>126</v>
      </c>
      <c r="B1782" s="2" t="s">
        <v>126</v>
      </c>
      <c r="C1782" s="2" t="s">
        <v>49</v>
      </c>
      <c r="D1782" s="2" t="s">
        <v>10</v>
      </c>
      <c r="E1782" s="2" t="s">
        <v>76</v>
      </c>
      <c r="F1782" s="2" t="s">
        <v>1145</v>
      </c>
      <c r="G1782" s="14" t="n">
        <v>12.5</v>
      </c>
      <c r="H1782" s="14" t="n">
        <v>21.14</v>
      </c>
      <c r="I1782" s="14" t="n">
        <v>12.5</v>
      </c>
      <c r="J1782" s="22" t="n">
        <f aca="false">IF(E1782="Priority",'Cost model'!N381,'Cost model'!M381)</f>
        <v>14.5</v>
      </c>
      <c r="K1782" s="14" t="n">
        <f aca="false">J1782-H1782</f>
        <v>-6.64</v>
      </c>
      <c r="L1782" s="14" t="n">
        <f aca="false">G1782-H1782</f>
        <v>-8.64</v>
      </c>
    </row>
    <row r="1783" customFormat="false" ht="15" hidden="false" customHeight="false" outlineLevel="0" collapsed="false">
      <c r="A1783" s="2" t="s">
        <v>184</v>
      </c>
      <c r="B1783" s="2" t="s">
        <v>126</v>
      </c>
      <c r="C1783" s="2" t="s">
        <v>48</v>
      </c>
      <c r="D1783" s="2" t="s">
        <v>12</v>
      </c>
      <c r="E1783" s="2" t="s">
        <v>76</v>
      </c>
      <c r="F1783" s="2" t="s">
        <v>1146</v>
      </c>
      <c r="G1783" s="14" t="n">
        <v>9.5</v>
      </c>
      <c r="H1783" s="14" t="n">
        <v>42.61</v>
      </c>
      <c r="I1783" s="14" t="n">
        <v>9.5</v>
      </c>
      <c r="J1783" s="22" t="n">
        <f aca="false">IF(E1783="Priority",'Cost model'!N131,'Cost model'!M131)</f>
        <v>40</v>
      </c>
      <c r="K1783" s="14" t="n">
        <f aca="false">J1783-H1783</f>
        <v>-2.61</v>
      </c>
      <c r="L1783" s="14" t="n">
        <f aca="false">G1783-H1783</f>
        <v>-33.11</v>
      </c>
    </row>
    <row r="1784" customFormat="false" ht="15" hidden="false" customHeight="false" outlineLevel="0" collapsed="false">
      <c r="A1784" s="2" t="s">
        <v>184</v>
      </c>
      <c r="B1784" s="2" t="s">
        <v>126</v>
      </c>
      <c r="C1784" s="2" t="s">
        <v>49</v>
      </c>
      <c r="D1784" s="2" t="s">
        <v>12</v>
      </c>
      <c r="E1784" s="2" t="s">
        <v>76</v>
      </c>
      <c r="F1784" s="2" t="s">
        <v>1146</v>
      </c>
      <c r="G1784" s="14" t="n">
        <v>12.5</v>
      </c>
      <c r="H1784" s="14" t="n">
        <v>53.82</v>
      </c>
      <c r="I1784" s="14"/>
      <c r="J1784" s="22" t="n">
        <f aca="false">IF(E1784="Priority",'Cost model'!N132,'Cost model'!M132)</f>
        <v>50</v>
      </c>
      <c r="K1784" s="14" t="n">
        <f aca="false">J1784-H1784</f>
        <v>-3.82</v>
      </c>
      <c r="L1784" s="14" t="n">
        <f aca="false">G1784-H1784</f>
        <v>-41.32</v>
      </c>
    </row>
    <row r="1785" customFormat="false" ht="15" hidden="false" customHeight="false" outlineLevel="0" collapsed="false">
      <c r="A1785" s="2" t="s">
        <v>146</v>
      </c>
      <c r="B1785" s="2" t="s">
        <v>126</v>
      </c>
      <c r="C1785" s="2" t="s">
        <v>48</v>
      </c>
      <c r="D1785" s="2" t="s">
        <v>10</v>
      </c>
      <c r="E1785" s="2" t="s">
        <v>76</v>
      </c>
      <c r="F1785" s="2" t="s">
        <v>1146</v>
      </c>
      <c r="G1785" s="14" t="n">
        <v>14.5</v>
      </c>
      <c r="H1785" s="14" t="n">
        <v>10.76</v>
      </c>
      <c r="I1785" s="14" t="n">
        <v>14.5</v>
      </c>
      <c r="J1785" s="22" t="n">
        <f aca="false">IF(E1785="Priority",'Cost model'!N794,'Cost model'!M794)</f>
        <v>12.5</v>
      </c>
      <c r="K1785" s="14" t="n">
        <f aca="false">J1785-H1785</f>
        <v>1.74</v>
      </c>
      <c r="L1785" s="14" t="n">
        <f aca="false">G1785-H1785</f>
        <v>3.74</v>
      </c>
    </row>
    <row r="1786" customFormat="false" ht="15" hidden="false" customHeight="false" outlineLevel="0" collapsed="false">
      <c r="A1786" s="2" t="s">
        <v>184</v>
      </c>
      <c r="B1786" s="2" t="s">
        <v>184</v>
      </c>
      <c r="C1786" s="2" t="s">
        <v>48</v>
      </c>
      <c r="D1786" s="2" t="s">
        <v>10</v>
      </c>
      <c r="E1786" s="2" t="s">
        <v>76</v>
      </c>
      <c r="F1786" s="2" t="s">
        <v>1145</v>
      </c>
      <c r="G1786" s="14" t="n">
        <v>9.5</v>
      </c>
      <c r="H1786" s="14" t="n">
        <v>10.53</v>
      </c>
      <c r="I1786" s="14" t="n">
        <v>9.5</v>
      </c>
      <c r="J1786" s="22" t="n">
        <f aca="false">IF(E1786="Priority",'Cost model'!N200,'Cost model'!M200)</f>
        <v>7.5</v>
      </c>
      <c r="K1786" s="14" t="n">
        <f aca="false">J1786-H1786</f>
        <v>-3.03</v>
      </c>
      <c r="L1786" s="14" t="n">
        <f aca="false">G1786-H1786</f>
        <v>-1.03</v>
      </c>
    </row>
    <row r="1787" customFormat="false" ht="15" hidden="false" customHeight="false" outlineLevel="0" collapsed="false">
      <c r="A1787" s="2" t="s">
        <v>184</v>
      </c>
      <c r="B1787" s="2" t="s">
        <v>184</v>
      </c>
      <c r="C1787" s="2" t="s">
        <v>48</v>
      </c>
      <c r="D1787" s="2" t="s">
        <v>10</v>
      </c>
      <c r="E1787" s="2" t="s">
        <v>76</v>
      </c>
      <c r="F1787" s="2" t="s">
        <v>1145</v>
      </c>
      <c r="G1787" s="14" t="n">
        <v>9.5</v>
      </c>
      <c r="H1787" s="14" t="n">
        <v>7.72</v>
      </c>
      <c r="I1787" s="14" t="n">
        <v>9.5</v>
      </c>
      <c r="J1787" s="22" t="n">
        <f aca="false">IF(E1787="Priority",'Cost model'!N200,'Cost model'!M200)</f>
        <v>7.5</v>
      </c>
      <c r="K1787" s="14" t="n">
        <f aca="false">J1787-H1787</f>
        <v>-0.22</v>
      </c>
      <c r="L1787" s="14" t="n">
        <f aca="false">G1787-H1787</f>
        <v>1.78</v>
      </c>
    </row>
    <row r="1788" customFormat="false" ht="15" hidden="false" customHeight="false" outlineLevel="0" collapsed="false">
      <c r="A1788" s="2" t="s">
        <v>184</v>
      </c>
      <c r="B1788" s="2" t="s">
        <v>165</v>
      </c>
      <c r="C1788" s="2" t="s">
        <v>48</v>
      </c>
      <c r="D1788" s="2" t="s">
        <v>10</v>
      </c>
      <c r="E1788" s="2" t="s">
        <v>76</v>
      </c>
      <c r="F1788" s="2" t="s">
        <v>1146</v>
      </c>
      <c r="G1788" s="14" t="n">
        <v>14.5</v>
      </c>
      <c r="H1788" s="14" t="n">
        <v>10.27</v>
      </c>
      <c r="I1788" s="14" t="n">
        <v>14.5</v>
      </c>
      <c r="J1788" s="22" t="n">
        <f aca="false">IF(E1788="Priority",'Cost model'!N164,'Cost model'!M164)</f>
        <v>11.5</v>
      </c>
      <c r="K1788" s="14" t="n">
        <f aca="false">J1788-H1788</f>
        <v>1.23</v>
      </c>
      <c r="L1788" s="14" t="n">
        <f aca="false">G1788-H1788</f>
        <v>4.23</v>
      </c>
    </row>
    <row r="1789" customFormat="false" ht="15" hidden="false" customHeight="false" outlineLevel="0" collapsed="false">
      <c r="A1789" s="2" t="s">
        <v>240</v>
      </c>
      <c r="B1789" s="2" t="s">
        <v>126</v>
      </c>
      <c r="C1789" s="2" t="s">
        <v>48</v>
      </c>
      <c r="D1789" s="2" t="s">
        <v>10</v>
      </c>
      <c r="E1789" s="2" t="s">
        <v>76</v>
      </c>
      <c r="F1789" s="2" t="s">
        <v>1146</v>
      </c>
      <c r="G1789" s="14" t="n">
        <v>9.5</v>
      </c>
      <c r="H1789" s="14" t="n">
        <v>11.24</v>
      </c>
      <c r="I1789" s="14" t="n">
        <v>19.5</v>
      </c>
      <c r="J1789" s="22" t="n">
        <f aca="false">IF(E1789="Priority",'Cost model'!N956,'Cost model'!M956)</f>
        <v>15.5</v>
      </c>
      <c r="K1789" s="14" t="n">
        <f aca="false">J1789-H1789</f>
        <v>4.26</v>
      </c>
      <c r="L1789" s="14" t="n">
        <f aca="false">G1789-H1789</f>
        <v>-1.74</v>
      </c>
    </row>
    <row r="1790" customFormat="false" ht="15" hidden="false" customHeight="false" outlineLevel="0" collapsed="false">
      <c r="A1790" s="2" t="s">
        <v>184</v>
      </c>
      <c r="B1790" s="2" t="s">
        <v>146</v>
      </c>
      <c r="C1790" s="2" t="s">
        <v>50</v>
      </c>
      <c r="D1790" s="2" t="s">
        <v>12</v>
      </c>
      <c r="E1790" s="2" t="s">
        <v>76</v>
      </c>
      <c r="F1790" s="2" t="s">
        <v>1146</v>
      </c>
      <c r="G1790" s="14" t="n">
        <v>19.5</v>
      </c>
      <c r="H1790" s="14" t="n">
        <v>63.55</v>
      </c>
      <c r="I1790" s="14" t="n">
        <v>19.5</v>
      </c>
      <c r="J1790" s="22" t="n">
        <f aca="false">IF(E1790="Priority",'Cost model'!N151,'Cost model'!M151)</f>
        <v>55</v>
      </c>
      <c r="K1790" s="14" t="n">
        <f aca="false">J1790-H1790</f>
        <v>-8.55</v>
      </c>
      <c r="L1790" s="14" t="n">
        <f aca="false">G1790-H1790</f>
        <v>-44.05</v>
      </c>
    </row>
    <row r="1791" customFormat="false" ht="15" hidden="false" customHeight="false" outlineLevel="0" collapsed="false">
      <c r="A1791" s="2" t="s">
        <v>126</v>
      </c>
      <c r="B1791" s="2" t="s">
        <v>184</v>
      </c>
      <c r="C1791" s="2" t="s">
        <v>49</v>
      </c>
      <c r="D1791" s="2" t="s">
        <v>10</v>
      </c>
      <c r="E1791" s="2" t="s">
        <v>76</v>
      </c>
      <c r="F1791" s="2" t="s">
        <v>1146</v>
      </c>
      <c r="G1791" s="14" t="n">
        <v>12.5</v>
      </c>
      <c r="H1791" s="14" t="n">
        <v>9.99</v>
      </c>
      <c r="I1791" s="14" t="n">
        <v>14.5</v>
      </c>
      <c r="J1791" s="22" t="n">
        <f aca="false">IF(E1791="Priority",'Cost model'!N435,'Cost model'!M435)</f>
        <v>15.5</v>
      </c>
      <c r="K1791" s="14" t="n">
        <f aca="false">J1791-H1791</f>
        <v>5.51</v>
      </c>
      <c r="L1791" s="14" t="n">
        <f aca="false">G1791-H1791</f>
        <v>2.51</v>
      </c>
    </row>
    <row r="1792" customFormat="false" ht="15" hidden="false" customHeight="false" outlineLevel="0" collapsed="false">
      <c r="A1792" s="2" t="s">
        <v>240</v>
      </c>
      <c r="B1792" s="2" t="s">
        <v>146</v>
      </c>
      <c r="C1792" s="2" t="s">
        <v>48</v>
      </c>
      <c r="D1792" s="2" t="s">
        <v>10</v>
      </c>
      <c r="E1792" s="2" t="s">
        <v>76</v>
      </c>
      <c r="F1792" s="2" t="s">
        <v>1146</v>
      </c>
      <c r="G1792" s="14" t="n">
        <v>9.5</v>
      </c>
      <c r="H1792" s="14" t="n">
        <v>6.81</v>
      </c>
      <c r="I1792" s="14" t="n">
        <v>19.5</v>
      </c>
      <c r="J1792" s="22" t="n">
        <f aca="false">IF(E1792="Priority",'Cost model'!N920,'Cost model'!M920)</f>
        <v>16.5</v>
      </c>
      <c r="K1792" s="14" t="n">
        <f aca="false">J1792-H1792</f>
        <v>9.69</v>
      </c>
      <c r="L1792" s="14" t="n">
        <f aca="false">G1792-H1792</f>
        <v>2.69</v>
      </c>
    </row>
    <row r="1793" customFormat="false" ht="15" hidden="false" customHeight="false" outlineLevel="0" collapsed="false">
      <c r="A1793" s="2" t="s">
        <v>126</v>
      </c>
      <c r="B1793" s="2" t="s">
        <v>126</v>
      </c>
      <c r="C1793" s="2" t="s">
        <v>48</v>
      </c>
      <c r="D1793" s="2" t="s">
        <v>10</v>
      </c>
      <c r="E1793" s="2" t="s">
        <v>85</v>
      </c>
      <c r="F1793" s="2" t="s">
        <v>1145</v>
      </c>
      <c r="G1793" s="14" t="n">
        <v>14.5</v>
      </c>
      <c r="H1793" s="14" t="n">
        <v>7.5</v>
      </c>
      <c r="I1793" s="14" t="n">
        <v>14.5</v>
      </c>
      <c r="J1793" s="22" t="n">
        <f aca="false">IF(E1793="Priority",'Cost model'!N380,'Cost model'!M380)</f>
        <v>13.5</v>
      </c>
      <c r="K1793" s="14" t="n">
        <f aca="false">J1793-H1793</f>
        <v>6</v>
      </c>
      <c r="L1793" s="14" t="n">
        <f aca="false">G1793-H1793</f>
        <v>7</v>
      </c>
    </row>
    <row r="1794" customFormat="false" ht="15" hidden="false" customHeight="false" outlineLevel="0" collapsed="false">
      <c r="A1794" s="2" t="s">
        <v>184</v>
      </c>
      <c r="B1794" s="2" t="s">
        <v>184</v>
      </c>
      <c r="C1794" s="2" t="s">
        <v>48</v>
      </c>
      <c r="D1794" s="2" t="s">
        <v>12</v>
      </c>
      <c r="E1794" s="2" t="s">
        <v>76</v>
      </c>
      <c r="F1794" s="2" t="s">
        <v>1145</v>
      </c>
      <c r="G1794" s="14" t="n">
        <v>9.5</v>
      </c>
      <c r="H1794" s="14" t="n">
        <v>30.86</v>
      </c>
      <c r="I1794" s="14" t="n">
        <v>9.5</v>
      </c>
      <c r="J1794" s="22" t="n">
        <f aca="false">IF(E1794="Priority",'Cost model'!N203,'Cost model'!M203)</f>
        <v>26.5</v>
      </c>
      <c r="K1794" s="14" t="n">
        <f aca="false">J1794-H1794</f>
        <v>-4.36</v>
      </c>
      <c r="L1794" s="14" t="n">
        <f aca="false">G1794-H1794</f>
        <v>-21.36</v>
      </c>
    </row>
    <row r="1795" customFormat="false" ht="15" hidden="false" customHeight="false" outlineLevel="0" collapsed="false">
      <c r="A1795" s="2" t="s">
        <v>126</v>
      </c>
      <c r="B1795" s="2" t="s">
        <v>126</v>
      </c>
      <c r="C1795" s="2" t="s">
        <v>49</v>
      </c>
      <c r="D1795" s="2" t="s">
        <v>12</v>
      </c>
      <c r="E1795" s="2" t="s">
        <v>76</v>
      </c>
      <c r="F1795" s="2" t="s">
        <v>1145</v>
      </c>
      <c r="G1795" s="14" t="n">
        <v>12.5</v>
      </c>
      <c r="H1795" s="14" t="n">
        <v>59.99</v>
      </c>
      <c r="I1795" s="14" t="n">
        <v>12.5</v>
      </c>
      <c r="J1795" s="22" t="n">
        <f aca="false">IF(E1795="Priority",'Cost model'!N384,'Cost model'!M384)</f>
        <v>45</v>
      </c>
      <c r="K1795" s="14" t="n">
        <f aca="false">J1795-H1795</f>
        <v>-14.99</v>
      </c>
      <c r="L1795" s="14" t="n">
        <f aca="false">G1795-H1795</f>
        <v>-47.49</v>
      </c>
    </row>
    <row r="1796" customFormat="false" ht="15" hidden="false" customHeight="false" outlineLevel="0" collapsed="false">
      <c r="A1796" s="2" t="s">
        <v>146</v>
      </c>
      <c r="B1796" s="2" t="s">
        <v>146</v>
      </c>
      <c r="C1796" s="2" t="s">
        <v>50</v>
      </c>
      <c r="D1796" s="2" t="s">
        <v>10</v>
      </c>
      <c r="E1796" s="2" t="s">
        <v>76</v>
      </c>
      <c r="F1796" s="2" t="s">
        <v>1145</v>
      </c>
      <c r="G1796" s="14" t="n">
        <v>17.5</v>
      </c>
      <c r="H1796" s="14" t="n">
        <v>17.31</v>
      </c>
      <c r="I1796" s="14" t="n">
        <v>17.5</v>
      </c>
      <c r="J1796" s="22" t="n">
        <f aca="false">IF(E1796="Priority",'Cost model'!N760,'Cost model'!M760)</f>
        <v>18.5</v>
      </c>
      <c r="K1796" s="14" t="n">
        <f aca="false">J1796-H1796</f>
        <v>1.19</v>
      </c>
      <c r="L1796" s="14" t="n">
        <f aca="false">G1796-H1796</f>
        <v>0.190000000000001</v>
      </c>
    </row>
    <row r="1797" customFormat="false" ht="15" hidden="false" customHeight="false" outlineLevel="0" collapsed="false">
      <c r="A1797" s="2" t="s">
        <v>184</v>
      </c>
      <c r="B1797" s="2" t="s">
        <v>184</v>
      </c>
      <c r="C1797" s="2" t="s">
        <v>49</v>
      </c>
      <c r="D1797" s="2" t="s">
        <v>10</v>
      </c>
      <c r="E1797" s="2" t="s">
        <v>76</v>
      </c>
      <c r="F1797" s="2" t="s">
        <v>1145</v>
      </c>
      <c r="G1797" s="14" t="n">
        <v>14.5</v>
      </c>
      <c r="H1797" s="14" t="n">
        <v>7.37</v>
      </c>
      <c r="I1797" s="14"/>
      <c r="J1797" s="22" t="n">
        <f aca="false">IF(E1797="Priority",'Cost model'!N201,'Cost model'!M201)</f>
        <v>12.5</v>
      </c>
      <c r="K1797" s="14" t="n">
        <f aca="false">J1797-H1797</f>
        <v>5.13</v>
      </c>
      <c r="L1797" s="14" t="n">
        <f aca="false">G1797-H1797</f>
        <v>7.13</v>
      </c>
    </row>
    <row r="1798" customFormat="false" ht="15" hidden="false" customHeight="false" outlineLevel="0" collapsed="false">
      <c r="A1798" s="2" t="s">
        <v>146</v>
      </c>
      <c r="B1798" s="2" t="s">
        <v>146</v>
      </c>
      <c r="C1798" s="2" t="s">
        <v>48</v>
      </c>
      <c r="D1798" s="2" t="s">
        <v>12</v>
      </c>
      <c r="E1798" s="2" t="s">
        <v>76</v>
      </c>
      <c r="F1798" s="2" t="s">
        <v>1145</v>
      </c>
      <c r="G1798" s="14" t="n">
        <v>9.5</v>
      </c>
      <c r="H1798" s="14" t="n">
        <v>19.68</v>
      </c>
      <c r="I1798" s="14" t="n">
        <v>9.5</v>
      </c>
      <c r="J1798" s="22" t="n">
        <f aca="false">IF(E1798="Priority",'Cost model'!N761,'Cost model'!M761)</f>
        <v>35</v>
      </c>
      <c r="K1798" s="14" t="n">
        <f aca="false">J1798-H1798</f>
        <v>15.32</v>
      </c>
      <c r="L1798" s="14" t="n">
        <f aca="false">G1798-H1798</f>
        <v>-10.18</v>
      </c>
    </row>
    <row r="1799" customFormat="false" ht="15" hidden="false" customHeight="false" outlineLevel="0" collapsed="false">
      <c r="A1799" s="2" t="s">
        <v>165</v>
      </c>
      <c r="B1799" s="2" t="s">
        <v>126</v>
      </c>
      <c r="C1799" s="2" t="s">
        <v>50</v>
      </c>
      <c r="D1799" s="2" t="s">
        <v>12</v>
      </c>
      <c r="E1799" s="2" t="s">
        <v>76</v>
      </c>
      <c r="F1799" s="2" t="s">
        <v>1146</v>
      </c>
      <c r="G1799" s="14" t="n">
        <v>19.5</v>
      </c>
      <c r="H1799" s="14" t="n">
        <v>23.58</v>
      </c>
      <c r="I1799" s="14" t="n">
        <v>19.5</v>
      </c>
      <c r="J1799" s="22" t="n">
        <f aca="false">IF(E1799="Priority",'Cost model'!N547,'Cost model'!M547)</f>
        <v>60</v>
      </c>
      <c r="K1799" s="14" t="n">
        <f aca="false">J1799-H1799</f>
        <v>36.42</v>
      </c>
      <c r="L1799" s="14" t="n">
        <f aca="false">G1799-H1799</f>
        <v>-4.08</v>
      </c>
    </row>
    <row r="1800" customFormat="false" ht="15" hidden="false" customHeight="false" outlineLevel="0" collapsed="false">
      <c r="A1800" s="2" t="s">
        <v>221</v>
      </c>
      <c r="B1800" s="2" t="s">
        <v>165</v>
      </c>
      <c r="C1800" s="2" t="s">
        <v>49</v>
      </c>
      <c r="D1800" s="2" t="s">
        <v>10</v>
      </c>
      <c r="E1800" s="2" t="s">
        <v>76</v>
      </c>
      <c r="F1800" s="2" t="s">
        <v>1146</v>
      </c>
      <c r="G1800" s="14" t="n">
        <v>12.5</v>
      </c>
      <c r="H1800" s="14" t="n">
        <v>18.13</v>
      </c>
      <c r="I1800" s="14"/>
      <c r="J1800" s="22" t="n">
        <f aca="false">IF(E1800="Priority",'Cost model'!N741,'Cost model'!M741)</f>
        <v>16.5</v>
      </c>
      <c r="K1800" s="14" t="n">
        <f aca="false">J1800-H1800</f>
        <v>-1.63</v>
      </c>
      <c r="L1800" s="14" t="n">
        <f aca="false">G1800-H1800</f>
        <v>-5.63</v>
      </c>
    </row>
    <row r="1801" customFormat="false" ht="15" hidden="false" customHeight="false" outlineLevel="0" collapsed="false">
      <c r="A1801" s="2" t="s">
        <v>184</v>
      </c>
      <c r="B1801" s="2" t="s">
        <v>184</v>
      </c>
      <c r="C1801" s="2" t="s">
        <v>48</v>
      </c>
      <c r="D1801" s="2" t="s">
        <v>10</v>
      </c>
      <c r="E1801" s="2" t="s">
        <v>76</v>
      </c>
      <c r="F1801" s="2" t="s">
        <v>1145</v>
      </c>
      <c r="G1801" s="14" t="n">
        <v>9.5</v>
      </c>
      <c r="H1801" s="14" t="n">
        <v>9.89</v>
      </c>
      <c r="I1801" s="14" t="n">
        <v>9.5</v>
      </c>
      <c r="J1801" s="22" t="n">
        <f aca="false">IF(E1801="Priority",'Cost model'!N200,'Cost model'!M200)</f>
        <v>7.5</v>
      </c>
      <c r="K1801" s="14" t="n">
        <f aca="false">J1801-H1801</f>
        <v>-2.39</v>
      </c>
      <c r="L1801" s="14" t="n">
        <f aca="false">G1801-H1801</f>
        <v>-0.390000000000001</v>
      </c>
    </row>
    <row r="1802" customFormat="false" ht="15" hidden="false" customHeight="false" outlineLevel="0" collapsed="false">
      <c r="A1802" s="2" t="s">
        <v>184</v>
      </c>
      <c r="B1802" s="2" t="s">
        <v>184</v>
      </c>
      <c r="C1802" s="2" t="s">
        <v>48</v>
      </c>
      <c r="D1802" s="2" t="s">
        <v>10</v>
      </c>
      <c r="E1802" s="2" t="s">
        <v>76</v>
      </c>
      <c r="F1802" s="2" t="s">
        <v>1145</v>
      </c>
      <c r="G1802" s="14" t="n">
        <v>9.5</v>
      </c>
      <c r="H1802" s="14" t="n">
        <v>6.11</v>
      </c>
      <c r="I1802" s="14" t="n">
        <v>9.5</v>
      </c>
      <c r="J1802" s="22" t="n">
        <f aca="false">IF(E1802="Priority",'Cost model'!N200,'Cost model'!M200)</f>
        <v>7.5</v>
      </c>
      <c r="K1802" s="14" t="n">
        <f aca="false">J1802-H1802</f>
        <v>1.39</v>
      </c>
      <c r="L1802" s="14" t="n">
        <f aca="false">G1802-H1802</f>
        <v>3.39</v>
      </c>
    </row>
    <row r="1803" customFormat="false" ht="15" hidden="false" customHeight="false" outlineLevel="0" collapsed="false">
      <c r="A1803" s="2" t="s">
        <v>184</v>
      </c>
      <c r="B1803" s="2" t="s">
        <v>165</v>
      </c>
      <c r="C1803" s="2" t="s">
        <v>50</v>
      </c>
      <c r="D1803" s="2" t="s">
        <v>10</v>
      </c>
      <c r="E1803" s="2" t="s">
        <v>76</v>
      </c>
      <c r="F1803" s="2" t="s">
        <v>1146</v>
      </c>
      <c r="G1803" s="14" t="n">
        <v>17.5</v>
      </c>
      <c r="H1803" s="14" t="n">
        <v>15.65</v>
      </c>
      <c r="I1803" s="14" t="n">
        <v>17.5</v>
      </c>
      <c r="J1803" s="22" t="n">
        <f aca="false">IF(E1803="Priority",'Cost model'!N166,'Cost model'!M166)</f>
        <v>18.5</v>
      </c>
      <c r="K1803" s="14" t="n">
        <f aca="false">J1803-H1803</f>
        <v>2.85</v>
      </c>
      <c r="L1803" s="14" t="n">
        <f aca="false">G1803-H1803</f>
        <v>1.85</v>
      </c>
    </row>
    <row r="1804" customFormat="false" ht="15" hidden="false" customHeight="false" outlineLevel="0" collapsed="false">
      <c r="A1804" s="2" t="s">
        <v>184</v>
      </c>
      <c r="B1804" s="2" t="s">
        <v>184</v>
      </c>
      <c r="C1804" s="2" t="s">
        <v>50</v>
      </c>
      <c r="D1804" s="2" t="s">
        <v>12</v>
      </c>
      <c r="E1804" s="2" t="s">
        <v>76</v>
      </c>
      <c r="F1804" s="2" t="s">
        <v>1145</v>
      </c>
      <c r="G1804" s="14" t="n">
        <v>19.5</v>
      </c>
      <c r="H1804" s="14" t="n">
        <v>50.71</v>
      </c>
      <c r="I1804" s="14" t="n">
        <v>19.5</v>
      </c>
      <c r="J1804" s="22" t="n">
        <f aca="false">IF(E1804="Priority",'Cost model'!N205,'Cost model'!M205)</f>
        <v>50</v>
      </c>
      <c r="K1804" s="14" t="n">
        <f aca="false">J1804-H1804</f>
        <v>-0.710000000000001</v>
      </c>
      <c r="L1804" s="14" t="n">
        <f aca="false">G1804-H1804</f>
        <v>-31.21</v>
      </c>
    </row>
    <row r="1805" customFormat="false" ht="15" hidden="false" customHeight="false" outlineLevel="0" collapsed="false">
      <c r="A1805" s="2" t="s">
        <v>184</v>
      </c>
      <c r="B1805" s="2" t="s">
        <v>184</v>
      </c>
      <c r="C1805" s="2" t="s">
        <v>50</v>
      </c>
      <c r="D1805" s="2" t="s">
        <v>12</v>
      </c>
      <c r="E1805" s="2" t="s">
        <v>76</v>
      </c>
      <c r="F1805" s="2" t="s">
        <v>1145</v>
      </c>
      <c r="G1805" s="14" t="n">
        <v>19.5</v>
      </c>
      <c r="H1805" s="14" t="n">
        <v>22.09</v>
      </c>
      <c r="I1805" s="14" t="n">
        <v>19.5</v>
      </c>
      <c r="J1805" s="22" t="n">
        <f aca="false">IF(E1805="Priority",'Cost model'!N205,'Cost model'!M205)</f>
        <v>50</v>
      </c>
      <c r="K1805" s="14" t="n">
        <f aca="false">J1805-H1805</f>
        <v>27.91</v>
      </c>
      <c r="L1805" s="14" t="n">
        <f aca="false">G1805-H1805</f>
        <v>-2.59</v>
      </c>
    </row>
    <row r="1806" customFormat="false" ht="15" hidden="false" customHeight="false" outlineLevel="0" collapsed="false">
      <c r="A1806" s="2" t="s">
        <v>184</v>
      </c>
      <c r="B1806" s="2" t="s">
        <v>184</v>
      </c>
      <c r="C1806" s="2" t="s">
        <v>48</v>
      </c>
      <c r="D1806" s="2" t="s">
        <v>12</v>
      </c>
      <c r="E1806" s="2" t="s">
        <v>76</v>
      </c>
      <c r="F1806" s="2" t="s">
        <v>1145</v>
      </c>
      <c r="G1806" s="14" t="n">
        <v>9.5</v>
      </c>
      <c r="H1806" s="14" t="n">
        <v>27.78</v>
      </c>
      <c r="I1806" s="14" t="n">
        <v>9.5</v>
      </c>
      <c r="J1806" s="22" t="n">
        <f aca="false">IF(E1806="Priority",'Cost model'!N203,'Cost model'!M203)</f>
        <v>26.5</v>
      </c>
      <c r="K1806" s="14" t="n">
        <f aca="false">J1806-H1806</f>
        <v>-1.28</v>
      </c>
      <c r="L1806" s="14" t="n">
        <f aca="false">G1806-H1806</f>
        <v>-18.28</v>
      </c>
    </row>
    <row r="1807" customFormat="false" ht="15" hidden="false" customHeight="false" outlineLevel="0" collapsed="false">
      <c r="A1807" s="2" t="s">
        <v>126</v>
      </c>
      <c r="B1807" s="2" t="s">
        <v>184</v>
      </c>
      <c r="C1807" s="2" t="s">
        <v>48</v>
      </c>
      <c r="D1807" s="2" t="s">
        <v>10</v>
      </c>
      <c r="E1807" s="2" t="s">
        <v>85</v>
      </c>
      <c r="F1807" s="2" t="s">
        <v>1146</v>
      </c>
      <c r="G1807" s="14" t="n">
        <v>19.5</v>
      </c>
      <c r="H1807" s="14" t="n">
        <v>35.24</v>
      </c>
      <c r="I1807" s="14" t="n">
        <v>19.5</v>
      </c>
      <c r="J1807" s="22" t="n">
        <f aca="false">IF(E1807="Priority",'Cost model'!N434,'Cost model'!M434)</f>
        <v>18.5</v>
      </c>
      <c r="K1807" s="14" t="n">
        <f aca="false">J1807-H1807</f>
        <v>-16.74</v>
      </c>
      <c r="L1807" s="14" t="n">
        <f aca="false">G1807-H1807</f>
        <v>-15.74</v>
      </c>
    </row>
    <row r="1808" customFormat="false" ht="15" hidden="false" customHeight="false" outlineLevel="0" collapsed="false">
      <c r="A1808" s="2" t="s">
        <v>126</v>
      </c>
      <c r="B1808" s="2" t="s">
        <v>184</v>
      </c>
      <c r="C1808" s="2" t="s">
        <v>49</v>
      </c>
      <c r="D1808" s="2" t="s">
        <v>10</v>
      </c>
      <c r="E1808" s="2" t="s">
        <v>76</v>
      </c>
      <c r="F1808" s="2" t="s">
        <v>1146</v>
      </c>
      <c r="G1808" s="14" t="n">
        <v>12.5</v>
      </c>
      <c r="H1808" s="14" t="n">
        <v>7.02</v>
      </c>
      <c r="I1808" s="14" t="n">
        <v>14.5</v>
      </c>
      <c r="J1808" s="22" t="n">
        <f aca="false">IF(E1808="Priority",'Cost model'!N435,'Cost model'!M435)</f>
        <v>15.5</v>
      </c>
      <c r="K1808" s="14" t="n">
        <f aca="false">J1808-H1808</f>
        <v>8.48</v>
      </c>
      <c r="L1808" s="14" t="n">
        <f aca="false">G1808-H1808</f>
        <v>5.48</v>
      </c>
    </row>
    <row r="1809" customFormat="false" ht="15" hidden="false" customHeight="false" outlineLevel="0" collapsed="false">
      <c r="A1809" s="2" t="s">
        <v>126</v>
      </c>
      <c r="B1809" s="2" t="s">
        <v>184</v>
      </c>
      <c r="C1809" s="2" t="s">
        <v>49</v>
      </c>
      <c r="D1809" s="2" t="s">
        <v>12</v>
      </c>
      <c r="E1809" s="2" t="s">
        <v>76</v>
      </c>
      <c r="F1809" s="2" t="s">
        <v>1146</v>
      </c>
      <c r="G1809" s="14" t="n">
        <v>12.5</v>
      </c>
      <c r="H1809" s="14" t="n">
        <v>48.66</v>
      </c>
      <c r="I1809" s="14" t="n">
        <v>19.5</v>
      </c>
      <c r="J1809" s="22" t="n">
        <f aca="false">IF(E1809="Priority",'Cost model'!N438,'Cost model'!M438)</f>
        <v>55</v>
      </c>
      <c r="K1809" s="14" t="n">
        <f aca="false">J1809-H1809</f>
        <v>6.34</v>
      </c>
      <c r="L1809" s="14" t="n">
        <f aca="false">G1809-H1809</f>
        <v>-36.16</v>
      </c>
    </row>
    <row r="1810" customFormat="false" ht="15" hidden="false" customHeight="false" outlineLevel="0" collapsed="false">
      <c r="A1810" s="2" t="s">
        <v>126</v>
      </c>
      <c r="B1810" s="2" t="s">
        <v>126</v>
      </c>
      <c r="C1810" s="2" t="s">
        <v>50</v>
      </c>
      <c r="D1810" s="2" t="s">
        <v>12</v>
      </c>
      <c r="E1810" s="2" t="s">
        <v>76</v>
      </c>
      <c r="F1810" s="2" t="s">
        <v>1145</v>
      </c>
      <c r="G1810" s="14" t="n">
        <v>19.5</v>
      </c>
      <c r="H1810" s="14" t="n">
        <v>42.23</v>
      </c>
      <c r="I1810" s="14" t="n">
        <v>19.5</v>
      </c>
      <c r="J1810" s="22" t="n">
        <f aca="false">IF(E1810="Priority",'Cost model'!N385,'Cost model'!M385)</f>
        <v>55</v>
      </c>
      <c r="K1810" s="14" t="n">
        <f aca="false">J1810-H1810</f>
        <v>12.77</v>
      </c>
      <c r="L1810" s="14" t="n">
        <f aca="false">G1810-H1810</f>
        <v>-22.73</v>
      </c>
    </row>
    <row r="1811" customFormat="false" ht="15" hidden="false" customHeight="false" outlineLevel="0" collapsed="false">
      <c r="A1811" s="2" t="s">
        <v>126</v>
      </c>
      <c r="B1811" s="2" t="s">
        <v>126</v>
      </c>
      <c r="C1811" s="2" t="s">
        <v>50</v>
      </c>
      <c r="D1811" s="2" t="s">
        <v>12</v>
      </c>
      <c r="E1811" s="2" t="s">
        <v>76</v>
      </c>
      <c r="F1811" s="2" t="s">
        <v>1145</v>
      </c>
      <c r="G1811" s="14" t="n">
        <v>34.5</v>
      </c>
      <c r="H1811" s="14" t="n">
        <v>82.37</v>
      </c>
      <c r="I1811" s="14" t="n">
        <v>19.5</v>
      </c>
      <c r="J1811" s="22" t="n">
        <f aca="false">IF(E1811="Priority",'Cost model'!N385,'Cost model'!M385)</f>
        <v>55</v>
      </c>
      <c r="K1811" s="14" t="n">
        <f aca="false">J1811-H1811</f>
        <v>-27.37</v>
      </c>
      <c r="L1811" s="14" t="n">
        <f aca="false">G1811-H1811</f>
        <v>-47.87</v>
      </c>
    </row>
    <row r="1812" customFormat="false" ht="15" hidden="false" customHeight="false" outlineLevel="0" collapsed="false">
      <c r="A1812" s="2" t="s">
        <v>126</v>
      </c>
      <c r="B1812" s="2" t="s">
        <v>126</v>
      </c>
      <c r="C1812" s="2" t="s">
        <v>48</v>
      </c>
      <c r="D1812" s="2" t="s">
        <v>12</v>
      </c>
      <c r="E1812" s="2" t="s">
        <v>85</v>
      </c>
      <c r="F1812" s="2" t="s">
        <v>1145</v>
      </c>
      <c r="G1812" s="14" t="n">
        <v>19.5</v>
      </c>
      <c r="H1812" s="14" t="n">
        <v>27.8</v>
      </c>
      <c r="I1812" s="14" t="n">
        <v>19.5</v>
      </c>
      <c r="J1812" s="22" t="n">
        <f aca="false">IF(E1812="Priority",'Cost model'!N383,'Cost model'!M383)</f>
        <v>35</v>
      </c>
      <c r="K1812" s="14" t="n">
        <f aca="false">J1812-H1812</f>
        <v>7.2</v>
      </c>
      <c r="L1812" s="14" t="n">
        <f aca="false">G1812-H1812</f>
        <v>-8.3</v>
      </c>
    </row>
    <row r="1813" customFormat="false" ht="15" hidden="false" customHeight="false" outlineLevel="0" collapsed="false">
      <c r="A1813" s="2" t="s">
        <v>126</v>
      </c>
      <c r="B1813" s="2" t="s">
        <v>165</v>
      </c>
      <c r="C1813" s="2" t="s">
        <v>48</v>
      </c>
      <c r="D1813" s="2" t="s">
        <v>10</v>
      </c>
      <c r="E1813" s="2" t="s">
        <v>85</v>
      </c>
      <c r="F1813" s="2" t="s">
        <v>1146</v>
      </c>
      <c r="G1813" s="14" t="n">
        <v>19.5</v>
      </c>
      <c r="H1813" s="14" t="n">
        <v>20.83</v>
      </c>
      <c r="I1813" s="14" t="n">
        <v>19.5</v>
      </c>
      <c r="J1813" s="22" t="n">
        <f aca="false">IF(E1813="Priority",'Cost model'!N416,'Cost model'!M416)</f>
        <v>22.5</v>
      </c>
      <c r="K1813" s="14" t="n">
        <f aca="false">J1813-H1813</f>
        <v>1.67</v>
      </c>
      <c r="L1813" s="14" t="n">
        <f aca="false">G1813-H1813</f>
        <v>-1.33</v>
      </c>
    </row>
    <row r="1814" customFormat="false" ht="15" hidden="false" customHeight="false" outlineLevel="0" collapsed="false">
      <c r="A1814" s="2" t="s">
        <v>126</v>
      </c>
      <c r="B1814" s="2" t="s">
        <v>126</v>
      </c>
      <c r="C1814" s="2" t="s">
        <v>48</v>
      </c>
      <c r="D1814" s="2" t="s">
        <v>10</v>
      </c>
      <c r="E1814" s="2" t="s">
        <v>76</v>
      </c>
      <c r="F1814" s="2" t="s">
        <v>1145</v>
      </c>
      <c r="G1814" s="14" t="n">
        <v>9.5</v>
      </c>
      <c r="H1814" s="14" t="n">
        <v>7.46</v>
      </c>
      <c r="I1814" s="14" t="n">
        <v>9.5</v>
      </c>
      <c r="J1814" s="22" t="n">
        <f aca="false">IF(E1814="Priority",'Cost model'!N380,'Cost model'!M380)</f>
        <v>8.5</v>
      </c>
      <c r="K1814" s="14" t="n">
        <f aca="false">J1814-H1814</f>
        <v>1.04</v>
      </c>
      <c r="L1814" s="14" t="n">
        <f aca="false">G1814-H1814</f>
        <v>2.04</v>
      </c>
    </row>
    <row r="1815" customFormat="false" ht="15" hidden="false" customHeight="false" outlineLevel="0" collapsed="false">
      <c r="A1815" s="2" t="s">
        <v>184</v>
      </c>
      <c r="B1815" s="2" t="s">
        <v>184</v>
      </c>
      <c r="C1815" s="2" t="s">
        <v>49</v>
      </c>
      <c r="D1815" s="2" t="s">
        <v>12</v>
      </c>
      <c r="E1815" s="2" t="s">
        <v>76</v>
      </c>
      <c r="F1815" s="2" t="s">
        <v>1145</v>
      </c>
      <c r="G1815" s="14" t="n">
        <v>12.5</v>
      </c>
      <c r="H1815" s="14" t="n">
        <v>43.59</v>
      </c>
      <c r="I1815" s="14"/>
      <c r="J1815" s="22" t="n">
        <f aca="false">IF(E1815="Priority",'Cost model'!N204,'Cost model'!M204)</f>
        <v>45</v>
      </c>
      <c r="K1815" s="14" t="n">
        <f aca="false">J1815-H1815</f>
        <v>1.41</v>
      </c>
      <c r="L1815" s="14" t="n">
        <f aca="false">G1815-H1815</f>
        <v>-31.09</v>
      </c>
    </row>
    <row r="1816" customFormat="false" ht="15" hidden="false" customHeight="false" outlineLevel="0" collapsed="false">
      <c r="A1816" s="2" t="s">
        <v>184</v>
      </c>
      <c r="B1816" s="2" t="s">
        <v>184</v>
      </c>
      <c r="C1816" s="2" t="s">
        <v>49</v>
      </c>
      <c r="D1816" s="2" t="s">
        <v>10</v>
      </c>
      <c r="E1816" s="2" t="s">
        <v>76</v>
      </c>
      <c r="F1816" s="2" t="s">
        <v>1145</v>
      </c>
      <c r="G1816" s="14" t="n">
        <v>17.5</v>
      </c>
      <c r="H1816" s="14" t="n">
        <v>12.54</v>
      </c>
      <c r="I1816" s="14"/>
      <c r="J1816" s="22" t="n">
        <f aca="false">IF(E1816="Priority",'Cost model'!N201,'Cost model'!M201)</f>
        <v>12.5</v>
      </c>
      <c r="K1816" s="14" t="n">
        <f aca="false">J1816-H1816</f>
        <v>-0.0399999999999992</v>
      </c>
      <c r="L1816" s="14" t="n">
        <f aca="false">G1816-H1816</f>
        <v>4.96</v>
      </c>
    </row>
    <row r="1817" customFormat="false" ht="15" hidden="false" customHeight="false" outlineLevel="0" collapsed="false">
      <c r="A1817" s="2" t="s">
        <v>126</v>
      </c>
      <c r="B1817" s="2" t="s">
        <v>126</v>
      </c>
      <c r="C1817" s="2" t="s">
        <v>49</v>
      </c>
      <c r="D1817" s="2" t="s">
        <v>12</v>
      </c>
      <c r="E1817" s="2" t="s">
        <v>76</v>
      </c>
      <c r="F1817" s="2" t="s">
        <v>1145</v>
      </c>
      <c r="G1817" s="14" t="n">
        <v>12.5</v>
      </c>
      <c r="H1817" s="14" t="n">
        <v>28.52</v>
      </c>
      <c r="I1817" s="14" t="n">
        <v>12.5</v>
      </c>
      <c r="J1817" s="22" t="n">
        <f aca="false">IF(E1817="Priority",'Cost model'!N384,'Cost model'!M384)</f>
        <v>45</v>
      </c>
      <c r="K1817" s="14" t="n">
        <f aca="false">J1817-H1817</f>
        <v>16.48</v>
      </c>
      <c r="L1817" s="14" t="n">
        <f aca="false">G1817-H1817</f>
        <v>-16.02</v>
      </c>
    </row>
    <row r="1818" customFormat="false" ht="15" hidden="false" customHeight="false" outlineLevel="0" collapsed="false">
      <c r="A1818" s="2" t="s">
        <v>240</v>
      </c>
      <c r="B1818" s="2" t="s">
        <v>240</v>
      </c>
      <c r="C1818" s="2" t="s">
        <v>50</v>
      </c>
      <c r="D1818" s="2" t="s">
        <v>12</v>
      </c>
      <c r="E1818" s="2" t="s">
        <v>76</v>
      </c>
      <c r="F1818" s="2" t="s">
        <v>1145</v>
      </c>
      <c r="G1818" s="14" t="n">
        <v>19.5</v>
      </c>
      <c r="H1818" s="14" t="n">
        <v>101.33</v>
      </c>
      <c r="I1818" s="14" t="n">
        <v>19.5</v>
      </c>
      <c r="J1818" s="22" t="n">
        <f aca="false">IF(E1818="Priority",'Cost model'!N889,'Cost model'!M889)</f>
        <v>60</v>
      </c>
      <c r="K1818" s="14" t="n">
        <f aca="false">J1818-H1818</f>
        <v>-41.33</v>
      </c>
      <c r="L1818" s="14" t="n">
        <f aca="false">G1818-H1818</f>
        <v>-81.83</v>
      </c>
    </row>
    <row r="1819" customFormat="false" ht="15" hidden="false" customHeight="false" outlineLevel="0" collapsed="false">
      <c r="A1819" s="2" t="s">
        <v>184</v>
      </c>
      <c r="B1819" s="2" t="s">
        <v>184</v>
      </c>
      <c r="C1819" s="2" t="s">
        <v>48</v>
      </c>
      <c r="D1819" s="2" t="s">
        <v>10</v>
      </c>
      <c r="E1819" s="2" t="s">
        <v>76</v>
      </c>
      <c r="F1819" s="2" t="s">
        <v>1145</v>
      </c>
      <c r="G1819" s="14" t="n">
        <v>9.5</v>
      </c>
      <c r="H1819" s="14" t="n">
        <v>6.19</v>
      </c>
      <c r="I1819" s="14" t="n">
        <v>9.5</v>
      </c>
      <c r="J1819" s="22" t="n">
        <f aca="false">IF(E1819="Priority",'Cost model'!N200,'Cost model'!M200)</f>
        <v>7.5</v>
      </c>
      <c r="K1819" s="14" t="n">
        <f aca="false">J1819-H1819</f>
        <v>1.31</v>
      </c>
      <c r="L1819" s="14" t="n">
        <f aca="false">G1819-H1819</f>
        <v>3.31</v>
      </c>
    </row>
    <row r="1820" customFormat="false" ht="15" hidden="false" customHeight="false" outlineLevel="0" collapsed="false">
      <c r="A1820" s="2" t="s">
        <v>146</v>
      </c>
      <c r="B1820" s="2" t="s">
        <v>146</v>
      </c>
      <c r="C1820" s="2" t="s">
        <v>50</v>
      </c>
      <c r="D1820" s="2" t="s">
        <v>14</v>
      </c>
      <c r="E1820" s="2" t="s">
        <v>76</v>
      </c>
      <c r="F1820" s="2" t="s">
        <v>1145</v>
      </c>
      <c r="G1820" s="14" t="n">
        <v>85</v>
      </c>
      <c r="H1820" s="14" t="n">
        <v>95.72</v>
      </c>
      <c r="I1820" s="14" t="n">
        <v>85</v>
      </c>
      <c r="J1820" s="22" t="n">
        <f aca="false">IF(E1820="Priority",'Cost model'!N769,'Cost model'!M769)</f>
        <v>160</v>
      </c>
      <c r="K1820" s="14" t="n">
        <f aca="false">J1820-H1820</f>
        <v>64.28</v>
      </c>
      <c r="L1820" s="14" t="n">
        <f aca="false">G1820-H1820</f>
        <v>-10.72</v>
      </c>
    </row>
    <row r="1821" customFormat="false" ht="15" hidden="false" customHeight="false" outlineLevel="0" collapsed="false">
      <c r="A1821" s="2" t="s">
        <v>125</v>
      </c>
      <c r="B1821" s="2" t="s">
        <v>240</v>
      </c>
      <c r="C1821" s="2" t="s">
        <v>48</v>
      </c>
      <c r="D1821" s="2" t="s">
        <v>12</v>
      </c>
      <c r="E1821" s="2" t="s">
        <v>76</v>
      </c>
      <c r="F1821" s="2" t="s">
        <v>1146</v>
      </c>
      <c r="G1821" s="14" t="n">
        <v>19.5</v>
      </c>
      <c r="H1821" s="14" t="n">
        <v>38.49</v>
      </c>
      <c r="I1821" s="14" t="n">
        <v>24.5</v>
      </c>
      <c r="J1821" s="22" t="n">
        <f aca="false">IF(E1821="Priority",'Cost model'!N113,'Cost model'!M113)</f>
        <v>50</v>
      </c>
      <c r="K1821" s="14" t="n">
        <f aca="false">J1821-H1821</f>
        <v>11.51</v>
      </c>
      <c r="L1821" s="14" t="n">
        <f aca="false">G1821-H1821</f>
        <v>-18.99</v>
      </c>
    </row>
    <row r="1822" customFormat="false" ht="15" hidden="false" customHeight="false" outlineLevel="0" collapsed="false">
      <c r="A1822" s="2" t="s">
        <v>240</v>
      </c>
      <c r="B1822" s="2" t="s">
        <v>165</v>
      </c>
      <c r="C1822" s="2" t="s">
        <v>48</v>
      </c>
      <c r="D1822" s="2" t="s">
        <v>12</v>
      </c>
      <c r="E1822" s="2" t="s">
        <v>76</v>
      </c>
      <c r="F1822" s="2" t="s">
        <v>1146</v>
      </c>
      <c r="G1822" s="14" t="n">
        <v>19.5</v>
      </c>
      <c r="H1822" s="14" t="n">
        <v>72.18</v>
      </c>
      <c r="I1822" s="14" t="n">
        <v>19.5</v>
      </c>
      <c r="J1822" s="22" t="n">
        <f aca="false">IF(E1822="Priority",'Cost model'!N905,'Cost model'!M905)</f>
        <v>50</v>
      </c>
      <c r="K1822" s="14" t="n">
        <f aca="false">J1822-H1822</f>
        <v>-22.18</v>
      </c>
      <c r="L1822" s="14" t="n">
        <f aca="false">G1822-H1822</f>
        <v>-52.68</v>
      </c>
    </row>
    <row r="1823" customFormat="false" ht="15" hidden="false" customHeight="false" outlineLevel="0" collapsed="false">
      <c r="A1823" s="2" t="s">
        <v>146</v>
      </c>
      <c r="B1823" s="2" t="s">
        <v>146</v>
      </c>
      <c r="C1823" s="2" t="s">
        <v>48</v>
      </c>
      <c r="D1823" s="2" t="s">
        <v>12</v>
      </c>
      <c r="E1823" s="2" t="s">
        <v>76</v>
      </c>
      <c r="F1823" s="2" t="s">
        <v>1145</v>
      </c>
      <c r="G1823" s="14" t="n">
        <v>9.5</v>
      </c>
      <c r="H1823" s="14" t="n">
        <v>28.75</v>
      </c>
      <c r="I1823" s="14" t="n">
        <v>9.5</v>
      </c>
      <c r="J1823" s="22" t="n">
        <f aca="false">IF(E1823="Priority",'Cost model'!N761,'Cost model'!M761)</f>
        <v>35</v>
      </c>
      <c r="K1823" s="14" t="n">
        <f aca="false">J1823-H1823</f>
        <v>6.25</v>
      </c>
      <c r="L1823" s="14" t="n">
        <f aca="false">G1823-H1823</f>
        <v>-19.25</v>
      </c>
    </row>
    <row r="1824" customFormat="false" ht="15" hidden="false" customHeight="false" outlineLevel="0" collapsed="false">
      <c r="A1824" s="2" t="s">
        <v>146</v>
      </c>
      <c r="B1824" s="2" t="s">
        <v>146</v>
      </c>
      <c r="C1824" s="2" t="s">
        <v>48</v>
      </c>
      <c r="D1824" s="2" t="s">
        <v>10</v>
      </c>
      <c r="E1824" s="2" t="s">
        <v>76</v>
      </c>
      <c r="F1824" s="2" t="s">
        <v>1145</v>
      </c>
      <c r="G1824" s="14" t="n">
        <v>9.5</v>
      </c>
      <c r="H1824" s="14" t="n">
        <v>7.45</v>
      </c>
      <c r="I1824" s="14" t="n">
        <v>9.5</v>
      </c>
      <c r="J1824" s="22" t="n">
        <f aca="false">IF(E1824="Priority",'Cost model'!N758,'Cost model'!M758)</f>
        <v>9.5</v>
      </c>
      <c r="K1824" s="14" t="n">
        <f aca="false">J1824-H1824</f>
        <v>2.05</v>
      </c>
      <c r="L1824" s="14" t="n">
        <f aca="false">G1824-H1824</f>
        <v>2.05</v>
      </c>
    </row>
    <row r="1825" customFormat="false" ht="15" hidden="false" customHeight="false" outlineLevel="0" collapsed="false">
      <c r="A1825" s="2" t="s">
        <v>184</v>
      </c>
      <c r="B1825" s="2" t="s">
        <v>184</v>
      </c>
      <c r="C1825" s="2" t="s">
        <v>48</v>
      </c>
      <c r="D1825" s="2" t="s">
        <v>12</v>
      </c>
      <c r="E1825" s="2" t="s">
        <v>76</v>
      </c>
      <c r="F1825" s="2" t="s">
        <v>1145</v>
      </c>
      <c r="G1825" s="14" t="n">
        <v>9.5</v>
      </c>
      <c r="H1825" s="14" t="n">
        <v>27.74</v>
      </c>
      <c r="I1825" s="14" t="n">
        <v>9.5</v>
      </c>
      <c r="J1825" s="22" t="n">
        <f aca="false">IF(E1825="Priority",'Cost model'!N203,'Cost model'!M203)</f>
        <v>26.5</v>
      </c>
      <c r="K1825" s="14" t="n">
        <f aca="false">J1825-H1825</f>
        <v>-1.24</v>
      </c>
      <c r="L1825" s="14" t="n">
        <f aca="false">G1825-H1825</f>
        <v>-18.24</v>
      </c>
    </row>
    <row r="1826" customFormat="false" ht="15" hidden="false" customHeight="false" outlineLevel="0" collapsed="false">
      <c r="A1826" s="2" t="s">
        <v>126</v>
      </c>
      <c r="B1826" s="2" t="s">
        <v>126</v>
      </c>
      <c r="C1826" s="2" t="s">
        <v>49</v>
      </c>
      <c r="D1826" s="2" t="s">
        <v>10</v>
      </c>
      <c r="E1826" s="2" t="s">
        <v>85</v>
      </c>
      <c r="F1826" s="2" t="s">
        <v>1145</v>
      </c>
      <c r="G1826" s="14" t="n">
        <v>17.5</v>
      </c>
      <c r="H1826" s="14" t="n">
        <v>31.82</v>
      </c>
      <c r="I1826" s="14" t="n">
        <v>17.5</v>
      </c>
      <c r="J1826" s="22" t="n">
        <f aca="false">IF(E1826="Priority",'Cost model'!N381,'Cost model'!M381)</f>
        <v>19.5</v>
      </c>
      <c r="K1826" s="14" t="n">
        <f aca="false">J1826-H1826</f>
        <v>-12.32</v>
      </c>
      <c r="L1826" s="14" t="n">
        <f aca="false">G1826-H1826</f>
        <v>-14.32</v>
      </c>
    </row>
    <row r="1827" customFormat="false" ht="15" hidden="false" customHeight="false" outlineLevel="0" collapsed="false">
      <c r="A1827" s="2" t="s">
        <v>184</v>
      </c>
      <c r="B1827" s="2" t="s">
        <v>184</v>
      </c>
      <c r="C1827" s="2" t="s">
        <v>48</v>
      </c>
      <c r="D1827" s="2" t="s">
        <v>12</v>
      </c>
      <c r="E1827" s="2" t="s">
        <v>76</v>
      </c>
      <c r="F1827" s="2" t="s">
        <v>1145</v>
      </c>
      <c r="G1827" s="14" t="n">
        <v>9.5</v>
      </c>
      <c r="H1827" s="14" t="n">
        <v>32.25</v>
      </c>
      <c r="I1827" s="14" t="n">
        <v>9.5</v>
      </c>
      <c r="J1827" s="22" t="n">
        <f aca="false">IF(E1827="Priority",'Cost model'!N203,'Cost model'!M203)</f>
        <v>26.5</v>
      </c>
      <c r="K1827" s="14" t="n">
        <f aca="false">J1827-H1827</f>
        <v>-5.75</v>
      </c>
      <c r="L1827" s="14" t="n">
        <f aca="false">G1827-H1827</f>
        <v>-22.75</v>
      </c>
    </row>
    <row r="1828" customFormat="false" ht="15" hidden="false" customHeight="false" outlineLevel="0" collapsed="false">
      <c r="A1828" s="2" t="s">
        <v>146</v>
      </c>
      <c r="B1828" s="2" t="s">
        <v>146</v>
      </c>
      <c r="C1828" s="2" t="s">
        <v>48</v>
      </c>
      <c r="D1828" s="2" t="s">
        <v>10</v>
      </c>
      <c r="E1828" s="2" t="s">
        <v>76</v>
      </c>
      <c r="F1828" s="2" t="s">
        <v>1145</v>
      </c>
      <c r="G1828" s="14" t="n">
        <v>9.5</v>
      </c>
      <c r="H1828" s="14" t="n">
        <v>17.62</v>
      </c>
      <c r="I1828" s="14" t="n">
        <v>9.5</v>
      </c>
      <c r="J1828" s="22" t="n">
        <f aca="false">IF(E1828="Priority",'Cost model'!N758,'Cost model'!M758)</f>
        <v>9.5</v>
      </c>
      <c r="K1828" s="14" t="n">
        <f aca="false">J1828-H1828</f>
        <v>-8.12</v>
      </c>
      <c r="L1828" s="14" t="n">
        <f aca="false">G1828-H1828</f>
        <v>-8.12</v>
      </c>
    </row>
    <row r="1829" customFormat="false" ht="15" hidden="false" customHeight="false" outlineLevel="0" collapsed="false">
      <c r="A1829" s="2" t="s">
        <v>240</v>
      </c>
      <c r="B1829" s="2" t="s">
        <v>240</v>
      </c>
      <c r="C1829" s="2" t="s">
        <v>48</v>
      </c>
      <c r="D1829" s="2" t="s">
        <v>10</v>
      </c>
      <c r="E1829" s="2" t="s">
        <v>85</v>
      </c>
      <c r="F1829" s="2" t="s">
        <v>1145</v>
      </c>
      <c r="G1829" s="14" t="n">
        <v>14.5</v>
      </c>
      <c r="H1829" s="14" t="n">
        <v>5.97</v>
      </c>
      <c r="I1829" s="14" t="n">
        <v>14.5</v>
      </c>
      <c r="J1829" s="22" t="n">
        <f aca="false">IF(E1829="Priority",'Cost model'!N884,'Cost model'!M884)</f>
        <v>12.5</v>
      </c>
      <c r="K1829" s="14" t="n">
        <f aca="false">J1829-H1829</f>
        <v>6.53</v>
      </c>
      <c r="L1829" s="14" t="n">
        <f aca="false">G1829-H1829</f>
        <v>8.53</v>
      </c>
    </row>
    <row r="1830" customFormat="false" ht="15" hidden="false" customHeight="false" outlineLevel="0" collapsed="false">
      <c r="A1830" s="2" t="s">
        <v>146</v>
      </c>
      <c r="B1830" s="2" t="s">
        <v>146</v>
      </c>
      <c r="C1830" s="2" t="s">
        <v>48</v>
      </c>
      <c r="D1830" s="2" t="s">
        <v>10</v>
      </c>
      <c r="E1830" s="2" t="s">
        <v>76</v>
      </c>
      <c r="F1830" s="2" t="s">
        <v>1145</v>
      </c>
      <c r="G1830" s="14" t="n">
        <v>9.5</v>
      </c>
      <c r="H1830" s="14" t="n">
        <v>6.25</v>
      </c>
      <c r="I1830" s="14" t="n">
        <v>9.5</v>
      </c>
      <c r="J1830" s="22" t="n">
        <f aca="false">IF(E1830="Priority",'Cost model'!N758,'Cost model'!M758)</f>
        <v>9.5</v>
      </c>
      <c r="K1830" s="14" t="n">
        <f aca="false">J1830-H1830</f>
        <v>3.25</v>
      </c>
      <c r="L1830" s="14" t="n">
        <f aca="false">G1830-H1830</f>
        <v>3.25</v>
      </c>
    </row>
    <row r="1831" customFormat="false" ht="15" hidden="false" customHeight="false" outlineLevel="0" collapsed="false">
      <c r="A1831" s="2" t="s">
        <v>126</v>
      </c>
      <c r="B1831" s="2" t="s">
        <v>126</v>
      </c>
      <c r="C1831" s="2" t="s">
        <v>50</v>
      </c>
      <c r="D1831" s="2" t="s">
        <v>10</v>
      </c>
      <c r="E1831" s="2" t="s">
        <v>76</v>
      </c>
      <c r="F1831" s="2" t="s">
        <v>1145</v>
      </c>
      <c r="G1831" s="14" t="n">
        <v>17.5</v>
      </c>
      <c r="H1831" s="14" t="n">
        <v>46.31</v>
      </c>
      <c r="I1831" s="14" t="n">
        <v>17.5</v>
      </c>
      <c r="J1831" s="22" t="n">
        <f aca="false">IF(E1831="Priority",'Cost model'!N382,'Cost model'!M382)</f>
        <v>18.5</v>
      </c>
      <c r="K1831" s="14" t="n">
        <f aca="false">J1831-H1831</f>
        <v>-27.81</v>
      </c>
      <c r="L1831" s="14" t="n">
        <f aca="false">G1831-H1831</f>
        <v>-28.81</v>
      </c>
    </row>
    <row r="1832" customFormat="false" ht="15" hidden="false" customHeight="false" outlineLevel="0" collapsed="false">
      <c r="A1832" s="2" t="s">
        <v>184</v>
      </c>
      <c r="B1832" s="2" t="s">
        <v>146</v>
      </c>
      <c r="C1832" s="2" t="s">
        <v>49</v>
      </c>
      <c r="D1832" s="2" t="s">
        <v>12</v>
      </c>
      <c r="E1832" s="2" t="s">
        <v>76</v>
      </c>
      <c r="F1832" s="2" t="s">
        <v>1146</v>
      </c>
      <c r="G1832" s="14" t="n">
        <v>12.5</v>
      </c>
      <c r="H1832" s="14" t="n">
        <v>50.19</v>
      </c>
      <c r="I1832" s="14"/>
      <c r="J1832" s="22" t="n">
        <f aca="false">IF(E1832="Priority",'Cost model'!N150,'Cost model'!M150)</f>
        <v>55</v>
      </c>
      <c r="K1832" s="14" t="n">
        <f aca="false">J1832-H1832</f>
        <v>4.81</v>
      </c>
      <c r="L1832" s="14" t="n">
        <f aca="false">G1832-H1832</f>
        <v>-37.69</v>
      </c>
    </row>
    <row r="1833" customFormat="false" ht="15" hidden="false" customHeight="false" outlineLevel="0" collapsed="false">
      <c r="A1833" s="2" t="s">
        <v>240</v>
      </c>
      <c r="B1833" s="2" t="s">
        <v>240</v>
      </c>
      <c r="C1833" s="2" t="s">
        <v>48</v>
      </c>
      <c r="D1833" s="2" t="s">
        <v>10</v>
      </c>
      <c r="E1833" s="2" t="s">
        <v>85</v>
      </c>
      <c r="F1833" s="2" t="s">
        <v>1145</v>
      </c>
      <c r="G1833" s="14" t="n">
        <v>14.5</v>
      </c>
      <c r="H1833" s="14" t="n">
        <v>8.04</v>
      </c>
      <c r="I1833" s="14" t="n">
        <v>14.5</v>
      </c>
      <c r="J1833" s="22" t="n">
        <f aca="false">IF(E1833="Priority",'Cost model'!N884,'Cost model'!M884)</f>
        <v>12.5</v>
      </c>
      <c r="K1833" s="14" t="n">
        <f aca="false">J1833-H1833</f>
        <v>4.46</v>
      </c>
      <c r="L1833" s="14" t="n">
        <f aca="false">G1833-H1833</f>
        <v>6.46</v>
      </c>
    </row>
    <row r="1834" customFormat="false" ht="15" hidden="false" customHeight="false" outlineLevel="0" collapsed="false">
      <c r="A1834" s="2" t="s">
        <v>126</v>
      </c>
      <c r="B1834" s="2" t="s">
        <v>126</v>
      </c>
      <c r="C1834" s="2" t="s">
        <v>48</v>
      </c>
      <c r="D1834" s="2" t="s">
        <v>10</v>
      </c>
      <c r="E1834" s="2" t="s">
        <v>76</v>
      </c>
      <c r="F1834" s="2" t="s">
        <v>1145</v>
      </c>
      <c r="G1834" s="14" t="n">
        <v>9.5</v>
      </c>
      <c r="H1834" s="14" t="n">
        <v>7.72</v>
      </c>
      <c r="I1834" s="14" t="n">
        <v>9.5</v>
      </c>
      <c r="J1834" s="22" t="n">
        <f aca="false">IF(E1834="Priority",'Cost model'!N380,'Cost model'!M380)</f>
        <v>8.5</v>
      </c>
      <c r="K1834" s="14" t="n">
        <f aca="false">J1834-H1834</f>
        <v>0.78</v>
      </c>
      <c r="L1834" s="14" t="n">
        <f aca="false">G1834-H1834</f>
        <v>1.78</v>
      </c>
    </row>
    <row r="1835" customFormat="false" ht="15" hidden="false" customHeight="false" outlineLevel="0" collapsed="false">
      <c r="A1835" s="2" t="s">
        <v>146</v>
      </c>
      <c r="B1835" s="2" t="s">
        <v>146</v>
      </c>
      <c r="C1835" s="2" t="s">
        <v>48</v>
      </c>
      <c r="D1835" s="2" t="s">
        <v>16</v>
      </c>
      <c r="E1835" s="2" t="s">
        <v>76</v>
      </c>
      <c r="F1835" s="2" t="s">
        <v>1145</v>
      </c>
      <c r="G1835" s="14" t="n">
        <v>45</v>
      </c>
      <c r="H1835" s="14" t="n">
        <v>30.46</v>
      </c>
      <c r="I1835" s="14" t="n">
        <v>45</v>
      </c>
      <c r="J1835" s="22" t="n">
        <f aca="false">IF(E1835="Priority",'Cost model'!N773,'Cost model'!M773)</f>
        <v>125</v>
      </c>
      <c r="K1835" s="14" t="n">
        <f aca="false">J1835-H1835</f>
        <v>94.54</v>
      </c>
      <c r="L1835" s="14" t="n">
        <f aca="false">G1835-H1835</f>
        <v>14.54</v>
      </c>
    </row>
    <row r="1836" customFormat="false" ht="15" hidden="false" customHeight="false" outlineLevel="0" collapsed="false">
      <c r="A1836" s="2" t="s">
        <v>240</v>
      </c>
      <c r="B1836" s="2" t="s">
        <v>240</v>
      </c>
      <c r="C1836" s="2" t="s">
        <v>48</v>
      </c>
      <c r="D1836" s="2" t="s">
        <v>10</v>
      </c>
      <c r="E1836" s="2" t="s">
        <v>76</v>
      </c>
      <c r="F1836" s="2" t="s">
        <v>1145</v>
      </c>
      <c r="G1836" s="14" t="n">
        <v>9.5</v>
      </c>
      <c r="H1836" s="14" t="n">
        <v>5.25</v>
      </c>
      <c r="I1836" s="14" t="n">
        <v>9.5</v>
      </c>
      <c r="J1836" s="22" t="n">
        <f aca="false">IF(E1836="Priority",'Cost model'!N884,'Cost model'!M884)</f>
        <v>7.5</v>
      </c>
      <c r="K1836" s="14" t="n">
        <f aca="false">J1836-H1836</f>
        <v>2.25</v>
      </c>
      <c r="L1836" s="14" t="n">
        <f aca="false">G1836-H1836</f>
        <v>4.25</v>
      </c>
    </row>
    <row r="1837" customFormat="false" ht="15" hidden="false" customHeight="false" outlineLevel="0" collapsed="false">
      <c r="A1837" s="2" t="s">
        <v>184</v>
      </c>
      <c r="B1837" s="2" t="s">
        <v>146</v>
      </c>
      <c r="C1837" s="2" t="s">
        <v>48</v>
      </c>
      <c r="D1837" s="2" t="s">
        <v>12</v>
      </c>
      <c r="E1837" s="2" t="s">
        <v>76</v>
      </c>
      <c r="F1837" s="2" t="s">
        <v>1146</v>
      </c>
      <c r="G1837" s="14" t="n">
        <v>9.5</v>
      </c>
      <c r="H1837" s="14" t="n">
        <v>45.32</v>
      </c>
      <c r="I1837" s="14" t="n">
        <v>9.5</v>
      </c>
      <c r="J1837" s="22" t="n">
        <f aca="false">IF(E1837="Priority",'Cost model'!N149,'Cost model'!M149)</f>
        <v>45</v>
      </c>
      <c r="K1837" s="14" t="n">
        <f aca="false">J1837-H1837</f>
        <v>-0.32</v>
      </c>
      <c r="L1837" s="14" t="n">
        <f aca="false">G1837-H1837</f>
        <v>-35.82</v>
      </c>
    </row>
    <row r="1838" customFormat="false" ht="15" hidden="false" customHeight="false" outlineLevel="0" collapsed="false">
      <c r="A1838" s="2" t="s">
        <v>184</v>
      </c>
      <c r="B1838" s="2" t="s">
        <v>165</v>
      </c>
      <c r="C1838" s="2" t="s">
        <v>50</v>
      </c>
      <c r="D1838" s="2" t="s">
        <v>12</v>
      </c>
      <c r="E1838" s="2" t="s">
        <v>76</v>
      </c>
      <c r="F1838" s="2" t="s">
        <v>1146</v>
      </c>
      <c r="G1838" s="14" t="n">
        <v>19.5</v>
      </c>
      <c r="H1838" s="14" t="n">
        <v>64.65</v>
      </c>
      <c r="I1838" s="14" t="n">
        <v>19.5</v>
      </c>
      <c r="J1838" s="22" t="n">
        <f aca="false">IF(E1838="Priority",'Cost model'!N169,'Cost model'!M169)</f>
        <v>60</v>
      </c>
      <c r="K1838" s="14" t="n">
        <f aca="false">J1838-H1838</f>
        <v>-4.65000000000001</v>
      </c>
      <c r="L1838" s="14" t="n">
        <f aca="false">G1838-H1838</f>
        <v>-45.15</v>
      </c>
    </row>
    <row r="1839" customFormat="false" ht="15" hidden="false" customHeight="false" outlineLevel="0" collapsed="false">
      <c r="A1839" s="2" t="s">
        <v>184</v>
      </c>
      <c r="B1839" s="2" t="s">
        <v>184</v>
      </c>
      <c r="C1839" s="2" t="s">
        <v>48</v>
      </c>
      <c r="D1839" s="2" t="s">
        <v>12</v>
      </c>
      <c r="E1839" s="2" t="s">
        <v>85</v>
      </c>
      <c r="F1839" s="2" t="s">
        <v>1145</v>
      </c>
      <c r="G1839" s="14" t="n">
        <v>19.5</v>
      </c>
      <c r="H1839" s="14" t="n">
        <v>10.48</v>
      </c>
      <c r="I1839" s="14" t="n">
        <v>19.5</v>
      </c>
      <c r="J1839" s="22" t="n">
        <f aca="false">IF(E1839="Priority",'Cost model'!N203,'Cost model'!M203)</f>
        <v>35</v>
      </c>
      <c r="K1839" s="14" t="n">
        <f aca="false">J1839-H1839</f>
        <v>24.52</v>
      </c>
      <c r="L1839" s="14" t="n">
        <f aca="false">G1839-H1839</f>
        <v>9.02</v>
      </c>
    </row>
    <row r="1840" customFormat="false" ht="15" hidden="false" customHeight="false" outlineLevel="0" collapsed="false">
      <c r="A1840" s="2" t="s">
        <v>165</v>
      </c>
      <c r="B1840" s="2" t="s">
        <v>165</v>
      </c>
      <c r="C1840" s="2" t="s">
        <v>48</v>
      </c>
      <c r="D1840" s="2" t="s">
        <v>10</v>
      </c>
      <c r="E1840" s="2" t="s">
        <v>76</v>
      </c>
      <c r="F1840" s="2" t="s">
        <v>1145</v>
      </c>
      <c r="G1840" s="14" t="n">
        <v>9.5</v>
      </c>
      <c r="H1840" s="14" t="n">
        <v>7.45</v>
      </c>
      <c r="I1840" s="14" t="n">
        <v>9.5</v>
      </c>
      <c r="J1840" s="22" t="n">
        <f aca="false">IF(E1840="Priority",'Cost model'!N506,'Cost model'!M506)</f>
        <v>7.5</v>
      </c>
      <c r="K1840" s="14" t="n">
        <f aca="false">J1840-H1840</f>
        <v>0.0499999999999998</v>
      </c>
      <c r="L1840" s="14" t="n">
        <f aca="false">G1840-H1840</f>
        <v>2.05</v>
      </c>
    </row>
    <row r="1841" customFormat="false" ht="15" hidden="false" customHeight="false" outlineLevel="0" collapsed="false">
      <c r="A1841" s="2" t="s">
        <v>126</v>
      </c>
      <c r="B1841" s="2" t="s">
        <v>126</v>
      </c>
      <c r="C1841" s="2" t="s">
        <v>49</v>
      </c>
      <c r="D1841" s="2" t="s">
        <v>10</v>
      </c>
      <c r="E1841" s="2" t="s">
        <v>76</v>
      </c>
      <c r="F1841" s="2" t="s">
        <v>1145</v>
      </c>
      <c r="G1841" s="14" t="n">
        <v>12.5</v>
      </c>
      <c r="H1841" s="14" t="n">
        <v>17.69</v>
      </c>
      <c r="I1841" s="14" t="n">
        <v>12.5</v>
      </c>
      <c r="J1841" s="22" t="n">
        <f aca="false">IF(E1841="Priority",'Cost model'!N381,'Cost model'!M381)</f>
        <v>14.5</v>
      </c>
      <c r="K1841" s="14" t="n">
        <f aca="false">J1841-H1841</f>
        <v>-3.19</v>
      </c>
      <c r="L1841" s="14" t="n">
        <f aca="false">G1841-H1841</f>
        <v>-5.19</v>
      </c>
    </row>
    <row r="1842" customFormat="false" ht="15" hidden="false" customHeight="false" outlineLevel="0" collapsed="false">
      <c r="A1842" s="2" t="s">
        <v>184</v>
      </c>
      <c r="B1842" s="2" t="s">
        <v>184</v>
      </c>
      <c r="C1842" s="2" t="s">
        <v>49</v>
      </c>
      <c r="D1842" s="2" t="s">
        <v>13</v>
      </c>
      <c r="E1842" s="2" t="s">
        <v>76</v>
      </c>
      <c r="F1842" s="2" t="s">
        <v>1145</v>
      </c>
      <c r="G1842" s="14" t="n">
        <v>24.5</v>
      </c>
      <c r="H1842" s="14" t="n">
        <v>72.18</v>
      </c>
      <c r="I1842" s="14"/>
      <c r="J1842" s="22" t="n">
        <f aca="false">IF(E1842="Priority",'Cost model'!N207,'Cost model'!M207)</f>
        <v>75</v>
      </c>
      <c r="K1842" s="14" t="n">
        <f aca="false">J1842-H1842</f>
        <v>2.81999999999999</v>
      </c>
      <c r="L1842" s="14" t="n">
        <f aca="false">G1842-H1842</f>
        <v>-47.68</v>
      </c>
    </row>
    <row r="1843" customFormat="false" ht="15" hidden="false" customHeight="false" outlineLevel="0" collapsed="false">
      <c r="A1843" s="2" t="s">
        <v>184</v>
      </c>
      <c r="B1843" s="2" t="s">
        <v>184</v>
      </c>
      <c r="C1843" s="2" t="s">
        <v>50</v>
      </c>
      <c r="D1843" s="2" t="s">
        <v>12</v>
      </c>
      <c r="E1843" s="2" t="s">
        <v>85</v>
      </c>
      <c r="F1843" s="2" t="s">
        <v>1145</v>
      </c>
      <c r="G1843" s="14" t="n">
        <v>29.5</v>
      </c>
      <c r="H1843" s="14" t="n">
        <v>47.93</v>
      </c>
      <c r="I1843" s="14" t="n">
        <v>29.5</v>
      </c>
      <c r="J1843" s="22" t="n">
        <f aca="false">IF(E1843="Priority",'Cost model'!N205,'Cost model'!M205)</f>
        <v>65</v>
      </c>
      <c r="K1843" s="14" t="n">
        <f aca="false">J1843-H1843</f>
        <v>17.07</v>
      </c>
      <c r="L1843" s="14" t="n">
        <f aca="false">G1843-H1843</f>
        <v>-18.43</v>
      </c>
    </row>
    <row r="1844" customFormat="false" ht="15" hidden="false" customHeight="false" outlineLevel="0" collapsed="false">
      <c r="A1844" s="2" t="s">
        <v>126</v>
      </c>
      <c r="B1844" s="2" t="s">
        <v>126</v>
      </c>
      <c r="C1844" s="2" t="s">
        <v>49</v>
      </c>
      <c r="D1844" s="2" t="s">
        <v>12</v>
      </c>
      <c r="E1844" s="2" t="s">
        <v>85</v>
      </c>
      <c r="F1844" s="2" t="s">
        <v>1145</v>
      </c>
      <c r="G1844" s="14" t="n">
        <v>19.5</v>
      </c>
      <c r="H1844" s="14" t="n">
        <v>62.01</v>
      </c>
      <c r="I1844" s="14" t="n">
        <v>19.5</v>
      </c>
      <c r="J1844" s="22" t="n">
        <f aca="false">IF(E1844="Priority",'Cost model'!N384,'Cost model'!M384)</f>
        <v>60</v>
      </c>
      <c r="K1844" s="14" t="n">
        <f aca="false">J1844-H1844</f>
        <v>-2.01</v>
      </c>
      <c r="L1844" s="14" t="n">
        <f aca="false">G1844-H1844</f>
        <v>-42.51</v>
      </c>
    </row>
    <row r="1845" customFormat="false" ht="15" hidden="false" customHeight="false" outlineLevel="0" collapsed="false">
      <c r="A1845" s="2" t="s">
        <v>240</v>
      </c>
      <c r="B1845" s="2" t="s">
        <v>240</v>
      </c>
      <c r="C1845" s="2" t="s">
        <v>48</v>
      </c>
      <c r="D1845" s="2" t="s">
        <v>12</v>
      </c>
      <c r="E1845" s="2" t="s">
        <v>76</v>
      </c>
      <c r="F1845" s="2" t="s">
        <v>1145</v>
      </c>
      <c r="G1845" s="14" t="n">
        <v>9.5</v>
      </c>
      <c r="H1845" s="14" t="n">
        <v>41.77</v>
      </c>
      <c r="I1845" s="14" t="n">
        <v>9.5</v>
      </c>
      <c r="J1845" s="22" t="n">
        <f aca="false">IF(E1845="Priority",'Cost model'!N887,'Cost model'!M887)</f>
        <v>21.5</v>
      </c>
      <c r="K1845" s="14" t="n">
        <f aca="false">J1845-H1845</f>
        <v>-20.27</v>
      </c>
      <c r="L1845" s="14" t="n">
        <f aca="false">G1845-H1845</f>
        <v>-32.27</v>
      </c>
    </row>
    <row r="1846" customFormat="false" ht="15" hidden="false" customHeight="false" outlineLevel="0" collapsed="false">
      <c r="A1846" s="2" t="s">
        <v>126</v>
      </c>
      <c r="B1846" s="2" t="s">
        <v>126</v>
      </c>
      <c r="C1846" s="2" t="s">
        <v>49</v>
      </c>
      <c r="D1846" s="2" t="s">
        <v>12</v>
      </c>
      <c r="E1846" s="2" t="s">
        <v>76</v>
      </c>
      <c r="F1846" s="2" t="s">
        <v>1145</v>
      </c>
      <c r="G1846" s="14" t="n">
        <v>12.5</v>
      </c>
      <c r="H1846" s="14" t="n">
        <v>13.54</v>
      </c>
      <c r="I1846" s="14" t="n">
        <v>12.5</v>
      </c>
      <c r="J1846" s="22" t="n">
        <f aca="false">IF(E1846="Priority",'Cost model'!N384,'Cost model'!M384)</f>
        <v>45</v>
      </c>
      <c r="K1846" s="14" t="n">
        <f aca="false">J1846-H1846</f>
        <v>31.46</v>
      </c>
      <c r="L1846" s="14" t="n">
        <f aca="false">G1846-H1846</f>
        <v>-1.04</v>
      </c>
    </row>
    <row r="1847" customFormat="false" ht="15" hidden="false" customHeight="false" outlineLevel="0" collapsed="false">
      <c r="A1847" s="2" t="s">
        <v>184</v>
      </c>
      <c r="B1847" s="2" t="s">
        <v>184</v>
      </c>
      <c r="C1847" s="2" t="s">
        <v>50</v>
      </c>
      <c r="D1847" s="2" t="s">
        <v>12</v>
      </c>
      <c r="E1847" s="2" t="s">
        <v>85</v>
      </c>
      <c r="F1847" s="2" t="s">
        <v>1145</v>
      </c>
      <c r="G1847" s="14" t="n">
        <v>29.5</v>
      </c>
      <c r="H1847" s="14" t="n">
        <v>20.55</v>
      </c>
      <c r="I1847" s="14" t="n">
        <v>29.5</v>
      </c>
      <c r="J1847" s="22" t="n">
        <f aca="false">IF(E1847="Priority",'Cost model'!N205,'Cost model'!M205)</f>
        <v>65</v>
      </c>
      <c r="K1847" s="14" t="n">
        <f aca="false">J1847-H1847</f>
        <v>44.45</v>
      </c>
      <c r="L1847" s="14" t="n">
        <f aca="false">G1847-H1847</f>
        <v>8.95</v>
      </c>
    </row>
    <row r="1848" customFormat="false" ht="15" hidden="false" customHeight="false" outlineLevel="0" collapsed="false">
      <c r="A1848" s="2" t="s">
        <v>126</v>
      </c>
      <c r="B1848" s="2" t="s">
        <v>126</v>
      </c>
      <c r="C1848" s="2" t="s">
        <v>49</v>
      </c>
      <c r="D1848" s="2" t="s">
        <v>12</v>
      </c>
      <c r="E1848" s="2" t="s">
        <v>85</v>
      </c>
      <c r="F1848" s="2" t="s">
        <v>1145</v>
      </c>
      <c r="G1848" s="14" t="n">
        <v>19.5</v>
      </c>
      <c r="H1848" s="14" t="n">
        <v>42.23</v>
      </c>
      <c r="I1848" s="14" t="n">
        <v>19.5</v>
      </c>
      <c r="J1848" s="22" t="n">
        <f aca="false">IF(E1848="Priority",'Cost model'!N384,'Cost model'!M384)</f>
        <v>60</v>
      </c>
      <c r="K1848" s="14" t="n">
        <f aca="false">J1848-H1848</f>
        <v>17.77</v>
      </c>
      <c r="L1848" s="14" t="n">
        <f aca="false">G1848-H1848</f>
        <v>-22.73</v>
      </c>
    </row>
    <row r="1849" customFormat="false" ht="15" hidden="false" customHeight="false" outlineLevel="0" collapsed="false">
      <c r="A1849" s="2" t="s">
        <v>184</v>
      </c>
      <c r="B1849" s="2" t="s">
        <v>146</v>
      </c>
      <c r="C1849" s="2" t="s">
        <v>49</v>
      </c>
      <c r="D1849" s="2" t="s">
        <v>12</v>
      </c>
      <c r="E1849" s="2" t="s">
        <v>76</v>
      </c>
      <c r="F1849" s="2" t="s">
        <v>1146</v>
      </c>
      <c r="G1849" s="14" t="n">
        <v>19.5</v>
      </c>
      <c r="H1849" s="14" t="n">
        <v>52.98</v>
      </c>
      <c r="I1849" s="14"/>
      <c r="J1849" s="22" t="n">
        <f aca="false">IF(E1849="Priority",'Cost model'!N150,'Cost model'!M150)</f>
        <v>55</v>
      </c>
      <c r="K1849" s="14" t="n">
        <f aca="false">J1849-H1849</f>
        <v>2.02</v>
      </c>
      <c r="L1849" s="14" t="n">
        <f aca="false">G1849-H1849</f>
        <v>-33.48</v>
      </c>
    </row>
    <row r="1850" customFormat="false" ht="15" hidden="false" customHeight="false" outlineLevel="0" collapsed="false">
      <c r="A1850" s="2" t="s">
        <v>184</v>
      </c>
      <c r="B1850" s="2" t="s">
        <v>184</v>
      </c>
      <c r="C1850" s="2" t="s">
        <v>50</v>
      </c>
      <c r="D1850" s="2" t="s">
        <v>10</v>
      </c>
      <c r="E1850" s="2" t="s">
        <v>76</v>
      </c>
      <c r="F1850" s="2" t="s">
        <v>1145</v>
      </c>
      <c r="G1850" s="14" t="n">
        <v>17.5</v>
      </c>
      <c r="H1850" s="14" t="n">
        <v>21.86</v>
      </c>
      <c r="I1850" s="14" t="n">
        <v>17.5</v>
      </c>
      <c r="J1850" s="22" t="n">
        <f aca="false">IF(E1850="Priority",'Cost model'!N202,'Cost model'!M202)</f>
        <v>17.5</v>
      </c>
      <c r="K1850" s="14" t="n">
        <f aca="false">J1850-H1850</f>
        <v>-4.36</v>
      </c>
      <c r="L1850" s="14" t="n">
        <f aca="false">G1850-H1850</f>
        <v>-4.36</v>
      </c>
    </row>
    <row r="1851" customFormat="false" ht="15" hidden="false" customHeight="false" outlineLevel="0" collapsed="false">
      <c r="A1851" s="2" t="s">
        <v>146</v>
      </c>
      <c r="B1851" s="2" t="s">
        <v>146</v>
      </c>
      <c r="C1851" s="2" t="s">
        <v>48</v>
      </c>
      <c r="D1851" s="2" t="s">
        <v>10</v>
      </c>
      <c r="E1851" s="2" t="s">
        <v>76</v>
      </c>
      <c r="F1851" s="2" t="s">
        <v>1145</v>
      </c>
      <c r="G1851" s="14" t="n">
        <v>9.5</v>
      </c>
      <c r="H1851" s="14" t="n">
        <v>5.25</v>
      </c>
      <c r="I1851" s="14" t="n">
        <v>9.5</v>
      </c>
      <c r="J1851" s="22" t="n">
        <f aca="false">IF(E1851="Priority",'Cost model'!N758,'Cost model'!M758)</f>
        <v>9.5</v>
      </c>
      <c r="K1851" s="14" t="n">
        <f aca="false">J1851-H1851</f>
        <v>4.25</v>
      </c>
      <c r="L1851" s="14" t="n">
        <f aca="false">G1851-H1851</f>
        <v>4.25</v>
      </c>
    </row>
    <row r="1852" customFormat="false" ht="15" hidden="false" customHeight="false" outlineLevel="0" collapsed="false">
      <c r="A1852" s="2" t="s">
        <v>146</v>
      </c>
      <c r="B1852" s="2" t="s">
        <v>146</v>
      </c>
      <c r="C1852" s="2" t="s">
        <v>48</v>
      </c>
      <c r="D1852" s="2" t="s">
        <v>12</v>
      </c>
      <c r="E1852" s="2" t="s">
        <v>76</v>
      </c>
      <c r="F1852" s="2" t="s">
        <v>1145</v>
      </c>
      <c r="G1852" s="14" t="n">
        <v>9.5</v>
      </c>
      <c r="H1852" s="14" t="n">
        <v>29.85</v>
      </c>
      <c r="I1852" s="14" t="n">
        <v>9.5</v>
      </c>
      <c r="J1852" s="22" t="n">
        <f aca="false">IF(E1852="Priority",'Cost model'!N761,'Cost model'!M761)</f>
        <v>35</v>
      </c>
      <c r="K1852" s="14" t="n">
        <f aca="false">J1852-H1852</f>
        <v>5.15</v>
      </c>
      <c r="L1852" s="14" t="n">
        <f aca="false">G1852-H1852</f>
        <v>-20.35</v>
      </c>
    </row>
    <row r="1853" customFormat="false" ht="15" hidden="false" customHeight="false" outlineLevel="0" collapsed="false">
      <c r="A1853" s="2" t="s">
        <v>221</v>
      </c>
      <c r="B1853" s="2" t="s">
        <v>221</v>
      </c>
      <c r="C1853" s="2" t="s">
        <v>49</v>
      </c>
      <c r="D1853" s="2" t="s">
        <v>10</v>
      </c>
      <c r="E1853" s="2" t="s">
        <v>76</v>
      </c>
      <c r="F1853" s="2" t="s">
        <v>1145</v>
      </c>
      <c r="G1853" s="14" t="n">
        <v>14.5</v>
      </c>
      <c r="H1853" s="14" t="n">
        <v>15.66</v>
      </c>
      <c r="I1853" s="14" t="n">
        <v>12.5</v>
      </c>
      <c r="J1853" s="22" t="n">
        <f aca="false">IF(E1853="Priority",'Cost model'!N633,'Cost model'!M633)</f>
        <v>13.5</v>
      </c>
      <c r="K1853" s="14" t="n">
        <f aca="false">J1853-H1853</f>
        <v>-2.16</v>
      </c>
      <c r="L1853" s="14" t="n">
        <f aca="false">G1853-H1853</f>
        <v>-1.16</v>
      </c>
    </row>
    <row r="1854" customFormat="false" ht="15" hidden="false" customHeight="false" outlineLevel="0" collapsed="false">
      <c r="A1854" s="2" t="s">
        <v>165</v>
      </c>
      <c r="B1854" s="2" t="s">
        <v>165</v>
      </c>
      <c r="C1854" s="2" t="s">
        <v>48</v>
      </c>
      <c r="D1854" s="2" t="s">
        <v>12</v>
      </c>
      <c r="E1854" s="2" t="s">
        <v>76</v>
      </c>
      <c r="F1854" s="2" t="s">
        <v>1145</v>
      </c>
      <c r="G1854" s="14" t="n">
        <v>9.5</v>
      </c>
      <c r="H1854" s="14" t="n">
        <v>15.42</v>
      </c>
      <c r="I1854" s="14" t="n">
        <v>9.5</v>
      </c>
      <c r="J1854" s="22" t="n">
        <f aca="false">IF(E1854="Priority",'Cost model'!N509,'Cost model'!M509)</f>
        <v>17.5</v>
      </c>
      <c r="K1854" s="14" t="n">
        <f aca="false">J1854-H1854</f>
        <v>2.08</v>
      </c>
      <c r="L1854" s="14" t="n">
        <f aca="false">G1854-H1854</f>
        <v>-5.92</v>
      </c>
    </row>
    <row r="1855" customFormat="false" ht="15" hidden="false" customHeight="false" outlineLevel="0" collapsed="false">
      <c r="A1855" s="2" t="s">
        <v>184</v>
      </c>
      <c r="B1855" s="2" t="s">
        <v>221</v>
      </c>
      <c r="C1855" s="2" t="s">
        <v>50</v>
      </c>
      <c r="D1855" s="2" t="s">
        <v>12</v>
      </c>
      <c r="E1855" s="2" t="s">
        <v>76</v>
      </c>
      <c r="F1855" s="2" t="s">
        <v>1146</v>
      </c>
      <c r="G1855" s="14" t="n">
        <v>19.5</v>
      </c>
      <c r="H1855" s="14" t="n">
        <v>116.73</v>
      </c>
      <c r="I1855" s="14" t="n">
        <v>24.5</v>
      </c>
      <c r="J1855" s="22" t="n">
        <f aca="false">IF(E1855="Priority",'Cost model'!N223,'Cost model'!M223)</f>
        <v>70</v>
      </c>
      <c r="K1855" s="14" t="n">
        <f aca="false">J1855-H1855</f>
        <v>-46.73</v>
      </c>
      <c r="L1855" s="14" t="n">
        <f aca="false">G1855-H1855</f>
        <v>-97.23</v>
      </c>
    </row>
    <row r="1856" customFormat="false" ht="15" hidden="false" customHeight="false" outlineLevel="0" collapsed="false">
      <c r="A1856" s="2" t="s">
        <v>240</v>
      </c>
      <c r="B1856" s="2" t="s">
        <v>165</v>
      </c>
      <c r="C1856" s="2" t="s">
        <v>48</v>
      </c>
      <c r="D1856" s="2" t="s">
        <v>12</v>
      </c>
      <c r="E1856" s="2" t="s">
        <v>76</v>
      </c>
      <c r="F1856" s="2" t="s">
        <v>1146</v>
      </c>
      <c r="G1856" s="14" t="n">
        <v>9.5</v>
      </c>
      <c r="H1856" s="14" t="n">
        <v>17.41</v>
      </c>
      <c r="I1856" s="14" t="n">
        <v>19.5</v>
      </c>
      <c r="J1856" s="22" t="n">
        <f aca="false">IF(E1856="Priority",'Cost model'!N905,'Cost model'!M905)</f>
        <v>50</v>
      </c>
      <c r="K1856" s="14" t="n">
        <f aca="false">J1856-H1856</f>
        <v>32.59</v>
      </c>
      <c r="L1856" s="14" t="n">
        <f aca="false">G1856-H1856</f>
        <v>-7.91</v>
      </c>
    </row>
    <row r="1857" customFormat="false" ht="15" hidden="false" customHeight="false" outlineLevel="0" collapsed="false">
      <c r="A1857" s="2" t="s">
        <v>184</v>
      </c>
      <c r="B1857" s="2" t="s">
        <v>184</v>
      </c>
      <c r="C1857" s="2" t="s">
        <v>50</v>
      </c>
      <c r="D1857" s="2" t="s">
        <v>12</v>
      </c>
      <c r="E1857" s="2" t="s">
        <v>76</v>
      </c>
      <c r="F1857" s="2" t="s">
        <v>1145</v>
      </c>
      <c r="G1857" s="14" t="n">
        <v>19.5</v>
      </c>
      <c r="H1857" s="14" t="n">
        <v>54.6</v>
      </c>
      <c r="I1857" s="14" t="n">
        <v>19.5</v>
      </c>
      <c r="J1857" s="22" t="n">
        <f aca="false">IF(E1857="Priority",'Cost model'!N205,'Cost model'!M205)</f>
        <v>50</v>
      </c>
      <c r="K1857" s="14" t="n">
        <f aca="false">J1857-H1857</f>
        <v>-4.6</v>
      </c>
      <c r="L1857" s="14" t="n">
        <f aca="false">G1857-H1857</f>
        <v>-35.1</v>
      </c>
    </row>
    <row r="1858" customFormat="false" ht="15" hidden="false" customHeight="false" outlineLevel="0" collapsed="false">
      <c r="A1858" s="2" t="s">
        <v>126</v>
      </c>
      <c r="B1858" s="2" t="s">
        <v>126</v>
      </c>
      <c r="C1858" s="2" t="s">
        <v>49</v>
      </c>
      <c r="D1858" s="2" t="s">
        <v>10</v>
      </c>
      <c r="E1858" s="2" t="s">
        <v>76</v>
      </c>
      <c r="F1858" s="2" t="s">
        <v>1145</v>
      </c>
      <c r="G1858" s="14" t="n">
        <v>12.5</v>
      </c>
      <c r="H1858" s="14" t="n">
        <v>9.94</v>
      </c>
      <c r="I1858" s="14" t="n">
        <v>12.5</v>
      </c>
      <c r="J1858" s="22" t="n">
        <f aca="false">IF(E1858="Priority",'Cost model'!N381,'Cost model'!M381)</f>
        <v>14.5</v>
      </c>
      <c r="K1858" s="14" t="n">
        <f aca="false">J1858-H1858</f>
        <v>4.56</v>
      </c>
      <c r="L1858" s="14" t="n">
        <f aca="false">G1858-H1858</f>
        <v>2.56</v>
      </c>
    </row>
    <row r="1859" customFormat="false" ht="15" hidden="false" customHeight="false" outlineLevel="0" collapsed="false">
      <c r="A1859" s="2" t="s">
        <v>126</v>
      </c>
      <c r="B1859" s="2" t="s">
        <v>126</v>
      </c>
      <c r="C1859" s="2" t="s">
        <v>50</v>
      </c>
      <c r="D1859" s="2" t="s">
        <v>12</v>
      </c>
      <c r="E1859" s="2" t="s">
        <v>85</v>
      </c>
      <c r="F1859" s="2" t="s">
        <v>1145</v>
      </c>
      <c r="G1859" s="14" t="n">
        <v>29.5</v>
      </c>
      <c r="H1859" s="14" t="n">
        <v>43.77</v>
      </c>
      <c r="I1859" s="14" t="n">
        <v>29.5</v>
      </c>
      <c r="J1859" s="22" t="n">
        <f aca="false">IF(E1859="Priority",'Cost model'!N385,'Cost model'!M385)</f>
        <v>70</v>
      </c>
      <c r="K1859" s="14" t="n">
        <f aca="false">J1859-H1859</f>
        <v>26.23</v>
      </c>
      <c r="L1859" s="14" t="n">
        <f aca="false">G1859-H1859</f>
        <v>-14.27</v>
      </c>
    </row>
    <row r="1860" customFormat="false" ht="15" hidden="false" customHeight="false" outlineLevel="0" collapsed="false">
      <c r="A1860" s="2" t="s">
        <v>146</v>
      </c>
      <c r="B1860" s="2" t="s">
        <v>146</v>
      </c>
      <c r="C1860" s="2" t="s">
        <v>49</v>
      </c>
      <c r="D1860" s="2" t="s">
        <v>10</v>
      </c>
      <c r="E1860" s="2" t="s">
        <v>76</v>
      </c>
      <c r="F1860" s="2" t="s">
        <v>1145</v>
      </c>
      <c r="G1860" s="14" t="n">
        <v>12.5</v>
      </c>
      <c r="H1860" s="14" t="n">
        <v>10.8</v>
      </c>
      <c r="I1860" s="14" t="n">
        <v>12.5</v>
      </c>
      <c r="J1860" s="22" t="n">
        <f aca="false">IF(E1860="Priority",'Cost model'!N759,'Cost model'!M759)</f>
        <v>15.5</v>
      </c>
      <c r="K1860" s="14" t="n">
        <f aca="false">J1860-H1860</f>
        <v>4.7</v>
      </c>
      <c r="L1860" s="14" t="n">
        <f aca="false">G1860-H1860</f>
        <v>1.7</v>
      </c>
    </row>
    <row r="1861" customFormat="false" ht="15" hidden="false" customHeight="false" outlineLevel="0" collapsed="false">
      <c r="A1861" s="2" t="s">
        <v>126</v>
      </c>
      <c r="B1861" s="2" t="s">
        <v>126</v>
      </c>
      <c r="C1861" s="2" t="s">
        <v>48</v>
      </c>
      <c r="D1861" s="2" t="s">
        <v>10</v>
      </c>
      <c r="E1861" s="2" t="s">
        <v>76</v>
      </c>
      <c r="F1861" s="2" t="s">
        <v>1145</v>
      </c>
      <c r="G1861" s="14" t="n">
        <v>9.5</v>
      </c>
      <c r="H1861" s="14" t="n">
        <v>7.12</v>
      </c>
      <c r="I1861" s="14" t="n">
        <v>9.5</v>
      </c>
      <c r="J1861" s="22" t="n">
        <f aca="false">IF(E1861="Priority",'Cost model'!N380,'Cost model'!M380)</f>
        <v>8.5</v>
      </c>
      <c r="K1861" s="14" t="n">
        <f aca="false">J1861-H1861</f>
        <v>1.38</v>
      </c>
      <c r="L1861" s="14" t="n">
        <f aca="false">G1861-H1861</f>
        <v>2.38</v>
      </c>
    </row>
    <row r="1862" customFormat="false" ht="15" hidden="false" customHeight="false" outlineLevel="0" collapsed="false">
      <c r="A1862" s="2" t="s">
        <v>240</v>
      </c>
      <c r="B1862" s="2" t="s">
        <v>240</v>
      </c>
      <c r="C1862" s="2" t="s">
        <v>48</v>
      </c>
      <c r="D1862" s="2" t="s">
        <v>13</v>
      </c>
      <c r="E1862" s="2" t="s">
        <v>76</v>
      </c>
      <c r="F1862" s="2" t="s">
        <v>1145</v>
      </c>
      <c r="G1862" s="14" t="n">
        <v>19.5</v>
      </c>
      <c r="H1862" s="14" t="n">
        <v>79.17</v>
      </c>
      <c r="I1862" s="14" t="n">
        <v>19.5</v>
      </c>
      <c r="J1862" s="22" t="n">
        <f aca="false">IF(E1862="Priority",'Cost model'!N890,'Cost model'!M890)</f>
        <v>45</v>
      </c>
      <c r="K1862" s="14" t="n">
        <f aca="false">J1862-H1862</f>
        <v>-34.17</v>
      </c>
      <c r="L1862" s="14" t="n">
        <f aca="false">G1862-H1862</f>
        <v>-59.67</v>
      </c>
    </row>
    <row r="1863" customFormat="false" ht="15" hidden="false" customHeight="false" outlineLevel="0" collapsed="false">
      <c r="A1863" s="2" t="s">
        <v>221</v>
      </c>
      <c r="B1863" s="2" t="s">
        <v>146</v>
      </c>
      <c r="C1863" s="2" t="s">
        <v>49</v>
      </c>
      <c r="D1863" s="2" t="s">
        <v>12</v>
      </c>
      <c r="E1863" s="2" t="s">
        <v>76</v>
      </c>
      <c r="F1863" s="2" t="s">
        <v>1146</v>
      </c>
      <c r="G1863" s="14" t="n">
        <v>19.5</v>
      </c>
      <c r="H1863" s="14" t="n">
        <v>180.71</v>
      </c>
      <c r="I1863" s="14" t="n">
        <v>19.5</v>
      </c>
      <c r="J1863" s="22" t="n">
        <f aca="false">IF(E1863="Priority",'Cost model'!N654,'Cost model'!M654)</f>
        <v>80</v>
      </c>
      <c r="K1863" s="14" t="n">
        <f aca="false">J1863-H1863</f>
        <v>-100.71</v>
      </c>
      <c r="L1863" s="14" t="n">
        <f aca="false">G1863-H1863</f>
        <v>-161.21</v>
      </c>
    </row>
    <row r="1864" customFormat="false" ht="15" hidden="false" customHeight="false" outlineLevel="0" collapsed="false">
      <c r="A1864" s="2" t="s">
        <v>126</v>
      </c>
      <c r="B1864" s="2" t="s">
        <v>126</v>
      </c>
      <c r="C1864" s="2" t="s">
        <v>48</v>
      </c>
      <c r="D1864" s="2" t="s">
        <v>10</v>
      </c>
      <c r="E1864" s="2" t="s">
        <v>76</v>
      </c>
      <c r="F1864" s="2" t="s">
        <v>1145</v>
      </c>
      <c r="G1864" s="14" t="n">
        <v>9.5</v>
      </c>
      <c r="H1864" s="14" t="n">
        <v>7.46</v>
      </c>
      <c r="I1864" s="14" t="n">
        <v>9.5</v>
      </c>
      <c r="J1864" s="22" t="n">
        <f aca="false">IF(E1864="Priority",'Cost model'!N380,'Cost model'!M380)</f>
        <v>8.5</v>
      </c>
      <c r="K1864" s="14" t="n">
        <f aca="false">J1864-H1864</f>
        <v>1.04</v>
      </c>
      <c r="L1864" s="14" t="n">
        <f aca="false">G1864-H1864</f>
        <v>2.04</v>
      </c>
    </row>
    <row r="1865" customFormat="false" ht="15" hidden="false" customHeight="false" outlineLevel="0" collapsed="false">
      <c r="A1865" s="2" t="s">
        <v>146</v>
      </c>
      <c r="B1865" s="2" t="s">
        <v>146</v>
      </c>
      <c r="C1865" s="2" t="s">
        <v>48</v>
      </c>
      <c r="D1865" s="2" t="s">
        <v>12</v>
      </c>
      <c r="E1865" s="2" t="s">
        <v>76</v>
      </c>
      <c r="F1865" s="2" t="s">
        <v>1145</v>
      </c>
      <c r="G1865" s="14" t="n">
        <v>9.5</v>
      </c>
      <c r="H1865" s="14" t="n">
        <v>27.98</v>
      </c>
      <c r="I1865" s="14" t="n">
        <v>9.5</v>
      </c>
      <c r="J1865" s="22" t="n">
        <f aca="false">IF(E1865="Priority",'Cost model'!N761,'Cost model'!M761)</f>
        <v>35</v>
      </c>
      <c r="K1865" s="14" t="n">
        <f aca="false">J1865-H1865</f>
        <v>7.02</v>
      </c>
      <c r="L1865" s="14" t="n">
        <f aca="false">G1865-H1865</f>
        <v>-18.48</v>
      </c>
    </row>
    <row r="1866" customFormat="false" ht="15" hidden="false" customHeight="false" outlineLevel="0" collapsed="false">
      <c r="A1866" s="2" t="s">
        <v>240</v>
      </c>
      <c r="B1866" s="2" t="s">
        <v>240</v>
      </c>
      <c r="C1866" s="2" t="s">
        <v>48</v>
      </c>
      <c r="D1866" s="2" t="s">
        <v>10</v>
      </c>
      <c r="E1866" s="2" t="s">
        <v>76</v>
      </c>
      <c r="F1866" s="2" t="s">
        <v>1145</v>
      </c>
      <c r="G1866" s="14" t="n">
        <v>9.5</v>
      </c>
      <c r="H1866" s="14" t="n">
        <v>6.12</v>
      </c>
      <c r="I1866" s="14" t="n">
        <v>9.5</v>
      </c>
      <c r="J1866" s="22" t="n">
        <f aca="false">IF(E1866="Priority",'Cost model'!N884,'Cost model'!M884)</f>
        <v>7.5</v>
      </c>
      <c r="K1866" s="14" t="n">
        <f aca="false">J1866-H1866</f>
        <v>1.38</v>
      </c>
      <c r="L1866" s="14" t="n">
        <f aca="false">G1866-H1866</f>
        <v>3.38</v>
      </c>
    </row>
    <row r="1867" customFormat="false" ht="15" hidden="false" customHeight="false" outlineLevel="0" collapsed="false">
      <c r="A1867" s="2" t="s">
        <v>146</v>
      </c>
      <c r="B1867" s="2" t="s">
        <v>146</v>
      </c>
      <c r="C1867" s="2" t="s">
        <v>49</v>
      </c>
      <c r="D1867" s="2" t="s">
        <v>10</v>
      </c>
      <c r="E1867" s="2" t="s">
        <v>76</v>
      </c>
      <c r="F1867" s="2" t="s">
        <v>1145</v>
      </c>
      <c r="G1867" s="14" t="n">
        <v>12.5</v>
      </c>
      <c r="H1867" s="14" t="n">
        <v>14.25</v>
      </c>
      <c r="I1867" s="14" t="n">
        <v>12.5</v>
      </c>
      <c r="J1867" s="22" t="n">
        <f aca="false">IF(E1867="Priority",'Cost model'!N759,'Cost model'!M759)</f>
        <v>15.5</v>
      </c>
      <c r="K1867" s="14" t="n">
        <f aca="false">J1867-H1867</f>
        <v>1.25</v>
      </c>
      <c r="L1867" s="14" t="n">
        <f aca="false">G1867-H1867</f>
        <v>-1.75</v>
      </c>
    </row>
    <row r="1868" customFormat="false" ht="15" hidden="false" customHeight="false" outlineLevel="0" collapsed="false">
      <c r="A1868" s="2" t="s">
        <v>184</v>
      </c>
      <c r="B1868" s="2" t="s">
        <v>184</v>
      </c>
      <c r="C1868" s="2" t="s">
        <v>50</v>
      </c>
      <c r="D1868" s="2" t="s">
        <v>12</v>
      </c>
      <c r="E1868" s="2" t="s">
        <v>76</v>
      </c>
      <c r="F1868" s="2" t="s">
        <v>1145</v>
      </c>
      <c r="G1868" s="14" t="n">
        <v>19.5</v>
      </c>
      <c r="H1868" s="14" t="n">
        <v>46.84</v>
      </c>
      <c r="I1868" s="14" t="n">
        <v>19.5</v>
      </c>
      <c r="J1868" s="22" t="n">
        <f aca="false">IF(E1868="Priority",'Cost model'!N205,'Cost model'!M205)</f>
        <v>50</v>
      </c>
      <c r="K1868" s="14" t="n">
        <f aca="false">J1868-H1868</f>
        <v>3.16</v>
      </c>
      <c r="L1868" s="14" t="n">
        <f aca="false">G1868-H1868</f>
        <v>-27.34</v>
      </c>
    </row>
    <row r="1869" customFormat="false" ht="15" hidden="false" customHeight="false" outlineLevel="0" collapsed="false">
      <c r="A1869" s="2" t="s">
        <v>126</v>
      </c>
      <c r="B1869" s="2" t="s">
        <v>184</v>
      </c>
      <c r="C1869" s="2" t="s">
        <v>49</v>
      </c>
      <c r="D1869" s="2" t="s">
        <v>12</v>
      </c>
      <c r="E1869" s="2" t="s">
        <v>76</v>
      </c>
      <c r="F1869" s="2" t="s">
        <v>1146</v>
      </c>
      <c r="G1869" s="14" t="n">
        <v>19.5</v>
      </c>
      <c r="H1869" s="14" t="n">
        <v>98.77</v>
      </c>
      <c r="I1869" s="14" t="n">
        <v>19.5</v>
      </c>
      <c r="J1869" s="22" t="n">
        <f aca="false">IF(E1869="Priority",'Cost model'!N438,'Cost model'!M438)</f>
        <v>55</v>
      </c>
      <c r="K1869" s="14" t="n">
        <f aca="false">J1869-H1869</f>
        <v>-43.77</v>
      </c>
      <c r="L1869" s="14" t="n">
        <f aca="false">G1869-H1869</f>
        <v>-79.27</v>
      </c>
    </row>
    <row r="1870" customFormat="false" ht="15" hidden="false" customHeight="false" outlineLevel="0" collapsed="false">
      <c r="A1870" s="2" t="s">
        <v>126</v>
      </c>
      <c r="B1870" s="2" t="s">
        <v>126</v>
      </c>
      <c r="C1870" s="2" t="s">
        <v>49</v>
      </c>
      <c r="D1870" s="2" t="s">
        <v>10</v>
      </c>
      <c r="E1870" s="2" t="s">
        <v>85</v>
      </c>
      <c r="F1870" s="2" t="s">
        <v>1145</v>
      </c>
      <c r="G1870" s="14" t="n">
        <v>17.5</v>
      </c>
      <c r="H1870" s="14" t="n">
        <v>30.29</v>
      </c>
      <c r="I1870" s="14" t="n">
        <v>17.5</v>
      </c>
      <c r="J1870" s="22" t="n">
        <f aca="false">IF(E1870="Priority",'Cost model'!N381,'Cost model'!M381)</f>
        <v>19.5</v>
      </c>
      <c r="K1870" s="14" t="n">
        <f aca="false">J1870-H1870</f>
        <v>-10.79</v>
      </c>
      <c r="L1870" s="14" t="n">
        <f aca="false">G1870-H1870</f>
        <v>-12.79</v>
      </c>
    </row>
    <row r="1871" customFormat="false" ht="15" hidden="false" customHeight="false" outlineLevel="0" collapsed="false">
      <c r="A1871" s="2" t="s">
        <v>126</v>
      </c>
      <c r="B1871" s="2" t="s">
        <v>126</v>
      </c>
      <c r="C1871" s="2" t="s">
        <v>50</v>
      </c>
      <c r="D1871" s="2" t="s">
        <v>14</v>
      </c>
      <c r="E1871" s="2" t="s">
        <v>76</v>
      </c>
      <c r="F1871" s="2" t="s">
        <v>1145</v>
      </c>
      <c r="G1871" s="14" t="n">
        <v>85</v>
      </c>
      <c r="H1871" s="14" t="n">
        <v>191.9</v>
      </c>
      <c r="I1871" s="14" t="n">
        <v>85</v>
      </c>
      <c r="J1871" s="22" t="n">
        <f aca="false">IF(E1871="Priority",'Cost model'!N391,'Cost model'!M391)</f>
        <v>170</v>
      </c>
      <c r="K1871" s="14" t="n">
        <f aca="false">J1871-H1871</f>
        <v>-21.9</v>
      </c>
      <c r="L1871" s="14" t="n">
        <f aca="false">G1871-H1871</f>
        <v>-106.9</v>
      </c>
    </row>
    <row r="1872" customFormat="false" ht="15" hidden="false" customHeight="false" outlineLevel="0" collapsed="false">
      <c r="A1872" s="2" t="s">
        <v>184</v>
      </c>
      <c r="B1872" s="2" t="s">
        <v>126</v>
      </c>
      <c r="C1872" s="2" t="s">
        <v>49</v>
      </c>
      <c r="D1872" s="2" t="s">
        <v>12</v>
      </c>
      <c r="E1872" s="2" t="s">
        <v>76</v>
      </c>
      <c r="F1872" s="2" t="s">
        <v>1146</v>
      </c>
      <c r="G1872" s="14" t="n">
        <v>19.5</v>
      </c>
      <c r="H1872" s="14" t="n">
        <v>63.45</v>
      </c>
      <c r="I1872" s="14"/>
      <c r="J1872" s="22" t="n">
        <f aca="false">IF(E1872="Priority",'Cost model'!N132,'Cost model'!M132)</f>
        <v>50</v>
      </c>
      <c r="K1872" s="14" t="n">
        <f aca="false">J1872-H1872</f>
        <v>-13.45</v>
      </c>
      <c r="L1872" s="14" t="n">
        <f aca="false">G1872-H1872</f>
        <v>-43.95</v>
      </c>
    </row>
    <row r="1873" customFormat="false" ht="15" hidden="false" customHeight="false" outlineLevel="0" collapsed="false">
      <c r="A1873" s="2" t="s">
        <v>146</v>
      </c>
      <c r="B1873" s="2" t="s">
        <v>146</v>
      </c>
      <c r="C1873" s="2" t="s">
        <v>50</v>
      </c>
      <c r="D1873" s="2" t="s">
        <v>12</v>
      </c>
      <c r="E1873" s="2" t="s">
        <v>76</v>
      </c>
      <c r="F1873" s="2" t="s">
        <v>1145</v>
      </c>
      <c r="G1873" s="14" t="n">
        <v>19.5</v>
      </c>
      <c r="H1873" s="14" t="n">
        <v>65.78</v>
      </c>
      <c r="I1873" s="14" t="n">
        <v>19.5</v>
      </c>
      <c r="J1873" s="22" t="n">
        <f aca="false">IF(E1873="Priority",'Cost model'!N763,'Cost model'!M763)</f>
        <v>50</v>
      </c>
      <c r="K1873" s="14" t="n">
        <f aca="false">J1873-H1873</f>
        <v>-15.78</v>
      </c>
      <c r="L1873" s="14" t="n">
        <f aca="false">G1873-H1873</f>
        <v>-46.28</v>
      </c>
    </row>
    <row r="1874" customFormat="false" ht="15" hidden="false" customHeight="false" outlineLevel="0" collapsed="false">
      <c r="A1874" s="2" t="s">
        <v>184</v>
      </c>
      <c r="B1874" s="2" t="s">
        <v>184</v>
      </c>
      <c r="C1874" s="2" t="s">
        <v>50</v>
      </c>
      <c r="D1874" s="2" t="s">
        <v>10</v>
      </c>
      <c r="E1874" s="2" t="s">
        <v>85</v>
      </c>
      <c r="F1874" s="2" t="s">
        <v>1145</v>
      </c>
      <c r="G1874" s="14" t="n">
        <v>24.5</v>
      </c>
      <c r="H1874" s="14" t="n">
        <v>11.59</v>
      </c>
      <c r="I1874" s="14" t="n">
        <v>24.5</v>
      </c>
      <c r="J1874" s="22" t="n">
        <f aca="false">IF(E1874="Priority",'Cost model'!N202,'Cost model'!M202)</f>
        <v>23.5</v>
      </c>
      <c r="K1874" s="14" t="n">
        <f aca="false">J1874-H1874</f>
        <v>11.91</v>
      </c>
      <c r="L1874" s="14" t="n">
        <f aca="false">G1874-H1874</f>
        <v>12.91</v>
      </c>
    </row>
    <row r="1875" customFormat="false" ht="15" hidden="false" customHeight="false" outlineLevel="0" collapsed="false">
      <c r="A1875" s="2" t="s">
        <v>126</v>
      </c>
      <c r="B1875" s="2" t="s">
        <v>126</v>
      </c>
      <c r="C1875" s="2" t="s">
        <v>48</v>
      </c>
      <c r="D1875" s="2" t="s">
        <v>15</v>
      </c>
      <c r="E1875" s="2" t="s">
        <v>76</v>
      </c>
      <c r="F1875" s="2" t="s">
        <v>1145</v>
      </c>
      <c r="G1875" s="14" t="n">
        <v>45</v>
      </c>
      <c r="H1875" s="14" t="n">
        <v>41.84</v>
      </c>
      <c r="I1875" s="14" t="n">
        <v>45</v>
      </c>
      <c r="J1875" s="22" t="n">
        <f aca="false">IF(E1875="Priority",'Cost model'!N392,'Cost model'!M392)</f>
        <v>115</v>
      </c>
      <c r="K1875" s="14" t="n">
        <f aca="false">J1875-H1875</f>
        <v>73.16</v>
      </c>
      <c r="L1875" s="14" t="n">
        <f aca="false">G1875-H1875</f>
        <v>3.16</v>
      </c>
    </row>
    <row r="1876" customFormat="false" ht="15" hidden="false" customHeight="false" outlineLevel="0" collapsed="false">
      <c r="A1876" s="2" t="s">
        <v>240</v>
      </c>
      <c r="B1876" s="2" t="s">
        <v>165</v>
      </c>
      <c r="C1876" s="2" t="s">
        <v>48</v>
      </c>
      <c r="D1876" s="2" t="s">
        <v>12</v>
      </c>
      <c r="E1876" s="2" t="s">
        <v>76</v>
      </c>
      <c r="F1876" s="2" t="s">
        <v>1146</v>
      </c>
      <c r="G1876" s="14" t="n">
        <v>19.5</v>
      </c>
      <c r="H1876" s="14" t="n">
        <v>54.92</v>
      </c>
      <c r="I1876" s="14" t="n">
        <v>19.5</v>
      </c>
      <c r="J1876" s="22" t="n">
        <f aca="false">IF(E1876="Priority",'Cost model'!N905,'Cost model'!M905)</f>
        <v>50</v>
      </c>
      <c r="K1876" s="14" t="n">
        <f aca="false">J1876-H1876</f>
        <v>-4.92</v>
      </c>
      <c r="L1876" s="14" t="n">
        <f aca="false">G1876-H1876</f>
        <v>-35.42</v>
      </c>
    </row>
    <row r="1877" customFormat="false" ht="15" hidden="false" customHeight="false" outlineLevel="0" collapsed="false">
      <c r="A1877" s="2" t="s">
        <v>184</v>
      </c>
      <c r="B1877" s="2" t="s">
        <v>146</v>
      </c>
      <c r="C1877" s="2" t="s">
        <v>48</v>
      </c>
      <c r="D1877" s="2" t="s">
        <v>12</v>
      </c>
      <c r="E1877" s="2" t="s">
        <v>76</v>
      </c>
      <c r="F1877" s="2" t="s">
        <v>1146</v>
      </c>
      <c r="G1877" s="14" t="n">
        <v>9.5</v>
      </c>
      <c r="H1877" s="14" t="n">
        <v>45.14</v>
      </c>
      <c r="I1877" s="14" t="n">
        <v>9.5</v>
      </c>
      <c r="J1877" s="22" t="n">
        <f aca="false">IF(E1877="Priority",'Cost model'!N149,'Cost model'!M149)</f>
        <v>45</v>
      </c>
      <c r="K1877" s="14" t="n">
        <f aca="false">J1877-H1877</f>
        <v>-0.140000000000001</v>
      </c>
      <c r="L1877" s="14" t="n">
        <f aca="false">G1877-H1877</f>
        <v>-35.64</v>
      </c>
    </row>
    <row r="1878" customFormat="false" ht="15" hidden="false" customHeight="false" outlineLevel="0" collapsed="false">
      <c r="A1878" s="2" t="s">
        <v>184</v>
      </c>
      <c r="B1878" s="2" t="s">
        <v>184</v>
      </c>
      <c r="C1878" s="2" t="s">
        <v>49</v>
      </c>
      <c r="D1878" s="2" t="s">
        <v>13</v>
      </c>
      <c r="E1878" s="2" t="s">
        <v>76</v>
      </c>
      <c r="F1878" s="2" t="s">
        <v>1145</v>
      </c>
      <c r="G1878" s="14" t="n">
        <v>24.5</v>
      </c>
      <c r="H1878" s="14" t="n">
        <v>38.18</v>
      </c>
      <c r="I1878" s="14"/>
      <c r="J1878" s="22" t="n">
        <f aca="false">IF(E1878="Priority",'Cost model'!N207,'Cost model'!M207)</f>
        <v>75</v>
      </c>
      <c r="K1878" s="14" t="n">
        <f aca="false">J1878-H1878</f>
        <v>36.82</v>
      </c>
      <c r="L1878" s="14" t="n">
        <f aca="false">G1878-H1878</f>
        <v>-13.68</v>
      </c>
    </row>
    <row r="1879" customFormat="false" ht="15" hidden="false" customHeight="false" outlineLevel="0" collapsed="false">
      <c r="A1879" s="2" t="s">
        <v>240</v>
      </c>
      <c r="B1879" s="2" t="s">
        <v>240</v>
      </c>
      <c r="C1879" s="2" t="s">
        <v>48</v>
      </c>
      <c r="D1879" s="2" t="s">
        <v>10</v>
      </c>
      <c r="E1879" s="2" t="s">
        <v>76</v>
      </c>
      <c r="F1879" s="2" t="s">
        <v>1145</v>
      </c>
      <c r="G1879" s="14" t="n">
        <v>9.5</v>
      </c>
      <c r="H1879" s="14" t="n">
        <v>7.12</v>
      </c>
      <c r="I1879" s="14" t="n">
        <v>9.5</v>
      </c>
      <c r="J1879" s="22" t="n">
        <f aca="false">IF(E1879="Priority",'Cost model'!N884,'Cost model'!M884)</f>
        <v>7.5</v>
      </c>
      <c r="K1879" s="14" t="n">
        <f aca="false">J1879-H1879</f>
        <v>0.38</v>
      </c>
      <c r="L1879" s="14" t="n">
        <f aca="false">G1879-H1879</f>
        <v>2.38</v>
      </c>
    </row>
    <row r="1880" customFormat="false" ht="15" hidden="false" customHeight="false" outlineLevel="0" collapsed="false">
      <c r="A1880" s="2" t="s">
        <v>184</v>
      </c>
      <c r="B1880" s="2" t="s">
        <v>184</v>
      </c>
      <c r="C1880" s="2" t="s">
        <v>49</v>
      </c>
      <c r="D1880" s="2" t="s">
        <v>12</v>
      </c>
      <c r="E1880" s="2" t="s">
        <v>76</v>
      </c>
      <c r="F1880" s="2" t="s">
        <v>1145</v>
      </c>
      <c r="G1880" s="14" t="n">
        <v>12.5</v>
      </c>
      <c r="H1880" s="14" t="n">
        <v>28.66</v>
      </c>
      <c r="I1880" s="14" t="n">
        <v>12.5</v>
      </c>
      <c r="J1880" s="22" t="n">
        <f aca="false">IF(E1880="Priority",'Cost model'!N204,'Cost model'!M204)</f>
        <v>45</v>
      </c>
      <c r="K1880" s="14" t="n">
        <f aca="false">J1880-H1880</f>
        <v>16.34</v>
      </c>
      <c r="L1880" s="14" t="n">
        <f aca="false">G1880-H1880</f>
        <v>-16.16</v>
      </c>
    </row>
    <row r="1881" customFormat="false" ht="15" hidden="false" customHeight="false" outlineLevel="0" collapsed="false">
      <c r="A1881" s="2" t="s">
        <v>126</v>
      </c>
      <c r="B1881" s="2" t="s">
        <v>126</v>
      </c>
      <c r="C1881" s="2" t="s">
        <v>49</v>
      </c>
      <c r="D1881" s="2" t="s">
        <v>10</v>
      </c>
      <c r="E1881" s="2" t="s">
        <v>76</v>
      </c>
      <c r="F1881" s="2" t="s">
        <v>1145</v>
      </c>
      <c r="G1881" s="14" t="n">
        <v>12.5</v>
      </c>
      <c r="H1881" s="14" t="n">
        <v>11.51</v>
      </c>
      <c r="I1881" s="14" t="n">
        <v>12.5</v>
      </c>
      <c r="J1881" s="22" t="n">
        <f aca="false">IF(E1881="Priority",'Cost model'!N381,'Cost model'!M381)</f>
        <v>14.5</v>
      </c>
      <c r="K1881" s="14" t="n">
        <f aca="false">J1881-H1881</f>
        <v>2.99</v>
      </c>
      <c r="L1881" s="14" t="n">
        <f aca="false">G1881-H1881</f>
        <v>0.99</v>
      </c>
    </row>
    <row r="1882" customFormat="false" ht="15" hidden="false" customHeight="false" outlineLevel="0" collapsed="false">
      <c r="A1882" s="2" t="s">
        <v>146</v>
      </c>
      <c r="B1882" s="2" t="s">
        <v>126</v>
      </c>
      <c r="C1882" s="2" t="s">
        <v>49</v>
      </c>
      <c r="D1882" s="2" t="s">
        <v>12</v>
      </c>
      <c r="E1882" s="2" t="s">
        <v>76</v>
      </c>
      <c r="F1882" s="2" t="s">
        <v>1146</v>
      </c>
      <c r="G1882" s="14" t="n">
        <v>19.5</v>
      </c>
      <c r="H1882" s="14" t="n">
        <v>47.34</v>
      </c>
      <c r="I1882" s="14" t="n">
        <v>19.5</v>
      </c>
      <c r="J1882" s="22" t="n">
        <f aca="false">IF(E1882="Priority",'Cost model'!N798,'Cost model'!M798)</f>
        <v>45</v>
      </c>
      <c r="K1882" s="14" t="n">
        <f aca="false">J1882-H1882</f>
        <v>-2.34</v>
      </c>
      <c r="L1882" s="14" t="n">
        <f aca="false">G1882-H1882</f>
        <v>-27.84</v>
      </c>
    </row>
    <row r="1883" customFormat="false" ht="15" hidden="false" customHeight="false" outlineLevel="0" collapsed="false">
      <c r="A1883" s="2" t="s">
        <v>146</v>
      </c>
      <c r="B1883" s="2" t="s">
        <v>184</v>
      </c>
      <c r="C1883" s="2" t="s">
        <v>50</v>
      </c>
      <c r="D1883" s="2" t="s">
        <v>12</v>
      </c>
      <c r="E1883" s="2" t="s">
        <v>76</v>
      </c>
      <c r="F1883" s="2" t="s">
        <v>1146</v>
      </c>
      <c r="G1883" s="14" t="n">
        <v>29.5</v>
      </c>
      <c r="H1883" s="14" t="n">
        <v>59.14</v>
      </c>
      <c r="I1883" s="14" t="n">
        <v>19.5</v>
      </c>
      <c r="J1883" s="22" t="n">
        <f aca="false">IF(E1883="Priority",'Cost model'!N835,'Cost model'!M835)</f>
        <v>50</v>
      </c>
      <c r="K1883" s="14" t="n">
        <f aca="false">J1883-H1883</f>
        <v>-9.14</v>
      </c>
      <c r="L1883" s="14" t="n">
        <f aca="false">G1883-H1883</f>
        <v>-29.64</v>
      </c>
    </row>
    <row r="1884" customFormat="false" ht="15" hidden="false" customHeight="false" outlineLevel="0" collapsed="false">
      <c r="A1884" s="2" t="s">
        <v>146</v>
      </c>
      <c r="B1884" s="2" t="s">
        <v>221</v>
      </c>
      <c r="C1884" s="2" t="s">
        <v>48</v>
      </c>
      <c r="D1884" s="2" t="s">
        <v>10</v>
      </c>
      <c r="E1884" s="2" t="s">
        <v>76</v>
      </c>
      <c r="F1884" s="2" t="s">
        <v>1146</v>
      </c>
      <c r="G1884" s="14" t="n">
        <v>14.5</v>
      </c>
      <c r="H1884" s="14" t="n">
        <v>5.95</v>
      </c>
      <c r="I1884" s="14" t="n">
        <v>19.5</v>
      </c>
      <c r="J1884" s="22" t="n">
        <f aca="false">IF(E1884="Priority",'Cost model'!N848,'Cost model'!M848)</f>
        <v>9.5</v>
      </c>
      <c r="K1884" s="14" t="n">
        <f aca="false">J1884-H1884</f>
        <v>3.55</v>
      </c>
      <c r="L1884" s="14" t="n">
        <f aca="false">G1884-H1884</f>
        <v>8.55</v>
      </c>
    </row>
    <row r="1885" customFormat="false" ht="15" hidden="false" customHeight="false" outlineLevel="0" collapsed="false">
      <c r="A1885" s="2" t="s">
        <v>146</v>
      </c>
      <c r="B1885" s="2" t="s">
        <v>184</v>
      </c>
      <c r="C1885" s="2" t="s">
        <v>48</v>
      </c>
      <c r="D1885" s="2" t="s">
        <v>12</v>
      </c>
      <c r="E1885" s="2" t="s">
        <v>76</v>
      </c>
      <c r="F1885" s="2" t="s">
        <v>1146</v>
      </c>
      <c r="G1885" s="14" t="n">
        <v>9.5</v>
      </c>
      <c r="H1885" s="14" t="n">
        <v>8.06</v>
      </c>
      <c r="I1885" s="14" t="n">
        <v>19.5</v>
      </c>
      <c r="J1885" s="22" t="n">
        <f aca="false">IF(E1885="Priority",'Cost model'!N833,'Cost model'!M833)</f>
        <v>45</v>
      </c>
      <c r="K1885" s="14" t="n">
        <f aca="false">J1885-H1885</f>
        <v>36.94</v>
      </c>
      <c r="L1885" s="14" t="n">
        <f aca="false">G1885-H1885</f>
        <v>1.44</v>
      </c>
    </row>
    <row r="1886" customFormat="false" ht="15" hidden="false" customHeight="false" outlineLevel="0" collapsed="false">
      <c r="A1886" s="2" t="s">
        <v>126</v>
      </c>
      <c r="B1886" s="2" t="s">
        <v>126</v>
      </c>
      <c r="C1886" s="2" t="s">
        <v>48</v>
      </c>
      <c r="D1886" s="2" t="s">
        <v>12</v>
      </c>
      <c r="E1886" s="2" t="s">
        <v>85</v>
      </c>
      <c r="F1886" s="2" t="s">
        <v>1145</v>
      </c>
      <c r="G1886" s="14" t="n">
        <v>19.5</v>
      </c>
      <c r="H1886" s="14" t="n">
        <v>27.93</v>
      </c>
      <c r="I1886" s="14" t="n">
        <v>19.5</v>
      </c>
      <c r="J1886" s="22" t="n">
        <f aca="false">IF(E1886="Priority",'Cost model'!N383,'Cost model'!M383)</f>
        <v>35</v>
      </c>
      <c r="K1886" s="14" t="n">
        <f aca="false">J1886-H1886</f>
        <v>7.07</v>
      </c>
      <c r="L1886" s="14" t="n">
        <f aca="false">G1886-H1886</f>
        <v>-8.43</v>
      </c>
    </row>
    <row r="1887" customFormat="false" ht="15" hidden="false" customHeight="false" outlineLevel="0" collapsed="false">
      <c r="A1887" s="2" t="s">
        <v>126</v>
      </c>
      <c r="B1887" s="2" t="s">
        <v>126</v>
      </c>
      <c r="C1887" s="2" t="s">
        <v>49</v>
      </c>
      <c r="D1887" s="2" t="s">
        <v>16</v>
      </c>
      <c r="E1887" s="2" t="s">
        <v>76</v>
      </c>
      <c r="F1887" s="2" t="s">
        <v>1145</v>
      </c>
      <c r="G1887" s="14" t="n">
        <v>85</v>
      </c>
      <c r="H1887" s="14" t="n">
        <v>274.52</v>
      </c>
      <c r="I1887" s="14" t="n">
        <v>85</v>
      </c>
      <c r="J1887" s="22" t="n">
        <f aca="false">IF(E1887="Priority",'Cost model'!N396,'Cost model'!M396)</f>
        <v>245</v>
      </c>
      <c r="K1887" s="14" t="n">
        <f aca="false">J1887-H1887</f>
        <v>-29.52</v>
      </c>
      <c r="L1887" s="14" t="n">
        <f aca="false">G1887-H1887</f>
        <v>-189.52</v>
      </c>
    </row>
    <row r="1888" customFormat="false" ht="15" hidden="false" customHeight="false" outlineLevel="0" collapsed="false">
      <c r="A1888" s="2" t="s">
        <v>146</v>
      </c>
      <c r="B1888" s="2" t="s">
        <v>146</v>
      </c>
      <c r="C1888" s="2" t="s">
        <v>49</v>
      </c>
      <c r="D1888" s="2" t="s">
        <v>10</v>
      </c>
      <c r="E1888" s="2" t="s">
        <v>85</v>
      </c>
      <c r="F1888" s="2" t="s">
        <v>1145</v>
      </c>
      <c r="G1888" s="14" t="n">
        <v>17.5</v>
      </c>
      <c r="H1888" s="14" t="n">
        <v>21.34</v>
      </c>
      <c r="I1888" s="14" t="n">
        <v>17.5</v>
      </c>
      <c r="J1888" s="22" t="n">
        <f aca="false">IF(E1888="Priority",'Cost model'!N759,'Cost model'!M759)</f>
        <v>21.5</v>
      </c>
      <c r="K1888" s="14" t="n">
        <f aca="false">J1888-H1888</f>
        <v>0.16</v>
      </c>
      <c r="L1888" s="14" t="n">
        <f aca="false">G1888-H1888</f>
        <v>-3.84</v>
      </c>
    </row>
    <row r="1889" customFormat="false" ht="15" hidden="false" customHeight="false" outlineLevel="0" collapsed="false">
      <c r="A1889" s="2" t="s">
        <v>146</v>
      </c>
      <c r="B1889" s="2" t="s">
        <v>146</v>
      </c>
      <c r="C1889" s="2" t="s">
        <v>48</v>
      </c>
      <c r="D1889" s="2" t="s">
        <v>10</v>
      </c>
      <c r="E1889" s="2" t="s">
        <v>76</v>
      </c>
      <c r="F1889" s="2" t="s">
        <v>1145</v>
      </c>
      <c r="G1889" s="14" t="n">
        <v>9.5</v>
      </c>
      <c r="H1889" s="14" t="n">
        <v>5</v>
      </c>
      <c r="I1889" s="14" t="n">
        <v>9.5</v>
      </c>
      <c r="J1889" s="22" t="n">
        <f aca="false">IF(E1889="Priority",'Cost model'!N758,'Cost model'!M758)</f>
        <v>9.5</v>
      </c>
      <c r="K1889" s="14" t="n">
        <f aca="false">J1889-H1889</f>
        <v>4.5</v>
      </c>
      <c r="L1889" s="14" t="n">
        <f aca="false">G1889-H1889</f>
        <v>4.5</v>
      </c>
    </row>
    <row r="1890" customFormat="false" ht="15" hidden="false" customHeight="false" outlineLevel="0" collapsed="false">
      <c r="A1890" s="2" t="s">
        <v>126</v>
      </c>
      <c r="B1890" s="2" t="s">
        <v>126</v>
      </c>
      <c r="C1890" s="2" t="s">
        <v>48</v>
      </c>
      <c r="D1890" s="2" t="s">
        <v>10</v>
      </c>
      <c r="E1890" s="2" t="s">
        <v>76</v>
      </c>
      <c r="F1890" s="2" t="s">
        <v>1145</v>
      </c>
      <c r="G1890" s="14" t="n">
        <v>9.5</v>
      </c>
      <c r="H1890" s="14" t="n">
        <v>8.01</v>
      </c>
      <c r="I1890" s="14" t="n">
        <v>9.5</v>
      </c>
      <c r="J1890" s="22" t="n">
        <f aca="false">IF(E1890="Priority",'Cost model'!N380,'Cost model'!M380)</f>
        <v>8.5</v>
      </c>
      <c r="K1890" s="14" t="n">
        <f aca="false">J1890-H1890</f>
        <v>0.49</v>
      </c>
      <c r="L1890" s="14" t="n">
        <f aca="false">G1890-H1890</f>
        <v>1.49</v>
      </c>
    </row>
    <row r="1891" customFormat="false" ht="15" hidden="false" customHeight="false" outlineLevel="0" collapsed="false">
      <c r="A1891" s="2" t="s">
        <v>240</v>
      </c>
      <c r="B1891" s="2" t="s">
        <v>165</v>
      </c>
      <c r="C1891" s="2" t="s">
        <v>48</v>
      </c>
      <c r="D1891" s="2" t="s">
        <v>10</v>
      </c>
      <c r="E1891" s="2" t="s">
        <v>76</v>
      </c>
      <c r="F1891" s="2" t="s">
        <v>1146</v>
      </c>
      <c r="G1891" s="14" t="n">
        <v>9.5</v>
      </c>
      <c r="H1891" s="14" t="n">
        <v>13.2</v>
      </c>
      <c r="I1891" s="14" t="n">
        <v>14.5</v>
      </c>
      <c r="J1891" s="22" t="n">
        <f aca="false">IF(E1891="Priority",'Cost model'!N902,'Cost model'!M902)</f>
        <v>13.5</v>
      </c>
      <c r="K1891" s="14" t="n">
        <f aca="false">J1891-H1891</f>
        <v>0.300000000000001</v>
      </c>
      <c r="L1891" s="14" t="n">
        <f aca="false">G1891-H1891</f>
        <v>-3.7</v>
      </c>
    </row>
    <row r="1892" customFormat="false" ht="15" hidden="false" customHeight="false" outlineLevel="0" collapsed="false">
      <c r="A1892" s="2" t="s">
        <v>126</v>
      </c>
      <c r="B1892" s="2" t="s">
        <v>146</v>
      </c>
      <c r="C1892" s="2" t="s">
        <v>49</v>
      </c>
      <c r="D1892" s="2" t="s">
        <v>12</v>
      </c>
      <c r="E1892" s="2" t="s">
        <v>76</v>
      </c>
      <c r="F1892" s="2" t="s">
        <v>1146</v>
      </c>
      <c r="G1892" s="14" t="n">
        <v>12.5</v>
      </c>
      <c r="H1892" s="14" t="n">
        <v>51.89</v>
      </c>
      <c r="I1892" s="14" t="n">
        <v>19.5</v>
      </c>
      <c r="J1892" s="22" t="n">
        <f aca="false">IF(E1892="Priority",'Cost model'!N402,'Cost model'!M402)</f>
        <v>60</v>
      </c>
      <c r="K1892" s="14" t="n">
        <f aca="false">J1892-H1892</f>
        <v>8.11</v>
      </c>
      <c r="L1892" s="14" t="n">
        <f aca="false">G1892-H1892</f>
        <v>-39.39</v>
      </c>
    </row>
    <row r="1893" customFormat="false" ht="15" hidden="false" customHeight="false" outlineLevel="0" collapsed="false">
      <c r="A1893" s="2" t="s">
        <v>184</v>
      </c>
      <c r="B1893" s="2" t="s">
        <v>184</v>
      </c>
      <c r="C1893" s="2" t="s">
        <v>50</v>
      </c>
      <c r="D1893" s="2" t="s">
        <v>12</v>
      </c>
      <c r="E1893" s="2" t="s">
        <v>76</v>
      </c>
      <c r="F1893" s="2" t="s">
        <v>1145</v>
      </c>
      <c r="G1893" s="14" t="n">
        <v>19.5</v>
      </c>
      <c r="H1893" s="14" t="n">
        <v>45.65</v>
      </c>
      <c r="I1893" s="14" t="n">
        <v>19.5</v>
      </c>
      <c r="J1893" s="22" t="n">
        <f aca="false">IF(E1893="Priority",'Cost model'!N205,'Cost model'!M205)</f>
        <v>50</v>
      </c>
      <c r="K1893" s="14" t="n">
        <f aca="false">J1893-H1893</f>
        <v>4.35</v>
      </c>
      <c r="L1893" s="14" t="n">
        <f aca="false">G1893-H1893</f>
        <v>-26.15</v>
      </c>
    </row>
    <row r="1894" customFormat="false" ht="15" hidden="false" customHeight="false" outlineLevel="0" collapsed="false">
      <c r="A1894" s="2" t="s">
        <v>184</v>
      </c>
      <c r="B1894" s="2" t="s">
        <v>184</v>
      </c>
      <c r="C1894" s="2" t="s">
        <v>48</v>
      </c>
      <c r="D1894" s="2" t="s">
        <v>10</v>
      </c>
      <c r="E1894" s="2" t="s">
        <v>76</v>
      </c>
      <c r="F1894" s="2" t="s">
        <v>1145</v>
      </c>
      <c r="G1894" s="14" t="n">
        <v>9.5</v>
      </c>
      <c r="H1894" s="14" t="n">
        <v>7.46</v>
      </c>
      <c r="I1894" s="14" t="n">
        <v>9.5</v>
      </c>
      <c r="J1894" s="22" t="n">
        <f aca="false">IF(E1894="Priority",'Cost model'!N200,'Cost model'!M200)</f>
        <v>7.5</v>
      </c>
      <c r="K1894" s="14" t="n">
        <f aca="false">J1894-H1894</f>
        <v>0.04</v>
      </c>
      <c r="L1894" s="14" t="n">
        <f aca="false">G1894-H1894</f>
        <v>2.04</v>
      </c>
    </row>
    <row r="1895" customFormat="false" ht="15" hidden="false" customHeight="false" outlineLevel="0" collapsed="false">
      <c r="A1895" s="2" t="s">
        <v>184</v>
      </c>
      <c r="B1895" s="2" t="s">
        <v>184</v>
      </c>
      <c r="C1895" s="2" t="s">
        <v>48</v>
      </c>
      <c r="D1895" s="2" t="s">
        <v>10</v>
      </c>
      <c r="E1895" s="2" t="s">
        <v>76</v>
      </c>
      <c r="F1895" s="2" t="s">
        <v>1145</v>
      </c>
      <c r="G1895" s="14" t="n">
        <v>9.5</v>
      </c>
      <c r="H1895" s="14" t="n">
        <v>6.24</v>
      </c>
      <c r="I1895" s="14" t="n">
        <v>9.5</v>
      </c>
      <c r="J1895" s="22" t="n">
        <f aca="false">IF(E1895="Priority",'Cost model'!N200,'Cost model'!M200)</f>
        <v>7.5</v>
      </c>
      <c r="K1895" s="14" t="n">
        <f aca="false">J1895-H1895</f>
        <v>1.26</v>
      </c>
      <c r="L1895" s="14" t="n">
        <f aca="false">G1895-H1895</f>
        <v>3.26</v>
      </c>
    </row>
    <row r="1896" customFormat="false" ht="15" hidden="false" customHeight="false" outlineLevel="0" collapsed="false">
      <c r="A1896" s="2" t="s">
        <v>126</v>
      </c>
      <c r="B1896" s="2" t="s">
        <v>126</v>
      </c>
      <c r="C1896" s="2" t="s">
        <v>49</v>
      </c>
      <c r="D1896" s="2" t="s">
        <v>10</v>
      </c>
      <c r="E1896" s="2" t="s">
        <v>76</v>
      </c>
      <c r="F1896" s="2" t="s">
        <v>1145</v>
      </c>
      <c r="G1896" s="14" t="n">
        <v>12.5</v>
      </c>
      <c r="H1896" s="14" t="n">
        <v>8.11</v>
      </c>
      <c r="I1896" s="14" t="n">
        <v>12.5</v>
      </c>
      <c r="J1896" s="22" t="n">
        <f aca="false">IF(E1896="Priority",'Cost model'!N381,'Cost model'!M381)</f>
        <v>14.5</v>
      </c>
      <c r="K1896" s="14" t="n">
        <f aca="false">J1896-H1896</f>
        <v>6.39</v>
      </c>
      <c r="L1896" s="14" t="n">
        <f aca="false">G1896-H1896</f>
        <v>4.39</v>
      </c>
    </row>
    <row r="1897" customFormat="false" ht="15" hidden="false" customHeight="false" outlineLevel="0" collapsed="false">
      <c r="A1897" s="2" t="s">
        <v>146</v>
      </c>
      <c r="B1897" s="2" t="s">
        <v>126</v>
      </c>
      <c r="C1897" s="2" t="s">
        <v>48</v>
      </c>
      <c r="D1897" s="2" t="s">
        <v>12</v>
      </c>
      <c r="E1897" s="2" t="s">
        <v>76</v>
      </c>
      <c r="F1897" s="2" t="s">
        <v>1146</v>
      </c>
      <c r="G1897" s="14" t="n">
        <v>9.5</v>
      </c>
      <c r="H1897" s="14" t="n">
        <v>59.37</v>
      </c>
      <c r="I1897" s="14" t="n">
        <v>19.5</v>
      </c>
      <c r="J1897" s="22" t="n">
        <f aca="false">IF(E1897="Priority",'Cost model'!N797,'Cost model'!M797)</f>
        <v>40</v>
      </c>
      <c r="K1897" s="14" t="n">
        <f aca="false">J1897-H1897</f>
        <v>-19.37</v>
      </c>
      <c r="L1897" s="14" t="n">
        <f aca="false">G1897-H1897</f>
        <v>-49.87</v>
      </c>
    </row>
    <row r="1898" customFormat="false" ht="15" hidden="false" customHeight="false" outlineLevel="0" collapsed="false">
      <c r="A1898" s="2" t="s">
        <v>126</v>
      </c>
      <c r="B1898" s="2" t="s">
        <v>184</v>
      </c>
      <c r="C1898" s="2" t="s">
        <v>49</v>
      </c>
      <c r="D1898" s="2" t="s">
        <v>12</v>
      </c>
      <c r="E1898" s="2" t="s">
        <v>76</v>
      </c>
      <c r="F1898" s="2" t="s">
        <v>1146</v>
      </c>
      <c r="G1898" s="14" t="n">
        <v>12.5</v>
      </c>
      <c r="H1898" s="14" t="n">
        <v>51.66</v>
      </c>
      <c r="I1898" s="14" t="n">
        <v>19.5</v>
      </c>
      <c r="J1898" s="22" t="n">
        <f aca="false">IF(E1898="Priority",'Cost model'!N438,'Cost model'!M438)</f>
        <v>55</v>
      </c>
      <c r="K1898" s="14" t="n">
        <f aca="false">J1898-H1898</f>
        <v>3.34</v>
      </c>
      <c r="L1898" s="14" t="n">
        <f aca="false">G1898-H1898</f>
        <v>-39.16</v>
      </c>
    </row>
    <row r="1899" customFormat="false" ht="15" hidden="false" customHeight="false" outlineLevel="0" collapsed="false">
      <c r="A1899" s="2" t="s">
        <v>126</v>
      </c>
      <c r="B1899" s="2" t="s">
        <v>126</v>
      </c>
      <c r="C1899" s="2" t="s">
        <v>50</v>
      </c>
      <c r="D1899" s="2" t="s">
        <v>10</v>
      </c>
      <c r="E1899" s="2" t="s">
        <v>76</v>
      </c>
      <c r="F1899" s="2" t="s">
        <v>1145</v>
      </c>
      <c r="G1899" s="14" t="n">
        <v>17.5</v>
      </c>
      <c r="H1899" s="14" t="n">
        <v>15.39</v>
      </c>
      <c r="I1899" s="14" t="n">
        <v>17.5</v>
      </c>
      <c r="J1899" s="22" t="n">
        <f aca="false">IF(E1899="Priority",'Cost model'!N382,'Cost model'!M382)</f>
        <v>18.5</v>
      </c>
      <c r="K1899" s="14" t="n">
        <f aca="false">J1899-H1899</f>
        <v>3.11</v>
      </c>
      <c r="L1899" s="14" t="n">
        <f aca="false">G1899-H1899</f>
        <v>2.11</v>
      </c>
    </row>
    <row r="1900" customFormat="false" ht="15" hidden="false" customHeight="false" outlineLevel="0" collapsed="false">
      <c r="A1900" s="2" t="s">
        <v>184</v>
      </c>
      <c r="B1900" s="2" t="s">
        <v>126</v>
      </c>
      <c r="C1900" s="2" t="s">
        <v>50</v>
      </c>
      <c r="D1900" s="2" t="s">
        <v>12</v>
      </c>
      <c r="E1900" s="2" t="s">
        <v>76</v>
      </c>
      <c r="F1900" s="2" t="s">
        <v>1146</v>
      </c>
      <c r="G1900" s="14" t="n">
        <v>19.5</v>
      </c>
      <c r="H1900" s="14" t="n">
        <v>52.16</v>
      </c>
      <c r="I1900" s="14" t="n">
        <v>19.5</v>
      </c>
      <c r="J1900" s="22" t="n">
        <f aca="false">IF(E1900="Priority",'Cost model'!N133,'Cost model'!M133)</f>
        <v>55</v>
      </c>
      <c r="K1900" s="14" t="n">
        <f aca="false">J1900-H1900</f>
        <v>2.84</v>
      </c>
      <c r="L1900" s="14" t="n">
        <f aca="false">G1900-H1900</f>
        <v>-32.66</v>
      </c>
    </row>
    <row r="1901" customFormat="false" ht="15" hidden="false" customHeight="false" outlineLevel="0" collapsed="false">
      <c r="A1901" s="2" t="s">
        <v>165</v>
      </c>
      <c r="B1901" s="2" t="s">
        <v>165</v>
      </c>
      <c r="C1901" s="2" t="s">
        <v>50</v>
      </c>
      <c r="D1901" s="2" t="s">
        <v>13</v>
      </c>
      <c r="E1901" s="2" t="s">
        <v>76</v>
      </c>
      <c r="F1901" s="2" t="s">
        <v>1145</v>
      </c>
      <c r="G1901" s="14" t="n">
        <v>50</v>
      </c>
      <c r="H1901" s="14" t="n">
        <v>35.73</v>
      </c>
      <c r="I1901" s="14" t="n">
        <v>50</v>
      </c>
      <c r="J1901" s="22" t="n">
        <f aca="false">IF(E1901="Priority",'Cost model'!N514,'Cost model'!M514)</f>
        <v>70</v>
      </c>
      <c r="K1901" s="14" t="n">
        <f aca="false">J1901-H1901</f>
        <v>34.27</v>
      </c>
      <c r="L1901" s="14" t="n">
        <f aca="false">G1901-H1901</f>
        <v>14.27</v>
      </c>
    </row>
    <row r="1902" customFormat="false" ht="15" hidden="false" customHeight="false" outlineLevel="0" collapsed="false">
      <c r="A1902" s="2" t="s">
        <v>165</v>
      </c>
      <c r="B1902" s="2" t="s">
        <v>165</v>
      </c>
      <c r="C1902" s="2" t="s">
        <v>50</v>
      </c>
      <c r="D1902" s="2" t="s">
        <v>10</v>
      </c>
      <c r="E1902" s="2" t="s">
        <v>85</v>
      </c>
      <c r="F1902" s="2" t="s">
        <v>1145</v>
      </c>
      <c r="G1902" s="14" t="n">
        <v>24.5</v>
      </c>
      <c r="H1902" s="14" t="n">
        <v>20.83</v>
      </c>
      <c r="I1902" s="14" t="n">
        <v>24.5</v>
      </c>
      <c r="J1902" s="22" t="n">
        <f aca="false">IF(E1902="Priority",'Cost model'!N508,'Cost model'!M508)</f>
        <v>23.5</v>
      </c>
      <c r="K1902" s="14" t="n">
        <f aca="false">J1902-H1902</f>
        <v>2.67</v>
      </c>
      <c r="L1902" s="14" t="n">
        <f aca="false">G1902-H1902</f>
        <v>3.67</v>
      </c>
    </row>
    <row r="1903" customFormat="false" ht="15" hidden="false" customHeight="false" outlineLevel="0" collapsed="false">
      <c r="A1903" s="2" t="s">
        <v>184</v>
      </c>
      <c r="B1903" s="2" t="s">
        <v>165</v>
      </c>
      <c r="C1903" s="2" t="s">
        <v>50</v>
      </c>
      <c r="D1903" s="2" t="s">
        <v>12</v>
      </c>
      <c r="E1903" s="2" t="s">
        <v>76</v>
      </c>
      <c r="F1903" s="2" t="s">
        <v>1146</v>
      </c>
      <c r="G1903" s="14" t="n">
        <v>19.5</v>
      </c>
      <c r="H1903" s="14" t="n">
        <v>79.67</v>
      </c>
      <c r="I1903" s="14" t="n">
        <v>19.5</v>
      </c>
      <c r="J1903" s="22" t="n">
        <f aca="false">IF(E1903="Priority",'Cost model'!N169,'Cost model'!M169)</f>
        <v>60</v>
      </c>
      <c r="K1903" s="14" t="n">
        <f aca="false">J1903-H1903</f>
        <v>-19.67</v>
      </c>
      <c r="L1903" s="14" t="n">
        <f aca="false">G1903-H1903</f>
        <v>-60.17</v>
      </c>
    </row>
    <row r="1904" customFormat="false" ht="15" hidden="false" customHeight="false" outlineLevel="0" collapsed="false">
      <c r="A1904" s="2" t="s">
        <v>126</v>
      </c>
      <c r="B1904" s="2" t="s">
        <v>126</v>
      </c>
      <c r="C1904" s="2" t="s">
        <v>48</v>
      </c>
      <c r="D1904" s="2" t="s">
        <v>10</v>
      </c>
      <c r="E1904" s="2" t="s">
        <v>76</v>
      </c>
      <c r="F1904" s="2" t="s">
        <v>1145</v>
      </c>
      <c r="G1904" s="14" t="n">
        <v>9.5</v>
      </c>
      <c r="H1904" s="14" t="n">
        <v>7.46</v>
      </c>
      <c r="I1904" s="14" t="n">
        <v>9.5</v>
      </c>
      <c r="J1904" s="22" t="n">
        <f aca="false">IF(E1904="Priority",'Cost model'!N380,'Cost model'!M380)</f>
        <v>8.5</v>
      </c>
      <c r="K1904" s="14" t="n">
        <f aca="false">J1904-H1904</f>
        <v>1.04</v>
      </c>
      <c r="L1904" s="14" t="n">
        <f aca="false">G1904-H1904</f>
        <v>2.04</v>
      </c>
    </row>
    <row r="1905" customFormat="false" ht="15" hidden="false" customHeight="false" outlineLevel="0" collapsed="false">
      <c r="A1905" s="2" t="s">
        <v>240</v>
      </c>
      <c r="B1905" s="2" t="s">
        <v>240</v>
      </c>
      <c r="C1905" s="2" t="s">
        <v>48</v>
      </c>
      <c r="D1905" s="2" t="s">
        <v>10</v>
      </c>
      <c r="E1905" s="2" t="s">
        <v>76</v>
      </c>
      <c r="F1905" s="2" t="s">
        <v>1145</v>
      </c>
      <c r="G1905" s="14" t="n">
        <v>9.5</v>
      </c>
      <c r="H1905" s="14" t="n">
        <v>7.4</v>
      </c>
      <c r="I1905" s="14" t="n">
        <v>9.5</v>
      </c>
      <c r="J1905" s="22" t="n">
        <f aca="false">IF(E1905="Priority",'Cost model'!N884,'Cost model'!M884)</f>
        <v>7.5</v>
      </c>
      <c r="K1905" s="14" t="n">
        <f aca="false">J1905-H1905</f>
        <v>0.0999999999999996</v>
      </c>
      <c r="L1905" s="14" t="n">
        <f aca="false">G1905-H1905</f>
        <v>2.1</v>
      </c>
    </row>
    <row r="1906" customFormat="false" ht="15" hidden="false" customHeight="false" outlineLevel="0" collapsed="false">
      <c r="A1906" s="2" t="s">
        <v>146</v>
      </c>
      <c r="B1906" s="2" t="s">
        <v>165</v>
      </c>
      <c r="C1906" s="2" t="s">
        <v>49</v>
      </c>
      <c r="D1906" s="2" t="s">
        <v>10</v>
      </c>
      <c r="E1906" s="2" t="s">
        <v>85</v>
      </c>
      <c r="F1906" s="2" t="s">
        <v>1146</v>
      </c>
      <c r="G1906" s="14" t="n">
        <v>19.5</v>
      </c>
      <c r="H1906" s="14" t="n">
        <v>21.34</v>
      </c>
      <c r="I1906" s="14" t="n">
        <v>19.5</v>
      </c>
      <c r="J1906" s="22" t="n">
        <f aca="false">IF(E1906="Priority",'Cost model'!N777,'Cost model'!M777)</f>
        <v>22.5</v>
      </c>
      <c r="K1906" s="14" t="n">
        <f aca="false">J1906-H1906</f>
        <v>1.16</v>
      </c>
      <c r="L1906" s="14" t="n">
        <f aca="false">G1906-H1906</f>
        <v>-1.84</v>
      </c>
    </row>
    <row r="1907" customFormat="false" ht="15" hidden="false" customHeight="false" outlineLevel="0" collapsed="false">
      <c r="A1907" s="2" t="s">
        <v>184</v>
      </c>
      <c r="B1907" s="2" t="s">
        <v>184</v>
      </c>
      <c r="C1907" s="2" t="s">
        <v>49</v>
      </c>
      <c r="D1907" s="2" t="s">
        <v>10</v>
      </c>
      <c r="E1907" s="2" t="s">
        <v>76</v>
      </c>
      <c r="F1907" s="2" t="s">
        <v>1145</v>
      </c>
      <c r="G1907" s="14" t="n">
        <v>12.5</v>
      </c>
      <c r="H1907" s="14" t="n">
        <v>7.37</v>
      </c>
      <c r="I1907" s="14"/>
      <c r="J1907" s="22" t="n">
        <f aca="false">IF(E1907="Priority",'Cost model'!N201,'Cost model'!M201)</f>
        <v>12.5</v>
      </c>
      <c r="K1907" s="14" t="n">
        <f aca="false">J1907-H1907</f>
        <v>5.13</v>
      </c>
      <c r="L1907" s="14" t="n">
        <f aca="false">G1907-H1907</f>
        <v>5.13</v>
      </c>
    </row>
    <row r="1908" customFormat="false" ht="15" hidden="false" customHeight="false" outlineLevel="0" collapsed="false">
      <c r="A1908" s="2" t="s">
        <v>240</v>
      </c>
      <c r="B1908" s="2" t="s">
        <v>240</v>
      </c>
      <c r="C1908" s="2" t="s">
        <v>48</v>
      </c>
      <c r="D1908" s="2" t="s">
        <v>10</v>
      </c>
      <c r="E1908" s="2" t="s">
        <v>76</v>
      </c>
      <c r="F1908" s="2" t="s">
        <v>1145</v>
      </c>
      <c r="G1908" s="14" t="n">
        <v>9.5</v>
      </c>
      <c r="H1908" s="14" t="n">
        <v>7.12</v>
      </c>
      <c r="I1908" s="14" t="n">
        <v>9.5</v>
      </c>
      <c r="J1908" s="22" t="n">
        <f aca="false">IF(E1908="Priority",'Cost model'!N884,'Cost model'!M884)</f>
        <v>7.5</v>
      </c>
      <c r="K1908" s="14" t="n">
        <f aca="false">J1908-H1908</f>
        <v>0.38</v>
      </c>
      <c r="L1908" s="14" t="n">
        <f aca="false">G1908-H1908</f>
        <v>2.38</v>
      </c>
    </row>
    <row r="1909" customFormat="false" ht="15" hidden="false" customHeight="false" outlineLevel="0" collapsed="false">
      <c r="A1909" s="2" t="s">
        <v>221</v>
      </c>
      <c r="B1909" s="2" t="s">
        <v>221</v>
      </c>
      <c r="C1909" s="2" t="s">
        <v>48</v>
      </c>
      <c r="D1909" s="2" t="s">
        <v>12</v>
      </c>
      <c r="E1909" s="2" t="s">
        <v>76</v>
      </c>
      <c r="F1909" s="2" t="s">
        <v>1145</v>
      </c>
      <c r="G1909" s="14" t="n">
        <v>9.5</v>
      </c>
      <c r="H1909" s="14" t="n">
        <v>10.95</v>
      </c>
      <c r="I1909" s="14" t="n">
        <v>9.5</v>
      </c>
      <c r="J1909" s="22" t="n">
        <f aca="false">IF(E1909="Priority",'Cost model'!N635,'Cost model'!M635)</f>
        <v>29.5</v>
      </c>
      <c r="K1909" s="14" t="n">
        <f aca="false">J1909-H1909</f>
        <v>18.55</v>
      </c>
      <c r="L1909" s="14" t="n">
        <f aca="false">G1909-H1909</f>
        <v>-1.45</v>
      </c>
    </row>
    <row r="1910" customFormat="false" ht="15" hidden="false" customHeight="false" outlineLevel="0" collapsed="false">
      <c r="A1910" s="2" t="s">
        <v>240</v>
      </c>
      <c r="B1910" s="2" t="s">
        <v>240</v>
      </c>
      <c r="C1910" s="2" t="s">
        <v>48</v>
      </c>
      <c r="D1910" s="2" t="s">
        <v>10</v>
      </c>
      <c r="E1910" s="2" t="s">
        <v>85</v>
      </c>
      <c r="F1910" s="2" t="s">
        <v>1145</v>
      </c>
      <c r="G1910" s="14" t="n">
        <v>14.5</v>
      </c>
      <c r="H1910" s="14" t="n">
        <v>20.83</v>
      </c>
      <c r="I1910" s="14" t="n">
        <v>14.5</v>
      </c>
      <c r="J1910" s="22" t="n">
        <f aca="false">IF(E1910="Priority",'Cost model'!N884,'Cost model'!M884)</f>
        <v>12.5</v>
      </c>
      <c r="K1910" s="14" t="n">
        <f aca="false">J1910-H1910</f>
        <v>-8.33</v>
      </c>
      <c r="L1910" s="14" t="n">
        <f aca="false">G1910-H1910</f>
        <v>-6.33</v>
      </c>
    </row>
    <row r="1911" customFormat="false" ht="15" hidden="false" customHeight="false" outlineLevel="0" collapsed="false">
      <c r="A1911" s="2" t="s">
        <v>126</v>
      </c>
      <c r="B1911" s="2" t="s">
        <v>126</v>
      </c>
      <c r="C1911" s="2" t="s">
        <v>49</v>
      </c>
      <c r="D1911" s="2" t="s">
        <v>12</v>
      </c>
      <c r="E1911" s="2" t="s">
        <v>76</v>
      </c>
      <c r="F1911" s="2" t="s">
        <v>1145</v>
      </c>
      <c r="G1911" s="14" t="n">
        <v>12.5</v>
      </c>
      <c r="H1911" s="14" t="n">
        <v>12.14</v>
      </c>
      <c r="I1911" s="14" t="n">
        <v>12.5</v>
      </c>
      <c r="J1911" s="22" t="n">
        <f aca="false">IF(E1911="Priority",'Cost model'!N384,'Cost model'!M384)</f>
        <v>45</v>
      </c>
      <c r="K1911" s="14" t="n">
        <f aca="false">J1911-H1911</f>
        <v>32.86</v>
      </c>
      <c r="L1911" s="14" t="n">
        <f aca="false">G1911-H1911</f>
        <v>0.359999999999999</v>
      </c>
    </row>
    <row r="1912" customFormat="false" ht="15" hidden="false" customHeight="false" outlineLevel="0" collapsed="false">
      <c r="A1912" s="2" t="s">
        <v>146</v>
      </c>
      <c r="B1912" s="2" t="s">
        <v>146</v>
      </c>
      <c r="C1912" s="2" t="s">
        <v>49</v>
      </c>
      <c r="D1912" s="2" t="s">
        <v>12</v>
      </c>
      <c r="E1912" s="2" t="s">
        <v>85</v>
      </c>
      <c r="F1912" s="2" t="s">
        <v>1145</v>
      </c>
      <c r="G1912" s="14" t="n">
        <v>19.5</v>
      </c>
      <c r="H1912" s="14" t="n">
        <v>47.65</v>
      </c>
      <c r="I1912" s="14" t="n">
        <v>19.5</v>
      </c>
      <c r="J1912" s="22" t="n">
        <f aca="false">IF(E1912="Priority",'Cost model'!N762,'Cost model'!M762)</f>
        <v>60</v>
      </c>
      <c r="K1912" s="14" t="n">
        <f aca="false">J1912-H1912</f>
        <v>12.35</v>
      </c>
      <c r="L1912" s="14" t="n">
        <f aca="false">G1912-H1912</f>
        <v>-28.15</v>
      </c>
    </row>
    <row r="1913" customFormat="false" ht="15" hidden="false" customHeight="false" outlineLevel="0" collapsed="false">
      <c r="A1913" s="2" t="s">
        <v>184</v>
      </c>
      <c r="B1913" s="2" t="s">
        <v>184</v>
      </c>
      <c r="C1913" s="2" t="s">
        <v>49</v>
      </c>
      <c r="D1913" s="2" t="s">
        <v>10</v>
      </c>
      <c r="E1913" s="2" t="s">
        <v>76</v>
      </c>
      <c r="F1913" s="2" t="s">
        <v>1145</v>
      </c>
      <c r="G1913" s="14" t="n">
        <v>12.5</v>
      </c>
      <c r="H1913" s="14" t="n">
        <v>15.88</v>
      </c>
      <c r="I1913" s="14"/>
      <c r="J1913" s="22" t="n">
        <f aca="false">IF(E1913="Priority",'Cost model'!N201,'Cost model'!M201)</f>
        <v>12.5</v>
      </c>
      <c r="K1913" s="14" t="n">
        <f aca="false">J1913-H1913</f>
        <v>-3.38</v>
      </c>
      <c r="L1913" s="14" t="n">
        <f aca="false">G1913-H1913</f>
        <v>-3.38</v>
      </c>
    </row>
    <row r="1914" customFormat="false" ht="15" hidden="false" customHeight="false" outlineLevel="0" collapsed="false">
      <c r="A1914" s="2" t="s">
        <v>184</v>
      </c>
      <c r="B1914" s="2" t="s">
        <v>184</v>
      </c>
      <c r="C1914" s="2" t="s">
        <v>49</v>
      </c>
      <c r="D1914" s="2" t="s">
        <v>13</v>
      </c>
      <c r="E1914" s="2" t="s">
        <v>76</v>
      </c>
      <c r="F1914" s="2" t="s">
        <v>1145</v>
      </c>
      <c r="G1914" s="14" t="n">
        <v>24.5</v>
      </c>
      <c r="H1914" s="14" t="n">
        <v>43.25</v>
      </c>
      <c r="I1914" s="14"/>
      <c r="J1914" s="22" t="n">
        <f aca="false">IF(E1914="Priority",'Cost model'!N207,'Cost model'!M207)</f>
        <v>75</v>
      </c>
      <c r="K1914" s="14" t="n">
        <f aca="false">J1914-H1914</f>
        <v>31.75</v>
      </c>
      <c r="L1914" s="14" t="n">
        <f aca="false">G1914-H1914</f>
        <v>-18.75</v>
      </c>
    </row>
    <row r="1915" customFormat="false" ht="15" hidden="false" customHeight="false" outlineLevel="0" collapsed="false">
      <c r="A1915" s="2" t="s">
        <v>184</v>
      </c>
      <c r="B1915" s="2" t="s">
        <v>184</v>
      </c>
      <c r="C1915" s="2" t="s">
        <v>50</v>
      </c>
      <c r="D1915" s="2" t="s">
        <v>12</v>
      </c>
      <c r="E1915" s="2" t="s">
        <v>76</v>
      </c>
      <c r="F1915" s="2" t="s">
        <v>1145</v>
      </c>
      <c r="G1915" s="14" t="n">
        <v>19.5</v>
      </c>
      <c r="H1915" s="14" t="n">
        <v>70.74</v>
      </c>
      <c r="I1915" s="14" t="n">
        <v>19.5</v>
      </c>
      <c r="J1915" s="22" t="n">
        <f aca="false">IF(E1915="Priority",'Cost model'!N205,'Cost model'!M205)</f>
        <v>50</v>
      </c>
      <c r="K1915" s="14" t="n">
        <f aca="false">J1915-H1915</f>
        <v>-20.74</v>
      </c>
      <c r="L1915" s="14" t="n">
        <f aca="false">G1915-H1915</f>
        <v>-51.24</v>
      </c>
    </row>
    <row r="1916" customFormat="false" ht="15" hidden="false" customHeight="false" outlineLevel="0" collapsed="false">
      <c r="A1916" s="2" t="s">
        <v>184</v>
      </c>
      <c r="B1916" s="2" t="s">
        <v>184</v>
      </c>
      <c r="C1916" s="2" t="s">
        <v>49</v>
      </c>
      <c r="D1916" s="2" t="s">
        <v>10</v>
      </c>
      <c r="E1916" s="2" t="s">
        <v>76</v>
      </c>
      <c r="F1916" s="2" t="s">
        <v>1145</v>
      </c>
      <c r="G1916" s="14" t="n">
        <v>12.5</v>
      </c>
      <c r="H1916" s="14" t="n">
        <v>24.72</v>
      </c>
      <c r="I1916" s="14"/>
      <c r="J1916" s="22" t="n">
        <f aca="false">IF(E1916="Priority",'Cost model'!N201,'Cost model'!M201)</f>
        <v>12.5</v>
      </c>
      <c r="K1916" s="14" t="n">
        <f aca="false">J1916-H1916</f>
        <v>-12.22</v>
      </c>
      <c r="L1916" s="14" t="n">
        <f aca="false">G1916-H1916</f>
        <v>-12.22</v>
      </c>
    </row>
    <row r="1917" customFormat="false" ht="15" hidden="false" customHeight="false" outlineLevel="0" collapsed="false">
      <c r="A1917" s="2" t="s">
        <v>240</v>
      </c>
      <c r="B1917" s="2" t="s">
        <v>240</v>
      </c>
      <c r="C1917" s="2" t="s">
        <v>49</v>
      </c>
      <c r="D1917" s="2" t="s">
        <v>12</v>
      </c>
      <c r="E1917" s="2" t="s">
        <v>76</v>
      </c>
      <c r="F1917" s="2" t="s">
        <v>1145</v>
      </c>
      <c r="G1917" s="14" t="n">
        <v>12.5</v>
      </c>
      <c r="H1917" s="14" t="n">
        <v>30.82</v>
      </c>
      <c r="I1917" s="14" t="n">
        <v>12.5</v>
      </c>
      <c r="J1917" s="22" t="n">
        <f aca="false">IF(E1917="Priority",'Cost model'!N888,'Cost model'!M888)</f>
        <v>50</v>
      </c>
      <c r="K1917" s="14" t="n">
        <f aca="false">J1917-H1917</f>
        <v>19.18</v>
      </c>
      <c r="L1917" s="14" t="n">
        <f aca="false">G1917-H1917</f>
        <v>-18.32</v>
      </c>
    </row>
    <row r="1918" customFormat="false" ht="15" hidden="false" customHeight="false" outlineLevel="0" collapsed="false">
      <c r="A1918" s="2" t="s">
        <v>125</v>
      </c>
      <c r="B1918" s="2" t="s">
        <v>146</v>
      </c>
      <c r="C1918" s="2" t="s">
        <v>48</v>
      </c>
      <c r="D1918" s="2" t="s">
        <v>13</v>
      </c>
      <c r="E1918" s="2" t="s">
        <v>76</v>
      </c>
      <c r="F1918" s="2" t="s">
        <v>1146</v>
      </c>
      <c r="G1918" s="14" t="n">
        <v>24.5</v>
      </c>
      <c r="H1918" s="14" t="n">
        <v>81.65</v>
      </c>
      <c r="I1918" s="14" t="n">
        <v>24.5</v>
      </c>
      <c r="J1918" s="22" t="n">
        <f aca="false">IF(E1918="Priority",'Cost model'!N26,'Cost model'!M26)</f>
        <v>85</v>
      </c>
      <c r="K1918" s="14" t="n">
        <f aca="false">J1918-H1918</f>
        <v>3.34999999999999</v>
      </c>
      <c r="L1918" s="14" t="n">
        <f aca="false">G1918-H1918</f>
        <v>-57.15</v>
      </c>
    </row>
    <row r="1919" customFormat="false" ht="15" hidden="false" customHeight="false" outlineLevel="0" collapsed="false">
      <c r="A1919" s="2" t="s">
        <v>184</v>
      </c>
      <c r="B1919" s="2" t="s">
        <v>184</v>
      </c>
      <c r="C1919" s="2" t="s">
        <v>48</v>
      </c>
      <c r="D1919" s="2" t="s">
        <v>10</v>
      </c>
      <c r="E1919" s="2" t="s">
        <v>76</v>
      </c>
      <c r="F1919" s="2" t="s">
        <v>1145</v>
      </c>
      <c r="G1919" s="14" t="n">
        <v>9.5</v>
      </c>
      <c r="H1919" s="14" t="n">
        <v>6.24</v>
      </c>
      <c r="I1919" s="14" t="n">
        <v>9.5</v>
      </c>
      <c r="J1919" s="22" t="n">
        <f aca="false">IF(E1919="Priority",'Cost model'!N200,'Cost model'!M200)</f>
        <v>7.5</v>
      </c>
      <c r="K1919" s="14" t="n">
        <f aca="false">J1919-H1919</f>
        <v>1.26</v>
      </c>
      <c r="L1919" s="14" t="n">
        <f aca="false">G1919-H1919</f>
        <v>3.26</v>
      </c>
    </row>
    <row r="1920" customFormat="false" ht="15" hidden="false" customHeight="false" outlineLevel="0" collapsed="false">
      <c r="A1920" s="2" t="s">
        <v>184</v>
      </c>
      <c r="B1920" s="2" t="s">
        <v>184</v>
      </c>
      <c r="C1920" s="2" t="s">
        <v>50</v>
      </c>
      <c r="D1920" s="2" t="s">
        <v>10</v>
      </c>
      <c r="E1920" s="2" t="s">
        <v>76</v>
      </c>
      <c r="F1920" s="2" t="s">
        <v>1145</v>
      </c>
      <c r="G1920" s="14" t="n">
        <v>17.5</v>
      </c>
      <c r="H1920" s="14" t="n">
        <v>15.22</v>
      </c>
      <c r="I1920" s="14" t="n">
        <v>17.5</v>
      </c>
      <c r="J1920" s="22" t="n">
        <f aca="false">IF(E1920="Priority",'Cost model'!N202,'Cost model'!M202)</f>
        <v>17.5</v>
      </c>
      <c r="K1920" s="14" t="n">
        <f aca="false">J1920-H1920</f>
        <v>2.28</v>
      </c>
      <c r="L1920" s="14" t="n">
        <f aca="false">G1920-H1920</f>
        <v>2.28</v>
      </c>
    </row>
    <row r="1921" customFormat="false" ht="15" hidden="false" customHeight="false" outlineLevel="0" collapsed="false">
      <c r="A1921" s="2" t="s">
        <v>184</v>
      </c>
      <c r="B1921" s="2" t="s">
        <v>184</v>
      </c>
      <c r="C1921" s="2" t="s">
        <v>48</v>
      </c>
      <c r="D1921" s="2" t="s">
        <v>10</v>
      </c>
      <c r="E1921" s="2" t="s">
        <v>76</v>
      </c>
      <c r="F1921" s="2" t="s">
        <v>1145</v>
      </c>
      <c r="G1921" s="14" t="n">
        <v>9.5</v>
      </c>
      <c r="H1921" s="14" t="n">
        <v>6.11</v>
      </c>
      <c r="I1921" s="14" t="n">
        <v>9.5</v>
      </c>
      <c r="J1921" s="22" t="n">
        <f aca="false">IF(E1921="Priority",'Cost model'!N200,'Cost model'!M200)</f>
        <v>7.5</v>
      </c>
      <c r="K1921" s="14" t="n">
        <f aca="false">J1921-H1921</f>
        <v>1.39</v>
      </c>
      <c r="L1921" s="14" t="n">
        <f aca="false">G1921-H1921</f>
        <v>3.39</v>
      </c>
    </row>
    <row r="1922" customFormat="false" ht="15" hidden="false" customHeight="false" outlineLevel="0" collapsed="false">
      <c r="A1922" s="2" t="s">
        <v>184</v>
      </c>
      <c r="B1922" s="2" t="s">
        <v>146</v>
      </c>
      <c r="C1922" s="2" t="s">
        <v>49</v>
      </c>
      <c r="D1922" s="2" t="s">
        <v>16</v>
      </c>
      <c r="E1922" s="2" t="s">
        <v>76</v>
      </c>
      <c r="F1922" s="2" t="s">
        <v>1146</v>
      </c>
      <c r="G1922" s="14" t="n">
        <v>85</v>
      </c>
      <c r="H1922" s="14" t="n">
        <v>280.13</v>
      </c>
      <c r="I1922" s="14"/>
      <c r="J1922" s="22" t="n">
        <f aca="false">IF(E1922="Priority",'Cost model'!N162,'Cost model'!M162)</f>
        <v>355</v>
      </c>
      <c r="K1922" s="14" t="n">
        <f aca="false">J1922-H1922</f>
        <v>74.87</v>
      </c>
      <c r="L1922" s="14" t="n">
        <f aca="false">G1922-H1922</f>
        <v>-195.13</v>
      </c>
    </row>
    <row r="1923" customFormat="false" ht="15" hidden="false" customHeight="false" outlineLevel="0" collapsed="false">
      <c r="A1923" s="2" t="s">
        <v>184</v>
      </c>
      <c r="B1923" s="2" t="s">
        <v>184</v>
      </c>
      <c r="C1923" s="2" t="s">
        <v>48</v>
      </c>
      <c r="D1923" s="2" t="s">
        <v>10</v>
      </c>
      <c r="E1923" s="2" t="s">
        <v>76</v>
      </c>
      <c r="F1923" s="2" t="s">
        <v>1145</v>
      </c>
      <c r="G1923" s="14" t="n">
        <v>9.5</v>
      </c>
      <c r="H1923" s="14" t="n">
        <v>7.45</v>
      </c>
      <c r="I1923" s="14" t="n">
        <v>9.5</v>
      </c>
      <c r="J1923" s="22" t="n">
        <f aca="false">IF(E1923="Priority",'Cost model'!N200,'Cost model'!M200)</f>
        <v>7.5</v>
      </c>
      <c r="K1923" s="14" t="n">
        <f aca="false">J1923-H1923</f>
        <v>0.0499999999999998</v>
      </c>
      <c r="L1923" s="14" t="n">
        <f aca="false">G1923-H1923</f>
        <v>2.05</v>
      </c>
    </row>
    <row r="1924" customFormat="false" ht="15" hidden="false" customHeight="false" outlineLevel="0" collapsed="false">
      <c r="A1924" s="2" t="s">
        <v>184</v>
      </c>
      <c r="B1924" s="2" t="s">
        <v>184</v>
      </c>
      <c r="C1924" s="2" t="s">
        <v>48</v>
      </c>
      <c r="D1924" s="2" t="s">
        <v>12</v>
      </c>
      <c r="E1924" s="2" t="s">
        <v>76</v>
      </c>
      <c r="F1924" s="2" t="s">
        <v>1145</v>
      </c>
      <c r="G1924" s="14" t="n">
        <v>9.5</v>
      </c>
      <c r="H1924" s="14" t="n">
        <v>6.24</v>
      </c>
      <c r="I1924" s="14" t="n">
        <v>9.5</v>
      </c>
      <c r="J1924" s="22" t="n">
        <f aca="false">IF(E1924="Priority",'Cost model'!N203,'Cost model'!M203)</f>
        <v>26.5</v>
      </c>
      <c r="K1924" s="14" t="n">
        <f aca="false">J1924-H1924</f>
        <v>20.26</v>
      </c>
      <c r="L1924" s="14" t="n">
        <f aca="false">G1924-H1924</f>
        <v>3.26</v>
      </c>
    </row>
    <row r="1925" customFormat="false" ht="15" hidden="false" customHeight="false" outlineLevel="0" collapsed="false">
      <c r="A1925" s="2" t="s">
        <v>240</v>
      </c>
      <c r="B1925" s="2" t="s">
        <v>126</v>
      </c>
      <c r="C1925" s="2" t="s">
        <v>49</v>
      </c>
      <c r="D1925" s="2" t="s">
        <v>10</v>
      </c>
      <c r="E1925" s="2" t="s">
        <v>76</v>
      </c>
      <c r="F1925" s="2" t="s">
        <v>1146</v>
      </c>
      <c r="G1925" s="14" t="n">
        <v>12.5</v>
      </c>
      <c r="H1925" s="14" t="n">
        <v>21.76</v>
      </c>
      <c r="I1925" s="14" t="n">
        <v>19.5</v>
      </c>
      <c r="J1925" s="22" t="n">
        <f aca="false">IF(E1925="Priority",'Cost model'!N957,'Cost model'!M957)</f>
        <v>18.5</v>
      </c>
      <c r="K1925" s="14" t="n">
        <f aca="false">J1925-H1925</f>
        <v>-3.26</v>
      </c>
      <c r="L1925" s="14" t="n">
        <f aca="false">G1925-H1925</f>
        <v>-9.26</v>
      </c>
    </row>
    <row r="1926" customFormat="false" ht="15" hidden="false" customHeight="false" outlineLevel="0" collapsed="false">
      <c r="A1926" s="2" t="s">
        <v>126</v>
      </c>
      <c r="B1926" s="2" t="s">
        <v>126</v>
      </c>
      <c r="C1926" s="2" t="s">
        <v>49</v>
      </c>
      <c r="D1926" s="2" t="s">
        <v>13</v>
      </c>
      <c r="E1926" s="2" t="s">
        <v>76</v>
      </c>
      <c r="F1926" s="2" t="s">
        <v>1145</v>
      </c>
      <c r="G1926" s="14" t="n">
        <v>24.5</v>
      </c>
      <c r="H1926" s="14" t="n">
        <v>138.28</v>
      </c>
      <c r="I1926" s="14" t="n">
        <v>24.5</v>
      </c>
      <c r="J1926" s="22" t="n">
        <f aca="false">IF(E1926="Priority",'Cost model'!N387,'Cost model'!M387)</f>
        <v>95</v>
      </c>
      <c r="K1926" s="14" t="n">
        <f aca="false">J1926-H1926</f>
        <v>-43.28</v>
      </c>
      <c r="L1926" s="14" t="n">
        <f aca="false">G1926-H1926</f>
        <v>-113.78</v>
      </c>
    </row>
    <row r="1927" customFormat="false" ht="15" hidden="false" customHeight="false" outlineLevel="0" collapsed="false">
      <c r="A1927" s="2" t="s">
        <v>146</v>
      </c>
      <c r="B1927" s="2" t="s">
        <v>146</v>
      </c>
      <c r="C1927" s="2" t="s">
        <v>49</v>
      </c>
      <c r="D1927" s="2" t="s">
        <v>12</v>
      </c>
      <c r="E1927" s="2" t="s">
        <v>76</v>
      </c>
      <c r="F1927" s="2" t="s">
        <v>1145</v>
      </c>
      <c r="G1927" s="14" t="n">
        <v>12.5</v>
      </c>
      <c r="H1927" s="14" t="n">
        <v>28.14</v>
      </c>
      <c r="I1927" s="14" t="n">
        <v>12.5</v>
      </c>
      <c r="J1927" s="22" t="n">
        <f aca="false">IF(E1927="Priority",'Cost model'!N762,'Cost model'!M762)</f>
        <v>45</v>
      </c>
      <c r="K1927" s="14" t="n">
        <f aca="false">J1927-H1927</f>
        <v>16.86</v>
      </c>
      <c r="L1927" s="14" t="n">
        <f aca="false">G1927-H1927</f>
        <v>-15.64</v>
      </c>
    </row>
    <row r="1928" customFormat="false" ht="15" hidden="false" customHeight="false" outlineLevel="0" collapsed="false">
      <c r="A1928" s="2" t="s">
        <v>184</v>
      </c>
      <c r="B1928" s="2" t="s">
        <v>184</v>
      </c>
      <c r="C1928" s="2" t="s">
        <v>48</v>
      </c>
      <c r="D1928" s="2" t="s">
        <v>10</v>
      </c>
      <c r="E1928" s="2" t="s">
        <v>76</v>
      </c>
      <c r="F1928" s="2" t="s">
        <v>1145</v>
      </c>
      <c r="G1928" s="14" t="n">
        <v>9.5</v>
      </c>
      <c r="H1928" s="14" t="n">
        <v>13.72</v>
      </c>
      <c r="I1928" s="14" t="n">
        <v>9.5</v>
      </c>
      <c r="J1928" s="22" t="n">
        <f aca="false">IF(E1928="Priority",'Cost model'!N200,'Cost model'!M200)</f>
        <v>7.5</v>
      </c>
      <c r="K1928" s="14" t="n">
        <f aca="false">J1928-H1928</f>
        <v>-6.22</v>
      </c>
      <c r="L1928" s="14" t="n">
        <f aca="false">G1928-H1928</f>
        <v>-4.22</v>
      </c>
    </row>
    <row r="1929" customFormat="false" ht="15" hidden="false" customHeight="false" outlineLevel="0" collapsed="false">
      <c r="A1929" s="2" t="s">
        <v>165</v>
      </c>
      <c r="B1929" s="2" t="s">
        <v>165</v>
      </c>
      <c r="C1929" s="2" t="s">
        <v>50</v>
      </c>
      <c r="D1929" s="2" t="s">
        <v>10</v>
      </c>
      <c r="E1929" s="2" t="s">
        <v>76</v>
      </c>
      <c r="F1929" s="2" t="s">
        <v>1145</v>
      </c>
      <c r="G1929" s="14" t="n">
        <v>17.5</v>
      </c>
      <c r="H1929" s="14" t="n">
        <v>16.05</v>
      </c>
      <c r="I1929" s="14" t="n">
        <v>17.5</v>
      </c>
      <c r="J1929" s="22" t="n">
        <f aca="false">IF(E1929="Priority",'Cost model'!N508,'Cost model'!M508)</f>
        <v>17.5</v>
      </c>
      <c r="K1929" s="14" t="n">
        <f aca="false">J1929-H1929</f>
        <v>1.45</v>
      </c>
      <c r="L1929" s="14" t="n">
        <f aca="false">G1929-H1929</f>
        <v>1.45</v>
      </c>
    </row>
    <row r="1930" customFormat="false" ht="15" hidden="false" customHeight="false" outlineLevel="0" collapsed="false">
      <c r="A1930" s="2" t="s">
        <v>146</v>
      </c>
      <c r="B1930" s="2" t="s">
        <v>146</v>
      </c>
      <c r="C1930" s="2" t="s">
        <v>48</v>
      </c>
      <c r="D1930" s="2" t="s">
        <v>10</v>
      </c>
      <c r="E1930" s="2" t="s">
        <v>76</v>
      </c>
      <c r="F1930" s="2" t="s">
        <v>1145</v>
      </c>
      <c r="G1930" s="14" t="n">
        <v>9.5</v>
      </c>
      <c r="H1930" s="14" t="n">
        <v>11.64</v>
      </c>
      <c r="I1930" s="14" t="n">
        <v>9.5</v>
      </c>
      <c r="J1930" s="22" t="n">
        <f aca="false">IF(E1930="Priority",'Cost model'!N758,'Cost model'!M758)</f>
        <v>9.5</v>
      </c>
      <c r="K1930" s="14" t="n">
        <f aca="false">J1930-H1930</f>
        <v>-2.14</v>
      </c>
      <c r="L1930" s="14" t="n">
        <f aca="false">G1930-H1930</f>
        <v>-2.14</v>
      </c>
    </row>
    <row r="1931" customFormat="false" ht="15" hidden="false" customHeight="false" outlineLevel="0" collapsed="false">
      <c r="A1931" s="2" t="s">
        <v>184</v>
      </c>
      <c r="B1931" s="2" t="s">
        <v>126</v>
      </c>
      <c r="C1931" s="2" t="s">
        <v>50</v>
      </c>
      <c r="D1931" s="2" t="s">
        <v>13</v>
      </c>
      <c r="E1931" s="2" t="s">
        <v>76</v>
      </c>
      <c r="F1931" s="2" t="s">
        <v>1146</v>
      </c>
      <c r="G1931" s="14" t="n">
        <v>50</v>
      </c>
      <c r="H1931" s="14" t="n">
        <v>77.36</v>
      </c>
      <c r="I1931" s="14" t="n">
        <v>50</v>
      </c>
      <c r="J1931" s="22" t="n">
        <f aca="false">IF(E1931="Priority",'Cost model'!N136,'Cost model'!M136)</f>
        <v>105</v>
      </c>
      <c r="K1931" s="14" t="n">
        <f aca="false">J1931-H1931</f>
        <v>27.64</v>
      </c>
      <c r="L1931" s="14" t="n">
        <f aca="false">G1931-H1931</f>
        <v>-27.36</v>
      </c>
    </row>
    <row r="1932" customFormat="false" ht="15" hidden="false" customHeight="false" outlineLevel="0" collapsed="false">
      <c r="A1932" s="2" t="s">
        <v>126</v>
      </c>
      <c r="B1932" s="2" t="s">
        <v>126</v>
      </c>
      <c r="C1932" s="2" t="s">
        <v>48</v>
      </c>
      <c r="D1932" s="2" t="s">
        <v>10</v>
      </c>
      <c r="E1932" s="2" t="s">
        <v>76</v>
      </c>
      <c r="F1932" s="2" t="s">
        <v>1145</v>
      </c>
      <c r="G1932" s="14" t="n">
        <v>9.5</v>
      </c>
      <c r="H1932" s="14" t="n">
        <v>7.12</v>
      </c>
      <c r="I1932" s="14" t="n">
        <v>9.5</v>
      </c>
      <c r="J1932" s="22" t="n">
        <f aca="false">IF(E1932="Priority",'Cost model'!N380,'Cost model'!M380)</f>
        <v>8.5</v>
      </c>
      <c r="K1932" s="14" t="n">
        <f aca="false">J1932-H1932</f>
        <v>1.38</v>
      </c>
      <c r="L1932" s="14" t="n">
        <f aca="false">G1932-H1932</f>
        <v>2.38</v>
      </c>
    </row>
    <row r="1933" customFormat="false" ht="15" hidden="false" customHeight="false" outlineLevel="0" collapsed="false">
      <c r="A1933" s="2" t="s">
        <v>184</v>
      </c>
      <c r="B1933" s="2" t="s">
        <v>184</v>
      </c>
      <c r="C1933" s="2" t="s">
        <v>50</v>
      </c>
      <c r="D1933" s="2" t="s">
        <v>10</v>
      </c>
      <c r="E1933" s="2" t="s">
        <v>85</v>
      </c>
      <c r="F1933" s="2" t="s">
        <v>1145</v>
      </c>
      <c r="G1933" s="14" t="n">
        <v>24.5</v>
      </c>
      <c r="H1933" s="14" t="n">
        <v>24.72</v>
      </c>
      <c r="I1933" s="14" t="n">
        <v>24.5</v>
      </c>
      <c r="J1933" s="22" t="n">
        <f aca="false">IF(E1933="Priority",'Cost model'!N202,'Cost model'!M202)</f>
        <v>23.5</v>
      </c>
      <c r="K1933" s="14" t="n">
        <f aca="false">J1933-H1933</f>
        <v>-1.22</v>
      </c>
      <c r="L1933" s="14" t="n">
        <f aca="false">G1933-H1933</f>
        <v>-0.219999999999999</v>
      </c>
    </row>
    <row r="1934" customFormat="false" ht="15" hidden="false" customHeight="false" outlineLevel="0" collapsed="false">
      <c r="A1934" s="2" t="s">
        <v>184</v>
      </c>
      <c r="B1934" s="2" t="s">
        <v>184</v>
      </c>
      <c r="C1934" s="2" t="s">
        <v>49</v>
      </c>
      <c r="D1934" s="2" t="s">
        <v>10</v>
      </c>
      <c r="E1934" s="2" t="s">
        <v>76</v>
      </c>
      <c r="F1934" s="2" t="s">
        <v>1145</v>
      </c>
      <c r="G1934" s="14" t="n">
        <v>12.5</v>
      </c>
      <c r="H1934" s="14" t="n">
        <v>10.79</v>
      </c>
      <c r="I1934" s="14"/>
      <c r="J1934" s="22" t="n">
        <f aca="false">IF(E1934="Priority",'Cost model'!N201,'Cost model'!M201)</f>
        <v>12.5</v>
      </c>
      <c r="K1934" s="14" t="n">
        <f aca="false">J1934-H1934</f>
        <v>1.71</v>
      </c>
      <c r="L1934" s="14" t="n">
        <f aca="false">G1934-H1934</f>
        <v>1.71</v>
      </c>
    </row>
    <row r="1935" customFormat="false" ht="15" hidden="false" customHeight="false" outlineLevel="0" collapsed="false">
      <c r="A1935" s="2" t="s">
        <v>146</v>
      </c>
      <c r="B1935" s="2" t="s">
        <v>146</v>
      </c>
      <c r="C1935" s="2" t="s">
        <v>50</v>
      </c>
      <c r="D1935" s="2" t="s">
        <v>12</v>
      </c>
      <c r="E1935" s="2" t="s">
        <v>85</v>
      </c>
      <c r="F1935" s="2" t="s">
        <v>1145</v>
      </c>
      <c r="G1935" s="14" t="n">
        <v>29.5</v>
      </c>
      <c r="H1935" s="14" t="n">
        <v>17.69</v>
      </c>
      <c r="I1935" s="14" t="n">
        <v>29.5</v>
      </c>
      <c r="J1935" s="22" t="n">
        <f aca="false">IF(E1935="Priority",'Cost model'!N763,'Cost model'!M763)</f>
        <v>65</v>
      </c>
      <c r="K1935" s="14" t="n">
        <f aca="false">J1935-H1935</f>
        <v>47.31</v>
      </c>
      <c r="L1935" s="14" t="n">
        <f aca="false">G1935-H1935</f>
        <v>11.81</v>
      </c>
    </row>
    <row r="1936" customFormat="false" ht="15" hidden="false" customHeight="false" outlineLevel="0" collapsed="false">
      <c r="A1936" s="2" t="s">
        <v>240</v>
      </c>
      <c r="B1936" s="2" t="s">
        <v>240</v>
      </c>
      <c r="C1936" s="2" t="s">
        <v>48</v>
      </c>
      <c r="D1936" s="2" t="s">
        <v>14</v>
      </c>
      <c r="E1936" s="2" t="s">
        <v>76</v>
      </c>
      <c r="F1936" s="2" t="s">
        <v>1145</v>
      </c>
      <c r="G1936" s="14" t="n">
        <v>25</v>
      </c>
      <c r="H1936" s="14" t="n">
        <v>35.71</v>
      </c>
      <c r="I1936" s="14" t="n">
        <v>25</v>
      </c>
      <c r="J1936" s="22" t="n">
        <f aca="false">IF(E1936="Priority",'Cost model'!N893,'Cost model'!M893)</f>
        <v>135</v>
      </c>
      <c r="K1936" s="14" t="n">
        <f aca="false">J1936-H1936</f>
        <v>99.29</v>
      </c>
      <c r="L1936" s="14" t="n">
        <f aca="false">G1936-H1936</f>
        <v>-10.71</v>
      </c>
    </row>
    <row r="1937" customFormat="false" ht="15" hidden="false" customHeight="false" outlineLevel="0" collapsed="false">
      <c r="A1937" s="2" t="s">
        <v>126</v>
      </c>
      <c r="B1937" s="2" t="s">
        <v>126</v>
      </c>
      <c r="C1937" s="2" t="s">
        <v>48</v>
      </c>
      <c r="D1937" s="2" t="s">
        <v>10</v>
      </c>
      <c r="E1937" s="2" t="s">
        <v>76</v>
      </c>
      <c r="F1937" s="2" t="s">
        <v>1145</v>
      </c>
      <c r="G1937" s="14" t="n">
        <v>9.5</v>
      </c>
      <c r="H1937" s="14" t="n">
        <v>7.47</v>
      </c>
      <c r="I1937" s="14" t="n">
        <v>9.5</v>
      </c>
      <c r="J1937" s="22" t="n">
        <f aca="false">IF(E1937="Priority",'Cost model'!N380,'Cost model'!M380)</f>
        <v>8.5</v>
      </c>
      <c r="K1937" s="14" t="n">
        <f aca="false">J1937-H1937</f>
        <v>1.03</v>
      </c>
      <c r="L1937" s="14" t="n">
        <f aca="false">G1937-H1937</f>
        <v>2.03</v>
      </c>
    </row>
    <row r="1938" customFormat="false" ht="15" hidden="false" customHeight="false" outlineLevel="0" collapsed="false">
      <c r="A1938" s="2" t="s">
        <v>240</v>
      </c>
      <c r="B1938" s="2" t="s">
        <v>240</v>
      </c>
      <c r="C1938" s="2" t="s">
        <v>48</v>
      </c>
      <c r="D1938" s="2" t="s">
        <v>12</v>
      </c>
      <c r="E1938" s="2" t="s">
        <v>76</v>
      </c>
      <c r="F1938" s="2" t="s">
        <v>1145</v>
      </c>
      <c r="G1938" s="14" t="n">
        <v>9.5</v>
      </c>
      <c r="H1938" s="14" t="n">
        <v>28.7</v>
      </c>
      <c r="I1938" s="14" t="n">
        <v>9.5</v>
      </c>
      <c r="J1938" s="22" t="n">
        <f aca="false">IF(E1938="Priority",'Cost model'!N887,'Cost model'!M887)</f>
        <v>21.5</v>
      </c>
      <c r="K1938" s="14" t="n">
        <f aca="false">J1938-H1938</f>
        <v>-7.2</v>
      </c>
      <c r="L1938" s="14" t="n">
        <f aca="false">G1938-H1938</f>
        <v>-19.2</v>
      </c>
    </row>
    <row r="1939" customFormat="false" ht="15" hidden="false" customHeight="false" outlineLevel="0" collapsed="false">
      <c r="A1939" s="2" t="s">
        <v>126</v>
      </c>
      <c r="B1939" s="2" t="s">
        <v>126</v>
      </c>
      <c r="C1939" s="2" t="s">
        <v>48</v>
      </c>
      <c r="D1939" s="2" t="s">
        <v>10</v>
      </c>
      <c r="E1939" s="2" t="s">
        <v>76</v>
      </c>
      <c r="F1939" s="2" t="s">
        <v>1145</v>
      </c>
      <c r="G1939" s="14" t="n">
        <v>9.5</v>
      </c>
      <c r="H1939" s="14" t="n">
        <v>8.39</v>
      </c>
      <c r="I1939" s="14" t="n">
        <v>9.5</v>
      </c>
      <c r="J1939" s="22" t="n">
        <f aca="false">IF(E1939="Priority",'Cost model'!N380,'Cost model'!M380)</f>
        <v>8.5</v>
      </c>
      <c r="K1939" s="14" t="n">
        <f aca="false">J1939-H1939</f>
        <v>0.109999999999999</v>
      </c>
      <c r="L1939" s="14" t="n">
        <f aca="false">G1939-H1939</f>
        <v>1.11</v>
      </c>
    </row>
    <row r="1940" customFormat="false" ht="15" hidden="false" customHeight="false" outlineLevel="0" collapsed="false">
      <c r="A1940" s="2" t="s">
        <v>184</v>
      </c>
      <c r="B1940" s="2" t="s">
        <v>184</v>
      </c>
      <c r="C1940" s="2" t="s">
        <v>48</v>
      </c>
      <c r="D1940" s="2" t="s">
        <v>10</v>
      </c>
      <c r="E1940" s="2" t="s">
        <v>76</v>
      </c>
      <c r="F1940" s="2" t="s">
        <v>1145</v>
      </c>
      <c r="G1940" s="14" t="n">
        <v>9.5</v>
      </c>
      <c r="H1940" s="14" t="n">
        <v>7.72</v>
      </c>
      <c r="I1940" s="14" t="n">
        <v>9.5</v>
      </c>
      <c r="J1940" s="22" t="n">
        <f aca="false">IF(E1940="Priority",'Cost model'!N200,'Cost model'!M200)</f>
        <v>7.5</v>
      </c>
      <c r="K1940" s="14" t="n">
        <f aca="false">J1940-H1940</f>
        <v>-0.22</v>
      </c>
      <c r="L1940" s="14" t="n">
        <f aca="false">G1940-H1940</f>
        <v>1.78</v>
      </c>
    </row>
    <row r="1941" customFormat="false" ht="15" hidden="false" customHeight="false" outlineLevel="0" collapsed="false">
      <c r="A1941" s="2" t="s">
        <v>184</v>
      </c>
      <c r="B1941" s="2" t="s">
        <v>184</v>
      </c>
      <c r="C1941" s="2" t="s">
        <v>48</v>
      </c>
      <c r="D1941" s="2" t="s">
        <v>10</v>
      </c>
      <c r="E1941" s="2" t="s">
        <v>76</v>
      </c>
      <c r="F1941" s="2" t="s">
        <v>1145</v>
      </c>
      <c r="G1941" s="14" t="n">
        <v>9.5</v>
      </c>
      <c r="H1941" s="14" t="n">
        <v>7.45</v>
      </c>
      <c r="I1941" s="14" t="n">
        <v>9.5</v>
      </c>
      <c r="J1941" s="22" t="n">
        <f aca="false">IF(E1941="Priority",'Cost model'!N200,'Cost model'!M200)</f>
        <v>7.5</v>
      </c>
      <c r="K1941" s="14" t="n">
        <f aca="false">J1941-H1941</f>
        <v>0.0499999999999998</v>
      </c>
      <c r="L1941" s="14" t="n">
        <f aca="false">G1941-H1941</f>
        <v>2.05</v>
      </c>
    </row>
    <row r="1942" customFormat="false" ht="15" hidden="false" customHeight="false" outlineLevel="0" collapsed="false">
      <c r="A1942" s="2" t="s">
        <v>146</v>
      </c>
      <c r="B1942" s="2" t="s">
        <v>146</v>
      </c>
      <c r="C1942" s="2" t="s">
        <v>48</v>
      </c>
      <c r="D1942" s="2" t="s">
        <v>12</v>
      </c>
      <c r="E1942" s="2" t="s">
        <v>76</v>
      </c>
      <c r="F1942" s="2" t="s">
        <v>1145</v>
      </c>
      <c r="G1942" s="14" t="n">
        <v>9.5</v>
      </c>
      <c r="H1942" s="14" t="n">
        <v>25.99</v>
      </c>
      <c r="I1942" s="14" t="n">
        <v>9.5</v>
      </c>
      <c r="J1942" s="22" t="n">
        <f aca="false">IF(E1942="Priority",'Cost model'!N761,'Cost model'!M761)</f>
        <v>35</v>
      </c>
      <c r="K1942" s="14" t="n">
        <f aca="false">J1942-H1942</f>
        <v>9.01</v>
      </c>
      <c r="L1942" s="14" t="n">
        <f aca="false">G1942-H1942</f>
        <v>-16.49</v>
      </c>
    </row>
    <row r="1943" customFormat="false" ht="15" hidden="false" customHeight="false" outlineLevel="0" collapsed="false">
      <c r="A1943" s="2" t="s">
        <v>240</v>
      </c>
      <c r="B1943" s="2" t="s">
        <v>240</v>
      </c>
      <c r="C1943" s="2" t="s">
        <v>50</v>
      </c>
      <c r="D1943" s="2" t="s">
        <v>13</v>
      </c>
      <c r="E1943" s="2" t="s">
        <v>76</v>
      </c>
      <c r="F1943" s="2" t="s">
        <v>1145</v>
      </c>
      <c r="G1943" s="14" t="n">
        <v>50</v>
      </c>
      <c r="H1943" s="14" t="n">
        <v>171.85</v>
      </c>
      <c r="I1943" s="14" t="n">
        <v>50</v>
      </c>
      <c r="J1943" s="22" t="n">
        <f aca="false">IF(E1943="Priority",'Cost model'!N892,'Cost model'!M892)</f>
        <v>130</v>
      </c>
      <c r="K1943" s="14" t="n">
        <f aca="false">J1943-H1943</f>
        <v>-41.85</v>
      </c>
      <c r="L1943" s="14" t="n">
        <f aca="false">G1943-H1943</f>
        <v>-121.85</v>
      </c>
    </row>
    <row r="1944" customFormat="false" ht="15" hidden="false" customHeight="false" outlineLevel="0" collapsed="false">
      <c r="A1944" s="2" t="s">
        <v>126</v>
      </c>
      <c r="B1944" s="2" t="s">
        <v>146</v>
      </c>
      <c r="C1944" s="2" t="s">
        <v>49</v>
      </c>
      <c r="D1944" s="2" t="s">
        <v>10</v>
      </c>
      <c r="E1944" s="2" t="s">
        <v>76</v>
      </c>
      <c r="F1944" s="2" t="s">
        <v>1146</v>
      </c>
      <c r="G1944" s="14" t="n">
        <v>12.5</v>
      </c>
      <c r="H1944" s="14" t="n">
        <v>15.24</v>
      </c>
      <c r="I1944" s="14" t="n">
        <v>14.5</v>
      </c>
      <c r="J1944" s="22" t="n">
        <f aca="false">IF(E1944="Priority",'Cost model'!N399,'Cost model'!M399)</f>
        <v>17.5</v>
      </c>
      <c r="K1944" s="14" t="n">
        <f aca="false">J1944-H1944</f>
        <v>2.26</v>
      </c>
      <c r="L1944" s="14" t="n">
        <f aca="false">G1944-H1944</f>
        <v>-2.74</v>
      </c>
    </row>
    <row r="1945" customFormat="false" ht="15" hidden="false" customHeight="false" outlineLevel="0" collapsed="false">
      <c r="A1945" s="2" t="s">
        <v>184</v>
      </c>
      <c r="B1945" s="2" t="s">
        <v>184</v>
      </c>
      <c r="C1945" s="2" t="s">
        <v>48</v>
      </c>
      <c r="D1945" s="2" t="s">
        <v>12</v>
      </c>
      <c r="E1945" s="2" t="s">
        <v>76</v>
      </c>
      <c r="F1945" s="2" t="s">
        <v>1145</v>
      </c>
      <c r="G1945" s="14" t="n">
        <v>9.5</v>
      </c>
      <c r="H1945" s="14" t="n">
        <v>28.09</v>
      </c>
      <c r="I1945" s="14" t="n">
        <v>9.5</v>
      </c>
      <c r="J1945" s="22" t="n">
        <f aca="false">IF(E1945="Priority",'Cost model'!N203,'Cost model'!M203)</f>
        <v>26.5</v>
      </c>
      <c r="K1945" s="14" t="n">
        <f aca="false">J1945-H1945</f>
        <v>-1.59</v>
      </c>
      <c r="L1945" s="14" t="n">
        <f aca="false">G1945-H1945</f>
        <v>-18.59</v>
      </c>
    </row>
    <row r="1946" customFormat="false" ht="15" hidden="false" customHeight="false" outlineLevel="0" collapsed="false">
      <c r="A1946" s="2" t="s">
        <v>240</v>
      </c>
      <c r="B1946" s="2" t="s">
        <v>240</v>
      </c>
      <c r="C1946" s="2" t="s">
        <v>50</v>
      </c>
      <c r="D1946" s="2" t="s">
        <v>14</v>
      </c>
      <c r="E1946" s="2" t="s">
        <v>76</v>
      </c>
      <c r="F1946" s="2" t="s">
        <v>1145</v>
      </c>
      <c r="G1946" s="14" t="n">
        <v>125</v>
      </c>
      <c r="H1946" s="14" t="n">
        <v>387.55</v>
      </c>
      <c r="I1946" s="14" t="n">
        <v>125</v>
      </c>
      <c r="J1946" s="22" t="n">
        <f aca="false">IF(E1946="Priority",'Cost model'!N895,'Cost model'!M895)</f>
        <v>320</v>
      </c>
      <c r="K1946" s="14" t="n">
        <f aca="false">J1946-H1946</f>
        <v>-67.55</v>
      </c>
      <c r="L1946" s="14" t="n">
        <f aca="false">G1946-H1946</f>
        <v>-262.55</v>
      </c>
    </row>
    <row r="1947" customFormat="false" ht="15" hidden="false" customHeight="false" outlineLevel="0" collapsed="false">
      <c r="A1947" s="2" t="s">
        <v>221</v>
      </c>
      <c r="B1947" s="2" t="s">
        <v>126</v>
      </c>
      <c r="C1947" s="2" t="s">
        <v>48</v>
      </c>
      <c r="D1947" s="2" t="s">
        <v>12</v>
      </c>
      <c r="E1947" s="2" t="s">
        <v>76</v>
      </c>
      <c r="F1947" s="2" t="s">
        <v>1146</v>
      </c>
      <c r="G1947" s="14" t="n">
        <v>19.5</v>
      </c>
      <c r="H1947" s="14" t="n">
        <v>65.44</v>
      </c>
      <c r="I1947" s="14" t="n">
        <v>24.5</v>
      </c>
      <c r="J1947" s="22" t="n">
        <f aca="false">IF(E1947="Priority",'Cost model'!N689,'Cost model'!M689)</f>
        <v>55</v>
      </c>
      <c r="K1947" s="14" t="n">
        <f aca="false">J1947-H1947</f>
        <v>-10.44</v>
      </c>
      <c r="L1947" s="14" t="n">
        <f aca="false">G1947-H1947</f>
        <v>-45.94</v>
      </c>
    </row>
    <row r="1948" customFormat="false" ht="15" hidden="false" customHeight="false" outlineLevel="0" collapsed="false">
      <c r="A1948" s="2" t="s">
        <v>126</v>
      </c>
      <c r="B1948" s="2" t="s">
        <v>126</v>
      </c>
      <c r="C1948" s="2" t="s">
        <v>49</v>
      </c>
      <c r="D1948" s="2" t="s">
        <v>10</v>
      </c>
      <c r="E1948" s="2" t="s">
        <v>76</v>
      </c>
      <c r="F1948" s="2" t="s">
        <v>1145</v>
      </c>
      <c r="G1948" s="14" t="n">
        <v>24.5</v>
      </c>
      <c r="H1948" s="14" t="n">
        <v>44.29</v>
      </c>
      <c r="I1948" s="14" t="n">
        <v>12.5</v>
      </c>
      <c r="J1948" s="22" t="n">
        <f aca="false">IF(E1948="Priority",'Cost model'!N381,'Cost model'!M381)</f>
        <v>14.5</v>
      </c>
      <c r="K1948" s="14" t="n">
        <f aca="false">J1948-H1948</f>
        <v>-29.79</v>
      </c>
      <c r="L1948" s="14" t="n">
        <f aca="false">G1948-H1948</f>
        <v>-19.79</v>
      </c>
    </row>
    <row r="1949" customFormat="false" ht="15" hidden="false" customHeight="false" outlineLevel="0" collapsed="false">
      <c r="A1949" s="2" t="s">
        <v>184</v>
      </c>
      <c r="B1949" s="2" t="s">
        <v>184</v>
      </c>
      <c r="C1949" s="2" t="s">
        <v>49</v>
      </c>
      <c r="D1949" s="2" t="s">
        <v>10</v>
      </c>
      <c r="E1949" s="2" t="s">
        <v>76</v>
      </c>
      <c r="F1949" s="2" t="s">
        <v>1145</v>
      </c>
      <c r="G1949" s="14" t="n">
        <v>12.5</v>
      </c>
      <c r="H1949" s="14" t="n">
        <v>11.22</v>
      </c>
      <c r="I1949" s="14"/>
      <c r="J1949" s="22" t="n">
        <f aca="false">IF(E1949="Priority",'Cost model'!N201,'Cost model'!M201)</f>
        <v>12.5</v>
      </c>
      <c r="K1949" s="14" t="n">
        <f aca="false">J1949-H1949</f>
        <v>1.28</v>
      </c>
      <c r="L1949" s="14" t="n">
        <f aca="false">G1949-H1949</f>
        <v>1.28</v>
      </c>
    </row>
    <row r="1950" customFormat="false" ht="15" hidden="false" customHeight="false" outlineLevel="0" collapsed="false">
      <c r="A1950" s="2" t="s">
        <v>146</v>
      </c>
      <c r="B1950" s="2" t="s">
        <v>184</v>
      </c>
      <c r="C1950" s="2" t="s">
        <v>48</v>
      </c>
      <c r="D1950" s="2" t="s">
        <v>10</v>
      </c>
      <c r="E1950" s="2" t="s">
        <v>76</v>
      </c>
      <c r="F1950" s="2" t="s">
        <v>1146</v>
      </c>
      <c r="G1950" s="14" t="n">
        <v>14.5</v>
      </c>
      <c r="H1950" s="14" t="n">
        <v>5.27</v>
      </c>
      <c r="I1950" s="14" t="n">
        <v>14.5</v>
      </c>
      <c r="J1950" s="22" t="n">
        <f aca="false">IF(E1950="Priority",'Cost model'!N830,'Cost model'!M830)</f>
        <v>9.5</v>
      </c>
      <c r="K1950" s="14" t="n">
        <f aca="false">J1950-H1950</f>
        <v>4.23</v>
      </c>
      <c r="L1950" s="14" t="n">
        <f aca="false">G1950-H1950</f>
        <v>9.23</v>
      </c>
    </row>
    <row r="1951" customFormat="false" ht="15" hidden="false" customHeight="false" outlineLevel="0" collapsed="false">
      <c r="A1951" s="2" t="s">
        <v>184</v>
      </c>
      <c r="B1951" s="2" t="s">
        <v>184</v>
      </c>
      <c r="C1951" s="2" t="s">
        <v>49</v>
      </c>
      <c r="D1951" s="2" t="s">
        <v>12</v>
      </c>
      <c r="E1951" s="2" t="s">
        <v>76</v>
      </c>
      <c r="F1951" s="2" t="s">
        <v>1145</v>
      </c>
      <c r="G1951" s="14" t="n">
        <v>12.5</v>
      </c>
      <c r="H1951" s="14" t="n">
        <v>7.37</v>
      </c>
      <c r="I1951" s="14"/>
      <c r="J1951" s="22" t="n">
        <f aca="false">IF(E1951="Priority",'Cost model'!N204,'Cost model'!M204)</f>
        <v>45</v>
      </c>
      <c r="K1951" s="14" t="n">
        <f aca="false">J1951-H1951</f>
        <v>37.63</v>
      </c>
      <c r="L1951" s="14" t="n">
        <f aca="false">G1951-H1951</f>
        <v>5.13</v>
      </c>
    </row>
    <row r="1952" customFormat="false" ht="15" hidden="false" customHeight="false" outlineLevel="0" collapsed="false">
      <c r="A1952" s="2" t="s">
        <v>240</v>
      </c>
      <c r="B1952" s="2" t="s">
        <v>240</v>
      </c>
      <c r="C1952" s="2" t="s">
        <v>48</v>
      </c>
      <c r="D1952" s="2" t="s">
        <v>10</v>
      </c>
      <c r="E1952" s="2" t="s">
        <v>76</v>
      </c>
      <c r="F1952" s="2" t="s">
        <v>1145</v>
      </c>
      <c r="G1952" s="14" t="n">
        <v>9.5</v>
      </c>
      <c r="H1952" s="14" t="n">
        <v>7.4</v>
      </c>
      <c r="I1952" s="14" t="n">
        <v>9.5</v>
      </c>
      <c r="J1952" s="22" t="n">
        <f aca="false">IF(E1952="Priority",'Cost model'!N884,'Cost model'!M884)</f>
        <v>7.5</v>
      </c>
      <c r="K1952" s="14" t="n">
        <f aca="false">J1952-H1952</f>
        <v>0.0999999999999996</v>
      </c>
      <c r="L1952" s="14" t="n">
        <f aca="false">G1952-H1952</f>
        <v>2.1</v>
      </c>
    </row>
    <row r="1953" customFormat="false" ht="15" hidden="false" customHeight="false" outlineLevel="0" collapsed="false">
      <c r="A1953" s="2" t="s">
        <v>126</v>
      </c>
      <c r="B1953" s="2" t="s">
        <v>126</v>
      </c>
      <c r="C1953" s="2" t="s">
        <v>50</v>
      </c>
      <c r="D1953" s="2" t="s">
        <v>10</v>
      </c>
      <c r="E1953" s="2" t="s">
        <v>76</v>
      </c>
      <c r="F1953" s="2" t="s">
        <v>1145</v>
      </c>
      <c r="G1953" s="14" t="n">
        <v>17.5</v>
      </c>
      <c r="H1953" s="14" t="n">
        <v>11.58</v>
      </c>
      <c r="I1953" s="14" t="n">
        <v>17.5</v>
      </c>
      <c r="J1953" s="22" t="n">
        <f aca="false">IF(E1953="Priority",'Cost model'!N382,'Cost model'!M382)</f>
        <v>18.5</v>
      </c>
      <c r="K1953" s="14" t="n">
        <f aca="false">J1953-H1953</f>
        <v>6.92</v>
      </c>
      <c r="L1953" s="14" t="n">
        <f aca="false">G1953-H1953</f>
        <v>5.92</v>
      </c>
    </row>
    <row r="1954" customFormat="false" ht="15" hidden="false" customHeight="false" outlineLevel="0" collapsed="false">
      <c r="A1954" s="2" t="s">
        <v>126</v>
      </c>
      <c r="B1954" s="2" t="s">
        <v>126</v>
      </c>
      <c r="C1954" s="2" t="s">
        <v>50</v>
      </c>
      <c r="D1954" s="2" t="s">
        <v>10</v>
      </c>
      <c r="E1954" s="2" t="s">
        <v>76</v>
      </c>
      <c r="F1954" s="2" t="s">
        <v>1145</v>
      </c>
      <c r="G1954" s="14" t="n">
        <v>17.5</v>
      </c>
      <c r="H1954" s="14" t="n">
        <v>14.08</v>
      </c>
      <c r="I1954" s="14" t="n">
        <v>17.5</v>
      </c>
      <c r="J1954" s="22" t="n">
        <f aca="false">IF(E1954="Priority",'Cost model'!N382,'Cost model'!M382)</f>
        <v>18.5</v>
      </c>
      <c r="K1954" s="14" t="n">
        <f aca="false">J1954-H1954</f>
        <v>4.42</v>
      </c>
      <c r="L1954" s="14" t="n">
        <f aca="false">G1954-H1954</f>
        <v>3.42</v>
      </c>
    </row>
    <row r="1955" customFormat="false" ht="15" hidden="false" customHeight="false" outlineLevel="0" collapsed="false">
      <c r="A1955" s="2" t="s">
        <v>184</v>
      </c>
      <c r="B1955" s="2" t="s">
        <v>146</v>
      </c>
      <c r="C1955" s="2" t="s">
        <v>50</v>
      </c>
      <c r="D1955" s="2" t="s">
        <v>10</v>
      </c>
      <c r="E1955" s="2" t="s">
        <v>76</v>
      </c>
      <c r="F1955" s="2" t="s">
        <v>1146</v>
      </c>
      <c r="G1955" s="14" t="n">
        <v>19.5</v>
      </c>
      <c r="H1955" s="14" t="n">
        <v>24.72</v>
      </c>
      <c r="I1955" s="14" t="n">
        <v>17.5</v>
      </c>
      <c r="J1955" s="22" t="n">
        <f aca="false">IF(E1955="Priority",'Cost model'!N148,'Cost model'!M148)</f>
        <v>21.5</v>
      </c>
      <c r="K1955" s="14" t="n">
        <f aca="false">J1955-H1955</f>
        <v>-3.22</v>
      </c>
      <c r="L1955" s="14" t="n">
        <f aca="false">G1955-H1955</f>
        <v>-5.22</v>
      </c>
    </row>
    <row r="1956" customFormat="false" ht="15" hidden="false" customHeight="false" outlineLevel="0" collapsed="false">
      <c r="A1956" s="2" t="s">
        <v>146</v>
      </c>
      <c r="B1956" s="2" t="s">
        <v>184</v>
      </c>
      <c r="C1956" s="2" t="s">
        <v>49</v>
      </c>
      <c r="D1956" s="2" t="s">
        <v>10</v>
      </c>
      <c r="E1956" s="2" t="s">
        <v>85</v>
      </c>
      <c r="F1956" s="2" t="s">
        <v>1146</v>
      </c>
      <c r="G1956" s="14" t="n">
        <v>19.5</v>
      </c>
      <c r="H1956" s="14" t="n">
        <v>11.25</v>
      </c>
      <c r="I1956" s="14" t="n">
        <v>19.5</v>
      </c>
      <c r="J1956" s="22" t="n">
        <f aca="false">IF(E1956="Priority",'Cost model'!N831,'Cost model'!M831)</f>
        <v>15.5</v>
      </c>
      <c r="K1956" s="14" t="n">
        <f aca="false">J1956-H1956</f>
        <v>4.25</v>
      </c>
      <c r="L1956" s="14" t="n">
        <f aca="false">G1956-H1956</f>
        <v>8.25</v>
      </c>
    </row>
    <row r="1957" customFormat="false" ht="15" hidden="false" customHeight="false" outlineLevel="0" collapsed="false">
      <c r="A1957" s="2" t="s">
        <v>126</v>
      </c>
      <c r="B1957" s="2" t="s">
        <v>126</v>
      </c>
      <c r="C1957" s="2" t="s">
        <v>49</v>
      </c>
      <c r="D1957" s="2" t="s">
        <v>10</v>
      </c>
      <c r="E1957" s="2" t="s">
        <v>76</v>
      </c>
      <c r="F1957" s="2" t="s">
        <v>1145</v>
      </c>
      <c r="G1957" s="14" t="n">
        <v>14.5</v>
      </c>
      <c r="H1957" s="14" t="n">
        <v>16.84</v>
      </c>
      <c r="I1957" s="14" t="n">
        <v>12.5</v>
      </c>
      <c r="J1957" s="22" t="n">
        <f aca="false">IF(E1957="Priority",'Cost model'!N381,'Cost model'!M381)</f>
        <v>14.5</v>
      </c>
      <c r="K1957" s="14" t="n">
        <f aca="false">J1957-H1957</f>
        <v>-2.34</v>
      </c>
      <c r="L1957" s="14" t="n">
        <f aca="false">G1957-H1957</f>
        <v>-2.34</v>
      </c>
    </row>
    <row r="1958" customFormat="false" ht="15" hidden="false" customHeight="false" outlineLevel="0" collapsed="false">
      <c r="A1958" s="2" t="s">
        <v>184</v>
      </c>
      <c r="B1958" s="2" t="s">
        <v>146</v>
      </c>
      <c r="C1958" s="2" t="s">
        <v>48</v>
      </c>
      <c r="D1958" s="2" t="s">
        <v>13</v>
      </c>
      <c r="E1958" s="2" t="s">
        <v>76</v>
      </c>
      <c r="F1958" s="2" t="s">
        <v>1146</v>
      </c>
      <c r="G1958" s="14" t="n">
        <v>19</v>
      </c>
      <c r="H1958" s="14" t="n">
        <v>52.56</v>
      </c>
      <c r="I1958" s="14" t="n">
        <v>19</v>
      </c>
      <c r="J1958" s="22" t="n">
        <f aca="false">IF(E1958="Priority",'Cost model'!N152,'Cost model'!M152)</f>
        <v>65</v>
      </c>
      <c r="K1958" s="14" t="n">
        <f aca="false">J1958-H1958</f>
        <v>12.44</v>
      </c>
      <c r="L1958" s="14" t="n">
        <f aca="false">G1958-H1958</f>
        <v>-33.56</v>
      </c>
    </row>
    <row r="1959" customFormat="false" ht="15" hidden="false" customHeight="false" outlineLevel="0" collapsed="false">
      <c r="A1959" s="2" t="s">
        <v>184</v>
      </c>
      <c r="B1959" s="2" t="s">
        <v>184</v>
      </c>
      <c r="C1959" s="2" t="s">
        <v>50</v>
      </c>
      <c r="D1959" s="2" t="s">
        <v>12</v>
      </c>
      <c r="E1959" s="2" t="s">
        <v>85</v>
      </c>
      <c r="F1959" s="2" t="s">
        <v>1145</v>
      </c>
      <c r="G1959" s="14" t="n">
        <v>29.5</v>
      </c>
      <c r="H1959" s="14" t="n">
        <v>43.59</v>
      </c>
      <c r="I1959" s="14" t="n">
        <v>29.5</v>
      </c>
      <c r="J1959" s="22" t="n">
        <f aca="false">IF(E1959="Priority",'Cost model'!N205,'Cost model'!M205)</f>
        <v>65</v>
      </c>
      <c r="K1959" s="14" t="n">
        <f aca="false">J1959-H1959</f>
        <v>21.41</v>
      </c>
      <c r="L1959" s="14" t="n">
        <f aca="false">G1959-H1959</f>
        <v>-14.09</v>
      </c>
    </row>
    <row r="1960" customFormat="false" ht="15" hidden="false" customHeight="false" outlineLevel="0" collapsed="false">
      <c r="A1960" s="2" t="s">
        <v>184</v>
      </c>
      <c r="B1960" s="2" t="s">
        <v>184</v>
      </c>
      <c r="C1960" s="2" t="s">
        <v>49</v>
      </c>
      <c r="D1960" s="2" t="s">
        <v>12</v>
      </c>
      <c r="E1960" s="2" t="s">
        <v>76</v>
      </c>
      <c r="F1960" s="2" t="s">
        <v>1145</v>
      </c>
      <c r="G1960" s="14" t="n">
        <v>12.5</v>
      </c>
      <c r="H1960" s="14" t="n">
        <v>64.06</v>
      </c>
      <c r="I1960" s="14"/>
      <c r="J1960" s="22" t="n">
        <f aca="false">IF(E1960="Priority",'Cost model'!N204,'Cost model'!M204)</f>
        <v>45</v>
      </c>
      <c r="K1960" s="14" t="n">
        <f aca="false">J1960-H1960</f>
        <v>-19.06</v>
      </c>
      <c r="L1960" s="14" t="n">
        <f aca="false">G1960-H1960</f>
        <v>-51.56</v>
      </c>
    </row>
    <row r="1961" customFormat="false" ht="15" hidden="false" customHeight="false" outlineLevel="0" collapsed="false">
      <c r="A1961" s="2" t="s">
        <v>126</v>
      </c>
      <c r="B1961" s="2" t="s">
        <v>126</v>
      </c>
      <c r="C1961" s="2" t="s">
        <v>49</v>
      </c>
      <c r="D1961" s="2" t="s">
        <v>14</v>
      </c>
      <c r="E1961" s="2" t="s">
        <v>76</v>
      </c>
      <c r="F1961" s="2" t="s">
        <v>1145</v>
      </c>
      <c r="G1961" s="14" t="n">
        <v>45</v>
      </c>
      <c r="H1961" s="14" t="n">
        <v>96.07</v>
      </c>
      <c r="I1961" s="14" t="n">
        <v>45</v>
      </c>
      <c r="J1961" s="22" t="n">
        <f aca="false">IF(E1961="Priority",'Cost model'!N390,'Cost model'!M390)</f>
        <v>115</v>
      </c>
      <c r="K1961" s="14" t="n">
        <f aca="false">J1961-H1961</f>
        <v>18.93</v>
      </c>
      <c r="L1961" s="14" t="n">
        <f aca="false">G1961-H1961</f>
        <v>-51.07</v>
      </c>
    </row>
    <row r="1962" customFormat="false" ht="15" hidden="false" customHeight="false" outlineLevel="0" collapsed="false">
      <c r="A1962" s="2" t="s">
        <v>240</v>
      </c>
      <c r="B1962" s="2" t="s">
        <v>240</v>
      </c>
      <c r="C1962" s="2" t="s">
        <v>48</v>
      </c>
      <c r="D1962" s="2" t="s">
        <v>12</v>
      </c>
      <c r="E1962" s="2" t="s">
        <v>85</v>
      </c>
      <c r="F1962" s="2" t="s">
        <v>1145</v>
      </c>
      <c r="G1962" s="14" t="n">
        <v>19.5</v>
      </c>
      <c r="H1962" s="14" t="n">
        <v>10.35</v>
      </c>
      <c r="I1962" s="14" t="n">
        <v>19.5</v>
      </c>
      <c r="J1962" s="22" t="n">
        <f aca="false">IF(E1962="Priority",'Cost model'!N887,'Cost model'!M887)</f>
        <v>27.5</v>
      </c>
      <c r="K1962" s="14" t="n">
        <f aca="false">J1962-H1962</f>
        <v>17.15</v>
      </c>
      <c r="L1962" s="14" t="n">
        <f aca="false">G1962-H1962</f>
        <v>9.15</v>
      </c>
    </row>
    <row r="1963" customFormat="false" ht="15" hidden="false" customHeight="false" outlineLevel="0" collapsed="false">
      <c r="A1963" s="2" t="s">
        <v>184</v>
      </c>
      <c r="B1963" s="2" t="s">
        <v>184</v>
      </c>
      <c r="C1963" s="2" t="s">
        <v>50</v>
      </c>
      <c r="D1963" s="2" t="s">
        <v>10</v>
      </c>
      <c r="E1963" s="2" t="s">
        <v>76</v>
      </c>
      <c r="F1963" s="2" t="s">
        <v>1145</v>
      </c>
      <c r="G1963" s="14" t="n">
        <v>17.5</v>
      </c>
      <c r="H1963" s="14" t="n">
        <v>11.03</v>
      </c>
      <c r="I1963" s="14" t="n">
        <v>17.5</v>
      </c>
      <c r="J1963" s="22" t="n">
        <f aca="false">IF(E1963="Priority",'Cost model'!N202,'Cost model'!M202)</f>
        <v>17.5</v>
      </c>
      <c r="K1963" s="14" t="n">
        <f aca="false">J1963-H1963</f>
        <v>6.47</v>
      </c>
      <c r="L1963" s="14" t="n">
        <f aca="false">G1963-H1963</f>
        <v>6.47</v>
      </c>
    </row>
    <row r="1964" customFormat="false" ht="15" hidden="false" customHeight="false" outlineLevel="0" collapsed="false">
      <c r="A1964" s="2" t="s">
        <v>184</v>
      </c>
      <c r="B1964" s="2" t="s">
        <v>184</v>
      </c>
      <c r="C1964" s="2" t="s">
        <v>48</v>
      </c>
      <c r="D1964" s="2" t="s">
        <v>12</v>
      </c>
      <c r="E1964" s="2" t="s">
        <v>76</v>
      </c>
      <c r="F1964" s="2" t="s">
        <v>1145</v>
      </c>
      <c r="G1964" s="14" t="n">
        <v>9.5</v>
      </c>
      <c r="H1964" s="14" t="n">
        <v>7.46</v>
      </c>
      <c r="I1964" s="14" t="n">
        <v>9.5</v>
      </c>
      <c r="J1964" s="22" t="n">
        <f aca="false">IF(E1964="Priority",'Cost model'!N203,'Cost model'!M203)</f>
        <v>26.5</v>
      </c>
      <c r="K1964" s="14" t="n">
        <f aca="false">J1964-H1964</f>
        <v>19.04</v>
      </c>
      <c r="L1964" s="14" t="n">
        <f aca="false">G1964-H1964</f>
        <v>2.04</v>
      </c>
    </row>
    <row r="1965" customFormat="false" ht="15" hidden="false" customHeight="false" outlineLevel="0" collapsed="false">
      <c r="A1965" s="2" t="s">
        <v>165</v>
      </c>
      <c r="B1965" s="2" t="s">
        <v>165</v>
      </c>
      <c r="C1965" s="2" t="s">
        <v>48</v>
      </c>
      <c r="D1965" s="2" t="s">
        <v>10</v>
      </c>
      <c r="E1965" s="2" t="s">
        <v>76</v>
      </c>
      <c r="F1965" s="2" t="s">
        <v>1145</v>
      </c>
      <c r="G1965" s="14" t="n">
        <v>9.5</v>
      </c>
      <c r="H1965" s="14" t="n">
        <v>6.27</v>
      </c>
      <c r="I1965" s="14" t="n">
        <v>9.5</v>
      </c>
      <c r="J1965" s="22" t="n">
        <f aca="false">IF(E1965="Priority",'Cost model'!N506,'Cost model'!M506)</f>
        <v>7.5</v>
      </c>
      <c r="K1965" s="14" t="n">
        <f aca="false">J1965-H1965</f>
        <v>1.23</v>
      </c>
      <c r="L1965" s="14" t="n">
        <f aca="false">G1965-H1965</f>
        <v>3.23</v>
      </c>
    </row>
    <row r="1966" customFormat="false" ht="15" hidden="false" customHeight="false" outlineLevel="0" collapsed="false">
      <c r="A1966" s="2" t="s">
        <v>240</v>
      </c>
      <c r="B1966" s="2" t="s">
        <v>165</v>
      </c>
      <c r="C1966" s="2" t="s">
        <v>48</v>
      </c>
      <c r="D1966" s="2" t="s">
        <v>10</v>
      </c>
      <c r="E1966" s="2" t="s">
        <v>76</v>
      </c>
      <c r="F1966" s="2" t="s">
        <v>1146</v>
      </c>
      <c r="G1966" s="14" t="n">
        <v>14.5</v>
      </c>
      <c r="H1966" s="14" t="n">
        <v>8.84</v>
      </c>
      <c r="I1966" s="14" t="n">
        <v>14.5</v>
      </c>
      <c r="J1966" s="22" t="n">
        <f aca="false">IF(E1966="Priority",'Cost model'!N902,'Cost model'!M902)</f>
        <v>13.5</v>
      </c>
      <c r="K1966" s="14" t="n">
        <f aca="false">J1966-H1966</f>
        <v>4.66</v>
      </c>
      <c r="L1966" s="14" t="n">
        <f aca="false">G1966-H1966</f>
        <v>5.66</v>
      </c>
    </row>
    <row r="1967" customFormat="false" ht="15" hidden="false" customHeight="false" outlineLevel="0" collapsed="false">
      <c r="A1967" s="2" t="s">
        <v>184</v>
      </c>
      <c r="B1967" s="2" t="s">
        <v>165</v>
      </c>
      <c r="C1967" s="2" t="s">
        <v>48</v>
      </c>
      <c r="D1967" s="2" t="s">
        <v>10</v>
      </c>
      <c r="E1967" s="2" t="s">
        <v>76</v>
      </c>
      <c r="F1967" s="2" t="s">
        <v>1146</v>
      </c>
      <c r="G1967" s="14" t="n">
        <v>9.5</v>
      </c>
      <c r="H1967" s="14" t="n">
        <v>10.24</v>
      </c>
      <c r="I1967" s="14" t="n">
        <v>14.5</v>
      </c>
      <c r="J1967" s="22" t="n">
        <f aca="false">IF(E1967="Priority",'Cost model'!N164,'Cost model'!M164)</f>
        <v>11.5</v>
      </c>
      <c r="K1967" s="14" t="n">
        <f aca="false">J1967-H1967</f>
        <v>1.26</v>
      </c>
      <c r="L1967" s="14" t="n">
        <f aca="false">G1967-H1967</f>
        <v>-0.74</v>
      </c>
    </row>
    <row r="1968" customFormat="false" ht="15" hidden="false" customHeight="false" outlineLevel="0" collapsed="false">
      <c r="A1968" s="2" t="s">
        <v>240</v>
      </c>
      <c r="B1968" s="2" t="s">
        <v>240</v>
      </c>
      <c r="C1968" s="2" t="s">
        <v>50</v>
      </c>
      <c r="D1968" s="2" t="s">
        <v>10</v>
      </c>
      <c r="E1968" s="2" t="s">
        <v>76</v>
      </c>
      <c r="F1968" s="2" t="s">
        <v>1145</v>
      </c>
      <c r="G1968" s="14" t="n">
        <v>17.5</v>
      </c>
      <c r="H1968" s="14" t="n">
        <v>16.84</v>
      </c>
      <c r="I1968" s="14" t="n">
        <v>17.5</v>
      </c>
      <c r="J1968" s="22" t="n">
        <f aca="false">IF(E1968="Priority",'Cost model'!N886,'Cost model'!M886)</f>
        <v>17.5</v>
      </c>
      <c r="K1968" s="14" t="n">
        <f aca="false">J1968-H1968</f>
        <v>0.66</v>
      </c>
      <c r="L1968" s="14" t="n">
        <f aca="false">G1968-H1968</f>
        <v>0.66</v>
      </c>
    </row>
    <row r="1969" customFormat="false" ht="15" hidden="false" customHeight="false" outlineLevel="0" collapsed="false">
      <c r="A1969" s="2" t="s">
        <v>240</v>
      </c>
      <c r="B1969" s="2" t="s">
        <v>240</v>
      </c>
      <c r="C1969" s="2" t="s">
        <v>50</v>
      </c>
      <c r="D1969" s="2" t="s">
        <v>13</v>
      </c>
      <c r="E1969" s="2" t="s">
        <v>76</v>
      </c>
      <c r="F1969" s="2" t="s">
        <v>1145</v>
      </c>
      <c r="G1969" s="14" t="n">
        <v>50</v>
      </c>
      <c r="H1969" s="14" t="n">
        <v>104.15</v>
      </c>
      <c r="I1969" s="14" t="n">
        <v>50</v>
      </c>
      <c r="J1969" s="22" t="n">
        <f aca="false">IF(E1969="Priority",'Cost model'!N892,'Cost model'!M892)</f>
        <v>130</v>
      </c>
      <c r="K1969" s="14" t="n">
        <f aca="false">J1969-H1969</f>
        <v>25.85</v>
      </c>
      <c r="L1969" s="14" t="n">
        <f aca="false">G1969-H1969</f>
        <v>-54.15</v>
      </c>
    </row>
    <row r="1970" customFormat="false" ht="15" hidden="false" customHeight="false" outlineLevel="0" collapsed="false">
      <c r="A1970" s="2" t="s">
        <v>126</v>
      </c>
      <c r="B1970" s="2" t="s">
        <v>126</v>
      </c>
      <c r="C1970" s="2" t="s">
        <v>49</v>
      </c>
      <c r="D1970" s="2" t="s">
        <v>10</v>
      </c>
      <c r="E1970" s="2" t="s">
        <v>76</v>
      </c>
      <c r="F1970" s="2" t="s">
        <v>1145</v>
      </c>
      <c r="G1970" s="14" t="n">
        <v>14.5</v>
      </c>
      <c r="H1970" s="14" t="n">
        <v>11.97</v>
      </c>
      <c r="I1970" s="14" t="n">
        <v>12.5</v>
      </c>
      <c r="J1970" s="22" t="n">
        <f aca="false">IF(E1970="Priority",'Cost model'!N381,'Cost model'!M381)</f>
        <v>14.5</v>
      </c>
      <c r="K1970" s="14" t="n">
        <f aca="false">J1970-H1970</f>
        <v>2.53</v>
      </c>
      <c r="L1970" s="14" t="n">
        <f aca="false">G1970-H1970</f>
        <v>2.53</v>
      </c>
    </row>
    <row r="1971" customFormat="false" ht="15" hidden="false" customHeight="false" outlineLevel="0" collapsed="false">
      <c r="A1971" s="2" t="s">
        <v>165</v>
      </c>
      <c r="B1971" s="2" t="s">
        <v>165</v>
      </c>
      <c r="C1971" s="2" t="s">
        <v>50</v>
      </c>
      <c r="D1971" s="2" t="s">
        <v>10</v>
      </c>
      <c r="E1971" s="2" t="s">
        <v>76</v>
      </c>
      <c r="F1971" s="2" t="s">
        <v>1145</v>
      </c>
      <c r="G1971" s="14" t="n">
        <v>17.5</v>
      </c>
      <c r="H1971" s="14" t="n">
        <v>14.39</v>
      </c>
      <c r="I1971" s="14" t="n">
        <v>17.5</v>
      </c>
      <c r="J1971" s="22" t="n">
        <f aca="false">IF(E1971="Priority",'Cost model'!N508,'Cost model'!M508)</f>
        <v>17.5</v>
      </c>
      <c r="K1971" s="14" t="n">
        <f aca="false">J1971-H1971</f>
        <v>3.11</v>
      </c>
      <c r="L1971" s="14" t="n">
        <f aca="false">G1971-H1971</f>
        <v>3.11</v>
      </c>
    </row>
    <row r="1972" customFormat="false" ht="15" hidden="false" customHeight="false" outlineLevel="0" collapsed="false">
      <c r="A1972" s="2" t="s">
        <v>126</v>
      </c>
      <c r="B1972" s="2" t="s">
        <v>126</v>
      </c>
      <c r="C1972" s="2" t="s">
        <v>49</v>
      </c>
      <c r="D1972" s="2" t="s">
        <v>10</v>
      </c>
      <c r="E1972" s="2" t="s">
        <v>76</v>
      </c>
      <c r="F1972" s="2" t="s">
        <v>1145</v>
      </c>
      <c r="G1972" s="14" t="n">
        <v>12.5</v>
      </c>
      <c r="H1972" s="14" t="n">
        <v>11.58</v>
      </c>
      <c r="I1972" s="14" t="n">
        <v>12.5</v>
      </c>
      <c r="J1972" s="22" t="n">
        <f aca="false">IF(E1972="Priority",'Cost model'!N381,'Cost model'!M381)</f>
        <v>14.5</v>
      </c>
      <c r="K1972" s="14" t="n">
        <f aca="false">J1972-H1972</f>
        <v>2.92</v>
      </c>
      <c r="L1972" s="14" t="n">
        <f aca="false">G1972-H1972</f>
        <v>0.92</v>
      </c>
    </row>
    <row r="1973" customFormat="false" ht="15" hidden="false" customHeight="false" outlineLevel="0" collapsed="false">
      <c r="A1973" s="2" t="s">
        <v>184</v>
      </c>
      <c r="B1973" s="2" t="s">
        <v>126</v>
      </c>
      <c r="C1973" s="2" t="s">
        <v>50</v>
      </c>
      <c r="D1973" s="2" t="s">
        <v>10</v>
      </c>
      <c r="E1973" s="2" t="s">
        <v>76</v>
      </c>
      <c r="F1973" s="2" t="s">
        <v>1146</v>
      </c>
      <c r="G1973" s="14" t="n">
        <v>17.5</v>
      </c>
      <c r="H1973" s="14" t="n">
        <v>21.34</v>
      </c>
      <c r="I1973" s="14" t="n">
        <v>17.5</v>
      </c>
      <c r="J1973" s="22" t="n">
        <f aca="false">IF(E1973="Priority",'Cost model'!N130,'Cost model'!M130)</f>
        <v>18.5</v>
      </c>
      <c r="K1973" s="14" t="n">
        <f aca="false">J1973-H1973</f>
        <v>-2.84</v>
      </c>
      <c r="L1973" s="14" t="n">
        <f aca="false">G1973-H1973</f>
        <v>-3.84</v>
      </c>
    </row>
    <row r="1974" customFormat="false" ht="15" hidden="false" customHeight="false" outlineLevel="0" collapsed="false">
      <c r="A1974" s="2" t="s">
        <v>165</v>
      </c>
      <c r="B1974" s="2" t="s">
        <v>165</v>
      </c>
      <c r="C1974" s="2" t="s">
        <v>48</v>
      </c>
      <c r="D1974" s="2" t="s">
        <v>12</v>
      </c>
      <c r="E1974" s="2" t="s">
        <v>85</v>
      </c>
      <c r="F1974" s="2" t="s">
        <v>1145</v>
      </c>
      <c r="G1974" s="14" t="n">
        <v>19.5</v>
      </c>
      <c r="H1974" s="14" t="n">
        <v>15.3</v>
      </c>
      <c r="I1974" s="14" t="n">
        <v>19.5</v>
      </c>
      <c r="J1974" s="22" t="n">
        <f aca="false">IF(E1974="Priority",'Cost model'!N509,'Cost model'!M509)</f>
        <v>22.5</v>
      </c>
      <c r="K1974" s="14" t="n">
        <f aca="false">J1974-H1974</f>
        <v>7.2</v>
      </c>
      <c r="L1974" s="14" t="n">
        <f aca="false">G1974-H1974</f>
        <v>4.2</v>
      </c>
    </row>
    <row r="1975" customFormat="false" ht="15" hidden="false" customHeight="false" outlineLevel="0" collapsed="false">
      <c r="A1975" s="2" t="s">
        <v>240</v>
      </c>
      <c r="B1975" s="2" t="s">
        <v>165</v>
      </c>
      <c r="C1975" s="2" t="s">
        <v>48</v>
      </c>
      <c r="D1975" s="2" t="s">
        <v>12</v>
      </c>
      <c r="E1975" s="2" t="s">
        <v>85</v>
      </c>
      <c r="F1975" s="2" t="s">
        <v>1146</v>
      </c>
      <c r="G1975" s="14" t="n">
        <v>24.5</v>
      </c>
      <c r="H1975" s="14" t="n">
        <v>56.39</v>
      </c>
      <c r="I1975" s="14" t="n">
        <v>24.5</v>
      </c>
      <c r="J1975" s="22" t="n">
        <f aca="false">IF(E1975="Priority",'Cost model'!N905,'Cost model'!M905)</f>
        <v>65</v>
      </c>
      <c r="K1975" s="14" t="n">
        <f aca="false">J1975-H1975</f>
        <v>8.61</v>
      </c>
      <c r="L1975" s="14" t="n">
        <f aca="false">G1975-H1975</f>
        <v>-31.89</v>
      </c>
    </row>
    <row r="1976" customFormat="false" ht="15" hidden="false" customHeight="false" outlineLevel="0" collapsed="false">
      <c r="A1976" s="2" t="s">
        <v>184</v>
      </c>
      <c r="B1976" s="2" t="s">
        <v>184</v>
      </c>
      <c r="C1976" s="2" t="s">
        <v>49</v>
      </c>
      <c r="D1976" s="2" t="s">
        <v>13</v>
      </c>
      <c r="E1976" s="2" t="s">
        <v>76</v>
      </c>
      <c r="F1976" s="2" t="s">
        <v>1145</v>
      </c>
      <c r="G1976" s="14" t="n">
        <v>24.5</v>
      </c>
      <c r="H1976" s="14" t="n">
        <v>27.05</v>
      </c>
      <c r="I1976" s="14"/>
      <c r="J1976" s="22" t="n">
        <f aca="false">IF(E1976="Priority",'Cost model'!N207,'Cost model'!M207)</f>
        <v>75</v>
      </c>
      <c r="K1976" s="14" t="n">
        <f aca="false">J1976-H1976</f>
        <v>47.95</v>
      </c>
      <c r="L1976" s="14" t="n">
        <f aca="false">G1976-H1976</f>
        <v>-2.55</v>
      </c>
    </row>
    <row r="1977" customFormat="false" ht="15" hidden="false" customHeight="false" outlineLevel="0" collapsed="false">
      <c r="A1977" s="2" t="s">
        <v>184</v>
      </c>
      <c r="B1977" s="2" t="s">
        <v>146</v>
      </c>
      <c r="C1977" s="2" t="s">
        <v>48</v>
      </c>
      <c r="D1977" s="2" t="s">
        <v>12</v>
      </c>
      <c r="E1977" s="2" t="s">
        <v>76</v>
      </c>
      <c r="F1977" s="2" t="s">
        <v>1146</v>
      </c>
      <c r="G1977" s="14" t="n">
        <v>9.5</v>
      </c>
      <c r="H1977" s="14" t="n">
        <v>64.52</v>
      </c>
      <c r="I1977" s="14" t="n">
        <v>9.5</v>
      </c>
      <c r="J1977" s="22" t="n">
        <f aca="false">IF(E1977="Priority",'Cost model'!N149,'Cost model'!M149)</f>
        <v>45</v>
      </c>
      <c r="K1977" s="14" t="n">
        <f aca="false">J1977-H1977</f>
        <v>-19.52</v>
      </c>
      <c r="L1977" s="14" t="n">
        <f aca="false">G1977-H1977</f>
        <v>-55.02</v>
      </c>
    </row>
    <row r="1978" customFormat="false" ht="15" hidden="false" customHeight="false" outlineLevel="0" collapsed="false">
      <c r="A1978" s="2" t="s">
        <v>184</v>
      </c>
      <c r="B1978" s="2" t="s">
        <v>184</v>
      </c>
      <c r="C1978" s="2" t="s">
        <v>49</v>
      </c>
      <c r="D1978" s="2" t="s">
        <v>12</v>
      </c>
      <c r="E1978" s="2" t="s">
        <v>76</v>
      </c>
      <c r="F1978" s="2" t="s">
        <v>1145</v>
      </c>
      <c r="G1978" s="14" t="n">
        <v>12.5</v>
      </c>
      <c r="H1978" s="14" t="n">
        <v>58.65</v>
      </c>
      <c r="I1978" s="14"/>
      <c r="J1978" s="22" t="n">
        <f aca="false">IF(E1978="Priority",'Cost model'!N204,'Cost model'!M204)</f>
        <v>45</v>
      </c>
      <c r="K1978" s="14" t="n">
        <f aca="false">J1978-H1978</f>
        <v>-13.65</v>
      </c>
      <c r="L1978" s="14" t="n">
        <f aca="false">G1978-H1978</f>
        <v>-46.15</v>
      </c>
    </row>
    <row r="1979" customFormat="false" ht="15" hidden="false" customHeight="false" outlineLevel="0" collapsed="false">
      <c r="A1979" s="2" t="s">
        <v>126</v>
      </c>
      <c r="B1979" s="2" t="s">
        <v>165</v>
      </c>
      <c r="C1979" s="2" t="s">
        <v>49</v>
      </c>
      <c r="D1979" s="2" t="s">
        <v>12</v>
      </c>
      <c r="E1979" s="2" t="s">
        <v>76</v>
      </c>
      <c r="F1979" s="2" t="s">
        <v>1146</v>
      </c>
      <c r="G1979" s="14" t="n">
        <v>19.5</v>
      </c>
      <c r="H1979" s="14" t="n">
        <v>48.25</v>
      </c>
      <c r="I1979" s="14" t="n">
        <v>19.5</v>
      </c>
      <c r="J1979" s="22" t="n">
        <f aca="false">IF(E1979="Priority",'Cost model'!N420,'Cost model'!M420)</f>
        <v>60</v>
      </c>
      <c r="K1979" s="14" t="n">
        <f aca="false">J1979-H1979</f>
        <v>11.75</v>
      </c>
      <c r="L1979" s="14" t="n">
        <f aca="false">G1979-H1979</f>
        <v>-28.75</v>
      </c>
    </row>
    <row r="1980" customFormat="false" ht="15" hidden="false" customHeight="false" outlineLevel="0" collapsed="false">
      <c r="A1980" s="2" t="s">
        <v>184</v>
      </c>
      <c r="B1980" s="2" t="s">
        <v>184</v>
      </c>
      <c r="C1980" s="2" t="s">
        <v>50</v>
      </c>
      <c r="D1980" s="2" t="s">
        <v>10</v>
      </c>
      <c r="E1980" s="2" t="s">
        <v>76</v>
      </c>
      <c r="F1980" s="2" t="s">
        <v>1145</v>
      </c>
      <c r="G1980" s="14" t="n">
        <v>17.5</v>
      </c>
      <c r="H1980" s="14" t="n">
        <v>15.99</v>
      </c>
      <c r="I1980" s="14" t="n">
        <v>17.5</v>
      </c>
      <c r="J1980" s="22" t="n">
        <f aca="false">IF(E1980="Priority",'Cost model'!N202,'Cost model'!M202)</f>
        <v>17.5</v>
      </c>
      <c r="K1980" s="14" t="n">
        <f aca="false">J1980-H1980</f>
        <v>1.51</v>
      </c>
      <c r="L1980" s="14" t="n">
        <f aca="false">G1980-H1980</f>
        <v>1.51</v>
      </c>
    </row>
    <row r="1981" customFormat="false" ht="15" hidden="false" customHeight="false" outlineLevel="0" collapsed="false">
      <c r="A1981" s="2" t="s">
        <v>240</v>
      </c>
      <c r="B1981" s="2" t="s">
        <v>165</v>
      </c>
      <c r="C1981" s="2" t="s">
        <v>48</v>
      </c>
      <c r="D1981" s="2" t="s">
        <v>13</v>
      </c>
      <c r="E1981" s="2" t="s">
        <v>76</v>
      </c>
      <c r="F1981" s="2" t="s">
        <v>1146</v>
      </c>
      <c r="G1981" s="14" t="n">
        <v>34.5</v>
      </c>
      <c r="H1981" s="14" t="n">
        <v>90.9</v>
      </c>
      <c r="I1981" s="14" t="n">
        <v>34.5</v>
      </c>
      <c r="J1981" s="22" t="n">
        <f aca="false">IF(E1981="Priority",'Cost model'!N908,'Cost model'!M908)</f>
        <v>85</v>
      </c>
      <c r="K1981" s="14" t="n">
        <f aca="false">J1981-H1981</f>
        <v>-5.90000000000001</v>
      </c>
      <c r="L1981" s="14" t="n">
        <f aca="false">G1981-H1981</f>
        <v>-56.4</v>
      </c>
    </row>
    <row r="1982" customFormat="false" ht="15" hidden="false" customHeight="false" outlineLevel="0" collapsed="false">
      <c r="A1982" s="2" t="s">
        <v>146</v>
      </c>
      <c r="B1982" s="2" t="s">
        <v>146</v>
      </c>
      <c r="C1982" s="2" t="s">
        <v>49</v>
      </c>
      <c r="D1982" s="2" t="s">
        <v>10</v>
      </c>
      <c r="E1982" s="2" t="s">
        <v>76</v>
      </c>
      <c r="F1982" s="2" t="s">
        <v>1145</v>
      </c>
      <c r="G1982" s="14" t="n">
        <v>12.5</v>
      </c>
      <c r="H1982" s="14" t="n">
        <v>21.76</v>
      </c>
      <c r="I1982" s="14" t="n">
        <v>12.5</v>
      </c>
      <c r="J1982" s="22" t="n">
        <f aca="false">IF(E1982="Priority",'Cost model'!N759,'Cost model'!M759)</f>
        <v>15.5</v>
      </c>
      <c r="K1982" s="14" t="n">
        <f aca="false">J1982-H1982</f>
        <v>-6.26</v>
      </c>
      <c r="L1982" s="14" t="n">
        <f aca="false">G1982-H1982</f>
        <v>-9.26</v>
      </c>
    </row>
    <row r="1983" customFormat="false" ht="15" hidden="false" customHeight="false" outlineLevel="0" collapsed="false">
      <c r="A1983" s="2" t="s">
        <v>126</v>
      </c>
      <c r="B1983" s="2" t="s">
        <v>126</v>
      </c>
      <c r="C1983" s="2" t="s">
        <v>50</v>
      </c>
      <c r="D1983" s="2" t="s">
        <v>12</v>
      </c>
      <c r="E1983" s="2" t="s">
        <v>76</v>
      </c>
      <c r="F1983" s="2" t="s">
        <v>1145</v>
      </c>
      <c r="G1983" s="14" t="n">
        <v>19.5</v>
      </c>
      <c r="H1983" s="14" t="n">
        <v>79.71</v>
      </c>
      <c r="I1983" s="14" t="n">
        <v>19.5</v>
      </c>
      <c r="J1983" s="22" t="n">
        <f aca="false">IF(E1983="Priority",'Cost model'!N385,'Cost model'!M385)</f>
        <v>55</v>
      </c>
      <c r="K1983" s="14" t="n">
        <f aca="false">J1983-H1983</f>
        <v>-24.71</v>
      </c>
      <c r="L1983" s="14" t="n">
        <f aca="false">G1983-H1983</f>
        <v>-60.21</v>
      </c>
    </row>
    <row r="1984" customFormat="false" ht="15" hidden="false" customHeight="false" outlineLevel="0" collapsed="false">
      <c r="A1984" s="2" t="s">
        <v>184</v>
      </c>
      <c r="B1984" s="2" t="s">
        <v>126</v>
      </c>
      <c r="C1984" s="2" t="s">
        <v>49</v>
      </c>
      <c r="D1984" s="2" t="s">
        <v>10</v>
      </c>
      <c r="E1984" s="2" t="s">
        <v>76</v>
      </c>
      <c r="F1984" s="2" t="s">
        <v>1146</v>
      </c>
      <c r="G1984" s="14" t="n">
        <v>12.5</v>
      </c>
      <c r="H1984" s="14" t="n">
        <v>11.94</v>
      </c>
      <c r="I1984" s="14"/>
      <c r="J1984" s="22" t="n">
        <f aca="false">IF(E1984="Priority",'Cost model'!N129,'Cost model'!M129)</f>
        <v>13.5</v>
      </c>
      <c r="K1984" s="14" t="n">
        <f aca="false">J1984-H1984</f>
        <v>1.56</v>
      </c>
      <c r="L1984" s="14" t="n">
        <f aca="false">G1984-H1984</f>
        <v>0.560000000000001</v>
      </c>
    </row>
    <row r="1985" customFormat="false" ht="15" hidden="false" customHeight="false" outlineLevel="0" collapsed="false">
      <c r="A1985" s="2" t="s">
        <v>184</v>
      </c>
      <c r="B1985" s="2" t="s">
        <v>184</v>
      </c>
      <c r="C1985" s="2" t="s">
        <v>48</v>
      </c>
      <c r="D1985" s="2" t="s">
        <v>10</v>
      </c>
      <c r="E1985" s="2" t="s">
        <v>76</v>
      </c>
      <c r="F1985" s="2" t="s">
        <v>1145</v>
      </c>
      <c r="G1985" s="14" t="n">
        <v>9.5</v>
      </c>
      <c r="H1985" s="14" t="n">
        <v>9.64</v>
      </c>
      <c r="I1985" s="14" t="n">
        <v>9.5</v>
      </c>
      <c r="J1985" s="22" t="n">
        <f aca="false">IF(E1985="Priority",'Cost model'!N200,'Cost model'!M200)</f>
        <v>7.5</v>
      </c>
      <c r="K1985" s="14" t="n">
        <f aca="false">J1985-H1985</f>
        <v>-2.14</v>
      </c>
      <c r="L1985" s="14" t="n">
        <f aca="false">G1985-H1985</f>
        <v>-0.140000000000001</v>
      </c>
    </row>
    <row r="1986" customFormat="false" ht="15" hidden="false" customHeight="false" outlineLevel="0" collapsed="false">
      <c r="A1986" s="2" t="s">
        <v>184</v>
      </c>
      <c r="B1986" s="2" t="s">
        <v>184</v>
      </c>
      <c r="C1986" s="2" t="s">
        <v>50</v>
      </c>
      <c r="D1986" s="2" t="s">
        <v>10</v>
      </c>
      <c r="E1986" s="2" t="s">
        <v>76</v>
      </c>
      <c r="F1986" s="2" t="s">
        <v>1145</v>
      </c>
      <c r="G1986" s="14" t="n">
        <v>17.5</v>
      </c>
      <c r="H1986" s="14" t="n">
        <v>11.92</v>
      </c>
      <c r="I1986" s="14" t="n">
        <v>17.5</v>
      </c>
      <c r="J1986" s="22" t="n">
        <f aca="false">IF(E1986="Priority",'Cost model'!N202,'Cost model'!M202)</f>
        <v>17.5</v>
      </c>
      <c r="K1986" s="14" t="n">
        <f aca="false">J1986-H1986</f>
        <v>5.58</v>
      </c>
      <c r="L1986" s="14" t="n">
        <f aca="false">G1986-H1986</f>
        <v>5.58</v>
      </c>
    </row>
    <row r="1987" customFormat="false" ht="15" hidden="false" customHeight="false" outlineLevel="0" collapsed="false">
      <c r="A1987" s="2" t="s">
        <v>146</v>
      </c>
      <c r="B1987" s="2" t="s">
        <v>146</v>
      </c>
      <c r="C1987" s="2" t="s">
        <v>50</v>
      </c>
      <c r="D1987" s="2" t="s">
        <v>10</v>
      </c>
      <c r="E1987" s="2" t="s">
        <v>76</v>
      </c>
      <c r="F1987" s="2" t="s">
        <v>1145</v>
      </c>
      <c r="G1987" s="14" t="n">
        <v>17.5</v>
      </c>
      <c r="H1987" s="14" t="n">
        <v>17.57</v>
      </c>
      <c r="I1987" s="14" t="n">
        <v>17.5</v>
      </c>
      <c r="J1987" s="22" t="n">
        <f aca="false">IF(E1987="Priority",'Cost model'!N760,'Cost model'!M760)</f>
        <v>18.5</v>
      </c>
      <c r="K1987" s="14" t="n">
        <f aca="false">J1987-H1987</f>
        <v>0.93</v>
      </c>
      <c r="L1987" s="14" t="n">
        <f aca="false">G1987-H1987</f>
        <v>-0.0700000000000003</v>
      </c>
    </row>
    <row r="1988" customFormat="false" ht="15" hidden="false" customHeight="false" outlineLevel="0" collapsed="false">
      <c r="A1988" s="2" t="s">
        <v>184</v>
      </c>
      <c r="B1988" s="2" t="s">
        <v>184</v>
      </c>
      <c r="C1988" s="2" t="s">
        <v>50</v>
      </c>
      <c r="D1988" s="2" t="s">
        <v>14</v>
      </c>
      <c r="E1988" s="2" t="s">
        <v>85</v>
      </c>
      <c r="F1988" s="2" t="s">
        <v>1145</v>
      </c>
      <c r="G1988" s="14" t="n">
        <v>150</v>
      </c>
      <c r="H1988" s="14" t="n">
        <v>90.93</v>
      </c>
      <c r="I1988" s="14" t="n">
        <v>150</v>
      </c>
      <c r="J1988" s="22" t="n">
        <f aca="false">IF(E1988="Priority",'Cost model'!N211,'Cost model'!M211)</f>
        <v>210</v>
      </c>
      <c r="K1988" s="14" t="n">
        <f aca="false">J1988-H1988</f>
        <v>119.07</v>
      </c>
      <c r="L1988" s="14" t="n">
        <f aca="false">G1988-H1988</f>
        <v>59.07</v>
      </c>
    </row>
    <row r="1989" customFormat="false" ht="15" hidden="false" customHeight="false" outlineLevel="0" collapsed="false">
      <c r="A1989" s="2" t="s">
        <v>146</v>
      </c>
      <c r="B1989" s="2" t="s">
        <v>146</v>
      </c>
      <c r="C1989" s="2" t="s">
        <v>48</v>
      </c>
      <c r="D1989" s="2" t="s">
        <v>12</v>
      </c>
      <c r="E1989" s="2" t="s">
        <v>76</v>
      </c>
      <c r="F1989" s="2" t="s">
        <v>1145</v>
      </c>
      <c r="G1989" s="14" t="n">
        <v>9.5</v>
      </c>
      <c r="H1989" s="14" t="n">
        <v>43.25</v>
      </c>
      <c r="I1989" s="14" t="n">
        <v>9.5</v>
      </c>
      <c r="J1989" s="22" t="n">
        <f aca="false">IF(E1989="Priority",'Cost model'!N761,'Cost model'!M761)</f>
        <v>35</v>
      </c>
      <c r="K1989" s="14" t="n">
        <f aca="false">J1989-H1989</f>
        <v>-8.25</v>
      </c>
      <c r="L1989" s="14" t="n">
        <f aca="false">G1989-H1989</f>
        <v>-33.75</v>
      </c>
    </row>
    <row r="1990" customFormat="false" ht="15" hidden="false" customHeight="false" outlineLevel="0" collapsed="false">
      <c r="A1990" s="2" t="s">
        <v>126</v>
      </c>
      <c r="B1990" s="2" t="s">
        <v>165</v>
      </c>
      <c r="C1990" s="2" t="s">
        <v>50</v>
      </c>
      <c r="D1990" s="2" t="s">
        <v>12</v>
      </c>
      <c r="E1990" s="2" t="s">
        <v>76</v>
      </c>
      <c r="F1990" s="2" t="s">
        <v>1146</v>
      </c>
      <c r="G1990" s="14" t="n">
        <v>19.5</v>
      </c>
      <c r="H1990" s="14" t="n">
        <v>24.17</v>
      </c>
      <c r="I1990" s="14" t="n">
        <v>19.5</v>
      </c>
      <c r="J1990" s="22" t="n">
        <f aca="false">IF(E1990="Priority",'Cost model'!N421,'Cost model'!M421)</f>
        <v>70</v>
      </c>
      <c r="K1990" s="14" t="n">
        <f aca="false">J1990-H1990</f>
        <v>45.83</v>
      </c>
      <c r="L1990" s="14" t="n">
        <f aca="false">G1990-H1990</f>
        <v>-4.67</v>
      </c>
    </row>
    <row r="1991" customFormat="false" ht="15" hidden="false" customHeight="false" outlineLevel="0" collapsed="false">
      <c r="A1991" s="2" t="s">
        <v>146</v>
      </c>
      <c r="B1991" s="2" t="s">
        <v>126</v>
      </c>
      <c r="C1991" s="2" t="s">
        <v>49</v>
      </c>
      <c r="D1991" s="2" t="s">
        <v>10</v>
      </c>
      <c r="E1991" s="2" t="s">
        <v>76</v>
      </c>
      <c r="F1991" s="2" t="s">
        <v>1146</v>
      </c>
      <c r="G1991" s="14" t="n">
        <v>17.5</v>
      </c>
      <c r="H1991" s="14" t="n">
        <v>27.56</v>
      </c>
      <c r="I1991" s="14" t="n">
        <v>14.5</v>
      </c>
      <c r="J1991" s="22" t="n">
        <f aca="false">IF(E1991="Priority",'Cost model'!N795,'Cost model'!M795)</f>
        <v>13.5</v>
      </c>
      <c r="K1991" s="14" t="n">
        <f aca="false">J1991-H1991</f>
        <v>-14.06</v>
      </c>
      <c r="L1991" s="14" t="n">
        <f aca="false">G1991-H1991</f>
        <v>-10.06</v>
      </c>
    </row>
    <row r="1992" customFormat="false" ht="15" hidden="false" customHeight="false" outlineLevel="0" collapsed="false">
      <c r="A1992" s="2" t="s">
        <v>184</v>
      </c>
      <c r="B1992" s="2" t="s">
        <v>184</v>
      </c>
      <c r="C1992" s="2" t="s">
        <v>50</v>
      </c>
      <c r="D1992" s="2" t="s">
        <v>10</v>
      </c>
      <c r="E1992" s="2" t="s">
        <v>85</v>
      </c>
      <c r="F1992" s="2" t="s">
        <v>1145</v>
      </c>
      <c r="G1992" s="14" t="n">
        <v>24.5</v>
      </c>
      <c r="H1992" s="14" t="n">
        <v>21.34</v>
      </c>
      <c r="I1992" s="14" t="n">
        <v>24.5</v>
      </c>
      <c r="J1992" s="22" t="n">
        <f aca="false">IF(E1992="Priority",'Cost model'!N202,'Cost model'!M202)</f>
        <v>23.5</v>
      </c>
      <c r="K1992" s="14" t="n">
        <f aca="false">J1992-H1992</f>
        <v>2.16</v>
      </c>
      <c r="L1992" s="14" t="n">
        <f aca="false">G1992-H1992</f>
        <v>3.16</v>
      </c>
    </row>
    <row r="1993" customFormat="false" ht="15" hidden="false" customHeight="false" outlineLevel="0" collapsed="false">
      <c r="A1993" s="2" t="s">
        <v>146</v>
      </c>
      <c r="B1993" s="2" t="s">
        <v>146</v>
      </c>
      <c r="C1993" s="2" t="s">
        <v>48</v>
      </c>
      <c r="D1993" s="2" t="s">
        <v>13</v>
      </c>
      <c r="E1993" s="2" t="s">
        <v>76</v>
      </c>
      <c r="F1993" s="2" t="s">
        <v>1145</v>
      </c>
      <c r="G1993" s="14" t="n">
        <v>19</v>
      </c>
      <c r="H1993" s="14" t="n">
        <v>62.54</v>
      </c>
      <c r="I1993" s="14" t="n">
        <v>19</v>
      </c>
      <c r="J1993" s="22" t="n">
        <f aca="false">IF(E1993="Priority",'Cost model'!N764,'Cost model'!M764)</f>
        <v>55</v>
      </c>
      <c r="K1993" s="14" t="n">
        <f aca="false">J1993-H1993</f>
        <v>-7.54</v>
      </c>
      <c r="L1993" s="14" t="n">
        <f aca="false">G1993-H1993</f>
        <v>-43.54</v>
      </c>
    </row>
    <row r="1994" customFormat="false" ht="15" hidden="false" customHeight="false" outlineLevel="0" collapsed="false">
      <c r="A1994" s="2" t="s">
        <v>184</v>
      </c>
      <c r="B1994" s="2" t="s">
        <v>184</v>
      </c>
      <c r="C1994" s="2" t="s">
        <v>49</v>
      </c>
      <c r="D1994" s="2" t="s">
        <v>10</v>
      </c>
      <c r="E1994" s="2" t="s">
        <v>76</v>
      </c>
      <c r="F1994" s="2" t="s">
        <v>1145</v>
      </c>
      <c r="G1994" s="14" t="n">
        <v>17.5</v>
      </c>
      <c r="H1994" s="14" t="n">
        <v>15.38</v>
      </c>
      <c r="I1994" s="14"/>
      <c r="J1994" s="22" t="n">
        <f aca="false">IF(E1994="Priority",'Cost model'!N201,'Cost model'!M201)</f>
        <v>12.5</v>
      </c>
      <c r="K1994" s="14" t="n">
        <f aca="false">J1994-H1994</f>
        <v>-2.88</v>
      </c>
      <c r="L1994" s="14" t="n">
        <f aca="false">G1994-H1994</f>
        <v>2.12</v>
      </c>
    </row>
    <row r="1995" customFormat="false" ht="15" hidden="false" customHeight="false" outlineLevel="0" collapsed="false">
      <c r="A1995" s="2" t="s">
        <v>240</v>
      </c>
      <c r="B1995" s="2" t="s">
        <v>184</v>
      </c>
      <c r="C1995" s="2" t="s">
        <v>48</v>
      </c>
      <c r="D1995" s="2" t="s">
        <v>13</v>
      </c>
      <c r="E1995" s="2" t="s">
        <v>76</v>
      </c>
      <c r="F1995" s="2" t="s">
        <v>1146</v>
      </c>
      <c r="G1995" s="14" t="n">
        <v>19.5</v>
      </c>
      <c r="H1995" s="14" t="n">
        <v>69.04</v>
      </c>
      <c r="I1995" s="14" t="n">
        <v>45</v>
      </c>
      <c r="J1995" s="22" t="n">
        <f aca="false">IF(E1995="Priority",'Cost model'!N944,'Cost model'!M944)</f>
        <v>95</v>
      </c>
      <c r="K1995" s="14" t="n">
        <f aca="false">J1995-H1995</f>
        <v>25.96</v>
      </c>
      <c r="L1995" s="14" t="n">
        <f aca="false">G1995-H1995</f>
        <v>-49.54</v>
      </c>
    </row>
    <row r="1996" customFormat="false" ht="15" hidden="false" customHeight="false" outlineLevel="0" collapsed="false">
      <c r="A1996" s="2" t="s">
        <v>165</v>
      </c>
      <c r="B1996" s="2" t="s">
        <v>165</v>
      </c>
      <c r="C1996" s="2" t="s">
        <v>48</v>
      </c>
      <c r="D1996" s="2" t="s">
        <v>10</v>
      </c>
      <c r="E1996" s="2" t="s">
        <v>76</v>
      </c>
      <c r="F1996" s="2" t="s">
        <v>1145</v>
      </c>
      <c r="G1996" s="14" t="n">
        <v>9.5</v>
      </c>
      <c r="H1996" s="14" t="n">
        <v>7.34</v>
      </c>
      <c r="I1996" s="14" t="n">
        <v>9.5</v>
      </c>
      <c r="J1996" s="22" t="n">
        <f aca="false">IF(E1996="Priority",'Cost model'!N506,'Cost model'!M506)</f>
        <v>7.5</v>
      </c>
      <c r="K1996" s="14" t="n">
        <f aca="false">J1996-H1996</f>
        <v>0.16</v>
      </c>
      <c r="L1996" s="14" t="n">
        <f aca="false">G1996-H1996</f>
        <v>2.16</v>
      </c>
    </row>
    <row r="1997" customFormat="false" ht="15" hidden="false" customHeight="false" outlineLevel="0" collapsed="false">
      <c r="A1997" s="2" t="s">
        <v>146</v>
      </c>
      <c r="B1997" s="2" t="s">
        <v>184</v>
      </c>
      <c r="C1997" s="2" t="s">
        <v>48</v>
      </c>
      <c r="D1997" s="2" t="s">
        <v>10</v>
      </c>
      <c r="E1997" s="2" t="s">
        <v>76</v>
      </c>
      <c r="F1997" s="2" t="s">
        <v>1146</v>
      </c>
      <c r="G1997" s="14" t="n">
        <v>9.5</v>
      </c>
      <c r="H1997" s="14" t="n">
        <v>5.27</v>
      </c>
      <c r="I1997" s="14" t="n">
        <v>14.5</v>
      </c>
      <c r="J1997" s="22" t="n">
        <f aca="false">IF(E1997="Priority",'Cost model'!N830,'Cost model'!M830)</f>
        <v>9.5</v>
      </c>
      <c r="K1997" s="14" t="n">
        <f aca="false">J1997-H1997</f>
        <v>4.23</v>
      </c>
      <c r="L1997" s="14" t="n">
        <f aca="false">G1997-H1997</f>
        <v>4.23</v>
      </c>
    </row>
    <row r="1998" customFormat="false" ht="15" hidden="false" customHeight="false" outlineLevel="0" collapsed="false">
      <c r="A1998" s="2" t="s">
        <v>146</v>
      </c>
      <c r="B1998" s="2" t="s">
        <v>146</v>
      </c>
      <c r="C1998" s="2" t="s">
        <v>50</v>
      </c>
      <c r="D1998" s="2" t="s">
        <v>14</v>
      </c>
      <c r="E1998" s="2" t="s">
        <v>76</v>
      </c>
      <c r="F1998" s="2" t="s">
        <v>1145</v>
      </c>
      <c r="G1998" s="14" t="n">
        <v>85</v>
      </c>
      <c r="H1998" s="14" t="n">
        <v>124.2</v>
      </c>
      <c r="I1998" s="14" t="n">
        <v>85</v>
      </c>
      <c r="J1998" s="22" t="n">
        <f aca="false">IF(E1998="Priority",'Cost model'!N769,'Cost model'!M769)</f>
        <v>160</v>
      </c>
      <c r="K1998" s="14" t="n">
        <f aca="false">J1998-H1998</f>
        <v>35.8</v>
      </c>
      <c r="L1998" s="14" t="n">
        <f aca="false">G1998-H1998</f>
        <v>-39.2</v>
      </c>
    </row>
    <row r="1999" customFormat="false" ht="15" hidden="false" customHeight="false" outlineLevel="0" collapsed="false">
      <c r="A1999" s="2" t="s">
        <v>184</v>
      </c>
      <c r="B1999" s="2" t="s">
        <v>184</v>
      </c>
      <c r="C1999" s="2" t="s">
        <v>49</v>
      </c>
      <c r="D1999" s="2" t="s">
        <v>12</v>
      </c>
      <c r="E1999" s="2" t="s">
        <v>76</v>
      </c>
      <c r="F1999" s="2" t="s">
        <v>1145</v>
      </c>
      <c r="G1999" s="14" t="n">
        <v>12.5</v>
      </c>
      <c r="H1999" s="14" t="n">
        <v>31.93</v>
      </c>
      <c r="I1999" s="14"/>
      <c r="J1999" s="22" t="n">
        <f aca="false">IF(E1999="Priority",'Cost model'!N204,'Cost model'!M204)</f>
        <v>45</v>
      </c>
      <c r="K1999" s="14" t="n">
        <f aca="false">J1999-H1999</f>
        <v>13.07</v>
      </c>
      <c r="L1999" s="14" t="n">
        <f aca="false">G1999-H1999</f>
        <v>-19.43</v>
      </c>
    </row>
    <row r="2000" customFormat="false" ht="15" hidden="false" customHeight="false" outlineLevel="0" collapsed="false">
      <c r="A2000" s="2" t="s">
        <v>240</v>
      </c>
      <c r="B2000" s="2" t="s">
        <v>240</v>
      </c>
      <c r="C2000" s="2" t="s">
        <v>48</v>
      </c>
      <c r="D2000" s="2" t="s">
        <v>10</v>
      </c>
      <c r="E2000" s="2" t="s">
        <v>76</v>
      </c>
      <c r="F2000" s="2" t="s">
        <v>1145</v>
      </c>
      <c r="G2000" s="14" t="n">
        <v>9.5</v>
      </c>
      <c r="H2000" s="14" t="n">
        <v>7.4</v>
      </c>
      <c r="I2000" s="14" t="n">
        <v>9.5</v>
      </c>
      <c r="J2000" s="22" t="n">
        <f aca="false">IF(E2000="Priority",'Cost model'!N884,'Cost model'!M884)</f>
        <v>7.5</v>
      </c>
      <c r="K2000" s="14" t="n">
        <f aca="false">J2000-H2000</f>
        <v>0.0999999999999996</v>
      </c>
      <c r="L2000" s="14" t="n">
        <f aca="false">G2000-H2000</f>
        <v>2.1</v>
      </c>
    </row>
    <row r="2001" customFormat="false" ht="15" hidden="false" customHeight="false" outlineLevel="0" collapsed="false">
      <c r="A2001" s="2" t="s">
        <v>126</v>
      </c>
      <c r="B2001" s="2" t="s">
        <v>126</v>
      </c>
      <c r="C2001" s="2" t="s">
        <v>48</v>
      </c>
      <c r="D2001" s="2" t="s">
        <v>10</v>
      </c>
      <c r="E2001" s="2" t="s">
        <v>76</v>
      </c>
      <c r="F2001" s="2" t="s">
        <v>1145</v>
      </c>
      <c r="G2001" s="14" t="n">
        <v>9.5</v>
      </c>
      <c r="H2001" s="14" t="n">
        <v>7.43</v>
      </c>
      <c r="I2001" s="14" t="n">
        <v>9.5</v>
      </c>
      <c r="J2001" s="22" t="n">
        <f aca="false">IF(E2001="Priority",'Cost model'!N380,'Cost model'!M380)</f>
        <v>8.5</v>
      </c>
      <c r="K2001" s="14" t="n">
        <f aca="false">J2001-H2001</f>
        <v>1.07</v>
      </c>
      <c r="L2001" s="14" t="n">
        <f aca="false">G2001-H2001</f>
        <v>2.07</v>
      </c>
    </row>
    <row r="2002" customFormat="false" ht="15" hidden="false" customHeight="false" outlineLevel="0" collapsed="false">
      <c r="A2002" s="2" t="s">
        <v>184</v>
      </c>
      <c r="B2002" s="2" t="s">
        <v>184</v>
      </c>
      <c r="C2002" s="2" t="s">
        <v>48</v>
      </c>
      <c r="D2002" s="2" t="s">
        <v>12</v>
      </c>
      <c r="E2002" s="2" t="s">
        <v>76</v>
      </c>
      <c r="F2002" s="2" t="s">
        <v>1145</v>
      </c>
      <c r="G2002" s="14" t="n">
        <v>9.5</v>
      </c>
      <c r="H2002" s="14" t="n">
        <v>7.45</v>
      </c>
      <c r="I2002" s="14" t="n">
        <v>9.5</v>
      </c>
      <c r="J2002" s="22" t="n">
        <f aca="false">IF(E2002="Priority",'Cost model'!N203,'Cost model'!M203)</f>
        <v>26.5</v>
      </c>
      <c r="K2002" s="14" t="n">
        <f aca="false">J2002-H2002</f>
        <v>19.05</v>
      </c>
      <c r="L2002" s="14" t="n">
        <f aca="false">G2002-H2002</f>
        <v>2.05</v>
      </c>
    </row>
    <row r="2003" customFormat="false" ht="15" hidden="false" customHeight="false" outlineLevel="0" collapsed="false">
      <c r="A2003" s="2" t="s">
        <v>184</v>
      </c>
      <c r="B2003" s="2" t="s">
        <v>184</v>
      </c>
      <c r="C2003" s="2" t="s">
        <v>48</v>
      </c>
      <c r="D2003" s="2" t="s">
        <v>12</v>
      </c>
      <c r="E2003" s="2" t="s">
        <v>76</v>
      </c>
      <c r="F2003" s="2" t="s">
        <v>1145</v>
      </c>
      <c r="G2003" s="14" t="n">
        <v>9.5</v>
      </c>
      <c r="H2003" s="14" t="n">
        <v>28.18</v>
      </c>
      <c r="I2003" s="14" t="n">
        <v>9.5</v>
      </c>
      <c r="J2003" s="22" t="n">
        <f aca="false">IF(E2003="Priority",'Cost model'!N203,'Cost model'!M203)</f>
        <v>26.5</v>
      </c>
      <c r="K2003" s="14" t="n">
        <f aca="false">J2003-H2003</f>
        <v>-1.68</v>
      </c>
      <c r="L2003" s="14" t="n">
        <f aca="false">G2003-H2003</f>
        <v>-18.68</v>
      </c>
    </row>
    <row r="2004" customFormat="false" ht="15" hidden="false" customHeight="false" outlineLevel="0" collapsed="false">
      <c r="A2004" s="2" t="s">
        <v>184</v>
      </c>
      <c r="B2004" s="2" t="s">
        <v>184</v>
      </c>
      <c r="C2004" s="2" t="s">
        <v>48</v>
      </c>
      <c r="D2004" s="2" t="s">
        <v>12</v>
      </c>
      <c r="E2004" s="2" t="s">
        <v>76</v>
      </c>
      <c r="F2004" s="2" t="s">
        <v>1145</v>
      </c>
      <c r="G2004" s="14" t="n">
        <v>9.5</v>
      </c>
      <c r="H2004" s="14" t="n">
        <v>29.57</v>
      </c>
      <c r="I2004" s="14" t="n">
        <v>9.5</v>
      </c>
      <c r="J2004" s="22" t="n">
        <f aca="false">IF(E2004="Priority",'Cost model'!N203,'Cost model'!M203)</f>
        <v>26.5</v>
      </c>
      <c r="K2004" s="14" t="n">
        <f aca="false">J2004-H2004</f>
        <v>-3.07</v>
      </c>
      <c r="L2004" s="14" t="n">
        <f aca="false">G2004-H2004</f>
        <v>-20.07</v>
      </c>
    </row>
    <row r="2005" customFormat="false" ht="15" hidden="false" customHeight="false" outlineLevel="0" collapsed="false">
      <c r="A2005" s="2" t="s">
        <v>184</v>
      </c>
      <c r="B2005" s="2" t="s">
        <v>184</v>
      </c>
      <c r="C2005" s="2" t="s">
        <v>49</v>
      </c>
      <c r="D2005" s="2" t="s">
        <v>12</v>
      </c>
      <c r="E2005" s="2" t="s">
        <v>76</v>
      </c>
      <c r="F2005" s="2" t="s">
        <v>1145</v>
      </c>
      <c r="G2005" s="14" t="n">
        <v>12.5</v>
      </c>
      <c r="H2005" s="14" t="n">
        <v>15.99</v>
      </c>
      <c r="I2005" s="14" t="n">
        <v>12.5</v>
      </c>
      <c r="J2005" s="22" t="n">
        <f aca="false">IF(E2005="Priority",'Cost model'!N204,'Cost model'!M204)</f>
        <v>45</v>
      </c>
      <c r="K2005" s="14" t="n">
        <f aca="false">J2005-H2005</f>
        <v>29.01</v>
      </c>
      <c r="L2005" s="14" t="n">
        <f aca="false">G2005-H2005</f>
        <v>-3.49</v>
      </c>
    </row>
    <row r="2006" customFormat="false" ht="15" hidden="false" customHeight="false" outlineLevel="0" collapsed="false">
      <c r="A2006" s="2" t="s">
        <v>240</v>
      </c>
      <c r="B2006" s="2" t="s">
        <v>240</v>
      </c>
      <c r="C2006" s="2" t="s">
        <v>50</v>
      </c>
      <c r="D2006" s="2" t="s">
        <v>10</v>
      </c>
      <c r="E2006" s="2" t="s">
        <v>76</v>
      </c>
      <c r="F2006" s="2" t="s">
        <v>1145</v>
      </c>
      <c r="G2006" s="14" t="n">
        <v>17.5</v>
      </c>
      <c r="H2006" s="14" t="n">
        <v>11.17</v>
      </c>
      <c r="I2006" s="14" t="n">
        <v>17.5</v>
      </c>
      <c r="J2006" s="22" t="n">
        <f aca="false">IF(E2006="Priority",'Cost model'!N886,'Cost model'!M886)</f>
        <v>17.5</v>
      </c>
      <c r="K2006" s="14" t="n">
        <f aca="false">J2006-H2006</f>
        <v>6.33</v>
      </c>
      <c r="L2006" s="14" t="n">
        <f aca="false">G2006-H2006</f>
        <v>6.33</v>
      </c>
    </row>
    <row r="2007" customFormat="false" ht="15" hidden="false" customHeight="false" outlineLevel="0" collapsed="false">
      <c r="A2007" s="2" t="s">
        <v>126</v>
      </c>
      <c r="B2007" s="2" t="s">
        <v>126</v>
      </c>
      <c r="C2007" s="2" t="s">
        <v>48</v>
      </c>
      <c r="D2007" s="2" t="s">
        <v>12</v>
      </c>
      <c r="E2007" s="2" t="s">
        <v>76</v>
      </c>
      <c r="F2007" s="2" t="s">
        <v>1145</v>
      </c>
      <c r="G2007" s="14" t="n">
        <v>9.5</v>
      </c>
      <c r="H2007" s="14" t="n">
        <v>27.95</v>
      </c>
      <c r="I2007" s="14" t="n">
        <v>9.5</v>
      </c>
      <c r="J2007" s="22" t="n">
        <f aca="false">IF(E2007="Priority",'Cost model'!N383,'Cost model'!M383)</f>
        <v>27.5</v>
      </c>
      <c r="K2007" s="14" t="n">
        <f aca="false">J2007-H2007</f>
        <v>-0.449999999999999</v>
      </c>
      <c r="L2007" s="14" t="n">
        <f aca="false">G2007-H2007</f>
        <v>-18.45</v>
      </c>
    </row>
    <row r="2008" customFormat="false" ht="15" hidden="false" customHeight="false" outlineLevel="0" collapsed="false">
      <c r="A2008" s="2" t="s">
        <v>184</v>
      </c>
      <c r="B2008" s="2" t="s">
        <v>165</v>
      </c>
      <c r="C2008" s="2" t="s">
        <v>49</v>
      </c>
      <c r="D2008" s="2" t="s">
        <v>10</v>
      </c>
      <c r="E2008" s="2" t="s">
        <v>76</v>
      </c>
      <c r="F2008" s="2" t="s">
        <v>1146</v>
      </c>
      <c r="G2008" s="14" t="n">
        <v>14.5</v>
      </c>
      <c r="H2008" s="14" t="n">
        <v>12.09</v>
      </c>
      <c r="I2008" s="14"/>
      <c r="J2008" s="22" t="n">
        <f aca="false">IF(E2008="Priority",'Cost model'!N165,'Cost model'!M165)</f>
        <v>15.5</v>
      </c>
      <c r="K2008" s="14" t="n">
        <f aca="false">J2008-H2008</f>
        <v>3.41</v>
      </c>
      <c r="L2008" s="14" t="n">
        <f aca="false">G2008-H2008</f>
        <v>2.41</v>
      </c>
    </row>
    <row r="2009" customFormat="false" ht="15" hidden="false" customHeight="false" outlineLevel="0" collapsed="false">
      <c r="A2009" s="2" t="s">
        <v>184</v>
      </c>
      <c r="B2009" s="2" t="s">
        <v>184</v>
      </c>
      <c r="C2009" s="2" t="s">
        <v>50</v>
      </c>
      <c r="D2009" s="2" t="s">
        <v>13</v>
      </c>
      <c r="E2009" s="2" t="s">
        <v>76</v>
      </c>
      <c r="F2009" s="2" t="s">
        <v>1145</v>
      </c>
      <c r="G2009" s="14" t="n">
        <v>50</v>
      </c>
      <c r="H2009" s="14" t="n">
        <v>90.93</v>
      </c>
      <c r="I2009" s="14" t="n">
        <v>50</v>
      </c>
      <c r="J2009" s="22" t="n">
        <f aca="false">IF(E2009="Priority",'Cost model'!N208,'Cost model'!M208)</f>
        <v>80</v>
      </c>
      <c r="K2009" s="14" t="n">
        <f aca="false">J2009-H2009</f>
        <v>-10.93</v>
      </c>
      <c r="L2009" s="14" t="n">
        <f aca="false">G2009-H2009</f>
        <v>-40.93</v>
      </c>
    </row>
    <row r="2010" customFormat="false" ht="15" hidden="false" customHeight="false" outlineLevel="0" collapsed="false">
      <c r="A2010" s="2" t="s">
        <v>126</v>
      </c>
      <c r="B2010" s="2" t="s">
        <v>126</v>
      </c>
      <c r="C2010" s="2" t="s">
        <v>49</v>
      </c>
      <c r="D2010" s="2" t="s">
        <v>10</v>
      </c>
      <c r="E2010" s="2" t="s">
        <v>76</v>
      </c>
      <c r="F2010" s="2" t="s">
        <v>1145</v>
      </c>
      <c r="G2010" s="14" t="n">
        <v>12.5</v>
      </c>
      <c r="H2010" s="14" t="n">
        <v>17.57</v>
      </c>
      <c r="I2010" s="14" t="n">
        <v>12.5</v>
      </c>
      <c r="J2010" s="22" t="n">
        <f aca="false">IF(E2010="Priority",'Cost model'!N381,'Cost model'!M381)</f>
        <v>14.5</v>
      </c>
      <c r="K2010" s="14" t="n">
        <f aca="false">J2010-H2010</f>
        <v>-3.07</v>
      </c>
      <c r="L2010" s="14" t="n">
        <f aca="false">G2010-H2010</f>
        <v>-5.07</v>
      </c>
    </row>
    <row r="2011" customFormat="false" ht="15" hidden="false" customHeight="false" outlineLevel="0" collapsed="false">
      <c r="A2011" s="2" t="s">
        <v>184</v>
      </c>
      <c r="B2011" s="2" t="s">
        <v>184</v>
      </c>
      <c r="C2011" s="2" t="s">
        <v>50</v>
      </c>
      <c r="D2011" s="2" t="s">
        <v>12</v>
      </c>
      <c r="E2011" s="2" t="s">
        <v>76</v>
      </c>
      <c r="F2011" s="2" t="s">
        <v>1145</v>
      </c>
      <c r="G2011" s="14" t="n">
        <v>19.5</v>
      </c>
      <c r="H2011" s="14" t="n">
        <v>49.36</v>
      </c>
      <c r="I2011" s="14" t="n">
        <v>19.5</v>
      </c>
      <c r="J2011" s="22" t="n">
        <f aca="false">IF(E2011="Priority",'Cost model'!N205,'Cost model'!M205)</f>
        <v>50</v>
      </c>
      <c r="K2011" s="14" t="n">
        <f aca="false">J2011-H2011</f>
        <v>0.640000000000001</v>
      </c>
      <c r="L2011" s="14" t="n">
        <f aca="false">G2011-H2011</f>
        <v>-29.86</v>
      </c>
    </row>
    <row r="2012" customFormat="false" ht="15" hidden="false" customHeight="false" outlineLevel="0" collapsed="false">
      <c r="A2012" s="2" t="s">
        <v>126</v>
      </c>
      <c r="B2012" s="2" t="s">
        <v>126</v>
      </c>
      <c r="C2012" s="2" t="s">
        <v>49</v>
      </c>
      <c r="D2012" s="2" t="s">
        <v>12</v>
      </c>
      <c r="E2012" s="2" t="s">
        <v>85</v>
      </c>
      <c r="F2012" s="2" t="s">
        <v>1145</v>
      </c>
      <c r="G2012" s="14" t="n">
        <v>19.5</v>
      </c>
      <c r="H2012" s="14" t="n">
        <v>54.25</v>
      </c>
      <c r="I2012" s="14" t="n">
        <v>19.5</v>
      </c>
      <c r="J2012" s="22" t="n">
        <f aca="false">IF(E2012="Priority",'Cost model'!N384,'Cost model'!M384)</f>
        <v>60</v>
      </c>
      <c r="K2012" s="14" t="n">
        <f aca="false">J2012-H2012</f>
        <v>5.75</v>
      </c>
      <c r="L2012" s="14" t="n">
        <f aca="false">G2012-H2012</f>
        <v>-34.75</v>
      </c>
    </row>
    <row r="2013" customFormat="false" ht="15" hidden="false" customHeight="false" outlineLevel="0" collapsed="false">
      <c r="A2013" s="2" t="s">
        <v>184</v>
      </c>
      <c r="B2013" s="2" t="s">
        <v>146</v>
      </c>
      <c r="C2013" s="2" t="s">
        <v>50</v>
      </c>
      <c r="D2013" s="2" t="s">
        <v>12</v>
      </c>
      <c r="E2013" s="2" t="s">
        <v>76</v>
      </c>
      <c r="F2013" s="2" t="s">
        <v>1146</v>
      </c>
      <c r="G2013" s="14" t="n">
        <v>19.5</v>
      </c>
      <c r="H2013" s="14" t="n">
        <v>51.37</v>
      </c>
      <c r="I2013" s="14" t="n">
        <v>19.5</v>
      </c>
      <c r="J2013" s="22" t="n">
        <f aca="false">IF(E2013="Priority",'Cost model'!N151,'Cost model'!M151)</f>
        <v>55</v>
      </c>
      <c r="K2013" s="14" t="n">
        <f aca="false">J2013-H2013</f>
        <v>3.63</v>
      </c>
      <c r="L2013" s="14" t="n">
        <f aca="false">G2013-H2013</f>
        <v>-31.87</v>
      </c>
    </row>
    <row r="2014" customFormat="false" ht="15" hidden="false" customHeight="false" outlineLevel="0" collapsed="false">
      <c r="A2014" s="2" t="s">
        <v>184</v>
      </c>
      <c r="B2014" s="2" t="s">
        <v>184</v>
      </c>
      <c r="C2014" s="2" t="s">
        <v>50</v>
      </c>
      <c r="D2014" s="2" t="s">
        <v>12</v>
      </c>
      <c r="E2014" s="2" t="s">
        <v>76</v>
      </c>
      <c r="F2014" s="2" t="s">
        <v>1145</v>
      </c>
      <c r="G2014" s="14" t="n">
        <v>19.5</v>
      </c>
      <c r="H2014" s="14" t="n">
        <v>63.97</v>
      </c>
      <c r="I2014" s="14" t="n">
        <v>19.5</v>
      </c>
      <c r="J2014" s="22" t="n">
        <f aca="false">IF(E2014="Priority",'Cost model'!N205,'Cost model'!M205)</f>
        <v>50</v>
      </c>
      <c r="K2014" s="14" t="n">
        <f aca="false">J2014-H2014</f>
        <v>-13.97</v>
      </c>
      <c r="L2014" s="14" t="n">
        <f aca="false">G2014-H2014</f>
        <v>-44.47</v>
      </c>
    </row>
    <row r="2015" customFormat="false" ht="15" hidden="false" customHeight="false" outlineLevel="0" collapsed="false">
      <c r="A2015" s="2" t="s">
        <v>126</v>
      </c>
      <c r="B2015" s="2" t="s">
        <v>126</v>
      </c>
      <c r="C2015" s="2" t="s">
        <v>50</v>
      </c>
      <c r="D2015" s="2" t="s">
        <v>10</v>
      </c>
      <c r="E2015" s="2" t="s">
        <v>76</v>
      </c>
      <c r="F2015" s="2" t="s">
        <v>1145</v>
      </c>
      <c r="G2015" s="14" t="n">
        <v>17.5</v>
      </c>
      <c r="H2015" s="14" t="n">
        <v>17.31</v>
      </c>
      <c r="I2015" s="14" t="n">
        <v>17.5</v>
      </c>
      <c r="J2015" s="22" t="n">
        <f aca="false">IF(E2015="Priority",'Cost model'!N382,'Cost model'!M382)</f>
        <v>18.5</v>
      </c>
      <c r="K2015" s="14" t="n">
        <f aca="false">J2015-H2015</f>
        <v>1.19</v>
      </c>
      <c r="L2015" s="14" t="n">
        <f aca="false">G2015-H2015</f>
        <v>0.190000000000001</v>
      </c>
    </row>
    <row r="2016" customFormat="false" ht="15" hidden="false" customHeight="false" outlineLevel="0" collapsed="false">
      <c r="A2016" s="2" t="s">
        <v>146</v>
      </c>
      <c r="B2016" s="2" t="s">
        <v>184</v>
      </c>
      <c r="C2016" s="2" t="s">
        <v>48</v>
      </c>
      <c r="D2016" s="2" t="s">
        <v>10</v>
      </c>
      <c r="E2016" s="2" t="s">
        <v>76</v>
      </c>
      <c r="F2016" s="2" t="s">
        <v>1146</v>
      </c>
      <c r="G2016" s="14" t="n">
        <v>9.5</v>
      </c>
      <c r="H2016" s="14" t="n">
        <v>9.34</v>
      </c>
      <c r="I2016" s="14" t="n">
        <v>14.5</v>
      </c>
      <c r="J2016" s="22" t="n">
        <f aca="false">IF(E2016="Priority",'Cost model'!N830,'Cost model'!M830)</f>
        <v>9.5</v>
      </c>
      <c r="K2016" s="14" t="n">
        <f aca="false">J2016-H2016</f>
        <v>0.16</v>
      </c>
      <c r="L2016" s="14" t="n">
        <f aca="false">G2016-H2016</f>
        <v>0.16</v>
      </c>
    </row>
    <row r="2017" customFormat="false" ht="15" hidden="false" customHeight="false" outlineLevel="0" collapsed="false">
      <c r="A2017" s="2" t="s">
        <v>184</v>
      </c>
      <c r="B2017" s="2" t="s">
        <v>146</v>
      </c>
      <c r="C2017" s="2" t="s">
        <v>48</v>
      </c>
      <c r="D2017" s="2" t="s">
        <v>10</v>
      </c>
      <c r="E2017" s="2" t="s">
        <v>76</v>
      </c>
      <c r="F2017" s="2" t="s">
        <v>1146</v>
      </c>
      <c r="G2017" s="14" t="n">
        <v>9.5</v>
      </c>
      <c r="H2017" s="14" t="n">
        <v>9.78</v>
      </c>
      <c r="I2017" s="14" t="n">
        <v>9.5</v>
      </c>
      <c r="J2017" s="22" t="n">
        <f aca="false">IF(E2017="Priority",'Cost model'!N146,'Cost model'!M146)</f>
        <v>12.5</v>
      </c>
      <c r="K2017" s="14" t="n">
        <f aca="false">J2017-H2017</f>
        <v>2.72</v>
      </c>
      <c r="L2017" s="14" t="n">
        <f aca="false">G2017-H2017</f>
        <v>-0.279999999999999</v>
      </c>
    </row>
    <row r="2018" customFormat="false" ht="15" hidden="false" customHeight="false" outlineLevel="0" collapsed="false">
      <c r="A2018" s="2" t="s">
        <v>165</v>
      </c>
      <c r="B2018" s="2" t="s">
        <v>165</v>
      </c>
      <c r="C2018" s="2" t="s">
        <v>50</v>
      </c>
      <c r="D2018" s="2" t="s">
        <v>10</v>
      </c>
      <c r="E2018" s="2" t="s">
        <v>76</v>
      </c>
      <c r="F2018" s="2" t="s">
        <v>1145</v>
      </c>
      <c r="G2018" s="14" t="n">
        <v>17.5</v>
      </c>
      <c r="H2018" s="14" t="n">
        <v>14.08</v>
      </c>
      <c r="I2018" s="14" t="n">
        <v>17.5</v>
      </c>
      <c r="J2018" s="22" t="n">
        <f aca="false">IF(E2018="Priority",'Cost model'!N508,'Cost model'!M508)</f>
        <v>17.5</v>
      </c>
      <c r="K2018" s="14" t="n">
        <f aca="false">J2018-H2018</f>
        <v>3.42</v>
      </c>
      <c r="L2018" s="14" t="n">
        <f aca="false">G2018-H2018</f>
        <v>3.42</v>
      </c>
    </row>
    <row r="2019" customFormat="false" ht="15" hidden="false" customHeight="false" outlineLevel="0" collapsed="false">
      <c r="A2019" s="2" t="s">
        <v>184</v>
      </c>
      <c r="B2019" s="2" t="s">
        <v>184</v>
      </c>
      <c r="C2019" s="2" t="s">
        <v>48</v>
      </c>
      <c r="D2019" s="2" t="s">
        <v>10</v>
      </c>
      <c r="E2019" s="2" t="s">
        <v>76</v>
      </c>
      <c r="F2019" s="2" t="s">
        <v>1145</v>
      </c>
      <c r="G2019" s="14" t="n">
        <v>9.5</v>
      </c>
      <c r="H2019" s="14" t="n">
        <v>7.46</v>
      </c>
      <c r="I2019" s="14" t="n">
        <v>9.5</v>
      </c>
      <c r="J2019" s="22" t="n">
        <f aca="false">IF(E2019="Priority",'Cost model'!N200,'Cost model'!M200)</f>
        <v>7.5</v>
      </c>
      <c r="K2019" s="14" t="n">
        <f aca="false">J2019-H2019</f>
        <v>0.04</v>
      </c>
      <c r="L2019" s="14" t="n">
        <f aca="false">G2019-H2019</f>
        <v>2.04</v>
      </c>
    </row>
    <row r="2020" customFormat="false" ht="15" hidden="false" customHeight="false" outlineLevel="0" collapsed="false">
      <c r="A2020" s="2" t="s">
        <v>126</v>
      </c>
      <c r="B2020" s="2" t="s">
        <v>126</v>
      </c>
      <c r="C2020" s="2" t="s">
        <v>50</v>
      </c>
      <c r="D2020" s="2" t="s">
        <v>10</v>
      </c>
      <c r="E2020" s="2" t="s">
        <v>76</v>
      </c>
      <c r="F2020" s="2" t="s">
        <v>1145</v>
      </c>
      <c r="G2020" s="14" t="n">
        <v>17.5</v>
      </c>
      <c r="H2020" s="14" t="n">
        <v>20.57</v>
      </c>
      <c r="I2020" s="14" t="n">
        <v>17.5</v>
      </c>
      <c r="J2020" s="22" t="n">
        <f aca="false">IF(E2020="Priority",'Cost model'!N382,'Cost model'!M382)</f>
        <v>18.5</v>
      </c>
      <c r="K2020" s="14" t="n">
        <f aca="false">J2020-H2020</f>
        <v>-2.07</v>
      </c>
      <c r="L2020" s="14" t="n">
        <f aca="false">G2020-H2020</f>
        <v>-3.07</v>
      </c>
    </row>
    <row r="2021" customFormat="false" ht="15" hidden="false" customHeight="false" outlineLevel="0" collapsed="false">
      <c r="A2021" s="2" t="s">
        <v>126</v>
      </c>
      <c r="B2021" s="2" t="s">
        <v>184</v>
      </c>
      <c r="C2021" s="2" t="s">
        <v>50</v>
      </c>
      <c r="D2021" s="2" t="s">
        <v>10</v>
      </c>
      <c r="E2021" s="2" t="s">
        <v>76</v>
      </c>
      <c r="F2021" s="2" t="s">
        <v>1146</v>
      </c>
      <c r="G2021" s="14" t="n">
        <v>17.5</v>
      </c>
      <c r="H2021" s="14" t="n">
        <v>9.99</v>
      </c>
      <c r="I2021" s="14" t="n">
        <v>17.5</v>
      </c>
      <c r="J2021" s="22" t="n">
        <f aca="false">IF(E2021="Priority",'Cost model'!N436,'Cost model'!M436)</f>
        <v>19.5</v>
      </c>
      <c r="K2021" s="14" t="n">
        <f aca="false">J2021-H2021</f>
        <v>9.51</v>
      </c>
      <c r="L2021" s="14" t="n">
        <f aca="false">G2021-H2021</f>
        <v>7.51</v>
      </c>
    </row>
    <row r="2022" customFormat="false" ht="15" hidden="false" customHeight="false" outlineLevel="0" collapsed="false">
      <c r="A2022" s="2" t="s">
        <v>126</v>
      </c>
      <c r="B2022" s="2" t="s">
        <v>126</v>
      </c>
      <c r="C2022" s="2" t="s">
        <v>48</v>
      </c>
      <c r="D2022" s="2" t="s">
        <v>10</v>
      </c>
      <c r="E2022" s="2" t="s">
        <v>76</v>
      </c>
      <c r="F2022" s="2" t="s">
        <v>1145</v>
      </c>
      <c r="G2022" s="14" t="n">
        <v>9.5</v>
      </c>
      <c r="H2022" s="14" t="n">
        <v>7.72</v>
      </c>
      <c r="I2022" s="14" t="n">
        <v>9.5</v>
      </c>
      <c r="J2022" s="22" t="n">
        <f aca="false">IF(E2022="Priority",'Cost model'!N380,'Cost model'!M380)</f>
        <v>8.5</v>
      </c>
      <c r="K2022" s="14" t="n">
        <f aca="false">J2022-H2022</f>
        <v>0.78</v>
      </c>
      <c r="L2022" s="14" t="n">
        <f aca="false">G2022-H2022</f>
        <v>1.78</v>
      </c>
    </row>
    <row r="2023" customFormat="false" ht="15" hidden="false" customHeight="false" outlineLevel="0" collapsed="false">
      <c r="A2023" s="2" t="s">
        <v>184</v>
      </c>
      <c r="B2023" s="2" t="s">
        <v>184</v>
      </c>
      <c r="C2023" s="2" t="s">
        <v>50</v>
      </c>
      <c r="D2023" s="2" t="s">
        <v>12</v>
      </c>
      <c r="E2023" s="2" t="s">
        <v>76</v>
      </c>
      <c r="F2023" s="2" t="s">
        <v>1145</v>
      </c>
      <c r="G2023" s="14" t="n">
        <v>19.5</v>
      </c>
      <c r="H2023" s="14" t="n">
        <v>25.78</v>
      </c>
      <c r="I2023" s="14" t="n">
        <v>19.5</v>
      </c>
      <c r="J2023" s="22" t="n">
        <f aca="false">IF(E2023="Priority",'Cost model'!N205,'Cost model'!M205)</f>
        <v>50</v>
      </c>
      <c r="K2023" s="14" t="n">
        <f aca="false">J2023-H2023</f>
        <v>24.22</v>
      </c>
      <c r="L2023" s="14" t="n">
        <f aca="false">G2023-H2023</f>
        <v>-6.28</v>
      </c>
    </row>
    <row r="2024" customFormat="false" ht="15" hidden="false" customHeight="false" outlineLevel="0" collapsed="false">
      <c r="A2024" s="2" t="s">
        <v>165</v>
      </c>
      <c r="B2024" s="2" t="s">
        <v>165</v>
      </c>
      <c r="C2024" s="2" t="s">
        <v>49</v>
      </c>
      <c r="D2024" s="2" t="s">
        <v>10</v>
      </c>
      <c r="E2024" s="2" t="s">
        <v>76</v>
      </c>
      <c r="F2024" s="2" t="s">
        <v>1145</v>
      </c>
      <c r="G2024" s="14" t="n">
        <v>12.5</v>
      </c>
      <c r="H2024" s="14" t="n">
        <v>16.52</v>
      </c>
      <c r="I2024" s="14" t="n">
        <v>12.5</v>
      </c>
      <c r="J2024" s="22" t="n">
        <f aca="false">IF(E2024="Priority",'Cost model'!N507,'Cost model'!M507)</f>
        <v>11.5</v>
      </c>
      <c r="K2024" s="14" t="n">
        <f aca="false">J2024-H2024</f>
        <v>-5.02</v>
      </c>
      <c r="L2024" s="14" t="n">
        <f aca="false">G2024-H2024</f>
        <v>-4.02</v>
      </c>
    </row>
    <row r="2025" customFormat="false" ht="15" hidden="false" customHeight="false" outlineLevel="0" collapsed="false">
      <c r="A2025" s="2" t="s">
        <v>126</v>
      </c>
      <c r="B2025" s="2" t="s">
        <v>126</v>
      </c>
      <c r="C2025" s="2" t="s">
        <v>49</v>
      </c>
      <c r="D2025" s="2" t="s">
        <v>10</v>
      </c>
      <c r="E2025" s="2" t="s">
        <v>76</v>
      </c>
      <c r="F2025" s="2" t="s">
        <v>1145</v>
      </c>
      <c r="G2025" s="14" t="n">
        <v>14.5</v>
      </c>
      <c r="H2025" s="14" t="n">
        <v>15.79</v>
      </c>
      <c r="I2025" s="14" t="n">
        <v>12.5</v>
      </c>
      <c r="J2025" s="22" t="n">
        <f aca="false">IF(E2025="Priority",'Cost model'!N381,'Cost model'!M381)</f>
        <v>14.5</v>
      </c>
      <c r="K2025" s="14" t="n">
        <f aca="false">J2025-H2025</f>
        <v>-1.29</v>
      </c>
      <c r="L2025" s="14" t="n">
        <f aca="false">G2025-H2025</f>
        <v>-1.29</v>
      </c>
    </row>
    <row r="2026" customFormat="false" ht="15" hidden="false" customHeight="false" outlineLevel="0" collapsed="false">
      <c r="A2026" s="2" t="s">
        <v>240</v>
      </c>
      <c r="B2026" s="2" t="s">
        <v>240</v>
      </c>
      <c r="C2026" s="2" t="s">
        <v>48</v>
      </c>
      <c r="D2026" s="2" t="s">
        <v>12</v>
      </c>
      <c r="E2026" s="2" t="s">
        <v>76</v>
      </c>
      <c r="F2026" s="2" t="s">
        <v>1145</v>
      </c>
      <c r="G2026" s="14" t="n">
        <v>9.5</v>
      </c>
      <c r="H2026" s="14" t="n">
        <v>34.75</v>
      </c>
      <c r="I2026" s="14" t="n">
        <v>9.5</v>
      </c>
      <c r="J2026" s="22" t="n">
        <f aca="false">IF(E2026="Priority",'Cost model'!N887,'Cost model'!M887)</f>
        <v>21.5</v>
      </c>
      <c r="K2026" s="14" t="n">
        <f aca="false">J2026-H2026</f>
        <v>-13.25</v>
      </c>
      <c r="L2026" s="14" t="n">
        <f aca="false">G2026-H2026</f>
        <v>-25.25</v>
      </c>
    </row>
    <row r="2027" customFormat="false" ht="15" hidden="false" customHeight="false" outlineLevel="0" collapsed="false">
      <c r="A2027" s="2" t="s">
        <v>126</v>
      </c>
      <c r="B2027" s="2" t="s">
        <v>126</v>
      </c>
      <c r="C2027" s="2" t="s">
        <v>49</v>
      </c>
      <c r="D2027" s="2" t="s">
        <v>14</v>
      </c>
      <c r="E2027" s="2" t="s">
        <v>76</v>
      </c>
      <c r="F2027" s="2" t="s">
        <v>1145</v>
      </c>
      <c r="G2027" s="14" t="n">
        <v>45</v>
      </c>
      <c r="H2027" s="14" t="n">
        <v>87.63</v>
      </c>
      <c r="I2027" s="14" t="n">
        <v>45</v>
      </c>
      <c r="J2027" s="22" t="n">
        <f aca="false">IF(E2027="Priority",'Cost model'!N390,'Cost model'!M390)</f>
        <v>115</v>
      </c>
      <c r="K2027" s="14" t="n">
        <f aca="false">J2027-H2027</f>
        <v>27.37</v>
      </c>
      <c r="L2027" s="14" t="n">
        <f aca="false">G2027-H2027</f>
        <v>-42.63</v>
      </c>
    </row>
    <row r="2028" customFormat="false" ht="15" hidden="false" customHeight="false" outlineLevel="0" collapsed="false">
      <c r="A2028" s="2" t="s">
        <v>184</v>
      </c>
      <c r="B2028" s="2" t="s">
        <v>184</v>
      </c>
      <c r="C2028" s="2" t="s">
        <v>50</v>
      </c>
      <c r="D2028" s="2" t="s">
        <v>12</v>
      </c>
      <c r="E2028" s="2" t="s">
        <v>76</v>
      </c>
      <c r="F2028" s="2" t="s">
        <v>1145</v>
      </c>
      <c r="G2028" s="14" t="n">
        <v>19.5</v>
      </c>
      <c r="H2028" s="14" t="n">
        <v>47.73</v>
      </c>
      <c r="I2028" s="14" t="n">
        <v>19.5</v>
      </c>
      <c r="J2028" s="22" t="n">
        <f aca="false">IF(E2028="Priority",'Cost model'!N205,'Cost model'!M205)</f>
        <v>50</v>
      </c>
      <c r="K2028" s="14" t="n">
        <f aca="false">J2028-H2028</f>
        <v>2.27</v>
      </c>
      <c r="L2028" s="14" t="n">
        <f aca="false">G2028-H2028</f>
        <v>-28.23</v>
      </c>
    </row>
    <row r="2029" customFormat="false" ht="15" hidden="false" customHeight="false" outlineLevel="0" collapsed="false">
      <c r="A2029" s="2" t="s">
        <v>184</v>
      </c>
      <c r="B2029" s="2" t="s">
        <v>184</v>
      </c>
      <c r="C2029" s="2" t="s">
        <v>50</v>
      </c>
      <c r="D2029" s="2" t="s">
        <v>10</v>
      </c>
      <c r="E2029" s="2" t="s">
        <v>76</v>
      </c>
      <c r="F2029" s="2" t="s">
        <v>1145</v>
      </c>
      <c r="G2029" s="14" t="n">
        <v>17.5</v>
      </c>
      <c r="H2029" s="14" t="n">
        <v>15.22</v>
      </c>
      <c r="I2029" s="14" t="n">
        <v>17.5</v>
      </c>
      <c r="J2029" s="22" t="n">
        <f aca="false">IF(E2029="Priority",'Cost model'!N202,'Cost model'!M202)</f>
        <v>17.5</v>
      </c>
      <c r="K2029" s="14" t="n">
        <f aca="false">J2029-H2029</f>
        <v>2.28</v>
      </c>
      <c r="L2029" s="14" t="n">
        <f aca="false">G2029-H2029</f>
        <v>2.28</v>
      </c>
    </row>
    <row r="2030" customFormat="false" ht="15" hidden="false" customHeight="false" outlineLevel="0" collapsed="false">
      <c r="A2030" s="2" t="s">
        <v>184</v>
      </c>
      <c r="B2030" s="2" t="s">
        <v>184</v>
      </c>
      <c r="C2030" s="2" t="s">
        <v>50</v>
      </c>
      <c r="D2030" s="2" t="s">
        <v>12</v>
      </c>
      <c r="E2030" s="2" t="s">
        <v>76</v>
      </c>
      <c r="F2030" s="2" t="s">
        <v>1145</v>
      </c>
      <c r="G2030" s="14" t="n">
        <v>19.5</v>
      </c>
      <c r="H2030" s="14" t="n">
        <v>15.99</v>
      </c>
      <c r="I2030" s="14" t="n">
        <v>19.5</v>
      </c>
      <c r="J2030" s="22" t="n">
        <f aca="false">IF(E2030="Priority",'Cost model'!N205,'Cost model'!M205)</f>
        <v>50</v>
      </c>
      <c r="K2030" s="14" t="n">
        <f aca="false">J2030-H2030</f>
        <v>34.01</v>
      </c>
      <c r="L2030" s="14" t="n">
        <f aca="false">G2030-H2030</f>
        <v>3.51</v>
      </c>
    </row>
    <row r="2031" customFormat="false" ht="15" hidden="false" customHeight="false" outlineLevel="0" collapsed="false">
      <c r="A2031" s="2" t="s">
        <v>146</v>
      </c>
      <c r="B2031" s="2" t="s">
        <v>146</v>
      </c>
      <c r="C2031" s="2" t="s">
        <v>50</v>
      </c>
      <c r="D2031" s="2" t="s">
        <v>14</v>
      </c>
      <c r="E2031" s="2" t="s">
        <v>76</v>
      </c>
      <c r="F2031" s="2" t="s">
        <v>1145</v>
      </c>
      <c r="G2031" s="14" t="n">
        <v>85</v>
      </c>
      <c r="H2031" s="14" t="n">
        <v>123.34</v>
      </c>
      <c r="I2031" s="14" t="n">
        <v>85</v>
      </c>
      <c r="J2031" s="22" t="n">
        <f aca="false">IF(E2031="Priority",'Cost model'!N769,'Cost model'!M769)</f>
        <v>160</v>
      </c>
      <c r="K2031" s="14" t="n">
        <f aca="false">J2031-H2031</f>
        <v>36.66</v>
      </c>
      <c r="L2031" s="14" t="n">
        <f aca="false">G2031-H2031</f>
        <v>-38.34</v>
      </c>
    </row>
    <row r="2032" customFormat="false" ht="15" hidden="false" customHeight="false" outlineLevel="0" collapsed="false">
      <c r="A2032" s="2" t="s">
        <v>184</v>
      </c>
      <c r="B2032" s="2" t="s">
        <v>126</v>
      </c>
      <c r="C2032" s="2" t="s">
        <v>49</v>
      </c>
      <c r="D2032" s="2" t="s">
        <v>10</v>
      </c>
      <c r="E2032" s="2" t="s">
        <v>76</v>
      </c>
      <c r="F2032" s="2" t="s">
        <v>1146</v>
      </c>
      <c r="G2032" s="14" t="n">
        <v>12.5</v>
      </c>
      <c r="H2032" s="14" t="n">
        <v>11.92</v>
      </c>
      <c r="I2032" s="14" t="n">
        <v>12.5</v>
      </c>
      <c r="J2032" s="22" t="n">
        <f aca="false">IF(E2032="Priority",'Cost model'!N129,'Cost model'!M129)</f>
        <v>13.5</v>
      </c>
      <c r="K2032" s="14" t="n">
        <f aca="false">J2032-H2032</f>
        <v>1.58</v>
      </c>
      <c r="L2032" s="14" t="n">
        <f aca="false">G2032-H2032</f>
        <v>0.58</v>
      </c>
    </row>
    <row r="2033" customFormat="false" ht="15" hidden="false" customHeight="false" outlineLevel="0" collapsed="false">
      <c r="A2033" s="2" t="s">
        <v>125</v>
      </c>
      <c r="B2033" s="2" t="s">
        <v>184</v>
      </c>
      <c r="C2033" s="2" t="s">
        <v>48</v>
      </c>
      <c r="D2033" s="2" t="s">
        <v>10</v>
      </c>
      <c r="E2033" s="2" t="s">
        <v>76</v>
      </c>
      <c r="F2033" s="2" t="s">
        <v>1146</v>
      </c>
      <c r="G2033" s="14" t="n">
        <v>14.5</v>
      </c>
      <c r="H2033" s="14" t="n">
        <v>12.45</v>
      </c>
      <c r="I2033" s="14" t="n">
        <v>14.5</v>
      </c>
      <c r="J2033" s="22" t="n">
        <f aca="false">IF(E2033="Priority",'Cost model'!N56,'Cost model'!M56)</f>
        <v>11.5</v>
      </c>
      <c r="K2033" s="14" t="n">
        <f aca="false">J2033-H2033</f>
        <v>-0.949999999999999</v>
      </c>
      <c r="L2033" s="14" t="n">
        <f aca="false">G2033-H2033</f>
        <v>2.05</v>
      </c>
    </row>
    <row r="2034" customFormat="false" ht="15" hidden="false" customHeight="false" outlineLevel="0" collapsed="false">
      <c r="A2034" s="2" t="s">
        <v>184</v>
      </c>
      <c r="B2034" s="2" t="s">
        <v>184</v>
      </c>
      <c r="C2034" s="2" t="s">
        <v>48</v>
      </c>
      <c r="D2034" s="2" t="s">
        <v>12</v>
      </c>
      <c r="E2034" s="2" t="s">
        <v>76</v>
      </c>
      <c r="F2034" s="2" t="s">
        <v>1145</v>
      </c>
      <c r="G2034" s="14" t="n">
        <v>9.5</v>
      </c>
      <c r="H2034" s="14" t="n">
        <v>29.38</v>
      </c>
      <c r="I2034" s="14" t="n">
        <v>9.5</v>
      </c>
      <c r="J2034" s="22" t="n">
        <f aca="false">IF(E2034="Priority",'Cost model'!N203,'Cost model'!M203)</f>
        <v>26.5</v>
      </c>
      <c r="K2034" s="14" t="n">
        <f aca="false">J2034-H2034</f>
        <v>-2.88</v>
      </c>
      <c r="L2034" s="14" t="n">
        <f aca="false">G2034-H2034</f>
        <v>-19.88</v>
      </c>
    </row>
    <row r="2035" customFormat="false" ht="15" hidden="false" customHeight="false" outlineLevel="0" collapsed="false">
      <c r="A2035" s="2" t="s">
        <v>126</v>
      </c>
      <c r="B2035" s="2" t="s">
        <v>126</v>
      </c>
      <c r="C2035" s="2" t="s">
        <v>48</v>
      </c>
      <c r="D2035" s="2" t="s">
        <v>12</v>
      </c>
      <c r="E2035" s="2" t="s">
        <v>76</v>
      </c>
      <c r="F2035" s="2" t="s">
        <v>1145</v>
      </c>
      <c r="G2035" s="14" t="n">
        <v>9.5</v>
      </c>
      <c r="H2035" s="14" t="n">
        <v>28.96</v>
      </c>
      <c r="I2035" s="14" t="n">
        <v>9.5</v>
      </c>
      <c r="J2035" s="22" t="n">
        <f aca="false">IF(E2035="Priority",'Cost model'!N383,'Cost model'!M383)</f>
        <v>27.5</v>
      </c>
      <c r="K2035" s="14" t="n">
        <f aca="false">J2035-H2035</f>
        <v>-1.46</v>
      </c>
      <c r="L2035" s="14" t="n">
        <f aca="false">G2035-H2035</f>
        <v>-19.46</v>
      </c>
    </row>
    <row r="2036" customFormat="false" ht="15" hidden="false" customHeight="false" outlineLevel="0" collapsed="false">
      <c r="A2036" s="2" t="s">
        <v>126</v>
      </c>
      <c r="B2036" s="2" t="s">
        <v>126</v>
      </c>
      <c r="C2036" s="2" t="s">
        <v>49</v>
      </c>
      <c r="D2036" s="2" t="s">
        <v>10</v>
      </c>
      <c r="E2036" s="2" t="s">
        <v>76</v>
      </c>
      <c r="F2036" s="2" t="s">
        <v>1145</v>
      </c>
      <c r="G2036" s="14" t="n">
        <v>12.5</v>
      </c>
      <c r="H2036" s="14" t="n">
        <v>7.72</v>
      </c>
      <c r="I2036" s="14" t="n">
        <v>12.5</v>
      </c>
      <c r="J2036" s="22" t="n">
        <f aca="false">IF(E2036="Priority",'Cost model'!N381,'Cost model'!M381)</f>
        <v>14.5</v>
      </c>
      <c r="K2036" s="14" t="n">
        <f aca="false">J2036-H2036</f>
        <v>6.78</v>
      </c>
      <c r="L2036" s="14" t="n">
        <f aca="false">G2036-H2036</f>
        <v>4.78</v>
      </c>
    </row>
    <row r="2037" customFormat="false" ht="15" hidden="false" customHeight="false" outlineLevel="0" collapsed="false">
      <c r="A2037" s="2" t="s">
        <v>126</v>
      </c>
      <c r="B2037" s="2" t="s">
        <v>126</v>
      </c>
      <c r="C2037" s="2" t="s">
        <v>49</v>
      </c>
      <c r="D2037" s="2" t="s">
        <v>10</v>
      </c>
      <c r="E2037" s="2" t="s">
        <v>76</v>
      </c>
      <c r="F2037" s="2" t="s">
        <v>1145</v>
      </c>
      <c r="G2037" s="14" t="n">
        <v>12.5</v>
      </c>
      <c r="H2037" s="14" t="n">
        <v>14.08</v>
      </c>
      <c r="I2037" s="14" t="n">
        <v>12.5</v>
      </c>
      <c r="J2037" s="22" t="n">
        <f aca="false">IF(E2037="Priority",'Cost model'!N381,'Cost model'!M381)</f>
        <v>14.5</v>
      </c>
      <c r="K2037" s="14" t="n">
        <f aca="false">J2037-H2037</f>
        <v>0.42</v>
      </c>
      <c r="L2037" s="14" t="n">
        <f aca="false">G2037-H2037</f>
        <v>-1.58</v>
      </c>
    </row>
    <row r="2038" customFormat="false" ht="15" hidden="false" customHeight="false" outlineLevel="0" collapsed="false">
      <c r="A2038" s="2" t="s">
        <v>126</v>
      </c>
      <c r="B2038" s="2" t="s">
        <v>126</v>
      </c>
      <c r="C2038" s="2" t="s">
        <v>48</v>
      </c>
      <c r="D2038" s="2" t="s">
        <v>10</v>
      </c>
      <c r="E2038" s="2" t="s">
        <v>85</v>
      </c>
      <c r="F2038" s="2" t="s">
        <v>1145</v>
      </c>
      <c r="G2038" s="14" t="n">
        <v>14.5</v>
      </c>
      <c r="H2038" s="14" t="n">
        <v>7.45</v>
      </c>
      <c r="I2038" s="14" t="n">
        <v>14.5</v>
      </c>
      <c r="J2038" s="22" t="n">
        <f aca="false">IF(E2038="Priority",'Cost model'!N380,'Cost model'!M380)</f>
        <v>13.5</v>
      </c>
      <c r="K2038" s="14" t="n">
        <f aca="false">J2038-H2038</f>
        <v>6.05</v>
      </c>
      <c r="L2038" s="14" t="n">
        <f aca="false">G2038-H2038</f>
        <v>7.05</v>
      </c>
    </row>
    <row r="2039" customFormat="false" ht="15" hidden="false" customHeight="false" outlineLevel="0" collapsed="false">
      <c r="A2039" s="2" t="s">
        <v>184</v>
      </c>
      <c r="B2039" s="2" t="s">
        <v>126</v>
      </c>
      <c r="C2039" s="2" t="s">
        <v>48</v>
      </c>
      <c r="D2039" s="2" t="s">
        <v>10</v>
      </c>
      <c r="E2039" s="2" t="s">
        <v>76</v>
      </c>
      <c r="F2039" s="2" t="s">
        <v>1146</v>
      </c>
      <c r="G2039" s="14" t="n">
        <v>9.5</v>
      </c>
      <c r="H2039" s="14" t="n">
        <v>8.45</v>
      </c>
      <c r="I2039" s="14" t="n">
        <v>9.5</v>
      </c>
      <c r="J2039" s="22" t="n">
        <f aca="false">IF(E2039="Priority",'Cost model'!N128,'Cost model'!M128)</f>
        <v>10.5</v>
      </c>
      <c r="K2039" s="14" t="n">
        <f aca="false">J2039-H2039</f>
        <v>2.05</v>
      </c>
      <c r="L2039" s="14" t="n">
        <f aca="false">G2039-H2039</f>
        <v>1.05</v>
      </c>
    </row>
    <row r="2040" customFormat="false" ht="15" hidden="false" customHeight="false" outlineLevel="0" collapsed="false">
      <c r="A2040" s="2" t="s">
        <v>240</v>
      </c>
      <c r="B2040" s="2" t="s">
        <v>126</v>
      </c>
      <c r="C2040" s="2" t="s">
        <v>48</v>
      </c>
      <c r="D2040" s="2" t="s">
        <v>13</v>
      </c>
      <c r="E2040" s="2" t="s">
        <v>76</v>
      </c>
      <c r="F2040" s="2" t="s">
        <v>1146</v>
      </c>
      <c r="G2040" s="14" t="n">
        <v>19.5</v>
      </c>
      <c r="H2040" s="14" t="n">
        <v>177.54</v>
      </c>
      <c r="I2040" s="14" t="n">
        <v>45</v>
      </c>
      <c r="J2040" s="22" t="n">
        <f aca="false">IF(E2040="Priority",'Cost model'!N962,'Cost model'!M962)</f>
        <v>120</v>
      </c>
      <c r="K2040" s="14" t="n">
        <f aca="false">J2040-H2040</f>
        <v>-57.54</v>
      </c>
      <c r="L2040" s="14" t="n">
        <f aca="false">G2040-H2040</f>
        <v>-158.04</v>
      </c>
    </row>
    <row r="2041" customFormat="false" ht="15" hidden="false" customHeight="false" outlineLevel="0" collapsed="false">
      <c r="A2041" s="2" t="s">
        <v>184</v>
      </c>
      <c r="B2041" s="2" t="s">
        <v>184</v>
      </c>
      <c r="C2041" s="2" t="s">
        <v>50</v>
      </c>
      <c r="D2041" s="2" t="s">
        <v>10</v>
      </c>
      <c r="E2041" s="2" t="s">
        <v>76</v>
      </c>
      <c r="F2041" s="2" t="s">
        <v>1145</v>
      </c>
      <c r="G2041" s="14" t="n">
        <v>17.5</v>
      </c>
      <c r="H2041" s="14" t="n">
        <v>10.79</v>
      </c>
      <c r="I2041" s="14" t="n">
        <v>17.5</v>
      </c>
      <c r="J2041" s="22" t="n">
        <f aca="false">IF(E2041="Priority",'Cost model'!N202,'Cost model'!M202)</f>
        <v>17.5</v>
      </c>
      <c r="K2041" s="14" t="n">
        <f aca="false">J2041-H2041</f>
        <v>6.71</v>
      </c>
      <c r="L2041" s="14" t="n">
        <f aca="false">G2041-H2041</f>
        <v>6.71</v>
      </c>
    </row>
    <row r="2042" customFormat="false" ht="15" hidden="false" customHeight="false" outlineLevel="0" collapsed="false">
      <c r="A2042" s="2" t="s">
        <v>184</v>
      </c>
      <c r="B2042" s="2" t="s">
        <v>126</v>
      </c>
      <c r="C2042" s="2" t="s">
        <v>48</v>
      </c>
      <c r="D2042" s="2" t="s">
        <v>10</v>
      </c>
      <c r="E2042" s="2" t="s">
        <v>76</v>
      </c>
      <c r="F2042" s="2" t="s">
        <v>1146</v>
      </c>
      <c r="G2042" s="14" t="n">
        <v>9.5</v>
      </c>
      <c r="H2042" s="14" t="n">
        <v>6.24</v>
      </c>
      <c r="I2042" s="14" t="n">
        <v>9.5</v>
      </c>
      <c r="J2042" s="22" t="n">
        <f aca="false">IF(E2042="Priority",'Cost model'!N128,'Cost model'!M128)</f>
        <v>10.5</v>
      </c>
      <c r="K2042" s="14" t="n">
        <f aca="false">J2042-H2042</f>
        <v>4.26</v>
      </c>
      <c r="L2042" s="14" t="n">
        <f aca="false">G2042-H2042</f>
        <v>3.26</v>
      </c>
    </row>
    <row r="2043" customFormat="false" ht="15" hidden="false" customHeight="false" outlineLevel="0" collapsed="false">
      <c r="A2043" s="2" t="s">
        <v>126</v>
      </c>
      <c r="B2043" s="2" t="s">
        <v>126</v>
      </c>
      <c r="C2043" s="2" t="s">
        <v>49</v>
      </c>
      <c r="D2043" s="2" t="s">
        <v>10</v>
      </c>
      <c r="E2043" s="2" t="s">
        <v>76</v>
      </c>
      <c r="F2043" s="2" t="s">
        <v>1145</v>
      </c>
      <c r="G2043" s="14" t="n">
        <v>12.5</v>
      </c>
      <c r="H2043" s="14" t="n">
        <v>8.8</v>
      </c>
      <c r="I2043" s="14" t="n">
        <v>12.5</v>
      </c>
      <c r="J2043" s="22" t="n">
        <f aca="false">IF(E2043="Priority",'Cost model'!N381,'Cost model'!M381)</f>
        <v>14.5</v>
      </c>
      <c r="K2043" s="14" t="n">
        <f aca="false">J2043-H2043</f>
        <v>5.7</v>
      </c>
      <c r="L2043" s="14" t="n">
        <f aca="false">G2043-H2043</f>
        <v>3.7</v>
      </c>
    </row>
    <row r="2044" customFormat="false" ht="15" hidden="false" customHeight="false" outlineLevel="0" collapsed="false">
      <c r="A2044" s="2" t="s">
        <v>146</v>
      </c>
      <c r="B2044" s="2" t="s">
        <v>146</v>
      </c>
      <c r="C2044" s="2" t="s">
        <v>48</v>
      </c>
      <c r="D2044" s="2" t="s">
        <v>12</v>
      </c>
      <c r="E2044" s="2" t="s">
        <v>76</v>
      </c>
      <c r="F2044" s="2" t="s">
        <v>1145</v>
      </c>
      <c r="G2044" s="14" t="n">
        <v>9.5</v>
      </c>
      <c r="H2044" s="14" t="n">
        <v>42.61</v>
      </c>
      <c r="I2044" s="14" t="n">
        <v>9.5</v>
      </c>
      <c r="J2044" s="22" t="n">
        <f aca="false">IF(E2044="Priority",'Cost model'!N761,'Cost model'!M761)</f>
        <v>35</v>
      </c>
      <c r="K2044" s="14" t="n">
        <f aca="false">J2044-H2044</f>
        <v>-7.61</v>
      </c>
      <c r="L2044" s="14" t="n">
        <f aca="false">G2044-H2044</f>
        <v>-33.11</v>
      </c>
    </row>
    <row r="2045" customFormat="false" ht="15" hidden="false" customHeight="false" outlineLevel="0" collapsed="false">
      <c r="A2045" s="2" t="s">
        <v>184</v>
      </c>
      <c r="B2045" s="2" t="s">
        <v>126</v>
      </c>
      <c r="C2045" s="2" t="s">
        <v>49</v>
      </c>
      <c r="D2045" s="2" t="s">
        <v>10</v>
      </c>
      <c r="E2045" s="2" t="s">
        <v>76</v>
      </c>
      <c r="F2045" s="2" t="s">
        <v>1146</v>
      </c>
      <c r="G2045" s="14" t="n">
        <v>12.5</v>
      </c>
      <c r="H2045" s="14" t="n">
        <v>11.46</v>
      </c>
      <c r="I2045" s="14"/>
      <c r="J2045" s="22" t="n">
        <f aca="false">IF(E2045="Priority",'Cost model'!N129,'Cost model'!M129)</f>
        <v>13.5</v>
      </c>
      <c r="K2045" s="14" t="n">
        <f aca="false">J2045-H2045</f>
        <v>2.04</v>
      </c>
      <c r="L2045" s="14" t="n">
        <f aca="false">G2045-H2045</f>
        <v>1.04</v>
      </c>
    </row>
    <row r="2046" customFormat="false" ht="15" hidden="false" customHeight="false" outlineLevel="0" collapsed="false">
      <c r="A2046" s="2" t="s">
        <v>240</v>
      </c>
      <c r="B2046" s="2" t="s">
        <v>240</v>
      </c>
      <c r="C2046" s="2" t="s">
        <v>48</v>
      </c>
      <c r="D2046" s="2" t="s">
        <v>12</v>
      </c>
      <c r="E2046" s="2" t="s">
        <v>85</v>
      </c>
      <c r="F2046" s="2" t="s">
        <v>1145</v>
      </c>
      <c r="G2046" s="14" t="n">
        <v>19.5</v>
      </c>
      <c r="H2046" s="14" t="n">
        <v>9.71</v>
      </c>
      <c r="I2046" s="14" t="n">
        <v>19.5</v>
      </c>
      <c r="J2046" s="22" t="n">
        <f aca="false">IF(E2046="Priority",'Cost model'!N887,'Cost model'!M887)</f>
        <v>27.5</v>
      </c>
      <c r="K2046" s="14" t="n">
        <f aca="false">J2046-H2046</f>
        <v>17.79</v>
      </c>
      <c r="L2046" s="14" t="n">
        <f aca="false">G2046-H2046</f>
        <v>9.79</v>
      </c>
    </row>
    <row r="2047" customFormat="false" ht="15" hidden="false" customHeight="false" outlineLevel="0" collapsed="false">
      <c r="A2047" s="2" t="s">
        <v>184</v>
      </c>
      <c r="B2047" s="2" t="s">
        <v>184</v>
      </c>
      <c r="C2047" s="2" t="s">
        <v>49</v>
      </c>
      <c r="D2047" s="2" t="s">
        <v>12</v>
      </c>
      <c r="E2047" s="2" t="s">
        <v>76</v>
      </c>
      <c r="F2047" s="2" t="s">
        <v>1145</v>
      </c>
      <c r="G2047" s="14" t="n">
        <v>12.5</v>
      </c>
      <c r="H2047" s="14" t="n">
        <v>43.85</v>
      </c>
      <c r="I2047" s="14"/>
      <c r="J2047" s="22" t="n">
        <f aca="false">IF(E2047="Priority",'Cost model'!N204,'Cost model'!M204)</f>
        <v>45</v>
      </c>
      <c r="K2047" s="14" t="n">
        <f aca="false">J2047-H2047</f>
        <v>1.15</v>
      </c>
      <c r="L2047" s="14" t="n">
        <f aca="false">G2047-H2047</f>
        <v>-31.35</v>
      </c>
    </row>
    <row r="2048" customFormat="false" ht="15" hidden="false" customHeight="false" outlineLevel="0" collapsed="false">
      <c r="A2048" s="2" t="s">
        <v>126</v>
      </c>
      <c r="B2048" s="2" t="s">
        <v>126</v>
      </c>
      <c r="C2048" s="2" t="s">
        <v>49</v>
      </c>
      <c r="D2048" s="2" t="s">
        <v>12</v>
      </c>
      <c r="E2048" s="2" t="s">
        <v>76</v>
      </c>
      <c r="F2048" s="2" t="s">
        <v>1145</v>
      </c>
      <c r="G2048" s="14" t="n">
        <v>14.5</v>
      </c>
      <c r="H2048" s="14" t="n">
        <v>62.77</v>
      </c>
      <c r="I2048" s="14" t="n">
        <v>12.5</v>
      </c>
      <c r="J2048" s="22" t="n">
        <f aca="false">IF(E2048="Priority",'Cost model'!N384,'Cost model'!M384)</f>
        <v>45</v>
      </c>
      <c r="K2048" s="14" t="n">
        <f aca="false">J2048-H2048</f>
        <v>-17.77</v>
      </c>
      <c r="L2048" s="14" t="n">
        <f aca="false">G2048-H2048</f>
        <v>-48.27</v>
      </c>
    </row>
    <row r="2049" customFormat="false" ht="15" hidden="false" customHeight="false" outlineLevel="0" collapsed="false">
      <c r="A2049" s="2" t="s">
        <v>126</v>
      </c>
      <c r="B2049" s="2" t="s">
        <v>126</v>
      </c>
      <c r="C2049" s="2" t="s">
        <v>48</v>
      </c>
      <c r="D2049" s="2" t="s">
        <v>12</v>
      </c>
      <c r="E2049" s="2" t="s">
        <v>76</v>
      </c>
      <c r="F2049" s="2" t="s">
        <v>1145</v>
      </c>
      <c r="G2049" s="14" t="n">
        <v>9.5</v>
      </c>
      <c r="H2049" s="14" t="n">
        <v>27.49</v>
      </c>
      <c r="I2049" s="14" t="n">
        <v>9.5</v>
      </c>
      <c r="J2049" s="22" t="n">
        <f aca="false">IF(E2049="Priority",'Cost model'!N383,'Cost model'!M383)</f>
        <v>27.5</v>
      </c>
      <c r="K2049" s="14" t="n">
        <f aca="false">J2049-H2049</f>
        <v>0.0100000000000016</v>
      </c>
      <c r="L2049" s="14" t="n">
        <f aca="false">G2049-H2049</f>
        <v>-17.99</v>
      </c>
    </row>
    <row r="2050" customFormat="false" ht="15" hidden="false" customHeight="false" outlineLevel="0" collapsed="false">
      <c r="A2050" s="2" t="s">
        <v>165</v>
      </c>
      <c r="B2050" s="2" t="s">
        <v>165</v>
      </c>
      <c r="C2050" s="2" t="s">
        <v>50</v>
      </c>
      <c r="D2050" s="2" t="s">
        <v>12</v>
      </c>
      <c r="E2050" s="2" t="s">
        <v>76</v>
      </c>
      <c r="F2050" s="2" t="s">
        <v>1145</v>
      </c>
      <c r="G2050" s="14" t="n">
        <v>19.5</v>
      </c>
      <c r="H2050" s="14" t="n">
        <v>17.31</v>
      </c>
      <c r="I2050" s="14" t="n">
        <v>19.5</v>
      </c>
      <c r="J2050" s="22" t="n">
        <f aca="false">IF(E2050="Priority",'Cost model'!N511,'Cost model'!M511)</f>
        <v>35</v>
      </c>
      <c r="K2050" s="14" t="n">
        <f aca="false">J2050-H2050</f>
        <v>17.69</v>
      </c>
      <c r="L2050" s="14" t="n">
        <f aca="false">G2050-H2050</f>
        <v>2.19</v>
      </c>
    </row>
    <row r="2051" customFormat="false" ht="15" hidden="false" customHeight="false" outlineLevel="0" collapsed="false">
      <c r="A2051" s="2" t="s">
        <v>184</v>
      </c>
      <c r="B2051" s="2" t="s">
        <v>126</v>
      </c>
      <c r="C2051" s="2" t="s">
        <v>50</v>
      </c>
      <c r="D2051" s="2" t="s">
        <v>12</v>
      </c>
      <c r="E2051" s="2" t="s">
        <v>76</v>
      </c>
      <c r="F2051" s="2" t="s">
        <v>1146</v>
      </c>
      <c r="G2051" s="14" t="n">
        <v>19.5</v>
      </c>
      <c r="H2051" s="14" t="n">
        <v>73.32</v>
      </c>
      <c r="I2051" s="14" t="n">
        <v>19.5</v>
      </c>
      <c r="J2051" s="22" t="n">
        <f aca="false">IF(E2051="Priority",'Cost model'!N133,'Cost model'!M133)</f>
        <v>55</v>
      </c>
      <c r="K2051" s="14" t="n">
        <f aca="false">J2051-H2051</f>
        <v>-18.32</v>
      </c>
      <c r="L2051" s="14" t="n">
        <f aca="false">G2051-H2051</f>
        <v>-53.82</v>
      </c>
    </row>
    <row r="2052" customFormat="false" ht="15" hidden="false" customHeight="false" outlineLevel="0" collapsed="false">
      <c r="A2052" s="2" t="s">
        <v>126</v>
      </c>
      <c r="B2052" s="2" t="s">
        <v>126</v>
      </c>
      <c r="C2052" s="2" t="s">
        <v>50</v>
      </c>
      <c r="D2052" s="2" t="s">
        <v>10</v>
      </c>
      <c r="E2052" s="2" t="s">
        <v>85</v>
      </c>
      <c r="F2052" s="2" t="s">
        <v>1145</v>
      </c>
      <c r="G2052" s="14" t="n">
        <v>24.5</v>
      </c>
      <c r="H2052" s="14" t="n">
        <v>20.83</v>
      </c>
      <c r="I2052" s="14" t="n">
        <v>24.5</v>
      </c>
      <c r="J2052" s="22" t="n">
        <f aca="false">IF(E2052="Priority",'Cost model'!N382,'Cost model'!M382)</f>
        <v>25.5</v>
      </c>
      <c r="K2052" s="14" t="n">
        <f aca="false">J2052-H2052</f>
        <v>4.67</v>
      </c>
      <c r="L2052" s="14" t="n">
        <f aca="false">G2052-H2052</f>
        <v>3.67</v>
      </c>
    </row>
    <row r="2053" customFormat="false" ht="15" hidden="false" customHeight="false" outlineLevel="0" collapsed="false">
      <c r="A2053" s="2" t="s">
        <v>165</v>
      </c>
      <c r="B2053" s="2" t="s">
        <v>146</v>
      </c>
      <c r="C2053" s="2" t="s">
        <v>48</v>
      </c>
      <c r="D2053" s="2" t="s">
        <v>16</v>
      </c>
      <c r="E2053" s="2" t="s">
        <v>76</v>
      </c>
      <c r="F2053" s="2" t="s">
        <v>1146</v>
      </c>
      <c r="G2053" s="14" t="n">
        <v>45</v>
      </c>
      <c r="H2053" s="14" t="n">
        <v>173.79</v>
      </c>
      <c r="I2053" s="14" t="n">
        <v>250</v>
      </c>
      <c r="J2053" s="22" t="n">
        <f aca="false">IF(E2053="Priority",'Cost model'!N539,'Cost model'!M539)</f>
        <v>240</v>
      </c>
      <c r="K2053" s="14" t="n">
        <f aca="false">J2053-H2053</f>
        <v>66.21</v>
      </c>
      <c r="L2053" s="14" t="n">
        <f aca="false">G2053-H2053</f>
        <v>-128.79</v>
      </c>
    </row>
    <row r="2054" customFormat="false" ht="15" hidden="false" customHeight="false" outlineLevel="0" collapsed="false">
      <c r="A2054" s="2" t="s">
        <v>126</v>
      </c>
      <c r="B2054" s="2" t="s">
        <v>126</v>
      </c>
      <c r="C2054" s="2" t="s">
        <v>50</v>
      </c>
      <c r="D2054" s="2" t="s">
        <v>10</v>
      </c>
      <c r="E2054" s="2" t="s">
        <v>76</v>
      </c>
      <c r="F2054" s="2" t="s">
        <v>1145</v>
      </c>
      <c r="G2054" s="14" t="n">
        <v>17.5</v>
      </c>
      <c r="H2054" s="14" t="n">
        <v>21.6</v>
      </c>
      <c r="I2054" s="14" t="n">
        <v>17.5</v>
      </c>
      <c r="J2054" s="22" t="n">
        <f aca="false">IF(E2054="Priority",'Cost model'!N382,'Cost model'!M382)</f>
        <v>18.5</v>
      </c>
      <c r="K2054" s="14" t="n">
        <f aca="false">J2054-H2054</f>
        <v>-3.1</v>
      </c>
      <c r="L2054" s="14" t="n">
        <f aca="false">G2054-H2054</f>
        <v>-4.1</v>
      </c>
    </row>
    <row r="2055" customFormat="false" ht="15" hidden="false" customHeight="false" outlineLevel="0" collapsed="false">
      <c r="A2055" s="2" t="s">
        <v>240</v>
      </c>
      <c r="B2055" s="2" t="s">
        <v>240</v>
      </c>
      <c r="C2055" s="2" t="s">
        <v>48</v>
      </c>
      <c r="D2055" s="2" t="s">
        <v>12</v>
      </c>
      <c r="E2055" s="2" t="s">
        <v>85</v>
      </c>
      <c r="F2055" s="2" t="s">
        <v>1145</v>
      </c>
      <c r="G2055" s="14" t="n">
        <v>19.5</v>
      </c>
      <c r="H2055" s="14" t="n">
        <v>7.9</v>
      </c>
      <c r="I2055" s="14" t="n">
        <v>19.5</v>
      </c>
      <c r="J2055" s="22" t="n">
        <f aca="false">IF(E2055="Priority",'Cost model'!N887,'Cost model'!M887)</f>
        <v>27.5</v>
      </c>
      <c r="K2055" s="14" t="n">
        <f aca="false">J2055-H2055</f>
        <v>19.6</v>
      </c>
      <c r="L2055" s="14" t="n">
        <f aca="false">G2055-H2055</f>
        <v>11.6</v>
      </c>
    </row>
    <row r="2056" customFormat="false" ht="15" hidden="false" customHeight="false" outlineLevel="0" collapsed="false">
      <c r="A2056" s="2" t="s">
        <v>184</v>
      </c>
      <c r="B2056" s="2" t="s">
        <v>184</v>
      </c>
      <c r="C2056" s="2" t="s">
        <v>50</v>
      </c>
      <c r="D2056" s="2" t="s">
        <v>12</v>
      </c>
      <c r="E2056" s="2" t="s">
        <v>76</v>
      </c>
      <c r="F2056" s="2" t="s">
        <v>1145</v>
      </c>
      <c r="G2056" s="14" t="n">
        <v>19.5</v>
      </c>
      <c r="H2056" s="14" t="n">
        <v>49.21</v>
      </c>
      <c r="I2056" s="14" t="n">
        <v>19.5</v>
      </c>
      <c r="J2056" s="22" t="n">
        <f aca="false">IF(E2056="Priority",'Cost model'!N205,'Cost model'!M205)</f>
        <v>50</v>
      </c>
      <c r="K2056" s="14" t="n">
        <f aca="false">J2056-H2056</f>
        <v>0.789999999999999</v>
      </c>
      <c r="L2056" s="14" t="n">
        <f aca="false">G2056-H2056</f>
        <v>-29.71</v>
      </c>
    </row>
    <row r="2057" customFormat="false" ht="15" hidden="false" customHeight="false" outlineLevel="0" collapsed="false">
      <c r="A2057" s="2" t="s">
        <v>126</v>
      </c>
      <c r="B2057" s="2" t="s">
        <v>184</v>
      </c>
      <c r="C2057" s="2" t="s">
        <v>48</v>
      </c>
      <c r="D2057" s="2" t="s">
        <v>12</v>
      </c>
      <c r="E2057" s="2" t="s">
        <v>76</v>
      </c>
      <c r="F2057" s="2" t="s">
        <v>1146</v>
      </c>
      <c r="G2057" s="14" t="n">
        <v>19.5</v>
      </c>
      <c r="H2057" s="14" t="n">
        <v>51.87</v>
      </c>
      <c r="I2057" s="14" t="n">
        <v>19.5</v>
      </c>
      <c r="J2057" s="22" t="n">
        <f aca="false">IF(E2057="Priority",'Cost model'!N437,'Cost model'!M437)</f>
        <v>50</v>
      </c>
      <c r="K2057" s="14" t="n">
        <f aca="false">J2057-H2057</f>
        <v>-1.87</v>
      </c>
      <c r="L2057" s="14" t="n">
        <f aca="false">G2057-H2057</f>
        <v>-32.37</v>
      </c>
    </row>
    <row r="2058" customFormat="false" ht="15" hidden="false" customHeight="false" outlineLevel="0" collapsed="false">
      <c r="A2058" s="2" t="s">
        <v>126</v>
      </c>
      <c r="B2058" s="2" t="s">
        <v>126</v>
      </c>
      <c r="C2058" s="2" t="s">
        <v>49</v>
      </c>
      <c r="D2058" s="2" t="s">
        <v>12</v>
      </c>
      <c r="E2058" s="2" t="s">
        <v>76</v>
      </c>
      <c r="F2058" s="2" t="s">
        <v>1145</v>
      </c>
      <c r="G2058" s="14" t="n">
        <v>12.5</v>
      </c>
      <c r="H2058" s="14" t="n">
        <v>24.4</v>
      </c>
      <c r="I2058" s="14" t="n">
        <v>12.5</v>
      </c>
      <c r="J2058" s="22" t="n">
        <f aca="false">IF(E2058="Priority",'Cost model'!N384,'Cost model'!M384)</f>
        <v>45</v>
      </c>
      <c r="K2058" s="14" t="n">
        <f aca="false">J2058-H2058</f>
        <v>20.6</v>
      </c>
      <c r="L2058" s="14" t="n">
        <f aca="false">G2058-H2058</f>
        <v>-11.9</v>
      </c>
    </row>
    <row r="2059" customFormat="false" ht="15" hidden="false" customHeight="false" outlineLevel="0" collapsed="false">
      <c r="A2059" s="2" t="s">
        <v>126</v>
      </c>
      <c r="B2059" s="2" t="s">
        <v>126</v>
      </c>
      <c r="C2059" s="2" t="s">
        <v>49</v>
      </c>
      <c r="D2059" s="2" t="s">
        <v>10</v>
      </c>
      <c r="E2059" s="2" t="s">
        <v>76</v>
      </c>
      <c r="F2059" s="2" t="s">
        <v>1145</v>
      </c>
      <c r="G2059" s="14" t="n">
        <v>12.5</v>
      </c>
      <c r="H2059" s="14" t="n">
        <v>10.48</v>
      </c>
      <c r="I2059" s="14" t="n">
        <v>12.5</v>
      </c>
      <c r="J2059" s="22" t="n">
        <f aca="false">IF(E2059="Priority",'Cost model'!N381,'Cost model'!M381)</f>
        <v>14.5</v>
      </c>
      <c r="K2059" s="14" t="n">
        <f aca="false">J2059-H2059</f>
        <v>4.02</v>
      </c>
      <c r="L2059" s="14" t="n">
        <f aca="false">G2059-H2059</f>
        <v>2.02</v>
      </c>
    </row>
    <row r="2060" customFormat="false" ht="15" hidden="false" customHeight="false" outlineLevel="0" collapsed="false">
      <c r="A2060" s="2" t="s">
        <v>126</v>
      </c>
      <c r="B2060" s="2" t="s">
        <v>126</v>
      </c>
      <c r="C2060" s="2" t="s">
        <v>49</v>
      </c>
      <c r="D2060" s="2" t="s">
        <v>13</v>
      </c>
      <c r="E2060" s="2" t="s">
        <v>85</v>
      </c>
      <c r="F2060" s="2" t="s">
        <v>1145</v>
      </c>
      <c r="G2060" s="14" t="n">
        <v>45</v>
      </c>
      <c r="H2060" s="14" t="n">
        <v>97.33</v>
      </c>
      <c r="I2060" s="14" t="n">
        <v>45</v>
      </c>
      <c r="J2060" s="22" t="n">
        <f aca="false">IF(E2060="Priority",'Cost model'!N387,'Cost model'!M387)</f>
        <v>130</v>
      </c>
      <c r="K2060" s="14" t="n">
        <f aca="false">J2060-H2060</f>
        <v>32.67</v>
      </c>
      <c r="L2060" s="14" t="n">
        <f aca="false">G2060-H2060</f>
        <v>-52.33</v>
      </c>
    </row>
    <row r="2061" customFormat="false" ht="15" hidden="false" customHeight="false" outlineLevel="0" collapsed="false">
      <c r="A2061" s="2" t="s">
        <v>184</v>
      </c>
      <c r="B2061" s="2" t="s">
        <v>126</v>
      </c>
      <c r="C2061" s="2" t="s">
        <v>48</v>
      </c>
      <c r="D2061" s="2" t="s">
        <v>10</v>
      </c>
      <c r="E2061" s="2" t="s">
        <v>76</v>
      </c>
      <c r="F2061" s="2" t="s">
        <v>1146</v>
      </c>
      <c r="G2061" s="14" t="n">
        <v>9.5</v>
      </c>
      <c r="H2061" s="14" t="n">
        <v>7.37</v>
      </c>
      <c r="I2061" s="14" t="n">
        <v>9.5</v>
      </c>
      <c r="J2061" s="22" t="n">
        <f aca="false">IF(E2061="Priority",'Cost model'!N128,'Cost model'!M128)</f>
        <v>10.5</v>
      </c>
      <c r="K2061" s="14" t="n">
        <f aca="false">J2061-H2061</f>
        <v>3.13</v>
      </c>
      <c r="L2061" s="14" t="n">
        <f aca="false">G2061-H2061</f>
        <v>2.13</v>
      </c>
    </row>
    <row r="2062" customFormat="false" ht="15" hidden="false" customHeight="false" outlineLevel="0" collapsed="false">
      <c r="A2062" s="2" t="s">
        <v>184</v>
      </c>
      <c r="B2062" s="2" t="s">
        <v>184</v>
      </c>
      <c r="C2062" s="2" t="s">
        <v>50</v>
      </c>
      <c r="D2062" s="2" t="s">
        <v>12</v>
      </c>
      <c r="E2062" s="2" t="s">
        <v>76</v>
      </c>
      <c r="F2062" s="2" t="s">
        <v>1145</v>
      </c>
      <c r="G2062" s="14" t="n">
        <v>19.5</v>
      </c>
      <c r="H2062" s="14" t="n">
        <v>51.01</v>
      </c>
      <c r="I2062" s="14" t="n">
        <v>19.5</v>
      </c>
      <c r="J2062" s="22" t="n">
        <f aca="false">IF(E2062="Priority",'Cost model'!N205,'Cost model'!M205)</f>
        <v>50</v>
      </c>
      <c r="K2062" s="14" t="n">
        <f aca="false">J2062-H2062</f>
        <v>-1.01</v>
      </c>
      <c r="L2062" s="14" t="n">
        <f aca="false">G2062-H2062</f>
        <v>-31.51</v>
      </c>
    </row>
    <row r="2063" customFormat="false" ht="15" hidden="false" customHeight="false" outlineLevel="0" collapsed="false">
      <c r="A2063" s="2" t="s">
        <v>126</v>
      </c>
      <c r="B2063" s="2" t="s">
        <v>126</v>
      </c>
      <c r="C2063" s="2" t="s">
        <v>48</v>
      </c>
      <c r="D2063" s="2" t="s">
        <v>13</v>
      </c>
      <c r="E2063" s="2" t="s">
        <v>76</v>
      </c>
      <c r="F2063" s="2" t="s">
        <v>1145</v>
      </c>
      <c r="G2063" s="14" t="n">
        <v>19</v>
      </c>
      <c r="H2063" s="14" t="n">
        <v>30.06</v>
      </c>
      <c r="I2063" s="14" t="n">
        <v>19</v>
      </c>
      <c r="J2063" s="22" t="n">
        <f aca="false">IF(E2063="Priority",'Cost model'!N386,'Cost model'!M386)</f>
        <v>55</v>
      </c>
      <c r="K2063" s="14" t="n">
        <f aca="false">J2063-H2063</f>
        <v>24.94</v>
      </c>
      <c r="L2063" s="14" t="n">
        <f aca="false">G2063-H2063</f>
        <v>-11.06</v>
      </c>
    </row>
    <row r="2064" customFormat="false" ht="15" hidden="false" customHeight="false" outlineLevel="0" collapsed="false">
      <c r="A2064" s="2" t="s">
        <v>184</v>
      </c>
      <c r="B2064" s="2" t="s">
        <v>184</v>
      </c>
      <c r="C2064" s="2" t="s">
        <v>49</v>
      </c>
      <c r="D2064" s="2" t="s">
        <v>12</v>
      </c>
      <c r="E2064" s="2" t="s">
        <v>76</v>
      </c>
      <c r="F2064" s="2" t="s">
        <v>1145</v>
      </c>
      <c r="G2064" s="14" t="n">
        <v>12.5</v>
      </c>
      <c r="H2064" s="14" t="n">
        <v>41.77</v>
      </c>
      <c r="I2064" s="14"/>
      <c r="J2064" s="22" t="n">
        <f aca="false">IF(E2064="Priority",'Cost model'!N204,'Cost model'!M204)</f>
        <v>45</v>
      </c>
      <c r="K2064" s="14" t="n">
        <f aca="false">J2064-H2064</f>
        <v>3.23</v>
      </c>
      <c r="L2064" s="14" t="n">
        <f aca="false">G2064-H2064</f>
        <v>-29.27</v>
      </c>
    </row>
    <row r="2065" customFormat="false" ht="15" hidden="false" customHeight="false" outlineLevel="0" collapsed="false">
      <c r="A2065" s="2" t="s">
        <v>184</v>
      </c>
      <c r="B2065" s="2" t="s">
        <v>184</v>
      </c>
      <c r="C2065" s="2" t="s">
        <v>49</v>
      </c>
      <c r="D2065" s="2" t="s">
        <v>12</v>
      </c>
      <c r="E2065" s="2" t="s">
        <v>76</v>
      </c>
      <c r="F2065" s="2" t="s">
        <v>1145</v>
      </c>
      <c r="G2065" s="14" t="n">
        <v>19.5</v>
      </c>
      <c r="H2065" s="14" t="n">
        <v>42.23</v>
      </c>
      <c r="I2065" s="14"/>
      <c r="J2065" s="22" t="n">
        <f aca="false">IF(E2065="Priority",'Cost model'!N204,'Cost model'!M204)</f>
        <v>45</v>
      </c>
      <c r="K2065" s="14" t="n">
        <f aca="false">J2065-H2065</f>
        <v>2.77</v>
      </c>
      <c r="L2065" s="14" t="n">
        <f aca="false">G2065-H2065</f>
        <v>-22.73</v>
      </c>
    </row>
    <row r="2066" customFormat="false" ht="15" hidden="false" customHeight="false" outlineLevel="0" collapsed="false">
      <c r="A2066" s="2" t="s">
        <v>240</v>
      </c>
      <c r="B2066" s="2" t="s">
        <v>240</v>
      </c>
      <c r="C2066" s="2" t="s">
        <v>48</v>
      </c>
      <c r="D2066" s="2" t="s">
        <v>10</v>
      </c>
      <c r="E2066" s="2" t="s">
        <v>85</v>
      </c>
      <c r="F2066" s="2" t="s">
        <v>1145</v>
      </c>
      <c r="G2066" s="14" t="n">
        <v>14.5</v>
      </c>
      <c r="H2066" s="14" t="n">
        <v>11.25</v>
      </c>
      <c r="I2066" s="14" t="n">
        <v>14.5</v>
      </c>
      <c r="J2066" s="22" t="n">
        <f aca="false">IF(E2066="Priority",'Cost model'!N884,'Cost model'!M884)</f>
        <v>12.5</v>
      </c>
      <c r="K2066" s="14" t="n">
        <f aca="false">J2066-H2066</f>
        <v>1.25</v>
      </c>
      <c r="L2066" s="14" t="n">
        <f aca="false">G2066-H2066</f>
        <v>3.25</v>
      </c>
    </row>
    <row r="2067" customFormat="false" ht="15" hidden="false" customHeight="false" outlineLevel="0" collapsed="false">
      <c r="A2067" s="2" t="s">
        <v>146</v>
      </c>
      <c r="B2067" s="2" t="s">
        <v>146</v>
      </c>
      <c r="C2067" s="2" t="s">
        <v>49</v>
      </c>
      <c r="D2067" s="2" t="s">
        <v>12</v>
      </c>
      <c r="E2067" s="2" t="s">
        <v>76</v>
      </c>
      <c r="F2067" s="2" t="s">
        <v>1145</v>
      </c>
      <c r="G2067" s="14" t="n">
        <v>12.5</v>
      </c>
      <c r="H2067" s="14" t="n">
        <v>56.53</v>
      </c>
      <c r="I2067" s="14" t="n">
        <v>12.5</v>
      </c>
      <c r="J2067" s="22" t="n">
        <f aca="false">IF(E2067="Priority",'Cost model'!N762,'Cost model'!M762)</f>
        <v>45</v>
      </c>
      <c r="K2067" s="14" t="n">
        <f aca="false">J2067-H2067</f>
        <v>-11.53</v>
      </c>
      <c r="L2067" s="14" t="n">
        <f aca="false">G2067-H2067</f>
        <v>-44.03</v>
      </c>
    </row>
    <row r="2068" customFormat="false" ht="15" hidden="false" customHeight="false" outlineLevel="0" collapsed="false">
      <c r="A2068" s="2" t="s">
        <v>146</v>
      </c>
      <c r="B2068" s="2" t="s">
        <v>146</v>
      </c>
      <c r="C2068" s="2" t="s">
        <v>50</v>
      </c>
      <c r="D2068" s="2" t="s">
        <v>10</v>
      </c>
      <c r="E2068" s="2" t="s">
        <v>76</v>
      </c>
      <c r="F2068" s="2" t="s">
        <v>1145</v>
      </c>
      <c r="G2068" s="14" t="n">
        <v>17.5</v>
      </c>
      <c r="H2068" s="14" t="n">
        <v>21.76</v>
      </c>
      <c r="I2068" s="14" t="n">
        <v>17.5</v>
      </c>
      <c r="J2068" s="22" t="n">
        <f aca="false">IF(E2068="Priority",'Cost model'!N760,'Cost model'!M760)</f>
        <v>18.5</v>
      </c>
      <c r="K2068" s="14" t="n">
        <f aca="false">J2068-H2068</f>
        <v>-3.26</v>
      </c>
      <c r="L2068" s="14" t="n">
        <f aca="false">G2068-H2068</f>
        <v>-4.26</v>
      </c>
    </row>
    <row r="2069" customFormat="false" ht="15" hidden="false" customHeight="false" outlineLevel="0" collapsed="false">
      <c r="A2069" s="2" t="s">
        <v>146</v>
      </c>
      <c r="B2069" s="2" t="s">
        <v>146</v>
      </c>
      <c r="C2069" s="2" t="s">
        <v>48</v>
      </c>
      <c r="D2069" s="2" t="s">
        <v>10</v>
      </c>
      <c r="E2069" s="2" t="s">
        <v>76</v>
      </c>
      <c r="F2069" s="2" t="s">
        <v>1145</v>
      </c>
      <c r="G2069" s="14" t="n">
        <v>9.5</v>
      </c>
      <c r="H2069" s="14" t="n">
        <v>7.47</v>
      </c>
      <c r="I2069" s="14" t="n">
        <v>9.5</v>
      </c>
      <c r="J2069" s="22" t="n">
        <f aca="false">IF(E2069="Priority",'Cost model'!N758,'Cost model'!M758)</f>
        <v>9.5</v>
      </c>
      <c r="K2069" s="14" t="n">
        <f aca="false">J2069-H2069</f>
        <v>2.03</v>
      </c>
      <c r="L2069" s="14" t="n">
        <f aca="false">G2069-H2069</f>
        <v>2.03</v>
      </c>
    </row>
    <row r="2070" customFormat="false" ht="15" hidden="false" customHeight="false" outlineLevel="0" collapsed="false">
      <c r="A2070" s="2" t="s">
        <v>240</v>
      </c>
      <c r="B2070" s="2" t="s">
        <v>240</v>
      </c>
      <c r="C2070" s="2" t="s">
        <v>50</v>
      </c>
      <c r="D2070" s="2" t="s">
        <v>10</v>
      </c>
      <c r="E2070" s="2" t="s">
        <v>76</v>
      </c>
      <c r="F2070" s="2" t="s">
        <v>1145</v>
      </c>
      <c r="G2070" s="14" t="n">
        <v>17.5</v>
      </c>
      <c r="H2070" s="14" t="n">
        <v>11.03</v>
      </c>
      <c r="I2070" s="14" t="n">
        <v>17.5</v>
      </c>
      <c r="J2070" s="22" t="n">
        <f aca="false">IF(E2070="Priority",'Cost model'!N886,'Cost model'!M886)</f>
        <v>17.5</v>
      </c>
      <c r="K2070" s="14" t="n">
        <f aca="false">J2070-H2070</f>
        <v>6.47</v>
      </c>
      <c r="L2070" s="14" t="n">
        <f aca="false">G2070-H2070</f>
        <v>6.47</v>
      </c>
    </row>
    <row r="2071" customFormat="false" ht="15" hidden="false" customHeight="false" outlineLevel="0" collapsed="false">
      <c r="A2071" s="2" t="s">
        <v>126</v>
      </c>
      <c r="B2071" s="2" t="s">
        <v>126</v>
      </c>
      <c r="C2071" s="2" t="s">
        <v>49</v>
      </c>
      <c r="D2071" s="2" t="s">
        <v>12</v>
      </c>
      <c r="E2071" s="2" t="s">
        <v>76</v>
      </c>
      <c r="F2071" s="2" t="s">
        <v>1145</v>
      </c>
      <c r="G2071" s="14" t="n">
        <v>12.5</v>
      </c>
      <c r="H2071" s="14" t="n">
        <v>51.15</v>
      </c>
      <c r="I2071" s="14" t="n">
        <v>12.5</v>
      </c>
      <c r="J2071" s="22" t="n">
        <f aca="false">IF(E2071="Priority",'Cost model'!N384,'Cost model'!M384)</f>
        <v>45</v>
      </c>
      <c r="K2071" s="14" t="n">
        <f aca="false">J2071-H2071</f>
        <v>-6.15</v>
      </c>
      <c r="L2071" s="14" t="n">
        <f aca="false">G2071-H2071</f>
        <v>-38.65</v>
      </c>
    </row>
    <row r="2072" customFormat="false" ht="15" hidden="false" customHeight="false" outlineLevel="0" collapsed="false">
      <c r="A2072" s="2" t="s">
        <v>126</v>
      </c>
      <c r="B2072" s="2" t="s">
        <v>126</v>
      </c>
      <c r="C2072" s="2" t="s">
        <v>48</v>
      </c>
      <c r="D2072" s="2" t="s">
        <v>12</v>
      </c>
      <c r="E2072" s="2" t="s">
        <v>85</v>
      </c>
      <c r="F2072" s="2" t="s">
        <v>1145</v>
      </c>
      <c r="G2072" s="14" t="n">
        <v>19.5</v>
      </c>
      <c r="H2072" s="14" t="n">
        <v>58.01</v>
      </c>
      <c r="I2072" s="14" t="n">
        <v>19.5</v>
      </c>
      <c r="J2072" s="22" t="n">
        <f aca="false">IF(E2072="Priority",'Cost model'!N383,'Cost model'!M383)</f>
        <v>35</v>
      </c>
      <c r="K2072" s="14" t="n">
        <f aca="false">J2072-H2072</f>
        <v>-23.01</v>
      </c>
      <c r="L2072" s="14" t="n">
        <f aca="false">G2072-H2072</f>
        <v>-38.51</v>
      </c>
    </row>
    <row r="2073" customFormat="false" ht="15" hidden="false" customHeight="false" outlineLevel="0" collapsed="false">
      <c r="A2073" s="2" t="s">
        <v>184</v>
      </c>
      <c r="B2073" s="2" t="s">
        <v>184</v>
      </c>
      <c r="C2073" s="2" t="s">
        <v>50</v>
      </c>
      <c r="D2073" s="2" t="s">
        <v>10</v>
      </c>
      <c r="E2073" s="2" t="s">
        <v>85</v>
      </c>
      <c r="F2073" s="2" t="s">
        <v>1145</v>
      </c>
      <c r="G2073" s="14" t="n">
        <v>24.5</v>
      </c>
      <c r="H2073" s="14" t="n">
        <v>23.58</v>
      </c>
      <c r="I2073" s="14" t="n">
        <v>24.5</v>
      </c>
      <c r="J2073" s="22" t="n">
        <f aca="false">IF(E2073="Priority",'Cost model'!N202,'Cost model'!M202)</f>
        <v>23.5</v>
      </c>
      <c r="K2073" s="14" t="n">
        <f aca="false">J2073-H2073</f>
        <v>-0.0799999999999983</v>
      </c>
      <c r="L2073" s="14" t="n">
        <f aca="false">G2073-H2073</f>
        <v>0.920000000000002</v>
      </c>
    </row>
    <row r="2074" customFormat="false" ht="15" hidden="false" customHeight="false" outlineLevel="0" collapsed="false">
      <c r="A2074" s="2" t="s">
        <v>126</v>
      </c>
      <c r="B2074" s="2" t="s">
        <v>184</v>
      </c>
      <c r="C2074" s="2" t="s">
        <v>49</v>
      </c>
      <c r="D2074" s="2" t="s">
        <v>12</v>
      </c>
      <c r="E2074" s="2" t="s">
        <v>76</v>
      </c>
      <c r="F2074" s="2" t="s">
        <v>1146</v>
      </c>
      <c r="G2074" s="14" t="n">
        <v>12.5</v>
      </c>
      <c r="H2074" s="14" t="n">
        <v>89.18</v>
      </c>
      <c r="I2074" s="14" t="n">
        <v>19.5</v>
      </c>
      <c r="J2074" s="22" t="n">
        <f aca="false">IF(E2074="Priority",'Cost model'!N438,'Cost model'!M438)</f>
        <v>55</v>
      </c>
      <c r="K2074" s="14" t="n">
        <f aca="false">J2074-H2074</f>
        <v>-34.18</v>
      </c>
      <c r="L2074" s="14" t="n">
        <f aca="false">G2074-H2074</f>
        <v>-76.68</v>
      </c>
    </row>
    <row r="2075" customFormat="false" ht="15" hidden="false" customHeight="false" outlineLevel="0" collapsed="false">
      <c r="A2075" s="2" t="s">
        <v>125</v>
      </c>
      <c r="B2075" s="2" t="s">
        <v>125</v>
      </c>
      <c r="C2075" s="2" t="s">
        <v>48</v>
      </c>
      <c r="D2075" s="2" t="s">
        <v>10</v>
      </c>
      <c r="E2075" s="2" t="s">
        <v>76</v>
      </c>
      <c r="F2075" s="2" t="s">
        <v>1145</v>
      </c>
      <c r="G2075" s="14" t="n">
        <v>9.5</v>
      </c>
      <c r="H2075" s="14" t="n">
        <v>20.83</v>
      </c>
      <c r="I2075" s="14" t="n">
        <v>9.5</v>
      </c>
      <c r="J2075" s="22" t="n">
        <f aca="false">IF(E2075="Priority",'Cost model'!N74,'Cost model'!M74)</f>
        <v>21.5</v>
      </c>
      <c r="K2075" s="14" t="n">
        <f aca="false">J2075-H2075</f>
        <v>0.670000000000002</v>
      </c>
      <c r="L2075" s="14" t="n">
        <f aca="false">G2075-H2075</f>
        <v>-11.33</v>
      </c>
    </row>
    <row r="2076" customFormat="false" ht="15" hidden="false" customHeight="false" outlineLevel="0" collapsed="false">
      <c r="A2076" s="2" t="s">
        <v>240</v>
      </c>
      <c r="B2076" s="2" t="s">
        <v>165</v>
      </c>
      <c r="C2076" s="2" t="s">
        <v>48</v>
      </c>
      <c r="D2076" s="2" t="s">
        <v>10</v>
      </c>
      <c r="E2076" s="2" t="s">
        <v>76</v>
      </c>
      <c r="F2076" s="2" t="s">
        <v>1146</v>
      </c>
      <c r="G2076" s="14" t="n">
        <v>14.5</v>
      </c>
      <c r="H2076" s="14" t="n">
        <v>16.58</v>
      </c>
      <c r="I2076" s="14" t="n">
        <v>14.5</v>
      </c>
      <c r="J2076" s="22" t="n">
        <f aca="false">IF(E2076="Priority",'Cost model'!N902,'Cost model'!M902)</f>
        <v>13.5</v>
      </c>
      <c r="K2076" s="14" t="n">
        <f aca="false">J2076-H2076</f>
        <v>-3.08</v>
      </c>
      <c r="L2076" s="14" t="n">
        <f aca="false">G2076-H2076</f>
        <v>-2.08</v>
      </c>
    </row>
    <row r="2077" customFormat="false" ht="15" hidden="false" customHeight="false" outlineLevel="0" collapsed="false">
      <c r="A2077" s="2" t="s">
        <v>184</v>
      </c>
      <c r="B2077" s="2" t="s">
        <v>184</v>
      </c>
      <c r="C2077" s="2" t="s">
        <v>49</v>
      </c>
      <c r="D2077" s="2" t="s">
        <v>10</v>
      </c>
      <c r="E2077" s="2" t="s">
        <v>76</v>
      </c>
      <c r="F2077" s="2" t="s">
        <v>1145</v>
      </c>
      <c r="G2077" s="14" t="n">
        <v>12.5</v>
      </c>
      <c r="H2077" s="14" t="n">
        <v>16.01</v>
      </c>
      <c r="I2077" s="14"/>
      <c r="J2077" s="22" t="n">
        <f aca="false">IF(E2077="Priority",'Cost model'!N201,'Cost model'!M201)</f>
        <v>12.5</v>
      </c>
      <c r="K2077" s="14" t="n">
        <f aca="false">J2077-H2077</f>
        <v>-3.51</v>
      </c>
      <c r="L2077" s="14" t="n">
        <f aca="false">G2077-H2077</f>
        <v>-3.51</v>
      </c>
    </row>
    <row r="2078" customFormat="false" ht="15" hidden="false" customHeight="false" outlineLevel="0" collapsed="false">
      <c r="A2078" s="2" t="s">
        <v>184</v>
      </c>
      <c r="B2078" s="2" t="s">
        <v>184</v>
      </c>
      <c r="C2078" s="2" t="s">
        <v>49</v>
      </c>
      <c r="D2078" s="2" t="s">
        <v>12</v>
      </c>
      <c r="E2078" s="2" t="s">
        <v>76</v>
      </c>
      <c r="F2078" s="2" t="s">
        <v>1145</v>
      </c>
      <c r="G2078" s="14" t="n">
        <v>24.5</v>
      </c>
      <c r="H2078" s="14" t="n">
        <v>70.65</v>
      </c>
      <c r="I2078" s="14"/>
      <c r="J2078" s="22" t="n">
        <f aca="false">IF(E2078="Priority",'Cost model'!N204,'Cost model'!M204)</f>
        <v>45</v>
      </c>
      <c r="K2078" s="14" t="n">
        <f aca="false">J2078-H2078</f>
        <v>-25.65</v>
      </c>
      <c r="L2078" s="14" t="n">
        <f aca="false">G2078-H2078</f>
        <v>-46.15</v>
      </c>
    </row>
    <row r="2079" customFormat="false" ht="15" hidden="false" customHeight="false" outlineLevel="0" collapsed="false">
      <c r="A2079" s="2" t="s">
        <v>221</v>
      </c>
      <c r="B2079" s="2" t="s">
        <v>146</v>
      </c>
      <c r="C2079" s="2" t="s">
        <v>48</v>
      </c>
      <c r="D2079" s="2" t="s">
        <v>10</v>
      </c>
      <c r="E2079" s="2" t="s">
        <v>76</v>
      </c>
      <c r="F2079" s="2" t="s">
        <v>1146</v>
      </c>
      <c r="G2079" s="14" t="n">
        <v>14.5</v>
      </c>
      <c r="H2079" s="14" t="n">
        <v>14.84</v>
      </c>
      <c r="I2079" s="14" t="n">
        <v>14.5</v>
      </c>
      <c r="J2079" s="22" t="n">
        <f aca="false">IF(E2079="Priority",'Cost model'!N650,'Cost model'!M650)</f>
        <v>16.5</v>
      </c>
      <c r="K2079" s="14" t="n">
        <f aca="false">J2079-H2079</f>
        <v>1.66</v>
      </c>
      <c r="L2079" s="14" t="n">
        <f aca="false">G2079-H2079</f>
        <v>-0.34</v>
      </c>
    </row>
    <row r="2080" customFormat="false" ht="15" hidden="false" customHeight="false" outlineLevel="0" collapsed="false">
      <c r="A2080" s="2" t="s">
        <v>146</v>
      </c>
      <c r="B2080" s="2" t="s">
        <v>146</v>
      </c>
      <c r="C2080" s="2" t="s">
        <v>49</v>
      </c>
      <c r="D2080" s="2" t="s">
        <v>10</v>
      </c>
      <c r="E2080" s="2" t="s">
        <v>76</v>
      </c>
      <c r="F2080" s="2" t="s">
        <v>1145</v>
      </c>
      <c r="G2080" s="14" t="n">
        <v>12.5</v>
      </c>
      <c r="H2080" s="14" t="n">
        <v>6.8</v>
      </c>
      <c r="I2080" s="14" t="n">
        <v>12.5</v>
      </c>
      <c r="J2080" s="22" t="n">
        <f aca="false">IF(E2080="Priority",'Cost model'!N759,'Cost model'!M759)</f>
        <v>15.5</v>
      </c>
      <c r="K2080" s="14" t="n">
        <f aca="false">J2080-H2080</f>
        <v>8.7</v>
      </c>
      <c r="L2080" s="14" t="n">
        <f aca="false">G2080-H2080</f>
        <v>5.7</v>
      </c>
    </row>
    <row r="2081" customFormat="false" ht="15" hidden="false" customHeight="false" outlineLevel="0" collapsed="false">
      <c r="A2081" s="2" t="s">
        <v>184</v>
      </c>
      <c r="B2081" s="2" t="s">
        <v>184</v>
      </c>
      <c r="C2081" s="2" t="s">
        <v>48</v>
      </c>
      <c r="D2081" s="2" t="s">
        <v>12</v>
      </c>
      <c r="E2081" s="2" t="s">
        <v>76</v>
      </c>
      <c r="F2081" s="2" t="s">
        <v>1145</v>
      </c>
      <c r="G2081" s="14" t="n">
        <v>9.5</v>
      </c>
      <c r="H2081" s="14" t="n">
        <v>31.54</v>
      </c>
      <c r="I2081" s="14" t="n">
        <v>9.5</v>
      </c>
      <c r="J2081" s="22" t="n">
        <f aca="false">IF(E2081="Priority",'Cost model'!N203,'Cost model'!M203)</f>
        <v>26.5</v>
      </c>
      <c r="K2081" s="14" t="n">
        <f aca="false">J2081-H2081</f>
        <v>-5.04</v>
      </c>
      <c r="L2081" s="14" t="n">
        <f aca="false">G2081-H2081</f>
        <v>-22.04</v>
      </c>
    </row>
    <row r="2082" customFormat="false" ht="15" hidden="false" customHeight="false" outlineLevel="0" collapsed="false">
      <c r="A2082" s="2" t="s">
        <v>126</v>
      </c>
      <c r="B2082" s="2" t="s">
        <v>126</v>
      </c>
      <c r="C2082" s="2" t="s">
        <v>49</v>
      </c>
      <c r="D2082" s="2" t="s">
        <v>10</v>
      </c>
      <c r="E2082" s="2" t="s">
        <v>76</v>
      </c>
      <c r="F2082" s="2" t="s">
        <v>1145</v>
      </c>
      <c r="G2082" s="14" t="n">
        <v>14.5</v>
      </c>
      <c r="H2082" s="14" t="n">
        <v>17.31</v>
      </c>
      <c r="I2082" s="14" t="n">
        <v>12.5</v>
      </c>
      <c r="J2082" s="22" t="n">
        <f aca="false">IF(E2082="Priority",'Cost model'!N381,'Cost model'!M381)</f>
        <v>14.5</v>
      </c>
      <c r="K2082" s="14" t="n">
        <f aca="false">J2082-H2082</f>
        <v>-2.81</v>
      </c>
      <c r="L2082" s="14" t="n">
        <f aca="false">G2082-H2082</f>
        <v>-2.81</v>
      </c>
    </row>
    <row r="2083" customFormat="false" ht="15" hidden="false" customHeight="false" outlineLevel="0" collapsed="false">
      <c r="A2083" s="2" t="s">
        <v>184</v>
      </c>
      <c r="B2083" s="2" t="s">
        <v>184</v>
      </c>
      <c r="C2083" s="2" t="s">
        <v>49</v>
      </c>
      <c r="D2083" s="2" t="s">
        <v>10</v>
      </c>
      <c r="E2083" s="2" t="s">
        <v>76</v>
      </c>
      <c r="F2083" s="2" t="s">
        <v>1145</v>
      </c>
      <c r="G2083" s="14" t="n">
        <v>12.5</v>
      </c>
      <c r="H2083" s="14" t="n">
        <v>11.94</v>
      </c>
      <c r="I2083" s="14"/>
      <c r="J2083" s="22" t="n">
        <f aca="false">IF(E2083="Priority",'Cost model'!N201,'Cost model'!M201)</f>
        <v>12.5</v>
      </c>
      <c r="K2083" s="14" t="n">
        <f aca="false">J2083-H2083</f>
        <v>0.560000000000001</v>
      </c>
      <c r="L2083" s="14" t="n">
        <f aca="false">G2083-H2083</f>
        <v>0.560000000000001</v>
      </c>
    </row>
    <row r="2084" customFormat="false" ht="15" hidden="false" customHeight="false" outlineLevel="0" collapsed="false">
      <c r="A2084" s="2" t="s">
        <v>126</v>
      </c>
      <c r="B2084" s="2" t="s">
        <v>126</v>
      </c>
      <c r="C2084" s="2" t="s">
        <v>48</v>
      </c>
      <c r="D2084" s="2" t="s">
        <v>10</v>
      </c>
      <c r="E2084" s="2" t="s">
        <v>76</v>
      </c>
      <c r="F2084" s="2" t="s">
        <v>1145</v>
      </c>
      <c r="G2084" s="14" t="n">
        <v>9.5</v>
      </c>
      <c r="H2084" s="14" t="n">
        <v>7.45</v>
      </c>
      <c r="I2084" s="14" t="n">
        <v>9.5</v>
      </c>
      <c r="J2084" s="22" t="n">
        <f aca="false">IF(E2084="Priority",'Cost model'!N380,'Cost model'!M380)</f>
        <v>8.5</v>
      </c>
      <c r="K2084" s="14" t="n">
        <f aca="false">J2084-H2084</f>
        <v>1.05</v>
      </c>
      <c r="L2084" s="14" t="n">
        <f aca="false">G2084-H2084</f>
        <v>2.05</v>
      </c>
    </row>
    <row r="2085" customFormat="false" ht="15" hidden="false" customHeight="false" outlineLevel="0" collapsed="false">
      <c r="A2085" s="2" t="s">
        <v>126</v>
      </c>
      <c r="B2085" s="2" t="s">
        <v>126</v>
      </c>
      <c r="C2085" s="2" t="s">
        <v>48</v>
      </c>
      <c r="D2085" s="2" t="s">
        <v>12</v>
      </c>
      <c r="E2085" s="2" t="s">
        <v>76</v>
      </c>
      <c r="F2085" s="2" t="s">
        <v>1145</v>
      </c>
      <c r="G2085" s="14" t="n">
        <v>9.5</v>
      </c>
      <c r="H2085" s="14" t="n">
        <v>7.72</v>
      </c>
      <c r="I2085" s="14" t="n">
        <v>9.5</v>
      </c>
      <c r="J2085" s="22" t="n">
        <f aca="false">IF(E2085="Priority",'Cost model'!N383,'Cost model'!M383)</f>
        <v>27.5</v>
      </c>
      <c r="K2085" s="14" t="n">
        <f aca="false">J2085-H2085</f>
        <v>19.78</v>
      </c>
      <c r="L2085" s="14" t="n">
        <f aca="false">G2085-H2085</f>
        <v>1.78</v>
      </c>
    </row>
    <row r="2086" customFormat="false" ht="15" hidden="false" customHeight="false" outlineLevel="0" collapsed="false">
      <c r="A2086" s="2" t="s">
        <v>184</v>
      </c>
      <c r="B2086" s="2" t="s">
        <v>146</v>
      </c>
      <c r="C2086" s="2" t="s">
        <v>49</v>
      </c>
      <c r="D2086" s="2" t="s">
        <v>12</v>
      </c>
      <c r="E2086" s="2" t="s">
        <v>76</v>
      </c>
      <c r="F2086" s="2" t="s">
        <v>1146</v>
      </c>
      <c r="G2086" s="14" t="n">
        <v>19.5</v>
      </c>
      <c r="H2086" s="14" t="n">
        <v>42.23</v>
      </c>
      <c r="I2086" s="14"/>
      <c r="J2086" s="22" t="n">
        <f aca="false">IF(E2086="Priority",'Cost model'!N150,'Cost model'!M150)</f>
        <v>55</v>
      </c>
      <c r="K2086" s="14" t="n">
        <f aca="false">J2086-H2086</f>
        <v>12.77</v>
      </c>
      <c r="L2086" s="14" t="n">
        <f aca="false">G2086-H2086</f>
        <v>-22.73</v>
      </c>
    </row>
    <row r="2087" customFormat="false" ht="15" hidden="false" customHeight="false" outlineLevel="0" collapsed="false">
      <c r="A2087" s="2" t="s">
        <v>184</v>
      </c>
      <c r="B2087" s="2" t="s">
        <v>184</v>
      </c>
      <c r="C2087" s="2" t="s">
        <v>50</v>
      </c>
      <c r="D2087" s="2" t="s">
        <v>12</v>
      </c>
      <c r="E2087" s="2" t="s">
        <v>76</v>
      </c>
      <c r="F2087" s="2" t="s">
        <v>1145</v>
      </c>
      <c r="G2087" s="14" t="n">
        <v>19.5</v>
      </c>
      <c r="H2087" s="14" t="n">
        <v>48.5</v>
      </c>
      <c r="I2087" s="14" t="n">
        <v>19.5</v>
      </c>
      <c r="J2087" s="22" t="n">
        <f aca="false">IF(E2087="Priority",'Cost model'!N205,'Cost model'!M205)</f>
        <v>50</v>
      </c>
      <c r="K2087" s="14" t="n">
        <f aca="false">J2087-H2087</f>
        <v>1.5</v>
      </c>
      <c r="L2087" s="14" t="n">
        <f aca="false">G2087-H2087</f>
        <v>-29</v>
      </c>
    </row>
    <row r="2088" customFormat="false" ht="15" hidden="false" customHeight="false" outlineLevel="0" collapsed="false">
      <c r="A2088" s="2" t="s">
        <v>184</v>
      </c>
      <c r="B2088" s="2" t="s">
        <v>184</v>
      </c>
      <c r="C2088" s="2" t="s">
        <v>50</v>
      </c>
      <c r="D2088" s="2" t="s">
        <v>12</v>
      </c>
      <c r="E2088" s="2" t="s">
        <v>76</v>
      </c>
      <c r="F2088" s="2" t="s">
        <v>1145</v>
      </c>
      <c r="G2088" s="14" t="n">
        <v>19.5</v>
      </c>
      <c r="H2088" s="14" t="n">
        <v>50.18</v>
      </c>
      <c r="I2088" s="14" t="n">
        <v>19.5</v>
      </c>
      <c r="J2088" s="22" t="n">
        <f aca="false">IF(E2088="Priority",'Cost model'!N205,'Cost model'!M205)</f>
        <v>50</v>
      </c>
      <c r="K2088" s="14" t="n">
        <f aca="false">J2088-H2088</f>
        <v>-0.18</v>
      </c>
      <c r="L2088" s="14" t="n">
        <f aca="false">G2088-H2088</f>
        <v>-30.68</v>
      </c>
    </row>
    <row r="2089" customFormat="false" ht="15" hidden="false" customHeight="false" outlineLevel="0" collapsed="false">
      <c r="A2089" s="2" t="s">
        <v>126</v>
      </c>
      <c r="B2089" s="2" t="s">
        <v>126</v>
      </c>
      <c r="C2089" s="2" t="s">
        <v>48</v>
      </c>
      <c r="D2089" s="2" t="s">
        <v>10</v>
      </c>
      <c r="E2089" s="2" t="s">
        <v>76</v>
      </c>
      <c r="F2089" s="2" t="s">
        <v>1145</v>
      </c>
      <c r="G2089" s="14" t="n">
        <v>19.5</v>
      </c>
      <c r="H2089" s="14" t="n">
        <v>43.25</v>
      </c>
      <c r="I2089" s="14" t="n">
        <v>9.5</v>
      </c>
      <c r="J2089" s="22" t="n">
        <f aca="false">IF(E2089="Priority",'Cost model'!N380,'Cost model'!M380)</f>
        <v>8.5</v>
      </c>
      <c r="K2089" s="14" t="n">
        <f aca="false">J2089-H2089</f>
        <v>-34.75</v>
      </c>
      <c r="L2089" s="14" t="n">
        <f aca="false">G2089-H2089</f>
        <v>-23.75</v>
      </c>
    </row>
    <row r="2090" customFormat="false" ht="15" hidden="false" customHeight="false" outlineLevel="0" collapsed="false">
      <c r="A2090" s="2" t="s">
        <v>126</v>
      </c>
      <c r="B2090" s="2" t="s">
        <v>126</v>
      </c>
      <c r="C2090" s="2" t="s">
        <v>49</v>
      </c>
      <c r="D2090" s="2" t="s">
        <v>10</v>
      </c>
      <c r="E2090" s="2" t="s">
        <v>76</v>
      </c>
      <c r="F2090" s="2" t="s">
        <v>1145</v>
      </c>
      <c r="G2090" s="14" t="n">
        <v>12.5</v>
      </c>
      <c r="H2090" s="14" t="n">
        <v>10.95</v>
      </c>
      <c r="I2090" s="14" t="n">
        <v>12.5</v>
      </c>
      <c r="J2090" s="22" t="n">
        <f aca="false">IF(E2090="Priority",'Cost model'!N381,'Cost model'!M381)</f>
        <v>14.5</v>
      </c>
      <c r="K2090" s="14" t="n">
        <f aca="false">J2090-H2090</f>
        <v>3.55</v>
      </c>
      <c r="L2090" s="14" t="n">
        <f aca="false">G2090-H2090</f>
        <v>1.55</v>
      </c>
    </row>
    <row r="2091" customFormat="false" ht="15" hidden="false" customHeight="false" outlineLevel="0" collapsed="false">
      <c r="A2091" s="2" t="s">
        <v>184</v>
      </c>
      <c r="B2091" s="2" t="s">
        <v>184</v>
      </c>
      <c r="C2091" s="2" t="s">
        <v>50</v>
      </c>
      <c r="D2091" s="2" t="s">
        <v>12</v>
      </c>
      <c r="E2091" s="2" t="s">
        <v>76</v>
      </c>
      <c r="F2091" s="2" t="s">
        <v>1145</v>
      </c>
      <c r="G2091" s="14" t="n">
        <v>19.5</v>
      </c>
      <c r="H2091" s="14" t="n">
        <v>44.84</v>
      </c>
      <c r="I2091" s="14" t="n">
        <v>19.5</v>
      </c>
      <c r="J2091" s="22" t="n">
        <f aca="false">IF(E2091="Priority",'Cost model'!N205,'Cost model'!M205)</f>
        <v>50</v>
      </c>
      <c r="K2091" s="14" t="n">
        <f aca="false">J2091-H2091</f>
        <v>5.16</v>
      </c>
      <c r="L2091" s="14" t="n">
        <f aca="false">G2091-H2091</f>
        <v>-25.34</v>
      </c>
    </row>
    <row r="2092" customFormat="false" ht="15" hidden="false" customHeight="false" outlineLevel="0" collapsed="false">
      <c r="A2092" s="2" t="s">
        <v>184</v>
      </c>
      <c r="B2092" s="2" t="s">
        <v>184</v>
      </c>
      <c r="C2092" s="2" t="s">
        <v>48</v>
      </c>
      <c r="D2092" s="2" t="s">
        <v>10</v>
      </c>
      <c r="E2092" s="2" t="s">
        <v>76</v>
      </c>
      <c r="F2092" s="2" t="s">
        <v>1145</v>
      </c>
      <c r="G2092" s="14" t="n">
        <v>9.5</v>
      </c>
      <c r="H2092" s="14" t="n">
        <v>7.72</v>
      </c>
      <c r="I2092" s="14" t="n">
        <v>9.5</v>
      </c>
      <c r="J2092" s="22" t="n">
        <f aca="false">IF(E2092="Priority",'Cost model'!N200,'Cost model'!M200)</f>
        <v>7.5</v>
      </c>
      <c r="K2092" s="14" t="n">
        <f aca="false">J2092-H2092</f>
        <v>-0.22</v>
      </c>
      <c r="L2092" s="14" t="n">
        <f aca="false">G2092-H2092</f>
        <v>1.78</v>
      </c>
    </row>
    <row r="2093" customFormat="false" ht="15" hidden="false" customHeight="false" outlineLevel="0" collapsed="false">
      <c r="A2093" s="2" t="s">
        <v>146</v>
      </c>
      <c r="B2093" s="2" t="s">
        <v>146</v>
      </c>
      <c r="C2093" s="2" t="s">
        <v>49</v>
      </c>
      <c r="D2093" s="2" t="s">
        <v>12</v>
      </c>
      <c r="E2093" s="2" t="s">
        <v>76</v>
      </c>
      <c r="F2093" s="2" t="s">
        <v>1145</v>
      </c>
      <c r="G2093" s="14" t="n">
        <v>29.5</v>
      </c>
      <c r="H2093" s="14" t="n">
        <v>25.65</v>
      </c>
      <c r="I2093" s="14" t="n">
        <v>12.5</v>
      </c>
      <c r="J2093" s="22" t="n">
        <f aca="false">IF(E2093="Priority",'Cost model'!N762,'Cost model'!M762)</f>
        <v>45</v>
      </c>
      <c r="K2093" s="14" t="n">
        <f aca="false">J2093-H2093</f>
        <v>19.35</v>
      </c>
      <c r="L2093" s="14" t="n">
        <f aca="false">G2093-H2093</f>
        <v>3.85</v>
      </c>
    </row>
    <row r="2094" customFormat="false" ht="15" hidden="false" customHeight="false" outlineLevel="0" collapsed="false">
      <c r="A2094" s="2" t="s">
        <v>184</v>
      </c>
      <c r="B2094" s="2" t="s">
        <v>146</v>
      </c>
      <c r="C2094" s="2" t="s">
        <v>48</v>
      </c>
      <c r="D2094" s="2" t="s">
        <v>10</v>
      </c>
      <c r="E2094" s="2" t="s">
        <v>76</v>
      </c>
      <c r="F2094" s="2" t="s">
        <v>1146</v>
      </c>
      <c r="G2094" s="14" t="n">
        <v>9.5</v>
      </c>
      <c r="H2094" s="14" t="n">
        <v>13.63</v>
      </c>
      <c r="I2094" s="14" t="n">
        <v>9.5</v>
      </c>
      <c r="J2094" s="22" t="n">
        <f aca="false">IF(E2094="Priority",'Cost model'!N146,'Cost model'!M146)</f>
        <v>12.5</v>
      </c>
      <c r="K2094" s="14" t="n">
        <f aca="false">J2094-H2094</f>
        <v>-1.13</v>
      </c>
      <c r="L2094" s="14" t="n">
        <f aca="false">G2094-H2094</f>
        <v>-4.13</v>
      </c>
    </row>
    <row r="2095" customFormat="false" ht="15" hidden="false" customHeight="false" outlineLevel="0" collapsed="false">
      <c r="A2095" s="2" t="s">
        <v>184</v>
      </c>
      <c r="B2095" s="2" t="s">
        <v>146</v>
      </c>
      <c r="C2095" s="2" t="s">
        <v>50</v>
      </c>
      <c r="D2095" s="2" t="s">
        <v>10</v>
      </c>
      <c r="E2095" s="2" t="s">
        <v>76</v>
      </c>
      <c r="F2095" s="2" t="s">
        <v>1146</v>
      </c>
      <c r="G2095" s="14" t="n">
        <v>17.5</v>
      </c>
      <c r="H2095" s="14" t="n">
        <v>15.22</v>
      </c>
      <c r="I2095" s="14" t="n">
        <v>17.5</v>
      </c>
      <c r="J2095" s="22" t="n">
        <f aca="false">IF(E2095="Priority",'Cost model'!N148,'Cost model'!M148)</f>
        <v>21.5</v>
      </c>
      <c r="K2095" s="14" t="n">
        <f aca="false">J2095-H2095</f>
        <v>6.28</v>
      </c>
      <c r="L2095" s="14" t="n">
        <f aca="false">G2095-H2095</f>
        <v>2.28</v>
      </c>
    </row>
    <row r="2096" customFormat="false" ht="15" hidden="false" customHeight="false" outlineLevel="0" collapsed="false">
      <c r="A2096" s="2" t="s">
        <v>184</v>
      </c>
      <c r="B2096" s="2" t="s">
        <v>184</v>
      </c>
      <c r="C2096" s="2" t="s">
        <v>48</v>
      </c>
      <c r="D2096" s="2" t="s">
        <v>10</v>
      </c>
      <c r="E2096" s="2" t="s">
        <v>76</v>
      </c>
      <c r="F2096" s="2" t="s">
        <v>1145</v>
      </c>
      <c r="G2096" s="14" t="n">
        <v>9.5</v>
      </c>
      <c r="H2096" s="14" t="n">
        <v>7.45</v>
      </c>
      <c r="I2096" s="14" t="n">
        <v>9.5</v>
      </c>
      <c r="J2096" s="22" t="n">
        <f aca="false">IF(E2096="Priority",'Cost model'!N200,'Cost model'!M200)</f>
        <v>7.5</v>
      </c>
      <c r="K2096" s="14" t="n">
        <f aca="false">J2096-H2096</f>
        <v>0.0499999999999998</v>
      </c>
      <c r="L2096" s="14" t="n">
        <f aca="false">G2096-H2096</f>
        <v>2.05</v>
      </c>
    </row>
    <row r="2097" customFormat="false" ht="15" hidden="false" customHeight="false" outlineLevel="0" collapsed="false">
      <c r="A2097" s="2" t="s">
        <v>184</v>
      </c>
      <c r="B2097" s="2" t="s">
        <v>184</v>
      </c>
      <c r="C2097" s="2" t="s">
        <v>48</v>
      </c>
      <c r="D2097" s="2" t="s">
        <v>12</v>
      </c>
      <c r="E2097" s="2" t="s">
        <v>76</v>
      </c>
      <c r="F2097" s="2" t="s">
        <v>1145</v>
      </c>
      <c r="G2097" s="14" t="n">
        <v>9.5</v>
      </c>
      <c r="H2097" s="14" t="n">
        <v>30.67</v>
      </c>
      <c r="I2097" s="14" t="n">
        <v>9.5</v>
      </c>
      <c r="J2097" s="22" t="n">
        <f aca="false">IF(E2097="Priority",'Cost model'!N203,'Cost model'!M203)</f>
        <v>26.5</v>
      </c>
      <c r="K2097" s="14" t="n">
        <f aca="false">J2097-H2097</f>
        <v>-4.17</v>
      </c>
      <c r="L2097" s="14" t="n">
        <f aca="false">G2097-H2097</f>
        <v>-21.17</v>
      </c>
    </row>
    <row r="2098" customFormat="false" ht="15" hidden="false" customHeight="false" outlineLevel="0" collapsed="false">
      <c r="A2098" s="2" t="s">
        <v>146</v>
      </c>
      <c r="B2098" s="2" t="s">
        <v>146</v>
      </c>
      <c r="C2098" s="2" t="s">
        <v>48</v>
      </c>
      <c r="D2098" s="2" t="s">
        <v>14</v>
      </c>
      <c r="E2098" s="2" t="s">
        <v>76</v>
      </c>
      <c r="F2098" s="2" t="s">
        <v>1145</v>
      </c>
      <c r="G2098" s="14" t="n">
        <v>25</v>
      </c>
      <c r="H2098" s="14" t="n">
        <v>71.52</v>
      </c>
      <c r="I2098" s="14" t="n">
        <v>25</v>
      </c>
      <c r="J2098" s="22" t="n">
        <f aca="false">IF(E2098="Priority",'Cost model'!N767,'Cost model'!M767)</f>
        <v>100</v>
      </c>
      <c r="K2098" s="14" t="n">
        <f aca="false">J2098-H2098</f>
        <v>28.48</v>
      </c>
      <c r="L2098" s="14" t="n">
        <f aca="false">G2098-H2098</f>
        <v>-46.52</v>
      </c>
    </row>
    <row r="2099" customFormat="false" ht="15" hidden="false" customHeight="false" outlineLevel="0" collapsed="false">
      <c r="A2099" s="2" t="s">
        <v>126</v>
      </c>
      <c r="B2099" s="2" t="s">
        <v>126</v>
      </c>
      <c r="C2099" s="2" t="s">
        <v>48</v>
      </c>
      <c r="D2099" s="2" t="s">
        <v>10</v>
      </c>
      <c r="E2099" s="2" t="s">
        <v>76</v>
      </c>
      <c r="F2099" s="2" t="s">
        <v>1145</v>
      </c>
      <c r="G2099" s="14" t="n">
        <v>9.5</v>
      </c>
      <c r="H2099" s="14" t="n">
        <v>7.72</v>
      </c>
      <c r="I2099" s="14" t="n">
        <v>9.5</v>
      </c>
      <c r="J2099" s="22" t="n">
        <f aca="false">IF(E2099="Priority",'Cost model'!N380,'Cost model'!M380)</f>
        <v>8.5</v>
      </c>
      <c r="K2099" s="14" t="n">
        <f aca="false">J2099-H2099</f>
        <v>0.78</v>
      </c>
      <c r="L2099" s="14" t="n">
        <f aca="false">G2099-H2099</f>
        <v>1.78</v>
      </c>
    </row>
    <row r="2100" customFormat="false" ht="15" hidden="false" customHeight="false" outlineLevel="0" collapsed="false">
      <c r="A2100" s="2" t="s">
        <v>165</v>
      </c>
      <c r="B2100" s="2" t="s">
        <v>165</v>
      </c>
      <c r="C2100" s="2" t="s">
        <v>48</v>
      </c>
      <c r="D2100" s="2" t="s">
        <v>10</v>
      </c>
      <c r="E2100" s="2" t="s">
        <v>85</v>
      </c>
      <c r="F2100" s="2" t="s">
        <v>1145</v>
      </c>
      <c r="G2100" s="14" t="n">
        <v>14.5</v>
      </c>
      <c r="H2100" s="14" t="n">
        <v>7.71</v>
      </c>
      <c r="I2100" s="14" t="n">
        <v>14.5</v>
      </c>
      <c r="J2100" s="22" t="n">
        <f aca="false">IF(E2100="Priority",'Cost model'!N506,'Cost model'!M506)</f>
        <v>12.5</v>
      </c>
      <c r="K2100" s="14" t="n">
        <f aca="false">J2100-H2100</f>
        <v>4.79</v>
      </c>
      <c r="L2100" s="14" t="n">
        <f aca="false">G2100-H2100</f>
        <v>6.79</v>
      </c>
    </row>
    <row r="2101" customFormat="false" ht="15" hidden="false" customHeight="false" outlineLevel="0" collapsed="false">
      <c r="A2101" s="2" t="s">
        <v>184</v>
      </c>
      <c r="B2101" s="2" t="s">
        <v>184</v>
      </c>
      <c r="C2101" s="2" t="s">
        <v>49</v>
      </c>
      <c r="D2101" s="2" t="s">
        <v>13</v>
      </c>
      <c r="E2101" s="2" t="s">
        <v>76</v>
      </c>
      <c r="F2101" s="2" t="s">
        <v>1145</v>
      </c>
      <c r="G2101" s="14" t="n">
        <v>24.5</v>
      </c>
      <c r="H2101" s="14" t="n">
        <v>39.57</v>
      </c>
      <c r="I2101" s="14"/>
      <c r="J2101" s="22" t="n">
        <f aca="false">IF(E2101="Priority",'Cost model'!N207,'Cost model'!M207)</f>
        <v>75</v>
      </c>
      <c r="K2101" s="14" t="n">
        <f aca="false">J2101-H2101</f>
        <v>35.43</v>
      </c>
      <c r="L2101" s="14" t="n">
        <f aca="false">G2101-H2101</f>
        <v>-15.07</v>
      </c>
    </row>
    <row r="2102" customFormat="false" ht="15" hidden="false" customHeight="false" outlineLevel="0" collapsed="false">
      <c r="A2102" s="2" t="s">
        <v>146</v>
      </c>
      <c r="B2102" s="2" t="s">
        <v>146</v>
      </c>
      <c r="C2102" s="2" t="s">
        <v>50</v>
      </c>
      <c r="D2102" s="2" t="s">
        <v>12</v>
      </c>
      <c r="E2102" s="2" t="s">
        <v>85</v>
      </c>
      <c r="F2102" s="2" t="s">
        <v>1145</v>
      </c>
      <c r="G2102" s="14" t="n">
        <v>29.5</v>
      </c>
      <c r="H2102" s="14" t="n">
        <v>25.01</v>
      </c>
      <c r="I2102" s="14" t="n">
        <v>29.5</v>
      </c>
      <c r="J2102" s="22" t="n">
        <f aca="false">IF(E2102="Priority",'Cost model'!N763,'Cost model'!M763)</f>
        <v>65</v>
      </c>
      <c r="K2102" s="14" t="n">
        <f aca="false">J2102-H2102</f>
        <v>39.99</v>
      </c>
      <c r="L2102" s="14" t="n">
        <f aca="false">G2102-H2102</f>
        <v>4.49</v>
      </c>
    </row>
    <row r="2103" customFormat="false" ht="15" hidden="false" customHeight="false" outlineLevel="0" collapsed="false">
      <c r="A2103" s="2" t="s">
        <v>184</v>
      </c>
      <c r="B2103" s="2" t="s">
        <v>184</v>
      </c>
      <c r="C2103" s="2" t="s">
        <v>48</v>
      </c>
      <c r="D2103" s="2" t="s">
        <v>12</v>
      </c>
      <c r="E2103" s="2" t="s">
        <v>76</v>
      </c>
      <c r="F2103" s="2" t="s">
        <v>1145</v>
      </c>
      <c r="G2103" s="14" t="n">
        <v>9.5</v>
      </c>
      <c r="H2103" s="14" t="n">
        <v>27.86</v>
      </c>
      <c r="I2103" s="14" t="n">
        <v>9.5</v>
      </c>
      <c r="J2103" s="22" t="n">
        <f aca="false">IF(E2103="Priority",'Cost model'!N203,'Cost model'!M203)</f>
        <v>26.5</v>
      </c>
      <c r="K2103" s="14" t="n">
        <f aca="false">J2103-H2103</f>
        <v>-1.36</v>
      </c>
      <c r="L2103" s="14" t="n">
        <f aca="false">G2103-H2103</f>
        <v>-18.36</v>
      </c>
    </row>
    <row r="2104" customFormat="false" ht="15" hidden="false" customHeight="false" outlineLevel="0" collapsed="false">
      <c r="A2104" s="2" t="s">
        <v>184</v>
      </c>
      <c r="B2104" s="2" t="s">
        <v>184</v>
      </c>
      <c r="C2104" s="2" t="s">
        <v>48</v>
      </c>
      <c r="D2104" s="2" t="s">
        <v>10</v>
      </c>
      <c r="E2104" s="2" t="s">
        <v>76</v>
      </c>
      <c r="F2104" s="2" t="s">
        <v>1145</v>
      </c>
      <c r="G2104" s="14" t="n">
        <v>19.5</v>
      </c>
      <c r="H2104" s="14" t="n">
        <v>5.94</v>
      </c>
      <c r="I2104" s="14" t="n">
        <v>9.5</v>
      </c>
      <c r="J2104" s="22" t="n">
        <f aca="false">IF(E2104="Priority",'Cost model'!N200,'Cost model'!M200)</f>
        <v>7.5</v>
      </c>
      <c r="K2104" s="14" t="n">
        <f aca="false">J2104-H2104</f>
        <v>1.56</v>
      </c>
      <c r="L2104" s="14" t="n">
        <f aca="false">G2104-H2104</f>
        <v>13.56</v>
      </c>
    </row>
    <row r="2105" customFormat="false" ht="15" hidden="false" customHeight="false" outlineLevel="0" collapsed="false">
      <c r="A2105" s="2" t="s">
        <v>184</v>
      </c>
      <c r="B2105" s="2" t="s">
        <v>126</v>
      </c>
      <c r="C2105" s="2" t="s">
        <v>50</v>
      </c>
      <c r="D2105" s="2" t="s">
        <v>12</v>
      </c>
      <c r="E2105" s="2" t="s">
        <v>76</v>
      </c>
      <c r="F2105" s="2" t="s">
        <v>1146</v>
      </c>
      <c r="G2105" s="14" t="n">
        <v>19.5</v>
      </c>
      <c r="H2105" s="14" t="n">
        <v>91.97</v>
      </c>
      <c r="I2105" s="14" t="n">
        <v>19.5</v>
      </c>
      <c r="J2105" s="22" t="n">
        <f aca="false">IF(E2105="Priority",'Cost model'!N133,'Cost model'!M133)</f>
        <v>55</v>
      </c>
      <c r="K2105" s="14" t="n">
        <f aca="false">J2105-H2105</f>
        <v>-36.97</v>
      </c>
      <c r="L2105" s="14" t="n">
        <f aca="false">G2105-H2105</f>
        <v>-72.47</v>
      </c>
    </row>
    <row r="2106" customFormat="false" ht="15" hidden="false" customHeight="false" outlineLevel="0" collapsed="false">
      <c r="A2106" s="2" t="s">
        <v>125</v>
      </c>
      <c r="B2106" s="2" t="s">
        <v>146</v>
      </c>
      <c r="C2106" s="2" t="s">
        <v>48</v>
      </c>
      <c r="D2106" s="2" t="s">
        <v>10</v>
      </c>
      <c r="E2106" s="2" t="s">
        <v>76</v>
      </c>
      <c r="F2106" s="2" t="s">
        <v>1146</v>
      </c>
      <c r="G2106" s="14" t="n">
        <v>14.5</v>
      </c>
      <c r="H2106" s="14" t="n">
        <v>9.71</v>
      </c>
      <c r="I2106" s="14" t="n">
        <v>14.5</v>
      </c>
      <c r="J2106" s="22" t="n">
        <f aca="false">IF(E2106="Priority",'Cost model'!N20,'Cost model'!M20)</f>
        <v>13.5</v>
      </c>
      <c r="K2106" s="14" t="n">
        <f aca="false">J2106-H2106</f>
        <v>3.79</v>
      </c>
      <c r="L2106" s="14" t="n">
        <f aca="false">G2106-H2106</f>
        <v>4.79</v>
      </c>
    </row>
    <row r="2107" customFormat="false" ht="15" hidden="false" customHeight="false" outlineLevel="0" collapsed="false">
      <c r="A2107" s="2" t="s">
        <v>146</v>
      </c>
      <c r="B2107" s="2" t="s">
        <v>146</v>
      </c>
      <c r="C2107" s="2" t="s">
        <v>50</v>
      </c>
      <c r="D2107" s="2" t="s">
        <v>12</v>
      </c>
      <c r="E2107" s="2" t="s">
        <v>85</v>
      </c>
      <c r="F2107" s="2" t="s">
        <v>1145</v>
      </c>
      <c r="G2107" s="14" t="n">
        <v>29.5</v>
      </c>
      <c r="H2107" s="14" t="n">
        <v>43.59</v>
      </c>
      <c r="I2107" s="14" t="n">
        <v>29.5</v>
      </c>
      <c r="J2107" s="22" t="n">
        <f aca="false">IF(E2107="Priority",'Cost model'!N763,'Cost model'!M763)</f>
        <v>65</v>
      </c>
      <c r="K2107" s="14" t="n">
        <f aca="false">J2107-H2107</f>
        <v>21.41</v>
      </c>
      <c r="L2107" s="14" t="n">
        <f aca="false">G2107-H2107</f>
        <v>-14.09</v>
      </c>
    </row>
    <row r="2108" customFormat="false" ht="15" hidden="false" customHeight="false" outlineLevel="0" collapsed="false">
      <c r="A2108" s="2" t="s">
        <v>184</v>
      </c>
      <c r="B2108" s="2" t="s">
        <v>184</v>
      </c>
      <c r="C2108" s="2" t="s">
        <v>49</v>
      </c>
      <c r="D2108" s="2" t="s">
        <v>12</v>
      </c>
      <c r="E2108" s="2" t="s">
        <v>76</v>
      </c>
      <c r="F2108" s="2" t="s">
        <v>1145</v>
      </c>
      <c r="G2108" s="14" t="n">
        <v>12.5</v>
      </c>
      <c r="H2108" s="14" t="n">
        <v>12.27</v>
      </c>
      <c r="I2108" s="14"/>
      <c r="J2108" s="22" t="n">
        <f aca="false">IF(E2108="Priority",'Cost model'!N204,'Cost model'!M204)</f>
        <v>45</v>
      </c>
      <c r="K2108" s="14" t="n">
        <f aca="false">J2108-H2108</f>
        <v>32.73</v>
      </c>
      <c r="L2108" s="14" t="n">
        <f aca="false">G2108-H2108</f>
        <v>0.23</v>
      </c>
    </row>
    <row r="2109" customFormat="false" ht="15" hidden="false" customHeight="false" outlineLevel="0" collapsed="false">
      <c r="A2109" s="2" t="s">
        <v>184</v>
      </c>
      <c r="B2109" s="2" t="s">
        <v>184</v>
      </c>
      <c r="C2109" s="2" t="s">
        <v>49</v>
      </c>
      <c r="D2109" s="2" t="s">
        <v>10</v>
      </c>
      <c r="E2109" s="2" t="s">
        <v>76</v>
      </c>
      <c r="F2109" s="2" t="s">
        <v>1145</v>
      </c>
      <c r="G2109" s="14" t="n">
        <v>12.5</v>
      </c>
      <c r="H2109" s="14" t="n">
        <v>11.03</v>
      </c>
      <c r="I2109" s="14"/>
      <c r="J2109" s="22" t="n">
        <f aca="false">IF(E2109="Priority",'Cost model'!N201,'Cost model'!M201)</f>
        <v>12.5</v>
      </c>
      <c r="K2109" s="14" t="n">
        <f aca="false">J2109-H2109</f>
        <v>1.47</v>
      </c>
      <c r="L2109" s="14" t="n">
        <f aca="false">G2109-H2109</f>
        <v>1.47</v>
      </c>
    </row>
    <row r="2110" customFormat="false" ht="15" hidden="false" customHeight="false" outlineLevel="0" collapsed="false">
      <c r="A2110" s="2" t="s">
        <v>184</v>
      </c>
      <c r="B2110" s="2" t="s">
        <v>146</v>
      </c>
      <c r="C2110" s="2" t="s">
        <v>49</v>
      </c>
      <c r="D2110" s="2" t="s">
        <v>12</v>
      </c>
      <c r="E2110" s="2" t="s">
        <v>76</v>
      </c>
      <c r="F2110" s="2" t="s">
        <v>1146</v>
      </c>
      <c r="G2110" s="14" t="n">
        <v>24.5</v>
      </c>
      <c r="H2110" s="14" t="n">
        <v>57.85</v>
      </c>
      <c r="I2110" s="14"/>
      <c r="J2110" s="22" t="n">
        <f aca="false">IF(E2110="Priority",'Cost model'!N150,'Cost model'!M150)</f>
        <v>55</v>
      </c>
      <c r="K2110" s="14" t="n">
        <f aca="false">J2110-H2110</f>
        <v>-2.85</v>
      </c>
      <c r="L2110" s="14" t="n">
        <f aca="false">G2110-H2110</f>
        <v>-33.35</v>
      </c>
    </row>
    <row r="2111" customFormat="false" ht="15" hidden="false" customHeight="false" outlineLevel="0" collapsed="false">
      <c r="A2111" s="2" t="s">
        <v>126</v>
      </c>
      <c r="B2111" s="2" t="s">
        <v>126</v>
      </c>
      <c r="C2111" s="2" t="s">
        <v>48</v>
      </c>
      <c r="D2111" s="2" t="s">
        <v>14</v>
      </c>
      <c r="E2111" s="2" t="s">
        <v>76</v>
      </c>
      <c r="F2111" s="2" t="s">
        <v>1145</v>
      </c>
      <c r="G2111" s="14" t="n">
        <v>25</v>
      </c>
      <c r="H2111" s="14" t="n">
        <v>73.82</v>
      </c>
      <c r="I2111" s="14" t="n">
        <v>25</v>
      </c>
      <c r="J2111" s="22" t="n">
        <f aca="false">IF(E2111="Priority",'Cost model'!N389,'Cost model'!M389)</f>
        <v>95</v>
      </c>
      <c r="K2111" s="14" t="n">
        <f aca="false">J2111-H2111</f>
        <v>21.18</v>
      </c>
      <c r="L2111" s="14" t="n">
        <f aca="false">G2111-H2111</f>
        <v>-48.82</v>
      </c>
    </row>
    <row r="2112" customFormat="false" ht="15" hidden="false" customHeight="false" outlineLevel="0" collapsed="false">
      <c r="A2112" s="2" t="s">
        <v>184</v>
      </c>
      <c r="B2112" s="2" t="s">
        <v>184</v>
      </c>
      <c r="C2112" s="2" t="s">
        <v>50</v>
      </c>
      <c r="D2112" s="2" t="s">
        <v>12</v>
      </c>
      <c r="E2112" s="2" t="s">
        <v>76</v>
      </c>
      <c r="F2112" s="2" t="s">
        <v>1145</v>
      </c>
      <c r="G2112" s="14" t="n">
        <v>19.5</v>
      </c>
      <c r="H2112" s="14" t="n">
        <v>47.73</v>
      </c>
      <c r="I2112" s="14" t="n">
        <v>19.5</v>
      </c>
      <c r="J2112" s="22" t="n">
        <f aca="false">IF(E2112="Priority",'Cost model'!N205,'Cost model'!M205)</f>
        <v>50</v>
      </c>
      <c r="K2112" s="14" t="n">
        <f aca="false">J2112-H2112</f>
        <v>2.27</v>
      </c>
      <c r="L2112" s="14" t="n">
        <f aca="false">G2112-H2112</f>
        <v>-28.23</v>
      </c>
    </row>
    <row r="2113" customFormat="false" ht="15" hidden="false" customHeight="false" outlineLevel="0" collapsed="false">
      <c r="A2113" s="2" t="s">
        <v>126</v>
      </c>
      <c r="B2113" s="2" t="s">
        <v>126</v>
      </c>
      <c r="C2113" s="2" t="s">
        <v>48</v>
      </c>
      <c r="D2113" s="2" t="s">
        <v>10</v>
      </c>
      <c r="E2113" s="2" t="s">
        <v>76</v>
      </c>
      <c r="F2113" s="2" t="s">
        <v>1145</v>
      </c>
      <c r="G2113" s="14" t="n">
        <v>9.5</v>
      </c>
      <c r="H2113" s="14" t="n">
        <v>21.76</v>
      </c>
      <c r="I2113" s="14" t="n">
        <v>9.5</v>
      </c>
      <c r="J2113" s="22" t="n">
        <f aca="false">IF(E2113="Priority",'Cost model'!N380,'Cost model'!M380)</f>
        <v>8.5</v>
      </c>
      <c r="K2113" s="14" t="n">
        <f aca="false">J2113-H2113</f>
        <v>-13.26</v>
      </c>
      <c r="L2113" s="14" t="n">
        <f aca="false">G2113-H2113</f>
        <v>-12.26</v>
      </c>
    </row>
    <row r="2114" customFormat="false" ht="15" hidden="false" customHeight="false" outlineLevel="0" collapsed="false">
      <c r="A2114" s="2" t="s">
        <v>126</v>
      </c>
      <c r="B2114" s="2" t="s">
        <v>126</v>
      </c>
      <c r="C2114" s="2" t="s">
        <v>48</v>
      </c>
      <c r="D2114" s="2" t="s">
        <v>14</v>
      </c>
      <c r="E2114" s="2" t="s">
        <v>76</v>
      </c>
      <c r="F2114" s="2" t="s">
        <v>1145</v>
      </c>
      <c r="G2114" s="14" t="n">
        <v>25</v>
      </c>
      <c r="H2114" s="14" t="n">
        <v>32.3</v>
      </c>
      <c r="I2114" s="14" t="n">
        <v>25</v>
      </c>
      <c r="J2114" s="22" t="n">
        <f aca="false">IF(E2114="Priority",'Cost model'!N389,'Cost model'!M389)</f>
        <v>95</v>
      </c>
      <c r="K2114" s="14" t="n">
        <f aca="false">J2114-H2114</f>
        <v>62.7</v>
      </c>
      <c r="L2114" s="14" t="n">
        <f aca="false">G2114-H2114</f>
        <v>-7.3</v>
      </c>
    </row>
    <row r="2115" customFormat="false" ht="15" hidden="false" customHeight="false" outlineLevel="0" collapsed="false">
      <c r="A2115" s="2" t="s">
        <v>146</v>
      </c>
      <c r="B2115" s="2" t="s">
        <v>184</v>
      </c>
      <c r="C2115" s="2" t="s">
        <v>50</v>
      </c>
      <c r="D2115" s="2" t="s">
        <v>10</v>
      </c>
      <c r="E2115" s="2" t="s">
        <v>76</v>
      </c>
      <c r="F2115" s="2" t="s">
        <v>1146</v>
      </c>
      <c r="G2115" s="14" t="n">
        <v>24.5</v>
      </c>
      <c r="H2115" s="14" t="n">
        <v>11.58</v>
      </c>
      <c r="I2115" s="14" t="n">
        <v>17.5</v>
      </c>
      <c r="J2115" s="22" t="n">
        <f aca="false">IF(E2115="Priority",'Cost model'!N832,'Cost model'!M832)</f>
        <v>15.5</v>
      </c>
      <c r="K2115" s="14" t="n">
        <f aca="false">J2115-H2115</f>
        <v>3.92</v>
      </c>
      <c r="L2115" s="14" t="n">
        <f aca="false">G2115-H2115</f>
        <v>12.92</v>
      </c>
    </row>
    <row r="2116" customFormat="false" ht="15" hidden="false" customHeight="false" outlineLevel="0" collapsed="false">
      <c r="A2116" s="2" t="s">
        <v>240</v>
      </c>
      <c r="B2116" s="2" t="s">
        <v>240</v>
      </c>
      <c r="C2116" s="2" t="s">
        <v>50</v>
      </c>
      <c r="D2116" s="2" t="s">
        <v>13</v>
      </c>
      <c r="E2116" s="2" t="s">
        <v>76</v>
      </c>
      <c r="F2116" s="2" t="s">
        <v>1145</v>
      </c>
      <c r="G2116" s="14" t="n">
        <v>50</v>
      </c>
      <c r="H2116" s="14" t="n">
        <v>234.31</v>
      </c>
      <c r="I2116" s="14" t="n">
        <v>50</v>
      </c>
      <c r="J2116" s="22" t="n">
        <f aca="false">IF(E2116="Priority",'Cost model'!N892,'Cost model'!M892)</f>
        <v>130</v>
      </c>
      <c r="K2116" s="14" t="n">
        <f aca="false">J2116-H2116</f>
        <v>-104.31</v>
      </c>
      <c r="L2116" s="14" t="n">
        <f aca="false">G2116-H2116</f>
        <v>-184.31</v>
      </c>
    </row>
    <row r="2117" customFormat="false" ht="15" hidden="false" customHeight="false" outlineLevel="0" collapsed="false">
      <c r="A2117" s="2" t="s">
        <v>146</v>
      </c>
      <c r="B2117" s="2" t="s">
        <v>126</v>
      </c>
      <c r="C2117" s="2" t="s">
        <v>50</v>
      </c>
      <c r="D2117" s="2" t="s">
        <v>12</v>
      </c>
      <c r="E2117" s="2" t="s">
        <v>76</v>
      </c>
      <c r="F2117" s="2" t="s">
        <v>1146</v>
      </c>
      <c r="G2117" s="14" t="n">
        <v>19.5</v>
      </c>
      <c r="H2117" s="14" t="n">
        <v>66.78</v>
      </c>
      <c r="I2117" s="14" t="n">
        <v>19.5</v>
      </c>
      <c r="J2117" s="22" t="n">
        <f aca="false">IF(E2117="Priority",'Cost model'!N799,'Cost model'!M799)</f>
        <v>55</v>
      </c>
      <c r="K2117" s="14" t="n">
        <f aca="false">J2117-H2117</f>
        <v>-11.78</v>
      </c>
      <c r="L2117" s="14" t="n">
        <f aca="false">G2117-H2117</f>
        <v>-47.28</v>
      </c>
    </row>
    <row r="2118" customFormat="false" ht="15" hidden="false" customHeight="false" outlineLevel="0" collapsed="false">
      <c r="A2118" s="2" t="s">
        <v>221</v>
      </c>
      <c r="B2118" s="2" t="s">
        <v>221</v>
      </c>
      <c r="C2118" s="2" t="s">
        <v>48</v>
      </c>
      <c r="D2118" s="2" t="s">
        <v>13</v>
      </c>
      <c r="E2118" s="2" t="s">
        <v>76</v>
      </c>
      <c r="F2118" s="2" t="s">
        <v>1145</v>
      </c>
      <c r="G2118" s="14" t="n">
        <v>19</v>
      </c>
      <c r="H2118" s="14" t="n">
        <v>30.21</v>
      </c>
      <c r="I2118" s="14" t="n">
        <v>19</v>
      </c>
      <c r="J2118" s="22" t="n">
        <f aca="false">IF(E2118="Priority",'Cost model'!N638,'Cost model'!M638)</f>
        <v>55</v>
      </c>
      <c r="K2118" s="14" t="n">
        <f aca="false">J2118-H2118</f>
        <v>24.79</v>
      </c>
      <c r="L2118" s="14" t="n">
        <f aca="false">G2118-H2118</f>
        <v>-11.21</v>
      </c>
    </row>
    <row r="2119" customFormat="false" ht="15" hidden="false" customHeight="false" outlineLevel="0" collapsed="false">
      <c r="A2119" s="2" t="s">
        <v>240</v>
      </c>
      <c r="B2119" s="2" t="s">
        <v>240</v>
      </c>
      <c r="C2119" s="2" t="s">
        <v>48</v>
      </c>
      <c r="D2119" s="2" t="s">
        <v>10</v>
      </c>
      <c r="E2119" s="2" t="s">
        <v>85</v>
      </c>
      <c r="F2119" s="2" t="s">
        <v>1145</v>
      </c>
      <c r="G2119" s="14" t="n">
        <v>14.5</v>
      </c>
      <c r="H2119" s="14" t="n">
        <v>8.33</v>
      </c>
      <c r="I2119" s="14" t="n">
        <v>14.5</v>
      </c>
      <c r="J2119" s="22" t="n">
        <f aca="false">IF(E2119="Priority",'Cost model'!N884,'Cost model'!M884)</f>
        <v>12.5</v>
      </c>
      <c r="K2119" s="14" t="n">
        <f aca="false">J2119-H2119</f>
        <v>4.17</v>
      </c>
      <c r="L2119" s="14" t="n">
        <f aca="false">G2119-H2119</f>
        <v>6.17</v>
      </c>
    </row>
    <row r="2120" customFormat="false" ht="15" hidden="false" customHeight="false" outlineLevel="0" collapsed="false">
      <c r="A2120" s="2" t="s">
        <v>146</v>
      </c>
      <c r="B2120" s="2" t="s">
        <v>146</v>
      </c>
      <c r="C2120" s="2" t="s">
        <v>50</v>
      </c>
      <c r="D2120" s="2" t="s">
        <v>12</v>
      </c>
      <c r="E2120" s="2" t="s">
        <v>85</v>
      </c>
      <c r="F2120" s="2" t="s">
        <v>1145</v>
      </c>
      <c r="G2120" s="14" t="n">
        <v>29.5</v>
      </c>
      <c r="H2120" s="14" t="n">
        <v>58.41</v>
      </c>
      <c r="I2120" s="14" t="n">
        <v>29.5</v>
      </c>
      <c r="J2120" s="22" t="n">
        <f aca="false">IF(E2120="Priority",'Cost model'!N763,'Cost model'!M763)</f>
        <v>65</v>
      </c>
      <c r="K2120" s="14" t="n">
        <f aca="false">J2120-H2120</f>
        <v>6.59</v>
      </c>
      <c r="L2120" s="14" t="n">
        <f aca="false">G2120-H2120</f>
        <v>-28.91</v>
      </c>
    </row>
    <row r="2121" customFormat="false" ht="15" hidden="false" customHeight="false" outlineLevel="0" collapsed="false">
      <c r="A2121" s="2" t="s">
        <v>184</v>
      </c>
      <c r="B2121" s="2" t="s">
        <v>126</v>
      </c>
      <c r="C2121" s="2" t="s">
        <v>48</v>
      </c>
      <c r="D2121" s="2" t="s">
        <v>10</v>
      </c>
      <c r="E2121" s="2" t="s">
        <v>76</v>
      </c>
      <c r="F2121" s="2" t="s">
        <v>1146</v>
      </c>
      <c r="G2121" s="14" t="n">
        <v>9.5</v>
      </c>
      <c r="H2121" s="14" t="n">
        <v>13.82</v>
      </c>
      <c r="I2121" s="14" t="n">
        <v>9.5</v>
      </c>
      <c r="J2121" s="22" t="n">
        <f aca="false">IF(E2121="Priority",'Cost model'!N128,'Cost model'!M128)</f>
        <v>10.5</v>
      </c>
      <c r="K2121" s="14" t="n">
        <f aca="false">J2121-H2121</f>
        <v>-3.32</v>
      </c>
      <c r="L2121" s="14" t="n">
        <f aca="false">G2121-H2121</f>
        <v>-4.32</v>
      </c>
    </row>
    <row r="2122" customFormat="false" ht="15" hidden="false" customHeight="false" outlineLevel="0" collapsed="false">
      <c r="A2122" s="2" t="s">
        <v>221</v>
      </c>
      <c r="B2122" s="2" t="s">
        <v>221</v>
      </c>
      <c r="C2122" s="2" t="s">
        <v>48</v>
      </c>
      <c r="D2122" s="2" t="s">
        <v>10</v>
      </c>
      <c r="E2122" s="2" t="s">
        <v>76</v>
      </c>
      <c r="F2122" s="2" t="s">
        <v>1145</v>
      </c>
      <c r="G2122" s="14" t="n">
        <v>9.5</v>
      </c>
      <c r="H2122" s="14" t="n">
        <v>21.16</v>
      </c>
      <c r="I2122" s="14" t="n">
        <v>9.5</v>
      </c>
      <c r="J2122" s="22" t="n">
        <f aca="false">IF(E2122="Priority",'Cost model'!N632,'Cost model'!M632)</f>
        <v>10.5</v>
      </c>
      <c r="K2122" s="14" t="n">
        <f aca="false">J2122-H2122</f>
        <v>-10.66</v>
      </c>
      <c r="L2122" s="14" t="n">
        <f aca="false">G2122-H2122</f>
        <v>-11.66</v>
      </c>
    </row>
    <row r="2123" customFormat="false" ht="15" hidden="false" customHeight="false" outlineLevel="0" collapsed="false">
      <c r="A2123" s="2" t="s">
        <v>184</v>
      </c>
      <c r="B2123" s="2" t="s">
        <v>126</v>
      </c>
      <c r="C2123" s="2" t="s">
        <v>50</v>
      </c>
      <c r="D2123" s="2" t="s">
        <v>12</v>
      </c>
      <c r="E2123" s="2" t="s">
        <v>85</v>
      </c>
      <c r="F2123" s="2" t="s">
        <v>1146</v>
      </c>
      <c r="G2123" s="14" t="n">
        <v>29.5</v>
      </c>
      <c r="H2123" s="14" t="n">
        <v>53.75</v>
      </c>
      <c r="I2123" s="14" t="n">
        <v>29.5</v>
      </c>
      <c r="J2123" s="22" t="n">
        <f aca="false">IF(E2123="Priority",'Cost model'!N133,'Cost model'!M133)</f>
        <v>70</v>
      </c>
      <c r="K2123" s="14" t="n">
        <f aca="false">J2123-H2123</f>
        <v>16.25</v>
      </c>
      <c r="L2123" s="14" t="n">
        <f aca="false">G2123-H2123</f>
        <v>-24.25</v>
      </c>
    </row>
    <row r="2124" customFormat="false" ht="15" hidden="false" customHeight="false" outlineLevel="0" collapsed="false">
      <c r="A2124" s="2" t="s">
        <v>184</v>
      </c>
      <c r="B2124" s="2" t="s">
        <v>184</v>
      </c>
      <c r="C2124" s="2" t="s">
        <v>49</v>
      </c>
      <c r="D2124" s="2" t="s">
        <v>12</v>
      </c>
      <c r="E2124" s="2" t="s">
        <v>76</v>
      </c>
      <c r="F2124" s="2" t="s">
        <v>1145</v>
      </c>
      <c r="G2124" s="14" t="n">
        <v>12.5</v>
      </c>
      <c r="H2124" s="14" t="n">
        <v>57.63</v>
      </c>
      <c r="I2124" s="14"/>
      <c r="J2124" s="22" t="n">
        <f aca="false">IF(E2124="Priority",'Cost model'!N204,'Cost model'!M204)</f>
        <v>45</v>
      </c>
      <c r="K2124" s="14" t="n">
        <f aca="false">J2124-H2124</f>
        <v>-12.63</v>
      </c>
      <c r="L2124" s="14" t="n">
        <f aca="false">G2124-H2124</f>
        <v>-45.13</v>
      </c>
    </row>
    <row r="2125" customFormat="false" ht="15" hidden="false" customHeight="false" outlineLevel="0" collapsed="false">
      <c r="A2125" s="2" t="s">
        <v>126</v>
      </c>
      <c r="B2125" s="2" t="s">
        <v>126</v>
      </c>
      <c r="C2125" s="2" t="s">
        <v>48</v>
      </c>
      <c r="D2125" s="2" t="s">
        <v>14</v>
      </c>
      <c r="E2125" s="2" t="s">
        <v>76</v>
      </c>
      <c r="F2125" s="2" t="s">
        <v>1145</v>
      </c>
      <c r="G2125" s="14" t="n">
        <v>25</v>
      </c>
      <c r="H2125" s="14" t="n">
        <v>71.04</v>
      </c>
      <c r="I2125" s="14" t="n">
        <v>25</v>
      </c>
      <c r="J2125" s="22" t="n">
        <f aca="false">IF(E2125="Priority",'Cost model'!N389,'Cost model'!M389)</f>
        <v>95</v>
      </c>
      <c r="K2125" s="14" t="n">
        <f aca="false">J2125-H2125</f>
        <v>23.96</v>
      </c>
      <c r="L2125" s="14" t="n">
        <f aca="false">G2125-H2125</f>
        <v>-46.04</v>
      </c>
    </row>
    <row r="2126" customFormat="false" ht="15" hidden="false" customHeight="false" outlineLevel="0" collapsed="false">
      <c r="A2126" s="2" t="s">
        <v>184</v>
      </c>
      <c r="B2126" s="2" t="s">
        <v>126</v>
      </c>
      <c r="C2126" s="2" t="s">
        <v>49</v>
      </c>
      <c r="D2126" s="2" t="s">
        <v>12</v>
      </c>
      <c r="E2126" s="2" t="s">
        <v>76</v>
      </c>
      <c r="F2126" s="2" t="s">
        <v>1146</v>
      </c>
      <c r="G2126" s="14" t="n">
        <v>12.5</v>
      </c>
      <c r="H2126" s="14" t="n">
        <v>55.01</v>
      </c>
      <c r="I2126" s="14"/>
      <c r="J2126" s="22" t="n">
        <f aca="false">IF(E2126="Priority",'Cost model'!N132,'Cost model'!M132)</f>
        <v>50</v>
      </c>
      <c r="K2126" s="14" t="n">
        <f aca="false">J2126-H2126</f>
        <v>-5.01</v>
      </c>
      <c r="L2126" s="14" t="n">
        <f aca="false">G2126-H2126</f>
        <v>-42.51</v>
      </c>
    </row>
    <row r="2127" customFormat="false" ht="15" hidden="false" customHeight="false" outlineLevel="0" collapsed="false">
      <c r="A2127" s="2" t="s">
        <v>126</v>
      </c>
      <c r="B2127" s="2" t="s">
        <v>126</v>
      </c>
      <c r="C2127" s="2" t="s">
        <v>49</v>
      </c>
      <c r="D2127" s="2" t="s">
        <v>12</v>
      </c>
      <c r="E2127" s="2" t="s">
        <v>76</v>
      </c>
      <c r="F2127" s="2" t="s">
        <v>1145</v>
      </c>
      <c r="G2127" s="14" t="n">
        <v>12.5</v>
      </c>
      <c r="H2127" s="14" t="n">
        <v>60.72</v>
      </c>
      <c r="I2127" s="14" t="n">
        <v>12.5</v>
      </c>
      <c r="J2127" s="22" t="n">
        <f aca="false">IF(E2127="Priority",'Cost model'!N384,'Cost model'!M384)</f>
        <v>45</v>
      </c>
      <c r="K2127" s="14" t="n">
        <f aca="false">J2127-H2127</f>
        <v>-15.72</v>
      </c>
      <c r="L2127" s="14" t="n">
        <f aca="false">G2127-H2127</f>
        <v>-48.22</v>
      </c>
    </row>
    <row r="2128" customFormat="false" ht="15" hidden="false" customHeight="false" outlineLevel="0" collapsed="false">
      <c r="A2128" s="2" t="s">
        <v>126</v>
      </c>
      <c r="B2128" s="2" t="s">
        <v>126</v>
      </c>
      <c r="C2128" s="2" t="s">
        <v>48</v>
      </c>
      <c r="D2128" s="2" t="s">
        <v>10</v>
      </c>
      <c r="E2128" s="2" t="s">
        <v>76</v>
      </c>
      <c r="F2128" s="2" t="s">
        <v>1145</v>
      </c>
      <c r="G2128" s="14" t="n">
        <v>9.5</v>
      </c>
      <c r="H2128" s="14" t="n">
        <v>7.46</v>
      </c>
      <c r="I2128" s="14" t="n">
        <v>9.5</v>
      </c>
      <c r="J2128" s="22" t="n">
        <f aca="false">IF(E2128="Priority",'Cost model'!N380,'Cost model'!M380)</f>
        <v>8.5</v>
      </c>
      <c r="K2128" s="14" t="n">
        <f aca="false">J2128-H2128</f>
        <v>1.04</v>
      </c>
      <c r="L2128" s="14" t="n">
        <f aca="false">G2128-H2128</f>
        <v>2.04</v>
      </c>
    </row>
    <row r="2129" customFormat="false" ht="15" hidden="false" customHeight="false" outlineLevel="0" collapsed="false">
      <c r="A2129" s="2" t="s">
        <v>184</v>
      </c>
      <c r="B2129" s="2" t="s">
        <v>146</v>
      </c>
      <c r="C2129" s="2" t="s">
        <v>49</v>
      </c>
      <c r="D2129" s="2" t="s">
        <v>14</v>
      </c>
      <c r="E2129" s="2" t="s">
        <v>76</v>
      </c>
      <c r="F2129" s="2" t="s">
        <v>1146</v>
      </c>
      <c r="G2129" s="14" t="n">
        <v>125</v>
      </c>
      <c r="H2129" s="14" t="n">
        <v>106.55</v>
      </c>
      <c r="I2129" s="14"/>
      <c r="J2129" s="22" t="n">
        <f aca="false">IF(E2129="Priority",'Cost model'!N156,'Cost model'!M156)</f>
        <v>145</v>
      </c>
      <c r="K2129" s="14" t="n">
        <f aca="false">J2129-H2129</f>
        <v>38.45</v>
      </c>
      <c r="L2129" s="14" t="n">
        <f aca="false">G2129-H2129</f>
        <v>18.45</v>
      </c>
    </row>
    <row r="2130" customFormat="false" ht="15" hidden="false" customHeight="false" outlineLevel="0" collapsed="false">
      <c r="A2130" s="2" t="s">
        <v>184</v>
      </c>
      <c r="B2130" s="2" t="s">
        <v>184</v>
      </c>
      <c r="C2130" s="2" t="s">
        <v>48</v>
      </c>
      <c r="D2130" s="2" t="s">
        <v>10</v>
      </c>
      <c r="E2130" s="2" t="s">
        <v>76</v>
      </c>
      <c r="F2130" s="2" t="s">
        <v>1145</v>
      </c>
      <c r="G2130" s="14" t="n">
        <v>9.5</v>
      </c>
      <c r="H2130" s="14" t="n">
        <v>5.94</v>
      </c>
      <c r="I2130" s="14" t="n">
        <v>9.5</v>
      </c>
      <c r="J2130" s="22" t="n">
        <f aca="false">IF(E2130="Priority",'Cost model'!N200,'Cost model'!M200)</f>
        <v>7.5</v>
      </c>
      <c r="K2130" s="14" t="n">
        <f aca="false">J2130-H2130</f>
        <v>1.56</v>
      </c>
      <c r="L2130" s="14" t="n">
        <f aca="false">G2130-H2130</f>
        <v>3.56</v>
      </c>
    </row>
    <row r="2131" customFormat="false" ht="15" hidden="false" customHeight="false" outlineLevel="0" collapsed="false">
      <c r="A2131" s="2" t="s">
        <v>146</v>
      </c>
      <c r="B2131" s="2" t="s">
        <v>146</v>
      </c>
      <c r="C2131" s="2" t="s">
        <v>48</v>
      </c>
      <c r="D2131" s="2" t="s">
        <v>10</v>
      </c>
      <c r="E2131" s="2" t="s">
        <v>76</v>
      </c>
      <c r="F2131" s="2" t="s">
        <v>1145</v>
      </c>
      <c r="G2131" s="14" t="n">
        <v>9.5</v>
      </c>
      <c r="H2131" s="14" t="n">
        <v>5.95</v>
      </c>
      <c r="I2131" s="14" t="n">
        <v>9.5</v>
      </c>
      <c r="J2131" s="22" t="n">
        <f aca="false">IF(E2131="Priority",'Cost model'!N758,'Cost model'!M758)</f>
        <v>9.5</v>
      </c>
      <c r="K2131" s="14" t="n">
        <f aca="false">J2131-H2131</f>
        <v>3.55</v>
      </c>
      <c r="L2131" s="14" t="n">
        <f aca="false">G2131-H2131</f>
        <v>3.55</v>
      </c>
    </row>
    <row r="2132" customFormat="false" ht="15" hidden="false" customHeight="false" outlineLevel="0" collapsed="false">
      <c r="A2132" s="2" t="s">
        <v>126</v>
      </c>
      <c r="B2132" s="2" t="s">
        <v>126</v>
      </c>
      <c r="C2132" s="2" t="s">
        <v>49</v>
      </c>
      <c r="D2132" s="2" t="s">
        <v>12</v>
      </c>
      <c r="E2132" s="2" t="s">
        <v>85</v>
      </c>
      <c r="F2132" s="2" t="s">
        <v>1145</v>
      </c>
      <c r="G2132" s="14" t="n">
        <v>19.5</v>
      </c>
      <c r="H2132" s="14" t="n">
        <v>60.78</v>
      </c>
      <c r="I2132" s="14" t="n">
        <v>19.5</v>
      </c>
      <c r="J2132" s="22" t="n">
        <f aca="false">IF(E2132="Priority",'Cost model'!N384,'Cost model'!M384)</f>
        <v>60</v>
      </c>
      <c r="K2132" s="14" t="n">
        <f aca="false">J2132-H2132</f>
        <v>-0.780000000000001</v>
      </c>
      <c r="L2132" s="14" t="n">
        <f aca="false">G2132-H2132</f>
        <v>-41.28</v>
      </c>
    </row>
    <row r="2133" customFormat="false" ht="15" hidden="false" customHeight="false" outlineLevel="0" collapsed="false">
      <c r="A2133" s="2" t="s">
        <v>126</v>
      </c>
      <c r="B2133" s="2" t="s">
        <v>126</v>
      </c>
      <c r="C2133" s="2" t="s">
        <v>49</v>
      </c>
      <c r="D2133" s="2" t="s">
        <v>14</v>
      </c>
      <c r="E2133" s="2" t="s">
        <v>76</v>
      </c>
      <c r="F2133" s="2" t="s">
        <v>1145</v>
      </c>
      <c r="G2133" s="14" t="n">
        <v>45</v>
      </c>
      <c r="H2133" s="14" t="n">
        <v>319.4</v>
      </c>
      <c r="I2133" s="14" t="n">
        <v>45</v>
      </c>
      <c r="J2133" s="22" t="n">
        <f aca="false">IF(E2133="Priority",'Cost model'!N390,'Cost model'!M390)</f>
        <v>115</v>
      </c>
      <c r="K2133" s="14" t="n">
        <f aca="false">J2133-H2133</f>
        <v>-204.4</v>
      </c>
      <c r="L2133" s="14" t="n">
        <f aca="false">G2133-H2133</f>
        <v>-274.4</v>
      </c>
    </row>
    <row r="2134" customFormat="false" ht="15" hidden="false" customHeight="false" outlineLevel="0" collapsed="false">
      <c r="A2134" s="2" t="s">
        <v>240</v>
      </c>
      <c r="B2134" s="2" t="s">
        <v>126</v>
      </c>
      <c r="C2134" s="2" t="s">
        <v>48</v>
      </c>
      <c r="D2134" s="2" t="s">
        <v>10</v>
      </c>
      <c r="E2134" s="2" t="s">
        <v>76</v>
      </c>
      <c r="F2134" s="2" t="s">
        <v>1146</v>
      </c>
      <c r="G2134" s="14" t="n">
        <v>14.5</v>
      </c>
      <c r="H2134" s="14" t="n">
        <v>11.23</v>
      </c>
      <c r="I2134" s="14" t="n">
        <v>19.5</v>
      </c>
      <c r="J2134" s="22" t="n">
        <f aca="false">IF(E2134="Priority",'Cost model'!N956,'Cost model'!M956)</f>
        <v>15.5</v>
      </c>
      <c r="K2134" s="14" t="n">
        <f aca="false">J2134-H2134</f>
        <v>4.27</v>
      </c>
      <c r="L2134" s="14" t="n">
        <f aca="false">G2134-H2134</f>
        <v>3.27</v>
      </c>
    </row>
    <row r="2135" customFormat="false" ht="15" hidden="false" customHeight="false" outlineLevel="0" collapsed="false">
      <c r="A2135" s="2" t="s">
        <v>184</v>
      </c>
      <c r="B2135" s="2" t="s">
        <v>184</v>
      </c>
      <c r="C2135" s="2" t="s">
        <v>49</v>
      </c>
      <c r="D2135" s="2" t="s">
        <v>10</v>
      </c>
      <c r="E2135" s="2" t="s">
        <v>76</v>
      </c>
      <c r="F2135" s="2" t="s">
        <v>1145</v>
      </c>
      <c r="G2135" s="14" t="n">
        <v>12.5</v>
      </c>
      <c r="H2135" s="14" t="n">
        <v>8.92</v>
      </c>
      <c r="I2135" s="14"/>
      <c r="J2135" s="22" t="n">
        <f aca="false">IF(E2135="Priority",'Cost model'!N201,'Cost model'!M201)</f>
        <v>12.5</v>
      </c>
      <c r="K2135" s="14" t="n">
        <f aca="false">J2135-H2135</f>
        <v>3.58</v>
      </c>
      <c r="L2135" s="14" t="n">
        <f aca="false">G2135-H2135</f>
        <v>3.58</v>
      </c>
    </row>
    <row r="2136" customFormat="false" ht="15" hidden="false" customHeight="false" outlineLevel="0" collapsed="false">
      <c r="A2136" s="2" t="s">
        <v>184</v>
      </c>
      <c r="B2136" s="2" t="s">
        <v>126</v>
      </c>
      <c r="C2136" s="2" t="s">
        <v>49</v>
      </c>
      <c r="D2136" s="2" t="s">
        <v>12</v>
      </c>
      <c r="E2136" s="2" t="s">
        <v>85</v>
      </c>
      <c r="F2136" s="2" t="s">
        <v>1146</v>
      </c>
      <c r="G2136" s="14" t="n">
        <v>19.5</v>
      </c>
      <c r="H2136" s="14" t="n">
        <v>52.77</v>
      </c>
      <c r="I2136" s="14" t="n">
        <v>19.5</v>
      </c>
      <c r="J2136" s="22" t="n">
        <f aca="false">IF(E2136="Priority",'Cost model'!N132,'Cost model'!M132)</f>
        <v>65</v>
      </c>
      <c r="K2136" s="14" t="n">
        <f aca="false">J2136-H2136</f>
        <v>12.23</v>
      </c>
      <c r="L2136" s="14" t="n">
        <f aca="false">G2136-H2136</f>
        <v>-33.27</v>
      </c>
    </row>
    <row r="2137" customFormat="false" ht="15" hidden="false" customHeight="false" outlineLevel="0" collapsed="false">
      <c r="A2137" s="2" t="s">
        <v>184</v>
      </c>
      <c r="B2137" s="2" t="s">
        <v>184</v>
      </c>
      <c r="C2137" s="2" t="s">
        <v>49</v>
      </c>
      <c r="D2137" s="2" t="s">
        <v>12</v>
      </c>
      <c r="E2137" s="2" t="s">
        <v>76</v>
      </c>
      <c r="F2137" s="2" t="s">
        <v>1145</v>
      </c>
      <c r="G2137" s="14" t="n">
        <v>12.5</v>
      </c>
      <c r="H2137" s="14" t="n">
        <v>68.49</v>
      </c>
      <c r="I2137" s="14"/>
      <c r="J2137" s="22" t="n">
        <f aca="false">IF(E2137="Priority",'Cost model'!N204,'Cost model'!M204)</f>
        <v>45</v>
      </c>
      <c r="K2137" s="14" t="n">
        <f aca="false">J2137-H2137</f>
        <v>-23.49</v>
      </c>
      <c r="L2137" s="14" t="n">
        <f aca="false">G2137-H2137</f>
        <v>-55.99</v>
      </c>
    </row>
    <row r="2138" customFormat="false" ht="15" hidden="false" customHeight="false" outlineLevel="0" collapsed="false">
      <c r="A2138" s="2" t="s">
        <v>165</v>
      </c>
      <c r="B2138" s="2" t="s">
        <v>240</v>
      </c>
      <c r="C2138" s="2" t="s">
        <v>50</v>
      </c>
      <c r="D2138" s="2" t="s">
        <v>10</v>
      </c>
      <c r="E2138" s="2" t="s">
        <v>76</v>
      </c>
      <c r="F2138" s="2" t="s">
        <v>1146</v>
      </c>
      <c r="G2138" s="14" t="n">
        <v>19.5</v>
      </c>
      <c r="H2138" s="14" t="n">
        <v>18.64</v>
      </c>
      <c r="I2138" s="14" t="n">
        <v>19.5</v>
      </c>
      <c r="J2138" s="22" t="n">
        <f aca="false">IF(E2138="Priority",'Cost model'!N562,'Cost model'!M562)</f>
        <v>23.5</v>
      </c>
      <c r="K2138" s="14" t="n">
        <f aca="false">J2138-H2138</f>
        <v>4.86</v>
      </c>
      <c r="L2138" s="14" t="n">
        <f aca="false">G2138-H2138</f>
        <v>0.859999999999999</v>
      </c>
    </row>
    <row r="2139" customFormat="false" ht="15" hidden="false" customHeight="false" outlineLevel="0" collapsed="false">
      <c r="A2139" s="2" t="s">
        <v>146</v>
      </c>
      <c r="B2139" s="2" t="s">
        <v>146</v>
      </c>
      <c r="C2139" s="2" t="s">
        <v>50</v>
      </c>
      <c r="D2139" s="2" t="s">
        <v>12</v>
      </c>
      <c r="E2139" s="2" t="s">
        <v>76</v>
      </c>
      <c r="F2139" s="2" t="s">
        <v>1145</v>
      </c>
      <c r="G2139" s="14" t="n">
        <v>19.5</v>
      </c>
      <c r="H2139" s="14" t="n">
        <v>42.61</v>
      </c>
      <c r="I2139" s="14" t="n">
        <v>19.5</v>
      </c>
      <c r="J2139" s="22" t="n">
        <f aca="false">IF(E2139="Priority",'Cost model'!N763,'Cost model'!M763)</f>
        <v>50</v>
      </c>
      <c r="K2139" s="14" t="n">
        <f aca="false">J2139-H2139</f>
        <v>7.39</v>
      </c>
      <c r="L2139" s="14" t="n">
        <f aca="false">G2139-H2139</f>
        <v>-23.11</v>
      </c>
    </row>
    <row r="2140" customFormat="false" ht="15" hidden="false" customHeight="false" outlineLevel="0" collapsed="false">
      <c r="A2140" s="2" t="s">
        <v>146</v>
      </c>
      <c r="B2140" s="2" t="s">
        <v>184</v>
      </c>
      <c r="C2140" s="2" t="s">
        <v>48</v>
      </c>
      <c r="D2140" s="2" t="s">
        <v>10</v>
      </c>
      <c r="E2140" s="2" t="s">
        <v>76</v>
      </c>
      <c r="F2140" s="2" t="s">
        <v>1146</v>
      </c>
      <c r="G2140" s="14" t="n">
        <v>9.5</v>
      </c>
      <c r="H2140" s="14" t="n">
        <v>5.14</v>
      </c>
      <c r="I2140" s="14" t="n">
        <v>14.5</v>
      </c>
      <c r="J2140" s="22" t="n">
        <f aca="false">IF(E2140="Priority",'Cost model'!N830,'Cost model'!M830)</f>
        <v>9.5</v>
      </c>
      <c r="K2140" s="14" t="n">
        <f aca="false">J2140-H2140</f>
        <v>4.36</v>
      </c>
      <c r="L2140" s="14" t="n">
        <f aca="false">G2140-H2140</f>
        <v>4.36</v>
      </c>
    </row>
    <row r="2141" customFormat="false" ht="15" hidden="false" customHeight="false" outlineLevel="0" collapsed="false">
      <c r="A2141" s="2" t="s">
        <v>184</v>
      </c>
      <c r="B2141" s="2" t="s">
        <v>126</v>
      </c>
      <c r="C2141" s="2" t="s">
        <v>48</v>
      </c>
      <c r="D2141" s="2" t="s">
        <v>12</v>
      </c>
      <c r="E2141" s="2" t="s">
        <v>76</v>
      </c>
      <c r="F2141" s="2" t="s">
        <v>1146</v>
      </c>
      <c r="G2141" s="14" t="n">
        <v>9.5</v>
      </c>
      <c r="H2141" s="14" t="n">
        <v>10.53</v>
      </c>
      <c r="I2141" s="14" t="n">
        <v>9.5</v>
      </c>
      <c r="J2141" s="22" t="n">
        <f aca="false">IF(E2141="Priority",'Cost model'!N131,'Cost model'!M131)</f>
        <v>40</v>
      </c>
      <c r="K2141" s="14" t="n">
        <f aca="false">J2141-H2141</f>
        <v>29.47</v>
      </c>
      <c r="L2141" s="14" t="n">
        <f aca="false">G2141-H2141</f>
        <v>-1.03</v>
      </c>
    </row>
    <row r="2142" customFormat="false" ht="15" hidden="false" customHeight="false" outlineLevel="0" collapsed="false">
      <c r="A2142" s="2" t="s">
        <v>240</v>
      </c>
      <c r="B2142" s="2" t="s">
        <v>240</v>
      </c>
      <c r="C2142" s="2" t="s">
        <v>48</v>
      </c>
      <c r="D2142" s="2" t="s">
        <v>10</v>
      </c>
      <c r="E2142" s="2" t="s">
        <v>85</v>
      </c>
      <c r="F2142" s="2" t="s">
        <v>1145</v>
      </c>
      <c r="G2142" s="14" t="n">
        <v>14.5</v>
      </c>
      <c r="H2142" s="14" t="n">
        <v>6.23</v>
      </c>
      <c r="I2142" s="14" t="n">
        <v>14.5</v>
      </c>
      <c r="J2142" s="22" t="n">
        <f aca="false">IF(E2142="Priority",'Cost model'!N884,'Cost model'!M884)</f>
        <v>12.5</v>
      </c>
      <c r="K2142" s="14" t="n">
        <f aca="false">J2142-H2142</f>
        <v>6.27</v>
      </c>
      <c r="L2142" s="14" t="n">
        <f aca="false">G2142-H2142</f>
        <v>8.27</v>
      </c>
    </row>
    <row r="2143" customFormat="false" ht="15" hidden="false" customHeight="false" outlineLevel="0" collapsed="false">
      <c r="A2143" s="2" t="s">
        <v>184</v>
      </c>
      <c r="B2143" s="2" t="s">
        <v>184</v>
      </c>
      <c r="C2143" s="2" t="s">
        <v>50</v>
      </c>
      <c r="D2143" s="2" t="s">
        <v>13</v>
      </c>
      <c r="E2143" s="2" t="s">
        <v>76</v>
      </c>
      <c r="F2143" s="2" t="s">
        <v>1145</v>
      </c>
      <c r="G2143" s="14" t="n">
        <v>50</v>
      </c>
      <c r="H2143" s="14" t="n">
        <v>89.1</v>
      </c>
      <c r="I2143" s="14" t="n">
        <v>50</v>
      </c>
      <c r="J2143" s="22" t="n">
        <f aca="false">IF(E2143="Priority",'Cost model'!N208,'Cost model'!M208)</f>
        <v>80</v>
      </c>
      <c r="K2143" s="14" t="n">
        <f aca="false">J2143-H2143</f>
        <v>-9.09999999999999</v>
      </c>
      <c r="L2143" s="14" t="n">
        <f aca="false">G2143-H2143</f>
        <v>-39.1</v>
      </c>
    </row>
    <row r="2144" customFormat="false" ht="15" hidden="false" customHeight="false" outlineLevel="0" collapsed="false">
      <c r="A2144" s="2" t="s">
        <v>146</v>
      </c>
      <c r="B2144" s="2" t="s">
        <v>146</v>
      </c>
      <c r="C2144" s="2" t="s">
        <v>48</v>
      </c>
      <c r="D2144" s="2" t="s">
        <v>12</v>
      </c>
      <c r="E2144" s="2" t="s">
        <v>76</v>
      </c>
      <c r="F2144" s="2" t="s">
        <v>1145</v>
      </c>
      <c r="G2144" s="14" t="n">
        <v>9.5</v>
      </c>
      <c r="H2144" s="14" t="n">
        <v>43.59</v>
      </c>
      <c r="I2144" s="14" t="n">
        <v>9.5</v>
      </c>
      <c r="J2144" s="22" t="n">
        <f aca="false">IF(E2144="Priority",'Cost model'!N761,'Cost model'!M761)</f>
        <v>35</v>
      </c>
      <c r="K2144" s="14" t="n">
        <f aca="false">J2144-H2144</f>
        <v>-8.59</v>
      </c>
      <c r="L2144" s="14" t="n">
        <f aca="false">G2144-H2144</f>
        <v>-34.09</v>
      </c>
    </row>
    <row r="2145" customFormat="false" ht="15" hidden="false" customHeight="false" outlineLevel="0" collapsed="false">
      <c r="A2145" s="2" t="s">
        <v>146</v>
      </c>
      <c r="B2145" s="2" t="s">
        <v>126</v>
      </c>
      <c r="C2145" s="2" t="s">
        <v>48</v>
      </c>
      <c r="D2145" s="2" t="s">
        <v>12</v>
      </c>
      <c r="E2145" s="2" t="s">
        <v>76</v>
      </c>
      <c r="F2145" s="2" t="s">
        <v>1146</v>
      </c>
      <c r="G2145" s="14" t="n">
        <v>9.5</v>
      </c>
      <c r="H2145" s="14" t="n">
        <v>21.78</v>
      </c>
      <c r="I2145" s="14" t="n">
        <v>19.5</v>
      </c>
      <c r="J2145" s="22" t="n">
        <f aca="false">IF(E2145="Priority",'Cost model'!N797,'Cost model'!M797)</f>
        <v>40</v>
      </c>
      <c r="K2145" s="14" t="n">
        <f aca="false">J2145-H2145</f>
        <v>18.22</v>
      </c>
      <c r="L2145" s="14" t="n">
        <f aca="false">G2145-H2145</f>
        <v>-12.28</v>
      </c>
    </row>
    <row r="2146" customFormat="false" ht="15" hidden="false" customHeight="false" outlineLevel="0" collapsed="false">
      <c r="A2146" s="2" t="s">
        <v>184</v>
      </c>
      <c r="B2146" s="2" t="s">
        <v>146</v>
      </c>
      <c r="C2146" s="2" t="s">
        <v>49</v>
      </c>
      <c r="D2146" s="2" t="s">
        <v>10</v>
      </c>
      <c r="E2146" s="2" t="s">
        <v>76</v>
      </c>
      <c r="F2146" s="2" t="s">
        <v>1146</v>
      </c>
      <c r="G2146" s="14" t="n">
        <v>17.5</v>
      </c>
      <c r="H2146" s="14" t="n">
        <v>8.92</v>
      </c>
      <c r="I2146" s="14"/>
      <c r="J2146" s="22" t="n">
        <f aca="false">IF(E2146="Priority",'Cost model'!N147,'Cost model'!M147)</f>
        <v>14.5</v>
      </c>
      <c r="K2146" s="14" t="n">
        <f aca="false">J2146-H2146</f>
        <v>5.58</v>
      </c>
      <c r="L2146" s="14" t="n">
        <f aca="false">G2146-H2146</f>
        <v>8.58</v>
      </c>
    </row>
    <row r="2147" customFormat="false" ht="15" hidden="false" customHeight="false" outlineLevel="0" collapsed="false">
      <c r="A2147" s="2" t="s">
        <v>184</v>
      </c>
      <c r="B2147" s="2" t="s">
        <v>184</v>
      </c>
      <c r="C2147" s="2" t="s">
        <v>50</v>
      </c>
      <c r="D2147" s="2" t="s">
        <v>10</v>
      </c>
      <c r="E2147" s="2" t="s">
        <v>76</v>
      </c>
      <c r="F2147" s="2" t="s">
        <v>1145</v>
      </c>
      <c r="G2147" s="14" t="n">
        <v>17.5</v>
      </c>
      <c r="H2147" s="14" t="n">
        <v>10.51</v>
      </c>
      <c r="I2147" s="14" t="n">
        <v>17.5</v>
      </c>
      <c r="J2147" s="22" t="n">
        <f aca="false">IF(E2147="Priority",'Cost model'!N202,'Cost model'!M202)</f>
        <v>17.5</v>
      </c>
      <c r="K2147" s="14" t="n">
        <f aca="false">J2147-H2147</f>
        <v>6.99</v>
      </c>
      <c r="L2147" s="14" t="n">
        <f aca="false">G2147-H2147</f>
        <v>6.99</v>
      </c>
    </row>
    <row r="2148" customFormat="false" ht="15" hidden="false" customHeight="false" outlineLevel="0" collapsed="false">
      <c r="A2148" s="2" t="s">
        <v>126</v>
      </c>
      <c r="B2148" s="2" t="s">
        <v>146</v>
      </c>
      <c r="C2148" s="2" t="s">
        <v>50</v>
      </c>
      <c r="D2148" s="2" t="s">
        <v>12</v>
      </c>
      <c r="E2148" s="2" t="s">
        <v>76</v>
      </c>
      <c r="F2148" s="2" t="s">
        <v>1146</v>
      </c>
      <c r="G2148" s="14" t="n">
        <v>19.5</v>
      </c>
      <c r="H2148" s="14" t="n">
        <v>147.5</v>
      </c>
      <c r="I2148" s="14" t="n">
        <v>19.5</v>
      </c>
      <c r="J2148" s="22" t="n">
        <f aca="false">IF(E2148="Priority",'Cost model'!N403,'Cost model'!M403)</f>
        <v>75</v>
      </c>
      <c r="K2148" s="14" t="n">
        <f aca="false">J2148-H2148</f>
        <v>-72.5</v>
      </c>
      <c r="L2148" s="14" t="n">
        <f aca="false">G2148-H2148</f>
        <v>-128</v>
      </c>
    </row>
    <row r="2149" customFormat="false" ht="15" hidden="false" customHeight="false" outlineLevel="0" collapsed="false">
      <c r="A2149" s="2" t="s">
        <v>184</v>
      </c>
      <c r="B2149" s="2" t="s">
        <v>184</v>
      </c>
      <c r="C2149" s="2" t="s">
        <v>50</v>
      </c>
      <c r="D2149" s="2" t="s">
        <v>12</v>
      </c>
      <c r="E2149" s="2" t="s">
        <v>85</v>
      </c>
      <c r="F2149" s="2" t="s">
        <v>1145</v>
      </c>
      <c r="G2149" s="14" t="n">
        <v>29.5</v>
      </c>
      <c r="H2149" s="14" t="n">
        <v>43.59</v>
      </c>
      <c r="I2149" s="14" t="n">
        <v>29.5</v>
      </c>
      <c r="J2149" s="22" t="n">
        <f aca="false">IF(E2149="Priority",'Cost model'!N205,'Cost model'!M205)</f>
        <v>65</v>
      </c>
      <c r="K2149" s="14" t="n">
        <f aca="false">J2149-H2149</f>
        <v>21.41</v>
      </c>
      <c r="L2149" s="14" t="n">
        <f aca="false">G2149-H2149</f>
        <v>-14.09</v>
      </c>
    </row>
    <row r="2150" customFormat="false" ht="15" hidden="false" customHeight="false" outlineLevel="0" collapsed="false">
      <c r="A2150" s="2" t="s">
        <v>184</v>
      </c>
      <c r="B2150" s="2" t="s">
        <v>126</v>
      </c>
      <c r="C2150" s="2" t="s">
        <v>48</v>
      </c>
      <c r="D2150" s="2" t="s">
        <v>10</v>
      </c>
      <c r="E2150" s="2" t="s">
        <v>76</v>
      </c>
      <c r="F2150" s="2" t="s">
        <v>1146</v>
      </c>
      <c r="G2150" s="14" t="n">
        <v>9.5</v>
      </c>
      <c r="H2150" s="14" t="n">
        <v>7.69</v>
      </c>
      <c r="I2150" s="14" t="n">
        <v>9.5</v>
      </c>
      <c r="J2150" s="22" t="n">
        <f aca="false">IF(E2150="Priority",'Cost model'!N128,'Cost model'!M128)</f>
        <v>10.5</v>
      </c>
      <c r="K2150" s="14" t="n">
        <f aca="false">J2150-H2150</f>
        <v>2.81</v>
      </c>
      <c r="L2150" s="14" t="n">
        <f aca="false">G2150-H2150</f>
        <v>1.81</v>
      </c>
    </row>
    <row r="2151" customFormat="false" ht="15" hidden="false" customHeight="false" outlineLevel="0" collapsed="false">
      <c r="A2151" s="2" t="s">
        <v>240</v>
      </c>
      <c r="B2151" s="2" t="s">
        <v>240</v>
      </c>
      <c r="C2151" s="2" t="s">
        <v>48</v>
      </c>
      <c r="D2151" s="2" t="s">
        <v>10</v>
      </c>
      <c r="E2151" s="2" t="s">
        <v>76</v>
      </c>
      <c r="F2151" s="2" t="s">
        <v>1145</v>
      </c>
      <c r="G2151" s="14" t="n">
        <v>9.5</v>
      </c>
      <c r="H2151" s="14" t="n">
        <v>7.68</v>
      </c>
      <c r="I2151" s="14" t="n">
        <v>9.5</v>
      </c>
      <c r="J2151" s="22" t="n">
        <f aca="false">IF(E2151="Priority",'Cost model'!N884,'Cost model'!M884)</f>
        <v>7.5</v>
      </c>
      <c r="K2151" s="14" t="n">
        <f aca="false">J2151-H2151</f>
        <v>-0.18</v>
      </c>
      <c r="L2151" s="14" t="n">
        <f aca="false">G2151-H2151</f>
        <v>1.82</v>
      </c>
    </row>
    <row r="2152" customFormat="false" ht="15" hidden="false" customHeight="false" outlineLevel="0" collapsed="false">
      <c r="A2152" s="2" t="s">
        <v>184</v>
      </c>
      <c r="B2152" s="2" t="s">
        <v>184</v>
      </c>
      <c r="C2152" s="2" t="s">
        <v>48</v>
      </c>
      <c r="D2152" s="2" t="s">
        <v>12</v>
      </c>
      <c r="E2152" s="2" t="s">
        <v>76</v>
      </c>
      <c r="F2152" s="2" t="s">
        <v>1145</v>
      </c>
      <c r="G2152" s="14" t="n">
        <v>9.5</v>
      </c>
      <c r="H2152" s="14" t="n">
        <v>26.15</v>
      </c>
      <c r="I2152" s="14" t="n">
        <v>9.5</v>
      </c>
      <c r="J2152" s="22" t="n">
        <f aca="false">IF(E2152="Priority",'Cost model'!N203,'Cost model'!M203)</f>
        <v>26.5</v>
      </c>
      <c r="K2152" s="14" t="n">
        <f aca="false">J2152-H2152</f>
        <v>0.350000000000001</v>
      </c>
      <c r="L2152" s="14" t="n">
        <f aca="false">G2152-H2152</f>
        <v>-16.65</v>
      </c>
    </row>
    <row r="2153" customFormat="false" ht="15" hidden="false" customHeight="false" outlineLevel="0" collapsed="false">
      <c r="A2153" s="2" t="s">
        <v>184</v>
      </c>
      <c r="B2153" s="2" t="s">
        <v>184</v>
      </c>
      <c r="C2153" s="2" t="s">
        <v>48</v>
      </c>
      <c r="D2153" s="2" t="s">
        <v>10</v>
      </c>
      <c r="E2153" s="2" t="s">
        <v>76</v>
      </c>
      <c r="F2153" s="2" t="s">
        <v>1145</v>
      </c>
      <c r="G2153" s="14" t="n">
        <v>9.5</v>
      </c>
      <c r="H2153" s="14" t="n">
        <v>6.91</v>
      </c>
      <c r="I2153" s="14" t="n">
        <v>9.5</v>
      </c>
      <c r="J2153" s="22" t="n">
        <f aca="false">IF(E2153="Priority",'Cost model'!N200,'Cost model'!M200)</f>
        <v>7.5</v>
      </c>
      <c r="K2153" s="14" t="n">
        <f aca="false">J2153-H2153</f>
        <v>0.59</v>
      </c>
      <c r="L2153" s="14" t="n">
        <f aca="false">G2153-H2153</f>
        <v>2.59</v>
      </c>
    </row>
    <row r="2154" customFormat="false" ht="15" hidden="false" customHeight="false" outlineLevel="0" collapsed="false">
      <c r="A2154" s="2" t="s">
        <v>184</v>
      </c>
      <c r="B2154" s="2" t="s">
        <v>184</v>
      </c>
      <c r="C2154" s="2" t="s">
        <v>49</v>
      </c>
      <c r="D2154" s="2" t="s">
        <v>12</v>
      </c>
      <c r="E2154" s="2" t="s">
        <v>76</v>
      </c>
      <c r="F2154" s="2" t="s">
        <v>1145</v>
      </c>
      <c r="G2154" s="14" t="n">
        <v>12.5</v>
      </c>
      <c r="H2154" s="14" t="n">
        <v>38.69</v>
      </c>
      <c r="I2154" s="14"/>
      <c r="J2154" s="22" t="n">
        <f aca="false">IF(E2154="Priority",'Cost model'!N204,'Cost model'!M204)</f>
        <v>45</v>
      </c>
      <c r="K2154" s="14" t="n">
        <f aca="false">J2154-H2154</f>
        <v>6.31</v>
      </c>
      <c r="L2154" s="14" t="n">
        <f aca="false">G2154-H2154</f>
        <v>-26.19</v>
      </c>
    </row>
    <row r="2155" customFormat="false" ht="15" hidden="false" customHeight="false" outlineLevel="0" collapsed="false">
      <c r="A2155" s="2" t="s">
        <v>184</v>
      </c>
      <c r="B2155" s="2" t="s">
        <v>184</v>
      </c>
      <c r="C2155" s="2" t="s">
        <v>48</v>
      </c>
      <c r="D2155" s="2" t="s">
        <v>12</v>
      </c>
      <c r="E2155" s="2" t="s">
        <v>76</v>
      </c>
      <c r="F2155" s="2" t="s">
        <v>1145</v>
      </c>
      <c r="G2155" s="14" t="n">
        <v>9.5</v>
      </c>
      <c r="H2155" s="14" t="n">
        <v>42.97</v>
      </c>
      <c r="I2155" s="14" t="n">
        <v>9.5</v>
      </c>
      <c r="J2155" s="22" t="n">
        <f aca="false">IF(E2155="Priority",'Cost model'!N203,'Cost model'!M203)</f>
        <v>26.5</v>
      </c>
      <c r="K2155" s="14" t="n">
        <f aca="false">J2155-H2155</f>
        <v>-16.47</v>
      </c>
      <c r="L2155" s="14" t="n">
        <f aca="false">G2155-H2155</f>
        <v>-33.47</v>
      </c>
    </row>
    <row r="2156" customFormat="false" ht="15" hidden="false" customHeight="false" outlineLevel="0" collapsed="false">
      <c r="A2156" s="2" t="s">
        <v>146</v>
      </c>
      <c r="B2156" s="2" t="s">
        <v>146</v>
      </c>
      <c r="C2156" s="2" t="s">
        <v>48</v>
      </c>
      <c r="D2156" s="2" t="s">
        <v>12</v>
      </c>
      <c r="E2156" s="2" t="s">
        <v>76</v>
      </c>
      <c r="F2156" s="2" t="s">
        <v>1145</v>
      </c>
      <c r="G2156" s="14" t="n">
        <v>9.5</v>
      </c>
      <c r="H2156" s="14" t="n">
        <v>28.5</v>
      </c>
      <c r="I2156" s="14" t="n">
        <v>9.5</v>
      </c>
      <c r="J2156" s="22" t="n">
        <f aca="false">IF(E2156="Priority",'Cost model'!N761,'Cost model'!M761)</f>
        <v>35</v>
      </c>
      <c r="K2156" s="14" t="n">
        <f aca="false">J2156-H2156</f>
        <v>6.5</v>
      </c>
      <c r="L2156" s="14" t="n">
        <f aca="false">G2156-H2156</f>
        <v>-19</v>
      </c>
    </row>
    <row r="2157" customFormat="false" ht="15" hidden="false" customHeight="false" outlineLevel="0" collapsed="false">
      <c r="A2157" s="2" t="s">
        <v>146</v>
      </c>
      <c r="B2157" s="2" t="s">
        <v>165</v>
      </c>
      <c r="C2157" s="2" t="s">
        <v>48</v>
      </c>
      <c r="D2157" s="2" t="s">
        <v>10</v>
      </c>
      <c r="E2157" s="2" t="s">
        <v>85</v>
      </c>
      <c r="F2157" s="2" t="s">
        <v>1146</v>
      </c>
      <c r="G2157" s="14" t="n">
        <v>19.5</v>
      </c>
      <c r="H2157" s="14" t="n">
        <v>19.66</v>
      </c>
      <c r="I2157" s="14" t="n">
        <v>19.5</v>
      </c>
      <c r="J2157" s="22" t="n">
        <f aca="false">IF(E2157="Priority",'Cost model'!N776,'Cost model'!M776)</f>
        <v>18.5</v>
      </c>
      <c r="K2157" s="14" t="n">
        <f aca="false">J2157-H2157</f>
        <v>-1.16</v>
      </c>
      <c r="L2157" s="14" t="n">
        <f aca="false">G2157-H2157</f>
        <v>-0.16</v>
      </c>
    </row>
    <row r="2158" customFormat="false" ht="15" hidden="false" customHeight="false" outlineLevel="0" collapsed="false">
      <c r="A2158" s="2" t="s">
        <v>126</v>
      </c>
      <c r="B2158" s="2" t="s">
        <v>126</v>
      </c>
      <c r="C2158" s="2" t="s">
        <v>49</v>
      </c>
      <c r="D2158" s="2" t="s">
        <v>12</v>
      </c>
      <c r="E2158" s="2" t="s">
        <v>76</v>
      </c>
      <c r="F2158" s="2" t="s">
        <v>1145</v>
      </c>
      <c r="G2158" s="14" t="n">
        <v>12.5</v>
      </c>
      <c r="H2158" s="14" t="n">
        <v>48.45</v>
      </c>
      <c r="I2158" s="14" t="n">
        <v>12.5</v>
      </c>
      <c r="J2158" s="22" t="n">
        <f aca="false">IF(E2158="Priority",'Cost model'!N384,'Cost model'!M384)</f>
        <v>45</v>
      </c>
      <c r="K2158" s="14" t="n">
        <f aca="false">J2158-H2158</f>
        <v>-3.45</v>
      </c>
      <c r="L2158" s="14" t="n">
        <f aca="false">G2158-H2158</f>
        <v>-35.95</v>
      </c>
    </row>
    <row r="2159" customFormat="false" ht="15" hidden="false" customHeight="false" outlineLevel="0" collapsed="false">
      <c r="A2159" s="2" t="s">
        <v>184</v>
      </c>
      <c r="B2159" s="2" t="s">
        <v>184</v>
      </c>
      <c r="C2159" s="2" t="s">
        <v>49</v>
      </c>
      <c r="D2159" s="2" t="s">
        <v>10</v>
      </c>
      <c r="E2159" s="2" t="s">
        <v>76</v>
      </c>
      <c r="F2159" s="2" t="s">
        <v>1145</v>
      </c>
      <c r="G2159" s="14" t="n">
        <v>12.5</v>
      </c>
      <c r="H2159" s="14" t="n">
        <v>9.64</v>
      </c>
      <c r="I2159" s="14"/>
      <c r="J2159" s="22" t="n">
        <f aca="false">IF(E2159="Priority",'Cost model'!N201,'Cost model'!M201)</f>
        <v>12.5</v>
      </c>
      <c r="K2159" s="14" t="n">
        <f aca="false">J2159-H2159</f>
        <v>2.86</v>
      </c>
      <c r="L2159" s="14" t="n">
        <f aca="false">G2159-H2159</f>
        <v>2.86</v>
      </c>
    </row>
    <row r="2160" customFormat="false" ht="15" hidden="false" customHeight="false" outlineLevel="0" collapsed="false">
      <c r="A2160" s="2" t="s">
        <v>240</v>
      </c>
      <c r="B2160" s="2" t="s">
        <v>165</v>
      </c>
      <c r="C2160" s="2" t="s">
        <v>48</v>
      </c>
      <c r="D2160" s="2" t="s">
        <v>12</v>
      </c>
      <c r="E2160" s="2" t="s">
        <v>76</v>
      </c>
      <c r="F2160" s="2" t="s">
        <v>1146</v>
      </c>
      <c r="G2160" s="14" t="n">
        <v>19.5</v>
      </c>
      <c r="H2160" s="14" t="n">
        <v>16.58</v>
      </c>
      <c r="I2160" s="14" t="n">
        <v>19.5</v>
      </c>
      <c r="J2160" s="22" t="n">
        <f aca="false">IF(E2160="Priority",'Cost model'!N905,'Cost model'!M905)</f>
        <v>50</v>
      </c>
      <c r="K2160" s="14" t="n">
        <f aca="false">J2160-H2160</f>
        <v>33.42</v>
      </c>
      <c r="L2160" s="14" t="n">
        <f aca="false">G2160-H2160</f>
        <v>2.92</v>
      </c>
    </row>
    <row r="2161" customFormat="false" ht="15" hidden="false" customHeight="false" outlineLevel="0" collapsed="false">
      <c r="A2161" s="2" t="s">
        <v>146</v>
      </c>
      <c r="B2161" s="2" t="s">
        <v>146</v>
      </c>
      <c r="C2161" s="2" t="s">
        <v>48</v>
      </c>
      <c r="D2161" s="2" t="s">
        <v>13</v>
      </c>
      <c r="E2161" s="2" t="s">
        <v>76</v>
      </c>
      <c r="F2161" s="2" t="s">
        <v>1145</v>
      </c>
      <c r="G2161" s="14" t="n">
        <v>19</v>
      </c>
      <c r="H2161" s="14" t="n">
        <v>66.45</v>
      </c>
      <c r="I2161" s="14" t="n">
        <v>19</v>
      </c>
      <c r="J2161" s="22" t="n">
        <f aca="false">IF(E2161="Priority",'Cost model'!N764,'Cost model'!M764)</f>
        <v>55</v>
      </c>
      <c r="K2161" s="14" t="n">
        <f aca="false">J2161-H2161</f>
        <v>-11.45</v>
      </c>
      <c r="L2161" s="14" t="n">
        <f aca="false">G2161-H2161</f>
        <v>-47.45</v>
      </c>
    </row>
    <row r="2162" customFormat="false" ht="15" hidden="false" customHeight="false" outlineLevel="0" collapsed="false">
      <c r="A2162" s="2" t="s">
        <v>240</v>
      </c>
      <c r="B2162" s="2" t="s">
        <v>240</v>
      </c>
      <c r="C2162" s="2" t="s">
        <v>50</v>
      </c>
      <c r="D2162" s="2" t="s">
        <v>12</v>
      </c>
      <c r="E2162" s="2" t="s">
        <v>76</v>
      </c>
      <c r="F2162" s="2" t="s">
        <v>1145</v>
      </c>
      <c r="G2162" s="14" t="n">
        <v>19.5</v>
      </c>
      <c r="H2162" s="14" t="n">
        <v>17.69</v>
      </c>
      <c r="I2162" s="14" t="n">
        <v>19.5</v>
      </c>
      <c r="J2162" s="22" t="n">
        <f aca="false">IF(E2162="Priority",'Cost model'!N889,'Cost model'!M889)</f>
        <v>60</v>
      </c>
      <c r="K2162" s="14" t="n">
        <f aca="false">J2162-H2162</f>
        <v>42.31</v>
      </c>
      <c r="L2162" s="14" t="n">
        <f aca="false">G2162-H2162</f>
        <v>1.81</v>
      </c>
    </row>
    <row r="2163" customFormat="false" ht="15" hidden="false" customHeight="false" outlineLevel="0" collapsed="false">
      <c r="A2163" s="2" t="s">
        <v>126</v>
      </c>
      <c r="B2163" s="2" t="s">
        <v>184</v>
      </c>
      <c r="C2163" s="2" t="s">
        <v>48</v>
      </c>
      <c r="D2163" s="2" t="s">
        <v>10</v>
      </c>
      <c r="E2163" s="2" t="s">
        <v>76</v>
      </c>
      <c r="F2163" s="2" t="s">
        <v>1146</v>
      </c>
      <c r="G2163" s="14" t="n">
        <v>9.5</v>
      </c>
      <c r="H2163" s="14" t="n">
        <v>7.71</v>
      </c>
      <c r="I2163" s="14" t="n">
        <v>14.5</v>
      </c>
      <c r="J2163" s="22" t="n">
        <f aca="false">IF(E2163="Priority",'Cost model'!N434,'Cost model'!M434)</f>
        <v>13.5</v>
      </c>
      <c r="K2163" s="14" t="n">
        <f aca="false">J2163-H2163</f>
        <v>5.79</v>
      </c>
      <c r="L2163" s="14" t="n">
        <f aca="false">G2163-H2163</f>
        <v>1.79</v>
      </c>
    </row>
    <row r="2164" customFormat="false" ht="15" hidden="false" customHeight="false" outlineLevel="0" collapsed="false">
      <c r="A2164" s="2" t="s">
        <v>165</v>
      </c>
      <c r="B2164" s="2" t="s">
        <v>165</v>
      </c>
      <c r="C2164" s="2" t="s">
        <v>48</v>
      </c>
      <c r="D2164" s="2" t="s">
        <v>12</v>
      </c>
      <c r="E2164" s="2" t="s">
        <v>76</v>
      </c>
      <c r="F2164" s="2" t="s">
        <v>1145</v>
      </c>
      <c r="G2164" s="14" t="n">
        <v>9.5</v>
      </c>
      <c r="H2164" s="14" t="n">
        <v>15.61</v>
      </c>
      <c r="I2164" s="14" t="n">
        <v>9.5</v>
      </c>
      <c r="J2164" s="22" t="n">
        <f aca="false">IF(E2164="Priority",'Cost model'!N509,'Cost model'!M509)</f>
        <v>17.5</v>
      </c>
      <c r="K2164" s="14" t="n">
        <f aca="false">J2164-H2164</f>
        <v>1.89</v>
      </c>
      <c r="L2164" s="14" t="n">
        <f aca="false">G2164-H2164</f>
        <v>-6.11</v>
      </c>
    </row>
    <row r="2165" customFormat="false" ht="15" hidden="false" customHeight="false" outlineLevel="0" collapsed="false">
      <c r="A2165" s="2" t="s">
        <v>126</v>
      </c>
      <c r="B2165" s="2" t="s">
        <v>126</v>
      </c>
      <c r="C2165" s="2" t="s">
        <v>49</v>
      </c>
      <c r="D2165" s="2" t="s">
        <v>12</v>
      </c>
      <c r="E2165" s="2" t="s">
        <v>76</v>
      </c>
      <c r="F2165" s="2" t="s">
        <v>1145</v>
      </c>
      <c r="G2165" s="14" t="n">
        <v>12.5</v>
      </c>
      <c r="H2165" s="14" t="n">
        <v>63.65</v>
      </c>
      <c r="I2165" s="14" t="n">
        <v>12.5</v>
      </c>
      <c r="J2165" s="22" t="n">
        <f aca="false">IF(E2165="Priority",'Cost model'!N384,'Cost model'!M384)</f>
        <v>45</v>
      </c>
      <c r="K2165" s="14" t="n">
        <f aca="false">J2165-H2165</f>
        <v>-18.65</v>
      </c>
      <c r="L2165" s="14" t="n">
        <f aca="false">G2165-H2165</f>
        <v>-51.15</v>
      </c>
    </row>
    <row r="2166" customFormat="false" ht="15" hidden="false" customHeight="false" outlineLevel="0" collapsed="false">
      <c r="A2166" s="2" t="s">
        <v>126</v>
      </c>
      <c r="B2166" s="2" t="s">
        <v>126</v>
      </c>
      <c r="C2166" s="2" t="s">
        <v>49</v>
      </c>
      <c r="D2166" s="2" t="s">
        <v>12</v>
      </c>
      <c r="E2166" s="2" t="s">
        <v>85</v>
      </c>
      <c r="F2166" s="2" t="s">
        <v>1145</v>
      </c>
      <c r="G2166" s="14" t="n">
        <v>19.5</v>
      </c>
      <c r="H2166" s="14" t="n">
        <v>61.15</v>
      </c>
      <c r="I2166" s="14" t="n">
        <v>19.5</v>
      </c>
      <c r="J2166" s="22" t="n">
        <f aca="false">IF(E2166="Priority",'Cost model'!N384,'Cost model'!M384)</f>
        <v>60</v>
      </c>
      <c r="K2166" s="14" t="n">
        <f aca="false">J2166-H2166</f>
        <v>-1.15</v>
      </c>
      <c r="L2166" s="14" t="n">
        <f aca="false">G2166-H2166</f>
        <v>-41.65</v>
      </c>
    </row>
    <row r="2167" customFormat="false" ht="15" hidden="false" customHeight="false" outlineLevel="0" collapsed="false">
      <c r="A2167" s="2" t="s">
        <v>126</v>
      </c>
      <c r="B2167" s="2" t="s">
        <v>126</v>
      </c>
      <c r="C2167" s="2" t="s">
        <v>49</v>
      </c>
      <c r="D2167" s="2" t="s">
        <v>10</v>
      </c>
      <c r="E2167" s="2" t="s">
        <v>85</v>
      </c>
      <c r="F2167" s="2" t="s">
        <v>1145</v>
      </c>
      <c r="G2167" s="14" t="n">
        <v>17.5</v>
      </c>
      <c r="H2167" s="14" t="n">
        <v>20.83</v>
      </c>
      <c r="I2167" s="14" t="n">
        <v>17.5</v>
      </c>
      <c r="J2167" s="22" t="n">
        <f aca="false">IF(E2167="Priority",'Cost model'!N381,'Cost model'!M381)</f>
        <v>19.5</v>
      </c>
      <c r="K2167" s="14" t="n">
        <f aca="false">J2167-H2167</f>
        <v>-1.33</v>
      </c>
      <c r="L2167" s="14" t="n">
        <f aca="false">G2167-H2167</f>
        <v>-3.33</v>
      </c>
    </row>
    <row r="2168" customFormat="false" ht="15" hidden="false" customHeight="false" outlineLevel="0" collapsed="false">
      <c r="A2168" s="2" t="s">
        <v>184</v>
      </c>
      <c r="B2168" s="2" t="s">
        <v>126</v>
      </c>
      <c r="C2168" s="2" t="s">
        <v>49</v>
      </c>
      <c r="D2168" s="2" t="s">
        <v>10</v>
      </c>
      <c r="E2168" s="2" t="s">
        <v>76</v>
      </c>
      <c r="F2168" s="2" t="s">
        <v>1146</v>
      </c>
      <c r="G2168" s="14" t="n">
        <v>12.5</v>
      </c>
      <c r="H2168" s="14" t="n">
        <v>7.37</v>
      </c>
      <c r="I2168" s="14"/>
      <c r="J2168" s="22" t="n">
        <f aca="false">IF(E2168="Priority",'Cost model'!N129,'Cost model'!M129)</f>
        <v>13.5</v>
      </c>
      <c r="K2168" s="14" t="n">
        <f aca="false">J2168-H2168</f>
        <v>6.13</v>
      </c>
      <c r="L2168" s="14" t="n">
        <f aca="false">G2168-H2168</f>
        <v>5.13</v>
      </c>
    </row>
    <row r="2169" customFormat="false" ht="15" hidden="false" customHeight="false" outlineLevel="0" collapsed="false">
      <c r="A2169" s="2" t="s">
        <v>126</v>
      </c>
      <c r="B2169" s="2" t="s">
        <v>126</v>
      </c>
      <c r="C2169" s="2" t="s">
        <v>50</v>
      </c>
      <c r="D2169" s="2" t="s">
        <v>12</v>
      </c>
      <c r="E2169" s="2" t="s">
        <v>76</v>
      </c>
      <c r="F2169" s="2" t="s">
        <v>1145</v>
      </c>
      <c r="G2169" s="14" t="n">
        <v>19.5</v>
      </c>
      <c r="H2169" s="14" t="n">
        <v>56.9</v>
      </c>
      <c r="I2169" s="14" t="n">
        <v>19.5</v>
      </c>
      <c r="J2169" s="22" t="n">
        <f aca="false">IF(E2169="Priority",'Cost model'!N385,'Cost model'!M385)</f>
        <v>55</v>
      </c>
      <c r="K2169" s="14" t="n">
        <f aca="false">J2169-H2169</f>
        <v>-1.9</v>
      </c>
      <c r="L2169" s="14" t="n">
        <f aca="false">G2169-H2169</f>
        <v>-37.4</v>
      </c>
    </row>
    <row r="2170" customFormat="false" ht="15" hidden="false" customHeight="false" outlineLevel="0" collapsed="false">
      <c r="A2170" s="2" t="s">
        <v>184</v>
      </c>
      <c r="B2170" s="2" t="s">
        <v>184</v>
      </c>
      <c r="C2170" s="2" t="s">
        <v>49</v>
      </c>
      <c r="D2170" s="2" t="s">
        <v>10</v>
      </c>
      <c r="E2170" s="2" t="s">
        <v>76</v>
      </c>
      <c r="F2170" s="2" t="s">
        <v>1145</v>
      </c>
      <c r="G2170" s="14" t="n">
        <v>12.5</v>
      </c>
      <c r="H2170" s="14" t="n">
        <v>12.54</v>
      </c>
      <c r="I2170" s="14"/>
      <c r="J2170" s="22" t="n">
        <f aca="false">IF(E2170="Priority",'Cost model'!N201,'Cost model'!M201)</f>
        <v>12.5</v>
      </c>
      <c r="K2170" s="14" t="n">
        <f aca="false">J2170-H2170</f>
        <v>-0.0399999999999992</v>
      </c>
      <c r="L2170" s="14" t="n">
        <f aca="false">G2170-H2170</f>
        <v>-0.0399999999999992</v>
      </c>
    </row>
    <row r="2171" customFormat="false" ht="15" hidden="false" customHeight="false" outlineLevel="0" collapsed="false">
      <c r="A2171" s="2" t="s">
        <v>126</v>
      </c>
      <c r="B2171" s="2" t="s">
        <v>126</v>
      </c>
      <c r="C2171" s="2" t="s">
        <v>48</v>
      </c>
      <c r="D2171" s="2" t="s">
        <v>10</v>
      </c>
      <c r="E2171" s="2" t="s">
        <v>76</v>
      </c>
      <c r="F2171" s="2" t="s">
        <v>1145</v>
      </c>
      <c r="G2171" s="14" t="n">
        <v>9.5</v>
      </c>
      <c r="H2171" s="14" t="n">
        <v>7.43</v>
      </c>
      <c r="I2171" s="14" t="n">
        <v>9.5</v>
      </c>
      <c r="J2171" s="22" t="n">
        <f aca="false">IF(E2171="Priority",'Cost model'!N380,'Cost model'!M380)</f>
        <v>8.5</v>
      </c>
      <c r="K2171" s="14" t="n">
        <f aca="false">J2171-H2171</f>
        <v>1.07</v>
      </c>
      <c r="L2171" s="14" t="n">
        <f aca="false">G2171-H2171</f>
        <v>2.07</v>
      </c>
    </row>
    <row r="2172" customFormat="false" ht="15" hidden="false" customHeight="false" outlineLevel="0" collapsed="false">
      <c r="A2172" s="2" t="s">
        <v>126</v>
      </c>
      <c r="B2172" s="2" t="s">
        <v>126</v>
      </c>
      <c r="C2172" s="2" t="s">
        <v>50</v>
      </c>
      <c r="D2172" s="2" t="s">
        <v>10</v>
      </c>
      <c r="E2172" s="2" t="s">
        <v>76</v>
      </c>
      <c r="F2172" s="2" t="s">
        <v>1145</v>
      </c>
      <c r="G2172" s="14" t="n">
        <v>17.5</v>
      </c>
      <c r="H2172" s="14" t="n">
        <v>10.48</v>
      </c>
      <c r="I2172" s="14" t="n">
        <v>17.5</v>
      </c>
      <c r="J2172" s="22" t="n">
        <f aca="false">IF(E2172="Priority",'Cost model'!N382,'Cost model'!M382)</f>
        <v>18.5</v>
      </c>
      <c r="K2172" s="14" t="n">
        <f aca="false">J2172-H2172</f>
        <v>8.02</v>
      </c>
      <c r="L2172" s="14" t="n">
        <f aca="false">G2172-H2172</f>
        <v>7.02</v>
      </c>
    </row>
    <row r="2173" customFormat="false" ht="15" hidden="false" customHeight="false" outlineLevel="0" collapsed="false">
      <c r="A2173" s="2" t="s">
        <v>126</v>
      </c>
      <c r="B2173" s="2" t="s">
        <v>126</v>
      </c>
      <c r="C2173" s="2" t="s">
        <v>49</v>
      </c>
      <c r="D2173" s="2" t="s">
        <v>13</v>
      </c>
      <c r="E2173" s="2" t="s">
        <v>76</v>
      </c>
      <c r="F2173" s="2" t="s">
        <v>1145</v>
      </c>
      <c r="G2173" s="14" t="n">
        <v>24.5</v>
      </c>
      <c r="H2173" s="14" t="n">
        <v>34.84</v>
      </c>
      <c r="I2173" s="14" t="n">
        <v>24.5</v>
      </c>
      <c r="J2173" s="22" t="n">
        <f aca="false">IF(E2173="Priority",'Cost model'!N387,'Cost model'!M387)</f>
        <v>95</v>
      </c>
      <c r="K2173" s="14" t="n">
        <f aca="false">J2173-H2173</f>
        <v>60.16</v>
      </c>
      <c r="L2173" s="14" t="n">
        <f aca="false">G2173-H2173</f>
        <v>-10.34</v>
      </c>
    </row>
    <row r="2174" customFormat="false" ht="15" hidden="false" customHeight="false" outlineLevel="0" collapsed="false">
      <c r="A2174" s="2" t="s">
        <v>146</v>
      </c>
      <c r="B2174" s="2" t="s">
        <v>184</v>
      </c>
      <c r="C2174" s="2" t="s">
        <v>50</v>
      </c>
      <c r="D2174" s="2" t="s">
        <v>10</v>
      </c>
      <c r="E2174" s="2" t="s">
        <v>76</v>
      </c>
      <c r="F2174" s="2" t="s">
        <v>1146</v>
      </c>
      <c r="G2174" s="14" t="n">
        <v>17.5</v>
      </c>
      <c r="H2174" s="14" t="n">
        <v>10.42</v>
      </c>
      <c r="I2174" s="14" t="n">
        <v>17.5</v>
      </c>
      <c r="J2174" s="22" t="n">
        <f aca="false">IF(E2174="Priority",'Cost model'!N832,'Cost model'!M832)</f>
        <v>15.5</v>
      </c>
      <c r="K2174" s="14" t="n">
        <f aca="false">J2174-H2174</f>
        <v>5.08</v>
      </c>
      <c r="L2174" s="14" t="n">
        <f aca="false">G2174-H2174</f>
        <v>7.08</v>
      </c>
    </row>
    <row r="2175" customFormat="false" ht="15" hidden="false" customHeight="false" outlineLevel="0" collapsed="false">
      <c r="A2175" s="2" t="s">
        <v>221</v>
      </c>
      <c r="B2175" s="2" t="s">
        <v>146</v>
      </c>
      <c r="C2175" s="2" t="s">
        <v>49</v>
      </c>
      <c r="D2175" s="2" t="s">
        <v>12</v>
      </c>
      <c r="E2175" s="2" t="s">
        <v>85</v>
      </c>
      <c r="F2175" s="2" t="s">
        <v>1146</v>
      </c>
      <c r="G2175" s="14" t="n">
        <v>24.5</v>
      </c>
      <c r="H2175" s="14" t="n">
        <v>59.29</v>
      </c>
      <c r="I2175" s="14" t="n">
        <v>24.5</v>
      </c>
      <c r="J2175" s="22" t="n">
        <f aca="false">IF(E2175="Priority",'Cost model'!N654,'Cost model'!M654)</f>
        <v>105</v>
      </c>
      <c r="K2175" s="14" t="n">
        <f aca="false">J2175-H2175</f>
        <v>45.71</v>
      </c>
      <c r="L2175" s="14" t="n">
        <f aca="false">G2175-H2175</f>
        <v>-34.79</v>
      </c>
    </row>
    <row r="2176" customFormat="false" ht="15" hidden="false" customHeight="false" outlineLevel="0" collapsed="false">
      <c r="A2176" s="2" t="s">
        <v>165</v>
      </c>
      <c r="B2176" s="2" t="s">
        <v>165</v>
      </c>
      <c r="C2176" s="2" t="s">
        <v>50</v>
      </c>
      <c r="D2176" s="2" t="s">
        <v>10</v>
      </c>
      <c r="E2176" s="2" t="s">
        <v>76</v>
      </c>
      <c r="F2176" s="2" t="s">
        <v>1145</v>
      </c>
      <c r="G2176" s="14" t="n">
        <v>17.5</v>
      </c>
      <c r="H2176" s="14" t="n">
        <v>17.31</v>
      </c>
      <c r="I2176" s="14" t="n">
        <v>17.5</v>
      </c>
      <c r="J2176" s="22" t="n">
        <f aca="false">IF(E2176="Priority",'Cost model'!N508,'Cost model'!M508)</f>
        <v>17.5</v>
      </c>
      <c r="K2176" s="14" t="n">
        <f aca="false">J2176-H2176</f>
        <v>0.190000000000001</v>
      </c>
      <c r="L2176" s="14" t="n">
        <f aca="false">G2176-H2176</f>
        <v>0.190000000000001</v>
      </c>
    </row>
    <row r="2177" customFormat="false" ht="15" hidden="false" customHeight="false" outlineLevel="0" collapsed="false">
      <c r="A2177" s="2" t="s">
        <v>146</v>
      </c>
      <c r="B2177" s="2" t="s">
        <v>146</v>
      </c>
      <c r="C2177" s="2" t="s">
        <v>50</v>
      </c>
      <c r="D2177" s="2" t="s">
        <v>12</v>
      </c>
      <c r="E2177" s="2" t="s">
        <v>76</v>
      </c>
      <c r="F2177" s="2" t="s">
        <v>1145</v>
      </c>
      <c r="G2177" s="14" t="n">
        <v>19.5</v>
      </c>
      <c r="H2177" s="14" t="n">
        <v>43.25</v>
      </c>
      <c r="I2177" s="14" t="n">
        <v>19.5</v>
      </c>
      <c r="J2177" s="22" t="n">
        <f aca="false">IF(E2177="Priority",'Cost model'!N763,'Cost model'!M763)</f>
        <v>50</v>
      </c>
      <c r="K2177" s="14" t="n">
        <f aca="false">J2177-H2177</f>
        <v>6.75</v>
      </c>
      <c r="L2177" s="14" t="n">
        <f aca="false">G2177-H2177</f>
        <v>-23.75</v>
      </c>
    </row>
    <row r="2178" customFormat="false" ht="15" hidden="false" customHeight="false" outlineLevel="0" collapsed="false">
      <c r="A2178" s="2" t="s">
        <v>184</v>
      </c>
      <c r="B2178" s="2" t="s">
        <v>184</v>
      </c>
      <c r="C2178" s="2" t="s">
        <v>48</v>
      </c>
      <c r="D2178" s="2" t="s">
        <v>14</v>
      </c>
      <c r="E2178" s="2" t="s">
        <v>76</v>
      </c>
      <c r="F2178" s="2" t="s">
        <v>1145</v>
      </c>
      <c r="G2178" s="14" t="n">
        <v>25</v>
      </c>
      <c r="H2178" s="14" t="n">
        <v>112.28</v>
      </c>
      <c r="I2178" s="14" t="n">
        <v>25</v>
      </c>
      <c r="J2178" s="22" t="n">
        <f aca="false">IF(E2178="Priority",'Cost model'!N209,'Cost model'!M209)</f>
        <v>105</v>
      </c>
      <c r="K2178" s="14" t="n">
        <f aca="false">J2178-H2178</f>
        <v>-7.28</v>
      </c>
      <c r="L2178" s="14" t="n">
        <f aca="false">G2178-H2178</f>
        <v>-87.28</v>
      </c>
    </row>
    <row r="2179" customFormat="false" ht="15" hidden="false" customHeight="false" outlineLevel="0" collapsed="false">
      <c r="A2179" s="2" t="s">
        <v>146</v>
      </c>
      <c r="B2179" s="2" t="s">
        <v>165</v>
      </c>
      <c r="C2179" s="2" t="s">
        <v>49</v>
      </c>
      <c r="D2179" s="2" t="s">
        <v>10</v>
      </c>
      <c r="E2179" s="2" t="s">
        <v>76</v>
      </c>
      <c r="F2179" s="2" t="s">
        <v>1146</v>
      </c>
      <c r="G2179" s="14" t="n">
        <v>12.5</v>
      </c>
      <c r="H2179" s="14" t="n">
        <v>19.56</v>
      </c>
      <c r="I2179" s="14" t="n">
        <v>14.5</v>
      </c>
      <c r="J2179" s="22" t="n">
        <f aca="false">IF(E2179="Priority",'Cost model'!N777,'Cost model'!M777)</f>
        <v>16.5</v>
      </c>
      <c r="K2179" s="14" t="n">
        <f aca="false">J2179-H2179</f>
        <v>-3.06</v>
      </c>
      <c r="L2179" s="14" t="n">
        <f aca="false">G2179-H2179</f>
        <v>-7.06</v>
      </c>
    </row>
    <row r="2180" customFormat="false" ht="15" hidden="false" customHeight="false" outlineLevel="0" collapsed="false">
      <c r="A2180" s="2" t="s">
        <v>146</v>
      </c>
      <c r="B2180" s="2" t="s">
        <v>146</v>
      </c>
      <c r="C2180" s="2" t="s">
        <v>50</v>
      </c>
      <c r="D2180" s="2" t="s">
        <v>12</v>
      </c>
      <c r="E2180" s="2" t="s">
        <v>76</v>
      </c>
      <c r="F2180" s="2" t="s">
        <v>1145</v>
      </c>
      <c r="G2180" s="14" t="n">
        <v>19.5</v>
      </c>
      <c r="H2180" s="14" t="n">
        <v>61.93</v>
      </c>
      <c r="I2180" s="14" t="n">
        <v>19.5</v>
      </c>
      <c r="J2180" s="22" t="n">
        <f aca="false">IF(E2180="Priority",'Cost model'!N763,'Cost model'!M763)</f>
        <v>50</v>
      </c>
      <c r="K2180" s="14" t="n">
        <f aca="false">J2180-H2180</f>
        <v>-11.93</v>
      </c>
      <c r="L2180" s="14" t="n">
        <f aca="false">G2180-H2180</f>
        <v>-42.43</v>
      </c>
    </row>
    <row r="2181" customFormat="false" ht="15" hidden="false" customHeight="false" outlineLevel="0" collapsed="false">
      <c r="A2181" s="2" t="s">
        <v>125</v>
      </c>
      <c r="B2181" s="2" t="s">
        <v>184</v>
      </c>
      <c r="C2181" s="2" t="s">
        <v>48</v>
      </c>
      <c r="D2181" s="2" t="s">
        <v>12</v>
      </c>
      <c r="E2181" s="2" t="s">
        <v>76</v>
      </c>
      <c r="F2181" s="2" t="s">
        <v>1146</v>
      </c>
      <c r="G2181" s="14" t="n">
        <v>19.5</v>
      </c>
      <c r="H2181" s="14" t="n">
        <v>68.49</v>
      </c>
      <c r="I2181" s="14" t="n">
        <v>19.5</v>
      </c>
      <c r="J2181" s="22" t="n">
        <f aca="false">IF(E2181="Priority",'Cost model'!N59,'Cost model'!M59)</f>
        <v>45</v>
      </c>
      <c r="K2181" s="14" t="n">
        <f aca="false">J2181-H2181</f>
        <v>-23.49</v>
      </c>
      <c r="L2181" s="14" t="n">
        <f aca="false">G2181-H2181</f>
        <v>-48.99</v>
      </c>
    </row>
    <row r="2182" customFormat="false" ht="15" hidden="false" customHeight="false" outlineLevel="0" collapsed="false">
      <c r="A2182" s="2" t="s">
        <v>184</v>
      </c>
      <c r="B2182" s="2" t="s">
        <v>184</v>
      </c>
      <c r="C2182" s="2" t="s">
        <v>50</v>
      </c>
      <c r="D2182" s="2" t="s">
        <v>10</v>
      </c>
      <c r="E2182" s="2" t="s">
        <v>76</v>
      </c>
      <c r="F2182" s="2" t="s">
        <v>1145</v>
      </c>
      <c r="G2182" s="14" t="n">
        <v>17.5</v>
      </c>
      <c r="H2182" s="14" t="n">
        <v>23.58</v>
      </c>
      <c r="I2182" s="14" t="n">
        <v>17.5</v>
      </c>
      <c r="J2182" s="22" t="n">
        <f aca="false">IF(E2182="Priority",'Cost model'!N202,'Cost model'!M202)</f>
        <v>17.5</v>
      </c>
      <c r="K2182" s="14" t="n">
        <f aca="false">J2182-H2182</f>
        <v>-6.08</v>
      </c>
      <c r="L2182" s="14" t="n">
        <f aca="false">G2182-H2182</f>
        <v>-6.08</v>
      </c>
    </row>
    <row r="2183" customFormat="false" ht="15" hidden="false" customHeight="false" outlineLevel="0" collapsed="false">
      <c r="A2183" s="2" t="s">
        <v>240</v>
      </c>
      <c r="B2183" s="2" t="s">
        <v>146</v>
      </c>
      <c r="C2183" s="2" t="s">
        <v>48</v>
      </c>
      <c r="D2183" s="2" t="s">
        <v>10</v>
      </c>
      <c r="E2183" s="2" t="s">
        <v>76</v>
      </c>
      <c r="F2183" s="2" t="s">
        <v>1146</v>
      </c>
      <c r="G2183" s="14" t="n">
        <v>19.5</v>
      </c>
      <c r="H2183" s="14" t="n">
        <v>5.95</v>
      </c>
      <c r="I2183" s="14" t="n">
        <v>19.5</v>
      </c>
      <c r="J2183" s="22" t="n">
        <f aca="false">IF(E2183="Priority",'Cost model'!N920,'Cost model'!M920)</f>
        <v>16.5</v>
      </c>
      <c r="K2183" s="14" t="n">
        <f aca="false">J2183-H2183</f>
        <v>10.55</v>
      </c>
      <c r="L2183" s="14" t="n">
        <f aca="false">G2183-H2183</f>
        <v>13.55</v>
      </c>
    </row>
    <row r="2184" customFormat="false" ht="15" hidden="false" customHeight="false" outlineLevel="0" collapsed="false">
      <c r="A2184" s="2" t="s">
        <v>126</v>
      </c>
      <c r="B2184" s="2" t="s">
        <v>146</v>
      </c>
      <c r="C2184" s="2" t="s">
        <v>48</v>
      </c>
      <c r="D2184" s="2" t="s">
        <v>12</v>
      </c>
      <c r="E2184" s="2" t="s">
        <v>76</v>
      </c>
      <c r="F2184" s="2" t="s">
        <v>1146</v>
      </c>
      <c r="G2184" s="14" t="n">
        <v>19.5</v>
      </c>
      <c r="H2184" s="14" t="n">
        <v>99.75</v>
      </c>
      <c r="I2184" s="14" t="n">
        <v>19.5</v>
      </c>
      <c r="J2184" s="22" t="n">
        <f aca="false">IF(E2184="Priority",'Cost model'!N401,'Cost model'!M401)</f>
        <v>60</v>
      </c>
      <c r="K2184" s="14" t="n">
        <f aca="false">J2184-H2184</f>
        <v>-39.75</v>
      </c>
      <c r="L2184" s="14" t="n">
        <f aca="false">G2184-H2184</f>
        <v>-80.25</v>
      </c>
    </row>
    <row r="2185" customFormat="false" ht="15" hidden="false" customHeight="false" outlineLevel="0" collapsed="false">
      <c r="A2185" s="2" t="s">
        <v>146</v>
      </c>
      <c r="B2185" s="2" t="s">
        <v>240</v>
      </c>
      <c r="C2185" s="2" t="s">
        <v>50</v>
      </c>
      <c r="D2185" s="2" t="s">
        <v>14</v>
      </c>
      <c r="E2185" s="2" t="s">
        <v>76</v>
      </c>
      <c r="F2185" s="2" t="s">
        <v>1146</v>
      </c>
      <c r="G2185" s="14" t="n">
        <v>85</v>
      </c>
      <c r="H2185" s="14" t="n">
        <v>180.86</v>
      </c>
      <c r="I2185" s="14" t="n">
        <v>250</v>
      </c>
      <c r="J2185" s="22" t="n">
        <f aca="false">IF(E2185="Priority",'Cost model'!N823,'Cost model'!M823)</f>
        <v>200</v>
      </c>
      <c r="K2185" s="14" t="n">
        <f aca="false">J2185-H2185</f>
        <v>19.14</v>
      </c>
      <c r="L2185" s="14" t="n">
        <f aca="false">G2185-H2185</f>
        <v>-95.86</v>
      </c>
    </row>
    <row r="2186" customFormat="false" ht="15" hidden="false" customHeight="false" outlineLevel="0" collapsed="false">
      <c r="A2186" s="2" t="s">
        <v>146</v>
      </c>
      <c r="B2186" s="2" t="s">
        <v>146</v>
      </c>
      <c r="C2186" s="2" t="s">
        <v>50</v>
      </c>
      <c r="D2186" s="2" t="s">
        <v>13</v>
      </c>
      <c r="E2186" s="2" t="s">
        <v>76</v>
      </c>
      <c r="F2186" s="2" t="s">
        <v>1145</v>
      </c>
      <c r="G2186" s="14" t="n">
        <v>50</v>
      </c>
      <c r="H2186" s="14" t="n">
        <v>67</v>
      </c>
      <c r="I2186" s="14" t="n">
        <v>50</v>
      </c>
      <c r="J2186" s="22" t="n">
        <f aca="false">IF(E2186="Priority",'Cost model'!N766,'Cost model'!M766)</f>
        <v>90</v>
      </c>
      <c r="K2186" s="14" t="n">
        <f aca="false">J2186-H2186</f>
        <v>23</v>
      </c>
      <c r="L2186" s="14" t="n">
        <f aca="false">G2186-H2186</f>
        <v>-17</v>
      </c>
    </row>
    <row r="2187" customFormat="false" ht="15" hidden="false" customHeight="false" outlineLevel="0" collapsed="false">
      <c r="A2187" s="2" t="s">
        <v>385</v>
      </c>
      <c r="B2187" s="2" t="s">
        <v>165</v>
      </c>
      <c r="C2187" s="2" t="s">
        <v>48</v>
      </c>
      <c r="D2187" s="2" t="s">
        <v>12</v>
      </c>
      <c r="E2187" s="2" t="s">
        <v>76</v>
      </c>
      <c r="F2187" s="2" t="s">
        <v>1146</v>
      </c>
      <c r="G2187" s="14" t="n">
        <v>24.5</v>
      </c>
      <c r="H2187" s="14" t="n">
        <v>45.98</v>
      </c>
      <c r="I2187" s="14" t="n">
        <v>24.5</v>
      </c>
      <c r="J2187" s="22" t="n">
        <f aca="false">IF(E2187="Priority",'Cost model'!N257,'Cost model'!M257)</f>
        <v>60</v>
      </c>
      <c r="K2187" s="14" t="n">
        <f aca="false">J2187-H2187</f>
        <v>14.02</v>
      </c>
      <c r="L2187" s="14" t="n">
        <f aca="false">G2187-H2187</f>
        <v>-21.48</v>
      </c>
    </row>
    <row r="2188" customFormat="false" ht="15" hidden="false" customHeight="false" outlineLevel="0" collapsed="false">
      <c r="A2188" s="2" t="s">
        <v>165</v>
      </c>
      <c r="B2188" s="2" t="s">
        <v>126</v>
      </c>
      <c r="C2188" s="2" t="s">
        <v>48</v>
      </c>
      <c r="D2188" s="2" t="s">
        <v>12</v>
      </c>
      <c r="E2188" s="2" t="s">
        <v>85</v>
      </c>
      <c r="F2188" s="2" t="s">
        <v>1146</v>
      </c>
      <c r="G2188" s="14" t="n">
        <v>24.5</v>
      </c>
      <c r="H2188" s="14" t="n">
        <v>61.05</v>
      </c>
      <c r="I2188" s="14" t="n">
        <v>24.5</v>
      </c>
      <c r="J2188" s="22" t="n">
        <f aca="false">IF(E2188="Priority",'Cost model'!N545,'Cost model'!M545)</f>
        <v>65</v>
      </c>
      <c r="K2188" s="14" t="n">
        <f aca="false">J2188-H2188</f>
        <v>3.95</v>
      </c>
      <c r="L2188" s="14" t="n">
        <f aca="false">G2188-H2188</f>
        <v>-36.55</v>
      </c>
    </row>
    <row r="2189" customFormat="false" ht="15" hidden="false" customHeight="false" outlineLevel="0" collapsed="false">
      <c r="A2189" s="2" t="s">
        <v>146</v>
      </c>
      <c r="B2189" s="2" t="s">
        <v>146</v>
      </c>
      <c r="C2189" s="2" t="s">
        <v>48</v>
      </c>
      <c r="D2189" s="2" t="s">
        <v>12</v>
      </c>
      <c r="E2189" s="2" t="s">
        <v>85</v>
      </c>
      <c r="F2189" s="2" t="s">
        <v>1145</v>
      </c>
      <c r="G2189" s="14" t="n">
        <v>19.5</v>
      </c>
      <c r="H2189" s="14" t="n">
        <v>30.61</v>
      </c>
      <c r="I2189" s="14" t="n">
        <v>19.5</v>
      </c>
      <c r="J2189" s="22" t="n">
        <f aca="false">IF(E2189="Priority",'Cost model'!N761,'Cost model'!M761)</f>
        <v>45</v>
      </c>
      <c r="K2189" s="14" t="n">
        <f aca="false">J2189-H2189</f>
        <v>14.39</v>
      </c>
      <c r="L2189" s="14" t="n">
        <f aca="false">G2189-H2189</f>
        <v>-11.11</v>
      </c>
    </row>
    <row r="2190" customFormat="false" ht="15" hidden="false" customHeight="false" outlineLevel="0" collapsed="false">
      <c r="A2190" s="2" t="s">
        <v>146</v>
      </c>
      <c r="B2190" s="2" t="s">
        <v>146</v>
      </c>
      <c r="C2190" s="2" t="s">
        <v>49</v>
      </c>
      <c r="D2190" s="2" t="s">
        <v>12</v>
      </c>
      <c r="E2190" s="2" t="s">
        <v>76</v>
      </c>
      <c r="F2190" s="2" t="s">
        <v>1145</v>
      </c>
      <c r="G2190" s="14" t="n">
        <v>12.5</v>
      </c>
      <c r="H2190" s="14" t="n">
        <v>13.34</v>
      </c>
      <c r="I2190" s="14" t="n">
        <v>12.5</v>
      </c>
      <c r="J2190" s="22" t="n">
        <f aca="false">IF(E2190="Priority",'Cost model'!N762,'Cost model'!M762)</f>
        <v>45</v>
      </c>
      <c r="K2190" s="14" t="n">
        <f aca="false">J2190-H2190</f>
        <v>31.66</v>
      </c>
      <c r="L2190" s="14" t="n">
        <f aca="false">G2190-H2190</f>
        <v>-0.84</v>
      </c>
    </row>
    <row r="2191" customFormat="false" ht="15" hidden="false" customHeight="false" outlineLevel="0" collapsed="false">
      <c r="A2191" s="2" t="s">
        <v>165</v>
      </c>
      <c r="B2191" s="2" t="s">
        <v>146</v>
      </c>
      <c r="C2191" s="2" t="s">
        <v>48</v>
      </c>
      <c r="D2191" s="2" t="s">
        <v>12</v>
      </c>
      <c r="E2191" s="2" t="s">
        <v>85</v>
      </c>
      <c r="F2191" s="2" t="s">
        <v>1146</v>
      </c>
      <c r="G2191" s="14" t="n">
        <v>24.5</v>
      </c>
      <c r="H2191" s="14" t="n">
        <v>41.18</v>
      </c>
      <c r="I2191" s="14" t="n">
        <v>24.5</v>
      </c>
      <c r="J2191" s="22" t="n">
        <f aca="false">IF(E2191="Priority",'Cost model'!N527,'Cost model'!M527)</f>
        <v>70</v>
      </c>
      <c r="K2191" s="14" t="n">
        <f aca="false">J2191-H2191</f>
        <v>28.82</v>
      </c>
      <c r="L2191" s="14" t="n">
        <f aca="false">G2191-H2191</f>
        <v>-16.68</v>
      </c>
    </row>
    <row r="2192" customFormat="false" ht="15" hidden="false" customHeight="false" outlineLevel="0" collapsed="false">
      <c r="A2192" s="2" t="s">
        <v>165</v>
      </c>
      <c r="B2192" s="2" t="s">
        <v>165</v>
      </c>
      <c r="C2192" s="2" t="s">
        <v>50</v>
      </c>
      <c r="D2192" s="2" t="s">
        <v>10</v>
      </c>
      <c r="E2192" s="2" t="s">
        <v>85</v>
      </c>
      <c r="F2192" s="2" t="s">
        <v>1145</v>
      </c>
      <c r="G2192" s="14" t="n">
        <v>24.5</v>
      </c>
      <c r="H2192" s="14" t="n">
        <v>20.83</v>
      </c>
      <c r="I2192" s="14" t="n">
        <v>24.5</v>
      </c>
      <c r="J2192" s="22" t="n">
        <f aca="false">IF(E2192="Priority",'Cost model'!N508,'Cost model'!M508)</f>
        <v>23.5</v>
      </c>
      <c r="K2192" s="14" t="n">
        <f aca="false">J2192-H2192</f>
        <v>2.67</v>
      </c>
      <c r="L2192" s="14" t="n">
        <f aca="false">G2192-H2192</f>
        <v>3.67</v>
      </c>
    </row>
    <row r="2193" customFormat="false" ht="15" hidden="false" customHeight="false" outlineLevel="0" collapsed="false">
      <c r="A2193" s="2" t="s">
        <v>184</v>
      </c>
      <c r="B2193" s="2" t="s">
        <v>184</v>
      </c>
      <c r="C2193" s="2" t="s">
        <v>49</v>
      </c>
      <c r="D2193" s="2" t="s">
        <v>12</v>
      </c>
      <c r="E2193" s="2" t="s">
        <v>76</v>
      </c>
      <c r="F2193" s="2" t="s">
        <v>1145</v>
      </c>
      <c r="G2193" s="14" t="n">
        <v>19.5</v>
      </c>
      <c r="H2193" s="14" t="n">
        <v>46.78</v>
      </c>
      <c r="I2193" s="14"/>
      <c r="J2193" s="22" t="n">
        <f aca="false">IF(E2193="Priority",'Cost model'!N204,'Cost model'!M204)</f>
        <v>45</v>
      </c>
      <c r="K2193" s="14" t="n">
        <f aca="false">J2193-H2193</f>
        <v>-1.78</v>
      </c>
      <c r="L2193" s="14" t="n">
        <f aca="false">G2193-H2193</f>
        <v>-27.28</v>
      </c>
    </row>
    <row r="2194" customFormat="false" ht="15" hidden="false" customHeight="false" outlineLevel="0" collapsed="false">
      <c r="A2194" s="2" t="s">
        <v>184</v>
      </c>
      <c r="B2194" s="2" t="s">
        <v>184</v>
      </c>
      <c r="C2194" s="2" t="s">
        <v>50</v>
      </c>
      <c r="D2194" s="2" t="s">
        <v>12</v>
      </c>
      <c r="E2194" s="2" t="s">
        <v>76</v>
      </c>
      <c r="F2194" s="2" t="s">
        <v>1145</v>
      </c>
      <c r="G2194" s="14" t="n">
        <v>19.5</v>
      </c>
      <c r="H2194" s="14" t="n">
        <v>80.94</v>
      </c>
      <c r="I2194" s="14" t="n">
        <v>19.5</v>
      </c>
      <c r="J2194" s="22" t="n">
        <f aca="false">IF(E2194="Priority",'Cost model'!N205,'Cost model'!M205)</f>
        <v>50</v>
      </c>
      <c r="K2194" s="14" t="n">
        <f aca="false">J2194-H2194</f>
        <v>-30.94</v>
      </c>
      <c r="L2194" s="14" t="n">
        <f aca="false">G2194-H2194</f>
        <v>-61.44</v>
      </c>
    </row>
    <row r="2195" customFormat="false" ht="15" hidden="false" customHeight="false" outlineLevel="0" collapsed="false">
      <c r="A2195" s="2" t="s">
        <v>146</v>
      </c>
      <c r="B2195" s="2" t="s">
        <v>165</v>
      </c>
      <c r="C2195" s="2" t="s">
        <v>50</v>
      </c>
      <c r="D2195" s="2" t="s">
        <v>10</v>
      </c>
      <c r="E2195" s="2" t="s">
        <v>76</v>
      </c>
      <c r="F2195" s="2" t="s">
        <v>1146</v>
      </c>
      <c r="G2195" s="14" t="n">
        <v>12.5</v>
      </c>
      <c r="H2195" s="14" t="n">
        <v>15.22</v>
      </c>
      <c r="I2195" s="14" t="n">
        <v>17.5</v>
      </c>
      <c r="J2195" s="22" t="n">
        <f aca="false">IF(E2195="Priority",'Cost model'!N778,'Cost model'!M778)</f>
        <v>19.5</v>
      </c>
      <c r="K2195" s="14" t="n">
        <f aca="false">J2195-H2195</f>
        <v>4.28</v>
      </c>
      <c r="L2195" s="14" t="n">
        <f aca="false">G2195-H2195</f>
        <v>-2.72</v>
      </c>
    </row>
    <row r="2196" customFormat="false" ht="15" hidden="false" customHeight="false" outlineLevel="0" collapsed="false">
      <c r="A2196" s="2" t="s">
        <v>126</v>
      </c>
      <c r="B2196" s="2" t="s">
        <v>126</v>
      </c>
      <c r="C2196" s="2" t="s">
        <v>49</v>
      </c>
      <c r="D2196" s="2" t="s">
        <v>10</v>
      </c>
      <c r="E2196" s="2" t="s">
        <v>76</v>
      </c>
      <c r="F2196" s="2" t="s">
        <v>1145</v>
      </c>
      <c r="G2196" s="14" t="n">
        <v>12.5</v>
      </c>
      <c r="H2196" s="14" t="n">
        <v>7.71</v>
      </c>
      <c r="I2196" s="14" t="n">
        <v>12.5</v>
      </c>
      <c r="J2196" s="22" t="n">
        <f aca="false">IF(E2196="Priority",'Cost model'!N381,'Cost model'!M381)</f>
        <v>14.5</v>
      </c>
      <c r="K2196" s="14" t="n">
        <f aca="false">J2196-H2196</f>
        <v>6.79</v>
      </c>
      <c r="L2196" s="14" t="n">
        <f aca="false">G2196-H2196</f>
        <v>4.79</v>
      </c>
    </row>
    <row r="2197" customFormat="false" ht="15" hidden="false" customHeight="false" outlineLevel="0" collapsed="false">
      <c r="A2197" s="2" t="s">
        <v>146</v>
      </c>
      <c r="B2197" s="2" t="s">
        <v>146</v>
      </c>
      <c r="C2197" s="2" t="s">
        <v>48</v>
      </c>
      <c r="D2197" s="2" t="s">
        <v>10</v>
      </c>
      <c r="E2197" s="2" t="s">
        <v>76</v>
      </c>
      <c r="F2197" s="2" t="s">
        <v>1145</v>
      </c>
      <c r="G2197" s="14" t="n">
        <v>9.5</v>
      </c>
      <c r="H2197" s="14" t="n">
        <v>8.09</v>
      </c>
      <c r="I2197" s="14" t="n">
        <v>9.5</v>
      </c>
      <c r="J2197" s="22" t="n">
        <f aca="false">IF(E2197="Priority",'Cost model'!N758,'Cost model'!M758)</f>
        <v>9.5</v>
      </c>
      <c r="K2197" s="14" t="n">
        <f aca="false">J2197-H2197</f>
        <v>1.41</v>
      </c>
      <c r="L2197" s="14" t="n">
        <f aca="false">G2197-H2197</f>
        <v>1.41</v>
      </c>
    </row>
    <row r="2198" customFormat="false" ht="15" hidden="false" customHeight="false" outlineLevel="0" collapsed="false">
      <c r="A2198" s="2" t="s">
        <v>146</v>
      </c>
      <c r="B2198" s="2" t="s">
        <v>146</v>
      </c>
      <c r="C2198" s="2" t="s">
        <v>49</v>
      </c>
      <c r="D2198" s="2" t="s">
        <v>12</v>
      </c>
      <c r="E2198" s="2" t="s">
        <v>76</v>
      </c>
      <c r="F2198" s="2" t="s">
        <v>1145</v>
      </c>
      <c r="G2198" s="14" t="n">
        <v>14.5</v>
      </c>
      <c r="H2198" s="14" t="n">
        <v>60.74</v>
      </c>
      <c r="I2198" s="14" t="n">
        <v>12.5</v>
      </c>
      <c r="J2198" s="22" t="n">
        <f aca="false">IF(E2198="Priority",'Cost model'!N762,'Cost model'!M762)</f>
        <v>45</v>
      </c>
      <c r="K2198" s="14" t="n">
        <f aca="false">J2198-H2198</f>
        <v>-15.74</v>
      </c>
      <c r="L2198" s="14" t="n">
        <f aca="false">G2198-H2198</f>
        <v>-46.24</v>
      </c>
    </row>
    <row r="2199" customFormat="false" ht="15" hidden="false" customHeight="false" outlineLevel="0" collapsed="false">
      <c r="A2199" s="2" t="s">
        <v>126</v>
      </c>
      <c r="B2199" s="2" t="s">
        <v>126</v>
      </c>
      <c r="C2199" s="2" t="s">
        <v>48</v>
      </c>
      <c r="D2199" s="2" t="s">
        <v>10</v>
      </c>
      <c r="E2199" s="2" t="s">
        <v>76</v>
      </c>
      <c r="F2199" s="2" t="s">
        <v>1145</v>
      </c>
      <c r="G2199" s="14" t="n">
        <v>9.5</v>
      </c>
      <c r="H2199" s="14" t="n">
        <v>21.34</v>
      </c>
      <c r="I2199" s="14" t="n">
        <v>9.5</v>
      </c>
      <c r="J2199" s="22" t="n">
        <f aca="false">IF(E2199="Priority",'Cost model'!N380,'Cost model'!M380)</f>
        <v>8.5</v>
      </c>
      <c r="K2199" s="14" t="n">
        <f aca="false">J2199-H2199</f>
        <v>-12.84</v>
      </c>
      <c r="L2199" s="14" t="n">
        <f aca="false">G2199-H2199</f>
        <v>-11.84</v>
      </c>
    </row>
    <row r="2200" customFormat="false" ht="15" hidden="false" customHeight="false" outlineLevel="0" collapsed="false">
      <c r="A2200" s="2" t="s">
        <v>184</v>
      </c>
      <c r="B2200" s="2" t="s">
        <v>126</v>
      </c>
      <c r="C2200" s="2" t="s">
        <v>48</v>
      </c>
      <c r="D2200" s="2" t="s">
        <v>10</v>
      </c>
      <c r="E2200" s="2" t="s">
        <v>76</v>
      </c>
      <c r="F2200" s="2" t="s">
        <v>1146</v>
      </c>
      <c r="G2200" s="14" t="n">
        <v>9.5</v>
      </c>
      <c r="H2200" s="14" t="n">
        <v>17.7</v>
      </c>
      <c r="I2200" s="14" t="n">
        <v>9.5</v>
      </c>
      <c r="J2200" s="22" t="n">
        <f aca="false">IF(E2200="Priority",'Cost model'!N128,'Cost model'!M128)</f>
        <v>10.5</v>
      </c>
      <c r="K2200" s="14" t="n">
        <f aca="false">J2200-H2200</f>
        <v>-7.2</v>
      </c>
      <c r="L2200" s="14" t="n">
        <f aca="false">G2200-H2200</f>
        <v>-8.2</v>
      </c>
    </row>
    <row r="2201" customFormat="false" ht="15" hidden="false" customHeight="false" outlineLevel="0" collapsed="false">
      <c r="A2201" s="2" t="s">
        <v>126</v>
      </c>
      <c r="B2201" s="2" t="s">
        <v>126</v>
      </c>
      <c r="C2201" s="2" t="s">
        <v>49</v>
      </c>
      <c r="D2201" s="2" t="s">
        <v>10</v>
      </c>
      <c r="E2201" s="2" t="s">
        <v>76</v>
      </c>
      <c r="F2201" s="2" t="s">
        <v>1145</v>
      </c>
      <c r="G2201" s="14" t="n">
        <v>12.5</v>
      </c>
      <c r="H2201" s="14" t="n">
        <v>11.25</v>
      </c>
      <c r="I2201" s="14" t="n">
        <v>12.5</v>
      </c>
      <c r="J2201" s="22" t="n">
        <f aca="false">IF(E2201="Priority",'Cost model'!N381,'Cost model'!M381)</f>
        <v>14.5</v>
      </c>
      <c r="K2201" s="14" t="n">
        <f aca="false">J2201-H2201</f>
        <v>3.25</v>
      </c>
      <c r="L2201" s="14" t="n">
        <f aca="false">G2201-H2201</f>
        <v>1.25</v>
      </c>
    </row>
    <row r="2202" customFormat="false" ht="15" hidden="false" customHeight="false" outlineLevel="0" collapsed="false">
      <c r="A2202" s="2" t="s">
        <v>184</v>
      </c>
      <c r="B2202" s="2" t="s">
        <v>184</v>
      </c>
      <c r="C2202" s="2" t="s">
        <v>48</v>
      </c>
      <c r="D2202" s="2" t="s">
        <v>10</v>
      </c>
      <c r="E2202" s="2" t="s">
        <v>76</v>
      </c>
      <c r="F2202" s="2" t="s">
        <v>1145</v>
      </c>
      <c r="G2202" s="14" t="n">
        <v>9.5</v>
      </c>
      <c r="H2202" s="14" t="n">
        <v>6.11</v>
      </c>
      <c r="I2202" s="14" t="n">
        <v>9.5</v>
      </c>
      <c r="J2202" s="22" t="n">
        <f aca="false">IF(E2202="Priority",'Cost model'!N200,'Cost model'!M200)</f>
        <v>7.5</v>
      </c>
      <c r="K2202" s="14" t="n">
        <f aca="false">J2202-H2202</f>
        <v>1.39</v>
      </c>
      <c r="L2202" s="14" t="n">
        <f aca="false">G2202-H2202</f>
        <v>3.39</v>
      </c>
    </row>
    <row r="2203" customFormat="false" ht="15" hidden="false" customHeight="false" outlineLevel="0" collapsed="false">
      <c r="A2203" s="2" t="s">
        <v>184</v>
      </c>
      <c r="B2203" s="2" t="s">
        <v>221</v>
      </c>
      <c r="C2203" s="2" t="s">
        <v>50</v>
      </c>
      <c r="D2203" s="2" t="s">
        <v>12</v>
      </c>
      <c r="E2203" s="2" t="s">
        <v>76</v>
      </c>
      <c r="F2203" s="2" t="s">
        <v>1146</v>
      </c>
      <c r="G2203" s="14" t="n">
        <v>19.5</v>
      </c>
      <c r="H2203" s="14" t="n">
        <v>73.7</v>
      </c>
      <c r="I2203" s="14" t="n">
        <v>24.5</v>
      </c>
      <c r="J2203" s="22" t="n">
        <f aca="false">IF(E2203="Priority",'Cost model'!N223,'Cost model'!M223)</f>
        <v>70</v>
      </c>
      <c r="K2203" s="14" t="n">
        <f aca="false">J2203-H2203</f>
        <v>-3.7</v>
      </c>
      <c r="L2203" s="14" t="n">
        <f aca="false">G2203-H2203</f>
        <v>-54.2</v>
      </c>
    </row>
    <row r="2204" customFormat="false" ht="15" hidden="false" customHeight="false" outlineLevel="0" collapsed="false">
      <c r="A2204" s="2" t="s">
        <v>146</v>
      </c>
      <c r="B2204" s="2" t="s">
        <v>146</v>
      </c>
      <c r="C2204" s="2" t="s">
        <v>48</v>
      </c>
      <c r="D2204" s="2" t="s">
        <v>13</v>
      </c>
      <c r="E2204" s="2" t="s">
        <v>76</v>
      </c>
      <c r="F2204" s="2" t="s">
        <v>1145</v>
      </c>
      <c r="G2204" s="14" t="n">
        <v>19</v>
      </c>
      <c r="H2204" s="14" t="n">
        <v>20.47</v>
      </c>
      <c r="I2204" s="14" t="n">
        <v>19</v>
      </c>
      <c r="J2204" s="22" t="n">
        <f aca="false">IF(E2204="Priority",'Cost model'!N764,'Cost model'!M764)</f>
        <v>55</v>
      </c>
      <c r="K2204" s="14" t="n">
        <f aca="false">J2204-H2204</f>
        <v>34.53</v>
      </c>
      <c r="L2204" s="14" t="n">
        <f aca="false">G2204-H2204</f>
        <v>-1.47</v>
      </c>
    </row>
    <row r="2205" customFormat="false" ht="15" hidden="false" customHeight="false" outlineLevel="0" collapsed="false">
      <c r="A2205" s="2" t="s">
        <v>184</v>
      </c>
      <c r="B2205" s="2" t="s">
        <v>146</v>
      </c>
      <c r="C2205" s="2" t="s">
        <v>49</v>
      </c>
      <c r="D2205" s="2" t="s">
        <v>12</v>
      </c>
      <c r="E2205" s="2" t="s">
        <v>76</v>
      </c>
      <c r="F2205" s="2" t="s">
        <v>1146</v>
      </c>
      <c r="G2205" s="14" t="n">
        <v>12.5</v>
      </c>
      <c r="H2205" s="14" t="n">
        <v>15.94</v>
      </c>
      <c r="I2205" s="14"/>
      <c r="J2205" s="22" t="n">
        <f aca="false">IF(E2205="Priority",'Cost model'!N150,'Cost model'!M150)</f>
        <v>55</v>
      </c>
      <c r="K2205" s="14" t="n">
        <f aca="false">J2205-H2205</f>
        <v>39.06</v>
      </c>
      <c r="L2205" s="14" t="n">
        <f aca="false">G2205-H2205</f>
        <v>-3.44</v>
      </c>
    </row>
    <row r="2206" customFormat="false" ht="15" hidden="false" customHeight="false" outlineLevel="0" collapsed="false">
      <c r="A2206" s="2" t="s">
        <v>126</v>
      </c>
      <c r="B2206" s="2" t="s">
        <v>126</v>
      </c>
      <c r="C2206" s="2" t="s">
        <v>48</v>
      </c>
      <c r="D2206" s="2" t="s">
        <v>10</v>
      </c>
      <c r="E2206" s="2" t="s">
        <v>76</v>
      </c>
      <c r="F2206" s="2" t="s">
        <v>1145</v>
      </c>
      <c r="G2206" s="14" t="n">
        <v>9.5</v>
      </c>
      <c r="H2206" s="14" t="n">
        <v>5.95</v>
      </c>
      <c r="I2206" s="14" t="n">
        <v>9.5</v>
      </c>
      <c r="J2206" s="22" t="n">
        <f aca="false">IF(E2206="Priority",'Cost model'!N380,'Cost model'!M380)</f>
        <v>8.5</v>
      </c>
      <c r="K2206" s="14" t="n">
        <f aca="false">J2206-H2206</f>
        <v>2.55</v>
      </c>
      <c r="L2206" s="14" t="n">
        <f aca="false">G2206-H2206</f>
        <v>3.55</v>
      </c>
    </row>
    <row r="2207" customFormat="false" ht="15" hidden="false" customHeight="false" outlineLevel="0" collapsed="false">
      <c r="A2207" s="2" t="s">
        <v>184</v>
      </c>
      <c r="B2207" s="2" t="s">
        <v>184</v>
      </c>
      <c r="C2207" s="2" t="s">
        <v>49</v>
      </c>
      <c r="D2207" s="2" t="s">
        <v>12</v>
      </c>
      <c r="E2207" s="2" t="s">
        <v>76</v>
      </c>
      <c r="F2207" s="2" t="s">
        <v>1145</v>
      </c>
      <c r="G2207" s="14" t="n">
        <v>12.5</v>
      </c>
      <c r="H2207" s="14" t="n">
        <v>12.54</v>
      </c>
      <c r="I2207" s="14"/>
      <c r="J2207" s="22" t="n">
        <f aca="false">IF(E2207="Priority",'Cost model'!N204,'Cost model'!M204)</f>
        <v>45</v>
      </c>
      <c r="K2207" s="14" t="n">
        <f aca="false">J2207-H2207</f>
        <v>32.46</v>
      </c>
      <c r="L2207" s="14" t="n">
        <f aca="false">G2207-H2207</f>
        <v>-0.0399999999999992</v>
      </c>
    </row>
    <row r="2208" customFormat="false" ht="15" hidden="false" customHeight="false" outlineLevel="0" collapsed="false">
      <c r="A2208" s="2" t="s">
        <v>126</v>
      </c>
      <c r="B2208" s="2" t="s">
        <v>126</v>
      </c>
      <c r="C2208" s="2" t="s">
        <v>49</v>
      </c>
      <c r="D2208" s="2" t="s">
        <v>16</v>
      </c>
      <c r="E2208" s="2" t="s">
        <v>76</v>
      </c>
      <c r="F2208" s="2" t="s">
        <v>1145</v>
      </c>
      <c r="G2208" s="14" t="n">
        <v>250</v>
      </c>
      <c r="H2208" s="14" t="n">
        <v>531.44</v>
      </c>
      <c r="I2208" s="14" t="n">
        <v>85</v>
      </c>
      <c r="J2208" s="22" t="n">
        <f aca="false">IF(E2208="Priority",'Cost model'!N396,'Cost model'!M396)</f>
        <v>245</v>
      </c>
      <c r="K2208" s="14" t="n">
        <f aca="false">J2208-H2208</f>
        <v>-286.44</v>
      </c>
      <c r="L2208" s="14" t="n">
        <f aca="false">G2208-H2208</f>
        <v>-281.44</v>
      </c>
    </row>
    <row r="2209" customFormat="false" ht="15" hidden="false" customHeight="false" outlineLevel="0" collapsed="false">
      <c r="A2209" s="2" t="s">
        <v>184</v>
      </c>
      <c r="B2209" s="2" t="s">
        <v>184</v>
      </c>
      <c r="C2209" s="2" t="s">
        <v>48</v>
      </c>
      <c r="D2209" s="2" t="s">
        <v>12</v>
      </c>
      <c r="E2209" s="2" t="s">
        <v>76</v>
      </c>
      <c r="F2209" s="2" t="s">
        <v>1145</v>
      </c>
      <c r="G2209" s="14" t="n">
        <v>9.5</v>
      </c>
      <c r="H2209" s="14" t="n">
        <v>27.48</v>
      </c>
      <c r="I2209" s="14" t="n">
        <v>9.5</v>
      </c>
      <c r="J2209" s="22" t="n">
        <f aca="false">IF(E2209="Priority",'Cost model'!N203,'Cost model'!M203)</f>
        <v>26.5</v>
      </c>
      <c r="K2209" s="14" t="n">
        <f aca="false">J2209-H2209</f>
        <v>-0.98</v>
      </c>
      <c r="L2209" s="14" t="n">
        <f aca="false">G2209-H2209</f>
        <v>-17.98</v>
      </c>
    </row>
    <row r="2210" customFormat="false" ht="15" hidden="false" customHeight="false" outlineLevel="0" collapsed="false">
      <c r="A2210" s="2" t="s">
        <v>146</v>
      </c>
      <c r="B2210" s="2" t="s">
        <v>126</v>
      </c>
      <c r="C2210" s="2" t="s">
        <v>48</v>
      </c>
      <c r="D2210" s="2" t="s">
        <v>12</v>
      </c>
      <c r="E2210" s="2" t="s">
        <v>76</v>
      </c>
      <c r="F2210" s="2" t="s">
        <v>1146</v>
      </c>
      <c r="G2210" s="14" t="n">
        <v>9.5</v>
      </c>
      <c r="H2210" s="14" t="n">
        <v>45.76</v>
      </c>
      <c r="I2210" s="14" t="n">
        <v>19.5</v>
      </c>
      <c r="J2210" s="22" t="n">
        <f aca="false">IF(E2210="Priority",'Cost model'!N797,'Cost model'!M797)</f>
        <v>40</v>
      </c>
      <c r="K2210" s="14" t="n">
        <f aca="false">J2210-H2210</f>
        <v>-5.76</v>
      </c>
      <c r="L2210" s="14" t="n">
        <f aca="false">G2210-H2210</f>
        <v>-36.26</v>
      </c>
    </row>
    <row r="2211" customFormat="false" ht="15" hidden="false" customHeight="false" outlineLevel="0" collapsed="false">
      <c r="A2211" s="2" t="s">
        <v>184</v>
      </c>
      <c r="B2211" s="2" t="s">
        <v>184</v>
      </c>
      <c r="C2211" s="2" t="s">
        <v>49</v>
      </c>
      <c r="D2211" s="2" t="s">
        <v>12</v>
      </c>
      <c r="E2211" s="2" t="s">
        <v>76</v>
      </c>
      <c r="F2211" s="2" t="s">
        <v>1145</v>
      </c>
      <c r="G2211" s="14" t="n">
        <v>19.5</v>
      </c>
      <c r="H2211" s="14" t="n">
        <v>46.78</v>
      </c>
      <c r="I2211" s="14"/>
      <c r="J2211" s="22" t="n">
        <f aca="false">IF(E2211="Priority",'Cost model'!N204,'Cost model'!M204)</f>
        <v>45</v>
      </c>
      <c r="K2211" s="14" t="n">
        <f aca="false">J2211-H2211</f>
        <v>-1.78</v>
      </c>
      <c r="L2211" s="14" t="n">
        <f aca="false">G2211-H2211</f>
        <v>-27.28</v>
      </c>
    </row>
    <row r="2212" customFormat="false" ht="15" hidden="false" customHeight="false" outlineLevel="0" collapsed="false">
      <c r="A2212" s="2" t="s">
        <v>146</v>
      </c>
      <c r="B2212" s="2" t="s">
        <v>146</v>
      </c>
      <c r="C2212" s="2" t="s">
        <v>48</v>
      </c>
      <c r="D2212" s="2" t="s">
        <v>12</v>
      </c>
      <c r="E2212" s="2" t="s">
        <v>76</v>
      </c>
      <c r="F2212" s="2" t="s">
        <v>1145</v>
      </c>
      <c r="G2212" s="14" t="n">
        <v>9.5</v>
      </c>
      <c r="H2212" s="14" t="n">
        <v>9.31</v>
      </c>
      <c r="I2212" s="14" t="n">
        <v>9.5</v>
      </c>
      <c r="J2212" s="22" t="n">
        <f aca="false">IF(E2212="Priority",'Cost model'!N761,'Cost model'!M761)</f>
        <v>35</v>
      </c>
      <c r="K2212" s="14" t="n">
        <f aca="false">J2212-H2212</f>
        <v>25.69</v>
      </c>
      <c r="L2212" s="14" t="n">
        <f aca="false">G2212-H2212</f>
        <v>0.19</v>
      </c>
    </row>
    <row r="2213" customFormat="false" ht="15" hidden="false" customHeight="false" outlineLevel="0" collapsed="false">
      <c r="A2213" s="2" t="s">
        <v>165</v>
      </c>
      <c r="B2213" s="2" t="s">
        <v>165</v>
      </c>
      <c r="C2213" s="2" t="s">
        <v>48</v>
      </c>
      <c r="D2213" s="2" t="s">
        <v>12</v>
      </c>
      <c r="E2213" s="2" t="s">
        <v>76</v>
      </c>
      <c r="F2213" s="2" t="s">
        <v>1145</v>
      </c>
      <c r="G2213" s="14" t="n">
        <v>9.5</v>
      </c>
      <c r="H2213" s="14" t="n">
        <v>16.84</v>
      </c>
      <c r="I2213" s="14" t="n">
        <v>9.5</v>
      </c>
      <c r="J2213" s="22" t="n">
        <f aca="false">IF(E2213="Priority",'Cost model'!N509,'Cost model'!M509)</f>
        <v>17.5</v>
      </c>
      <c r="K2213" s="14" t="n">
        <f aca="false">J2213-H2213</f>
        <v>0.66</v>
      </c>
      <c r="L2213" s="14" t="n">
        <f aca="false">G2213-H2213</f>
        <v>-7.34</v>
      </c>
    </row>
    <row r="2214" customFormat="false" ht="15" hidden="false" customHeight="false" outlineLevel="0" collapsed="false">
      <c r="A2214" s="2" t="s">
        <v>221</v>
      </c>
      <c r="B2214" s="2" t="s">
        <v>126</v>
      </c>
      <c r="C2214" s="2" t="s">
        <v>48</v>
      </c>
      <c r="D2214" s="2" t="s">
        <v>12</v>
      </c>
      <c r="E2214" s="2" t="s">
        <v>76</v>
      </c>
      <c r="F2214" s="2" t="s">
        <v>1146</v>
      </c>
      <c r="G2214" s="14" t="n">
        <v>9.5</v>
      </c>
      <c r="H2214" s="14" t="n">
        <v>41.25</v>
      </c>
      <c r="I2214" s="14" t="n">
        <v>24.5</v>
      </c>
      <c r="J2214" s="22" t="n">
        <f aca="false">IF(E2214="Priority",'Cost model'!N689,'Cost model'!M689)</f>
        <v>55</v>
      </c>
      <c r="K2214" s="14" t="n">
        <f aca="false">J2214-H2214</f>
        <v>13.75</v>
      </c>
      <c r="L2214" s="14" t="n">
        <f aca="false">G2214-H2214</f>
        <v>-31.75</v>
      </c>
    </row>
    <row r="2215" customFormat="false" ht="15" hidden="false" customHeight="false" outlineLevel="0" collapsed="false">
      <c r="A2215" s="2" t="s">
        <v>184</v>
      </c>
      <c r="B2215" s="2" t="s">
        <v>126</v>
      </c>
      <c r="C2215" s="2" t="s">
        <v>48</v>
      </c>
      <c r="D2215" s="2" t="s">
        <v>12</v>
      </c>
      <c r="E2215" s="2" t="s">
        <v>76</v>
      </c>
      <c r="F2215" s="2" t="s">
        <v>1146</v>
      </c>
      <c r="G2215" s="14" t="n">
        <v>9.5</v>
      </c>
      <c r="H2215" s="14" t="n">
        <v>9.37</v>
      </c>
      <c r="I2215" s="14" t="n">
        <v>9.5</v>
      </c>
      <c r="J2215" s="22" t="n">
        <f aca="false">IF(E2215="Priority",'Cost model'!N131,'Cost model'!M131)</f>
        <v>40</v>
      </c>
      <c r="K2215" s="14" t="n">
        <f aca="false">J2215-H2215</f>
        <v>30.63</v>
      </c>
      <c r="L2215" s="14" t="n">
        <f aca="false">G2215-H2215</f>
        <v>0.130000000000001</v>
      </c>
    </row>
    <row r="2216" customFormat="false" ht="15" hidden="false" customHeight="false" outlineLevel="0" collapsed="false">
      <c r="A2216" s="2" t="s">
        <v>184</v>
      </c>
      <c r="B2216" s="2" t="s">
        <v>146</v>
      </c>
      <c r="C2216" s="2" t="s">
        <v>48</v>
      </c>
      <c r="D2216" s="2" t="s">
        <v>12</v>
      </c>
      <c r="E2216" s="2" t="s">
        <v>76</v>
      </c>
      <c r="F2216" s="2" t="s">
        <v>1146</v>
      </c>
      <c r="G2216" s="14" t="n">
        <v>9.5</v>
      </c>
      <c r="H2216" s="14" t="n">
        <v>47.6</v>
      </c>
      <c r="I2216" s="14" t="n">
        <v>9.5</v>
      </c>
      <c r="J2216" s="22" t="n">
        <f aca="false">IF(E2216="Priority",'Cost model'!N149,'Cost model'!M149)</f>
        <v>45</v>
      </c>
      <c r="K2216" s="14" t="n">
        <f aca="false">J2216-H2216</f>
        <v>-2.6</v>
      </c>
      <c r="L2216" s="14" t="n">
        <f aca="false">G2216-H2216</f>
        <v>-38.1</v>
      </c>
    </row>
    <row r="2217" customFormat="false" ht="15" hidden="false" customHeight="false" outlineLevel="0" collapsed="false">
      <c r="A2217" s="2" t="s">
        <v>184</v>
      </c>
      <c r="B2217" s="2" t="s">
        <v>184</v>
      </c>
      <c r="C2217" s="2" t="s">
        <v>50</v>
      </c>
      <c r="D2217" s="2" t="s">
        <v>10</v>
      </c>
      <c r="E2217" s="2" t="s">
        <v>76</v>
      </c>
      <c r="F2217" s="2" t="s">
        <v>1145</v>
      </c>
      <c r="G2217" s="14" t="n">
        <v>17.5</v>
      </c>
      <c r="H2217" s="14" t="n">
        <v>15.65</v>
      </c>
      <c r="I2217" s="14" t="n">
        <v>17.5</v>
      </c>
      <c r="J2217" s="22" t="n">
        <f aca="false">IF(E2217="Priority",'Cost model'!N202,'Cost model'!M202)</f>
        <v>17.5</v>
      </c>
      <c r="K2217" s="14" t="n">
        <f aca="false">J2217-H2217</f>
        <v>1.85</v>
      </c>
      <c r="L2217" s="14" t="n">
        <f aca="false">G2217-H2217</f>
        <v>1.85</v>
      </c>
    </row>
    <row r="2218" customFormat="false" ht="15" hidden="false" customHeight="false" outlineLevel="0" collapsed="false">
      <c r="A2218" s="2" t="s">
        <v>126</v>
      </c>
      <c r="B2218" s="2" t="s">
        <v>126</v>
      </c>
      <c r="C2218" s="2" t="s">
        <v>48</v>
      </c>
      <c r="D2218" s="2" t="s">
        <v>10</v>
      </c>
      <c r="E2218" s="2" t="s">
        <v>85</v>
      </c>
      <c r="F2218" s="2" t="s">
        <v>1145</v>
      </c>
      <c r="G2218" s="14" t="n">
        <v>14.5</v>
      </c>
      <c r="H2218" s="14" t="n">
        <v>23.58</v>
      </c>
      <c r="I2218" s="14" t="n">
        <v>14.5</v>
      </c>
      <c r="J2218" s="22" t="n">
        <f aca="false">IF(E2218="Priority",'Cost model'!N380,'Cost model'!M380)</f>
        <v>13.5</v>
      </c>
      <c r="K2218" s="14" t="n">
        <f aca="false">J2218-H2218</f>
        <v>-10.08</v>
      </c>
      <c r="L2218" s="14" t="n">
        <f aca="false">G2218-H2218</f>
        <v>-9.08</v>
      </c>
    </row>
    <row r="2219" customFormat="false" ht="15" hidden="false" customHeight="false" outlineLevel="0" collapsed="false">
      <c r="A2219" s="2" t="s">
        <v>126</v>
      </c>
      <c r="B2219" s="2" t="s">
        <v>126</v>
      </c>
      <c r="C2219" s="2" t="s">
        <v>49</v>
      </c>
      <c r="D2219" s="2" t="s">
        <v>10</v>
      </c>
      <c r="E2219" s="2" t="s">
        <v>76</v>
      </c>
      <c r="F2219" s="2" t="s">
        <v>1145</v>
      </c>
      <c r="G2219" s="14" t="n">
        <v>12.5</v>
      </c>
      <c r="H2219" s="14" t="n">
        <v>17.31</v>
      </c>
      <c r="I2219" s="14" t="n">
        <v>12.5</v>
      </c>
      <c r="J2219" s="22" t="n">
        <f aca="false">IF(E2219="Priority",'Cost model'!N381,'Cost model'!M381)</f>
        <v>14.5</v>
      </c>
      <c r="K2219" s="14" t="n">
        <f aca="false">J2219-H2219</f>
        <v>-2.81</v>
      </c>
      <c r="L2219" s="14" t="n">
        <f aca="false">G2219-H2219</f>
        <v>-4.81</v>
      </c>
    </row>
    <row r="2220" customFormat="false" ht="15" hidden="false" customHeight="false" outlineLevel="0" collapsed="false">
      <c r="A2220" s="2" t="s">
        <v>184</v>
      </c>
      <c r="B2220" s="2" t="s">
        <v>165</v>
      </c>
      <c r="C2220" s="2" t="s">
        <v>48</v>
      </c>
      <c r="D2220" s="2" t="s">
        <v>10</v>
      </c>
      <c r="E2220" s="2" t="s">
        <v>76</v>
      </c>
      <c r="F2220" s="2" t="s">
        <v>1146</v>
      </c>
      <c r="G2220" s="14" t="n">
        <v>14.5</v>
      </c>
      <c r="H2220" s="14" t="n">
        <v>8.04</v>
      </c>
      <c r="I2220" s="14" t="n">
        <v>14.5</v>
      </c>
      <c r="J2220" s="22" t="n">
        <f aca="false">IF(E2220="Priority",'Cost model'!N164,'Cost model'!M164)</f>
        <v>11.5</v>
      </c>
      <c r="K2220" s="14" t="n">
        <f aca="false">J2220-H2220</f>
        <v>3.46</v>
      </c>
      <c r="L2220" s="14" t="n">
        <f aca="false">G2220-H2220</f>
        <v>6.46</v>
      </c>
    </row>
    <row r="2221" customFormat="false" ht="15" hidden="false" customHeight="false" outlineLevel="0" collapsed="false">
      <c r="A2221" s="2" t="s">
        <v>165</v>
      </c>
      <c r="B2221" s="2" t="s">
        <v>165</v>
      </c>
      <c r="C2221" s="2" t="s">
        <v>48</v>
      </c>
      <c r="D2221" s="2" t="s">
        <v>10</v>
      </c>
      <c r="E2221" s="2" t="s">
        <v>85</v>
      </c>
      <c r="F2221" s="2" t="s">
        <v>1145</v>
      </c>
      <c r="G2221" s="14" t="n">
        <v>14.5</v>
      </c>
      <c r="H2221" s="14" t="n">
        <v>20.83</v>
      </c>
      <c r="I2221" s="14" t="n">
        <v>14.5</v>
      </c>
      <c r="J2221" s="22" t="n">
        <f aca="false">IF(E2221="Priority",'Cost model'!N506,'Cost model'!M506)</f>
        <v>12.5</v>
      </c>
      <c r="K2221" s="14" t="n">
        <f aca="false">J2221-H2221</f>
        <v>-8.33</v>
      </c>
      <c r="L2221" s="14" t="n">
        <f aca="false">G2221-H2221</f>
        <v>-6.33</v>
      </c>
    </row>
    <row r="2222" customFormat="false" ht="15" hidden="false" customHeight="false" outlineLevel="0" collapsed="false">
      <c r="A2222" s="2" t="s">
        <v>184</v>
      </c>
      <c r="B2222" s="2" t="s">
        <v>125</v>
      </c>
      <c r="C2222" s="2" t="s">
        <v>49</v>
      </c>
      <c r="D2222" s="2" t="s">
        <v>10</v>
      </c>
      <c r="E2222" s="2" t="s">
        <v>76</v>
      </c>
      <c r="F2222" s="2" t="s">
        <v>1146</v>
      </c>
      <c r="G2222" s="14" t="n">
        <v>12.5</v>
      </c>
      <c r="H2222" s="14" t="n">
        <v>21.34</v>
      </c>
      <c r="I2222" s="14"/>
      <c r="J2222" s="22" t="n">
        <f aca="false">IF(E2222="Priority",'Cost model'!N237,'Cost model'!M237)</f>
        <v>18.5</v>
      </c>
      <c r="K2222" s="14" t="n">
        <f aca="false">J2222-H2222</f>
        <v>-2.84</v>
      </c>
      <c r="L2222" s="14" t="n">
        <f aca="false">G2222-H2222</f>
        <v>-8.84</v>
      </c>
    </row>
    <row r="2223" customFormat="false" ht="15" hidden="false" customHeight="false" outlineLevel="0" collapsed="false">
      <c r="A2223" s="2" t="s">
        <v>126</v>
      </c>
      <c r="B2223" s="2" t="s">
        <v>126</v>
      </c>
      <c r="C2223" s="2" t="s">
        <v>49</v>
      </c>
      <c r="D2223" s="2" t="s">
        <v>10</v>
      </c>
      <c r="E2223" s="2" t="s">
        <v>76</v>
      </c>
      <c r="F2223" s="2" t="s">
        <v>1145</v>
      </c>
      <c r="G2223" s="14" t="n">
        <v>12.5</v>
      </c>
      <c r="H2223" s="14" t="n">
        <v>12.23</v>
      </c>
      <c r="I2223" s="14" t="n">
        <v>12.5</v>
      </c>
      <c r="J2223" s="22" t="n">
        <f aca="false">IF(E2223="Priority",'Cost model'!N381,'Cost model'!M381)</f>
        <v>14.5</v>
      </c>
      <c r="K2223" s="14" t="n">
        <f aca="false">J2223-H2223</f>
        <v>2.27</v>
      </c>
      <c r="L2223" s="14" t="n">
        <f aca="false">G2223-H2223</f>
        <v>0.27</v>
      </c>
    </row>
    <row r="2224" customFormat="false" ht="15" hidden="false" customHeight="false" outlineLevel="0" collapsed="false">
      <c r="A2224" s="2" t="s">
        <v>184</v>
      </c>
      <c r="B2224" s="2" t="s">
        <v>184</v>
      </c>
      <c r="C2224" s="2" t="s">
        <v>48</v>
      </c>
      <c r="D2224" s="2" t="s">
        <v>10</v>
      </c>
      <c r="E2224" s="2" t="s">
        <v>76</v>
      </c>
      <c r="F2224" s="2" t="s">
        <v>1145</v>
      </c>
      <c r="G2224" s="14" t="n">
        <v>9.5</v>
      </c>
      <c r="H2224" s="14" t="n">
        <v>7.46</v>
      </c>
      <c r="I2224" s="14" t="n">
        <v>9.5</v>
      </c>
      <c r="J2224" s="22" t="n">
        <f aca="false">IF(E2224="Priority",'Cost model'!N200,'Cost model'!M200)</f>
        <v>7.5</v>
      </c>
      <c r="K2224" s="14" t="n">
        <f aca="false">J2224-H2224</f>
        <v>0.04</v>
      </c>
      <c r="L2224" s="14" t="n">
        <f aca="false">G2224-H2224</f>
        <v>2.04</v>
      </c>
    </row>
    <row r="2225" customFormat="false" ht="15" hidden="false" customHeight="false" outlineLevel="0" collapsed="false">
      <c r="A2225" s="2" t="s">
        <v>126</v>
      </c>
      <c r="B2225" s="2" t="s">
        <v>126</v>
      </c>
      <c r="C2225" s="2" t="s">
        <v>48</v>
      </c>
      <c r="D2225" s="2" t="s">
        <v>10</v>
      </c>
      <c r="E2225" s="2" t="s">
        <v>76</v>
      </c>
      <c r="F2225" s="2" t="s">
        <v>1145</v>
      </c>
      <c r="G2225" s="14" t="n">
        <v>9.5</v>
      </c>
      <c r="H2225" s="14" t="n">
        <v>7.72</v>
      </c>
      <c r="I2225" s="14" t="n">
        <v>9.5</v>
      </c>
      <c r="J2225" s="22" t="n">
        <f aca="false">IF(E2225="Priority",'Cost model'!N380,'Cost model'!M380)</f>
        <v>8.5</v>
      </c>
      <c r="K2225" s="14" t="n">
        <f aca="false">J2225-H2225</f>
        <v>0.78</v>
      </c>
      <c r="L2225" s="14" t="n">
        <f aca="false">G2225-H2225</f>
        <v>1.78</v>
      </c>
    </row>
    <row r="2226" customFormat="false" ht="15" hidden="false" customHeight="false" outlineLevel="0" collapsed="false">
      <c r="A2226" s="2" t="s">
        <v>126</v>
      </c>
      <c r="B2226" s="2" t="s">
        <v>146</v>
      </c>
      <c r="C2226" s="2" t="s">
        <v>49</v>
      </c>
      <c r="D2226" s="2" t="s">
        <v>12</v>
      </c>
      <c r="E2226" s="2" t="s">
        <v>76</v>
      </c>
      <c r="F2226" s="2" t="s">
        <v>1146</v>
      </c>
      <c r="G2226" s="14" t="n">
        <v>12.5</v>
      </c>
      <c r="H2226" s="14" t="n">
        <v>51.05</v>
      </c>
      <c r="I2226" s="14" t="n">
        <v>19.5</v>
      </c>
      <c r="J2226" s="22" t="n">
        <f aca="false">IF(E2226="Priority",'Cost model'!N402,'Cost model'!M402)</f>
        <v>60</v>
      </c>
      <c r="K2226" s="14" t="n">
        <f aca="false">J2226-H2226</f>
        <v>8.95</v>
      </c>
      <c r="L2226" s="14" t="n">
        <f aca="false">G2226-H2226</f>
        <v>-38.55</v>
      </c>
    </row>
    <row r="2227" customFormat="false" ht="15" hidden="false" customHeight="false" outlineLevel="0" collapsed="false">
      <c r="A2227" s="2" t="s">
        <v>126</v>
      </c>
      <c r="B2227" s="2" t="s">
        <v>126</v>
      </c>
      <c r="C2227" s="2" t="s">
        <v>49</v>
      </c>
      <c r="D2227" s="2" t="s">
        <v>10</v>
      </c>
      <c r="E2227" s="2" t="s">
        <v>76</v>
      </c>
      <c r="F2227" s="2" t="s">
        <v>1145</v>
      </c>
      <c r="G2227" s="14" t="n">
        <v>12.5</v>
      </c>
      <c r="H2227" s="14" t="n">
        <v>7.93</v>
      </c>
      <c r="I2227" s="14" t="n">
        <v>12.5</v>
      </c>
      <c r="J2227" s="22" t="n">
        <f aca="false">IF(E2227="Priority",'Cost model'!N381,'Cost model'!M381)</f>
        <v>14.5</v>
      </c>
      <c r="K2227" s="14" t="n">
        <f aca="false">J2227-H2227</f>
        <v>6.57</v>
      </c>
      <c r="L2227" s="14" t="n">
        <f aca="false">G2227-H2227</f>
        <v>4.57</v>
      </c>
    </row>
    <row r="2228" customFormat="false" ht="15" hidden="false" customHeight="false" outlineLevel="0" collapsed="false">
      <c r="A2228" s="2" t="s">
        <v>240</v>
      </c>
      <c r="B2228" s="2" t="s">
        <v>165</v>
      </c>
      <c r="C2228" s="2" t="s">
        <v>48</v>
      </c>
      <c r="D2228" s="2" t="s">
        <v>12</v>
      </c>
      <c r="E2228" s="2" t="s">
        <v>76</v>
      </c>
      <c r="F2228" s="2" t="s">
        <v>1146</v>
      </c>
      <c r="G2228" s="14" t="n">
        <v>19.5</v>
      </c>
      <c r="H2228" s="14" t="n">
        <v>22.95</v>
      </c>
      <c r="I2228" s="14" t="n">
        <v>19.5</v>
      </c>
      <c r="J2228" s="22" t="n">
        <f aca="false">IF(E2228="Priority",'Cost model'!N905,'Cost model'!M905)</f>
        <v>50</v>
      </c>
      <c r="K2228" s="14" t="n">
        <f aca="false">J2228-H2228</f>
        <v>27.05</v>
      </c>
      <c r="L2228" s="14" t="n">
        <f aca="false">G2228-H2228</f>
        <v>-3.45</v>
      </c>
    </row>
    <row r="2229" customFormat="false" ht="15" hidden="false" customHeight="false" outlineLevel="0" collapsed="false">
      <c r="A2229" s="2" t="s">
        <v>126</v>
      </c>
      <c r="B2229" s="2" t="s">
        <v>126</v>
      </c>
      <c r="C2229" s="2" t="s">
        <v>49</v>
      </c>
      <c r="D2229" s="2" t="s">
        <v>12</v>
      </c>
      <c r="E2229" s="2" t="s">
        <v>85</v>
      </c>
      <c r="F2229" s="2" t="s">
        <v>1145</v>
      </c>
      <c r="G2229" s="14" t="n">
        <v>19.5</v>
      </c>
      <c r="H2229" s="14" t="n">
        <v>42.61</v>
      </c>
      <c r="I2229" s="14" t="n">
        <v>19.5</v>
      </c>
      <c r="J2229" s="22" t="n">
        <f aca="false">IF(E2229="Priority",'Cost model'!N384,'Cost model'!M384)</f>
        <v>60</v>
      </c>
      <c r="K2229" s="14" t="n">
        <f aca="false">J2229-H2229</f>
        <v>17.39</v>
      </c>
      <c r="L2229" s="14" t="n">
        <f aca="false">G2229-H2229</f>
        <v>-23.11</v>
      </c>
    </row>
    <row r="2230" customFormat="false" ht="15" hidden="false" customHeight="false" outlineLevel="0" collapsed="false">
      <c r="A2230" s="2" t="s">
        <v>146</v>
      </c>
      <c r="B2230" s="2" t="s">
        <v>165</v>
      </c>
      <c r="C2230" s="2" t="s">
        <v>49</v>
      </c>
      <c r="D2230" s="2" t="s">
        <v>12</v>
      </c>
      <c r="E2230" s="2" t="s">
        <v>76</v>
      </c>
      <c r="F2230" s="2" t="s">
        <v>1146</v>
      </c>
      <c r="G2230" s="14" t="n">
        <v>12.5</v>
      </c>
      <c r="H2230" s="14" t="n">
        <v>97.78</v>
      </c>
      <c r="I2230" s="14" t="n">
        <v>19.5</v>
      </c>
      <c r="J2230" s="22" t="n">
        <f aca="false">IF(E2230="Priority",'Cost model'!N780,'Cost model'!M780)</f>
        <v>60</v>
      </c>
      <c r="K2230" s="14" t="n">
        <f aca="false">J2230-H2230</f>
        <v>-37.78</v>
      </c>
      <c r="L2230" s="14" t="n">
        <f aca="false">G2230-H2230</f>
        <v>-85.28</v>
      </c>
    </row>
    <row r="2231" customFormat="false" ht="15" hidden="false" customHeight="false" outlineLevel="0" collapsed="false">
      <c r="A2231" s="2" t="s">
        <v>126</v>
      </c>
      <c r="B2231" s="2" t="s">
        <v>126</v>
      </c>
      <c r="C2231" s="2" t="s">
        <v>49</v>
      </c>
      <c r="D2231" s="2" t="s">
        <v>10</v>
      </c>
      <c r="E2231" s="2" t="s">
        <v>76</v>
      </c>
      <c r="F2231" s="2" t="s">
        <v>1145</v>
      </c>
      <c r="G2231" s="14" t="n">
        <v>12.5</v>
      </c>
      <c r="H2231" s="14" t="n">
        <v>24.17</v>
      </c>
      <c r="I2231" s="14" t="n">
        <v>12.5</v>
      </c>
      <c r="J2231" s="22" t="n">
        <f aca="false">IF(E2231="Priority",'Cost model'!N381,'Cost model'!M381)</f>
        <v>14.5</v>
      </c>
      <c r="K2231" s="14" t="n">
        <f aca="false">J2231-H2231</f>
        <v>-9.67</v>
      </c>
      <c r="L2231" s="14" t="n">
        <f aca="false">G2231-H2231</f>
        <v>-11.67</v>
      </c>
    </row>
    <row r="2232" customFormat="false" ht="15" hidden="false" customHeight="false" outlineLevel="0" collapsed="false">
      <c r="A2232" s="2" t="s">
        <v>184</v>
      </c>
      <c r="B2232" s="2" t="s">
        <v>184</v>
      </c>
      <c r="C2232" s="2" t="s">
        <v>50</v>
      </c>
      <c r="D2232" s="2" t="s">
        <v>10</v>
      </c>
      <c r="E2232" s="2" t="s">
        <v>76</v>
      </c>
      <c r="F2232" s="2" t="s">
        <v>1145</v>
      </c>
      <c r="G2232" s="14" t="n">
        <v>17.5</v>
      </c>
      <c r="H2232" s="14" t="n">
        <v>11.03</v>
      </c>
      <c r="I2232" s="14" t="n">
        <v>17.5</v>
      </c>
      <c r="J2232" s="22" t="n">
        <f aca="false">IF(E2232="Priority",'Cost model'!N202,'Cost model'!M202)</f>
        <v>17.5</v>
      </c>
      <c r="K2232" s="14" t="n">
        <f aca="false">J2232-H2232</f>
        <v>6.47</v>
      </c>
      <c r="L2232" s="14" t="n">
        <f aca="false">G2232-H2232</f>
        <v>6.47</v>
      </c>
    </row>
    <row r="2233" customFormat="false" ht="15" hidden="false" customHeight="false" outlineLevel="0" collapsed="false">
      <c r="A2233" s="2" t="s">
        <v>184</v>
      </c>
      <c r="B2233" s="2" t="s">
        <v>184</v>
      </c>
      <c r="C2233" s="2" t="s">
        <v>49</v>
      </c>
      <c r="D2233" s="2" t="s">
        <v>10</v>
      </c>
      <c r="E2233" s="2" t="s">
        <v>76</v>
      </c>
      <c r="F2233" s="2" t="s">
        <v>1145</v>
      </c>
      <c r="G2233" s="14" t="n">
        <v>17.5</v>
      </c>
      <c r="H2233" s="14" t="n">
        <v>16.38</v>
      </c>
      <c r="I2233" s="14"/>
      <c r="J2233" s="22" t="n">
        <f aca="false">IF(E2233="Priority",'Cost model'!N201,'Cost model'!M201)</f>
        <v>12.5</v>
      </c>
      <c r="K2233" s="14" t="n">
        <f aca="false">J2233-H2233</f>
        <v>-3.88</v>
      </c>
      <c r="L2233" s="14" t="n">
        <f aca="false">G2233-H2233</f>
        <v>1.12</v>
      </c>
    </row>
    <row r="2234" customFormat="false" ht="15" hidden="false" customHeight="false" outlineLevel="0" collapsed="false">
      <c r="A2234" s="2" t="s">
        <v>165</v>
      </c>
      <c r="B2234" s="2" t="s">
        <v>165</v>
      </c>
      <c r="C2234" s="2" t="s">
        <v>48</v>
      </c>
      <c r="D2234" s="2" t="s">
        <v>10</v>
      </c>
      <c r="E2234" s="2" t="s">
        <v>76</v>
      </c>
      <c r="F2234" s="2" t="s">
        <v>1145</v>
      </c>
      <c r="G2234" s="14" t="n">
        <v>9.5</v>
      </c>
      <c r="H2234" s="14" t="n">
        <v>6.27</v>
      </c>
      <c r="I2234" s="14" t="n">
        <v>9.5</v>
      </c>
      <c r="J2234" s="22" t="n">
        <f aca="false">IF(E2234="Priority",'Cost model'!N506,'Cost model'!M506)</f>
        <v>7.5</v>
      </c>
      <c r="K2234" s="14" t="n">
        <f aca="false">J2234-H2234</f>
        <v>1.23</v>
      </c>
      <c r="L2234" s="14" t="n">
        <f aca="false">G2234-H2234</f>
        <v>3.23</v>
      </c>
    </row>
    <row r="2235" customFormat="false" ht="15" hidden="false" customHeight="false" outlineLevel="0" collapsed="false">
      <c r="A2235" s="2" t="s">
        <v>126</v>
      </c>
      <c r="B2235" s="2" t="s">
        <v>126</v>
      </c>
      <c r="C2235" s="2" t="s">
        <v>48</v>
      </c>
      <c r="D2235" s="2" t="s">
        <v>12</v>
      </c>
      <c r="E2235" s="2" t="s">
        <v>85</v>
      </c>
      <c r="F2235" s="2" t="s">
        <v>1145</v>
      </c>
      <c r="G2235" s="14" t="n">
        <v>19.5</v>
      </c>
      <c r="H2235" s="14" t="n">
        <v>30.37</v>
      </c>
      <c r="I2235" s="14" t="n">
        <v>19.5</v>
      </c>
      <c r="J2235" s="22" t="n">
        <f aca="false">IF(E2235="Priority",'Cost model'!N383,'Cost model'!M383)</f>
        <v>35</v>
      </c>
      <c r="K2235" s="14" t="n">
        <f aca="false">J2235-H2235</f>
        <v>4.63</v>
      </c>
      <c r="L2235" s="14" t="n">
        <f aca="false">G2235-H2235</f>
        <v>-10.87</v>
      </c>
    </row>
    <row r="2236" customFormat="false" ht="15" hidden="false" customHeight="false" outlineLevel="0" collapsed="false">
      <c r="A2236" s="2" t="s">
        <v>184</v>
      </c>
      <c r="B2236" s="2" t="s">
        <v>184</v>
      </c>
      <c r="C2236" s="2" t="s">
        <v>49</v>
      </c>
      <c r="D2236" s="2" t="s">
        <v>10</v>
      </c>
      <c r="E2236" s="2" t="s">
        <v>76</v>
      </c>
      <c r="F2236" s="2" t="s">
        <v>1145</v>
      </c>
      <c r="G2236" s="14" t="n">
        <v>12.5</v>
      </c>
      <c r="H2236" s="14" t="n">
        <v>11.94</v>
      </c>
      <c r="I2236" s="14"/>
      <c r="J2236" s="22" t="n">
        <f aca="false">IF(E2236="Priority",'Cost model'!N201,'Cost model'!M201)</f>
        <v>12.5</v>
      </c>
      <c r="K2236" s="14" t="n">
        <f aca="false">J2236-H2236</f>
        <v>0.560000000000001</v>
      </c>
      <c r="L2236" s="14" t="n">
        <f aca="false">G2236-H2236</f>
        <v>0.560000000000001</v>
      </c>
    </row>
    <row r="2237" customFormat="false" ht="15" hidden="false" customHeight="false" outlineLevel="0" collapsed="false">
      <c r="A2237" s="2" t="s">
        <v>126</v>
      </c>
      <c r="B2237" s="2" t="s">
        <v>126</v>
      </c>
      <c r="C2237" s="2" t="s">
        <v>49</v>
      </c>
      <c r="D2237" s="2" t="s">
        <v>10</v>
      </c>
      <c r="E2237" s="2" t="s">
        <v>76</v>
      </c>
      <c r="F2237" s="2" t="s">
        <v>1145</v>
      </c>
      <c r="G2237" s="14" t="n">
        <v>12.5</v>
      </c>
      <c r="H2237" s="14" t="n">
        <v>13.7</v>
      </c>
      <c r="I2237" s="14" t="n">
        <v>12.5</v>
      </c>
      <c r="J2237" s="22" t="n">
        <f aca="false">IF(E2237="Priority",'Cost model'!N381,'Cost model'!M381)</f>
        <v>14.5</v>
      </c>
      <c r="K2237" s="14" t="n">
        <f aca="false">J2237-H2237</f>
        <v>0.800000000000001</v>
      </c>
      <c r="L2237" s="14" t="n">
        <f aca="false">G2237-H2237</f>
        <v>-1.2</v>
      </c>
    </row>
    <row r="2238" customFormat="false" ht="15" hidden="false" customHeight="false" outlineLevel="0" collapsed="false">
      <c r="A2238" s="2" t="s">
        <v>184</v>
      </c>
      <c r="B2238" s="2" t="s">
        <v>184</v>
      </c>
      <c r="C2238" s="2" t="s">
        <v>49</v>
      </c>
      <c r="D2238" s="2" t="s">
        <v>10</v>
      </c>
      <c r="E2238" s="2" t="s">
        <v>85</v>
      </c>
      <c r="F2238" s="2" t="s">
        <v>1145</v>
      </c>
      <c r="G2238" s="14" t="n">
        <v>17.5</v>
      </c>
      <c r="H2238" s="14" t="n">
        <v>27.17</v>
      </c>
      <c r="I2238" s="14" t="n">
        <v>17.5</v>
      </c>
      <c r="J2238" s="22" t="n">
        <f aca="false">IF(E2238="Priority",'Cost model'!N201,'Cost model'!M201)</f>
        <v>17.5</v>
      </c>
      <c r="K2238" s="14" t="n">
        <f aca="false">J2238-H2238</f>
        <v>-9.67</v>
      </c>
      <c r="L2238" s="14" t="n">
        <f aca="false">G2238-H2238</f>
        <v>-9.67</v>
      </c>
    </row>
    <row r="2239" customFormat="false" ht="15" hidden="false" customHeight="false" outlineLevel="0" collapsed="false">
      <c r="A2239" s="2" t="s">
        <v>240</v>
      </c>
      <c r="B2239" s="2" t="s">
        <v>240</v>
      </c>
      <c r="C2239" s="2" t="s">
        <v>50</v>
      </c>
      <c r="D2239" s="2" t="s">
        <v>13</v>
      </c>
      <c r="E2239" s="2" t="s">
        <v>76</v>
      </c>
      <c r="F2239" s="2" t="s">
        <v>1145</v>
      </c>
      <c r="G2239" s="14" t="n">
        <v>50</v>
      </c>
      <c r="H2239" s="14" t="n">
        <v>75.97</v>
      </c>
      <c r="I2239" s="14" t="n">
        <v>50</v>
      </c>
      <c r="J2239" s="22" t="n">
        <f aca="false">IF(E2239="Priority",'Cost model'!N892,'Cost model'!M892)</f>
        <v>130</v>
      </c>
      <c r="K2239" s="14" t="n">
        <f aca="false">J2239-H2239</f>
        <v>54.03</v>
      </c>
      <c r="L2239" s="14" t="n">
        <f aca="false">G2239-H2239</f>
        <v>-25.97</v>
      </c>
    </row>
    <row r="2240" customFormat="false" ht="15" hidden="false" customHeight="false" outlineLevel="0" collapsed="false">
      <c r="A2240" s="2" t="s">
        <v>240</v>
      </c>
      <c r="B2240" s="2" t="s">
        <v>240</v>
      </c>
      <c r="C2240" s="2" t="s">
        <v>48</v>
      </c>
      <c r="D2240" s="2" t="s">
        <v>10</v>
      </c>
      <c r="E2240" s="2" t="s">
        <v>76</v>
      </c>
      <c r="F2240" s="2" t="s">
        <v>1145</v>
      </c>
      <c r="G2240" s="14" t="n">
        <v>9.5</v>
      </c>
      <c r="H2240" s="14" t="n">
        <v>5.95</v>
      </c>
      <c r="I2240" s="14" t="n">
        <v>9.5</v>
      </c>
      <c r="J2240" s="22" t="n">
        <f aca="false">IF(E2240="Priority",'Cost model'!N884,'Cost model'!M884)</f>
        <v>7.5</v>
      </c>
      <c r="K2240" s="14" t="n">
        <f aca="false">J2240-H2240</f>
        <v>1.55</v>
      </c>
      <c r="L2240" s="14" t="n">
        <f aca="false">G2240-H2240</f>
        <v>3.55</v>
      </c>
    </row>
    <row r="2241" customFormat="false" ht="15" hidden="false" customHeight="false" outlineLevel="0" collapsed="false">
      <c r="A2241" s="2" t="s">
        <v>221</v>
      </c>
      <c r="B2241" s="2" t="s">
        <v>221</v>
      </c>
      <c r="C2241" s="2" t="s">
        <v>49</v>
      </c>
      <c r="D2241" s="2" t="s">
        <v>10</v>
      </c>
      <c r="E2241" s="2" t="s">
        <v>76</v>
      </c>
      <c r="F2241" s="2" t="s">
        <v>1145</v>
      </c>
      <c r="G2241" s="14" t="n">
        <v>12.5</v>
      </c>
      <c r="H2241" s="14" t="n">
        <v>17.09</v>
      </c>
      <c r="I2241" s="14" t="n">
        <v>12.5</v>
      </c>
      <c r="J2241" s="22" t="n">
        <f aca="false">IF(E2241="Priority",'Cost model'!N633,'Cost model'!M633)</f>
        <v>13.5</v>
      </c>
      <c r="K2241" s="14" t="n">
        <f aca="false">J2241-H2241</f>
        <v>-3.59</v>
      </c>
      <c r="L2241" s="14" t="n">
        <f aca="false">G2241-H2241</f>
        <v>-4.59</v>
      </c>
    </row>
    <row r="2242" customFormat="false" ht="15" hidden="false" customHeight="false" outlineLevel="0" collapsed="false">
      <c r="A2242" s="2" t="s">
        <v>126</v>
      </c>
      <c r="B2242" s="2" t="s">
        <v>126</v>
      </c>
      <c r="C2242" s="2" t="s">
        <v>50</v>
      </c>
      <c r="D2242" s="2" t="s">
        <v>10</v>
      </c>
      <c r="E2242" s="2" t="s">
        <v>76</v>
      </c>
      <c r="F2242" s="2" t="s">
        <v>1145</v>
      </c>
      <c r="G2242" s="14" t="n">
        <v>17.5</v>
      </c>
      <c r="H2242" s="14" t="n">
        <v>14.08</v>
      </c>
      <c r="I2242" s="14" t="n">
        <v>17.5</v>
      </c>
      <c r="J2242" s="22" t="n">
        <f aca="false">IF(E2242="Priority",'Cost model'!N382,'Cost model'!M382)</f>
        <v>18.5</v>
      </c>
      <c r="K2242" s="14" t="n">
        <f aca="false">J2242-H2242</f>
        <v>4.42</v>
      </c>
      <c r="L2242" s="14" t="n">
        <f aca="false">G2242-H2242</f>
        <v>3.42</v>
      </c>
    </row>
    <row r="2243" customFormat="false" ht="15" hidden="false" customHeight="false" outlineLevel="0" collapsed="false">
      <c r="A2243" s="2" t="s">
        <v>240</v>
      </c>
      <c r="B2243" s="2" t="s">
        <v>165</v>
      </c>
      <c r="C2243" s="2" t="s">
        <v>49</v>
      </c>
      <c r="D2243" s="2" t="s">
        <v>13</v>
      </c>
      <c r="E2243" s="2" t="s">
        <v>76</v>
      </c>
      <c r="F2243" s="2" t="s">
        <v>1146</v>
      </c>
      <c r="G2243" s="14" t="n">
        <v>34.5</v>
      </c>
      <c r="H2243" s="14" t="n">
        <v>91.65</v>
      </c>
      <c r="I2243" s="14" t="n">
        <v>34.5</v>
      </c>
      <c r="J2243" s="22" t="n">
        <f aca="false">IF(E2243="Priority",'Cost model'!N909,'Cost model'!M909)</f>
        <v>105</v>
      </c>
      <c r="K2243" s="14" t="n">
        <f aca="false">J2243-H2243</f>
        <v>13.35</v>
      </c>
      <c r="L2243" s="14" t="n">
        <f aca="false">G2243-H2243</f>
        <v>-57.15</v>
      </c>
    </row>
    <row r="2244" customFormat="false" ht="15" hidden="false" customHeight="false" outlineLevel="0" collapsed="false">
      <c r="A2244" s="2" t="s">
        <v>184</v>
      </c>
      <c r="B2244" s="2" t="s">
        <v>184</v>
      </c>
      <c r="C2244" s="2" t="s">
        <v>48</v>
      </c>
      <c r="D2244" s="2" t="s">
        <v>10</v>
      </c>
      <c r="E2244" s="2" t="s">
        <v>76</v>
      </c>
      <c r="F2244" s="2" t="s">
        <v>1145</v>
      </c>
      <c r="G2244" s="14" t="n">
        <v>9.5</v>
      </c>
      <c r="H2244" s="14" t="n">
        <v>7.45</v>
      </c>
      <c r="I2244" s="14" t="n">
        <v>9.5</v>
      </c>
      <c r="J2244" s="22" t="n">
        <f aca="false">IF(E2244="Priority",'Cost model'!N200,'Cost model'!M200)</f>
        <v>7.5</v>
      </c>
      <c r="K2244" s="14" t="n">
        <f aca="false">J2244-H2244</f>
        <v>0.0499999999999998</v>
      </c>
      <c r="L2244" s="14" t="n">
        <f aca="false">G2244-H2244</f>
        <v>2.05</v>
      </c>
    </row>
    <row r="2245" customFormat="false" ht="15" hidden="false" customHeight="false" outlineLevel="0" collapsed="false">
      <c r="A2245" s="2" t="s">
        <v>165</v>
      </c>
      <c r="B2245" s="2" t="s">
        <v>146</v>
      </c>
      <c r="C2245" s="2" t="s">
        <v>48</v>
      </c>
      <c r="D2245" s="2" t="s">
        <v>13</v>
      </c>
      <c r="E2245" s="2" t="s">
        <v>76</v>
      </c>
      <c r="F2245" s="2" t="s">
        <v>1146</v>
      </c>
      <c r="G2245" s="14" t="n">
        <v>19</v>
      </c>
      <c r="H2245" s="14" t="n">
        <v>85.43</v>
      </c>
      <c r="I2245" s="14" t="n">
        <v>24.5</v>
      </c>
      <c r="J2245" s="22" t="n">
        <f aca="false">IF(E2245="Priority",'Cost model'!N530,'Cost model'!M530)</f>
        <v>80</v>
      </c>
      <c r="K2245" s="14" t="n">
        <f aca="false">J2245-H2245</f>
        <v>-5.43000000000001</v>
      </c>
      <c r="L2245" s="14" t="n">
        <f aca="false">G2245-H2245</f>
        <v>-66.43</v>
      </c>
    </row>
    <row r="2246" customFormat="false" ht="15" hidden="false" customHeight="false" outlineLevel="0" collapsed="false">
      <c r="A2246" s="2" t="s">
        <v>126</v>
      </c>
      <c r="B2246" s="2" t="s">
        <v>126</v>
      </c>
      <c r="C2246" s="2" t="s">
        <v>49</v>
      </c>
      <c r="D2246" s="2" t="s">
        <v>12</v>
      </c>
      <c r="E2246" s="2" t="s">
        <v>85</v>
      </c>
      <c r="F2246" s="2" t="s">
        <v>1145</v>
      </c>
      <c r="G2246" s="14" t="n">
        <v>19.5</v>
      </c>
      <c r="H2246" s="14" t="n">
        <v>46.51</v>
      </c>
      <c r="I2246" s="14" t="n">
        <v>19.5</v>
      </c>
      <c r="J2246" s="22" t="n">
        <f aca="false">IF(E2246="Priority",'Cost model'!N384,'Cost model'!M384)</f>
        <v>60</v>
      </c>
      <c r="K2246" s="14" t="n">
        <f aca="false">J2246-H2246</f>
        <v>13.49</v>
      </c>
      <c r="L2246" s="14" t="n">
        <f aca="false">G2246-H2246</f>
        <v>-27.01</v>
      </c>
    </row>
    <row r="2247" customFormat="false" ht="15" hidden="false" customHeight="false" outlineLevel="0" collapsed="false">
      <c r="A2247" s="2" t="s">
        <v>184</v>
      </c>
      <c r="B2247" s="2" t="s">
        <v>184</v>
      </c>
      <c r="C2247" s="2" t="s">
        <v>48</v>
      </c>
      <c r="D2247" s="2" t="s">
        <v>10</v>
      </c>
      <c r="E2247" s="2" t="s">
        <v>76</v>
      </c>
      <c r="F2247" s="2" t="s">
        <v>1145</v>
      </c>
      <c r="G2247" s="14" t="n">
        <v>9.5</v>
      </c>
      <c r="H2247" s="14" t="n">
        <v>7.45</v>
      </c>
      <c r="I2247" s="14" t="n">
        <v>9.5</v>
      </c>
      <c r="J2247" s="22" t="n">
        <f aca="false">IF(E2247="Priority",'Cost model'!N200,'Cost model'!M200)</f>
        <v>7.5</v>
      </c>
      <c r="K2247" s="14" t="n">
        <f aca="false">J2247-H2247</f>
        <v>0.0499999999999998</v>
      </c>
      <c r="L2247" s="14" t="n">
        <f aca="false">G2247-H2247</f>
        <v>2.05</v>
      </c>
    </row>
    <row r="2248" customFormat="false" ht="15" hidden="false" customHeight="false" outlineLevel="0" collapsed="false">
      <c r="A2248" s="2" t="s">
        <v>240</v>
      </c>
      <c r="B2248" s="2" t="s">
        <v>240</v>
      </c>
      <c r="C2248" s="2" t="s">
        <v>50</v>
      </c>
      <c r="D2248" s="2" t="s">
        <v>12</v>
      </c>
      <c r="E2248" s="2" t="s">
        <v>76</v>
      </c>
      <c r="F2248" s="2" t="s">
        <v>1145</v>
      </c>
      <c r="G2248" s="14" t="n">
        <v>19.5</v>
      </c>
      <c r="H2248" s="14" t="n">
        <v>101.33</v>
      </c>
      <c r="I2248" s="14" t="n">
        <v>19.5</v>
      </c>
      <c r="J2248" s="22" t="n">
        <f aca="false">IF(E2248="Priority",'Cost model'!N889,'Cost model'!M889)</f>
        <v>60</v>
      </c>
      <c r="K2248" s="14" t="n">
        <f aca="false">J2248-H2248</f>
        <v>-41.33</v>
      </c>
      <c r="L2248" s="14" t="n">
        <f aca="false">G2248-H2248</f>
        <v>-81.83</v>
      </c>
    </row>
    <row r="2249" customFormat="false" ht="15" hidden="false" customHeight="false" outlineLevel="0" collapsed="false">
      <c r="A2249" s="2" t="s">
        <v>125</v>
      </c>
      <c r="B2249" s="2" t="s">
        <v>125</v>
      </c>
      <c r="C2249" s="2" t="s">
        <v>48</v>
      </c>
      <c r="D2249" s="2" t="s">
        <v>10</v>
      </c>
      <c r="E2249" s="2" t="s">
        <v>76</v>
      </c>
      <c r="F2249" s="2" t="s">
        <v>1145</v>
      </c>
      <c r="G2249" s="14" t="n">
        <v>9.5</v>
      </c>
      <c r="H2249" s="14" t="n">
        <v>21.76</v>
      </c>
      <c r="I2249" s="14" t="n">
        <v>9.5</v>
      </c>
      <c r="J2249" s="22" t="n">
        <f aca="false">IF(E2249="Priority",'Cost model'!N74,'Cost model'!M74)</f>
        <v>21.5</v>
      </c>
      <c r="K2249" s="14" t="n">
        <f aca="false">J2249-H2249</f>
        <v>-0.260000000000002</v>
      </c>
      <c r="L2249" s="14" t="n">
        <f aca="false">G2249-H2249</f>
        <v>-12.26</v>
      </c>
    </row>
    <row r="2250" customFormat="false" ht="15" hidden="false" customHeight="false" outlineLevel="0" collapsed="false">
      <c r="A2250" s="2" t="s">
        <v>221</v>
      </c>
      <c r="B2250" s="2" t="s">
        <v>146</v>
      </c>
      <c r="C2250" s="2" t="s">
        <v>49</v>
      </c>
      <c r="D2250" s="2" t="s">
        <v>12</v>
      </c>
      <c r="E2250" s="2" t="s">
        <v>76</v>
      </c>
      <c r="F2250" s="2" t="s">
        <v>1146</v>
      </c>
      <c r="G2250" s="14" t="n">
        <v>19.5</v>
      </c>
      <c r="H2250" s="14" t="n">
        <v>97.78</v>
      </c>
      <c r="I2250" s="14" t="n">
        <v>19.5</v>
      </c>
      <c r="J2250" s="22" t="n">
        <f aca="false">IF(E2250="Priority",'Cost model'!N654,'Cost model'!M654)</f>
        <v>80</v>
      </c>
      <c r="K2250" s="14" t="n">
        <f aca="false">J2250-H2250</f>
        <v>-17.78</v>
      </c>
      <c r="L2250" s="14" t="n">
        <f aca="false">G2250-H2250</f>
        <v>-78.28</v>
      </c>
    </row>
    <row r="2251" customFormat="false" ht="15" hidden="false" customHeight="false" outlineLevel="0" collapsed="false">
      <c r="A2251" s="2" t="s">
        <v>126</v>
      </c>
      <c r="B2251" s="2" t="s">
        <v>126</v>
      </c>
      <c r="C2251" s="2" t="s">
        <v>50</v>
      </c>
      <c r="D2251" s="2" t="s">
        <v>12</v>
      </c>
      <c r="E2251" s="2" t="s">
        <v>76</v>
      </c>
      <c r="F2251" s="2" t="s">
        <v>1145</v>
      </c>
      <c r="G2251" s="14" t="n">
        <v>19.5</v>
      </c>
      <c r="H2251" s="14" t="n">
        <v>51.2</v>
      </c>
      <c r="I2251" s="14" t="n">
        <v>19.5</v>
      </c>
      <c r="J2251" s="22" t="n">
        <f aca="false">IF(E2251="Priority",'Cost model'!N385,'Cost model'!M385)</f>
        <v>55</v>
      </c>
      <c r="K2251" s="14" t="n">
        <f aca="false">J2251-H2251</f>
        <v>3.8</v>
      </c>
      <c r="L2251" s="14" t="n">
        <f aca="false">G2251-H2251</f>
        <v>-31.7</v>
      </c>
    </row>
    <row r="2252" customFormat="false" ht="15" hidden="false" customHeight="false" outlineLevel="0" collapsed="false">
      <c r="A2252" s="2" t="s">
        <v>184</v>
      </c>
      <c r="B2252" s="2" t="s">
        <v>184</v>
      </c>
      <c r="C2252" s="2" t="s">
        <v>50</v>
      </c>
      <c r="D2252" s="2" t="s">
        <v>12</v>
      </c>
      <c r="E2252" s="2" t="s">
        <v>76</v>
      </c>
      <c r="F2252" s="2" t="s">
        <v>1145</v>
      </c>
      <c r="G2252" s="14" t="n">
        <v>19.5</v>
      </c>
      <c r="H2252" s="14" t="n">
        <v>71.07</v>
      </c>
      <c r="I2252" s="14" t="n">
        <v>19.5</v>
      </c>
      <c r="J2252" s="22" t="n">
        <f aca="false">IF(E2252="Priority",'Cost model'!N205,'Cost model'!M205)</f>
        <v>50</v>
      </c>
      <c r="K2252" s="14" t="n">
        <f aca="false">J2252-H2252</f>
        <v>-21.07</v>
      </c>
      <c r="L2252" s="14" t="n">
        <f aca="false">G2252-H2252</f>
        <v>-51.57</v>
      </c>
    </row>
    <row r="2253" customFormat="false" ht="15" hidden="false" customHeight="false" outlineLevel="0" collapsed="false">
      <c r="A2253" s="2" t="s">
        <v>184</v>
      </c>
      <c r="B2253" s="2" t="s">
        <v>184</v>
      </c>
      <c r="C2253" s="2" t="s">
        <v>49</v>
      </c>
      <c r="D2253" s="2" t="s">
        <v>10</v>
      </c>
      <c r="E2253" s="2" t="s">
        <v>76</v>
      </c>
      <c r="F2253" s="2" t="s">
        <v>1145</v>
      </c>
      <c r="G2253" s="14" t="n">
        <v>17.5</v>
      </c>
      <c r="H2253" s="14" t="n">
        <v>21.34</v>
      </c>
      <c r="I2253" s="14"/>
      <c r="J2253" s="22" t="n">
        <f aca="false">IF(E2253="Priority",'Cost model'!N201,'Cost model'!M201)</f>
        <v>12.5</v>
      </c>
      <c r="K2253" s="14" t="n">
        <f aca="false">J2253-H2253</f>
        <v>-8.84</v>
      </c>
      <c r="L2253" s="14" t="n">
        <f aca="false">G2253-H2253</f>
        <v>-3.84</v>
      </c>
    </row>
    <row r="2254" customFormat="false" ht="15" hidden="false" customHeight="false" outlineLevel="0" collapsed="false">
      <c r="A2254" s="2" t="s">
        <v>126</v>
      </c>
      <c r="B2254" s="2" t="s">
        <v>126</v>
      </c>
      <c r="C2254" s="2" t="s">
        <v>50</v>
      </c>
      <c r="D2254" s="2" t="s">
        <v>12</v>
      </c>
      <c r="E2254" s="2" t="s">
        <v>76</v>
      </c>
      <c r="F2254" s="2" t="s">
        <v>1145</v>
      </c>
      <c r="G2254" s="14" t="n">
        <v>19.5</v>
      </c>
      <c r="H2254" s="14" t="n">
        <v>56.99</v>
      </c>
      <c r="I2254" s="14" t="n">
        <v>19.5</v>
      </c>
      <c r="J2254" s="22" t="n">
        <f aca="false">IF(E2254="Priority",'Cost model'!N385,'Cost model'!M385)</f>
        <v>55</v>
      </c>
      <c r="K2254" s="14" t="n">
        <f aca="false">J2254-H2254</f>
        <v>-1.99</v>
      </c>
      <c r="L2254" s="14" t="n">
        <f aca="false">G2254-H2254</f>
        <v>-37.49</v>
      </c>
    </row>
    <row r="2255" customFormat="false" ht="15" hidden="false" customHeight="false" outlineLevel="0" collapsed="false">
      <c r="A2255" s="2" t="s">
        <v>184</v>
      </c>
      <c r="B2255" s="2" t="s">
        <v>126</v>
      </c>
      <c r="C2255" s="2" t="s">
        <v>50</v>
      </c>
      <c r="D2255" s="2" t="s">
        <v>12</v>
      </c>
      <c r="E2255" s="2" t="s">
        <v>76</v>
      </c>
      <c r="F2255" s="2" t="s">
        <v>1146</v>
      </c>
      <c r="G2255" s="14" t="n">
        <v>19.5</v>
      </c>
      <c r="H2255" s="14" t="n">
        <v>59.51</v>
      </c>
      <c r="I2255" s="14" t="n">
        <v>19.5</v>
      </c>
      <c r="J2255" s="22" t="n">
        <f aca="false">IF(E2255="Priority",'Cost model'!N133,'Cost model'!M133)</f>
        <v>55</v>
      </c>
      <c r="K2255" s="14" t="n">
        <f aca="false">J2255-H2255</f>
        <v>-4.51</v>
      </c>
      <c r="L2255" s="14" t="n">
        <f aca="false">G2255-H2255</f>
        <v>-40.01</v>
      </c>
    </row>
    <row r="2256" customFormat="false" ht="15" hidden="false" customHeight="false" outlineLevel="0" collapsed="false">
      <c r="A2256" s="2" t="s">
        <v>126</v>
      </c>
      <c r="B2256" s="2" t="s">
        <v>126</v>
      </c>
      <c r="C2256" s="2" t="s">
        <v>50</v>
      </c>
      <c r="D2256" s="2" t="s">
        <v>10</v>
      </c>
      <c r="E2256" s="2" t="s">
        <v>76</v>
      </c>
      <c r="F2256" s="2" t="s">
        <v>1145</v>
      </c>
      <c r="G2256" s="14" t="n">
        <v>17.5</v>
      </c>
      <c r="H2256" s="14" t="n">
        <v>11.34</v>
      </c>
      <c r="I2256" s="14" t="n">
        <v>17.5</v>
      </c>
      <c r="J2256" s="22" t="n">
        <f aca="false">IF(E2256="Priority",'Cost model'!N382,'Cost model'!M382)</f>
        <v>18.5</v>
      </c>
      <c r="K2256" s="14" t="n">
        <f aca="false">J2256-H2256</f>
        <v>7.16</v>
      </c>
      <c r="L2256" s="14" t="n">
        <f aca="false">G2256-H2256</f>
        <v>6.16</v>
      </c>
    </row>
    <row r="2257" customFormat="false" ht="15" hidden="false" customHeight="false" outlineLevel="0" collapsed="false">
      <c r="A2257" s="2" t="s">
        <v>126</v>
      </c>
      <c r="B2257" s="2" t="s">
        <v>126</v>
      </c>
      <c r="C2257" s="2" t="s">
        <v>48</v>
      </c>
      <c r="D2257" s="2" t="s">
        <v>10</v>
      </c>
      <c r="E2257" s="2" t="s">
        <v>76</v>
      </c>
      <c r="F2257" s="2" t="s">
        <v>1145</v>
      </c>
      <c r="G2257" s="14" t="n">
        <v>9.5</v>
      </c>
      <c r="H2257" s="14" t="n">
        <v>6.12</v>
      </c>
      <c r="I2257" s="14" t="n">
        <v>9.5</v>
      </c>
      <c r="J2257" s="22" t="n">
        <f aca="false">IF(E2257="Priority",'Cost model'!N380,'Cost model'!M380)</f>
        <v>8.5</v>
      </c>
      <c r="K2257" s="14" t="n">
        <f aca="false">J2257-H2257</f>
        <v>2.38</v>
      </c>
      <c r="L2257" s="14" t="n">
        <f aca="false">G2257-H2257</f>
        <v>3.38</v>
      </c>
    </row>
    <row r="2258" customFormat="false" ht="15" hidden="false" customHeight="false" outlineLevel="0" collapsed="false">
      <c r="A2258" s="2" t="s">
        <v>184</v>
      </c>
      <c r="B2258" s="2" t="s">
        <v>146</v>
      </c>
      <c r="C2258" s="2" t="s">
        <v>48</v>
      </c>
      <c r="D2258" s="2" t="s">
        <v>10</v>
      </c>
      <c r="E2258" s="2" t="s">
        <v>76</v>
      </c>
      <c r="F2258" s="2" t="s">
        <v>1146</v>
      </c>
      <c r="G2258" s="14" t="n">
        <v>9.5</v>
      </c>
      <c r="H2258" s="14" t="n">
        <v>10.03</v>
      </c>
      <c r="I2258" s="14" t="n">
        <v>9.5</v>
      </c>
      <c r="J2258" s="22" t="n">
        <f aca="false">IF(E2258="Priority",'Cost model'!N146,'Cost model'!M146)</f>
        <v>12.5</v>
      </c>
      <c r="K2258" s="14" t="n">
        <f aca="false">J2258-H2258</f>
        <v>2.47</v>
      </c>
      <c r="L2258" s="14" t="n">
        <f aca="false">G2258-H2258</f>
        <v>-0.529999999999999</v>
      </c>
    </row>
    <row r="2259" customFormat="false" ht="15" hidden="false" customHeight="false" outlineLevel="0" collapsed="false">
      <c r="A2259" s="2" t="s">
        <v>240</v>
      </c>
      <c r="B2259" s="2" t="s">
        <v>240</v>
      </c>
      <c r="C2259" s="2" t="s">
        <v>50</v>
      </c>
      <c r="D2259" s="2" t="s">
        <v>10</v>
      </c>
      <c r="E2259" s="2" t="s">
        <v>76</v>
      </c>
      <c r="F2259" s="2" t="s">
        <v>1145</v>
      </c>
      <c r="G2259" s="14" t="n">
        <v>17.5</v>
      </c>
      <c r="H2259" s="14" t="n">
        <v>26.9</v>
      </c>
      <c r="I2259" s="14" t="n">
        <v>17.5</v>
      </c>
      <c r="J2259" s="22" t="n">
        <f aca="false">IF(E2259="Priority",'Cost model'!N886,'Cost model'!M886)</f>
        <v>17.5</v>
      </c>
      <c r="K2259" s="14" t="n">
        <f aca="false">J2259-H2259</f>
        <v>-9.4</v>
      </c>
      <c r="L2259" s="14" t="n">
        <f aca="false">G2259-H2259</f>
        <v>-9.4</v>
      </c>
    </row>
    <row r="2260" customFormat="false" ht="15" hidden="false" customHeight="false" outlineLevel="0" collapsed="false">
      <c r="A2260" s="2" t="s">
        <v>184</v>
      </c>
      <c r="B2260" s="2" t="s">
        <v>184</v>
      </c>
      <c r="C2260" s="2" t="s">
        <v>48</v>
      </c>
      <c r="D2260" s="2" t="s">
        <v>12</v>
      </c>
      <c r="E2260" s="2" t="s">
        <v>76</v>
      </c>
      <c r="F2260" s="2" t="s">
        <v>1145</v>
      </c>
      <c r="G2260" s="14" t="n">
        <v>9.5</v>
      </c>
      <c r="H2260" s="14" t="n">
        <v>31.57</v>
      </c>
      <c r="I2260" s="14" t="n">
        <v>9.5</v>
      </c>
      <c r="J2260" s="22" t="n">
        <f aca="false">IF(E2260="Priority",'Cost model'!N203,'Cost model'!M203)</f>
        <v>26.5</v>
      </c>
      <c r="K2260" s="14" t="n">
        <f aca="false">J2260-H2260</f>
        <v>-5.07</v>
      </c>
      <c r="L2260" s="14" t="n">
        <f aca="false">G2260-H2260</f>
        <v>-22.07</v>
      </c>
    </row>
    <row r="2261" customFormat="false" ht="15" hidden="false" customHeight="false" outlineLevel="0" collapsed="false">
      <c r="A2261" s="2" t="s">
        <v>146</v>
      </c>
      <c r="B2261" s="2" t="s">
        <v>146</v>
      </c>
      <c r="C2261" s="2" t="s">
        <v>48</v>
      </c>
      <c r="D2261" s="2" t="s">
        <v>10</v>
      </c>
      <c r="E2261" s="2" t="s">
        <v>76</v>
      </c>
      <c r="F2261" s="2" t="s">
        <v>1145</v>
      </c>
      <c r="G2261" s="14" t="n">
        <v>9.5</v>
      </c>
      <c r="H2261" s="14" t="n">
        <v>7.45</v>
      </c>
      <c r="I2261" s="14" t="n">
        <v>9.5</v>
      </c>
      <c r="J2261" s="22" t="n">
        <f aca="false">IF(E2261="Priority",'Cost model'!N758,'Cost model'!M758)</f>
        <v>9.5</v>
      </c>
      <c r="K2261" s="14" t="n">
        <f aca="false">J2261-H2261</f>
        <v>2.05</v>
      </c>
      <c r="L2261" s="14" t="n">
        <f aca="false">G2261-H2261</f>
        <v>2.05</v>
      </c>
    </row>
    <row r="2262" customFormat="false" ht="15" hidden="false" customHeight="false" outlineLevel="0" collapsed="false">
      <c r="A2262" s="2" t="s">
        <v>184</v>
      </c>
      <c r="B2262" s="2" t="s">
        <v>146</v>
      </c>
      <c r="C2262" s="2" t="s">
        <v>48</v>
      </c>
      <c r="D2262" s="2" t="s">
        <v>10</v>
      </c>
      <c r="E2262" s="2" t="s">
        <v>76</v>
      </c>
      <c r="F2262" s="2" t="s">
        <v>1146</v>
      </c>
      <c r="G2262" s="14" t="n">
        <v>9.5</v>
      </c>
      <c r="H2262" s="14" t="n">
        <v>10.53</v>
      </c>
      <c r="I2262" s="14" t="n">
        <v>9.5</v>
      </c>
      <c r="J2262" s="22" t="n">
        <f aca="false">IF(E2262="Priority",'Cost model'!N146,'Cost model'!M146)</f>
        <v>12.5</v>
      </c>
      <c r="K2262" s="14" t="n">
        <f aca="false">J2262-H2262</f>
        <v>1.97</v>
      </c>
      <c r="L2262" s="14" t="n">
        <f aca="false">G2262-H2262</f>
        <v>-1.03</v>
      </c>
    </row>
    <row r="2263" customFormat="false" ht="15" hidden="false" customHeight="false" outlineLevel="0" collapsed="false">
      <c r="A2263" s="2" t="s">
        <v>240</v>
      </c>
      <c r="B2263" s="2" t="s">
        <v>240</v>
      </c>
      <c r="C2263" s="2" t="s">
        <v>50</v>
      </c>
      <c r="D2263" s="2" t="s">
        <v>12</v>
      </c>
      <c r="E2263" s="2" t="s">
        <v>76</v>
      </c>
      <c r="F2263" s="2" t="s">
        <v>1145</v>
      </c>
      <c r="G2263" s="14" t="n">
        <v>19.5</v>
      </c>
      <c r="H2263" s="14" t="n">
        <v>51.15</v>
      </c>
      <c r="I2263" s="14" t="n">
        <v>19.5</v>
      </c>
      <c r="J2263" s="22" t="n">
        <f aca="false">IF(E2263="Priority",'Cost model'!N889,'Cost model'!M889)</f>
        <v>60</v>
      </c>
      <c r="K2263" s="14" t="n">
        <f aca="false">J2263-H2263</f>
        <v>8.85</v>
      </c>
      <c r="L2263" s="14" t="n">
        <f aca="false">G2263-H2263</f>
        <v>-31.65</v>
      </c>
    </row>
    <row r="2264" customFormat="false" ht="15" hidden="false" customHeight="false" outlineLevel="0" collapsed="false">
      <c r="A2264" s="2" t="s">
        <v>146</v>
      </c>
      <c r="B2264" s="2" t="s">
        <v>184</v>
      </c>
      <c r="C2264" s="2" t="s">
        <v>48</v>
      </c>
      <c r="D2264" s="2" t="s">
        <v>12</v>
      </c>
      <c r="E2264" s="2" t="s">
        <v>76</v>
      </c>
      <c r="F2264" s="2" t="s">
        <v>1146</v>
      </c>
      <c r="G2264" s="14" t="n">
        <v>19.5</v>
      </c>
      <c r="H2264" s="14" t="n">
        <v>95.02</v>
      </c>
      <c r="I2264" s="14" t="n">
        <v>19.5</v>
      </c>
      <c r="J2264" s="22" t="n">
        <f aca="false">IF(E2264="Priority",'Cost model'!N833,'Cost model'!M833)</f>
        <v>45</v>
      </c>
      <c r="K2264" s="14" t="n">
        <f aca="false">J2264-H2264</f>
        <v>-50.02</v>
      </c>
      <c r="L2264" s="14" t="n">
        <f aca="false">G2264-H2264</f>
        <v>-75.52</v>
      </c>
    </row>
    <row r="2265" customFormat="false" ht="15" hidden="false" customHeight="false" outlineLevel="0" collapsed="false">
      <c r="A2265" s="2" t="s">
        <v>240</v>
      </c>
      <c r="B2265" s="2" t="s">
        <v>240</v>
      </c>
      <c r="C2265" s="2" t="s">
        <v>50</v>
      </c>
      <c r="D2265" s="2" t="s">
        <v>12</v>
      </c>
      <c r="E2265" s="2" t="s">
        <v>76</v>
      </c>
      <c r="F2265" s="2" t="s">
        <v>1145</v>
      </c>
      <c r="G2265" s="14" t="n">
        <v>19.5</v>
      </c>
      <c r="H2265" s="14" t="n">
        <v>24.17</v>
      </c>
      <c r="I2265" s="14" t="n">
        <v>19.5</v>
      </c>
      <c r="J2265" s="22" t="n">
        <f aca="false">IF(E2265="Priority",'Cost model'!N889,'Cost model'!M889)</f>
        <v>60</v>
      </c>
      <c r="K2265" s="14" t="n">
        <f aca="false">J2265-H2265</f>
        <v>35.83</v>
      </c>
      <c r="L2265" s="14" t="n">
        <f aca="false">G2265-H2265</f>
        <v>-4.67</v>
      </c>
    </row>
    <row r="2266" customFormat="false" ht="15" hidden="false" customHeight="false" outlineLevel="0" collapsed="false">
      <c r="A2266" s="2" t="s">
        <v>146</v>
      </c>
      <c r="B2266" s="2" t="s">
        <v>146</v>
      </c>
      <c r="C2266" s="2" t="s">
        <v>48</v>
      </c>
      <c r="D2266" s="2" t="s">
        <v>10</v>
      </c>
      <c r="E2266" s="2" t="s">
        <v>85</v>
      </c>
      <c r="F2266" s="2" t="s">
        <v>1145</v>
      </c>
      <c r="G2266" s="14" t="n">
        <v>14.5</v>
      </c>
      <c r="H2266" s="14" t="n">
        <v>6.68</v>
      </c>
      <c r="I2266" s="14" t="n">
        <v>14.5</v>
      </c>
      <c r="J2266" s="22" t="n">
        <f aca="false">IF(E2266="Priority",'Cost model'!N758,'Cost model'!M758)</f>
        <v>14.5</v>
      </c>
      <c r="K2266" s="14" t="n">
        <f aca="false">J2266-H2266</f>
        <v>7.82</v>
      </c>
      <c r="L2266" s="14" t="n">
        <f aca="false">G2266-H2266</f>
        <v>7.82</v>
      </c>
    </row>
    <row r="2267" customFormat="false" ht="15" hidden="false" customHeight="false" outlineLevel="0" collapsed="false">
      <c r="A2267" s="2" t="s">
        <v>184</v>
      </c>
      <c r="B2267" s="2" t="s">
        <v>146</v>
      </c>
      <c r="C2267" s="2" t="s">
        <v>48</v>
      </c>
      <c r="D2267" s="2" t="s">
        <v>12</v>
      </c>
      <c r="E2267" s="2" t="s">
        <v>76</v>
      </c>
      <c r="F2267" s="2" t="s">
        <v>1146</v>
      </c>
      <c r="G2267" s="14" t="n">
        <v>9.5</v>
      </c>
      <c r="H2267" s="14" t="n">
        <v>46.84</v>
      </c>
      <c r="I2267" s="14" t="n">
        <v>9.5</v>
      </c>
      <c r="J2267" s="22" t="n">
        <f aca="false">IF(E2267="Priority",'Cost model'!N149,'Cost model'!M149)</f>
        <v>45</v>
      </c>
      <c r="K2267" s="14" t="n">
        <f aca="false">J2267-H2267</f>
        <v>-1.84</v>
      </c>
      <c r="L2267" s="14" t="n">
        <f aca="false">G2267-H2267</f>
        <v>-37.34</v>
      </c>
    </row>
    <row r="2268" customFormat="false" ht="15" hidden="false" customHeight="false" outlineLevel="0" collapsed="false">
      <c r="A2268" s="2" t="s">
        <v>184</v>
      </c>
      <c r="B2268" s="2" t="s">
        <v>184</v>
      </c>
      <c r="C2268" s="2" t="s">
        <v>50</v>
      </c>
      <c r="D2268" s="2" t="s">
        <v>10</v>
      </c>
      <c r="E2268" s="2" t="s">
        <v>76</v>
      </c>
      <c r="F2268" s="2" t="s">
        <v>1145</v>
      </c>
      <c r="G2268" s="14" t="n">
        <v>17.5</v>
      </c>
      <c r="H2268" s="14" t="n">
        <v>10.51</v>
      </c>
      <c r="I2268" s="14" t="n">
        <v>17.5</v>
      </c>
      <c r="J2268" s="22" t="n">
        <f aca="false">IF(E2268="Priority",'Cost model'!N202,'Cost model'!M202)</f>
        <v>17.5</v>
      </c>
      <c r="K2268" s="14" t="n">
        <f aca="false">J2268-H2268</f>
        <v>6.99</v>
      </c>
      <c r="L2268" s="14" t="n">
        <f aca="false">G2268-H2268</f>
        <v>6.99</v>
      </c>
    </row>
    <row r="2269" customFormat="false" ht="15" hidden="false" customHeight="false" outlineLevel="0" collapsed="false">
      <c r="A2269" s="2" t="s">
        <v>146</v>
      </c>
      <c r="B2269" s="2" t="s">
        <v>146</v>
      </c>
      <c r="C2269" s="2" t="s">
        <v>48</v>
      </c>
      <c r="D2269" s="2" t="s">
        <v>12</v>
      </c>
      <c r="E2269" s="2" t="s">
        <v>85</v>
      </c>
      <c r="F2269" s="2" t="s">
        <v>1145</v>
      </c>
      <c r="G2269" s="14" t="n">
        <v>19.5</v>
      </c>
      <c r="H2269" s="14" t="n">
        <v>63.15</v>
      </c>
      <c r="I2269" s="14" t="n">
        <v>19.5</v>
      </c>
      <c r="J2269" s="22" t="n">
        <f aca="false">IF(E2269="Priority",'Cost model'!N761,'Cost model'!M761)</f>
        <v>45</v>
      </c>
      <c r="K2269" s="14" t="n">
        <f aca="false">J2269-H2269</f>
        <v>-18.15</v>
      </c>
      <c r="L2269" s="14" t="n">
        <f aca="false">G2269-H2269</f>
        <v>-43.65</v>
      </c>
    </row>
    <row r="2270" customFormat="false" ht="15" hidden="false" customHeight="false" outlineLevel="0" collapsed="false">
      <c r="A2270" s="2" t="s">
        <v>184</v>
      </c>
      <c r="B2270" s="2" t="s">
        <v>184</v>
      </c>
      <c r="C2270" s="2" t="s">
        <v>49</v>
      </c>
      <c r="D2270" s="2" t="s">
        <v>10</v>
      </c>
      <c r="E2270" s="2" t="s">
        <v>76</v>
      </c>
      <c r="F2270" s="2" t="s">
        <v>1145</v>
      </c>
      <c r="G2270" s="14" t="n">
        <v>12.5</v>
      </c>
      <c r="H2270" s="14" t="n">
        <v>9.12</v>
      </c>
      <c r="I2270" s="14"/>
      <c r="J2270" s="22" t="n">
        <f aca="false">IF(E2270="Priority",'Cost model'!N201,'Cost model'!M201)</f>
        <v>12.5</v>
      </c>
      <c r="K2270" s="14" t="n">
        <f aca="false">J2270-H2270</f>
        <v>3.38</v>
      </c>
      <c r="L2270" s="14" t="n">
        <f aca="false">G2270-H2270</f>
        <v>3.38</v>
      </c>
    </row>
    <row r="2271" customFormat="false" ht="15" hidden="false" customHeight="false" outlineLevel="0" collapsed="false">
      <c r="A2271" s="2" t="s">
        <v>126</v>
      </c>
      <c r="B2271" s="2" t="s">
        <v>126</v>
      </c>
      <c r="C2271" s="2" t="s">
        <v>48</v>
      </c>
      <c r="D2271" s="2" t="s">
        <v>10</v>
      </c>
      <c r="E2271" s="2" t="s">
        <v>76</v>
      </c>
      <c r="F2271" s="2" t="s">
        <v>1145</v>
      </c>
      <c r="G2271" s="14" t="n">
        <v>9.5</v>
      </c>
      <c r="H2271" s="14" t="n">
        <v>7.72</v>
      </c>
      <c r="I2271" s="14" t="n">
        <v>9.5</v>
      </c>
      <c r="J2271" s="22" t="n">
        <f aca="false">IF(E2271="Priority",'Cost model'!N380,'Cost model'!M380)</f>
        <v>8.5</v>
      </c>
      <c r="K2271" s="14" t="n">
        <f aca="false">J2271-H2271</f>
        <v>0.78</v>
      </c>
      <c r="L2271" s="14" t="n">
        <f aca="false">G2271-H2271</f>
        <v>1.78</v>
      </c>
    </row>
    <row r="2272" customFormat="false" ht="15" hidden="false" customHeight="false" outlineLevel="0" collapsed="false">
      <c r="A2272" s="2" t="s">
        <v>126</v>
      </c>
      <c r="B2272" s="2" t="s">
        <v>126</v>
      </c>
      <c r="C2272" s="2" t="s">
        <v>50</v>
      </c>
      <c r="D2272" s="2" t="s">
        <v>10</v>
      </c>
      <c r="E2272" s="2" t="s">
        <v>76</v>
      </c>
      <c r="F2272" s="2" t="s">
        <v>1145</v>
      </c>
      <c r="G2272" s="14" t="n">
        <v>17.5</v>
      </c>
      <c r="H2272" s="14" t="n">
        <v>13.7</v>
      </c>
      <c r="I2272" s="14" t="n">
        <v>17.5</v>
      </c>
      <c r="J2272" s="22" t="n">
        <f aca="false">IF(E2272="Priority",'Cost model'!N382,'Cost model'!M382)</f>
        <v>18.5</v>
      </c>
      <c r="K2272" s="14" t="n">
        <f aca="false">J2272-H2272</f>
        <v>4.8</v>
      </c>
      <c r="L2272" s="14" t="n">
        <f aca="false">G2272-H2272</f>
        <v>3.8</v>
      </c>
    </row>
    <row r="2273" customFormat="false" ht="15" hidden="false" customHeight="false" outlineLevel="0" collapsed="false">
      <c r="A2273" s="2" t="s">
        <v>146</v>
      </c>
      <c r="B2273" s="2" t="s">
        <v>146</v>
      </c>
      <c r="C2273" s="2" t="s">
        <v>49</v>
      </c>
      <c r="D2273" s="2" t="s">
        <v>12</v>
      </c>
      <c r="E2273" s="2" t="s">
        <v>76</v>
      </c>
      <c r="F2273" s="2" t="s">
        <v>1145</v>
      </c>
      <c r="G2273" s="14" t="n">
        <v>12.5</v>
      </c>
      <c r="H2273" s="14" t="n">
        <v>59.58</v>
      </c>
      <c r="I2273" s="14" t="n">
        <v>12.5</v>
      </c>
      <c r="J2273" s="22" t="n">
        <f aca="false">IF(E2273="Priority",'Cost model'!N762,'Cost model'!M762)</f>
        <v>45</v>
      </c>
      <c r="K2273" s="14" t="n">
        <f aca="false">J2273-H2273</f>
        <v>-14.58</v>
      </c>
      <c r="L2273" s="14" t="n">
        <f aca="false">G2273-H2273</f>
        <v>-47.08</v>
      </c>
    </row>
    <row r="2274" customFormat="false" ht="15" hidden="false" customHeight="false" outlineLevel="0" collapsed="false">
      <c r="A2274" s="2" t="s">
        <v>126</v>
      </c>
      <c r="B2274" s="2" t="s">
        <v>126</v>
      </c>
      <c r="C2274" s="2" t="s">
        <v>48</v>
      </c>
      <c r="D2274" s="2" t="s">
        <v>12</v>
      </c>
      <c r="E2274" s="2" t="s">
        <v>76</v>
      </c>
      <c r="F2274" s="2" t="s">
        <v>1145</v>
      </c>
      <c r="G2274" s="14" t="n">
        <v>9.5</v>
      </c>
      <c r="H2274" s="14" t="n">
        <v>28.75</v>
      </c>
      <c r="I2274" s="14" t="n">
        <v>9.5</v>
      </c>
      <c r="J2274" s="22" t="n">
        <f aca="false">IF(E2274="Priority",'Cost model'!N383,'Cost model'!M383)</f>
        <v>27.5</v>
      </c>
      <c r="K2274" s="14" t="n">
        <f aca="false">J2274-H2274</f>
        <v>-1.25</v>
      </c>
      <c r="L2274" s="14" t="n">
        <f aca="false">G2274-H2274</f>
        <v>-19.25</v>
      </c>
    </row>
    <row r="2275" customFormat="false" ht="15" hidden="false" customHeight="false" outlineLevel="0" collapsed="false">
      <c r="A2275" s="2" t="s">
        <v>146</v>
      </c>
      <c r="B2275" s="2" t="s">
        <v>146</v>
      </c>
      <c r="C2275" s="2" t="s">
        <v>48</v>
      </c>
      <c r="D2275" s="2" t="s">
        <v>12</v>
      </c>
      <c r="E2275" s="2" t="s">
        <v>85</v>
      </c>
      <c r="F2275" s="2" t="s">
        <v>1145</v>
      </c>
      <c r="G2275" s="14" t="n">
        <v>19.5</v>
      </c>
      <c r="H2275" s="14" t="n">
        <v>43.59</v>
      </c>
      <c r="I2275" s="14" t="n">
        <v>19.5</v>
      </c>
      <c r="J2275" s="22" t="n">
        <f aca="false">IF(E2275="Priority",'Cost model'!N761,'Cost model'!M761)</f>
        <v>45</v>
      </c>
      <c r="K2275" s="14" t="n">
        <f aca="false">J2275-H2275</f>
        <v>1.41</v>
      </c>
      <c r="L2275" s="14" t="n">
        <f aca="false">G2275-H2275</f>
        <v>-24.09</v>
      </c>
    </row>
    <row r="2276" customFormat="false" ht="15" hidden="false" customHeight="false" outlineLevel="0" collapsed="false">
      <c r="A2276" s="2" t="s">
        <v>146</v>
      </c>
      <c r="B2276" s="2" t="s">
        <v>146</v>
      </c>
      <c r="C2276" s="2" t="s">
        <v>49</v>
      </c>
      <c r="D2276" s="2" t="s">
        <v>13</v>
      </c>
      <c r="E2276" s="2" t="s">
        <v>85</v>
      </c>
      <c r="F2276" s="2" t="s">
        <v>1145</v>
      </c>
      <c r="G2276" s="14" t="n">
        <v>45</v>
      </c>
      <c r="H2276" s="14" t="n">
        <v>57.23</v>
      </c>
      <c r="I2276" s="14" t="n">
        <v>45</v>
      </c>
      <c r="J2276" s="22" t="n">
        <f aca="false">IF(E2276="Priority",'Cost model'!N765,'Cost model'!M765)</f>
        <v>95</v>
      </c>
      <c r="K2276" s="14" t="n">
        <f aca="false">J2276-H2276</f>
        <v>37.77</v>
      </c>
      <c r="L2276" s="14" t="n">
        <f aca="false">G2276-H2276</f>
        <v>-12.23</v>
      </c>
    </row>
    <row r="2277" customFormat="false" ht="15" hidden="false" customHeight="false" outlineLevel="0" collapsed="false">
      <c r="A2277" s="2" t="s">
        <v>126</v>
      </c>
      <c r="B2277" s="2" t="s">
        <v>126</v>
      </c>
      <c r="C2277" s="2" t="s">
        <v>49</v>
      </c>
      <c r="D2277" s="2" t="s">
        <v>13</v>
      </c>
      <c r="E2277" s="2" t="s">
        <v>76</v>
      </c>
      <c r="F2277" s="2" t="s">
        <v>1145</v>
      </c>
      <c r="G2277" s="14" t="n">
        <v>24.5</v>
      </c>
      <c r="H2277" s="14" t="n">
        <v>96.07</v>
      </c>
      <c r="I2277" s="14" t="n">
        <v>24.5</v>
      </c>
      <c r="J2277" s="22" t="n">
        <f aca="false">IF(E2277="Priority",'Cost model'!N387,'Cost model'!M387)</f>
        <v>95</v>
      </c>
      <c r="K2277" s="14" t="n">
        <f aca="false">J2277-H2277</f>
        <v>-1.06999999999999</v>
      </c>
      <c r="L2277" s="14" t="n">
        <f aca="false">G2277-H2277</f>
        <v>-71.57</v>
      </c>
    </row>
    <row r="2278" customFormat="false" ht="15" hidden="false" customHeight="false" outlineLevel="0" collapsed="false">
      <c r="A2278" s="2" t="s">
        <v>184</v>
      </c>
      <c r="B2278" s="2" t="s">
        <v>184</v>
      </c>
      <c r="C2278" s="2" t="s">
        <v>48</v>
      </c>
      <c r="D2278" s="2" t="s">
        <v>10</v>
      </c>
      <c r="E2278" s="2" t="s">
        <v>76</v>
      </c>
      <c r="F2278" s="2" t="s">
        <v>1145</v>
      </c>
      <c r="G2278" s="14" t="n">
        <v>9.5</v>
      </c>
      <c r="H2278" s="14" t="n">
        <v>9.78</v>
      </c>
      <c r="I2278" s="14" t="n">
        <v>9.5</v>
      </c>
      <c r="J2278" s="22" t="n">
        <f aca="false">IF(E2278="Priority",'Cost model'!N200,'Cost model'!M200)</f>
        <v>7.5</v>
      </c>
      <c r="K2278" s="14" t="n">
        <f aca="false">J2278-H2278</f>
        <v>-2.28</v>
      </c>
      <c r="L2278" s="14" t="n">
        <f aca="false">G2278-H2278</f>
        <v>-0.279999999999999</v>
      </c>
    </row>
    <row r="2279" customFormat="false" ht="15" hidden="false" customHeight="false" outlineLevel="0" collapsed="false">
      <c r="A2279" s="2" t="s">
        <v>184</v>
      </c>
      <c r="B2279" s="2" t="s">
        <v>146</v>
      </c>
      <c r="C2279" s="2" t="s">
        <v>48</v>
      </c>
      <c r="D2279" s="2" t="s">
        <v>13</v>
      </c>
      <c r="E2279" s="2" t="s">
        <v>76</v>
      </c>
      <c r="F2279" s="2" t="s">
        <v>1146</v>
      </c>
      <c r="G2279" s="14" t="n">
        <v>19</v>
      </c>
      <c r="H2279" s="14" t="n">
        <v>98.95</v>
      </c>
      <c r="I2279" s="14" t="n">
        <v>19</v>
      </c>
      <c r="J2279" s="22" t="n">
        <f aca="false">IF(E2279="Priority",'Cost model'!N152,'Cost model'!M152)</f>
        <v>65</v>
      </c>
      <c r="K2279" s="14" t="n">
        <f aca="false">J2279-H2279</f>
        <v>-33.95</v>
      </c>
      <c r="L2279" s="14" t="n">
        <f aca="false">G2279-H2279</f>
        <v>-79.95</v>
      </c>
    </row>
    <row r="2280" customFormat="false" ht="15" hidden="false" customHeight="false" outlineLevel="0" collapsed="false">
      <c r="A2280" s="2" t="s">
        <v>146</v>
      </c>
      <c r="B2280" s="2" t="s">
        <v>146</v>
      </c>
      <c r="C2280" s="2" t="s">
        <v>49</v>
      </c>
      <c r="D2280" s="2" t="s">
        <v>12</v>
      </c>
      <c r="E2280" s="2" t="s">
        <v>85</v>
      </c>
      <c r="F2280" s="2" t="s">
        <v>1145</v>
      </c>
      <c r="G2280" s="14" t="n">
        <v>19.5</v>
      </c>
      <c r="H2280" s="14" t="n">
        <v>47.15</v>
      </c>
      <c r="I2280" s="14" t="n">
        <v>19.5</v>
      </c>
      <c r="J2280" s="22" t="n">
        <f aca="false">IF(E2280="Priority",'Cost model'!N762,'Cost model'!M762)</f>
        <v>60</v>
      </c>
      <c r="K2280" s="14" t="n">
        <f aca="false">J2280-H2280</f>
        <v>12.85</v>
      </c>
      <c r="L2280" s="14" t="n">
        <f aca="false">G2280-H2280</f>
        <v>-27.65</v>
      </c>
    </row>
    <row r="2281" customFormat="false" ht="15" hidden="false" customHeight="false" outlineLevel="0" collapsed="false">
      <c r="A2281" s="2" t="s">
        <v>240</v>
      </c>
      <c r="B2281" s="2" t="s">
        <v>184</v>
      </c>
      <c r="C2281" s="2" t="s">
        <v>48</v>
      </c>
      <c r="D2281" s="2" t="s">
        <v>12</v>
      </c>
      <c r="E2281" s="2" t="s">
        <v>85</v>
      </c>
      <c r="F2281" s="2" t="s">
        <v>1146</v>
      </c>
      <c r="G2281" s="14" t="n">
        <v>29.5</v>
      </c>
      <c r="H2281" s="14" t="n">
        <v>69.01</v>
      </c>
      <c r="I2281" s="14" t="n">
        <v>29.5</v>
      </c>
      <c r="J2281" s="22" t="n">
        <f aca="false">IF(E2281="Priority",'Cost model'!N941,'Cost model'!M941)</f>
        <v>90</v>
      </c>
      <c r="K2281" s="14" t="n">
        <f aca="false">J2281-H2281</f>
        <v>20.99</v>
      </c>
      <c r="L2281" s="14" t="n">
        <f aca="false">G2281-H2281</f>
        <v>-39.51</v>
      </c>
    </row>
    <row r="2282" customFormat="false" ht="15" hidden="false" customHeight="false" outlineLevel="0" collapsed="false">
      <c r="A2282" s="2" t="s">
        <v>126</v>
      </c>
      <c r="B2282" s="2" t="s">
        <v>126</v>
      </c>
      <c r="C2282" s="2" t="s">
        <v>50</v>
      </c>
      <c r="D2282" s="2" t="s">
        <v>10</v>
      </c>
      <c r="E2282" s="2" t="s">
        <v>76</v>
      </c>
      <c r="F2282" s="2" t="s">
        <v>1145</v>
      </c>
      <c r="G2282" s="14" t="n">
        <v>17.5</v>
      </c>
      <c r="H2282" s="14" t="n">
        <v>31.22</v>
      </c>
      <c r="I2282" s="14" t="n">
        <v>17.5</v>
      </c>
      <c r="J2282" s="22" t="n">
        <f aca="false">IF(E2282="Priority",'Cost model'!N382,'Cost model'!M382)</f>
        <v>18.5</v>
      </c>
      <c r="K2282" s="14" t="n">
        <f aca="false">J2282-H2282</f>
        <v>-12.72</v>
      </c>
      <c r="L2282" s="14" t="n">
        <f aca="false">G2282-H2282</f>
        <v>-13.72</v>
      </c>
    </row>
    <row r="2283" customFormat="false" ht="15" hidden="false" customHeight="false" outlineLevel="0" collapsed="false">
      <c r="A2283" s="2" t="s">
        <v>165</v>
      </c>
      <c r="B2283" s="2" t="s">
        <v>126</v>
      </c>
      <c r="C2283" s="2" t="s">
        <v>48</v>
      </c>
      <c r="D2283" s="2" t="s">
        <v>12</v>
      </c>
      <c r="E2283" s="2" t="s">
        <v>76</v>
      </c>
      <c r="F2283" s="2" t="s">
        <v>1146</v>
      </c>
      <c r="G2283" s="14" t="n">
        <v>9.5</v>
      </c>
      <c r="H2283" s="14" t="n">
        <v>41.18</v>
      </c>
      <c r="I2283" s="14" t="n">
        <v>19.5</v>
      </c>
      <c r="J2283" s="22" t="n">
        <f aca="false">IF(E2283="Priority",'Cost model'!N545,'Cost model'!M545)</f>
        <v>50</v>
      </c>
      <c r="K2283" s="14" t="n">
        <f aca="false">J2283-H2283</f>
        <v>8.82</v>
      </c>
      <c r="L2283" s="14" t="n">
        <f aca="false">G2283-H2283</f>
        <v>-31.68</v>
      </c>
    </row>
    <row r="2284" customFormat="false" ht="15" hidden="false" customHeight="false" outlineLevel="0" collapsed="false">
      <c r="A2284" s="2" t="s">
        <v>126</v>
      </c>
      <c r="B2284" s="2" t="s">
        <v>126</v>
      </c>
      <c r="C2284" s="2" t="s">
        <v>49</v>
      </c>
      <c r="D2284" s="2" t="s">
        <v>12</v>
      </c>
      <c r="E2284" s="2" t="s">
        <v>76</v>
      </c>
      <c r="F2284" s="2" t="s">
        <v>1145</v>
      </c>
      <c r="G2284" s="14" t="n">
        <v>12.5</v>
      </c>
      <c r="H2284" s="14" t="n">
        <v>62.54</v>
      </c>
      <c r="I2284" s="14" t="n">
        <v>12.5</v>
      </c>
      <c r="J2284" s="22" t="n">
        <f aca="false">IF(E2284="Priority",'Cost model'!N384,'Cost model'!M384)</f>
        <v>45</v>
      </c>
      <c r="K2284" s="14" t="n">
        <f aca="false">J2284-H2284</f>
        <v>-17.54</v>
      </c>
      <c r="L2284" s="14" t="n">
        <f aca="false">G2284-H2284</f>
        <v>-50.04</v>
      </c>
    </row>
    <row r="2285" customFormat="false" ht="15" hidden="false" customHeight="false" outlineLevel="0" collapsed="false">
      <c r="A2285" s="2" t="s">
        <v>165</v>
      </c>
      <c r="B2285" s="2" t="s">
        <v>146</v>
      </c>
      <c r="C2285" s="2" t="s">
        <v>50</v>
      </c>
      <c r="D2285" s="2" t="s">
        <v>13</v>
      </c>
      <c r="E2285" s="2" t="s">
        <v>76</v>
      </c>
      <c r="F2285" s="2" t="s">
        <v>1146</v>
      </c>
      <c r="G2285" s="14" t="n">
        <v>85</v>
      </c>
      <c r="H2285" s="14" t="n">
        <v>74.17</v>
      </c>
      <c r="I2285" s="14" t="n">
        <v>85</v>
      </c>
      <c r="J2285" s="22" t="n">
        <f aca="false">IF(E2285="Priority",'Cost model'!N532,'Cost model'!M532)</f>
        <v>120</v>
      </c>
      <c r="K2285" s="14" t="n">
        <f aca="false">J2285-H2285</f>
        <v>45.83</v>
      </c>
      <c r="L2285" s="14" t="n">
        <f aca="false">G2285-H2285</f>
        <v>10.83</v>
      </c>
    </row>
    <row r="2286" customFormat="false" ht="15" hidden="false" customHeight="false" outlineLevel="0" collapsed="false">
      <c r="A2286" s="2" t="s">
        <v>184</v>
      </c>
      <c r="B2286" s="2" t="s">
        <v>146</v>
      </c>
      <c r="C2286" s="2" t="s">
        <v>49</v>
      </c>
      <c r="D2286" s="2" t="s">
        <v>13</v>
      </c>
      <c r="E2286" s="2" t="s">
        <v>76</v>
      </c>
      <c r="F2286" s="2" t="s">
        <v>1146</v>
      </c>
      <c r="G2286" s="14" t="n">
        <v>24.5</v>
      </c>
      <c r="H2286" s="14" t="n">
        <v>295.62</v>
      </c>
      <c r="I2286" s="14"/>
      <c r="J2286" s="22" t="n">
        <f aca="false">IF(E2286="Priority",'Cost model'!N153,'Cost model'!M153)</f>
        <v>100</v>
      </c>
      <c r="K2286" s="14" t="n">
        <f aca="false">J2286-H2286</f>
        <v>-195.62</v>
      </c>
      <c r="L2286" s="14" t="n">
        <f aca="false">G2286-H2286</f>
        <v>-271.12</v>
      </c>
    </row>
    <row r="2287" customFormat="false" ht="15" hidden="false" customHeight="false" outlineLevel="0" collapsed="false">
      <c r="A2287" s="2" t="s">
        <v>184</v>
      </c>
      <c r="B2287" s="2" t="s">
        <v>146</v>
      </c>
      <c r="C2287" s="2" t="s">
        <v>49</v>
      </c>
      <c r="D2287" s="2" t="s">
        <v>12</v>
      </c>
      <c r="E2287" s="2" t="s">
        <v>76</v>
      </c>
      <c r="F2287" s="2" t="s">
        <v>1146</v>
      </c>
      <c r="G2287" s="14" t="n">
        <v>12.5</v>
      </c>
      <c r="H2287" s="14" t="n">
        <v>15.88</v>
      </c>
      <c r="I2287" s="14"/>
      <c r="J2287" s="22" t="n">
        <f aca="false">IF(E2287="Priority",'Cost model'!N150,'Cost model'!M150)</f>
        <v>55</v>
      </c>
      <c r="K2287" s="14" t="n">
        <f aca="false">J2287-H2287</f>
        <v>39.12</v>
      </c>
      <c r="L2287" s="14" t="n">
        <f aca="false">G2287-H2287</f>
        <v>-3.38</v>
      </c>
    </row>
    <row r="2288" customFormat="false" ht="15" hidden="false" customHeight="false" outlineLevel="0" collapsed="false">
      <c r="A2288" s="2" t="s">
        <v>126</v>
      </c>
      <c r="B2288" s="2" t="s">
        <v>184</v>
      </c>
      <c r="C2288" s="2" t="s">
        <v>48</v>
      </c>
      <c r="D2288" s="2" t="s">
        <v>12</v>
      </c>
      <c r="E2288" s="2" t="s">
        <v>76</v>
      </c>
      <c r="F2288" s="2" t="s">
        <v>1146</v>
      </c>
      <c r="G2288" s="14" t="n">
        <v>9.5</v>
      </c>
      <c r="H2288" s="14" t="n">
        <v>51.61</v>
      </c>
      <c r="I2288" s="14" t="n">
        <v>19.5</v>
      </c>
      <c r="J2288" s="22" t="n">
        <f aca="false">IF(E2288="Priority",'Cost model'!N437,'Cost model'!M437)</f>
        <v>50</v>
      </c>
      <c r="K2288" s="14" t="n">
        <f aca="false">J2288-H2288</f>
        <v>-1.61</v>
      </c>
      <c r="L2288" s="14" t="n">
        <f aca="false">G2288-H2288</f>
        <v>-42.11</v>
      </c>
    </row>
    <row r="2289" customFormat="false" ht="15" hidden="false" customHeight="false" outlineLevel="0" collapsed="false">
      <c r="A2289" s="2" t="s">
        <v>146</v>
      </c>
      <c r="B2289" s="2" t="s">
        <v>146</v>
      </c>
      <c r="C2289" s="2" t="s">
        <v>49</v>
      </c>
      <c r="D2289" s="2" t="s">
        <v>10</v>
      </c>
      <c r="E2289" s="2" t="s">
        <v>76</v>
      </c>
      <c r="F2289" s="2" t="s">
        <v>1145</v>
      </c>
      <c r="G2289" s="14" t="n">
        <v>12.5</v>
      </c>
      <c r="H2289" s="14" t="n">
        <v>11.51</v>
      </c>
      <c r="I2289" s="14" t="n">
        <v>12.5</v>
      </c>
      <c r="J2289" s="22" t="n">
        <f aca="false">IF(E2289="Priority",'Cost model'!N759,'Cost model'!M759)</f>
        <v>15.5</v>
      </c>
      <c r="K2289" s="14" t="n">
        <f aca="false">J2289-H2289</f>
        <v>3.99</v>
      </c>
      <c r="L2289" s="14" t="n">
        <f aca="false">G2289-H2289</f>
        <v>0.99</v>
      </c>
    </row>
    <row r="2290" customFormat="false" ht="15" hidden="false" customHeight="false" outlineLevel="0" collapsed="false">
      <c r="A2290" s="2" t="s">
        <v>146</v>
      </c>
      <c r="B2290" s="2" t="s">
        <v>221</v>
      </c>
      <c r="C2290" s="2" t="s">
        <v>49</v>
      </c>
      <c r="D2290" s="2" t="s">
        <v>10</v>
      </c>
      <c r="E2290" s="2" t="s">
        <v>76</v>
      </c>
      <c r="F2290" s="2" t="s">
        <v>1146</v>
      </c>
      <c r="G2290" s="14" t="n">
        <v>12.5</v>
      </c>
      <c r="H2290" s="14" t="n">
        <v>12.23</v>
      </c>
      <c r="I2290" s="14" t="n">
        <v>19.5</v>
      </c>
      <c r="J2290" s="22" t="n">
        <f aca="false">IF(E2290="Priority",'Cost model'!N849,'Cost model'!M849)</f>
        <v>12.5</v>
      </c>
      <c r="K2290" s="14" t="n">
        <f aca="false">J2290-H2290</f>
        <v>0.27</v>
      </c>
      <c r="L2290" s="14" t="n">
        <f aca="false">G2290-H2290</f>
        <v>0.27</v>
      </c>
    </row>
    <row r="2291" customFormat="false" ht="15" hidden="false" customHeight="false" outlineLevel="0" collapsed="false">
      <c r="A2291" s="2" t="s">
        <v>240</v>
      </c>
      <c r="B2291" s="2" t="s">
        <v>240</v>
      </c>
      <c r="C2291" s="2" t="s">
        <v>48</v>
      </c>
      <c r="D2291" s="2" t="s">
        <v>12</v>
      </c>
      <c r="E2291" s="2" t="s">
        <v>76</v>
      </c>
      <c r="F2291" s="2" t="s">
        <v>1145</v>
      </c>
      <c r="G2291" s="14" t="n">
        <v>9.5</v>
      </c>
      <c r="H2291" s="14" t="n">
        <v>57.75</v>
      </c>
      <c r="I2291" s="14" t="n">
        <v>9.5</v>
      </c>
      <c r="J2291" s="22" t="n">
        <f aca="false">IF(E2291="Priority",'Cost model'!N887,'Cost model'!M887)</f>
        <v>21.5</v>
      </c>
      <c r="K2291" s="14" t="n">
        <f aca="false">J2291-H2291</f>
        <v>-36.25</v>
      </c>
      <c r="L2291" s="14" t="n">
        <f aca="false">G2291-H2291</f>
        <v>-48.25</v>
      </c>
    </row>
    <row r="2292" customFormat="false" ht="15" hidden="false" customHeight="false" outlineLevel="0" collapsed="false">
      <c r="A2292" s="2" t="s">
        <v>146</v>
      </c>
      <c r="B2292" s="2" t="s">
        <v>184</v>
      </c>
      <c r="C2292" s="2" t="s">
        <v>49</v>
      </c>
      <c r="D2292" s="2" t="s">
        <v>12</v>
      </c>
      <c r="E2292" s="2" t="s">
        <v>76</v>
      </c>
      <c r="F2292" s="2" t="s">
        <v>1146</v>
      </c>
      <c r="G2292" s="14" t="n">
        <v>19.5</v>
      </c>
      <c r="H2292" s="14" t="n">
        <v>33.11</v>
      </c>
      <c r="I2292" s="14" t="n">
        <v>19.5</v>
      </c>
      <c r="J2292" s="22" t="n">
        <f aca="false">IF(E2292="Priority",'Cost model'!N834,'Cost model'!M834)</f>
        <v>45</v>
      </c>
      <c r="K2292" s="14" t="n">
        <f aca="false">J2292-H2292</f>
        <v>11.89</v>
      </c>
      <c r="L2292" s="14" t="n">
        <f aca="false">G2292-H2292</f>
        <v>-13.61</v>
      </c>
    </row>
    <row r="2293" customFormat="false" ht="15" hidden="false" customHeight="false" outlineLevel="0" collapsed="false">
      <c r="A2293" s="2" t="s">
        <v>184</v>
      </c>
      <c r="B2293" s="2" t="s">
        <v>184</v>
      </c>
      <c r="C2293" s="2" t="s">
        <v>48</v>
      </c>
      <c r="D2293" s="2" t="s">
        <v>12</v>
      </c>
      <c r="E2293" s="2" t="s">
        <v>76</v>
      </c>
      <c r="F2293" s="2" t="s">
        <v>1145</v>
      </c>
      <c r="G2293" s="14" t="n">
        <v>9.5</v>
      </c>
      <c r="H2293" s="14" t="n">
        <v>28.07</v>
      </c>
      <c r="I2293" s="14" t="n">
        <v>9.5</v>
      </c>
      <c r="J2293" s="22" t="n">
        <f aca="false">IF(E2293="Priority",'Cost model'!N203,'Cost model'!M203)</f>
        <v>26.5</v>
      </c>
      <c r="K2293" s="14" t="n">
        <f aca="false">J2293-H2293</f>
        <v>-1.57</v>
      </c>
      <c r="L2293" s="14" t="n">
        <f aca="false">G2293-H2293</f>
        <v>-18.57</v>
      </c>
    </row>
    <row r="2294" customFormat="false" ht="15" hidden="false" customHeight="false" outlineLevel="0" collapsed="false">
      <c r="A2294" s="2" t="s">
        <v>146</v>
      </c>
      <c r="B2294" s="2" t="s">
        <v>146</v>
      </c>
      <c r="C2294" s="2" t="s">
        <v>49</v>
      </c>
      <c r="D2294" s="2" t="s">
        <v>12</v>
      </c>
      <c r="E2294" s="2" t="s">
        <v>76</v>
      </c>
      <c r="F2294" s="2" t="s">
        <v>1145</v>
      </c>
      <c r="G2294" s="14" t="n">
        <v>14.5</v>
      </c>
      <c r="H2294" s="14" t="n">
        <v>42.61</v>
      </c>
      <c r="I2294" s="14" t="n">
        <v>12.5</v>
      </c>
      <c r="J2294" s="22" t="n">
        <f aca="false">IF(E2294="Priority",'Cost model'!N762,'Cost model'!M762)</f>
        <v>45</v>
      </c>
      <c r="K2294" s="14" t="n">
        <f aca="false">J2294-H2294</f>
        <v>2.39</v>
      </c>
      <c r="L2294" s="14" t="n">
        <f aca="false">G2294-H2294</f>
        <v>-28.11</v>
      </c>
    </row>
    <row r="2295" customFormat="false" ht="15" hidden="false" customHeight="false" outlineLevel="0" collapsed="false">
      <c r="A2295" s="2" t="s">
        <v>146</v>
      </c>
      <c r="B2295" s="2" t="s">
        <v>126</v>
      </c>
      <c r="C2295" s="2" t="s">
        <v>48</v>
      </c>
      <c r="D2295" s="2" t="s">
        <v>10</v>
      </c>
      <c r="E2295" s="2" t="s">
        <v>76</v>
      </c>
      <c r="F2295" s="2" t="s">
        <v>1146</v>
      </c>
      <c r="G2295" s="14" t="n">
        <v>9.5</v>
      </c>
      <c r="H2295" s="14" t="n">
        <v>12.29</v>
      </c>
      <c r="I2295" s="14" t="n">
        <v>14.5</v>
      </c>
      <c r="J2295" s="22" t="n">
        <f aca="false">IF(E2295="Priority",'Cost model'!N794,'Cost model'!M794)</f>
        <v>12.5</v>
      </c>
      <c r="K2295" s="14" t="n">
        <f aca="false">J2295-H2295</f>
        <v>0.210000000000001</v>
      </c>
      <c r="L2295" s="14" t="n">
        <f aca="false">G2295-H2295</f>
        <v>-2.79</v>
      </c>
    </row>
    <row r="2296" customFormat="false" ht="15" hidden="false" customHeight="false" outlineLevel="0" collapsed="false">
      <c r="A2296" s="2" t="s">
        <v>126</v>
      </c>
      <c r="B2296" s="2" t="s">
        <v>146</v>
      </c>
      <c r="C2296" s="2" t="s">
        <v>49</v>
      </c>
      <c r="D2296" s="2" t="s">
        <v>10</v>
      </c>
      <c r="E2296" s="2" t="s">
        <v>76</v>
      </c>
      <c r="F2296" s="2" t="s">
        <v>1146</v>
      </c>
      <c r="G2296" s="14" t="n">
        <v>14.5</v>
      </c>
      <c r="H2296" s="14" t="n">
        <v>25.01</v>
      </c>
      <c r="I2296" s="14" t="n">
        <v>14.5</v>
      </c>
      <c r="J2296" s="22" t="n">
        <f aca="false">IF(E2296="Priority",'Cost model'!N399,'Cost model'!M399)</f>
        <v>17.5</v>
      </c>
      <c r="K2296" s="14" t="n">
        <f aca="false">J2296-H2296</f>
        <v>-7.51</v>
      </c>
      <c r="L2296" s="14" t="n">
        <f aca="false">G2296-H2296</f>
        <v>-10.51</v>
      </c>
    </row>
    <row r="2297" customFormat="false" ht="15" hidden="false" customHeight="false" outlineLevel="0" collapsed="false">
      <c r="A2297" s="2" t="s">
        <v>146</v>
      </c>
      <c r="B2297" s="2" t="s">
        <v>146</v>
      </c>
      <c r="C2297" s="2" t="s">
        <v>49</v>
      </c>
      <c r="D2297" s="2" t="s">
        <v>12</v>
      </c>
      <c r="E2297" s="2" t="s">
        <v>76</v>
      </c>
      <c r="F2297" s="2" t="s">
        <v>1145</v>
      </c>
      <c r="G2297" s="14" t="n">
        <v>12.5</v>
      </c>
      <c r="H2297" s="14" t="n">
        <v>25.99</v>
      </c>
      <c r="I2297" s="14" t="n">
        <v>12.5</v>
      </c>
      <c r="J2297" s="22" t="n">
        <f aca="false">IF(E2297="Priority",'Cost model'!N762,'Cost model'!M762)</f>
        <v>45</v>
      </c>
      <c r="K2297" s="14" t="n">
        <f aca="false">J2297-H2297</f>
        <v>19.01</v>
      </c>
      <c r="L2297" s="14" t="n">
        <f aca="false">G2297-H2297</f>
        <v>-13.49</v>
      </c>
    </row>
    <row r="2298" customFormat="false" ht="15" hidden="false" customHeight="false" outlineLevel="0" collapsed="false">
      <c r="A2298" s="2" t="s">
        <v>240</v>
      </c>
      <c r="B2298" s="2" t="s">
        <v>126</v>
      </c>
      <c r="C2298" s="2" t="s">
        <v>48</v>
      </c>
      <c r="D2298" s="2" t="s">
        <v>13</v>
      </c>
      <c r="E2298" s="2" t="s">
        <v>76</v>
      </c>
      <c r="F2298" s="2" t="s">
        <v>1146</v>
      </c>
      <c r="G2298" s="14" t="n">
        <v>19.5</v>
      </c>
      <c r="H2298" s="14" t="n">
        <v>56.34</v>
      </c>
      <c r="I2298" s="14" t="n">
        <v>45</v>
      </c>
      <c r="J2298" s="22" t="n">
        <f aca="false">IF(E2298="Priority",'Cost model'!N962,'Cost model'!M962)</f>
        <v>120</v>
      </c>
      <c r="K2298" s="14" t="n">
        <f aca="false">J2298-H2298</f>
        <v>63.66</v>
      </c>
      <c r="L2298" s="14" t="n">
        <f aca="false">G2298-H2298</f>
        <v>-36.84</v>
      </c>
    </row>
    <row r="2299" customFormat="false" ht="15" hidden="false" customHeight="false" outlineLevel="0" collapsed="false">
      <c r="A2299" s="2" t="s">
        <v>165</v>
      </c>
      <c r="B2299" s="2" t="s">
        <v>165</v>
      </c>
      <c r="C2299" s="2" t="s">
        <v>50</v>
      </c>
      <c r="D2299" s="2" t="s">
        <v>10</v>
      </c>
      <c r="E2299" s="2" t="s">
        <v>76</v>
      </c>
      <c r="F2299" s="2" t="s">
        <v>1145</v>
      </c>
      <c r="G2299" s="14" t="n">
        <v>17.5</v>
      </c>
      <c r="H2299" s="14" t="n">
        <v>17.69</v>
      </c>
      <c r="I2299" s="14" t="n">
        <v>17.5</v>
      </c>
      <c r="J2299" s="22" t="n">
        <f aca="false">IF(E2299="Priority",'Cost model'!N508,'Cost model'!M508)</f>
        <v>17.5</v>
      </c>
      <c r="K2299" s="14" t="n">
        <f aca="false">J2299-H2299</f>
        <v>-0.190000000000001</v>
      </c>
      <c r="L2299" s="14" t="n">
        <f aca="false">G2299-H2299</f>
        <v>-0.190000000000001</v>
      </c>
    </row>
    <row r="2300" customFormat="false" ht="15" hidden="false" customHeight="false" outlineLevel="0" collapsed="false">
      <c r="A2300" s="2" t="s">
        <v>126</v>
      </c>
      <c r="B2300" s="2" t="s">
        <v>126</v>
      </c>
      <c r="C2300" s="2" t="s">
        <v>49</v>
      </c>
      <c r="D2300" s="2" t="s">
        <v>10</v>
      </c>
      <c r="E2300" s="2" t="s">
        <v>76</v>
      </c>
      <c r="F2300" s="2" t="s">
        <v>1145</v>
      </c>
      <c r="G2300" s="14" t="n">
        <v>12.5</v>
      </c>
      <c r="H2300" s="14" t="n">
        <v>9.68</v>
      </c>
      <c r="I2300" s="14" t="n">
        <v>12.5</v>
      </c>
      <c r="J2300" s="22" t="n">
        <f aca="false">IF(E2300="Priority",'Cost model'!N381,'Cost model'!M381)</f>
        <v>14.5</v>
      </c>
      <c r="K2300" s="14" t="n">
        <f aca="false">J2300-H2300</f>
        <v>4.82</v>
      </c>
      <c r="L2300" s="14" t="n">
        <f aca="false">G2300-H2300</f>
        <v>2.82</v>
      </c>
    </row>
    <row r="2301" customFormat="false" ht="15" hidden="false" customHeight="false" outlineLevel="0" collapsed="false">
      <c r="A2301" s="2" t="s">
        <v>126</v>
      </c>
      <c r="B2301" s="2" t="s">
        <v>184</v>
      </c>
      <c r="C2301" s="2" t="s">
        <v>49</v>
      </c>
      <c r="D2301" s="2" t="s">
        <v>10</v>
      </c>
      <c r="E2301" s="2" t="s">
        <v>85</v>
      </c>
      <c r="F2301" s="2" t="s">
        <v>1146</v>
      </c>
      <c r="G2301" s="14" t="n">
        <v>19.5</v>
      </c>
      <c r="H2301" s="14" t="n">
        <v>9.05</v>
      </c>
      <c r="I2301" s="14" t="n">
        <v>19.5</v>
      </c>
      <c r="J2301" s="22" t="n">
        <f aca="false">IF(E2301="Priority",'Cost model'!N435,'Cost model'!M435)</f>
        <v>21.5</v>
      </c>
      <c r="K2301" s="14" t="n">
        <f aca="false">J2301-H2301</f>
        <v>12.45</v>
      </c>
      <c r="L2301" s="14" t="n">
        <f aca="false">G2301-H2301</f>
        <v>10.45</v>
      </c>
    </row>
    <row r="2302" customFormat="false" ht="15" hidden="false" customHeight="false" outlineLevel="0" collapsed="false">
      <c r="A2302" s="2" t="s">
        <v>126</v>
      </c>
      <c r="B2302" s="2" t="s">
        <v>126</v>
      </c>
      <c r="C2302" s="2" t="s">
        <v>48</v>
      </c>
      <c r="D2302" s="2" t="s">
        <v>10</v>
      </c>
      <c r="E2302" s="2" t="s">
        <v>76</v>
      </c>
      <c r="F2302" s="2" t="s">
        <v>1145</v>
      </c>
      <c r="G2302" s="14" t="n">
        <v>9.5</v>
      </c>
      <c r="H2302" s="14" t="n">
        <v>7.12</v>
      </c>
      <c r="I2302" s="14" t="n">
        <v>9.5</v>
      </c>
      <c r="J2302" s="22" t="n">
        <f aca="false">IF(E2302="Priority",'Cost model'!N380,'Cost model'!M380)</f>
        <v>8.5</v>
      </c>
      <c r="K2302" s="14" t="n">
        <f aca="false">J2302-H2302</f>
        <v>1.38</v>
      </c>
      <c r="L2302" s="14" t="n">
        <f aca="false">G2302-H2302</f>
        <v>2.38</v>
      </c>
    </row>
    <row r="2303" customFormat="false" ht="15" hidden="false" customHeight="false" outlineLevel="0" collapsed="false">
      <c r="A2303" s="2" t="s">
        <v>385</v>
      </c>
      <c r="B2303" s="2" t="s">
        <v>165</v>
      </c>
      <c r="C2303" s="2" t="s">
        <v>50</v>
      </c>
      <c r="D2303" s="2" t="s">
        <v>12</v>
      </c>
      <c r="E2303" s="2" t="s">
        <v>76</v>
      </c>
      <c r="F2303" s="2" t="s">
        <v>1146</v>
      </c>
      <c r="G2303" s="14" t="n">
        <v>24.5</v>
      </c>
      <c r="H2303" s="14" t="n">
        <v>61.36</v>
      </c>
      <c r="I2303" s="14" t="n">
        <v>24.5</v>
      </c>
      <c r="J2303" s="22" t="n">
        <f aca="false">IF(E2303="Priority",'Cost model'!N259,'Cost model'!M259)</f>
        <v>75</v>
      </c>
      <c r="K2303" s="14" t="n">
        <f aca="false">J2303-H2303</f>
        <v>13.64</v>
      </c>
      <c r="L2303" s="14" t="n">
        <f aca="false">G2303-H2303</f>
        <v>-36.86</v>
      </c>
    </row>
    <row r="2304" customFormat="false" ht="15" hidden="false" customHeight="false" outlineLevel="0" collapsed="false">
      <c r="A2304" s="2" t="s">
        <v>146</v>
      </c>
      <c r="B2304" s="2" t="s">
        <v>126</v>
      </c>
      <c r="C2304" s="2" t="s">
        <v>49</v>
      </c>
      <c r="D2304" s="2" t="s">
        <v>12</v>
      </c>
      <c r="E2304" s="2" t="s">
        <v>76</v>
      </c>
      <c r="F2304" s="2" t="s">
        <v>1146</v>
      </c>
      <c r="G2304" s="14" t="n">
        <v>12.5</v>
      </c>
      <c r="H2304" s="14" t="n">
        <v>51.6</v>
      </c>
      <c r="I2304" s="14" t="n">
        <v>19.5</v>
      </c>
      <c r="J2304" s="22" t="n">
        <f aca="false">IF(E2304="Priority",'Cost model'!N798,'Cost model'!M798)</f>
        <v>45</v>
      </c>
      <c r="K2304" s="14" t="n">
        <f aca="false">J2304-H2304</f>
        <v>-6.6</v>
      </c>
      <c r="L2304" s="14" t="n">
        <f aca="false">G2304-H2304</f>
        <v>-39.1</v>
      </c>
    </row>
    <row r="2305" customFormat="false" ht="15" hidden="false" customHeight="false" outlineLevel="0" collapsed="false">
      <c r="A2305" s="2" t="s">
        <v>126</v>
      </c>
      <c r="B2305" s="2" t="s">
        <v>126</v>
      </c>
      <c r="C2305" s="2" t="s">
        <v>50</v>
      </c>
      <c r="D2305" s="2" t="s">
        <v>10</v>
      </c>
      <c r="E2305" s="2" t="s">
        <v>76</v>
      </c>
      <c r="F2305" s="2" t="s">
        <v>1145</v>
      </c>
      <c r="G2305" s="14" t="n">
        <v>17.5</v>
      </c>
      <c r="H2305" s="14" t="n">
        <v>24.93</v>
      </c>
      <c r="I2305" s="14" t="n">
        <v>17.5</v>
      </c>
      <c r="J2305" s="22" t="n">
        <f aca="false">IF(E2305="Priority",'Cost model'!N382,'Cost model'!M382)</f>
        <v>18.5</v>
      </c>
      <c r="K2305" s="14" t="n">
        <f aca="false">J2305-H2305</f>
        <v>-6.43</v>
      </c>
      <c r="L2305" s="14" t="n">
        <f aca="false">G2305-H2305</f>
        <v>-7.43</v>
      </c>
    </row>
    <row r="2306" customFormat="false" ht="15" hidden="false" customHeight="false" outlineLevel="0" collapsed="false">
      <c r="A2306" s="2" t="s">
        <v>184</v>
      </c>
      <c r="B2306" s="2" t="s">
        <v>146</v>
      </c>
      <c r="C2306" s="2" t="s">
        <v>49</v>
      </c>
      <c r="D2306" s="2" t="s">
        <v>12</v>
      </c>
      <c r="E2306" s="2" t="s">
        <v>76</v>
      </c>
      <c r="F2306" s="2" t="s">
        <v>1146</v>
      </c>
      <c r="G2306" s="14" t="n">
        <v>12.5</v>
      </c>
      <c r="H2306" s="14" t="n">
        <v>87.03</v>
      </c>
      <c r="I2306" s="14"/>
      <c r="J2306" s="22" t="n">
        <f aca="false">IF(E2306="Priority",'Cost model'!N150,'Cost model'!M150)</f>
        <v>55</v>
      </c>
      <c r="K2306" s="14" t="n">
        <f aca="false">J2306-H2306</f>
        <v>-32.03</v>
      </c>
      <c r="L2306" s="14" t="n">
        <f aca="false">G2306-H2306</f>
        <v>-74.53</v>
      </c>
    </row>
    <row r="2307" customFormat="false" ht="15" hidden="false" customHeight="false" outlineLevel="0" collapsed="false">
      <c r="A2307" s="2" t="s">
        <v>240</v>
      </c>
      <c r="B2307" s="2" t="s">
        <v>240</v>
      </c>
      <c r="C2307" s="2" t="s">
        <v>50</v>
      </c>
      <c r="D2307" s="2" t="s">
        <v>10</v>
      </c>
      <c r="E2307" s="2" t="s">
        <v>76</v>
      </c>
      <c r="F2307" s="2" t="s">
        <v>1145</v>
      </c>
      <c r="G2307" s="14" t="n">
        <v>17.5</v>
      </c>
      <c r="H2307" s="14" t="n">
        <v>14.29</v>
      </c>
      <c r="I2307" s="14" t="n">
        <v>17.5</v>
      </c>
      <c r="J2307" s="22" t="n">
        <f aca="false">IF(E2307="Priority",'Cost model'!N886,'Cost model'!M886)</f>
        <v>17.5</v>
      </c>
      <c r="K2307" s="14" t="n">
        <f aca="false">J2307-H2307</f>
        <v>3.21</v>
      </c>
      <c r="L2307" s="14" t="n">
        <f aca="false">G2307-H2307</f>
        <v>3.21</v>
      </c>
    </row>
    <row r="2308" customFormat="false" ht="15" hidden="false" customHeight="false" outlineLevel="0" collapsed="false">
      <c r="A2308" s="2" t="s">
        <v>184</v>
      </c>
      <c r="B2308" s="2" t="s">
        <v>240</v>
      </c>
      <c r="C2308" s="2" t="s">
        <v>48</v>
      </c>
      <c r="D2308" s="2" t="s">
        <v>10</v>
      </c>
      <c r="E2308" s="2" t="s">
        <v>76</v>
      </c>
      <c r="F2308" s="2" t="s">
        <v>1146</v>
      </c>
      <c r="G2308" s="14" t="n">
        <v>14.5</v>
      </c>
      <c r="H2308" s="14" t="n">
        <v>24.48</v>
      </c>
      <c r="I2308" s="14" t="n">
        <v>19.5</v>
      </c>
      <c r="J2308" s="22" t="n">
        <f aca="false">IF(E2308="Priority",'Cost model'!N182,'Cost model'!M182)</f>
        <v>15.5</v>
      </c>
      <c r="K2308" s="14" t="n">
        <f aca="false">J2308-H2308</f>
        <v>-8.98</v>
      </c>
      <c r="L2308" s="14" t="n">
        <f aca="false">G2308-H2308</f>
        <v>-9.98</v>
      </c>
    </row>
    <row r="2309" customFormat="false" ht="15" hidden="false" customHeight="false" outlineLevel="0" collapsed="false">
      <c r="A2309" s="2" t="s">
        <v>240</v>
      </c>
      <c r="B2309" s="2" t="s">
        <v>240</v>
      </c>
      <c r="C2309" s="2" t="s">
        <v>48</v>
      </c>
      <c r="D2309" s="2" t="s">
        <v>13</v>
      </c>
      <c r="E2309" s="2" t="s">
        <v>76</v>
      </c>
      <c r="F2309" s="2" t="s">
        <v>1145</v>
      </c>
      <c r="G2309" s="14" t="n">
        <v>19.5</v>
      </c>
      <c r="H2309" s="14" t="n">
        <v>28.85</v>
      </c>
      <c r="I2309" s="14" t="n">
        <v>19.5</v>
      </c>
      <c r="J2309" s="22" t="n">
        <f aca="false">IF(E2309="Priority",'Cost model'!N890,'Cost model'!M890)</f>
        <v>45</v>
      </c>
      <c r="K2309" s="14" t="n">
        <f aca="false">J2309-H2309</f>
        <v>16.15</v>
      </c>
      <c r="L2309" s="14" t="n">
        <f aca="false">G2309-H2309</f>
        <v>-9.35</v>
      </c>
    </row>
    <row r="2310" customFormat="false" ht="15" hidden="false" customHeight="false" outlineLevel="0" collapsed="false">
      <c r="A2310" s="2" t="s">
        <v>240</v>
      </c>
      <c r="B2310" s="2" t="s">
        <v>165</v>
      </c>
      <c r="C2310" s="2" t="s">
        <v>50</v>
      </c>
      <c r="D2310" s="2" t="s">
        <v>10</v>
      </c>
      <c r="E2310" s="2" t="s">
        <v>76</v>
      </c>
      <c r="F2310" s="2" t="s">
        <v>1146</v>
      </c>
      <c r="G2310" s="14" t="n">
        <v>17.5</v>
      </c>
      <c r="H2310" s="14" t="n">
        <v>47.12</v>
      </c>
      <c r="I2310" s="14" t="n">
        <v>17.5</v>
      </c>
      <c r="J2310" s="22" t="n">
        <f aca="false">IF(E2310="Priority",'Cost model'!N904,'Cost model'!M904)</f>
        <v>24.5</v>
      </c>
      <c r="K2310" s="14" t="n">
        <f aca="false">J2310-H2310</f>
        <v>-22.62</v>
      </c>
      <c r="L2310" s="14" t="n">
        <f aca="false">G2310-H2310</f>
        <v>-29.62</v>
      </c>
    </row>
    <row r="2311" customFormat="false" ht="15" hidden="false" customHeight="false" outlineLevel="0" collapsed="false">
      <c r="A2311" s="2" t="s">
        <v>146</v>
      </c>
      <c r="B2311" s="2" t="s">
        <v>146</v>
      </c>
      <c r="C2311" s="2" t="s">
        <v>50</v>
      </c>
      <c r="D2311" s="2" t="s">
        <v>14</v>
      </c>
      <c r="E2311" s="2" t="s">
        <v>85</v>
      </c>
      <c r="F2311" s="2" t="s">
        <v>1145</v>
      </c>
      <c r="G2311" s="14" t="n">
        <v>150</v>
      </c>
      <c r="H2311" s="14" t="n">
        <v>99.87</v>
      </c>
      <c r="I2311" s="14" t="n">
        <v>150</v>
      </c>
      <c r="J2311" s="22" t="n">
        <f aca="false">IF(E2311="Priority",'Cost model'!N769,'Cost model'!M769)</f>
        <v>195</v>
      </c>
      <c r="K2311" s="14" t="n">
        <f aca="false">J2311-H2311</f>
        <v>95.13</v>
      </c>
      <c r="L2311" s="14" t="n">
        <f aca="false">G2311-H2311</f>
        <v>50.13</v>
      </c>
    </row>
    <row r="2312" customFormat="false" ht="15" hidden="false" customHeight="false" outlineLevel="0" collapsed="false">
      <c r="A2312" s="2" t="s">
        <v>184</v>
      </c>
      <c r="B2312" s="2" t="s">
        <v>165</v>
      </c>
      <c r="C2312" s="2" t="s">
        <v>50</v>
      </c>
      <c r="D2312" s="2" t="s">
        <v>12</v>
      </c>
      <c r="E2312" s="2" t="s">
        <v>76</v>
      </c>
      <c r="F2312" s="2" t="s">
        <v>1146</v>
      </c>
      <c r="G2312" s="14" t="n">
        <v>19.5</v>
      </c>
      <c r="H2312" s="14" t="n">
        <v>41.18</v>
      </c>
      <c r="I2312" s="14" t="n">
        <v>19.5</v>
      </c>
      <c r="J2312" s="22" t="n">
        <f aca="false">IF(E2312="Priority",'Cost model'!N169,'Cost model'!M169)</f>
        <v>60</v>
      </c>
      <c r="K2312" s="14" t="n">
        <f aca="false">J2312-H2312</f>
        <v>18.82</v>
      </c>
      <c r="L2312" s="14" t="n">
        <f aca="false">G2312-H2312</f>
        <v>-21.68</v>
      </c>
    </row>
    <row r="2313" customFormat="false" ht="15" hidden="false" customHeight="false" outlineLevel="0" collapsed="false">
      <c r="A2313" s="2" t="s">
        <v>146</v>
      </c>
      <c r="B2313" s="2" t="s">
        <v>146</v>
      </c>
      <c r="C2313" s="2" t="s">
        <v>49</v>
      </c>
      <c r="D2313" s="2" t="s">
        <v>12</v>
      </c>
      <c r="E2313" s="2" t="s">
        <v>76</v>
      </c>
      <c r="F2313" s="2" t="s">
        <v>1145</v>
      </c>
      <c r="G2313" s="14" t="n">
        <v>12.5</v>
      </c>
      <c r="H2313" s="14" t="n">
        <v>42.87</v>
      </c>
      <c r="I2313" s="14" t="n">
        <v>12.5</v>
      </c>
      <c r="J2313" s="22" t="n">
        <f aca="false">IF(E2313="Priority",'Cost model'!N762,'Cost model'!M762)</f>
        <v>45</v>
      </c>
      <c r="K2313" s="14" t="n">
        <f aca="false">J2313-H2313</f>
        <v>2.13</v>
      </c>
      <c r="L2313" s="14" t="n">
        <f aca="false">G2313-H2313</f>
        <v>-30.37</v>
      </c>
    </row>
    <row r="2314" customFormat="false" ht="15" hidden="false" customHeight="false" outlineLevel="0" collapsed="false">
      <c r="A2314" s="2" t="s">
        <v>146</v>
      </c>
      <c r="B2314" s="2" t="s">
        <v>146</v>
      </c>
      <c r="C2314" s="2" t="s">
        <v>49</v>
      </c>
      <c r="D2314" s="2" t="s">
        <v>12</v>
      </c>
      <c r="E2314" s="2" t="s">
        <v>76</v>
      </c>
      <c r="F2314" s="2" t="s">
        <v>1145</v>
      </c>
      <c r="G2314" s="14" t="n">
        <v>12.5</v>
      </c>
      <c r="H2314" s="14" t="n">
        <v>42.61</v>
      </c>
      <c r="I2314" s="14" t="n">
        <v>12.5</v>
      </c>
      <c r="J2314" s="22" t="n">
        <f aca="false">IF(E2314="Priority",'Cost model'!N762,'Cost model'!M762)</f>
        <v>45</v>
      </c>
      <c r="K2314" s="14" t="n">
        <f aca="false">J2314-H2314</f>
        <v>2.39</v>
      </c>
      <c r="L2314" s="14" t="n">
        <f aca="false">G2314-H2314</f>
        <v>-30.11</v>
      </c>
    </row>
    <row r="2315" customFormat="false" ht="15" hidden="false" customHeight="false" outlineLevel="0" collapsed="false">
      <c r="A2315" s="2" t="s">
        <v>165</v>
      </c>
      <c r="B2315" s="2" t="s">
        <v>165</v>
      </c>
      <c r="C2315" s="2" t="s">
        <v>48</v>
      </c>
      <c r="D2315" s="2" t="s">
        <v>10</v>
      </c>
      <c r="E2315" s="2" t="s">
        <v>85</v>
      </c>
      <c r="F2315" s="2" t="s">
        <v>1145</v>
      </c>
      <c r="G2315" s="14" t="n">
        <v>14.5</v>
      </c>
      <c r="H2315" s="14" t="n">
        <v>14.25</v>
      </c>
      <c r="I2315" s="14" t="n">
        <v>14.5</v>
      </c>
      <c r="J2315" s="22" t="n">
        <f aca="false">IF(E2315="Priority",'Cost model'!N506,'Cost model'!M506)</f>
        <v>12.5</v>
      </c>
      <c r="K2315" s="14" t="n">
        <f aca="false">J2315-H2315</f>
        <v>-1.75</v>
      </c>
      <c r="L2315" s="14" t="n">
        <f aca="false">G2315-H2315</f>
        <v>0.25</v>
      </c>
    </row>
    <row r="2316" customFormat="false" ht="15" hidden="false" customHeight="false" outlineLevel="0" collapsed="false">
      <c r="A2316" s="2" t="s">
        <v>184</v>
      </c>
      <c r="B2316" s="2" t="s">
        <v>184</v>
      </c>
      <c r="C2316" s="2" t="s">
        <v>48</v>
      </c>
      <c r="D2316" s="2" t="s">
        <v>12</v>
      </c>
      <c r="E2316" s="2" t="s">
        <v>76</v>
      </c>
      <c r="F2316" s="2" t="s">
        <v>1145</v>
      </c>
      <c r="G2316" s="14" t="n">
        <v>9.5</v>
      </c>
      <c r="H2316" s="14" t="n">
        <v>43.25</v>
      </c>
      <c r="I2316" s="14" t="n">
        <v>9.5</v>
      </c>
      <c r="J2316" s="22" t="n">
        <f aca="false">IF(E2316="Priority",'Cost model'!N203,'Cost model'!M203)</f>
        <v>26.5</v>
      </c>
      <c r="K2316" s="14" t="n">
        <f aca="false">J2316-H2316</f>
        <v>-16.75</v>
      </c>
      <c r="L2316" s="14" t="n">
        <f aca="false">G2316-H2316</f>
        <v>-33.75</v>
      </c>
    </row>
    <row r="2317" customFormat="false" ht="15" hidden="false" customHeight="false" outlineLevel="0" collapsed="false">
      <c r="A2317" s="2" t="s">
        <v>146</v>
      </c>
      <c r="B2317" s="2" t="s">
        <v>146</v>
      </c>
      <c r="C2317" s="2" t="s">
        <v>48</v>
      </c>
      <c r="D2317" s="2" t="s">
        <v>12</v>
      </c>
      <c r="E2317" s="2" t="s">
        <v>76</v>
      </c>
      <c r="F2317" s="2" t="s">
        <v>1145</v>
      </c>
      <c r="G2317" s="14" t="n">
        <v>9.5</v>
      </c>
      <c r="H2317" s="14" t="n">
        <v>28.01</v>
      </c>
      <c r="I2317" s="14" t="n">
        <v>9.5</v>
      </c>
      <c r="J2317" s="22" t="n">
        <f aca="false">IF(E2317="Priority",'Cost model'!N761,'Cost model'!M761)</f>
        <v>35</v>
      </c>
      <c r="K2317" s="14" t="n">
        <f aca="false">J2317-H2317</f>
        <v>6.99</v>
      </c>
      <c r="L2317" s="14" t="n">
        <f aca="false">G2317-H2317</f>
        <v>-18.51</v>
      </c>
    </row>
    <row r="2318" customFormat="false" ht="15" hidden="false" customHeight="false" outlineLevel="0" collapsed="false">
      <c r="A2318" s="2" t="s">
        <v>240</v>
      </c>
      <c r="B2318" s="2" t="s">
        <v>240</v>
      </c>
      <c r="C2318" s="2" t="s">
        <v>50</v>
      </c>
      <c r="D2318" s="2" t="s">
        <v>12</v>
      </c>
      <c r="E2318" s="2" t="s">
        <v>76</v>
      </c>
      <c r="F2318" s="2" t="s">
        <v>1145</v>
      </c>
      <c r="G2318" s="14" t="n">
        <v>19.5</v>
      </c>
      <c r="H2318" s="14" t="n">
        <v>24.48</v>
      </c>
      <c r="I2318" s="14" t="n">
        <v>19.5</v>
      </c>
      <c r="J2318" s="22" t="n">
        <f aca="false">IF(E2318="Priority",'Cost model'!N889,'Cost model'!M889)</f>
        <v>60</v>
      </c>
      <c r="K2318" s="14" t="n">
        <f aca="false">J2318-H2318</f>
        <v>35.52</v>
      </c>
      <c r="L2318" s="14" t="n">
        <f aca="false">G2318-H2318</f>
        <v>-4.98</v>
      </c>
    </row>
    <row r="2319" customFormat="false" ht="15" hidden="false" customHeight="false" outlineLevel="0" collapsed="false">
      <c r="A2319" s="2" t="s">
        <v>184</v>
      </c>
      <c r="B2319" s="2" t="s">
        <v>184</v>
      </c>
      <c r="C2319" s="2" t="s">
        <v>48</v>
      </c>
      <c r="D2319" s="2" t="s">
        <v>10</v>
      </c>
      <c r="E2319" s="2" t="s">
        <v>76</v>
      </c>
      <c r="F2319" s="2" t="s">
        <v>1145</v>
      </c>
      <c r="G2319" s="14" t="n">
        <v>9.5</v>
      </c>
      <c r="H2319" s="14" t="n">
        <v>10.42</v>
      </c>
      <c r="I2319" s="14" t="n">
        <v>9.5</v>
      </c>
      <c r="J2319" s="22" t="n">
        <f aca="false">IF(E2319="Priority",'Cost model'!N200,'Cost model'!M200)</f>
        <v>7.5</v>
      </c>
      <c r="K2319" s="14" t="n">
        <f aca="false">J2319-H2319</f>
        <v>-2.92</v>
      </c>
      <c r="L2319" s="14" t="n">
        <f aca="false">G2319-H2319</f>
        <v>-0.92</v>
      </c>
    </row>
    <row r="2320" customFormat="false" ht="15" hidden="false" customHeight="false" outlineLevel="0" collapsed="false">
      <c r="A2320" s="2" t="s">
        <v>240</v>
      </c>
      <c r="B2320" s="2" t="s">
        <v>240</v>
      </c>
      <c r="C2320" s="2" t="s">
        <v>48</v>
      </c>
      <c r="D2320" s="2" t="s">
        <v>10</v>
      </c>
      <c r="E2320" s="2" t="s">
        <v>76</v>
      </c>
      <c r="F2320" s="2" t="s">
        <v>1145</v>
      </c>
      <c r="G2320" s="14" t="n">
        <v>9.5</v>
      </c>
      <c r="H2320" s="14" t="n">
        <v>7.68</v>
      </c>
      <c r="I2320" s="14" t="n">
        <v>9.5</v>
      </c>
      <c r="J2320" s="22" t="n">
        <f aca="false">IF(E2320="Priority",'Cost model'!N884,'Cost model'!M884)</f>
        <v>7.5</v>
      </c>
      <c r="K2320" s="14" t="n">
        <f aca="false">J2320-H2320</f>
        <v>-0.18</v>
      </c>
      <c r="L2320" s="14" t="n">
        <f aca="false">G2320-H2320</f>
        <v>1.82</v>
      </c>
    </row>
    <row r="2321" customFormat="false" ht="15" hidden="false" customHeight="false" outlineLevel="0" collapsed="false">
      <c r="A2321" s="2" t="s">
        <v>184</v>
      </c>
      <c r="B2321" s="2" t="s">
        <v>146</v>
      </c>
      <c r="C2321" s="2" t="s">
        <v>48</v>
      </c>
      <c r="D2321" s="2" t="s">
        <v>12</v>
      </c>
      <c r="E2321" s="2" t="s">
        <v>76</v>
      </c>
      <c r="F2321" s="2" t="s">
        <v>1146</v>
      </c>
      <c r="G2321" s="14" t="n">
        <v>9.5</v>
      </c>
      <c r="H2321" s="14" t="n">
        <v>13.52</v>
      </c>
      <c r="I2321" s="14" t="n">
        <v>9.5</v>
      </c>
      <c r="J2321" s="22" t="n">
        <f aca="false">IF(E2321="Priority",'Cost model'!N149,'Cost model'!M149)</f>
        <v>45</v>
      </c>
      <c r="K2321" s="14" t="n">
        <f aca="false">J2321-H2321</f>
        <v>31.48</v>
      </c>
      <c r="L2321" s="14" t="n">
        <f aca="false">G2321-H2321</f>
        <v>-4.02</v>
      </c>
    </row>
    <row r="2322" customFormat="false" ht="15" hidden="false" customHeight="false" outlineLevel="0" collapsed="false">
      <c r="A2322" s="2" t="s">
        <v>184</v>
      </c>
      <c r="B2322" s="2" t="s">
        <v>146</v>
      </c>
      <c r="C2322" s="2" t="s">
        <v>49</v>
      </c>
      <c r="D2322" s="2" t="s">
        <v>12</v>
      </c>
      <c r="E2322" s="2" t="s">
        <v>76</v>
      </c>
      <c r="F2322" s="2" t="s">
        <v>1146</v>
      </c>
      <c r="G2322" s="14" t="n">
        <v>12.5</v>
      </c>
      <c r="H2322" s="14" t="n">
        <v>19.39</v>
      </c>
      <c r="I2322" s="14"/>
      <c r="J2322" s="22" t="n">
        <f aca="false">IF(E2322="Priority",'Cost model'!N150,'Cost model'!M150)</f>
        <v>55</v>
      </c>
      <c r="K2322" s="14" t="n">
        <f aca="false">J2322-H2322</f>
        <v>35.61</v>
      </c>
      <c r="L2322" s="14" t="n">
        <f aca="false">G2322-H2322</f>
        <v>-6.89</v>
      </c>
    </row>
    <row r="2323" customFormat="false" ht="15" hidden="false" customHeight="false" outlineLevel="0" collapsed="false">
      <c r="A2323" s="2" t="s">
        <v>221</v>
      </c>
      <c r="B2323" s="2" t="s">
        <v>221</v>
      </c>
      <c r="C2323" s="2" t="s">
        <v>49</v>
      </c>
      <c r="D2323" s="2" t="s">
        <v>12</v>
      </c>
      <c r="E2323" s="2" t="s">
        <v>85</v>
      </c>
      <c r="F2323" s="2" t="s">
        <v>1145</v>
      </c>
      <c r="G2323" s="14" t="n">
        <v>19.5</v>
      </c>
      <c r="H2323" s="14" t="n">
        <v>57.63</v>
      </c>
      <c r="I2323" s="14" t="n">
        <v>19.5</v>
      </c>
      <c r="J2323" s="22" t="n">
        <f aca="false">IF(E2323="Priority",'Cost model'!N636,'Cost model'!M636)</f>
        <v>70</v>
      </c>
      <c r="K2323" s="14" t="n">
        <f aca="false">J2323-H2323</f>
        <v>12.37</v>
      </c>
      <c r="L2323" s="14" t="n">
        <f aca="false">G2323-H2323</f>
        <v>-38.13</v>
      </c>
    </row>
    <row r="2324" customFormat="false" ht="15" hidden="false" customHeight="false" outlineLevel="0" collapsed="false">
      <c r="A2324" s="2" t="s">
        <v>126</v>
      </c>
      <c r="B2324" s="2" t="s">
        <v>126</v>
      </c>
      <c r="C2324" s="2" t="s">
        <v>50</v>
      </c>
      <c r="D2324" s="2" t="s">
        <v>10</v>
      </c>
      <c r="E2324" s="2" t="s">
        <v>76</v>
      </c>
      <c r="F2324" s="2" t="s">
        <v>1145</v>
      </c>
      <c r="G2324" s="14" t="n">
        <v>17.5</v>
      </c>
      <c r="H2324" s="14" t="n">
        <v>11.34</v>
      </c>
      <c r="I2324" s="14" t="n">
        <v>17.5</v>
      </c>
      <c r="J2324" s="22" t="n">
        <f aca="false">IF(E2324="Priority",'Cost model'!N382,'Cost model'!M382)</f>
        <v>18.5</v>
      </c>
      <c r="K2324" s="14" t="n">
        <f aca="false">J2324-H2324</f>
        <v>7.16</v>
      </c>
      <c r="L2324" s="14" t="n">
        <f aca="false">G2324-H2324</f>
        <v>6.16</v>
      </c>
    </row>
    <row r="2325" customFormat="false" ht="15" hidden="false" customHeight="false" outlineLevel="0" collapsed="false">
      <c r="A2325" s="2" t="s">
        <v>146</v>
      </c>
      <c r="B2325" s="2" t="s">
        <v>146</v>
      </c>
      <c r="C2325" s="2" t="s">
        <v>49</v>
      </c>
      <c r="D2325" s="2" t="s">
        <v>10</v>
      </c>
      <c r="E2325" s="2" t="s">
        <v>76</v>
      </c>
      <c r="F2325" s="2" t="s">
        <v>1145</v>
      </c>
      <c r="G2325" s="14" t="n">
        <v>12.5</v>
      </c>
      <c r="H2325" s="14" t="n">
        <v>14.15</v>
      </c>
      <c r="I2325" s="14" t="n">
        <v>12.5</v>
      </c>
      <c r="J2325" s="22" t="n">
        <f aca="false">IF(E2325="Priority",'Cost model'!N759,'Cost model'!M759)</f>
        <v>15.5</v>
      </c>
      <c r="K2325" s="14" t="n">
        <f aca="false">J2325-H2325</f>
        <v>1.35</v>
      </c>
      <c r="L2325" s="14" t="n">
        <f aca="false">G2325-H2325</f>
        <v>-1.65</v>
      </c>
    </row>
    <row r="2326" customFormat="false" ht="15" hidden="false" customHeight="false" outlineLevel="0" collapsed="false">
      <c r="A2326" s="2" t="s">
        <v>126</v>
      </c>
      <c r="B2326" s="2" t="s">
        <v>126</v>
      </c>
      <c r="C2326" s="2" t="s">
        <v>49</v>
      </c>
      <c r="D2326" s="2" t="s">
        <v>10</v>
      </c>
      <c r="E2326" s="2" t="s">
        <v>76</v>
      </c>
      <c r="F2326" s="2" t="s">
        <v>1145</v>
      </c>
      <c r="G2326" s="14" t="n">
        <v>14.5</v>
      </c>
      <c r="H2326" s="14" t="n">
        <v>6.64</v>
      </c>
      <c r="I2326" s="14" t="n">
        <v>12.5</v>
      </c>
      <c r="J2326" s="22" t="n">
        <f aca="false">IF(E2326="Priority",'Cost model'!N381,'Cost model'!M381)</f>
        <v>14.5</v>
      </c>
      <c r="K2326" s="14" t="n">
        <f aca="false">J2326-H2326</f>
        <v>7.86</v>
      </c>
      <c r="L2326" s="14" t="n">
        <f aca="false">G2326-H2326</f>
        <v>7.86</v>
      </c>
    </row>
    <row r="2327" customFormat="false" ht="15" hidden="false" customHeight="false" outlineLevel="0" collapsed="false">
      <c r="A2327" s="2" t="s">
        <v>126</v>
      </c>
      <c r="B2327" s="2" t="s">
        <v>126</v>
      </c>
      <c r="C2327" s="2" t="s">
        <v>48</v>
      </c>
      <c r="D2327" s="2" t="s">
        <v>10</v>
      </c>
      <c r="E2327" s="2" t="s">
        <v>76</v>
      </c>
      <c r="F2327" s="2" t="s">
        <v>1145</v>
      </c>
      <c r="G2327" s="14" t="n">
        <v>9.5</v>
      </c>
      <c r="H2327" s="14" t="n">
        <v>7.72</v>
      </c>
      <c r="I2327" s="14" t="n">
        <v>9.5</v>
      </c>
      <c r="J2327" s="22" t="n">
        <f aca="false">IF(E2327="Priority",'Cost model'!N380,'Cost model'!M380)</f>
        <v>8.5</v>
      </c>
      <c r="K2327" s="14" t="n">
        <f aca="false">J2327-H2327</f>
        <v>0.78</v>
      </c>
      <c r="L2327" s="14" t="n">
        <f aca="false">G2327-H2327</f>
        <v>1.78</v>
      </c>
    </row>
    <row r="2328" customFormat="false" ht="15" hidden="false" customHeight="false" outlineLevel="0" collapsed="false">
      <c r="A2328" s="2" t="s">
        <v>146</v>
      </c>
      <c r="B2328" s="2" t="s">
        <v>146</v>
      </c>
      <c r="C2328" s="2" t="s">
        <v>50</v>
      </c>
      <c r="D2328" s="2" t="s">
        <v>12</v>
      </c>
      <c r="E2328" s="2" t="s">
        <v>76</v>
      </c>
      <c r="F2328" s="2" t="s">
        <v>1145</v>
      </c>
      <c r="G2328" s="14" t="n">
        <v>19.5</v>
      </c>
      <c r="H2328" s="14" t="n">
        <v>47.65</v>
      </c>
      <c r="I2328" s="14" t="n">
        <v>19.5</v>
      </c>
      <c r="J2328" s="22" t="n">
        <f aca="false">IF(E2328="Priority",'Cost model'!N763,'Cost model'!M763)</f>
        <v>50</v>
      </c>
      <c r="K2328" s="14" t="n">
        <f aca="false">J2328-H2328</f>
        <v>2.35</v>
      </c>
      <c r="L2328" s="14" t="n">
        <f aca="false">G2328-H2328</f>
        <v>-28.15</v>
      </c>
    </row>
    <row r="2329" customFormat="false" ht="15" hidden="false" customHeight="false" outlineLevel="0" collapsed="false">
      <c r="A2329" s="2" t="s">
        <v>146</v>
      </c>
      <c r="B2329" s="2" t="s">
        <v>146</v>
      </c>
      <c r="C2329" s="2" t="s">
        <v>48</v>
      </c>
      <c r="D2329" s="2" t="s">
        <v>12</v>
      </c>
      <c r="E2329" s="2" t="s">
        <v>76</v>
      </c>
      <c r="F2329" s="2" t="s">
        <v>1145</v>
      </c>
      <c r="G2329" s="14" t="n">
        <v>9.5</v>
      </c>
      <c r="H2329" s="14" t="n">
        <v>25.06</v>
      </c>
      <c r="I2329" s="14" t="n">
        <v>9.5</v>
      </c>
      <c r="J2329" s="22" t="n">
        <f aca="false">IF(E2329="Priority",'Cost model'!N761,'Cost model'!M761)</f>
        <v>35</v>
      </c>
      <c r="K2329" s="14" t="n">
        <f aca="false">J2329-H2329</f>
        <v>9.94</v>
      </c>
      <c r="L2329" s="14" t="n">
        <f aca="false">G2329-H2329</f>
        <v>-15.56</v>
      </c>
    </row>
    <row r="2330" customFormat="false" ht="15" hidden="false" customHeight="false" outlineLevel="0" collapsed="false">
      <c r="A2330" s="2" t="s">
        <v>146</v>
      </c>
      <c r="B2330" s="2" t="s">
        <v>146</v>
      </c>
      <c r="C2330" s="2" t="s">
        <v>49</v>
      </c>
      <c r="D2330" s="2" t="s">
        <v>13</v>
      </c>
      <c r="E2330" s="2" t="s">
        <v>76</v>
      </c>
      <c r="F2330" s="2" t="s">
        <v>1145</v>
      </c>
      <c r="G2330" s="14" t="n">
        <v>24.5</v>
      </c>
      <c r="H2330" s="14" t="n">
        <v>76.37</v>
      </c>
      <c r="I2330" s="14" t="n">
        <v>24.5</v>
      </c>
      <c r="J2330" s="22" t="n">
        <f aca="false">IF(E2330="Priority",'Cost model'!N765,'Cost model'!M765)</f>
        <v>70</v>
      </c>
      <c r="K2330" s="14" t="n">
        <f aca="false">J2330-H2330</f>
        <v>-6.37</v>
      </c>
      <c r="L2330" s="14" t="n">
        <f aca="false">G2330-H2330</f>
        <v>-51.87</v>
      </c>
    </row>
    <row r="2331" customFormat="false" ht="15" hidden="false" customHeight="false" outlineLevel="0" collapsed="false">
      <c r="A2331" s="2" t="s">
        <v>165</v>
      </c>
      <c r="B2331" s="2" t="s">
        <v>165</v>
      </c>
      <c r="C2331" s="2" t="s">
        <v>50</v>
      </c>
      <c r="D2331" s="2" t="s">
        <v>10</v>
      </c>
      <c r="E2331" s="2" t="s">
        <v>76</v>
      </c>
      <c r="F2331" s="2" t="s">
        <v>1145</v>
      </c>
      <c r="G2331" s="14" t="n">
        <v>17.5</v>
      </c>
      <c r="H2331" s="14" t="n">
        <v>15.21</v>
      </c>
      <c r="I2331" s="14" t="n">
        <v>17.5</v>
      </c>
      <c r="J2331" s="22" t="n">
        <f aca="false">IF(E2331="Priority",'Cost model'!N508,'Cost model'!M508)</f>
        <v>17.5</v>
      </c>
      <c r="K2331" s="14" t="n">
        <f aca="false">J2331-H2331</f>
        <v>2.29</v>
      </c>
      <c r="L2331" s="14" t="n">
        <f aca="false">G2331-H2331</f>
        <v>2.29</v>
      </c>
    </row>
    <row r="2332" customFormat="false" ht="15" hidden="false" customHeight="false" outlineLevel="0" collapsed="false">
      <c r="A2332" s="2" t="s">
        <v>165</v>
      </c>
      <c r="B2332" s="2" t="s">
        <v>165</v>
      </c>
      <c r="C2332" s="2" t="s">
        <v>50</v>
      </c>
      <c r="D2332" s="2" t="s">
        <v>12</v>
      </c>
      <c r="E2332" s="2" t="s">
        <v>76</v>
      </c>
      <c r="F2332" s="2" t="s">
        <v>1145</v>
      </c>
      <c r="G2332" s="14" t="n">
        <v>19.5</v>
      </c>
      <c r="H2332" s="14" t="n">
        <v>16.64</v>
      </c>
      <c r="I2332" s="14" t="n">
        <v>19.5</v>
      </c>
      <c r="J2332" s="22" t="n">
        <f aca="false">IF(E2332="Priority",'Cost model'!N511,'Cost model'!M511)</f>
        <v>35</v>
      </c>
      <c r="K2332" s="14" t="n">
        <f aca="false">J2332-H2332</f>
        <v>18.36</v>
      </c>
      <c r="L2332" s="14" t="n">
        <f aca="false">G2332-H2332</f>
        <v>2.86</v>
      </c>
    </row>
    <row r="2333" customFormat="false" ht="15" hidden="false" customHeight="false" outlineLevel="0" collapsed="false">
      <c r="A2333" s="2" t="s">
        <v>184</v>
      </c>
      <c r="B2333" s="2" t="s">
        <v>184</v>
      </c>
      <c r="C2333" s="2" t="s">
        <v>49</v>
      </c>
      <c r="D2333" s="2" t="s">
        <v>10</v>
      </c>
      <c r="E2333" s="2" t="s">
        <v>76</v>
      </c>
      <c r="F2333" s="2" t="s">
        <v>1145</v>
      </c>
      <c r="G2333" s="14" t="n">
        <v>12.5</v>
      </c>
      <c r="H2333" s="14" t="n">
        <v>7.02</v>
      </c>
      <c r="I2333" s="14"/>
      <c r="J2333" s="22" t="n">
        <f aca="false">IF(E2333="Priority",'Cost model'!N201,'Cost model'!M201)</f>
        <v>12.5</v>
      </c>
      <c r="K2333" s="14" t="n">
        <f aca="false">J2333-H2333</f>
        <v>5.48</v>
      </c>
      <c r="L2333" s="14" t="n">
        <f aca="false">G2333-H2333</f>
        <v>5.48</v>
      </c>
    </row>
    <row r="2334" customFormat="false" ht="15" hidden="false" customHeight="false" outlineLevel="0" collapsed="false">
      <c r="A2334" s="2" t="s">
        <v>184</v>
      </c>
      <c r="B2334" s="2" t="s">
        <v>146</v>
      </c>
      <c r="C2334" s="2" t="s">
        <v>48</v>
      </c>
      <c r="D2334" s="2" t="s">
        <v>10</v>
      </c>
      <c r="E2334" s="2" t="s">
        <v>76</v>
      </c>
      <c r="F2334" s="2" t="s">
        <v>1146</v>
      </c>
      <c r="G2334" s="14" t="n">
        <v>9.5</v>
      </c>
      <c r="H2334" s="14" t="n">
        <v>9.64</v>
      </c>
      <c r="I2334" s="14" t="n">
        <v>9.5</v>
      </c>
      <c r="J2334" s="22" t="n">
        <f aca="false">IF(E2334="Priority",'Cost model'!N146,'Cost model'!M146)</f>
        <v>12.5</v>
      </c>
      <c r="K2334" s="14" t="n">
        <f aca="false">J2334-H2334</f>
        <v>2.86</v>
      </c>
      <c r="L2334" s="14" t="n">
        <f aca="false">G2334-H2334</f>
        <v>-0.140000000000001</v>
      </c>
    </row>
    <row r="2335" customFormat="false" ht="15" hidden="false" customHeight="false" outlineLevel="0" collapsed="false">
      <c r="A2335" s="2" t="s">
        <v>126</v>
      </c>
      <c r="B2335" s="2" t="s">
        <v>126</v>
      </c>
      <c r="C2335" s="2" t="s">
        <v>50</v>
      </c>
      <c r="D2335" s="2" t="s">
        <v>10</v>
      </c>
      <c r="E2335" s="2" t="s">
        <v>76</v>
      </c>
      <c r="F2335" s="2" t="s">
        <v>1145</v>
      </c>
      <c r="G2335" s="14" t="n">
        <v>17.5</v>
      </c>
      <c r="H2335" s="14" t="n">
        <v>14.08</v>
      </c>
      <c r="I2335" s="14" t="n">
        <v>17.5</v>
      </c>
      <c r="J2335" s="22" t="n">
        <f aca="false">IF(E2335="Priority",'Cost model'!N382,'Cost model'!M382)</f>
        <v>18.5</v>
      </c>
      <c r="K2335" s="14" t="n">
        <f aca="false">J2335-H2335</f>
        <v>4.42</v>
      </c>
      <c r="L2335" s="14" t="n">
        <f aca="false">G2335-H2335</f>
        <v>3.42</v>
      </c>
    </row>
    <row r="2336" customFormat="false" ht="15" hidden="false" customHeight="false" outlineLevel="0" collapsed="false">
      <c r="A2336" s="2" t="s">
        <v>146</v>
      </c>
      <c r="B2336" s="2" t="s">
        <v>146</v>
      </c>
      <c r="C2336" s="2" t="s">
        <v>48</v>
      </c>
      <c r="D2336" s="2" t="s">
        <v>12</v>
      </c>
      <c r="E2336" s="2" t="s">
        <v>85</v>
      </c>
      <c r="F2336" s="2" t="s">
        <v>1145</v>
      </c>
      <c r="G2336" s="14" t="n">
        <v>19.5</v>
      </c>
      <c r="H2336" s="14" t="n">
        <v>62.02</v>
      </c>
      <c r="I2336" s="14" t="n">
        <v>19.5</v>
      </c>
      <c r="J2336" s="22" t="n">
        <f aca="false">IF(E2336="Priority",'Cost model'!N761,'Cost model'!M761)</f>
        <v>45</v>
      </c>
      <c r="K2336" s="14" t="n">
        <f aca="false">J2336-H2336</f>
        <v>-17.02</v>
      </c>
      <c r="L2336" s="14" t="n">
        <f aca="false">G2336-H2336</f>
        <v>-42.52</v>
      </c>
    </row>
    <row r="2337" customFormat="false" ht="15" hidden="false" customHeight="false" outlineLevel="0" collapsed="false">
      <c r="A2337" s="2" t="s">
        <v>184</v>
      </c>
      <c r="B2337" s="2" t="s">
        <v>184</v>
      </c>
      <c r="C2337" s="2" t="s">
        <v>49</v>
      </c>
      <c r="D2337" s="2" t="s">
        <v>10</v>
      </c>
      <c r="E2337" s="2" t="s">
        <v>76</v>
      </c>
      <c r="F2337" s="2" t="s">
        <v>1145</v>
      </c>
      <c r="G2337" s="14" t="n">
        <v>17.5</v>
      </c>
      <c r="H2337" s="14" t="n">
        <v>11.43</v>
      </c>
      <c r="I2337" s="14"/>
      <c r="J2337" s="22" t="n">
        <f aca="false">IF(E2337="Priority",'Cost model'!N201,'Cost model'!M201)</f>
        <v>12.5</v>
      </c>
      <c r="K2337" s="14" t="n">
        <f aca="false">J2337-H2337</f>
        <v>1.07</v>
      </c>
      <c r="L2337" s="14" t="n">
        <f aca="false">G2337-H2337</f>
        <v>6.07</v>
      </c>
    </row>
    <row r="2338" customFormat="false" ht="15" hidden="false" customHeight="false" outlineLevel="0" collapsed="false">
      <c r="A2338" s="2" t="s">
        <v>126</v>
      </c>
      <c r="B2338" s="2" t="s">
        <v>126</v>
      </c>
      <c r="C2338" s="2" t="s">
        <v>49</v>
      </c>
      <c r="D2338" s="2" t="s">
        <v>12</v>
      </c>
      <c r="E2338" s="2" t="s">
        <v>76</v>
      </c>
      <c r="F2338" s="2" t="s">
        <v>1145</v>
      </c>
      <c r="G2338" s="14" t="n">
        <v>12.5</v>
      </c>
      <c r="H2338" s="14" t="n">
        <v>48.25</v>
      </c>
      <c r="I2338" s="14" t="n">
        <v>12.5</v>
      </c>
      <c r="J2338" s="22" t="n">
        <f aca="false">IF(E2338="Priority",'Cost model'!N384,'Cost model'!M384)</f>
        <v>45</v>
      </c>
      <c r="K2338" s="14" t="n">
        <f aca="false">J2338-H2338</f>
        <v>-3.25</v>
      </c>
      <c r="L2338" s="14" t="n">
        <f aca="false">G2338-H2338</f>
        <v>-35.75</v>
      </c>
    </row>
    <row r="2339" customFormat="false" ht="15" hidden="false" customHeight="false" outlineLevel="0" collapsed="false">
      <c r="A2339" s="2" t="s">
        <v>146</v>
      </c>
      <c r="B2339" s="2" t="s">
        <v>126</v>
      </c>
      <c r="C2339" s="2" t="s">
        <v>48</v>
      </c>
      <c r="D2339" s="2" t="s">
        <v>10</v>
      </c>
      <c r="E2339" s="2" t="s">
        <v>76</v>
      </c>
      <c r="F2339" s="2" t="s">
        <v>1146</v>
      </c>
      <c r="G2339" s="14" t="n">
        <v>14.5</v>
      </c>
      <c r="H2339" s="14" t="n">
        <v>10.24</v>
      </c>
      <c r="I2339" s="14" t="n">
        <v>14.5</v>
      </c>
      <c r="J2339" s="22" t="n">
        <f aca="false">IF(E2339="Priority",'Cost model'!N794,'Cost model'!M794)</f>
        <v>12.5</v>
      </c>
      <c r="K2339" s="14" t="n">
        <f aca="false">J2339-H2339</f>
        <v>2.26</v>
      </c>
      <c r="L2339" s="14" t="n">
        <f aca="false">G2339-H2339</f>
        <v>4.26</v>
      </c>
    </row>
    <row r="2340" customFormat="false" ht="15" hidden="false" customHeight="false" outlineLevel="0" collapsed="false">
      <c r="A2340" s="2" t="s">
        <v>126</v>
      </c>
      <c r="B2340" s="2" t="s">
        <v>126</v>
      </c>
      <c r="C2340" s="2" t="s">
        <v>49</v>
      </c>
      <c r="D2340" s="2" t="s">
        <v>12</v>
      </c>
      <c r="E2340" s="2" t="s">
        <v>76</v>
      </c>
      <c r="F2340" s="2" t="s">
        <v>1145</v>
      </c>
      <c r="G2340" s="14" t="n">
        <v>24.5</v>
      </c>
      <c r="H2340" s="14" t="n">
        <v>53.08</v>
      </c>
      <c r="I2340" s="14" t="n">
        <v>12.5</v>
      </c>
      <c r="J2340" s="22" t="n">
        <f aca="false">IF(E2340="Priority",'Cost model'!N384,'Cost model'!M384)</f>
        <v>45</v>
      </c>
      <c r="K2340" s="14" t="n">
        <f aca="false">J2340-H2340</f>
        <v>-8.08</v>
      </c>
      <c r="L2340" s="14" t="n">
        <f aca="false">G2340-H2340</f>
        <v>-28.58</v>
      </c>
    </row>
    <row r="2341" customFormat="false" ht="15" hidden="false" customHeight="false" outlineLevel="0" collapsed="false">
      <c r="A2341" s="2" t="s">
        <v>184</v>
      </c>
      <c r="B2341" s="2" t="s">
        <v>184</v>
      </c>
      <c r="C2341" s="2" t="s">
        <v>48</v>
      </c>
      <c r="D2341" s="2" t="s">
        <v>12</v>
      </c>
      <c r="E2341" s="2" t="s">
        <v>76</v>
      </c>
      <c r="F2341" s="2" t="s">
        <v>1145</v>
      </c>
      <c r="G2341" s="14" t="n">
        <v>9.5</v>
      </c>
      <c r="H2341" s="14" t="n">
        <v>27.68</v>
      </c>
      <c r="I2341" s="14" t="n">
        <v>9.5</v>
      </c>
      <c r="J2341" s="22" t="n">
        <f aca="false">IF(E2341="Priority",'Cost model'!N203,'Cost model'!M203)</f>
        <v>26.5</v>
      </c>
      <c r="K2341" s="14" t="n">
        <f aca="false">J2341-H2341</f>
        <v>-1.18</v>
      </c>
      <c r="L2341" s="14" t="n">
        <f aca="false">G2341-H2341</f>
        <v>-18.18</v>
      </c>
    </row>
    <row r="2342" customFormat="false" ht="15" hidden="false" customHeight="false" outlineLevel="0" collapsed="false">
      <c r="A2342" s="2" t="s">
        <v>146</v>
      </c>
      <c r="B2342" s="2" t="s">
        <v>146</v>
      </c>
      <c r="C2342" s="2" t="s">
        <v>48</v>
      </c>
      <c r="D2342" s="2" t="s">
        <v>10</v>
      </c>
      <c r="E2342" s="2" t="s">
        <v>76</v>
      </c>
      <c r="F2342" s="2" t="s">
        <v>1145</v>
      </c>
      <c r="G2342" s="14" t="n">
        <v>9.5</v>
      </c>
      <c r="H2342" s="14" t="n">
        <v>6.14</v>
      </c>
      <c r="I2342" s="14" t="n">
        <v>9.5</v>
      </c>
      <c r="J2342" s="22" t="n">
        <f aca="false">IF(E2342="Priority",'Cost model'!N758,'Cost model'!M758)</f>
        <v>9.5</v>
      </c>
      <c r="K2342" s="14" t="n">
        <f aca="false">J2342-H2342</f>
        <v>3.36</v>
      </c>
      <c r="L2342" s="14" t="n">
        <f aca="false">G2342-H2342</f>
        <v>3.36</v>
      </c>
    </row>
    <row r="2343" customFormat="false" ht="15" hidden="false" customHeight="false" outlineLevel="0" collapsed="false">
      <c r="A2343" s="2" t="s">
        <v>126</v>
      </c>
      <c r="B2343" s="2" t="s">
        <v>126</v>
      </c>
      <c r="C2343" s="2" t="s">
        <v>48</v>
      </c>
      <c r="D2343" s="2" t="s">
        <v>10</v>
      </c>
      <c r="E2343" s="2" t="s">
        <v>76</v>
      </c>
      <c r="F2343" s="2" t="s">
        <v>1145</v>
      </c>
      <c r="G2343" s="14" t="n">
        <v>9.5</v>
      </c>
      <c r="H2343" s="14" t="n">
        <v>7.45</v>
      </c>
      <c r="I2343" s="14" t="n">
        <v>9.5</v>
      </c>
      <c r="J2343" s="22" t="n">
        <f aca="false">IF(E2343="Priority",'Cost model'!N380,'Cost model'!M380)</f>
        <v>8.5</v>
      </c>
      <c r="K2343" s="14" t="n">
        <f aca="false">J2343-H2343</f>
        <v>1.05</v>
      </c>
      <c r="L2343" s="14" t="n">
        <f aca="false">G2343-H2343</f>
        <v>2.05</v>
      </c>
    </row>
    <row r="2344" customFormat="false" ht="15" hidden="false" customHeight="false" outlineLevel="0" collapsed="false">
      <c r="A2344" s="2" t="s">
        <v>184</v>
      </c>
      <c r="B2344" s="2" t="s">
        <v>184</v>
      </c>
      <c r="C2344" s="2" t="s">
        <v>49</v>
      </c>
      <c r="D2344" s="2" t="s">
        <v>12</v>
      </c>
      <c r="E2344" s="2" t="s">
        <v>76</v>
      </c>
      <c r="F2344" s="2" t="s">
        <v>1145</v>
      </c>
      <c r="G2344" s="14" t="n">
        <v>29.5</v>
      </c>
      <c r="H2344" s="14" t="n">
        <v>45.34</v>
      </c>
      <c r="I2344" s="14"/>
      <c r="J2344" s="22" t="n">
        <f aca="false">IF(E2344="Priority",'Cost model'!N204,'Cost model'!M204)</f>
        <v>45</v>
      </c>
      <c r="K2344" s="14" t="n">
        <f aca="false">J2344-H2344</f>
        <v>-0.340000000000003</v>
      </c>
      <c r="L2344" s="14" t="n">
        <f aca="false">G2344-H2344</f>
        <v>-15.84</v>
      </c>
    </row>
    <row r="2345" customFormat="false" ht="15" hidden="false" customHeight="false" outlineLevel="0" collapsed="false">
      <c r="A2345" s="2" t="s">
        <v>385</v>
      </c>
      <c r="B2345" s="2" t="s">
        <v>165</v>
      </c>
      <c r="C2345" s="2" t="s">
        <v>48</v>
      </c>
      <c r="D2345" s="2" t="s">
        <v>12</v>
      </c>
      <c r="E2345" s="2" t="s">
        <v>76</v>
      </c>
      <c r="F2345" s="2" t="s">
        <v>1146</v>
      </c>
      <c r="G2345" s="14" t="n">
        <v>24.5</v>
      </c>
      <c r="H2345" s="14" t="n">
        <v>21.34</v>
      </c>
      <c r="I2345" s="14" t="n">
        <v>24.5</v>
      </c>
      <c r="J2345" s="22" t="n">
        <f aca="false">IF(E2345="Priority",'Cost model'!N257,'Cost model'!M257)</f>
        <v>60</v>
      </c>
      <c r="K2345" s="14" t="n">
        <f aca="false">J2345-H2345</f>
        <v>38.66</v>
      </c>
      <c r="L2345" s="14" t="n">
        <f aca="false">G2345-H2345</f>
        <v>3.16</v>
      </c>
    </row>
    <row r="2346" customFormat="false" ht="15" hidden="false" customHeight="false" outlineLevel="0" collapsed="false">
      <c r="A2346" s="2" t="s">
        <v>184</v>
      </c>
      <c r="B2346" s="2" t="s">
        <v>146</v>
      </c>
      <c r="C2346" s="2" t="s">
        <v>49</v>
      </c>
      <c r="D2346" s="2" t="s">
        <v>10</v>
      </c>
      <c r="E2346" s="2" t="s">
        <v>76</v>
      </c>
      <c r="F2346" s="2" t="s">
        <v>1146</v>
      </c>
      <c r="G2346" s="14" t="n">
        <v>14.5</v>
      </c>
      <c r="H2346" s="14" t="n">
        <v>16.75</v>
      </c>
      <c r="I2346" s="14"/>
      <c r="J2346" s="22" t="n">
        <f aca="false">IF(E2346="Priority",'Cost model'!N147,'Cost model'!M147)</f>
        <v>14.5</v>
      </c>
      <c r="K2346" s="14" t="n">
        <f aca="false">J2346-H2346</f>
        <v>-2.25</v>
      </c>
      <c r="L2346" s="14" t="n">
        <f aca="false">G2346-H2346</f>
        <v>-2.25</v>
      </c>
    </row>
    <row r="2347" customFormat="false" ht="15" hidden="false" customHeight="false" outlineLevel="0" collapsed="false">
      <c r="A2347" s="2" t="s">
        <v>126</v>
      </c>
      <c r="B2347" s="2" t="s">
        <v>146</v>
      </c>
      <c r="C2347" s="2" t="s">
        <v>50</v>
      </c>
      <c r="D2347" s="2" t="s">
        <v>10</v>
      </c>
      <c r="E2347" s="2" t="s">
        <v>76</v>
      </c>
      <c r="F2347" s="2" t="s">
        <v>1146</v>
      </c>
      <c r="G2347" s="14" t="n">
        <v>17.5</v>
      </c>
      <c r="H2347" s="14" t="n">
        <v>15.99</v>
      </c>
      <c r="I2347" s="14" t="n">
        <v>17.5</v>
      </c>
      <c r="J2347" s="22" t="n">
        <f aca="false">IF(E2347="Priority",'Cost model'!N400,'Cost model'!M400)</f>
        <v>20.5</v>
      </c>
      <c r="K2347" s="14" t="n">
        <f aca="false">J2347-H2347</f>
        <v>4.51</v>
      </c>
      <c r="L2347" s="14" t="n">
        <f aca="false">G2347-H2347</f>
        <v>1.51</v>
      </c>
    </row>
    <row r="2348" customFormat="false" ht="15" hidden="false" customHeight="false" outlineLevel="0" collapsed="false">
      <c r="A2348" s="2" t="s">
        <v>125</v>
      </c>
      <c r="B2348" s="2" t="s">
        <v>125</v>
      </c>
      <c r="C2348" s="2" t="s">
        <v>48</v>
      </c>
      <c r="D2348" s="2" t="s">
        <v>10</v>
      </c>
      <c r="E2348" s="2" t="s">
        <v>85</v>
      </c>
      <c r="F2348" s="2" t="s">
        <v>1145</v>
      </c>
      <c r="G2348" s="14" t="n">
        <v>14.5</v>
      </c>
      <c r="H2348" s="14" t="n">
        <v>21.34</v>
      </c>
      <c r="I2348" s="14" t="n">
        <v>14.5</v>
      </c>
      <c r="J2348" s="22" t="n">
        <f aca="false">IF(E2348="Priority",'Cost model'!N74,'Cost model'!M74)</f>
        <v>29.5</v>
      </c>
      <c r="K2348" s="14" t="n">
        <f aca="false">J2348-H2348</f>
        <v>8.16</v>
      </c>
      <c r="L2348" s="14" t="n">
        <f aca="false">G2348-H2348</f>
        <v>-6.84</v>
      </c>
    </row>
    <row r="2349" customFormat="false" ht="15" hidden="false" customHeight="false" outlineLevel="0" collapsed="false">
      <c r="A2349" s="2" t="s">
        <v>146</v>
      </c>
      <c r="B2349" s="2" t="s">
        <v>184</v>
      </c>
      <c r="C2349" s="2" t="s">
        <v>48</v>
      </c>
      <c r="D2349" s="2" t="s">
        <v>10</v>
      </c>
      <c r="E2349" s="2" t="s">
        <v>85</v>
      </c>
      <c r="F2349" s="2" t="s">
        <v>1146</v>
      </c>
      <c r="G2349" s="14" t="n">
        <v>19.5</v>
      </c>
      <c r="H2349" s="14" t="n">
        <v>21.61</v>
      </c>
      <c r="I2349" s="14" t="n">
        <v>19.5</v>
      </c>
      <c r="J2349" s="22" t="n">
        <f aca="false">IF(E2349="Priority",'Cost model'!N830,'Cost model'!M830)</f>
        <v>14.5</v>
      </c>
      <c r="K2349" s="14" t="n">
        <f aca="false">J2349-H2349</f>
        <v>-7.11</v>
      </c>
      <c r="L2349" s="14" t="n">
        <f aca="false">G2349-H2349</f>
        <v>-2.11</v>
      </c>
    </row>
    <row r="2350" customFormat="false" ht="15" hidden="false" customHeight="false" outlineLevel="0" collapsed="false">
      <c r="A2350" s="2" t="s">
        <v>184</v>
      </c>
      <c r="B2350" s="2" t="s">
        <v>184</v>
      </c>
      <c r="C2350" s="2" t="s">
        <v>50</v>
      </c>
      <c r="D2350" s="2" t="s">
        <v>12</v>
      </c>
      <c r="E2350" s="2" t="s">
        <v>76</v>
      </c>
      <c r="F2350" s="2" t="s">
        <v>1145</v>
      </c>
      <c r="G2350" s="14" t="n">
        <v>19.5</v>
      </c>
      <c r="H2350" s="14" t="n">
        <v>41.18</v>
      </c>
      <c r="I2350" s="14" t="n">
        <v>19.5</v>
      </c>
      <c r="J2350" s="22" t="n">
        <f aca="false">IF(E2350="Priority",'Cost model'!N205,'Cost model'!M205)</f>
        <v>50</v>
      </c>
      <c r="K2350" s="14" t="n">
        <f aca="false">J2350-H2350</f>
        <v>8.82</v>
      </c>
      <c r="L2350" s="14" t="n">
        <f aca="false">G2350-H2350</f>
        <v>-21.68</v>
      </c>
    </row>
    <row r="2351" customFormat="false" ht="15" hidden="false" customHeight="false" outlineLevel="0" collapsed="false">
      <c r="A2351" s="2" t="s">
        <v>126</v>
      </c>
      <c r="B2351" s="2" t="s">
        <v>126</v>
      </c>
      <c r="C2351" s="2" t="s">
        <v>50</v>
      </c>
      <c r="D2351" s="2" t="s">
        <v>14</v>
      </c>
      <c r="E2351" s="2" t="s">
        <v>76</v>
      </c>
      <c r="F2351" s="2" t="s">
        <v>1145</v>
      </c>
      <c r="G2351" s="14" t="n">
        <v>85</v>
      </c>
      <c r="H2351" s="14" t="n">
        <v>204.69</v>
      </c>
      <c r="I2351" s="14" t="n">
        <v>85</v>
      </c>
      <c r="J2351" s="22" t="n">
        <f aca="false">IF(E2351="Priority",'Cost model'!N391,'Cost model'!M391)</f>
        <v>170</v>
      </c>
      <c r="K2351" s="14" t="n">
        <f aca="false">J2351-H2351</f>
        <v>-34.69</v>
      </c>
      <c r="L2351" s="14" t="n">
        <f aca="false">G2351-H2351</f>
        <v>-119.69</v>
      </c>
    </row>
    <row r="2352" customFormat="false" ht="15" hidden="false" customHeight="false" outlineLevel="0" collapsed="false">
      <c r="A2352" s="2" t="s">
        <v>165</v>
      </c>
      <c r="B2352" s="2" t="s">
        <v>184</v>
      </c>
      <c r="C2352" s="2" t="s">
        <v>50</v>
      </c>
      <c r="D2352" s="2" t="s">
        <v>12</v>
      </c>
      <c r="E2352" s="2" t="s">
        <v>76</v>
      </c>
      <c r="F2352" s="2" t="s">
        <v>1146</v>
      </c>
      <c r="G2352" s="14" t="n">
        <v>19.5</v>
      </c>
      <c r="H2352" s="14" t="n">
        <v>48.63</v>
      </c>
      <c r="I2352" s="14" t="n">
        <v>19.5</v>
      </c>
      <c r="J2352" s="22" t="n">
        <f aca="false">IF(E2352="Priority",'Cost model'!N583,'Cost model'!M583)</f>
        <v>55</v>
      </c>
      <c r="K2352" s="14" t="n">
        <f aca="false">J2352-H2352</f>
        <v>6.37</v>
      </c>
      <c r="L2352" s="14" t="n">
        <f aca="false">G2352-H2352</f>
        <v>-29.13</v>
      </c>
    </row>
    <row r="2353" customFormat="false" ht="15" hidden="false" customHeight="false" outlineLevel="0" collapsed="false">
      <c r="A2353" s="2" t="s">
        <v>240</v>
      </c>
      <c r="B2353" s="2" t="s">
        <v>165</v>
      </c>
      <c r="C2353" s="2" t="s">
        <v>48</v>
      </c>
      <c r="D2353" s="2" t="s">
        <v>10</v>
      </c>
      <c r="E2353" s="2" t="s">
        <v>76</v>
      </c>
      <c r="F2353" s="2" t="s">
        <v>1146</v>
      </c>
      <c r="G2353" s="14" t="n">
        <v>14.5</v>
      </c>
      <c r="H2353" s="14" t="n">
        <v>9.22</v>
      </c>
      <c r="I2353" s="14" t="n">
        <v>14.5</v>
      </c>
      <c r="J2353" s="22" t="n">
        <f aca="false">IF(E2353="Priority",'Cost model'!N902,'Cost model'!M902)</f>
        <v>13.5</v>
      </c>
      <c r="K2353" s="14" t="n">
        <f aca="false">J2353-H2353</f>
        <v>4.28</v>
      </c>
      <c r="L2353" s="14" t="n">
        <f aca="false">G2353-H2353</f>
        <v>5.28</v>
      </c>
    </row>
    <row r="2354" customFormat="false" ht="15" hidden="false" customHeight="false" outlineLevel="0" collapsed="false">
      <c r="A2354" s="2" t="s">
        <v>126</v>
      </c>
      <c r="B2354" s="2" t="s">
        <v>126</v>
      </c>
      <c r="C2354" s="2" t="s">
        <v>48</v>
      </c>
      <c r="D2354" s="2" t="s">
        <v>10</v>
      </c>
      <c r="E2354" s="2" t="s">
        <v>85</v>
      </c>
      <c r="F2354" s="2" t="s">
        <v>1145</v>
      </c>
      <c r="G2354" s="14" t="n">
        <v>14.5</v>
      </c>
      <c r="H2354" s="14" t="n">
        <v>7.45</v>
      </c>
      <c r="I2354" s="14" t="n">
        <v>14.5</v>
      </c>
      <c r="J2354" s="22" t="n">
        <f aca="false">IF(E2354="Priority",'Cost model'!N380,'Cost model'!M380)</f>
        <v>13.5</v>
      </c>
      <c r="K2354" s="14" t="n">
        <f aca="false">J2354-H2354</f>
        <v>6.05</v>
      </c>
      <c r="L2354" s="14" t="n">
        <f aca="false">G2354-H2354</f>
        <v>7.05</v>
      </c>
    </row>
    <row r="2355" customFormat="false" ht="15" hidden="false" customHeight="false" outlineLevel="0" collapsed="false">
      <c r="A2355" s="2" t="s">
        <v>184</v>
      </c>
      <c r="B2355" s="2" t="s">
        <v>146</v>
      </c>
      <c r="C2355" s="2" t="s">
        <v>48</v>
      </c>
      <c r="D2355" s="2" t="s">
        <v>10</v>
      </c>
      <c r="E2355" s="2" t="s">
        <v>76</v>
      </c>
      <c r="F2355" s="2" t="s">
        <v>1146</v>
      </c>
      <c r="G2355" s="14" t="n">
        <v>9.5</v>
      </c>
      <c r="H2355" s="14" t="n">
        <v>10.27</v>
      </c>
      <c r="I2355" s="14" t="n">
        <v>9.5</v>
      </c>
      <c r="J2355" s="22" t="n">
        <f aca="false">IF(E2355="Priority",'Cost model'!N146,'Cost model'!M146)</f>
        <v>12.5</v>
      </c>
      <c r="K2355" s="14" t="n">
        <f aca="false">J2355-H2355</f>
        <v>2.23</v>
      </c>
      <c r="L2355" s="14" t="n">
        <f aca="false">G2355-H2355</f>
        <v>-0.77</v>
      </c>
    </row>
    <row r="2356" customFormat="false" ht="15" hidden="false" customHeight="false" outlineLevel="0" collapsed="false">
      <c r="A2356" s="2" t="s">
        <v>126</v>
      </c>
      <c r="B2356" s="2" t="s">
        <v>126</v>
      </c>
      <c r="C2356" s="2" t="s">
        <v>49</v>
      </c>
      <c r="D2356" s="2" t="s">
        <v>10</v>
      </c>
      <c r="E2356" s="2" t="s">
        <v>76</v>
      </c>
      <c r="F2356" s="2" t="s">
        <v>1145</v>
      </c>
      <c r="G2356" s="14" t="n">
        <v>12.5</v>
      </c>
      <c r="H2356" s="14" t="n">
        <v>16.84</v>
      </c>
      <c r="I2356" s="14" t="n">
        <v>12.5</v>
      </c>
      <c r="J2356" s="22" t="n">
        <f aca="false">IF(E2356="Priority",'Cost model'!N381,'Cost model'!M381)</f>
        <v>14.5</v>
      </c>
      <c r="K2356" s="14" t="n">
        <f aca="false">J2356-H2356</f>
        <v>-2.34</v>
      </c>
      <c r="L2356" s="14" t="n">
        <f aca="false">G2356-H2356</f>
        <v>-4.34</v>
      </c>
    </row>
    <row r="2357" customFormat="false" ht="15" hidden="false" customHeight="false" outlineLevel="0" collapsed="false">
      <c r="A2357" s="2" t="s">
        <v>184</v>
      </c>
      <c r="B2357" s="2" t="s">
        <v>184</v>
      </c>
      <c r="C2357" s="2" t="s">
        <v>50</v>
      </c>
      <c r="D2357" s="2" t="s">
        <v>12</v>
      </c>
      <c r="E2357" s="2" t="s">
        <v>76</v>
      </c>
      <c r="F2357" s="2" t="s">
        <v>1145</v>
      </c>
      <c r="G2357" s="14" t="n">
        <v>19.5</v>
      </c>
      <c r="H2357" s="14" t="n">
        <v>25.41</v>
      </c>
      <c r="I2357" s="14" t="n">
        <v>19.5</v>
      </c>
      <c r="J2357" s="22" t="n">
        <f aca="false">IF(E2357="Priority",'Cost model'!N205,'Cost model'!M205)</f>
        <v>50</v>
      </c>
      <c r="K2357" s="14" t="n">
        <f aca="false">J2357-H2357</f>
        <v>24.59</v>
      </c>
      <c r="L2357" s="14" t="n">
        <f aca="false">G2357-H2357</f>
        <v>-5.91</v>
      </c>
    </row>
    <row r="2358" customFormat="false" ht="15" hidden="false" customHeight="false" outlineLevel="0" collapsed="false">
      <c r="A2358" s="2" t="s">
        <v>240</v>
      </c>
      <c r="B2358" s="2" t="s">
        <v>240</v>
      </c>
      <c r="C2358" s="2" t="s">
        <v>48</v>
      </c>
      <c r="D2358" s="2" t="s">
        <v>12</v>
      </c>
      <c r="E2358" s="2" t="s">
        <v>76</v>
      </c>
      <c r="F2358" s="2" t="s">
        <v>1145</v>
      </c>
      <c r="G2358" s="14" t="n">
        <v>9.5</v>
      </c>
      <c r="H2358" s="14" t="n">
        <v>16.2</v>
      </c>
      <c r="I2358" s="14" t="n">
        <v>9.5</v>
      </c>
      <c r="J2358" s="22" t="n">
        <f aca="false">IF(E2358="Priority",'Cost model'!N887,'Cost model'!M887)</f>
        <v>21.5</v>
      </c>
      <c r="K2358" s="14" t="n">
        <f aca="false">J2358-H2358</f>
        <v>5.3</v>
      </c>
      <c r="L2358" s="14" t="n">
        <f aca="false">G2358-H2358</f>
        <v>-6.7</v>
      </c>
    </row>
    <row r="2359" customFormat="false" ht="15" hidden="false" customHeight="false" outlineLevel="0" collapsed="false">
      <c r="A2359" s="2" t="s">
        <v>184</v>
      </c>
      <c r="B2359" s="2" t="s">
        <v>184</v>
      </c>
      <c r="C2359" s="2" t="s">
        <v>50</v>
      </c>
      <c r="D2359" s="2" t="s">
        <v>10</v>
      </c>
      <c r="E2359" s="2" t="s">
        <v>85</v>
      </c>
      <c r="F2359" s="2" t="s">
        <v>1145</v>
      </c>
      <c r="G2359" s="14" t="n">
        <v>24.5</v>
      </c>
      <c r="H2359" s="14" t="n">
        <v>12.18</v>
      </c>
      <c r="I2359" s="14" t="n">
        <v>24.5</v>
      </c>
      <c r="J2359" s="22" t="n">
        <f aca="false">IF(E2359="Priority",'Cost model'!N202,'Cost model'!M202)</f>
        <v>23.5</v>
      </c>
      <c r="K2359" s="14" t="n">
        <f aca="false">J2359-H2359</f>
        <v>11.32</v>
      </c>
      <c r="L2359" s="14" t="n">
        <f aca="false">G2359-H2359</f>
        <v>12.32</v>
      </c>
    </row>
    <row r="2360" customFormat="false" ht="15" hidden="false" customHeight="false" outlineLevel="0" collapsed="false">
      <c r="A2360" s="2" t="s">
        <v>126</v>
      </c>
      <c r="B2360" s="2" t="s">
        <v>126</v>
      </c>
      <c r="C2360" s="2" t="s">
        <v>50</v>
      </c>
      <c r="D2360" s="2" t="s">
        <v>13</v>
      </c>
      <c r="E2360" s="2" t="s">
        <v>76</v>
      </c>
      <c r="F2360" s="2" t="s">
        <v>1145</v>
      </c>
      <c r="G2360" s="14" t="n">
        <v>50</v>
      </c>
      <c r="H2360" s="14" t="n">
        <v>68.53</v>
      </c>
      <c r="I2360" s="14" t="n">
        <v>50</v>
      </c>
      <c r="J2360" s="22" t="n">
        <f aca="false">IF(E2360="Priority",'Cost model'!N388,'Cost model'!M388)</f>
        <v>110</v>
      </c>
      <c r="K2360" s="14" t="n">
        <f aca="false">J2360-H2360</f>
        <v>41.47</v>
      </c>
      <c r="L2360" s="14" t="n">
        <f aca="false">G2360-H2360</f>
        <v>-18.53</v>
      </c>
    </row>
    <row r="2361" customFormat="false" ht="15" hidden="false" customHeight="false" outlineLevel="0" collapsed="false">
      <c r="A2361" s="2" t="s">
        <v>146</v>
      </c>
      <c r="B2361" s="2" t="s">
        <v>126</v>
      </c>
      <c r="C2361" s="2" t="s">
        <v>48</v>
      </c>
      <c r="D2361" s="2" t="s">
        <v>10</v>
      </c>
      <c r="E2361" s="2" t="s">
        <v>76</v>
      </c>
      <c r="F2361" s="2" t="s">
        <v>1146</v>
      </c>
      <c r="G2361" s="14" t="n">
        <v>14.5</v>
      </c>
      <c r="H2361" s="14" t="n">
        <v>21.34</v>
      </c>
      <c r="I2361" s="14" t="n">
        <v>14.5</v>
      </c>
      <c r="J2361" s="22" t="n">
        <f aca="false">IF(E2361="Priority",'Cost model'!N794,'Cost model'!M794)</f>
        <v>12.5</v>
      </c>
      <c r="K2361" s="14" t="n">
        <f aca="false">J2361-H2361</f>
        <v>-8.84</v>
      </c>
      <c r="L2361" s="14" t="n">
        <f aca="false">G2361-H2361</f>
        <v>-6.84</v>
      </c>
    </row>
    <row r="2362" customFormat="false" ht="15" hidden="false" customHeight="false" outlineLevel="0" collapsed="false">
      <c r="A2362" s="2" t="s">
        <v>146</v>
      </c>
      <c r="B2362" s="2" t="s">
        <v>126</v>
      </c>
      <c r="C2362" s="2" t="s">
        <v>50</v>
      </c>
      <c r="D2362" s="2" t="s">
        <v>12</v>
      </c>
      <c r="E2362" s="2" t="s">
        <v>76</v>
      </c>
      <c r="F2362" s="2" t="s">
        <v>1146</v>
      </c>
      <c r="G2362" s="14" t="n">
        <v>19.5</v>
      </c>
      <c r="H2362" s="14" t="n">
        <v>54.63</v>
      </c>
      <c r="I2362" s="14" t="n">
        <v>19.5</v>
      </c>
      <c r="J2362" s="22" t="n">
        <f aca="false">IF(E2362="Priority",'Cost model'!N799,'Cost model'!M799)</f>
        <v>55</v>
      </c>
      <c r="K2362" s="14" t="n">
        <f aca="false">J2362-H2362</f>
        <v>0.369999999999997</v>
      </c>
      <c r="L2362" s="14" t="n">
        <f aca="false">G2362-H2362</f>
        <v>-35.13</v>
      </c>
    </row>
    <row r="2363" customFormat="false" ht="15" hidden="false" customHeight="false" outlineLevel="0" collapsed="false">
      <c r="A2363" s="2" t="s">
        <v>240</v>
      </c>
      <c r="B2363" s="2" t="s">
        <v>126</v>
      </c>
      <c r="C2363" s="2" t="s">
        <v>50</v>
      </c>
      <c r="D2363" s="2" t="s">
        <v>12</v>
      </c>
      <c r="E2363" s="2" t="s">
        <v>76</v>
      </c>
      <c r="F2363" s="2" t="s">
        <v>1146</v>
      </c>
      <c r="G2363" s="14" t="n">
        <v>29.5</v>
      </c>
      <c r="H2363" s="14" t="n">
        <v>78.44</v>
      </c>
      <c r="I2363" s="14" t="n">
        <v>24.5</v>
      </c>
      <c r="J2363" s="22" t="n">
        <f aca="false">IF(E2363="Priority",'Cost model'!N961,'Cost model'!M961)</f>
        <v>75</v>
      </c>
      <c r="K2363" s="14" t="n">
        <f aca="false">J2363-H2363</f>
        <v>-3.44</v>
      </c>
      <c r="L2363" s="14" t="n">
        <f aca="false">G2363-H2363</f>
        <v>-48.94</v>
      </c>
    </row>
    <row r="2364" customFormat="false" ht="15" hidden="false" customHeight="false" outlineLevel="0" collapsed="false">
      <c r="A2364" s="2" t="s">
        <v>146</v>
      </c>
      <c r="B2364" s="2" t="s">
        <v>146</v>
      </c>
      <c r="C2364" s="2" t="s">
        <v>48</v>
      </c>
      <c r="D2364" s="2" t="s">
        <v>14</v>
      </c>
      <c r="E2364" s="2" t="s">
        <v>76</v>
      </c>
      <c r="F2364" s="2" t="s">
        <v>1145</v>
      </c>
      <c r="G2364" s="14" t="n">
        <v>25</v>
      </c>
      <c r="H2364" s="14" t="n">
        <v>97.46</v>
      </c>
      <c r="I2364" s="14" t="n">
        <v>25</v>
      </c>
      <c r="J2364" s="22" t="n">
        <f aca="false">IF(E2364="Priority",'Cost model'!N767,'Cost model'!M767)</f>
        <v>100</v>
      </c>
      <c r="K2364" s="14" t="n">
        <f aca="false">J2364-H2364</f>
        <v>2.54000000000001</v>
      </c>
      <c r="L2364" s="14" t="n">
        <f aca="false">G2364-H2364</f>
        <v>-72.46</v>
      </c>
    </row>
    <row r="2365" customFormat="false" ht="15" hidden="false" customHeight="false" outlineLevel="0" collapsed="false">
      <c r="A2365" s="2" t="s">
        <v>385</v>
      </c>
      <c r="B2365" s="2" t="s">
        <v>146</v>
      </c>
      <c r="C2365" s="2" t="s">
        <v>50</v>
      </c>
      <c r="D2365" s="2" t="s">
        <v>10</v>
      </c>
      <c r="E2365" s="2" t="s">
        <v>76</v>
      </c>
      <c r="F2365" s="2" t="s">
        <v>1146</v>
      </c>
      <c r="G2365" s="14" t="n">
        <v>19.5</v>
      </c>
      <c r="H2365" s="14" t="n">
        <v>23.58</v>
      </c>
      <c r="I2365" s="14" t="n">
        <v>19.5</v>
      </c>
      <c r="J2365" s="22" t="n">
        <f aca="false">IF(E2365="Priority",'Cost model'!N274,'Cost model'!M274)</f>
        <v>26.5</v>
      </c>
      <c r="K2365" s="14" t="n">
        <f aca="false">J2365-H2365</f>
        <v>2.92</v>
      </c>
      <c r="L2365" s="14" t="n">
        <f aca="false">G2365-H2365</f>
        <v>-4.08</v>
      </c>
    </row>
    <row r="2366" customFormat="false" ht="15" hidden="false" customHeight="false" outlineLevel="0" collapsed="false">
      <c r="A2366" s="2" t="s">
        <v>184</v>
      </c>
      <c r="B2366" s="2" t="s">
        <v>184</v>
      </c>
      <c r="C2366" s="2" t="s">
        <v>48</v>
      </c>
      <c r="D2366" s="2" t="s">
        <v>12</v>
      </c>
      <c r="E2366" s="2" t="s">
        <v>76</v>
      </c>
      <c r="F2366" s="2" t="s">
        <v>1145</v>
      </c>
      <c r="G2366" s="14" t="n">
        <v>9.5</v>
      </c>
      <c r="H2366" s="14" t="n">
        <v>27.78</v>
      </c>
      <c r="I2366" s="14" t="n">
        <v>9.5</v>
      </c>
      <c r="J2366" s="22" t="n">
        <f aca="false">IF(E2366="Priority",'Cost model'!N203,'Cost model'!M203)</f>
        <v>26.5</v>
      </c>
      <c r="K2366" s="14" t="n">
        <f aca="false">J2366-H2366</f>
        <v>-1.28</v>
      </c>
      <c r="L2366" s="14" t="n">
        <f aca="false">G2366-H2366</f>
        <v>-18.28</v>
      </c>
    </row>
    <row r="2367" customFormat="false" ht="15" hidden="false" customHeight="false" outlineLevel="0" collapsed="false">
      <c r="A2367" s="2" t="s">
        <v>240</v>
      </c>
      <c r="B2367" s="2" t="s">
        <v>221</v>
      </c>
      <c r="C2367" s="2" t="s">
        <v>50</v>
      </c>
      <c r="D2367" s="2" t="s">
        <v>10</v>
      </c>
      <c r="E2367" s="2" t="s">
        <v>76</v>
      </c>
      <c r="F2367" s="2" t="s">
        <v>1146</v>
      </c>
      <c r="G2367" s="14" t="n">
        <v>17.5</v>
      </c>
      <c r="H2367" s="14" t="n">
        <v>17.31</v>
      </c>
      <c r="I2367" s="14"/>
      <c r="J2367" s="22" t="n">
        <f aca="false">IF(E2367="Priority",'Cost model'!N994,'Cost model'!M994)</f>
        <v>18.5</v>
      </c>
      <c r="K2367" s="14" t="n">
        <f aca="false">J2367-H2367</f>
        <v>1.19</v>
      </c>
      <c r="L2367" s="14" t="n">
        <f aca="false">G2367-H2367</f>
        <v>0.190000000000001</v>
      </c>
    </row>
    <row r="2368" customFormat="false" ht="15" hidden="false" customHeight="false" outlineLevel="0" collapsed="false">
      <c r="A2368" s="2" t="s">
        <v>385</v>
      </c>
      <c r="B2368" s="2" t="s">
        <v>165</v>
      </c>
      <c r="C2368" s="2" t="s">
        <v>50</v>
      </c>
      <c r="D2368" s="2" t="s">
        <v>12</v>
      </c>
      <c r="E2368" s="2" t="s">
        <v>76</v>
      </c>
      <c r="F2368" s="2" t="s">
        <v>1146</v>
      </c>
      <c r="G2368" s="14" t="n">
        <v>29.5</v>
      </c>
      <c r="H2368" s="14" t="n">
        <v>91.41</v>
      </c>
      <c r="I2368" s="14" t="n">
        <v>24.5</v>
      </c>
      <c r="J2368" s="22" t="n">
        <f aca="false">IF(E2368="Priority",'Cost model'!N259,'Cost model'!M259)</f>
        <v>75</v>
      </c>
      <c r="K2368" s="14" t="n">
        <f aca="false">J2368-H2368</f>
        <v>-16.41</v>
      </c>
      <c r="L2368" s="14" t="n">
        <f aca="false">G2368-H2368</f>
        <v>-61.91</v>
      </c>
    </row>
    <row r="2369" customFormat="false" ht="15" hidden="false" customHeight="false" outlineLevel="0" collapsed="false">
      <c r="A2369" s="2" t="s">
        <v>240</v>
      </c>
      <c r="B2369" s="2" t="s">
        <v>240</v>
      </c>
      <c r="C2369" s="2" t="s">
        <v>50</v>
      </c>
      <c r="D2369" s="2" t="s">
        <v>10</v>
      </c>
      <c r="E2369" s="2" t="s">
        <v>76</v>
      </c>
      <c r="F2369" s="2" t="s">
        <v>1145</v>
      </c>
      <c r="G2369" s="14" t="n">
        <v>17.5</v>
      </c>
      <c r="H2369" s="14" t="n">
        <v>21.14</v>
      </c>
      <c r="I2369" s="14" t="n">
        <v>17.5</v>
      </c>
      <c r="J2369" s="22" t="n">
        <f aca="false">IF(E2369="Priority",'Cost model'!N886,'Cost model'!M886)</f>
        <v>17.5</v>
      </c>
      <c r="K2369" s="14" t="n">
        <f aca="false">J2369-H2369</f>
        <v>-3.64</v>
      </c>
      <c r="L2369" s="14" t="n">
        <f aca="false">G2369-H2369</f>
        <v>-3.64</v>
      </c>
    </row>
    <row r="2370" customFormat="false" ht="15" hidden="false" customHeight="false" outlineLevel="0" collapsed="false">
      <c r="A2370" s="2" t="s">
        <v>240</v>
      </c>
      <c r="B2370" s="2" t="s">
        <v>240</v>
      </c>
      <c r="C2370" s="2" t="s">
        <v>48</v>
      </c>
      <c r="D2370" s="2" t="s">
        <v>10</v>
      </c>
      <c r="E2370" s="2" t="s">
        <v>76</v>
      </c>
      <c r="F2370" s="2" t="s">
        <v>1145</v>
      </c>
      <c r="G2370" s="14" t="n">
        <v>9.5</v>
      </c>
      <c r="H2370" s="14" t="n">
        <v>4.99</v>
      </c>
      <c r="I2370" s="14" t="n">
        <v>9.5</v>
      </c>
      <c r="J2370" s="22" t="n">
        <f aca="false">IF(E2370="Priority",'Cost model'!N884,'Cost model'!M884)</f>
        <v>7.5</v>
      </c>
      <c r="K2370" s="14" t="n">
        <f aca="false">J2370-H2370</f>
        <v>2.51</v>
      </c>
      <c r="L2370" s="14" t="n">
        <f aca="false">G2370-H2370</f>
        <v>4.51</v>
      </c>
    </row>
    <row r="2371" customFormat="false" ht="15" hidden="false" customHeight="false" outlineLevel="0" collapsed="false">
      <c r="A2371" s="2" t="s">
        <v>184</v>
      </c>
      <c r="B2371" s="2" t="s">
        <v>240</v>
      </c>
      <c r="C2371" s="2" t="s">
        <v>49</v>
      </c>
      <c r="D2371" s="2" t="s">
        <v>16</v>
      </c>
      <c r="E2371" s="2" t="s">
        <v>76</v>
      </c>
      <c r="F2371" s="2" t="s">
        <v>1146</v>
      </c>
      <c r="G2371" s="14" t="n">
        <v>85</v>
      </c>
      <c r="H2371" s="14" t="n">
        <v>619.72</v>
      </c>
      <c r="I2371" s="14"/>
      <c r="J2371" s="22" t="n">
        <f aca="false">IF(E2371="Priority",'Cost model'!N198,'Cost model'!M198)</f>
        <v>465</v>
      </c>
      <c r="K2371" s="14" t="n">
        <f aca="false">J2371-H2371</f>
        <v>-154.72</v>
      </c>
      <c r="L2371" s="14" t="n">
        <f aca="false">G2371-H2371</f>
        <v>-534.72</v>
      </c>
    </row>
    <row r="2372" customFormat="false" ht="15" hidden="false" customHeight="false" outlineLevel="0" collapsed="false">
      <c r="A2372" s="2" t="s">
        <v>126</v>
      </c>
      <c r="B2372" s="2" t="s">
        <v>126</v>
      </c>
      <c r="C2372" s="2" t="s">
        <v>48</v>
      </c>
      <c r="D2372" s="2" t="s">
        <v>12</v>
      </c>
      <c r="E2372" s="2" t="s">
        <v>76</v>
      </c>
      <c r="F2372" s="2" t="s">
        <v>1145</v>
      </c>
      <c r="G2372" s="14" t="n">
        <v>9.5</v>
      </c>
      <c r="H2372" s="14" t="n">
        <v>29.49</v>
      </c>
      <c r="I2372" s="14" t="n">
        <v>9.5</v>
      </c>
      <c r="J2372" s="22" t="n">
        <f aca="false">IF(E2372="Priority",'Cost model'!N383,'Cost model'!M383)</f>
        <v>27.5</v>
      </c>
      <c r="K2372" s="14" t="n">
        <f aca="false">J2372-H2372</f>
        <v>-1.99</v>
      </c>
      <c r="L2372" s="14" t="n">
        <f aca="false">G2372-H2372</f>
        <v>-19.99</v>
      </c>
    </row>
    <row r="2373" customFormat="false" ht="15" hidden="false" customHeight="false" outlineLevel="0" collapsed="false">
      <c r="A2373" s="2" t="s">
        <v>184</v>
      </c>
      <c r="B2373" s="2" t="s">
        <v>146</v>
      </c>
      <c r="C2373" s="2" t="s">
        <v>49</v>
      </c>
      <c r="D2373" s="2" t="s">
        <v>12</v>
      </c>
      <c r="E2373" s="2" t="s">
        <v>76</v>
      </c>
      <c r="F2373" s="2" t="s">
        <v>1146</v>
      </c>
      <c r="G2373" s="14" t="n">
        <v>12.5</v>
      </c>
      <c r="H2373" s="14" t="n">
        <v>80.82</v>
      </c>
      <c r="I2373" s="14"/>
      <c r="J2373" s="22" t="n">
        <f aca="false">IF(E2373="Priority",'Cost model'!N150,'Cost model'!M150)</f>
        <v>55</v>
      </c>
      <c r="K2373" s="14" t="n">
        <f aca="false">J2373-H2373</f>
        <v>-25.82</v>
      </c>
      <c r="L2373" s="14" t="n">
        <f aca="false">G2373-H2373</f>
        <v>-68.32</v>
      </c>
    </row>
    <row r="2374" customFormat="false" ht="15" hidden="false" customHeight="false" outlineLevel="0" collapsed="false">
      <c r="A2374" s="2" t="s">
        <v>184</v>
      </c>
      <c r="B2374" s="2" t="s">
        <v>184</v>
      </c>
      <c r="C2374" s="2" t="s">
        <v>48</v>
      </c>
      <c r="D2374" s="2" t="s">
        <v>10</v>
      </c>
      <c r="E2374" s="2" t="s">
        <v>76</v>
      </c>
      <c r="F2374" s="2" t="s">
        <v>1145</v>
      </c>
      <c r="G2374" s="14" t="n">
        <v>19.5</v>
      </c>
      <c r="H2374" s="14" t="n">
        <v>10.87</v>
      </c>
      <c r="I2374" s="14" t="n">
        <v>9.5</v>
      </c>
      <c r="J2374" s="22" t="n">
        <f aca="false">IF(E2374="Priority",'Cost model'!N200,'Cost model'!M200)</f>
        <v>7.5</v>
      </c>
      <c r="K2374" s="14" t="n">
        <f aca="false">J2374-H2374</f>
        <v>-3.37</v>
      </c>
      <c r="L2374" s="14" t="n">
        <f aca="false">G2374-H2374</f>
        <v>8.63</v>
      </c>
    </row>
    <row r="2375" customFormat="false" ht="15" hidden="false" customHeight="false" outlineLevel="0" collapsed="false">
      <c r="A2375" s="2" t="s">
        <v>184</v>
      </c>
      <c r="B2375" s="2" t="s">
        <v>126</v>
      </c>
      <c r="C2375" s="2" t="s">
        <v>49</v>
      </c>
      <c r="D2375" s="2" t="s">
        <v>14</v>
      </c>
      <c r="E2375" s="2" t="s">
        <v>76</v>
      </c>
      <c r="F2375" s="2" t="s">
        <v>1146</v>
      </c>
      <c r="G2375" s="14" t="n">
        <v>45</v>
      </c>
      <c r="H2375" s="14" t="n">
        <v>162.39</v>
      </c>
      <c r="I2375" s="14"/>
      <c r="J2375" s="22" t="n">
        <f aca="false">IF(E2375="Priority",'Cost model'!N138,'Cost model'!M138)</f>
        <v>150</v>
      </c>
      <c r="K2375" s="14" t="n">
        <f aca="false">J2375-H2375</f>
        <v>-12.39</v>
      </c>
      <c r="L2375" s="14" t="n">
        <f aca="false">G2375-H2375</f>
        <v>-117.39</v>
      </c>
    </row>
    <row r="2376" customFormat="false" ht="15" hidden="false" customHeight="false" outlineLevel="0" collapsed="false">
      <c r="A2376" s="2" t="s">
        <v>184</v>
      </c>
      <c r="B2376" s="2" t="s">
        <v>126</v>
      </c>
      <c r="C2376" s="2" t="s">
        <v>49</v>
      </c>
      <c r="D2376" s="2" t="s">
        <v>10</v>
      </c>
      <c r="E2376" s="2" t="s">
        <v>76</v>
      </c>
      <c r="F2376" s="2" t="s">
        <v>1146</v>
      </c>
      <c r="G2376" s="14" t="n">
        <v>12.5</v>
      </c>
      <c r="H2376" s="14" t="n">
        <v>11.46</v>
      </c>
      <c r="I2376" s="14"/>
      <c r="J2376" s="22" t="n">
        <f aca="false">IF(E2376="Priority",'Cost model'!N129,'Cost model'!M129)</f>
        <v>13.5</v>
      </c>
      <c r="K2376" s="14" t="n">
        <f aca="false">J2376-H2376</f>
        <v>2.04</v>
      </c>
      <c r="L2376" s="14" t="n">
        <f aca="false">G2376-H2376</f>
        <v>1.04</v>
      </c>
    </row>
    <row r="2377" customFormat="false" ht="15" hidden="false" customHeight="false" outlineLevel="0" collapsed="false">
      <c r="A2377" s="2" t="s">
        <v>165</v>
      </c>
      <c r="B2377" s="2" t="s">
        <v>165</v>
      </c>
      <c r="C2377" s="2" t="s">
        <v>48</v>
      </c>
      <c r="D2377" s="2" t="s">
        <v>13</v>
      </c>
      <c r="E2377" s="2" t="s">
        <v>85</v>
      </c>
      <c r="F2377" s="2" t="s">
        <v>1145</v>
      </c>
      <c r="G2377" s="14" t="n">
        <v>45</v>
      </c>
      <c r="H2377" s="14" t="n">
        <v>35.26</v>
      </c>
      <c r="I2377" s="14" t="n">
        <v>45</v>
      </c>
      <c r="J2377" s="22" t="n">
        <f aca="false">IF(E2377="Priority",'Cost model'!N512,'Cost model'!M512)</f>
        <v>50</v>
      </c>
      <c r="K2377" s="14" t="n">
        <f aca="false">J2377-H2377</f>
        <v>14.74</v>
      </c>
      <c r="L2377" s="14" t="n">
        <f aca="false">G2377-H2377</f>
        <v>9.74</v>
      </c>
    </row>
    <row r="2378" customFormat="false" ht="15" hidden="false" customHeight="false" outlineLevel="0" collapsed="false">
      <c r="A2378" s="2" t="s">
        <v>126</v>
      </c>
      <c r="B2378" s="2" t="s">
        <v>126</v>
      </c>
      <c r="C2378" s="2" t="s">
        <v>49</v>
      </c>
      <c r="D2378" s="2" t="s">
        <v>12</v>
      </c>
      <c r="E2378" s="2" t="s">
        <v>76</v>
      </c>
      <c r="F2378" s="2" t="s">
        <v>1145</v>
      </c>
      <c r="G2378" s="14" t="n">
        <v>12.5</v>
      </c>
      <c r="H2378" s="14" t="n">
        <v>110.35</v>
      </c>
      <c r="I2378" s="14" t="n">
        <v>12.5</v>
      </c>
      <c r="J2378" s="22" t="n">
        <f aca="false">IF(E2378="Priority",'Cost model'!N384,'Cost model'!M384)</f>
        <v>45</v>
      </c>
      <c r="K2378" s="14" t="n">
        <f aca="false">J2378-H2378</f>
        <v>-65.35</v>
      </c>
      <c r="L2378" s="14" t="n">
        <f aca="false">G2378-H2378</f>
        <v>-97.85</v>
      </c>
    </row>
    <row r="2379" customFormat="false" ht="15" hidden="false" customHeight="false" outlineLevel="0" collapsed="false">
      <c r="A2379" s="2" t="s">
        <v>184</v>
      </c>
      <c r="B2379" s="2" t="s">
        <v>184</v>
      </c>
      <c r="C2379" s="2" t="s">
        <v>49</v>
      </c>
      <c r="D2379" s="2" t="s">
        <v>12</v>
      </c>
      <c r="E2379" s="2" t="s">
        <v>76</v>
      </c>
      <c r="F2379" s="2" t="s">
        <v>1145</v>
      </c>
      <c r="G2379" s="14" t="n">
        <v>19.5</v>
      </c>
      <c r="H2379" s="14" t="n">
        <v>43.59</v>
      </c>
      <c r="I2379" s="14"/>
      <c r="J2379" s="22" t="n">
        <f aca="false">IF(E2379="Priority",'Cost model'!N204,'Cost model'!M204)</f>
        <v>45</v>
      </c>
      <c r="K2379" s="14" t="n">
        <f aca="false">J2379-H2379</f>
        <v>1.41</v>
      </c>
      <c r="L2379" s="14" t="n">
        <f aca="false">G2379-H2379</f>
        <v>-24.09</v>
      </c>
    </row>
    <row r="2380" customFormat="false" ht="15" hidden="false" customHeight="false" outlineLevel="0" collapsed="false">
      <c r="A2380" s="2" t="s">
        <v>240</v>
      </c>
      <c r="B2380" s="2" t="s">
        <v>240</v>
      </c>
      <c r="C2380" s="2" t="s">
        <v>48</v>
      </c>
      <c r="D2380" s="2" t="s">
        <v>16</v>
      </c>
      <c r="E2380" s="2" t="s">
        <v>76</v>
      </c>
      <c r="F2380" s="2" t="s">
        <v>1145</v>
      </c>
      <c r="G2380" s="14" t="n">
        <v>25</v>
      </c>
      <c r="H2380" s="14" t="n">
        <v>293.99</v>
      </c>
      <c r="I2380" s="14" t="n">
        <v>25</v>
      </c>
      <c r="J2380" s="22" t="n">
        <f aca="false">IF(E2380="Priority",'Cost model'!N899,'Cost model'!M899)</f>
        <v>135</v>
      </c>
      <c r="K2380" s="14" t="n">
        <f aca="false">J2380-H2380</f>
        <v>-158.99</v>
      </c>
      <c r="L2380" s="14" t="n">
        <f aca="false">G2380-H2380</f>
        <v>-268.99</v>
      </c>
    </row>
    <row r="2381" customFormat="false" ht="15" hidden="false" customHeight="false" outlineLevel="0" collapsed="false">
      <c r="A2381" s="2" t="s">
        <v>146</v>
      </c>
      <c r="B2381" s="2" t="s">
        <v>184</v>
      </c>
      <c r="C2381" s="2" t="s">
        <v>50</v>
      </c>
      <c r="D2381" s="2" t="s">
        <v>13</v>
      </c>
      <c r="E2381" s="2" t="s">
        <v>76</v>
      </c>
      <c r="F2381" s="2" t="s">
        <v>1146</v>
      </c>
      <c r="G2381" s="14" t="n">
        <v>50</v>
      </c>
      <c r="H2381" s="14" t="n">
        <v>41.09</v>
      </c>
      <c r="I2381" s="14" t="n">
        <v>85</v>
      </c>
      <c r="J2381" s="22" t="n">
        <f aca="false">IF(E2381="Priority",'Cost model'!N838,'Cost model'!M838)</f>
        <v>80</v>
      </c>
      <c r="K2381" s="14" t="n">
        <f aca="false">J2381-H2381</f>
        <v>38.91</v>
      </c>
      <c r="L2381" s="14" t="n">
        <f aca="false">G2381-H2381</f>
        <v>8.91</v>
      </c>
    </row>
    <row r="2382" customFormat="false" ht="15" hidden="false" customHeight="false" outlineLevel="0" collapsed="false">
      <c r="A2382" s="2" t="s">
        <v>184</v>
      </c>
      <c r="B2382" s="2" t="s">
        <v>146</v>
      </c>
      <c r="C2382" s="2" t="s">
        <v>49</v>
      </c>
      <c r="D2382" s="2" t="s">
        <v>10</v>
      </c>
      <c r="E2382" s="2" t="s">
        <v>76</v>
      </c>
      <c r="F2382" s="2" t="s">
        <v>1146</v>
      </c>
      <c r="G2382" s="14" t="n">
        <v>12.5</v>
      </c>
      <c r="H2382" s="14" t="n">
        <v>11.94</v>
      </c>
      <c r="I2382" s="14"/>
      <c r="J2382" s="22" t="n">
        <f aca="false">IF(E2382="Priority",'Cost model'!N147,'Cost model'!M147)</f>
        <v>14.5</v>
      </c>
      <c r="K2382" s="14" t="n">
        <f aca="false">J2382-H2382</f>
        <v>2.56</v>
      </c>
      <c r="L2382" s="14" t="n">
        <f aca="false">G2382-H2382</f>
        <v>0.560000000000001</v>
      </c>
    </row>
    <row r="2383" customFormat="false" ht="15" hidden="false" customHeight="false" outlineLevel="0" collapsed="false">
      <c r="A2383" s="2" t="s">
        <v>184</v>
      </c>
      <c r="B2383" s="2" t="s">
        <v>146</v>
      </c>
      <c r="C2383" s="2" t="s">
        <v>48</v>
      </c>
      <c r="D2383" s="2" t="s">
        <v>12</v>
      </c>
      <c r="E2383" s="2" t="s">
        <v>76</v>
      </c>
      <c r="F2383" s="2" t="s">
        <v>1146</v>
      </c>
      <c r="G2383" s="14" t="n">
        <v>9.5</v>
      </c>
      <c r="H2383" s="14" t="n">
        <v>63.51</v>
      </c>
      <c r="I2383" s="14" t="n">
        <v>9.5</v>
      </c>
      <c r="J2383" s="22" t="n">
        <f aca="false">IF(E2383="Priority",'Cost model'!N149,'Cost model'!M149)</f>
        <v>45</v>
      </c>
      <c r="K2383" s="14" t="n">
        <f aca="false">J2383-H2383</f>
        <v>-18.51</v>
      </c>
      <c r="L2383" s="14" t="n">
        <f aca="false">G2383-H2383</f>
        <v>-54.01</v>
      </c>
    </row>
    <row r="2384" customFormat="false" ht="15" hidden="false" customHeight="false" outlineLevel="0" collapsed="false">
      <c r="A2384" s="2" t="s">
        <v>165</v>
      </c>
      <c r="B2384" s="2" t="s">
        <v>165</v>
      </c>
      <c r="C2384" s="2" t="s">
        <v>50</v>
      </c>
      <c r="D2384" s="2" t="s">
        <v>13</v>
      </c>
      <c r="E2384" s="2" t="s">
        <v>76</v>
      </c>
      <c r="F2384" s="2" t="s">
        <v>1145</v>
      </c>
      <c r="G2384" s="14" t="n">
        <v>50</v>
      </c>
      <c r="H2384" s="14" t="n">
        <v>31.43</v>
      </c>
      <c r="I2384" s="14" t="n">
        <v>50</v>
      </c>
      <c r="J2384" s="22" t="n">
        <f aca="false">IF(E2384="Priority",'Cost model'!N514,'Cost model'!M514)</f>
        <v>70</v>
      </c>
      <c r="K2384" s="14" t="n">
        <f aca="false">J2384-H2384</f>
        <v>38.57</v>
      </c>
      <c r="L2384" s="14" t="n">
        <f aca="false">G2384-H2384</f>
        <v>18.57</v>
      </c>
    </row>
    <row r="2385" customFormat="false" ht="15" hidden="false" customHeight="false" outlineLevel="0" collapsed="false">
      <c r="A2385" s="2" t="s">
        <v>126</v>
      </c>
      <c r="B2385" s="2" t="s">
        <v>126</v>
      </c>
      <c r="C2385" s="2" t="s">
        <v>48</v>
      </c>
      <c r="D2385" s="2" t="s">
        <v>10</v>
      </c>
      <c r="E2385" s="2" t="s">
        <v>76</v>
      </c>
      <c r="F2385" s="2" t="s">
        <v>1145</v>
      </c>
      <c r="G2385" s="14" t="n">
        <v>9.5</v>
      </c>
      <c r="H2385" s="14" t="n">
        <v>9.09</v>
      </c>
      <c r="I2385" s="14" t="n">
        <v>9.5</v>
      </c>
      <c r="J2385" s="22" t="n">
        <f aca="false">IF(E2385="Priority",'Cost model'!N380,'Cost model'!M380)</f>
        <v>8.5</v>
      </c>
      <c r="K2385" s="14" t="n">
        <f aca="false">J2385-H2385</f>
        <v>-0.59</v>
      </c>
      <c r="L2385" s="14" t="n">
        <f aca="false">G2385-H2385</f>
        <v>0.41</v>
      </c>
    </row>
    <row r="2386" customFormat="false" ht="15" hidden="false" customHeight="false" outlineLevel="0" collapsed="false">
      <c r="A2386" s="2" t="s">
        <v>126</v>
      </c>
      <c r="B2386" s="2" t="s">
        <v>184</v>
      </c>
      <c r="C2386" s="2" t="s">
        <v>49</v>
      </c>
      <c r="D2386" s="2" t="s">
        <v>10</v>
      </c>
      <c r="E2386" s="2" t="s">
        <v>76</v>
      </c>
      <c r="F2386" s="2" t="s">
        <v>1146</v>
      </c>
      <c r="G2386" s="14" t="n">
        <v>12.5</v>
      </c>
      <c r="H2386" s="14" t="n">
        <v>20.11</v>
      </c>
      <c r="I2386" s="14" t="n">
        <v>14.5</v>
      </c>
      <c r="J2386" s="22" t="n">
        <f aca="false">IF(E2386="Priority",'Cost model'!N435,'Cost model'!M435)</f>
        <v>15.5</v>
      </c>
      <c r="K2386" s="14" t="n">
        <f aca="false">J2386-H2386</f>
        <v>-4.61</v>
      </c>
      <c r="L2386" s="14" t="n">
        <f aca="false">G2386-H2386</f>
        <v>-7.61</v>
      </c>
    </row>
    <row r="2387" customFormat="false" ht="15" hidden="false" customHeight="false" outlineLevel="0" collapsed="false">
      <c r="A2387" s="2" t="s">
        <v>146</v>
      </c>
      <c r="B2387" s="2" t="s">
        <v>146</v>
      </c>
      <c r="C2387" s="2" t="s">
        <v>49</v>
      </c>
      <c r="D2387" s="2" t="s">
        <v>12</v>
      </c>
      <c r="E2387" s="2" t="s">
        <v>76</v>
      </c>
      <c r="F2387" s="2" t="s">
        <v>1145</v>
      </c>
      <c r="G2387" s="14" t="n">
        <v>12.5</v>
      </c>
      <c r="H2387" s="14" t="n">
        <v>56.53</v>
      </c>
      <c r="I2387" s="14" t="n">
        <v>12.5</v>
      </c>
      <c r="J2387" s="22" t="n">
        <f aca="false">IF(E2387="Priority",'Cost model'!N762,'Cost model'!M762)</f>
        <v>45</v>
      </c>
      <c r="K2387" s="14" t="n">
        <f aca="false">J2387-H2387</f>
        <v>-11.53</v>
      </c>
      <c r="L2387" s="14" t="n">
        <f aca="false">G2387-H2387</f>
        <v>-44.03</v>
      </c>
    </row>
    <row r="2388" customFormat="false" ht="15" hidden="false" customHeight="false" outlineLevel="0" collapsed="false">
      <c r="A2388" s="2" t="s">
        <v>184</v>
      </c>
      <c r="B2388" s="2" t="s">
        <v>184</v>
      </c>
      <c r="C2388" s="2" t="s">
        <v>49</v>
      </c>
      <c r="D2388" s="2" t="s">
        <v>10</v>
      </c>
      <c r="E2388" s="2" t="s">
        <v>76</v>
      </c>
      <c r="F2388" s="2" t="s">
        <v>1145</v>
      </c>
      <c r="G2388" s="14" t="n">
        <v>12.5</v>
      </c>
      <c r="H2388" s="14" t="n">
        <v>7.22</v>
      </c>
      <c r="I2388" s="14"/>
      <c r="J2388" s="22" t="n">
        <f aca="false">IF(E2388="Priority",'Cost model'!N201,'Cost model'!M201)</f>
        <v>12.5</v>
      </c>
      <c r="K2388" s="14" t="n">
        <f aca="false">J2388-H2388</f>
        <v>5.28</v>
      </c>
      <c r="L2388" s="14" t="n">
        <f aca="false">G2388-H2388</f>
        <v>5.28</v>
      </c>
    </row>
    <row r="2389" customFormat="false" ht="15" hidden="false" customHeight="false" outlineLevel="0" collapsed="false">
      <c r="A2389" s="2" t="s">
        <v>165</v>
      </c>
      <c r="B2389" s="2" t="s">
        <v>165</v>
      </c>
      <c r="C2389" s="2" t="s">
        <v>48</v>
      </c>
      <c r="D2389" s="2" t="s">
        <v>12</v>
      </c>
      <c r="E2389" s="2" t="s">
        <v>76</v>
      </c>
      <c r="F2389" s="2" t="s">
        <v>1145</v>
      </c>
      <c r="G2389" s="14" t="n">
        <v>9.5</v>
      </c>
      <c r="H2389" s="14" t="n">
        <v>14.77</v>
      </c>
      <c r="I2389" s="14" t="n">
        <v>9.5</v>
      </c>
      <c r="J2389" s="22" t="n">
        <f aca="false">IF(E2389="Priority",'Cost model'!N509,'Cost model'!M509)</f>
        <v>17.5</v>
      </c>
      <c r="K2389" s="14" t="n">
        <f aca="false">J2389-H2389</f>
        <v>2.73</v>
      </c>
      <c r="L2389" s="14" t="n">
        <f aca="false">G2389-H2389</f>
        <v>-5.27</v>
      </c>
    </row>
    <row r="2390" customFormat="false" ht="15" hidden="false" customHeight="false" outlineLevel="0" collapsed="false">
      <c r="A2390" s="2" t="s">
        <v>184</v>
      </c>
      <c r="B2390" s="2" t="s">
        <v>184</v>
      </c>
      <c r="C2390" s="2" t="s">
        <v>49</v>
      </c>
      <c r="D2390" s="2" t="s">
        <v>10</v>
      </c>
      <c r="E2390" s="2" t="s">
        <v>76</v>
      </c>
      <c r="F2390" s="2" t="s">
        <v>1145</v>
      </c>
      <c r="G2390" s="14" t="n">
        <v>12.5</v>
      </c>
      <c r="H2390" s="14" t="n">
        <v>7.02</v>
      </c>
      <c r="I2390" s="14"/>
      <c r="J2390" s="22" t="n">
        <f aca="false">IF(E2390="Priority",'Cost model'!N201,'Cost model'!M201)</f>
        <v>12.5</v>
      </c>
      <c r="K2390" s="14" t="n">
        <f aca="false">J2390-H2390</f>
        <v>5.48</v>
      </c>
      <c r="L2390" s="14" t="n">
        <f aca="false">G2390-H2390</f>
        <v>5.48</v>
      </c>
    </row>
    <row r="2391" customFormat="false" ht="15" hidden="false" customHeight="false" outlineLevel="0" collapsed="false">
      <c r="A2391" s="2" t="s">
        <v>184</v>
      </c>
      <c r="B2391" s="2" t="s">
        <v>184</v>
      </c>
      <c r="C2391" s="2" t="s">
        <v>49</v>
      </c>
      <c r="D2391" s="2" t="s">
        <v>12</v>
      </c>
      <c r="E2391" s="2" t="s">
        <v>76</v>
      </c>
      <c r="F2391" s="2" t="s">
        <v>1145</v>
      </c>
      <c r="G2391" s="14" t="n">
        <v>12.5</v>
      </c>
      <c r="H2391" s="14" t="n">
        <v>71.26</v>
      </c>
      <c r="I2391" s="14"/>
      <c r="J2391" s="22" t="n">
        <f aca="false">IF(E2391="Priority",'Cost model'!N204,'Cost model'!M204)</f>
        <v>45</v>
      </c>
      <c r="K2391" s="14" t="n">
        <f aca="false">J2391-H2391</f>
        <v>-26.26</v>
      </c>
      <c r="L2391" s="14" t="n">
        <f aca="false">G2391-H2391</f>
        <v>-58.76</v>
      </c>
    </row>
    <row r="2392" customFormat="false" ht="15" hidden="false" customHeight="false" outlineLevel="0" collapsed="false">
      <c r="A2392" s="2" t="s">
        <v>125</v>
      </c>
      <c r="B2392" s="2" t="s">
        <v>125</v>
      </c>
      <c r="C2392" s="2" t="s">
        <v>48</v>
      </c>
      <c r="D2392" s="2" t="s">
        <v>10</v>
      </c>
      <c r="E2392" s="2" t="s">
        <v>76</v>
      </c>
      <c r="F2392" s="2" t="s">
        <v>1145</v>
      </c>
      <c r="G2392" s="14" t="n">
        <v>19.5</v>
      </c>
      <c r="H2392" s="14" t="n">
        <v>21.76</v>
      </c>
      <c r="I2392" s="14" t="n">
        <v>9.5</v>
      </c>
      <c r="J2392" s="22" t="n">
        <f aca="false">IF(E2392="Priority",'Cost model'!N74,'Cost model'!M74)</f>
        <v>21.5</v>
      </c>
      <c r="K2392" s="14" t="n">
        <f aca="false">J2392-H2392</f>
        <v>-0.260000000000002</v>
      </c>
      <c r="L2392" s="14" t="n">
        <f aca="false">G2392-H2392</f>
        <v>-2.26</v>
      </c>
    </row>
    <row r="2393" customFormat="false" ht="15" hidden="false" customHeight="false" outlineLevel="0" collapsed="false">
      <c r="A2393" s="2" t="s">
        <v>240</v>
      </c>
      <c r="B2393" s="2" t="s">
        <v>165</v>
      </c>
      <c r="C2393" s="2" t="s">
        <v>50</v>
      </c>
      <c r="D2393" s="2" t="s">
        <v>10</v>
      </c>
      <c r="E2393" s="2" t="s">
        <v>76</v>
      </c>
      <c r="F2393" s="2" t="s">
        <v>1146</v>
      </c>
      <c r="G2393" s="14" t="n">
        <v>24.5</v>
      </c>
      <c r="H2393" s="14" t="n">
        <v>47.12</v>
      </c>
      <c r="I2393" s="14" t="n">
        <v>17.5</v>
      </c>
      <c r="J2393" s="22" t="n">
        <f aca="false">IF(E2393="Priority",'Cost model'!N904,'Cost model'!M904)</f>
        <v>24.5</v>
      </c>
      <c r="K2393" s="14" t="n">
        <f aca="false">J2393-H2393</f>
        <v>-22.62</v>
      </c>
      <c r="L2393" s="14" t="n">
        <f aca="false">G2393-H2393</f>
        <v>-22.62</v>
      </c>
    </row>
    <row r="2394" customFormat="false" ht="15" hidden="false" customHeight="false" outlineLevel="0" collapsed="false">
      <c r="A2394" s="2" t="s">
        <v>125</v>
      </c>
      <c r="B2394" s="2" t="s">
        <v>240</v>
      </c>
      <c r="C2394" s="2" t="s">
        <v>48</v>
      </c>
      <c r="D2394" s="2" t="s">
        <v>12</v>
      </c>
      <c r="E2394" s="2" t="s">
        <v>76</v>
      </c>
      <c r="F2394" s="2" t="s">
        <v>1146</v>
      </c>
      <c r="G2394" s="14" t="n">
        <v>9.5</v>
      </c>
      <c r="H2394" s="14" t="n">
        <v>17.93</v>
      </c>
      <c r="I2394" s="14" t="n">
        <v>24.5</v>
      </c>
      <c r="J2394" s="22" t="n">
        <f aca="false">IF(E2394="Priority",'Cost model'!N113,'Cost model'!M113)</f>
        <v>50</v>
      </c>
      <c r="K2394" s="14" t="n">
        <f aca="false">J2394-H2394</f>
        <v>32.07</v>
      </c>
      <c r="L2394" s="14" t="n">
        <f aca="false">G2394-H2394</f>
        <v>-8.43</v>
      </c>
    </row>
    <row r="2395" customFormat="false" ht="15" hidden="false" customHeight="false" outlineLevel="0" collapsed="false">
      <c r="A2395" s="2" t="s">
        <v>165</v>
      </c>
      <c r="B2395" s="2" t="s">
        <v>165</v>
      </c>
      <c r="C2395" s="2" t="s">
        <v>50</v>
      </c>
      <c r="D2395" s="2" t="s">
        <v>12</v>
      </c>
      <c r="E2395" s="2" t="s">
        <v>76</v>
      </c>
      <c r="F2395" s="2" t="s">
        <v>1145</v>
      </c>
      <c r="G2395" s="14" t="n">
        <v>19.5</v>
      </c>
      <c r="H2395" s="14" t="n">
        <v>17.61</v>
      </c>
      <c r="I2395" s="14" t="n">
        <v>19.5</v>
      </c>
      <c r="J2395" s="22" t="n">
        <f aca="false">IF(E2395="Priority",'Cost model'!N511,'Cost model'!M511)</f>
        <v>35</v>
      </c>
      <c r="K2395" s="14" t="n">
        <f aca="false">J2395-H2395</f>
        <v>17.39</v>
      </c>
      <c r="L2395" s="14" t="n">
        <f aca="false">G2395-H2395</f>
        <v>1.89</v>
      </c>
    </row>
    <row r="2396" customFormat="false" ht="15" hidden="false" customHeight="false" outlineLevel="0" collapsed="false">
      <c r="A2396" s="2" t="s">
        <v>126</v>
      </c>
      <c r="B2396" s="2" t="s">
        <v>126</v>
      </c>
      <c r="C2396" s="2" t="s">
        <v>48</v>
      </c>
      <c r="D2396" s="2" t="s">
        <v>10</v>
      </c>
      <c r="E2396" s="2" t="s">
        <v>76</v>
      </c>
      <c r="F2396" s="2" t="s">
        <v>1145</v>
      </c>
      <c r="G2396" s="14" t="n">
        <v>9.5</v>
      </c>
      <c r="H2396" s="14" t="n">
        <v>7.46</v>
      </c>
      <c r="I2396" s="14" t="n">
        <v>9.5</v>
      </c>
      <c r="J2396" s="22" t="n">
        <f aca="false">IF(E2396="Priority",'Cost model'!N380,'Cost model'!M380)</f>
        <v>8.5</v>
      </c>
      <c r="K2396" s="14" t="n">
        <f aca="false">J2396-H2396</f>
        <v>1.04</v>
      </c>
      <c r="L2396" s="14" t="n">
        <f aca="false">G2396-H2396</f>
        <v>2.04</v>
      </c>
    </row>
    <row r="2397" customFormat="false" ht="15" hidden="false" customHeight="false" outlineLevel="0" collapsed="false">
      <c r="A2397" s="2" t="s">
        <v>184</v>
      </c>
      <c r="B2397" s="2" t="s">
        <v>184</v>
      </c>
      <c r="C2397" s="2" t="s">
        <v>50</v>
      </c>
      <c r="D2397" s="2" t="s">
        <v>10</v>
      </c>
      <c r="E2397" s="2" t="s">
        <v>76</v>
      </c>
      <c r="F2397" s="2" t="s">
        <v>1145</v>
      </c>
      <c r="G2397" s="14" t="n">
        <v>17.5</v>
      </c>
      <c r="H2397" s="14" t="n">
        <v>15.22</v>
      </c>
      <c r="I2397" s="14" t="n">
        <v>17.5</v>
      </c>
      <c r="J2397" s="22" t="n">
        <f aca="false">IF(E2397="Priority",'Cost model'!N202,'Cost model'!M202)</f>
        <v>17.5</v>
      </c>
      <c r="K2397" s="14" t="n">
        <f aca="false">J2397-H2397</f>
        <v>2.28</v>
      </c>
      <c r="L2397" s="14" t="n">
        <f aca="false">G2397-H2397</f>
        <v>2.28</v>
      </c>
    </row>
    <row r="2398" customFormat="false" ht="15" hidden="false" customHeight="false" outlineLevel="0" collapsed="false">
      <c r="A2398" s="2" t="s">
        <v>184</v>
      </c>
      <c r="B2398" s="2" t="s">
        <v>184</v>
      </c>
      <c r="C2398" s="2" t="s">
        <v>48</v>
      </c>
      <c r="D2398" s="2" t="s">
        <v>10</v>
      </c>
      <c r="E2398" s="2" t="s">
        <v>76</v>
      </c>
      <c r="F2398" s="2" t="s">
        <v>1145</v>
      </c>
      <c r="G2398" s="14" t="n">
        <v>9.5</v>
      </c>
      <c r="H2398" s="14" t="n">
        <v>6.11</v>
      </c>
      <c r="I2398" s="14" t="n">
        <v>9.5</v>
      </c>
      <c r="J2398" s="22" t="n">
        <f aca="false">IF(E2398="Priority",'Cost model'!N200,'Cost model'!M200)</f>
        <v>7.5</v>
      </c>
      <c r="K2398" s="14" t="n">
        <f aca="false">J2398-H2398</f>
        <v>1.39</v>
      </c>
      <c r="L2398" s="14" t="n">
        <f aca="false">G2398-H2398</f>
        <v>3.39</v>
      </c>
    </row>
    <row r="2399" customFormat="false" ht="15" hidden="false" customHeight="false" outlineLevel="0" collapsed="false">
      <c r="A2399" s="2" t="s">
        <v>146</v>
      </c>
      <c r="B2399" s="2" t="s">
        <v>146</v>
      </c>
      <c r="C2399" s="2" t="s">
        <v>48</v>
      </c>
      <c r="D2399" s="2" t="s">
        <v>12</v>
      </c>
      <c r="E2399" s="2" t="s">
        <v>76</v>
      </c>
      <c r="F2399" s="2" t="s">
        <v>1145</v>
      </c>
      <c r="G2399" s="14" t="n">
        <v>9.5</v>
      </c>
      <c r="H2399" s="14" t="n">
        <v>25.29</v>
      </c>
      <c r="I2399" s="14" t="n">
        <v>9.5</v>
      </c>
      <c r="J2399" s="22" t="n">
        <f aca="false">IF(E2399="Priority",'Cost model'!N761,'Cost model'!M761)</f>
        <v>35</v>
      </c>
      <c r="K2399" s="14" t="n">
        <f aca="false">J2399-H2399</f>
        <v>9.71</v>
      </c>
      <c r="L2399" s="14" t="n">
        <f aca="false">G2399-H2399</f>
        <v>-15.79</v>
      </c>
    </row>
    <row r="2400" customFormat="false" ht="15" hidden="false" customHeight="false" outlineLevel="0" collapsed="false">
      <c r="A2400" s="2" t="s">
        <v>126</v>
      </c>
      <c r="B2400" s="2" t="s">
        <v>126</v>
      </c>
      <c r="C2400" s="2" t="s">
        <v>49</v>
      </c>
      <c r="D2400" s="2" t="s">
        <v>10</v>
      </c>
      <c r="E2400" s="2" t="s">
        <v>76</v>
      </c>
      <c r="F2400" s="2" t="s">
        <v>1145</v>
      </c>
      <c r="G2400" s="14" t="n">
        <v>12.5</v>
      </c>
      <c r="H2400" s="14" t="n">
        <v>13.7</v>
      </c>
      <c r="I2400" s="14" t="n">
        <v>12.5</v>
      </c>
      <c r="J2400" s="22" t="n">
        <f aca="false">IF(E2400="Priority",'Cost model'!N381,'Cost model'!M381)</f>
        <v>14.5</v>
      </c>
      <c r="K2400" s="14" t="n">
        <f aca="false">J2400-H2400</f>
        <v>0.800000000000001</v>
      </c>
      <c r="L2400" s="14" t="n">
        <f aca="false">G2400-H2400</f>
        <v>-1.2</v>
      </c>
    </row>
    <row r="2401" customFormat="false" ht="15" hidden="false" customHeight="false" outlineLevel="0" collapsed="false">
      <c r="A2401" s="2" t="s">
        <v>126</v>
      </c>
      <c r="B2401" s="2" t="s">
        <v>126</v>
      </c>
      <c r="C2401" s="2" t="s">
        <v>48</v>
      </c>
      <c r="D2401" s="2" t="s">
        <v>10</v>
      </c>
      <c r="E2401" s="2" t="s">
        <v>76</v>
      </c>
      <c r="F2401" s="2" t="s">
        <v>1145</v>
      </c>
      <c r="G2401" s="14" t="n">
        <v>9.5</v>
      </c>
      <c r="H2401" s="14" t="n">
        <v>7.45</v>
      </c>
      <c r="I2401" s="14" t="n">
        <v>9.5</v>
      </c>
      <c r="J2401" s="22" t="n">
        <f aca="false">IF(E2401="Priority",'Cost model'!N380,'Cost model'!M380)</f>
        <v>8.5</v>
      </c>
      <c r="K2401" s="14" t="n">
        <f aca="false">J2401-H2401</f>
        <v>1.05</v>
      </c>
      <c r="L2401" s="14" t="n">
        <f aca="false">G2401-H2401</f>
        <v>2.05</v>
      </c>
    </row>
    <row r="2402" customFormat="false" ht="15" hidden="false" customHeight="false" outlineLevel="0" collapsed="false">
      <c r="A2402" s="2" t="s">
        <v>126</v>
      </c>
      <c r="B2402" s="2" t="s">
        <v>184</v>
      </c>
      <c r="C2402" s="2" t="s">
        <v>48</v>
      </c>
      <c r="D2402" s="2" t="s">
        <v>12</v>
      </c>
      <c r="E2402" s="2" t="s">
        <v>76</v>
      </c>
      <c r="F2402" s="2" t="s">
        <v>1146</v>
      </c>
      <c r="G2402" s="14" t="n">
        <v>9.5</v>
      </c>
      <c r="H2402" s="14" t="n">
        <v>7.9</v>
      </c>
      <c r="I2402" s="14" t="n">
        <v>19.5</v>
      </c>
      <c r="J2402" s="22" t="n">
        <f aca="false">IF(E2402="Priority",'Cost model'!N437,'Cost model'!M437)</f>
        <v>50</v>
      </c>
      <c r="K2402" s="14" t="n">
        <f aca="false">J2402-H2402</f>
        <v>42.1</v>
      </c>
      <c r="L2402" s="14" t="n">
        <f aca="false">G2402-H2402</f>
        <v>1.6</v>
      </c>
    </row>
    <row r="2403" customFormat="false" ht="15" hidden="false" customHeight="false" outlineLevel="0" collapsed="false">
      <c r="A2403" s="2" t="s">
        <v>126</v>
      </c>
      <c r="B2403" s="2" t="s">
        <v>184</v>
      </c>
      <c r="C2403" s="2" t="s">
        <v>50</v>
      </c>
      <c r="D2403" s="2" t="s">
        <v>12</v>
      </c>
      <c r="E2403" s="2" t="s">
        <v>76</v>
      </c>
      <c r="F2403" s="2" t="s">
        <v>1146</v>
      </c>
      <c r="G2403" s="14" t="n">
        <v>19.5</v>
      </c>
      <c r="H2403" s="14" t="n">
        <v>29.61</v>
      </c>
      <c r="I2403" s="14" t="n">
        <v>19.5</v>
      </c>
      <c r="J2403" s="22" t="n">
        <f aca="false">IF(E2403="Priority",'Cost model'!N439,'Cost model'!M439)</f>
        <v>60</v>
      </c>
      <c r="K2403" s="14" t="n">
        <f aca="false">J2403-H2403</f>
        <v>30.39</v>
      </c>
      <c r="L2403" s="14" t="n">
        <f aca="false">G2403-H2403</f>
        <v>-10.11</v>
      </c>
    </row>
    <row r="2404" customFormat="false" ht="15" hidden="false" customHeight="false" outlineLevel="0" collapsed="false">
      <c r="A2404" s="2" t="s">
        <v>184</v>
      </c>
      <c r="B2404" s="2" t="s">
        <v>221</v>
      </c>
      <c r="C2404" s="2" t="s">
        <v>50</v>
      </c>
      <c r="D2404" s="2" t="s">
        <v>10</v>
      </c>
      <c r="E2404" s="2" t="s">
        <v>76</v>
      </c>
      <c r="F2404" s="2" t="s">
        <v>1146</v>
      </c>
      <c r="G2404" s="14" t="n">
        <v>17.5</v>
      </c>
      <c r="H2404" s="14" t="n">
        <v>20.11</v>
      </c>
      <c r="I2404" s="14" t="n">
        <v>19.5</v>
      </c>
      <c r="J2404" s="22" t="n">
        <f aca="false">IF(E2404="Priority",'Cost model'!N220,'Cost model'!M220)</f>
        <v>25.5</v>
      </c>
      <c r="K2404" s="14" t="n">
        <f aca="false">J2404-H2404</f>
        <v>5.39</v>
      </c>
      <c r="L2404" s="14" t="n">
        <f aca="false">G2404-H2404</f>
        <v>-2.61</v>
      </c>
    </row>
    <row r="2405" customFormat="false" ht="15" hidden="false" customHeight="false" outlineLevel="0" collapsed="false">
      <c r="A2405" s="2" t="s">
        <v>146</v>
      </c>
      <c r="B2405" s="2" t="s">
        <v>146</v>
      </c>
      <c r="C2405" s="2" t="s">
        <v>49</v>
      </c>
      <c r="D2405" s="2" t="s">
        <v>12</v>
      </c>
      <c r="E2405" s="2" t="s">
        <v>76</v>
      </c>
      <c r="F2405" s="2" t="s">
        <v>1145</v>
      </c>
      <c r="G2405" s="14" t="n">
        <v>12.5</v>
      </c>
      <c r="H2405" s="14" t="n">
        <v>43.77</v>
      </c>
      <c r="I2405" s="14" t="n">
        <v>12.5</v>
      </c>
      <c r="J2405" s="22" t="n">
        <f aca="false">IF(E2405="Priority",'Cost model'!N762,'Cost model'!M762)</f>
        <v>45</v>
      </c>
      <c r="K2405" s="14" t="n">
        <f aca="false">J2405-H2405</f>
        <v>1.23</v>
      </c>
      <c r="L2405" s="14" t="n">
        <f aca="false">G2405-H2405</f>
        <v>-31.27</v>
      </c>
    </row>
    <row r="2406" customFormat="false" ht="15" hidden="false" customHeight="false" outlineLevel="0" collapsed="false">
      <c r="A2406" s="2" t="s">
        <v>221</v>
      </c>
      <c r="B2406" s="2" t="s">
        <v>221</v>
      </c>
      <c r="C2406" s="2" t="s">
        <v>48</v>
      </c>
      <c r="D2406" s="2" t="s">
        <v>12</v>
      </c>
      <c r="E2406" s="2" t="s">
        <v>76</v>
      </c>
      <c r="F2406" s="2" t="s">
        <v>1145</v>
      </c>
      <c r="G2406" s="14" t="n">
        <v>24.5</v>
      </c>
      <c r="H2406" s="14" t="n">
        <v>39.57</v>
      </c>
      <c r="I2406" s="14" t="n">
        <v>9.5</v>
      </c>
      <c r="J2406" s="22" t="n">
        <f aca="false">IF(E2406="Priority",'Cost model'!N635,'Cost model'!M635)</f>
        <v>29.5</v>
      </c>
      <c r="K2406" s="14" t="n">
        <f aca="false">J2406-H2406</f>
        <v>-10.07</v>
      </c>
      <c r="L2406" s="14" t="n">
        <f aca="false">G2406-H2406</f>
        <v>-15.07</v>
      </c>
    </row>
    <row r="2407" customFormat="false" ht="15" hidden="false" customHeight="false" outlineLevel="0" collapsed="false">
      <c r="A2407" s="2" t="s">
        <v>184</v>
      </c>
      <c r="B2407" s="2" t="s">
        <v>184</v>
      </c>
      <c r="C2407" s="2" t="s">
        <v>49</v>
      </c>
      <c r="D2407" s="2" t="s">
        <v>10</v>
      </c>
      <c r="E2407" s="2" t="s">
        <v>76</v>
      </c>
      <c r="F2407" s="2" t="s">
        <v>1145</v>
      </c>
      <c r="G2407" s="14" t="n">
        <v>12.5</v>
      </c>
      <c r="H2407" s="14" t="n">
        <v>10.79</v>
      </c>
      <c r="I2407" s="14" t="n">
        <v>12.5</v>
      </c>
      <c r="J2407" s="22" t="n">
        <f aca="false">IF(E2407="Priority",'Cost model'!N201,'Cost model'!M201)</f>
        <v>12.5</v>
      </c>
      <c r="K2407" s="14" t="n">
        <f aca="false">J2407-H2407</f>
        <v>1.71</v>
      </c>
      <c r="L2407" s="14" t="n">
        <f aca="false">G2407-H2407</f>
        <v>1.71</v>
      </c>
    </row>
    <row r="2408" customFormat="false" ht="15" hidden="false" customHeight="false" outlineLevel="0" collapsed="false">
      <c r="A2408" s="2" t="s">
        <v>184</v>
      </c>
      <c r="B2408" s="2" t="s">
        <v>146</v>
      </c>
      <c r="C2408" s="2" t="s">
        <v>48</v>
      </c>
      <c r="D2408" s="2" t="s">
        <v>12</v>
      </c>
      <c r="E2408" s="2" t="s">
        <v>76</v>
      </c>
      <c r="F2408" s="2" t="s">
        <v>1146</v>
      </c>
      <c r="G2408" s="14" t="n">
        <v>9.5</v>
      </c>
      <c r="H2408" s="14" t="n">
        <v>43.59</v>
      </c>
      <c r="I2408" s="14" t="n">
        <v>9.5</v>
      </c>
      <c r="J2408" s="22" t="n">
        <f aca="false">IF(E2408="Priority",'Cost model'!N149,'Cost model'!M149)</f>
        <v>45</v>
      </c>
      <c r="K2408" s="14" t="n">
        <f aca="false">J2408-H2408</f>
        <v>1.41</v>
      </c>
      <c r="L2408" s="14" t="n">
        <f aca="false">G2408-H2408</f>
        <v>-34.09</v>
      </c>
    </row>
    <row r="2409" customFormat="false" ht="15" hidden="false" customHeight="false" outlineLevel="0" collapsed="false">
      <c r="A2409" s="2" t="s">
        <v>146</v>
      </c>
      <c r="B2409" s="2" t="s">
        <v>146</v>
      </c>
      <c r="C2409" s="2" t="s">
        <v>48</v>
      </c>
      <c r="D2409" s="2" t="s">
        <v>14</v>
      </c>
      <c r="E2409" s="2" t="s">
        <v>76</v>
      </c>
      <c r="F2409" s="2" t="s">
        <v>1145</v>
      </c>
      <c r="G2409" s="14" t="n">
        <v>25</v>
      </c>
      <c r="H2409" s="14" t="n">
        <v>157.51</v>
      </c>
      <c r="I2409" s="14" t="n">
        <v>25</v>
      </c>
      <c r="J2409" s="22" t="n">
        <f aca="false">IF(E2409="Priority",'Cost model'!N767,'Cost model'!M767)</f>
        <v>100</v>
      </c>
      <c r="K2409" s="14" t="n">
        <f aca="false">J2409-H2409</f>
        <v>-57.51</v>
      </c>
      <c r="L2409" s="14" t="n">
        <f aca="false">G2409-H2409</f>
        <v>-132.51</v>
      </c>
    </row>
    <row r="2410" customFormat="false" ht="15" hidden="false" customHeight="false" outlineLevel="0" collapsed="false">
      <c r="A2410" s="2" t="s">
        <v>165</v>
      </c>
      <c r="B2410" s="2" t="s">
        <v>165</v>
      </c>
      <c r="C2410" s="2" t="s">
        <v>48</v>
      </c>
      <c r="D2410" s="2" t="s">
        <v>10</v>
      </c>
      <c r="E2410" s="2" t="s">
        <v>76</v>
      </c>
      <c r="F2410" s="2" t="s">
        <v>1145</v>
      </c>
      <c r="G2410" s="14" t="n">
        <v>9.5</v>
      </c>
      <c r="H2410" s="14" t="n">
        <v>9.19</v>
      </c>
      <c r="I2410" s="14" t="n">
        <v>9.5</v>
      </c>
      <c r="J2410" s="22" t="n">
        <f aca="false">IF(E2410="Priority",'Cost model'!N506,'Cost model'!M506)</f>
        <v>7.5</v>
      </c>
      <c r="K2410" s="14" t="n">
        <f aca="false">J2410-H2410</f>
        <v>-1.69</v>
      </c>
      <c r="L2410" s="14" t="n">
        <f aca="false">G2410-H2410</f>
        <v>0.310000000000001</v>
      </c>
    </row>
    <row r="2411" customFormat="false" ht="15" hidden="false" customHeight="false" outlineLevel="0" collapsed="false">
      <c r="A2411" s="2" t="s">
        <v>146</v>
      </c>
      <c r="B2411" s="2" t="s">
        <v>146</v>
      </c>
      <c r="C2411" s="2" t="s">
        <v>48</v>
      </c>
      <c r="D2411" s="2" t="s">
        <v>12</v>
      </c>
      <c r="E2411" s="2" t="s">
        <v>76</v>
      </c>
      <c r="F2411" s="2" t="s">
        <v>1145</v>
      </c>
      <c r="G2411" s="14" t="n">
        <v>9.5</v>
      </c>
      <c r="H2411" s="14" t="n">
        <v>9.28</v>
      </c>
      <c r="I2411" s="14" t="n">
        <v>9.5</v>
      </c>
      <c r="J2411" s="22" t="n">
        <f aca="false">IF(E2411="Priority",'Cost model'!N761,'Cost model'!M761)</f>
        <v>35</v>
      </c>
      <c r="K2411" s="14" t="n">
        <f aca="false">J2411-H2411</f>
        <v>25.72</v>
      </c>
      <c r="L2411" s="14" t="n">
        <f aca="false">G2411-H2411</f>
        <v>0.220000000000001</v>
      </c>
    </row>
    <row r="2412" customFormat="false" ht="15" hidden="false" customHeight="false" outlineLevel="0" collapsed="false">
      <c r="A2412" s="2" t="s">
        <v>125</v>
      </c>
      <c r="B2412" s="2" t="s">
        <v>125</v>
      </c>
      <c r="C2412" s="2" t="s">
        <v>48</v>
      </c>
      <c r="D2412" s="2" t="s">
        <v>13</v>
      </c>
      <c r="E2412" s="2" t="s">
        <v>76</v>
      </c>
      <c r="F2412" s="2" t="s">
        <v>1145</v>
      </c>
      <c r="G2412" s="14" t="n">
        <v>24.5</v>
      </c>
      <c r="H2412" s="14" t="n">
        <v>122.63</v>
      </c>
      <c r="I2412" s="14" t="n">
        <v>19</v>
      </c>
      <c r="J2412" s="22" t="n">
        <f aca="false">IF(E2412="Priority",'Cost model'!N80,'Cost model'!M80)</f>
        <v>115</v>
      </c>
      <c r="K2412" s="14" t="n">
        <f aca="false">J2412-H2412</f>
        <v>-7.63</v>
      </c>
      <c r="L2412" s="14" t="n">
        <f aca="false">G2412-H2412</f>
        <v>-98.13</v>
      </c>
    </row>
    <row r="2413" customFormat="false" ht="15" hidden="false" customHeight="false" outlineLevel="0" collapsed="false">
      <c r="A2413" s="2" t="s">
        <v>184</v>
      </c>
      <c r="B2413" s="2" t="s">
        <v>184</v>
      </c>
      <c r="C2413" s="2" t="s">
        <v>48</v>
      </c>
      <c r="D2413" s="2" t="s">
        <v>10</v>
      </c>
      <c r="E2413" s="2" t="s">
        <v>76</v>
      </c>
      <c r="F2413" s="2" t="s">
        <v>1145</v>
      </c>
      <c r="G2413" s="14" t="n">
        <v>9.5</v>
      </c>
      <c r="H2413" s="14" t="n">
        <v>7.46</v>
      </c>
      <c r="I2413" s="14" t="n">
        <v>9.5</v>
      </c>
      <c r="J2413" s="22" t="n">
        <f aca="false">IF(E2413="Priority",'Cost model'!N200,'Cost model'!M200)</f>
        <v>7.5</v>
      </c>
      <c r="K2413" s="14" t="n">
        <f aca="false">J2413-H2413</f>
        <v>0.04</v>
      </c>
      <c r="L2413" s="14" t="n">
        <f aca="false">G2413-H2413</f>
        <v>2.04</v>
      </c>
    </row>
    <row r="2414" customFormat="false" ht="15" hidden="false" customHeight="false" outlineLevel="0" collapsed="false">
      <c r="A2414" s="2" t="s">
        <v>184</v>
      </c>
      <c r="B2414" s="2" t="s">
        <v>184</v>
      </c>
      <c r="C2414" s="2" t="s">
        <v>48</v>
      </c>
      <c r="D2414" s="2" t="s">
        <v>16</v>
      </c>
      <c r="E2414" s="2" t="s">
        <v>76</v>
      </c>
      <c r="F2414" s="2" t="s">
        <v>1145</v>
      </c>
      <c r="G2414" s="14" t="n">
        <v>45</v>
      </c>
      <c r="H2414" s="14" t="n">
        <v>170.12</v>
      </c>
      <c r="I2414" s="14" t="n">
        <v>45</v>
      </c>
      <c r="J2414" s="22" t="n">
        <f aca="false">IF(E2414="Priority",'Cost model'!N215,'Cost model'!M215)</f>
        <v>135</v>
      </c>
      <c r="K2414" s="14" t="n">
        <f aca="false">J2414-H2414</f>
        <v>-35.12</v>
      </c>
      <c r="L2414" s="14" t="n">
        <f aca="false">G2414-H2414</f>
        <v>-125.12</v>
      </c>
    </row>
    <row r="2415" customFormat="false" ht="15" hidden="false" customHeight="false" outlineLevel="0" collapsed="false">
      <c r="A2415" s="2" t="s">
        <v>146</v>
      </c>
      <c r="B2415" s="2" t="s">
        <v>126</v>
      </c>
      <c r="C2415" s="2" t="s">
        <v>49</v>
      </c>
      <c r="D2415" s="2" t="s">
        <v>10</v>
      </c>
      <c r="E2415" s="2" t="s">
        <v>76</v>
      </c>
      <c r="F2415" s="2" t="s">
        <v>1146</v>
      </c>
      <c r="G2415" s="14" t="n">
        <v>14.5</v>
      </c>
      <c r="H2415" s="14" t="n">
        <v>15.24</v>
      </c>
      <c r="I2415" s="14" t="n">
        <v>14.5</v>
      </c>
      <c r="J2415" s="22" t="n">
        <f aca="false">IF(E2415="Priority",'Cost model'!N795,'Cost model'!M795)</f>
        <v>13.5</v>
      </c>
      <c r="K2415" s="14" t="n">
        <f aca="false">J2415-H2415</f>
        <v>-1.74</v>
      </c>
      <c r="L2415" s="14" t="n">
        <f aca="false">G2415-H2415</f>
        <v>-0.74</v>
      </c>
    </row>
    <row r="2416" customFormat="false" ht="15" hidden="false" customHeight="false" outlineLevel="0" collapsed="false">
      <c r="A2416" s="2" t="s">
        <v>146</v>
      </c>
      <c r="B2416" s="2" t="s">
        <v>146</v>
      </c>
      <c r="C2416" s="2" t="s">
        <v>48</v>
      </c>
      <c r="D2416" s="2" t="s">
        <v>10</v>
      </c>
      <c r="E2416" s="2" t="s">
        <v>85</v>
      </c>
      <c r="F2416" s="2" t="s">
        <v>1145</v>
      </c>
      <c r="G2416" s="14" t="n">
        <v>14.5</v>
      </c>
      <c r="H2416" s="14" t="n">
        <v>21.34</v>
      </c>
      <c r="I2416" s="14" t="n">
        <v>14.5</v>
      </c>
      <c r="J2416" s="22" t="n">
        <f aca="false">IF(E2416="Priority",'Cost model'!N758,'Cost model'!M758)</f>
        <v>14.5</v>
      </c>
      <c r="K2416" s="14" t="n">
        <f aca="false">J2416-H2416</f>
        <v>-6.84</v>
      </c>
      <c r="L2416" s="14" t="n">
        <f aca="false">G2416-H2416</f>
        <v>-6.84</v>
      </c>
    </row>
    <row r="2417" customFormat="false" ht="15" hidden="false" customHeight="false" outlineLevel="0" collapsed="false">
      <c r="A2417" s="2" t="s">
        <v>221</v>
      </c>
      <c r="B2417" s="2" t="s">
        <v>221</v>
      </c>
      <c r="C2417" s="2" t="s">
        <v>49</v>
      </c>
      <c r="D2417" s="2" t="s">
        <v>10</v>
      </c>
      <c r="E2417" s="2" t="s">
        <v>76</v>
      </c>
      <c r="F2417" s="2" t="s">
        <v>1145</v>
      </c>
      <c r="G2417" s="14" t="n">
        <v>12.5</v>
      </c>
      <c r="H2417" s="14" t="n">
        <v>7.02</v>
      </c>
      <c r="I2417" s="14" t="n">
        <v>12.5</v>
      </c>
      <c r="J2417" s="22" t="n">
        <f aca="false">IF(E2417="Priority",'Cost model'!N633,'Cost model'!M633)</f>
        <v>13.5</v>
      </c>
      <c r="K2417" s="14" t="n">
        <f aca="false">J2417-H2417</f>
        <v>6.48</v>
      </c>
      <c r="L2417" s="14" t="n">
        <f aca="false">G2417-H2417</f>
        <v>5.48</v>
      </c>
    </row>
    <row r="2418" customFormat="false" ht="15" hidden="false" customHeight="false" outlineLevel="0" collapsed="false">
      <c r="A2418" s="2" t="s">
        <v>184</v>
      </c>
      <c r="B2418" s="2" t="s">
        <v>184</v>
      </c>
      <c r="C2418" s="2" t="s">
        <v>48</v>
      </c>
      <c r="D2418" s="2" t="s">
        <v>13</v>
      </c>
      <c r="E2418" s="2" t="s">
        <v>76</v>
      </c>
      <c r="F2418" s="2" t="s">
        <v>1145</v>
      </c>
      <c r="G2418" s="14" t="n">
        <v>19</v>
      </c>
      <c r="H2418" s="14" t="n">
        <v>33.26</v>
      </c>
      <c r="I2418" s="14" t="n">
        <v>19</v>
      </c>
      <c r="J2418" s="22" t="n">
        <f aca="false">IF(E2418="Priority",'Cost model'!N206,'Cost model'!M206)</f>
        <v>55</v>
      </c>
      <c r="K2418" s="14" t="n">
        <f aca="false">J2418-H2418</f>
        <v>21.74</v>
      </c>
      <c r="L2418" s="14" t="n">
        <f aca="false">G2418-H2418</f>
        <v>-14.26</v>
      </c>
    </row>
    <row r="2419" customFormat="false" ht="15" hidden="false" customHeight="false" outlineLevel="0" collapsed="false">
      <c r="A2419" s="2" t="s">
        <v>221</v>
      </c>
      <c r="B2419" s="2" t="s">
        <v>146</v>
      </c>
      <c r="C2419" s="2" t="s">
        <v>48</v>
      </c>
      <c r="D2419" s="2" t="s">
        <v>10</v>
      </c>
      <c r="E2419" s="2" t="s">
        <v>76</v>
      </c>
      <c r="F2419" s="2" t="s">
        <v>1146</v>
      </c>
      <c r="G2419" s="14" t="n">
        <v>14.5</v>
      </c>
      <c r="H2419" s="14" t="n">
        <v>9.71</v>
      </c>
      <c r="I2419" s="14" t="n">
        <v>14.5</v>
      </c>
      <c r="J2419" s="22" t="n">
        <f aca="false">IF(E2419="Priority",'Cost model'!N650,'Cost model'!M650)</f>
        <v>16.5</v>
      </c>
      <c r="K2419" s="14" t="n">
        <f aca="false">J2419-H2419</f>
        <v>6.79</v>
      </c>
      <c r="L2419" s="14" t="n">
        <f aca="false">G2419-H2419</f>
        <v>4.79</v>
      </c>
    </row>
    <row r="2420" customFormat="false" ht="15" hidden="false" customHeight="false" outlineLevel="0" collapsed="false">
      <c r="A2420" s="2" t="s">
        <v>146</v>
      </c>
      <c r="B2420" s="2" t="s">
        <v>146</v>
      </c>
      <c r="C2420" s="2" t="s">
        <v>48</v>
      </c>
      <c r="D2420" s="2" t="s">
        <v>12</v>
      </c>
      <c r="E2420" s="2" t="s">
        <v>85</v>
      </c>
      <c r="F2420" s="2" t="s">
        <v>1145</v>
      </c>
      <c r="G2420" s="14" t="n">
        <v>19.5</v>
      </c>
      <c r="H2420" s="14" t="n">
        <v>43.25</v>
      </c>
      <c r="I2420" s="14" t="n">
        <v>19.5</v>
      </c>
      <c r="J2420" s="22" t="n">
        <f aca="false">IF(E2420="Priority",'Cost model'!N761,'Cost model'!M761)</f>
        <v>45</v>
      </c>
      <c r="K2420" s="14" t="n">
        <f aca="false">J2420-H2420</f>
        <v>1.75</v>
      </c>
      <c r="L2420" s="14" t="n">
        <f aca="false">G2420-H2420</f>
        <v>-23.75</v>
      </c>
    </row>
    <row r="2421" customFormat="false" ht="15" hidden="false" customHeight="false" outlineLevel="0" collapsed="false">
      <c r="A2421" s="2" t="s">
        <v>126</v>
      </c>
      <c r="B2421" s="2" t="s">
        <v>126</v>
      </c>
      <c r="C2421" s="2" t="s">
        <v>50</v>
      </c>
      <c r="D2421" s="2" t="s">
        <v>10</v>
      </c>
      <c r="E2421" s="2" t="s">
        <v>85</v>
      </c>
      <c r="F2421" s="2" t="s">
        <v>1145</v>
      </c>
      <c r="G2421" s="14" t="n">
        <v>24.5</v>
      </c>
      <c r="H2421" s="14" t="n">
        <v>21.76</v>
      </c>
      <c r="I2421" s="14" t="n">
        <v>24.5</v>
      </c>
      <c r="J2421" s="22" t="n">
        <f aca="false">IF(E2421="Priority",'Cost model'!N382,'Cost model'!M382)</f>
        <v>25.5</v>
      </c>
      <c r="K2421" s="14" t="n">
        <f aca="false">J2421-H2421</f>
        <v>3.74</v>
      </c>
      <c r="L2421" s="14" t="n">
        <f aca="false">G2421-H2421</f>
        <v>2.74</v>
      </c>
    </row>
    <row r="2422" customFormat="false" ht="15" hidden="false" customHeight="false" outlineLevel="0" collapsed="false">
      <c r="A2422" s="2" t="s">
        <v>146</v>
      </c>
      <c r="B2422" s="2" t="s">
        <v>146</v>
      </c>
      <c r="C2422" s="2" t="s">
        <v>48</v>
      </c>
      <c r="D2422" s="2" t="s">
        <v>12</v>
      </c>
      <c r="E2422" s="2" t="s">
        <v>76</v>
      </c>
      <c r="F2422" s="2" t="s">
        <v>1145</v>
      </c>
      <c r="G2422" s="14" t="n">
        <v>9.5</v>
      </c>
      <c r="H2422" s="14" t="n">
        <v>43.55</v>
      </c>
      <c r="I2422" s="14" t="n">
        <v>9.5</v>
      </c>
      <c r="J2422" s="22" t="n">
        <f aca="false">IF(E2422="Priority",'Cost model'!N761,'Cost model'!M761)</f>
        <v>35</v>
      </c>
      <c r="K2422" s="14" t="n">
        <f aca="false">J2422-H2422</f>
        <v>-8.55</v>
      </c>
      <c r="L2422" s="14" t="n">
        <f aca="false">G2422-H2422</f>
        <v>-34.05</v>
      </c>
    </row>
    <row r="2423" customFormat="false" ht="15" hidden="false" customHeight="false" outlineLevel="0" collapsed="false">
      <c r="A2423" s="2" t="s">
        <v>184</v>
      </c>
      <c r="B2423" s="2" t="s">
        <v>146</v>
      </c>
      <c r="C2423" s="2" t="s">
        <v>48</v>
      </c>
      <c r="D2423" s="2" t="s">
        <v>10</v>
      </c>
      <c r="E2423" s="2" t="s">
        <v>76</v>
      </c>
      <c r="F2423" s="2" t="s">
        <v>1146</v>
      </c>
      <c r="G2423" s="14" t="n">
        <v>9.5</v>
      </c>
      <c r="H2423" s="14" t="n">
        <v>9.78</v>
      </c>
      <c r="I2423" s="14" t="n">
        <v>9.5</v>
      </c>
      <c r="J2423" s="22" t="n">
        <f aca="false">IF(E2423="Priority",'Cost model'!N146,'Cost model'!M146)</f>
        <v>12.5</v>
      </c>
      <c r="K2423" s="14" t="n">
        <f aca="false">J2423-H2423</f>
        <v>2.72</v>
      </c>
      <c r="L2423" s="14" t="n">
        <f aca="false">G2423-H2423</f>
        <v>-0.279999999999999</v>
      </c>
    </row>
    <row r="2424" customFormat="false" ht="15" hidden="false" customHeight="false" outlineLevel="0" collapsed="false">
      <c r="A2424" s="2" t="s">
        <v>184</v>
      </c>
      <c r="B2424" s="2" t="s">
        <v>184</v>
      </c>
      <c r="C2424" s="2" t="s">
        <v>49</v>
      </c>
      <c r="D2424" s="2" t="s">
        <v>12</v>
      </c>
      <c r="E2424" s="2" t="s">
        <v>76</v>
      </c>
      <c r="F2424" s="2" t="s">
        <v>1145</v>
      </c>
      <c r="G2424" s="14" t="n">
        <v>12.5</v>
      </c>
      <c r="H2424" s="14" t="n">
        <v>78.83</v>
      </c>
      <c r="I2424" s="14"/>
      <c r="J2424" s="22" t="n">
        <f aca="false">IF(E2424="Priority",'Cost model'!N204,'Cost model'!M204)</f>
        <v>45</v>
      </c>
      <c r="K2424" s="14" t="n">
        <f aca="false">J2424-H2424</f>
        <v>-33.83</v>
      </c>
      <c r="L2424" s="14" t="n">
        <f aca="false">G2424-H2424</f>
        <v>-66.33</v>
      </c>
    </row>
    <row r="2425" customFormat="false" ht="15" hidden="false" customHeight="false" outlineLevel="0" collapsed="false">
      <c r="A2425" s="2" t="s">
        <v>240</v>
      </c>
      <c r="B2425" s="2" t="s">
        <v>240</v>
      </c>
      <c r="C2425" s="2" t="s">
        <v>50</v>
      </c>
      <c r="D2425" s="2" t="s">
        <v>12</v>
      </c>
      <c r="E2425" s="2" t="s">
        <v>76</v>
      </c>
      <c r="F2425" s="2" t="s">
        <v>1145</v>
      </c>
      <c r="G2425" s="14" t="n">
        <v>19.5</v>
      </c>
      <c r="H2425" s="14" t="n">
        <v>44</v>
      </c>
      <c r="I2425" s="14" t="n">
        <v>19.5</v>
      </c>
      <c r="J2425" s="22" t="n">
        <f aca="false">IF(E2425="Priority",'Cost model'!N889,'Cost model'!M889)</f>
        <v>60</v>
      </c>
      <c r="K2425" s="14" t="n">
        <f aca="false">J2425-H2425</f>
        <v>16</v>
      </c>
      <c r="L2425" s="14" t="n">
        <f aca="false">G2425-H2425</f>
        <v>-24.5</v>
      </c>
    </row>
    <row r="2426" customFormat="false" ht="15" hidden="false" customHeight="false" outlineLevel="0" collapsed="false">
      <c r="A2426" s="2" t="s">
        <v>184</v>
      </c>
      <c r="B2426" s="2" t="s">
        <v>146</v>
      </c>
      <c r="C2426" s="2" t="s">
        <v>48</v>
      </c>
      <c r="D2426" s="2" t="s">
        <v>13</v>
      </c>
      <c r="E2426" s="2" t="s">
        <v>76</v>
      </c>
      <c r="F2426" s="2" t="s">
        <v>1146</v>
      </c>
      <c r="G2426" s="14" t="n">
        <v>19</v>
      </c>
      <c r="H2426" s="14" t="n">
        <v>40.99</v>
      </c>
      <c r="I2426" s="14" t="n">
        <v>19</v>
      </c>
      <c r="J2426" s="22" t="n">
        <f aca="false">IF(E2426="Priority",'Cost model'!N152,'Cost model'!M152)</f>
        <v>65</v>
      </c>
      <c r="K2426" s="14" t="n">
        <f aca="false">J2426-H2426</f>
        <v>24.01</v>
      </c>
      <c r="L2426" s="14" t="n">
        <f aca="false">G2426-H2426</f>
        <v>-21.99</v>
      </c>
    </row>
    <row r="2427" customFormat="false" ht="15" hidden="false" customHeight="false" outlineLevel="0" collapsed="false">
      <c r="A2427" s="2" t="s">
        <v>184</v>
      </c>
      <c r="B2427" s="2" t="s">
        <v>184</v>
      </c>
      <c r="C2427" s="2" t="s">
        <v>48</v>
      </c>
      <c r="D2427" s="2" t="s">
        <v>10</v>
      </c>
      <c r="E2427" s="2" t="s">
        <v>76</v>
      </c>
      <c r="F2427" s="2" t="s">
        <v>1145</v>
      </c>
      <c r="G2427" s="14" t="n">
        <v>9.5</v>
      </c>
      <c r="H2427" s="14" t="n">
        <v>5.94</v>
      </c>
      <c r="I2427" s="14" t="n">
        <v>9.5</v>
      </c>
      <c r="J2427" s="22" t="n">
        <f aca="false">IF(E2427="Priority",'Cost model'!N200,'Cost model'!M200)</f>
        <v>7.5</v>
      </c>
      <c r="K2427" s="14" t="n">
        <f aca="false">J2427-H2427</f>
        <v>1.56</v>
      </c>
      <c r="L2427" s="14" t="n">
        <f aca="false">G2427-H2427</f>
        <v>3.56</v>
      </c>
    </row>
    <row r="2428" customFormat="false" ht="15" hidden="false" customHeight="false" outlineLevel="0" collapsed="false">
      <c r="A2428" s="2" t="s">
        <v>184</v>
      </c>
      <c r="B2428" s="2" t="s">
        <v>184</v>
      </c>
      <c r="C2428" s="2" t="s">
        <v>49</v>
      </c>
      <c r="D2428" s="2" t="s">
        <v>10</v>
      </c>
      <c r="E2428" s="2" t="s">
        <v>76</v>
      </c>
      <c r="F2428" s="2" t="s">
        <v>1145</v>
      </c>
      <c r="G2428" s="14" t="n">
        <v>12.5</v>
      </c>
      <c r="H2428" s="14" t="n">
        <v>15.66</v>
      </c>
      <c r="I2428" s="14"/>
      <c r="J2428" s="22" t="n">
        <f aca="false">IF(E2428="Priority",'Cost model'!N201,'Cost model'!M201)</f>
        <v>12.5</v>
      </c>
      <c r="K2428" s="14" t="n">
        <f aca="false">J2428-H2428</f>
        <v>-3.16</v>
      </c>
      <c r="L2428" s="14" t="n">
        <f aca="false">G2428-H2428</f>
        <v>-3.16</v>
      </c>
    </row>
    <row r="2429" customFormat="false" ht="15" hidden="false" customHeight="false" outlineLevel="0" collapsed="false">
      <c r="A2429" s="2" t="s">
        <v>240</v>
      </c>
      <c r="B2429" s="2" t="s">
        <v>165</v>
      </c>
      <c r="C2429" s="2" t="s">
        <v>48</v>
      </c>
      <c r="D2429" s="2" t="s">
        <v>13</v>
      </c>
      <c r="E2429" s="2" t="s">
        <v>76</v>
      </c>
      <c r="F2429" s="2" t="s">
        <v>1146</v>
      </c>
      <c r="G2429" s="14" t="n">
        <v>34.5</v>
      </c>
      <c r="H2429" s="14" t="n">
        <v>45.96</v>
      </c>
      <c r="I2429" s="14" t="n">
        <v>34.5</v>
      </c>
      <c r="J2429" s="22" t="n">
        <f aca="false">IF(E2429="Priority",'Cost model'!N908,'Cost model'!M908)</f>
        <v>85</v>
      </c>
      <c r="K2429" s="14" t="n">
        <f aca="false">J2429-H2429</f>
        <v>39.04</v>
      </c>
      <c r="L2429" s="14" t="n">
        <f aca="false">G2429-H2429</f>
        <v>-11.46</v>
      </c>
    </row>
    <row r="2430" customFormat="false" ht="15" hidden="false" customHeight="false" outlineLevel="0" collapsed="false">
      <c r="A2430" s="2" t="s">
        <v>146</v>
      </c>
      <c r="B2430" s="2" t="s">
        <v>146</v>
      </c>
      <c r="C2430" s="2" t="s">
        <v>48</v>
      </c>
      <c r="D2430" s="2" t="s">
        <v>10</v>
      </c>
      <c r="E2430" s="2" t="s">
        <v>76</v>
      </c>
      <c r="F2430" s="2" t="s">
        <v>1145</v>
      </c>
      <c r="G2430" s="14" t="n">
        <v>9.5</v>
      </c>
      <c r="H2430" s="14" t="n">
        <v>7.45</v>
      </c>
      <c r="I2430" s="14" t="n">
        <v>9.5</v>
      </c>
      <c r="J2430" s="22" t="n">
        <f aca="false">IF(E2430="Priority",'Cost model'!N758,'Cost model'!M758)</f>
        <v>9.5</v>
      </c>
      <c r="K2430" s="14" t="n">
        <f aca="false">J2430-H2430</f>
        <v>2.05</v>
      </c>
      <c r="L2430" s="14" t="n">
        <f aca="false">G2430-H2430</f>
        <v>2.05</v>
      </c>
    </row>
    <row r="2431" customFormat="false" ht="15" hidden="false" customHeight="false" outlineLevel="0" collapsed="false">
      <c r="A2431" s="2" t="s">
        <v>126</v>
      </c>
      <c r="B2431" s="2" t="s">
        <v>126</v>
      </c>
      <c r="C2431" s="2" t="s">
        <v>48</v>
      </c>
      <c r="D2431" s="2" t="s">
        <v>13</v>
      </c>
      <c r="E2431" s="2" t="s">
        <v>76</v>
      </c>
      <c r="F2431" s="2" t="s">
        <v>1145</v>
      </c>
      <c r="G2431" s="14" t="n">
        <v>19</v>
      </c>
      <c r="H2431" s="14" t="n">
        <v>27.59</v>
      </c>
      <c r="I2431" s="14" t="n">
        <v>19</v>
      </c>
      <c r="J2431" s="22" t="n">
        <f aca="false">IF(E2431="Priority",'Cost model'!N386,'Cost model'!M386)</f>
        <v>55</v>
      </c>
      <c r="K2431" s="14" t="n">
        <f aca="false">J2431-H2431</f>
        <v>27.41</v>
      </c>
      <c r="L2431" s="14" t="n">
        <f aca="false">G2431-H2431</f>
        <v>-8.59</v>
      </c>
    </row>
    <row r="2432" customFormat="false" ht="15" hidden="false" customHeight="false" outlineLevel="0" collapsed="false">
      <c r="A2432" s="2" t="s">
        <v>146</v>
      </c>
      <c r="B2432" s="2" t="s">
        <v>146</v>
      </c>
      <c r="C2432" s="2" t="s">
        <v>50</v>
      </c>
      <c r="D2432" s="2" t="s">
        <v>12</v>
      </c>
      <c r="E2432" s="2" t="s">
        <v>76</v>
      </c>
      <c r="F2432" s="2" t="s">
        <v>1145</v>
      </c>
      <c r="G2432" s="14" t="n">
        <v>19.5</v>
      </c>
      <c r="H2432" s="14" t="n">
        <v>59.17</v>
      </c>
      <c r="I2432" s="14" t="n">
        <v>19.5</v>
      </c>
      <c r="J2432" s="22" t="n">
        <f aca="false">IF(E2432="Priority",'Cost model'!N763,'Cost model'!M763)</f>
        <v>50</v>
      </c>
      <c r="K2432" s="14" t="n">
        <f aca="false">J2432-H2432</f>
        <v>-9.17</v>
      </c>
      <c r="L2432" s="14" t="n">
        <f aca="false">G2432-H2432</f>
        <v>-39.67</v>
      </c>
    </row>
    <row r="2433" customFormat="false" ht="15" hidden="false" customHeight="false" outlineLevel="0" collapsed="false">
      <c r="A2433" s="2" t="s">
        <v>165</v>
      </c>
      <c r="B2433" s="2" t="s">
        <v>126</v>
      </c>
      <c r="C2433" s="2" t="s">
        <v>48</v>
      </c>
      <c r="D2433" s="2" t="s">
        <v>13</v>
      </c>
      <c r="E2433" s="2" t="s">
        <v>85</v>
      </c>
      <c r="F2433" s="2" t="s">
        <v>1146</v>
      </c>
      <c r="G2433" s="14" t="n">
        <v>75</v>
      </c>
      <c r="H2433" s="14" t="n">
        <v>88.39</v>
      </c>
      <c r="I2433" s="14" t="n">
        <v>75</v>
      </c>
      <c r="J2433" s="22" t="n">
        <f aca="false">IF(E2433="Priority",'Cost model'!N548,'Cost model'!M548)</f>
        <v>110</v>
      </c>
      <c r="K2433" s="14" t="n">
        <f aca="false">J2433-H2433</f>
        <v>21.61</v>
      </c>
      <c r="L2433" s="14" t="n">
        <f aca="false">G2433-H2433</f>
        <v>-13.39</v>
      </c>
    </row>
    <row r="2434" customFormat="false" ht="15" hidden="false" customHeight="false" outlineLevel="0" collapsed="false">
      <c r="A2434" s="2" t="s">
        <v>126</v>
      </c>
      <c r="B2434" s="2" t="s">
        <v>184</v>
      </c>
      <c r="C2434" s="2" t="s">
        <v>49</v>
      </c>
      <c r="D2434" s="2" t="s">
        <v>10</v>
      </c>
      <c r="E2434" s="2" t="s">
        <v>76</v>
      </c>
      <c r="F2434" s="2" t="s">
        <v>1146</v>
      </c>
      <c r="G2434" s="14" t="n">
        <v>12.5</v>
      </c>
      <c r="H2434" s="14" t="n">
        <v>14.25</v>
      </c>
      <c r="I2434" s="14" t="n">
        <v>14.5</v>
      </c>
      <c r="J2434" s="22" t="n">
        <f aca="false">IF(E2434="Priority",'Cost model'!N435,'Cost model'!M435)</f>
        <v>15.5</v>
      </c>
      <c r="K2434" s="14" t="n">
        <f aca="false">J2434-H2434</f>
        <v>1.25</v>
      </c>
      <c r="L2434" s="14" t="n">
        <f aca="false">G2434-H2434</f>
        <v>-1.75</v>
      </c>
    </row>
    <row r="2435" customFormat="false" ht="15" hidden="false" customHeight="false" outlineLevel="0" collapsed="false">
      <c r="A2435" s="2" t="s">
        <v>240</v>
      </c>
      <c r="B2435" s="2" t="s">
        <v>240</v>
      </c>
      <c r="C2435" s="2" t="s">
        <v>48</v>
      </c>
      <c r="D2435" s="2" t="s">
        <v>13</v>
      </c>
      <c r="E2435" s="2" t="s">
        <v>76</v>
      </c>
      <c r="F2435" s="2" t="s">
        <v>1145</v>
      </c>
      <c r="G2435" s="14" t="n">
        <v>19.5</v>
      </c>
      <c r="H2435" s="14" t="n">
        <v>76.38</v>
      </c>
      <c r="I2435" s="14" t="n">
        <v>19.5</v>
      </c>
      <c r="J2435" s="22" t="n">
        <f aca="false">IF(E2435="Priority",'Cost model'!N890,'Cost model'!M890)</f>
        <v>45</v>
      </c>
      <c r="K2435" s="14" t="n">
        <f aca="false">J2435-H2435</f>
        <v>-31.38</v>
      </c>
      <c r="L2435" s="14" t="n">
        <f aca="false">G2435-H2435</f>
        <v>-56.88</v>
      </c>
    </row>
    <row r="2436" customFormat="false" ht="15" hidden="false" customHeight="false" outlineLevel="0" collapsed="false">
      <c r="A2436" s="2" t="s">
        <v>184</v>
      </c>
      <c r="B2436" s="2" t="s">
        <v>146</v>
      </c>
      <c r="C2436" s="2" t="s">
        <v>50</v>
      </c>
      <c r="D2436" s="2" t="s">
        <v>12</v>
      </c>
      <c r="E2436" s="2" t="s">
        <v>76</v>
      </c>
      <c r="F2436" s="2" t="s">
        <v>1146</v>
      </c>
      <c r="G2436" s="14" t="n">
        <v>19.5</v>
      </c>
      <c r="H2436" s="14" t="n">
        <v>53</v>
      </c>
      <c r="I2436" s="14" t="n">
        <v>19.5</v>
      </c>
      <c r="J2436" s="22" t="n">
        <f aca="false">IF(E2436="Priority",'Cost model'!N151,'Cost model'!M151)</f>
        <v>55</v>
      </c>
      <c r="K2436" s="14" t="n">
        <f aca="false">J2436-H2436</f>
        <v>2</v>
      </c>
      <c r="L2436" s="14" t="n">
        <f aca="false">G2436-H2436</f>
        <v>-33.5</v>
      </c>
    </row>
    <row r="2437" customFormat="false" ht="15" hidden="false" customHeight="false" outlineLevel="0" collapsed="false">
      <c r="A2437" s="2" t="s">
        <v>146</v>
      </c>
      <c r="B2437" s="2" t="s">
        <v>146</v>
      </c>
      <c r="C2437" s="2" t="s">
        <v>48</v>
      </c>
      <c r="D2437" s="2" t="s">
        <v>12</v>
      </c>
      <c r="E2437" s="2" t="s">
        <v>76</v>
      </c>
      <c r="F2437" s="2" t="s">
        <v>1145</v>
      </c>
      <c r="G2437" s="14" t="n">
        <v>9.5</v>
      </c>
      <c r="H2437" s="14" t="n">
        <v>25.65</v>
      </c>
      <c r="I2437" s="14" t="n">
        <v>9.5</v>
      </c>
      <c r="J2437" s="22" t="n">
        <f aca="false">IF(E2437="Priority",'Cost model'!N761,'Cost model'!M761)</f>
        <v>35</v>
      </c>
      <c r="K2437" s="14" t="n">
        <f aca="false">J2437-H2437</f>
        <v>9.35</v>
      </c>
      <c r="L2437" s="14" t="n">
        <f aca="false">G2437-H2437</f>
        <v>-16.15</v>
      </c>
    </row>
    <row r="2438" customFormat="false" ht="15" hidden="false" customHeight="false" outlineLevel="0" collapsed="false">
      <c r="A2438" s="2" t="s">
        <v>240</v>
      </c>
      <c r="B2438" s="2" t="s">
        <v>240</v>
      </c>
      <c r="C2438" s="2" t="s">
        <v>48</v>
      </c>
      <c r="D2438" s="2" t="s">
        <v>14</v>
      </c>
      <c r="E2438" s="2" t="s">
        <v>76</v>
      </c>
      <c r="F2438" s="2" t="s">
        <v>1145</v>
      </c>
      <c r="G2438" s="14" t="n">
        <v>25</v>
      </c>
      <c r="H2438" s="14" t="n">
        <v>325.42</v>
      </c>
      <c r="I2438" s="14" t="n">
        <v>25</v>
      </c>
      <c r="J2438" s="22" t="n">
        <f aca="false">IF(E2438="Priority",'Cost model'!N893,'Cost model'!M893)</f>
        <v>135</v>
      </c>
      <c r="K2438" s="14" t="n">
        <f aca="false">J2438-H2438</f>
        <v>-190.42</v>
      </c>
      <c r="L2438" s="14" t="n">
        <f aca="false">G2438-H2438</f>
        <v>-300.42</v>
      </c>
    </row>
    <row r="2439" customFormat="false" ht="15" hidden="false" customHeight="false" outlineLevel="0" collapsed="false">
      <c r="A2439" s="2" t="s">
        <v>126</v>
      </c>
      <c r="B2439" s="2" t="s">
        <v>126</v>
      </c>
      <c r="C2439" s="2" t="s">
        <v>49</v>
      </c>
      <c r="D2439" s="2" t="s">
        <v>10</v>
      </c>
      <c r="E2439" s="2" t="s">
        <v>76</v>
      </c>
      <c r="F2439" s="2" t="s">
        <v>1145</v>
      </c>
      <c r="G2439" s="14" t="n">
        <v>12.5</v>
      </c>
      <c r="H2439" s="14" t="n">
        <v>10.1</v>
      </c>
      <c r="I2439" s="14" t="n">
        <v>12.5</v>
      </c>
      <c r="J2439" s="22" t="n">
        <f aca="false">IF(E2439="Priority",'Cost model'!N381,'Cost model'!M381)</f>
        <v>14.5</v>
      </c>
      <c r="K2439" s="14" t="n">
        <f aca="false">J2439-H2439</f>
        <v>4.4</v>
      </c>
      <c r="L2439" s="14" t="n">
        <f aca="false">G2439-H2439</f>
        <v>2.4</v>
      </c>
    </row>
    <row r="2440" customFormat="false" ht="15" hidden="false" customHeight="false" outlineLevel="0" collapsed="false">
      <c r="A2440" s="2" t="s">
        <v>184</v>
      </c>
      <c r="B2440" s="2" t="s">
        <v>184</v>
      </c>
      <c r="C2440" s="2" t="s">
        <v>49</v>
      </c>
      <c r="D2440" s="2" t="s">
        <v>12</v>
      </c>
      <c r="E2440" s="2" t="s">
        <v>76</v>
      </c>
      <c r="F2440" s="2" t="s">
        <v>1145</v>
      </c>
      <c r="G2440" s="14" t="n">
        <v>12.5</v>
      </c>
      <c r="H2440" s="14" t="n">
        <v>49.26</v>
      </c>
      <c r="I2440" s="14"/>
      <c r="J2440" s="22" t="n">
        <f aca="false">IF(E2440="Priority",'Cost model'!N204,'Cost model'!M204)</f>
        <v>45</v>
      </c>
      <c r="K2440" s="14" t="n">
        <f aca="false">J2440-H2440</f>
        <v>-4.26</v>
      </c>
      <c r="L2440" s="14" t="n">
        <f aca="false">G2440-H2440</f>
        <v>-36.76</v>
      </c>
    </row>
    <row r="2441" customFormat="false" ht="15" hidden="false" customHeight="false" outlineLevel="0" collapsed="false">
      <c r="A2441" s="2" t="s">
        <v>184</v>
      </c>
      <c r="B2441" s="2" t="s">
        <v>184</v>
      </c>
      <c r="C2441" s="2" t="s">
        <v>48</v>
      </c>
      <c r="D2441" s="2" t="s">
        <v>10</v>
      </c>
      <c r="E2441" s="2" t="s">
        <v>76</v>
      </c>
      <c r="F2441" s="2" t="s">
        <v>1145</v>
      </c>
      <c r="G2441" s="14" t="n">
        <v>9.5</v>
      </c>
      <c r="H2441" s="14" t="n">
        <v>6.11</v>
      </c>
      <c r="I2441" s="14" t="n">
        <v>9.5</v>
      </c>
      <c r="J2441" s="22" t="n">
        <f aca="false">IF(E2441="Priority",'Cost model'!N200,'Cost model'!M200)</f>
        <v>7.5</v>
      </c>
      <c r="K2441" s="14" t="n">
        <f aca="false">J2441-H2441</f>
        <v>1.39</v>
      </c>
      <c r="L2441" s="14" t="n">
        <f aca="false">G2441-H2441</f>
        <v>3.39</v>
      </c>
    </row>
    <row r="2442" customFormat="false" ht="15" hidden="false" customHeight="false" outlineLevel="0" collapsed="false">
      <c r="A2442" s="2" t="s">
        <v>240</v>
      </c>
      <c r="B2442" s="2" t="s">
        <v>240</v>
      </c>
      <c r="C2442" s="2" t="s">
        <v>48</v>
      </c>
      <c r="D2442" s="2" t="s">
        <v>12</v>
      </c>
      <c r="E2442" s="2" t="s">
        <v>76</v>
      </c>
      <c r="F2442" s="2" t="s">
        <v>1145</v>
      </c>
      <c r="G2442" s="14" t="n">
        <v>9.5</v>
      </c>
      <c r="H2442" s="14" t="n">
        <v>16.06</v>
      </c>
      <c r="I2442" s="14" t="n">
        <v>9.5</v>
      </c>
      <c r="J2442" s="22" t="n">
        <f aca="false">IF(E2442="Priority",'Cost model'!N887,'Cost model'!M887)</f>
        <v>21.5</v>
      </c>
      <c r="K2442" s="14" t="n">
        <f aca="false">J2442-H2442</f>
        <v>5.44</v>
      </c>
      <c r="L2442" s="14" t="n">
        <f aca="false">G2442-H2442</f>
        <v>-6.56</v>
      </c>
    </row>
    <row r="2443" customFormat="false" ht="15" hidden="false" customHeight="false" outlineLevel="0" collapsed="false">
      <c r="A2443" s="2" t="s">
        <v>184</v>
      </c>
      <c r="B2443" s="2" t="s">
        <v>184</v>
      </c>
      <c r="C2443" s="2" t="s">
        <v>50</v>
      </c>
      <c r="D2443" s="2" t="s">
        <v>10</v>
      </c>
      <c r="E2443" s="2" t="s">
        <v>85</v>
      </c>
      <c r="F2443" s="2" t="s">
        <v>1145</v>
      </c>
      <c r="G2443" s="14" t="n">
        <v>24.5</v>
      </c>
      <c r="H2443" s="14" t="n">
        <v>25.97</v>
      </c>
      <c r="I2443" s="14" t="n">
        <v>24.5</v>
      </c>
      <c r="J2443" s="22" t="n">
        <f aca="false">IF(E2443="Priority",'Cost model'!N202,'Cost model'!M202)</f>
        <v>23.5</v>
      </c>
      <c r="K2443" s="14" t="n">
        <f aca="false">J2443-H2443</f>
        <v>-2.47</v>
      </c>
      <c r="L2443" s="14" t="n">
        <f aca="false">G2443-H2443</f>
        <v>-1.47</v>
      </c>
    </row>
    <row r="2444" customFormat="false" ht="15" hidden="false" customHeight="false" outlineLevel="0" collapsed="false">
      <c r="A2444" s="2" t="s">
        <v>146</v>
      </c>
      <c r="B2444" s="2" t="s">
        <v>146</v>
      </c>
      <c r="C2444" s="2" t="s">
        <v>48</v>
      </c>
      <c r="D2444" s="2" t="s">
        <v>10</v>
      </c>
      <c r="E2444" s="2" t="s">
        <v>76</v>
      </c>
      <c r="F2444" s="2" t="s">
        <v>1145</v>
      </c>
      <c r="G2444" s="14" t="n">
        <v>9.5</v>
      </c>
      <c r="H2444" s="14" t="n">
        <v>9.19</v>
      </c>
      <c r="I2444" s="14" t="n">
        <v>9.5</v>
      </c>
      <c r="J2444" s="22" t="n">
        <f aca="false">IF(E2444="Priority",'Cost model'!N758,'Cost model'!M758)</f>
        <v>9.5</v>
      </c>
      <c r="K2444" s="14" t="n">
        <f aca="false">J2444-H2444</f>
        <v>0.310000000000001</v>
      </c>
      <c r="L2444" s="14" t="n">
        <f aca="false">G2444-H2444</f>
        <v>0.310000000000001</v>
      </c>
    </row>
    <row r="2445" customFormat="false" ht="15" hidden="false" customHeight="false" outlineLevel="0" collapsed="false">
      <c r="A2445" s="2" t="s">
        <v>165</v>
      </c>
      <c r="B2445" s="2" t="s">
        <v>165</v>
      </c>
      <c r="C2445" s="2" t="s">
        <v>48</v>
      </c>
      <c r="D2445" s="2" t="s">
        <v>12</v>
      </c>
      <c r="E2445" s="2" t="s">
        <v>76</v>
      </c>
      <c r="F2445" s="2" t="s">
        <v>1145</v>
      </c>
      <c r="G2445" s="14" t="n">
        <v>9.5</v>
      </c>
      <c r="H2445" s="14" t="n">
        <v>18.06</v>
      </c>
      <c r="I2445" s="14" t="n">
        <v>9.5</v>
      </c>
      <c r="J2445" s="22" t="n">
        <f aca="false">IF(E2445="Priority",'Cost model'!N509,'Cost model'!M509)</f>
        <v>17.5</v>
      </c>
      <c r="K2445" s="14" t="n">
        <f aca="false">J2445-H2445</f>
        <v>-0.559999999999999</v>
      </c>
      <c r="L2445" s="14" t="n">
        <f aca="false">G2445-H2445</f>
        <v>-8.56</v>
      </c>
    </row>
    <row r="2446" customFormat="false" ht="15" hidden="false" customHeight="false" outlineLevel="0" collapsed="false">
      <c r="A2446" s="2" t="s">
        <v>146</v>
      </c>
      <c r="B2446" s="2" t="s">
        <v>146</v>
      </c>
      <c r="C2446" s="2" t="s">
        <v>49</v>
      </c>
      <c r="D2446" s="2" t="s">
        <v>12</v>
      </c>
      <c r="E2446" s="2" t="s">
        <v>76</v>
      </c>
      <c r="F2446" s="2" t="s">
        <v>1145</v>
      </c>
      <c r="G2446" s="14" t="n">
        <v>12.5</v>
      </c>
      <c r="H2446" s="14" t="n">
        <v>59.17</v>
      </c>
      <c r="I2446" s="14" t="n">
        <v>12.5</v>
      </c>
      <c r="J2446" s="22" t="n">
        <f aca="false">IF(E2446="Priority",'Cost model'!N762,'Cost model'!M762)</f>
        <v>45</v>
      </c>
      <c r="K2446" s="14" t="n">
        <f aca="false">J2446-H2446</f>
        <v>-14.17</v>
      </c>
      <c r="L2446" s="14" t="n">
        <f aca="false">G2446-H2446</f>
        <v>-46.67</v>
      </c>
    </row>
    <row r="2447" customFormat="false" ht="15" hidden="false" customHeight="false" outlineLevel="0" collapsed="false">
      <c r="A2447" s="2" t="s">
        <v>184</v>
      </c>
      <c r="B2447" s="2" t="s">
        <v>126</v>
      </c>
      <c r="C2447" s="2" t="s">
        <v>49</v>
      </c>
      <c r="D2447" s="2" t="s">
        <v>10</v>
      </c>
      <c r="E2447" s="2" t="s">
        <v>76</v>
      </c>
      <c r="F2447" s="2" t="s">
        <v>1146</v>
      </c>
      <c r="G2447" s="14" t="n">
        <v>12.5</v>
      </c>
      <c r="H2447" s="14" t="n">
        <v>15.88</v>
      </c>
      <c r="I2447" s="14" t="n">
        <v>12.5</v>
      </c>
      <c r="J2447" s="22" t="n">
        <f aca="false">IF(E2447="Priority",'Cost model'!N129,'Cost model'!M129)</f>
        <v>13.5</v>
      </c>
      <c r="K2447" s="14" t="n">
        <f aca="false">J2447-H2447</f>
        <v>-2.38</v>
      </c>
      <c r="L2447" s="14" t="n">
        <f aca="false">G2447-H2447</f>
        <v>-3.38</v>
      </c>
    </row>
    <row r="2448" customFormat="false" ht="15" hidden="false" customHeight="false" outlineLevel="0" collapsed="false">
      <c r="A2448" s="2" t="s">
        <v>126</v>
      </c>
      <c r="B2448" s="2" t="s">
        <v>126</v>
      </c>
      <c r="C2448" s="2" t="s">
        <v>48</v>
      </c>
      <c r="D2448" s="2" t="s">
        <v>12</v>
      </c>
      <c r="E2448" s="2" t="s">
        <v>76</v>
      </c>
      <c r="F2448" s="2" t="s">
        <v>1145</v>
      </c>
      <c r="G2448" s="14" t="n">
        <v>9.5</v>
      </c>
      <c r="H2448" s="14" t="n">
        <v>28.18</v>
      </c>
      <c r="I2448" s="14" t="n">
        <v>9.5</v>
      </c>
      <c r="J2448" s="22" t="n">
        <f aca="false">IF(E2448="Priority",'Cost model'!N383,'Cost model'!M383)</f>
        <v>27.5</v>
      </c>
      <c r="K2448" s="14" t="n">
        <f aca="false">J2448-H2448</f>
        <v>-0.68</v>
      </c>
      <c r="L2448" s="14" t="n">
        <f aca="false">G2448-H2448</f>
        <v>-18.68</v>
      </c>
    </row>
    <row r="2449" customFormat="false" ht="15" hidden="false" customHeight="false" outlineLevel="0" collapsed="false">
      <c r="A2449" s="2" t="s">
        <v>184</v>
      </c>
      <c r="B2449" s="2" t="s">
        <v>146</v>
      </c>
      <c r="C2449" s="2" t="s">
        <v>48</v>
      </c>
      <c r="D2449" s="2" t="s">
        <v>16</v>
      </c>
      <c r="E2449" s="2" t="s">
        <v>76</v>
      </c>
      <c r="F2449" s="2" t="s">
        <v>1146</v>
      </c>
      <c r="G2449" s="14" t="n">
        <v>45</v>
      </c>
      <c r="H2449" s="14" t="n">
        <v>205.17</v>
      </c>
      <c r="I2449" s="14" t="n">
        <v>45</v>
      </c>
      <c r="J2449" s="22" t="n">
        <f aca="false">IF(E2449="Priority",'Cost model'!N161,'Cost model'!M161)</f>
        <v>230</v>
      </c>
      <c r="K2449" s="14" t="n">
        <f aca="false">J2449-H2449</f>
        <v>24.83</v>
      </c>
      <c r="L2449" s="14" t="n">
        <f aca="false">G2449-H2449</f>
        <v>-160.17</v>
      </c>
    </row>
    <row r="2450" customFormat="false" ht="15" hidden="false" customHeight="false" outlineLevel="0" collapsed="false">
      <c r="A2450" s="2" t="s">
        <v>184</v>
      </c>
      <c r="B2450" s="2" t="s">
        <v>184</v>
      </c>
      <c r="C2450" s="2" t="s">
        <v>48</v>
      </c>
      <c r="D2450" s="2" t="s">
        <v>12</v>
      </c>
      <c r="E2450" s="2" t="s">
        <v>76</v>
      </c>
      <c r="F2450" s="2" t="s">
        <v>1145</v>
      </c>
      <c r="G2450" s="14" t="n">
        <v>9.5</v>
      </c>
      <c r="H2450" s="14" t="n">
        <v>25.85</v>
      </c>
      <c r="I2450" s="14" t="n">
        <v>9.5</v>
      </c>
      <c r="J2450" s="22" t="n">
        <f aca="false">IF(E2450="Priority",'Cost model'!N203,'Cost model'!M203)</f>
        <v>26.5</v>
      </c>
      <c r="K2450" s="14" t="n">
        <f aca="false">J2450-H2450</f>
        <v>0.649999999999999</v>
      </c>
      <c r="L2450" s="14" t="n">
        <f aca="false">G2450-H2450</f>
        <v>-16.35</v>
      </c>
    </row>
    <row r="2451" customFormat="false" ht="15" hidden="false" customHeight="false" outlineLevel="0" collapsed="false">
      <c r="A2451" s="2" t="s">
        <v>240</v>
      </c>
      <c r="B2451" s="2" t="s">
        <v>240</v>
      </c>
      <c r="C2451" s="2" t="s">
        <v>48</v>
      </c>
      <c r="D2451" s="2" t="s">
        <v>10</v>
      </c>
      <c r="E2451" s="2" t="s">
        <v>76</v>
      </c>
      <c r="F2451" s="2" t="s">
        <v>1145</v>
      </c>
      <c r="G2451" s="14" t="n">
        <v>9.5</v>
      </c>
      <c r="H2451" s="14" t="n">
        <v>7.34</v>
      </c>
      <c r="I2451" s="14" t="n">
        <v>9.5</v>
      </c>
      <c r="J2451" s="22" t="n">
        <f aca="false">IF(E2451="Priority",'Cost model'!N884,'Cost model'!M884)</f>
        <v>7.5</v>
      </c>
      <c r="K2451" s="14" t="n">
        <f aca="false">J2451-H2451</f>
        <v>0.16</v>
      </c>
      <c r="L2451" s="14" t="n">
        <f aca="false">G2451-H2451</f>
        <v>2.16</v>
      </c>
    </row>
    <row r="2452" customFormat="false" ht="15" hidden="false" customHeight="false" outlineLevel="0" collapsed="false">
      <c r="A2452" s="2" t="s">
        <v>240</v>
      </c>
      <c r="B2452" s="2" t="s">
        <v>240</v>
      </c>
      <c r="C2452" s="2" t="s">
        <v>48</v>
      </c>
      <c r="D2452" s="2" t="s">
        <v>10</v>
      </c>
      <c r="E2452" s="2" t="s">
        <v>76</v>
      </c>
      <c r="F2452" s="2" t="s">
        <v>1145</v>
      </c>
      <c r="G2452" s="14" t="n">
        <v>9.5</v>
      </c>
      <c r="H2452" s="14" t="n">
        <v>7.68</v>
      </c>
      <c r="I2452" s="14" t="n">
        <v>9.5</v>
      </c>
      <c r="J2452" s="22" t="n">
        <f aca="false">IF(E2452="Priority",'Cost model'!N884,'Cost model'!M884)</f>
        <v>7.5</v>
      </c>
      <c r="K2452" s="14" t="n">
        <f aca="false">J2452-H2452</f>
        <v>-0.18</v>
      </c>
      <c r="L2452" s="14" t="n">
        <f aca="false">G2452-H2452</f>
        <v>1.82</v>
      </c>
    </row>
    <row r="2453" customFormat="false" ht="15" hidden="false" customHeight="false" outlineLevel="0" collapsed="false">
      <c r="A2453" s="2" t="s">
        <v>184</v>
      </c>
      <c r="B2453" s="2" t="s">
        <v>184</v>
      </c>
      <c r="C2453" s="2" t="s">
        <v>50</v>
      </c>
      <c r="D2453" s="2" t="s">
        <v>10</v>
      </c>
      <c r="E2453" s="2" t="s">
        <v>76</v>
      </c>
      <c r="F2453" s="2" t="s">
        <v>1145</v>
      </c>
      <c r="G2453" s="14" t="n">
        <v>17.5</v>
      </c>
      <c r="H2453" s="14" t="n">
        <v>11.03</v>
      </c>
      <c r="I2453" s="14" t="n">
        <v>17.5</v>
      </c>
      <c r="J2453" s="22" t="n">
        <f aca="false">IF(E2453="Priority",'Cost model'!N202,'Cost model'!M202)</f>
        <v>17.5</v>
      </c>
      <c r="K2453" s="14" t="n">
        <f aca="false">J2453-H2453</f>
        <v>6.47</v>
      </c>
      <c r="L2453" s="14" t="n">
        <f aca="false">G2453-H2453</f>
        <v>6.47</v>
      </c>
    </row>
    <row r="2454" customFormat="false" ht="15" hidden="false" customHeight="false" outlineLevel="0" collapsed="false">
      <c r="A2454" s="2" t="s">
        <v>126</v>
      </c>
      <c r="B2454" s="2" t="s">
        <v>126</v>
      </c>
      <c r="C2454" s="2" t="s">
        <v>48</v>
      </c>
      <c r="D2454" s="2" t="s">
        <v>10</v>
      </c>
      <c r="E2454" s="2" t="s">
        <v>76</v>
      </c>
      <c r="F2454" s="2" t="s">
        <v>1145</v>
      </c>
      <c r="G2454" s="14" t="n">
        <v>19.5</v>
      </c>
      <c r="H2454" s="14" t="n">
        <v>21.34</v>
      </c>
      <c r="I2454" s="14" t="n">
        <v>9.5</v>
      </c>
      <c r="J2454" s="22" t="n">
        <f aca="false">IF(E2454="Priority",'Cost model'!N380,'Cost model'!M380)</f>
        <v>8.5</v>
      </c>
      <c r="K2454" s="14" t="n">
        <f aca="false">J2454-H2454</f>
        <v>-12.84</v>
      </c>
      <c r="L2454" s="14" t="n">
        <f aca="false">G2454-H2454</f>
        <v>-1.84</v>
      </c>
    </row>
    <row r="2455" customFormat="false" ht="15" hidden="false" customHeight="false" outlineLevel="0" collapsed="false">
      <c r="A2455" s="2" t="s">
        <v>165</v>
      </c>
      <c r="B2455" s="2" t="s">
        <v>165</v>
      </c>
      <c r="C2455" s="2" t="s">
        <v>48</v>
      </c>
      <c r="D2455" s="2" t="s">
        <v>10</v>
      </c>
      <c r="E2455" s="2" t="s">
        <v>85</v>
      </c>
      <c r="F2455" s="2" t="s">
        <v>1145</v>
      </c>
      <c r="G2455" s="14" t="n">
        <v>14.5</v>
      </c>
      <c r="H2455" s="14" t="n">
        <v>6.14</v>
      </c>
      <c r="I2455" s="14" t="n">
        <v>14.5</v>
      </c>
      <c r="J2455" s="22" t="n">
        <f aca="false">IF(E2455="Priority",'Cost model'!N506,'Cost model'!M506)</f>
        <v>12.5</v>
      </c>
      <c r="K2455" s="14" t="n">
        <f aca="false">J2455-H2455</f>
        <v>6.36</v>
      </c>
      <c r="L2455" s="14" t="n">
        <f aca="false">G2455-H2455</f>
        <v>8.36</v>
      </c>
    </row>
    <row r="2456" customFormat="false" ht="15" hidden="false" customHeight="false" outlineLevel="0" collapsed="false">
      <c r="A2456" s="2" t="s">
        <v>184</v>
      </c>
      <c r="B2456" s="2" t="s">
        <v>126</v>
      </c>
      <c r="C2456" s="2" t="s">
        <v>50</v>
      </c>
      <c r="D2456" s="2" t="s">
        <v>12</v>
      </c>
      <c r="E2456" s="2" t="s">
        <v>85</v>
      </c>
      <c r="F2456" s="2" t="s">
        <v>1146</v>
      </c>
      <c r="G2456" s="14" t="n">
        <v>29.5</v>
      </c>
      <c r="H2456" s="14" t="n">
        <v>33.43</v>
      </c>
      <c r="I2456" s="14" t="n">
        <v>29.5</v>
      </c>
      <c r="J2456" s="22" t="n">
        <f aca="false">IF(E2456="Priority",'Cost model'!N133,'Cost model'!M133)</f>
        <v>70</v>
      </c>
      <c r="K2456" s="14" t="n">
        <f aca="false">J2456-H2456</f>
        <v>36.57</v>
      </c>
      <c r="L2456" s="14" t="n">
        <f aca="false">G2456-H2456</f>
        <v>-3.93</v>
      </c>
    </row>
    <row r="2457" customFormat="false" ht="15" hidden="false" customHeight="false" outlineLevel="0" collapsed="false">
      <c r="A2457" s="2" t="s">
        <v>126</v>
      </c>
      <c r="B2457" s="2" t="s">
        <v>126</v>
      </c>
      <c r="C2457" s="2" t="s">
        <v>49</v>
      </c>
      <c r="D2457" s="2" t="s">
        <v>12</v>
      </c>
      <c r="E2457" s="2" t="s">
        <v>76</v>
      </c>
      <c r="F2457" s="2" t="s">
        <v>1145</v>
      </c>
      <c r="G2457" s="14" t="n">
        <v>12.5</v>
      </c>
      <c r="H2457" s="14" t="n">
        <v>89.2</v>
      </c>
      <c r="I2457" s="14" t="n">
        <v>12.5</v>
      </c>
      <c r="J2457" s="22" t="n">
        <f aca="false">IF(E2457="Priority",'Cost model'!N384,'Cost model'!M384)</f>
        <v>45</v>
      </c>
      <c r="K2457" s="14" t="n">
        <f aca="false">J2457-H2457</f>
        <v>-44.2</v>
      </c>
      <c r="L2457" s="14" t="n">
        <f aca="false">G2457-H2457</f>
        <v>-76.7</v>
      </c>
    </row>
    <row r="2458" customFormat="false" ht="15" hidden="false" customHeight="false" outlineLevel="0" collapsed="false">
      <c r="A2458" s="2" t="s">
        <v>240</v>
      </c>
      <c r="B2458" s="2" t="s">
        <v>240</v>
      </c>
      <c r="C2458" s="2" t="s">
        <v>48</v>
      </c>
      <c r="D2458" s="2" t="s">
        <v>12</v>
      </c>
      <c r="E2458" s="2" t="s">
        <v>76</v>
      </c>
      <c r="F2458" s="2" t="s">
        <v>1145</v>
      </c>
      <c r="G2458" s="14" t="n">
        <v>9.5</v>
      </c>
      <c r="H2458" s="14" t="n">
        <v>30.05</v>
      </c>
      <c r="I2458" s="14" t="n">
        <v>9.5</v>
      </c>
      <c r="J2458" s="22" t="n">
        <f aca="false">IF(E2458="Priority",'Cost model'!N887,'Cost model'!M887)</f>
        <v>21.5</v>
      </c>
      <c r="K2458" s="14" t="n">
        <f aca="false">J2458-H2458</f>
        <v>-8.55</v>
      </c>
      <c r="L2458" s="14" t="n">
        <f aca="false">G2458-H2458</f>
        <v>-20.55</v>
      </c>
    </row>
    <row r="2459" customFormat="false" ht="15" hidden="false" customHeight="false" outlineLevel="0" collapsed="false">
      <c r="A2459" s="2" t="s">
        <v>146</v>
      </c>
      <c r="B2459" s="2" t="s">
        <v>146</v>
      </c>
      <c r="C2459" s="2" t="s">
        <v>49</v>
      </c>
      <c r="D2459" s="2" t="s">
        <v>12</v>
      </c>
      <c r="E2459" s="2" t="s">
        <v>85</v>
      </c>
      <c r="F2459" s="2" t="s">
        <v>1145</v>
      </c>
      <c r="G2459" s="14" t="n">
        <v>19.5</v>
      </c>
      <c r="H2459" s="14" t="n">
        <v>43.59</v>
      </c>
      <c r="I2459" s="14" t="n">
        <v>19.5</v>
      </c>
      <c r="J2459" s="22" t="n">
        <f aca="false">IF(E2459="Priority",'Cost model'!N762,'Cost model'!M762)</f>
        <v>60</v>
      </c>
      <c r="K2459" s="14" t="n">
        <f aca="false">J2459-H2459</f>
        <v>16.41</v>
      </c>
      <c r="L2459" s="14" t="n">
        <f aca="false">G2459-H2459</f>
        <v>-24.09</v>
      </c>
    </row>
    <row r="2460" customFormat="false" ht="15" hidden="false" customHeight="false" outlineLevel="0" collapsed="false">
      <c r="A2460" s="2" t="s">
        <v>126</v>
      </c>
      <c r="B2460" s="2" t="s">
        <v>126</v>
      </c>
      <c r="C2460" s="2" t="s">
        <v>50</v>
      </c>
      <c r="D2460" s="2" t="s">
        <v>13</v>
      </c>
      <c r="E2460" s="2" t="s">
        <v>76</v>
      </c>
      <c r="F2460" s="2" t="s">
        <v>1145</v>
      </c>
      <c r="G2460" s="14" t="n">
        <v>50</v>
      </c>
      <c r="H2460" s="14" t="n">
        <v>88.61</v>
      </c>
      <c r="I2460" s="14" t="n">
        <v>50</v>
      </c>
      <c r="J2460" s="22" t="n">
        <f aca="false">IF(E2460="Priority",'Cost model'!N388,'Cost model'!M388)</f>
        <v>110</v>
      </c>
      <c r="K2460" s="14" t="n">
        <f aca="false">J2460-H2460</f>
        <v>21.39</v>
      </c>
      <c r="L2460" s="14" t="n">
        <f aca="false">G2460-H2460</f>
        <v>-38.61</v>
      </c>
    </row>
    <row r="2461" customFormat="false" ht="15" hidden="false" customHeight="false" outlineLevel="0" collapsed="false">
      <c r="A2461" s="2" t="s">
        <v>126</v>
      </c>
      <c r="B2461" s="2" t="s">
        <v>126</v>
      </c>
      <c r="C2461" s="2" t="s">
        <v>49</v>
      </c>
      <c r="D2461" s="2" t="s">
        <v>10</v>
      </c>
      <c r="E2461" s="2" t="s">
        <v>76</v>
      </c>
      <c r="F2461" s="2" t="s">
        <v>1145</v>
      </c>
      <c r="G2461" s="14" t="n">
        <v>14.5</v>
      </c>
      <c r="H2461" s="14" t="n">
        <v>10.1</v>
      </c>
      <c r="I2461" s="14" t="n">
        <v>12.5</v>
      </c>
      <c r="J2461" s="22" t="n">
        <f aca="false">IF(E2461="Priority",'Cost model'!N381,'Cost model'!M381)</f>
        <v>14.5</v>
      </c>
      <c r="K2461" s="14" t="n">
        <f aca="false">J2461-H2461</f>
        <v>4.4</v>
      </c>
      <c r="L2461" s="14" t="n">
        <f aca="false">G2461-H2461</f>
        <v>4.4</v>
      </c>
    </row>
    <row r="2462" customFormat="false" ht="15" hidden="false" customHeight="false" outlineLevel="0" collapsed="false">
      <c r="A2462" s="2" t="s">
        <v>126</v>
      </c>
      <c r="B2462" s="2" t="s">
        <v>126</v>
      </c>
      <c r="C2462" s="2" t="s">
        <v>49</v>
      </c>
      <c r="D2462" s="2" t="s">
        <v>10</v>
      </c>
      <c r="E2462" s="2" t="s">
        <v>85</v>
      </c>
      <c r="F2462" s="2" t="s">
        <v>1145</v>
      </c>
      <c r="G2462" s="14" t="n">
        <v>17.5</v>
      </c>
      <c r="H2462" s="14" t="n">
        <v>15.39</v>
      </c>
      <c r="I2462" s="14" t="n">
        <v>17.5</v>
      </c>
      <c r="J2462" s="22" t="n">
        <f aca="false">IF(E2462="Priority",'Cost model'!N381,'Cost model'!M381)</f>
        <v>19.5</v>
      </c>
      <c r="K2462" s="14" t="n">
        <f aca="false">J2462-H2462</f>
        <v>4.11</v>
      </c>
      <c r="L2462" s="14" t="n">
        <f aca="false">G2462-H2462</f>
        <v>2.11</v>
      </c>
    </row>
    <row r="2463" customFormat="false" ht="15" hidden="false" customHeight="false" outlineLevel="0" collapsed="false">
      <c r="A2463" s="2" t="s">
        <v>184</v>
      </c>
      <c r="B2463" s="2" t="s">
        <v>165</v>
      </c>
      <c r="C2463" s="2" t="s">
        <v>49</v>
      </c>
      <c r="D2463" s="2" t="s">
        <v>10</v>
      </c>
      <c r="E2463" s="2" t="s">
        <v>76</v>
      </c>
      <c r="F2463" s="2" t="s">
        <v>1146</v>
      </c>
      <c r="G2463" s="14" t="n">
        <v>19.5</v>
      </c>
      <c r="H2463" s="14" t="n">
        <v>16.84</v>
      </c>
      <c r="I2463" s="14"/>
      <c r="J2463" s="22" t="n">
        <f aca="false">IF(E2463="Priority",'Cost model'!N165,'Cost model'!M165)</f>
        <v>15.5</v>
      </c>
      <c r="K2463" s="14" t="n">
        <f aca="false">J2463-H2463</f>
        <v>-1.34</v>
      </c>
      <c r="L2463" s="14" t="n">
        <f aca="false">G2463-H2463</f>
        <v>2.66</v>
      </c>
    </row>
    <row r="2464" customFormat="false" ht="15" hidden="false" customHeight="false" outlineLevel="0" collapsed="false">
      <c r="A2464" s="2" t="s">
        <v>184</v>
      </c>
      <c r="B2464" s="2" t="s">
        <v>184</v>
      </c>
      <c r="C2464" s="2" t="s">
        <v>49</v>
      </c>
      <c r="D2464" s="2" t="s">
        <v>13</v>
      </c>
      <c r="E2464" s="2" t="s">
        <v>76</v>
      </c>
      <c r="F2464" s="2" t="s">
        <v>1145</v>
      </c>
      <c r="G2464" s="14" t="n">
        <v>24.5</v>
      </c>
      <c r="H2464" s="14" t="n">
        <v>78.35</v>
      </c>
      <c r="I2464" s="14"/>
      <c r="J2464" s="22" t="n">
        <f aca="false">IF(E2464="Priority",'Cost model'!N207,'Cost model'!M207)</f>
        <v>75</v>
      </c>
      <c r="K2464" s="14" t="n">
        <f aca="false">J2464-H2464</f>
        <v>-3.34999999999999</v>
      </c>
      <c r="L2464" s="14" t="n">
        <f aca="false">G2464-H2464</f>
        <v>-53.85</v>
      </c>
    </row>
    <row r="2465" customFormat="false" ht="15" hidden="false" customHeight="false" outlineLevel="0" collapsed="false">
      <c r="A2465" s="2" t="s">
        <v>240</v>
      </c>
      <c r="B2465" s="2" t="s">
        <v>146</v>
      </c>
      <c r="C2465" s="2" t="s">
        <v>48</v>
      </c>
      <c r="D2465" s="2" t="s">
        <v>10</v>
      </c>
      <c r="E2465" s="2" t="s">
        <v>76</v>
      </c>
      <c r="F2465" s="2" t="s">
        <v>1146</v>
      </c>
      <c r="G2465" s="14" t="n">
        <v>19.5</v>
      </c>
      <c r="H2465" s="14" t="n">
        <v>24.48</v>
      </c>
      <c r="I2465" s="14" t="n">
        <v>19.5</v>
      </c>
      <c r="J2465" s="22" t="n">
        <f aca="false">IF(E2465="Priority",'Cost model'!N920,'Cost model'!M920)</f>
        <v>16.5</v>
      </c>
      <c r="K2465" s="14" t="n">
        <f aca="false">J2465-H2465</f>
        <v>-7.98</v>
      </c>
      <c r="L2465" s="14" t="n">
        <f aca="false">G2465-H2465</f>
        <v>-4.98</v>
      </c>
    </row>
    <row r="2466" customFormat="false" ht="15" hidden="false" customHeight="false" outlineLevel="0" collapsed="false">
      <c r="A2466" s="2" t="s">
        <v>184</v>
      </c>
      <c r="B2466" s="2" t="s">
        <v>184</v>
      </c>
      <c r="C2466" s="2" t="s">
        <v>49</v>
      </c>
      <c r="D2466" s="2" t="s">
        <v>12</v>
      </c>
      <c r="E2466" s="2" t="s">
        <v>76</v>
      </c>
      <c r="F2466" s="2" t="s">
        <v>1145</v>
      </c>
      <c r="G2466" s="14" t="n">
        <v>12.5</v>
      </c>
      <c r="H2466" s="14" t="n">
        <v>46.53</v>
      </c>
      <c r="I2466" s="14"/>
      <c r="J2466" s="22" t="n">
        <f aca="false">IF(E2466="Priority",'Cost model'!N204,'Cost model'!M204)</f>
        <v>45</v>
      </c>
      <c r="K2466" s="14" t="n">
        <f aca="false">J2466-H2466</f>
        <v>-1.53</v>
      </c>
      <c r="L2466" s="14" t="n">
        <f aca="false">G2466-H2466</f>
        <v>-34.03</v>
      </c>
    </row>
    <row r="2467" customFormat="false" ht="15" hidden="false" customHeight="false" outlineLevel="0" collapsed="false">
      <c r="A2467" s="2" t="s">
        <v>126</v>
      </c>
      <c r="B2467" s="2" t="s">
        <v>126</v>
      </c>
      <c r="C2467" s="2" t="s">
        <v>49</v>
      </c>
      <c r="D2467" s="2" t="s">
        <v>14</v>
      </c>
      <c r="E2467" s="2" t="s">
        <v>76</v>
      </c>
      <c r="F2467" s="2" t="s">
        <v>1145</v>
      </c>
      <c r="G2467" s="14" t="n">
        <v>45</v>
      </c>
      <c r="H2467" s="14" t="n">
        <v>100.7</v>
      </c>
      <c r="I2467" s="14" t="n">
        <v>45</v>
      </c>
      <c r="J2467" s="22" t="n">
        <f aca="false">IF(E2467="Priority",'Cost model'!N390,'Cost model'!M390)</f>
        <v>115</v>
      </c>
      <c r="K2467" s="14" t="n">
        <f aca="false">J2467-H2467</f>
        <v>14.3</v>
      </c>
      <c r="L2467" s="14" t="n">
        <f aca="false">G2467-H2467</f>
        <v>-55.7</v>
      </c>
    </row>
    <row r="2468" customFormat="false" ht="15" hidden="false" customHeight="false" outlineLevel="0" collapsed="false">
      <c r="A2468" s="2" t="s">
        <v>146</v>
      </c>
      <c r="B2468" s="2" t="s">
        <v>146</v>
      </c>
      <c r="C2468" s="2" t="s">
        <v>48</v>
      </c>
      <c r="D2468" s="2" t="s">
        <v>12</v>
      </c>
      <c r="E2468" s="2" t="s">
        <v>85</v>
      </c>
      <c r="F2468" s="2" t="s">
        <v>1145</v>
      </c>
      <c r="G2468" s="14" t="n">
        <v>19.5</v>
      </c>
      <c r="H2468" s="14" t="n">
        <v>38.69</v>
      </c>
      <c r="I2468" s="14" t="n">
        <v>19.5</v>
      </c>
      <c r="J2468" s="22" t="n">
        <f aca="false">IF(E2468="Priority",'Cost model'!N761,'Cost model'!M761)</f>
        <v>45</v>
      </c>
      <c r="K2468" s="14" t="n">
        <f aca="false">J2468-H2468</f>
        <v>6.31</v>
      </c>
      <c r="L2468" s="14" t="n">
        <f aca="false">G2468-H2468</f>
        <v>-19.19</v>
      </c>
    </row>
    <row r="2469" customFormat="false" ht="15" hidden="false" customHeight="false" outlineLevel="0" collapsed="false">
      <c r="A2469" s="2" t="s">
        <v>184</v>
      </c>
      <c r="B2469" s="2" t="s">
        <v>184</v>
      </c>
      <c r="C2469" s="2" t="s">
        <v>49</v>
      </c>
      <c r="D2469" s="2" t="s">
        <v>12</v>
      </c>
      <c r="E2469" s="2" t="s">
        <v>76</v>
      </c>
      <c r="F2469" s="2" t="s">
        <v>1145</v>
      </c>
      <c r="G2469" s="14" t="n">
        <v>19.5</v>
      </c>
      <c r="H2469" s="14" t="n">
        <v>50.06</v>
      </c>
      <c r="I2469" s="14"/>
      <c r="J2469" s="22" t="n">
        <f aca="false">IF(E2469="Priority",'Cost model'!N204,'Cost model'!M204)</f>
        <v>45</v>
      </c>
      <c r="K2469" s="14" t="n">
        <f aca="false">J2469-H2469</f>
        <v>-5.06</v>
      </c>
      <c r="L2469" s="14" t="n">
        <f aca="false">G2469-H2469</f>
        <v>-30.56</v>
      </c>
    </row>
    <row r="2470" customFormat="false" ht="15" hidden="false" customHeight="false" outlineLevel="0" collapsed="false">
      <c r="A2470" s="2" t="s">
        <v>240</v>
      </c>
      <c r="B2470" s="2" t="s">
        <v>240</v>
      </c>
      <c r="C2470" s="2" t="s">
        <v>48</v>
      </c>
      <c r="D2470" s="2" t="s">
        <v>12</v>
      </c>
      <c r="E2470" s="2" t="s">
        <v>76</v>
      </c>
      <c r="F2470" s="2" t="s">
        <v>1145</v>
      </c>
      <c r="G2470" s="14" t="n">
        <v>9.5</v>
      </c>
      <c r="H2470" s="14" t="n">
        <v>16.07</v>
      </c>
      <c r="I2470" s="14" t="n">
        <v>9.5</v>
      </c>
      <c r="J2470" s="22" t="n">
        <f aca="false">IF(E2470="Priority",'Cost model'!N887,'Cost model'!M887)</f>
        <v>21.5</v>
      </c>
      <c r="K2470" s="14" t="n">
        <f aca="false">J2470-H2470</f>
        <v>5.43</v>
      </c>
      <c r="L2470" s="14" t="n">
        <f aca="false">G2470-H2470</f>
        <v>-6.57</v>
      </c>
    </row>
    <row r="2471" customFormat="false" ht="15" hidden="false" customHeight="false" outlineLevel="0" collapsed="false">
      <c r="A2471" s="2" t="s">
        <v>221</v>
      </c>
      <c r="B2471" s="2" t="s">
        <v>146</v>
      </c>
      <c r="C2471" s="2" t="s">
        <v>48</v>
      </c>
      <c r="D2471" s="2" t="s">
        <v>10</v>
      </c>
      <c r="E2471" s="2" t="s">
        <v>85</v>
      </c>
      <c r="F2471" s="2" t="s">
        <v>1146</v>
      </c>
      <c r="G2471" s="14" t="n">
        <v>19.5</v>
      </c>
      <c r="H2471" s="14" t="n">
        <v>21.84</v>
      </c>
      <c r="I2471" s="14" t="n">
        <v>19.5</v>
      </c>
      <c r="J2471" s="22" t="n">
        <f aca="false">IF(E2471="Priority",'Cost model'!N650,'Cost model'!M650)</f>
        <v>22.5</v>
      </c>
      <c r="K2471" s="14" t="n">
        <f aca="false">J2471-H2471</f>
        <v>0.66</v>
      </c>
      <c r="L2471" s="14" t="n">
        <f aca="false">G2471-H2471</f>
        <v>-2.34</v>
      </c>
    </row>
    <row r="2472" customFormat="false" ht="15" hidden="false" customHeight="false" outlineLevel="0" collapsed="false">
      <c r="A2472" s="2" t="s">
        <v>146</v>
      </c>
      <c r="B2472" s="2" t="s">
        <v>146</v>
      </c>
      <c r="C2472" s="2" t="s">
        <v>50</v>
      </c>
      <c r="D2472" s="2" t="s">
        <v>12</v>
      </c>
      <c r="E2472" s="2" t="s">
        <v>85</v>
      </c>
      <c r="F2472" s="2" t="s">
        <v>1145</v>
      </c>
      <c r="G2472" s="14" t="n">
        <v>29.5</v>
      </c>
      <c r="H2472" s="14" t="n">
        <v>80.18</v>
      </c>
      <c r="I2472" s="14" t="n">
        <v>29.5</v>
      </c>
      <c r="J2472" s="22" t="n">
        <f aca="false">IF(E2472="Priority",'Cost model'!N763,'Cost model'!M763)</f>
        <v>65</v>
      </c>
      <c r="K2472" s="14" t="n">
        <f aca="false">J2472-H2472</f>
        <v>-15.18</v>
      </c>
      <c r="L2472" s="14" t="n">
        <f aca="false">G2472-H2472</f>
        <v>-50.68</v>
      </c>
    </row>
    <row r="2473" customFormat="false" ht="15" hidden="false" customHeight="false" outlineLevel="0" collapsed="false">
      <c r="A2473" s="2" t="s">
        <v>240</v>
      </c>
      <c r="B2473" s="2" t="s">
        <v>240</v>
      </c>
      <c r="C2473" s="2" t="s">
        <v>49</v>
      </c>
      <c r="D2473" s="2" t="s">
        <v>10</v>
      </c>
      <c r="E2473" s="2" t="s">
        <v>85</v>
      </c>
      <c r="F2473" s="2" t="s">
        <v>1145</v>
      </c>
      <c r="G2473" s="14" t="n">
        <v>17.5</v>
      </c>
      <c r="H2473" s="14" t="n">
        <v>20.83</v>
      </c>
      <c r="I2473" s="14" t="n">
        <v>17.5</v>
      </c>
      <c r="J2473" s="22" t="n">
        <f aca="false">IF(E2473="Priority",'Cost model'!N885,'Cost model'!M885)</f>
        <v>18.5</v>
      </c>
      <c r="K2473" s="14" t="n">
        <f aca="false">J2473-H2473</f>
        <v>-2.33</v>
      </c>
      <c r="L2473" s="14" t="n">
        <f aca="false">G2473-H2473</f>
        <v>-3.33</v>
      </c>
    </row>
    <row r="2474" customFormat="false" ht="15" hidden="false" customHeight="false" outlineLevel="0" collapsed="false">
      <c r="A2474" s="2" t="s">
        <v>184</v>
      </c>
      <c r="B2474" s="2" t="s">
        <v>184</v>
      </c>
      <c r="C2474" s="2" t="s">
        <v>50</v>
      </c>
      <c r="D2474" s="2" t="s">
        <v>12</v>
      </c>
      <c r="E2474" s="2" t="s">
        <v>76</v>
      </c>
      <c r="F2474" s="2" t="s">
        <v>1145</v>
      </c>
      <c r="G2474" s="14" t="n">
        <v>19.5</v>
      </c>
      <c r="H2474" s="14" t="n">
        <v>46.65</v>
      </c>
      <c r="I2474" s="14" t="n">
        <v>19.5</v>
      </c>
      <c r="J2474" s="22" t="n">
        <f aca="false">IF(E2474="Priority",'Cost model'!N205,'Cost model'!M205)</f>
        <v>50</v>
      </c>
      <c r="K2474" s="14" t="n">
        <f aca="false">J2474-H2474</f>
        <v>3.35</v>
      </c>
      <c r="L2474" s="14" t="n">
        <f aca="false">G2474-H2474</f>
        <v>-27.15</v>
      </c>
    </row>
    <row r="2475" customFormat="false" ht="15" hidden="false" customHeight="false" outlineLevel="0" collapsed="false">
      <c r="A2475" s="2" t="s">
        <v>146</v>
      </c>
      <c r="B2475" s="2" t="s">
        <v>146</v>
      </c>
      <c r="C2475" s="2" t="s">
        <v>49</v>
      </c>
      <c r="D2475" s="2" t="s">
        <v>10</v>
      </c>
      <c r="E2475" s="2" t="s">
        <v>76</v>
      </c>
      <c r="F2475" s="2" t="s">
        <v>1145</v>
      </c>
      <c r="G2475" s="14" t="n">
        <v>12.5</v>
      </c>
      <c r="H2475" s="14" t="n">
        <v>37.28</v>
      </c>
      <c r="I2475" s="14" t="n">
        <v>12.5</v>
      </c>
      <c r="J2475" s="22" t="n">
        <f aca="false">IF(E2475="Priority",'Cost model'!N759,'Cost model'!M759)</f>
        <v>15.5</v>
      </c>
      <c r="K2475" s="14" t="n">
        <f aca="false">J2475-H2475</f>
        <v>-21.78</v>
      </c>
      <c r="L2475" s="14" t="n">
        <f aca="false">G2475-H2475</f>
        <v>-24.78</v>
      </c>
    </row>
    <row r="2476" customFormat="false" ht="15" hidden="false" customHeight="false" outlineLevel="0" collapsed="false">
      <c r="A2476" s="2" t="s">
        <v>146</v>
      </c>
      <c r="B2476" s="2" t="s">
        <v>126</v>
      </c>
      <c r="C2476" s="2" t="s">
        <v>49</v>
      </c>
      <c r="D2476" s="2" t="s">
        <v>12</v>
      </c>
      <c r="E2476" s="2" t="s">
        <v>85</v>
      </c>
      <c r="F2476" s="2" t="s">
        <v>1146</v>
      </c>
      <c r="G2476" s="14" t="n">
        <v>24.5</v>
      </c>
      <c r="H2476" s="14" t="n">
        <v>28.46</v>
      </c>
      <c r="I2476" s="14" t="n">
        <v>24.5</v>
      </c>
      <c r="J2476" s="22" t="n">
        <f aca="false">IF(E2476="Priority",'Cost model'!N798,'Cost model'!M798)</f>
        <v>60</v>
      </c>
      <c r="K2476" s="14" t="n">
        <f aca="false">J2476-H2476</f>
        <v>31.54</v>
      </c>
      <c r="L2476" s="14" t="n">
        <f aca="false">G2476-H2476</f>
        <v>-3.96</v>
      </c>
    </row>
    <row r="2477" customFormat="false" ht="15" hidden="false" customHeight="false" outlineLevel="0" collapsed="false">
      <c r="A2477" s="2" t="s">
        <v>240</v>
      </c>
      <c r="B2477" s="2" t="s">
        <v>240</v>
      </c>
      <c r="C2477" s="2" t="s">
        <v>50</v>
      </c>
      <c r="D2477" s="2" t="s">
        <v>10</v>
      </c>
      <c r="E2477" s="2" t="s">
        <v>76</v>
      </c>
      <c r="F2477" s="2" t="s">
        <v>1145</v>
      </c>
      <c r="G2477" s="14" t="n">
        <v>17.5</v>
      </c>
      <c r="H2477" s="14" t="n">
        <v>17.57</v>
      </c>
      <c r="I2477" s="14" t="n">
        <v>17.5</v>
      </c>
      <c r="J2477" s="22" t="n">
        <f aca="false">IF(E2477="Priority",'Cost model'!N886,'Cost model'!M886)</f>
        <v>17.5</v>
      </c>
      <c r="K2477" s="14" t="n">
        <f aca="false">J2477-H2477</f>
        <v>-0.0700000000000003</v>
      </c>
      <c r="L2477" s="14" t="n">
        <f aca="false">G2477-H2477</f>
        <v>-0.0700000000000003</v>
      </c>
    </row>
    <row r="2478" customFormat="false" ht="15" hidden="false" customHeight="false" outlineLevel="0" collapsed="false">
      <c r="A2478" s="2" t="s">
        <v>184</v>
      </c>
      <c r="B2478" s="2" t="s">
        <v>125</v>
      </c>
      <c r="C2478" s="2" t="s">
        <v>50</v>
      </c>
      <c r="D2478" s="2" t="s">
        <v>12</v>
      </c>
      <c r="E2478" s="2" t="s">
        <v>76</v>
      </c>
      <c r="F2478" s="2" t="s">
        <v>1146</v>
      </c>
      <c r="G2478" s="14" t="n">
        <v>19.5</v>
      </c>
      <c r="H2478" s="14" t="n">
        <v>79.02</v>
      </c>
      <c r="I2478" s="14" t="n">
        <v>24.5</v>
      </c>
      <c r="J2478" s="22" t="n">
        <f aca="false">IF(E2478="Priority",'Cost model'!N241,'Cost model'!M241)</f>
        <v>75</v>
      </c>
      <c r="K2478" s="14" t="n">
        <f aca="false">J2478-H2478</f>
        <v>-4.02</v>
      </c>
      <c r="L2478" s="14" t="n">
        <f aca="false">G2478-H2478</f>
        <v>-59.52</v>
      </c>
    </row>
    <row r="2479" customFormat="false" ht="15" hidden="false" customHeight="false" outlineLevel="0" collapsed="false">
      <c r="A2479" s="2" t="s">
        <v>184</v>
      </c>
      <c r="B2479" s="2" t="s">
        <v>184</v>
      </c>
      <c r="C2479" s="2" t="s">
        <v>48</v>
      </c>
      <c r="D2479" s="2" t="s">
        <v>13</v>
      </c>
      <c r="E2479" s="2" t="s">
        <v>76</v>
      </c>
      <c r="F2479" s="2" t="s">
        <v>1145</v>
      </c>
      <c r="G2479" s="14" t="n">
        <v>19</v>
      </c>
      <c r="H2479" s="14" t="n">
        <v>33.83</v>
      </c>
      <c r="I2479" s="14" t="n">
        <v>19</v>
      </c>
      <c r="J2479" s="22" t="n">
        <f aca="false">IF(E2479="Priority",'Cost model'!N206,'Cost model'!M206)</f>
        <v>55</v>
      </c>
      <c r="K2479" s="14" t="n">
        <f aca="false">J2479-H2479</f>
        <v>21.17</v>
      </c>
      <c r="L2479" s="14" t="n">
        <f aca="false">G2479-H2479</f>
        <v>-14.83</v>
      </c>
    </row>
    <row r="2480" customFormat="false" ht="15" hidden="false" customHeight="false" outlineLevel="0" collapsed="false">
      <c r="A2480" s="2" t="s">
        <v>126</v>
      </c>
      <c r="B2480" s="2" t="s">
        <v>184</v>
      </c>
      <c r="C2480" s="2" t="s">
        <v>48</v>
      </c>
      <c r="D2480" s="2" t="s">
        <v>13</v>
      </c>
      <c r="E2480" s="2" t="s">
        <v>76</v>
      </c>
      <c r="F2480" s="2" t="s">
        <v>1146</v>
      </c>
      <c r="G2480" s="14" t="n">
        <v>24.5</v>
      </c>
      <c r="H2480" s="14" t="n">
        <v>80.07</v>
      </c>
      <c r="I2480" s="14" t="n">
        <v>24.5</v>
      </c>
      <c r="J2480" s="22" t="n">
        <f aca="false">IF(E2480="Priority",'Cost model'!N440,'Cost model'!M440)</f>
        <v>90</v>
      </c>
      <c r="K2480" s="14" t="n">
        <f aca="false">J2480-H2480</f>
        <v>9.93000000000001</v>
      </c>
      <c r="L2480" s="14" t="n">
        <f aca="false">G2480-H2480</f>
        <v>-55.57</v>
      </c>
    </row>
    <row r="2481" customFormat="false" ht="15" hidden="false" customHeight="false" outlineLevel="0" collapsed="false">
      <c r="A2481" s="2" t="s">
        <v>240</v>
      </c>
      <c r="B2481" s="2" t="s">
        <v>240</v>
      </c>
      <c r="C2481" s="2" t="s">
        <v>48</v>
      </c>
      <c r="D2481" s="2" t="s">
        <v>10</v>
      </c>
      <c r="E2481" s="2" t="s">
        <v>85</v>
      </c>
      <c r="F2481" s="2" t="s">
        <v>1145</v>
      </c>
      <c r="G2481" s="14" t="n">
        <v>14.5</v>
      </c>
      <c r="H2481" s="14" t="n">
        <v>5.23</v>
      </c>
      <c r="I2481" s="14" t="n">
        <v>14.5</v>
      </c>
      <c r="J2481" s="22" t="n">
        <f aca="false">IF(E2481="Priority",'Cost model'!N884,'Cost model'!M884)</f>
        <v>12.5</v>
      </c>
      <c r="K2481" s="14" t="n">
        <f aca="false">J2481-H2481</f>
        <v>7.27</v>
      </c>
      <c r="L2481" s="14" t="n">
        <f aca="false">G2481-H2481</f>
        <v>9.27</v>
      </c>
    </row>
    <row r="2482" customFormat="false" ht="15" hidden="false" customHeight="false" outlineLevel="0" collapsed="false">
      <c r="A2482" s="2" t="s">
        <v>184</v>
      </c>
      <c r="B2482" s="2" t="s">
        <v>184</v>
      </c>
      <c r="C2482" s="2" t="s">
        <v>49</v>
      </c>
      <c r="D2482" s="2" t="s">
        <v>12</v>
      </c>
      <c r="E2482" s="2" t="s">
        <v>76</v>
      </c>
      <c r="F2482" s="2" t="s">
        <v>1145</v>
      </c>
      <c r="G2482" s="14" t="n">
        <v>12.5</v>
      </c>
      <c r="H2482" s="14" t="n">
        <v>70.83</v>
      </c>
      <c r="I2482" s="14"/>
      <c r="J2482" s="22" t="n">
        <f aca="false">IF(E2482="Priority",'Cost model'!N204,'Cost model'!M204)</f>
        <v>45</v>
      </c>
      <c r="K2482" s="14" t="n">
        <f aca="false">J2482-H2482</f>
        <v>-25.83</v>
      </c>
      <c r="L2482" s="14" t="n">
        <f aca="false">G2482-H2482</f>
        <v>-58.33</v>
      </c>
    </row>
    <row r="2483" customFormat="false" ht="15" hidden="false" customHeight="false" outlineLevel="0" collapsed="false">
      <c r="A2483" s="2" t="s">
        <v>165</v>
      </c>
      <c r="B2483" s="2" t="s">
        <v>165</v>
      </c>
      <c r="C2483" s="2" t="s">
        <v>50</v>
      </c>
      <c r="D2483" s="2" t="s">
        <v>14</v>
      </c>
      <c r="E2483" s="2" t="s">
        <v>76</v>
      </c>
      <c r="F2483" s="2" t="s">
        <v>1145</v>
      </c>
      <c r="G2483" s="14" t="n">
        <v>85</v>
      </c>
      <c r="H2483" s="14" t="n">
        <v>69.48</v>
      </c>
      <c r="I2483" s="14" t="n">
        <v>85</v>
      </c>
      <c r="J2483" s="22" t="n">
        <f aca="false">IF(E2483="Priority",'Cost model'!N517,'Cost model'!M517)</f>
        <v>140</v>
      </c>
      <c r="K2483" s="14" t="n">
        <f aca="false">J2483-H2483</f>
        <v>70.52</v>
      </c>
      <c r="L2483" s="14" t="n">
        <f aca="false">G2483-H2483</f>
        <v>15.52</v>
      </c>
    </row>
    <row r="2484" customFormat="false" ht="15" hidden="false" customHeight="false" outlineLevel="0" collapsed="false">
      <c r="A2484" s="2" t="s">
        <v>240</v>
      </c>
      <c r="B2484" s="2" t="s">
        <v>240</v>
      </c>
      <c r="C2484" s="2" t="s">
        <v>50</v>
      </c>
      <c r="D2484" s="2" t="s">
        <v>12</v>
      </c>
      <c r="E2484" s="2" t="s">
        <v>76</v>
      </c>
      <c r="F2484" s="2" t="s">
        <v>1145</v>
      </c>
      <c r="G2484" s="14" t="n">
        <v>19.5</v>
      </c>
      <c r="H2484" s="14" t="n">
        <v>17.31</v>
      </c>
      <c r="I2484" s="14" t="n">
        <v>19.5</v>
      </c>
      <c r="J2484" s="22" t="n">
        <f aca="false">IF(E2484="Priority",'Cost model'!N889,'Cost model'!M889)</f>
        <v>60</v>
      </c>
      <c r="K2484" s="14" t="n">
        <f aca="false">J2484-H2484</f>
        <v>42.69</v>
      </c>
      <c r="L2484" s="14" t="n">
        <f aca="false">G2484-H2484</f>
        <v>2.19</v>
      </c>
    </row>
    <row r="2485" customFormat="false" ht="15" hidden="false" customHeight="false" outlineLevel="0" collapsed="false">
      <c r="A2485" s="2" t="s">
        <v>184</v>
      </c>
      <c r="B2485" s="2" t="s">
        <v>184</v>
      </c>
      <c r="C2485" s="2" t="s">
        <v>48</v>
      </c>
      <c r="D2485" s="2" t="s">
        <v>12</v>
      </c>
      <c r="E2485" s="2" t="s">
        <v>76</v>
      </c>
      <c r="F2485" s="2" t="s">
        <v>1145</v>
      </c>
      <c r="G2485" s="14" t="n">
        <v>9.5</v>
      </c>
      <c r="H2485" s="14" t="n">
        <v>28.61</v>
      </c>
      <c r="I2485" s="14" t="n">
        <v>9.5</v>
      </c>
      <c r="J2485" s="22" t="n">
        <f aca="false">IF(E2485="Priority",'Cost model'!N203,'Cost model'!M203)</f>
        <v>26.5</v>
      </c>
      <c r="K2485" s="14" t="n">
        <f aca="false">J2485-H2485</f>
        <v>-2.11</v>
      </c>
      <c r="L2485" s="14" t="n">
        <f aca="false">G2485-H2485</f>
        <v>-19.11</v>
      </c>
    </row>
    <row r="2486" customFormat="false" ht="15" hidden="false" customHeight="false" outlineLevel="0" collapsed="false">
      <c r="A2486" s="2" t="s">
        <v>126</v>
      </c>
      <c r="B2486" s="2" t="s">
        <v>126</v>
      </c>
      <c r="C2486" s="2" t="s">
        <v>49</v>
      </c>
      <c r="D2486" s="2" t="s">
        <v>10</v>
      </c>
      <c r="E2486" s="2" t="s">
        <v>76</v>
      </c>
      <c r="F2486" s="2" t="s">
        <v>1145</v>
      </c>
      <c r="G2486" s="14" t="n">
        <v>12.5</v>
      </c>
      <c r="H2486" s="14" t="n">
        <v>9.94</v>
      </c>
      <c r="I2486" s="14" t="n">
        <v>12.5</v>
      </c>
      <c r="J2486" s="22" t="n">
        <f aca="false">IF(E2486="Priority",'Cost model'!N381,'Cost model'!M381)</f>
        <v>14.5</v>
      </c>
      <c r="K2486" s="14" t="n">
        <f aca="false">J2486-H2486</f>
        <v>4.56</v>
      </c>
      <c r="L2486" s="14" t="n">
        <f aca="false">G2486-H2486</f>
        <v>2.56</v>
      </c>
    </row>
    <row r="2487" customFormat="false" ht="15" hidden="false" customHeight="false" outlineLevel="0" collapsed="false">
      <c r="A2487" s="2" t="s">
        <v>240</v>
      </c>
      <c r="B2487" s="2" t="s">
        <v>146</v>
      </c>
      <c r="C2487" s="2" t="s">
        <v>50</v>
      </c>
      <c r="D2487" s="2" t="s">
        <v>12</v>
      </c>
      <c r="E2487" s="2" t="s">
        <v>76</v>
      </c>
      <c r="F2487" s="2" t="s">
        <v>1146</v>
      </c>
      <c r="G2487" s="14" t="n">
        <v>29.5</v>
      </c>
      <c r="H2487" s="14" t="n">
        <v>97.78</v>
      </c>
      <c r="I2487" s="14" t="n">
        <v>29.5</v>
      </c>
      <c r="J2487" s="22" t="n">
        <f aca="false">IF(E2487="Priority",'Cost model'!N925,'Cost model'!M925)</f>
        <v>80</v>
      </c>
      <c r="K2487" s="14" t="n">
        <f aca="false">J2487-H2487</f>
        <v>-17.78</v>
      </c>
      <c r="L2487" s="14" t="n">
        <f aca="false">G2487-H2487</f>
        <v>-68.28</v>
      </c>
    </row>
    <row r="2488" customFormat="false" ht="15" hidden="false" customHeight="false" outlineLevel="0" collapsed="false">
      <c r="A2488" s="2" t="s">
        <v>385</v>
      </c>
      <c r="B2488" s="2" t="s">
        <v>165</v>
      </c>
      <c r="C2488" s="2" t="s">
        <v>50</v>
      </c>
      <c r="D2488" s="2" t="s">
        <v>12</v>
      </c>
      <c r="E2488" s="2" t="s">
        <v>76</v>
      </c>
      <c r="F2488" s="2" t="s">
        <v>1146</v>
      </c>
      <c r="G2488" s="14" t="n">
        <v>24.5</v>
      </c>
      <c r="H2488" s="14" t="n">
        <v>76.77</v>
      </c>
      <c r="I2488" s="14" t="n">
        <v>24.5</v>
      </c>
      <c r="J2488" s="22" t="n">
        <f aca="false">IF(E2488="Priority",'Cost model'!N259,'Cost model'!M259)</f>
        <v>75</v>
      </c>
      <c r="K2488" s="14" t="n">
        <f aca="false">J2488-H2488</f>
        <v>-1.77</v>
      </c>
      <c r="L2488" s="14" t="n">
        <f aca="false">G2488-H2488</f>
        <v>-52.27</v>
      </c>
    </row>
    <row r="2489" customFormat="false" ht="15" hidden="false" customHeight="false" outlineLevel="0" collapsed="false">
      <c r="A2489" s="2" t="s">
        <v>146</v>
      </c>
      <c r="B2489" s="2" t="s">
        <v>146</v>
      </c>
      <c r="C2489" s="2" t="s">
        <v>49</v>
      </c>
      <c r="D2489" s="2" t="s">
        <v>12</v>
      </c>
      <c r="E2489" s="2" t="s">
        <v>85</v>
      </c>
      <c r="F2489" s="2" t="s">
        <v>1145</v>
      </c>
      <c r="G2489" s="14" t="n">
        <v>19.5</v>
      </c>
      <c r="H2489" s="14" t="n">
        <v>25.65</v>
      </c>
      <c r="I2489" s="14" t="n">
        <v>19.5</v>
      </c>
      <c r="J2489" s="22" t="n">
        <f aca="false">IF(E2489="Priority",'Cost model'!N762,'Cost model'!M762)</f>
        <v>60</v>
      </c>
      <c r="K2489" s="14" t="n">
        <f aca="false">J2489-H2489</f>
        <v>34.35</v>
      </c>
      <c r="L2489" s="14" t="n">
        <f aca="false">G2489-H2489</f>
        <v>-6.15</v>
      </c>
    </row>
    <row r="2490" customFormat="false" ht="15" hidden="false" customHeight="false" outlineLevel="0" collapsed="false">
      <c r="A2490" s="2" t="s">
        <v>184</v>
      </c>
      <c r="B2490" s="2" t="s">
        <v>165</v>
      </c>
      <c r="C2490" s="2" t="s">
        <v>48</v>
      </c>
      <c r="D2490" s="2" t="s">
        <v>14</v>
      </c>
      <c r="E2490" s="2" t="s">
        <v>76</v>
      </c>
      <c r="F2490" s="2" t="s">
        <v>1146</v>
      </c>
      <c r="G2490" s="14" t="n">
        <v>25</v>
      </c>
      <c r="H2490" s="14" t="n">
        <v>84.27</v>
      </c>
      <c r="I2490" s="14" t="n">
        <v>85</v>
      </c>
      <c r="J2490" s="22" t="n">
        <f aca="false">IF(E2490="Priority",'Cost model'!N173,'Cost model'!M173)</f>
        <v>125</v>
      </c>
      <c r="K2490" s="14" t="n">
        <f aca="false">J2490-H2490</f>
        <v>40.73</v>
      </c>
      <c r="L2490" s="14" t="n">
        <f aca="false">G2490-H2490</f>
        <v>-59.27</v>
      </c>
    </row>
    <row r="2491" customFormat="false" ht="15" hidden="false" customHeight="false" outlineLevel="0" collapsed="false">
      <c r="A2491" s="2" t="s">
        <v>126</v>
      </c>
      <c r="B2491" s="2" t="s">
        <v>126</v>
      </c>
      <c r="C2491" s="2" t="s">
        <v>48</v>
      </c>
      <c r="D2491" s="2" t="s">
        <v>12</v>
      </c>
      <c r="E2491" s="2" t="s">
        <v>76</v>
      </c>
      <c r="F2491" s="2" t="s">
        <v>1145</v>
      </c>
      <c r="G2491" s="14" t="n">
        <v>24.5</v>
      </c>
      <c r="H2491" s="14" t="n">
        <v>24.17</v>
      </c>
      <c r="I2491" s="14" t="n">
        <v>9.5</v>
      </c>
      <c r="J2491" s="22" t="n">
        <f aca="false">IF(E2491="Priority",'Cost model'!N383,'Cost model'!M383)</f>
        <v>27.5</v>
      </c>
      <c r="K2491" s="14" t="n">
        <f aca="false">J2491-H2491</f>
        <v>3.33</v>
      </c>
      <c r="L2491" s="14" t="n">
        <f aca="false">G2491-H2491</f>
        <v>0.329999999999998</v>
      </c>
    </row>
    <row r="2492" customFormat="false" ht="15" hidden="false" customHeight="false" outlineLevel="0" collapsed="false">
      <c r="A2492" s="2" t="s">
        <v>184</v>
      </c>
      <c r="B2492" s="2" t="s">
        <v>184</v>
      </c>
      <c r="C2492" s="2" t="s">
        <v>49</v>
      </c>
      <c r="D2492" s="2" t="s">
        <v>12</v>
      </c>
      <c r="E2492" s="2" t="s">
        <v>76</v>
      </c>
      <c r="F2492" s="2" t="s">
        <v>1145</v>
      </c>
      <c r="G2492" s="14" t="n">
        <v>19.5</v>
      </c>
      <c r="H2492" s="14" t="n">
        <v>52.14</v>
      </c>
      <c r="I2492" s="14"/>
      <c r="J2492" s="22" t="n">
        <f aca="false">IF(E2492="Priority",'Cost model'!N204,'Cost model'!M204)</f>
        <v>45</v>
      </c>
      <c r="K2492" s="14" t="n">
        <f aca="false">J2492-H2492</f>
        <v>-7.14</v>
      </c>
      <c r="L2492" s="14" t="n">
        <f aca="false">G2492-H2492</f>
        <v>-32.64</v>
      </c>
    </row>
    <row r="2493" customFormat="false" ht="15" hidden="false" customHeight="false" outlineLevel="0" collapsed="false">
      <c r="A2493" s="2" t="s">
        <v>240</v>
      </c>
      <c r="B2493" s="2" t="s">
        <v>240</v>
      </c>
      <c r="C2493" s="2" t="s">
        <v>50</v>
      </c>
      <c r="D2493" s="2" t="s">
        <v>13</v>
      </c>
      <c r="E2493" s="2" t="s">
        <v>76</v>
      </c>
      <c r="F2493" s="2" t="s">
        <v>1145</v>
      </c>
      <c r="G2493" s="14" t="n">
        <v>50</v>
      </c>
      <c r="H2493" s="14" t="n">
        <v>52.67</v>
      </c>
      <c r="I2493" s="14" t="n">
        <v>50</v>
      </c>
      <c r="J2493" s="22" t="n">
        <f aca="false">IF(E2493="Priority",'Cost model'!N892,'Cost model'!M892)</f>
        <v>130</v>
      </c>
      <c r="K2493" s="14" t="n">
        <f aca="false">J2493-H2493</f>
        <v>77.33</v>
      </c>
      <c r="L2493" s="14" t="n">
        <f aca="false">G2493-H2493</f>
        <v>-2.67</v>
      </c>
    </row>
    <row r="2494" customFormat="false" ht="15" hidden="false" customHeight="false" outlineLevel="0" collapsed="false">
      <c r="A2494" s="2" t="s">
        <v>126</v>
      </c>
      <c r="B2494" s="2" t="s">
        <v>126</v>
      </c>
      <c r="C2494" s="2" t="s">
        <v>49</v>
      </c>
      <c r="D2494" s="2" t="s">
        <v>10</v>
      </c>
      <c r="E2494" s="2" t="s">
        <v>76</v>
      </c>
      <c r="F2494" s="2" t="s">
        <v>1145</v>
      </c>
      <c r="G2494" s="14" t="n">
        <v>12.5</v>
      </c>
      <c r="H2494" s="14" t="n">
        <v>11.97</v>
      </c>
      <c r="I2494" s="14" t="n">
        <v>12.5</v>
      </c>
      <c r="J2494" s="22" t="n">
        <f aca="false">IF(E2494="Priority",'Cost model'!N381,'Cost model'!M381)</f>
        <v>14.5</v>
      </c>
      <c r="K2494" s="14" t="n">
        <f aca="false">J2494-H2494</f>
        <v>2.53</v>
      </c>
      <c r="L2494" s="14" t="n">
        <f aca="false">G2494-H2494</f>
        <v>0.529999999999999</v>
      </c>
    </row>
    <row r="2495" customFormat="false" ht="15" hidden="false" customHeight="false" outlineLevel="0" collapsed="false">
      <c r="A2495" s="2" t="s">
        <v>126</v>
      </c>
      <c r="B2495" s="2" t="s">
        <v>126</v>
      </c>
      <c r="C2495" s="2" t="s">
        <v>50</v>
      </c>
      <c r="D2495" s="2" t="s">
        <v>16</v>
      </c>
      <c r="E2495" s="2" t="s">
        <v>76</v>
      </c>
      <c r="F2495" s="2" t="s">
        <v>1145</v>
      </c>
      <c r="G2495" s="14" t="n">
        <v>85</v>
      </c>
      <c r="H2495" s="14" t="n">
        <v>122.86</v>
      </c>
      <c r="I2495" s="14" t="n">
        <v>85</v>
      </c>
      <c r="J2495" s="22" t="n">
        <f aca="false">IF(E2495="Priority",'Cost model'!N397,'Cost model'!M397)</f>
        <v>295</v>
      </c>
      <c r="K2495" s="14" t="n">
        <f aca="false">J2495-H2495</f>
        <v>172.14</v>
      </c>
      <c r="L2495" s="14" t="n">
        <f aca="false">G2495-H2495</f>
        <v>-37.86</v>
      </c>
    </row>
    <row r="2496" customFormat="false" ht="15" hidden="false" customHeight="false" outlineLevel="0" collapsed="false">
      <c r="A2496" s="2" t="s">
        <v>184</v>
      </c>
      <c r="B2496" s="2" t="s">
        <v>146</v>
      </c>
      <c r="C2496" s="2" t="s">
        <v>48</v>
      </c>
      <c r="D2496" s="2" t="s">
        <v>12</v>
      </c>
      <c r="E2496" s="2" t="s">
        <v>76</v>
      </c>
      <c r="F2496" s="2" t="s">
        <v>1146</v>
      </c>
      <c r="G2496" s="14" t="n">
        <v>9.5</v>
      </c>
      <c r="H2496" s="14" t="n">
        <v>44.04</v>
      </c>
      <c r="I2496" s="14" t="n">
        <v>9.5</v>
      </c>
      <c r="J2496" s="22" t="n">
        <f aca="false">IF(E2496="Priority",'Cost model'!N149,'Cost model'!M149)</f>
        <v>45</v>
      </c>
      <c r="K2496" s="14" t="n">
        <f aca="false">J2496-H2496</f>
        <v>0.960000000000001</v>
      </c>
      <c r="L2496" s="14" t="n">
        <f aca="false">G2496-H2496</f>
        <v>-34.54</v>
      </c>
    </row>
    <row r="2497" customFormat="false" ht="15" hidden="false" customHeight="false" outlineLevel="0" collapsed="false">
      <c r="A2497" s="2" t="s">
        <v>240</v>
      </c>
      <c r="B2497" s="2" t="s">
        <v>240</v>
      </c>
      <c r="C2497" s="2" t="s">
        <v>50</v>
      </c>
      <c r="D2497" s="2" t="s">
        <v>10</v>
      </c>
      <c r="E2497" s="2" t="s">
        <v>85</v>
      </c>
      <c r="F2497" s="2" t="s">
        <v>1145</v>
      </c>
      <c r="G2497" s="14" t="n">
        <v>24.5</v>
      </c>
      <c r="H2497" s="14" t="n">
        <v>16.84</v>
      </c>
      <c r="I2497" s="14" t="n">
        <v>24.5</v>
      </c>
      <c r="J2497" s="22" t="n">
        <f aca="false">IF(E2497="Priority",'Cost model'!N886,'Cost model'!M886)</f>
        <v>23.5</v>
      </c>
      <c r="K2497" s="14" t="n">
        <f aca="false">J2497-H2497</f>
        <v>6.66</v>
      </c>
      <c r="L2497" s="14" t="n">
        <f aca="false">G2497-H2497</f>
        <v>7.66</v>
      </c>
    </row>
    <row r="2498" customFormat="false" ht="15" hidden="false" customHeight="false" outlineLevel="0" collapsed="false">
      <c r="A2498" s="2" t="s">
        <v>184</v>
      </c>
      <c r="B2498" s="2" t="s">
        <v>184</v>
      </c>
      <c r="C2498" s="2" t="s">
        <v>49</v>
      </c>
      <c r="D2498" s="2" t="s">
        <v>10</v>
      </c>
      <c r="E2498" s="2" t="s">
        <v>76</v>
      </c>
      <c r="F2498" s="2" t="s">
        <v>1145</v>
      </c>
      <c r="G2498" s="14" t="n">
        <v>17.5</v>
      </c>
      <c r="H2498" s="14" t="n">
        <v>21.34</v>
      </c>
      <c r="I2498" s="14"/>
      <c r="J2498" s="22" t="n">
        <f aca="false">IF(E2498="Priority",'Cost model'!N201,'Cost model'!M201)</f>
        <v>12.5</v>
      </c>
      <c r="K2498" s="14" t="n">
        <f aca="false">J2498-H2498</f>
        <v>-8.84</v>
      </c>
      <c r="L2498" s="14" t="n">
        <f aca="false">G2498-H2498</f>
        <v>-3.84</v>
      </c>
    </row>
    <row r="2499" customFormat="false" ht="15" hidden="false" customHeight="false" outlineLevel="0" collapsed="false">
      <c r="A2499" s="2" t="s">
        <v>184</v>
      </c>
      <c r="B2499" s="2" t="s">
        <v>184</v>
      </c>
      <c r="C2499" s="2" t="s">
        <v>49</v>
      </c>
      <c r="D2499" s="2" t="s">
        <v>13</v>
      </c>
      <c r="E2499" s="2" t="s">
        <v>85</v>
      </c>
      <c r="F2499" s="2" t="s">
        <v>1145</v>
      </c>
      <c r="G2499" s="14" t="n">
        <v>45</v>
      </c>
      <c r="H2499" s="14" t="n">
        <v>212.87</v>
      </c>
      <c r="I2499" s="14" t="n">
        <v>45</v>
      </c>
      <c r="J2499" s="22" t="n">
        <f aca="false">IF(E2499="Priority",'Cost model'!N207,'Cost model'!M207)</f>
        <v>105</v>
      </c>
      <c r="K2499" s="14" t="n">
        <f aca="false">J2499-H2499</f>
        <v>-107.87</v>
      </c>
      <c r="L2499" s="14" t="n">
        <f aca="false">G2499-H2499</f>
        <v>-167.87</v>
      </c>
    </row>
    <row r="2500" customFormat="false" ht="15" hidden="false" customHeight="false" outlineLevel="0" collapsed="false">
      <c r="A2500" s="2" t="s">
        <v>184</v>
      </c>
      <c r="B2500" s="2" t="s">
        <v>165</v>
      </c>
      <c r="C2500" s="2" t="s">
        <v>49</v>
      </c>
      <c r="D2500" s="2" t="s">
        <v>10</v>
      </c>
      <c r="E2500" s="2" t="s">
        <v>85</v>
      </c>
      <c r="F2500" s="2" t="s">
        <v>1146</v>
      </c>
      <c r="G2500" s="14" t="n">
        <v>19.5</v>
      </c>
      <c r="H2500" s="14" t="n">
        <v>24.63</v>
      </c>
      <c r="I2500" s="14" t="n">
        <v>19.5</v>
      </c>
      <c r="J2500" s="22" t="n">
        <f aca="false">IF(E2500="Priority",'Cost model'!N165,'Cost model'!M165)</f>
        <v>21.5</v>
      </c>
      <c r="K2500" s="14" t="n">
        <f aca="false">J2500-H2500</f>
        <v>-3.13</v>
      </c>
      <c r="L2500" s="14" t="n">
        <f aca="false">G2500-H2500</f>
        <v>-5.13</v>
      </c>
    </row>
    <row r="2501" customFormat="false" ht="15" hidden="false" customHeight="false" outlineLevel="0" collapsed="false">
      <c r="A2501" s="2" t="s">
        <v>126</v>
      </c>
      <c r="B2501" s="2" t="s">
        <v>146</v>
      </c>
      <c r="C2501" s="2" t="s">
        <v>49</v>
      </c>
      <c r="D2501" s="2" t="s">
        <v>12</v>
      </c>
      <c r="E2501" s="2" t="s">
        <v>76</v>
      </c>
      <c r="F2501" s="2" t="s">
        <v>1146</v>
      </c>
      <c r="G2501" s="14" t="n">
        <v>19.5</v>
      </c>
      <c r="H2501" s="14" t="n">
        <v>97.78</v>
      </c>
      <c r="I2501" s="14" t="n">
        <v>19.5</v>
      </c>
      <c r="J2501" s="22" t="n">
        <f aca="false">IF(E2501="Priority",'Cost model'!N402,'Cost model'!M402)</f>
        <v>60</v>
      </c>
      <c r="K2501" s="14" t="n">
        <f aca="false">J2501-H2501</f>
        <v>-37.78</v>
      </c>
      <c r="L2501" s="14" t="n">
        <f aca="false">G2501-H2501</f>
        <v>-78.28</v>
      </c>
    </row>
    <row r="2502" customFormat="false" ht="15" hidden="false" customHeight="false" outlineLevel="0" collapsed="false">
      <c r="A2502" s="2" t="s">
        <v>184</v>
      </c>
      <c r="B2502" s="2" t="s">
        <v>184</v>
      </c>
      <c r="C2502" s="2" t="s">
        <v>48</v>
      </c>
      <c r="D2502" s="2" t="s">
        <v>12</v>
      </c>
      <c r="E2502" s="2" t="s">
        <v>76</v>
      </c>
      <c r="F2502" s="2" t="s">
        <v>1145</v>
      </c>
      <c r="G2502" s="14" t="n">
        <v>9.5</v>
      </c>
      <c r="H2502" s="14" t="n">
        <v>28.57</v>
      </c>
      <c r="I2502" s="14" t="n">
        <v>9.5</v>
      </c>
      <c r="J2502" s="22" t="n">
        <f aca="false">IF(E2502="Priority",'Cost model'!N203,'Cost model'!M203)</f>
        <v>26.5</v>
      </c>
      <c r="K2502" s="14" t="n">
        <f aca="false">J2502-H2502</f>
        <v>-2.07</v>
      </c>
      <c r="L2502" s="14" t="n">
        <f aca="false">G2502-H2502</f>
        <v>-19.07</v>
      </c>
    </row>
    <row r="2503" customFormat="false" ht="15" hidden="false" customHeight="false" outlineLevel="0" collapsed="false">
      <c r="A2503" s="2" t="s">
        <v>385</v>
      </c>
      <c r="B2503" s="2" t="s">
        <v>126</v>
      </c>
      <c r="C2503" s="2" t="s">
        <v>50</v>
      </c>
      <c r="D2503" s="2" t="s">
        <v>10</v>
      </c>
      <c r="E2503" s="2" t="s">
        <v>76</v>
      </c>
      <c r="F2503" s="2" t="s">
        <v>1146</v>
      </c>
      <c r="G2503" s="14" t="n">
        <v>19.5</v>
      </c>
      <c r="H2503" s="14" t="n">
        <v>12.09</v>
      </c>
      <c r="I2503" s="14" t="n">
        <v>34.5</v>
      </c>
      <c r="J2503" s="22" t="n">
        <f aca="false">IF(E2503="Priority",'Cost model'!N310,'Cost model'!M310)</f>
        <v>21.5</v>
      </c>
      <c r="K2503" s="14" t="n">
        <f aca="false">J2503-H2503</f>
        <v>9.41</v>
      </c>
      <c r="L2503" s="14" t="n">
        <f aca="false">G2503-H2503</f>
        <v>7.41</v>
      </c>
    </row>
    <row r="2504" customFormat="false" ht="15" hidden="false" customHeight="false" outlineLevel="0" collapsed="false">
      <c r="A2504" s="2" t="s">
        <v>126</v>
      </c>
      <c r="B2504" s="2" t="s">
        <v>126</v>
      </c>
      <c r="C2504" s="2" t="s">
        <v>49</v>
      </c>
      <c r="D2504" s="2" t="s">
        <v>14</v>
      </c>
      <c r="E2504" s="2" t="s">
        <v>76</v>
      </c>
      <c r="F2504" s="2" t="s">
        <v>1145</v>
      </c>
      <c r="G2504" s="14" t="n">
        <v>45</v>
      </c>
      <c r="H2504" s="14" t="n">
        <v>143.4</v>
      </c>
      <c r="I2504" s="14" t="n">
        <v>45</v>
      </c>
      <c r="J2504" s="22" t="n">
        <f aca="false">IF(E2504="Priority",'Cost model'!N390,'Cost model'!M390)</f>
        <v>115</v>
      </c>
      <c r="K2504" s="14" t="n">
        <f aca="false">J2504-H2504</f>
        <v>-28.4</v>
      </c>
      <c r="L2504" s="14" t="n">
        <f aca="false">G2504-H2504</f>
        <v>-98.4</v>
      </c>
    </row>
    <row r="2505" customFormat="false" ht="15" hidden="false" customHeight="false" outlineLevel="0" collapsed="false">
      <c r="A2505" s="2" t="s">
        <v>240</v>
      </c>
      <c r="B2505" s="2" t="s">
        <v>240</v>
      </c>
      <c r="C2505" s="2" t="s">
        <v>49</v>
      </c>
      <c r="D2505" s="2" t="s">
        <v>10</v>
      </c>
      <c r="E2505" s="2" t="s">
        <v>76</v>
      </c>
      <c r="F2505" s="2" t="s">
        <v>1145</v>
      </c>
      <c r="G2505" s="14" t="n">
        <v>12.5</v>
      </c>
      <c r="H2505" s="14" t="n">
        <v>11.64</v>
      </c>
      <c r="I2505" s="14" t="n">
        <v>12.5</v>
      </c>
      <c r="J2505" s="22" t="n">
        <f aca="false">IF(E2505="Priority",'Cost model'!N885,'Cost model'!M885)</f>
        <v>13.5</v>
      </c>
      <c r="K2505" s="14" t="n">
        <f aca="false">J2505-H2505</f>
        <v>1.86</v>
      </c>
      <c r="L2505" s="14" t="n">
        <f aca="false">G2505-H2505</f>
        <v>0.859999999999999</v>
      </c>
    </row>
    <row r="2506" customFormat="false" ht="15" hidden="false" customHeight="false" outlineLevel="0" collapsed="false">
      <c r="A2506" s="2" t="s">
        <v>184</v>
      </c>
      <c r="B2506" s="2" t="s">
        <v>184</v>
      </c>
      <c r="C2506" s="2" t="s">
        <v>49</v>
      </c>
      <c r="D2506" s="2" t="s">
        <v>13</v>
      </c>
      <c r="E2506" s="2" t="s">
        <v>76</v>
      </c>
      <c r="F2506" s="2" t="s">
        <v>1145</v>
      </c>
      <c r="G2506" s="14" t="n">
        <v>24.5</v>
      </c>
      <c r="H2506" s="14" t="n">
        <v>31.21</v>
      </c>
      <c r="I2506" s="14"/>
      <c r="J2506" s="22" t="n">
        <f aca="false">IF(E2506="Priority",'Cost model'!N207,'Cost model'!M207)</f>
        <v>75</v>
      </c>
      <c r="K2506" s="14" t="n">
        <f aca="false">J2506-H2506</f>
        <v>43.79</v>
      </c>
      <c r="L2506" s="14" t="n">
        <f aca="false">G2506-H2506</f>
        <v>-6.71</v>
      </c>
    </row>
    <row r="2507" customFormat="false" ht="15" hidden="false" customHeight="false" outlineLevel="0" collapsed="false">
      <c r="A2507" s="2" t="s">
        <v>165</v>
      </c>
      <c r="B2507" s="2" t="s">
        <v>165</v>
      </c>
      <c r="C2507" s="2" t="s">
        <v>48</v>
      </c>
      <c r="D2507" s="2" t="s">
        <v>13</v>
      </c>
      <c r="E2507" s="2" t="s">
        <v>76</v>
      </c>
      <c r="F2507" s="2" t="s">
        <v>1145</v>
      </c>
      <c r="G2507" s="14" t="n">
        <v>19</v>
      </c>
      <c r="H2507" s="14" t="n">
        <v>21.01</v>
      </c>
      <c r="I2507" s="14" t="n">
        <v>19</v>
      </c>
      <c r="J2507" s="22" t="n">
        <f aca="false">IF(E2507="Priority",'Cost model'!N512,'Cost model'!M512)</f>
        <v>35</v>
      </c>
      <c r="K2507" s="14" t="n">
        <f aca="false">J2507-H2507</f>
        <v>13.99</v>
      </c>
      <c r="L2507" s="14" t="n">
        <f aca="false">G2507-H2507</f>
        <v>-2.01</v>
      </c>
    </row>
    <row r="2508" customFormat="false" ht="15" hidden="false" customHeight="false" outlineLevel="0" collapsed="false">
      <c r="A2508" s="2" t="s">
        <v>126</v>
      </c>
      <c r="B2508" s="2" t="s">
        <v>126</v>
      </c>
      <c r="C2508" s="2" t="s">
        <v>48</v>
      </c>
      <c r="D2508" s="2" t="s">
        <v>12</v>
      </c>
      <c r="E2508" s="2" t="s">
        <v>76</v>
      </c>
      <c r="F2508" s="2" t="s">
        <v>1145</v>
      </c>
      <c r="G2508" s="14" t="n">
        <v>9.5</v>
      </c>
      <c r="H2508" s="14" t="n">
        <v>9.94</v>
      </c>
      <c r="I2508" s="14" t="n">
        <v>9.5</v>
      </c>
      <c r="J2508" s="22" t="n">
        <f aca="false">IF(E2508="Priority",'Cost model'!N383,'Cost model'!M383)</f>
        <v>27.5</v>
      </c>
      <c r="K2508" s="14" t="n">
        <f aca="false">J2508-H2508</f>
        <v>17.56</v>
      </c>
      <c r="L2508" s="14" t="n">
        <f aca="false">G2508-H2508</f>
        <v>-0.44</v>
      </c>
    </row>
    <row r="2509" customFormat="false" ht="15" hidden="false" customHeight="false" outlineLevel="0" collapsed="false">
      <c r="A2509" s="2" t="s">
        <v>146</v>
      </c>
      <c r="B2509" s="2" t="s">
        <v>165</v>
      </c>
      <c r="C2509" s="2" t="s">
        <v>48</v>
      </c>
      <c r="D2509" s="2" t="s">
        <v>10</v>
      </c>
      <c r="E2509" s="2" t="s">
        <v>76</v>
      </c>
      <c r="F2509" s="2" t="s">
        <v>1146</v>
      </c>
      <c r="G2509" s="14" t="n">
        <v>9.5</v>
      </c>
      <c r="H2509" s="14" t="n">
        <v>10.53</v>
      </c>
      <c r="I2509" s="14" t="n">
        <v>14.5</v>
      </c>
      <c r="J2509" s="22" t="n">
        <f aca="false">IF(E2509="Priority",'Cost model'!N776,'Cost model'!M776)</f>
        <v>13.5</v>
      </c>
      <c r="K2509" s="14" t="n">
        <f aca="false">J2509-H2509</f>
        <v>2.97</v>
      </c>
      <c r="L2509" s="14" t="n">
        <f aca="false">G2509-H2509</f>
        <v>-1.03</v>
      </c>
    </row>
    <row r="2510" customFormat="false" ht="15" hidden="false" customHeight="false" outlineLevel="0" collapsed="false">
      <c r="A2510" s="2" t="s">
        <v>126</v>
      </c>
      <c r="B2510" s="2" t="s">
        <v>126</v>
      </c>
      <c r="C2510" s="2" t="s">
        <v>49</v>
      </c>
      <c r="D2510" s="2" t="s">
        <v>12</v>
      </c>
      <c r="E2510" s="2" t="s">
        <v>76</v>
      </c>
      <c r="F2510" s="2" t="s">
        <v>1145</v>
      </c>
      <c r="G2510" s="14" t="n">
        <v>24.5</v>
      </c>
      <c r="H2510" s="14" t="n">
        <v>53.21</v>
      </c>
      <c r="I2510" s="14" t="n">
        <v>12.5</v>
      </c>
      <c r="J2510" s="22" t="n">
        <f aca="false">IF(E2510="Priority",'Cost model'!N384,'Cost model'!M384)</f>
        <v>45</v>
      </c>
      <c r="K2510" s="14" t="n">
        <f aca="false">J2510-H2510</f>
        <v>-8.21</v>
      </c>
      <c r="L2510" s="14" t="n">
        <f aca="false">G2510-H2510</f>
        <v>-28.71</v>
      </c>
    </row>
    <row r="2511" customFormat="false" ht="15" hidden="false" customHeight="false" outlineLevel="0" collapsed="false">
      <c r="A2511" s="2" t="s">
        <v>184</v>
      </c>
      <c r="B2511" s="2" t="s">
        <v>184</v>
      </c>
      <c r="C2511" s="2" t="s">
        <v>48</v>
      </c>
      <c r="D2511" s="2" t="s">
        <v>14</v>
      </c>
      <c r="E2511" s="2" t="s">
        <v>76</v>
      </c>
      <c r="F2511" s="2" t="s">
        <v>1145</v>
      </c>
      <c r="G2511" s="14" t="n">
        <v>25</v>
      </c>
      <c r="H2511" s="14" t="n">
        <v>149.02</v>
      </c>
      <c r="I2511" s="14" t="n">
        <v>25</v>
      </c>
      <c r="J2511" s="22" t="n">
        <f aca="false">IF(E2511="Priority",'Cost model'!N209,'Cost model'!M209)</f>
        <v>105</v>
      </c>
      <c r="K2511" s="14" t="n">
        <f aca="false">J2511-H2511</f>
        <v>-44.02</v>
      </c>
      <c r="L2511" s="14" t="n">
        <f aca="false">G2511-H2511</f>
        <v>-124.02</v>
      </c>
    </row>
    <row r="2512" customFormat="false" ht="15" hidden="false" customHeight="false" outlineLevel="0" collapsed="false">
      <c r="A2512" s="2" t="s">
        <v>184</v>
      </c>
      <c r="B2512" s="2" t="s">
        <v>184</v>
      </c>
      <c r="C2512" s="2" t="s">
        <v>50</v>
      </c>
      <c r="D2512" s="2" t="s">
        <v>13</v>
      </c>
      <c r="E2512" s="2" t="s">
        <v>76</v>
      </c>
      <c r="F2512" s="2" t="s">
        <v>1145</v>
      </c>
      <c r="G2512" s="14" t="n">
        <v>50</v>
      </c>
      <c r="H2512" s="14" t="n">
        <v>64.16</v>
      </c>
      <c r="I2512" s="14" t="n">
        <v>50</v>
      </c>
      <c r="J2512" s="22" t="n">
        <f aca="false">IF(E2512="Priority",'Cost model'!N208,'Cost model'!M208)</f>
        <v>80</v>
      </c>
      <c r="K2512" s="14" t="n">
        <f aca="false">J2512-H2512</f>
        <v>15.84</v>
      </c>
      <c r="L2512" s="14" t="n">
        <f aca="false">G2512-H2512</f>
        <v>-14.16</v>
      </c>
    </row>
    <row r="2513" customFormat="false" ht="15" hidden="false" customHeight="false" outlineLevel="0" collapsed="false">
      <c r="A2513" s="2" t="s">
        <v>146</v>
      </c>
      <c r="B2513" s="2" t="s">
        <v>146</v>
      </c>
      <c r="C2513" s="2" t="s">
        <v>49</v>
      </c>
      <c r="D2513" s="2" t="s">
        <v>12</v>
      </c>
      <c r="E2513" s="2" t="s">
        <v>76</v>
      </c>
      <c r="F2513" s="2" t="s">
        <v>1145</v>
      </c>
      <c r="G2513" s="14" t="n">
        <v>14.5</v>
      </c>
      <c r="H2513" s="14" t="n">
        <v>44.37</v>
      </c>
      <c r="I2513" s="14" t="n">
        <v>12.5</v>
      </c>
      <c r="J2513" s="22" t="n">
        <f aca="false">IF(E2513="Priority",'Cost model'!N762,'Cost model'!M762)</f>
        <v>45</v>
      </c>
      <c r="K2513" s="14" t="n">
        <f aca="false">J2513-H2513</f>
        <v>0.630000000000003</v>
      </c>
      <c r="L2513" s="14" t="n">
        <f aca="false">G2513-H2513</f>
        <v>-29.87</v>
      </c>
    </row>
    <row r="2514" customFormat="false" ht="15" hidden="false" customHeight="false" outlineLevel="0" collapsed="false">
      <c r="A2514" s="2" t="s">
        <v>146</v>
      </c>
      <c r="B2514" s="2" t="s">
        <v>146</v>
      </c>
      <c r="C2514" s="2" t="s">
        <v>48</v>
      </c>
      <c r="D2514" s="2" t="s">
        <v>10</v>
      </c>
      <c r="E2514" s="2" t="s">
        <v>85</v>
      </c>
      <c r="F2514" s="2" t="s">
        <v>1145</v>
      </c>
      <c r="G2514" s="14" t="n">
        <v>14.5</v>
      </c>
      <c r="H2514" s="14" t="n">
        <v>8.27</v>
      </c>
      <c r="I2514" s="14" t="n">
        <v>14.5</v>
      </c>
      <c r="J2514" s="22" t="n">
        <f aca="false">IF(E2514="Priority",'Cost model'!N758,'Cost model'!M758)</f>
        <v>14.5</v>
      </c>
      <c r="K2514" s="14" t="n">
        <f aca="false">J2514-H2514</f>
        <v>6.23</v>
      </c>
      <c r="L2514" s="14" t="n">
        <f aca="false">G2514-H2514</f>
        <v>6.23</v>
      </c>
    </row>
    <row r="2515" customFormat="false" ht="15" hidden="false" customHeight="false" outlineLevel="0" collapsed="false">
      <c r="A2515" s="2" t="s">
        <v>184</v>
      </c>
      <c r="B2515" s="2" t="s">
        <v>184</v>
      </c>
      <c r="C2515" s="2" t="s">
        <v>49</v>
      </c>
      <c r="D2515" s="2" t="s">
        <v>12</v>
      </c>
      <c r="E2515" s="2" t="s">
        <v>76</v>
      </c>
      <c r="F2515" s="2" t="s">
        <v>1145</v>
      </c>
      <c r="G2515" s="14" t="n">
        <v>12.5</v>
      </c>
      <c r="H2515" s="14" t="n">
        <v>58.91</v>
      </c>
      <c r="I2515" s="14"/>
      <c r="J2515" s="22" t="n">
        <f aca="false">IF(E2515="Priority",'Cost model'!N204,'Cost model'!M204)</f>
        <v>45</v>
      </c>
      <c r="K2515" s="14" t="n">
        <f aca="false">J2515-H2515</f>
        <v>-13.91</v>
      </c>
      <c r="L2515" s="14" t="n">
        <f aca="false">G2515-H2515</f>
        <v>-46.41</v>
      </c>
    </row>
    <row r="2516" customFormat="false" ht="15" hidden="false" customHeight="false" outlineLevel="0" collapsed="false">
      <c r="A2516" s="2" t="s">
        <v>126</v>
      </c>
      <c r="B2516" s="2" t="s">
        <v>184</v>
      </c>
      <c r="C2516" s="2" t="s">
        <v>48</v>
      </c>
      <c r="D2516" s="2" t="s">
        <v>13</v>
      </c>
      <c r="E2516" s="2" t="s">
        <v>76</v>
      </c>
      <c r="F2516" s="2" t="s">
        <v>1146</v>
      </c>
      <c r="G2516" s="14" t="n">
        <v>24.5</v>
      </c>
      <c r="H2516" s="14" t="n">
        <v>64.08</v>
      </c>
      <c r="I2516" s="14" t="n">
        <v>24.5</v>
      </c>
      <c r="J2516" s="22" t="n">
        <f aca="false">IF(E2516="Priority",'Cost model'!N440,'Cost model'!M440)</f>
        <v>90</v>
      </c>
      <c r="K2516" s="14" t="n">
        <f aca="false">J2516-H2516</f>
        <v>25.92</v>
      </c>
      <c r="L2516" s="14" t="n">
        <f aca="false">G2516-H2516</f>
        <v>-39.58</v>
      </c>
    </row>
    <row r="2517" customFormat="false" ht="15" hidden="false" customHeight="false" outlineLevel="0" collapsed="false">
      <c r="A2517" s="2" t="s">
        <v>184</v>
      </c>
      <c r="B2517" s="2" t="s">
        <v>184</v>
      </c>
      <c r="C2517" s="2" t="s">
        <v>49</v>
      </c>
      <c r="D2517" s="2" t="s">
        <v>12</v>
      </c>
      <c r="E2517" s="2" t="s">
        <v>76</v>
      </c>
      <c r="F2517" s="2" t="s">
        <v>1145</v>
      </c>
      <c r="G2517" s="14" t="n">
        <v>12.5</v>
      </c>
      <c r="H2517" s="14" t="n">
        <v>42.87</v>
      </c>
      <c r="I2517" s="14"/>
      <c r="J2517" s="22" t="n">
        <f aca="false">IF(E2517="Priority",'Cost model'!N204,'Cost model'!M204)</f>
        <v>45</v>
      </c>
      <c r="K2517" s="14" t="n">
        <f aca="false">J2517-H2517</f>
        <v>2.13</v>
      </c>
      <c r="L2517" s="14" t="n">
        <f aca="false">G2517-H2517</f>
        <v>-30.37</v>
      </c>
    </row>
    <row r="2518" customFormat="false" ht="15" hidden="false" customHeight="false" outlineLevel="0" collapsed="false">
      <c r="A2518" s="2" t="s">
        <v>146</v>
      </c>
      <c r="B2518" s="2" t="s">
        <v>146</v>
      </c>
      <c r="C2518" s="2" t="s">
        <v>49</v>
      </c>
      <c r="D2518" s="2" t="s">
        <v>12</v>
      </c>
      <c r="E2518" s="2" t="s">
        <v>76</v>
      </c>
      <c r="F2518" s="2" t="s">
        <v>1145</v>
      </c>
      <c r="G2518" s="14" t="n">
        <v>12.5</v>
      </c>
      <c r="H2518" s="14" t="n">
        <v>25.65</v>
      </c>
      <c r="I2518" s="14" t="n">
        <v>12.5</v>
      </c>
      <c r="J2518" s="22" t="n">
        <f aca="false">IF(E2518="Priority",'Cost model'!N762,'Cost model'!M762)</f>
        <v>45</v>
      </c>
      <c r="K2518" s="14" t="n">
        <f aca="false">J2518-H2518</f>
        <v>19.35</v>
      </c>
      <c r="L2518" s="14" t="n">
        <f aca="false">G2518-H2518</f>
        <v>-13.15</v>
      </c>
    </row>
    <row r="2519" customFormat="false" ht="15" hidden="false" customHeight="false" outlineLevel="0" collapsed="false">
      <c r="A2519" s="2" t="s">
        <v>240</v>
      </c>
      <c r="B2519" s="2" t="s">
        <v>240</v>
      </c>
      <c r="C2519" s="2" t="s">
        <v>49</v>
      </c>
      <c r="D2519" s="2" t="s">
        <v>10</v>
      </c>
      <c r="E2519" s="2" t="s">
        <v>76</v>
      </c>
      <c r="F2519" s="2" t="s">
        <v>1145</v>
      </c>
      <c r="G2519" s="14" t="n">
        <v>12.5</v>
      </c>
      <c r="H2519" s="14" t="n">
        <v>11.51</v>
      </c>
      <c r="I2519" s="14" t="n">
        <v>12.5</v>
      </c>
      <c r="J2519" s="22" t="n">
        <f aca="false">IF(E2519="Priority",'Cost model'!N885,'Cost model'!M885)</f>
        <v>13.5</v>
      </c>
      <c r="K2519" s="14" t="n">
        <f aca="false">J2519-H2519</f>
        <v>1.99</v>
      </c>
      <c r="L2519" s="14" t="n">
        <f aca="false">G2519-H2519</f>
        <v>0.99</v>
      </c>
    </row>
    <row r="2520" customFormat="false" ht="15" hidden="false" customHeight="false" outlineLevel="0" collapsed="false">
      <c r="A2520" s="2" t="s">
        <v>146</v>
      </c>
      <c r="B2520" s="2" t="s">
        <v>146</v>
      </c>
      <c r="C2520" s="2" t="s">
        <v>48</v>
      </c>
      <c r="D2520" s="2" t="s">
        <v>13</v>
      </c>
      <c r="E2520" s="2" t="s">
        <v>76</v>
      </c>
      <c r="F2520" s="2" t="s">
        <v>1145</v>
      </c>
      <c r="G2520" s="14" t="n">
        <v>19</v>
      </c>
      <c r="H2520" s="14" t="n">
        <v>118.98</v>
      </c>
      <c r="I2520" s="14" t="n">
        <v>19</v>
      </c>
      <c r="J2520" s="22" t="n">
        <f aca="false">IF(E2520="Priority",'Cost model'!N764,'Cost model'!M764)</f>
        <v>55</v>
      </c>
      <c r="K2520" s="14" t="n">
        <f aca="false">J2520-H2520</f>
        <v>-63.98</v>
      </c>
      <c r="L2520" s="14" t="n">
        <f aca="false">G2520-H2520</f>
        <v>-99.98</v>
      </c>
    </row>
    <row r="2521" customFormat="false" ht="15" hidden="false" customHeight="false" outlineLevel="0" collapsed="false">
      <c r="A2521" s="2" t="s">
        <v>184</v>
      </c>
      <c r="B2521" s="2" t="s">
        <v>184</v>
      </c>
      <c r="C2521" s="2" t="s">
        <v>50</v>
      </c>
      <c r="D2521" s="2" t="s">
        <v>13</v>
      </c>
      <c r="E2521" s="2" t="s">
        <v>76</v>
      </c>
      <c r="F2521" s="2" t="s">
        <v>1145</v>
      </c>
      <c r="G2521" s="14" t="n">
        <v>50</v>
      </c>
      <c r="H2521" s="14" t="n">
        <v>161.84</v>
      </c>
      <c r="I2521" s="14" t="n">
        <v>50</v>
      </c>
      <c r="J2521" s="22" t="n">
        <f aca="false">IF(E2521="Priority",'Cost model'!N208,'Cost model'!M208)</f>
        <v>80</v>
      </c>
      <c r="K2521" s="14" t="n">
        <f aca="false">J2521-H2521</f>
        <v>-81.84</v>
      </c>
      <c r="L2521" s="14" t="n">
        <f aca="false">G2521-H2521</f>
        <v>-111.84</v>
      </c>
    </row>
    <row r="2522" customFormat="false" ht="15" hidden="false" customHeight="false" outlineLevel="0" collapsed="false">
      <c r="A2522" s="2" t="s">
        <v>184</v>
      </c>
      <c r="B2522" s="2" t="s">
        <v>184</v>
      </c>
      <c r="C2522" s="2" t="s">
        <v>50</v>
      </c>
      <c r="D2522" s="2" t="s">
        <v>12</v>
      </c>
      <c r="E2522" s="2" t="s">
        <v>76</v>
      </c>
      <c r="F2522" s="2" t="s">
        <v>1145</v>
      </c>
      <c r="G2522" s="14" t="n">
        <v>19.5</v>
      </c>
      <c r="H2522" s="14" t="n">
        <v>45.96</v>
      </c>
      <c r="I2522" s="14" t="n">
        <v>19.5</v>
      </c>
      <c r="J2522" s="22" t="n">
        <f aca="false">IF(E2522="Priority",'Cost model'!N205,'Cost model'!M205)</f>
        <v>50</v>
      </c>
      <c r="K2522" s="14" t="n">
        <f aca="false">J2522-H2522</f>
        <v>4.04</v>
      </c>
      <c r="L2522" s="14" t="n">
        <f aca="false">G2522-H2522</f>
        <v>-26.46</v>
      </c>
    </row>
    <row r="2523" customFormat="false" ht="15" hidden="false" customHeight="false" outlineLevel="0" collapsed="false">
      <c r="A2523" s="2" t="s">
        <v>184</v>
      </c>
      <c r="B2523" s="2" t="s">
        <v>146</v>
      </c>
      <c r="C2523" s="2" t="s">
        <v>49</v>
      </c>
      <c r="D2523" s="2" t="s">
        <v>12</v>
      </c>
      <c r="E2523" s="2" t="s">
        <v>76</v>
      </c>
      <c r="F2523" s="2" t="s">
        <v>1146</v>
      </c>
      <c r="G2523" s="14" t="n">
        <v>12.5</v>
      </c>
      <c r="H2523" s="14" t="n">
        <v>49.21</v>
      </c>
      <c r="I2523" s="14"/>
      <c r="J2523" s="22" t="n">
        <f aca="false">IF(E2523="Priority",'Cost model'!N150,'Cost model'!M150)</f>
        <v>55</v>
      </c>
      <c r="K2523" s="14" t="n">
        <f aca="false">J2523-H2523</f>
        <v>5.79</v>
      </c>
      <c r="L2523" s="14" t="n">
        <f aca="false">G2523-H2523</f>
        <v>-36.71</v>
      </c>
    </row>
    <row r="2524" customFormat="false" ht="15" hidden="false" customHeight="false" outlineLevel="0" collapsed="false">
      <c r="A2524" s="2" t="s">
        <v>184</v>
      </c>
      <c r="B2524" s="2" t="s">
        <v>184</v>
      </c>
      <c r="C2524" s="2" t="s">
        <v>49</v>
      </c>
      <c r="D2524" s="2" t="s">
        <v>10</v>
      </c>
      <c r="E2524" s="2" t="s">
        <v>76</v>
      </c>
      <c r="F2524" s="2" t="s">
        <v>1145</v>
      </c>
      <c r="G2524" s="14" t="n">
        <v>19.5</v>
      </c>
      <c r="H2524" s="14" t="n">
        <v>41.18</v>
      </c>
      <c r="I2524" s="14"/>
      <c r="J2524" s="22" t="n">
        <f aca="false">IF(E2524="Priority",'Cost model'!N201,'Cost model'!M201)</f>
        <v>12.5</v>
      </c>
      <c r="K2524" s="14" t="n">
        <f aca="false">J2524-H2524</f>
        <v>-28.68</v>
      </c>
      <c r="L2524" s="14" t="n">
        <f aca="false">G2524-H2524</f>
        <v>-21.68</v>
      </c>
    </row>
    <row r="2525" customFormat="false" ht="15" hidden="false" customHeight="false" outlineLevel="0" collapsed="false">
      <c r="A2525" s="2" t="s">
        <v>126</v>
      </c>
      <c r="B2525" s="2" t="s">
        <v>165</v>
      </c>
      <c r="C2525" s="2" t="s">
        <v>48</v>
      </c>
      <c r="D2525" s="2" t="s">
        <v>12</v>
      </c>
      <c r="E2525" s="2" t="s">
        <v>76</v>
      </c>
      <c r="F2525" s="2" t="s">
        <v>1146</v>
      </c>
      <c r="G2525" s="14" t="n">
        <v>19.5</v>
      </c>
      <c r="H2525" s="14" t="n">
        <v>83.03</v>
      </c>
      <c r="I2525" s="14" t="n">
        <v>19.5</v>
      </c>
      <c r="J2525" s="22" t="n">
        <f aca="false">IF(E2525="Priority",'Cost model'!N419,'Cost model'!M419)</f>
        <v>55</v>
      </c>
      <c r="K2525" s="14" t="n">
        <f aca="false">J2525-H2525</f>
        <v>-28.03</v>
      </c>
      <c r="L2525" s="14" t="n">
        <f aca="false">G2525-H2525</f>
        <v>-63.53</v>
      </c>
    </row>
    <row r="2526" customFormat="false" ht="15" hidden="false" customHeight="false" outlineLevel="0" collapsed="false">
      <c r="A2526" s="2" t="s">
        <v>126</v>
      </c>
      <c r="B2526" s="2" t="s">
        <v>126</v>
      </c>
      <c r="C2526" s="2" t="s">
        <v>48</v>
      </c>
      <c r="D2526" s="2" t="s">
        <v>12</v>
      </c>
      <c r="E2526" s="2" t="s">
        <v>76</v>
      </c>
      <c r="F2526" s="2" t="s">
        <v>1145</v>
      </c>
      <c r="G2526" s="14" t="n">
        <v>9.5</v>
      </c>
      <c r="H2526" s="14" t="n">
        <v>31.67</v>
      </c>
      <c r="I2526" s="14" t="n">
        <v>9.5</v>
      </c>
      <c r="J2526" s="22" t="n">
        <f aca="false">IF(E2526="Priority",'Cost model'!N383,'Cost model'!M383)</f>
        <v>27.5</v>
      </c>
      <c r="K2526" s="14" t="n">
        <f aca="false">J2526-H2526</f>
        <v>-4.17</v>
      </c>
      <c r="L2526" s="14" t="n">
        <f aca="false">G2526-H2526</f>
        <v>-22.17</v>
      </c>
    </row>
    <row r="2527" customFormat="false" ht="15" hidden="false" customHeight="false" outlineLevel="0" collapsed="false">
      <c r="A2527" s="2" t="s">
        <v>146</v>
      </c>
      <c r="B2527" s="2" t="s">
        <v>126</v>
      </c>
      <c r="C2527" s="2" t="s">
        <v>50</v>
      </c>
      <c r="D2527" s="2" t="s">
        <v>10</v>
      </c>
      <c r="E2527" s="2" t="s">
        <v>76</v>
      </c>
      <c r="F2527" s="2" t="s">
        <v>1146</v>
      </c>
      <c r="G2527" s="14" t="n">
        <v>17.5</v>
      </c>
      <c r="H2527" s="14" t="n">
        <v>15.65</v>
      </c>
      <c r="I2527" s="14" t="n">
        <v>17.5</v>
      </c>
      <c r="J2527" s="22" t="n">
        <f aca="false">IF(E2527="Priority",'Cost model'!N796,'Cost model'!M796)</f>
        <v>17.5</v>
      </c>
      <c r="K2527" s="14" t="n">
        <f aca="false">J2527-H2527</f>
        <v>1.85</v>
      </c>
      <c r="L2527" s="14" t="n">
        <f aca="false">G2527-H2527</f>
        <v>1.85</v>
      </c>
    </row>
    <row r="2528" customFormat="false" ht="15" hidden="false" customHeight="false" outlineLevel="0" collapsed="false">
      <c r="A2528" s="2" t="s">
        <v>184</v>
      </c>
      <c r="B2528" s="2" t="s">
        <v>146</v>
      </c>
      <c r="C2528" s="2" t="s">
        <v>49</v>
      </c>
      <c r="D2528" s="2" t="s">
        <v>13</v>
      </c>
      <c r="E2528" s="2" t="s">
        <v>76</v>
      </c>
      <c r="F2528" s="2" t="s">
        <v>1146</v>
      </c>
      <c r="G2528" s="14" t="n">
        <v>24.5</v>
      </c>
      <c r="H2528" s="14" t="n">
        <v>48.7</v>
      </c>
      <c r="I2528" s="14"/>
      <c r="J2528" s="22" t="n">
        <f aca="false">IF(E2528="Priority",'Cost model'!N153,'Cost model'!M153)</f>
        <v>100</v>
      </c>
      <c r="K2528" s="14" t="n">
        <f aca="false">J2528-H2528</f>
        <v>51.3</v>
      </c>
      <c r="L2528" s="14" t="n">
        <f aca="false">G2528-H2528</f>
        <v>-24.2</v>
      </c>
    </row>
    <row r="2529" customFormat="false" ht="15" hidden="false" customHeight="false" outlineLevel="0" collapsed="false">
      <c r="A2529" s="2" t="s">
        <v>126</v>
      </c>
      <c r="B2529" s="2" t="s">
        <v>126</v>
      </c>
      <c r="C2529" s="2" t="s">
        <v>49</v>
      </c>
      <c r="D2529" s="2" t="s">
        <v>12</v>
      </c>
      <c r="E2529" s="2" t="s">
        <v>85</v>
      </c>
      <c r="F2529" s="2" t="s">
        <v>1145</v>
      </c>
      <c r="G2529" s="14" t="n">
        <v>19.5</v>
      </c>
      <c r="H2529" s="14" t="n">
        <v>59.52</v>
      </c>
      <c r="I2529" s="14" t="n">
        <v>19.5</v>
      </c>
      <c r="J2529" s="22" t="n">
        <f aca="false">IF(E2529="Priority",'Cost model'!N384,'Cost model'!M384)</f>
        <v>60</v>
      </c>
      <c r="K2529" s="14" t="n">
        <f aca="false">J2529-H2529</f>
        <v>0.479999999999997</v>
      </c>
      <c r="L2529" s="14" t="n">
        <f aca="false">G2529-H2529</f>
        <v>-40.02</v>
      </c>
    </row>
    <row r="2530" customFormat="false" ht="15" hidden="false" customHeight="false" outlineLevel="0" collapsed="false">
      <c r="A2530" s="2" t="s">
        <v>221</v>
      </c>
      <c r="B2530" s="2" t="s">
        <v>165</v>
      </c>
      <c r="C2530" s="2" t="s">
        <v>49</v>
      </c>
      <c r="D2530" s="2" t="s">
        <v>10</v>
      </c>
      <c r="E2530" s="2" t="s">
        <v>76</v>
      </c>
      <c r="F2530" s="2" t="s">
        <v>1146</v>
      </c>
      <c r="G2530" s="14" t="n">
        <v>12.5</v>
      </c>
      <c r="H2530" s="14" t="n">
        <v>15.05</v>
      </c>
      <c r="I2530" s="14"/>
      <c r="J2530" s="22" t="n">
        <f aca="false">IF(E2530="Priority",'Cost model'!N741,'Cost model'!M741)</f>
        <v>16.5</v>
      </c>
      <c r="K2530" s="14" t="n">
        <f aca="false">J2530-H2530</f>
        <v>1.45</v>
      </c>
      <c r="L2530" s="14" t="n">
        <f aca="false">G2530-H2530</f>
        <v>-2.55</v>
      </c>
    </row>
    <row r="2531" customFormat="false" ht="15" hidden="false" customHeight="false" outlineLevel="0" collapsed="false">
      <c r="A2531" s="2" t="s">
        <v>240</v>
      </c>
      <c r="B2531" s="2" t="s">
        <v>240</v>
      </c>
      <c r="C2531" s="2" t="s">
        <v>48</v>
      </c>
      <c r="D2531" s="2" t="s">
        <v>10</v>
      </c>
      <c r="E2531" s="2" t="s">
        <v>76</v>
      </c>
      <c r="F2531" s="2" t="s">
        <v>1145</v>
      </c>
      <c r="G2531" s="14" t="n">
        <v>9.5</v>
      </c>
      <c r="H2531" s="14" t="n">
        <v>7.43</v>
      </c>
      <c r="I2531" s="14" t="n">
        <v>9.5</v>
      </c>
      <c r="J2531" s="22" t="n">
        <f aca="false">IF(E2531="Priority",'Cost model'!N884,'Cost model'!M884)</f>
        <v>7.5</v>
      </c>
      <c r="K2531" s="14" t="n">
        <f aca="false">J2531-H2531</f>
        <v>0.0700000000000003</v>
      </c>
      <c r="L2531" s="14" t="n">
        <f aca="false">G2531-H2531</f>
        <v>2.07</v>
      </c>
    </row>
    <row r="2532" customFormat="false" ht="15" hidden="false" customHeight="false" outlineLevel="0" collapsed="false">
      <c r="A2532" s="2" t="s">
        <v>126</v>
      </c>
      <c r="B2532" s="2" t="s">
        <v>126</v>
      </c>
      <c r="C2532" s="2" t="s">
        <v>49</v>
      </c>
      <c r="D2532" s="2" t="s">
        <v>12</v>
      </c>
      <c r="E2532" s="2" t="s">
        <v>76</v>
      </c>
      <c r="F2532" s="2" t="s">
        <v>1145</v>
      </c>
      <c r="G2532" s="14" t="n">
        <v>12.5</v>
      </c>
      <c r="H2532" s="14" t="n">
        <v>58.09</v>
      </c>
      <c r="I2532" s="14" t="n">
        <v>12.5</v>
      </c>
      <c r="J2532" s="22" t="n">
        <f aca="false">IF(E2532="Priority",'Cost model'!N384,'Cost model'!M384)</f>
        <v>45</v>
      </c>
      <c r="K2532" s="14" t="n">
        <f aca="false">J2532-H2532</f>
        <v>-13.09</v>
      </c>
      <c r="L2532" s="14" t="n">
        <f aca="false">G2532-H2532</f>
        <v>-45.59</v>
      </c>
    </row>
    <row r="2533" customFormat="false" ht="15" hidden="false" customHeight="false" outlineLevel="0" collapsed="false">
      <c r="A2533" s="2" t="s">
        <v>184</v>
      </c>
      <c r="B2533" s="2" t="s">
        <v>184</v>
      </c>
      <c r="C2533" s="2" t="s">
        <v>50</v>
      </c>
      <c r="D2533" s="2" t="s">
        <v>12</v>
      </c>
      <c r="E2533" s="2" t="s">
        <v>76</v>
      </c>
      <c r="F2533" s="2" t="s">
        <v>1145</v>
      </c>
      <c r="G2533" s="14" t="n">
        <v>19.5</v>
      </c>
      <c r="H2533" s="14" t="n">
        <v>20.55</v>
      </c>
      <c r="I2533" s="14" t="n">
        <v>19.5</v>
      </c>
      <c r="J2533" s="22" t="n">
        <f aca="false">IF(E2533="Priority",'Cost model'!N205,'Cost model'!M205)</f>
        <v>50</v>
      </c>
      <c r="K2533" s="14" t="n">
        <f aca="false">J2533-H2533</f>
        <v>29.45</v>
      </c>
      <c r="L2533" s="14" t="n">
        <f aca="false">G2533-H2533</f>
        <v>-1.05</v>
      </c>
    </row>
    <row r="2534" customFormat="false" ht="15" hidden="false" customHeight="false" outlineLevel="0" collapsed="false">
      <c r="A2534" s="2" t="s">
        <v>126</v>
      </c>
      <c r="B2534" s="2" t="s">
        <v>126</v>
      </c>
      <c r="C2534" s="2" t="s">
        <v>48</v>
      </c>
      <c r="D2534" s="2" t="s">
        <v>12</v>
      </c>
      <c r="E2534" s="2" t="s">
        <v>76</v>
      </c>
      <c r="F2534" s="2" t="s">
        <v>1145</v>
      </c>
      <c r="G2534" s="14" t="n">
        <v>9.5</v>
      </c>
      <c r="H2534" s="14" t="n">
        <v>29.58</v>
      </c>
      <c r="I2534" s="14" t="n">
        <v>9.5</v>
      </c>
      <c r="J2534" s="22" t="n">
        <f aca="false">IF(E2534="Priority",'Cost model'!N383,'Cost model'!M383)</f>
        <v>27.5</v>
      </c>
      <c r="K2534" s="14" t="n">
        <f aca="false">J2534-H2534</f>
        <v>-2.08</v>
      </c>
      <c r="L2534" s="14" t="n">
        <f aca="false">G2534-H2534</f>
        <v>-20.08</v>
      </c>
    </row>
    <row r="2535" customFormat="false" ht="15" hidden="false" customHeight="false" outlineLevel="0" collapsed="false">
      <c r="A2535" s="2" t="s">
        <v>184</v>
      </c>
      <c r="B2535" s="2" t="s">
        <v>184</v>
      </c>
      <c r="C2535" s="2" t="s">
        <v>50</v>
      </c>
      <c r="D2535" s="2" t="s">
        <v>12</v>
      </c>
      <c r="E2535" s="2" t="s">
        <v>76</v>
      </c>
      <c r="F2535" s="2" t="s">
        <v>1145</v>
      </c>
      <c r="G2535" s="14" t="n">
        <v>19.5</v>
      </c>
      <c r="H2535" s="14" t="n">
        <v>35.05</v>
      </c>
      <c r="I2535" s="14" t="n">
        <v>19.5</v>
      </c>
      <c r="J2535" s="22" t="n">
        <f aca="false">IF(E2535="Priority",'Cost model'!N205,'Cost model'!M205)</f>
        <v>50</v>
      </c>
      <c r="K2535" s="14" t="n">
        <f aca="false">J2535-H2535</f>
        <v>14.95</v>
      </c>
      <c r="L2535" s="14" t="n">
        <f aca="false">G2535-H2535</f>
        <v>-15.55</v>
      </c>
    </row>
    <row r="2536" customFormat="false" ht="15" hidden="false" customHeight="false" outlineLevel="0" collapsed="false">
      <c r="A2536" s="2" t="s">
        <v>126</v>
      </c>
      <c r="B2536" s="2" t="s">
        <v>126</v>
      </c>
      <c r="C2536" s="2" t="s">
        <v>49</v>
      </c>
      <c r="D2536" s="2" t="s">
        <v>10</v>
      </c>
      <c r="E2536" s="2" t="s">
        <v>76</v>
      </c>
      <c r="F2536" s="2" t="s">
        <v>1145</v>
      </c>
      <c r="G2536" s="14" t="n">
        <v>14.5</v>
      </c>
      <c r="H2536" s="14" t="n">
        <v>41.77</v>
      </c>
      <c r="I2536" s="14" t="n">
        <v>12.5</v>
      </c>
      <c r="J2536" s="22" t="n">
        <f aca="false">IF(E2536="Priority",'Cost model'!N381,'Cost model'!M381)</f>
        <v>14.5</v>
      </c>
      <c r="K2536" s="14" t="n">
        <f aca="false">J2536-H2536</f>
        <v>-27.27</v>
      </c>
      <c r="L2536" s="14" t="n">
        <f aca="false">G2536-H2536</f>
        <v>-27.27</v>
      </c>
    </row>
    <row r="2537" customFormat="false" ht="15" hidden="false" customHeight="false" outlineLevel="0" collapsed="false">
      <c r="A2537" s="2" t="s">
        <v>240</v>
      </c>
      <c r="B2537" s="2" t="s">
        <v>240</v>
      </c>
      <c r="C2537" s="2" t="s">
        <v>50</v>
      </c>
      <c r="D2537" s="2" t="s">
        <v>12</v>
      </c>
      <c r="E2537" s="2" t="s">
        <v>76</v>
      </c>
      <c r="F2537" s="2" t="s">
        <v>1145</v>
      </c>
      <c r="G2537" s="14" t="n">
        <v>19.5</v>
      </c>
      <c r="H2537" s="14" t="n">
        <v>42.44</v>
      </c>
      <c r="I2537" s="14" t="n">
        <v>19.5</v>
      </c>
      <c r="J2537" s="22" t="n">
        <f aca="false">IF(E2537="Priority",'Cost model'!N889,'Cost model'!M889)</f>
        <v>60</v>
      </c>
      <c r="K2537" s="14" t="n">
        <f aca="false">J2537-H2537</f>
        <v>17.56</v>
      </c>
      <c r="L2537" s="14" t="n">
        <f aca="false">G2537-H2537</f>
        <v>-22.94</v>
      </c>
    </row>
    <row r="2538" customFormat="false" ht="15" hidden="false" customHeight="false" outlineLevel="0" collapsed="false">
      <c r="A2538" s="2" t="s">
        <v>184</v>
      </c>
      <c r="B2538" s="2" t="s">
        <v>126</v>
      </c>
      <c r="C2538" s="2" t="s">
        <v>49</v>
      </c>
      <c r="D2538" s="2" t="s">
        <v>13</v>
      </c>
      <c r="E2538" s="2" t="s">
        <v>76</v>
      </c>
      <c r="F2538" s="2" t="s">
        <v>1146</v>
      </c>
      <c r="G2538" s="14" t="n">
        <v>24.5</v>
      </c>
      <c r="H2538" s="14" t="n">
        <v>56.01</v>
      </c>
      <c r="I2538" s="14"/>
      <c r="J2538" s="22" t="n">
        <f aca="false">IF(E2538="Priority",'Cost model'!N135,'Cost model'!M135)</f>
        <v>80</v>
      </c>
      <c r="K2538" s="14" t="n">
        <f aca="false">J2538-H2538</f>
        <v>23.99</v>
      </c>
      <c r="L2538" s="14" t="n">
        <f aca="false">G2538-H2538</f>
        <v>-31.51</v>
      </c>
    </row>
    <row r="2539" customFormat="false" ht="15" hidden="false" customHeight="false" outlineLevel="0" collapsed="false">
      <c r="A2539" s="2" t="s">
        <v>126</v>
      </c>
      <c r="B2539" s="2" t="s">
        <v>184</v>
      </c>
      <c r="C2539" s="2" t="s">
        <v>50</v>
      </c>
      <c r="D2539" s="2" t="s">
        <v>12</v>
      </c>
      <c r="E2539" s="2" t="s">
        <v>76</v>
      </c>
      <c r="F2539" s="2" t="s">
        <v>1146</v>
      </c>
      <c r="G2539" s="14" t="n">
        <v>19.5</v>
      </c>
      <c r="H2539" s="14" t="n">
        <v>86.5</v>
      </c>
      <c r="I2539" s="14" t="n">
        <v>19.5</v>
      </c>
      <c r="J2539" s="22" t="n">
        <f aca="false">IF(E2539="Priority",'Cost model'!N439,'Cost model'!M439)</f>
        <v>60</v>
      </c>
      <c r="K2539" s="14" t="n">
        <f aca="false">J2539-H2539</f>
        <v>-26.5</v>
      </c>
      <c r="L2539" s="14" t="n">
        <f aca="false">G2539-H2539</f>
        <v>-67</v>
      </c>
    </row>
    <row r="2540" customFormat="false" ht="15" hidden="false" customHeight="false" outlineLevel="0" collapsed="false">
      <c r="A2540" s="2" t="s">
        <v>126</v>
      </c>
      <c r="B2540" s="2" t="s">
        <v>126</v>
      </c>
      <c r="C2540" s="2" t="s">
        <v>50</v>
      </c>
      <c r="D2540" s="2" t="s">
        <v>14</v>
      </c>
      <c r="E2540" s="2" t="s">
        <v>76</v>
      </c>
      <c r="F2540" s="2" t="s">
        <v>1145</v>
      </c>
      <c r="G2540" s="14" t="n">
        <v>85</v>
      </c>
      <c r="H2540" s="14" t="n">
        <v>196.78</v>
      </c>
      <c r="I2540" s="14" t="n">
        <v>85</v>
      </c>
      <c r="J2540" s="22" t="n">
        <f aca="false">IF(E2540="Priority",'Cost model'!N391,'Cost model'!M391)</f>
        <v>170</v>
      </c>
      <c r="K2540" s="14" t="n">
        <f aca="false">J2540-H2540</f>
        <v>-26.78</v>
      </c>
      <c r="L2540" s="14" t="n">
        <f aca="false">G2540-H2540</f>
        <v>-111.78</v>
      </c>
    </row>
    <row r="2541" customFormat="false" ht="15" hidden="false" customHeight="false" outlineLevel="0" collapsed="false">
      <c r="A2541" s="2" t="s">
        <v>126</v>
      </c>
      <c r="B2541" s="2" t="s">
        <v>126</v>
      </c>
      <c r="C2541" s="2" t="s">
        <v>49</v>
      </c>
      <c r="D2541" s="2" t="s">
        <v>12</v>
      </c>
      <c r="E2541" s="2" t="s">
        <v>85</v>
      </c>
      <c r="F2541" s="2" t="s">
        <v>1145</v>
      </c>
      <c r="G2541" s="14" t="n">
        <v>19.5</v>
      </c>
      <c r="H2541" s="14" t="n">
        <v>81.97</v>
      </c>
      <c r="I2541" s="14" t="n">
        <v>19.5</v>
      </c>
      <c r="J2541" s="22" t="n">
        <f aca="false">IF(E2541="Priority",'Cost model'!N384,'Cost model'!M384)</f>
        <v>60</v>
      </c>
      <c r="K2541" s="14" t="n">
        <f aca="false">J2541-H2541</f>
        <v>-21.97</v>
      </c>
      <c r="L2541" s="14" t="n">
        <f aca="false">G2541-H2541</f>
        <v>-62.47</v>
      </c>
    </row>
    <row r="2542" customFormat="false" ht="15" hidden="false" customHeight="false" outlineLevel="0" collapsed="false">
      <c r="A2542" s="2" t="s">
        <v>126</v>
      </c>
      <c r="B2542" s="2" t="s">
        <v>184</v>
      </c>
      <c r="C2542" s="2" t="s">
        <v>49</v>
      </c>
      <c r="D2542" s="2" t="s">
        <v>10</v>
      </c>
      <c r="E2542" s="2" t="s">
        <v>76</v>
      </c>
      <c r="F2542" s="2" t="s">
        <v>1146</v>
      </c>
      <c r="G2542" s="14" t="n">
        <v>12.5</v>
      </c>
      <c r="H2542" s="14" t="n">
        <v>17.69</v>
      </c>
      <c r="I2542" s="14" t="n">
        <v>14.5</v>
      </c>
      <c r="J2542" s="22" t="n">
        <f aca="false">IF(E2542="Priority",'Cost model'!N435,'Cost model'!M435)</f>
        <v>15.5</v>
      </c>
      <c r="K2542" s="14" t="n">
        <f aca="false">J2542-H2542</f>
        <v>-2.19</v>
      </c>
      <c r="L2542" s="14" t="n">
        <f aca="false">G2542-H2542</f>
        <v>-5.19</v>
      </c>
    </row>
    <row r="2543" customFormat="false" ht="15" hidden="false" customHeight="false" outlineLevel="0" collapsed="false">
      <c r="A2543" s="2" t="s">
        <v>126</v>
      </c>
      <c r="B2543" s="2" t="s">
        <v>165</v>
      </c>
      <c r="C2543" s="2" t="s">
        <v>49</v>
      </c>
      <c r="D2543" s="2" t="s">
        <v>12</v>
      </c>
      <c r="E2543" s="2" t="s">
        <v>76</v>
      </c>
      <c r="F2543" s="2" t="s">
        <v>1146</v>
      </c>
      <c r="G2543" s="14" t="n">
        <v>12.5</v>
      </c>
      <c r="H2543" s="14" t="n">
        <v>24.63</v>
      </c>
      <c r="I2543" s="14" t="n">
        <v>19.5</v>
      </c>
      <c r="J2543" s="22" t="n">
        <f aca="false">IF(E2543="Priority",'Cost model'!N420,'Cost model'!M420)</f>
        <v>60</v>
      </c>
      <c r="K2543" s="14" t="n">
        <f aca="false">J2543-H2543</f>
        <v>35.37</v>
      </c>
      <c r="L2543" s="14" t="n">
        <f aca="false">G2543-H2543</f>
        <v>-12.13</v>
      </c>
    </row>
    <row r="2544" customFormat="false" ht="15" hidden="false" customHeight="false" outlineLevel="0" collapsed="false">
      <c r="A2544" s="2" t="s">
        <v>184</v>
      </c>
      <c r="B2544" s="2" t="s">
        <v>165</v>
      </c>
      <c r="C2544" s="2" t="s">
        <v>48</v>
      </c>
      <c r="D2544" s="2" t="s">
        <v>14</v>
      </c>
      <c r="E2544" s="2" t="s">
        <v>76</v>
      </c>
      <c r="F2544" s="2" t="s">
        <v>1146</v>
      </c>
      <c r="G2544" s="14" t="n">
        <v>45</v>
      </c>
      <c r="H2544" s="14" t="n">
        <v>66.74</v>
      </c>
      <c r="I2544" s="14" t="n">
        <v>85</v>
      </c>
      <c r="J2544" s="22" t="n">
        <f aca="false">IF(E2544="Priority",'Cost model'!N173,'Cost model'!M173)</f>
        <v>125</v>
      </c>
      <c r="K2544" s="14" t="n">
        <f aca="false">J2544-H2544</f>
        <v>58.26</v>
      </c>
      <c r="L2544" s="14" t="n">
        <f aca="false">G2544-H2544</f>
        <v>-21.74</v>
      </c>
    </row>
    <row r="2545" customFormat="false" ht="15" hidden="false" customHeight="false" outlineLevel="0" collapsed="false">
      <c r="A2545" s="2" t="s">
        <v>126</v>
      </c>
      <c r="B2545" s="2" t="s">
        <v>126</v>
      </c>
      <c r="C2545" s="2" t="s">
        <v>48</v>
      </c>
      <c r="D2545" s="2" t="s">
        <v>15</v>
      </c>
      <c r="E2545" s="2" t="s">
        <v>76</v>
      </c>
      <c r="F2545" s="2" t="s">
        <v>1145</v>
      </c>
      <c r="G2545" s="14" t="n">
        <v>45</v>
      </c>
      <c r="H2545" s="14" t="n">
        <v>100.38</v>
      </c>
      <c r="I2545" s="14" t="n">
        <v>45</v>
      </c>
      <c r="J2545" s="22" t="n">
        <f aca="false">IF(E2545="Priority",'Cost model'!N392,'Cost model'!M392)</f>
        <v>115</v>
      </c>
      <c r="K2545" s="14" t="n">
        <f aca="false">J2545-H2545</f>
        <v>14.62</v>
      </c>
      <c r="L2545" s="14" t="n">
        <f aca="false">G2545-H2545</f>
        <v>-55.38</v>
      </c>
    </row>
    <row r="2546" customFormat="false" ht="15" hidden="false" customHeight="false" outlineLevel="0" collapsed="false">
      <c r="A2546" s="2" t="s">
        <v>240</v>
      </c>
      <c r="B2546" s="2" t="s">
        <v>240</v>
      </c>
      <c r="C2546" s="2" t="s">
        <v>48</v>
      </c>
      <c r="D2546" s="2" t="s">
        <v>10</v>
      </c>
      <c r="E2546" s="2" t="s">
        <v>76</v>
      </c>
      <c r="F2546" s="2" t="s">
        <v>1145</v>
      </c>
      <c r="G2546" s="14" t="n">
        <v>9.5</v>
      </c>
      <c r="H2546" s="14" t="n">
        <v>7.15</v>
      </c>
      <c r="I2546" s="14" t="n">
        <v>9.5</v>
      </c>
      <c r="J2546" s="22" t="n">
        <f aca="false">IF(E2546="Priority",'Cost model'!N884,'Cost model'!M884)</f>
        <v>7.5</v>
      </c>
      <c r="K2546" s="14" t="n">
        <f aca="false">J2546-H2546</f>
        <v>0.35</v>
      </c>
      <c r="L2546" s="14" t="n">
        <f aca="false">G2546-H2546</f>
        <v>2.35</v>
      </c>
    </row>
    <row r="2547" customFormat="false" ht="15" hidden="false" customHeight="false" outlineLevel="0" collapsed="false">
      <c r="A2547" s="2" t="s">
        <v>126</v>
      </c>
      <c r="B2547" s="2" t="s">
        <v>126</v>
      </c>
      <c r="C2547" s="2" t="s">
        <v>49</v>
      </c>
      <c r="D2547" s="2" t="s">
        <v>10</v>
      </c>
      <c r="E2547" s="2" t="s">
        <v>85</v>
      </c>
      <c r="F2547" s="2" t="s">
        <v>1145</v>
      </c>
      <c r="G2547" s="14" t="n">
        <v>17.5</v>
      </c>
      <c r="H2547" s="14" t="n">
        <v>23.58</v>
      </c>
      <c r="I2547" s="14" t="n">
        <v>17.5</v>
      </c>
      <c r="J2547" s="22" t="n">
        <f aca="false">IF(E2547="Priority",'Cost model'!N381,'Cost model'!M381)</f>
        <v>19.5</v>
      </c>
      <c r="K2547" s="14" t="n">
        <f aca="false">J2547-H2547</f>
        <v>-4.08</v>
      </c>
      <c r="L2547" s="14" t="n">
        <f aca="false">G2547-H2547</f>
        <v>-6.08</v>
      </c>
    </row>
    <row r="2548" customFormat="false" ht="15" hidden="false" customHeight="false" outlineLevel="0" collapsed="false">
      <c r="A2548" s="2" t="s">
        <v>126</v>
      </c>
      <c r="B2548" s="2" t="s">
        <v>126</v>
      </c>
      <c r="C2548" s="2" t="s">
        <v>48</v>
      </c>
      <c r="D2548" s="2" t="s">
        <v>10</v>
      </c>
      <c r="E2548" s="2" t="s">
        <v>76</v>
      </c>
      <c r="F2548" s="2" t="s">
        <v>1145</v>
      </c>
      <c r="G2548" s="14" t="n">
        <v>9.5</v>
      </c>
      <c r="H2548" s="14" t="n">
        <v>7.46</v>
      </c>
      <c r="I2548" s="14" t="n">
        <v>9.5</v>
      </c>
      <c r="J2548" s="22" t="n">
        <f aca="false">IF(E2548="Priority",'Cost model'!N380,'Cost model'!M380)</f>
        <v>8.5</v>
      </c>
      <c r="K2548" s="14" t="n">
        <f aca="false">J2548-H2548</f>
        <v>1.04</v>
      </c>
      <c r="L2548" s="14" t="n">
        <f aca="false">G2548-H2548</f>
        <v>2.04</v>
      </c>
    </row>
    <row r="2549" customFormat="false" ht="15" hidden="false" customHeight="false" outlineLevel="0" collapsed="false">
      <c r="A2549" s="2" t="s">
        <v>146</v>
      </c>
      <c r="B2549" s="2" t="s">
        <v>146</v>
      </c>
      <c r="C2549" s="2" t="s">
        <v>48</v>
      </c>
      <c r="D2549" s="2" t="s">
        <v>12</v>
      </c>
      <c r="E2549" s="2" t="s">
        <v>85</v>
      </c>
      <c r="F2549" s="2" t="s">
        <v>1145</v>
      </c>
      <c r="G2549" s="14" t="n">
        <v>19.5</v>
      </c>
      <c r="H2549" s="14" t="n">
        <v>45.35</v>
      </c>
      <c r="I2549" s="14" t="n">
        <v>19.5</v>
      </c>
      <c r="J2549" s="22" t="n">
        <f aca="false">IF(E2549="Priority",'Cost model'!N761,'Cost model'!M761)</f>
        <v>45</v>
      </c>
      <c r="K2549" s="14" t="n">
        <f aca="false">J2549-H2549</f>
        <v>-0.350000000000001</v>
      </c>
      <c r="L2549" s="14" t="n">
        <f aca="false">G2549-H2549</f>
        <v>-25.85</v>
      </c>
    </row>
    <row r="2550" customFormat="false" ht="15" hidden="false" customHeight="false" outlineLevel="0" collapsed="false">
      <c r="A2550" s="2" t="s">
        <v>126</v>
      </c>
      <c r="B2550" s="2" t="s">
        <v>184</v>
      </c>
      <c r="C2550" s="2" t="s">
        <v>49</v>
      </c>
      <c r="D2550" s="2" t="s">
        <v>10</v>
      </c>
      <c r="E2550" s="2" t="s">
        <v>85</v>
      </c>
      <c r="F2550" s="2" t="s">
        <v>1146</v>
      </c>
      <c r="G2550" s="14" t="n">
        <v>19.5</v>
      </c>
      <c r="H2550" s="14" t="n">
        <v>21.34</v>
      </c>
      <c r="I2550" s="14" t="n">
        <v>19.5</v>
      </c>
      <c r="J2550" s="22" t="n">
        <f aca="false">IF(E2550="Priority",'Cost model'!N435,'Cost model'!M435)</f>
        <v>21.5</v>
      </c>
      <c r="K2550" s="14" t="n">
        <f aca="false">J2550-H2550</f>
        <v>0.16</v>
      </c>
      <c r="L2550" s="14" t="n">
        <f aca="false">G2550-H2550</f>
        <v>-1.84</v>
      </c>
    </row>
    <row r="2551" customFormat="false" ht="15" hidden="false" customHeight="false" outlineLevel="0" collapsed="false">
      <c r="A2551" s="2" t="s">
        <v>184</v>
      </c>
      <c r="B2551" s="2" t="s">
        <v>184</v>
      </c>
      <c r="C2551" s="2" t="s">
        <v>48</v>
      </c>
      <c r="D2551" s="2" t="s">
        <v>10</v>
      </c>
      <c r="E2551" s="2" t="s">
        <v>76</v>
      </c>
      <c r="F2551" s="2" t="s">
        <v>1145</v>
      </c>
      <c r="G2551" s="14" t="n">
        <v>9.5</v>
      </c>
      <c r="H2551" s="14" t="n">
        <v>7.69</v>
      </c>
      <c r="I2551" s="14" t="n">
        <v>9.5</v>
      </c>
      <c r="J2551" s="22" t="n">
        <f aca="false">IF(E2551="Priority",'Cost model'!N200,'Cost model'!M200)</f>
        <v>7.5</v>
      </c>
      <c r="K2551" s="14" t="n">
        <f aca="false">J2551-H2551</f>
        <v>-0.19</v>
      </c>
      <c r="L2551" s="14" t="n">
        <f aca="false">G2551-H2551</f>
        <v>1.81</v>
      </c>
    </row>
    <row r="2552" customFormat="false" ht="15" hidden="false" customHeight="false" outlineLevel="0" collapsed="false">
      <c r="A2552" s="2" t="s">
        <v>146</v>
      </c>
      <c r="B2552" s="2" t="s">
        <v>146</v>
      </c>
      <c r="C2552" s="2" t="s">
        <v>48</v>
      </c>
      <c r="D2552" s="2" t="s">
        <v>10</v>
      </c>
      <c r="E2552" s="2" t="s">
        <v>76</v>
      </c>
      <c r="F2552" s="2" t="s">
        <v>1145</v>
      </c>
      <c r="G2552" s="14" t="n">
        <v>9.5</v>
      </c>
      <c r="H2552" s="14" t="n">
        <v>5.27</v>
      </c>
      <c r="I2552" s="14" t="n">
        <v>9.5</v>
      </c>
      <c r="J2552" s="22" t="n">
        <f aca="false">IF(E2552="Priority",'Cost model'!N758,'Cost model'!M758)</f>
        <v>9.5</v>
      </c>
      <c r="K2552" s="14" t="n">
        <f aca="false">J2552-H2552</f>
        <v>4.23</v>
      </c>
      <c r="L2552" s="14" t="n">
        <f aca="false">G2552-H2552</f>
        <v>4.23</v>
      </c>
    </row>
    <row r="2553" customFormat="false" ht="15" hidden="false" customHeight="false" outlineLevel="0" collapsed="false">
      <c r="A2553" s="2" t="s">
        <v>125</v>
      </c>
      <c r="B2553" s="2" t="s">
        <v>125</v>
      </c>
      <c r="C2553" s="2" t="s">
        <v>48</v>
      </c>
      <c r="D2553" s="2" t="s">
        <v>10</v>
      </c>
      <c r="E2553" s="2" t="s">
        <v>85</v>
      </c>
      <c r="F2553" s="2" t="s">
        <v>1145</v>
      </c>
      <c r="G2553" s="14" t="n">
        <v>14.5</v>
      </c>
      <c r="H2553" s="14" t="n">
        <v>24.17</v>
      </c>
      <c r="I2553" s="14" t="n">
        <v>14.5</v>
      </c>
      <c r="J2553" s="22" t="n">
        <f aca="false">IF(E2553="Priority",'Cost model'!N74,'Cost model'!M74)</f>
        <v>29.5</v>
      </c>
      <c r="K2553" s="14" t="n">
        <f aca="false">J2553-H2553</f>
        <v>5.33</v>
      </c>
      <c r="L2553" s="14" t="n">
        <f aca="false">G2553-H2553</f>
        <v>-9.67</v>
      </c>
    </row>
    <row r="2554" customFormat="false" ht="15" hidden="false" customHeight="false" outlineLevel="0" collapsed="false">
      <c r="A2554" s="2" t="s">
        <v>184</v>
      </c>
      <c r="B2554" s="2" t="s">
        <v>184</v>
      </c>
      <c r="C2554" s="2" t="s">
        <v>50</v>
      </c>
      <c r="D2554" s="2" t="s">
        <v>12</v>
      </c>
      <c r="E2554" s="2" t="s">
        <v>76</v>
      </c>
      <c r="F2554" s="2" t="s">
        <v>1145</v>
      </c>
      <c r="G2554" s="14" t="n">
        <v>19.5</v>
      </c>
      <c r="H2554" s="14" t="n">
        <v>69.56</v>
      </c>
      <c r="I2554" s="14" t="n">
        <v>19.5</v>
      </c>
      <c r="J2554" s="22" t="n">
        <f aca="false">IF(E2554="Priority",'Cost model'!N205,'Cost model'!M205)</f>
        <v>50</v>
      </c>
      <c r="K2554" s="14" t="n">
        <f aca="false">J2554-H2554</f>
        <v>-19.56</v>
      </c>
      <c r="L2554" s="14" t="n">
        <f aca="false">G2554-H2554</f>
        <v>-50.06</v>
      </c>
    </row>
    <row r="2555" customFormat="false" ht="15" hidden="false" customHeight="false" outlineLevel="0" collapsed="false">
      <c r="A2555" s="2" t="s">
        <v>240</v>
      </c>
      <c r="B2555" s="2" t="s">
        <v>240</v>
      </c>
      <c r="C2555" s="2" t="s">
        <v>48</v>
      </c>
      <c r="D2555" s="2" t="s">
        <v>12</v>
      </c>
      <c r="E2555" s="2" t="s">
        <v>76</v>
      </c>
      <c r="F2555" s="2" t="s">
        <v>1145</v>
      </c>
      <c r="G2555" s="14" t="n">
        <v>9.5</v>
      </c>
      <c r="H2555" s="14" t="n">
        <v>30.86</v>
      </c>
      <c r="I2555" s="14" t="n">
        <v>9.5</v>
      </c>
      <c r="J2555" s="22" t="n">
        <f aca="false">IF(E2555="Priority",'Cost model'!N887,'Cost model'!M887)</f>
        <v>21.5</v>
      </c>
      <c r="K2555" s="14" t="n">
        <f aca="false">J2555-H2555</f>
        <v>-9.36</v>
      </c>
      <c r="L2555" s="14" t="n">
        <f aca="false">G2555-H2555</f>
        <v>-21.36</v>
      </c>
    </row>
    <row r="2556" customFormat="false" ht="15" hidden="false" customHeight="false" outlineLevel="0" collapsed="false">
      <c r="A2556" s="2" t="s">
        <v>184</v>
      </c>
      <c r="B2556" s="2" t="s">
        <v>184</v>
      </c>
      <c r="C2556" s="2" t="s">
        <v>50</v>
      </c>
      <c r="D2556" s="2" t="s">
        <v>10</v>
      </c>
      <c r="E2556" s="2" t="s">
        <v>76</v>
      </c>
      <c r="F2556" s="2" t="s">
        <v>1145</v>
      </c>
      <c r="G2556" s="14" t="n">
        <v>17.5</v>
      </c>
      <c r="H2556" s="14" t="n">
        <v>11.03</v>
      </c>
      <c r="I2556" s="14" t="n">
        <v>17.5</v>
      </c>
      <c r="J2556" s="22" t="n">
        <f aca="false">IF(E2556="Priority",'Cost model'!N202,'Cost model'!M202)</f>
        <v>17.5</v>
      </c>
      <c r="K2556" s="14" t="n">
        <f aca="false">J2556-H2556</f>
        <v>6.47</v>
      </c>
      <c r="L2556" s="14" t="n">
        <f aca="false">G2556-H2556</f>
        <v>6.47</v>
      </c>
    </row>
    <row r="2557" customFormat="false" ht="15" hidden="false" customHeight="false" outlineLevel="0" collapsed="false">
      <c r="A2557" s="2" t="s">
        <v>126</v>
      </c>
      <c r="B2557" s="2" t="s">
        <v>126</v>
      </c>
      <c r="C2557" s="2" t="s">
        <v>49</v>
      </c>
      <c r="D2557" s="2" t="s">
        <v>10</v>
      </c>
      <c r="E2557" s="2" t="s">
        <v>85</v>
      </c>
      <c r="F2557" s="2" t="s">
        <v>1145</v>
      </c>
      <c r="G2557" s="14" t="n">
        <v>17.5</v>
      </c>
      <c r="H2557" s="14" t="n">
        <v>21.34</v>
      </c>
      <c r="I2557" s="14" t="n">
        <v>17.5</v>
      </c>
      <c r="J2557" s="22" t="n">
        <f aca="false">IF(E2557="Priority",'Cost model'!N381,'Cost model'!M381)</f>
        <v>19.5</v>
      </c>
      <c r="K2557" s="14" t="n">
        <f aca="false">J2557-H2557</f>
        <v>-1.84</v>
      </c>
      <c r="L2557" s="14" t="n">
        <f aca="false">G2557-H2557</f>
        <v>-3.84</v>
      </c>
    </row>
    <row r="2558" customFormat="false" ht="15" hidden="false" customHeight="false" outlineLevel="0" collapsed="false">
      <c r="A2558" s="2" t="s">
        <v>125</v>
      </c>
      <c r="B2558" s="2" t="s">
        <v>184</v>
      </c>
      <c r="C2558" s="2" t="s">
        <v>48</v>
      </c>
      <c r="D2558" s="2" t="s">
        <v>10</v>
      </c>
      <c r="E2558" s="2" t="s">
        <v>76</v>
      </c>
      <c r="F2558" s="2" t="s">
        <v>1146</v>
      </c>
      <c r="G2558" s="14" t="n">
        <v>14.5</v>
      </c>
      <c r="H2558" s="14" t="n">
        <v>7.02</v>
      </c>
      <c r="I2558" s="14" t="n">
        <v>14.5</v>
      </c>
      <c r="J2558" s="22" t="n">
        <f aca="false">IF(E2558="Priority",'Cost model'!N56,'Cost model'!M56)</f>
        <v>11.5</v>
      </c>
      <c r="K2558" s="14" t="n">
        <f aca="false">J2558-H2558</f>
        <v>4.48</v>
      </c>
      <c r="L2558" s="14" t="n">
        <f aca="false">G2558-H2558</f>
        <v>7.48</v>
      </c>
    </row>
    <row r="2559" customFormat="false" ht="15" hidden="false" customHeight="false" outlineLevel="0" collapsed="false">
      <c r="A2559" s="2" t="s">
        <v>126</v>
      </c>
      <c r="B2559" s="2" t="s">
        <v>126</v>
      </c>
      <c r="C2559" s="2" t="s">
        <v>50</v>
      </c>
      <c r="D2559" s="2" t="s">
        <v>10</v>
      </c>
      <c r="E2559" s="2" t="s">
        <v>76</v>
      </c>
      <c r="F2559" s="2" t="s">
        <v>1145</v>
      </c>
      <c r="G2559" s="14" t="n">
        <v>17.5</v>
      </c>
      <c r="H2559" s="14" t="n">
        <v>14.29</v>
      </c>
      <c r="I2559" s="14" t="n">
        <v>17.5</v>
      </c>
      <c r="J2559" s="22" t="n">
        <f aca="false">IF(E2559="Priority",'Cost model'!N382,'Cost model'!M382)</f>
        <v>18.5</v>
      </c>
      <c r="K2559" s="14" t="n">
        <f aca="false">J2559-H2559</f>
        <v>4.21</v>
      </c>
      <c r="L2559" s="14" t="n">
        <f aca="false">G2559-H2559</f>
        <v>3.21</v>
      </c>
    </row>
    <row r="2560" customFormat="false" ht="15" hidden="false" customHeight="false" outlineLevel="0" collapsed="false">
      <c r="A2560" s="2" t="s">
        <v>126</v>
      </c>
      <c r="B2560" s="2" t="s">
        <v>126</v>
      </c>
      <c r="C2560" s="2" t="s">
        <v>49</v>
      </c>
      <c r="D2560" s="2" t="s">
        <v>12</v>
      </c>
      <c r="E2560" s="2" t="s">
        <v>76</v>
      </c>
      <c r="F2560" s="2" t="s">
        <v>1145</v>
      </c>
      <c r="G2560" s="14" t="n">
        <v>12.5</v>
      </c>
      <c r="H2560" s="14" t="n">
        <v>58.01</v>
      </c>
      <c r="I2560" s="14" t="n">
        <v>12.5</v>
      </c>
      <c r="J2560" s="22" t="n">
        <f aca="false">IF(E2560="Priority",'Cost model'!N384,'Cost model'!M384)</f>
        <v>45</v>
      </c>
      <c r="K2560" s="14" t="n">
        <f aca="false">J2560-H2560</f>
        <v>-13.01</v>
      </c>
      <c r="L2560" s="14" t="n">
        <f aca="false">G2560-H2560</f>
        <v>-45.51</v>
      </c>
    </row>
    <row r="2561" customFormat="false" ht="15" hidden="false" customHeight="false" outlineLevel="0" collapsed="false">
      <c r="A2561" s="2" t="s">
        <v>240</v>
      </c>
      <c r="B2561" s="2" t="s">
        <v>165</v>
      </c>
      <c r="C2561" s="2" t="s">
        <v>48</v>
      </c>
      <c r="D2561" s="2" t="s">
        <v>10</v>
      </c>
      <c r="E2561" s="2" t="s">
        <v>76</v>
      </c>
      <c r="F2561" s="2" t="s">
        <v>1146</v>
      </c>
      <c r="G2561" s="14" t="n">
        <v>9.5</v>
      </c>
      <c r="H2561" s="14" t="n">
        <v>8.58</v>
      </c>
      <c r="I2561" s="14" t="n">
        <v>14.5</v>
      </c>
      <c r="J2561" s="22" t="n">
        <f aca="false">IF(E2561="Priority",'Cost model'!N902,'Cost model'!M902)</f>
        <v>13.5</v>
      </c>
      <c r="K2561" s="14" t="n">
        <f aca="false">J2561-H2561</f>
        <v>4.92</v>
      </c>
      <c r="L2561" s="14" t="n">
        <f aca="false">G2561-H2561</f>
        <v>0.92</v>
      </c>
    </row>
    <row r="2562" customFormat="false" ht="15" hidden="false" customHeight="false" outlineLevel="0" collapsed="false">
      <c r="A2562" s="2" t="s">
        <v>126</v>
      </c>
      <c r="B2562" s="2" t="s">
        <v>126</v>
      </c>
      <c r="C2562" s="2" t="s">
        <v>49</v>
      </c>
      <c r="D2562" s="2" t="s">
        <v>10</v>
      </c>
      <c r="E2562" s="2" t="s">
        <v>76</v>
      </c>
      <c r="F2562" s="2" t="s">
        <v>1145</v>
      </c>
      <c r="G2562" s="14" t="n">
        <v>12.5</v>
      </c>
      <c r="H2562" s="14" t="n">
        <v>7.46</v>
      </c>
      <c r="I2562" s="14" t="n">
        <v>12.5</v>
      </c>
      <c r="J2562" s="22" t="n">
        <f aca="false">IF(E2562="Priority",'Cost model'!N381,'Cost model'!M381)</f>
        <v>14.5</v>
      </c>
      <c r="K2562" s="14" t="n">
        <f aca="false">J2562-H2562</f>
        <v>7.04</v>
      </c>
      <c r="L2562" s="14" t="n">
        <f aca="false">G2562-H2562</f>
        <v>5.04</v>
      </c>
    </row>
    <row r="2563" customFormat="false" ht="15" hidden="false" customHeight="false" outlineLevel="0" collapsed="false">
      <c r="A2563" s="2" t="s">
        <v>126</v>
      </c>
      <c r="B2563" s="2" t="s">
        <v>146</v>
      </c>
      <c r="C2563" s="2" t="s">
        <v>49</v>
      </c>
      <c r="D2563" s="2" t="s">
        <v>10</v>
      </c>
      <c r="E2563" s="2" t="s">
        <v>76</v>
      </c>
      <c r="F2563" s="2" t="s">
        <v>1146</v>
      </c>
      <c r="G2563" s="14" t="n">
        <v>12.5</v>
      </c>
      <c r="H2563" s="14" t="n">
        <v>10.95</v>
      </c>
      <c r="I2563" s="14" t="n">
        <v>14.5</v>
      </c>
      <c r="J2563" s="22" t="n">
        <f aca="false">IF(E2563="Priority",'Cost model'!N399,'Cost model'!M399)</f>
        <v>17.5</v>
      </c>
      <c r="K2563" s="14" t="n">
        <f aca="false">J2563-H2563</f>
        <v>6.55</v>
      </c>
      <c r="L2563" s="14" t="n">
        <f aca="false">G2563-H2563</f>
        <v>1.55</v>
      </c>
    </row>
    <row r="2564" customFormat="false" ht="15" hidden="false" customHeight="false" outlineLevel="0" collapsed="false">
      <c r="A2564" s="2" t="s">
        <v>221</v>
      </c>
      <c r="B2564" s="2" t="s">
        <v>221</v>
      </c>
      <c r="C2564" s="2" t="s">
        <v>49</v>
      </c>
      <c r="D2564" s="2" t="s">
        <v>12</v>
      </c>
      <c r="E2564" s="2" t="s">
        <v>85</v>
      </c>
      <c r="F2564" s="2" t="s">
        <v>1145</v>
      </c>
      <c r="G2564" s="14" t="n">
        <v>19.5</v>
      </c>
      <c r="H2564" s="14" t="n">
        <v>52.8</v>
      </c>
      <c r="I2564" s="14" t="n">
        <v>19.5</v>
      </c>
      <c r="J2564" s="22" t="n">
        <f aca="false">IF(E2564="Priority",'Cost model'!N636,'Cost model'!M636)</f>
        <v>70</v>
      </c>
      <c r="K2564" s="14" t="n">
        <f aca="false">J2564-H2564</f>
        <v>17.2</v>
      </c>
      <c r="L2564" s="14" t="n">
        <f aca="false">G2564-H2564</f>
        <v>-33.3</v>
      </c>
    </row>
    <row r="2565" customFormat="false" ht="15" hidden="false" customHeight="false" outlineLevel="0" collapsed="false">
      <c r="A2565" s="2" t="s">
        <v>184</v>
      </c>
      <c r="B2565" s="2" t="s">
        <v>184</v>
      </c>
      <c r="C2565" s="2" t="s">
        <v>49</v>
      </c>
      <c r="D2565" s="2" t="s">
        <v>10</v>
      </c>
      <c r="E2565" s="2" t="s">
        <v>76</v>
      </c>
      <c r="F2565" s="2" t="s">
        <v>1145</v>
      </c>
      <c r="G2565" s="14" t="n">
        <v>12.5</v>
      </c>
      <c r="H2565" s="14" t="n">
        <v>20.11</v>
      </c>
      <c r="I2565" s="14"/>
      <c r="J2565" s="22" t="n">
        <f aca="false">IF(E2565="Priority",'Cost model'!N201,'Cost model'!M201)</f>
        <v>12.5</v>
      </c>
      <c r="K2565" s="14" t="n">
        <f aca="false">J2565-H2565</f>
        <v>-7.61</v>
      </c>
      <c r="L2565" s="14" t="n">
        <f aca="false">G2565-H2565</f>
        <v>-7.61</v>
      </c>
    </row>
    <row r="2566" customFormat="false" ht="15" hidden="false" customHeight="false" outlineLevel="0" collapsed="false">
      <c r="A2566" s="2" t="s">
        <v>126</v>
      </c>
      <c r="B2566" s="2" t="s">
        <v>126</v>
      </c>
      <c r="C2566" s="2" t="s">
        <v>49</v>
      </c>
      <c r="D2566" s="2" t="s">
        <v>10</v>
      </c>
      <c r="E2566" s="2" t="s">
        <v>76</v>
      </c>
      <c r="F2566" s="2" t="s">
        <v>1145</v>
      </c>
      <c r="G2566" s="14" t="n">
        <v>12.5</v>
      </c>
      <c r="H2566" s="14" t="n">
        <v>11.03</v>
      </c>
      <c r="I2566" s="14" t="n">
        <v>12.5</v>
      </c>
      <c r="J2566" s="22" t="n">
        <f aca="false">IF(E2566="Priority",'Cost model'!N381,'Cost model'!M381)</f>
        <v>14.5</v>
      </c>
      <c r="K2566" s="14" t="n">
        <f aca="false">J2566-H2566</f>
        <v>3.47</v>
      </c>
      <c r="L2566" s="14" t="n">
        <f aca="false">G2566-H2566</f>
        <v>1.47</v>
      </c>
    </row>
    <row r="2567" customFormat="false" ht="15" hidden="false" customHeight="false" outlineLevel="0" collapsed="false">
      <c r="A2567" s="2" t="s">
        <v>240</v>
      </c>
      <c r="B2567" s="2" t="s">
        <v>240</v>
      </c>
      <c r="C2567" s="2" t="s">
        <v>50</v>
      </c>
      <c r="D2567" s="2" t="s">
        <v>12</v>
      </c>
      <c r="E2567" s="2" t="s">
        <v>76</v>
      </c>
      <c r="F2567" s="2" t="s">
        <v>1145</v>
      </c>
      <c r="G2567" s="14" t="n">
        <v>19.5</v>
      </c>
      <c r="H2567" s="14" t="n">
        <v>24.63</v>
      </c>
      <c r="I2567" s="14" t="n">
        <v>19.5</v>
      </c>
      <c r="J2567" s="22" t="n">
        <f aca="false">IF(E2567="Priority",'Cost model'!N889,'Cost model'!M889)</f>
        <v>60</v>
      </c>
      <c r="K2567" s="14" t="n">
        <f aca="false">J2567-H2567</f>
        <v>35.37</v>
      </c>
      <c r="L2567" s="14" t="n">
        <f aca="false">G2567-H2567</f>
        <v>-5.13</v>
      </c>
    </row>
    <row r="2568" customFormat="false" ht="15" hidden="false" customHeight="false" outlineLevel="0" collapsed="false">
      <c r="A2568" s="2" t="s">
        <v>240</v>
      </c>
      <c r="B2568" s="2" t="s">
        <v>240</v>
      </c>
      <c r="C2568" s="2" t="s">
        <v>48</v>
      </c>
      <c r="D2568" s="2" t="s">
        <v>10</v>
      </c>
      <c r="E2568" s="2" t="s">
        <v>76</v>
      </c>
      <c r="F2568" s="2" t="s">
        <v>1145</v>
      </c>
      <c r="G2568" s="14" t="n">
        <v>9.5</v>
      </c>
      <c r="H2568" s="14" t="n">
        <v>4.99</v>
      </c>
      <c r="I2568" s="14" t="n">
        <v>9.5</v>
      </c>
      <c r="J2568" s="22" t="n">
        <f aca="false">IF(E2568="Priority",'Cost model'!N884,'Cost model'!M884)</f>
        <v>7.5</v>
      </c>
      <c r="K2568" s="14" t="n">
        <f aca="false">J2568-H2568</f>
        <v>2.51</v>
      </c>
      <c r="L2568" s="14" t="n">
        <f aca="false">G2568-H2568</f>
        <v>4.51</v>
      </c>
    </row>
    <row r="2569" customFormat="false" ht="15" hidden="false" customHeight="false" outlineLevel="0" collapsed="false">
      <c r="A2569" s="2" t="s">
        <v>184</v>
      </c>
      <c r="B2569" s="2" t="s">
        <v>184</v>
      </c>
      <c r="C2569" s="2" t="s">
        <v>50</v>
      </c>
      <c r="D2569" s="2" t="s">
        <v>12</v>
      </c>
      <c r="E2569" s="2" t="s">
        <v>85</v>
      </c>
      <c r="F2569" s="2" t="s">
        <v>1145</v>
      </c>
      <c r="G2569" s="14" t="n">
        <v>29.5</v>
      </c>
      <c r="H2569" s="14" t="n">
        <v>43.38</v>
      </c>
      <c r="I2569" s="14" t="n">
        <v>29.5</v>
      </c>
      <c r="J2569" s="22" t="n">
        <f aca="false">IF(E2569="Priority",'Cost model'!N205,'Cost model'!M205)</f>
        <v>65</v>
      </c>
      <c r="K2569" s="14" t="n">
        <f aca="false">J2569-H2569</f>
        <v>21.62</v>
      </c>
      <c r="L2569" s="14" t="n">
        <f aca="false">G2569-H2569</f>
        <v>-13.88</v>
      </c>
    </row>
    <row r="2570" customFormat="false" ht="15" hidden="false" customHeight="false" outlineLevel="0" collapsed="false">
      <c r="A2570" s="2" t="s">
        <v>126</v>
      </c>
      <c r="B2570" s="2" t="s">
        <v>125</v>
      </c>
      <c r="C2570" s="2" t="s">
        <v>50</v>
      </c>
      <c r="D2570" s="2" t="s">
        <v>12</v>
      </c>
      <c r="E2570" s="2" t="s">
        <v>76</v>
      </c>
      <c r="F2570" s="2" t="s">
        <v>1146</v>
      </c>
      <c r="G2570" s="14" t="n">
        <v>19.5</v>
      </c>
      <c r="H2570" s="14" t="n">
        <v>21.14</v>
      </c>
      <c r="I2570" s="14" t="n">
        <v>24.5</v>
      </c>
      <c r="J2570" s="22" t="n">
        <f aca="false">IF(E2570="Priority",'Cost model'!N475,'Cost model'!M475)</f>
        <v>75</v>
      </c>
      <c r="K2570" s="14" t="n">
        <f aca="false">J2570-H2570</f>
        <v>53.86</v>
      </c>
      <c r="L2570" s="14" t="n">
        <f aca="false">G2570-H2570</f>
        <v>-1.64</v>
      </c>
    </row>
    <row r="2571" customFormat="false" ht="15" hidden="false" customHeight="false" outlineLevel="0" collapsed="false">
      <c r="A2571" s="2" t="s">
        <v>184</v>
      </c>
      <c r="B2571" s="2" t="s">
        <v>184</v>
      </c>
      <c r="C2571" s="2" t="s">
        <v>48</v>
      </c>
      <c r="D2571" s="2" t="s">
        <v>10</v>
      </c>
      <c r="E2571" s="2" t="s">
        <v>76</v>
      </c>
      <c r="F2571" s="2" t="s">
        <v>1145</v>
      </c>
      <c r="G2571" s="14" t="n">
        <v>9.5</v>
      </c>
      <c r="H2571" s="14" t="n">
        <v>7.45</v>
      </c>
      <c r="I2571" s="14" t="n">
        <v>9.5</v>
      </c>
      <c r="J2571" s="22" t="n">
        <f aca="false">IF(E2571="Priority",'Cost model'!N200,'Cost model'!M200)</f>
        <v>7.5</v>
      </c>
      <c r="K2571" s="14" t="n">
        <f aca="false">J2571-H2571</f>
        <v>0.0499999999999998</v>
      </c>
      <c r="L2571" s="14" t="n">
        <f aca="false">G2571-H2571</f>
        <v>2.05</v>
      </c>
    </row>
    <row r="2572" customFormat="false" ht="15" hidden="false" customHeight="false" outlineLevel="0" collapsed="false">
      <c r="A2572" s="2" t="s">
        <v>126</v>
      </c>
      <c r="B2572" s="2" t="s">
        <v>126</v>
      </c>
      <c r="C2572" s="2" t="s">
        <v>48</v>
      </c>
      <c r="D2572" s="2" t="s">
        <v>10</v>
      </c>
      <c r="E2572" s="2" t="s">
        <v>76</v>
      </c>
      <c r="F2572" s="2" t="s">
        <v>1145</v>
      </c>
      <c r="G2572" s="14" t="n">
        <v>9.5</v>
      </c>
      <c r="H2572" s="14" t="n">
        <v>8.01</v>
      </c>
      <c r="I2572" s="14" t="n">
        <v>9.5</v>
      </c>
      <c r="J2572" s="22" t="n">
        <f aca="false">IF(E2572="Priority",'Cost model'!N380,'Cost model'!M380)</f>
        <v>8.5</v>
      </c>
      <c r="K2572" s="14" t="n">
        <f aca="false">J2572-H2572</f>
        <v>0.49</v>
      </c>
      <c r="L2572" s="14" t="n">
        <f aca="false">G2572-H2572</f>
        <v>1.49</v>
      </c>
    </row>
    <row r="2573" customFormat="false" ht="15" hidden="false" customHeight="false" outlineLevel="0" collapsed="false">
      <c r="A2573" s="2" t="s">
        <v>184</v>
      </c>
      <c r="B2573" s="2" t="s">
        <v>184</v>
      </c>
      <c r="C2573" s="2" t="s">
        <v>48</v>
      </c>
      <c r="D2573" s="2" t="s">
        <v>10</v>
      </c>
      <c r="E2573" s="2" t="s">
        <v>76</v>
      </c>
      <c r="F2573" s="2" t="s">
        <v>1145</v>
      </c>
      <c r="G2573" s="14" t="n">
        <v>9.5</v>
      </c>
      <c r="H2573" s="14" t="n">
        <v>6.24</v>
      </c>
      <c r="I2573" s="14" t="n">
        <v>9.5</v>
      </c>
      <c r="J2573" s="22" t="n">
        <f aca="false">IF(E2573="Priority",'Cost model'!N200,'Cost model'!M200)</f>
        <v>7.5</v>
      </c>
      <c r="K2573" s="14" t="n">
        <f aca="false">J2573-H2573</f>
        <v>1.26</v>
      </c>
      <c r="L2573" s="14" t="n">
        <f aca="false">G2573-H2573</f>
        <v>3.26</v>
      </c>
    </row>
    <row r="2574" customFormat="false" ht="15" hidden="false" customHeight="false" outlineLevel="0" collapsed="false">
      <c r="A2574" s="2" t="s">
        <v>165</v>
      </c>
      <c r="B2574" s="2" t="s">
        <v>221</v>
      </c>
      <c r="C2574" s="2" t="s">
        <v>48</v>
      </c>
      <c r="D2574" s="2" t="s">
        <v>12</v>
      </c>
      <c r="E2574" s="2" t="s">
        <v>76</v>
      </c>
      <c r="F2574" s="2" t="s">
        <v>1146</v>
      </c>
      <c r="G2574" s="14" t="n">
        <v>9.5</v>
      </c>
      <c r="H2574" s="14" t="n">
        <v>83.24</v>
      </c>
      <c r="I2574" s="14" t="n">
        <v>24.5</v>
      </c>
      <c r="J2574" s="22" t="n">
        <f aca="false">IF(E2574="Priority",'Cost model'!N599,'Cost model'!M599)</f>
        <v>60</v>
      </c>
      <c r="K2574" s="14" t="n">
        <f aca="false">J2574-H2574</f>
        <v>-23.24</v>
      </c>
      <c r="L2574" s="14" t="n">
        <f aca="false">G2574-H2574</f>
        <v>-73.74</v>
      </c>
    </row>
    <row r="2575" customFormat="false" ht="15" hidden="false" customHeight="false" outlineLevel="0" collapsed="false">
      <c r="A2575" s="2" t="s">
        <v>126</v>
      </c>
      <c r="B2575" s="2" t="s">
        <v>184</v>
      </c>
      <c r="C2575" s="2" t="s">
        <v>48</v>
      </c>
      <c r="D2575" s="2" t="s">
        <v>10</v>
      </c>
      <c r="E2575" s="2" t="s">
        <v>76</v>
      </c>
      <c r="F2575" s="2" t="s">
        <v>1146</v>
      </c>
      <c r="G2575" s="14" t="n">
        <v>14.5</v>
      </c>
      <c r="H2575" s="14" t="n">
        <v>7.71</v>
      </c>
      <c r="I2575" s="14" t="n">
        <v>14.5</v>
      </c>
      <c r="J2575" s="22" t="n">
        <f aca="false">IF(E2575="Priority",'Cost model'!N434,'Cost model'!M434)</f>
        <v>13.5</v>
      </c>
      <c r="K2575" s="14" t="n">
        <f aca="false">J2575-H2575</f>
        <v>5.79</v>
      </c>
      <c r="L2575" s="14" t="n">
        <f aca="false">G2575-H2575</f>
        <v>6.79</v>
      </c>
    </row>
    <row r="2576" customFormat="false" ht="15" hidden="false" customHeight="false" outlineLevel="0" collapsed="false">
      <c r="A2576" s="2" t="s">
        <v>184</v>
      </c>
      <c r="B2576" s="2" t="s">
        <v>184</v>
      </c>
      <c r="C2576" s="2" t="s">
        <v>49</v>
      </c>
      <c r="D2576" s="2" t="s">
        <v>10</v>
      </c>
      <c r="E2576" s="2" t="s">
        <v>76</v>
      </c>
      <c r="F2576" s="2" t="s">
        <v>1145</v>
      </c>
      <c r="G2576" s="14" t="n">
        <v>12.5</v>
      </c>
      <c r="H2576" s="14" t="n">
        <v>7.33</v>
      </c>
      <c r="I2576" s="14"/>
      <c r="J2576" s="22" t="n">
        <f aca="false">IF(E2576="Priority",'Cost model'!N201,'Cost model'!M201)</f>
        <v>12.5</v>
      </c>
      <c r="K2576" s="14" t="n">
        <f aca="false">J2576-H2576</f>
        <v>5.17</v>
      </c>
      <c r="L2576" s="14" t="n">
        <f aca="false">G2576-H2576</f>
        <v>5.17</v>
      </c>
    </row>
    <row r="2577" customFormat="false" ht="15" hidden="false" customHeight="false" outlineLevel="0" collapsed="false">
      <c r="A2577" s="2" t="s">
        <v>184</v>
      </c>
      <c r="B2577" s="2" t="s">
        <v>126</v>
      </c>
      <c r="C2577" s="2" t="s">
        <v>48</v>
      </c>
      <c r="D2577" s="2" t="s">
        <v>12</v>
      </c>
      <c r="E2577" s="2" t="s">
        <v>76</v>
      </c>
      <c r="F2577" s="2" t="s">
        <v>1146</v>
      </c>
      <c r="G2577" s="14" t="n">
        <v>9.5</v>
      </c>
      <c r="H2577" s="14" t="n">
        <v>45.91</v>
      </c>
      <c r="I2577" s="14" t="n">
        <v>9.5</v>
      </c>
      <c r="J2577" s="22" t="n">
        <f aca="false">IF(E2577="Priority",'Cost model'!N131,'Cost model'!M131)</f>
        <v>40</v>
      </c>
      <c r="K2577" s="14" t="n">
        <f aca="false">J2577-H2577</f>
        <v>-5.91</v>
      </c>
      <c r="L2577" s="14" t="n">
        <f aca="false">G2577-H2577</f>
        <v>-36.41</v>
      </c>
    </row>
    <row r="2578" customFormat="false" ht="15" hidden="false" customHeight="false" outlineLevel="0" collapsed="false">
      <c r="A2578" s="2" t="s">
        <v>146</v>
      </c>
      <c r="B2578" s="2" t="s">
        <v>221</v>
      </c>
      <c r="C2578" s="2" t="s">
        <v>48</v>
      </c>
      <c r="D2578" s="2" t="s">
        <v>10</v>
      </c>
      <c r="E2578" s="2" t="s">
        <v>76</v>
      </c>
      <c r="F2578" s="2" t="s">
        <v>1146</v>
      </c>
      <c r="G2578" s="14" t="n">
        <v>9.5</v>
      </c>
      <c r="H2578" s="14" t="n">
        <v>7.47</v>
      </c>
      <c r="I2578" s="14" t="n">
        <v>19.5</v>
      </c>
      <c r="J2578" s="22" t="n">
        <f aca="false">IF(E2578="Priority",'Cost model'!N848,'Cost model'!M848)</f>
        <v>9.5</v>
      </c>
      <c r="K2578" s="14" t="n">
        <f aca="false">J2578-H2578</f>
        <v>2.03</v>
      </c>
      <c r="L2578" s="14" t="n">
        <f aca="false">G2578-H2578</f>
        <v>2.03</v>
      </c>
    </row>
    <row r="2579" customFormat="false" ht="15" hidden="false" customHeight="false" outlineLevel="0" collapsed="false">
      <c r="A2579" s="2" t="s">
        <v>165</v>
      </c>
      <c r="B2579" s="2" t="s">
        <v>165</v>
      </c>
      <c r="C2579" s="2" t="s">
        <v>48</v>
      </c>
      <c r="D2579" s="2" t="s">
        <v>10</v>
      </c>
      <c r="E2579" s="2" t="s">
        <v>76</v>
      </c>
      <c r="F2579" s="2" t="s">
        <v>1145</v>
      </c>
      <c r="G2579" s="14" t="n">
        <v>9.5</v>
      </c>
      <c r="H2579" s="14" t="n">
        <v>7.71</v>
      </c>
      <c r="I2579" s="14" t="n">
        <v>9.5</v>
      </c>
      <c r="J2579" s="22" t="n">
        <f aca="false">IF(E2579="Priority",'Cost model'!N506,'Cost model'!M506)</f>
        <v>7.5</v>
      </c>
      <c r="K2579" s="14" t="n">
        <f aca="false">J2579-H2579</f>
        <v>-0.21</v>
      </c>
      <c r="L2579" s="14" t="n">
        <f aca="false">G2579-H2579</f>
        <v>1.79</v>
      </c>
    </row>
    <row r="2580" customFormat="false" ht="15" hidden="false" customHeight="false" outlineLevel="0" collapsed="false">
      <c r="A2580" s="2" t="s">
        <v>126</v>
      </c>
      <c r="B2580" s="2" t="s">
        <v>126</v>
      </c>
      <c r="C2580" s="2" t="s">
        <v>50</v>
      </c>
      <c r="D2580" s="2" t="s">
        <v>10</v>
      </c>
      <c r="E2580" s="2" t="s">
        <v>76</v>
      </c>
      <c r="F2580" s="2" t="s">
        <v>1145</v>
      </c>
      <c r="G2580" s="14" t="n">
        <v>17.5</v>
      </c>
      <c r="H2580" s="14" t="n">
        <v>21.76</v>
      </c>
      <c r="I2580" s="14" t="n">
        <v>17.5</v>
      </c>
      <c r="J2580" s="22" t="n">
        <f aca="false">IF(E2580="Priority",'Cost model'!N382,'Cost model'!M382)</f>
        <v>18.5</v>
      </c>
      <c r="K2580" s="14" t="n">
        <f aca="false">J2580-H2580</f>
        <v>-3.26</v>
      </c>
      <c r="L2580" s="14" t="n">
        <f aca="false">G2580-H2580</f>
        <v>-4.26</v>
      </c>
    </row>
    <row r="2581" customFormat="false" ht="15" hidden="false" customHeight="false" outlineLevel="0" collapsed="false">
      <c r="A2581" s="2" t="s">
        <v>146</v>
      </c>
      <c r="B2581" s="2" t="s">
        <v>146</v>
      </c>
      <c r="C2581" s="2" t="s">
        <v>48</v>
      </c>
      <c r="D2581" s="2" t="s">
        <v>10</v>
      </c>
      <c r="E2581" s="2" t="s">
        <v>76</v>
      </c>
      <c r="F2581" s="2" t="s">
        <v>1145</v>
      </c>
      <c r="G2581" s="14" t="n">
        <v>9.5</v>
      </c>
      <c r="H2581" s="14" t="n">
        <v>8.39</v>
      </c>
      <c r="I2581" s="14" t="n">
        <v>9.5</v>
      </c>
      <c r="J2581" s="22" t="n">
        <f aca="false">IF(E2581="Priority",'Cost model'!N758,'Cost model'!M758)</f>
        <v>9.5</v>
      </c>
      <c r="K2581" s="14" t="n">
        <f aca="false">J2581-H2581</f>
        <v>1.11</v>
      </c>
      <c r="L2581" s="14" t="n">
        <f aca="false">G2581-H2581</f>
        <v>1.11</v>
      </c>
    </row>
    <row r="2582" customFormat="false" ht="15" hidden="false" customHeight="false" outlineLevel="0" collapsed="false">
      <c r="A2582" s="2" t="s">
        <v>240</v>
      </c>
      <c r="B2582" s="2" t="s">
        <v>240</v>
      </c>
      <c r="C2582" s="2" t="s">
        <v>50</v>
      </c>
      <c r="D2582" s="2" t="s">
        <v>10</v>
      </c>
      <c r="E2582" s="2" t="s">
        <v>85</v>
      </c>
      <c r="F2582" s="2" t="s">
        <v>1145</v>
      </c>
      <c r="G2582" s="14" t="n">
        <v>24.5</v>
      </c>
      <c r="H2582" s="14" t="n">
        <v>19.53</v>
      </c>
      <c r="I2582" s="14" t="n">
        <v>24.5</v>
      </c>
      <c r="J2582" s="22" t="n">
        <f aca="false">IF(E2582="Priority",'Cost model'!N886,'Cost model'!M886)</f>
        <v>23.5</v>
      </c>
      <c r="K2582" s="14" t="n">
        <f aca="false">J2582-H2582</f>
        <v>3.97</v>
      </c>
      <c r="L2582" s="14" t="n">
        <f aca="false">G2582-H2582</f>
        <v>4.97</v>
      </c>
    </row>
    <row r="2583" customFormat="false" ht="15" hidden="false" customHeight="false" outlineLevel="0" collapsed="false">
      <c r="A2583" s="2" t="s">
        <v>184</v>
      </c>
      <c r="B2583" s="2" t="s">
        <v>184</v>
      </c>
      <c r="C2583" s="2" t="s">
        <v>49</v>
      </c>
      <c r="D2583" s="2" t="s">
        <v>12</v>
      </c>
      <c r="E2583" s="2" t="s">
        <v>76</v>
      </c>
      <c r="F2583" s="2" t="s">
        <v>1145</v>
      </c>
      <c r="G2583" s="14" t="n">
        <v>19.5</v>
      </c>
      <c r="H2583" s="14" t="n">
        <v>42.87</v>
      </c>
      <c r="I2583" s="14"/>
      <c r="J2583" s="22" t="n">
        <f aca="false">IF(E2583="Priority",'Cost model'!N204,'Cost model'!M204)</f>
        <v>45</v>
      </c>
      <c r="K2583" s="14" t="n">
        <f aca="false">J2583-H2583</f>
        <v>2.13</v>
      </c>
      <c r="L2583" s="14" t="n">
        <f aca="false">G2583-H2583</f>
        <v>-23.37</v>
      </c>
    </row>
    <row r="2584" customFormat="false" ht="15" hidden="false" customHeight="false" outlineLevel="0" collapsed="false">
      <c r="A2584" s="2" t="s">
        <v>184</v>
      </c>
      <c r="B2584" s="2" t="s">
        <v>184</v>
      </c>
      <c r="C2584" s="2" t="s">
        <v>49</v>
      </c>
      <c r="D2584" s="2" t="s">
        <v>14</v>
      </c>
      <c r="E2584" s="2" t="s">
        <v>76</v>
      </c>
      <c r="F2584" s="2" t="s">
        <v>1145</v>
      </c>
      <c r="G2584" s="14" t="n">
        <v>45</v>
      </c>
      <c r="H2584" s="14" t="n">
        <v>199.69</v>
      </c>
      <c r="I2584" s="14" t="n">
        <v>45</v>
      </c>
      <c r="J2584" s="22" t="n">
        <f aca="false">IF(E2584="Priority",'Cost model'!N210,'Cost model'!M210)</f>
        <v>135</v>
      </c>
      <c r="K2584" s="14" t="n">
        <f aca="false">J2584-H2584</f>
        <v>-64.69</v>
      </c>
      <c r="L2584" s="14" t="n">
        <f aca="false">G2584-H2584</f>
        <v>-154.69</v>
      </c>
    </row>
    <row r="2585" customFormat="false" ht="15" hidden="false" customHeight="false" outlineLevel="0" collapsed="false">
      <c r="A2585" s="2" t="s">
        <v>126</v>
      </c>
      <c r="B2585" s="2" t="s">
        <v>146</v>
      </c>
      <c r="C2585" s="2" t="s">
        <v>48</v>
      </c>
      <c r="D2585" s="2" t="s">
        <v>14</v>
      </c>
      <c r="E2585" s="2" t="s">
        <v>76</v>
      </c>
      <c r="F2585" s="2" t="s">
        <v>1146</v>
      </c>
      <c r="G2585" s="14" t="n">
        <v>25</v>
      </c>
      <c r="H2585" s="14" t="n">
        <v>181.85</v>
      </c>
      <c r="I2585" s="14" t="n">
        <v>85</v>
      </c>
      <c r="J2585" s="22" t="n">
        <f aca="false">IF(E2585="Priority",'Cost model'!N407,'Cost model'!M407)</f>
        <v>155</v>
      </c>
      <c r="K2585" s="14" t="n">
        <f aca="false">J2585-H2585</f>
        <v>-26.85</v>
      </c>
      <c r="L2585" s="14" t="n">
        <f aca="false">G2585-H2585</f>
        <v>-156.85</v>
      </c>
    </row>
    <row r="2586" customFormat="false" ht="15" hidden="false" customHeight="false" outlineLevel="0" collapsed="false">
      <c r="A2586" s="2" t="s">
        <v>126</v>
      </c>
      <c r="B2586" s="2" t="s">
        <v>126</v>
      </c>
      <c r="C2586" s="2" t="s">
        <v>50</v>
      </c>
      <c r="D2586" s="2" t="s">
        <v>10</v>
      </c>
      <c r="E2586" s="2" t="s">
        <v>85</v>
      </c>
      <c r="F2586" s="2" t="s">
        <v>1145</v>
      </c>
      <c r="G2586" s="14" t="n">
        <v>24.5</v>
      </c>
      <c r="H2586" s="14" t="n">
        <v>17.57</v>
      </c>
      <c r="I2586" s="14" t="n">
        <v>24.5</v>
      </c>
      <c r="J2586" s="22" t="n">
        <f aca="false">IF(E2586="Priority",'Cost model'!N382,'Cost model'!M382)</f>
        <v>25.5</v>
      </c>
      <c r="K2586" s="14" t="n">
        <f aca="false">J2586-H2586</f>
        <v>7.93</v>
      </c>
      <c r="L2586" s="14" t="n">
        <f aca="false">G2586-H2586</f>
        <v>6.93</v>
      </c>
    </row>
    <row r="2587" customFormat="false" ht="15" hidden="false" customHeight="false" outlineLevel="0" collapsed="false">
      <c r="A2587" s="2" t="s">
        <v>184</v>
      </c>
      <c r="B2587" s="2" t="s">
        <v>146</v>
      </c>
      <c r="C2587" s="2" t="s">
        <v>50</v>
      </c>
      <c r="D2587" s="2" t="s">
        <v>10</v>
      </c>
      <c r="E2587" s="2" t="s">
        <v>85</v>
      </c>
      <c r="F2587" s="2" t="s">
        <v>1146</v>
      </c>
      <c r="G2587" s="14" t="n">
        <v>24.5</v>
      </c>
      <c r="H2587" s="14" t="n">
        <v>24.63</v>
      </c>
      <c r="I2587" s="14" t="n">
        <v>24.5</v>
      </c>
      <c r="J2587" s="22" t="n">
        <f aca="false">IF(E2587="Priority",'Cost model'!N148,'Cost model'!M148)</f>
        <v>29.5</v>
      </c>
      <c r="K2587" s="14" t="n">
        <f aca="false">J2587-H2587</f>
        <v>4.87</v>
      </c>
      <c r="L2587" s="14" t="n">
        <f aca="false">G2587-H2587</f>
        <v>-0.129999999999999</v>
      </c>
    </row>
    <row r="2588" customFormat="false" ht="15" hidden="false" customHeight="false" outlineLevel="0" collapsed="false">
      <c r="A2588" s="2" t="s">
        <v>126</v>
      </c>
      <c r="B2588" s="2" t="s">
        <v>126</v>
      </c>
      <c r="C2588" s="2" t="s">
        <v>50</v>
      </c>
      <c r="D2588" s="2" t="s">
        <v>12</v>
      </c>
      <c r="E2588" s="2" t="s">
        <v>76</v>
      </c>
      <c r="F2588" s="2" t="s">
        <v>1145</v>
      </c>
      <c r="G2588" s="14" t="n">
        <v>19.5</v>
      </c>
      <c r="H2588" s="14" t="n">
        <v>81.84</v>
      </c>
      <c r="I2588" s="14" t="n">
        <v>19.5</v>
      </c>
      <c r="J2588" s="22" t="n">
        <f aca="false">IF(E2588="Priority",'Cost model'!N385,'Cost model'!M385)</f>
        <v>55</v>
      </c>
      <c r="K2588" s="14" t="n">
        <f aca="false">J2588-H2588</f>
        <v>-26.84</v>
      </c>
      <c r="L2588" s="14" t="n">
        <f aca="false">G2588-H2588</f>
        <v>-62.34</v>
      </c>
    </row>
    <row r="2589" customFormat="false" ht="15" hidden="false" customHeight="false" outlineLevel="0" collapsed="false">
      <c r="A2589" s="2" t="s">
        <v>240</v>
      </c>
      <c r="B2589" s="2" t="s">
        <v>240</v>
      </c>
      <c r="C2589" s="2" t="s">
        <v>48</v>
      </c>
      <c r="D2589" s="2" t="s">
        <v>10</v>
      </c>
      <c r="E2589" s="2" t="s">
        <v>76</v>
      </c>
      <c r="F2589" s="2" t="s">
        <v>1145</v>
      </c>
      <c r="G2589" s="14" t="n">
        <v>9.5</v>
      </c>
      <c r="H2589" s="14" t="n">
        <v>7.12</v>
      </c>
      <c r="I2589" s="14" t="n">
        <v>9.5</v>
      </c>
      <c r="J2589" s="22" t="n">
        <f aca="false">IF(E2589="Priority",'Cost model'!N884,'Cost model'!M884)</f>
        <v>7.5</v>
      </c>
      <c r="K2589" s="14" t="n">
        <f aca="false">J2589-H2589</f>
        <v>0.38</v>
      </c>
      <c r="L2589" s="14" t="n">
        <f aca="false">G2589-H2589</f>
        <v>2.38</v>
      </c>
    </row>
    <row r="2590" customFormat="false" ht="15" hidden="false" customHeight="false" outlineLevel="0" collapsed="false">
      <c r="A2590" s="2" t="s">
        <v>126</v>
      </c>
      <c r="B2590" s="2" t="s">
        <v>126</v>
      </c>
      <c r="C2590" s="2" t="s">
        <v>49</v>
      </c>
      <c r="D2590" s="2" t="s">
        <v>15</v>
      </c>
      <c r="E2590" s="2" t="s">
        <v>76</v>
      </c>
      <c r="F2590" s="2" t="s">
        <v>1145</v>
      </c>
      <c r="G2590" s="14" t="n">
        <v>85</v>
      </c>
      <c r="H2590" s="14" t="n">
        <v>176.8</v>
      </c>
      <c r="I2590" s="14" t="n">
        <v>85</v>
      </c>
      <c r="J2590" s="22" t="n">
        <f aca="false">IF(E2590="Priority",'Cost model'!N393,'Cost model'!M393)</f>
        <v>160</v>
      </c>
      <c r="K2590" s="14" t="n">
        <f aca="false">J2590-H2590</f>
        <v>-16.8</v>
      </c>
      <c r="L2590" s="14" t="n">
        <f aca="false">G2590-H2590</f>
        <v>-91.8</v>
      </c>
    </row>
    <row r="2591" customFormat="false" ht="15" hidden="false" customHeight="false" outlineLevel="0" collapsed="false">
      <c r="A2591" s="2" t="s">
        <v>240</v>
      </c>
      <c r="B2591" s="2" t="s">
        <v>240</v>
      </c>
      <c r="C2591" s="2" t="s">
        <v>48</v>
      </c>
      <c r="D2591" s="2" t="s">
        <v>10</v>
      </c>
      <c r="E2591" s="2" t="s">
        <v>76</v>
      </c>
      <c r="F2591" s="2" t="s">
        <v>1145</v>
      </c>
      <c r="G2591" s="14" t="n">
        <v>9.5</v>
      </c>
      <c r="H2591" s="14" t="n">
        <v>6.12</v>
      </c>
      <c r="I2591" s="14" t="n">
        <v>9.5</v>
      </c>
      <c r="J2591" s="22" t="n">
        <f aca="false">IF(E2591="Priority",'Cost model'!N884,'Cost model'!M884)</f>
        <v>7.5</v>
      </c>
      <c r="K2591" s="14" t="n">
        <f aca="false">J2591-H2591</f>
        <v>1.38</v>
      </c>
      <c r="L2591" s="14" t="n">
        <f aca="false">G2591-H2591</f>
        <v>3.38</v>
      </c>
    </row>
    <row r="2592" customFormat="false" ht="15" hidden="false" customHeight="false" outlineLevel="0" collapsed="false">
      <c r="A2592" s="2" t="s">
        <v>126</v>
      </c>
      <c r="B2592" s="2" t="s">
        <v>126</v>
      </c>
      <c r="C2592" s="2" t="s">
        <v>49</v>
      </c>
      <c r="D2592" s="2" t="s">
        <v>10</v>
      </c>
      <c r="E2592" s="2" t="s">
        <v>76</v>
      </c>
      <c r="F2592" s="2" t="s">
        <v>1145</v>
      </c>
      <c r="G2592" s="14" t="n">
        <v>12.5</v>
      </c>
      <c r="H2592" s="14" t="n">
        <v>8.04</v>
      </c>
      <c r="I2592" s="14" t="n">
        <v>12.5</v>
      </c>
      <c r="J2592" s="22" t="n">
        <f aca="false">IF(E2592="Priority",'Cost model'!N381,'Cost model'!M381)</f>
        <v>14.5</v>
      </c>
      <c r="K2592" s="14" t="n">
        <f aca="false">J2592-H2592</f>
        <v>6.46</v>
      </c>
      <c r="L2592" s="14" t="n">
        <f aca="false">G2592-H2592</f>
        <v>4.46</v>
      </c>
    </row>
    <row r="2593" customFormat="false" ht="15" hidden="false" customHeight="false" outlineLevel="0" collapsed="false">
      <c r="A2593" s="2" t="s">
        <v>146</v>
      </c>
      <c r="B2593" s="2" t="s">
        <v>146</v>
      </c>
      <c r="C2593" s="2" t="s">
        <v>49</v>
      </c>
      <c r="D2593" s="2" t="s">
        <v>10</v>
      </c>
      <c r="E2593" s="2" t="s">
        <v>76</v>
      </c>
      <c r="F2593" s="2" t="s">
        <v>1145</v>
      </c>
      <c r="G2593" s="14" t="n">
        <v>12.5</v>
      </c>
      <c r="H2593" s="14" t="n">
        <v>21.76</v>
      </c>
      <c r="I2593" s="14" t="n">
        <v>12.5</v>
      </c>
      <c r="J2593" s="22" t="n">
        <f aca="false">IF(E2593="Priority",'Cost model'!N759,'Cost model'!M759)</f>
        <v>15.5</v>
      </c>
      <c r="K2593" s="14" t="n">
        <f aca="false">J2593-H2593</f>
        <v>-6.26</v>
      </c>
      <c r="L2593" s="14" t="n">
        <f aca="false">G2593-H2593</f>
        <v>-9.26</v>
      </c>
    </row>
    <row r="2594" customFormat="false" ht="15" hidden="false" customHeight="false" outlineLevel="0" collapsed="false">
      <c r="A2594" s="2" t="s">
        <v>184</v>
      </c>
      <c r="B2594" s="2" t="s">
        <v>184</v>
      </c>
      <c r="C2594" s="2" t="s">
        <v>48</v>
      </c>
      <c r="D2594" s="2" t="s">
        <v>10</v>
      </c>
      <c r="E2594" s="2" t="s">
        <v>76</v>
      </c>
      <c r="F2594" s="2" t="s">
        <v>1145</v>
      </c>
      <c r="G2594" s="14" t="n">
        <v>9.5</v>
      </c>
      <c r="H2594" s="14" t="n">
        <v>7.72</v>
      </c>
      <c r="I2594" s="14" t="n">
        <v>9.5</v>
      </c>
      <c r="J2594" s="22" t="n">
        <f aca="false">IF(E2594="Priority",'Cost model'!N200,'Cost model'!M200)</f>
        <v>7.5</v>
      </c>
      <c r="K2594" s="14" t="n">
        <f aca="false">J2594-H2594</f>
        <v>-0.22</v>
      </c>
      <c r="L2594" s="14" t="n">
        <f aca="false">G2594-H2594</f>
        <v>1.78</v>
      </c>
    </row>
    <row r="2595" customFormat="false" ht="15" hidden="false" customHeight="false" outlineLevel="0" collapsed="false">
      <c r="A2595" s="2" t="s">
        <v>126</v>
      </c>
      <c r="B2595" s="2" t="s">
        <v>126</v>
      </c>
      <c r="C2595" s="2" t="s">
        <v>50</v>
      </c>
      <c r="D2595" s="2" t="s">
        <v>10</v>
      </c>
      <c r="E2595" s="2" t="s">
        <v>76</v>
      </c>
      <c r="F2595" s="2" t="s">
        <v>1145</v>
      </c>
      <c r="G2595" s="14" t="n">
        <v>17.5</v>
      </c>
      <c r="H2595" s="14" t="n">
        <v>20.83</v>
      </c>
      <c r="I2595" s="14" t="n">
        <v>17.5</v>
      </c>
      <c r="J2595" s="22" t="n">
        <f aca="false">IF(E2595="Priority",'Cost model'!N382,'Cost model'!M382)</f>
        <v>18.5</v>
      </c>
      <c r="K2595" s="14" t="n">
        <f aca="false">J2595-H2595</f>
        <v>-2.33</v>
      </c>
      <c r="L2595" s="14" t="n">
        <f aca="false">G2595-H2595</f>
        <v>-3.33</v>
      </c>
    </row>
    <row r="2596" customFormat="false" ht="15" hidden="false" customHeight="false" outlineLevel="0" collapsed="false">
      <c r="A2596" s="2" t="s">
        <v>126</v>
      </c>
      <c r="B2596" s="2" t="s">
        <v>126</v>
      </c>
      <c r="C2596" s="2" t="s">
        <v>48</v>
      </c>
      <c r="D2596" s="2" t="s">
        <v>14</v>
      </c>
      <c r="E2596" s="2" t="s">
        <v>76</v>
      </c>
      <c r="F2596" s="2" t="s">
        <v>1145</v>
      </c>
      <c r="G2596" s="14" t="n">
        <v>25</v>
      </c>
      <c r="H2596" s="14" t="n">
        <v>128.7</v>
      </c>
      <c r="I2596" s="14" t="n">
        <v>25</v>
      </c>
      <c r="J2596" s="22" t="n">
        <f aca="false">IF(E2596="Priority",'Cost model'!N389,'Cost model'!M389)</f>
        <v>95</v>
      </c>
      <c r="K2596" s="14" t="n">
        <f aca="false">J2596-H2596</f>
        <v>-33.7</v>
      </c>
      <c r="L2596" s="14" t="n">
        <f aca="false">G2596-H2596</f>
        <v>-103.7</v>
      </c>
    </row>
    <row r="2597" customFormat="false" ht="15" hidden="false" customHeight="false" outlineLevel="0" collapsed="false">
      <c r="A2597" s="2" t="s">
        <v>184</v>
      </c>
      <c r="B2597" s="2" t="s">
        <v>184</v>
      </c>
      <c r="C2597" s="2" t="s">
        <v>50</v>
      </c>
      <c r="D2597" s="2" t="s">
        <v>10</v>
      </c>
      <c r="E2597" s="2" t="s">
        <v>76</v>
      </c>
      <c r="F2597" s="2" t="s">
        <v>1145</v>
      </c>
      <c r="G2597" s="14" t="n">
        <v>17.5</v>
      </c>
      <c r="H2597" s="14" t="n">
        <v>10.79</v>
      </c>
      <c r="I2597" s="14" t="n">
        <v>17.5</v>
      </c>
      <c r="J2597" s="22" t="n">
        <f aca="false">IF(E2597="Priority",'Cost model'!N202,'Cost model'!M202)</f>
        <v>17.5</v>
      </c>
      <c r="K2597" s="14" t="n">
        <f aca="false">J2597-H2597</f>
        <v>6.71</v>
      </c>
      <c r="L2597" s="14" t="n">
        <f aca="false">G2597-H2597</f>
        <v>6.71</v>
      </c>
    </row>
    <row r="2598" customFormat="false" ht="15" hidden="false" customHeight="false" outlineLevel="0" collapsed="false">
      <c r="A2598" s="2" t="s">
        <v>126</v>
      </c>
      <c r="B2598" s="2" t="s">
        <v>126</v>
      </c>
      <c r="C2598" s="2" t="s">
        <v>49</v>
      </c>
      <c r="D2598" s="2" t="s">
        <v>10</v>
      </c>
      <c r="E2598" s="2" t="s">
        <v>76</v>
      </c>
      <c r="F2598" s="2" t="s">
        <v>1145</v>
      </c>
      <c r="G2598" s="14" t="n">
        <v>12.5</v>
      </c>
      <c r="H2598" s="14" t="n">
        <v>45.29</v>
      </c>
      <c r="I2598" s="14" t="n">
        <v>12.5</v>
      </c>
      <c r="J2598" s="22" t="n">
        <f aca="false">IF(E2598="Priority",'Cost model'!N381,'Cost model'!M381)</f>
        <v>14.5</v>
      </c>
      <c r="K2598" s="14" t="n">
        <f aca="false">J2598-H2598</f>
        <v>-30.79</v>
      </c>
      <c r="L2598" s="14" t="n">
        <f aca="false">G2598-H2598</f>
        <v>-32.79</v>
      </c>
    </row>
    <row r="2599" customFormat="false" ht="15" hidden="false" customHeight="false" outlineLevel="0" collapsed="false">
      <c r="A2599" s="2" t="s">
        <v>184</v>
      </c>
      <c r="B2599" s="2" t="s">
        <v>184</v>
      </c>
      <c r="C2599" s="2" t="s">
        <v>48</v>
      </c>
      <c r="D2599" s="2" t="s">
        <v>12</v>
      </c>
      <c r="E2599" s="2" t="s">
        <v>76</v>
      </c>
      <c r="F2599" s="2" t="s">
        <v>1145</v>
      </c>
      <c r="G2599" s="14" t="n">
        <v>9.5</v>
      </c>
      <c r="H2599" s="14" t="n">
        <v>44.21</v>
      </c>
      <c r="I2599" s="14" t="n">
        <v>9.5</v>
      </c>
      <c r="J2599" s="22" t="n">
        <f aca="false">IF(E2599="Priority",'Cost model'!N203,'Cost model'!M203)</f>
        <v>26.5</v>
      </c>
      <c r="K2599" s="14" t="n">
        <f aca="false">J2599-H2599</f>
        <v>-17.71</v>
      </c>
      <c r="L2599" s="14" t="n">
        <f aca="false">G2599-H2599</f>
        <v>-34.71</v>
      </c>
    </row>
    <row r="2600" customFormat="false" ht="15" hidden="false" customHeight="false" outlineLevel="0" collapsed="false">
      <c r="A2600" s="2" t="s">
        <v>146</v>
      </c>
      <c r="B2600" s="2" t="s">
        <v>146</v>
      </c>
      <c r="C2600" s="2" t="s">
        <v>49</v>
      </c>
      <c r="D2600" s="2" t="s">
        <v>14</v>
      </c>
      <c r="E2600" s="2" t="s">
        <v>76</v>
      </c>
      <c r="F2600" s="2" t="s">
        <v>1145</v>
      </c>
      <c r="G2600" s="14" t="n">
        <v>45</v>
      </c>
      <c r="H2600" s="14" t="n">
        <v>120.52</v>
      </c>
      <c r="I2600" s="14" t="n">
        <v>45</v>
      </c>
      <c r="J2600" s="22" t="n">
        <f aca="false">IF(E2600="Priority",'Cost model'!N768,'Cost model'!M768)</f>
        <v>145</v>
      </c>
      <c r="K2600" s="14" t="n">
        <f aca="false">J2600-H2600</f>
        <v>24.48</v>
      </c>
      <c r="L2600" s="14" t="n">
        <f aca="false">G2600-H2600</f>
        <v>-75.52</v>
      </c>
    </row>
    <row r="2601" customFormat="false" ht="15" hidden="false" customHeight="false" outlineLevel="0" collapsed="false">
      <c r="A2601" s="2" t="s">
        <v>184</v>
      </c>
      <c r="B2601" s="2" t="s">
        <v>146</v>
      </c>
      <c r="C2601" s="2" t="s">
        <v>48</v>
      </c>
      <c r="D2601" s="2" t="s">
        <v>12</v>
      </c>
      <c r="E2601" s="2" t="s">
        <v>76</v>
      </c>
      <c r="F2601" s="2" t="s">
        <v>1146</v>
      </c>
      <c r="G2601" s="14" t="n">
        <v>9.5</v>
      </c>
      <c r="H2601" s="14" t="n">
        <v>19.37</v>
      </c>
      <c r="I2601" s="14" t="n">
        <v>9.5</v>
      </c>
      <c r="J2601" s="22" t="n">
        <f aca="false">IF(E2601="Priority",'Cost model'!N149,'Cost model'!M149)</f>
        <v>45</v>
      </c>
      <c r="K2601" s="14" t="n">
        <f aca="false">J2601-H2601</f>
        <v>25.63</v>
      </c>
      <c r="L2601" s="14" t="n">
        <f aca="false">G2601-H2601</f>
        <v>-9.87</v>
      </c>
    </row>
    <row r="2602" customFormat="false" ht="15" hidden="false" customHeight="false" outlineLevel="0" collapsed="false">
      <c r="A2602" s="2" t="s">
        <v>126</v>
      </c>
      <c r="B2602" s="2" t="s">
        <v>146</v>
      </c>
      <c r="C2602" s="2" t="s">
        <v>50</v>
      </c>
      <c r="D2602" s="2" t="s">
        <v>13</v>
      </c>
      <c r="E2602" s="2" t="s">
        <v>76</v>
      </c>
      <c r="F2602" s="2" t="s">
        <v>1146</v>
      </c>
      <c r="G2602" s="14" t="n">
        <v>85</v>
      </c>
      <c r="H2602" s="14" t="n">
        <v>172.6</v>
      </c>
      <c r="I2602" s="14" t="n">
        <v>85</v>
      </c>
      <c r="J2602" s="22" t="n">
        <f aca="false">IF(E2602="Priority",'Cost model'!N406,'Cost model'!M406)</f>
        <v>140</v>
      </c>
      <c r="K2602" s="14" t="n">
        <f aca="false">J2602-H2602</f>
        <v>-32.6</v>
      </c>
      <c r="L2602" s="14" t="n">
        <f aca="false">G2602-H2602</f>
        <v>-87.6</v>
      </c>
    </row>
    <row r="2603" customFormat="false" ht="15" hidden="false" customHeight="false" outlineLevel="0" collapsed="false">
      <c r="A2603" s="2" t="s">
        <v>126</v>
      </c>
      <c r="B2603" s="2" t="s">
        <v>126</v>
      </c>
      <c r="C2603" s="2" t="s">
        <v>49</v>
      </c>
      <c r="D2603" s="2" t="s">
        <v>15</v>
      </c>
      <c r="E2603" s="2" t="s">
        <v>76</v>
      </c>
      <c r="F2603" s="2" t="s">
        <v>1145</v>
      </c>
      <c r="G2603" s="14" t="n">
        <v>85</v>
      </c>
      <c r="H2603" s="14" t="n">
        <v>72.31</v>
      </c>
      <c r="I2603" s="14" t="n">
        <v>85</v>
      </c>
      <c r="J2603" s="22" t="n">
        <f aca="false">IF(E2603="Priority",'Cost model'!N393,'Cost model'!M393)</f>
        <v>160</v>
      </c>
      <c r="K2603" s="14" t="n">
        <f aca="false">J2603-H2603</f>
        <v>87.69</v>
      </c>
      <c r="L2603" s="14" t="n">
        <f aca="false">G2603-H2603</f>
        <v>12.69</v>
      </c>
    </row>
    <row r="2604" customFormat="false" ht="15" hidden="false" customHeight="false" outlineLevel="0" collapsed="false">
      <c r="A2604" s="2" t="s">
        <v>221</v>
      </c>
      <c r="B2604" s="2" t="s">
        <v>165</v>
      </c>
      <c r="C2604" s="2" t="s">
        <v>48</v>
      </c>
      <c r="D2604" s="2" t="s">
        <v>10</v>
      </c>
      <c r="E2604" s="2" t="s">
        <v>76</v>
      </c>
      <c r="F2604" s="2" t="s">
        <v>1146</v>
      </c>
      <c r="G2604" s="14" t="n">
        <v>14.5</v>
      </c>
      <c r="H2604" s="14" t="n">
        <v>12.43</v>
      </c>
      <c r="I2604" s="14"/>
      <c r="J2604" s="22" t="n">
        <f aca="false">IF(E2604="Priority",'Cost model'!N740,'Cost model'!M740)</f>
        <v>14.5</v>
      </c>
      <c r="K2604" s="14" t="n">
        <f aca="false">J2604-H2604</f>
        <v>2.07</v>
      </c>
      <c r="L2604" s="14" t="n">
        <f aca="false">G2604-H2604</f>
        <v>2.07</v>
      </c>
    </row>
    <row r="2605" customFormat="false" ht="15" hidden="false" customHeight="false" outlineLevel="0" collapsed="false">
      <c r="A2605" s="2" t="s">
        <v>126</v>
      </c>
      <c r="B2605" s="2" t="s">
        <v>126</v>
      </c>
      <c r="C2605" s="2" t="s">
        <v>48</v>
      </c>
      <c r="D2605" s="2" t="s">
        <v>10</v>
      </c>
      <c r="E2605" s="2" t="s">
        <v>76</v>
      </c>
      <c r="F2605" s="2" t="s">
        <v>1145</v>
      </c>
      <c r="G2605" s="14" t="n">
        <v>9.5</v>
      </c>
      <c r="H2605" s="14" t="n">
        <v>7.45</v>
      </c>
      <c r="I2605" s="14" t="n">
        <v>9.5</v>
      </c>
      <c r="J2605" s="22" t="n">
        <f aca="false">IF(E2605="Priority",'Cost model'!N380,'Cost model'!M380)</f>
        <v>8.5</v>
      </c>
      <c r="K2605" s="14" t="n">
        <f aca="false">J2605-H2605</f>
        <v>1.05</v>
      </c>
      <c r="L2605" s="14" t="n">
        <f aca="false">G2605-H2605</f>
        <v>2.05</v>
      </c>
    </row>
    <row r="2606" customFormat="false" ht="15" hidden="false" customHeight="false" outlineLevel="0" collapsed="false">
      <c r="A2606" s="2" t="s">
        <v>240</v>
      </c>
      <c r="B2606" s="2" t="s">
        <v>184</v>
      </c>
      <c r="C2606" s="2" t="s">
        <v>48</v>
      </c>
      <c r="D2606" s="2" t="s">
        <v>10</v>
      </c>
      <c r="E2606" s="2" t="s">
        <v>76</v>
      </c>
      <c r="F2606" s="2" t="s">
        <v>1146</v>
      </c>
      <c r="G2606" s="14" t="n">
        <v>9.5</v>
      </c>
      <c r="H2606" s="14" t="n">
        <v>8.89</v>
      </c>
      <c r="I2606" s="14" t="n">
        <v>19.5</v>
      </c>
      <c r="J2606" s="22" t="n">
        <f aca="false">IF(E2606="Priority",'Cost model'!N938,'Cost model'!M938)</f>
        <v>16.5</v>
      </c>
      <c r="K2606" s="14" t="n">
        <f aca="false">J2606-H2606</f>
        <v>7.61</v>
      </c>
      <c r="L2606" s="14" t="n">
        <f aca="false">G2606-H2606</f>
        <v>0.609999999999999</v>
      </c>
    </row>
    <row r="2607" customFormat="false" ht="15" hidden="false" customHeight="false" outlineLevel="0" collapsed="false">
      <c r="A2607" s="2" t="s">
        <v>240</v>
      </c>
      <c r="B2607" s="2" t="s">
        <v>126</v>
      </c>
      <c r="C2607" s="2" t="s">
        <v>48</v>
      </c>
      <c r="D2607" s="2" t="s">
        <v>10</v>
      </c>
      <c r="E2607" s="2" t="s">
        <v>76</v>
      </c>
      <c r="F2607" s="2" t="s">
        <v>1146</v>
      </c>
      <c r="G2607" s="14" t="n">
        <v>9.5</v>
      </c>
      <c r="H2607" s="14" t="n">
        <v>14.43</v>
      </c>
      <c r="I2607" s="14" t="n">
        <v>19.5</v>
      </c>
      <c r="J2607" s="22" t="n">
        <f aca="false">IF(E2607="Priority",'Cost model'!N956,'Cost model'!M956)</f>
        <v>15.5</v>
      </c>
      <c r="K2607" s="14" t="n">
        <f aca="false">J2607-H2607</f>
        <v>1.07</v>
      </c>
      <c r="L2607" s="14" t="n">
        <f aca="false">G2607-H2607</f>
        <v>-4.93</v>
      </c>
    </row>
    <row r="2608" customFormat="false" ht="15" hidden="false" customHeight="false" outlineLevel="0" collapsed="false">
      <c r="A2608" s="2" t="s">
        <v>146</v>
      </c>
      <c r="B2608" s="2" t="s">
        <v>146</v>
      </c>
      <c r="C2608" s="2" t="s">
        <v>49</v>
      </c>
      <c r="D2608" s="2" t="s">
        <v>10</v>
      </c>
      <c r="E2608" s="2" t="s">
        <v>76</v>
      </c>
      <c r="F2608" s="2" t="s">
        <v>1145</v>
      </c>
      <c r="G2608" s="14" t="n">
        <v>14.5</v>
      </c>
      <c r="H2608" s="14" t="n">
        <v>13.7</v>
      </c>
      <c r="I2608" s="14" t="n">
        <v>12.5</v>
      </c>
      <c r="J2608" s="22" t="n">
        <f aca="false">IF(E2608="Priority",'Cost model'!N759,'Cost model'!M759)</f>
        <v>15.5</v>
      </c>
      <c r="K2608" s="14" t="n">
        <f aca="false">J2608-H2608</f>
        <v>1.8</v>
      </c>
      <c r="L2608" s="14" t="n">
        <f aca="false">G2608-H2608</f>
        <v>0.800000000000001</v>
      </c>
    </row>
    <row r="2609" customFormat="false" ht="15" hidden="false" customHeight="false" outlineLevel="0" collapsed="false">
      <c r="A2609" s="2" t="s">
        <v>184</v>
      </c>
      <c r="B2609" s="2" t="s">
        <v>126</v>
      </c>
      <c r="C2609" s="2" t="s">
        <v>49</v>
      </c>
      <c r="D2609" s="2" t="s">
        <v>12</v>
      </c>
      <c r="E2609" s="2" t="s">
        <v>76</v>
      </c>
      <c r="F2609" s="2" t="s">
        <v>1146</v>
      </c>
      <c r="G2609" s="14" t="n">
        <v>12.5</v>
      </c>
      <c r="H2609" s="14" t="n">
        <v>48.02</v>
      </c>
      <c r="I2609" s="14"/>
      <c r="J2609" s="22" t="n">
        <f aca="false">IF(E2609="Priority",'Cost model'!N132,'Cost model'!M132)</f>
        <v>50</v>
      </c>
      <c r="K2609" s="14" t="n">
        <f aca="false">J2609-H2609</f>
        <v>1.98</v>
      </c>
      <c r="L2609" s="14" t="n">
        <f aca="false">G2609-H2609</f>
        <v>-35.52</v>
      </c>
    </row>
    <row r="2610" customFormat="false" ht="15" hidden="false" customHeight="false" outlineLevel="0" collapsed="false">
      <c r="A2610" s="2" t="s">
        <v>184</v>
      </c>
      <c r="B2610" s="2" t="s">
        <v>126</v>
      </c>
      <c r="C2610" s="2" t="s">
        <v>48</v>
      </c>
      <c r="D2610" s="2" t="s">
        <v>13</v>
      </c>
      <c r="E2610" s="2" t="s">
        <v>76</v>
      </c>
      <c r="F2610" s="2" t="s">
        <v>1146</v>
      </c>
      <c r="G2610" s="14" t="n">
        <v>19</v>
      </c>
      <c r="H2610" s="14" t="n">
        <v>40.07</v>
      </c>
      <c r="I2610" s="14" t="n">
        <v>19</v>
      </c>
      <c r="J2610" s="22" t="n">
        <f aca="false">IF(E2610="Priority",'Cost model'!N134,'Cost model'!M134)</f>
        <v>80</v>
      </c>
      <c r="K2610" s="14" t="n">
        <f aca="false">J2610-H2610</f>
        <v>39.93</v>
      </c>
      <c r="L2610" s="14" t="n">
        <f aca="false">G2610-H2610</f>
        <v>-21.07</v>
      </c>
    </row>
    <row r="2611" customFormat="false" ht="15" hidden="false" customHeight="false" outlineLevel="0" collapsed="false">
      <c r="A2611" s="2" t="s">
        <v>221</v>
      </c>
      <c r="B2611" s="2" t="s">
        <v>221</v>
      </c>
      <c r="C2611" s="2" t="s">
        <v>49</v>
      </c>
      <c r="D2611" s="2" t="s">
        <v>12</v>
      </c>
      <c r="E2611" s="2" t="s">
        <v>85</v>
      </c>
      <c r="F2611" s="2" t="s">
        <v>1145</v>
      </c>
      <c r="G2611" s="14" t="n">
        <v>19.5</v>
      </c>
      <c r="H2611" s="14" t="n">
        <v>35.77</v>
      </c>
      <c r="I2611" s="14" t="n">
        <v>19.5</v>
      </c>
      <c r="J2611" s="22" t="n">
        <f aca="false">IF(E2611="Priority",'Cost model'!N636,'Cost model'!M636)</f>
        <v>70</v>
      </c>
      <c r="K2611" s="14" t="n">
        <f aca="false">J2611-H2611</f>
        <v>34.23</v>
      </c>
      <c r="L2611" s="14" t="n">
        <f aca="false">G2611-H2611</f>
        <v>-16.27</v>
      </c>
    </row>
    <row r="2612" customFormat="false" ht="15" hidden="false" customHeight="false" outlineLevel="0" collapsed="false">
      <c r="A2612" s="2" t="s">
        <v>126</v>
      </c>
      <c r="B2612" s="2" t="s">
        <v>126</v>
      </c>
      <c r="C2612" s="2" t="s">
        <v>49</v>
      </c>
      <c r="D2612" s="2" t="s">
        <v>10</v>
      </c>
      <c r="E2612" s="2" t="s">
        <v>76</v>
      </c>
      <c r="F2612" s="2" t="s">
        <v>1145</v>
      </c>
      <c r="G2612" s="14" t="n">
        <v>12.5</v>
      </c>
      <c r="H2612" s="14" t="n">
        <v>11.51</v>
      </c>
      <c r="I2612" s="14" t="n">
        <v>12.5</v>
      </c>
      <c r="J2612" s="22" t="n">
        <f aca="false">IF(E2612="Priority",'Cost model'!N381,'Cost model'!M381)</f>
        <v>14.5</v>
      </c>
      <c r="K2612" s="14" t="n">
        <f aca="false">J2612-H2612</f>
        <v>2.99</v>
      </c>
      <c r="L2612" s="14" t="n">
        <f aca="false">G2612-H2612</f>
        <v>0.99</v>
      </c>
    </row>
    <row r="2613" customFormat="false" ht="15" hidden="false" customHeight="false" outlineLevel="0" collapsed="false">
      <c r="A2613" s="2" t="s">
        <v>240</v>
      </c>
      <c r="B2613" s="2" t="s">
        <v>146</v>
      </c>
      <c r="C2613" s="2" t="s">
        <v>50</v>
      </c>
      <c r="D2613" s="2" t="s">
        <v>10</v>
      </c>
      <c r="E2613" s="2" t="s">
        <v>76</v>
      </c>
      <c r="F2613" s="2" t="s">
        <v>1146</v>
      </c>
      <c r="G2613" s="14" t="n">
        <v>19.5</v>
      </c>
      <c r="H2613" s="14" t="n">
        <v>54.88</v>
      </c>
      <c r="I2613" s="14" t="n">
        <v>19.5</v>
      </c>
      <c r="J2613" s="22" t="n">
        <f aca="false">IF(E2613="Priority",'Cost model'!N922,'Cost model'!M922)</f>
        <v>35</v>
      </c>
      <c r="K2613" s="14" t="n">
        <f aca="false">J2613-H2613</f>
        <v>-19.88</v>
      </c>
      <c r="L2613" s="14" t="n">
        <f aca="false">G2613-H2613</f>
        <v>-35.38</v>
      </c>
    </row>
    <row r="2614" customFormat="false" ht="15" hidden="false" customHeight="false" outlineLevel="0" collapsed="false">
      <c r="A2614" s="2" t="s">
        <v>146</v>
      </c>
      <c r="B2614" s="2" t="s">
        <v>146</v>
      </c>
      <c r="C2614" s="2" t="s">
        <v>48</v>
      </c>
      <c r="D2614" s="2" t="s">
        <v>12</v>
      </c>
      <c r="E2614" s="2" t="s">
        <v>85</v>
      </c>
      <c r="F2614" s="2" t="s">
        <v>1145</v>
      </c>
      <c r="G2614" s="14" t="n">
        <v>19.5</v>
      </c>
      <c r="H2614" s="14" t="n">
        <v>28.17</v>
      </c>
      <c r="I2614" s="14" t="n">
        <v>19.5</v>
      </c>
      <c r="J2614" s="22" t="n">
        <f aca="false">IF(E2614="Priority",'Cost model'!N761,'Cost model'!M761)</f>
        <v>45</v>
      </c>
      <c r="K2614" s="14" t="n">
        <f aca="false">J2614-H2614</f>
        <v>16.83</v>
      </c>
      <c r="L2614" s="14" t="n">
        <f aca="false">G2614-H2614</f>
        <v>-8.67</v>
      </c>
    </row>
    <row r="2615" customFormat="false" ht="15" hidden="false" customHeight="false" outlineLevel="0" collapsed="false">
      <c r="A2615" s="2" t="s">
        <v>184</v>
      </c>
      <c r="B2615" s="2" t="s">
        <v>184</v>
      </c>
      <c r="C2615" s="2" t="s">
        <v>50</v>
      </c>
      <c r="D2615" s="2" t="s">
        <v>12</v>
      </c>
      <c r="E2615" s="2" t="s">
        <v>76</v>
      </c>
      <c r="F2615" s="2" t="s">
        <v>1145</v>
      </c>
      <c r="G2615" s="14" t="n">
        <v>34.5</v>
      </c>
      <c r="H2615" s="14" t="n">
        <v>60.23</v>
      </c>
      <c r="I2615" s="14" t="n">
        <v>19.5</v>
      </c>
      <c r="J2615" s="22" t="n">
        <f aca="false">IF(E2615="Priority",'Cost model'!N205,'Cost model'!M205)</f>
        <v>50</v>
      </c>
      <c r="K2615" s="14" t="n">
        <f aca="false">J2615-H2615</f>
        <v>-10.23</v>
      </c>
      <c r="L2615" s="14" t="n">
        <f aca="false">G2615-H2615</f>
        <v>-25.73</v>
      </c>
    </row>
    <row r="2616" customFormat="false" ht="15" hidden="false" customHeight="false" outlineLevel="0" collapsed="false">
      <c r="A2616" s="2" t="s">
        <v>184</v>
      </c>
      <c r="B2616" s="2" t="s">
        <v>184</v>
      </c>
      <c r="C2616" s="2" t="s">
        <v>49</v>
      </c>
      <c r="D2616" s="2" t="s">
        <v>12</v>
      </c>
      <c r="E2616" s="2" t="s">
        <v>76</v>
      </c>
      <c r="F2616" s="2" t="s">
        <v>1145</v>
      </c>
      <c r="G2616" s="14" t="n">
        <v>12.5</v>
      </c>
      <c r="H2616" s="14" t="n">
        <v>44.02</v>
      </c>
      <c r="I2616" s="14"/>
      <c r="J2616" s="22" t="n">
        <f aca="false">IF(E2616="Priority",'Cost model'!N204,'Cost model'!M204)</f>
        <v>45</v>
      </c>
      <c r="K2616" s="14" t="n">
        <f aca="false">J2616-H2616</f>
        <v>0.979999999999997</v>
      </c>
      <c r="L2616" s="14" t="n">
        <f aca="false">G2616-H2616</f>
        <v>-31.52</v>
      </c>
    </row>
    <row r="2617" customFormat="false" ht="15" hidden="false" customHeight="false" outlineLevel="0" collapsed="false">
      <c r="A2617" s="2" t="s">
        <v>126</v>
      </c>
      <c r="B2617" s="2" t="s">
        <v>126</v>
      </c>
      <c r="C2617" s="2" t="s">
        <v>48</v>
      </c>
      <c r="D2617" s="2" t="s">
        <v>12</v>
      </c>
      <c r="E2617" s="2" t="s">
        <v>76</v>
      </c>
      <c r="F2617" s="2" t="s">
        <v>1145</v>
      </c>
      <c r="G2617" s="14" t="n">
        <v>9.5</v>
      </c>
      <c r="H2617" s="14" t="n">
        <v>7.72</v>
      </c>
      <c r="I2617" s="14" t="n">
        <v>9.5</v>
      </c>
      <c r="J2617" s="22" t="n">
        <f aca="false">IF(E2617="Priority",'Cost model'!N383,'Cost model'!M383)</f>
        <v>27.5</v>
      </c>
      <c r="K2617" s="14" t="n">
        <f aca="false">J2617-H2617</f>
        <v>19.78</v>
      </c>
      <c r="L2617" s="14" t="n">
        <f aca="false">G2617-H2617</f>
        <v>1.78</v>
      </c>
    </row>
    <row r="2618" customFormat="false" ht="15" hidden="false" customHeight="false" outlineLevel="0" collapsed="false">
      <c r="A2618" s="2" t="s">
        <v>240</v>
      </c>
      <c r="B2618" s="2" t="s">
        <v>240</v>
      </c>
      <c r="C2618" s="2" t="s">
        <v>48</v>
      </c>
      <c r="D2618" s="2" t="s">
        <v>13</v>
      </c>
      <c r="E2618" s="2" t="s">
        <v>76</v>
      </c>
      <c r="F2618" s="2" t="s">
        <v>1145</v>
      </c>
      <c r="G2618" s="14" t="n">
        <v>19.5</v>
      </c>
      <c r="H2618" s="14" t="n">
        <v>50.67</v>
      </c>
      <c r="I2618" s="14" t="n">
        <v>19.5</v>
      </c>
      <c r="J2618" s="22" t="n">
        <f aca="false">IF(E2618="Priority",'Cost model'!N890,'Cost model'!M890)</f>
        <v>45</v>
      </c>
      <c r="K2618" s="14" t="n">
        <f aca="false">J2618-H2618</f>
        <v>-5.67</v>
      </c>
      <c r="L2618" s="14" t="n">
        <f aca="false">G2618-H2618</f>
        <v>-31.17</v>
      </c>
    </row>
    <row r="2619" customFormat="false" ht="15" hidden="false" customHeight="false" outlineLevel="0" collapsed="false">
      <c r="A2619" s="2" t="s">
        <v>184</v>
      </c>
      <c r="B2619" s="2" t="s">
        <v>184</v>
      </c>
      <c r="C2619" s="2" t="s">
        <v>48</v>
      </c>
      <c r="D2619" s="2" t="s">
        <v>10</v>
      </c>
      <c r="E2619" s="2" t="s">
        <v>76</v>
      </c>
      <c r="F2619" s="2" t="s">
        <v>1145</v>
      </c>
      <c r="G2619" s="14" t="n">
        <v>9.5</v>
      </c>
      <c r="H2619" s="14" t="n">
        <v>7.46</v>
      </c>
      <c r="I2619" s="14" t="n">
        <v>9.5</v>
      </c>
      <c r="J2619" s="22" t="n">
        <f aca="false">IF(E2619="Priority",'Cost model'!N200,'Cost model'!M200)</f>
        <v>7.5</v>
      </c>
      <c r="K2619" s="14" t="n">
        <f aca="false">J2619-H2619</f>
        <v>0.04</v>
      </c>
      <c r="L2619" s="14" t="n">
        <f aca="false">G2619-H2619</f>
        <v>2.04</v>
      </c>
    </row>
    <row r="2620" customFormat="false" ht="15" hidden="false" customHeight="false" outlineLevel="0" collapsed="false">
      <c r="A2620" s="2" t="s">
        <v>184</v>
      </c>
      <c r="B2620" s="2" t="s">
        <v>184</v>
      </c>
      <c r="C2620" s="2" t="s">
        <v>48</v>
      </c>
      <c r="D2620" s="2" t="s">
        <v>10</v>
      </c>
      <c r="E2620" s="2" t="s">
        <v>76</v>
      </c>
      <c r="F2620" s="2" t="s">
        <v>1145</v>
      </c>
      <c r="G2620" s="14" t="n">
        <v>9.5</v>
      </c>
      <c r="H2620" s="14" t="n">
        <v>7.45</v>
      </c>
      <c r="I2620" s="14" t="n">
        <v>9.5</v>
      </c>
      <c r="J2620" s="22" t="n">
        <f aca="false">IF(E2620="Priority",'Cost model'!N200,'Cost model'!M200)</f>
        <v>7.5</v>
      </c>
      <c r="K2620" s="14" t="n">
        <f aca="false">J2620-H2620</f>
        <v>0.0499999999999998</v>
      </c>
      <c r="L2620" s="14" t="n">
        <f aca="false">G2620-H2620</f>
        <v>2.05</v>
      </c>
    </row>
    <row r="2621" customFormat="false" ht="15" hidden="false" customHeight="false" outlineLevel="0" collapsed="false">
      <c r="A2621" s="2" t="s">
        <v>126</v>
      </c>
      <c r="B2621" s="2" t="s">
        <v>146</v>
      </c>
      <c r="C2621" s="2" t="s">
        <v>50</v>
      </c>
      <c r="D2621" s="2" t="s">
        <v>12</v>
      </c>
      <c r="E2621" s="2" t="s">
        <v>76</v>
      </c>
      <c r="F2621" s="2" t="s">
        <v>1146</v>
      </c>
      <c r="G2621" s="14" t="n">
        <v>19.5</v>
      </c>
      <c r="H2621" s="14" t="n">
        <v>63.91</v>
      </c>
      <c r="I2621" s="14" t="n">
        <v>19.5</v>
      </c>
      <c r="J2621" s="22" t="n">
        <f aca="false">IF(E2621="Priority",'Cost model'!N403,'Cost model'!M403)</f>
        <v>75</v>
      </c>
      <c r="K2621" s="14" t="n">
        <f aca="false">J2621-H2621</f>
        <v>11.09</v>
      </c>
      <c r="L2621" s="14" t="n">
        <f aca="false">G2621-H2621</f>
        <v>-44.41</v>
      </c>
    </row>
    <row r="2622" customFormat="false" ht="15" hidden="false" customHeight="false" outlineLevel="0" collapsed="false">
      <c r="A2622" s="2" t="s">
        <v>184</v>
      </c>
      <c r="B2622" s="2" t="s">
        <v>184</v>
      </c>
      <c r="C2622" s="2" t="s">
        <v>49</v>
      </c>
      <c r="D2622" s="2" t="s">
        <v>14</v>
      </c>
      <c r="E2622" s="2" t="s">
        <v>76</v>
      </c>
      <c r="F2622" s="2" t="s">
        <v>1145</v>
      </c>
      <c r="G2622" s="14" t="n">
        <v>45</v>
      </c>
      <c r="H2622" s="14" t="n">
        <v>207.31</v>
      </c>
      <c r="I2622" s="14"/>
      <c r="J2622" s="22" t="n">
        <f aca="false">IF(E2622="Priority",'Cost model'!N210,'Cost model'!M210)</f>
        <v>135</v>
      </c>
      <c r="K2622" s="14" t="n">
        <f aca="false">J2622-H2622</f>
        <v>-72.31</v>
      </c>
      <c r="L2622" s="14" t="n">
        <f aca="false">G2622-H2622</f>
        <v>-162.31</v>
      </c>
    </row>
    <row r="2623" customFormat="false" ht="15" hidden="false" customHeight="false" outlineLevel="0" collapsed="false">
      <c r="A2623" s="2" t="s">
        <v>184</v>
      </c>
      <c r="B2623" s="2" t="s">
        <v>184</v>
      </c>
      <c r="C2623" s="2" t="s">
        <v>50</v>
      </c>
      <c r="D2623" s="2" t="s">
        <v>12</v>
      </c>
      <c r="E2623" s="2" t="s">
        <v>76</v>
      </c>
      <c r="F2623" s="2" t="s">
        <v>1145</v>
      </c>
      <c r="G2623" s="14" t="n">
        <v>19.5</v>
      </c>
      <c r="H2623" s="14" t="n">
        <v>66.87</v>
      </c>
      <c r="I2623" s="14" t="n">
        <v>19.5</v>
      </c>
      <c r="J2623" s="22" t="n">
        <f aca="false">IF(E2623="Priority",'Cost model'!N205,'Cost model'!M205)</f>
        <v>50</v>
      </c>
      <c r="K2623" s="14" t="n">
        <f aca="false">J2623-H2623</f>
        <v>-16.87</v>
      </c>
      <c r="L2623" s="14" t="n">
        <f aca="false">G2623-H2623</f>
        <v>-47.37</v>
      </c>
    </row>
    <row r="2624" customFormat="false" ht="15" hidden="false" customHeight="false" outlineLevel="0" collapsed="false">
      <c r="A2624" s="2" t="s">
        <v>240</v>
      </c>
      <c r="B2624" s="2" t="s">
        <v>240</v>
      </c>
      <c r="C2624" s="2" t="s">
        <v>50</v>
      </c>
      <c r="D2624" s="2" t="s">
        <v>10</v>
      </c>
      <c r="E2624" s="2" t="s">
        <v>76</v>
      </c>
      <c r="F2624" s="2" t="s">
        <v>1145</v>
      </c>
      <c r="G2624" s="14" t="n">
        <v>17.5</v>
      </c>
      <c r="H2624" s="14" t="n">
        <v>11.34</v>
      </c>
      <c r="I2624" s="14" t="n">
        <v>17.5</v>
      </c>
      <c r="J2624" s="22" t="n">
        <f aca="false">IF(E2624="Priority",'Cost model'!N886,'Cost model'!M886)</f>
        <v>17.5</v>
      </c>
      <c r="K2624" s="14" t="n">
        <f aca="false">J2624-H2624</f>
        <v>6.16</v>
      </c>
      <c r="L2624" s="14" t="n">
        <f aca="false">G2624-H2624</f>
        <v>6.16</v>
      </c>
    </row>
    <row r="2625" customFormat="false" ht="15" hidden="false" customHeight="false" outlineLevel="0" collapsed="false">
      <c r="A2625" s="2" t="s">
        <v>184</v>
      </c>
      <c r="B2625" s="2" t="s">
        <v>126</v>
      </c>
      <c r="C2625" s="2" t="s">
        <v>50</v>
      </c>
      <c r="D2625" s="2" t="s">
        <v>10</v>
      </c>
      <c r="E2625" s="2" t="s">
        <v>85</v>
      </c>
      <c r="F2625" s="2" t="s">
        <v>1146</v>
      </c>
      <c r="G2625" s="14" t="n">
        <v>24.5</v>
      </c>
      <c r="H2625" s="14" t="n">
        <v>36.08</v>
      </c>
      <c r="I2625" s="14" t="n">
        <v>24.5</v>
      </c>
      <c r="J2625" s="22" t="n">
        <f aca="false">IF(E2625="Priority",'Cost model'!N130,'Cost model'!M130)</f>
        <v>25.5</v>
      </c>
      <c r="K2625" s="14" t="n">
        <f aca="false">J2625-H2625</f>
        <v>-10.58</v>
      </c>
      <c r="L2625" s="14" t="n">
        <f aca="false">G2625-H2625</f>
        <v>-11.58</v>
      </c>
    </row>
    <row r="2626" customFormat="false" ht="15" hidden="false" customHeight="false" outlineLevel="0" collapsed="false">
      <c r="A2626" s="2" t="s">
        <v>165</v>
      </c>
      <c r="B2626" s="2" t="s">
        <v>165</v>
      </c>
      <c r="C2626" s="2" t="s">
        <v>50</v>
      </c>
      <c r="D2626" s="2" t="s">
        <v>12</v>
      </c>
      <c r="E2626" s="2" t="s">
        <v>76</v>
      </c>
      <c r="F2626" s="2" t="s">
        <v>1145</v>
      </c>
      <c r="G2626" s="14" t="n">
        <v>19.5</v>
      </c>
      <c r="H2626" s="14" t="n">
        <v>41.77</v>
      </c>
      <c r="I2626" s="14" t="n">
        <v>19.5</v>
      </c>
      <c r="J2626" s="22" t="n">
        <f aca="false">IF(E2626="Priority",'Cost model'!N511,'Cost model'!M511)</f>
        <v>35</v>
      </c>
      <c r="K2626" s="14" t="n">
        <f aca="false">J2626-H2626</f>
        <v>-6.77</v>
      </c>
      <c r="L2626" s="14" t="n">
        <f aca="false">G2626-H2626</f>
        <v>-22.27</v>
      </c>
    </row>
    <row r="2627" customFormat="false" ht="15" hidden="false" customHeight="false" outlineLevel="0" collapsed="false">
      <c r="A2627" s="2" t="s">
        <v>146</v>
      </c>
      <c r="B2627" s="2" t="s">
        <v>146</v>
      </c>
      <c r="C2627" s="2" t="s">
        <v>48</v>
      </c>
      <c r="D2627" s="2" t="s">
        <v>10</v>
      </c>
      <c r="E2627" s="2" t="s">
        <v>76</v>
      </c>
      <c r="F2627" s="2" t="s">
        <v>1145</v>
      </c>
      <c r="G2627" s="14" t="n">
        <v>9.5</v>
      </c>
      <c r="H2627" s="14" t="n">
        <v>9.09</v>
      </c>
      <c r="I2627" s="14" t="n">
        <v>9.5</v>
      </c>
      <c r="J2627" s="22" t="n">
        <f aca="false">IF(E2627="Priority",'Cost model'!N758,'Cost model'!M758)</f>
        <v>9.5</v>
      </c>
      <c r="K2627" s="14" t="n">
        <f aca="false">J2627-H2627</f>
        <v>0.41</v>
      </c>
      <c r="L2627" s="14" t="n">
        <f aca="false">G2627-H2627</f>
        <v>0.41</v>
      </c>
    </row>
    <row r="2628" customFormat="false" ht="15" hidden="false" customHeight="false" outlineLevel="0" collapsed="false">
      <c r="A2628" s="2" t="s">
        <v>184</v>
      </c>
      <c r="B2628" s="2" t="s">
        <v>184</v>
      </c>
      <c r="C2628" s="2" t="s">
        <v>49</v>
      </c>
      <c r="D2628" s="2" t="s">
        <v>12</v>
      </c>
      <c r="E2628" s="2" t="s">
        <v>76</v>
      </c>
      <c r="F2628" s="2" t="s">
        <v>1145</v>
      </c>
      <c r="G2628" s="14" t="n">
        <v>12.5</v>
      </c>
      <c r="H2628" s="14" t="n">
        <v>20.39</v>
      </c>
      <c r="I2628" s="14" t="n">
        <v>12.5</v>
      </c>
      <c r="J2628" s="22" t="n">
        <f aca="false">IF(E2628="Priority",'Cost model'!N204,'Cost model'!M204)</f>
        <v>45</v>
      </c>
      <c r="K2628" s="14" t="n">
        <f aca="false">J2628-H2628</f>
        <v>24.61</v>
      </c>
      <c r="L2628" s="14" t="n">
        <f aca="false">G2628-H2628</f>
        <v>-7.89</v>
      </c>
    </row>
    <row r="2629" customFormat="false" ht="15" hidden="false" customHeight="false" outlineLevel="0" collapsed="false">
      <c r="A2629" s="2" t="s">
        <v>126</v>
      </c>
      <c r="B2629" s="2" t="s">
        <v>146</v>
      </c>
      <c r="C2629" s="2" t="s">
        <v>49</v>
      </c>
      <c r="D2629" s="2" t="s">
        <v>12</v>
      </c>
      <c r="E2629" s="2" t="s">
        <v>76</v>
      </c>
      <c r="F2629" s="2" t="s">
        <v>1146</v>
      </c>
      <c r="G2629" s="14" t="n">
        <v>19.5</v>
      </c>
      <c r="H2629" s="14" t="n">
        <v>56.17</v>
      </c>
      <c r="I2629" s="14" t="n">
        <v>19.5</v>
      </c>
      <c r="J2629" s="22" t="n">
        <f aca="false">IF(E2629="Priority",'Cost model'!N402,'Cost model'!M402)</f>
        <v>60</v>
      </c>
      <c r="K2629" s="14" t="n">
        <f aca="false">J2629-H2629</f>
        <v>3.83</v>
      </c>
      <c r="L2629" s="14" t="n">
        <f aca="false">G2629-H2629</f>
        <v>-36.67</v>
      </c>
    </row>
    <row r="2630" customFormat="false" ht="15" hidden="false" customHeight="false" outlineLevel="0" collapsed="false">
      <c r="A2630" s="2" t="s">
        <v>184</v>
      </c>
      <c r="B2630" s="2" t="s">
        <v>146</v>
      </c>
      <c r="C2630" s="2" t="s">
        <v>49</v>
      </c>
      <c r="D2630" s="2" t="s">
        <v>10</v>
      </c>
      <c r="E2630" s="2" t="s">
        <v>76</v>
      </c>
      <c r="F2630" s="2" t="s">
        <v>1146</v>
      </c>
      <c r="G2630" s="14" t="n">
        <v>12.5</v>
      </c>
      <c r="H2630" s="14" t="n">
        <v>11.38</v>
      </c>
      <c r="I2630" s="14"/>
      <c r="J2630" s="22" t="n">
        <f aca="false">IF(E2630="Priority",'Cost model'!N147,'Cost model'!M147)</f>
        <v>14.5</v>
      </c>
      <c r="K2630" s="14" t="n">
        <f aca="false">J2630-H2630</f>
        <v>3.12</v>
      </c>
      <c r="L2630" s="14" t="n">
        <f aca="false">G2630-H2630</f>
        <v>1.12</v>
      </c>
    </row>
    <row r="2631" customFormat="false" ht="15" hidden="false" customHeight="false" outlineLevel="0" collapsed="false">
      <c r="A2631" s="2" t="s">
        <v>184</v>
      </c>
      <c r="B2631" s="2" t="s">
        <v>184</v>
      </c>
      <c r="C2631" s="2" t="s">
        <v>48</v>
      </c>
      <c r="D2631" s="2" t="s">
        <v>12</v>
      </c>
      <c r="E2631" s="2" t="s">
        <v>76</v>
      </c>
      <c r="F2631" s="2" t="s">
        <v>1145</v>
      </c>
      <c r="G2631" s="14" t="n">
        <v>9.5</v>
      </c>
      <c r="H2631" s="14" t="n">
        <v>9.9</v>
      </c>
      <c r="I2631" s="14" t="n">
        <v>9.5</v>
      </c>
      <c r="J2631" s="22" t="n">
        <f aca="false">IF(E2631="Priority",'Cost model'!N203,'Cost model'!M203)</f>
        <v>26.5</v>
      </c>
      <c r="K2631" s="14" t="n">
        <f aca="false">J2631-H2631</f>
        <v>16.6</v>
      </c>
      <c r="L2631" s="14" t="n">
        <f aca="false">G2631-H2631</f>
        <v>-0.4</v>
      </c>
    </row>
    <row r="2632" customFormat="false" ht="15" hidden="false" customHeight="false" outlineLevel="0" collapsed="false">
      <c r="A2632" s="2" t="s">
        <v>184</v>
      </c>
      <c r="B2632" s="2" t="s">
        <v>184</v>
      </c>
      <c r="C2632" s="2" t="s">
        <v>49</v>
      </c>
      <c r="D2632" s="2" t="s">
        <v>10</v>
      </c>
      <c r="E2632" s="2" t="s">
        <v>76</v>
      </c>
      <c r="F2632" s="2" t="s">
        <v>1145</v>
      </c>
      <c r="G2632" s="14" t="n">
        <v>12.5</v>
      </c>
      <c r="H2632" s="14" t="n">
        <v>7.45</v>
      </c>
      <c r="I2632" s="14"/>
      <c r="J2632" s="22" t="n">
        <f aca="false">IF(E2632="Priority",'Cost model'!N201,'Cost model'!M201)</f>
        <v>12.5</v>
      </c>
      <c r="K2632" s="14" t="n">
        <f aca="false">J2632-H2632</f>
        <v>5.05</v>
      </c>
      <c r="L2632" s="14" t="n">
        <f aca="false">G2632-H2632</f>
        <v>5.05</v>
      </c>
    </row>
    <row r="2633" customFormat="false" ht="15" hidden="false" customHeight="false" outlineLevel="0" collapsed="false">
      <c r="A2633" s="2" t="s">
        <v>126</v>
      </c>
      <c r="B2633" s="2" t="s">
        <v>126</v>
      </c>
      <c r="C2633" s="2" t="s">
        <v>50</v>
      </c>
      <c r="D2633" s="2" t="s">
        <v>10</v>
      </c>
      <c r="E2633" s="2" t="s">
        <v>76</v>
      </c>
      <c r="F2633" s="2" t="s">
        <v>1145</v>
      </c>
      <c r="G2633" s="14" t="n">
        <v>17.5</v>
      </c>
      <c r="H2633" s="14" t="n">
        <v>11.34</v>
      </c>
      <c r="I2633" s="14" t="n">
        <v>17.5</v>
      </c>
      <c r="J2633" s="22" t="n">
        <f aca="false">IF(E2633="Priority",'Cost model'!N382,'Cost model'!M382)</f>
        <v>18.5</v>
      </c>
      <c r="K2633" s="14" t="n">
        <f aca="false">J2633-H2633</f>
        <v>7.16</v>
      </c>
      <c r="L2633" s="14" t="n">
        <f aca="false">G2633-H2633</f>
        <v>6.16</v>
      </c>
    </row>
    <row r="2634" customFormat="false" ht="15" hidden="false" customHeight="false" outlineLevel="0" collapsed="false">
      <c r="A2634" s="2" t="s">
        <v>184</v>
      </c>
      <c r="B2634" s="2" t="s">
        <v>184</v>
      </c>
      <c r="C2634" s="2" t="s">
        <v>49</v>
      </c>
      <c r="D2634" s="2" t="s">
        <v>16</v>
      </c>
      <c r="E2634" s="2" t="s">
        <v>76</v>
      </c>
      <c r="F2634" s="2" t="s">
        <v>1145</v>
      </c>
      <c r="G2634" s="14" t="n">
        <v>45</v>
      </c>
      <c r="H2634" s="14" t="n">
        <v>231.68</v>
      </c>
      <c r="I2634" s="14"/>
      <c r="J2634" s="22" t="n">
        <f aca="false">IF(E2634="Priority",'Cost model'!N216,'Cost model'!M216)</f>
        <v>215</v>
      </c>
      <c r="K2634" s="14" t="n">
        <f aca="false">J2634-H2634</f>
        <v>-16.68</v>
      </c>
      <c r="L2634" s="14" t="n">
        <f aca="false">G2634-H2634</f>
        <v>-186.68</v>
      </c>
    </row>
    <row r="2635" customFormat="false" ht="15" hidden="false" customHeight="false" outlineLevel="0" collapsed="false">
      <c r="A2635" s="2" t="s">
        <v>165</v>
      </c>
      <c r="B2635" s="2" t="s">
        <v>165</v>
      </c>
      <c r="C2635" s="2" t="s">
        <v>48</v>
      </c>
      <c r="D2635" s="2" t="s">
        <v>10</v>
      </c>
      <c r="E2635" s="2" t="s">
        <v>76</v>
      </c>
      <c r="F2635" s="2" t="s">
        <v>1145</v>
      </c>
      <c r="G2635" s="14" t="n">
        <v>9.5</v>
      </c>
      <c r="H2635" s="14" t="n">
        <v>7.45</v>
      </c>
      <c r="I2635" s="14" t="n">
        <v>9.5</v>
      </c>
      <c r="J2635" s="22" t="n">
        <f aca="false">IF(E2635="Priority",'Cost model'!N506,'Cost model'!M506)</f>
        <v>7.5</v>
      </c>
      <c r="K2635" s="14" t="n">
        <f aca="false">J2635-H2635</f>
        <v>0.0499999999999998</v>
      </c>
      <c r="L2635" s="14" t="n">
        <f aca="false">G2635-H2635</f>
        <v>2.05</v>
      </c>
    </row>
    <row r="2636" customFormat="false" ht="15" hidden="false" customHeight="false" outlineLevel="0" collapsed="false">
      <c r="A2636" s="2" t="s">
        <v>125</v>
      </c>
      <c r="B2636" s="2" t="s">
        <v>146</v>
      </c>
      <c r="C2636" s="2" t="s">
        <v>48</v>
      </c>
      <c r="D2636" s="2" t="s">
        <v>12</v>
      </c>
      <c r="E2636" s="2" t="s">
        <v>85</v>
      </c>
      <c r="F2636" s="2" t="s">
        <v>1146</v>
      </c>
      <c r="G2636" s="14" t="n">
        <v>24.5</v>
      </c>
      <c r="H2636" s="14" t="n">
        <v>47.01</v>
      </c>
      <c r="I2636" s="14" t="n">
        <v>24.5</v>
      </c>
      <c r="J2636" s="22" t="n">
        <f aca="false">IF(E2636="Priority",'Cost model'!N23,'Cost model'!M23)</f>
        <v>70</v>
      </c>
      <c r="K2636" s="14" t="n">
        <f aca="false">J2636-H2636</f>
        <v>22.99</v>
      </c>
      <c r="L2636" s="14" t="n">
        <f aca="false">G2636-H2636</f>
        <v>-22.51</v>
      </c>
    </row>
    <row r="2637" customFormat="false" ht="15" hidden="false" customHeight="false" outlineLevel="0" collapsed="false">
      <c r="A2637" s="2" t="s">
        <v>184</v>
      </c>
      <c r="B2637" s="2" t="s">
        <v>184</v>
      </c>
      <c r="C2637" s="2" t="s">
        <v>48</v>
      </c>
      <c r="D2637" s="2" t="s">
        <v>12</v>
      </c>
      <c r="E2637" s="2" t="s">
        <v>76</v>
      </c>
      <c r="F2637" s="2" t="s">
        <v>1145</v>
      </c>
      <c r="G2637" s="14" t="n">
        <v>9.5</v>
      </c>
      <c r="H2637" s="14" t="n">
        <v>28.31</v>
      </c>
      <c r="I2637" s="14" t="n">
        <v>9.5</v>
      </c>
      <c r="J2637" s="22" t="n">
        <f aca="false">IF(E2637="Priority",'Cost model'!N203,'Cost model'!M203)</f>
        <v>26.5</v>
      </c>
      <c r="K2637" s="14" t="n">
        <f aca="false">J2637-H2637</f>
        <v>-1.81</v>
      </c>
      <c r="L2637" s="14" t="n">
        <f aca="false">G2637-H2637</f>
        <v>-18.81</v>
      </c>
    </row>
    <row r="2638" customFormat="false" ht="15" hidden="false" customHeight="false" outlineLevel="0" collapsed="false">
      <c r="A2638" s="2" t="s">
        <v>165</v>
      </c>
      <c r="B2638" s="2" t="s">
        <v>165</v>
      </c>
      <c r="C2638" s="2" t="s">
        <v>50</v>
      </c>
      <c r="D2638" s="2" t="s">
        <v>10</v>
      </c>
      <c r="E2638" s="2" t="s">
        <v>76</v>
      </c>
      <c r="F2638" s="2" t="s">
        <v>1145</v>
      </c>
      <c r="G2638" s="14" t="n">
        <v>17.5</v>
      </c>
      <c r="H2638" s="14" t="n">
        <v>14.29</v>
      </c>
      <c r="I2638" s="14" t="n">
        <v>17.5</v>
      </c>
      <c r="J2638" s="22" t="n">
        <f aca="false">IF(E2638="Priority",'Cost model'!N508,'Cost model'!M508)</f>
        <v>17.5</v>
      </c>
      <c r="K2638" s="14" t="n">
        <f aca="false">J2638-H2638</f>
        <v>3.21</v>
      </c>
      <c r="L2638" s="14" t="n">
        <f aca="false">G2638-H2638</f>
        <v>3.21</v>
      </c>
    </row>
    <row r="2639" customFormat="false" ht="15" hidden="false" customHeight="false" outlineLevel="0" collapsed="false">
      <c r="A2639" s="2" t="s">
        <v>146</v>
      </c>
      <c r="B2639" s="2" t="s">
        <v>240</v>
      </c>
      <c r="C2639" s="2" t="s">
        <v>48</v>
      </c>
      <c r="D2639" s="2" t="s">
        <v>10</v>
      </c>
      <c r="E2639" s="2" t="s">
        <v>76</v>
      </c>
      <c r="F2639" s="2" t="s">
        <v>1146</v>
      </c>
      <c r="G2639" s="14" t="n">
        <v>19.5</v>
      </c>
      <c r="H2639" s="14" t="n">
        <v>11.24</v>
      </c>
      <c r="I2639" s="14" t="n">
        <v>19.5</v>
      </c>
      <c r="J2639" s="22" t="n">
        <f aca="false">IF(E2639="Priority",'Cost model'!N812,'Cost model'!M812)</f>
        <v>12.5</v>
      </c>
      <c r="K2639" s="14" t="n">
        <f aca="false">J2639-H2639</f>
        <v>1.26</v>
      </c>
      <c r="L2639" s="14" t="n">
        <f aca="false">G2639-H2639</f>
        <v>8.26</v>
      </c>
    </row>
    <row r="2640" customFormat="false" ht="15" hidden="false" customHeight="false" outlineLevel="0" collapsed="false">
      <c r="A2640" s="2" t="s">
        <v>184</v>
      </c>
      <c r="B2640" s="2" t="s">
        <v>184</v>
      </c>
      <c r="C2640" s="2" t="s">
        <v>48</v>
      </c>
      <c r="D2640" s="2" t="s">
        <v>10</v>
      </c>
      <c r="E2640" s="2" t="s">
        <v>76</v>
      </c>
      <c r="F2640" s="2" t="s">
        <v>1145</v>
      </c>
      <c r="G2640" s="14" t="n">
        <v>9.5</v>
      </c>
      <c r="H2640" s="14" t="n">
        <v>7.72</v>
      </c>
      <c r="I2640" s="14" t="n">
        <v>9.5</v>
      </c>
      <c r="J2640" s="22" t="n">
        <f aca="false">IF(E2640="Priority",'Cost model'!N200,'Cost model'!M200)</f>
        <v>7.5</v>
      </c>
      <c r="K2640" s="14" t="n">
        <f aca="false">J2640-H2640</f>
        <v>-0.22</v>
      </c>
      <c r="L2640" s="14" t="n">
        <f aca="false">G2640-H2640</f>
        <v>1.78</v>
      </c>
    </row>
    <row r="2641" customFormat="false" ht="15" hidden="false" customHeight="false" outlineLevel="0" collapsed="false">
      <c r="A2641" s="2" t="s">
        <v>126</v>
      </c>
      <c r="B2641" s="2" t="s">
        <v>126</v>
      </c>
      <c r="C2641" s="2" t="s">
        <v>48</v>
      </c>
      <c r="D2641" s="2" t="s">
        <v>10</v>
      </c>
      <c r="E2641" s="2" t="s">
        <v>76</v>
      </c>
      <c r="F2641" s="2" t="s">
        <v>1145</v>
      </c>
      <c r="G2641" s="14" t="n">
        <v>9.5</v>
      </c>
      <c r="H2641" s="14" t="n">
        <v>7.5</v>
      </c>
      <c r="I2641" s="14" t="n">
        <v>9.5</v>
      </c>
      <c r="J2641" s="22" t="n">
        <f aca="false">IF(E2641="Priority",'Cost model'!N380,'Cost model'!M380)</f>
        <v>8.5</v>
      </c>
      <c r="K2641" s="14" t="n">
        <f aca="false">J2641-H2641</f>
        <v>1</v>
      </c>
      <c r="L2641" s="14" t="n">
        <f aca="false">G2641-H2641</f>
        <v>2</v>
      </c>
    </row>
    <row r="2642" customFormat="false" ht="15" hidden="false" customHeight="false" outlineLevel="0" collapsed="false">
      <c r="A2642" s="2" t="s">
        <v>126</v>
      </c>
      <c r="B2642" s="2" t="s">
        <v>126</v>
      </c>
      <c r="C2642" s="2" t="s">
        <v>49</v>
      </c>
      <c r="D2642" s="2" t="s">
        <v>10</v>
      </c>
      <c r="E2642" s="2" t="s">
        <v>76</v>
      </c>
      <c r="F2642" s="2" t="s">
        <v>1145</v>
      </c>
      <c r="G2642" s="14" t="n">
        <v>12.5</v>
      </c>
      <c r="H2642" s="14" t="n">
        <v>8.11</v>
      </c>
      <c r="I2642" s="14" t="n">
        <v>12.5</v>
      </c>
      <c r="J2642" s="22" t="n">
        <f aca="false">IF(E2642="Priority",'Cost model'!N381,'Cost model'!M381)</f>
        <v>14.5</v>
      </c>
      <c r="K2642" s="14" t="n">
        <f aca="false">J2642-H2642</f>
        <v>6.39</v>
      </c>
      <c r="L2642" s="14" t="n">
        <f aca="false">G2642-H2642</f>
        <v>4.39</v>
      </c>
    </row>
    <row r="2643" customFormat="false" ht="15" hidden="false" customHeight="false" outlineLevel="0" collapsed="false">
      <c r="A2643" s="2" t="s">
        <v>146</v>
      </c>
      <c r="B2643" s="2" t="s">
        <v>146</v>
      </c>
      <c r="C2643" s="2" t="s">
        <v>50</v>
      </c>
      <c r="D2643" s="2" t="s">
        <v>10</v>
      </c>
      <c r="E2643" s="2" t="s">
        <v>85</v>
      </c>
      <c r="F2643" s="2" t="s">
        <v>1145</v>
      </c>
      <c r="G2643" s="14" t="n">
        <v>24.5</v>
      </c>
      <c r="H2643" s="14" t="n">
        <v>24.63</v>
      </c>
      <c r="I2643" s="14" t="n">
        <v>24.5</v>
      </c>
      <c r="J2643" s="22" t="n">
        <f aca="false">IF(E2643="Priority",'Cost model'!N760,'Cost model'!M760)</f>
        <v>25.5</v>
      </c>
      <c r="K2643" s="14" t="n">
        <f aca="false">J2643-H2643</f>
        <v>0.870000000000001</v>
      </c>
      <c r="L2643" s="14" t="n">
        <f aca="false">G2643-H2643</f>
        <v>-0.129999999999999</v>
      </c>
    </row>
    <row r="2644" customFormat="false" ht="15" hidden="false" customHeight="false" outlineLevel="0" collapsed="false">
      <c r="A2644" s="2" t="s">
        <v>126</v>
      </c>
      <c r="B2644" s="2" t="s">
        <v>126</v>
      </c>
      <c r="C2644" s="2" t="s">
        <v>48</v>
      </c>
      <c r="D2644" s="2" t="s">
        <v>10</v>
      </c>
      <c r="E2644" s="2" t="s">
        <v>76</v>
      </c>
      <c r="F2644" s="2" t="s">
        <v>1145</v>
      </c>
      <c r="G2644" s="14" t="n">
        <v>9.5</v>
      </c>
      <c r="H2644" s="14" t="n">
        <v>7.12</v>
      </c>
      <c r="I2644" s="14" t="n">
        <v>9.5</v>
      </c>
      <c r="J2644" s="22" t="n">
        <f aca="false">IF(E2644="Priority",'Cost model'!N380,'Cost model'!M380)</f>
        <v>8.5</v>
      </c>
      <c r="K2644" s="14" t="n">
        <f aca="false">J2644-H2644</f>
        <v>1.38</v>
      </c>
      <c r="L2644" s="14" t="n">
        <f aca="false">G2644-H2644</f>
        <v>2.38</v>
      </c>
    </row>
    <row r="2645" customFormat="false" ht="15" hidden="false" customHeight="false" outlineLevel="0" collapsed="false">
      <c r="A2645" s="2" t="s">
        <v>146</v>
      </c>
      <c r="B2645" s="2" t="s">
        <v>146</v>
      </c>
      <c r="C2645" s="2" t="s">
        <v>48</v>
      </c>
      <c r="D2645" s="2" t="s">
        <v>10</v>
      </c>
      <c r="E2645" s="2" t="s">
        <v>85</v>
      </c>
      <c r="F2645" s="2" t="s">
        <v>1145</v>
      </c>
      <c r="G2645" s="14" t="n">
        <v>14.5</v>
      </c>
      <c r="H2645" s="14" t="n">
        <v>4.99</v>
      </c>
      <c r="I2645" s="14" t="n">
        <v>14.5</v>
      </c>
      <c r="J2645" s="22" t="n">
        <f aca="false">IF(E2645="Priority",'Cost model'!N758,'Cost model'!M758)</f>
        <v>14.5</v>
      </c>
      <c r="K2645" s="14" t="n">
        <f aca="false">J2645-H2645</f>
        <v>9.51</v>
      </c>
      <c r="L2645" s="14" t="n">
        <f aca="false">G2645-H2645</f>
        <v>9.51</v>
      </c>
    </row>
    <row r="2646" customFormat="false" ht="15" hidden="false" customHeight="false" outlineLevel="0" collapsed="false">
      <c r="A2646" s="2" t="s">
        <v>165</v>
      </c>
      <c r="B2646" s="2" t="s">
        <v>165</v>
      </c>
      <c r="C2646" s="2" t="s">
        <v>49</v>
      </c>
      <c r="D2646" s="2" t="s">
        <v>10</v>
      </c>
      <c r="E2646" s="2" t="s">
        <v>76</v>
      </c>
      <c r="F2646" s="2" t="s">
        <v>1145</v>
      </c>
      <c r="G2646" s="14" t="n">
        <v>12.5</v>
      </c>
      <c r="H2646" s="14" t="n">
        <v>10.51</v>
      </c>
      <c r="I2646" s="14" t="n">
        <v>12.5</v>
      </c>
      <c r="J2646" s="22" t="n">
        <f aca="false">IF(E2646="Priority",'Cost model'!N507,'Cost model'!M507)</f>
        <v>11.5</v>
      </c>
      <c r="K2646" s="14" t="n">
        <f aca="false">J2646-H2646</f>
        <v>0.99</v>
      </c>
      <c r="L2646" s="14" t="n">
        <f aca="false">G2646-H2646</f>
        <v>1.99</v>
      </c>
    </row>
    <row r="2647" customFormat="false" ht="15" hidden="false" customHeight="false" outlineLevel="0" collapsed="false">
      <c r="A2647" s="2" t="s">
        <v>240</v>
      </c>
      <c r="B2647" s="2" t="s">
        <v>240</v>
      </c>
      <c r="C2647" s="2" t="s">
        <v>48</v>
      </c>
      <c r="D2647" s="2" t="s">
        <v>13</v>
      </c>
      <c r="E2647" s="2" t="s">
        <v>76</v>
      </c>
      <c r="F2647" s="2" t="s">
        <v>1145</v>
      </c>
      <c r="G2647" s="14" t="n">
        <v>19.5</v>
      </c>
      <c r="H2647" s="14" t="n">
        <v>30.39</v>
      </c>
      <c r="I2647" s="14" t="n">
        <v>19.5</v>
      </c>
      <c r="J2647" s="22" t="n">
        <f aca="false">IF(E2647="Priority",'Cost model'!N890,'Cost model'!M890)</f>
        <v>45</v>
      </c>
      <c r="K2647" s="14" t="n">
        <f aca="false">J2647-H2647</f>
        <v>14.61</v>
      </c>
      <c r="L2647" s="14" t="n">
        <f aca="false">G2647-H2647</f>
        <v>-10.89</v>
      </c>
    </row>
    <row r="2648" customFormat="false" ht="15" hidden="false" customHeight="false" outlineLevel="0" collapsed="false">
      <c r="A2648" s="2" t="s">
        <v>126</v>
      </c>
      <c r="B2648" s="2" t="s">
        <v>126</v>
      </c>
      <c r="C2648" s="2" t="s">
        <v>49</v>
      </c>
      <c r="D2648" s="2" t="s">
        <v>10</v>
      </c>
      <c r="E2648" s="2" t="s">
        <v>76</v>
      </c>
      <c r="F2648" s="2" t="s">
        <v>1145</v>
      </c>
      <c r="G2648" s="14" t="n">
        <v>12.5</v>
      </c>
      <c r="H2648" s="14" t="n">
        <v>6.74</v>
      </c>
      <c r="I2648" s="14" t="n">
        <v>12.5</v>
      </c>
      <c r="J2648" s="22" t="n">
        <f aca="false">IF(E2648="Priority",'Cost model'!N381,'Cost model'!M381)</f>
        <v>14.5</v>
      </c>
      <c r="K2648" s="14" t="n">
        <f aca="false">J2648-H2648</f>
        <v>7.76</v>
      </c>
      <c r="L2648" s="14" t="n">
        <f aca="false">G2648-H2648</f>
        <v>5.76</v>
      </c>
    </row>
    <row r="2649" customFormat="false" ht="15" hidden="false" customHeight="false" outlineLevel="0" collapsed="false">
      <c r="A2649" s="2" t="s">
        <v>146</v>
      </c>
      <c r="B2649" s="2" t="s">
        <v>221</v>
      </c>
      <c r="C2649" s="2" t="s">
        <v>48</v>
      </c>
      <c r="D2649" s="2" t="s">
        <v>12</v>
      </c>
      <c r="E2649" s="2" t="s">
        <v>76</v>
      </c>
      <c r="F2649" s="2" t="s">
        <v>1146</v>
      </c>
      <c r="G2649" s="14" t="n">
        <v>19.5</v>
      </c>
      <c r="H2649" s="14" t="n">
        <v>52.8</v>
      </c>
      <c r="I2649" s="14" t="n">
        <v>24.5</v>
      </c>
      <c r="J2649" s="22" t="n">
        <f aca="false">IF(E2649="Priority",'Cost model'!N851,'Cost model'!M851)</f>
        <v>40</v>
      </c>
      <c r="K2649" s="14" t="n">
        <f aca="false">J2649-H2649</f>
        <v>-12.8</v>
      </c>
      <c r="L2649" s="14" t="n">
        <f aca="false">G2649-H2649</f>
        <v>-33.3</v>
      </c>
    </row>
    <row r="2650" customFormat="false" ht="15" hidden="false" customHeight="false" outlineLevel="0" collapsed="false">
      <c r="A2650" s="2" t="s">
        <v>184</v>
      </c>
      <c r="B2650" s="2" t="s">
        <v>184</v>
      </c>
      <c r="C2650" s="2" t="s">
        <v>49</v>
      </c>
      <c r="D2650" s="2" t="s">
        <v>10</v>
      </c>
      <c r="E2650" s="2" t="s">
        <v>76</v>
      </c>
      <c r="F2650" s="2" t="s">
        <v>1145</v>
      </c>
      <c r="G2650" s="14" t="n">
        <v>12.5</v>
      </c>
      <c r="H2650" s="14" t="n">
        <v>7.45</v>
      </c>
      <c r="I2650" s="14" t="n">
        <v>12.5</v>
      </c>
      <c r="J2650" s="22" t="n">
        <f aca="false">IF(E2650="Priority",'Cost model'!N201,'Cost model'!M201)</f>
        <v>12.5</v>
      </c>
      <c r="K2650" s="14" t="n">
        <f aca="false">J2650-H2650</f>
        <v>5.05</v>
      </c>
      <c r="L2650" s="14" t="n">
        <f aca="false">G2650-H2650</f>
        <v>5.05</v>
      </c>
    </row>
    <row r="2651" customFormat="false" ht="15" hidden="false" customHeight="false" outlineLevel="0" collapsed="false">
      <c r="A2651" s="2" t="s">
        <v>165</v>
      </c>
      <c r="B2651" s="2" t="s">
        <v>221</v>
      </c>
      <c r="C2651" s="2" t="s">
        <v>48</v>
      </c>
      <c r="D2651" s="2" t="s">
        <v>14</v>
      </c>
      <c r="E2651" s="2" t="s">
        <v>76</v>
      </c>
      <c r="F2651" s="2" t="s">
        <v>1146</v>
      </c>
      <c r="G2651" s="14" t="n">
        <v>25</v>
      </c>
      <c r="H2651" s="14" t="n">
        <v>308.04</v>
      </c>
      <c r="I2651" s="14" t="n">
        <v>99</v>
      </c>
      <c r="J2651" s="22" t="n">
        <f aca="false">IF(E2651="Priority",'Cost model'!N605,'Cost model'!M605)</f>
        <v>180</v>
      </c>
      <c r="K2651" s="14" t="n">
        <f aca="false">J2651-H2651</f>
        <v>-128.04</v>
      </c>
      <c r="L2651" s="14" t="n">
        <f aca="false">G2651-H2651</f>
        <v>-283.04</v>
      </c>
    </row>
    <row r="2652" customFormat="false" ht="15" hidden="false" customHeight="false" outlineLevel="0" collapsed="false">
      <c r="A2652" s="2" t="s">
        <v>146</v>
      </c>
      <c r="B2652" s="2" t="s">
        <v>146</v>
      </c>
      <c r="C2652" s="2" t="s">
        <v>48</v>
      </c>
      <c r="D2652" s="2" t="s">
        <v>12</v>
      </c>
      <c r="E2652" s="2" t="s">
        <v>76</v>
      </c>
      <c r="F2652" s="2" t="s">
        <v>1145</v>
      </c>
      <c r="G2652" s="14" t="n">
        <v>9.5</v>
      </c>
      <c r="H2652" s="14" t="n">
        <v>28.46</v>
      </c>
      <c r="I2652" s="14" t="n">
        <v>9.5</v>
      </c>
      <c r="J2652" s="22" t="n">
        <f aca="false">IF(E2652="Priority",'Cost model'!N761,'Cost model'!M761)</f>
        <v>35</v>
      </c>
      <c r="K2652" s="14" t="n">
        <f aca="false">J2652-H2652</f>
        <v>6.54</v>
      </c>
      <c r="L2652" s="14" t="n">
        <f aca="false">G2652-H2652</f>
        <v>-18.96</v>
      </c>
    </row>
    <row r="2653" customFormat="false" ht="15" hidden="false" customHeight="false" outlineLevel="0" collapsed="false">
      <c r="A2653" s="2" t="s">
        <v>126</v>
      </c>
      <c r="B2653" s="2" t="s">
        <v>126</v>
      </c>
      <c r="C2653" s="2" t="s">
        <v>50</v>
      </c>
      <c r="D2653" s="2" t="s">
        <v>10</v>
      </c>
      <c r="E2653" s="2" t="s">
        <v>76</v>
      </c>
      <c r="F2653" s="2" t="s">
        <v>1145</v>
      </c>
      <c r="G2653" s="14" t="n">
        <v>17.5</v>
      </c>
      <c r="H2653" s="14" t="n">
        <v>17.69</v>
      </c>
      <c r="I2653" s="14" t="n">
        <v>17.5</v>
      </c>
      <c r="J2653" s="22" t="n">
        <f aca="false">IF(E2653="Priority",'Cost model'!N382,'Cost model'!M382)</f>
        <v>18.5</v>
      </c>
      <c r="K2653" s="14" t="n">
        <f aca="false">J2653-H2653</f>
        <v>0.809999999999999</v>
      </c>
      <c r="L2653" s="14" t="n">
        <f aca="false">G2653-H2653</f>
        <v>-0.190000000000001</v>
      </c>
    </row>
    <row r="2654" customFormat="false" ht="15" hidden="false" customHeight="false" outlineLevel="0" collapsed="false">
      <c r="A2654" s="2" t="s">
        <v>240</v>
      </c>
      <c r="B2654" s="2" t="s">
        <v>240</v>
      </c>
      <c r="C2654" s="2" t="s">
        <v>48</v>
      </c>
      <c r="D2654" s="2" t="s">
        <v>10</v>
      </c>
      <c r="E2654" s="2" t="s">
        <v>76</v>
      </c>
      <c r="F2654" s="2" t="s">
        <v>1145</v>
      </c>
      <c r="G2654" s="14" t="n">
        <v>9.5</v>
      </c>
      <c r="H2654" s="14" t="n">
        <v>7.4</v>
      </c>
      <c r="I2654" s="14" t="n">
        <v>9.5</v>
      </c>
      <c r="J2654" s="22" t="n">
        <f aca="false">IF(E2654="Priority",'Cost model'!N884,'Cost model'!M884)</f>
        <v>7.5</v>
      </c>
      <c r="K2654" s="14" t="n">
        <f aca="false">J2654-H2654</f>
        <v>0.0999999999999996</v>
      </c>
      <c r="L2654" s="14" t="n">
        <f aca="false">G2654-H2654</f>
        <v>2.1</v>
      </c>
    </row>
    <row r="2655" customFormat="false" ht="15" hidden="false" customHeight="false" outlineLevel="0" collapsed="false">
      <c r="A2655" s="2" t="s">
        <v>221</v>
      </c>
      <c r="B2655" s="2" t="s">
        <v>126</v>
      </c>
      <c r="C2655" s="2" t="s">
        <v>48</v>
      </c>
      <c r="D2655" s="2" t="s">
        <v>10</v>
      </c>
      <c r="E2655" s="2" t="s">
        <v>76</v>
      </c>
      <c r="F2655" s="2" t="s">
        <v>1146</v>
      </c>
      <c r="G2655" s="14" t="n">
        <v>14.5</v>
      </c>
      <c r="H2655" s="14" t="n">
        <v>10.89</v>
      </c>
      <c r="I2655" s="14" t="n">
        <v>19.5</v>
      </c>
      <c r="J2655" s="22" t="n">
        <f aca="false">IF(E2655="Priority",'Cost model'!N686,'Cost model'!M686)</f>
        <v>14.5</v>
      </c>
      <c r="K2655" s="14" t="n">
        <f aca="false">J2655-H2655</f>
        <v>3.61</v>
      </c>
      <c r="L2655" s="14" t="n">
        <f aca="false">G2655-H2655</f>
        <v>3.61</v>
      </c>
    </row>
    <row r="2656" customFormat="false" ht="15" hidden="false" customHeight="false" outlineLevel="0" collapsed="false">
      <c r="A2656" s="2" t="s">
        <v>240</v>
      </c>
      <c r="B2656" s="2" t="s">
        <v>240</v>
      </c>
      <c r="C2656" s="2" t="s">
        <v>50</v>
      </c>
      <c r="D2656" s="2" t="s">
        <v>10</v>
      </c>
      <c r="E2656" s="2" t="s">
        <v>76</v>
      </c>
      <c r="F2656" s="2" t="s">
        <v>1145</v>
      </c>
      <c r="G2656" s="14" t="n">
        <v>17.5</v>
      </c>
      <c r="H2656" s="14" t="n">
        <v>14.29</v>
      </c>
      <c r="I2656" s="14" t="n">
        <v>17.5</v>
      </c>
      <c r="J2656" s="22" t="n">
        <f aca="false">IF(E2656="Priority",'Cost model'!N886,'Cost model'!M886)</f>
        <v>17.5</v>
      </c>
      <c r="K2656" s="14" t="n">
        <f aca="false">J2656-H2656</f>
        <v>3.21</v>
      </c>
      <c r="L2656" s="14" t="n">
        <f aca="false">G2656-H2656</f>
        <v>3.21</v>
      </c>
    </row>
    <row r="2657" customFormat="false" ht="15" hidden="false" customHeight="false" outlineLevel="0" collapsed="false">
      <c r="A2657" s="2" t="s">
        <v>240</v>
      </c>
      <c r="B2657" s="2" t="s">
        <v>240</v>
      </c>
      <c r="C2657" s="2" t="s">
        <v>48</v>
      </c>
      <c r="D2657" s="2" t="s">
        <v>10</v>
      </c>
      <c r="E2657" s="2" t="s">
        <v>76</v>
      </c>
      <c r="F2657" s="2" t="s">
        <v>1145</v>
      </c>
      <c r="G2657" s="14" t="n">
        <v>9.5</v>
      </c>
      <c r="H2657" s="14" t="n">
        <v>11.25</v>
      </c>
      <c r="I2657" s="14" t="n">
        <v>9.5</v>
      </c>
      <c r="J2657" s="22" t="n">
        <f aca="false">IF(E2657="Priority",'Cost model'!N884,'Cost model'!M884)</f>
        <v>7.5</v>
      </c>
      <c r="K2657" s="14" t="n">
        <f aca="false">J2657-H2657</f>
        <v>-3.75</v>
      </c>
      <c r="L2657" s="14" t="n">
        <f aca="false">G2657-H2657</f>
        <v>-1.75</v>
      </c>
    </row>
    <row r="2658" customFormat="false" ht="15" hidden="false" customHeight="false" outlineLevel="0" collapsed="false">
      <c r="A2658" s="2" t="s">
        <v>184</v>
      </c>
      <c r="B2658" s="2" t="s">
        <v>184</v>
      </c>
      <c r="C2658" s="2" t="s">
        <v>48</v>
      </c>
      <c r="D2658" s="2" t="s">
        <v>10</v>
      </c>
      <c r="E2658" s="2" t="s">
        <v>76</v>
      </c>
      <c r="F2658" s="2" t="s">
        <v>1145</v>
      </c>
      <c r="G2658" s="14" t="n">
        <v>9.5</v>
      </c>
      <c r="H2658" s="14" t="n">
        <v>7.46</v>
      </c>
      <c r="I2658" s="14" t="n">
        <v>9.5</v>
      </c>
      <c r="J2658" s="22" t="n">
        <f aca="false">IF(E2658="Priority",'Cost model'!N200,'Cost model'!M200)</f>
        <v>7.5</v>
      </c>
      <c r="K2658" s="14" t="n">
        <f aca="false">J2658-H2658</f>
        <v>0.04</v>
      </c>
      <c r="L2658" s="14" t="n">
        <f aca="false">G2658-H2658</f>
        <v>2.04</v>
      </c>
    </row>
    <row r="2659" customFormat="false" ht="15" hidden="false" customHeight="false" outlineLevel="0" collapsed="false">
      <c r="A2659" s="2" t="s">
        <v>184</v>
      </c>
      <c r="B2659" s="2" t="s">
        <v>221</v>
      </c>
      <c r="C2659" s="2" t="s">
        <v>49</v>
      </c>
      <c r="D2659" s="2" t="s">
        <v>12</v>
      </c>
      <c r="E2659" s="2" t="s">
        <v>76</v>
      </c>
      <c r="F2659" s="2" t="s">
        <v>1146</v>
      </c>
      <c r="G2659" s="14" t="n">
        <v>14.5</v>
      </c>
      <c r="H2659" s="14" t="n">
        <v>99.75</v>
      </c>
      <c r="I2659" s="14" t="n">
        <v>24.5</v>
      </c>
      <c r="J2659" s="22" t="n">
        <f aca="false">IF(E2659="Priority",'Cost model'!N222,'Cost model'!M222)</f>
        <v>60</v>
      </c>
      <c r="K2659" s="14" t="n">
        <f aca="false">J2659-H2659</f>
        <v>-39.75</v>
      </c>
      <c r="L2659" s="14" t="n">
        <f aca="false">G2659-H2659</f>
        <v>-85.25</v>
      </c>
    </row>
    <row r="2660" customFormat="false" ht="15" hidden="false" customHeight="false" outlineLevel="0" collapsed="false">
      <c r="A2660" s="2" t="s">
        <v>146</v>
      </c>
      <c r="B2660" s="2" t="s">
        <v>184</v>
      </c>
      <c r="C2660" s="2" t="s">
        <v>50</v>
      </c>
      <c r="D2660" s="2" t="s">
        <v>10</v>
      </c>
      <c r="E2660" s="2" t="s">
        <v>76</v>
      </c>
      <c r="F2660" s="2" t="s">
        <v>1146</v>
      </c>
      <c r="G2660" s="14" t="n">
        <v>12.5</v>
      </c>
      <c r="H2660" s="14" t="n">
        <v>21.14</v>
      </c>
      <c r="I2660" s="14" t="n">
        <v>17.5</v>
      </c>
      <c r="J2660" s="22" t="n">
        <f aca="false">IF(E2660="Priority",'Cost model'!N832,'Cost model'!M832)</f>
        <v>15.5</v>
      </c>
      <c r="K2660" s="14" t="n">
        <f aca="false">J2660-H2660</f>
        <v>-5.64</v>
      </c>
      <c r="L2660" s="14" t="n">
        <f aca="false">G2660-H2660</f>
        <v>-8.64</v>
      </c>
    </row>
    <row r="2661" customFormat="false" ht="15" hidden="false" customHeight="false" outlineLevel="0" collapsed="false">
      <c r="A2661" s="2" t="s">
        <v>126</v>
      </c>
      <c r="B2661" s="2" t="s">
        <v>126</v>
      </c>
      <c r="C2661" s="2" t="s">
        <v>48</v>
      </c>
      <c r="D2661" s="2" t="s">
        <v>10</v>
      </c>
      <c r="E2661" s="2" t="s">
        <v>76</v>
      </c>
      <c r="F2661" s="2" t="s">
        <v>1145</v>
      </c>
      <c r="G2661" s="14" t="n">
        <v>9.5</v>
      </c>
      <c r="H2661" s="14" t="n">
        <v>6.91</v>
      </c>
      <c r="I2661" s="14" t="n">
        <v>9.5</v>
      </c>
      <c r="J2661" s="22" t="n">
        <f aca="false">IF(E2661="Priority",'Cost model'!N380,'Cost model'!M380)</f>
        <v>8.5</v>
      </c>
      <c r="K2661" s="14" t="n">
        <f aca="false">J2661-H2661</f>
        <v>1.59</v>
      </c>
      <c r="L2661" s="14" t="n">
        <f aca="false">G2661-H2661</f>
        <v>2.59</v>
      </c>
    </row>
    <row r="2662" customFormat="false" ht="15" hidden="false" customHeight="false" outlineLevel="0" collapsed="false">
      <c r="A2662" s="2" t="s">
        <v>240</v>
      </c>
      <c r="B2662" s="2" t="s">
        <v>165</v>
      </c>
      <c r="C2662" s="2" t="s">
        <v>48</v>
      </c>
      <c r="D2662" s="2" t="s">
        <v>10</v>
      </c>
      <c r="E2662" s="2" t="s">
        <v>76</v>
      </c>
      <c r="F2662" s="2" t="s">
        <v>1146</v>
      </c>
      <c r="G2662" s="14" t="n">
        <v>14.5</v>
      </c>
      <c r="H2662" s="14" t="n">
        <v>13.11</v>
      </c>
      <c r="I2662" s="14" t="n">
        <v>14.5</v>
      </c>
      <c r="J2662" s="22" t="n">
        <f aca="false">IF(E2662="Priority",'Cost model'!N902,'Cost model'!M902)</f>
        <v>13.5</v>
      </c>
      <c r="K2662" s="14" t="n">
        <f aca="false">J2662-H2662</f>
        <v>0.390000000000001</v>
      </c>
      <c r="L2662" s="14" t="n">
        <f aca="false">G2662-H2662</f>
        <v>1.39</v>
      </c>
    </row>
    <row r="2663" customFormat="false" ht="15" hidden="false" customHeight="false" outlineLevel="0" collapsed="false">
      <c r="A2663" s="2" t="s">
        <v>184</v>
      </c>
      <c r="B2663" s="2" t="s">
        <v>184</v>
      </c>
      <c r="C2663" s="2" t="s">
        <v>49</v>
      </c>
      <c r="D2663" s="2" t="s">
        <v>10</v>
      </c>
      <c r="E2663" s="2" t="s">
        <v>76</v>
      </c>
      <c r="F2663" s="2" t="s">
        <v>1145</v>
      </c>
      <c r="G2663" s="14" t="n">
        <v>12.5</v>
      </c>
      <c r="H2663" s="14" t="n">
        <v>9.64</v>
      </c>
      <c r="I2663" s="14"/>
      <c r="J2663" s="22" t="n">
        <f aca="false">IF(E2663="Priority",'Cost model'!N201,'Cost model'!M201)</f>
        <v>12.5</v>
      </c>
      <c r="K2663" s="14" t="n">
        <f aca="false">J2663-H2663</f>
        <v>2.86</v>
      </c>
      <c r="L2663" s="14" t="n">
        <f aca="false">G2663-H2663</f>
        <v>2.86</v>
      </c>
    </row>
    <row r="2664" customFormat="false" ht="15" hidden="false" customHeight="false" outlineLevel="0" collapsed="false">
      <c r="A2664" s="2" t="s">
        <v>146</v>
      </c>
      <c r="B2664" s="2" t="s">
        <v>146</v>
      </c>
      <c r="C2664" s="2" t="s">
        <v>50</v>
      </c>
      <c r="D2664" s="2" t="s">
        <v>12</v>
      </c>
      <c r="E2664" s="2" t="s">
        <v>76</v>
      </c>
      <c r="F2664" s="2" t="s">
        <v>1145</v>
      </c>
      <c r="G2664" s="14" t="n">
        <v>19.5</v>
      </c>
      <c r="H2664" s="14" t="n">
        <v>22.99</v>
      </c>
      <c r="I2664" s="14" t="n">
        <v>19.5</v>
      </c>
      <c r="J2664" s="22" t="n">
        <f aca="false">IF(E2664="Priority",'Cost model'!N763,'Cost model'!M763)</f>
        <v>50</v>
      </c>
      <c r="K2664" s="14" t="n">
        <f aca="false">J2664-H2664</f>
        <v>27.01</v>
      </c>
      <c r="L2664" s="14" t="n">
        <f aca="false">G2664-H2664</f>
        <v>-3.49</v>
      </c>
    </row>
    <row r="2665" customFormat="false" ht="15" hidden="false" customHeight="false" outlineLevel="0" collapsed="false">
      <c r="A2665" s="2" t="s">
        <v>184</v>
      </c>
      <c r="B2665" s="2" t="s">
        <v>184</v>
      </c>
      <c r="C2665" s="2" t="s">
        <v>50</v>
      </c>
      <c r="D2665" s="2" t="s">
        <v>12</v>
      </c>
      <c r="E2665" s="2" t="s">
        <v>76</v>
      </c>
      <c r="F2665" s="2" t="s">
        <v>1145</v>
      </c>
      <c r="G2665" s="14" t="n">
        <v>19.5</v>
      </c>
      <c r="H2665" s="14" t="n">
        <v>70.54</v>
      </c>
      <c r="I2665" s="14" t="n">
        <v>19.5</v>
      </c>
      <c r="J2665" s="22" t="n">
        <f aca="false">IF(E2665="Priority",'Cost model'!N205,'Cost model'!M205)</f>
        <v>50</v>
      </c>
      <c r="K2665" s="14" t="n">
        <f aca="false">J2665-H2665</f>
        <v>-20.54</v>
      </c>
      <c r="L2665" s="14" t="n">
        <f aca="false">G2665-H2665</f>
        <v>-51.04</v>
      </c>
    </row>
    <row r="2666" customFormat="false" ht="15" hidden="false" customHeight="false" outlineLevel="0" collapsed="false">
      <c r="A2666" s="2" t="s">
        <v>126</v>
      </c>
      <c r="B2666" s="2" t="s">
        <v>126</v>
      </c>
      <c r="C2666" s="2" t="s">
        <v>50</v>
      </c>
      <c r="D2666" s="2" t="s">
        <v>10</v>
      </c>
      <c r="E2666" s="2" t="s">
        <v>76</v>
      </c>
      <c r="F2666" s="2" t="s">
        <v>1145</v>
      </c>
      <c r="G2666" s="14" t="n">
        <v>17.5</v>
      </c>
      <c r="H2666" s="14" t="n">
        <v>21.76</v>
      </c>
      <c r="I2666" s="14" t="n">
        <v>17.5</v>
      </c>
      <c r="J2666" s="22" t="n">
        <f aca="false">IF(E2666="Priority",'Cost model'!N382,'Cost model'!M382)</f>
        <v>18.5</v>
      </c>
      <c r="K2666" s="14" t="n">
        <f aca="false">J2666-H2666</f>
        <v>-3.26</v>
      </c>
      <c r="L2666" s="14" t="n">
        <f aca="false">G2666-H2666</f>
        <v>-4.26</v>
      </c>
    </row>
    <row r="2667" customFormat="false" ht="15" hidden="false" customHeight="false" outlineLevel="0" collapsed="false">
      <c r="A2667" s="2" t="s">
        <v>240</v>
      </c>
      <c r="B2667" s="2" t="s">
        <v>165</v>
      </c>
      <c r="C2667" s="2" t="s">
        <v>50</v>
      </c>
      <c r="D2667" s="2" t="s">
        <v>12</v>
      </c>
      <c r="E2667" s="2" t="s">
        <v>76</v>
      </c>
      <c r="F2667" s="2" t="s">
        <v>1146</v>
      </c>
      <c r="G2667" s="14" t="n">
        <v>19.5</v>
      </c>
      <c r="H2667" s="14" t="n">
        <v>97.78</v>
      </c>
      <c r="I2667" s="14" t="n">
        <v>19.5</v>
      </c>
      <c r="J2667" s="22" t="n">
        <f aca="false">IF(E2667="Priority",'Cost model'!N907,'Cost model'!M907)</f>
        <v>70</v>
      </c>
      <c r="K2667" s="14" t="n">
        <f aca="false">J2667-H2667</f>
        <v>-27.78</v>
      </c>
      <c r="L2667" s="14" t="n">
        <f aca="false">G2667-H2667</f>
        <v>-78.28</v>
      </c>
    </row>
    <row r="2668" customFormat="false" ht="15" hidden="false" customHeight="false" outlineLevel="0" collapsed="false">
      <c r="A2668" s="2" t="s">
        <v>146</v>
      </c>
      <c r="B2668" s="2" t="s">
        <v>146</v>
      </c>
      <c r="C2668" s="2" t="s">
        <v>48</v>
      </c>
      <c r="D2668" s="2" t="s">
        <v>12</v>
      </c>
      <c r="E2668" s="2" t="s">
        <v>76</v>
      </c>
      <c r="F2668" s="2" t="s">
        <v>1145</v>
      </c>
      <c r="G2668" s="14" t="n">
        <v>9.5</v>
      </c>
      <c r="H2668" s="14" t="n">
        <v>32.05</v>
      </c>
      <c r="I2668" s="14" t="n">
        <v>9.5</v>
      </c>
      <c r="J2668" s="22" t="n">
        <f aca="false">IF(E2668="Priority",'Cost model'!N761,'Cost model'!M761)</f>
        <v>35</v>
      </c>
      <c r="K2668" s="14" t="n">
        <f aca="false">J2668-H2668</f>
        <v>2.95</v>
      </c>
      <c r="L2668" s="14" t="n">
        <f aca="false">G2668-H2668</f>
        <v>-22.55</v>
      </c>
    </row>
    <row r="2669" customFormat="false" ht="15" hidden="false" customHeight="false" outlineLevel="0" collapsed="false">
      <c r="A2669" s="2" t="s">
        <v>184</v>
      </c>
      <c r="B2669" s="2" t="s">
        <v>146</v>
      </c>
      <c r="C2669" s="2" t="s">
        <v>49</v>
      </c>
      <c r="D2669" s="2" t="s">
        <v>10</v>
      </c>
      <c r="E2669" s="2" t="s">
        <v>76</v>
      </c>
      <c r="F2669" s="2" t="s">
        <v>1146</v>
      </c>
      <c r="G2669" s="14" t="n">
        <v>12.5</v>
      </c>
      <c r="H2669" s="14" t="n">
        <v>20.11</v>
      </c>
      <c r="I2669" s="14"/>
      <c r="J2669" s="22" t="n">
        <f aca="false">IF(E2669="Priority",'Cost model'!N147,'Cost model'!M147)</f>
        <v>14.5</v>
      </c>
      <c r="K2669" s="14" t="n">
        <f aca="false">J2669-H2669</f>
        <v>-5.61</v>
      </c>
      <c r="L2669" s="14" t="n">
        <f aca="false">G2669-H2669</f>
        <v>-7.61</v>
      </c>
    </row>
    <row r="2670" customFormat="false" ht="15" hidden="false" customHeight="false" outlineLevel="0" collapsed="false">
      <c r="A2670" s="2" t="s">
        <v>184</v>
      </c>
      <c r="B2670" s="2" t="s">
        <v>184</v>
      </c>
      <c r="C2670" s="2" t="s">
        <v>48</v>
      </c>
      <c r="D2670" s="2" t="s">
        <v>12</v>
      </c>
      <c r="E2670" s="2" t="s">
        <v>85</v>
      </c>
      <c r="F2670" s="2" t="s">
        <v>1145</v>
      </c>
      <c r="G2670" s="14" t="n">
        <v>19.5</v>
      </c>
      <c r="H2670" s="14" t="n">
        <v>58.32</v>
      </c>
      <c r="I2670" s="14" t="n">
        <v>19.5</v>
      </c>
      <c r="J2670" s="22" t="n">
        <f aca="false">IF(E2670="Priority",'Cost model'!N203,'Cost model'!M203)</f>
        <v>35</v>
      </c>
      <c r="K2670" s="14" t="n">
        <f aca="false">J2670-H2670</f>
        <v>-23.32</v>
      </c>
      <c r="L2670" s="14" t="n">
        <f aca="false">G2670-H2670</f>
        <v>-38.82</v>
      </c>
    </row>
    <row r="2671" customFormat="false" ht="15" hidden="false" customHeight="false" outlineLevel="0" collapsed="false">
      <c r="A2671" s="2" t="s">
        <v>125</v>
      </c>
      <c r="B2671" s="2" t="s">
        <v>146</v>
      </c>
      <c r="C2671" s="2" t="s">
        <v>48</v>
      </c>
      <c r="D2671" s="2" t="s">
        <v>10</v>
      </c>
      <c r="E2671" s="2" t="s">
        <v>76</v>
      </c>
      <c r="F2671" s="2" t="s">
        <v>1146</v>
      </c>
      <c r="G2671" s="14" t="n">
        <v>14.5</v>
      </c>
      <c r="H2671" s="14" t="n">
        <v>9.65</v>
      </c>
      <c r="I2671" s="14" t="n">
        <v>14.5</v>
      </c>
      <c r="J2671" s="22" t="n">
        <f aca="false">IF(E2671="Priority",'Cost model'!N20,'Cost model'!M20)</f>
        <v>13.5</v>
      </c>
      <c r="K2671" s="14" t="n">
        <f aca="false">J2671-H2671</f>
        <v>3.85</v>
      </c>
      <c r="L2671" s="14" t="n">
        <f aca="false">G2671-H2671</f>
        <v>4.85</v>
      </c>
    </row>
    <row r="2672" customFormat="false" ht="15" hidden="false" customHeight="false" outlineLevel="0" collapsed="false">
      <c r="A2672" s="2" t="s">
        <v>184</v>
      </c>
      <c r="B2672" s="2" t="s">
        <v>165</v>
      </c>
      <c r="C2672" s="2" t="s">
        <v>49</v>
      </c>
      <c r="D2672" s="2" t="s">
        <v>12</v>
      </c>
      <c r="E2672" s="2" t="s">
        <v>76</v>
      </c>
      <c r="F2672" s="2" t="s">
        <v>1146</v>
      </c>
      <c r="G2672" s="14" t="n">
        <v>19.5</v>
      </c>
      <c r="H2672" s="14" t="n">
        <v>17.09</v>
      </c>
      <c r="I2672" s="14"/>
      <c r="J2672" s="22" t="n">
        <f aca="false">IF(E2672="Priority",'Cost model'!N168,'Cost model'!M168)</f>
        <v>60</v>
      </c>
      <c r="K2672" s="14" t="n">
        <f aca="false">J2672-H2672</f>
        <v>42.91</v>
      </c>
      <c r="L2672" s="14" t="n">
        <f aca="false">G2672-H2672</f>
        <v>2.41</v>
      </c>
    </row>
    <row r="2673" customFormat="false" ht="15" hidden="false" customHeight="false" outlineLevel="0" collapsed="false">
      <c r="A2673" s="2" t="s">
        <v>240</v>
      </c>
      <c r="B2673" s="2" t="s">
        <v>126</v>
      </c>
      <c r="C2673" s="2" t="s">
        <v>48</v>
      </c>
      <c r="D2673" s="2" t="s">
        <v>10</v>
      </c>
      <c r="E2673" s="2" t="s">
        <v>76</v>
      </c>
      <c r="F2673" s="2" t="s">
        <v>1146</v>
      </c>
      <c r="G2673" s="14" t="n">
        <v>9.5</v>
      </c>
      <c r="H2673" s="14" t="n">
        <v>20.83</v>
      </c>
      <c r="I2673" s="14" t="n">
        <v>19.5</v>
      </c>
      <c r="J2673" s="22" t="n">
        <f aca="false">IF(E2673="Priority",'Cost model'!N956,'Cost model'!M956)</f>
        <v>15.5</v>
      </c>
      <c r="K2673" s="14" t="n">
        <f aca="false">J2673-H2673</f>
        <v>-5.33</v>
      </c>
      <c r="L2673" s="14" t="n">
        <f aca="false">G2673-H2673</f>
        <v>-11.33</v>
      </c>
    </row>
    <row r="2674" customFormat="false" ht="15" hidden="false" customHeight="false" outlineLevel="0" collapsed="false">
      <c r="A2674" s="2" t="s">
        <v>165</v>
      </c>
      <c r="B2674" s="2" t="s">
        <v>126</v>
      </c>
      <c r="C2674" s="2" t="s">
        <v>50</v>
      </c>
      <c r="D2674" s="2" t="s">
        <v>10</v>
      </c>
      <c r="E2674" s="2" t="s">
        <v>76</v>
      </c>
      <c r="F2674" s="2" t="s">
        <v>1146</v>
      </c>
      <c r="G2674" s="14" t="n">
        <v>17.5</v>
      </c>
      <c r="H2674" s="14" t="n">
        <v>18.64</v>
      </c>
      <c r="I2674" s="14" t="n">
        <v>17.5</v>
      </c>
      <c r="J2674" s="22" t="n">
        <f aca="false">IF(E2674="Priority",'Cost model'!N544,'Cost model'!M544)</f>
        <v>21.5</v>
      </c>
      <c r="K2674" s="14" t="n">
        <f aca="false">J2674-H2674</f>
        <v>2.86</v>
      </c>
      <c r="L2674" s="14" t="n">
        <f aca="false">G2674-H2674</f>
        <v>-1.14</v>
      </c>
    </row>
    <row r="2675" customFormat="false" ht="15" hidden="false" customHeight="false" outlineLevel="0" collapsed="false">
      <c r="A2675" s="2" t="s">
        <v>126</v>
      </c>
      <c r="B2675" s="2" t="s">
        <v>126</v>
      </c>
      <c r="C2675" s="2" t="s">
        <v>49</v>
      </c>
      <c r="D2675" s="2" t="s">
        <v>14</v>
      </c>
      <c r="E2675" s="2" t="s">
        <v>85</v>
      </c>
      <c r="F2675" s="2" t="s">
        <v>1145</v>
      </c>
      <c r="G2675" s="14" t="n">
        <v>125</v>
      </c>
      <c r="H2675" s="14" t="n">
        <v>59.7</v>
      </c>
      <c r="I2675" s="14" t="n">
        <v>125</v>
      </c>
      <c r="J2675" s="22" t="n">
        <f aca="false">IF(E2675="Priority",'Cost model'!N390,'Cost model'!M390)</f>
        <v>140</v>
      </c>
      <c r="K2675" s="14" t="n">
        <f aca="false">J2675-H2675</f>
        <v>80.3</v>
      </c>
      <c r="L2675" s="14" t="n">
        <f aca="false">G2675-H2675</f>
        <v>65.3</v>
      </c>
    </row>
    <row r="2676" customFormat="false" ht="15" hidden="false" customHeight="false" outlineLevel="0" collapsed="false">
      <c r="A2676" s="2" t="s">
        <v>126</v>
      </c>
      <c r="B2676" s="2" t="s">
        <v>126</v>
      </c>
      <c r="C2676" s="2" t="s">
        <v>48</v>
      </c>
      <c r="D2676" s="2" t="s">
        <v>10</v>
      </c>
      <c r="E2676" s="2" t="s">
        <v>85</v>
      </c>
      <c r="F2676" s="2" t="s">
        <v>1145</v>
      </c>
      <c r="G2676" s="14" t="n">
        <v>14.5</v>
      </c>
      <c r="H2676" s="14" t="n">
        <v>16.59</v>
      </c>
      <c r="I2676" s="14" t="n">
        <v>14.5</v>
      </c>
      <c r="J2676" s="22" t="n">
        <f aca="false">IF(E2676="Priority",'Cost model'!N380,'Cost model'!M380)</f>
        <v>13.5</v>
      </c>
      <c r="K2676" s="14" t="n">
        <f aca="false">J2676-H2676</f>
        <v>-3.09</v>
      </c>
      <c r="L2676" s="14" t="n">
        <f aca="false">G2676-H2676</f>
        <v>-2.09</v>
      </c>
    </row>
    <row r="2677" customFormat="false" ht="15" hidden="false" customHeight="false" outlineLevel="0" collapsed="false">
      <c r="A2677" s="2" t="s">
        <v>126</v>
      </c>
      <c r="B2677" s="2" t="s">
        <v>126</v>
      </c>
      <c r="C2677" s="2" t="s">
        <v>50</v>
      </c>
      <c r="D2677" s="2" t="s">
        <v>10</v>
      </c>
      <c r="E2677" s="2" t="s">
        <v>76</v>
      </c>
      <c r="F2677" s="2" t="s">
        <v>1145</v>
      </c>
      <c r="G2677" s="14" t="n">
        <v>17.5</v>
      </c>
      <c r="H2677" s="14" t="n">
        <v>17.31</v>
      </c>
      <c r="I2677" s="14" t="n">
        <v>17.5</v>
      </c>
      <c r="J2677" s="22" t="n">
        <f aca="false">IF(E2677="Priority",'Cost model'!N382,'Cost model'!M382)</f>
        <v>18.5</v>
      </c>
      <c r="K2677" s="14" t="n">
        <f aca="false">J2677-H2677</f>
        <v>1.19</v>
      </c>
      <c r="L2677" s="14" t="n">
        <f aca="false">G2677-H2677</f>
        <v>0.190000000000001</v>
      </c>
    </row>
    <row r="2678" customFormat="false" ht="15" hidden="false" customHeight="false" outlineLevel="0" collapsed="false">
      <c r="A2678" s="2" t="s">
        <v>165</v>
      </c>
      <c r="B2678" s="2" t="s">
        <v>165</v>
      </c>
      <c r="C2678" s="2" t="s">
        <v>48</v>
      </c>
      <c r="D2678" s="2" t="s">
        <v>10</v>
      </c>
      <c r="E2678" s="2" t="s">
        <v>76</v>
      </c>
      <c r="F2678" s="2" t="s">
        <v>1145</v>
      </c>
      <c r="G2678" s="14" t="n">
        <v>9.5</v>
      </c>
      <c r="H2678" s="14" t="n">
        <v>8.06</v>
      </c>
      <c r="I2678" s="14" t="n">
        <v>9.5</v>
      </c>
      <c r="J2678" s="22" t="n">
        <f aca="false">IF(E2678="Priority",'Cost model'!N506,'Cost model'!M506)</f>
        <v>7.5</v>
      </c>
      <c r="K2678" s="14" t="n">
        <f aca="false">J2678-H2678</f>
        <v>-0.560000000000001</v>
      </c>
      <c r="L2678" s="14" t="n">
        <f aca="false">G2678-H2678</f>
        <v>1.44</v>
      </c>
    </row>
    <row r="2679" customFormat="false" ht="15" hidden="false" customHeight="false" outlineLevel="0" collapsed="false">
      <c r="A2679" s="2" t="s">
        <v>240</v>
      </c>
      <c r="B2679" s="2" t="s">
        <v>165</v>
      </c>
      <c r="C2679" s="2" t="s">
        <v>50</v>
      </c>
      <c r="D2679" s="2" t="s">
        <v>10</v>
      </c>
      <c r="E2679" s="2" t="s">
        <v>85</v>
      </c>
      <c r="F2679" s="2" t="s">
        <v>1146</v>
      </c>
      <c r="G2679" s="14" t="n">
        <v>29.5</v>
      </c>
      <c r="H2679" s="14" t="n">
        <v>21.34</v>
      </c>
      <c r="I2679" s="14" t="n">
        <v>29.5</v>
      </c>
      <c r="J2679" s="22" t="n">
        <f aca="false">IF(E2679="Priority",'Cost model'!N904,'Cost model'!M904)</f>
        <v>35</v>
      </c>
      <c r="K2679" s="14" t="n">
        <f aca="false">J2679-H2679</f>
        <v>13.66</v>
      </c>
      <c r="L2679" s="14" t="n">
        <f aca="false">G2679-H2679</f>
        <v>8.16</v>
      </c>
    </row>
    <row r="2680" customFormat="false" ht="15" hidden="false" customHeight="false" outlineLevel="0" collapsed="false">
      <c r="A2680" s="2" t="s">
        <v>184</v>
      </c>
      <c r="B2680" s="2" t="s">
        <v>240</v>
      </c>
      <c r="C2680" s="2" t="s">
        <v>50</v>
      </c>
      <c r="D2680" s="2" t="s">
        <v>12</v>
      </c>
      <c r="E2680" s="2" t="s">
        <v>76</v>
      </c>
      <c r="F2680" s="2" t="s">
        <v>1146</v>
      </c>
      <c r="G2680" s="14" t="n">
        <v>24.5</v>
      </c>
      <c r="H2680" s="14" t="n">
        <v>83.2</v>
      </c>
      <c r="I2680" s="14" t="n">
        <v>24.5</v>
      </c>
      <c r="J2680" s="22" t="n">
        <f aca="false">IF(E2680="Priority",'Cost model'!N187,'Cost model'!M187)</f>
        <v>75</v>
      </c>
      <c r="K2680" s="14" t="n">
        <f aca="false">J2680-H2680</f>
        <v>-8.2</v>
      </c>
      <c r="L2680" s="14" t="n">
        <f aca="false">G2680-H2680</f>
        <v>-58.7</v>
      </c>
    </row>
    <row r="2681" customFormat="false" ht="15" hidden="false" customHeight="false" outlineLevel="0" collapsed="false">
      <c r="A2681" s="2" t="s">
        <v>184</v>
      </c>
      <c r="B2681" s="2" t="s">
        <v>184</v>
      </c>
      <c r="C2681" s="2" t="s">
        <v>49</v>
      </c>
      <c r="D2681" s="2" t="s">
        <v>12</v>
      </c>
      <c r="E2681" s="2" t="s">
        <v>76</v>
      </c>
      <c r="F2681" s="2" t="s">
        <v>1145</v>
      </c>
      <c r="G2681" s="14" t="n">
        <v>12.5</v>
      </c>
      <c r="H2681" s="14" t="n">
        <v>75.19</v>
      </c>
      <c r="I2681" s="14"/>
      <c r="J2681" s="22" t="n">
        <f aca="false">IF(E2681="Priority",'Cost model'!N204,'Cost model'!M204)</f>
        <v>45</v>
      </c>
      <c r="K2681" s="14" t="n">
        <f aca="false">J2681-H2681</f>
        <v>-30.19</v>
      </c>
      <c r="L2681" s="14" t="n">
        <f aca="false">G2681-H2681</f>
        <v>-62.69</v>
      </c>
    </row>
    <row r="2682" customFormat="false" ht="15" hidden="false" customHeight="false" outlineLevel="0" collapsed="false">
      <c r="A2682" s="2" t="s">
        <v>126</v>
      </c>
      <c r="B2682" s="2" t="s">
        <v>126</v>
      </c>
      <c r="C2682" s="2" t="s">
        <v>49</v>
      </c>
      <c r="D2682" s="2" t="s">
        <v>13</v>
      </c>
      <c r="E2682" s="2" t="s">
        <v>76</v>
      </c>
      <c r="F2682" s="2" t="s">
        <v>1145</v>
      </c>
      <c r="G2682" s="14" t="n">
        <v>24.5</v>
      </c>
      <c r="H2682" s="14" t="n">
        <v>36.47</v>
      </c>
      <c r="I2682" s="14" t="n">
        <v>24.5</v>
      </c>
      <c r="J2682" s="22" t="n">
        <f aca="false">IF(E2682="Priority",'Cost model'!N387,'Cost model'!M387)</f>
        <v>95</v>
      </c>
      <c r="K2682" s="14" t="n">
        <f aca="false">J2682-H2682</f>
        <v>58.53</v>
      </c>
      <c r="L2682" s="14" t="n">
        <f aca="false">G2682-H2682</f>
        <v>-11.97</v>
      </c>
    </row>
    <row r="2683" customFormat="false" ht="15" hidden="false" customHeight="false" outlineLevel="0" collapsed="false">
      <c r="A2683" s="2" t="s">
        <v>165</v>
      </c>
      <c r="B2683" s="2" t="s">
        <v>165</v>
      </c>
      <c r="C2683" s="2" t="s">
        <v>50</v>
      </c>
      <c r="D2683" s="2" t="s">
        <v>10</v>
      </c>
      <c r="E2683" s="2" t="s">
        <v>76</v>
      </c>
      <c r="F2683" s="2" t="s">
        <v>1145</v>
      </c>
      <c r="G2683" s="14" t="n">
        <v>17.5</v>
      </c>
      <c r="H2683" s="14" t="n">
        <v>14.39</v>
      </c>
      <c r="I2683" s="14" t="n">
        <v>17.5</v>
      </c>
      <c r="J2683" s="22" t="n">
        <f aca="false">IF(E2683="Priority",'Cost model'!N508,'Cost model'!M508)</f>
        <v>17.5</v>
      </c>
      <c r="K2683" s="14" t="n">
        <f aca="false">J2683-H2683</f>
        <v>3.11</v>
      </c>
      <c r="L2683" s="14" t="n">
        <f aca="false">G2683-H2683</f>
        <v>3.11</v>
      </c>
    </row>
    <row r="2684" customFormat="false" ht="15" hidden="false" customHeight="false" outlineLevel="0" collapsed="false">
      <c r="A2684" s="2" t="s">
        <v>240</v>
      </c>
      <c r="B2684" s="2" t="s">
        <v>240</v>
      </c>
      <c r="C2684" s="2" t="s">
        <v>48</v>
      </c>
      <c r="D2684" s="2" t="s">
        <v>10</v>
      </c>
      <c r="E2684" s="2" t="s">
        <v>76</v>
      </c>
      <c r="F2684" s="2" t="s">
        <v>1145</v>
      </c>
      <c r="G2684" s="14" t="n">
        <v>9.5</v>
      </c>
      <c r="H2684" s="14" t="n">
        <v>8.01</v>
      </c>
      <c r="I2684" s="14" t="n">
        <v>9.5</v>
      </c>
      <c r="J2684" s="22" t="n">
        <f aca="false">IF(E2684="Priority",'Cost model'!N884,'Cost model'!M884)</f>
        <v>7.5</v>
      </c>
      <c r="K2684" s="14" t="n">
        <f aca="false">J2684-H2684</f>
        <v>-0.51</v>
      </c>
      <c r="L2684" s="14" t="n">
        <f aca="false">G2684-H2684</f>
        <v>1.49</v>
      </c>
    </row>
    <row r="2685" customFormat="false" ht="15" hidden="false" customHeight="false" outlineLevel="0" collapsed="false">
      <c r="A2685" s="2" t="s">
        <v>126</v>
      </c>
      <c r="B2685" s="2" t="s">
        <v>126</v>
      </c>
      <c r="C2685" s="2" t="s">
        <v>49</v>
      </c>
      <c r="D2685" s="2" t="s">
        <v>12</v>
      </c>
      <c r="E2685" s="2" t="s">
        <v>76</v>
      </c>
      <c r="F2685" s="2" t="s">
        <v>1145</v>
      </c>
      <c r="G2685" s="14" t="n">
        <v>12.5</v>
      </c>
      <c r="H2685" s="14" t="n">
        <v>11.25</v>
      </c>
      <c r="I2685" s="14" t="n">
        <v>12.5</v>
      </c>
      <c r="J2685" s="22" t="n">
        <f aca="false">IF(E2685="Priority",'Cost model'!N384,'Cost model'!M384)</f>
        <v>45</v>
      </c>
      <c r="K2685" s="14" t="n">
        <f aca="false">J2685-H2685</f>
        <v>33.75</v>
      </c>
      <c r="L2685" s="14" t="n">
        <f aca="false">G2685-H2685</f>
        <v>1.25</v>
      </c>
    </row>
    <row r="2686" customFormat="false" ht="15" hidden="false" customHeight="false" outlineLevel="0" collapsed="false">
      <c r="A2686" s="2" t="s">
        <v>146</v>
      </c>
      <c r="B2686" s="2" t="s">
        <v>184</v>
      </c>
      <c r="C2686" s="2" t="s">
        <v>48</v>
      </c>
      <c r="D2686" s="2" t="s">
        <v>10</v>
      </c>
      <c r="E2686" s="2" t="s">
        <v>76</v>
      </c>
      <c r="F2686" s="2" t="s">
        <v>1146</v>
      </c>
      <c r="G2686" s="14" t="n">
        <v>14.5</v>
      </c>
      <c r="H2686" s="14" t="n">
        <v>6.2</v>
      </c>
      <c r="I2686" s="14" t="n">
        <v>14.5</v>
      </c>
      <c r="J2686" s="22" t="n">
        <f aca="false">IF(E2686="Priority",'Cost model'!N830,'Cost model'!M830)</f>
        <v>9.5</v>
      </c>
      <c r="K2686" s="14" t="n">
        <f aca="false">J2686-H2686</f>
        <v>3.3</v>
      </c>
      <c r="L2686" s="14" t="n">
        <f aca="false">G2686-H2686</f>
        <v>8.3</v>
      </c>
    </row>
    <row r="2687" customFormat="false" ht="15" hidden="false" customHeight="false" outlineLevel="0" collapsed="false">
      <c r="A2687" s="2" t="s">
        <v>184</v>
      </c>
      <c r="B2687" s="2" t="s">
        <v>146</v>
      </c>
      <c r="C2687" s="2" t="s">
        <v>49</v>
      </c>
      <c r="D2687" s="2" t="s">
        <v>10</v>
      </c>
      <c r="E2687" s="2" t="s">
        <v>76</v>
      </c>
      <c r="F2687" s="2" t="s">
        <v>1146</v>
      </c>
      <c r="G2687" s="14" t="n">
        <v>12.5</v>
      </c>
      <c r="H2687" s="14" t="n">
        <v>9.71</v>
      </c>
      <c r="I2687" s="14"/>
      <c r="J2687" s="22" t="n">
        <f aca="false">IF(E2687="Priority",'Cost model'!N147,'Cost model'!M147)</f>
        <v>14.5</v>
      </c>
      <c r="K2687" s="14" t="n">
        <f aca="false">J2687-H2687</f>
        <v>4.79</v>
      </c>
      <c r="L2687" s="14" t="n">
        <f aca="false">G2687-H2687</f>
        <v>2.79</v>
      </c>
    </row>
    <row r="2688" customFormat="false" ht="15" hidden="false" customHeight="false" outlineLevel="0" collapsed="false">
      <c r="A2688" s="2" t="s">
        <v>146</v>
      </c>
      <c r="B2688" s="2" t="s">
        <v>165</v>
      </c>
      <c r="C2688" s="2" t="s">
        <v>48</v>
      </c>
      <c r="D2688" s="2" t="s">
        <v>10</v>
      </c>
      <c r="E2688" s="2" t="s">
        <v>76</v>
      </c>
      <c r="F2688" s="2" t="s">
        <v>1146</v>
      </c>
      <c r="G2688" s="14" t="n">
        <v>14.5</v>
      </c>
      <c r="H2688" s="14" t="n">
        <v>13.55</v>
      </c>
      <c r="I2688" s="14" t="n">
        <v>14.5</v>
      </c>
      <c r="J2688" s="22" t="n">
        <f aca="false">IF(E2688="Priority",'Cost model'!N776,'Cost model'!M776)</f>
        <v>13.5</v>
      </c>
      <c r="K2688" s="14" t="n">
        <f aca="false">J2688-H2688</f>
        <v>-0.0500000000000007</v>
      </c>
      <c r="L2688" s="14" t="n">
        <f aca="false">G2688-H2688</f>
        <v>0.949999999999999</v>
      </c>
    </row>
    <row r="2689" customFormat="false" ht="15" hidden="false" customHeight="false" outlineLevel="0" collapsed="false">
      <c r="A2689" s="2" t="s">
        <v>184</v>
      </c>
      <c r="B2689" s="2" t="s">
        <v>184</v>
      </c>
      <c r="C2689" s="2" t="s">
        <v>48</v>
      </c>
      <c r="D2689" s="2" t="s">
        <v>10</v>
      </c>
      <c r="E2689" s="2" t="s">
        <v>76</v>
      </c>
      <c r="F2689" s="2" t="s">
        <v>1145</v>
      </c>
      <c r="G2689" s="14" t="n">
        <v>9.5</v>
      </c>
      <c r="H2689" s="14" t="n">
        <v>7.45</v>
      </c>
      <c r="I2689" s="14" t="n">
        <v>9.5</v>
      </c>
      <c r="J2689" s="22" t="n">
        <f aca="false">IF(E2689="Priority",'Cost model'!N200,'Cost model'!M200)</f>
        <v>7.5</v>
      </c>
      <c r="K2689" s="14" t="n">
        <f aca="false">J2689-H2689</f>
        <v>0.0499999999999998</v>
      </c>
      <c r="L2689" s="14" t="n">
        <f aca="false">G2689-H2689</f>
        <v>2.05</v>
      </c>
    </row>
    <row r="2690" customFormat="false" ht="15" hidden="false" customHeight="false" outlineLevel="0" collapsed="false">
      <c r="A2690" s="2" t="s">
        <v>184</v>
      </c>
      <c r="B2690" s="2" t="s">
        <v>126</v>
      </c>
      <c r="C2690" s="2" t="s">
        <v>50</v>
      </c>
      <c r="D2690" s="2" t="s">
        <v>10</v>
      </c>
      <c r="E2690" s="2" t="s">
        <v>76</v>
      </c>
      <c r="F2690" s="2" t="s">
        <v>1146</v>
      </c>
      <c r="G2690" s="14" t="n">
        <v>17.5</v>
      </c>
      <c r="H2690" s="14" t="n">
        <v>10.96</v>
      </c>
      <c r="I2690" s="14" t="n">
        <v>17.5</v>
      </c>
      <c r="J2690" s="22" t="n">
        <f aca="false">IF(E2690="Priority",'Cost model'!N130,'Cost model'!M130)</f>
        <v>18.5</v>
      </c>
      <c r="K2690" s="14" t="n">
        <f aca="false">J2690-H2690</f>
        <v>7.54</v>
      </c>
      <c r="L2690" s="14" t="n">
        <f aca="false">G2690-H2690</f>
        <v>6.54</v>
      </c>
    </row>
    <row r="2691" customFormat="false" ht="15" hidden="false" customHeight="false" outlineLevel="0" collapsed="false">
      <c r="A2691" s="2" t="s">
        <v>184</v>
      </c>
      <c r="B2691" s="2" t="s">
        <v>184</v>
      </c>
      <c r="C2691" s="2" t="s">
        <v>50</v>
      </c>
      <c r="D2691" s="2" t="s">
        <v>12</v>
      </c>
      <c r="E2691" s="2" t="s">
        <v>76</v>
      </c>
      <c r="F2691" s="2" t="s">
        <v>1145</v>
      </c>
      <c r="G2691" s="14" t="n">
        <v>19.5</v>
      </c>
      <c r="H2691" s="14" t="n">
        <v>43.3</v>
      </c>
      <c r="I2691" s="14" t="n">
        <v>19.5</v>
      </c>
      <c r="J2691" s="22" t="n">
        <f aca="false">IF(E2691="Priority",'Cost model'!N205,'Cost model'!M205)</f>
        <v>50</v>
      </c>
      <c r="K2691" s="14" t="n">
        <f aca="false">J2691-H2691</f>
        <v>6.7</v>
      </c>
      <c r="L2691" s="14" t="n">
        <f aca="false">G2691-H2691</f>
        <v>-23.8</v>
      </c>
    </row>
    <row r="2692" customFormat="false" ht="15" hidden="false" customHeight="false" outlineLevel="0" collapsed="false">
      <c r="A2692" s="2" t="s">
        <v>184</v>
      </c>
      <c r="B2692" s="2" t="s">
        <v>184</v>
      </c>
      <c r="C2692" s="2" t="s">
        <v>49</v>
      </c>
      <c r="D2692" s="2" t="s">
        <v>12</v>
      </c>
      <c r="E2692" s="2" t="s">
        <v>76</v>
      </c>
      <c r="F2692" s="2" t="s">
        <v>1145</v>
      </c>
      <c r="G2692" s="14" t="n">
        <v>12.5</v>
      </c>
      <c r="H2692" s="14" t="n">
        <v>15.88</v>
      </c>
      <c r="I2692" s="14" t="n">
        <v>12.5</v>
      </c>
      <c r="J2692" s="22" t="n">
        <f aca="false">IF(E2692="Priority",'Cost model'!N204,'Cost model'!M204)</f>
        <v>45</v>
      </c>
      <c r="K2692" s="14" t="n">
        <f aca="false">J2692-H2692</f>
        <v>29.12</v>
      </c>
      <c r="L2692" s="14" t="n">
        <f aca="false">G2692-H2692</f>
        <v>-3.38</v>
      </c>
    </row>
    <row r="2693" customFormat="false" ht="15" hidden="false" customHeight="false" outlineLevel="0" collapsed="false">
      <c r="A2693" s="2" t="s">
        <v>146</v>
      </c>
      <c r="B2693" s="2" t="s">
        <v>165</v>
      </c>
      <c r="C2693" s="2" t="s">
        <v>48</v>
      </c>
      <c r="D2693" s="2" t="s">
        <v>16</v>
      </c>
      <c r="E2693" s="2" t="s">
        <v>85</v>
      </c>
      <c r="F2693" s="2" t="s">
        <v>1146</v>
      </c>
      <c r="G2693" s="14" t="n">
        <v>300</v>
      </c>
      <c r="H2693" s="14" t="n">
        <v>368.76</v>
      </c>
      <c r="I2693" s="14" t="n">
        <v>300</v>
      </c>
      <c r="J2693" s="22" t="n">
        <f aca="false">IF(E2693="Priority",'Cost model'!N791,'Cost model'!M791)</f>
        <v>315</v>
      </c>
      <c r="K2693" s="14" t="n">
        <f aca="false">J2693-H2693</f>
        <v>-53.76</v>
      </c>
      <c r="L2693" s="14" t="n">
        <f aca="false">G2693-H2693</f>
        <v>-68.76</v>
      </c>
    </row>
    <row r="2694" customFormat="false" ht="15" hidden="false" customHeight="false" outlineLevel="0" collapsed="false">
      <c r="A2694" s="2" t="s">
        <v>240</v>
      </c>
      <c r="B2694" s="2" t="s">
        <v>240</v>
      </c>
      <c r="C2694" s="2" t="s">
        <v>48</v>
      </c>
      <c r="D2694" s="2" t="s">
        <v>12</v>
      </c>
      <c r="E2694" s="2" t="s">
        <v>85</v>
      </c>
      <c r="F2694" s="2" t="s">
        <v>1145</v>
      </c>
      <c r="G2694" s="14" t="n">
        <v>19.5</v>
      </c>
      <c r="H2694" s="14" t="n">
        <v>16.64</v>
      </c>
      <c r="I2694" s="14" t="n">
        <v>19.5</v>
      </c>
      <c r="J2694" s="22" t="n">
        <f aca="false">IF(E2694="Priority",'Cost model'!N887,'Cost model'!M887)</f>
        <v>27.5</v>
      </c>
      <c r="K2694" s="14" t="n">
        <f aca="false">J2694-H2694</f>
        <v>10.86</v>
      </c>
      <c r="L2694" s="14" t="n">
        <f aca="false">G2694-H2694</f>
        <v>2.86</v>
      </c>
    </row>
    <row r="2695" customFormat="false" ht="15" hidden="false" customHeight="false" outlineLevel="0" collapsed="false">
      <c r="A2695" s="2" t="s">
        <v>184</v>
      </c>
      <c r="B2695" s="2" t="s">
        <v>146</v>
      </c>
      <c r="C2695" s="2" t="s">
        <v>48</v>
      </c>
      <c r="D2695" s="2" t="s">
        <v>12</v>
      </c>
      <c r="E2695" s="2" t="s">
        <v>76</v>
      </c>
      <c r="F2695" s="2" t="s">
        <v>1146</v>
      </c>
      <c r="G2695" s="14" t="n">
        <v>9.5</v>
      </c>
      <c r="H2695" s="14" t="n">
        <v>32.81</v>
      </c>
      <c r="I2695" s="14" t="n">
        <v>9.5</v>
      </c>
      <c r="J2695" s="22" t="n">
        <f aca="false">IF(E2695="Priority",'Cost model'!N149,'Cost model'!M149)</f>
        <v>45</v>
      </c>
      <c r="K2695" s="14" t="n">
        <f aca="false">J2695-H2695</f>
        <v>12.19</v>
      </c>
      <c r="L2695" s="14" t="n">
        <f aca="false">G2695-H2695</f>
        <v>-23.31</v>
      </c>
    </row>
    <row r="2696" customFormat="false" ht="15" hidden="false" customHeight="false" outlineLevel="0" collapsed="false">
      <c r="A2696" s="2" t="s">
        <v>126</v>
      </c>
      <c r="B2696" s="2" t="s">
        <v>126</v>
      </c>
      <c r="C2696" s="2" t="s">
        <v>49</v>
      </c>
      <c r="D2696" s="2" t="s">
        <v>12</v>
      </c>
      <c r="E2696" s="2" t="s">
        <v>85</v>
      </c>
      <c r="F2696" s="2" t="s">
        <v>1145</v>
      </c>
      <c r="G2696" s="14" t="n">
        <v>19.5</v>
      </c>
      <c r="H2696" s="14" t="n">
        <v>56.53</v>
      </c>
      <c r="I2696" s="14" t="n">
        <v>19.5</v>
      </c>
      <c r="J2696" s="22" t="n">
        <f aca="false">IF(E2696="Priority",'Cost model'!N384,'Cost model'!M384)</f>
        <v>60</v>
      </c>
      <c r="K2696" s="14" t="n">
        <f aca="false">J2696-H2696</f>
        <v>3.47</v>
      </c>
      <c r="L2696" s="14" t="n">
        <f aca="false">G2696-H2696</f>
        <v>-37.03</v>
      </c>
    </row>
    <row r="2697" customFormat="false" ht="15" hidden="false" customHeight="false" outlineLevel="0" collapsed="false">
      <c r="A2697" s="2" t="s">
        <v>126</v>
      </c>
      <c r="B2697" s="2" t="s">
        <v>165</v>
      </c>
      <c r="C2697" s="2" t="s">
        <v>48</v>
      </c>
      <c r="D2697" s="2" t="s">
        <v>10</v>
      </c>
      <c r="E2697" s="2" t="s">
        <v>76</v>
      </c>
      <c r="F2697" s="2" t="s">
        <v>1146</v>
      </c>
      <c r="G2697" s="14" t="n">
        <v>14.5</v>
      </c>
      <c r="H2697" s="14" t="n">
        <v>25.6</v>
      </c>
      <c r="I2697" s="14" t="n">
        <v>14.5</v>
      </c>
      <c r="J2697" s="22" t="n">
        <f aca="false">IF(E2697="Priority",'Cost model'!N416,'Cost model'!M416)</f>
        <v>16.5</v>
      </c>
      <c r="K2697" s="14" t="n">
        <f aca="false">J2697-H2697</f>
        <v>-9.1</v>
      </c>
      <c r="L2697" s="14" t="n">
        <f aca="false">G2697-H2697</f>
        <v>-11.1</v>
      </c>
    </row>
    <row r="2698" customFormat="false" ht="15" hidden="false" customHeight="false" outlineLevel="0" collapsed="false">
      <c r="A2698" s="2" t="s">
        <v>184</v>
      </c>
      <c r="B2698" s="2" t="s">
        <v>184</v>
      </c>
      <c r="C2698" s="2" t="s">
        <v>49</v>
      </c>
      <c r="D2698" s="2" t="s">
        <v>12</v>
      </c>
      <c r="E2698" s="2" t="s">
        <v>76</v>
      </c>
      <c r="F2698" s="2" t="s">
        <v>1145</v>
      </c>
      <c r="G2698" s="14" t="n">
        <v>12.5</v>
      </c>
      <c r="H2698" s="14" t="n">
        <v>25.97</v>
      </c>
      <c r="I2698" s="14" t="n">
        <v>12.5</v>
      </c>
      <c r="J2698" s="22" t="n">
        <f aca="false">IF(E2698="Priority",'Cost model'!N204,'Cost model'!M204)</f>
        <v>45</v>
      </c>
      <c r="K2698" s="14" t="n">
        <f aca="false">J2698-H2698</f>
        <v>19.03</v>
      </c>
      <c r="L2698" s="14" t="n">
        <f aca="false">G2698-H2698</f>
        <v>-13.47</v>
      </c>
    </row>
    <row r="2699" customFormat="false" ht="15" hidden="false" customHeight="false" outlineLevel="0" collapsed="false">
      <c r="A2699" s="2" t="s">
        <v>184</v>
      </c>
      <c r="B2699" s="2" t="s">
        <v>184</v>
      </c>
      <c r="C2699" s="2" t="s">
        <v>50</v>
      </c>
      <c r="D2699" s="2" t="s">
        <v>12</v>
      </c>
      <c r="E2699" s="2" t="s">
        <v>76</v>
      </c>
      <c r="F2699" s="2" t="s">
        <v>1145</v>
      </c>
      <c r="G2699" s="14" t="n">
        <v>19.5</v>
      </c>
      <c r="H2699" s="14" t="n">
        <v>49.42</v>
      </c>
      <c r="I2699" s="14" t="n">
        <v>19.5</v>
      </c>
      <c r="J2699" s="22" t="n">
        <f aca="false">IF(E2699="Priority",'Cost model'!N205,'Cost model'!M205)</f>
        <v>50</v>
      </c>
      <c r="K2699" s="14" t="n">
        <f aca="false">J2699-H2699</f>
        <v>0.579999999999998</v>
      </c>
      <c r="L2699" s="14" t="n">
        <f aca="false">G2699-H2699</f>
        <v>-29.92</v>
      </c>
    </row>
    <row r="2700" customFormat="false" ht="15" hidden="false" customHeight="false" outlineLevel="0" collapsed="false">
      <c r="A2700" s="2" t="s">
        <v>146</v>
      </c>
      <c r="B2700" s="2" t="s">
        <v>146</v>
      </c>
      <c r="C2700" s="2" t="s">
        <v>50</v>
      </c>
      <c r="D2700" s="2" t="s">
        <v>12</v>
      </c>
      <c r="E2700" s="2" t="s">
        <v>76</v>
      </c>
      <c r="F2700" s="2" t="s">
        <v>1145</v>
      </c>
      <c r="G2700" s="14" t="n">
        <v>19.5</v>
      </c>
      <c r="H2700" s="14" t="n">
        <v>42.23</v>
      </c>
      <c r="I2700" s="14" t="n">
        <v>19.5</v>
      </c>
      <c r="J2700" s="22" t="n">
        <f aca="false">IF(E2700="Priority",'Cost model'!N763,'Cost model'!M763)</f>
        <v>50</v>
      </c>
      <c r="K2700" s="14" t="n">
        <f aca="false">J2700-H2700</f>
        <v>7.77</v>
      </c>
      <c r="L2700" s="14" t="n">
        <f aca="false">G2700-H2700</f>
        <v>-22.73</v>
      </c>
    </row>
    <row r="2701" customFormat="false" ht="15" hidden="false" customHeight="false" outlineLevel="0" collapsed="false">
      <c r="A2701" s="2" t="s">
        <v>125</v>
      </c>
      <c r="B2701" s="2" t="s">
        <v>240</v>
      </c>
      <c r="C2701" s="2" t="s">
        <v>48</v>
      </c>
      <c r="D2701" s="2" t="s">
        <v>12</v>
      </c>
      <c r="E2701" s="2" t="s">
        <v>85</v>
      </c>
      <c r="F2701" s="2" t="s">
        <v>1146</v>
      </c>
      <c r="G2701" s="14" t="n">
        <v>29.5</v>
      </c>
      <c r="H2701" s="14" t="n">
        <v>64.43</v>
      </c>
      <c r="I2701" s="14" t="n">
        <v>29.5</v>
      </c>
      <c r="J2701" s="22" t="n">
        <f aca="false">IF(E2701="Priority",'Cost model'!N113,'Cost model'!M113)</f>
        <v>65</v>
      </c>
      <c r="K2701" s="14" t="n">
        <f aca="false">J2701-H2701</f>
        <v>0.569999999999993</v>
      </c>
      <c r="L2701" s="14" t="n">
        <f aca="false">G2701-H2701</f>
        <v>-34.93</v>
      </c>
    </row>
    <row r="2702" customFormat="false" ht="15" hidden="false" customHeight="false" outlineLevel="0" collapsed="false">
      <c r="A2702" s="2" t="s">
        <v>165</v>
      </c>
      <c r="B2702" s="2" t="s">
        <v>165</v>
      </c>
      <c r="C2702" s="2" t="s">
        <v>50</v>
      </c>
      <c r="D2702" s="2" t="s">
        <v>13</v>
      </c>
      <c r="E2702" s="2" t="s">
        <v>76</v>
      </c>
      <c r="F2702" s="2" t="s">
        <v>1145</v>
      </c>
      <c r="G2702" s="14" t="n">
        <v>50</v>
      </c>
      <c r="H2702" s="14" t="n">
        <v>47.23</v>
      </c>
      <c r="I2702" s="14" t="n">
        <v>50</v>
      </c>
      <c r="J2702" s="22" t="n">
        <f aca="false">IF(E2702="Priority",'Cost model'!N514,'Cost model'!M514)</f>
        <v>70</v>
      </c>
      <c r="K2702" s="14" t="n">
        <f aca="false">J2702-H2702</f>
        <v>22.77</v>
      </c>
      <c r="L2702" s="14" t="n">
        <f aca="false">G2702-H2702</f>
        <v>2.77</v>
      </c>
    </row>
    <row r="2703" customFormat="false" ht="15" hidden="false" customHeight="false" outlineLevel="0" collapsed="false">
      <c r="A2703" s="2" t="s">
        <v>184</v>
      </c>
      <c r="B2703" s="2" t="s">
        <v>126</v>
      </c>
      <c r="C2703" s="2" t="s">
        <v>48</v>
      </c>
      <c r="D2703" s="2" t="s">
        <v>10</v>
      </c>
      <c r="E2703" s="2" t="s">
        <v>76</v>
      </c>
      <c r="F2703" s="2" t="s">
        <v>1146</v>
      </c>
      <c r="G2703" s="14" t="n">
        <v>9.5</v>
      </c>
      <c r="H2703" s="14" t="n">
        <v>7.74</v>
      </c>
      <c r="I2703" s="14" t="n">
        <v>9.5</v>
      </c>
      <c r="J2703" s="22" t="n">
        <f aca="false">IF(E2703="Priority",'Cost model'!N128,'Cost model'!M128)</f>
        <v>10.5</v>
      </c>
      <c r="K2703" s="14" t="n">
        <f aca="false">J2703-H2703</f>
        <v>2.76</v>
      </c>
      <c r="L2703" s="14" t="n">
        <f aca="false">G2703-H2703</f>
        <v>1.76</v>
      </c>
    </row>
    <row r="2704" customFormat="false" ht="15" hidden="false" customHeight="false" outlineLevel="0" collapsed="false">
      <c r="A2704" s="2" t="s">
        <v>184</v>
      </c>
      <c r="B2704" s="2" t="s">
        <v>184</v>
      </c>
      <c r="C2704" s="2" t="s">
        <v>50</v>
      </c>
      <c r="D2704" s="2" t="s">
        <v>13</v>
      </c>
      <c r="E2704" s="2" t="s">
        <v>76</v>
      </c>
      <c r="F2704" s="2" t="s">
        <v>1145</v>
      </c>
      <c r="G2704" s="14" t="n">
        <v>50</v>
      </c>
      <c r="H2704" s="14" t="n">
        <v>50.73</v>
      </c>
      <c r="I2704" s="14" t="n">
        <v>50</v>
      </c>
      <c r="J2704" s="22" t="n">
        <f aca="false">IF(E2704="Priority",'Cost model'!N208,'Cost model'!M208)</f>
        <v>80</v>
      </c>
      <c r="K2704" s="14" t="n">
        <f aca="false">J2704-H2704</f>
        <v>29.27</v>
      </c>
      <c r="L2704" s="14" t="n">
        <f aca="false">G2704-H2704</f>
        <v>-0.729999999999997</v>
      </c>
    </row>
    <row r="2705" customFormat="false" ht="15" hidden="false" customHeight="false" outlineLevel="0" collapsed="false">
      <c r="A2705" s="2" t="s">
        <v>240</v>
      </c>
      <c r="B2705" s="2" t="s">
        <v>240</v>
      </c>
      <c r="C2705" s="2" t="s">
        <v>48</v>
      </c>
      <c r="D2705" s="2" t="s">
        <v>10</v>
      </c>
      <c r="E2705" s="2" t="s">
        <v>76</v>
      </c>
      <c r="F2705" s="2" t="s">
        <v>1145</v>
      </c>
      <c r="G2705" s="14" t="n">
        <v>9.5</v>
      </c>
      <c r="H2705" s="14" t="n">
        <v>7.15</v>
      </c>
      <c r="I2705" s="14" t="n">
        <v>9.5</v>
      </c>
      <c r="J2705" s="22" t="n">
        <f aca="false">IF(E2705="Priority",'Cost model'!N884,'Cost model'!M884)</f>
        <v>7.5</v>
      </c>
      <c r="K2705" s="14" t="n">
        <f aca="false">J2705-H2705</f>
        <v>0.35</v>
      </c>
      <c r="L2705" s="14" t="n">
        <f aca="false">G2705-H2705</f>
        <v>2.35</v>
      </c>
    </row>
    <row r="2706" customFormat="false" ht="15" hidden="false" customHeight="false" outlineLevel="0" collapsed="false">
      <c r="A2706" s="2" t="s">
        <v>146</v>
      </c>
      <c r="B2706" s="2" t="s">
        <v>240</v>
      </c>
      <c r="C2706" s="2" t="s">
        <v>48</v>
      </c>
      <c r="D2706" s="2" t="s">
        <v>12</v>
      </c>
      <c r="E2706" s="2" t="s">
        <v>85</v>
      </c>
      <c r="F2706" s="2" t="s">
        <v>1146</v>
      </c>
      <c r="G2706" s="14" t="n">
        <v>29.5</v>
      </c>
      <c r="H2706" s="14" t="n">
        <v>100.8</v>
      </c>
      <c r="I2706" s="14" t="n">
        <v>29.5</v>
      </c>
      <c r="J2706" s="22" t="n">
        <f aca="false">IF(E2706="Priority",'Cost model'!N815,'Cost model'!M815)</f>
        <v>65</v>
      </c>
      <c r="K2706" s="14" t="n">
        <f aca="false">J2706-H2706</f>
        <v>-35.8</v>
      </c>
      <c r="L2706" s="14" t="n">
        <f aca="false">G2706-H2706</f>
        <v>-71.3</v>
      </c>
    </row>
    <row r="2707" customFormat="false" ht="15" hidden="false" customHeight="false" outlineLevel="0" collapsed="false">
      <c r="A2707" s="2" t="s">
        <v>184</v>
      </c>
      <c r="B2707" s="2" t="s">
        <v>146</v>
      </c>
      <c r="C2707" s="2" t="s">
        <v>50</v>
      </c>
      <c r="D2707" s="2" t="s">
        <v>10</v>
      </c>
      <c r="E2707" s="2" t="s">
        <v>85</v>
      </c>
      <c r="F2707" s="2" t="s">
        <v>1146</v>
      </c>
      <c r="G2707" s="14" t="n">
        <v>24.5</v>
      </c>
      <c r="H2707" s="14" t="n">
        <v>24.17</v>
      </c>
      <c r="I2707" s="14" t="n">
        <v>24.5</v>
      </c>
      <c r="J2707" s="22" t="n">
        <f aca="false">IF(E2707="Priority",'Cost model'!N148,'Cost model'!M148)</f>
        <v>29.5</v>
      </c>
      <c r="K2707" s="14" t="n">
        <f aca="false">J2707-H2707</f>
        <v>5.33</v>
      </c>
      <c r="L2707" s="14" t="n">
        <f aca="false">G2707-H2707</f>
        <v>0.329999999999998</v>
      </c>
    </row>
    <row r="2708" customFormat="false" ht="15" hidden="false" customHeight="false" outlineLevel="0" collapsed="false">
      <c r="A2708" s="2" t="s">
        <v>126</v>
      </c>
      <c r="B2708" s="2" t="s">
        <v>126</v>
      </c>
      <c r="C2708" s="2" t="s">
        <v>50</v>
      </c>
      <c r="D2708" s="2" t="s">
        <v>12</v>
      </c>
      <c r="E2708" s="2" t="s">
        <v>76</v>
      </c>
      <c r="F2708" s="2" t="s">
        <v>1145</v>
      </c>
      <c r="G2708" s="14" t="n">
        <v>19.5</v>
      </c>
      <c r="H2708" s="14" t="n">
        <v>58.7</v>
      </c>
      <c r="I2708" s="14" t="n">
        <v>19.5</v>
      </c>
      <c r="J2708" s="22" t="n">
        <f aca="false">IF(E2708="Priority",'Cost model'!N385,'Cost model'!M385)</f>
        <v>55</v>
      </c>
      <c r="K2708" s="14" t="n">
        <f aca="false">J2708-H2708</f>
        <v>-3.7</v>
      </c>
      <c r="L2708" s="14" t="n">
        <f aca="false">G2708-H2708</f>
        <v>-39.2</v>
      </c>
    </row>
    <row r="2709" customFormat="false" ht="15" hidden="false" customHeight="false" outlineLevel="0" collapsed="false">
      <c r="A2709" s="2" t="s">
        <v>126</v>
      </c>
      <c r="B2709" s="2" t="s">
        <v>126</v>
      </c>
      <c r="C2709" s="2" t="s">
        <v>48</v>
      </c>
      <c r="D2709" s="2" t="s">
        <v>14</v>
      </c>
      <c r="E2709" s="2" t="s">
        <v>76</v>
      </c>
      <c r="F2709" s="2" t="s">
        <v>1145</v>
      </c>
      <c r="G2709" s="14" t="n">
        <v>25</v>
      </c>
      <c r="H2709" s="14" t="n">
        <v>113.29</v>
      </c>
      <c r="I2709" s="14" t="n">
        <v>25</v>
      </c>
      <c r="J2709" s="22" t="n">
        <f aca="false">IF(E2709="Priority",'Cost model'!N389,'Cost model'!M389)</f>
        <v>95</v>
      </c>
      <c r="K2709" s="14" t="n">
        <f aca="false">J2709-H2709</f>
        <v>-18.29</v>
      </c>
      <c r="L2709" s="14" t="n">
        <f aca="false">G2709-H2709</f>
        <v>-88.29</v>
      </c>
    </row>
    <row r="2710" customFormat="false" ht="15" hidden="false" customHeight="false" outlineLevel="0" collapsed="false">
      <c r="A2710" s="2" t="s">
        <v>146</v>
      </c>
      <c r="B2710" s="2" t="s">
        <v>146</v>
      </c>
      <c r="C2710" s="2" t="s">
        <v>50</v>
      </c>
      <c r="D2710" s="2" t="s">
        <v>10</v>
      </c>
      <c r="E2710" s="2" t="s">
        <v>76</v>
      </c>
      <c r="F2710" s="2" t="s">
        <v>1145</v>
      </c>
      <c r="G2710" s="14" t="n">
        <v>17.5</v>
      </c>
      <c r="H2710" s="14" t="n">
        <v>10.48</v>
      </c>
      <c r="I2710" s="14" t="n">
        <v>17.5</v>
      </c>
      <c r="J2710" s="22" t="n">
        <f aca="false">IF(E2710="Priority",'Cost model'!N760,'Cost model'!M760)</f>
        <v>18.5</v>
      </c>
      <c r="K2710" s="14" t="n">
        <f aca="false">J2710-H2710</f>
        <v>8.02</v>
      </c>
      <c r="L2710" s="14" t="n">
        <f aca="false">G2710-H2710</f>
        <v>7.02</v>
      </c>
    </row>
    <row r="2711" customFormat="false" ht="15" hidden="false" customHeight="false" outlineLevel="0" collapsed="false">
      <c r="A2711" s="2" t="s">
        <v>184</v>
      </c>
      <c r="B2711" s="2" t="s">
        <v>126</v>
      </c>
      <c r="C2711" s="2" t="s">
        <v>49</v>
      </c>
      <c r="D2711" s="2" t="s">
        <v>10</v>
      </c>
      <c r="E2711" s="2" t="s">
        <v>76</v>
      </c>
      <c r="F2711" s="2" t="s">
        <v>1146</v>
      </c>
      <c r="G2711" s="14" t="n">
        <v>12.5</v>
      </c>
      <c r="H2711" s="14" t="n">
        <v>12.09</v>
      </c>
      <c r="I2711" s="14" t="n">
        <v>12.5</v>
      </c>
      <c r="J2711" s="22" t="n">
        <f aca="false">IF(E2711="Priority",'Cost model'!N129,'Cost model'!M129)</f>
        <v>13.5</v>
      </c>
      <c r="K2711" s="14" t="n">
        <f aca="false">J2711-H2711</f>
        <v>1.41</v>
      </c>
      <c r="L2711" s="14" t="n">
        <f aca="false">G2711-H2711</f>
        <v>0.41</v>
      </c>
    </row>
    <row r="2712" customFormat="false" ht="15" hidden="false" customHeight="false" outlineLevel="0" collapsed="false">
      <c r="A2712" s="2" t="s">
        <v>184</v>
      </c>
      <c r="B2712" s="2" t="s">
        <v>184</v>
      </c>
      <c r="C2712" s="2" t="s">
        <v>50</v>
      </c>
      <c r="D2712" s="2" t="s">
        <v>12</v>
      </c>
      <c r="E2712" s="2" t="s">
        <v>76</v>
      </c>
      <c r="F2712" s="2" t="s">
        <v>1145</v>
      </c>
      <c r="G2712" s="14" t="n">
        <v>19.5</v>
      </c>
      <c r="H2712" s="14" t="n">
        <v>25.01</v>
      </c>
      <c r="I2712" s="14" t="n">
        <v>19.5</v>
      </c>
      <c r="J2712" s="22" t="n">
        <f aca="false">IF(E2712="Priority",'Cost model'!N205,'Cost model'!M205)</f>
        <v>50</v>
      </c>
      <c r="K2712" s="14" t="n">
        <f aca="false">J2712-H2712</f>
        <v>24.99</v>
      </c>
      <c r="L2712" s="14" t="n">
        <f aca="false">G2712-H2712</f>
        <v>-5.51</v>
      </c>
    </row>
    <row r="2713" customFormat="false" ht="15" hidden="false" customHeight="false" outlineLevel="0" collapsed="false">
      <c r="A2713" s="2" t="s">
        <v>146</v>
      </c>
      <c r="B2713" s="2" t="s">
        <v>146</v>
      </c>
      <c r="C2713" s="2" t="s">
        <v>48</v>
      </c>
      <c r="D2713" s="2" t="s">
        <v>10</v>
      </c>
      <c r="E2713" s="2" t="s">
        <v>76</v>
      </c>
      <c r="F2713" s="2" t="s">
        <v>1145</v>
      </c>
      <c r="G2713" s="14" t="n">
        <v>9.5</v>
      </c>
      <c r="H2713" s="14" t="n">
        <v>5.95</v>
      </c>
      <c r="I2713" s="14" t="n">
        <v>9.5</v>
      </c>
      <c r="J2713" s="22" t="n">
        <f aca="false">IF(E2713="Priority",'Cost model'!N758,'Cost model'!M758)</f>
        <v>9.5</v>
      </c>
      <c r="K2713" s="14" t="n">
        <f aca="false">J2713-H2713</f>
        <v>3.55</v>
      </c>
      <c r="L2713" s="14" t="n">
        <f aca="false">G2713-H2713</f>
        <v>3.55</v>
      </c>
    </row>
    <row r="2714" customFormat="false" ht="15" hidden="false" customHeight="false" outlineLevel="0" collapsed="false">
      <c r="A2714" s="2" t="s">
        <v>126</v>
      </c>
      <c r="B2714" s="2" t="s">
        <v>165</v>
      </c>
      <c r="C2714" s="2" t="s">
        <v>49</v>
      </c>
      <c r="D2714" s="2" t="s">
        <v>14</v>
      </c>
      <c r="E2714" s="2" t="s">
        <v>76</v>
      </c>
      <c r="F2714" s="2" t="s">
        <v>1146</v>
      </c>
      <c r="G2714" s="14" t="n">
        <v>45</v>
      </c>
      <c r="H2714" s="14" t="n">
        <v>379.19</v>
      </c>
      <c r="I2714" s="14" t="n">
        <v>125</v>
      </c>
      <c r="J2714" s="22" t="n">
        <f aca="false">IF(E2714="Priority",'Cost model'!N426,'Cost model'!M426)</f>
        <v>220</v>
      </c>
      <c r="K2714" s="14" t="n">
        <f aca="false">J2714-H2714</f>
        <v>-159.19</v>
      </c>
      <c r="L2714" s="14" t="n">
        <f aca="false">G2714-H2714</f>
        <v>-334.19</v>
      </c>
    </row>
    <row r="2715" customFormat="false" ht="15" hidden="false" customHeight="false" outlineLevel="0" collapsed="false">
      <c r="A2715" s="2" t="s">
        <v>126</v>
      </c>
      <c r="B2715" s="2" t="s">
        <v>126</v>
      </c>
      <c r="C2715" s="2" t="s">
        <v>49</v>
      </c>
      <c r="D2715" s="2" t="s">
        <v>12</v>
      </c>
      <c r="E2715" s="2" t="s">
        <v>76</v>
      </c>
      <c r="F2715" s="2" t="s">
        <v>1145</v>
      </c>
      <c r="G2715" s="14" t="n">
        <v>12.5</v>
      </c>
      <c r="H2715" s="14" t="n">
        <v>59.17</v>
      </c>
      <c r="I2715" s="14" t="n">
        <v>12.5</v>
      </c>
      <c r="J2715" s="22" t="n">
        <f aca="false">IF(E2715="Priority",'Cost model'!N384,'Cost model'!M384)</f>
        <v>45</v>
      </c>
      <c r="K2715" s="14" t="n">
        <f aca="false">J2715-H2715</f>
        <v>-14.17</v>
      </c>
      <c r="L2715" s="14" t="n">
        <f aca="false">G2715-H2715</f>
        <v>-46.67</v>
      </c>
    </row>
    <row r="2716" customFormat="false" ht="15" hidden="false" customHeight="false" outlineLevel="0" collapsed="false">
      <c r="A2716" s="2" t="s">
        <v>146</v>
      </c>
      <c r="B2716" s="2" t="s">
        <v>146</v>
      </c>
      <c r="C2716" s="2" t="s">
        <v>48</v>
      </c>
      <c r="D2716" s="2" t="s">
        <v>12</v>
      </c>
      <c r="E2716" s="2" t="s">
        <v>76</v>
      </c>
      <c r="F2716" s="2" t="s">
        <v>1145</v>
      </c>
      <c r="G2716" s="14" t="n">
        <v>9.5</v>
      </c>
      <c r="H2716" s="14" t="n">
        <v>28.25</v>
      </c>
      <c r="I2716" s="14" t="n">
        <v>9.5</v>
      </c>
      <c r="J2716" s="22" t="n">
        <f aca="false">IF(E2716="Priority",'Cost model'!N761,'Cost model'!M761)</f>
        <v>35</v>
      </c>
      <c r="K2716" s="14" t="n">
        <f aca="false">J2716-H2716</f>
        <v>6.75</v>
      </c>
      <c r="L2716" s="14" t="n">
        <f aca="false">G2716-H2716</f>
        <v>-18.75</v>
      </c>
    </row>
    <row r="2717" customFormat="false" ht="15" hidden="false" customHeight="false" outlineLevel="0" collapsed="false">
      <c r="A2717" s="2" t="s">
        <v>126</v>
      </c>
      <c r="B2717" s="2" t="s">
        <v>184</v>
      </c>
      <c r="C2717" s="2" t="s">
        <v>49</v>
      </c>
      <c r="D2717" s="2" t="s">
        <v>10</v>
      </c>
      <c r="E2717" s="2" t="s">
        <v>85</v>
      </c>
      <c r="F2717" s="2" t="s">
        <v>1146</v>
      </c>
      <c r="G2717" s="14" t="n">
        <v>19.5</v>
      </c>
      <c r="H2717" s="14" t="n">
        <v>21.34</v>
      </c>
      <c r="I2717" s="14" t="n">
        <v>19.5</v>
      </c>
      <c r="J2717" s="22" t="n">
        <f aca="false">IF(E2717="Priority",'Cost model'!N435,'Cost model'!M435)</f>
        <v>21.5</v>
      </c>
      <c r="K2717" s="14" t="n">
        <f aca="false">J2717-H2717</f>
        <v>0.16</v>
      </c>
      <c r="L2717" s="14" t="n">
        <f aca="false">G2717-H2717</f>
        <v>-1.84</v>
      </c>
    </row>
    <row r="2718" customFormat="false" ht="15" hidden="false" customHeight="false" outlineLevel="0" collapsed="false">
      <c r="A2718" s="2" t="s">
        <v>184</v>
      </c>
      <c r="B2718" s="2" t="s">
        <v>146</v>
      </c>
      <c r="C2718" s="2" t="s">
        <v>50</v>
      </c>
      <c r="D2718" s="2" t="s">
        <v>12</v>
      </c>
      <c r="E2718" s="2" t="s">
        <v>85</v>
      </c>
      <c r="F2718" s="2" t="s">
        <v>1146</v>
      </c>
      <c r="G2718" s="14" t="n">
        <v>29.5</v>
      </c>
      <c r="H2718" s="14" t="n">
        <v>28.83</v>
      </c>
      <c r="I2718" s="14" t="n">
        <v>29.5</v>
      </c>
      <c r="J2718" s="22" t="n">
        <f aca="false">IF(E2718="Priority",'Cost model'!N151,'Cost model'!M151)</f>
        <v>70</v>
      </c>
      <c r="K2718" s="14" t="n">
        <f aca="false">J2718-H2718</f>
        <v>41.17</v>
      </c>
      <c r="L2718" s="14" t="n">
        <f aca="false">G2718-H2718</f>
        <v>0.670000000000002</v>
      </c>
    </row>
    <row r="2719" customFormat="false" ht="15" hidden="false" customHeight="false" outlineLevel="0" collapsed="false">
      <c r="A2719" s="2" t="s">
        <v>184</v>
      </c>
      <c r="B2719" s="2" t="s">
        <v>184</v>
      </c>
      <c r="C2719" s="2" t="s">
        <v>50</v>
      </c>
      <c r="D2719" s="2" t="s">
        <v>13</v>
      </c>
      <c r="E2719" s="2" t="s">
        <v>76</v>
      </c>
      <c r="F2719" s="2" t="s">
        <v>1145</v>
      </c>
      <c r="G2719" s="14" t="n">
        <v>50</v>
      </c>
      <c r="H2719" s="14" t="n">
        <v>79.48</v>
      </c>
      <c r="I2719" s="14" t="n">
        <v>50</v>
      </c>
      <c r="J2719" s="22" t="n">
        <f aca="false">IF(E2719="Priority",'Cost model'!N208,'Cost model'!M208)</f>
        <v>80</v>
      </c>
      <c r="K2719" s="14" t="n">
        <f aca="false">J2719-H2719</f>
        <v>0.519999999999996</v>
      </c>
      <c r="L2719" s="14" t="n">
        <f aca="false">G2719-H2719</f>
        <v>-29.48</v>
      </c>
    </row>
    <row r="2720" customFormat="false" ht="15" hidden="false" customHeight="false" outlineLevel="0" collapsed="false">
      <c r="A2720" s="2" t="s">
        <v>184</v>
      </c>
      <c r="B2720" s="2" t="s">
        <v>184</v>
      </c>
      <c r="C2720" s="2" t="s">
        <v>49</v>
      </c>
      <c r="D2720" s="2" t="s">
        <v>10</v>
      </c>
      <c r="E2720" s="2" t="s">
        <v>76</v>
      </c>
      <c r="F2720" s="2" t="s">
        <v>1145</v>
      </c>
      <c r="G2720" s="14" t="n">
        <v>12.5</v>
      </c>
      <c r="H2720" s="14" t="n">
        <v>12.09</v>
      </c>
      <c r="I2720" s="14" t="n">
        <v>12.5</v>
      </c>
      <c r="J2720" s="22" t="n">
        <f aca="false">IF(E2720="Priority",'Cost model'!N201,'Cost model'!M201)</f>
        <v>12.5</v>
      </c>
      <c r="K2720" s="14" t="n">
        <f aca="false">J2720-H2720</f>
        <v>0.41</v>
      </c>
      <c r="L2720" s="14" t="n">
        <f aca="false">G2720-H2720</f>
        <v>0.41</v>
      </c>
    </row>
    <row r="2721" customFormat="false" ht="15" hidden="false" customHeight="false" outlineLevel="0" collapsed="false">
      <c r="A2721" s="2" t="s">
        <v>184</v>
      </c>
      <c r="B2721" s="2" t="s">
        <v>184</v>
      </c>
      <c r="C2721" s="2" t="s">
        <v>50</v>
      </c>
      <c r="D2721" s="2" t="s">
        <v>12</v>
      </c>
      <c r="E2721" s="2" t="s">
        <v>85</v>
      </c>
      <c r="F2721" s="2" t="s">
        <v>1145</v>
      </c>
      <c r="G2721" s="14" t="n">
        <v>29.5</v>
      </c>
      <c r="H2721" s="14" t="n">
        <v>69.61</v>
      </c>
      <c r="I2721" s="14" t="n">
        <v>29.5</v>
      </c>
      <c r="J2721" s="22" t="n">
        <f aca="false">IF(E2721="Priority",'Cost model'!N205,'Cost model'!M205)</f>
        <v>65</v>
      </c>
      <c r="K2721" s="14" t="n">
        <f aca="false">J2721-H2721</f>
        <v>-4.61</v>
      </c>
      <c r="L2721" s="14" t="n">
        <f aca="false">G2721-H2721</f>
        <v>-40.11</v>
      </c>
    </row>
    <row r="2722" customFormat="false" ht="15" hidden="false" customHeight="false" outlineLevel="0" collapsed="false">
      <c r="A2722" s="2" t="s">
        <v>184</v>
      </c>
      <c r="B2722" s="2" t="s">
        <v>146</v>
      </c>
      <c r="C2722" s="2" t="s">
        <v>48</v>
      </c>
      <c r="D2722" s="2" t="s">
        <v>12</v>
      </c>
      <c r="E2722" s="2" t="s">
        <v>76</v>
      </c>
      <c r="F2722" s="2" t="s">
        <v>1146</v>
      </c>
      <c r="G2722" s="14" t="n">
        <v>9.5</v>
      </c>
      <c r="H2722" s="14" t="n">
        <v>13.82</v>
      </c>
      <c r="I2722" s="14" t="n">
        <v>9.5</v>
      </c>
      <c r="J2722" s="22" t="n">
        <f aca="false">IF(E2722="Priority",'Cost model'!N149,'Cost model'!M149)</f>
        <v>45</v>
      </c>
      <c r="K2722" s="14" t="n">
        <f aca="false">J2722-H2722</f>
        <v>31.18</v>
      </c>
      <c r="L2722" s="14" t="n">
        <f aca="false">G2722-H2722</f>
        <v>-4.32</v>
      </c>
    </row>
    <row r="2723" customFormat="false" ht="15" hidden="false" customHeight="false" outlineLevel="0" collapsed="false">
      <c r="A2723" s="2" t="s">
        <v>126</v>
      </c>
      <c r="B2723" s="2" t="s">
        <v>126</v>
      </c>
      <c r="C2723" s="2" t="s">
        <v>49</v>
      </c>
      <c r="D2723" s="2" t="s">
        <v>12</v>
      </c>
      <c r="E2723" s="2" t="s">
        <v>76</v>
      </c>
      <c r="F2723" s="2" t="s">
        <v>1145</v>
      </c>
      <c r="G2723" s="14" t="n">
        <v>12.5</v>
      </c>
      <c r="H2723" s="14" t="n">
        <v>60.72</v>
      </c>
      <c r="I2723" s="14" t="n">
        <v>12.5</v>
      </c>
      <c r="J2723" s="22" t="n">
        <f aca="false">IF(E2723="Priority",'Cost model'!N384,'Cost model'!M384)</f>
        <v>45</v>
      </c>
      <c r="K2723" s="14" t="n">
        <f aca="false">J2723-H2723</f>
        <v>-15.72</v>
      </c>
      <c r="L2723" s="14" t="n">
        <f aca="false">G2723-H2723</f>
        <v>-48.22</v>
      </c>
    </row>
    <row r="2724" customFormat="false" ht="15" hidden="false" customHeight="false" outlineLevel="0" collapsed="false">
      <c r="A2724" s="2" t="s">
        <v>184</v>
      </c>
      <c r="B2724" s="2" t="s">
        <v>184</v>
      </c>
      <c r="C2724" s="2" t="s">
        <v>49</v>
      </c>
      <c r="D2724" s="2" t="s">
        <v>12</v>
      </c>
      <c r="E2724" s="2" t="s">
        <v>76</v>
      </c>
      <c r="F2724" s="2" t="s">
        <v>1145</v>
      </c>
      <c r="G2724" s="14" t="n">
        <v>12.5</v>
      </c>
      <c r="H2724" s="14" t="n">
        <v>45.54</v>
      </c>
      <c r="I2724" s="14"/>
      <c r="J2724" s="22" t="n">
        <f aca="false">IF(E2724="Priority",'Cost model'!N204,'Cost model'!M204)</f>
        <v>45</v>
      </c>
      <c r="K2724" s="14" t="n">
        <f aca="false">J2724-H2724</f>
        <v>-0.539999999999999</v>
      </c>
      <c r="L2724" s="14" t="n">
        <f aca="false">G2724-H2724</f>
        <v>-33.04</v>
      </c>
    </row>
    <row r="2725" customFormat="false" ht="15" hidden="false" customHeight="false" outlineLevel="0" collapsed="false">
      <c r="A2725" s="2" t="s">
        <v>240</v>
      </c>
      <c r="B2725" s="2" t="s">
        <v>146</v>
      </c>
      <c r="C2725" s="2" t="s">
        <v>48</v>
      </c>
      <c r="D2725" s="2" t="s">
        <v>10</v>
      </c>
      <c r="E2725" s="2" t="s">
        <v>76</v>
      </c>
      <c r="F2725" s="2" t="s">
        <v>1146</v>
      </c>
      <c r="G2725" s="14" t="n">
        <v>14.5</v>
      </c>
      <c r="H2725" s="14" t="n">
        <v>17.41</v>
      </c>
      <c r="I2725" s="14" t="n">
        <v>19.5</v>
      </c>
      <c r="J2725" s="22" t="n">
        <f aca="false">IF(E2725="Priority",'Cost model'!N920,'Cost model'!M920)</f>
        <v>16.5</v>
      </c>
      <c r="K2725" s="14" t="n">
        <f aca="false">J2725-H2725</f>
        <v>-0.91</v>
      </c>
      <c r="L2725" s="14" t="n">
        <f aca="false">G2725-H2725</f>
        <v>-2.91</v>
      </c>
    </row>
    <row r="2726" customFormat="false" ht="15" hidden="false" customHeight="false" outlineLevel="0" collapsed="false">
      <c r="A2726" s="2" t="s">
        <v>184</v>
      </c>
      <c r="B2726" s="2" t="s">
        <v>184</v>
      </c>
      <c r="C2726" s="2" t="s">
        <v>48</v>
      </c>
      <c r="D2726" s="2" t="s">
        <v>12</v>
      </c>
      <c r="E2726" s="2" t="s">
        <v>76</v>
      </c>
      <c r="F2726" s="2" t="s">
        <v>1145</v>
      </c>
      <c r="G2726" s="14" t="n">
        <v>9.5</v>
      </c>
      <c r="H2726" s="14" t="n">
        <v>6.24</v>
      </c>
      <c r="I2726" s="14" t="n">
        <v>9.5</v>
      </c>
      <c r="J2726" s="22" t="n">
        <f aca="false">IF(E2726="Priority",'Cost model'!N203,'Cost model'!M203)</f>
        <v>26.5</v>
      </c>
      <c r="K2726" s="14" t="n">
        <f aca="false">J2726-H2726</f>
        <v>20.26</v>
      </c>
      <c r="L2726" s="14" t="n">
        <f aca="false">G2726-H2726</f>
        <v>3.26</v>
      </c>
    </row>
    <row r="2727" customFormat="false" ht="15" hidden="false" customHeight="false" outlineLevel="0" collapsed="false">
      <c r="A2727" s="2" t="s">
        <v>146</v>
      </c>
      <c r="B2727" s="2" t="s">
        <v>146</v>
      </c>
      <c r="C2727" s="2" t="s">
        <v>49</v>
      </c>
      <c r="D2727" s="2" t="s">
        <v>14</v>
      </c>
      <c r="E2727" s="2" t="s">
        <v>76</v>
      </c>
      <c r="F2727" s="2" t="s">
        <v>1145</v>
      </c>
      <c r="G2727" s="14" t="n">
        <v>45</v>
      </c>
      <c r="H2727" s="14" t="n">
        <v>67.91</v>
      </c>
      <c r="I2727" s="14" t="n">
        <v>45</v>
      </c>
      <c r="J2727" s="22" t="n">
        <f aca="false">IF(E2727="Priority",'Cost model'!N768,'Cost model'!M768)</f>
        <v>145</v>
      </c>
      <c r="K2727" s="14" t="n">
        <f aca="false">J2727-H2727</f>
        <v>77.09</v>
      </c>
      <c r="L2727" s="14" t="n">
        <f aca="false">G2727-H2727</f>
        <v>-22.91</v>
      </c>
    </row>
    <row r="2728" customFormat="false" ht="15" hidden="false" customHeight="false" outlineLevel="0" collapsed="false">
      <c r="A2728" s="2" t="s">
        <v>126</v>
      </c>
      <c r="B2728" s="2" t="s">
        <v>126</v>
      </c>
      <c r="C2728" s="2" t="s">
        <v>50</v>
      </c>
      <c r="D2728" s="2" t="s">
        <v>12</v>
      </c>
      <c r="E2728" s="2" t="s">
        <v>85</v>
      </c>
      <c r="F2728" s="2" t="s">
        <v>1145</v>
      </c>
      <c r="G2728" s="14" t="n">
        <v>29.5</v>
      </c>
      <c r="H2728" s="14" t="n">
        <v>62.36</v>
      </c>
      <c r="I2728" s="14" t="n">
        <v>29.5</v>
      </c>
      <c r="J2728" s="22" t="n">
        <f aca="false">IF(E2728="Priority",'Cost model'!N385,'Cost model'!M385)</f>
        <v>70</v>
      </c>
      <c r="K2728" s="14" t="n">
        <f aca="false">J2728-H2728</f>
        <v>7.64</v>
      </c>
      <c r="L2728" s="14" t="n">
        <f aca="false">G2728-H2728</f>
        <v>-32.86</v>
      </c>
    </row>
    <row r="2729" customFormat="false" ht="15" hidden="false" customHeight="false" outlineLevel="0" collapsed="false">
      <c r="A2729" s="2" t="s">
        <v>126</v>
      </c>
      <c r="B2729" s="2" t="s">
        <v>126</v>
      </c>
      <c r="C2729" s="2" t="s">
        <v>49</v>
      </c>
      <c r="D2729" s="2" t="s">
        <v>12</v>
      </c>
      <c r="E2729" s="2" t="s">
        <v>76</v>
      </c>
      <c r="F2729" s="2" t="s">
        <v>1145</v>
      </c>
      <c r="G2729" s="14" t="n">
        <v>24.5</v>
      </c>
      <c r="H2729" s="14" t="n">
        <v>23.58</v>
      </c>
      <c r="I2729" s="14" t="n">
        <v>12.5</v>
      </c>
      <c r="J2729" s="22" t="n">
        <f aca="false">IF(E2729="Priority",'Cost model'!N384,'Cost model'!M384)</f>
        <v>45</v>
      </c>
      <c r="K2729" s="14" t="n">
        <f aca="false">J2729-H2729</f>
        <v>21.42</v>
      </c>
      <c r="L2729" s="14" t="n">
        <f aca="false">G2729-H2729</f>
        <v>0.920000000000002</v>
      </c>
    </row>
    <row r="2730" customFormat="false" ht="15" hidden="false" customHeight="false" outlineLevel="0" collapsed="false">
      <c r="A2730" s="2" t="s">
        <v>165</v>
      </c>
      <c r="B2730" s="2" t="s">
        <v>165</v>
      </c>
      <c r="C2730" s="2" t="s">
        <v>48</v>
      </c>
      <c r="D2730" s="2" t="s">
        <v>10</v>
      </c>
      <c r="E2730" s="2" t="s">
        <v>76</v>
      </c>
      <c r="F2730" s="2" t="s">
        <v>1145</v>
      </c>
      <c r="G2730" s="14" t="n">
        <v>9.5</v>
      </c>
      <c r="H2730" s="14" t="n">
        <v>7.71</v>
      </c>
      <c r="I2730" s="14" t="n">
        <v>9.5</v>
      </c>
      <c r="J2730" s="22" t="n">
        <f aca="false">IF(E2730="Priority",'Cost model'!N506,'Cost model'!M506)</f>
        <v>7.5</v>
      </c>
      <c r="K2730" s="14" t="n">
        <f aca="false">J2730-H2730</f>
        <v>-0.21</v>
      </c>
      <c r="L2730" s="14" t="n">
        <f aca="false">G2730-H2730</f>
        <v>1.79</v>
      </c>
    </row>
    <row r="2731" customFormat="false" ht="15" hidden="false" customHeight="false" outlineLevel="0" collapsed="false">
      <c r="A2731" s="2" t="s">
        <v>146</v>
      </c>
      <c r="B2731" s="2" t="s">
        <v>146</v>
      </c>
      <c r="C2731" s="2" t="s">
        <v>49</v>
      </c>
      <c r="D2731" s="2" t="s">
        <v>12</v>
      </c>
      <c r="E2731" s="2" t="s">
        <v>76</v>
      </c>
      <c r="F2731" s="2" t="s">
        <v>1145</v>
      </c>
      <c r="G2731" s="14" t="n">
        <v>24.5</v>
      </c>
      <c r="H2731" s="14" t="n">
        <v>25.65</v>
      </c>
      <c r="I2731" s="14" t="n">
        <v>12.5</v>
      </c>
      <c r="J2731" s="22" t="n">
        <f aca="false">IF(E2731="Priority",'Cost model'!N762,'Cost model'!M762)</f>
        <v>45</v>
      </c>
      <c r="K2731" s="14" t="n">
        <f aca="false">J2731-H2731</f>
        <v>19.35</v>
      </c>
      <c r="L2731" s="14" t="n">
        <f aca="false">G2731-H2731</f>
        <v>-1.15</v>
      </c>
    </row>
    <row r="2732" customFormat="false" ht="15" hidden="false" customHeight="false" outlineLevel="0" collapsed="false">
      <c r="A2732" s="2" t="s">
        <v>221</v>
      </c>
      <c r="B2732" s="2" t="s">
        <v>221</v>
      </c>
      <c r="C2732" s="2" t="s">
        <v>49</v>
      </c>
      <c r="D2732" s="2" t="s">
        <v>10</v>
      </c>
      <c r="E2732" s="2" t="s">
        <v>76</v>
      </c>
      <c r="F2732" s="2" t="s">
        <v>1145</v>
      </c>
      <c r="G2732" s="14" t="n">
        <v>19.5</v>
      </c>
      <c r="H2732" s="14" t="n">
        <v>11.22</v>
      </c>
      <c r="I2732" s="14" t="n">
        <v>12.5</v>
      </c>
      <c r="J2732" s="22" t="n">
        <f aca="false">IF(E2732="Priority",'Cost model'!N633,'Cost model'!M633)</f>
        <v>13.5</v>
      </c>
      <c r="K2732" s="14" t="n">
        <f aca="false">J2732-H2732</f>
        <v>2.28</v>
      </c>
      <c r="L2732" s="14" t="n">
        <f aca="false">G2732-H2732</f>
        <v>8.28</v>
      </c>
    </row>
    <row r="2733" customFormat="false" ht="15" hidden="false" customHeight="false" outlineLevel="0" collapsed="false">
      <c r="A2733" s="2" t="s">
        <v>184</v>
      </c>
      <c r="B2733" s="2" t="s">
        <v>126</v>
      </c>
      <c r="C2733" s="2" t="s">
        <v>49</v>
      </c>
      <c r="D2733" s="2" t="s">
        <v>16</v>
      </c>
      <c r="E2733" s="2" t="s">
        <v>76</v>
      </c>
      <c r="F2733" s="2" t="s">
        <v>1146</v>
      </c>
      <c r="G2733" s="14" t="n">
        <v>85</v>
      </c>
      <c r="H2733" s="14" t="n">
        <v>270.85</v>
      </c>
      <c r="I2733" s="14"/>
      <c r="J2733" s="22" t="n">
        <f aca="false">IF(E2733="Priority",'Cost model'!N144,'Cost model'!M144)</f>
        <v>330</v>
      </c>
      <c r="K2733" s="14" t="n">
        <f aca="false">J2733-H2733</f>
        <v>59.15</v>
      </c>
      <c r="L2733" s="14" t="n">
        <f aca="false">G2733-H2733</f>
        <v>-185.85</v>
      </c>
    </row>
    <row r="2734" customFormat="false" ht="15" hidden="false" customHeight="false" outlineLevel="0" collapsed="false">
      <c r="A2734" s="2" t="s">
        <v>184</v>
      </c>
      <c r="B2734" s="2" t="s">
        <v>126</v>
      </c>
      <c r="C2734" s="2" t="s">
        <v>49</v>
      </c>
      <c r="D2734" s="2" t="s">
        <v>13</v>
      </c>
      <c r="E2734" s="2" t="s">
        <v>76</v>
      </c>
      <c r="F2734" s="2" t="s">
        <v>1146</v>
      </c>
      <c r="G2734" s="14" t="n">
        <v>24.5</v>
      </c>
      <c r="H2734" s="14" t="n">
        <v>88.53</v>
      </c>
      <c r="I2734" s="14"/>
      <c r="J2734" s="22" t="n">
        <f aca="false">IF(E2734="Priority",'Cost model'!N135,'Cost model'!M135)</f>
        <v>80</v>
      </c>
      <c r="K2734" s="14" t="n">
        <f aca="false">J2734-H2734</f>
        <v>-8.53</v>
      </c>
      <c r="L2734" s="14" t="n">
        <f aca="false">G2734-H2734</f>
        <v>-64.03</v>
      </c>
    </row>
    <row r="2735" customFormat="false" ht="15" hidden="false" customHeight="false" outlineLevel="0" collapsed="false">
      <c r="A2735" s="2" t="s">
        <v>184</v>
      </c>
      <c r="B2735" s="2" t="s">
        <v>146</v>
      </c>
      <c r="C2735" s="2" t="s">
        <v>48</v>
      </c>
      <c r="D2735" s="2" t="s">
        <v>12</v>
      </c>
      <c r="E2735" s="2" t="s">
        <v>76</v>
      </c>
      <c r="F2735" s="2" t="s">
        <v>1146</v>
      </c>
      <c r="G2735" s="14" t="n">
        <v>9.5</v>
      </c>
      <c r="H2735" s="14" t="n">
        <v>140.07</v>
      </c>
      <c r="I2735" s="14" t="n">
        <v>9.5</v>
      </c>
      <c r="J2735" s="22" t="n">
        <f aca="false">IF(E2735="Priority",'Cost model'!N149,'Cost model'!M149)</f>
        <v>45</v>
      </c>
      <c r="K2735" s="14" t="n">
        <f aca="false">J2735-H2735</f>
        <v>-95.07</v>
      </c>
      <c r="L2735" s="14" t="n">
        <f aca="false">G2735-H2735</f>
        <v>-130.57</v>
      </c>
    </row>
    <row r="2736" customFormat="false" ht="15" hidden="false" customHeight="false" outlineLevel="0" collapsed="false">
      <c r="A2736" s="2" t="s">
        <v>126</v>
      </c>
      <c r="B2736" s="2" t="s">
        <v>126</v>
      </c>
      <c r="C2736" s="2" t="s">
        <v>49</v>
      </c>
      <c r="D2736" s="2" t="s">
        <v>10</v>
      </c>
      <c r="E2736" s="2" t="s">
        <v>76</v>
      </c>
      <c r="F2736" s="2" t="s">
        <v>1145</v>
      </c>
      <c r="G2736" s="14" t="n">
        <v>12.5</v>
      </c>
      <c r="H2736" s="14" t="n">
        <v>26.17</v>
      </c>
      <c r="I2736" s="14" t="n">
        <v>12.5</v>
      </c>
      <c r="J2736" s="22" t="n">
        <f aca="false">IF(E2736="Priority",'Cost model'!N381,'Cost model'!M381)</f>
        <v>14.5</v>
      </c>
      <c r="K2736" s="14" t="n">
        <f aca="false">J2736-H2736</f>
        <v>-11.67</v>
      </c>
      <c r="L2736" s="14" t="n">
        <f aca="false">G2736-H2736</f>
        <v>-13.67</v>
      </c>
    </row>
    <row r="2737" customFormat="false" ht="15" hidden="false" customHeight="false" outlineLevel="0" collapsed="false">
      <c r="A2737" s="2" t="s">
        <v>184</v>
      </c>
      <c r="B2737" s="2" t="s">
        <v>184</v>
      </c>
      <c r="C2737" s="2" t="s">
        <v>48</v>
      </c>
      <c r="D2737" s="2" t="s">
        <v>12</v>
      </c>
      <c r="E2737" s="2" t="s">
        <v>76</v>
      </c>
      <c r="F2737" s="2" t="s">
        <v>1145</v>
      </c>
      <c r="G2737" s="14" t="n">
        <v>9.5</v>
      </c>
      <c r="H2737" s="14" t="n">
        <v>30.17</v>
      </c>
      <c r="I2737" s="14" t="n">
        <v>9.5</v>
      </c>
      <c r="J2737" s="22" t="n">
        <f aca="false">IF(E2737="Priority",'Cost model'!N203,'Cost model'!M203)</f>
        <v>26.5</v>
      </c>
      <c r="K2737" s="14" t="n">
        <f aca="false">J2737-H2737</f>
        <v>-3.67</v>
      </c>
      <c r="L2737" s="14" t="n">
        <f aca="false">G2737-H2737</f>
        <v>-20.67</v>
      </c>
    </row>
    <row r="2738" customFormat="false" ht="15" hidden="false" customHeight="false" outlineLevel="0" collapsed="false">
      <c r="A2738" s="2" t="s">
        <v>184</v>
      </c>
      <c r="B2738" s="2" t="s">
        <v>146</v>
      </c>
      <c r="C2738" s="2" t="s">
        <v>50</v>
      </c>
      <c r="D2738" s="2" t="s">
        <v>10</v>
      </c>
      <c r="E2738" s="2" t="s">
        <v>76</v>
      </c>
      <c r="F2738" s="2" t="s">
        <v>1146</v>
      </c>
      <c r="G2738" s="14" t="n">
        <v>17.5</v>
      </c>
      <c r="H2738" s="14" t="n">
        <v>11.03</v>
      </c>
      <c r="I2738" s="14" t="n">
        <v>17.5</v>
      </c>
      <c r="J2738" s="22" t="n">
        <f aca="false">IF(E2738="Priority",'Cost model'!N148,'Cost model'!M148)</f>
        <v>21.5</v>
      </c>
      <c r="K2738" s="14" t="n">
        <f aca="false">J2738-H2738</f>
        <v>10.47</v>
      </c>
      <c r="L2738" s="14" t="n">
        <f aca="false">G2738-H2738</f>
        <v>6.47</v>
      </c>
    </row>
    <row r="2739" customFormat="false" ht="15" hidden="false" customHeight="false" outlineLevel="0" collapsed="false">
      <c r="A2739" s="2" t="s">
        <v>184</v>
      </c>
      <c r="B2739" s="2" t="s">
        <v>146</v>
      </c>
      <c r="C2739" s="2" t="s">
        <v>49</v>
      </c>
      <c r="D2739" s="2" t="s">
        <v>10</v>
      </c>
      <c r="E2739" s="2" t="s">
        <v>76</v>
      </c>
      <c r="F2739" s="2" t="s">
        <v>1146</v>
      </c>
      <c r="G2739" s="14" t="n">
        <v>12.5</v>
      </c>
      <c r="H2739" s="14" t="n">
        <v>9.71</v>
      </c>
      <c r="I2739" s="14"/>
      <c r="J2739" s="22" t="n">
        <f aca="false">IF(E2739="Priority",'Cost model'!N147,'Cost model'!M147)</f>
        <v>14.5</v>
      </c>
      <c r="K2739" s="14" t="n">
        <f aca="false">J2739-H2739</f>
        <v>4.79</v>
      </c>
      <c r="L2739" s="14" t="n">
        <f aca="false">G2739-H2739</f>
        <v>2.79</v>
      </c>
    </row>
    <row r="2740" customFormat="false" ht="15" hidden="false" customHeight="false" outlineLevel="0" collapsed="false">
      <c r="A2740" s="2" t="s">
        <v>126</v>
      </c>
      <c r="B2740" s="2" t="s">
        <v>126</v>
      </c>
      <c r="C2740" s="2" t="s">
        <v>49</v>
      </c>
      <c r="D2740" s="2" t="s">
        <v>12</v>
      </c>
      <c r="E2740" s="2" t="s">
        <v>85</v>
      </c>
      <c r="F2740" s="2" t="s">
        <v>1145</v>
      </c>
      <c r="G2740" s="14" t="n">
        <v>19.5</v>
      </c>
      <c r="H2740" s="14" t="n">
        <v>79.58</v>
      </c>
      <c r="I2740" s="14" t="n">
        <v>19.5</v>
      </c>
      <c r="J2740" s="22" t="n">
        <f aca="false">IF(E2740="Priority",'Cost model'!N384,'Cost model'!M384)</f>
        <v>60</v>
      </c>
      <c r="K2740" s="14" t="n">
        <f aca="false">J2740-H2740</f>
        <v>-19.58</v>
      </c>
      <c r="L2740" s="14" t="n">
        <f aca="false">G2740-H2740</f>
        <v>-60.08</v>
      </c>
    </row>
    <row r="2741" customFormat="false" ht="15" hidden="false" customHeight="false" outlineLevel="0" collapsed="false">
      <c r="A2741" s="2" t="s">
        <v>126</v>
      </c>
      <c r="B2741" s="2" t="s">
        <v>126</v>
      </c>
      <c r="C2741" s="2" t="s">
        <v>49</v>
      </c>
      <c r="D2741" s="2" t="s">
        <v>12</v>
      </c>
      <c r="E2741" s="2" t="s">
        <v>76</v>
      </c>
      <c r="F2741" s="2" t="s">
        <v>1145</v>
      </c>
      <c r="G2741" s="14" t="n">
        <v>12.5</v>
      </c>
      <c r="H2741" s="14" t="n">
        <v>56.53</v>
      </c>
      <c r="I2741" s="14" t="n">
        <v>12.5</v>
      </c>
      <c r="J2741" s="22" t="n">
        <f aca="false">IF(E2741="Priority",'Cost model'!N384,'Cost model'!M384)</f>
        <v>45</v>
      </c>
      <c r="K2741" s="14" t="n">
        <f aca="false">J2741-H2741</f>
        <v>-11.53</v>
      </c>
      <c r="L2741" s="14" t="n">
        <f aca="false">G2741-H2741</f>
        <v>-44.03</v>
      </c>
    </row>
    <row r="2742" customFormat="false" ht="15" hidden="false" customHeight="false" outlineLevel="0" collapsed="false">
      <c r="A2742" s="2" t="s">
        <v>221</v>
      </c>
      <c r="B2742" s="2" t="s">
        <v>221</v>
      </c>
      <c r="C2742" s="2" t="s">
        <v>49</v>
      </c>
      <c r="D2742" s="2" t="s">
        <v>10</v>
      </c>
      <c r="E2742" s="2" t="s">
        <v>85</v>
      </c>
      <c r="F2742" s="2" t="s">
        <v>1145</v>
      </c>
      <c r="G2742" s="14" t="n">
        <v>17.5</v>
      </c>
      <c r="H2742" s="14" t="n">
        <v>16.38</v>
      </c>
      <c r="I2742" s="14" t="n">
        <v>17.5</v>
      </c>
      <c r="J2742" s="22" t="n">
        <f aca="false">IF(E2742="Priority",'Cost model'!N633,'Cost model'!M633)</f>
        <v>18.5</v>
      </c>
      <c r="K2742" s="14" t="n">
        <f aca="false">J2742-H2742</f>
        <v>2.12</v>
      </c>
      <c r="L2742" s="14" t="n">
        <f aca="false">G2742-H2742</f>
        <v>1.12</v>
      </c>
    </row>
    <row r="2743" customFormat="false" ht="15" hidden="false" customHeight="false" outlineLevel="0" collapsed="false">
      <c r="A2743" s="2" t="s">
        <v>184</v>
      </c>
      <c r="B2743" s="2" t="s">
        <v>165</v>
      </c>
      <c r="C2743" s="2" t="s">
        <v>49</v>
      </c>
      <c r="D2743" s="2" t="s">
        <v>10</v>
      </c>
      <c r="E2743" s="2" t="s">
        <v>76</v>
      </c>
      <c r="F2743" s="2" t="s">
        <v>1146</v>
      </c>
      <c r="G2743" s="14" t="n">
        <v>12.5</v>
      </c>
      <c r="H2743" s="14" t="n">
        <v>11.22</v>
      </c>
      <c r="I2743" s="14"/>
      <c r="J2743" s="22" t="n">
        <f aca="false">IF(E2743="Priority",'Cost model'!N165,'Cost model'!M165)</f>
        <v>15.5</v>
      </c>
      <c r="K2743" s="14" t="n">
        <f aca="false">J2743-H2743</f>
        <v>4.28</v>
      </c>
      <c r="L2743" s="14" t="n">
        <f aca="false">G2743-H2743</f>
        <v>1.28</v>
      </c>
    </row>
    <row r="2744" customFormat="false" ht="15" hidden="false" customHeight="false" outlineLevel="0" collapsed="false">
      <c r="A2744" s="2" t="s">
        <v>240</v>
      </c>
      <c r="B2744" s="2" t="s">
        <v>240</v>
      </c>
      <c r="C2744" s="2" t="s">
        <v>48</v>
      </c>
      <c r="D2744" s="2" t="s">
        <v>12</v>
      </c>
      <c r="E2744" s="2" t="s">
        <v>76</v>
      </c>
      <c r="F2744" s="2" t="s">
        <v>1145</v>
      </c>
      <c r="G2744" s="14" t="n">
        <v>9.5</v>
      </c>
      <c r="H2744" s="14" t="n">
        <v>16.64</v>
      </c>
      <c r="I2744" s="14" t="n">
        <v>9.5</v>
      </c>
      <c r="J2744" s="22" t="n">
        <f aca="false">IF(E2744="Priority",'Cost model'!N887,'Cost model'!M887)</f>
        <v>21.5</v>
      </c>
      <c r="K2744" s="14" t="n">
        <f aca="false">J2744-H2744</f>
        <v>4.86</v>
      </c>
      <c r="L2744" s="14" t="n">
        <f aca="false">G2744-H2744</f>
        <v>-7.14</v>
      </c>
    </row>
    <row r="2745" customFormat="false" ht="15" hidden="false" customHeight="false" outlineLevel="0" collapsed="false">
      <c r="A2745" s="2" t="s">
        <v>126</v>
      </c>
      <c r="B2745" s="2" t="s">
        <v>126</v>
      </c>
      <c r="C2745" s="2" t="s">
        <v>50</v>
      </c>
      <c r="D2745" s="2" t="s">
        <v>12</v>
      </c>
      <c r="E2745" s="2" t="s">
        <v>76</v>
      </c>
      <c r="F2745" s="2" t="s">
        <v>1145</v>
      </c>
      <c r="G2745" s="14" t="n">
        <v>19.5</v>
      </c>
      <c r="H2745" s="14" t="n">
        <v>45.35</v>
      </c>
      <c r="I2745" s="14" t="n">
        <v>19.5</v>
      </c>
      <c r="J2745" s="22" t="n">
        <f aca="false">IF(E2745="Priority",'Cost model'!N385,'Cost model'!M385)</f>
        <v>55</v>
      </c>
      <c r="K2745" s="14" t="n">
        <f aca="false">J2745-H2745</f>
        <v>9.65</v>
      </c>
      <c r="L2745" s="14" t="n">
        <f aca="false">G2745-H2745</f>
        <v>-25.85</v>
      </c>
    </row>
    <row r="2746" customFormat="false" ht="15" hidden="false" customHeight="false" outlineLevel="0" collapsed="false">
      <c r="A2746" s="2" t="s">
        <v>146</v>
      </c>
      <c r="B2746" s="2" t="s">
        <v>146</v>
      </c>
      <c r="C2746" s="2" t="s">
        <v>48</v>
      </c>
      <c r="D2746" s="2" t="s">
        <v>12</v>
      </c>
      <c r="E2746" s="2" t="s">
        <v>76</v>
      </c>
      <c r="F2746" s="2" t="s">
        <v>1145</v>
      </c>
      <c r="G2746" s="14" t="n">
        <v>9.5</v>
      </c>
      <c r="H2746" s="14" t="n">
        <v>59.11</v>
      </c>
      <c r="I2746" s="14" t="n">
        <v>9.5</v>
      </c>
      <c r="J2746" s="22" t="n">
        <f aca="false">IF(E2746="Priority",'Cost model'!N761,'Cost model'!M761)</f>
        <v>35</v>
      </c>
      <c r="K2746" s="14" t="n">
        <f aca="false">J2746-H2746</f>
        <v>-24.11</v>
      </c>
      <c r="L2746" s="14" t="n">
        <f aca="false">G2746-H2746</f>
        <v>-49.61</v>
      </c>
    </row>
    <row r="2747" customFormat="false" ht="15" hidden="false" customHeight="false" outlineLevel="0" collapsed="false">
      <c r="A2747" s="2" t="s">
        <v>146</v>
      </c>
      <c r="B2747" s="2" t="s">
        <v>146</v>
      </c>
      <c r="C2747" s="2" t="s">
        <v>48</v>
      </c>
      <c r="D2747" s="2" t="s">
        <v>12</v>
      </c>
      <c r="E2747" s="2" t="s">
        <v>76</v>
      </c>
      <c r="F2747" s="2" t="s">
        <v>1145</v>
      </c>
      <c r="G2747" s="14" t="n">
        <v>9.5</v>
      </c>
      <c r="H2747" s="14" t="n">
        <v>42.61</v>
      </c>
      <c r="I2747" s="14" t="n">
        <v>9.5</v>
      </c>
      <c r="J2747" s="22" t="n">
        <f aca="false">IF(E2747="Priority",'Cost model'!N761,'Cost model'!M761)</f>
        <v>35</v>
      </c>
      <c r="K2747" s="14" t="n">
        <f aca="false">J2747-H2747</f>
        <v>-7.61</v>
      </c>
      <c r="L2747" s="14" t="n">
        <f aca="false">G2747-H2747</f>
        <v>-33.11</v>
      </c>
    </row>
    <row r="2748" customFormat="false" ht="15" hidden="false" customHeight="false" outlineLevel="0" collapsed="false">
      <c r="A2748" s="2" t="s">
        <v>184</v>
      </c>
      <c r="B2748" s="2" t="s">
        <v>184</v>
      </c>
      <c r="C2748" s="2" t="s">
        <v>48</v>
      </c>
      <c r="D2748" s="2" t="s">
        <v>14</v>
      </c>
      <c r="E2748" s="2" t="s">
        <v>76</v>
      </c>
      <c r="F2748" s="2" t="s">
        <v>1145</v>
      </c>
      <c r="G2748" s="14" t="n">
        <v>25</v>
      </c>
      <c r="H2748" s="14" t="n">
        <v>78.51</v>
      </c>
      <c r="I2748" s="14" t="n">
        <v>25</v>
      </c>
      <c r="J2748" s="22" t="n">
        <f aca="false">IF(E2748="Priority",'Cost model'!N209,'Cost model'!M209)</f>
        <v>105</v>
      </c>
      <c r="K2748" s="14" t="n">
        <f aca="false">J2748-H2748</f>
        <v>26.49</v>
      </c>
      <c r="L2748" s="14" t="n">
        <f aca="false">G2748-H2748</f>
        <v>-53.51</v>
      </c>
    </row>
    <row r="2749" customFormat="false" ht="15" hidden="false" customHeight="false" outlineLevel="0" collapsed="false">
      <c r="A2749" s="2" t="s">
        <v>385</v>
      </c>
      <c r="B2749" s="2" t="s">
        <v>165</v>
      </c>
      <c r="C2749" s="2" t="s">
        <v>50</v>
      </c>
      <c r="D2749" s="2" t="s">
        <v>12</v>
      </c>
      <c r="E2749" s="2" t="s">
        <v>76</v>
      </c>
      <c r="F2749" s="2" t="s">
        <v>1146</v>
      </c>
      <c r="G2749" s="14" t="n">
        <v>24.5</v>
      </c>
      <c r="H2749" s="14" t="n">
        <v>24.17</v>
      </c>
      <c r="I2749" s="14" t="n">
        <v>24.5</v>
      </c>
      <c r="J2749" s="22" t="n">
        <f aca="false">IF(E2749="Priority",'Cost model'!N259,'Cost model'!M259)</f>
        <v>75</v>
      </c>
      <c r="K2749" s="14" t="n">
        <f aca="false">J2749-H2749</f>
        <v>50.83</v>
      </c>
      <c r="L2749" s="14" t="n">
        <f aca="false">G2749-H2749</f>
        <v>0.329999999999998</v>
      </c>
    </row>
    <row r="2750" customFormat="false" ht="15" hidden="false" customHeight="false" outlineLevel="0" collapsed="false">
      <c r="A2750" s="2" t="s">
        <v>126</v>
      </c>
      <c r="B2750" s="2" t="s">
        <v>126</v>
      </c>
      <c r="C2750" s="2" t="s">
        <v>48</v>
      </c>
      <c r="D2750" s="2" t="s">
        <v>10</v>
      </c>
      <c r="E2750" s="2" t="s">
        <v>76</v>
      </c>
      <c r="F2750" s="2" t="s">
        <v>1145</v>
      </c>
      <c r="G2750" s="14" t="n">
        <v>19.5</v>
      </c>
      <c r="H2750" s="14" t="n">
        <v>23.58</v>
      </c>
      <c r="I2750" s="14" t="n">
        <v>9.5</v>
      </c>
      <c r="J2750" s="22" t="n">
        <f aca="false">IF(E2750="Priority",'Cost model'!N380,'Cost model'!M380)</f>
        <v>8.5</v>
      </c>
      <c r="K2750" s="14" t="n">
        <f aca="false">J2750-H2750</f>
        <v>-15.08</v>
      </c>
      <c r="L2750" s="14" t="n">
        <f aca="false">G2750-H2750</f>
        <v>-4.08</v>
      </c>
    </row>
    <row r="2751" customFormat="false" ht="15" hidden="false" customHeight="false" outlineLevel="0" collapsed="false">
      <c r="A2751" s="2" t="s">
        <v>184</v>
      </c>
      <c r="B2751" s="2" t="s">
        <v>146</v>
      </c>
      <c r="C2751" s="2" t="s">
        <v>50</v>
      </c>
      <c r="D2751" s="2" t="s">
        <v>12</v>
      </c>
      <c r="E2751" s="2" t="s">
        <v>85</v>
      </c>
      <c r="F2751" s="2" t="s">
        <v>1146</v>
      </c>
      <c r="G2751" s="14" t="n">
        <v>29.5</v>
      </c>
      <c r="H2751" s="14" t="n">
        <v>70.71</v>
      </c>
      <c r="I2751" s="14" t="n">
        <v>29.5</v>
      </c>
      <c r="J2751" s="22" t="n">
        <f aca="false">IF(E2751="Priority",'Cost model'!N151,'Cost model'!M151)</f>
        <v>70</v>
      </c>
      <c r="K2751" s="14" t="n">
        <f aca="false">J2751-H2751</f>
        <v>-0.709999999999994</v>
      </c>
      <c r="L2751" s="14" t="n">
        <f aca="false">G2751-H2751</f>
        <v>-41.21</v>
      </c>
    </row>
    <row r="2752" customFormat="false" ht="15" hidden="false" customHeight="false" outlineLevel="0" collapsed="false">
      <c r="A2752" s="2" t="s">
        <v>126</v>
      </c>
      <c r="B2752" s="2" t="s">
        <v>126</v>
      </c>
      <c r="C2752" s="2" t="s">
        <v>49</v>
      </c>
      <c r="D2752" s="2" t="s">
        <v>10</v>
      </c>
      <c r="E2752" s="2" t="s">
        <v>76</v>
      </c>
      <c r="F2752" s="2" t="s">
        <v>1145</v>
      </c>
      <c r="G2752" s="14" t="n">
        <v>12.5</v>
      </c>
      <c r="H2752" s="14" t="n">
        <v>12.33</v>
      </c>
      <c r="I2752" s="14" t="n">
        <v>12.5</v>
      </c>
      <c r="J2752" s="22" t="n">
        <f aca="false">IF(E2752="Priority",'Cost model'!N381,'Cost model'!M381)</f>
        <v>14.5</v>
      </c>
      <c r="K2752" s="14" t="n">
        <f aca="false">J2752-H2752</f>
        <v>2.17</v>
      </c>
      <c r="L2752" s="14" t="n">
        <f aca="false">G2752-H2752</f>
        <v>0.17</v>
      </c>
    </row>
    <row r="2753" customFormat="false" ht="15" hidden="false" customHeight="false" outlineLevel="0" collapsed="false">
      <c r="A2753" s="2" t="s">
        <v>240</v>
      </c>
      <c r="B2753" s="2" t="s">
        <v>240</v>
      </c>
      <c r="C2753" s="2" t="s">
        <v>50</v>
      </c>
      <c r="D2753" s="2" t="s">
        <v>10</v>
      </c>
      <c r="E2753" s="2" t="s">
        <v>76</v>
      </c>
      <c r="F2753" s="2" t="s">
        <v>1145</v>
      </c>
      <c r="G2753" s="14" t="n">
        <v>17.5</v>
      </c>
      <c r="H2753" s="14" t="n">
        <v>17.31</v>
      </c>
      <c r="I2753" s="14" t="n">
        <v>17.5</v>
      </c>
      <c r="J2753" s="22" t="n">
        <f aca="false">IF(E2753="Priority",'Cost model'!N886,'Cost model'!M886)</f>
        <v>17.5</v>
      </c>
      <c r="K2753" s="14" t="n">
        <f aca="false">J2753-H2753</f>
        <v>0.190000000000001</v>
      </c>
      <c r="L2753" s="14" t="n">
        <f aca="false">G2753-H2753</f>
        <v>0.190000000000001</v>
      </c>
    </row>
    <row r="2754" customFormat="false" ht="15" hidden="false" customHeight="false" outlineLevel="0" collapsed="false">
      <c r="A2754" s="2" t="s">
        <v>184</v>
      </c>
      <c r="B2754" s="2" t="s">
        <v>184</v>
      </c>
      <c r="C2754" s="2" t="s">
        <v>50</v>
      </c>
      <c r="D2754" s="2" t="s">
        <v>10</v>
      </c>
      <c r="E2754" s="2" t="s">
        <v>76</v>
      </c>
      <c r="F2754" s="2" t="s">
        <v>1145</v>
      </c>
      <c r="G2754" s="14" t="n">
        <v>17.5</v>
      </c>
      <c r="H2754" s="14" t="n">
        <v>11.59</v>
      </c>
      <c r="I2754" s="14" t="n">
        <v>17.5</v>
      </c>
      <c r="J2754" s="22" t="n">
        <f aca="false">IF(E2754="Priority",'Cost model'!N202,'Cost model'!M202)</f>
        <v>17.5</v>
      </c>
      <c r="K2754" s="14" t="n">
        <f aca="false">J2754-H2754</f>
        <v>5.91</v>
      </c>
      <c r="L2754" s="14" t="n">
        <f aca="false">G2754-H2754</f>
        <v>5.91</v>
      </c>
    </row>
    <row r="2755" customFormat="false" ht="15" hidden="false" customHeight="false" outlineLevel="0" collapsed="false">
      <c r="A2755" s="2" t="s">
        <v>165</v>
      </c>
      <c r="B2755" s="2" t="s">
        <v>165</v>
      </c>
      <c r="C2755" s="2" t="s">
        <v>48</v>
      </c>
      <c r="D2755" s="2" t="s">
        <v>12</v>
      </c>
      <c r="E2755" s="2" t="s">
        <v>76</v>
      </c>
      <c r="F2755" s="2" t="s">
        <v>1145</v>
      </c>
      <c r="G2755" s="14" t="n">
        <v>9.5</v>
      </c>
      <c r="H2755" s="14" t="n">
        <v>11.51</v>
      </c>
      <c r="I2755" s="14" t="n">
        <v>9.5</v>
      </c>
      <c r="J2755" s="22" t="n">
        <f aca="false">IF(E2755="Priority",'Cost model'!N509,'Cost model'!M509)</f>
        <v>17.5</v>
      </c>
      <c r="K2755" s="14" t="n">
        <f aca="false">J2755-H2755</f>
        <v>5.99</v>
      </c>
      <c r="L2755" s="14" t="n">
        <f aca="false">G2755-H2755</f>
        <v>-2.01</v>
      </c>
    </row>
    <row r="2756" customFormat="false" ht="15" hidden="false" customHeight="false" outlineLevel="0" collapsed="false">
      <c r="A2756" s="2" t="s">
        <v>165</v>
      </c>
      <c r="B2756" s="2" t="s">
        <v>146</v>
      </c>
      <c r="C2756" s="2" t="s">
        <v>50</v>
      </c>
      <c r="D2756" s="2" t="s">
        <v>12</v>
      </c>
      <c r="E2756" s="2" t="s">
        <v>76</v>
      </c>
      <c r="F2756" s="2" t="s">
        <v>1146</v>
      </c>
      <c r="G2756" s="14" t="n">
        <v>19.5</v>
      </c>
      <c r="H2756" s="14" t="n">
        <v>57.33</v>
      </c>
      <c r="I2756" s="14" t="n">
        <v>19.5</v>
      </c>
      <c r="J2756" s="22" t="n">
        <f aca="false">IF(E2756="Priority",'Cost model'!N529,'Cost model'!M529)</f>
        <v>65</v>
      </c>
      <c r="K2756" s="14" t="n">
        <f aca="false">J2756-H2756</f>
        <v>7.67</v>
      </c>
      <c r="L2756" s="14" t="n">
        <f aca="false">G2756-H2756</f>
        <v>-37.83</v>
      </c>
    </row>
    <row r="2757" customFormat="false" ht="15" hidden="false" customHeight="false" outlineLevel="0" collapsed="false">
      <c r="A2757" s="2" t="s">
        <v>184</v>
      </c>
      <c r="B2757" s="2" t="s">
        <v>146</v>
      </c>
      <c r="C2757" s="2" t="s">
        <v>50</v>
      </c>
      <c r="D2757" s="2" t="s">
        <v>12</v>
      </c>
      <c r="E2757" s="2" t="s">
        <v>76</v>
      </c>
      <c r="F2757" s="2" t="s">
        <v>1146</v>
      </c>
      <c r="G2757" s="14" t="n">
        <v>19.5</v>
      </c>
      <c r="H2757" s="14" t="n">
        <v>66.48</v>
      </c>
      <c r="I2757" s="14" t="n">
        <v>19.5</v>
      </c>
      <c r="J2757" s="22" t="n">
        <f aca="false">IF(E2757="Priority",'Cost model'!N151,'Cost model'!M151)</f>
        <v>55</v>
      </c>
      <c r="K2757" s="14" t="n">
        <f aca="false">J2757-H2757</f>
        <v>-11.48</v>
      </c>
      <c r="L2757" s="14" t="n">
        <f aca="false">G2757-H2757</f>
        <v>-46.98</v>
      </c>
    </row>
    <row r="2758" customFormat="false" ht="15" hidden="false" customHeight="false" outlineLevel="0" collapsed="false">
      <c r="A2758" s="2" t="s">
        <v>221</v>
      </c>
      <c r="B2758" s="2" t="s">
        <v>146</v>
      </c>
      <c r="C2758" s="2" t="s">
        <v>49</v>
      </c>
      <c r="D2758" s="2" t="s">
        <v>12</v>
      </c>
      <c r="E2758" s="2" t="s">
        <v>76</v>
      </c>
      <c r="F2758" s="2" t="s">
        <v>1146</v>
      </c>
      <c r="G2758" s="14" t="n">
        <v>19.5</v>
      </c>
      <c r="H2758" s="14" t="n">
        <v>72.75</v>
      </c>
      <c r="I2758" s="14" t="n">
        <v>19.5</v>
      </c>
      <c r="J2758" s="22" t="n">
        <f aca="false">IF(E2758="Priority",'Cost model'!N654,'Cost model'!M654)</f>
        <v>80</v>
      </c>
      <c r="K2758" s="14" t="n">
        <f aca="false">J2758-H2758</f>
        <v>7.25</v>
      </c>
      <c r="L2758" s="14" t="n">
        <f aca="false">G2758-H2758</f>
        <v>-53.25</v>
      </c>
    </row>
    <row r="2759" customFormat="false" ht="15" hidden="false" customHeight="false" outlineLevel="0" collapsed="false">
      <c r="A2759" s="2" t="s">
        <v>126</v>
      </c>
      <c r="B2759" s="2" t="s">
        <v>126</v>
      </c>
      <c r="C2759" s="2" t="s">
        <v>49</v>
      </c>
      <c r="D2759" s="2" t="s">
        <v>10</v>
      </c>
      <c r="E2759" s="2" t="s">
        <v>76</v>
      </c>
      <c r="F2759" s="2" t="s">
        <v>1145</v>
      </c>
      <c r="G2759" s="14" t="n">
        <v>12.5</v>
      </c>
      <c r="H2759" s="14" t="n">
        <v>21.76</v>
      </c>
      <c r="I2759" s="14" t="n">
        <v>12.5</v>
      </c>
      <c r="J2759" s="22" t="n">
        <f aca="false">IF(E2759="Priority",'Cost model'!N381,'Cost model'!M381)</f>
        <v>14.5</v>
      </c>
      <c r="K2759" s="14" t="n">
        <f aca="false">J2759-H2759</f>
        <v>-7.26</v>
      </c>
      <c r="L2759" s="14" t="n">
        <f aca="false">G2759-H2759</f>
        <v>-9.26</v>
      </c>
    </row>
    <row r="2760" customFormat="false" ht="15" hidden="false" customHeight="false" outlineLevel="0" collapsed="false">
      <c r="A2760" s="2" t="s">
        <v>184</v>
      </c>
      <c r="B2760" s="2" t="s">
        <v>184</v>
      </c>
      <c r="C2760" s="2" t="s">
        <v>48</v>
      </c>
      <c r="D2760" s="2" t="s">
        <v>12</v>
      </c>
      <c r="E2760" s="2" t="s">
        <v>76</v>
      </c>
      <c r="F2760" s="2" t="s">
        <v>1145</v>
      </c>
      <c r="G2760" s="14" t="n">
        <v>9.5</v>
      </c>
      <c r="H2760" s="14" t="n">
        <v>25.05</v>
      </c>
      <c r="I2760" s="14" t="n">
        <v>9.5</v>
      </c>
      <c r="J2760" s="22" t="n">
        <f aca="false">IF(E2760="Priority",'Cost model'!N203,'Cost model'!M203)</f>
        <v>26.5</v>
      </c>
      <c r="K2760" s="14" t="n">
        <f aca="false">J2760-H2760</f>
        <v>1.45</v>
      </c>
      <c r="L2760" s="14" t="n">
        <f aca="false">G2760-H2760</f>
        <v>-15.55</v>
      </c>
    </row>
    <row r="2761" customFormat="false" ht="15" hidden="false" customHeight="false" outlineLevel="0" collapsed="false">
      <c r="A2761" s="2" t="s">
        <v>184</v>
      </c>
      <c r="B2761" s="2" t="s">
        <v>126</v>
      </c>
      <c r="C2761" s="2" t="s">
        <v>48</v>
      </c>
      <c r="D2761" s="2" t="s">
        <v>10</v>
      </c>
      <c r="E2761" s="2" t="s">
        <v>76</v>
      </c>
      <c r="F2761" s="2" t="s">
        <v>1146</v>
      </c>
      <c r="G2761" s="14" t="n">
        <v>9.5</v>
      </c>
      <c r="H2761" s="14" t="n">
        <v>7.74</v>
      </c>
      <c r="I2761" s="14" t="n">
        <v>9.5</v>
      </c>
      <c r="J2761" s="22" t="n">
        <f aca="false">IF(E2761="Priority",'Cost model'!N128,'Cost model'!M128)</f>
        <v>10.5</v>
      </c>
      <c r="K2761" s="14" t="n">
        <f aca="false">J2761-H2761</f>
        <v>2.76</v>
      </c>
      <c r="L2761" s="14" t="n">
        <f aca="false">G2761-H2761</f>
        <v>1.76</v>
      </c>
    </row>
    <row r="2762" customFormat="false" ht="15" hidden="false" customHeight="false" outlineLevel="0" collapsed="false">
      <c r="A2762" s="2" t="s">
        <v>184</v>
      </c>
      <c r="B2762" s="2" t="s">
        <v>184</v>
      </c>
      <c r="C2762" s="2" t="s">
        <v>48</v>
      </c>
      <c r="D2762" s="2" t="s">
        <v>10</v>
      </c>
      <c r="E2762" s="2" t="s">
        <v>85</v>
      </c>
      <c r="F2762" s="2" t="s">
        <v>1145</v>
      </c>
      <c r="G2762" s="14" t="n">
        <v>14.5</v>
      </c>
      <c r="H2762" s="14" t="n">
        <v>7.46</v>
      </c>
      <c r="I2762" s="14" t="n">
        <v>14.5</v>
      </c>
      <c r="J2762" s="22" t="n">
        <f aca="false">IF(E2762="Priority",'Cost model'!N200,'Cost model'!M200)</f>
        <v>12.5</v>
      </c>
      <c r="K2762" s="14" t="n">
        <f aca="false">J2762-H2762</f>
        <v>5.04</v>
      </c>
      <c r="L2762" s="14" t="n">
        <f aca="false">G2762-H2762</f>
        <v>7.04</v>
      </c>
    </row>
    <row r="2763" customFormat="false" ht="15" hidden="false" customHeight="false" outlineLevel="0" collapsed="false">
      <c r="A2763" s="2" t="s">
        <v>240</v>
      </c>
      <c r="B2763" s="2" t="s">
        <v>240</v>
      </c>
      <c r="C2763" s="2" t="s">
        <v>48</v>
      </c>
      <c r="D2763" s="2" t="s">
        <v>10</v>
      </c>
      <c r="E2763" s="2" t="s">
        <v>76</v>
      </c>
      <c r="F2763" s="2" t="s">
        <v>1145</v>
      </c>
      <c r="G2763" s="14" t="n">
        <v>9.5</v>
      </c>
      <c r="H2763" s="14" t="n">
        <v>7.43</v>
      </c>
      <c r="I2763" s="14" t="n">
        <v>9.5</v>
      </c>
      <c r="J2763" s="22" t="n">
        <f aca="false">IF(E2763="Priority",'Cost model'!N884,'Cost model'!M884)</f>
        <v>7.5</v>
      </c>
      <c r="K2763" s="14" t="n">
        <f aca="false">J2763-H2763</f>
        <v>0.0700000000000003</v>
      </c>
      <c r="L2763" s="14" t="n">
        <f aca="false">G2763-H2763</f>
        <v>2.07</v>
      </c>
    </row>
    <row r="2764" customFormat="false" ht="15" hidden="false" customHeight="false" outlineLevel="0" collapsed="false">
      <c r="A2764" s="2" t="s">
        <v>126</v>
      </c>
      <c r="B2764" s="2" t="s">
        <v>126</v>
      </c>
      <c r="C2764" s="2" t="s">
        <v>49</v>
      </c>
      <c r="D2764" s="2" t="s">
        <v>10</v>
      </c>
      <c r="E2764" s="2" t="s">
        <v>76</v>
      </c>
      <c r="F2764" s="2" t="s">
        <v>1145</v>
      </c>
      <c r="G2764" s="14" t="n">
        <v>12.5</v>
      </c>
      <c r="H2764" s="14" t="n">
        <v>20.83</v>
      </c>
      <c r="I2764" s="14" t="n">
        <v>12.5</v>
      </c>
      <c r="J2764" s="22" t="n">
        <f aca="false">IF(E2764="Priority",'Cost model'!N381,'Cost model'!M381)</f>
        <v>14.5</v>
      </c>
      <c r="K2764" s="14" t="n">
        <f aca="false">J2764-H2764</f>
        <v>-6.33</v>
      </c>
      <c r="L2764" s="14" t="n">
        <f aca="false">G2764-H2764</f>
        <v>-8.33</v>
      </c>
    </row>
    <row r="2765" customFormat="false" ht="15" hidden="false" customHeight="false" outlineLevel="0" collapsed="false">
      <c r="A2765" s="2" t="s">
        <v>126</v>
      </c>
      <c r="B2765" s="2" t="s">
        <v>126</v>
      </c>
      <c r="C2765" s="2" t="s">
        <v>48</v>
      </c>
      <c r="D2765" s="2" t="s">
        <v>10</v>
      </c>
      <c r="E2765" s="2" t="s">
        <v>85</v>
      </c>
      <c r="F2765" s="2" t="s">
        <v>1145</v>
      </c>
      <c r="G2765" s="14" t="n">
        <v>14.5</v>
      </c>
      <c r="H2765" s="14" t="n">
        <v>21.34</v>
      </c>
      <c r="I2765" s="14" t="n">
        <v>14.5</v>
      </c>
      <c r="J2765" s="22" t="n">
        <f aca="false">IF(E2765="Priority",'Cost model'!N380,'Cost model'!M380)</f>
        <v>13.5</v>
      </c>
      <c r="K2765" s="14" t="n">
        <f aca="false">J2765-H2765</f>
        <v>-7.84</v>
      </c>
      <c r="L2765" s="14" t="n">
        <f aca="false">G2765-H2765</f>
        <v>-6.84</v>
      </c>
    </row>
    <row r="2766" customFormat="false" ht="15" hidden="false" customHeight="false" outlineLevel="0" collapsed="false">
      <c r="A2766" s="2" t="s">
        <v>240</v>
      </c>
      <c r="B2766" s="2" t="s">
        <v>240</v>
      </c>
      <c r="C2766" s="2" t="s">
        <v>50</v>
      </c>
      <c r="D2766" s="2" t="s">
        <v>12</v>
      </c>
      <c r="E2766" s="2" t="s">
        <v>76</v>
      </c>
      <c r="F2766" s="2" t="s">
        <v>1145</v>
      </c>
      <c r="G2766" s="14" t="n">
        <v>19.5</v>
      </c>
      <c r="H2766" s="14" t="n">
        <v>37.42</v>
      </c>
      <c r="I2766" s="14" t="n">
        <v>19.5</v>
      </c>
      <c r="J2766" s="22" t="n">
        <f aca="false">IF(E2766="Priority",'Cost model'!N889,'Cost model'!M889)</f>
        <v>60</v>
      </c>
      <c r="K2766" s="14" t="n">
        <f aca="false">J2766-H2766</f>
        <v>22.58</v>
      </c>
      <c r="L2766" s="14" t="n">
        <f aca="false">G2766-H2766</f>
        <v>-17.92</v>
      </c>
    </row>
    <row r="2767" customFormat="false" ht="15" hidden="false" customHeight="false" outlineLevel="0" collapsed="false">
      <c r="A2767" s="2" t="s">
        <v>184</v>
      </c>
      <c r="B2767" s="2" t="s">
        <v>184</v>
      </c>
      <c r="C2767" s="2" t="s">
        <v>50</v>
      </c>
      <c r="D2767" s="2" t="s">
        <v>10</v>
      </c>
      <c r="E2767" s="2" t="s">
        <v>76</v>
      </c>
      <c r="F2767" s="2" t="s">
        <v>1145</v>
      </c>
      <c r="G2767" s="14" t="n">
        <v>17.5</v>
      </c>
      <c r="H2767" s="14" t="n">
        <v>20.39</v>
      </c>
      <c r="I2767" s="14" t="n">
        <v>17.5</v>
      </c>
      <c r="J2767" s="22" t="n">
        <f aca="false">IF(E2767="Priority",'Cost model'!N202,'Cost model'!M202)</f>
        <v>17.5</v>
      </c>
      <c r="K2767" s="14" t="n">
        <f aca="false">J2767-H2767</f>
        <v>-2.89</v>
      </c>
      <c r="L2767" s="14" t="n">
        <f aca="false">G2767-H2767</f>
        <v>-2.89</v>
      </c>
    </row>
    <row r="2768" customFormat="false" ht="15" hidden="false" customHeight="false" outlineLevel="0" collapsed="false">
      <c r="A2768" s="2" t="s">
        <v>184</v>
      </c>
      <c r="B2768" s="2" t="s">
        <v>184</v>
      </c>
      <c r="C2768" s="2" t="s">
        <v>48</v>
      </c>
      <c r="D2768" s="2" t="s">
        <v>10</v>
      </c>
      <c r="E2768" s="2" t="s">
        <v>76</v>
      </c>
      <c r="F2768" s="2" t="s">
        <v>1145</v>
      </c>
      <c r="G2768" s="14" t="n">
        <v>9.5</v>
      </c>
      <c r="H2768" s="14" t="n">
        <v>7.69</v>
      </c>
      <c r="I2768" s="14" t="n">
        <v>9.5</v>
      </c>
      <c r="J2768" s="22" t="n">
        <f aca="false">IF(E2768="Priority",'Cost model'!N200,'Cost model'!M200)</f>
        <v>7.5</v>
      </c>
      <c r="K2768" s="14" t="n">
        <f aca="false">J2768-H2768</f>
        <v>-0.19</v>
      </c>
      <c r="L2768" s="14" t="n">
        <f aca="false">G2768-H2768</f>
        <v>1.81</v>
      </c>
    </row>
    <row r="2769" customFormat="false" ht="15" hidden="false" customHeight="false" outlineLevel="0" collapsed="false">
      <c r="A2769" s="2" t="s">
        <v>126</v>
      </c>
      <c r="B2769" s="2" t="s">
        <v>184</v>
      </c>
      <c r="C2769" s="2" t="s">
        <v>48</v>
      </c>
      <c r="D2769" s="2" t="s">
        <v>13</v>
      </c>
      <c r="E2769" s="2" t="s">
        <v>76</v>
      </c>
      <c r="F2769" s="2" t="s">
        <v>1146</v>
      </c>
      <c r="G2769" s="14" t="n">
        <v>24.5</v>
      </c>
      <c r="H2769" s="14" t="n">
        <v>83.84</v>
      </c>
      <c r="I2769" s="14" t="n">
        <v>24.5</v>
      </c>
      <c r="J2769" s="22" t="n">
        <f aca="false">IF(E2769="Priority",'Cost model'!N440,'Cost model'!M440)</f>
        <v>90</v>
      </c>
      <c r="K2769" s="14" t="n">
        <f aca="false">J2769-H2769</f>
        <v>6.16</v>
      </c>
      <c r="L2769" s="14" t="n">
        <f aca="false">G2769-H2769</f>
        <v>-59.34</v>
      </c>
    </row>
    <row r="2770" customFormat="false" ht="15" hidden="false" customHeight="false" outlineLevel="0" collapsed="false">
      <c r="A2770" s="2" t="s">
        <v>240</v>
      </c>
      <c r="B2770" s="2" t="s">
        <v>240</v>
      </c>
      <c r="C2770" s="2" t="s">
        <v>50</v>
      </c>
      <c r="D2770" s="2" t="s">
        <v>10</v>
      </c>
      <c r="E2770" s="2" t="s">
        <v>76</v>
      </c>
      <c r="F2770" s="2" t="s">
        <v>1145</v>
      </c>
      <c r="G2770" s="14" t="n">
        <v>17.5</v>
      </c>
      <c r="H2770" s="14" t="n">
        <v>21.14</v>
      </c>
      <c r="I2770" s="14" t="n">
        <v>17.5</v>
      </c>
      <c r="J2770" s="22" t="n">
        <f aca="false">IF(E2770="Priority",'Cost model'!N886,'Cost model'!M886)</f>
        <v>17.5</v>
      </c>
      <c r="K2770" s="14" t="n">
        <f aca="false">J2770-H2770</f>
        <v>-3.64</v>
      </c>
      <c r="L2770" s="14" t="n">
        <f aca="false">G2770-H2770</f>
        <v>-3.64</v>
      </c>
    </row>
    <row r="2771" customFormat="false" ht="15" hidden="false" customHeight="false" outlineLevel="0" collapsed="false">
      <c r="A2771" s="2" t="s">
        <v>184</v>
      </c>
      <c r="B2771" s="2" t="s">
        <v>184</v>
      </c>
      <c r="C2771" s="2" t="s">
        <v>48</v>
      </c>
      <c r="D2771" s="2" t="s">
        <v>10</v>
      </c>
      <c r="E2771" s="2" t="s">
        <v>76</v>
      </c>
      <c r="F2771" s="2" t="s">
        <v>1145</v>
      </c>
      <c r="G2771" s="14" t="n">
        <v>9.5</v>
      </c>
      <c r="H2771" s="14" t="n">
        <v>7.72</v>
      </c>
      <c r="I2771" s="14" t="n">
        <v>9.5</v>
      </c>
      <c r="J2771" s="22" t="n">
        <f aca="false">IF(E2771="Priority",'Cost model'!N200,'Cost model'!M200)</f>
        <v>7.5</v>
      </c>
      <c r="K2771" s="14" t="n">
        <f aca="false">J2771-H2771</f>
        <v>-0.22</v>
      </c>
      <c r="L2771" s="14" t="n">
        <f aca="false">G2771-H2771</f>
        <v>1.78</v>
      </c>
    </row>
    <row r="2772" customFormat="false" ht="15" hidden="false" customHeight="false" outlineLevel="0" collapsed="false">
      <c r="A2772" s="2" t="s">
        <v>184</v>
      </c>
      <c r="B2772" s="2" t="s">
        <v>184</v>
      </c>
      <c r="C2772" s="2" t="s">
        <v>49</v>
      </c>
      <c r="D2772" s="2" t="s">
        <v>12</v>
      </c>
      <c r="E2772" s="2" t="s">
        <v>76</v>
      </c>
      <c r="F2772" s="2" t="s">
        <v>1145</v>
      </c>
      <c r="G2772" s="14" t="n">
        <v>12.5</v>
      </c>
      <c r="H2772" s="14" t="n">
        <v>13.34</v>
      </c>
      <c r="I2772" s="14"/>
      <c r="J2772" s="22" t="n">
        <f aca="false">IF(E2772="Priority",'Cost model'!N204,'Cost model'!M204)</f>
        <v>45</v>
      </c>
      <c r="K2772" s="14" t="n">
        <f aca="false">J2772-H2772</f>
        <v>31.66</v>
      </c>
      <c r="L2772" s="14" t="n">
        <f aca="false">G2772-H2772</f>
        <v>-0.84</v>
      </c>
    </row>
    <row r="2773" customFormat="false" ht="15" hidden="false" customHeight="false" outlineLevel="0" collapsed="false">
      <c r="A2773" s="2" t="s">
        <v>126</v>
      </c>
      <c r="B2773" s="2" t="s">
        <v>126</v>
      </c>
      <c r="C2773" s="2" t="s">
        <v>50</v>
      </c>
      <c r="D2773" s="2" t="s">
        <v>10</v>
      </c>
      <c r="E2773" s="2" t="s">
        <v>76</v>
      </c>
      <c r="F2773" s="2" t="s">
        <v>1145</v>
      </c>
      <c r="G2773" s="14" t="n">
        <v>17.5</v>
      </c>
      <c r="H2773" s="14" t="n">
        <v>14.29</v>
      </c>
      <c r="I2773" s="14" t="n">
        <v>17.5</v>
      </c>
      <c r="J2773" s="22" t="n">
        <f aca="false">IF(E2773="Priority",'Cost model'!N382,'Cost model'!M382)</f>
        <v>18.5</v>
      </c>
      <c r="K2773" s="14" t="n">
        <f aca="false">J2773-H2773</f>
        <v>4.21</v>
      </c>
      <c r="L2773" s="14" t="n">
        <f aca="false">G2773-H2773</f>
        <v>3.21</v>
      </c>
    </row>
    <row r="2774" customFormat="false" ht="15" hidden="false" customHeight="false" outlineLevel="0" collapsed="false">
      <c r="A2774" s="2" t="s">
        <v>146</v>
      </c>
      <c r="B2774" s="2" t="s">
        <v>146</v>
      </c>
      <c r="C2774" s="2" t="s">
        <v>50</v>
      </c>
      <c r="D2774" s="2" t="s">
        <v>12</v>
      </c>
      <c r="E2774" s="2" t="s">
        <v>76</v>
      </c>
      <c r="F2774" s="2" t="s">
        <v>1145</v>
      </c>
      <c r="G2774" s="14" t="n">
        <v>19.5</v>
      </c>
      <c r="H2774" s="14" t="n">
        <v>27.29</v>
      </c>
      <c r="I2774" s="14" t="n">
        <v>19.5</v>
      </c>
      <c r="J2774" s="22" t="n">
        <f aca="false">IF(E2774="Priority",'Cost model'!N763,'Cost model'!M763)</f>
        <v>50</v>
      </c>
      <c r="K2774" s="14" t="n">
        <f aca="false">J2774-H2774</f>
        <v>22.71</v>
      </c>
      <c r="L2774" s="14" t="n">
        <f aca="false">G2774-H2774</f>
        <v>-7.79</v>
      </c>
    </row>
    <row r="2775" customFormat="false" ht="15" hidden="false" customHeight="false" outlineLevel="0" collapsed="false">
      <c r="A2775" s="2" t="s">
        <v>126</v>
      </c>
      <c r="B2775" s="2" t="s">
        <v>126</v>
      </c>
      <c r="C2775" s="2" t="s">
        <v>50</v>
      </c>
      <c r="D2775" s="2" t="s">
        <v>10</v>
      </c>
      <c r="E2775" s="2" t="s">
        <v>76</v>
      </c>
      <c r="F2775" s="2" t="s">
        <v>1145</v>
      </c>
      <c r="G2775" s="14" t="n">
        <v>76</v>
      </c>
      <c r="H2775" s="14" t="n">
        <v>21.6</v>
      </c>
      <c r="I2775" s="14" t="n">
        <v>17.5</v>
      </c>
      <c r="J2775" s="22" t="n">
        <f aca="false">IF(E2775="Priority",'Cost model'!N382,'Cost model'!M382)</f>
        <v>18.5</v>
      </c>
      <c r="K2775" s="14" t="n">
        <f aca="false">J2775-H2775</f>
        <v>-3.1</v>
      </c>
      <c r="L2775" s="14" t="n">
        <f aca="false">G2775-H2775</f>
        <v>54.4</v>
      </c>
    </row>
    <row r="2776" customFormat="false" ht="15" hidden="false" customHeight="false" outlineLevel="0" collapsed="false">
      <c r="A2776" s="2" t="s">
        <v>184</v>
      </c>
      <c r="B2776" s="2" t="s">
        <v>221</v>
      </c>
      <c r="C2776" s="2" t="s">
        <v>48</v>
      </c>
      <c r="D2776" s="2" t="s">
        <v>10</v>
      </c>
      <c r="E2776" s="2" t="s">
        <v>76</v>
      </c>
      <c r="F2776" s="2" t="s">
        <v>1146</v>
      </c>
      <c r="G2776" s="14" t="n">
        <v>9.5</v>
      </c>
      <c r="H2776" s="14" t="n">
        <v>13.63</v>
      </c>
      <c r="I2776" s="14" t="n">
        <v>19.5</v>
      </c>
      <c r="J2776" s="22" t="n">
        <f aca="false">IF(E2776="Priority",'Cost model'!N218,'Cost model'!M218)</f>
        <v>12.5</v>
      </c>
      <c r="K2776" s="14" t="n">
        <f aca="false">J2776-H2776</f>
        <v>-1.13</v>
      </c>
      <c r="L2776" s="14" t="n">
        <f aca="false">G2776-H2776</f>
        <v>-4.13</v>
      </c>
    </row>
    <row r="2777" customFormat="false" ht="15" hidden="false" customHeight="false" outlineLevel="0" collapsed="false">
      <c r="A2777" s="2" t="s">
        <v>184</v>
      </c>
      <c r="B2777" s="2" t="s">
        <v>184</v>
      </c>
      <c r="C2777" s="2" t="s">
        <v>49</v>
      </c>
      <c r="D2777" s="2" t="s">
        <v>10</v>
      </c>
      <c r="E2777" s="2" t="s">
        <v>76</v>
      </c>
      <c r="F2777" s="2" t="s">
        <v>1145</v>
      </c>
      <c r="G2777" s="14" t="n">
        <v>12.5</v>
      </c>
      <c r="H2777" s="14" t="n">
        <v>9.12</v>
      </c>
      <c r="I2777" s="14"/>
      <c r="J2777" s="22" t="n">
        <f aca="false">IF(E2777="Priority",'Cost model'!N201,'Cost model'!M201)</f>
        <v>12.5</v>
      </c>
      <c r="K2777" s="14" t="n">
        <f aca="false">J2777-H2777</f>
        <v>3.38</v>
      </c>
      <c r="L2777" s="14" t="n">
        <f aca="false">G2777-H2777</f>
        <v>3.38</v>
      </c>
    </row>
    <row r="2778" customFormat="false" ht="15" hidden="false" customHeight="false" outlineLevel="0" collapsed="false">
      <c r="A2778" s="2" t="s">
        <v>146</v>
      </c>
      <c r="B2778" s="2" t="s">
        <v>146</v>
      </c>
      <c r="C2778" s="2" t="s">
        <v>48</v>
      </c>
      <c r="D2778" s="2" t="s">
        <v>12</v>
      </c>
      <c r="E2778" s="2" t="s">
        <v>76</v>
      </c>
      <c r="F2778" s="2" t="s">
        <v>1145</v>
      </c>
      <c r="G2778" s="14" t="n">
        <v>9.5</v>
      </c>
      <c r="H2778" s="14" t="n">
        <v>43.77</v>
      </c>
      <c r="I2778" s="14" t="n">
        <v>9.5</v>
      </c>
      <c r="J2778" s="22" t="n">
        <f aca="false">IF(E2778="Priority",'Cost model'!N761,'Cost model'!M761)</f>
        <v>35</v>
      </c>
      <c r="K2778" s="14" t="n">
        <f aca="false">J2778-H2778</f>
        <v>-8.77</v>
      </c>
      <c r="L2778" s="14" t="n">
        <f aca="false">G2778-H2778</f>
        <v>-34.27</v>
      </c>
    </row>
    <row r="2779" customFormat="false" ht="15" hidden="false" customHeight="false" outlineLevel="0" collapsed="false">
      <c r="A2779" s="2" t="s">
        <v>240</v>
      </c>
      <c r="B2779" s="2" t="s">
        <v>240</v>
      </c>
      <c r="C2779" s="2" t="s">
        <v>48</v>
      </c>
      <c r="D2779" s="2" t="s">
        <v>10</v>
      </c>
      <c r="E2779" s="2" t="s">
        <v>85</v>
      </c>
      <c r="F2779" s="2" t="s">
        <v>1145</v>
      </c>
      <c r="G2779" s="14" t="n">
        <v>14.5</v>
      </c>
      <c r="H2779" s="14" t="n">
        <v>7.68</v>
      </c>
      <c r="I2779" s="14" t="n">
        <v>14.5</v>
      </c>
      <c r="J2779" s="22" t="n">
        <f aca="false">IF(E2779="Priority",'Cost model'!N884,'Cost model'!M884)</f>
        <v>12.5</v>
      </c>
      <c r="K2779" s="14" t="n">
        <f aca="false">J2779-H2779</f>
        <v>4.82</v>
      </c>
      <c r="L2779" s="14" t="n">
        <f aca="false">G2779-H2779</f>
        <v>6.82</v>
      </c>
    </row>
    <row r="2780" customFormat="false" ht="15" hidden="false" customHeight="false" outlineLevel="0" collapsed="false">
      <c r="A2780" s="2" t="s">
        <v>126</v>
      </c>
      <c r="B2780" s="2" t="s">
        <v>126</v>
      </c>
      <c r="C2780" s="2" t="s">
        <v>50</v>
      </c>
      <c r="D2780" s="2" t="s">
        <v>10</v>
      </c>
      <c r="E2780" s="2" t="s">
        <v>76</v>
      </c>
      <c r="F2780" s="2" t="s">
        <v>1145</v>
      </c>
      <c r="G2780" s="14" t="n">
        <v>17.5</v>
      </c>
      <c r="H2780" s="14" t="n">
        <v>16.84</v>
      </c>
      <c r="I2780" s="14" t="n">
        <v>17.5</v>
      </c>
      <c r="J2780" s="22" t="n">
        <f aca="false">IF(E2780="Priority",'Cost model'!N382,'Cost model'!M382)</f>
        <v>18.5</v>
      </c>
      <c r="K2780" s="14" t="n">
        <f aca="false">J2780-H2780</f>
        <v>1.66</v>
      </c>
      <c r="L2780" s="14" t="n">
        <f aca="false">G2780-H2780</f>
        <v>0.66</v>
      </c>
    </row>
    <row r="2781" customFormat="false" ht="15" hidden="false" customHeight="false" outlineLevel="0" collapsed="false">
      <c r="A2781" s="2" t="s">
        <v>184</v>
      </c>
      <c r="B2781" s="2" t="s">
        <v>184</v>
      </c>
      <c r="C2781" s="2" t="s">
        <v>49</v>
      </c>
      <c r="D2781" s="2" t="s">
        <v>10</v>
      </c>
      <c r="E2781" s="2" t="s">
        <v>76</v>
      </c>
      <c r="F2781" s="2" t="s">
        <v>1145</v>
      </c>
      <c r="G2781" s="14" t="n">
        <v>12.5</v>
      </c>
      <c r="H2781" s="14" t="n">
        <v>11.59</v>
      </c>
      <c r="I2781" s="14"/>
      <c r="J2781" s="22" t="n">
        <f aca="false">IF(E2781="Priority",'Cost model'!N201,'Cost model'!M201)</f>
        <v>12.5</v>
      </c>
      <c r="K2781" s="14" t="n">
        <f aca="false">J2781-H2781</f>
        <v>0.91</v>
      </c>
      <c r="L2781" s="14" t="n">
        <f aca="false">G2781-H2781</f>
        <v>0.91</v>
      </c>
    </row>
    <row r="2782" customFormat="false" ht="15" hidden="false" customHeight="false" outlineLevel="0" collapsed="false">
      <c r="A2782" s="2" t="s">
        <v>126</v>
      </c>
      <c r="B2782" s="2" t="s">
        <v>126</v>
      </c>
      <c r="C2782" s="2" t="s">
        <v>50</v>
      </c>
      <c r="D2782" s="2" t="s">
        <v>12</v>
      </c>
      <c r="E2782" s="2" t="s">
        <v>76</v>
      </c>
      <c r="F2782" s="2" t="s">
        <v>1145</v>
      </c>
      <c r="G2782" s="14" t="n">
        <v>19.5</v>
      </c>
      <c r="H2782" s="14" t="n">
        <v>66.2</v>
      </c>
      <c r="I2782" s="14" t="n">
        <v>19.5</v>
      </c>
      <c r="J2782" s="22" t="n">
        <f aca="false">IF(E2782="Priority",'Cost model'!N385,'Cost model'!M385)</f>
        <v>55</v>
      </c>
      <c r="K2782" s="14" t="n">
        <f aca="false">J2782-H2782</f>
        <v>-11.2</v>
      </c>
      <c r="L2782" s="14" t="n">
        <f aca="false">G2782-H2782</f>
        <v>-46.7</v>
      </c>
    </row>
    <row r="2783" customFormat="false" ht="15" hidden="false" customHeight="false" outlineLevel="0" collapsed="false">
      <c r="A2783" s="2" t="s">
        <v>126</v>
      </c>
      <c r="B2783" s="2" t="s">
        <v>126</v>
      </c>
      <c r="C2783" s="2" t="s">
        <v>49</v>
      </c>
      <c r="D2783" s="2" t="s">
        <v>12</v>
      </c>
      <c r="E2783" s="2" t="s">
        <v>85</v>
      </c>
      <c r="F2783" s="2" t="s">
        <v>1145</v>
      </c>
      <c r="G2783" s="14" t="n">
        <v>19.5</v>
      </c>
      <c r="H2783" s="14" t="n">
        <v>67.93</v>
      </c>
      <c r="I2783" s="14" t="n">
        <v>19.5</v>
      </c>
      <c r="J2783" s="22" t="n">
        <f aca="false">IF(E2783="Priority",'Cost model'!N384,'Cost model'!M384)</f>
        <v>60</v>
      </c>
      <c r="K2783" s="14" t="n">
        <f aca="false">J2783-H2783</f>
        <v>-7.93000000000001</v>
      </c>
      <c r="L2783" s="14" t="n">
        <f aca="false">G2783-H2783</f>
        <v>-48.43</v>
      </c>
    </row>
    <row r="2784" customFormat="false" ht="15" hidden="false" customHeight="false" outlineLevel="0" collapsed="false">
      <c r="A2784" s="2" t="s">
        <v>184</v>
      </c>
      <c r="B2784" s="2" t="s">
        <v>126</v>
      </c>
      <c r="C2784" s="2" t="s">
        <v>48</v>
      </c>
      <c r="D2784" s="2" t="s">
        <v>12</v>
      </c>
      <c r="E2784" s="2" t="s">
        <v>76</v>
      </c>
      <c r="F2784" s="2" t="s">
        <v>1146</v>
      </c>
      <c r="G2784" s="14" t="n">
        <v>9.5</v>
      </c>
      <c r="H2784" s="14" t="n">
        <v>62.02</v>
      </c>
      <c r="I2784" s="14" t="n">
        <v>9.5</v>
      </c>
      <c r="J2784" s="22" t="n">
        <f aca="false">IF(E2784="Priority",'Cost model'!N131,'Cost model'!M131)</f>
        <v>40</v>
      </c>
      <c r="K2784" s="14" t="n">
        <f aca="false">J2784-H2784</f>
        <v>-22.02</v>
      </c>
      <c r="L2784" s="14" t="n">
        <f aca="false">G2784-H2784</f>
        <v>-52.52</v>
      </c>
    </row>
    <row r="2785" customFormat="false" ht="15" hidden="false" customHeight="false" outlineLevel="0" collapsed="false">
      <c r="A2785" s="2" t="s">
        <v>184</v>
      </c>
      <c r="B2785" s="2" t="s">
        <v>184</v>
      </c>
      <c r="C2785" s="2" t="s">
        <v>49</v>
      </c>
      <c r="D2785" s="2" t="s">
        <v>12</v>
      </c>
      <c r="E2785" s="2" t="s">
        <v>76</v>
      </c>
      <c r="F2785" s="2" t="s">
        <v>1145</v>
      </c>
      <c r="G2785" s="14" t="n">
        <v>12.5</v>
      </c>
      <c r="H2785" s="14" t="n">
        <v>43.25</v>
      </c>
      <c r="I2785" s="14"/>
      <c r="J2785" s="22" t="n">
        <f aca="false">IF(E2785="Priority",'Cost model'!N204,'Cost model'!M204)</f>
        <v>45</v>
      </c>
      <c r="K2785" s="14" t="n">
        <f aca="false">J2785-H2785</f>
        <v>1.75</v>
      </c>
      <c r="L2785" s="14" t="n">
        <f aca="false">G2785-H2785</f>
        <v>-30.75</v>
      </c>
    </row>
    <row r="2786" customFormat="false" ht="15" hidden="false" customHeight="false" outlineLevel="0" collapsed="false">
      <c r="A2786" s="2" t="s">
        <v>146</v>
      </c>
      <c r="B2786" s="2" t="s">
        <v>146</v>
      </c>
      <c r="C2786" s="2" t="s">
        <v>48</v>
      </c>
      <c r="D2786" s="2" t="s">
        <v>12</v>
      </c>
      <c r="E2786" s="2" t="s">
        <v>76</v>
      </c>
      <c r="F2786" s="2" t="s">
        <v>1145</v>
      </c>
      <c r="G2786" s="14" t="n">
        <v>9.5</v>
      </c>
      <c r="H2786" s="14" t="n">
        <v>25.84</v>
      </c>
      <c r="I2786" s="14" t="n">
        <v>9.5</v>
      </c>
      <c r="J2786" s="22" t="n">
        <f aca="false">IF(E2786="Priority",'Cost model'!N761,'Cost model'!M761)</f>
        <v>35</v>
      </c>
      <c r="K2786" s="14" t="n">
        <f aca="false">J2786-H2786</f>
        <v>9.16</v>
      </c>
      <c r="L2786" s="14" t="n">
        <f aca="false">G2786-H2786</f>
        <v>-16.34</v>
      </c>
    </row>
    <row r="2787" customFormat="false" ht="15" hidden="false" customHeight="false" outlineLevel="0" collapsed="false">
      <c r="A2787" s="2" t="s">
        <v>240</v>
      </c>
      <c r="B2787" s="2" t="s">
        <v>240</v>
      </c>
      <c r="C2787" s="2" t="s">
        <v>48</v>
      </c>
      <c r="D2787" s="2" t="s">
        <v>14</v>
      </c>
      <c r="E2787" s="2" t="s">
        <v>76</v>
      </c>
      <c r="F2787" s="2" t="s">
        <v>1145</v>
      </c>
      <c r="G2787" s="14" t="n">
        <v>25</v>
      </c>
      <c r="H2787" s="14" t="n">
        <v>163.15</v>
      </c>
      <c r="I2787" s="14" t="n">
        <v>25</v>
      </c>
      <c r="J2787" s="22" t="n">
        <f aca="false">IF(E2787="Priority",'Cost model'!N893,'Cost model'!M893)</f>
        <v>135</v>
      </c>
      <c r="K2787" s="14" t="n">
        <f aca="false">J2787-H2787</f>
        <v>-28.15</v>
      </c>
      <c r="L2787" s="14" t="n">
        <f aca="false">G2787-H2787</f>
        <v>-138.15</v>
      </c>
    </row>
    <row r="2788" customFormat="false" ht="15" hidden="false" customHeight="false" outlineLevel="0" collapsed="false">
      <c r="A2788" s="2" t="s">
        <v>165</v>
      </c>
      <c r="B2788" s="2" t="s">
        <v>126</v>
      </c>
      <c r="C2788" s="2" t="s">
        <v>48</v>
      </c>
      <c r="D2788" s="2" t="s">
        <v>10</v>
      </c>
      <c r="E2788" s="2" t="s">
        <v>76</v>
      </c>
      <c r="F2788" s="2" t="s">
        <v>1146</v>
      </c>
      <c r="G2788" s="14" t="n">
        <v>14.5</v>
      </c>
      <c r="H2788" s="14" t="n">
        <v>20.83</v>
      </c>
      <c r="I2788" s="14" t="n">
        <v>14.5</v>
      </c>
      <c r="J2788" s="22" t="n">
        <f aca="false">IF(E2788="Priority",'Cost model'!N542,'Cost model'!M542)</f>
        <v>14.5</v>
      </c>
      <c r="K2788" s="14" t="n">
        <f aca="false">J2788-H2788</f>
        <v>-6.33</v>
      </c>
      <c r="L2788" s="14" t="n">
        <f aca="false">G2788-H2788</f>
        <v>-6.33</v>
      </c>
    </row>
    <row r="2789" customFormat="false" ht="15" hidden="false" customHeight="false" outlineLevel="0" collapsed="false">
      <c r="A2789" s="2" t="s">
        <v>184</v>
      </c>
      <c r="B2789" s="2" t="s">
        <v>184</v>
      </c>
      <c r="C2789" s="2" t="s">
        <v>49</v>
      </c>
      <c r="D2789" s="2" t="s">
        <v>10</v>
      </c>
      <c r="E2789" s="2" t="s">
        <v>76</v>
      </c>
      <c r="F2789" s="2" t="s">
        <v>1145</v>
      </c>
      <c r="G2789" s="14" t="n">
        <v>14.5</v>
      </c>
      <c r="H2789" s="14" t="n">
        <v>19.56</v>
      </c>
      <c r="I2789" s="14"/>
      <c r="J2789" s="22" t="n">
        <f aca="false">IF(E2789="Priority",'Cost model'!N201,'Cost model'!M201)</f>
        <v>12.5</v>
      </c>
      <c r="K2789" s="14" t="n">
        <f aca="false">J2789-H2789</f>
        <v>-7.06</v>
      </c>
      <c r="L2789" s="14" t="n">
        <f aca="false">G2789-H2789</f>
        <v>-5.06</v>
      </c>
    </row>
    <row r="2790" customFormat="false" ht="15" hidden="false" customHeight="false" outlineLevel="0" collapsed="false">
      <c r="A2790" s="2" t="s">
        <v>240</v>
      </c>
      <c r="B2790" s="2" t="s">
        <v>240</v>
      </c>
      <c r="C2790" s="2" t="s">
        <v>50</v>
      </c>
      <c r="D2790" s="2" t="s">
        <v>13</v>
      </c>
      <c r="E2790" s="2" t="s">
        <v>76</v>
      </c>
      <c r="F2790" s="2" t="s">
        <v>1145</v>
      </c>
      <c r="G2790" s="14" t="n">
        <v>50</v>
      </c>
      <c r="H2790" s="14" t="n">
        <v>38.1</v>
      </c>
      <c r="I2790" s="14" t="n">
        <v>50</v>
      </c>
      <c r="J2790" s="22" t="n">
        <f aca="false">IF(E2790="Priority",'Cost model'!N892,'Cost model'!M892)</f>
        <v>130</v>
      </c>
      <c r="K2790" s="14" t="n">
        <f aca="false">J2790-H2790</f>
        <v>91.9</v>
      </c>
      <c r="L2790" s="14" t="n">
        <f aca="false">G2790-H2790</f>
        <v>11.9</v>
      </c>
    </row>
    <row r="2791" customFormat="false" ht="15" hidden="false" customHeight="false" outlineLevel="0" collapsed="false">
      <c r="A2791" s="2" t="s">
        <v>184</v>
      </c>
      <c r="B2791" s="2" t="s">
        <v>184</v>
      </c>
      <c r="C2791" s="2" t="s">
        <v>50</v>
      </c>
      <c r="D2791" s="2" t="s">
        <v>10</v>
      </c>
      <c r="E2791" s="2" t="s">
        <v>85</v>
      </c>
      <c r="F2791" s="2" t="s">
        <v>1145</v>
      </c>
      <c r="G2791" s="14" t="n">
        <v>24.5</v>
      </c>
      <c r="H2791" s="14" t="n">
        <v>21.34</v>
      </c>
      <c r="I2791" s="14" t="n">
        <v>24.5</v>
      </c>
      <c r="J2791" s="22" t="n">
        <f aca="false">IF(E2791="Priority",'Cost model'!N202,'Cost model'!M202)</f>
        <v>23.5</v>
      </c>
      <c r="K2791" s="14" t="n">
        <f aca="false">J2791-H2791</f>
        <v>2.16</v>
      </c>
      <c r="L2791" s="14" t="n">
        <f aca="false">G2791-H2791</f>
        <v>3.16</v>
      </c>
    </row>
    <row r="2792" customFormat="false" ht="15" hidden="false" customHeight="false" outlineLevel="0" collapsed="false">
      <c r="A2792" s="2" t="s">
        <v>146</v>
      </c>
      <c r="B2792" s="2" t="s">
        <v>146</v>
      </c>
      <c r="C2792" s="2" t="s">
        <v>50</v>
      </c>
      <c r="D2792" s="2" t="s">
        <v>10</v>
      </c>
      <c r="E2792" s="2" t="s">
        <v>76</v>
      </c>
      <c r="F2792" s="2" t="s">
        <v>1145</v>
      </c>
      <c r="G2792" s="14" t="n">
        <v>17.5</v>
      </c>
      <c r="H2792" s="14" t="n">
        <v>15.39</v>
      </c>
      <c r="I2792" s="14" t="n">
        <v>17.5</v>
      </c>
      <c r="J2792" s="22" t="n">
        <f aca="false">IF(E2792="Priority",'Cost model'!N760,'Cost model'!M760)</f>
        <v>18.5</v>
      </c>
      <c r="K2792" s="14" t="n">
        <f aca="false">J2792-H2792</f>
        <v>3.11</v>
      </c>
      <c r="L2792" s="14" t="n">
        <f aca="false">G2792-H2792</f>
        <v>2.11</v>
      </c>
    </row>
    <row r="2793" customFormat="false" ht="15" hidden="false" customHeight="false" outlineLevel="0" collapsed="false">
      <c r="A2793" s="2" t="s">
        <v>165</v>
      </c>
      <c r="B2793" s="2" t="s">
        <v>126</v>
      </c>
      <c r="C2793" s="2" t="s">
        <v>48</v>
      </c>
      <c r="D2793" s="2" t="s">
        <v>10</v>
      </c>
      <c r="E2793" s="2" t="s">
        <v>76</v>
      </c>
      <c r="F2793" s="2" t="s">
        <v>1146</v>
      </c>
      <c r="G2793" s="14" t="n">
        <v>14.5</v>
      </c>
      <c r="H2793" s="14" t="n">
        <v>11.24</v>
      </c>
      <c r="I2793" s="14" t="n">
        <v>14.5</v>
      </c>
      <c r="J2793" s="22" t="n">
        <f aca="false">IF(E2793="Priority",'Cost model'!N542,'Cost model'!M542)</f>
        <v>14.5</v>
      </c>
      <c r="K2793" s="14" t="n">
        <f aca="false">J2793-H2793</f>
        <v>3.26</v>
      </c>
      <c r="L2793" s="14" t="n">
        <f aca="false">G2793-H2793</f>
        <v>3.26</v>
      </c>
    </row>
    <row r="2794" customFormat="false" ht="15" hidden="false" customHeight="false" outlineLevel="0" collapsed="false">
      <c r="A2794" s="2" t="s">
        <v>240</v>
      </c>
      <c r="B2794" s="2" t="s">
        <v>240</v>
      </c>
      <c r="C2794" s="2" t="s">
        <v>50</v>
      </c>
      <c r="D2794" s="2" t="s">
        <v>10</v>
      </c>
      <c r="E2794" s="2" t="s">
        <v>76</v>
      </c>
      <c r="F2794" s="2" t="s">
        <v>1145</v>
      </c>
      <c r="G2794" s="14" t="n">
        <v>17.5</v>
      </c>
      <c r="H2794" s="14" t="n">
        <v>23.73</v>
      </c>
      <c r="I2794" s="14" t="n">
        <v>17.5</v>
      </c>
      <c r="J2794" s="22" t="n">
        <f aca="false">IF(E2794="Priority",'Cost model'!N886,'Cost model'!M886)</f>
        <v>17.5</v>
      </c>
      <c r="K2794" s="14" t="n">
        <f aca="false">J2794-H2794</f>
        <v>-6.23</v>
      </c>
      <c r="L2794" s="14" t="n">
        <f aca="false">G2794-H2794</f>
        <v>-6.23</v>
      </c>
    </row>
    <row r="2795" customFormat="false" ht="15" hidden="false" customHeight="false" outlineLevel="0" collapsed="false">
      <c r="A2795" s="2" t="s">
        <v>184</v>
      </c>
      <c r="B2795" s="2" t="s">
        <v>184</v>
      </c>
      <c r="C2795" s="2" t="s">
        <v>49</v>
      </c>
      <c r="D2795" s="2" t="s">
        <v>10</v>
      </c>
      <c r="E2795" s="2" t="s">
        <v>76</v>
      </c>
      <c r="F2795" s="2" t="s">
        <v>1145</v>
      </c>
      <c r="G2795" s="14" t="n">
        <v>12.5</v>
      </c>
      <c r="H2795" s="14" t="n">
        <v>11.94</v>
      </c>
      <c r="I2795" s="14"/>
      <c r="J2795" s="22" t="n">
        <f aca="false">IF(E2795="Priority",'Cost model'!N201,'Cost model'!M201)</f>
        <v>12.5</v>
      </c>
      <c r="K2795" s="14" t="n">
        <f aca="false">J2795-H2795</f>
        <v>0.560000000000001</v>
      </c>
      <c r="L2795" s="14" t="n">
        <f aca="false">G2795-H2795</f>
        <v>0.560000000000001</v>
      </c>
    </row>
    <row r="2796" customFormat="false" ht="15" hidden="false" customHeight="false" outlineLevel="0" collapsed="false">
      <c r="A2796" s="2" t="s">
        <v>184</v>
      </c>
      <c r="B2796" s="2" t="s">
        <v>184</v>
      </c>
      <c r="C2796" s="2" t="s">
        <v>50</v>
      </c>
      <c r="D2796" s="2" t="s">
        <v>12</v>
      </c>
      <c r="E2796" s="2" t="s">
        <v>76</v>
      </c>
      <c r="F2796" s="2" t="s">
        <v>1145</v>
      </c>
      <c r="G2796" s="14" t="n">
        <v>19.5</v>
      </c>
      <c r="H2796" s="14" t="n">
        <v>44.66</v>
      </c>
      <c r="I2796" s="14" t="n">
        <v>19.5</v>
      </c>
      <c r="J2796" s="22" t="n">
        <f aca="false">IF(E2796="Priority",'Cost model'!N205,'Cost model'!M205)</f>
        <v>50</v>
      </c>
      <c r="K2796" s="14" t="n">
        <f aca="false">J2796-H2796</f>
        <v>5.34</v>
      </c>
      <c r="L2796" s="14" t="n">
        <f aca="false">G2796-H2796</f>
        <v>-25.16</v>
      </c>
    </row>
    <row r="2797" customFormat="false" ht="15" hidden="false" customHeight="false" outlineLevel="0" collapsed="false">
      <c r="A2797" s="2" t="s">
        <v>184</v>
      </c>
      <c r="B2797" s="2" t="s">
        <v>184</v>
      </c>
      <c r="C2797" s="2" t="s">
        <v>49</v>
      </c>
      <c r="D2797" s="2" t="s">
        <v>10</v>
      </c>
      <c r="E2797" s="2" t="s">
        <v>76</v>
      </c>
      <c r="F2797" s="2" t="s">
        <v>1145</v>
      </c>
      <c r="G2797" s="14" t="n">
        <v>12.5</v>
      </c>
      <c r="H2797" s="14" t="n">
        <v>15.22</v>
      </c>
      <c r="I2797" s="14" t="n">
        <v>12.5</v>
      </c>
      <c r="J2797" s="22" t="n">
        <f aca="false">IF(E2797="Priority",'Cost model'!N201,'Cost model'!M201)</f>
        <v>12.5</v>
      </c>
      <c r="K2797" s="14" t="n">
        <f aca="false">J2797-H2797</f>
        <v>-2.72</v>
      </c>
      <c r="L2797" s="14" t="n">
        <f aca="false">G2797-H2797</f>
        <v>-2.72</v>
      </c>
    </row>
    <row r="2798" customFormat="false" ht="15" hidden="false" customHeight="false" outlineLevel="0" collapsed="false">
      <c r="A2798" s="2" t="s">
        <v>184</v>
      </c>
      <c r="B2798" s="2" t="s">
        <v>184</v>
      </c>
      <c r="C2798" s="2" t="s">
        <v>50</v>
      </c>
      <c r="D2798" s="2" t="s">
        <v>12</v>
      </c>
      <c r="E2798" s="2" t="s">
        <v>76</v>
      </c>
      <c r="F2798" s="2" t="s">
        <v>1145</v>
      </c>
      <c r="G2798" s="14" t="n">
        <v>19.5</v>
      </c>
      <c r="H2798" s="14" t="n">
        <v>55.64</v>
      </c>
      <c r="I2798" s="14" t="n">
        <v>19.5</v>
      </c>
      <c r="J2798" s="22" t="n">
        <f aca="false">IF(E2798="Priority",'Cost model'!N205,'Cost model'!M205)</f>
        <v>50</v>
      </c>
      <c r="K2798" s="14" t="n">
        <f aca="false">J2798-H2798</f>
        <v>-5.64</v>
      </c>
      <c r="L2798" s="14" t="n">
        <f aca="false">G2798-H2798</f>
        <v>-36.14</v>
      </c>
    </row>
    <row r="2799" customFormat="false" ht="15" hidden="false" customHeight="false" outlineLevel="0" collapsed="false">
      <c r="A2799" s="2" t="s">
        <v>165</v>
      </c>
      <c r="B2799" s="2" t="s">
        <v>165</v>
      </c>
      <c r="C2799" s="2" t="s">
        <v>50</v>
      </c>
      <c r="D2799" s="2" t="s">
        <v>12</v>
      </c>
      <c r="E2799" s="2" t="s">
        <v>76</v>
      </c>
      <c r="F2799" s="2" t="s">
        <v>1145</v>
      </c>
      <c r="G2799" s="14" t="n">
        <v>19.5</v>
      </c>
      <c r="H2799" s="14" t="n">
        <v>50.58</v>
      </c>
      <c r="I2799" s="14" t="n">
        <v>19.5</v>
      </c>
      <c r="J2799" s="22" t="n">
        <f aca="false">IF(E2799="Priority",'Cost model'!N511,'Cost model'!M511)</f>
        <v>35</v>
      </c>
      <c r="K2799" s="14" t="n">
        <f aca="false">J2799-H2799</f>
        <v>-15.58</v>
      </c>
      <c r="L2799" s="14" t="n">
        <f aca="false">G2799-H2799</f>
        <v>-31.08</v>
      </c>
    </row>
    <row r="2800" customFormat="false" ht="15" hidden="false" customHeight="false" outlineLevel="0" collapsed="false">
      <c r="A2800" s="2" t="s">
        <v>184</v>
      </c>
      <c r="B2800" s="2" t="s">
        <v>184</v>
      </c>
      <c r="C2800" s="2" t="s">
        <v>49</v>
      </c>
      <c r="D2800" s="2" t="s">
        <v>10</v>
      </c>
      <c r="E2800" s="2" t="s">
        <v>76</v>
      </c>
      <c r="F2800" s="2" t="s">
        <v>1145</v>
      </c>
      <c r="G2800" s="14" t="n">
        <v>12.5</v>
      </c>
      <c r="H2800" s="14" t="n">
        <v>11.46</v>
      </c>
      <c r="I2800" s="14"/>
      <c r="J2800" s="22" t="n">
        <f aca="false">IF(E2800="Priority",'Cost model'!N201,'Cost model'!M201)</f>
        <v>12.5</v>
      </c>
      <c r="K2800" s="14" t="n">
        <f aca="false">J2800-H2800</f>
        <v>1.04</v>
      </c>
      <c r="L2800" s="14" t="n">
        <f aca="false">G2800-H2800</f>
        <v>1.04</v>
      </c>
    </row>
    <row r="2801" customFormat="false" ht="15" hidden="false" customHeight="false" outlineLevel="0" collapsed="false">
      <c r="A2801" s="2" t="s">
        <v>184</v>
      </c>
      <c r="B2801" s="2" t="s">
        <v>184</v>
      </c>
      <c r="C2801" s="2" t="s">
        <v>49</v>
      </c>
      <c r="D2801" s="2" t="s">
        <v>12</v>
      </c>
      <c r="E2801" s="2" t="s">
        <v>76</v>
      </c>
      <c r="F2801" s="2" t="s">
        <v>1145</v>
      </c>
      <c r="G2801" s="14" t="n">
        <v>12.5</v>
      </c>
      <c r="H2801" s="14" t="n">
        <v>44.73</v>
      </c>
      <c r="I2801" s="14"/>
      <c r="J2801" s="22" t="n">
        <f aca="false">IF(E2801="Priority",'Cost model'!N204,'Cost model'!M204)</f>
        <v>45</v>
      </c>
      <c r="K2801" s="14" t="n">
        <f aca="false">J2801-H2801</f>
        <v>0.270000000000003</v>
      </c>
      <c r="L2801" s="14" t="n">
        <f aca="false">G2801-H2801</f>
        <v>-32.23</v>
      </c>
    </row>
    <row r="2802" customFormat="false" ht="15" hidden="false" customHeight="false" outlineLevel="0" collapsed="false">
      <c r="A2802" s="2" t="s">
        <v>126</v>
      </c>
      <c r="B2802" s="2" t="s">
        <v>126</v>
      </c>
      <c r="C2802" s="2" t="s">
        <v>48</v>
      </c>
      <c r="D2802" s="2" t="s">
        <v>12</v>
      </c>
      <c r="E2802" s="2" t="s">
        <v>76</v>
      </c>
      <c r="F2802" s="2" t="s">
        <v>1145</v>
      </c>
      <c r="G2802" s="14" t="n">
        <v>9.5</v>
      </c>
      <c r="H2802" s="14" t="n">
        <v>7.45</v>
      </c>
      <c r="I2802" s="14" t="n">
        <v>9.5</v>
      </c>
      <c r="J2802" s="22" t="n">
        <f aca="false">IF(E2802="Priority",'Cost model'!N383,'Cost model'!M383)</f>
        <v>27.5</v>
      </c>
      <c r="K2802" s="14" t="n">
        <f aca="false">J2802-H2802</f>
        <v>20.05</v>
      </c>
      <c r="L2802" s="14" t="n">
        <f aca="false">G2802-H2802</f>
        <v>2.05</v>
      </c>
    </row>
    <row r="2803" customFormat="false" ht="15" hidden="false" customHeight="false" outlineLevel="0" collapsed="false">
      <c r="A2803" s="2" t="s">
        <v>184</v>
      </c>
      <c r="B2803" s="2" t="s">
        <v>146</v>
      </c>
      <c r="C2803" s="2" t="s">
        <v>48</v>
      </c>
      <c r="D2803" s="2" t="s">
        <v>10</v>
      </c>
      <c r="E2803" s="2" t="s">
        <v>76</v>
      </c>
      <c r="F2803" s="2" t="s">
        <v>1146</v>
      </c>
      <c r="G2803" s="14" t="n">
        <v>9.5</v>
      </c>
      <c r="H2803" s="14" t="n">
        <v>23.58</v>
      </c>
      <c r="I2803" s="14" t="n">
        <v>9.5</v>
      </c>
      <c r="J2803" s="22" t="n">
        <f aca="false">IF(E2803="Priority",'Cost model'!N146,'Cost model'!M146)</f>
        <v>12.5</v>
      </c>
      <c r="K2803" s="14" t="n">
        <f aca="false">J2803-H2803</f>
        <v>-11.08</v>
      </c>
      <c r="L2803" s="14" t="n">
        <f aca="false">G2803-H2803</f>
        <v>-14.08</v>
      </c>
    </row>
    <row r="2804" customFormat="false" ht="15" hidden="false" customHeight="false" outlineLevel="0" collapsed="false">
      <c r="A2804" s="2" t="s">
        <v>184</v>
      </c>
      <c r="B2804" s="2" t="s">
        <v>184</v>
      </c>
      <c r="C2804" s="2" t="s">
        <v>50</v>
      </c>
      <c r="D2804" s="2" t="s">
        <v>12</v>
      </c>
      <c r="E2804" s="2" t="s">
        <v>76</v>
      </c>
      <c r="F2804" s="2" t="s">
        <v>1145</v>
      </c>
      <c r="G2804" s="14" t="n">
        <v>19.5</v>
      </c>
      <c r="H2804" s="14" t="n">
        <v>44.66</v>
      </c>
      <c r="I2804" s="14" t="n">
        <v>19.5</v>
      </c>
      <c r="J2804" s="22" t="n">
        <f aca="false">IF(E2804="Priority",'Cost model'!N205,'Cost model'!M205)</f>
        <v>50</v>
      </c>
      <c r="K2804" s="14" t="n">
        <f aca="false">J2804-H2804</f>
        <v>5.34</v>
      </c>
      <c r="L2804" s="14" t="n">
        <f aca="false">G2804-H2804</f>
        <v>-25.16</v>
      </c>
    </row>
    <row r="2805" customFormat="false" ht="15" hidden="false" customHeight="false" outlineLevel="0" collapsed="false">
      <c r="A2805" s="2" t="s">
        <v>126</v>
      </c>
      <c r="B2805" s="2" t="s">
        <v>126</v>
      </c>
      <c r="C2805" s="2" t="s">
        <v>50</v>
      </c>
      <c r="D2805" s="2" t="s">
        <v>10</v>
      </c>
      <c r="E2805" s="2" t="s">
        <v>85</v>
      </c>
      <c r="F2805" s="2" t="s">
        <v>1145</v>
      </c>
      <c r="G2805" s="14" t="n">
        <v>24.5</v>
      </c>
      <c r="H2805" s="14" t="n">
        <v>23.58</v>
      </c>
      <c r="I2805" s="14" t="n">
        <v>24.5</v>
      </c>
      <c r="J2805" s="22" t="n">
        <f aca="false">IF(E2805="Priority",'Cost model'!N382,'Cost model'!M382)</f>
        <v>25.5</v>
      </c>
      <c r="K2805" s="14" t="n">
        <f aca="false">J2805-H2805</f>
        <v>1.92</v>
      </c>
      <c r="L2805" s="14" t="n">
        <f aca="false">G2805-H2805</f>
        <v>0.920000000000002</v>
      </c>
    </row>
    <row r="2806" customFormat="false" ht="15" hidden="false" customHeight="false" outlineLevel="0" collapsed="false">
      <c r="A2806" s="2" t="s">
        <v>126</v>
      </c>
      <c r="B2806" s="2" t="s">
        <v>126</v>
      </c>
      <c r="C2806" s="2" t="s">
        <v>49</v>
      </c>
      <c r="D2806" s="2" t="s">
        <v>10</v>
      </c>
      <c r="E2806" s="2" t="s">
        <v>76</v>
      </c>
      <c r="F2806" s="2" t="s">
        <v>1145</v>
      </c>
      <c r="G2806" s="14" t="n">
        <v>12.5</v>
      </c>
      <c r="H2806" s="14" t="n">
        <v>7.93</v>
      </c>
      <c r="I2806" s="14" t="n">
        <v>12.5</v>
      </c>
      <c r="J2806" s="22" t="n">
        <f aca="false">IF(E2806="Priority",'Cost model'!N381,'Cost model'!M381)</f>
        <v>14.5</v>
      </c>
      <c r="K2806" s="14" t="n">
        <f aca="false">J2806-H2806</f>
        <v>6.57</v>
      </c>
      <c r="L2806" s="14" t="n">
        <f aca="false">G2806-H2806</f>
        <v>4.57</v>
      </c>
    </row>
    <row r="2807" customFormat="false" ht="15" hidden="false" customHeight="false" outlineLevel="0" collapsed="false">
      <c r="A2807" s="2" t="s">
        <v>184</v>
      </c>
      <c r="B2807" s="2" t="s">
        <v>146</v>
      </c>
      <c r="C2807" s="2" t="s">
        <v>48</v>
      </c>
      <c r="D2807" s="2" t="s">
        <v>12</v>
      </c>
      <c r="E2807" s="2" t="s">
        <v>76</v>
      </c>
      <c r="F2807" s="2" t="s">
        <v>1146</v>
      </c>
      <c r="G2807" s="14" t="n">
        <v>9.5</v>
      </c>
      <c r="H2807" s="14" t="n">
        <v>28.09</v>
      </c>
      <c r="I2807" s="14" t="n">
        <v>9.5</v>
      </c>
      <c r="J2807" s="22" t="n">
        <f aca="false">IF(E2807="Priority",'Cost model'!N149,'Cost model'!M149)</f>
        <v>45</v>
      </c>
      <c r="K2807" s="14" t="n">
        <f aca="false">J2807-H2807</f>
        <v>16.91</v>
      </c>
      <c r="L2807" s="14" t="n">
        <f aca="false">G2807-H2807</f>
        <v>-18.59</v>
      </c>
    </row>
    <row r="2808" customFormat="false" ht="15" hidden="false" customHeight="false" outlineLevel="0" collapsed="false">
      <c r="A2808" s="2" t="s">
        <v>184</v>
      </c>
      <c r="B2808" s="2" t="s">
        <v>165</v>
      </c>
      <c r="C2808" s="2" t="s">
        <v>49</v>
      </c>
      <c r="D2808" s="2" t="s">
        <v>12</v>
      </c>
      <c r="E2808" s="2" t="s">
        <v>76</v>
      </c>
      <c r="F2808" s="2" t="s">
        <v>1146</v>
      </c>
      <c r="G2808" s="14" t="n">
        <v>19.5</v>
      </c>
      <c r="H2808" s="14" t="n">
        <v>57.41</v>
      </c>
      <c r="I2808" s="14"/>
      <c r="J2808" s="22" t="n">
        <f aca="false">IF(E2808="Priority",'Cost model'!N168,'Cost model'!M168)</f>
        <v>60</v>
      </c>
      <c r="K2808" s="14" t="n">
        <f aca="false">J2808-H2808</f>
        <v>2.59</v>
      </c>
      <c r="L2808" s="14" t="n">
        <f aca="false">G2808-H2808</f>
        <v>-37.91</v>
      </c>
    </row>
    <row r="2809" customFormat="false" ht="15" hidden="false" customHeight="false" outlineLevel="0" collapsed="false">
      <c r="A2809" s="2" t="s">
        <v>146</v>
      </c>
      <c r="B2809" s="2" t="s">
        <v>146</v>
      </c>
      <c r="C2809" s="2" t="s">
        <v>50</v>
      </c>
      <c r="D2809" s="2" t="s">
        <v>12</v>
      </c>
      <c r="E2809" s="2" t="s">
        <v>76</v>
      </c>
      <c r="F2809" s="2" t="s">
        <v>1145</v>
      </c>
      <c r="G2809" s="14" t="n">
        <v>19.5</v>
      </c>
      <c r="H2809" s="14" t="n">
        <v>44.89</v>
      </c>
      <c r="I2809" s="14" t="n">
        <v>19.5</v>
      </c>
      <c r="J2809" s="22" t="n">
        <f aca="false">IF(E2809="Priority",'Cost model'!N763,'Cost model'!M763)</f>
        <v>50</v>
      </c>
      <c r="K2809" s="14" t="n">
        <f aca="false">J2809-H2809</f>
        <v>5.11</v>
      </c>
      <c r="L2809" s="14" t="n">
        <f aca="false">G2809-H2809</f>
        <v>-25.39</v>
      </c>
    </row>
    <row r="2810" customFormat="false" ht="15" hidden="false" customHeight="false" outlineLevel="0" collapsed="false">
      <c r="A2810" s="2" t="s">
        <v>126</v>
      </c>
      <c r="B2810" s="2" t="s">
        <v>126</v>
      </c>
      <c r="C2810" s="2" t="s">
        <v>50</v>
      </c>
      <c r="D2810" s="2" t="s">
        <v>12</v>
      </c>
      <c r="E2810" s="2" t="s">
        <v>76</v>
      </c>
      <c r="F2810" s="2" t="s">
        <v>1145</v>
      </c>
      <c r="G2810" s="14" t="n">
        <v>19.5</v>
      </c>
      <c r="H2810" s="14" t="n">
        <v>48.45</v>
      </c>
      <c r="I2810" s="14" t="n">
        <v>19.5</v>
      </c>
      <c r="J2810" s="22" t="n">
        <f aca="false">IF(E2810="Priority",'Cost model'!N385,'Cost model'!M385)</f>
        <v>55</v>
      </c>
      <c r="K2810" s="14" t="n">
        <f aca="false">J2810-H2810</f>
        <v>6.55</v>
      </c>
      <c r="L2810" s="14" t="n">
        <f aca="false">G2810-H2810</f>
        <v>-28.95</v>
      </c>
    </row>
    <row r="2811" customFormat="false" ht="15" hidden="false" customHeight="false" outlineLevel="0" collapsed="false">
      <c r="A2811" s="2" t="s">
        <v>240</v>
      </c>
      <c r="B2811" s="2" t="s">
        <v>146</v>
      </c>
      <c r="C2811" s="2" t="s">
        <v>50</v>
      </c>
      <c r="D2811" s="2" t="s">
        <v>10</v>
      </c>
      <c r="E2811" s="2" t="s">
        <v>76</v>
      </c>
      <c r="F2811" s="2" t="s">
        <v>1146</v>
      </c>
      <c r="G2811" s="14" t="n">
        <v>17.5</v>
      </c>
      <c r="H2811" s="14" t="n">
        <v>42.23</v>
      </c>
      <c r="I2811" s="14" t="n">
        <v>19.5</v>
      </c>
      <c r="J2811" s="22" t="n">
        <f aca="false">IF(E2811="Priority",'Cost model'!N922,'Cost model'!M922)</f>
        <v>35</v>
      </c>
      <c r="K2811" s="14" t="n">
        <f aca="false">J2811-H2811</f>
        <v>-7.23</v>
      </c>
      <c r="L2811" s="14" t="n">
        <f aca="false">G2811-H2811</f>
        <v>-24.73</v>
      </c>
    </row>
    <row r="2812" customFormat="false" ht="15" hidden="false" customHeight="false" outlineLevel="0" collapsed="false">
      <c r="A2812" s="2" t="s">
        <v>184</v>
      </c>
      <c r="B2812" s="2" t="s">
        <v>184</v>
      </c>
      <c r="C2812" s="2" t="s">
        <v>49</v>
      </c>
      <c r="D2812" s="2" t="s">
        <v>12</v>
      </c>
      <c r="E2812" s="2" t="s">
        <v>76</v>
      </c>
      <c r="F2812" s="2" t="s">
        <v>1145</v>
      </c>
      <c r="G2812" s="14" t="n">
        <v>12.5</v>
      </c>
      <c r="H2812" s="14" t="n">
        <v>43.77</v>
      </c>
      <c r="I2812" s="14"/>
      <c r="J2812" s="22" t="n">
        <f aca="false">IF(E2812="Priority",'Cost model'!N204,'Cost model'!M204)</f>
        <v>45</v>
      </c>
      <c r="K2812" s="14" t="n">
        <f aca="false">J2812-H2812</f>
        <v>1.23</v>
      </c>
      <c r="L2812" s="14" t="n">
        <f aca="false">G2812-H2812</f>
        <v>-31.27</v>
      </c>
    </row>
    <row r="2813" customFormat="false" ht="15" hidden="false" customHeight="false" outlineLevel="0" collapsed="false">
      <c r="A2813" s="2" t="s">
        <v>184</v>
      </c>
      <c r="B2813" s="2" t="s">
        <v>184</v>
      </c>
      <c r="C2813" s="2" t="s">
        <v>50</v>
      </c>
      <c r="D2813" s="2" t="s">
        <v>12</v>
      </c>
      <c r="E2813" s="2" t="s">
        <v>76</v>
      </c>
      <c r="F2813" s="2" t="s">
        <v>1145</v>
      </c>
      <c r="G2813" s="14" t="n">
        <v>19.5</v>
      </c>
      <c r="H2813" s="14" t="n">
        <v>46.27</v>
      </c>
      <c r="I2813" s="14" t="n">
        <v>19.5</v>
      </c>
      <c r="J2813" s="22" t="n">
        <f aca="false">IF(E2813="Priority",'Cost model'!N205,'Cost model'!M205)</f>
        <v>50</v>
      </c>
      <c r="K2813" s="14" t="n">
        <f aca="false">J2813-H2813</f>
        <v>3.73</v>
      </c>
      <c r="L2813" s="14" t="n">
        <f aca="false">G2813-H2813</f>
        <v>-26.77</v>
      </c>
    </row>
    <row r="2814" customFormat="false" ht="15" hidden="false" customHeight="false" outlineLevel="0" collapsed="false">
      <c r="A2814" s="2" t="s">
        <v>126</v>
      </c>
      <c r="B2814" s="2" t="s">
        <v>126</v>
      </c>
      <c r="C2814" s="2" t="s">
        <v>49</v>
      </c>
      <c r="D2814" s="2" t="s">
        <v>10</v>
      </c>
      <c r="E2814" s="2" t="s">
        <v>76</v>
      </c>
      <c r="F2814" s="2" t="s">
        <v>1145</v>
      </c>
      <c r="G2814" s="14" t="n">
        <v>12.5</v>
      </c>
      <c r="H2814" s="14" t="n">
        <v>16.84</v>
      </c>
      <c r="I2814" s="14" t="n">
        <v>12.5</v>
      </c>
      <c r="J2814" s="22" t="n">
        <f aca="false">IF(E2814="Priority",'Cost model'!N381,'Cost model'!M381)</f>
        <v>14.5</v>
      </c>
      <c r="K2814" s="14" t="n">
        <f aca="false">J2814-H2814</f>
        <v>-2.34</v>
      </c>
      <c r="L2814" s="14" t="n">
        <f aca="false">G2814-H2814</f>
        <v>-4.34</v>
      </c>
    </row>
    <row r="2815" customFormat="false" ht="15" hidden="false" customHeight="false" outlineLevel="0" collapsed="false">
      <c r="A2815" s="2" t="s">
        <v>184</v>
      </c>
      <c r="B2815" s="2" t="s">
        <v>126</v>
      </c>
      <c r="C2815" s="2" t="s">
        <v>48</v>
      </c>
      <c r="D2815" s="2" t="s">
        <v>10</v>
      </c>
      <c r="E2815" s="2" t="s">
        <v>76</v>
      </c>
      <c r="F2815" s="2" t="s">
        <v>1146</v>
      </c>
      <c r="G2815" s="14" t="n">
        <v>12.39</v>
      </c>
      <c r="H2815" s="14" t="n">
        <v>8.38</v>
      </c>
      <c r="I2815" s="14" t="n">
        <v>9.5</v>
      </c>
      <c r="J2815" s="22" t="n">
        <f aca="false">IF(E2815="Priority",'Cost model'!N128,'Cost model'!M128)</f>
        <v>10.5</v>
      </c>
      <c r="K2815" s="14" t="n">
        <f aca="false">J2815-H2815</f>
        <v>2.12</v>
      </c>
      <c r="L2815" s="14" t="n">
        <f aca="false">G2815-H2815</f>
        <v>4.01</v>
      </c>
    </row>
    <row r="2816" customFormat="false" ht="15" hidden="false" customHeight="false" outlineLevel="0" collapsed="false">
      <c r="A2816" s="2" t="s">
        <v>184</v>
      </c>
      <c r="B2816" s="2" t="s">
        <v>126</v>
      </c>
      <c r="C2816" s="2" t="s">
        <v>48</v>
      </c>
      <c r="D2816" s="2" t="s">
        <v>13</v>
      </c>
      <c r="E2816" s="2" t="s">
        <v>76</v>
      </c>
      <c r="F2816" s="2" t="s">
        <v>1146</v>
      </c>
      <c r="G2816" s="14" t="n">
        <v>19</v>
      </c>
      <c r="H2816" s="14" t="n">
        <v>78.62</v>
      </c>
      <c r="I2816" s="14" t="n">
        <v>19</v>
      </c>
      <c r="J2816" s="22" t="n">
        <f aca="false">IF(E2816="Priority",'Cost model'!N134,'Cost model'!M134)</f>
        <v>80</v>
      </c>
      <c r="K2816" s="14" t="n">
        <f aca="false">J2816-H2816</f>
        <v>1.38</v>
      </c>
      <c r="L2816" s="14" t="n">
        <f aca="false">G2816-H2816</f>
        <v>-59.62</v>
      </c>
    </row>
    <row r="2817" customFormat="false" ht="15" hidden="false" customHeight="false" outlineLevel="0" collapsed="false">
      <c r="A2817" s="2" t="s">
        <v>165</v>
      </c>
      <c r="B2817" s="2" t="s">
        <v>165</v>
      </c>
      <c r="C2817" s="2" t="s">
        <v>50</v>
      </c>
      <c r="D2817" s="2" t="s">
        <v>12</v>
      </c>
      <c r="E2817" s="2" t="s">
        <v>85</v>
      </c>
      <c r="F2817" s="2" t="s">
        <v>1145</v>
      </c>
      <c r="G2817" s="14" t="n">
        <v>29.5</v>
      </c>
      <c r="H2817" s="14" t="n">
        <v>31.8</v>
      </c>
      <c r="I2817" s="14" t="n">
        <v>29.5</v>
      </c>
      <c r="J2817" s="22" t="n">
        <f aca="false">IF(E2817="Priority",'Cost model'!N511,'Cost model'!M511)</f>
        <v>45</v>
      </c>
      <c r="K2817" s="14" t="n">
        <f aca="false">J2817-H2817</f>
        <v>13.2</v>
      </c>
      <c r="L2817" s="14" t="n">
        <f aca="false">G2817-H2817</f>
        <v>-2.3</v>
      </c>
    </row>
    <row r="2818" customFormat="false" ht="15" hidden="false" customHeight="false" outlineLevel="0" collapsed="false">
      <c r="A2818" s="2" t="s">
        <v>184</v>
      </c>
      <c r="B2818" s="2" t="s">
        <v>184</v>
      </c>
      <c r="C2818" s="2" t="s">
        <v>48</v>
      </c>
      <c r="D2818" s="2" t="s">
        <v>10</v>
      </c>
      <c r="E2818" s="2" t="s">
        <v>76</v>
      </c>
      <c r="F2818" s="2" t="s">
        <v>1145</v>
      </c>
      <c r="G2818" s="14" t="n">
        <v>9.5</v>
      </c>
      <c r="H2818" s="14" t="n">
        <v>7.72</v>
      </c>
      <c r="I2818" s="14" t="n">
        <v>9.5</v>
      </c>
      <c r="J2818" s="22" t="n">
        <f aca="false">IF(E2818="Priority",'Cost model'!N200,'Cost model'!M200)</f>
        <v>7.5</v>
      </c>
      <c r="K2818" s="14" t="n">
        <f aca="false">J2818-H2818</f>
        <v>-0.22</v>
      </c>
      <c r="L2818" s="14" t="n">
        <f aca="false">G2818-H2818</f>
        <v>1.78</v>
      </c>
    </row>
    <row r="2819" customFormat="false" ht="15" hidden="false" customHeight="false" outlineLevel="0" collapsed="false">
      <c r="A2819" s="2" t="s">
        <v>146</v>
      </c>
      <c r="B2819" s="2" t="s">
        <v>146</v>
      </c>
      <c r="C2819" s="2" t="s">
        <v>49</v>
      </c>
      <c r="D2819" s="2" t="s">
        <v>10</v>
      </c>
      <c r="E2819" s="2" t="s">
        <v>76</v>
      </c>
      <c r="F2819" s="2" t="s">
        <v>1145</v>
      </c>
      <c r="G2819" s="14" t="n">
        <v>12.5</v>
      </c>
      <c r="H2819" s="14" t="n">
        <v>9.19</v>
      </c>
      <c r="I2819" s="14" t="n">
        <v>12.5</v>
      </c>
      <c r="J2819" s="22" t="n">
        <f aca="false">IF(E2819="Priority",'Cost model'!N759,'Cost model'!M759)</f>
        <v>15.5</v>
      </c>
      <c r="K2819" s="14" t="n">
        <f aca="false">J2819-H2819</f>
        <v>6.31</v>
      </c>
      <c r="L2819" s="14" t="n">
        <f aca="false">G2819-H2819</f>
        <v>3.31</v>
      </c>
    </row>
    <row r="2820" customFormat="false" ht="15" hidden="false" customHeight="false" outlineLevel="0" collapsed="false">
      <c r="A2820" s="2" t="s">
        <v>146</v>
      </c>
      <c r="B2820" s="2" t="s">
        <v>146</v>
      </c>
      <c r="C2820" s="2" t="s">
        <v>48</v>
      </c>
      <c r="D2820" s="2" t="s">
        <v>13</v>
      </c>
      <c r="E2820" s="2" t="s">
        <v>76</v>
      </c>
      <c r="F2820" s="2" t="s">
        <v>1145</v>
      </c>
      <c r="G2820" s="14" t="n">
        <v>19</v>
      </c>
      <c r="H2820" s="14" t="n">
        <v>75.47</v>
      </c>
      <c r="I2820" s="14" t="n">
        <v>19</v>
      </c>
      <c r="J2820" s="22" t="n">
        <f aca="false">IF(E2820="Priority",'Cost model'!N764,'Cost model'!M764)</f>
        <v>55</v>
      </c>
      <c r="K2820" s="14" t="n">
        <f aca="false">J2820-H2820</f>
        <v>-20.47</v>
      </c>
      <c r="L2820" s="14" t="n">
        <f aca="false">G2820-H2820</f>
        <v>-56.47</v>
      </c>
    </row>
    <row r="2821" customFormat="false" ht="15" hidden="false" customHeight="false" outlineLevel="0" collapsed="false">
      <c r="A2821" s="2" t="s">
        <v>184</v>
      </c>
      <c r="B2821" s="2" t="s">
        <v>184</v>
      </c>
      <c r="C2821" s="2" t="s">
        <v>50</v>
      </c>
      <c r="D2821" s="2" t="s">
        <v>13</v>
      </c>
      <c r="E2821" s="2" t="s">
        <v>76</v>
      </c>
      <c r="F2821" s="2" t="s">
        <v>1145</v>
      </c>
      <c r="G2821" s="14" t="n">
        <v>50</v>
      </c>
      <c r="H2821" s="14" t="n">
        <v>77.91</v>
      </c>
      <c r="I2821" s="14" t="n">
        <v>50</v>
      </c>
      <c r="J2821" s="22" t="n">
        <f aca="false">IF(E2821="Priority",'Cost model'!N208,'Cost model'!M208)</f>
        <v>80</v>
      </c>
      <c r="K2821" s="14" t="n">
        <f aca="false">J2821-H2821</f>
        <v>2.09</v>
      </c>
      <c r="L2821" s="14" t="n">
        <f aca="false">G2821-H2821</f>
        <v>-27.91</v>
      </c>
    </row>
    <row r="2822" customFormat="false" ht="15" hidden="false" customHeight="false" outlineLevel="0" collapsed="false">
      <c r="A2822" s="2" t="s">
        <v>184</v>
      </c>
      <c r="B2822" s="2" t="s">
        <v>146</v>
      </c>
      <c r="C2822" s="2" t="s">
        <v>48</v>
      </c>
      <c r="D2822" s="2" t="s">
        <v>12</v>
      </c>
      <c r="E2822" s="2" t="s">
        <v>76</v>
      </c>
      <c r="F2822" s="2" t="s">
        <v>1146</v>
      </c>
      <c r="G2822" s="14" t="n">
        <v>9.5</v>
      </c>
      <c r="H2822" s="14" t="n">
        <v>41.99</v>
      </c>
      <c r="I2822" s="14" t="n">
        <v>9.5</v>
      </c>
      <c r="J2822" s="22" t="n">
        <f aca="false">IF(E2822="Priority",'Cost model'!N149,'Cost model'!M149)</f>
        <v>45</v>
      </c>
      <c r="K2822" s="14" t="n">
        <f aca="false">J2822-H2822</f>
        <v>3.01</v>
      </c>
      <c r="L2822" s="14" t="n">
        <f aca="false">G2822-H2822</f>
        <v>-32.49</v>
      </c>
    </row>
    <row r="2823" customFormat="false" ht="15" hidden="false" customHeight="false" outlineLevel="0" collapsed="false">
      <c r="A2823" s="2" t="s">
        <v>240</v>
      </c>
      <c r="B2823" s="2" t="s">
        <v>240</v>
      </c>
      <c r="C2823" s="2" t="s">
        <v>48</v>
      </c>
      <c r="D2823" s="2" t="s">
        <v>12</v>
      </c>
      <c r="E2823" s="2" t="s">
        <v>76</v>
      </c>
      <c r="F2823" s="2" t="s">
        <v>1145</v>
      </c>
      <c r="G2823" s="14" t="n">
        <v>24.5</v>
      </c>
      <c r="H2823" s="14" t="n">
        <v>40.1</v>
      </c>
      <c r="I2823" s="14" t="n">
        <v>9.5</v>
      </c>
      <c r="J2823" s="22" t="n">
        <f aca="false">IF(E2823="Priority",'Cost model'!N887,'Cost model'!M887)</f>
        <v>21.5</v>
      </c>
      <c r="K2823" s="14" t="n">
        <f aca="false">J2823-H2823</f>
        <v>-18.6</v>
      </c>
      <c r="L2823" s="14" t="n">
        <f aca="false">G2823-H2823</f>
        <v>-15.6</v>
      </c>
    </row>
    <row r="2824" customFormat="false" ht="15" hidden="false" customHeight="false" outlineLevel="0" collapsed="false">
      <c r="A2824" s="2" t="s">
        <v>184</v>
      </c>
      <c r="B2824" s="2" t="s">
        <v>126</v>
      </c>
      <c r="C2824" s="2" t="s">
        <v>50</v>
      </c>
      <c r="D2824" s="2" t="s">
        <v>10</v>
      </c>
      <c r="E2824" s="2" t="s">
        <v>76</v>
      </c>
      <c r="F2824" s="2" t="s">
        <v>1146</v>
      </c>
      <c r="G2824" s="14" t="n">
        <v>17.5</v>
      </c>
      <c r="H2824" s="14" t="n">
        <v>15.22</v>
      </c>
      <c r="I2824" s="14" t="n">
        <v>17.5</v>
      </c>
      <c r="J2824" s="22" t="n">
        <f aca="false">IF(E2824="Priority",'Cost model'!N130,'Cost model'!M130)</f>
        <v>18.5</v>
      </c>
      <c r="K2824" s="14" t="n">
        <f aca="false">J2824-H2824</f>
        <v>3.28</v>
      </c>
      <c r="L2824" s="14" t="n">
        <f aca="false">G2824-H2824</f>
        <v>2.28</v>
      </c>
    </row>
    <row r="2825" customFormat="false" ht="15" hidden="false" customHeight="false" outlineLevel="0" collapsed="false">
      <c r="A2825" s="2" t="s">
        <v>184</v>
      </c>
      <c r="B2825" s="2" t="s">
        <v>184</v>
      </c>
      <c r="C2825" s="2" t="s">
        <v>48</v>
      </c>
      <c r="D2825" s="2" t="s">
        <v>12</v>
      </c>
      <c r="E2825" s="2" t="s">
        <v>76</v>
      </c>
      <c r="F2825" s="2" t="s">
        <v>1145</v>
      </c>
      <c r="G2825" s="14" t="n">
        <v>24.5</v>
      </c>
      <c r="H2825" s="14" t="n">
        <v>42.61</v>
      </c>
      <c r="I2825" s="14" t="n">
        <v>9.5</v>
      </c>
      <c r="J2825" s="22" t="n">
        <f aca="false">IF(E2825="Priority",'Cost model'!N203,'Cost model'!M203)</f>
        <v>26.5</v>
      </c>
      <c r="K2825" s="14" t="n">
        <f aca="false">J2825-H2825</f>
        <v>-16.11</v>
      </c>
      <c r="L2825" s="14" t="n">
        <f aca="false">G2825-H2825</f>
        <v>-18.11</v>
      </c>
    </row>
    <row r="2826" customFormat="false" ht="15" hidden="false" customHeight="false" outlineLevel="0" collapsed="false">
      <c r="A2826" s="2" t="s">
        <v>126</v>
      </c>
      <c r="B2826" s="2" t="s">
        <v>221</v>
      </c>
      <c r="C2826" s="2" t="s">
        <v>48</v>
      </c>
      <c r="D2826" s="2" t="s">
        <v>10</v>
      </c>
      <c r="E2826" s="2" t="s">
        <v>76</v>
      </c>
      <c r="F2826" s="2" t="s">
        <v>1146</v>
      </c>
      <c r="G2826" s="14" t="n">
        <v>14.5</v>
      </c>
      <c r="H2826" s="14" t="n">
        <v>16.23</v>
      </c>
      <c r="I2826" s="14" t="n">
        <v>19.5</v>
      </c>
      <c r="J2826" s="22" t="n">
        <f aca="false">IF(E2826="Priority",'Cost model'!N452,'Cost model'!M452)</f>
        <v>13.5</v>
      </c>
      <c r="K2826" s="14" t="n">
        <f aca="false">J2826-H2826</f>
        <v>-2.73</v>
      </c>
      <c r="L2826" s="14" t="n">
        <f aca="false">G2826-H2826</f>
        <v>-1.73</v>
      </c>
    </row>
    <row r="2827" customFormat="false" ht="15" hidden="false" customHeight="false" outlineLevel="0" collapsed="false">
      <c r="A2827" s="2" t="s">
        <v>240</v>
      </c>
      <c r="B2827" s="2" t="s">
        <v>126</v>
      </c>
      <c r="C2827" s="2" t="s">
        <v>50</v>
      </c>
      <c r="D2827" s="2" t="s">
        <v>10</v>
      </c>
      <c r="E2827" s="2" t="s">
        <v>76</v>
      </c>
      <c r="F2827" s="2" t="s">
        <v>1146</v>
      </c>
      <c r="G2827" s="14" t="n">
        <v>17.5</v>
      </c>
      <c r="H2827" s="14" t="n">
        <v>37.28</v>
      </c>
      <c r="I2827" s="14" t="n">
        <v>19.5</v>
      </c>
      <c r="J2827" s="22" t="n">
        <f aca="false">IF(E2827="Priority",'Cost model'!N958,'Cost model'!M958)</f>
        <v>24.5</v>
      </c>
      <c r="K2827" s="14" t="n">
        <f aca="false">J2827-H2827</f>
        <v>-12.78</v>
      </c>
      <c r="L2827" s="14" t="n">
        <f aca="false">G2827-H2827</f>
        <v>-19.78</v>
      </c>
    </row>
    <row r="2828" customFormat="false" ht="15" hidden="false" customHeight="false" outlineLevel="0" collapsed="false">
      <c r="A2828" s="2" t="s">
        <v>146</v>
      </c>
      <c r="B2828" s="2" t="s">
        <v>184</v>
      </c>
      <c r="C2828" s="2" t="s">
        <v>48</v>
      </c>
      <c r="D2828" s="2" t="s">
        <v>12</v>
      </c>
      <c r="E2828" s="2" t="s">
        <v>76</v>
      </c>
      <c r="F2828" s="2" t="s">
        <v>1146</v>
      </c>
      <c r="G2828" s="14" t="n">
        <v>9.5</v>
      </c>
      <c r="H2828" s="14" t="n">
        <v>13.61</v>
      </c>
      <c r="I2828" s="14" t="n">
        <v>19.5</v>
      </c>
      <c r="J2828" s="22" t="n">
        <f aca="false">IF(E2828="Priority",'Cost model'!N833,'Cost model'!M833)</f>
        <v>45</v>
      </c>
      <c r="K2828" s="14" t="n">
        <f aca="false">J2828-H2828</f>
        <v>31.39</v>
      </c>
      <c r="L2828" s="14" t="n">
        <f aca="false">G2828-H2828</f>
        <v>-4.11</v>
      </c>
    </row>
    <row r="2829" customFormat="false" ht="15" hidden="false" customHeight="false" outlineLevel="0" collapsed="false">
      <c r="A2829" s="2" t="s">
        <v>184</v>
      </c>
      <c r="B2829" s="2" t="s">
        <v>184</v>
      </c>
      <c r="C2829" s="2" t="s">
        <v>50</v>
      </c>
      <c r="D2829" s="2" t="s">
        <v>12</v>
      </c>
      <c r="E2829" s="2" t="s">
        <v>76</v>
      </c>
      <c r="F2829" s="2" t="s">
        <v>1145</v>
      </c>
      <c r="G2829" s="14" t="n">
        <v>19.5</v>
      </c>
      <c r="H2829" s="14" t="n">
        <v>47.75</v>
      </c>
      <c r="I2829" s="14" t="n">
        <v>19.5</v>
      </c>
      <c r="J2829" s="22" t="n">
        <f aca="false">IF(E2829="Priority",'Cost model'!N205,'Cost model'!M205)</f>
        <v>50</v>
      </c>
      <c r="K2829" s="14" t="n">
        <f aca="false">J2829-H2829</f>
        <v>2.25</v>
      </c>
      <c r="L2829" s="14" t="n">
        <f aca="false">G2829-H2829</f>
        <v>-28.25</v>
      </c>
    </row>
    <row r="2830" customFormat="false" ht="15" hidden="false" customHeight="false" outlineLevel="0" collapsed="false">
      <c r="A2830" s="2" t="s">
        <v>240</v>
      </c>
      <c r="B2830" s="2" t="s">
        <v>126</v>
      </c>
      <c r="C2830" s="2" t="s">
        <v>48</v>
      </c>
      <c r="D2830" s="2" t="s">
        <v>10</v>
      </c>
      <c r="E2830" s="2" t="s">
        <v>76</v>
      </c>
      <c r="F2830" s="2" t="s">
        <v>1146</v>
      </c>
      <c r="G2830" s="14" t="n">
        <v>9.5</v>
      </c>
      <c r="H2830" s="14" t="n">
        <v>8.58</v>
      </c>
      <c r="I2830" s="14" t="n">
        <v>19.5</v>
      </c>
      <c r="J2830" s="22" t="n">
        <f aca="false">IF(E2830="Priority",'Cost model'!N956,'Cost model'!M956)</f>
        <v>15.5</v>
      </c>
      <c r="K2830" s="14" t="n">
        <f aca="false">J2830-H2830</f>
        <v>6.92</v>
      </c>
      <c r="L2830" s="14" t="n">
        <f aca="false">G2830-H2830</f>
        <v>0.92</v>
      </c>
    </row>
    <row r="2831" customFormat="false" ht="15" hidden="false" customHeight="false" outlineLevel="0" collapsed="false">
      <c r="A2831" s="2" t="s">
        <v>240</v>
      </c>
      <c r="B2831" s="2" t="s">
        <v>240</v>
      </c>
      <c r="C2831" s="2" t="s">
        <v>48</v>
      </c>
      <c r="D2831" s="2" t="s">
        <v>14</v>
      </c>
      <c r="E2831" s="2" t="s">
        <v>76</v>
      </c>
      <c r="F2831" s="2" t="s">
        <v>1145</v>
      </c>
      <c r="G2831" s="14" t="n">
        <v>25</v>
      </c>
      <c r="H2831" s="14" t="n">
        <v>33.77</v>
      </c>
      <c r="I2831" s="14" t="n">
        <v>25</v>
      </c>
      <c r="J2831" s="22" t="n">
        <f aca="false">IF(E2831="Priority",'Cost model'!N893,'Cost model'!M893)</f>
        <v>135</v>
      </c>
      <c r="K2831" s="14" t="n">
        <f aca="false">J2831-H2831</f>
        <v>101.23</v>
      </c>
      <c r="L2831" s="14" t="n">
        <f aca="false">G2831-H2831</f>
        <v>-8.77</v>
      </c>
    </row>
    <row r="2832" customFormat="false" ht="15" hidden="false" customHeight="false" outlineLevel="0" collapsed="false">
      <c r="A2832" s="2" t="s">
        <v>240</v>
      </c>
      <c r="B2832" s="2" t="s">
        <v>240</v>
      </c>
      <c r="C2832" s="2" t="s">
        <v>48</v>
      </c>
      <c r="D2832" s="2" t="s">
        <v>12</v>
      </c>
      <c r="E2832" s="2" t="s">
        <v>76</v>
      </c>
      <c r="F2832" s="2" t="s">
        <v>1145</v>
      </c>
      <c r="G2832" s="14" t="n">
        <v>9.5</v>
      </c>
      <c r="H2832" s="14" t="n">
        <v>59.1</v>
      </c>
      <c r="I2832" s="14" t="n">
        <v>9.5</v>
      </c>
      <c r="J2832" s="22" t="n">
        <f aca="false">IF(E2832="Priority",'Cost model'!N887,'Cost model'!M887)</f>
        <v>21.5</v>
      </c>
      <c r="K2832" s="14" t="n">
        <f aca="false">J2832-H2832</f>
        <v>-37.6</v>
      </c>
      <c r="L2832" s="14" t="n">
        <f aca="false">G2832-H2832</f>
        <v>-49.6</v>
      </c>
    </row>
    <row r="2833" customFormat="false" ht="15" hidden="false" customHeight="false" outlineLevel="0" collapsed="false">
      <c r="A2833" s="2" t="s">
        <v>184</v>
      </c>
      <c r="B2833" s="2" t="s">
        <v>146</v>
      </c>
      <c r="C2833" s="2" t="s">
        <v>50</v>
      </c>
      <c r="D2833" s="2" t="s">
        <v>12</v>
      </c>
      <c r="E2833" s="2" t="s">
        <v>76</v>
      </c>
      <c r="F2833" s="2" t="s">
        <v>1146</v>
      </c>
      <c r="G2833" s="14" t="n">
        <v>19.5</v>
      </c>
      <c r="H2833" s="14" t="n">
        <v>47.23</v>
      </c>
      <c r="I2833" s="14" t="n">
        <v>19.5</v>
      </c>
      <c r="J2833" s="22" t="n">
        <f aca="false">IF(E2833="Priority",'Cost model'!N151,'Cost model'!M151)</f>
        <v>55</v>
      </c>
      <c r="K2833" s="14" t="n">
        <f aca="false">J2833-H2833</f>
        <v>7.77</v>
      </c>
      <c r="L2833" s="14" t="n">
        <f aca="false">G2833-H2833</f>
        <v>-27.73</v>
      </c>
    </row>
    <row r="2834" customFormat="false" ht="15" hidden="false" customHeight="false" outlineLevel="0" collapsed="false">
      <c r="A2834" s="2" t="s">
        <v>146</v>
      </c>
      <c r="B2834" s="2" t="s">
        <v>146</v>
      </c>
      <c r="C2834" s="2" t="s">
        <v>48</v>
      </c>
      <c r="D2834" s="2" t="s">
        <v>10</v>
      </c>
      <c r="E2834" s="2" t="s">
        <v>76</v>
      </c>
      <c r="F2834" s="2" t="s">
        <v>1145</v>
      </c>
      <c r="G2834" s="14" t="n">
        <v>9.5</v>
      </c>
      <c r="H2834" s="14" t="n">
        <v>6.8</v>
      </c>
      <c r="I2834" s="14" t="n">
        <v>9.5</v>
      </c>
      <c r="J2834" s="22" t="n">
        <f aca="false">IF(E2834="Priority",'Cost model'!N758,'Cost model'!M758)</f>
        <v>9.5</v>
      </c>
      <c r="K2834" s="14" t="n">
        <f aca="false">J2834-H2834</f>
        <v>2.7</v>
      </c>
      <c r="L2834" s="14" t="n">
        <f aca="false">G2834-H2834</f>
        <v>2.7</v>
      </c>
    </row>
    <row r="2835" customFormat="false" ht="15" hidden="false" customHeight="false" outlineLevel="0" collapsed="false">
      <c r="A2835" s="2" t="s">
        <v>184</v>
      </c>
      <c r="B2835" s="2" t="s">
        <v>184</v>
      </c>
      <c r="C2835" s="2" t="s">
        <v>48</v>
      </c>
      <c r="D2835" s="2" t="s">
        <v>10</v>
      </c>
      <c r="E2835" s="2" t="s">
        <v>76</v>
      </c>
      <c r="F2835" s="2" t="s">
        <v>1145</v>
      </c>
      <c r="G2835" s="14" t="n">
        <v>9.5</v>
      </c>
      <c r="H2835" s="14" t="n">
        <v>8.55</v>
      </c>
      <c r="I2835" s="14" t="n">
        <v>9.5</v>
      </c>
      <c r="J2835" s="22" t="n">
        <f aca="false">IF(E2835="Priority",'Cost model'!N200,'Cost model'!M200)</f>
        <v>7.5</v>
      </c>
      <c r="K2835" s="14" t="n">
        <f aca="false">J2835-H2835</f>
        <v>-1.05</v>
      </c>
      <c r="L2835" s="14" t="n">
        <f aca="false">G2835-H2835</f>
        <v>0.949999999999999</v>
      </c>
    </row>
    <row r="2836" customFormat="false" ht="15" hidden="false" customHeight="false" outlineLevel="0" collapsed="false">
      <c r="A2836" s="2" t="s">
        <v>184</v>
      </c>
      <c r="B2836" s="2" t="s">
        <v>126</v>
      </c>
      <c r="C2836" s="2" t="s">
        <v>48</v>
      </c>
      <c r="D2836" s="2" t="s">
        <v>12</v>
      </c>
      <c r="E2836" s="2" t="s">
        <v>76</v>
      </c>
      <c r="F2836" s="2" t="s">
        <v>1146</v>
      </c>
      <c r="G2836" s="14" t="n">
        <v>9.5</v>
      </c>
      <c r="H2836" s="14" t="n">
        <v>14.86</v>
      </c>
      <c r="I2836" s="14" t="n">
        <v>9.5</v>
      </c>
      <c r="J2836" s="22" t="n">
        <f aca="false">IF(E2836="Priority",'Cost model'!N131,'Cost model'!M131)</f>
        <v>40</v>
      </c>
      <c r="K2836" s="14" t="n">
        <f aca="false">J2836-H2836</f>
        <v>25.14</v>
      </c>
      <c r="L2836" s="14" t="n">
        <f aca="false">G2836-H2836</f>
        <v>-5.36</v>
      </c>
    </row>
    <row r="2837" customFormat="false" ht="15" hidden="false" customHeight="false" outlineLevel="0" collapsed="false">
      <c r="A2837" s="2" t="s">
        <v>125</v>
      </c>
      <c r="B2837" s="2" t="s">
        <v>184</v>
      </c>
      <c r="C2837" s="2" t="s">
        <v>48</v>
      </c>
      <c r="D2837" s="2" t="s">
        <v>10</v>
      </c>
      <c r="E2837" s="2" t="s">
        <v>76</v>
      </c>
      <c r="F2837" s="2" t="s">
        <v>1146</v>
      </c>
      <c r="G2837" s="14" t="n">
        <v>14.5</v>
      </c>
      <c r="H2837" s="14" t="n">
        <v>7.02</v>
      </c>
      <c r="I2837" s="14" t="n">
        <v>14.5</v>
      </c>
      <c r="J2837" s="22" t="n">
        <f aca="false">IF(E2837="Priority",'Cost model'!N56,'Cost model'!M56)</f>
        <v>11.5</v>
      </c>
      <c r="K2837" s="14" t="n">
        <f aca="false">J2837-H2837</f>
        <v>4.48</v>
      </c>
      <c r="L2837" s="14" t="n">
        <f aca="false">G2837-H2837</f>
        <v>7.48</v>
      </c>
    </row>
    <row r="2838" customFormat="false" ht="15" hidden="false" customHeight="false" outlineLevel="0" collapsed="false">
      <c r="A2838" s="2" t="s">
        <v>184</v>
      </c>
      <c r="B2838" s="2" t="s">
        <v>184</v>
      </c>
      <c r="C2838" s="2" t="s">
        <v>49</v>
      </c>
      <c r="D2838" s="2" t="s">
        <v>12</v>
      </c>
      <c r="E2838" s="2" t="s">
        <v>76</v>
      </c>
      <c r="F2838" s="2" t="s">
        <v>1145</v>
      </c>
      <c r="G2838" s="14" t="n">
        <v>12.5</v>
      </c>
      <c r="H2838" s="14" t="n">
        <v>58.99</v>
      </c>
      <c r="I2838" s="14"/>
      <c r="J2838" s="22" t="n">
        <f aca="false">IF(E2838="Priority",'Cost model'!N204,'Cost model'!M204)</f>
        <v>45</v>
      </c>
      <c r="K2838" s="14" t="n">
        <f aca="false">J2838-H2838</f>
        <v>-13.99</v>
      </c>
      <c r="L2838" s="14" t="n">
        <f aca="false">G2838-H2838</f>
        <v>-46.49</v>
      </c>
    </row>
    <row r="2839" customFormat="false" ht="15" hidden="false" customHeight="false" outlineLevel="0" collapsed="false">
      <c r="A2839" s="2" t="s">
        <v>240</v>
      </c>
      <c r="B2839" s="2" t="s">
        <v>240</v>
      </c>
      <c r="C2839" s="2" t="s">
        <v>48</v>
      </c>
      <c r="D2839" s="2" t="s">
        <v>10</v>
      </c>
      <c r="E2839" s="2" t="s">
        <v>85</v>
      </c>
      <c r="F2839" s="2" t="s">
        <v>1145</v>
      </c>
      <c r="G2839" s="14" t="n">
        <v>14.5</v>
      </c>
      <c r="H2839" s="14" t="n">
        <v>7.9</v>
      </c>
      <c r="I2839" s="14" t="n">
        <v>14.5</v>
      </c>
      <c r="J2839" s="22" t="n">
        <f aca="false">IF(E2839="Priority",'Cost model'!N884,'Cost model'!M884)</f>
        <v>12.5</v>
      </c>
      <c r="K2839" s="14" t="n">
        <f aca="false">J2839-H2839</f>
        <v>4.6</v>
      </c>
      <c r="L2839" s="14" t="n">
        <f aca="false">G2839-H2839</f>
        <v>6.6</v>
      </c>
    </row>
    <row r="2840" customFormat="false" ht="15" hidden="false" customHeight="false" outlineLevel="0" collapsed="false">
      <c r="A2840" s="2" t="s">
        <v>126</v>
      </c>
      <c r="B2840" s="2" t="s">
        <v>126</v>
      </c>
      <c r="C2840" s="2" t="s">
        <v>49</v>
      </c>
      <c r="D2840" s="2" t="s">
        <v>12</v>
      </c>
      <c r="E2840" s="2" t="s">
        <v>76</v>
      </c>
      <c r="F2840" s="2" t="s">
        <v>1145</v>
      </c>
      <c r="G2840" s="14" t="n">
        <v>12.5</v>
      </c>
      <c r="H2840" s="14" t="n">
        <v>11.97</v>
      </c>
      <c r="I2840" s="14" t="n">
        <v>12.5</v>
      </c>
      <c r="J2840" s="22" t="n">
        <f aca="false">IF(E2840="Priority",'Cost model'!N384,'Cost model'!M384)</f>
        <v>45</v>
      </c>
      <c r="K2840" s="14" t="n">
        <f aca="false">J2840-H2840</f>
        <v>33.03</v>
      </c>
      <c r="L2840" s="14" t="n">
        <f aca="false">G2840-H2840</f>
        <v>0.529999999999999</v>
      </c>
    </row>
    <row r="2841" customFormat="false" ht="15" hidden="false" customHeight="false" outlineLevel="0" collapsed="false">
      <c r="A2841" s="2" t="s">
        <v>126</v>
      </c>
      <c r="B2841" s="2" t="s">
        <v>240</v>
      </c>
      <c r="C2841" s="2" t="s">
        <v>49</v>
      </c>
      <c r="D2841" s="2" t="s">
        <v>10</v>
      </c>
      <c r="E2841" s="2" t="s">
        <v>76</v>
      </c>
      <c r="F2841" s="2" t="s">
        <v>1146</v>
      </c>
      <c r="G2841" s="14" t="n">
        <v>12.5</v>
      </c>
      <c r="H2841" s="14" t="n">
        <v>115.15</v>
      </c>
      <c r="I2841" s="14" t="n">
        <v>19.5</v>
      </c>
      <c r="J2841" s="22" t="n">
        <f aca="false">IF(E2841="Priority",'Cost model'!N489,'Cost model'!M489)</f>
        <v>26.5</v>
      </c>
      <c r="K2841" s="14" t="n">
        <f aca="false">J2841-H2841</f>
        <v>-88.65</v>
      </c>
      <c r="L2841" s="14" t="n">
        <f aca="false">G2841-H2841</f>
        <v>-102.65</v>
      </c>
    </row>
    <row r="2842" customFormat="false" ht="15" hidden="false" customHeight="false" outlineLevel="0" collapsed="false">
      <c r="A2842" s="2" t="s">
        <v>126</v>
      </c>
      <c r="B2842" s="2" t="s">
        <v>126</v>
      </c>
      <c r="C2842" s="2" t="s">
        <v>48</v>
      </c>
      <c r="D2842" s="2" t="s">
        <v>10</v>
      </c>
      <c r="E2842" s="2" t="s">
        <v>76</v>
      </c>
      <c r="F2842" s="2" t="s">
        <v>1145</v>
      </c>
      <c r="G2842" s="14" t="n">
        <v>19.5</v>
      </c>
      <c r="H2842" s="14" t="n">
        <v>21.34</v>
      </c>
      <c r="I2842" s="14" t="n">
        <v>9.5</v>
      </c>
      <c r="J2842" s="22" t="n">
        <f aca="false">IF(E2842="Priority",'Cost model'!N380,'Cost model'!M380)</f>
        <v>8.5</v>
      </c>
      <c r="K2842" s="14" t="n">
        <f aca="false">J2842-H2842</f>
        <v>-12.84</v>
      </c>
      <c r="L2842" s="14" t="n">
        <f aca="false">G2842-H2842</f>
        <v>-1.84</v>
      </c>
    </row>
    <row r="2843" customFormat="false" ht="15" hidden="false" customHeight="false" outlineLevel="0" collapsed="false">
      <c r="A2843" s="2" t="s">
        <v>221</v>
      </c>
      <c r="B2843" s="2" t="s">
        <v>221</v>
      </c>
      <c r="C2843" s="2" t="s">
        <v>49</v>
      </c>
      <c r="D2843" s="2" t="s">
        <v>12</v>
      </c>
      <c r="E2843" s="2" t="s">
        <v>85</v>
      </c>
      <c r="F2843" s="2" t="s">
        <v>1145</v>
      </c>
      <c r="G2843" s="14" t="n">
        <v>19.5</v>
      </c>
      <c r="H2843" s="14" t="n">
        <v>115.15</v>
      </c>
      <c r="I2843" s="14" t="n">
        <v>19.5</v>
      </c>
      <c r="J2843" s="22" t="n">
        <f aca="false">IF(E2843="Priority",'Cost model'!N636,'Cost model'!M636)</f>
        <v>70</v>
      </c>
      <c r="K2843" s="14" t="n">
        <f aca="false">J2843-H2843</f>
        <v>-45.15</v>
      </c>
      <c r="L2843" s="14" t="n">
        <f aca="false">G2843-H2843</f>
        <v>-95.65</v>
      </c>
    </row>
    <row r="2844" customFormat="false" ht="15" hidden="false" customHeight="false" outlineLevel="0" collapsed="false">
      <c r="A2844" s="2" t="s">
        <v>184</v>
      </c>
      <c r="B2844" s="2" t="s">
        <v>126</v>
      </c>
      <c r="C2844" s="2" t="s">
        <v>50</v>
      </c>
      <c r="D2844" s="2" t="s">
        <v>10</v>
      </c>
      <c r="E2844" s="2" t="s">
        <v>76</v>
      </c>
      <c r="F2844" s="2" t="s">
        <v>1146</v>
      </c>
      <c r="G2844" s="14" t="n">
        <v>17.5</v>
      </c>
      <c r="H2844" s="14" t="n">
        <v>20.11</v>
      </c>
      <c r="I2844" s="14" t="n">
        <v>17.5</v>
      </c>
      <c r="J2844" s="22" t="n">
        <f aca="false">IF(E2844="Priority",'Cost model'!N130,'Cost model'!M130)</f>
        <v>18.5</v>
      </c>
      <c r="K2844" s="14" t="n">
        <f aca="false">J2844-H2844</f>
        <v>-1.61</v>
      </c>
      <c r="L2844" s="14" t="n">
        <f aca="false">G2844-H2844</f>
        <v>-2.61</v>
      </c>
    </row>
    <row r="2845" customFormat="false" ht="15" hidden="false" customHeight="false" outlineLevel="0" collapsed="false">
      <c r="A2845" s="2" t="s">
        <v>126</v>
      </c>
      <c r="B2845" s="2" t="s">
        <v>184</v>
      </c>
      <c r="C2845" s="2" t="s">
        <v>49</v>
      </c>
      <c r="D2845" s="2" t="s">
        <v>12</v>
      </c>
      <c r="E2845" s="2" t="s">
        <v>85</v>
      </c>
      <c r="F2845" s="2" t="s">
        <v>1146</v>
      </c>
      <c r="G2845" s="14" t="n">
        <v>24.5</v>
      </c>
      <c r="H2845" s="14" t="n">
        <v>23.58</v>
      </c>
      <c r="I2845" s="14" t="n">
        <v>24.5</v>
      </c>
      <c r="J2845" s="22" t="n">
        <f aca="false">IF(E2845="Priority",'Cost model'!N438,'Cost model'!M438)</f>
        <v>70</v>
      </c>
      <c r="K2845" s="14" t="n">
        <f aca="false">J2845-H2845</f>
        <v>46.42</v>
      </c>
      <c r="L2845" s="14" t="n">
        <f aca="false">G2845-H2845</f>
        <v>0.920000000000002</v>
      </c>
    </row>
    <row r="2846" customFormat="false" ht="15" hidden="false" customHeight="false" outlineLevel="0" collapsed="false">
      <c r="A2846" s="2" t="s">
        <v>126</v>
      </c>
      <c r="B2846" s="2" t="s">
        <v>126</v>
      </c>
      <c r="C2846" s="2" t="s">
        <v>49</v>
      </c>
      <c r="D2846" s="2" t="s">
        <v>10</v>
      </c>
      <c r="E2846" s="2" t="s">
        <v>76</v>
      </c>
      <c r="F2846" s="2" t="s">
        <v>1145</v>
      </c>
      <c r="G2846" s="14" t="n">
        <v>12.5</v>
      </c>
      <c r="H2846" s="14" t="n">
        <v>20.57</v>
      </c>
      <c r="I2846" s="14" t="n">
        <v>12.5</v>
      </c>
      <c r="J2846" s="22" t="n">
        <f aca="false">IF(E2846="Priority",'Cost model'!N381,'Cost model'!M381)</f>
        <v>14.5</v>
      </c>
      <c r="K2846" s="14" t="n">
        <f aca="false">J2846-H2846</f>
        <v>-6.07</v>
      </c>
      <c r="L2846" s="14" t="n">
        <f aca="false">G2846-H2846</f>
        <v>-8.07</v>
      </c>
    </row>
    <row r="2847" customFormat="false" ht="15" hidden="false" customHeight="false" outlineLevel="0" collapsed="false">
      <c r="A2847" s="2" t="s">
        <v>184</v>
      </c>
      <c r="B2847" s="2" t="s">
        <v>126</v>
      </c>
      <c r="C2847" s="2" t="s">
        <v>48</v>
      </c>
      <c r="D2847" s="2" t="s">
        <v>10</v>
      </c>
      <c r="E2847" s="2" t="s">
        <v>76</v>
      </c>
      <c r="F2847" s="2" t="s">
        <v>1146</v>
      </c>
      <c r="G2847" s="14" t="n">
        <v>9.5</v>
      </c>
      <c r="H2847" s="14" t="n">
        <v>13.14</v>
      </c>
      <c r="I2847" s="14" t="n">
        <v>9.5</v>
      </c>
      <c r="J2847" s="22" t="n">
        <f aca="false">IF(E2847="Priority",'Cost model'!N128,'Cost model'!M128)</f>
        <v>10.5</v>
      </c>
      <c r="K2847" s="14" t="n">
        <f aca="false">J2847-H2847</f>
        <v>-2.64</v>
      </c>
      <c r="L2847" s="14" t="n">
        <f aca="false">G2847-H2847</f>
        <v>-3.64</v>
      </c>
    </row>
    <row r="2848" customFormat="false" ht="15" hidden="false" customHeight="false" outlineLevel="0" collapsed="false">
      <c r="A2848" s="2" t="s">
        <v>184</v>
      </c>
      <c r="B2848" s="2" t="s">
        <v>184</v>
      </c>
      <c r="C2848" s="2" t="s">
        <v>49</v>
      </c>
      <c r="D2848" s="2" t="s">
        <v>10</v>
      </c>
      <c r="E2848" s="2" t="s">
        <v>76</v>
      </c>
      <c r="F2848" s="2" t="s">
        <v>1145</v>
      </c>
      <c r="G2848" s="14" t="n">
        <v>12.5</v>
      </c>
      <c r="H2848" s="14" t="n">
        <v>11.94</v>
      </c>
      <c r="I2848" s="14"/>
      <c r="J2848" s="22" t="n">
        <f aca="false">IF(E2848="Priority",'Cost model'!N201,'Cost model'!M201)</f>
        <v>12.5</v>
      </c>
      <c r="K2848" s="14" t="n">
        <f aca="false">J2848-H2848</f>
        <v>0.560000000000001</v>
      </c>
      <c r="L2848" s="14" t="n">
        <f aca="false">G2848-H2848</f>
        <v>0.560000000000001</v>
      </c>
    </row>
    <row r="2849" customFormat="false" ht="15" hidden="false" customHeight="false" outlineLevel="0" collapsed="false">
      <c r="A2849" s="2" t="s">
        <v>184</v>
      </c>
      <c r="B2849" s="2" t="s">
        <v>184</v>
      </c>
      <c r="C2849" s="2" t="s">
        <v>49</v>
      </c>
      <c r="D2849" s="2" t="s">
        <v>12</v>
      </c>
      <c r="E2849" s="2" t="s">
        <v>76</v>
      </c>
      <c r="F2849" s="2" t="s">
        <v>1145</v>
      </c>
      <c r="G2849" s="14" t="n">
        <v>12.5</v>
      </c>
      <c r="H2849" s="14" t="n">
        <v>42.87</v>
      </c>
      <c r="I2849" s="14"/>
      <c r="J2849" s="22" t="n">
        <f aca="false">IF(E2849="Priority",'Cost model'!N204,'Cost model'!M204)</f>
        <v>45</v>
      </c>
      <c r="K2849" s="14" t="n">
        <f aca="false">J2849-H2849</f>
        <v>2.13</v>
      </c>
      <c r="L2849" s="14" t="n">
        <f aca="false">G2849-H2849</f>
        <v>-30.37</v>
      </c>
    </row>
    <row r="2850" customFormat="false" ht="15" hidden="false" customHeight="false" outlineLevel="0" collapsed="false">
      <c r="A2850" s="2" t="s">
        <v>184</v>
      </c>
      <c r="B2850" s="2" t="s">
        <v>184</v>
      </c>
      <c r="C2850" s="2" t="s">
        <v>49</v>
      </c>
      <c r="D2850" s="2" t="s">
        <v>10</v>
      </c>
      <c r="E2850" s="2" t="s">
        <v>76</v>
      </c>
      <c r="F2850" s="2" t="s">
        <v>1145</v>
      </c>
      <c r="G2850" s="14" t="n">
        <v>12.5</v>
      </c>
      <c r="H2850" s="14" t="n">
        <v>12.45</v>
      </c>
      <c r="I2850" s="14"/>
      <c r="J2850" s="22" t="n">
        <f aca="false">IF(E2850="Priority",'Cost model'!N201,'Cost model'!M201)</f>
        <v>12.5</v>
      </c>
      <c r="K2850" s="14" t="n">
        <f aca="false">J2850-H2850</f>
        <v>0.0500000000000007</v>
      </c>
      <c r="L2850" s="14" t="n">
        <f aca="false">G2850-H2850</f>
        <v>0.0500000000000007</v>
      </c>
    </row>
    <row r="2851" customFormat="false" ht="15" hidden="false" customHeight="false" outlineLevel="0" collapsed="false">
      <c r="A2851" s="2" t="s">
        <v>146</v>
      </c>
      <c r="B2851" s="2" t="s">
        <v>146</v>
      </c>
      <c r="C2851" s="2" t="s">
        <v>50</v>
      </c>
      <c r="D2851" s="2" t="s">
        <v>14</v>
      </c>
      <c r="E2851" s="2" t="s">
        <v>76</v>
      </c>
      <c r="F2851" s="2" t="s">
        <v>1145</v>
      </c>
      <c r="G2851" s="14" t="n">
        <v>85</v>
      </c>
      <c r="H2851" s="14" t="n">
        <v>158.42</v>
      </c>
      <c r="I2851" s="14" t="n">
        <v>85</v>
      </c>
      <c r="J2851" s="22" t="n">
        <f aca="false">IF(E2851="Priority",'Cost model'!N769,'Cost model'!M769)</f>
        <v>160</v>
      </c>
      <c r="K2851" s="14" t="n">
        <f aca="false">J2851-H2851</f>
        <v>1.58000000000001</v>
      </c>
      <c r="L2851" s="14" t="n">
        <f aca="false">G2851-H2851</f>
        <v>-73.42</v>
      </c>
    </row>
    <row r="2852" customFormat="false" ht="15" hidden="false" customHeight="false" outlineLevel="0" collapsed="false">
      <c r="A2852" s="2" t="s">
        <v>240</v>
      </c>
      <c r="B2852" s="2" t="s">
        <v>240</v>
      </c>
      <c r="C2852" s="2" t="s">
        <v>50</v>
      </c>
      <c r="D2852" s="2" t="s">
        <v>10</v>
      </c>
      <c r="E2852" s="2" t="s">
        <v>76</v>
      </c>
      <c r="F2852" s="2" t="s">
        <v>1145</v>
      </c>
      <c r="G2852" s="14" t="n">
        <v>29.5</v>
      </c>
      <c r="H2852" s="14" t="n">
        <v>21.34</v>
      </c>
      <c r="I2852" s="14" t="n">
        <v>17.5</v>
      </c>
      <c r="J2852" s="22" t="n">
        <f aca="false">IF(E2852="Priority",'Cost model'!N886,'Cost model'!M886)</f>
        <v>17.5</v>
      </c>
      <c r="K2852" s="14" t="n">
        <f aca="false">J2852-H2852</f>
        <v>-3.84</v>
      </c>
      <c r="L2852" s="14" t="n">
        <f aca="false">G2852-H2852</f>
        <v>8.16</v>
      </c>
    </row>
    <row r="2853" customFormat="false" ht="15" hidden="false" customHeight="false" outlineLevel="0" collapsed="false">
      <c r="A2853" s="2" t="s">
        <v>126</v>
      </c>
      <c r="B2853" s="2" t="s">
        <v>126</v>
      </c>
      <c r="C2853" s="2" t="s">
        <v>48</v>
      </c>
      <c r="D2853" s="2" t="s">
        <v>10</v>
      </c>
      <c r="E2853" s="2" t="s">
        <v>85</v>
      </c>
      <c r="F2853" s="2" t="s">
        <v>1145</v>
      </c>
      <c r="G2853" s="14" t="n">
        <v>14.5</v>
      </c>
      <c r="H2853" s="14" t="n">
        <v>20.83</v>
      </c>
      <c r="I2853" s="14" t="n">
        <v>14.5</v>
      </c>
      <c r="J2853" s="22" t="n">
        <f aca="false">IF(E2853="Priority",'Cost model'!N380,'Cost model'!M380)</f>
        <v>13.5</v>
      </c>
      <c r="K2853" s="14" t="n">
        <f aca="false">J2853-H2853</f>
        <v>-7.33</v>
      </c>
      <c r="L2853" s="14" t="n">
        <f aca="false">G2853-H2853</f>
        <v>-6.33</v>
      </c>
    </row>
    <row r="2854" customFormat="false" ht="15" hidden="false" customHeight="false" outlineLevel="0" collapsed="false">
      <c r="A2854" s="2" t="s">
        <v>240</v>
      </c>
      <c r="B2854" s="2" t="s">
        <v>240</v>
      </c>
      <c r="C2854" s="2" t="s">
        <v>48</v>
      </c>
      <c r="D2854" s="2" t="s">
        <v>12</v>
      </c>
      <c r="E2854" s="2" t="s">
        <v>76</v>
      </c>
      <c r="F2854" s="2" t="s">
        <v>1145</v>
      </c>
      <c r="G2854" s="14" t="n">
        <v>9.5</v>
      </c>
      <c r="H2854" s="14" t="n">
        <v>13.9</v>
      </c>
      <c r="I2854" s="14" t="n">
        <v>9.5</v>
      </c>
      <c r="J2854" s="22" t="n">
        <f aca="false">IF(E2854="Priority",'Cost model'!N887,'Cost model'!M887)</f>
        <v>21.5</v>
      </c>
      <c r="K2854" s="14" t="n">
        <f aca="false">J2854-H2854</f>
        <v>7.6</v>
      </c>
      <c r="L2854" s="14" t="n">
        <f aca="false">G2854-H2854</f>
        <v>-4.4</v>
      </c>
    </row>
    <row r="2855" customFormat="false" ht="15" hidden="false" customHeight="false" outlineLevel="0" collapsed="false">
      <c r="A2855" s="2" t="s">
        <v>184</v>
      </c>
      <c r="B2855" s="2" t="s">
        <v>184</v>
      </c>
      <c r="C2855" s="2" t="s">
        <v>50</v>
      </c>
      <c r="D2855" s="2" t="s">
        <v>12</v>
      </c>
      <c r="E2855" s="2" t="s">
        <v>76</v>
      </c>
      <c r="F2855" s="2" t="s">
        <v>1145</v>
      </c>
      <c r="G2855" s="14" t="n">
        <v>19.5</v>
      </c>
      <c r="H2855" s="14" t="n">
        <v>42.52</v>
      </c>
      <c r="I2855" s="14" t="n">
        <v>19.5</v>
      </c>
      <c r="J2855" s="22" t="n">
        <f aca="false">IF(E2855="Priority",'Cost model'!N205,'Cost model'!M205)</f>
        <v>50</v>
      </c>
      <c r="K2855" s="14" t="n">
        <f aca="false">J2855-H2855</f>
        <v>7.48</v>
      </c>
      <c r="L2855" s="14" t="n">
        <f aca="false">G2855-H2855</f>
        <v>-23.02</v>
      </c>
    </row>
    <row r="2856" customFormat="false" ht="15" hidden="false" customHeight="false" outlineLevel="0" collapsed="false">
      <c r="A2856" s="2" t="s">
        <v>240</v>
      </c>
      <c r="B2856" s="2" t="s">
        <v>240</v>
      </c>
      <c r="C2856" s="2" t="s">
        <v>48</v>
      </c>
      <c r="D2856" s="2" t="s">
        <v>14</v>
      </c>
      <c r="E2856" s="2" t="s">
        <v>76</v>
      </c>
      <c r="F2856" s="2" t="s">
        <v>1145</v>
      </c>
      <c r="G2856" s="14" t="n">
        <v>25</v>
      </c>
      <c r="H2856" s="14" t="n">
        <v>146.55</v>
      </c>
      <c r="I2856" s="14" t="n">
        <v>25</v>
      </c>
      <c r="J2856" s="22" t="n">
        <f aca="false">IF(E2856="Priority",'Cost model'!N893,'Cost model'!M893)</f>
        <v>135</v>
      </c>
      <c r="K2856" s="14" t="n">
        <f aca="false">J2856-H2856</f>
        <v>-11.55</v>
      </c>
      <c r="L2856" s="14" t="n">
        <f aca="false">G2856-H2856</f>
        <v>-121.55</v>
      </c>
    </row>
    <row r="2857" customFormat="false" ht="15" hidden="false" customHeight="false" outlineLevel="0" collapsed="false">
      <c r="A2857" s="2" t="s">
        <v>221</v>
      </c>
      <c r="B2857" s="2" t="s">
        <v>221</v>
      </c>
      <c r="C2857" s="2" t="s">
        <v>49</v>
      </c>
      <c r="D2857" s="2" t="s">
        <v>10</v>
      </c>
      <c r="E2857" s="2" t="s">
        <v>76</v>
      </c>
      <c r="F2857" s="2" t="s">
        <v>1145</v>
      </c>
      <c r="G2857" s="14" t="n">
        <v>14.5</v>
      </c>
      <c r="H2857" s="14" t="n">
        <v>12.27</v>
      </c>
      <c r="I2857" s="14" t="n">
        <v>12.5</v>
      </c>
      <c r="J2857" s="22" t="n">
        <f aca="false">IF(E2857="Priority",'Cost model'!N633,'Cost model'!M633)</f>
        <v>13.5</v>
      </c>
      <c r="K2857" s="14" t="n">
        <f aca="false">J2857-H2857</f>
        <v>1.23</v>
      </c>
      <c r="L2857" s="14" t="n">
        <f aca="false">G2857-H2857</f>
        <v>2.23</v>
      </c>
    </row>
    <row r="2858" customFormat="false" ht="15" hidden="false" customHeight="false" outlineLevel="0" collapsed="false">
      <c r="A2858" s="2" t="s">
        <v>146</v>
      </c>
      <c r="B2858" s="2" t="s">
        <v>184</v>
      </c>
      <c r="C2858" s="2" t="s">
        <v>50</v>
      </c>
      <c r="D2858" s="2" t="s">
        <v>12</v>
      </c>
      <c r="E2858" s="2" t="s">
        <v>76</v>
      </c>
      <c r="F2858" s="2" t="s">
        <v>1146</v>
      </c>
      <c r="G2858" s="14" t="n">
        <v>19.5</v>
      </c>
      <c r="H2858" s="14" t="n">
        <v>52.53</v>
      </c>
      <c r="I2858" s="14" t="n">
        <v>19.5</v>
      </c>
      <c r="J2858" s="22" t="n">
        <f aca="false">IF(E2858="Priority",'Cost model'!N835,'Cost model'!M835)</f>
        <v>50</v>
      </c>
      <c r="K2858" s="14" t="n">
        <f aca="false">J2858-H2858</f>
        <v>-2.53</v>
      </c>
      <c r="L2858" s="14" t="n">
        <f aca="false">G2858-H2858</f>
        <v>-33.03</v>
      </c>
    </row>
    <row r="2859" customFormat="false" ht="15" hidden="false" customHeight="false" outlineLevel="0" collapsed="false">
      <c r="A2859" s="2" t="s">
        <v>240</v>
      </c>
      <c r="B2859" s="2" t="s">
        <v>126</v>
      </c>
      <c r="C2859" s="2" t="s">
        <v>48</v>
      </c>
      <c r="D2859" s="2" t="s">
        <v>10</v>
      </c>
      <c r="E2859" s="2" t="s">
        <v>76</v>
      </c>
      <c r="F2859" s="2" t="s">
        <v>1146</v>
      </c>
      <c r="G2859" s="14" t="n">
        <v>9.5</v>
      </c>
      <c r="H2859" s="14" t="n">
        <v>12.57</v>
      </c>
      <c r="I2859" s="14" t="n">
        <v>19.5</v>
      </c>
      <c r="J2859" s="22" t="n">
        <f aca="false">IF(E2859="Priority",'Cost model'!N956,'Cost model'!M956)</f>
        <v>15.5</v>
      </c>
      <c r="K2859" s="14" t="n">
        <f aca="false">J2859-H2859</f>
        <v>2.93</v>
      </c>
      <c r="L2859" s="14" t="n">
        <f aca="false">G2859-H2859</f>
        <v>-3.07</v>
      </c>
    </row>
    <row r="2860" customFormat="false" ht="15" hidden="false" customHeight="false" outlineLevel="0" collapsed="false">
      <c r="A2860" s="2" t="s">
        <v>125</v>
      </c>
      <c r="B2860" s="2" t="s">
        <v>125</v>
      </c>
      <c r="C2860" s="2" t="s">
        <v>48</v>
      </c>
      <c r="D2860" s="2" t="s">
        <v>10</v>
      </c>
      <c r="E2860" s="2" t="s">
        <v>85</v>
      </c>
      <c r="F2860" s="2" t="s">
        <v>1145</v>
      </c>
      <c r="G2860" s="14" t="n">
        <v>14.5</v>
      </c>
      <c r="H2860" s="14" t="n">
        <v>21.76</v>
      </c>
      <c r="I2860" s="14" t="n">
        <v>14.5</v>
      </c>
      <c r="J2860" s="22" t="n">
        <f aca="false">IF(E2860="Priority",'Cost model'!N74,'Cost model'!M74)</f>
        <v>29.5</v>
      </c>
      <c r="K2860" s="14" t="n">
        <f aca="false">J2860-H2860</f>
        <v>7.74</v>
      </c>
      <c r="L2860" s="14" t="n">
        <f aca="false">G2860-H2860</f>
        <v>-7.26</v>
      </c>
    </row>
    <row r="2861" customFormat="false" ht="15" hidden="false" customHeight="false" outlineLevel="0" collapsed="false">
      <c r="A2861" s="2" t="s">
        <v>184</v>
      </c>
      <c r="B2861" s="2" t="s">
        <v>184</v>
      </c>
      <c r="C2861" s="2" t="s">
        <v>49</v>
      </c>
      <c r="D2861" s="2" t="s">
        <v>12</v>
      </c>
      <c r="E2861" s="2" t="s">
        <v>76</v>
      </c>
      <c r="F2861" s="2" t="s">
        <v>1145</v>
      </c>
      <c r="G2861" s="14" t="n">
        <v>12.5</v>
      </c>
      <c r="H2861" s="14" t="n">
        <v>25.05</v>
      </c>
      <c r="I2861" s="14" t="n">
        <v>12.5</v>
      </c>
      <c r="J2861" s="22" t="n">
        <f aca="false">IF(E2861="Priority",'Cost model'!N204,'Cost model'!M204)</f>
        <v>45</v>
      </c>
      <c r="K2861" s="14" t="n">
        <f aca="false">J2861-H2861</f>
        <v>19.95</v>
      </c>
      <c r="L2861" s="14" t="n">
        <f aca="false">G2861-H2861</f>
        <v>-12.55</v>
      </c>
    </row>
    <row r="2862" customFormat="false" ht="15" hidden="false" customHeight="false" outlineLevel="0" collapsed="false">
      <c r="A2862" s="2" t="s">
        <v>126</v>
      </c>
      <c r="B2862" s="2" t="s">
        <v>184</v>
      </c>
      <c r="C2862" s="2" t="s">
        <v>49</v>
      </c>
      <c r="D2862" s="2" t="s">
        <v>12</v>
      </c>
      <c r="E2862" s="2" t="s">
        <v>76</v>
      </c>
      <c r="F2862" s="2" t="s">
        <v>1146</v>
      </c>
      <c r="G2862" s="14" t="n">
        <v>19.5</v>
      </c>
      <c r="H2862" s="14" t="n">
        <v>24.48</v>
      </c>
      <c r="I2862" s="14" t="n">
        <v>19.5</v>
      </c>
      <c r="J2862" s="22" t="n">
        <f aca="false">IF(E2862="Priority",'Cost model'!N438,'Cost model'!M438)</f>
        <v>55</v>
      </c>
      <c r="K2862" s="14" t="n">
        <f aca="false">J2862-H2862</f>
        <v>30.52</v>
      </c>
      <c r="L2862" s="14" t="n">
        <f aca="false">G2862-H2862</f>
        <v>-4.98</v>
      </c>
    </row>
    <row r="2863" customFormat="false" ht="15" hidden="false" customHeight="false" outlineLevel="0" collapsed="false">
      <c r="A2863" s="2" t="s">
        <v>184</v>
      </c>
      <c r="B2863" s="2" t="s">
        <v>146</v>
      </c>
      <c r="C2863" s="2" t="s">
        <v>48</v>
      </c>
      <c r="D2863" s="2" t="s">
        <v>12</v>
      </c>
      <c r="E2863" s="2" t="s">
        <v>76</v>
      </c>
      <c r="F2863" s="2" t="s">
        <v>1146</v>
      </c>
      <c r="G2863" s="14" t="n">
        <v>14.5</v>
      </c>
      <c r="H2863" s="14" t="n">
        <v>77.25</v>
      </c>
      <c r="I2863" s="14" t="n">
        <v>9.5</v>
      </c>
      <c r="J2863" s="22" t="n">
        <f aca="false">IF(E2863="Priority",'Cost model'!N149,'Cost model'!M149)</f>
        <v>45</v>
      </c>
      <c r="K2863" s="14" t="n">
        <f aca="false">J2863-H2863</f>
        <v>-32.25</v>
      </c>
      <c r="L2863" s="14" t="n">
        <f aca="false">G2863-H2863</f>
        <v>-62.75</v>
      </c>
    </row>
    <row r="2864" customFormat="false" ht="15" hidden="false" customHeight="false" outlineLevel="0" collapsed="false">
      <c r="A2864" s="2" t="s">
        <v>126</v>
      </c>
      <c r="B2864" s="2" t="s">
        <v>126</v>
      </c>
      <c r="C2864" s="2" t="s">
        <v>49</v>
      </c>
      <c r="D2864" s="2" t="s">
        <v>12</v>
      </c>
      <c r="E2864" s="2" t="s">
        <v>85</v>
      </c>
      <c r="F2864" s="2" t="s">
        <v>1145</v>
      </c>
      <c r="G2864" s="14" t="n">
        <v>19.5</v>
      </c>
      <c r="H2864" s="14" t="n">
        <v>71.24</v>
      </c>
      <c r="I2864" s="14" t="n">
        <v>19.5</v>
      </c>
      <c r="J2864" s="22" t="n">
        <f aca="false">IF(E2864="Priority",'Cost model'!N384,'Cost model'!M384)</f>
        <v>60</v>
      </c>
      <c r="K2864" s="14" t="n">
        <f aca="false">J2864-H2864</f>
        <v>-11.24</v>
      </c>
      <c r="L2864" s="14" t="n">
        <f aca="false">G2864-H2864</f>
        <v>-51.74</v>
      </c>
    </row>
    <row r="2865" customFormat="false" ht="15" hidden="false" customHeight="false" outlineLevel="0" collapsed="false">
      <c r="A2865" s="2" t="s">
        <v>146</v>
      </c>
      <c r="B2865" s="2" t="s">
        <v>146</v>
      </c>
      <c r="C2865" s="2" t="s">
        <v>49</v>
      </c>
      <c r="D2865" s="2" t="s">
        <v>12</v>
      </c>
      <c r="E2865" s="2" t="s">
        <v>76</v>
      </c>
      <c r="F2865" s="2" t="s">
        <v>1145</v>
      </c>
      <c r="G2865" s="14" t="n">
        <v>12.5</v>
      </c>
      <c r="H2865" s="14" t="n">
        <v>43.59</v>
      </c>
      <c r="I2865" s="14" t="n">
        <v>12.5</v>
      </c>
      <c r="J2865" s="22" t="n">
        <f aca="false">IF(E2865="Priority",'Cost model'!N762,'Cost model'!M762)</f>
        <v>45</v>
      </c>
      <c r="K2865" s="14" t="n">
        <f aca="false">J2865-H2865</f>
        <v>1.41</v>
      </c>
      <c r="L2865" s="14" t="n">
        <f aca="false">G2865-H2865</f>
        <v>-31.09</v>
      </c>
    </row>
    <row r="2866" customFormat="false" ht="15" hidden="false" customHeight="false" outlineLevel="0" collapsed="false">
      <c r="A2866" s="2" t="s">
        <v>221</v>
      </c>
      <c r="B2866" s="2" t="s">
        <v>126</v>
      </c>
      <c r="C2866" s="2" t="s">
        <v>49</v>
      </c>
      <c r="D2866" s="2" t="s">
        <v>12</v>
      </c>
      <c r="E2866" s="2" t="s">
        <v>76</v>
      </c>
      <c r="F2866" s="2" t="s">
        <v>1146</v>
      </c>
      <c r="G2866" s="14" t="n">
        <v>19.5</v>
      </c>
      <c r="H2866" s="14" t="n">
        <v>56.66</v>
      </c>
      <c r="I2866" s="14" t="n">
        <v>24.5</v>
      </c>
      <c r="J2866" s="22" t="n">
        <f aca="false">IF(E2866="Priority",'Cost model'!N690,'Cost model'!M690)</f>
        <v>60</v>
      </c>
      <c r="K2866" s="14" t="n">
        <f aca="false">J2866-H2866</f>
        <v>3.34</v>
      </c>
      <c r="L2866" s="14" t="n">
        <f aca="false">G2866-H2866</f>
        <v>-37.16</v>
      </c>
    </row>
    <row r="2867" customFormat="false" ht="15" hidden="false" customHeight="false" outlineLevel="0" collapsed="false">
      <c r="A2867" s="2" t="s">
        <v>240</v>
      </c>
      <c r="B2867" s="2" t="s">
        <v>240</v>
      </c>
      <c r="C2867" s="2" t="s">
        <v>49</v>
      </c>
      <c r="D2867" s="2" t="s">
        <v>12</v>
      </c>
      <c r="E2867" s="2" t="s">
        <v>76</v>
      </c>
      <c r="F2867" s="2" t="s">
        <v>1145</v>
      </c>
      <c r="G2867" s="14" t="n">
        <v>12.5</v>
      </c>
      <c r="H2867" s="14" t="n">
        <v>11.42</v>
      </c>
      <c r="I2867" s="14" t="n">
        <v>12.5</v>
      </c>
      <c r="J2867" s="22" t="n">
        <f aca="false">IF(E2867="Priority",'Cost model'!N888,'Cost model'!M888)</f>
        <v>50</v>
      </c>
      <c r="K2867" s="14" t="n">
        <f aca="false">J2867-H2867</f>
        <v>38.58</v>
      </c>
      <c r="L2867" s="14" t="n">
        <f aca="false">G2867-H2867</f>
        <v>1.08</v>
      </c>
    </row>
    <row r="2868" customFormat="false" ht="15" hidden="false" customHeight="false" outlineLevel="0" collapsed="false">
      <c r="A2868" s="2" t="s">
        <v>146</v>
      </c>
      <c r="B2868" s="2" t="s">
        <v>221</v>
      </c>
      <c r="C2868" s="2" t="s">
        <v>50</v>
      </c>
      <c r="D2868" s="2" t="s">
        <v>12</v>
      </c>
      <c r="E2868" s="2" t="s">
        <v>76</v>
      </c>
      <c r="F2868" s="2" t="s">
        <v>1146</v>
      </c>
      <c r="G2868" s="14" t="n">
        <v>19.5</v>
      </c>
      <c r="H2868" s="14" t="n">
        <v>42.23</v>
      </c>
      <c r="I2868" s="14" t="n">
        <v>24.5</v>
      </c>
      <c r="J2868" s="22" t="n">
        <f aca="false">IF(E2868="Priority",'Cost model'!N853,'Cost model'!M853)</f>
        <v>50</v>
      </c>
      <c r="K2868" s="14" t="n">
        <f aca="false">J2868-H2868</f>
        <v>7.77</v>
      </c>
      <c r="L2868" s="14" t="n">
        <f aca="false">G2868-H2868</f>
        <v>-22.73</v>
      </c>
    </row>
    <row r="2869" customFormat="false" ht="15" hidden="false" customHeight="false" outlineLevel="0" collapsed="false">
      <c r="A2869" s="2" t="s">
        <v>385</v>
      </c>
      <c r="B2869" s="2" t="s">
        <v>165</v>
      </c>
      <c r="C2869" s="2" t="s">
        <v>48</v>
      </c>
      <c r="D2869" s="2" t="s">
        <v>12</v>
      </c>
      <c r="E2869" s="2" t="s">
        <v>76</v>
      </c>
      <c r="F2869" s="2" t="s">
        <v>1146</v>
      </c>
      <c r="G2869" s="14" t="n">
        <v>24.5</v>
      </c>
      <c r="H2869" s="14" t="n">
        <v>41.77</v>
      </c>
      <c r="I2869" s="14" t="n">
        <v>24.5</v>
      </c>
      <c r="J2869" s="22" t="n">
        <f aca="false">IF(E2869="Priority",'Cost model'!N257,'Cost model'!M257)</f>
        <v>60</v>
      </c>
      <c r="K2869" s="14" t="n">
        <f aca="false">J2869-H2869</f>
        <v>18.23</v>
      </c>
      <c r="L2869" s="14" t="n">
        <f aca="false">G2869-H2869</f>
        <v>-17.27</v>
      </c>
    </row>
    <row r="2870" customFormat="false" ht="15" hidden="false" customHeight="false" outlineLevel="0" collapsed="false">
      <c r="A2870" s="2" t="s">
        <v>126</v>
      </c>
      <c r="B2870" s="2" t="s">
        <v>184</v>
      </c>
      <c r="C2870" s="2" t="s">
        <v>50</v>
      </c>
      <c r="D2870" s="2" t="s">
        <v>12</v>
      </c>
      <c r="E2870" s="2" t="s">
        <v>76</v>
      </c>
      <c r="F2870" s="2" t="s">
        <v>1146</v>
      </c>
      <c r="G2870" s="14" t="n">
        <v>19.5</v>
      </c>
      <c r="H2870" s="14" t="n">
        <v>114.74</v>
      </c>
      <c r="I2870" s="14" t="n">
        <v>19.5</v>
      </c>
      <c r="J2870" s="22" t="n">
        <f aca="false">IF(E2870="Priority",'Cost model'!N439,'Cost model'!M439)</f>
        <v>60</v>
      </c>
      <c r="K2870" s="14" t="n">
        <f aca="false">J2870-H2870</f>
        <v>-54.74</v>
      </c>
      <c r="L2870" s="14" t="n">
        <f aca="false">G2870-H2870</f>
        <v>-95.24</v>
      </c>
    </row>
    <row r="2871" customFormat="false" ht="15" hidden="false" customHeight="false" outlineLevel="0" collapsed="false">
      <c r="A2871" s="2" t="s">
        <v>184</v>
      </c>
      <c r="B2871" s="2" t="s">
        <v>165</v>
      </c>
      <c r="C2871" s="2" t="s">
        <v>49</v>
      </c>
      <c r="D2871" s="2" t="s">
        <v>10</v>
      </c>
      <c r="E2871" s="2" t="s">
        <v>76</v>
      </c>
      <c r="F2871" s="2" t="s">
        <v>1146</v>
      </c>
      <c r="G2871" s="14" t="n">
        <v>19.5</v>
      </c>
      <c r="H2871" s="14" t="n">
        <v>17.22</v>
      </c>
      <c r="I2871" s="14"/>
      <c r="J2871" s="22" t="n">
        <f aca="false">IF(E2871="Priority",'Cost model'!N165,'Cost model'!M165)</f>
        <v>15.5</v>
      </c>
      <c r="K2871" s="14" t="n">
        <f aca="false">J2871-H2871</f>
        <v>-1.72</v>
      </c>
      <c r="L2871" s="14" t="n">
        <f aca="false">G2871-H2871</f>
        <v>2.28</v>
      </c>
    </row>
    <row r="2872" customFormat="false" ht="15" hidden="false" customHeight="false" outlineLevel="0" collapsed="false">
      <c r="A2872" s="2" t="s">
        <v>184</v>
      </c>
      <c r="B2872" s="2" t="s">
        <v>184</v>
      </c>
      <c r="C2872" s="2" t="s">
        <v>49</v>
      </c>
      <c r="D2872" s="2" t="s">
        <v>12</v>
      </c>
      <c r="E2872" s="2" t="s">
        <v>85</v>
      </c>
      <c r="F2872" s="2" t="s">
        <v>1145</v>
      </c>
      <c r="G2872" s="14" t="n">
        <v>19.5</v>
      </c>
      <c r="H2872" s="14" t="n">
        <v>42.61</v>
      </c>
      <c r="I2872" s="14" t="n">
        <v>19.5</v>
      </c>
      <c r="J2872" s="22" t="n">
        <f aca="false">IF(E2872="Priority",'Cost model'!N204,'Cost model'!M204)</f>
        <v>60</v>
      </c>
      <c r="K2872" s="14" t="n">
        <f aca="false">J2872-H2872</f>
        <v>17.39</v>
      </c>
      <c r="L2872" s="14" t="n">
        <f aca="false">G2872-H2872</f>
        <v>-23.11</v>
      </c>
    </row>
    <row r="2873" customFormat="false" ht="15" hidden="false" customHeight="false" outlineLevel="0" collapsed="false">
      <c r="A2873" s="2" t="s">
        <v>126</v>
      </c>
      <c r="B2873" s="2" t="s">
        <v>165</v>
      </c>
      <c r="C2873" s="2" t="s">
        <v>48</v>
      </c>
      <c r="D2873" s="2" t="s">
        <v>10</v>
      </c>
      <c r="E2873" s="2" t="s">
        <v>85</v>
      </c>
      <c r="F2873" s="2" t="s">
        <v>1146</v>
      </c>
      <c r="G2873" s="14" t="n">
        <v>19.5</v>
      </c>
      <c r="H2873" s="14" t="n">
        <v>24.17</v>
      </c>
      <c r="I2873" s="14" t="n">
        <v>19.5</v>
      </c>
      <c r="J2873" s="22" t="n">
        <f aca="false">IF(E2873="Priority",'Cost model'!N416,'Cost model'!M416)</f>
        <v>22.5</v>
      </c>
      <c r="K2873" s="14" t="n">
        <f aca="false">J2873-H2873</f>
        <v>-1.67</v>
      </c>
      <c r="L2873" s="14" t="n">
        <f aca="false">G2873-H2873</f>
        <v>-4.67</v>
      </c>
    </row>
    <row r="2874" customFormat="false" ht="15" hidden="false" customHeight="false" outlineLevel="0" collapsed="false">
      <c r="A2874" s="2" t="s">
        <v>184</v>
      </c>
      <c r="B2874" s="2" t="s">
        <v>184</v>
      </c>
      <c r="C2874" s="2" t="s">
        <v>50</v>
      </c>
      <c r="D2874" s="2" t="s">
        <v>12</v>
      </c>
      <c r="E2874" s="2" t="s">
        <v>76</v>
      </c>
      <c r="F2874" s="2" t="s">
        <v>1145</v>
      </c>
      <c r="G2874" s="14" t="n">
        <v>19.5</v>
      </c>
      <c r="H2874" s="14" t="n">
        <v>65.9</v>
      </c>
      <c r="I2874" s="14" t="n">
        <v>19.5</v>
      </c>
      <c r="J2874" s="22" t="n">
        <f aca="false">IF(E2874="Priority",'Cost model'!N205,'Cost model'!M205)</f>
        <v>50</v>
      </c>
      <c r="K2874" s="14" t="n">
        <f aca="false">J2874-H2874</f>
        <v>-15.9</v>
      </c>
      <c r="L2874" s="14" t="n">
        <f aca="false">G2874-H2874</f>
        <v>-46.4</v>
      </c>
    </row>
    <row r="2875" customFormat="false" ht="15" hidden="false" customHeight="false" outlineLevel="0" collapsed="false">
      <c r="A2875" s="2" t="s">
        <v>184</v>
      </c>
      <c r="B2875" s="2" t="s">
        <v>184</v>
      </c>
      <c r="C2875" s="2" t="s">
        <v>49</v>
      </c>
      <c r="D2875" s="2" t="s">
        <v>12</v>
      </c>
      <c r="E2875" s="2" t="s">
        <v>76</v>
      </c>
      <c r="F2875" s="2" t="s">
        <v>1145</v>
      </c>
      <c r="G2875" s="14" t="n">
        <v>12.5</v>
      </c>
      <c r="H2875" s="14" t="n">
        <v>46.34</v>
      </c>
      <c r="I2875" s="14"/>
      <c r="J2875" s="22" t="n">
        <f aca="false">IF(E2875="Priority",'Cost model'!N204,'Cost model'!M204)</f>
        <v>45</v>
      </c>
      <c r="K2875" s="14" t="n">
        <f aca="false">J2875-H2875</f>
        <v>-1.34</v>
      </c>
      <c r="L2875" s="14" t="n">
        <f aca="false">G2875-H2875</f>
        <v>-33.84</v>
      </c>
    </row>
    <row r="2876" customFormat="false" ht="15" hidden="false" customHeight="false" outlineLevel="0" collapsed="false">
      <c r="A2876" s="2" t="s">
        <v>184</v>
      </c>
      <c r="B2876" s="2" t="s">
        <v>184</v>
      </c>
      <c r="C2876" s="2" t="s">
        <v>48</v>
      </c>
      <c r="D2876" s="2" t="s">
        <v>13</v>
      </c>
      <c r="E2876" s="2" t="s">
        <v>76</v>
      </c>
      <c r="F2876" s="2" t="s">
        <v>1145</v>
      </c>
      <c r="G2876" s="14" t="n">
        <v>19</v>
      </c>
      <c r="H2876" s="14" t="n">
        <v>32.95</v>
      </c>
      <c r="I2876" s="14" t="n">
        <v>19</v>
      </c>
      <c r="J2876" s="22" t="n">
        <f aca="false">IF(E2876="Priority",'Cost model'!N206,'Cost model'!M206)</f>
        <v>55</v>
      </c>
      <c r="K2876" s="14" t="n">
        <f aca="false">J2876-H2876</f>
        <v>22.05</v>
      </c>
      <c r="L2876" s="14" t="n">
        <f aca="false">G2876-H2876</f>
        <v>-13.95</v>
      </c>
    </row>
    <row r="2877" customFormat="false" ht="15" hidden="false" customHeight="false" outlineLevel="0" collapsed="false">
      <c r="A2877" s="2" t="s">
        <v>126</v>
      </c>
      <c r="B2877" s="2" t="s">
        <v>126</v>
      </c>
      <c r="C2877" s="2" t="s">
        <v>49</v>
      </c>
      <c r="D2877" s="2" t="s">
        <v>12</v>
      </c>
      <c r="E2877" s="2" t="s">
        <v>76</v>
      </c>
      <c r="F2877" s="2" t="s">
        <v>1145</v>
      </c>
      <c r="G2877" s="14" t="n">
        <v>12.5</v>
      </c>
      <c r="H2877" s="14" t="n">
        <v>43.85</v>
      </c>
      <c r="I2877" s="14" t="n">
        <v>12.5</v>
      </c>
      <c r="J2877" s="22" t="n">
        <f aca="false">IF(E2877="Priority",'Cost model'!N384,'Cost model'!M384)</f>
        <v>45</v>
      </c>
      <c r="K2877" s="14" t="n">
        <f aca="false">J2877-H2877</f>
        <v>1.15</v>
      </c>
      <c r="L2877" s="14" t="n">
        <f aca="false">G2877-H2877</f>
        <v>-31.35</v>
      </c>
    </row>
    <row r="2878" customFormat="false" ht="15" hidden="false" customHeight="false" outlineLevel="0" collapsed="false">
      <c r="A2878" s="2" t="s">
        <v>126</v>
      </c>
      <c r="B2878" s="2" t="s">
        <v>126</v>
      </c>
      <c r="C2878" s="2" t="s">
        <v>49</v>
      </c>
      <c r="D2878" s="2" t="s">
        <v>10</v>
      </c>
      <c r="E2878" s="2" t="s">
        <v>76</v>
      </c>
      <c r="F2878" s="2" t="s">
        <v>1145</v>
      </c>
      <c r="G2878" s="14" t="n">
        <v>12.5</v>
      </c>
      <c r="H2878" s="14" t="n">
        <v>17.69</v>
      </c>
      <c r="I2878" s="14" t="n">
        <v>12.5</v>
      </c>
      <c r="J2878" s="22" t="n">
        <f aca="false">IF(E2878="Priority",'Cost model'!N381,'Cost model'!M381)</f>
        <v>14.5</v>
      </c>
      <c r="K2878" s="14" t="n">
        <f aca="false">J2878-H2878</f>
        <v>-3.19</v>
      </c>
      <c r="L2878" s="14" t="n">
        <f aca="false">G2878-H2878</f>
        <v>-5.19</v>
      </c>
    </row>
    <row r="2879" customFormat="false" ht="15" hidden="false" customHeight="false" outlineLevel="0" collapsed="false">
      <c r="A2879" s="2" t="s">
        <v>126</v>
      </c>
      <c r="B2879" s="2" t="s">
        <v>126</v>
      </c>
      <c r="C2879" s="2" t="s">
        <v>48</v>
      </c>
      <c r="D2879" s="2" t="s">
        <v>12</v>
      </c>
      <c r="E2879" s="2" t="s">
        <v>76</v>
      </c>
      <c r="F2879" s="2" t="s">
        <v>1145</v>
      </c>
      <c r="G2879" s="14" t="n">
        <v>9.5</v>
      </c>
      <c r="H2879" s="14" t="n">
        <v>27.52</v>
      </c>
      <c r="I2879" s="14" t="n">
        <v>9.5</v>
      </c>
      <c r="J2879" s="22" t="n">
        <f aca="false">IF(E2879="Priority",'Cost model'!N383,'Cost model'!M383)</f>
        <v>27.5</v>
      </c>
      <c r="K2879" s="14" t="n">
        <f aca="false">J2879-H2879</f>
        <v>-0.0199999999999996</v>
      </c>
      <c r="L2879" s="14" t="n">
        <f aca="false">G2879-H2879</f>
        <v>-18.02</v>
      </c>
    </row>
    <row r="2880" customFormat="false" ht="15" hidden="false" customHeight="false" outlineLevel="0" collapsed="false">
      <c r="A2880" s="2" t="s">
        <v>184</v>
      </c>
      <c r="B2880" s="2" t="s">
        <v>184</v>
      </c>
      <c r="C2880" s="2" t="s">
        <v>49</v>
      </c>
      <c r="D2880" s="2" t="s">
        <v>10</v>
      </c>
      <c r="E2880" s="2" t="s">
        <v>76</v>
      </c>
      <c r="F2880" s="2" t="s">
        <v>1145</v>
      </c>
      <c r="G2880" s="14" t="n">
        <v>17.5</v>
      </c>
      <c r="H2880" s="14" t="n">
        <v>11.46</v>
      </c>
      <c r="I2880" s="14"/>
      <c r="J2880" s="22" t="n">
        <f aca="false">IF(E2880="Priority",'Cost model'!N201,'Cost model'!M201)</f>
        <v>12.5</v>
      </c>
      <c r="K2880" s="14" t="n">
        <f aca="false">J2880-H2880</f>
        <v>1.04</v>
      </c>
      <c r="L2880" s="14" t="n">
        <f aca="false">G2880-H2880</f>
        <v>6.04</v>
      </c>
    </row>
    <row r="2881" customFormat="false" ht="15" hidden="false" customHeight="false" outlineLevel="0" collapsed="false">
      <c r="A2881" s="2" t="s">
        <v>184</v>
      </c>
      <c r="B2881" s="2" t="s">
        <v>146</v>
      </c>
      <c r="C2881" s="2" t="s">
        <v>48</v>
      </c>
      <c r="D2881" s="2" t="s">
        <v>12</v>
      </c>
      <c r="E2881" s="2" t="s">
        <v>76</v>
      </c>
      <c r="F2881" s="2" t="s">
        <v>1146</v>
      </c>
      <c r="G2881" s="14" t="n">
        <v>9.5</v>
      </c>
      <c r="H2881" s="14" t="n">
        <v>54.88</v>
      </c>
      <c r="I2881" s="14" t="n">
        <v>9.5</v>
      </c>
      <c r="J2881" s="22" t="n">
        <f aca="false">IF(E2881="Priority",'Cost model'!N149,'Cost model'!M149)</f>
        <v>45</v>
      </c>
      <c r="K2881" s="14" t="n">
        <f aca="false">J2881-H2881</f>
        <v>-9.88</v>
      </c>
      <c r="L2881" s="14" t="n">
        <f aca="false">G2881-H2881</f>
        <v>-45.38</v>
      </c>
    </row>
    <row r="2882" customFormat="false" ht="15" hidden="false" customHeight="false" outlineLevel="0" collapsed="false">
      <c r="A2882" s="2" t="s">
        <v>126</v>
      </c>
      <c r="B2882" s="2" t="s">
        <v>126</v>
      </c>
      <c r="C2882" s="2" t="s">
        <v>49</v>
      </c>
      <c r="D2882" s="2" t="s">
        <v>10</v>
      </c>
      <c r="E2882" s="2" t="s">
        <v>76</v>
      </c>
      <c r="F2882" s="2" t="s">
        <v>1145</v>
      </c>
      <c r="G2882" s="14" t="n">
        <v>12.5</v>
      </c>
      <c r="H2882" s="14" t="n">
        <v>10.1</v>
      </c>
      <c r="I2882" s="14" t="n">
        <v>12.5</v>
      </c>
      <c r="J2882" s="22" t="n">
        <f aca="false">IF(E2882="Priority",'Cost model'!N381,'Cost model'!M381)</f>
        <v>14.5</v>
      </c>
      <c r="K2882" s="14" t="n">
        <f aca="false">J2882-H2882</f>
        <v>4.4</v>
      </c>
      <c r="L2882" s="14" t="n">
        <f aca="false">G2882-H2882</f>
        <v>2.4</v>
      </c>
    </row>
    <row r="2883" customFormat="false" ht="15" hidden="false" customHeight="false" outlineLevel="0" collapsed="false">
      <c r="A2883" s="2" t="s">
        <v>146</v>
      </c>
      <c r="B2883" s="2" t="s">
        <v>146</v>
      </c>
      <c r="C2883" s="2" t="s">
        <v>50</v>
      </c>
      <c r="D2883" s="2" t="s">
        <v>10</v>
      </c>
      <c r="E2883" s="2" t="s">
        <v>76</v>
      </c>
      <c r="F2883" s="2" t="s">
        <v>1145</v>
      </c>
      <c r="G2883" s="14" t="n">
        <v>17.5</v>
      </c>
      <c r="H2883" s="14" t="n">
        <v>21.34</v>
      </c>
      <c r="I2883" s="14" t="n">
        <v>17.5</v>
      </c>
      <c r="J2883" s="22" t="n">
        <f aca="false">IF(E2883="Priority",'Cost model'!N760,'Cost model'!M760)</f>
        <v>18.5</v>
      </c>
      <c r="K2883" s="14" t="n">
        <f aca="false">J2883-H2883</f>
        <v>-2.84</v>
      </c>
      <c r="L2883" s="14" t="n">
        <f aca="false">G2883-H2883</f>
        <v>-3.84</v>
      </c>
    </row>
    <row r="2884" customFormat="false" ht="15" hidden="false" customHeight="false" outlineLevel="0" collapsed="false">
      <c r="A2884" s="2" t="s">
        <v>165</v>
      </c>
      <c r="B2884" s="2" t="s">
        <v>165</v>
      </c>
      <c r="C2884" s="2" t="s">
        <v>48</v>
      </c>
      <c r="D2884" s="2" t="s">
        <v>12</v>
      </c>
      <c r="E2884" s="2" t="s">
        <v>76</v>
      </c>
      <c r="F2884" s="2" t="s">
        <v>1145</v>
      </c>
      <c r="G2884" s="14" t="n">
        <v>9.5</v>
      </c>
      <c r="H2884" s="14" t="n">
        <v>15.9</v>
      </c>
      <c r="I2884" s="14" t="n">
        <v>9.5</v>
      </c>
      <c r="J2884" s="22" t="n">
        <f aca="false">IF(E2884="Priority",'Cost model'!N509,'Cost model'!M509)</f>
        <v>17.5</v>
      </c>
      <c r="K2884" s="14" t="n">
        <f aca="false">J2884-H2884</f>
        <v>1.6</v>
      </c>
      <c r="L2884" s="14" t="n">
        <f aca="false">G2884-H2884</f>
        <v>-6.4</v>
      </c>
    </row>
    <row r="2885" customFormat="false" ht="15" hidden="false" customHeight="false" outlineLevel="0" collapsed="false">
      <c r="A2885" s="2" t="s">
        <v>125</v>
      </c>
      <c r="B2885" s="2" t="s">
        <v>184</v>
      </c>
      <c r="C2885" s="2" t="s">
        <v>48</v>
      </c>
      <c r="D2885" s="2" t="s">
        <v>13</v>
      </c>
      <c r="E2885" s="2" t="s">
        <v>85</v>
      </c>
      <c r="F2885" s="2" t="s">
        <v>1146</v>
      </c>
      <c r="G2885" s="14" t="n">
        <v>75</v>
      </c>
      <c r="H2885" s="14" t="n">
        <v>76.75</v>
      </c>
      <c r="I2885" s="14" t="n">
        <v>75</v>
      </c>
      <c r="J2885" s="22" t="n">
        <f aca="false">IF(E2885="Priority",'Cost model'!N62,'Cost model'!M62)</f>
        <v>110</v>
      </c>
      <c r="K2885" s="14" t="n">
        <f aca="false">J2885-H2885</f>
        <v>33.25</v>
      </c>
      <c r="L2885" s="14" t="n">
        <f aca="false">G2885-H2885</f>
        <v>-1.75</v>
      </c>
    </row>
    <row r="2886" customFormat="false" ht="15" hidden="false" customHeight="false" outlineLevel="0" collapsed="false">
      <c r="A2886" s="2" t="s">
        <v>184</v>
      </c>
      <c r="B2886" s="2" t="s">
        <v>184</v>
      </c>
      <c r="C2886" s="2" t="s">
        <v>50</v>
      </c>
      <c r="D2886" s="2" t="s">
        <v>13</v>
      </c>
      <c r="E2886" s="2" t="s">
        <v>76</v>
      </c>
      <c r="F2886" s="2" t="s">
        <v>1145</v>
      </c>
      <c r="G2886" s="14" t="n">
        <v>50</v>
      </c>
      <c r="H2886" s="14" t="n">
        <v>59.14</v>
      </c>
      <c r="I2886" s="14" t="n">
        <v>50</v>
      </c>
      <c r="J2886" s="22" t="n">
        <f aca="false">IF(E2886="Priority",'Cost model'!N208,'Cost model'!M208)</f>
        <v>80</v>
      </c>
      <c r="K2886" s="14" t="n">
        <f aca="false">J2886-H2886</f>
        <v>20.86</v>
      </c>
      <c r="L2886" s="14" t="n">
        <f aca="false">G2886-H2886</f>
        <v>-9.14</v>
      </c>
    </row>
    <row r="2887" customFormat="false" ht="15" hidden="false" customHeight="false" outlineLevel="0" collapsed="false">
      <c r="A2887" s="2" t="s">
        <v>240</v>
      </c>
      <c r="B2887" s="2" t="s">
        <v>240</v>
      </c>
      <c r="C2887" s="2" t="s">
        <v>50</v>
      </c>
      <c r="D2887" s="2" t="s">
        <v>12</v>
      </c>
      <c r="E2887" s="2" t="s">
        <v>76</v>
      </c>
      <c r="F2887" s="2" t="s">
        <v>1145</v>
      </c>
      <c r="G2887" s="14" t="n">
        <v>19.5</v>
      </c>
      <c r="H2887" s="14" t="n">
        <v>97.78</v>
      </c>
      <c r="I2887" s="14" t="n">
        <v>19.5</v>
      </c>
      <c r="J2887" s="22" t="n">
        <f aca="false">IF(E2887="Priority",'Cost model'!N889,'Cost model'!M889)</f>
        <v>60</v>
      </c>
      <c r="K2887" s="14" t="n">
        <f aca="false">J2887-H2887</f>
        <v>-37.78</v>
      </c>
      <c r="L2887" s="14" t="n">
        <f aca="false">G2887-H2887</f>
        <v>-78.28</v>
      </c>
    </row>
    <row r="2888" customFormat="false" ht="15" hidden="false" customHeight="false" outlineLevel="0" collapsed="false">
      <c r="A2888" s="2" t="s">
        <v>146</v>
      </c>
      <c r="B2888" s="2" t="s">
        <v>146</v>
      </c>
      <c r="C2888" s="2" t="s">
        <v>48</v>
      </c>
      <c r="D2888" s="2" t="s">
        <v>12</v>
      </c>
      <c r="E2888" s="2" t="s">
        <v>76</v>
      </c>
      <c r="F2888" s="2" t="s">
        <v>1145</v>
      </c>
      <c r="G2888" s="14" t="n">
        <v>9.5</v>
      </c>
      <c r="H2888" s="14" t="n">
        <v>29.27</v>
      </c>
      <c r="I2888" s="14" t="n">
        <v>9.5</v>
      </c>
      <c r="J2888" s="22" t="n">
        <f aca="false">IF(E2888="Priority",'Cost model'!N761,'Cost model'!M761)</f>
        <v>35</v>
      </c>
      <c r="K2888" s="14" t="n">
        <f aca="false">J2888-H2888</f>
        <v>5.73</v>
      </c>
      <c r="L2888" s="14" t="n">
        <f aca="false">G2888-H2888</f>
        <v>-19.77</v>
      </c>
    </row>
    <row r="2889" customFormat="false" ht="15" hidden="false" customHeight="false" outlineLevel="0" collapsed="false">
      <c r="A2889" s="2" t="s">
        <v>221</v>
      </c>
      <c r="B2889" s="2" t="s">
        <v>221</v>
      </c>
      <c r="C2889" s="2" t="s">
        <v>49</v>
      </c>
      <c r="D2889" s="2" t="s">
        <v>12</v>
      </c>
      <c r="E2889" s="2" t="s">
        <v>76</v>
      </c>
      <c r="F2889" s="2" t="s">
        <v>1145</v>
      </c>
      <c r="G2889" s="14" t="n">
        <v>12.5</v>
      </c>
      <c r="H2889" s="14" t="n">
        <v>28.26</v>
      </c>
      <c r="I2889" s="14" t="n">
        <v>12.5</v>
      </c>
      <c r="J2889" s="22" t="n">
        <f aca="false">IF(E2889="Priority",'Cost model'!N636,'Cost model'!M636)</f>
        <v>55</v>
      </c>
      <c r="K2889" s="14" t="n">
        <f aca="false">J2889-H2889</f>
        <v>26.74</v>
      </c>
      <c r="L2889" s="14" t="n">
        <f aca="false">G2889-H2889</f>
        <v>-15.76</v>
      </c>
    </row>
    <row r="2890" customFormat="false" ht="15" hidden="false" customHeight="false" outlineLevel="0" collapsed="false">
      <c r="A2890" s="2" t="s">
        <v>240</v>
      </c>
      <c r="B2890" s="2" t="s">
        <v>240</v>
      </c>
      <c r="C2890" s="2" t="s">
        <v>50</v>
      </c>
      <c r="D2890" s="2" t="s">
        <v>10</v>
      </c>
      <c r="E2890" s="2" t="s">
        <v>85</v>
      </c>
      <c r="F2890" s="2" t="s">
        <v>1145</v>
      </c>
      <c r="G2890" s="14" t="n">
        <v>24.5</v>
      </c>
      <c r="H2890" s="14" t="n">
        <v>23.58</v>
      </c>
      <c r="I2890" s="14" t="n">
        <v>24.5</v>
      </c>
      <c r="J2890" s="22" t="n">
        <f aca="false">IF(E2890="Priority",'Cost model'!N886,'Cost model'!M886)</f>
        <v>23.5</v>
      </c>
      <c r="K2890" s="14" t="n">
        <f aca="false">J2890-H2890</f>
        <v>-0.0799999999999983</v>
      </c>
      <c r="L2890" s="14" t="n">
        <f aca="false">G2890-H2890</f>
        <v>0.920000000000002</v>
      </c>
    </row>
    <row r="2891" customFormat="false" ht="15" hidden="false" customHeight="false" outlineLevel="0" collapsed="false">
      <c r="A2891" s="2" t="s">
        <v>240</v>
      </c>
      <c r="B2891" s="2" t="s">
        <v>184</v>
      </c>
      <c r="C2891" s="2" t="s">
        <v>48</v>
      </c>
      <c r="D2891" s="2" t="s">
        <v>10</v>
      </c>
      <c r="E2891" s="2" t="s">
        <v>76</v>
      </c>
      <c r="F2891" s="2" t="s">
        <v>1146</v>
      </c>
      <c r="G2891" s="14" t="n">
        <v>14.5</v>
      </c>
      <c r="H2891" s="14" t="n">
        <v>42.41</v>
      </c>
      <c r="I2891" s="14" t="n">
        <v>19.5</v>
      </c>
      <c r="J2891" s="22" t="n">
        <f aca="false">IF(E2891="Priority",'Cost model'!N938,'Cost model'!M938)</f>
        <v>16.5</v>
      </c>
      <c r="K2891" s="14" t="n">
        <f aca="false">J2891-H2891</f>
        <v>-25.91</v>
      </c>
      <c r="L2891" s="14" t="n">
        <f aca="false">G2891-H2891</f>
        <v>-27.91</v>
      </c>
    </row>
    <row r="2892" customFormat="false" ht="15" hidden="false" customHeight="false" outlineLevel="0" collapsed="false">
      <c r="A2892" s="2" t="s">
        <v>146</v>
      </c>
      <c r="B2892" s="2" t="s">
        <v>146</v>
      </c>
      <c r="C2892" s="2" t="s">
        <v>50</v>
      </c>
      <c r="D2892" s="2" t="s">
        <v>10</v>
      </c>
      <c r="E2892" s="2" t="s">
        <v>76</v>
      </c>
      <c r="F2892" s="2" t="s">
        <v>1145</v>
      </c>
      <c r="G2892" s="14" t="n">
        <v>17.5</v>
      </c>
      <c r="H2892" s="14" t="n">
        <v>17.31</v>
      </c>
      <c r="I2892" s="14" t="n">
        <v>17.5</v>
      </c>
      <c r="J2892" s="22" t="n">
        <f aca="false">IF(E2892="Priority",'Cost model'!N760,'Cost model'!M760)</f>
        <v>18.5</v>
      </c>
      <c r="K2892" s="14" t="n">
        <f aca="false">J2892-H2892</f>
        <v>1.19</v>
      </c>
      <c r="L2892" s="14" t="n">
        <f aca="false">G2892-H2892</f>
        <v>0.190000000000001</v>
      </c>
    </row>
    <row r="2893" customFormat="false" ht="15" hidden="false" customHeight="false" outlineLevel="0" collapsed="false">
      <c r="A2893" s="2" t="s">
        <v>126</v>
      </c>
      <c r="B2893" s="2" t="s">
        <v>126</v>
      </c>
      <c r="C2893" s="2" t="s">
        <v>48</v>
      </c>
      <c r="D2893" s="2" t="s">
        <v>12</v>
      </c>
      <c r="E2893" s="2" t="s">
        <v>76</v>
      </c>
      <c r="F2893" s="2" t="s">
        <v>1145</v>
      </c>
      <c r="G2893" s="14" t="n">
        <v>9.5</v>
      </c>
      <c r="H2893" s="14" t="n">
        <v>8.86</v>
      </c>
      <c r="I2893" s="14" t="n">
        <v>9.5</v>
      </c>
      <c r="J2893" s="22" t="n">
        <f aca="false">IF(E2893="Priority",'Cost model'!N383,'Cost model'!M383)</f>
        <v>27.5</v>
      </c>
      <c r="K2893" s="14" t="n">
        <f aca="false">J2893-H2893</f>
        <v>18.64</v>
      </c>
      <c r="L2893" s="14" t="n">
        <f aca="false">G2893-H2893</f>
        <v>0.640000000000001</v>
      </c>
    </row>
    <row r="2894" customFormat="false" ht="15" hidden="false" customHeight="false" outlineLevel="0" collapsed="false">
      <c r="A2894" s="2" t="s">
        <v>184</v>
      </c>
      <c r="B2894" s="2" t="s">
        <v>184</v>
      </c>
      <c r="C2894" s="2" t="s">
        <v>49</v>
      </c>
      <c r="D2894" s="2" t="s">
        <v>12</v>
      </c>
      <c r="E2894" s="2" t="s">
        <v>76</v>
      </c>
      <c r="F2894" s="2" t="s">
        <v>1145</v>
      </c>
      <c r="G2894" s="14" t="n">
        <v>12.5</v>
      </c>
      <c r="H2894" s="14" t="n">
        <v>49.42</v>
      </c>
      <c r="I2894" s="14"/>
      <c r="J2894" s="22" t="n">
        <f aca="false">IF(E2894="Priority",'Cost model'!N204,'Cost model'!M204)</f>
        <v>45</v>
      </c>
      <c r="K2894" s="14" t="n">
        <f aca="false">J2894-H2894</f>
        <v>-4.42</v>
      </c>
      <c r="L2894" s="14" t="n">
        <f aca="false">G2894-H2894</f>
        <v>-36.92</v>
      </c>
    </row>
    <row r="2895" customFormat="false" ht="15" hidden="false" customHeight="false" outlineLevel="0" collapsed="false">
      <c r="A2895" s="2" t="s">
        <v>184</v>
      </c>
      <c r="B2895" s="2" t="s">
        <v>146</v>
      </c>
      <c r="C2895" s="2" t="s">
        <v>48</v>
      </c>
      <c r="D2895" s="2" t="s">
        <v>12</v>
      </c>
      <c r="E2895" s="2" t="s">
        <v>76</v>
      </c>
      <c r="F2895" s="2" t="s">
        <v>1146</v>
      </c>
      <c r="G2895" s="14" t="n">
        <v>9.5</v>
      </c>
      <c r="H2895" s="14" t="n">
        <v>45.89</v>
      </c>
      <c r="I2895" s="14" t="n">
        <v>9.5</v>
      </c>
      <c r="J2895" s="22" t="n">
        <f aca="false">IF(E2895="Priority",'Cost model'!N149,'Cost model'!M149)</f>
        <v>45</v>
      </c>
      <c r="K2895" s="14" t="n">
        <f aca="false">J2895-H2895</f>
        <v>-0.890000000000001</v>
      </c>
      <c r="L2895" s="14" t="n">
        <f aca="false">G2895-H2895</f>
        <v>-36.39</v>
      </c>
    </row>
    <row r="2896" customFormat="false" ht="15" hidden="false" customHeight="false" outlineLevel="0" collapsed="false">
      <c r="A2896" s="2" t="s">
        <v>240</v>
      </c>
      <c r="B2896" s="2" t="s">
        <v>240</v>
      </c>
      <c r="C2896" s="2" t="s">
        <v>48</v>
      </c>
      <c r="D2896" s="2" t="s">
        <v>10</v>
      </c>
      <c r="E2896" s="2" t="s">
        <v>76</v>
      </c>
      <c r="F2896" s="2" t="s">
        <v>1145</v>
      </c>
      <c r="G2896" s="14" t="n">
        <v>9.5</v>
      </c>
      <c r="H2896" s="14" t="n">
        <v>8.13</v>
      </c>
      <c r="I2896" s="14" t="n">
        <v>9.5</v>
      </c>
      <c r="J2896" s="22" t="n">
        <f aca="false">IF(E2896="Priority",'Cost model'!N884,'Cost model'!M884)</f>
        <v>7.5</v>
      </c>
      <c r="K2896" s="14" t="n">
        <f aca="false">J2896-H2896</f>
        <v>-0.630000000000001</v>
      </c>
      <c r="L2896" s="14" t="n">
        <f aca="false">G2896-H2896</f>
        <v>1.37</v>
      </c>
    </row>
    <row r="2897" customFormat="false" ht="15" hidden="false" customHeight="false" outlineLevel="0" collapsed="false">
      <c r="A2897" s="2" t="s">
        <v>240</v>
      </c>
      <c r="B2897" s="2" t="s">
        <v>240</v>
      </c>
      <c r="C2897" s="2" t="s">
        <v>48</v>
      </c>
      <c r="D2897" s="2" t="s">
        <v>12</v>
      </c>
      <c r="E2897" s="2" t="s">
        <v>85</v>
      </c>
      <c r="F2897" s="2" t="s">
        <v>1145</v>
      </c>
      <c r="G2897" s="14" t="n">
        <v>19.5</v>
      </c>
      <c r="H2897" s="14" t="n">
        <v>50.67</v>
      </c>
      <c r="I2897" s="14" t="n">
        <v>19.5</v>
      </c>
      <c r="J2897" s="22" t="n">
        <f aca="false">IF(E2897="Priority",'Cost model'!N887,'Cost model'!M887)</f>
        <v>27.5</v>
      </c>
      <c r="K2897" s="14" t="n">
        <f aca="false">J2897-H2897</f>
        <v>-23.17</v>
      </c>
      <c r="L2897" s="14" t="n">
        <f aca="false">G2897-H2897</f>
        <v>-31.17</v>
      </c>
    </row>
    <row r="2898" customFormat="false" ht="15" hidden="false" customHeight="false" outlineLevel="0" collapsed="false">
      <c r="A2898" s="2" t="s">
        <v>240</v>
      </c>
      <c r="B2898" s="2" t="s">
        <v>240</v>
      </c>
      <c r="C2898" s="2" t="s">
        <v>50</v>
      </c>
      <c r="D2898" s="2" t="s">
        <v>10</v>
      </c>
      <c r="E2898" s="2" t="s">
        <v>76</v>
      </c>
      <c r="F2898" s="2" t="s">
        <v>1145</v>
      </c>
      <c r="G2898" s="14" t="n">
        <v>17.5</v>
      </c>
      <c r="H2898" s="14" t="n">
        <v>11.03</v>
      </c>
      <c r="I2898" s="14" t="n">
        <v>17.5</v>
      </c>
      <c r="J2898" s="22" t="n">
        <f aca="false">IF(E2898="Priority",'Cost model'!N886,'Cost model'!M886)</f>
        <v>17.5</v>
      </c>
      <c r="K2898" s="14" t="n">
        <f aca="false">J2898-H2898</f>
        <v>6.47</v>
      </c>
      <c r="L2898" s="14" t="n">
        <f aca="false">G2898-H2898</f>
        <v>6.47</v>
      </c>
    </row>
    <row r="2899" customFormat="false" ht="15" hidden="false" customHeight="false" outlineLevel="0" collapsed="false">
      <c r="A2899" s="2" t="s">
        <v>184</v>
      </c>
      <c r="B2899" s="2" t="s">
        <v>184</v>
      </c>
      <c r="C2899" s="2" t="s">
        <v>49</v>
      </c>
      <c r="D2899" s="2" t="s">
        <v>12</v>
      </c>
      <c r="E2899" s="2" t="s">
        <v>76</v>
      </c>
      <c r="F2899" s="2" t="s">
        <v>1145</v>
      </c>
      <c r="G2899" s="14" t="n">
        <v>19.5</v>
      </c>
      <c r="H2899" s="14" t="n">
        <v>56.34</v>
      </c>
      <c r="I2899" s="14"/>
      <c r="J2899" s="22" t="n">
        <f aca="false">IF(E2899="Priority",'Cost model'!N204,'Cost model'!M204)</f>
        <v>45</v>
      </c>
      <c r="K2899" s="14" t="n">
        <f aca="false">J2899-H2899</f>
        <v>-11.34</v>
      </c>
      <c r="L2899" s="14" t="n">
        <f aca="false">G2899-H2899</f>
        <v>-36.84</v>
      </c>
    </row>
    <row r="2900" customFormat="false" ht="15" hidden="false" customHeight="false" outlineLevel="0" collapsed="false">
      <c r="A2900" s="2" t="s">
        <v>240</v>
      </c>
      <c r="B2900" s="2" t="s">
        <v>240</v>
      </c>
      <c r="C2900" s="2" t="s">
        <v>50</v>
      </c>
      <c r="D2900" s="2" t="s">
        <v>12</v>
      </c>
      <c r="E2900" s="2" t="s">
        <v>85</v>
      </c>
      <c r="F2900" s="2" t="s">
        <v>1145</v>
      </c>
      <c r="G2900" s="14" t="n">
        <v>29.5</v>
      </c>
      <c r="H2900" s="14" t="n">
        <v>37.72</v>
      </c>
      <c r="I2900" s="14" t="n">
        <v>29.5</v>
      </c>
      <c r="J2900" s="22" t="n">
        <f aca="false">IF(E2900="Priority",'Cost model'!N889,'Cost model'!M889)</f>
        <v>80</v>
      </c>
      <c r="K2900" s="14" t="n">
        <f aca="false">J2900-H2900</f>
        <v>42.28</v>
      </c>
      <c r="L2900" s="14" t="n">
        <f aca="false">G2900-H2900</f>
        <v>-8.22</v>
      </c>
    </row>
    <row r="2901" customFormat="false" ht="15" hidden="false" customHeight="false" outlineLevel="0" collapsed="false">
      <c r="A2901" s="2" t="s">
        <v>165</v>
      </c>
      <c r="B2901" s="2" t="s">
        <v>126</v>
      </c>
      <c r="C2901" s="2" t="s">
        <v>48</v>
      </c>
      <c r="D2901" s="2" t="s">
        <v>10</v>
      </c>
      <c r="E2901" s="2" t="s">
        <v>76</v>
      </c>
      <c r="F2901" s="2" t="s">
        <v>1146</v>
      </c>
      <c r="G2901" s="14" t="n">
        <v>9.5</v>
      </c>
      <c r="H2901" s="14" t="n">
        <v>13.2</v>
      </c>
      <c r="I2901" s="14" t="n">
        <v>14.5</v>
      </c>
      <c r="J2901" s="22" t="n">
        <f aca="false">IF(E2901="Priority",'Cost model'!N542,'Cost model'!M542)</f>
        <v>14.5</v>
      </c>
      <c r="K2901" s="14" t="n">
        <f aca="false">J2901-H2901</f>
        <v>1.3</v>
      </c>
      <c r="L2901" s="14" t="n">
        <f aca="false">G2901-H2901</f>
        <v>-3.7</v>
      </c>
    </row>
    <row r="2902" customFormat="false" ht="15" hidden="false" customHeight="false" outlineLevel="0" collapsed="false">
      <c r="A2902" s="2" t="s">
        <v>126</v>
      </c>
      <c r="B2902" s="2" t="s">
        <v>126</v>
      </c>
      <c r="C2902" s="2" t="s">
        <v>50</v>
      </c>
      <c r="D2902" s="2" t="s">
        <v>14</v>
      </c>
      <c r="E2902" s="2" t="s">
        <v>76</v>
      </c>
      <c r="F2902" s="2" t="s">
        <v>1145</v>
      </c>
      <c r="G2902" s="14" t="n">
        <v>85</v>
      </c>
      <c r="H2902" s="14" t="n">
        <v>132.68</v>
      </c>
      <c r="I2902" s="14" t="n">
        <v>85</v>
      </c>
      <c r="J2902" s="22" t="n">
        <f aca="false">IF(E2902="Priority",'Cost model'!N391,'Cost model'!M391)</f>
        <v>170</v>
      </c>
      <c r="K2902" s="14" t="n">
        <f aca="false">J2902-H2902</f>
        <v>37.32</v>
      </c>
      <c r="L2902" s="14" t="n">
        <f aca="false">G2902-H2902</f>
        <v>-47.68</v>
      </c>
    </row>
    <row r="2903" customFormat="false" ht="15" hidden="false" customHeight="false" outlineLevel="0" collapsed="false">
      <c r="A2903" s="2" t="s">
        <v>184</v>
      </c>
      <c r="B2903" s="2" t="s">
        <v>184</v>
      </c>
      <c r="C2903" s="2" t="s">
        <v>50</v>
      </c>
      <c r="D2903" s="2" t="s">
        <v>10</v>
      </c>
      <c r="E2903" s="2" t="s">
        <v>76</v>
      </c>
      <c r="F2903" s="2" t="s">
        <v>1145</v>
      </c>
      <c r="G2903" s="14" t="n">
        <v>17.5</v>
      </c>
      <c r="H2903" s="14" t="n">
        <v>11.03</v>
      </c>
      <c r="I2903" s="14" t="n">
        <v>17.5</v>
      </c>
      <c r="J2903" s="22" t="n">
        <f aca="false">IF(E2903="Priority",'Cost model'!N202,'Cost model'!M202)</f>
        <v>17.5</v>
      </c>
      <c r="K2903" s="14" t="n">
        <f aca="false">J2903-H2903</f>
        <v>6.47</v>
      </c>
      <c r="L2903" s="14" t="n">
        <f aca="false">G2903-H2903</f>
        <v>6.47</v>
      </c>
    </row>
    <row r="2904" customFormat="false" ht="15" hidden="false" customHeight="false" outlineLevel="0" collapsed="false">
      <c r="A2904" s="2" t="s">
        <v>125</v>
      </c>
      <c r="B2904" s="2" t="s">
        <v>221</v>
      </c>
      <c r="C2904" s="2" t="s">
        <v>48</v>
      </c>
      <c r="D2904" s="2" t="s">
        <v>10</v>
      </c>
      <c r="E2904" s="2" t="s">
        <v>76</v>
      </c>
      <c r="F2904" s="2" t="s">
        <v>1146</v>
      </c>
      <c r="G2904" s="14" t="n">
        <v>14.5</v>
      </c>
      <c r="H2904" s="14" t="n">
        <v>8.92</v>
      </c>
      <c r="I2904" s="14" t="n">
        <v>19.5</v>
      </c>
      <c r="J2904" s="22" t="n">
        <f aca="false">IF(E2904="Priority",'Cost model'!N92,'Cost model'!M92)</f>
        <v>13.5</v>
      </c>
      <c r="K2904" s="14" t="n">
        <f aca="false">J2904-H2904</f>
        <v>4.58</v>
      </c>
      <c r="L2904" s="14" t="n">
        <f aca="false">G2904-H2904</f>
        <v>5.58</v>
      </c>
    </row>
    <row r="2905" customFormat="false" ht="15" hidden="false" customHeight="false" outlineLevel="0" collapsed="false">
      <c r="A2905" s="2" t="s">
        <v>184</v>
      </c>
      <c r="B2905" s="2" t="s">
        <v>184</v>
      </c>
      <c r="C2905" s="2" t="s">
        <v>49</v>
      </c>
      <c r="D2905" s="2" t="s">
        <v>10</v>
      </c>
      <c r="E2905" s="2" t="s">
        <v>76</v>
      </c>
      <c r="F2905" s="2" t="s">
        <v>1145</v>
      </c>
      <c r="G2905" s="14" t="n">
        <v>12.5</v>
      </c>
      <c r="H2905" s="14" t="n">
        <v>7.37</v>
      </c>
      <c r="I2905" s="14"/>
      <c r="J2905" s="22" t="n">
        <f aca="false">IF(E2905="Priority",'Cost model'!N201,'Cost model'!M201)</f>
        <v>12.5</v>
      </c>
      <c r="K2905" s="14" t="n">
        <f aca="false">J2905-H2905</f>
        <v>5.13</v>
      </c>
      <c r="L2905" s="14" t="n">
        <f aca="false">G2905-H2905</f>
        <v>5.13</v>
      </c>
    </row>
    <row r="2906" customFormat="false" ht="15" hidden="false" customHeight="false" outlineLevel="0" collapsed="false">
      <c r="A2906" s="2" t="s">
        <v>184</v>
      </c>
      <c r="B2906" s="2" t="s">
        <v>146</v>
      </c>
      <c r="C2906" s="2" t="s">
        <v>49</v>
      </c>
      <c r="D2906" s="2" t="s">
        <v>12</v>
      </c>
      <c r="E2906" s="2" t="s">
        <v>85</v>
      </c>
      <c r="F2906" s="2" t="s">
        <v>1146</v>
      </c>
      <c r="G2906" s="14" t="n">
        <v>19.5</v>
      </c>
      <c r="H2906" s="14" t="n">
        <v>111.56</v>
      </c>
      <c r="I2906" s="14" t="n">
        <v>19.5</v>
      </c>
      <c r="J2906" s="22" t="n">
        <f aca="false">IF(E2906="Priority",'Cost model'!N150,'Cost model'!M150)</f>
        <v>70</v>
      </c>
      <c r="K2906" s="14" t="n">
        <f aca="false">J2906-H2906</f>
        <v>-41.56</v>
      </c>
      <c r="L2906" s="14" t="n">
        <f aca="false">G2906-H2906</f>
        <v>-92.06</v>
      </c>
    </row>
    <row r="2907" customFormat="false" ht="15" hidden="false" customHeight="false" outlineLevel="0" collapsed="false">
      <c r="A2907" s="2" t="s">
        <v>184</v>
      </c>
      <c r="B2907" s="2" t="s">
        <v>184</v>
      </c>
      <c r="C2907" s="2" t="s">
        <v>48</v>
      </c>
      <c r="D2907" s="2" t="s">
        <v>12</v>
      </c>
      <c r="E2907" s="2" t="s">
        <v>76</v>
      </c>
      <c r="F2907" s="2" t="s">
        <v>1145</v>
      </c>
      <c r="G2907" s="14" t="n">
        <v>9.5</v>
      </c>
      <c r="H2907" s="14" t="n">
        <v>47.08</v>
      </c>
      <c r="I2907" s="14" t="n">
        <v>9.5</v>
      </c>
      <c r="J2907" s="22" t="n">
        <f aca="false">IF(E2907="Priority",'Cost model'!N203,'Cost model'!M203)</f>
        <v>26.5</v>
      </c>
      <c r="K2907" s="14" t="n">
        <f aca="false">J2907-H2907</f>
        <v>-20.58</v>
      </c>
      <c r="L2907" s="14" t="n">
        <f aca="false">G2907-H2907</f>
        <v>-37.58</v>
      </c>
    </row>
    <row r="2908" customFormat="false" ht="15" hidden="false" customHeight="false" outlineLevel="0" collapsed="false">
      <c r="A2908" s="2" t="s">
        <v>126</v>
      </c>
      <c r="B2908" s="2" t="s">
        <v>165</v>
      </c>
      <c r="C2908" s="2" t="s">
        <v>50</v>
      </c>
      <c r="D2908" s="2" t="s">
        <v>10</v>
      </c>
      <c r="E2908" s="2" t="s">
        <v>76</v>
      </c>
      <c r="F2908" s="2" t="s">
        <v>1146</v>
      </c>
      <c r="G2908" s="14" t="n">
        <v>17.5</v>
      </c>
      <c r="H2908" s="14" t="n">
        <v>16.9</v>
      </c>
      <c r="I2908" s="14" t="n">
        <v>17.5</v>
      </c>
      <c r="J2908" s="22" t="n">
        <f aca="false">IF(E2908="Priority",'Cost model'!N418,'Cost model'!M418)</f>
        <v>21.5</v>
      </c>
      <c r="K2908" s="14" t="n">
        <f aca="false">J2908-H2908</f>
        <v>4.6</v>
      </c>
      <c r="L2908" s="14" t="n">
        <f aca="false">G2908-H2908</f>
        <v>0.600000000000001</v>
      </c>
    </row>
    <row r="2909" customFormat="false" ht="15" hidden="false" customHeight="false" outlineLevel="0" collapsed="false">
      <c r="A2909" s="2" t="s">
        <v>184</v>
      </c>
      <c r="B2909" s="2" t="s">
        <v>184</v>
      </c>
      <c r="C2909" s="2" t="s">
        <v>50</v>
      </c>
      <c r="D2909" s="2" t="s">
        <v>12</v>
      </c>
      <c r="E2909" s="2" t="s">
        <v>76</v>
      </c>
      <c r="F2909" s="2" t="s">
        <v>1145</v>
      </c>
      <c r="G2909" s="14" t="n">
        <v>19.5</v>
      </c>
      <c r="H2909" s="14" t="n">
        <v>46.62</v>
      </c>
      <c r="I2909" s="14" t="n">
        <v>19.5</v>
      </c>
      <c r="J2909" s="22" t="n">
        <f aca="false">IF(E2909="Priority",'Cost model'!N205,'Cost model'!M205)</f>
        <v>50</v>
      </c>
      <c r="K2909" s="14" t="n">
        <f aca="false">J2909-H2909</f>
        <v>3.38</v>
      </c>
      <c r="L2909" s="14" t="n">
        <f aca="false">G2909-H2909</f>
        <v>-27.12</v>
      </c>
    </row>
    <row r="2910" customFormat="false" ht="15" hidden="false" customHeight="false" outlineLevel="0" collapsed="false">
      <c r="A2910" s="2" t="s">
        <v>165</v>
      </c>
      <c r="B2910" s="2" t="s">
        <v>184</v>
      </c>
      <c r="C2910" s="2" t="s">
        <v>50</v>
      </c>
      <c r="D2910" s="2" t="s">
        <v>10</v>
      </c>
      <c r="E2910" s="2" t="s">
        <v>76</v>
      </c>
      <c r="F2910" s="2" t="s">
        <v>1146</v>
      </c>
      <c r="G2910" s="14" t="n">
        <v>17.5</v>
      </c>
      <c r="H2910" s="14" t="n">
        <v>17.69</v>
      </c>
      <c r="I2910" s="14" t="n">
        <v>17.5</v>
      </c>
      <c r="J2910" s="22" t="n">
        <f aca="false">IF(E2910="Priority",'Cost model'!N580,'Cost model'!M580)</f>
        <v>18.5</v>
      </c>
      <c r="K2910" s="14" t="n">
        <f aca="false">J2910-H2910</f>
        <v>0.809999999999999</v>
      </c>
      <c r="L2910" s="14" t="n">
        <f aca="false">G2910-H2910</f>
        <v>-0.190000000000001</v>
      </c>
    </row>
    <row r="2911" customFormat="false" ht="15" hidden="false" customHeight="false" outlineLevel="0" collapsed="false">
      <c r="A2911" s="2" t="s">
        <v>221</v>
      </c>
      <c r="B2911" s="2" t="s">
        <v>126</v>
      </c>
      <c r="C2911" s="2" t="s">
        <v>49</v>
      </c>
      <c r="D2911" s="2" t="s">
        <v>12</v>
      </c>
      <c r="E2911" s="2" t="s">
        <v>76</v>
      </c>
      <c r="F2911" s="2" t="s">
        <v>1146</v>
      </c>
      <c r="G2911" s="14" t="n">
        <v>19.5</v>
      </c>
      <c r="H2911" s="14" t="n">
        <v>33.8</v>
      </c>
      <c r="I2911" s="14" t="n">
        <v>24.5</v>
      </c>
      <c r="J2911" s="22" t="n">
        <f aca="false">IF(E2911="Priority",'Cost model'!N690,'Cost model'!M690)</f>
        <v>60</v>
      </c>
      <c r="K2911" s="14" t="n">
        <f aca="false">J2911-H2911</f>
        <v>26.2</v>
      </c>
      <c r="L2911" s="14" t="n">
        <f aca="false">G2911-H2911</f>
        <v>-14.3</v>
      </c>
    </row>
    <row r="2912" customFormat="false" ht="15" hidden="false" customHeight="false" outlineLevel="0" collapsed="false">
      <c r="A2912" s="2" t="s">
        <v>184</v>
      </c>
      <c r="B2912" s="2" t="s">
        <v>184</v>
      </c>
      <c r="C2912" s="2" t="s">
        <v>48</v>
      </c>
      <c r="D2912" s="2" t="s">
        <v>12</v>
      </c>
      <c r="E2912" s="2" t="s">
        <v>76</v>
      </c>
      <c r="F2912" s="2" t="s">
        <v>1145</v>
      </c>
      <c r="G2912" s="14" t="n">
        <v>9.5</v>
      </c>
      <c r="H2912" s="14" t="n">
        <v>28.31</v>
      </c>
      <c r="I2912" s="14" t="n">
        <v>9.5</v>
      </c>
      <c r="J2912" s="22" t="n">
        <f aca="false">IF(E2912="Priority",'Cost model'!N203,'Cost model'!M203)</f>
        <v>26.5</v>
      </c>
      <c r="K2912" s="14" t="n">
        <f aca="false">J2912-H2912</f>
        <v>-1.81</v>
      </c>
      <c r="L2912" s="14" t="n">
        <f aca="false">G2912-H2912</f>
        <v>-18.81</v>
      </c>
    </row>
    <row r="2913" customFormat="false" ht="15" hidden="false" customHeight="false" outlineLevel="0" collapsed="false">
      <c r="A2913" s="2" t="s">
        <v>184</v>
      </c>
      <c r="B2913" s="2" t="s">
        <v>184</v>
      </c>
      <c r="C2913" s="2" t="s">
        <v>49</v>
      </c>
      <c r="D2913" s="2" t="s">
        <v>10</v>
      </c>
      <c r="E2913" s="2" t="s">
        <v>76</v>
      </c>
      <c r="F2913" s="2" t="s">
        <v>1145</v>
      </c>
      <c r="G2913" s="14" t="n">
        <v>12.5</v>
      </c>
      <c r="H2913" s="14" t="n">
        <v>10.91</v>
      </c>
      <c r="I2913" s="14"/>
      <c r="J2913" s="22" t="n">
        <f aca="false">IF(E2913="Priority",'Cost model'!N201,'Cost model'!M201)</f>
        <v>12.5</v>
      </c>
      <c r="K2913" s="14" t="n">
        <f aca="false">J2913-H2913</f>
        <v>1.59</v>
      </c>
      <c r="L2913" s="14" t="n">
        <f aca="false">G2913-H2913</f>
        <v>1.59</v>
      </c>
    </row>
    <row r="2914" customFormat="false" ht="15" hidden="false" customHeight="false" outlineLevel="0" collapsed="false">
      <c r="A2914" s="2" t="s">
        <v>184</v>
      </c>
      <c r="B2914" s="2" t="s">
        <v>126</v>
      </c>
      <c r="C2914" s="2" t="s">
        <v>49</v>
      </c>
      <c r="D2914" s="2" t="s">
        <v>10</v>
      </c>
      <c r="E2914" s="2" t="s">
        <v>76</v>
      </c>
      <c r="F2914" s="2" t="s">
        <v>1146</v>
      </c>
      <c r="G2914" s="14" t="n">
        <v>12.5</v>
      </c>
      <c r="H2914" s="14" t="n">
        <v>10.79</v>
      </c>
      <c r="I2914" s="14"/>
      <c r="J2914" s="22" t="n">
        <f aca="false">IF(E2914="Priority",'Cost model'!N129,'Cost model'!M129)</f>
        <v>13.5</v>
      </c>
      <c r="K2914" s="14" t="n">
        <f aca="false">J2914-H2914</f>
        <v>2.71</v>
      </c>
      <c r="L2914" s="14" t="n">
        <f aca="false">G2914-H2914</f>
        <v>1.71</v>
      </c>
    </row>
    <row r="2915" customFormat="false" ht="15" hidden="false" customHeight="false" outlineLevel="0" collapsed="false">
      <c r="A2915" s="2" t="s">
        <v>165</v>
      </c>
      <c r="B2915" s="2" t="s">
        <v>165</v>
      </c>
      <c r="C2915" s="2" t="s">
        <v>50</v>
      </c>
      <c r="D2915" s="2" t="s">
        <v>13</v>
      </c>
      <c r="E2915" s="2" t="s">
        <v>76</v>
      </c>
      <c r="F2915" s="2" t="s">
        <v>1145</v>
      </c>
      <c r="G2915" s="14" t="n">
        <v>50</v>
      </c>
      <c r="H2915" s="14" t="n">
        <v>35.11</v>
      </c>
      <c r="I2915" s="14" t="n">
        <v>50</v>
      </c>
      <c r="J2915" s="22" t="n">
        <f aca="false">IF(E2915="Priority",'Cost model'!N514,'Cost model'!M514)</f>
        <v>70</v>
      </c>
      <c r="K2915" s="14" t="n">
        <f aca="false">J2915-H2915</f>
        <v>34.89</v>
      </c>
      <c r="L2915" s="14" t="n">
        <f aca="false">G2915-H2915</f>
        <v>14.89</v>
      </c>
    </row>
    <row r="2916" customFormat="false" ht="15" hidden="false" customHeight="false" outlineLevel="0" collapsed="false">
      <c r="A2916" s="2" t="s">
        <v>184</v>
      </c>
      <c r="B2916" s="2" t="s">
        <v>126</v>
      </c>
      <c r="C2916" s="2" t="s">
        <v>50</v>
      </c>
      <c r="D2916" s="2" t="s">
        <v>10</v>
      </c>
      <c r="E2916" s="2" t="s">
        <v>76</v>
      </c>
      <c r="F2916" s="2" t="s">
        <v>1146</v>
      </c>
      <c r="G2916" s="14" t="n">
        <v>17.5</v>
      </c>
      <c r="H2916" s="14" t="n">
        <v>11.92</v>
      </c>
      <c r="I2916" s="14" t="n">
        <v>17.5</v>
      </c>
      <c r="J2916" s="22" t="n">
        <f aca="false">IF(E2916="Priority",'Cost model'!N130,'Cost model'!M130)</f>
        <v>18.5</v>
      </c>
      <c r="K2916" s="14" t="n">
        <f aca="false">J2916-H2916</f>
        <v>6.58</v>
      </c>
      <c r="L2916" s="14" t="n">
        <f aca="false">G2916-H2916</f>
        <v>5.58</v>
      </c>
    </row>
    <row r="2917" customFormat="false" ht="15" hidden="false" customHeight="false" outlineLevel="0" collapsed="false">
      <c r="A2917" s="2" t="s">
        <v>126</v>
      </c>
      <c r="B2917" s="2" t="s">
        <v>126</v>
      </c>
      <c r="C2917" s="2" t="s">
        <v>48</v>
      </c>
      <c r="D2917" s="2" t="s">
        <v>13</v>
      </c>
      <c r="E2917" s="2" t="s">
        <v>76</v>
      </c>
      <c r="F2917" s="2" t="s">
        <v>1145</v>
      </c>
      <c r="G2917" s="14" t="n">
        <v>19</v>
      </c>
      <c r="H2917" s="14" t="n">
        <v>60.55</v>
      </c>
      <c r="I2917" s="14" t="n">
        <v>19</v>
      </c>
      <c r="J2917" s="22" t="n">
        <f aca="false">IF(E2917="Priority",'Cost model'!N386,'Cost model'!M386)</f>
        <v>55</v>
      </c>
      <c r="K2917" s="14" t="n">
        <f aca="false">J2917-H2917</f>
        <v>-5.55</v>
      </c>
      <c r="L2917" s="14" t="n">
        <f aca="false">G2917-H2917</f>
        <v>-41.55</v>
      </c>
    </row>
    <row r="2918" customFormat="false" ht="15" hidden="false" customHeight="false" outlineLevel="0" collapsed="false">
      <c r="A2918" s="2" t="s">
        <v>184</v>
      </c>
      <c r="B2918" s="2" t="s">
        <v>126</v>
      </c>
      <c r="C2918" s="2" t="s">
        <v>48</v>
      </c>
      <c r="D2918" s="2" t="s">
        <v>13</v>
      </c>
      <c r="E2918" s="2" t="s">
        <v>76</v>
      </c>
      <c r="F2918" s="2" t="s">
        <v>1146</v>
      </c>
      <c r="G2918" s="14" t="n">
        <v>24.5</v>
      </c>
      <c r="H2918" s="14" t="n">
        <v>101.6</v>
      </c>
      <c r="I2918" s="14" t="n">
        <v>19</v>
      </c>
      <c r="J2918" s="22" t="n">
        <f aca="false">IF(E2918="Priority",'Cost model'!N134,'Cost model'!M134)</f>
        <v>80</v>
      </c>
      <c r="K2918" s="14" t="n">
        <f aca="false">J2918-H2918</f>
        <v>-21.6</v>
      </c>
      <c r="L2918" s="14" t="n">
        <f aca="false">G2918-H2918</f>
        <v>-77.1</v>
      </c>
    </row>
    <row r="2919" customFormat="false" ht="15" hidden="false" customHeight="false" outlineLevel="0" collapsed="false">
      <c r="A2919" s="2" t="s">
        <v>240</v>
      </c>
      <c r="B2919" s="2" t="s">
        <v>240</v>
      </c>
      <c r="C2919" s="2" t="s">
        <v>50</v>
      </c>
      <c r="D2919" s="2" t="s">
        <v>10</v>
      </c>
      <c r="E2919" s="2" t="s">
        <v>76</v>
      </c>
      <c r="F2919" s="2" t="s">
        <v>1145</v>
      </c>
      <c r="G2919" s="14" t="n">
        <v>17.5</v>
      </c>
      <c r="H2919" s="14" t="n">
        <v>17.57</v>
      </c>
      <c r="I2919" s="14" t="n">
        <v>17.5</v>
      </c>
      <c r="J2919" s="22" t="n">
        <f aca="false">IF(E2919="Priority",'Cost model'!N886,'Cost model'!M886)</f>
        <v>17.5</v>
      </c>
      <c r="K2919" s="14" t="n">
        <f aca="false">J2919-H2919</f>
        <v>-0.0700000000000003</v>
      </c>
      <c r="L2919" s="14" t="n">
        <f aca="false">G2919-H2919</f>
        <v>-0.0700000000000003</v>
      </c>
    </row>
    <row r="2920" customFormat="false" ht="15" hidden="false" customHeight="false" outlineLevel="0" collapsed="false">
      <c r="A2920" s="2" t="s">
        <v>126</v>
      </c>
      <c r="B2920" s="2" t="s">
        <v>126</v>
      </c>
      <c r="C2920" s="2" t="s">
        <v>48</v>
      </c>
      <c r="D2920" s="2" t="s">
        <v>10</v>
      </c>
      <c r="E2920" s="2" t="s">
        <v>85</v>
      </c>
      <c r="F2920" s="2" t="s">
        <v>1145</v>
      </c>
      <c r="G2920" s="14" t="n">
        <v>14.5</v>
      </c>
      <c r="H2920" s="14" t="n">
        <v>20.83</v>
      </c>
      <c r="I2920" s="14" t="n">
        <v>14.5</v>
      </c>
      <c r="J2920" s="22" t="n">
        <f aca="false">IF(E2920="Priority",'Cost model'!N380,'Cost model'!M380)</f>
        <v>13.5</v>
      </c>
      <c r="K2920" s="14" t="n">
        <f aca="false">J2920-H2920</f>
        <v>-7.33</v>
      </c>
      <c r="L2920" s="14" t="n">
        <f aca="false">G2920-H2920</f>
        <v>-6.33</v>
      </c>
    </row>
    <row r="2921" customFormat="false" ht="15" hidden="false" customHeight="false" outlineLevel="0" collapsed="false">
      <c r="A2921" s="2" t="s">
        <v>184</v>
      </c>
      <c r="B2921" s="2" t="s">
        <v>184</v>
      </c>
      <c r="C2921" s="2" t="s">
        <v>48</v>
      </c>
      <c r="D2921" s="2" t="s">
        <v>10</v>
      </c>
      <c r="E2921" s="2" t="s">
        <v>76</v>
      </c>
      <c r="F2921" s="2" t="s">
        <v>1145</v>
      </c>
      <c r="G2921" s="14" t="n">
        <v>9.5</v>
      </c>
      <c r="H2921" s="14" t="n">
        <v>6.19</v>
      </c>
      <c r="I2921" s="14" t="n">
        <v>9.5</v>
      </c>
      <c r="J2921" s="22" t="n">
        <f aca="false">IF(E2921="Priority",'Cost model'!N200,'Cost model'!M200)</f>
        <v>7.5</v>
      </c>
      <c r="K2921" s="14" t="n">
        <f aca="false">J2921-H2921</f>
        <v>1.31</v>
      </c>
      <c r="L2921" s="14" t="n">
        <f aca="false">G2921-H2921</f>
        <v>3.31</v>
      </c>
    </row>
    <row r="2922" customFormat="false" ht="15" hidden="false" customHeight="false" outlineLevel="0" collapsed="false">
      <c r="A2922" s="2" t="s">
        <v>184</v>
      </c>
      <c r="B2922" s="2" t="s">
        <v>184</v>
      </c>
      <c r="C2922" s="2" t="s">
        <v>50</v>
      </c>
      <c r="D2922" s="2" t="s">
        <v>12</v>
      </c>
      <c r="E2922" s="2" t="s">
        <v>85</v>
      </c>
      <c r="F2922" s="2" t="s">
        <v>1145</v>
      </c>
      <c r="G2922" s="14" t="n">
        <v>29.5</v>
      </c>
      <c r="H2922" s="14" t="n">
        <v>49.78</v>
      </c>
      <c r="I2922" s="14" t="n">
        <v>29.5</v>
      </c>
      <c r="J2922" s="22" t="n">
        <f aca="false">IF(E2922="Priority",'Cost model'!N205,'Cost model'!M205)</f>
        <v>65</v>
      </c>
      <c r="K2922" s="14" t="n">
        <f aca="false">J2922-H2922</f>
        <v>15.22</v>
      </c>
      <c r="L2922" s="14" t="n">
        <f aca="false">G2922-H2922</f>
        <v>-20.28</v>
      </c>
    </row>
    <row r="2923" customFormat="false" ht="15" hidden="false" customHeight="false" outlineLevel="0" collapsed="false">
      <c r="A2923" s="2" t="s">
        <v>126</v>
      </c>
      <c r="B2923" s="2" t="s">
        <v>126</v>
      </c>
      <c r="C2923" s="2" t="s">
        <v>49</v>
      </c>
      <c r="D2923" s="2" t="s">
        <v>10</v>
      </c>
      <c r="E2923" s="2" t="s">
        <v>76</v>
      </c>
      <c r="F2923" s="2" t="s">
        <v>1145</v>
      </c>
      <c r="G2923" s="14" t="n">
        <v>12.5</v>
      </c>
      <c r="H2923" s="14" t="n">
        <v>21.61</v>
      </c>
      <c r="I2923" s="14" t="n">
        <v>12.5</v>
      </c>
      <c r="J2923" s="22" t="n">
        <f aca="false">IF(E2923="Priority",'Cost model'!N381,'Cost model'!M381)</f>
        <v>14.5</v>
      </c>
      <c r="K2923" s="14" t="n">
        <f aca="false">J2923-H2923</f>
        <v>-7.11</v>
      </c>
      <c r="L2923" s="14" t="n">
        <f aca="false">G2923-H2923</f>
        <v>-9.11</v>
      </c>
    </row>
    <row r="2924" customFormat="false" ht="15" hidden="false" customHeight="false" outlineLevel="0" collapsed="false">
      <c r="A2924" s="2" t="s">
        <v>240</v>
      </c>
      <c r="B2924" s="2" t="s">
        <v>240</v>
      </c>
      <c r="C2924" s="2" t="s">
        <v>48</v>
      </c>
      <c r="D2924" s="2" t="s">
        <v>10</v>
      </c>
      <c r="E2924" s="2" t="s">
        <v>76</v>
      </c>
      <c r="F2924" s="2" t="s">
        <v>1145</v>
      </c>
      <c r="G2924" s="14" t="n">
        <v>9.5</v>
      </c>
      <c r="H2924" s="14" t="n">
        <v>7.43</v>
      </c>
      <c r="I2924" s="14" t="n">
        <v>9.5</v>
      </c>
      <c r="J2924" s="22" t="n">
        <f aca="false">IF(E2924="Priority",'Cost model'!N884,'Cost model'!M884)</f>
        <v>7.5</v>
      </c>
      <c r="K2924" s="14" t="n">
        <f aca="false">J2924-H2924</f>
        <v>0.0700000000000003</v>
      </c>
      <c r="L2924" s="14" t="n">
        <f aca="false">G2924-H2924</f>
        <v>2.07</v>
      </c>
    </row>
    <row r="2925" customFormat="false" ht="15" hidden="false" customHeight="false" outlineLevel="0" collapsed="false">
      <c r="A2925" s="2" t="s">
        <v>146</v>
      </c>
      <c r="B2925" s="2" t="s">
        <v>146</v>
      </c>
      <c r="C2925" s="2" t="s">
        <v>48</v>
      </c>
      <c r="D2925" s="2" t="s">
        <v>13</v>
      </c>
      <c r="E2925" s="2" t="s">
        <v>76</v>
      </c>
      <c r="F2925" s="2" t="s">
        <v>1145</v>
      </c>
      <c r="G2925" s="14" t="n">
        <v>19</v>
      </c>
      <c r="H2925" s="14" t="n">
        <v>51.28</v>
      </c>
      <c r="I2925" s="14" t="n">
        <v>19</v>
      </c>
      <c r="J2925" s="22" t="n">
        <f aca="false">IF(E2925="Priority",'Cost model'!N764,'Cost model'!M764)</f>
        <v>55</v>
      </c>
      <c r="K2925" s="14" t="n">
        <f aca="false">J2925-H2925</f>
        <v>3.72</v>
      </c>
      <c r="L2925" s="14" t="n">
        <f aca="false">G2925-H2925</f>
        <v>-32.28</v>
      </c>
    </row>
    <row r="2926" customFormat="false" ht="15" hidden="false" customHeight="false" outlineLevel="0" collapsed="false">
      <c r="A2926" s="2" t="s">
        <v>240</v>
      </c>
      <c r="B2926" s="2" t="s">
        <v>240</v>
      </c>
      <c r="C2926" s="2" t="s">
        <v>48</v>
      </c>
      <c r="D2926" s="2" t="s">
        <v>14</v>
      </c>
      <c r="E2926" s="2" t="s">
        <v>76</v>
      </c>
      <c r="F2926" s="2" t="s">
        <v>1145</v>
      </c>
      <c r="G2926" s="14" t="n">
        <v>25</v>
      </c>
      <c r="H2926" s="14" t="n">
        <v>64.12</v>
      </c>
      <c r="I2926" s="14" t="n">
        <v>25</v>
      </c>
      <c r="J2926" s="22" t="n">
        <f aca="false">IF(E2926="Priority",'Cost model'!N893,'Cost model'!M893)</f>
        <v>135</v>
      </c>
      <c r="K2926" s="14" t="n">
        <f aca="false">J2926-H2926</f>
        <v>70.88</v>
      </c>
      <c r="L2926" s="14" t="n">
        <f aca="false">G2926-H2926</f>
        <v>-39.12</v>
      </c>
    </row>
    <row r="2927" customFormat="false" ht="15" hidden="false" customHeight="false" outlineLevel="0" collapsed="false">
      <c r="A2927" s="2" t="s">
        <v>146</v>
      </c>
      <c r="B2927" s="2" t="s">
        <v>146</v>
      </c>
      <c r="C2927" s="2" t="s">
        <v>49</v>
      </c>
      <c r="D2927" s="2" t="s">
        <v>10</v>
      </c>
      <c r="E2927" s="2" t="s">
        <v>76</v>
      </c>
      <c r="F2927" s="2" t="s">
        <v>1145</v>
      </c>
      <c r="G2927" s="14" t="n">
        <v>12.5</v>
      </c>
      <c r="H2927" s="14" t="n">
        <v>20.83</v>
      </c>
      <c r="I2927" s="14" t="n">
        <v>12.5</v>
      </c>
      <c r="J2927" s="22" t="n">
        <f aca="false">IF(E2927="Priority",'Cost model'!N759,'Cost model'!M759)</f>
        <v>15.5</v>
      </c>
      <c r="K2927" s="14" t="n">
        <f aca="false">J2927-H2927</f>
        <v>-5.33</v>
      </c>
      <c r="L2927" s="14" t="n">
        <f aca="false">G2927-H2927</f>
        <v>-8.33</v>
      </c>
    </row>
    <row r="2928" customFormat="false" ht="15" hidden="false" customHeight="false" outlineLevel="0" collapsed="false">
      <c r="A2928" s="2" t="s">
        <v>146</v>
      </c>
      <c r="B2928" s="2" t="s">
        <v>146</v>
      </c>
      <c r="C2928" s="2" t="s">
        <v>49</v>
      </c>
      <c r="D2928" s="2" t="s">
        <v>12</v>
      </c>
      <c r="E2928" s="2" t="s">
        <v>85</v>
      </c>
      <c r="F2928" s="2" t="s">
        <v>1145</v>
      </c>
      <c r="G2928" s="14" t="n">
        <v>19.5</v>
      </c>
      <c r="H2928" s="14" t="n">
        <v>24.17</v>
      </c>
      <c r="I2928" s="14" t="n">
        <v>19.5</v>
      </c>
      <c r="J2928" s="22" t="n">
        <f aca="false">IF(E2928="Priority",'Cost model'!N762,'Cost model'!M762)</f>
        <v>60</v>
      </c>
      <c r="K2928" s="14" t="n">
        <f aca="false">J2928-H2928</f>
        <v>35.83</v>
      </c>
      <c r="L2928" s="14" t="n">
        <f aca="false">G2928-H2928</f>
        <v>-4.67</v>
      </c>
    </row>
    <row r="2929" customFormat="false" ht="15" hidden="false" customHeight="false" outlineLevel="0" collapsed="false">
      <c r="A2929" s="2" t="s">
        <v>184</v>
      </c>
      <c r="B2929" s="2" t="s">
        <v>184</v>
      </c>
      <c r="C2929" s="2" t="s">
        <v>50</v>
      </c>
      <c r="D2929" s="2" t="s">
        <v>12</v>
      </c>
      <c r="E2929" s="2" t="s">
        <v>76</v>
      </c>
      <c r="F2929" s="2" t="s">
        <v>1145</v>
      </c>
      <c r="G2929" s="14" t="n">
        <v>19.5</v>
      </c>
      <c r="H2929" s="14" t="n">
        <v>43.69</v>
      </c>
      <c r="I2929" s="14" t="n">
        <v>19.5</v>
      </c>
      <c r="J2929" s="22" t="n">
        <f aca="false">IF(E2929="Priority",'Cost model'!N205,'Cost model'!M205)</f>
        <v>50</v>
      </c>
      <c r="K2929" s="14" t="n">
        <f aca="false">J2929-H2929</f>
        <v>6.31</v>
      </c>
      <c r="L2929" s="14" t="n">
        <f aca="false">G2929-H2929</f>
        <v>-24.19</v>
      </c>
    </row>
    <row r="2930" customFormat="false" ht="15" hidden="false" customHeight="false" outlineLevel="0" collapsed="false">
      <c r="A2930" s="2" t="s">
        <v>146</v>
      </c>
      <c r="B2930" s="2" t="s">
        <v>126</v>
      </c>
      <c r="C2930" s="2" t="s">
        <v>48</v>
      </c>
      <c r="D2930" s="2" t="s">
        <v>12</v>
      </c>
      <c r="E2930" s="2" t="s">
        <v>76</v>
      </c>
      <c r="F2930" s="2" t="s">
        <v>1146</v>
      </c>
      <c r="G2930" s="14" t="n">
        <v>19.5</v>
      </c>
      <c r="H2930" s="14" t="n">
        <v>20.83</v>
      </c>
      <c r="I2930" s="14" t="n">
        <v>19.5</v>
      </c>
      <c r="J2930" s="22" t="n">
        <f aca="false">IF(E2930="Priority",'Cost model'!N797,'Cost model'!M797)</f>
        <v>40</v>
      </c>
      <c r="K2930" s="14" t="n">
        <f aca="false">J2930-H2930</f>
        <v>19.17</v>
      </c>
      <c r="L2930" s="14" t="n">
        <f aca="false">G2930-H2930</f>
        <v>-1.33</v>
      </c>
    </row>
    <row r="2931" customFormat="false" ht="15" hidden="false" customHeight="false" outlineLevel="0" collapsed="false">
      <c r="A2931" s="2" t="s">
        <v>184</v>
      </c>
      <c r="B2931" s="2" t="s">
        <v>184</v>
      </c>
      <c r="C2931" s="2" t="s">
        <v>48</v>
      </c>
      <c r="D2931" s="2" t="s">
        <v>14</v>
      </c>
      <c r="E2931" s="2" t="s">
        <v>76</v>
      </c>
      <c r="F2931" s="2" t="s">
        <v>1145</v>
      </c>
      <c r="G2931" s="14" t="n">
        <v>25</v>
      </c>
      <c r="H2931" s="14" t="n">
        <v>83.98</v>
      </c>
      <c r="I2931" s="14" t="n">
        <v>25</v>
      </c>
      <c r="J2931" s="22" t="n">
        <f aca="false">IF(E2931="Priority",'Cost model'!N209,'Cost model'!M209)</f>
        <v>105</v>
      </c>
      <c r="K2931" s="14" t="n">
        <f aca="false">J2931-H2931</f>
        <v>21.02</v>
      </c>
      <c r="L2931" s="14" t="n">
        <f aca="false">G2931-H2931</f>
        <v>-58.98</v>
      </c>
    </row>
    <row r="2932" customFormat="false" ht="15" hidden="false" customHeight="false" outlineLevel="0" collapsed="false">
      <c r="A2932" s="2" t="s">
        <v>146</v>
      </c>
      <c r="B2932" s="2" t="s">
        <v>146</v>
      </c>
      <c r="C2932" s="2" t="s">
        <v>49</v>
      </c>
      <c r="D2932" s="2" t="s">
        <v>13</v>
      </c>
      <c r="E2932" s="2" t="s">
        <v>76</v>
      </c>
      <c r="F2932" s="2" t="s">
        <v>1145</v>
      </c>
      <c r="G2932" s="14" t="n">
        <v>24.5</v>
      </c>
      <c r="H2932" s="14" t="n">
        <v>65.92</v>
      </c>
      <c r="I2932" s="14" t="n">
        <v>24.5</v>
      </c>
      <c r="J2932" s="22" t="n">
        <f aca="false">IF(E2932="Priority",'Cost model'!N765,'Cost model'!M765)</f>
        <v>70</v>
      </c>
      <c r="K2932" s="14" t="n">
        <f aca="false">J2932-H2932</f>
        <v>4.08</v>
      </c>
      <c r="L2932" s="14" t="n">
        <f aca="false">G2932-H2932</f>
        <v>-41.42</v>
      </c>
    </row>
    <row r="2933" customFormat="false" ht="15" hidden="false" customHeight="false" outlineLevel="0" collapsed="false">
      <c r="A2933" s="2" t="s">
        <v>126</v>
      </c>
      <c r="B2933" s="2" t="s">
        <v>240</v>
      </c>
      <c r="C2933" s="2" t="s">
        <v>49</v>
      </c>
      <c r="D2933" s="2" t="s">
        <v>12</v>
      </c>
      <c r="E2933" s="2" t="s">
        <v>76</v>
      </c>
      <c r="F2933" s="2" t="s">
        <v>1146</v>
      </c>
      <c r="G2933" s="14" t="n">
        <v>19.5</v>
      </c>
      <c r="H2933" s="14" t="n">
        <v>67.54</v>
      </c>
      <c r="I2933" s="14" t="n">
        <v>24.5</v>
      </c>
      <c r="J2933" s="22" t="n">
        <f aca="false">IF(E2933="Priority",'Cost model'!N492,'Cost model'!M492)</f>
        <v>60</v>
      </c>
      <c r="K2933" s="14" t="n">
        <f aca="false">J2933-H2933</f>
        <v>-7.54000000000001</v>
      </c>
      <c r="L2933" s="14" t="n">
        <f aca="false">G2933-H2933</f>
        <v>-48.04</v>
      </c>
    </row>
    <row r="2934" customFormat="false" ht="15" hidden="false" customHeight="false" outlineLevel="0" collapsed="false">
      <c r="A2934" s="2" t="s">
        <v>126</v>
      </c>
      <c r="B2934" s="2" t="s">
        <v>126</v>
      </c>
      <c r="C2934" s="2" t="s">
        <v>48</v>
      </c>
      <c r="D2934" s="2" t="s">
        <v>10</v>
      </c>
      <c r="E2934" s="2" t="s">
        <v>76</v>
      </c>
      <c r="F2934" s="2" t="s">
        <v>1145</v>
      </c>
      <c r="G2934" s="14" t="n">
        <v>9.5</v>
      </c>
      <c r="H2934" s="14" t="n">
        <v>6.8</v>
      </c>
      <c r="I2934" s="14" t="n">
        <v>9.5</v>
      </c>
      <c r="J2934" s="22" t="n">
        <f aca="false">IF(E2934="Priority",'Cost model'!N380,'Cost model'!M380)</f>
        <v>8.5</v>
      </c>
      <c r="K2934" s="14" t="n">
        <f aca="false">J2934-H2934</f>
        <v>1.7</v>
      </c>
      <c r="L2934" s="14" t="n">
        <f aca="false">G2934-H2934</f>
        <v>2.7</v>
      </c>
    </row>
    <row r="2935" customFormat="false" ht="15" hidden="false" customHeight="false" outlineLevel="0" collapsed="false">
      <c r="A2935" s="2" t="s">
        <v>126</v>
      </c>
      <c r="B2935" s="2" t="s">
        <v>126</v>
      </c>
      <c r="C2935" s="2" t="s">
        <v>49</v>
      </c>
      <c r="D2935" s="2" t="s">
        <v>13</v>
      </c>
      <c r="E2935" s="2" t="s">
        <v>76</v>
      </c>
      <c r="F2935" s="2" t="s">
        <v>1145</v>
      </c>
      <c r="G2935" s="14" t="n">
        <v>24.5</v>
      </c>
      <c r="H2935" s="14" t="n">
        <v>74.08</v>
      </c>
      <c r="I2935" s="14" t="n">
        <v>24.5</v>
      </c>
      <c r="J2935" s="22" t="n">
        <f aca="false">IF(E2935="Priority",'Cost model'!N387,'Cost model'!M387)</f>
        <v>95</v>
      </c>
      <c r="K2935" s="14" t="n">
        <f aca="false">J2935-H2935</f>
        <v>20.92</v>
      </c>
      <c r="L2935" s="14" t="n">
        <f aca="false">G2935-H2935</f>
        <v>-49.58</v>
      </c>
    </row>
    <row r="2936" customFormat="false" ht="15" hidden="false" customHeight="false" outlineLevel="0" collapsed="false">
      <c r="A2936" s="2" t="s">
        <v>240</v>
      </c>
      <c r="B2936" s="2" t="s">
        <v>240</v>
      </c>
      <c r="C2936" s="2" t="s">
        <v>50</v>
      </c>
      <c r="D2936" s="2" t="s">
        <v>10</v>
      </c>
      <c r="E2936" s="2" t="s">
        <v>76</v>
      </c>
      <c r="F2936" s="2" t="s">
        <v>1145</v>
      </c>
      <c r="G2936" s="14" t="n">
        <v>17.5</v>
      </c>
      <c r="H2936" s="14" t="n">
        <v>14.39</v>
      </c>
      <c r="I2936" s="14" t="n">
        <v>17.5</v>
      </c>
      <c r="J2936" s="22" t="n">
        <f aca="false">IF(E2936="Priority",'Cost model'!N886,'Cost model'!M886)</f>
        <v>17.5</v>
      </c>
      <c r="K2936" s="14" t="n">
        <f aca="false">J2936-H2936</f>
        <v>3.11</v>
      </c>
      <c r="L2936" s="14" t="n">
        <f aca="false">G2936-H2936</f>
        <v>3.11</v>
      </c>
    </row>
    <row r="2937" customFormat="false" ht="15" hidden="false" customHeight="false" outlineLevel="0" collapsed="false">
      <c r="A2937" s="2" t="s">
        <v>184</v>
      </c>
      <c r="B2937" s="2" t="s">
        <v>184</v>
      </c>
      <c r="C2937" s="2" t="s">
        <v>49</v>
      </c>
      <c r="D2937" s="2" t="s">
        <v>12</v>
      </c>
      <c r="E2937" s="2" t="s">
        <v>76</v>
      </c>
      <c r="F2937" s="2" t="s">
        <v>1145</v>
      </c>
      <c r="G2937" s="14" t="n">
        <v>19.5</v>
      </c>
      <c r="H2937" s="14" t="n">
        <v>69.78</v>
      </c>
      <c r="I2937" s="14"/>
      <c r="J2937" s="22" t="n">
        <f aca="false">IF(E2937="Priority",'Cost model'!N204,'Cost model'!M204)</f>
        <v>45</v>
      </c>
      <c r="K2937" s="14" t="n">
        <f aca="false">J2937-H2937</f>
        <v>-24.78</v>
      </c>
      <c r="L2937" s="14" t="n">
        <f aca="false">G2937-H2937</f>
        <v>-50.28</v>
      </c>
    </row>
    <row r="2938" customFormat="false" ht="15" hidden="false" customHeight="false" outlineLevel="0" collapsed="false">
      <c r="A2938" s="2" t="s">
        <v>126</v>
      </c>
      <c r="B2938" s="2" t="s">
        <v>126</v>
      </c>
      <c r="C2938" s="2" t="s">
        <v>49</v>
      </c>
      <c r="D2938" s="2" t="s">
        <v>10</v>
      </c>
      <c r="E2938" s="2" t="s">
        <v>76</v>
      </c>
      <c r="F2938" s="2" t="s">
        <v>1145</v>
      </c>
      <c r="G2938" s="14" t="n">
        <v>12.5</v>
      </c>
      <c r="H2938" s="14" t="n">
        <v>11.03</v>
      </c>
      <c r="I2938" s="14" t="n">
        <v>12.5</v>
      </c>
      <c r="J2938" s="22" t="n">
        <f aca="false">IF(E2938="Priority",'Cost model'!N381,'Cost model'!M381)</f>
        <v>14.5</v>
      </c>
      <c r="K2938" s="14" t="n">
        <f aca="false">J2938-H2938</f>
        <v>3.47</v>
      </c>
      <c r="L2938" s="14" t="n">
        <f aca="false">G2938-H2938</f>
        <v>1.47</v>
      </c>
    </row>
    <row r="2939" customFormat="false" ht="15" hidden="false" customHeight="false" outlineLevel="0" collapsed="false">
      <c r="A2939" s="2" t="s">
        <v>184</v>
      </c>
      <c r="B2939" s="2" t="s">
        <v>184</v>
      </c>
      <c r="C2939" s="2" t="s">
        <v>50</v>
      </c>
      <c r="D2939" s="2" t="s">
        <v>12</v>
      </c>
      <c r="E2939" s="2" t="s">
        <v>76</v>
      </c>
      <c r="F2939" s="2" t="s">
        <v>1145</v>
      </c>
      <c r="G2939" s="14" t="n">
        <v>19.5</v>
      </c>
      <c r="H2939" s="14" t="n">
        <v>45.14</v>
      </c>
      <c r="I2939" s="14" t="n">
        <v>19.5</v>
      </c>
      <c r="J2939" s="22" t="n">
        <f aca="false">IF(E2939="Priority",'Cost model'!N205,'Cost model'!M205)</f>
        <v>50</v>
      </c>
      <c r="K2939" s="14" t="n">
        <f aca="false">J2939-H2939</f>
        <v>4.86</v>
      </c>
      <c r="L2939" s="14" t="n">
        <f aca="false">G2939-H2939</f>
        <v>-25.64</v>
      </c>
    </row>
    <row r="2940" customFormat="false" ht="15" hidden="false" customHeight="false" outlineLevel="0" collapsed="false">
      <c r="A2940" s="2" t="s">
        <v>240</v>
      </c>
      <c r="B2940" s="2" t="s">
        <v>240</v>
      </c>
      <c r="C2940" s="2" t="s">
        <v>50</v>
      </c>
      <c r="D2940" s="2" t="s">
        <v>10</v>
      </c>
      <c r="E2940" s="2" t="s">
        <v>76</v>
      </c>
      <c r="F2940" s="2" t="s">
        <v>1145</v>
      </c>
      <c r="G2940" s="14" t="n">
        <v>17.5</v>
      </c>
      <c r="H2940" s="14" t="n">
        <v>30.31</v>
      </c>
      <c r="I2940" s="14" t="n">
        <v>17.5</v>
      </c>
      <c r="J2940" s="22" t="n">
        <f aca="false">IF(E2940="Priority",'Cost model'!N886,'Cost model'!M886)</f>
        <v>17.5</v>
      </c>
      <c r="K2940" s="14" t="n">
        <f aca="false">J2940-H2940</f>
        <v>-12.81</v>
      </c>
      <c r="L2940" s="14" t="n">
        <f aca="false">G2940-H2940</f>
        <v>-12.81</v>
      </c>
    </row>
    <row r="2941" customFormat="false" ht="15" hidden="false" customHeight="false" outlineLevel="0" collapsed="false">
      <c r="A2941" s="2" t="s">
        <v>184</v>
      </c>
      <c r="B2941" s="2" t="s">
        <v>126</v>
      </c>
      <c r="C2941" s="2" t="s">
        <v>49</v>
      </c>
      <c r="D2941" s="2" t="s">
        <v>12</v>
      </c>
      <c r="E2941" s="2" t="s">
        <v>76</v>
      </c>
      <c r="F2941" s="2" t="s">
        <v>1146</v>
      </c>
      <c r="G2941" s="14" t="n">
        <v>12.5</v>
      </c>
      <c r="H2941" s="14" t="n">
        <v>93.73</v>
      </c>
      <c r="I2941" s="14"/>
      <c r="J2941" s="22" t="n">
        <f aca="false">IF(E2941="Priority",'Cost model'!N132,'Cost model'!M132)</f>
        <v>50</v>
      </c>
      <c r="K2941" s="14" t="n">
        <f aca="false">J2941-H2941</f>
        <v>-43.73</v>
      </c>
      <c r="L2941" s="14" t="n">
        <f aca="false">G2941-H2941</f>
        <v>-81.23</v>
      </c>
    </row>
    <row r="2942" customFormat="false" ht="15" hidden="false" customHeight="false" outlineLevel="0" collapsed="false">
      <c r="A2942" s="2" t="s">
        <v>184</v>
      </c>
      <c r="B2942" s="2" t="s">
        <v>184</v>
      </c>
      <c r="C2942" s="2" t="s">
        <v>50</v>
      </c>
      <c r="D2942" s="2" t="s">
        <v>10</v>
      </c>
      <c r="E2942" s="2" t="s">
        <v>76</v>
      </c>
      <c r="F2942" s="2" t="s">
        <v>1145</v>
      </c>
      <c r="G2942" s="14" t="n">
        <v>17.5</v>
      </c>
      <c r="H2942" s="14" t="n">
        <v>20.11</v>
      </c>
      <c r="I2942" s="14" t="n">
        <v>17.5</v>
      </c>
      <c r="J2942" s="22" t="n">
        <f aca="false">IF(E2942="Priority",'Cost model'!N202,'Cost model'!M202)</f>
        <v>17.5</v>
      </c>
      <c r="K2942" s="14" t="n">
        <f aca="false">J2942-H2942</f>
        <v>-2.61</v>
      </c>
      <c r="L2942" s="14" t="n">
        <f aca="false">G2942-H2942</f>
        <v>-2.61</v>
      </c>
    </row>
    <row r="2943" customFormat="false" ht="15" hidden="false" customHeight="false" outlineLevel="0" collapsed="false">
      <c r="A2943" s="2" t="s">
        <v>240</v>
      </c>
      <c r="B2943" s="2" t="s">
        <v>240</v>
      </c>
      <c r="C2943" s="2" t="s">
        <v>49</v>
      </c>
      <c r="D2943" s="2" t="s">
        <v>10</v>
      </c>
      <c r="E2943" s="2" t="s">
        <v>76</v>
      </c>
      <c r="F2943" s="2" t="s">
        <v>1145</v>
      </c>
      <c r="G2943" s="14" t="n">
        <v>12.5</v>
      </c>
      <c r="H2943" s="14" t="n">
        <v>7.4</v>
      </c>
      <c r="I2943" s="14" t="n">
        <v>12.5</v>
      </c>
      <c r="J2943" s="22" t="n">
        <f aca="false">IF(E2943="Priority",'Cost model'!N885,'Cost model'!M885)</f>
        <v>13.5</v>
      </c>
      <c r="K2943" s="14" t="n">
        <f aca="false">J2943-H2943</f>
        <v>6.1</v>
      </c>
      <c r="L2943" s="14" t="n">
        <f aca="false">G2943-H2943</f>
        <v>5.1</v>
      </c>
    </row>
    <row r="2944" customFormat="false" ht="15" hidden="false" customHeight="false" outlineLevel="0" collapsed="false">
      <c r="A2944" s="2" t="s">
        <v>240</v>
      </c>
      <c r="B2944" s="2" t="s">
        <v>240</v>
      </c>
      <c r="C2944" s="2" t="s">
        <v>48</v>
      </c>
      <c r="D2944" s="2" t="s">
        <v>10</v>
      </c>
      <c r="E2944" s="2" t="s">
        <v>85</v>
      </c>
      <c r="F2944" s="2" t="s">
        <v>1145</v>
      </c>
      <c r="G2944" s="14" t="n">
        <v>14.5</v>
      </c>
      <c r="H2944" s="14" t="n">
        <v>7.93</v>
      </c>
      <c r="I2944" s="14" t="n">
        <v>14.5</v>
      </c>
      <c r="J2944" s="22" t="n">
        <f aca="false">IF(E2944="Priority",'Cost model'!N884,'Cost model'!M884)</f>
        <v>12.5</v>
      </c>
      <c r="K2944" s="14" t="n">
        <f aca="false">J2944-H2944</f>
        <v>4.57</v>
      </c>
      <c r="L2944" s="14" t="n">
        <f aca="false">G2944-H2944</f>
        <v>6.57</v>
      </c>
    </row>
    <row r="2945" customFormat="false" ht="15" hidden="false" customHeight="false" outlineLevel="0" collapsed="false">
      <c r="A2945" s="2" t="s">
        <v>184</v>
      </c>
      <c r="B2945" s="2" t="s">
        <v>146</v>
      </c>
      <c r="C2945" s="2" t="s">
        <v>48</v>
      </c>
      <c r="D2945" s="2" t="s">
        <v>12</v>
      </c>
      <c r="E2945" s="2" t="s">
        <v>76</v>
      </c>
      <c r="F2945" s="2" t="s">
        <v>1146</v>
      </c>
      <c r="G2945" s="14" t="n">
        <v>9.5</v>
      </c>
      <c r="H2945" s="14" t="n">
        <v>44.4</v>
      </c>
      <c r="I2945" s="14" t="n">
        <v>9.5</v>
      </c>
      <c r="J2945" s="22" t="n">
        <f aca="false">IF(E2945="Priority",'Cost model'!N149,'Cost model'!M149)</f>
        <v>45</v>
      </c>
      <c r="K2945" s="14" t="n">
        <f aca="false">J2945-H2945</f>
        <v>0.600000000000001</v>
      </c>
      <c r="L2945" s="14" t="n">
        <f aca="false">G2945-H2945</f>
        <v>-34.9</v>
      </c>
    </row>
    <row r="2946" customFormat="false" ht="15" hidden="false" customHeight="false" outlineLevel="0" collapsed="false">
      <c r="A2946" s="2" t="s">
        <v>126</v>
      </c>
      <c r="B2946" s="2" t="s">
        <v>126</v>
      </c>
      <c r="C2946" s="2" t="s">
        <v>48</v>
      </c>
      <c r="D2946" s="2" t="s">
        <v>10</v>
      </c>
      <c r="E2946" s="2" t="s">
        <v>76</v>
      </c>
      <c r="F2946" s="2" t="s">
        <v>1145</v>
      </c>
      <c r="G2946" s="14" t="n">
        <v>9.5</v>
      </c>
      <c r="H2946" s="14" t="n">
        <v>10.37</v>
      </c>
      <c r="I2946" s="14" t="n">
        <v>9.5</v>
      </c>
      <c r="J2946" s="22" t="n">
        <f aca="false">IF(E2946="Priority",'Cost model'!N380,'Cost model'!M380)</f>
        <v>8.5</v>
      </c>
      <c r="K2946" s="14" t="n">
        <f aca="false">J2946-H2946</f>
        <v>-1.87</v>
      </c>
      <c r="L2946" s="14" t="n">
        <f aca="false">G2946-H2946</f>
        <v>-0.869999999999999</v>
      </c>
    </row>
    <row r="2947" customFormat="false" ht="15" hidden="false" customHeight="false" outlineLevel="0" collapsed="false">
      <c r="A2947" s="2" t="s">
        <v>240</v>
      </c>
      <c r="B2947" s="2" t="s">
        <v>125</v>
      </c>
      <c r="C2947" s="2" t="s">
        <v>48</v>
      </c>
      <c r="D2947" s="2" t="s">
        <v>10</v>
      </c>
      <c r="E2947" s="2" t="s">
        <v>76</v>
      </c>
      <c r="F2947" s="2" t="s">
        <v>1146</v>
      </c>
      <c r="G2947" s="14" t="n">
        <v>9.5</v>
      </c>
      <c r="H2947" s="14" t="n">
        <v>21.76</v>
      </c>
      <c r="I2947" s="14" t="n">
        <v>19.5</v>
      </c>
      <c r="J2947" s="22" t="n">
        <f aca="false">IF(E2947="Priority",'Cost model'!N974,'Cost model'!M974)</f>
        <v>22.5</v>
      </c>
      <c r="K2947" s="14" t="n">
        <f aca="false">J2947-H2947</f>
        <v>0.739999999999998</v>
      </c>
      <c r="L2947" s="14" t="n">
        <f aca="false">G2947-H2947</f>
        <v>-12.26</v>
      </c>
    </row>
    <row r="2948" customFormat="false" ht="15" hidden="false" customHeight="false" outlineLevel="0" collapsed="false">
      <c r="A2948" s="2" t="s">
        <v>184</v>
      </c>
      <c r="B2948" s="2" t="s">
        <v>146</v>
      </c>
      <c r="C2948" s="2" t="s">
        <v>48</v>
      </c>
      <c r="D2948" s="2" t="s">
        <v>16</v>
      </c>
      <c r="E2948" s="2" t="s">
        <v>76</v>
      </c>
      <c r="F2948" s="2" t="s">
        <v>1146</v>
      </c>
      <c r="G2948" s="14" t="n">
        <v>45</v>
      </c>
      <c r="H2948" s="14" t="n">
        <v>132.48</v>
      </c>
      <c r="I2948" s="14" t="n">
        <v>45</v>
      </c>
      <c r="J2948" s="22" t="n">
        <f aca="false">IF(E2948="Priority",'Cost model'!N161,'Cost model'!M161)</f>
        <v>230</v>
      </c>
      <c r="K2948" s="14" t="n">
        <f aca="false">J2948-H2948</f>
        <v>97.52</v>
      </c>
      <c r="L2948" s="14" t="n">
        <f aca="false">G2948-H2948</f>
        <v>-87.48</v>
      </c>
    </row>
    <row r="2949" customFormat="false" ht="15" hidden="false" customHeight="false" outlineLevel="0" collapsed="false">
      <c r="A2949" s="2" t="s">
        <v>126</v>
      </c>
      <c r="B2949" s="2" t="s">
        <v>126</v>
      </c>
      <c r="C2949" s="2" t="s">
        <v>49</v>
      </c>
      <c r="D2949" s="2" t="s">
        <v>14</v>
      </c>
      <c r="E2949" s="2" t="s">
        <v>76</v>
      </c>
      <c r="F2949" s="2" t="s">
        <v>1145</v>
      </c>
      <c r="G2949" s="14" t="n">
        <v>45</v>
      </c>
      <c r="H2949" s="14" t="n">
        <v>94.17</v>
      </c>
      <c r="I2949" s="14" t="n">
        <v>45</v>
      </c>
      <c r="J2949" s="22" t="n">
        <f aca="false">IF(E2949="Priority",'Cost model'!N390,'Cost model'!M390)</f>
        <v>115</v>
      </c>
      <c r="K2949" s="14" t="n">
        <f aca="false">J2949-H2949</f>
        <v>20.83</v>
      </c>
      <c r="L2949" s="14" t="n">
        <f aca="false">G2949-H2949</f>
        <v>-49.17</v>
      </c>
    </row>
    <row r="2950" customFormat="false" ht="15" hidden="false" customHeight="false" outlineLevel="0" collapsed="false">
      <c r="A2950" s="2" t="s">
        <v>184</v>
      </c>
      <c r="B2950" s="2" t="s">
        <v>184</v>
      </c>
      <c r="C2950" s="2" t="s">
        <v>50</v>
      </c>
      <c r="D2950" s="2" t="s">
        <v>12</v>
      </c>
      <c r="E2950" s="2" t="s">
        <v>76</v>
      </c>
      <c r="F2950" s="2" t="s">
        <v>1145</v>
      </c>
      <c r="G2950" s="14" t="n">
        <v>19.5</v>
      </c>
      <c r="H2950" s="14" t="n">
        <v>27.12</v>
      </c>
      <c r="I2950" s="14" t="n">
        <v>19.5</v>
      </c>
      <c r="J2950" s="22" t="n">
        <f aca="false">IF(E2950="Priority",'Cost model'!N205,'Cost model'!M205)</f>
        <v>50</v>
      </c>
      <c r="K2950" s="14" t="n">
        <f aca="false">J2950-H2950</f>
        <v>22.88</v>
      </c>
      <c r="L2950" s="14" t="n">
        <f aca="false">G2950-H2950</f>
        <v>-7.62</v>
      </c>
    </row>
    <row r="2951" customFormat="false" ht="15" hidden="false" customHeight="false" outlineLevel="0" collapsed="false">
      <c r="A2951" s="2" t="s">
        <v>125</v>
      </c>
      <c r="B2951" s="2" t="s">
        <v>125</v>
      </c>
      <c r="C2951" s="2" t="s">
        <v>48</v>
      </c>
      <c r="D2951" s="2" t="s">
        <v>10</v>
      </c>
      <c r="E2951" s="2" t="s">
        <v>85</v>
      </c>
      <c r="F2951" s="2" t="s">
        <v>1145</v>
      </c>
      <c r="G2951" s="14" t="n">
        <v>14.5</v>
      </c>
      <c r="H2951" s="14" t="n">
        <v>21.61</v>
      </c>
      <c r="I2951" s="14" t="n">
        <v>14.5</v>
      </c>
      <c r="J2951" s="22" t="n">
        <f aca="false">IF(E2951="Priority",'Cost model'!N74,'Cost model'!M74)</f>
        <v>29.5</v>
      </c>
      <c r="K2951" s="14" t="n">
        <f aca="false">J2951-H2951</f>
        <v>7.89</v>
      </c>
      <c r="L2951" s="14" t="n">
        <f aca="false">G2951-H2951</f>
        <v>-7.11</v>
      </c>
    </row>
    <row r="2952" customFormat="false" ht="15" hidden="false" customHeight="false" outlineLevel="0" collapsed="false">
      <c r="A2952" s="2" t="s">
        <v>126</v>
      </c>
      <c r="B2952" s="2" t="s">
        <v>126</v>
      </c>
      <c r="C2952" s="2" t="s">
        <v>49</v>
      </c>
      <c r="D2952" s="2" t="s">
        <v>12</v>
      </c>
      <c r="E2952" s="2" t="s">
        <v>85</v>
      </c>
      <c r="F2952" s="2" t="s">
        <v>1145</v>
      </c>
      <c r="G2952" s="14" t="n">
        <v>19.5</v>
      </c>
      <c r="H2952" s="14" t="n">
        <v>48.13</v>
      </c>
      <c r="I2952" s="14" t="n">
        <v>19.5</v>
      </c>
      <c r="J2952" s="22" t="n">
        <f aca="false">IF(E2952="Priority",'Cost model'!N384,'Cost model'!M384)</f>
        <v>60</v>
      </c>
      <c r="K2952" s="14" t="n">
        <f aca="false">J2952-H2952</f>
        <v>11.87</v>
      </c>
      <c r="L2952" s="14" t="n">
        <f aca="false">G2952-H2952</f>
        <v>-28.63</v>
      </c>
    </row>
    <row r="2953" customFormat="false" ht="15" hidden="false" customHeight="false" outlineLevel="0" collapsed="false">
      <c r="A2953" s="2" t="s">
        <v>125</v>
      </c>
      <c r="B2953" s="2" t="s">
        <v>125</v>
      </c>
      <c r="C2953" s="2" t="s">
        <v>48</v>
      </c>
      <c r="D2953" s="2" t="s">
        <v>12</v>
      </c>
      <c r="E2953" s="2" t="s">
        <v>85</v>
      </c>
      <c r="F2953" s="2" t="s">
        <v>1145</v>
      </c>
      <c r="G2953" s="14" t="n">
        <v>19.5</v>
      </c>
      <c r="H2953" s="14" t="n">
        <v>33.81</v>
      </c>
      <c r="I2953" s="14" t="n">
        <v>19.5</v>
      </c>
      <c r="J2953" s="22" t="n">
        <f aca="false">IF(E2953="Priority",'Cost model'!N77,'Cost model'!M77)</f>
        <v>65</v>
      </c>
      <c r="K2953" s="14" t="n">
        <f aca="false">J2953-H2953</f>
        <v>31.19</v>
      </c>
      <c r="L2953" s="14" t="n">
        <f aca="false">G2953-H2953</f>
        <v>-14.31</v>
      </c>
    </row>
    <row r="2954" customFormat="false" ht="15" hidden="false" customHeight="false" outlineLevel="0" collapsed="false">
      <c r="A2954" s="2" t="s">
        <v>126</v>
      </c>
      <c r="B2954" s="2" t="s">
        <v>126</v>
      </c>
      <c r="C2954" s="2" t="s">
        <v>48</v>
      </c>
      <c r="D2954" s="2" t="s">
        <v>10</v>
      </c>
      <c r="E2954" s="2" t="s">
        <v>76</v>
      </c>
      <c r="F2954" s="2" t="s">
        <v>1145</v>
      </c>
      <c r="G2954" s="14" t="n">
        <v>9.5</v>
      </c>
      <c r="H2954" s="14" t="n">
        <v>6.12</v>
      </c>
      <c r="I2954" s="14" t="n">
        <v>9.5</v>
      </c>
      <c r="J2954" s="22" t="n">
        <f aca="false">IF(E2954="Priority",'Cost model'!N380,'Cost model'!M380)</f>
        <v>8.5</v>
      </c>
      <c r="K2954" s="14" t="n">
        <f aca="false">J2954-H2954</f>
        <v>2.38</v>
      </c>
      <c r="L2954" s="14" t="n">
        <f aca="false">G2954-H2954</f>
        <v>3.38</v>
      </c>
    </row>
    <row r="2955" customFormat="false" ht="15" hidden="false" customHeight="false" outlineLevel="0" collapsed="false">
      <c r="A2955" s="2" t="s">
        <v>240</v>
      </c>
      <c r="B2955" s="2" t="s">
        <v>240</v>
      </c>
      <c r="C2955" s="2" t="s">
        <v>48</v>
      </c>
      <c r="D2955" s="2" t="s">
        <v>12</v>
      </c>
      <c r="E2955" s="2" t="s">
        <v>76</v>
      </c>
      <c r="F2955" s="2" t="s">
        <v>1145</v>
      </c>
      <c r="G2955" s="14" t="n">
        <v>9.5</v>
      </c>
      <c r="H2955" s="14" t="n">
        <v>31.87</v>
      </c>
      <c r="I2955" s="14" t="n">
        <v>9.5</v>
      </c>
      <c r="J2955" s="22" t="n">
        <f aca="false">IF(E2955="Priority",'Cost model'!N887,'Cost model'!M887)</f>
        <v>21.5</v>
      </c>
      <c r="K2955" s="14" t="n">
        <f aca="false">J2955-H2955</f>
        <v>-10.37</v>
      </c>
      <c r="L2955" s="14" t="n">
        <f aca="false">G2955-H2955</f>
        <v>-22.37</v>
      </c>
    </row>
    <row r="2956" customFormat="false" ht="15" hidden="false" customHeight="false" outlineLevel="0" collapsed="false">
      <c r="A2956" s="2" t="s">
        <v>146</v>
      </c>
      <c r="B2956" s="2" t="s">
        <v>146</v>
      </c>
      <c r="C2956" s="2" t="s">
        <v>48</v>
      </c>
      <c r="D2956" s="2" t="s">
        <v>12</v>
      </c>
      <c r="E2956" s="2" t="s">
        <v>76</v>
      </c>
      <c r="F2956" s="2" t="s">
        <v>1145</v>
      </c>
      <c r="G2956" s="14" t="n">
        <v>9.5</v>
      </c>
      <c r="H2956" s="14" t="n">
        <v>28.47</v>
      </c>
      <c r="I2956" s="14" t="n">
        <v>9.5</v>
      </c>
      <c r="J2956" s="22" t="n">
        <f aca="false">IF(E2956="Priority",'Cost model'!N761,'Cost model'!M761)</f>
        <v>35</v>
      </c>
      <c r="K2956" s="14" t="n">
        <f aca="false">J2956-H2956</f>
        <v>6.53</v>
      </c>
      <c r="L2956" s="14" t="n">
        <f aca="false">G2956-H2956</f>
        <v>-18.97</v>
      </c>
    </row>
    <row r="2957" customFormat="false" ht="15" hidden="false" customHeight="false" outlineLevel="0" collapsed="false">
      <c r="A2957" s="2" t="s">
        <v>146</v>
      </c>
      <c r="B2957" s="2" t="s">
        <v>184</v>
      </c>
      <c r="C2957" s="2" t="s">
        <v>49</v>
      </c>
      <c r="D2957" s="2" t="s">
        <v>12</v>
      </c>
      <c r="E2957" s="2" t="s">
        <v>76</v>
      </c>
      <c r="F2957" s="2" t="s">
        <v>1146</v>
      </c>
      <c r="G2957" s="14" t="n">
        <v>12.5</v>
      </c>
      <c r="H2957" s="14" t="n">
        <v>10.81</v>
      </c>
      <c r="I2957" s="14" t="n">
        <v>19.5</v>
      </c>
      <c r="J2957" s="22" t="n">
        <f aca="false">IF(E2957="Priority",'Cost model'!N834,'Cost model'!M834)</f>
        <v>45</v>
      </c>
      <c r="K2957" s="14" t="n">
        <f aca="false">J2957-H2957</f>
        <v>34.19</v>
      </c>
      <c r="L2957" s="14" t="n">
        <f aca="false">G2957-H2957</f>
        <v>1.69</v>
      </c>
    </row>
    <row r="2958" customFormat="false" ht="15" hidden="false" customHeight="false" outlineLevel="0" collapsed="false">
      <c r="A2958" s="2" t="s">
        <v>240</v>
      </c>
      <c r="B2958" s="2" t="s">
        <v>165</v>
      </c>
      <c r="C2958" s="2" t="s">
        <v>48</v>
      </c>
      <c r="D2958" s="2" t="s">
        <v>10</v>
      </c>
      <c r="E2958" s="2" t="s">
        <v>76</v>
      </c>
      <c r="F2958" s="2" t="s">
        <v>1146</v>
      </c>
      <c r="G2958" s="14" t="n">
        <v>14.5</v>
      </c>
      <c r="H2958" s="14" t="n">
        <v>10.92</v>
      </c>
      <c r="I2958" s="14" t="n">
        <v>14.5</v>
      </c>
      <c r="J2958" s="22" t="n">
        <f aca="false">IF(E2958="Priority",'Cost model'!N902,'Cost model'!M902)</f>
        <v>13.5</v>
      </c>
      <c r="K2958" s="14" t="n">
        <f aca="false">J2958-H2958</f>
        <v>2.58</v>
      </c>
      <c r="L2958" s="14" t="n">
        <f aca="false">G2958-H2958</f>
        <v>3.58</v>
      </c>
    </row>
    <row r="2959" customFormat="false" ht="15" hidden="false" customHeight="false" outlineLevel="0" collapsed="false">
      <c r="A2959" s="2" t="s">
        <v>240</v>
      </c>
      <c r="B2959" s="2" t="s">
        <v>240</v>
      </c>
      <c r="C2959" s="2" t="s">
        <v>48</v>
      </c>
      <c r="D2959" s="2" t="s">
        <v>12</v>
      </c>
      <c r="E2959" s="2" t="s">
        <v>76</v>
      </c>
      <c r="F2959" s="2" t="s">
        <v>1145</v>
      </c>
      <c r="G2959" s="14" t="n">
        <v>9.5</v>
      </c>
      <c r="H2959" s="14" t="n">
        <v>7.4</v>
      </c>
      <c r="I2959" s="14" t="n">
        <v>9.5</v>
      </c>
      <c r="J2959" s="22" t="n">
        <f aca="false">IF(E2959="Priority",'Cost model'!N887,'Cost model'!M887)</f>
        <v>21.5</v>
      </c>
      <c r="K2959" s="14" t="n">
        <f aca="false">J2959-H2959</f>
        <v>14.1</v>
      </c>
      <c r="L2959" s="14" t="n">
        <f aca="false">G2959-H2959</f>
        <v>2.1</v>
      </c>
    </row>
    <row r="2960" customFormat="false" ht="15" hidden="false" customHeight="false" outlineLevel="0" collapsed="false">
      <c r="A2960" s="2" t="s">
        <v>146</v>
      </c>
      <c r="B2960" s="2" t="s">
        <v>146</v>
      </c>
      <c r="C2960" s="2" t="s">
        <v>50</v>
      </c>
      <c r="D2960" s="2" t="s">
        <v>10</v>
      </c>
      <c r="E2960" s="2" t="s">
        <v>76</v>
      </c>
      <c r="F2960" s="2" t="s">
        <v>1145</v>
      </c>
      <c r="G2960" s="14" t="n">
        <v>17.5</v>
      </c>
      <c r="H2960" s="14" t="n">
        <v>15.39</v>
      </c>
      <c r="I2960" s="14" t="n">
        <v>17.5</v>
      </c>
      <c r="J2960" s="22" t="n">
        <f aca="false">IF(E2960="Priority",'Cost model'!N760,'Cost model'!M760)</f>
        <v>18.5</v>
      </c>
      <c r="K2960" s="14" t="n">
        <f aca="false">J2960-H2960</f>
        <v>3.11</v>
      </c>
      <c r="L2960" s="14" t="n">
        <f aca="false">G2960-H2960</f>
        <v>2.11</v>
      </c>
    </row>
    <row r="2961" customFormat="false" ht="15" hidden="false" customHeight="false" outlineLevel="0" collapsed="false">
      <c r="A2961" s="2" t="s">
        <v>240</v>
      </c>
      <c r="B2961" s="2" t="s">
        <v>240</v>
      </c>
      <c r="C2961" s="2" t="s">
        <v>50</v>
      </c>
      <c r="D2961" s="2" t="s">
        <v>10</v>
      </c>
      <c r="E2961" s="2" t="s">
        <v>76</v>
      </c>
      <c r="F2961" s="2" t="s">
        <v>1145</v>
      </c>
      <c r="G2961" s="14" t="n">
        <v>17.5</v>
      </c>
      <c r="H2961" s="14" t="n">
        <v>11.51</v>
      </c>
      <c r="I2961" s="14" t="n">
        <v>17.5</v>
      </c>
      <c r="J2961" s="22" t="n">
        <f aca="false">IF(E2961="Priority",'Cost model'!N886,'Cost model'!M886)</f>
        <v>17.5</v>
      </c>
      <c r="K2961" s="14" t="n">
        <f aca="false">J2961-H2961</f>
        <v>5.99</v>
      </c>
      <c r="L2961" s="14" t="n">
        <f aca="false">G2961-H2961</f>
        <v>5.99</v>
      </c>
    </row>
    <row r="2962" customFormat="false" ht="15" hidden="false" customHeight="false" outlineLevel="0" collapsed="false">
      <c r="A2962" s="2" t="s">
        <v>385</v>
      </c>
      <c r="B2962" s="2" t="s">
        <v>184</v>
      </c>
      <c r="C2962" s="2" t="s">
        <v>48</v>
      </c>
      <c r="D2962" s="2" t="s">
        <v>14</v>
      </c>
      <c r="E2962" s="2" t="s">
        <v>76</v>
      </c>
      <c r="F2962" s="2" t="s">
        <v>1146</v>
      </c>
      <c r="G2962" s="14" t="n">
        <v>24.5</v>
      </c>
      <c r="H2962" s="14" t="n">
        <v>202.03</v>
      </c>
      <c r="I2962" s="14" t="n">
        <v>150</v>
      </c>
      <c r="J2962" s="22" t="n">
        <f aca="false">IF(E2962="Priority",'Cost model'!N335,'Cost model'!M335)</f>
        <v>170</v>
      </c>
      <c r="K2962" s="14" t="n">
        <f aca="false">J2962-H2962</f>
        <v>-32.03</v>
      </c>
      <c r="L2962" s="14" t="n">
        <f aca="false">G2962-H2962</f>
        <v>-177.53</v>
      </c>
    </row>
    <row r="2963" customFormat="false" ht="15" hidden="false" customHeight="false" outlineLevel="0" collapsed="false">
      <c r="A2963" s="2" t="s">
        <v>184</v>
      </c>
      <c r="B2963" s="2" t="s">
        <v>240</v>
      </c>
      <c r="C2963" s="2" t="s">
        <v>50</v>
      </c>
      <c r="D2963" s="2" t="s">
        <v>10</v>
      </c>
      <c r="E2963" s="2" t="s">
        <v>76</v>
      </c>
      <c r="F2963" s="2" t="s">
        <v>1146</v>
      </c>
      <c r="G2963" s="14" t="n">
        <v>17.5</v>
      </c>
      <c r="H2963" s="14" t="n">
        <v>18.13</v>
      </c>
      <c r="I2963" s="14" t="n">
        <v>19.5</v>
      </c>
      <c r="J2963" s="22" t="n">
        <f aca="false">IF(E2963="Priority",'Cost model'!N184,'Cost model'!M184)</f>
        <v>22.5</v>
      </c>
      <c r="K2963" s="14" t="n">
        <f aca="false">J2963-H2963</f>
        <v>4.37</v>
      </c>
      <c r="L2963" s="14" t="n">
        <f aca="false">G2963-H2963</f>
        <v>-0.629999999999999</v>
      </c>
    </row>
    <row r="2964" customFormat="false" ht="15" hidden="false" customHeight="false" outlineLevel="0" collapsed="false">
      <c r="A2964" s="2" t="s">
        <v>184</v>
      </c>
      <c r="B2964" s="2" t="s">
        <v>125</v>
      </c>
      <c r="C2964" s="2" t="s">
        <v>48</v>
      </c>
      <c r="D2964" s="2" t="s">
        <v>12</v>
      </c>
      <c r="E2964" s="2" t="s">
        <v>76</v>
      </c>
      <c r="F2964" s="2" t="s">
        <v>1146</v>
      </c>
      <c r="G2964" s="14" t="n">
        <v>9.5</v>
      </c>
      <c r="H2964" s="14" t="n">
        <v>96.84</v>
      </c>
      <c r="I2964" s="14" t="n">
        <v>24.5</v>
      </c>
      <c r="J2964" s="22" t="n">
        <f aca="false">IF(E2964="Priority",'Cost model'!N239,'Cost model'!M239)</f>
        <v>55</v>
      </c>
      <c r="K2964" s="14" t="n">
        <f aca="false">J2964-H2964</f>
        <v>-41.84</v>
      </c>
      <c r="L2964" s="14" t="n">
        <f aca="false">G2964-H2964</f>
        <v>-87.34</v>
      </c>
    </row>
    <row r="2965" customFormat="false" ht="15" hidden="false" customHeight="false" outlineLevel="0" collapsed="false">
      <c r="A2965" s="2" t="s">
        <v>184</v>
      </c>
      <c r="B2965" s="2" t="s">
        <v>184</v>
      </c>
      <c r="C2965" s="2" t="s">
        <v>48</v>
      </c>
      <c r="D2965" s="2" t="s">
        <v>12</v>
      </c>
      <c r="E2965" s="2" t="s">
        <v>76</v>
      </c>
      <c r="F2965" s="2" t="s">
        <v>1145</v>
      </c>
      <c r="G2965" s="14" t="n">
        <v>9.5</v>
      </c>
      <c r="H2965" s="14" t="n">
        <v>43.55</v>
      </c>
      <c r="I2965" s="14" t="n">
        <v>9.5</v>
      </c>
      <c r="J2965" s="22" t="n">
        <f aca="false">IF(E2965="Priority",'Cost model'!N203,'Cost model'!M203)</f>
        <v>26.5</v>
      </c>
      <c r="K2965" s="14" t="n">
        <f aca="false">J2965-H2965</f>
        <v>-17.05</v>
      </c>
      <c r="L2965" s="14" t="n">
        <f aca="false">G2965-H2965</f>
        <v>-34.05</v>
      </c>
    </row>
    <row r="2966" customFormat="false" ht="15" hidden="false" customHeight="false" outlineLevel="0" collapsed="false">
      <c r="A2966" s="2" t="s">
        <v>146</v>
      </c>
      <c r="B2966" s="2" t="s">
        <v>146</v>
      </c>
      <c r="C2966" s="2" t="s">
        <v>50</v>
      </c>
      <c r="D2966" s="2" t="s">
        <v>10</v>
      </c>
      <c r="E2966" s="2" t="s">
        <v>76</v>
      </c>
      <c r="F2966" s="2" t="s">
        <v>1145</v>
      </c>
      <c r="G2966" s="14" t="n">
        <v>17.5</v>
      </c>
      <c r="H2966" s="14" t="n">
        <v>11.34</v>
      </c>
      <c r="I2966" s="14" t="n">
        <v>17.5</v>
      </c>
      <c r="J2966" s="22" t="n">
        <f aca="false">IF(E2966="Priority",'Cost model'!N760,'Cost model'!M760)</f>
        <v>18.5</v>
      </c>
      <c r="K2966" s="14" t="n">
        <f aca="false">J2966-H2966</f>
        <v>7.16</v>
      </c>
      <c r="L2966" s="14" t="n">
        <f aca="false">G2966-H2966</f>
        <v>6.16</v>
      </c>
    </row>
    <row r="2967" customFormat="false" ht="15" hidden="false" customHeight="false" outlineLevel="0" collapsed="false">
      <c r="A2967" s="2" t="s">
        <v>184</v>
      </c>
      <c r="B2967" s="2" t="s">
        <v>146</v>
      </c>
      <c r="C2967" s="2" t="s">
        <v>48</v>
      </c>
      <c r="D2967" s="2" t="s">
        <v>10</v>
      </c>
      <c r="E2967" s="2" t="s">
        <v>76</v>
      </c>
      <c r="F2967" s="2" t="s">
        <v>1146</v>
      </c>
      <c r="G2967" s="14" t="n">
        <v>19.5</v>
      </c>
      <c r="H2967" s="14" t="n">
        <v>20.83</v>
      </c>
      <c r="I2967" s="14" t="n">
        <v>9.5</v>
      </c>
      <c r="J2967" s="22" t="n">
        <f aca="false">IF(E2967="Priority",'Cost model'!N146,'Cost model'!M146)</f>
        <v>12.5</v>
      </c>
      <c r="K2967" s="14" t="n">
        <f aca="false">J2967-H2967</f>
        <v>-8.33</v>
      </c>
      <c r="L2967" s="14" t="n">
        <f aca="false">G2967-H2967</f>
        <v>-1.33</v>
      </c>
    </row>
    <row r="2968" customFormat="false" ht="15" hidden="false" customHeight="false" outlineLevel="0" collapsed="false">
      <c r="A2968" s="2" t="s">
        <v>184</v>
      </c>
      <c r="B2968" s="2" t="s">
        <v>184</v>
      </c>
      <c r="C2968" s="2" t="s">
        <v>49</v>
      </c>
      <c r="D2968" s="2" t="s">
        <v>10</v>
      </c>
      <c r="E2968" s="2" t="s">
        <v>76</v>
      </c>
      <c r="F2968" s="2" t="s">
        <v>1145</v>
      </c>
      <c r="G2968" s="14" t="n">
        <v>17.5</v>
      </c>
      <c r="H2968" s="14" t="n">
        <v>9.25</v>
      </c>
      <c r="I2968" s="14"/>
      <c r="J2968" s="22" t="n">
        <f aca="false">IF(E2968="Priority",'Cost model'!N201,'Cost model'!M201)</f>
        <v>12.5</v>
      </c>
      <c r="K2968" s="14" t="n">
        <f aca="false">J2968-H2968</f>
        <v>3.25</v>
      </c>
      <c r="L2968" s="14" t="n">
        <f aca="false">G2968-H2968</f>
        <v>8.25</v>
      </c>
    </row>
    <row r="2969" customFormat="false" ht="15" hidden="false" customHeight="false" outlineLevel="0" collapsed="false">
      <c r="A2969" s="2" t="s">
        <v>184</v>
      </c>
      <c r="B2969" s="2" t="s">
        <v>184</v>
      </c>
      <c r="C2969" s="2" t="s">
        <v>48</v>
      </c>
      <c r="D2969" s="2" t="s">
        <v>14</v>
      </c>
      <c r="E2969" s="2" t="s">
        <v>76</v>
      </c>
      <c r="F2969" s="2" t="s">
        <v>1145</v>
      </c>
      <c r="G2969" s="14" t="n">
        <v>25</v>
      </c>
      <c r="H2969" s="14" t="n">
        <v>60.25</v>
      </c>
      <c r="I2969" s="14" t="n">
        <v>25</v>
      </c>
      <c r="J2969" s="22" t="n">
        <f aca="false">IF(E2969="Priority",'Cost model'!N209,'Cost model'!M209)</f>
        <v>105</v>
      </c>
      <c r="K2969" s="14" t="n">
        <f aca="false">J2969-H2969</f>
        <v>44.75</v>
      </c>
      <c r="L2969" s="14" t="n">
        <f aca="false">G2969-H2969</f>
        <v>-35.25</v>
      </c>
    </row>
    <row r="2970" customFormat="false" ht="15" hidden="false" customHeight="false" outlineLevel="0" collapsed="false">
      <c r="A2970" s="2" t="s">
        <v>126</v>
      </c>
      <c r="B2970" s="2" t="s">
        <v>126</v>
      </c>
      <c r="C2970" s="2" t="s">
        <v>48</v>
      </c>
      <c r="D2970" s="2" t="s">
        <v>12</v>
      </c>
      <c r="E2970" s="2" t="s">
        <v>76</v>
      </c>
      <c r="F2970" s="2" t="s">
        <v>1145</v>
      </c>
      <c r="G2970" s="14" t="n">
        <v>14.5</v>
      </c>
      <c r="H2970" s="14" t="n">
        <v>25.85</v>
      </c>
      <c r="I2970" s="14" t="n">
        <v>9.5</v>
      </c>
      <c r="J2970" s="22" t="n">
        <f aca="false">IF(E2970="Priority",'Cost model'!N383,'Cost model'!M383)</f>
        <v>27.5</v>
      </c>
      <c r="K2970" s="14" t="n">
        <f aca="false">J2970-H2970</f>
        <v>1.65</v>
      </c>
      <c r="L2970" s="14" t="n">
        <f aca="false">G2970-H2970</f>
        <v>-11.35</v>
      </c>
    </row>
    <row r="2971" customFormat="false" ht="15" hidden="false" customHeight="false" outlineLevel="0" collapsed="false">
      <c r="A2971" s="2" t="s">
        <v>126</v>
      </c>
      <c r="B2971" s="2" t="s">
        <v>126</v>
      </c>
      <c r="C2971" s="2" t="s">
        <v>49</v>
      </c>
      <c r="D2971" s="2" t="s">
        <v>12</v>
      </c>
      <c r="E2971" s="2" t="s">
        <v>76</v>
      </c>
      <c r="F2971" s="2" t="s">
        <v>1145</v>
      </c>
      <c r="G2971" s="14" t="n">
        <v>12.5</v>
      </c>
      <c r="H2971" s="14" t="n">
        <v>56.53</v>
      </c>
      <c r="I2971" s="14" t="n">
        <v>12.5</v>
      </c>
      <c r="J2971" s="22" t="n">
        <f aca="false">IF(E2971="Priority",'Cost model'!N384,'Cost model'!M384)</f>
        <v>45</v>
      </c>
      <c r="K2971" s="14" t="n">
        <f aca="false">J2971-H2971</f>
        <v>-11.53</v>
      </c>
      <c r="L2971" s="14" t="n">
        <f aca="false">G2971-H2971</f>
        <v>-44.03</v>
      </c>
    </row>
    <row r="2972" customFormat="false" ht="15" hidden="false" customHeight="false" outlineLevel="0" collapsed="false">
      <c r="A2972" s="2" t="s">
        <v>240</v>
      </c>
      <c r="B2972" s="2" t="s">
        <v>240</v>
      </c>
      <c r="C2972" s="2" t="s">
        <v>49</v>
      </c>
      <c r="D2972" s="2" t="s">
        <v>12</v>
      </c>
      <c r="E2972" s="2" t="s">
        <v>76</v>
      </c>
      <c r="F2972" s="2" t="s">
        <v>1145</v>
      </c>
      <c r="G2972" s="14" t="n">
        <v>12.5</v>
      </c>
      <c r="H2972" s="14" t="n">
        <v>83.2</v>
      </c>
      <c r="I2972" s="14" t="n">
        <v>12.5</v>
      </c>
      <c r="J2972" s="22" t="n">
        <f aca="false">IF(E2972="Priority",'Cost model'!N888,'Cost model'!M888)</f>
        <v>50</v>
      </c>
      <c r="K2972" s="14" t="n">
        <f aca="false">J2972-H2972</f>
        <v>-33.2</v>
      </c>
      <c r="L2972" s="14" t="n">
        <f aca="false">G2972-H2972</f>
        <v>-70.7</v>
      </c>
    </row>
    <row r="2973" customFormat="false" ht="15" hidden="false" customHeight="false" outlineLevel="0" collapsed="false">
      <c r="A2973" s="2" t="s">
        <v>126</v>
      </c>
      <c r="B2973" s="2" t="s">
        <v>165</v>
      </c>
      <c r="C2973" s="2" t="s">
        <v>49</v>
      </c>
      <c r="D2973" s="2" t="s">
        <v>12</v>
      </c>
      <c r="E2973" s="2" t="s">
        <v>76</v>
      </c>
      <c r="F2973" s="2" t="s">
        <v>1146</v>
      </c>
      <c r="G2973" s="14" t="n">
        <v>12.5</v>
      </c>
      <c r="H2973" s="14" t="n">
        <v>67.91</v>
      </c>
      <c r="I2973" s="14" t="n">
        <v>19.5</v>
      </c>
      <c r="J2973" s="22" t="n">
        <f aca="false">IF(E2973="Priority",'Cost model'!N420,'Cost model'!M420)</f>
        <v>60</v>
      </c>
      <c r="K2973" s="14" t="n">
        <f aca="false">J2973-H2973</f>
        <v>-7.91</v>
      </c>
      <c r="L2973" s="14" t="n">
        <f aca="false">G2973-H2973</f>
        <v>-55.41</v>
      </c>
    </row>
    <row r="2974" customFormat="false" ht="15" hidden="false" customHeight="false" outlineLevel="0" collapsed="false">
      <c r="A2974" s="2" t="s">
        <v>184</v>
      </c>
      <c r="B2974" s="2" t="s">
        <v>184</v>
      </c>
      <c r="C2974" s="2" t="s">
        <v>48</v>
      </c>
      <c r="D2974" s="2" t="s">
        <v>16</v>
      </c>
      <c r="E2974" s="2" t="s">
        <v>76</v>
      </c>
      <c r="F2974" s="2" t="s">
        <v>1145</v>
      </c>
      <c r="G2974" s="14" t="n">
        <v>25</v>
      </c>
      <c r="H2974" s="14" t="n">
        <v>120.19</v>
      </c>
      <c r="I2974" s="14" t="n">
        <v>25</v>
      </c>
      <c r="J2974" s="22" t="n">
        <f aca="false">IF(E2974="Priority",'Cost model'!N215,'Cost model'!M215)</f>
        <v>135</v>
      </c>
      <c r="K2974" s="14" t="n">
        <f aca="false">J2974-H2974</f>
        <v>14.81</v>
      </c>
      <c r="L2974" s="14" t="n">
        <f aca="false">G2974-H2974</f>
        <v>-95.19</v>
      </c>
    </row>
    <row r="2975" customFormat="false" ht="15" hidden="false" customHeight="false" outlineLevel="0" collapsed="false">
      <c r="A2975" s="2" t="s">
        <v>240</v>
      </c>
      <c r="B2975" s="2" t="s">
        <v>126</v>
      </c>
      <c r="C2975" s="2" t="s">
        <v>48</v>
      </c>
      <c r="D2975" s="2" t="s">
        <v>14</v>
      </c>
      <c r="E2975" s="2" t="s">
        <v>76</v>
      </c>
      <c r="F2975" s="2" t="s">
        <v>1146</v>
      </c>
      <c r="G2975" s="14" t="n">
        <v>25</v>
      </c>
      <c r="H2975" s="14" t="n">
        <v>178.46</v>
      </c>
      <c r="I2975" s="14" t="n">
        <v>99</v>
      </c>
      <c r="J2975" s="22" t="n">
        <f aca="false">IF(E2975="Priority",'Cost model'!N965,'Cost model'!M965)</f>
        <v>170</v>
      </c>
      <c r="K2975" s="14" t="n">
        <f aca="false">J2975-H2975</f>
        <v>-8.46000000000001</v>
      </c>
      <c r="L2975" s="14" t="n">
        <f aca="false">G2975-H2975</f>
        <v>-153.46</v>
      </c>
    </row>
    <row r="2976" customFormat="false" ht="15" hidden="false" customHeight="false" outlineLevel="0" collapsed="false">
      <c r="A2976" s="2" t="s">
        <v>240</v>
      </c>
      <c r="B2976" s="2" t="s">
        <v>240</v>
      </c>
      <c r="C2976" s="2" t="s">
        <v>50</v>
      </c>
      <c r="D2976" s="2" t="s">
        <v>13</v>
      </c>
      <c r="E2976" s="2" t="s">
        <v>76</v>
      </c>
      <c r="F2976" s="2" t="s">
        <v>1145</v>
      </c>
      <c r="G2976" s="14" t="n">
        <v>50</v>
      </c>
      <c r="H2976" s="14" t="n">
        <v>205.71</v>
      </c>
      <c r="I2976" s="14" t="n">
        <v>50</v>
      </c>
      <c r="J2976" s="22" t="n">
        <f aca="false">IF(E2976="Priority",'Cost model'!N892,'Cost model'!M892)</f>
        <v>130</v>
      </c>
      <c r="K2976" s="14" t="n">
        <f aca="false">J2976-H2976</f>
        <v>-75.71</v>
      </c>
      <c r="L2976" s="14" t="n">
        <f aca="false">G2976-H2976</f>
        <v>-155.71</v>
      </c>
    </row>
    <row r="2977" customFormat="false" ht="15" hidden="false" customHeight="false" outlineLevel="0" collapsed="false">
      <c r="A2977" s="2" t="s">
        <v>126</v>
      </c>
      <c r="B2977" s="2" t="s">
        <v>126</v>
      </c>
      <c r="C2977" s="2" t="s">
        <v>50</v>
      </c>
      <c r="D2977" s="2" t="s">
        <v>12</v>
      </c>
      <c r="E2977" s="2" t="s">
        <v>76</v>
      </c>
      <c r="F2977" s="2" t="s">
        <v>1145</v>
      </c>
      <c r="G2977" s="14" t="n">
        <v>19.5</v>
      </c>
      <c r="H2977" s="14" t="n">
        <v>111.82</v>
      </c>
      <c r="I2977" s="14" t="n">
        <v>19.5</v>
      </c>
      <c r="J2977" s="22" t="n">
        <f aca="false">IF(E2977="Priority",'Cost model'!N385,'Cost model'!M385)</f>
        <v>55</v>
      </c>
      <c r="K2977" s="14" t="n">
        <f aca="false">J2977-H2977</f>
        <v>-56.82</v>
      </c>
      <c r="L2977" s="14" t="n">
        <f aca="false">G2977-H2977</f>
        <v>-92.32</v>
      </c>
    </row>
    <row r="2978" customFormat="false" ht="15" hidden="false" customHeight="false" outlineLevel="0" collapsed="false">
      <c r="A2978" s="2" t="s">
        <v>184</v>
      </c>
      <c r="B2978" s="2" t="s">
        <v>184</v>
      </c>
      <c r="C2978" s="2" t="s">
        <v>49</v>
      </c>
      <c r="D2978" s="2" t="s">
        <v>10</v>
      </c>
      <c r="E2978" s="2" t="s">
        <v>76</v>
      </c>
      <c r="F2978" s="2" t="s">
        <v>1145</v>
      </c>
      <c r="G2978" s="14" t="n">
        <v>12.5</v>
      </c>
      <c r="H2978" s="14" t="n">
        <v>11.46</v>
      </c>
      <c r="I2978" s="14"/>
      <c r="J2978" s="22" t="n">
        <f aca="false">IF(E2978="Priority",'Cost model'!N201,'Cost model'!M201)</f>
        <v>12.5</v>
      </c>
      <c r="K2978" s="14" t="n">
        <f aca="false">J2978-H2978</f>
        <v>1.04</v>
      </c>
      <c r="L2978" s="14" t="n">
        <f aca="false">G2978-H2978</f>
        <v>1.04</v>
      </c>
    </row>
    <row r="2979" customFormat="false" ht="15" hidden="false" customHeight="false" outlineLevel="0" collapsed="false">
      <c r="A2979" s="2" t="s">
        <v>126</v>
      </c>
      <c r="B2979" s="2" t="s">
        <v>240</v>
      </c>
      <c r="C2979" s="2" t="s">
        <v>49</v>
      </c>
      <c r="D2979" s="2" t="s">
        <v>12</v>
      </c>
      <c r="E2979" s="2" t="s">
        <v>76</v>
      </c>
      <c r="F2979" s="2" t="s">
        <v>1146</v>
      </c>
      <c r="G2979" s="14" t="n">
        <v>14.5</v>
      </c>
      <c r="H2979" s="14" t="n">
        <v>61.97</v>
      </c>
      <c r="I2979" s="14" t="n">
        <v>24.5</v>
      </c>
      <c r="J2979" s="22" t="n">
        <f aca="false">IF(E2979="Priority",'Cost model'!N492,'Cost model'!M492)</f>
        <v>60</v>
      </c>
      <c r="K2979" s="14" t="n">
        <f aca="false">J2979-H2979</f>
        <v>-1.97</v>
      </c>
      <c r="L2979" s="14" t="n">
        <f aca="false">G2979-H2979</f>
        <v>-47.47</v>
      </c>
    </row>
    <row r="2980" customFormat="false" ht="15" hidden="false" customHeight="false" outlineLevel="0" collapsed="false">
      <c r="A2980" s="2" t="s">
        <v>184</v>
      </c>
      <c r="B2980" s="2" t="s">
        <v>184</v>
      </c>
      <c r="C2980" s="2" t="s">
        <v>48</v>
      </c>
      <c r="D2980" s="2" t="s">
        <v>14</v>
      </c>
      <c r="E2980" s="2" t="s">
        <v>76</v>
      </c>
      <c r="F2980" s="2" t="s">
        <v>1145</v>
      </c>
      <c r="G2980" s="14" t="n">
        <v>25</v>
      </c>
      <c r="H2980" s="14" t="n">
        <v>118.18</v>
      </c>
      <c r="I2980" s="14" t="n">
        <v>25</v>
      </c>
      <c r="J2980" s="22" t="n">
        <f aca="false">IF(E2980="Priority",'Cost model'!N209,'Cost model'!M209)</f>
        <v>105</v>
      </c>
      <c r="K2980" s="14" t="n">
        <f aca="false">J2980-H2980</f>
        <v>-13.18</v>
      </c>
      <c r="L2980" s="14" t="n">
        <f aca="false">G2980-H2980</f>
        <v>-93.18</v>
      </c>
    </row>
    <row r="2981" customFormat="false" ht="15" hidden="false" customHeight="false" outlineLevel="0" collapsed="false">
      <c r="A2981" s="2" t="s">
        <v>184</v>
      </c>
      <c r="B2981" s="2" t="s">
        <v>184</v>
      </c>
      <c r="C2981" s="2" t="s">
        <v>49</v>
      </c>
      <c r="D2981" s="2" t="s">
        <v>14</v>
      </c>
      <c r="E2981" s="2" t="s">
        <v>76</v>
      </c>
      <c r="F2981" s="2" t="s">
        <v>1145</v>
      </c>
      <c r="G2981" s="14" t="n">
        <v>45</v>
      </c>
      <c r="H2981" s="14" t="n">
        <v>324.16</v>
      </c>
      <c r="I2981" s="14" t="n">
        <v>45</v>
      </c>
      <c r="J2981" s="22" t="n">
        <f aca="false">IF(E2981="Priority",'Cost model'!N210,'Cost model'!M210)</f>
        <v>135</v>
      </c>
      <c r="K2981" s="14" t="n">
        <f aca="false">J2981-H2981</f>
        <v>-189.16</v>
      </c>
      <c r="L2981" s="14" t="n">
        <f aca="false">G2981-H2981</f>
        <v>-279.16</v>
      </c>
    </row>
    <row r="2982" customFormat="false" ht="15" hidden="false" customHeight="false" outlineLevel="0" collapsed="false">
      <c r="A2982" s="2" t="s">
        <v>126</v>
      </c>
      <c r="B2982" s="2" t="s">
        <v>126</v>
      </c>
      <c r="C2982" s="2" t="s">
        <v>50</v>
      </c>
      <c r="D2982" s="2" t="s">
        <v>12</v>
      </c>
      <c r="E2982" s="2" t="s">
        <v>76</v>
      </c>
      <c r="F2982" s="2" t="s">
        <v>1145</v>
      </c>
      <c r="G2982" s="14" t="n">
        <v>19.5</v>
      </c>
      <c r="H2982" s="14" t="n">
        <v>56.58</v>
      </c>
      <c r="I2982" s="14" t="n">
        <v>19.5</v>
      </c>
      <c r="J2982" s="22" t="n">
        <f aca="false">IF(E2982="Priority",'Cost model'!N385,'Cost model'!M385)</f>
        <v>55</v>
      </c>
      <c r="K2982" s="14" t="n">
        <f aca="false">J2982-H2982</f>
        <v>-1.58</v>
      </c>
      <c r="L2982" s="14" t="n">
        <f aca="false">G2982-H2982</f>
        <v>-37.08</v>
      </c>
    </row>
    <row r="2983" customFormat="false" ht="15" hidden="false" customHeight="false" outlineLevel="0" collapsed="false">
      <c r="A2983" s="2" t="s">
        <v>126</v>
      </c>
      <c r="B2983" s="2" t="s">
        <v>126</v>
      </c>
      <c r="C2983" s="2" t="s">
        <v>48</v>
      </c>
      <c r="D2983" s="2" t="s">
        <v>10</v>
      </c>
      <c r="E2983" s="2" t="s">
        <v>76</v>
      </c>
      <c r="F2983" s="2" t="s">
        <v>1145</v>
      </c>
      <c r="G2983" s="14" t="n">
        <v>9.5</v>
      </c>
      <c r="H2983" s="14" t="n">
        <v>7.46</v>
      </c>
      <c r="I2983" s="14" t="n">
        <v>9.5</v>
      </c>
      <c r="J2983" s="22" t="n">
        <f aca="false">IF(E2983="Priority",'Cost model'!N380,'Cost model'!M380)</f>
        <v>8.5</v>
      </c>
      <c r="K2983" s="14" t="n">
        <f aca="false">J2983-H2983</f>
        <v>1.04</v>
      </c>
      <c r="L2983" s="14" t="n">
        <f aca="false">G2983-H2983</f>
        <v>2.04</v>
      </c>
    </row>
    <row r="2984" customFormat="false" ht="15" hidden="false" customHeight="false" outlineLevel="0" collapsed="false">
      <c r="A2984" s="2" t="s">
        <v>240</v>
      </c>
      <c r="B2984" s="2" t="s">
        <v>240</v>
      </c>
      <c r="C2984" s="2" t="s">
        <v>48</v>
      </c>
      <c r="D2984" s="2" t="s">
        <v>10</v>
      </c>
      <c r="E2984" s="2" t="s">
        <v>76</v>
      </c>
      <c r="F2984" s="2" t="s">
        <v>1145</v>
      </c>
      <c r="G2984" s="14" t="n">
        <v>9.5</v>
      </c>
      <c r="H2984" s="14" t="n">
        <v>7.15</v>
      </c>
      <c r="I2984" s="14" t="n">
        <v>9.5</v>
      </c>
      <c r="J2984" s="22" t="n">
        <f aca="false">IF(E2984="Priority",'Cost model'!N884,'Cost model'!M884)</f>
        <v>7.5</v>
      </c>
      <c r="K2984" s="14" t="n">
        <f aca="false">J2984-H2984</f>
        <v>0.35</v>
      </c>
      <c r="L2984" s="14" t="n">
        <f aca="false">G2984-H2984</f>
        <v>2.35</v>
      </c>
    </row>
    <row r="2985" customFormat="false" ht="15" hidden="false" customHeight="false" outlineLevel="0" collapsed="false">
      <c r="A2985" s="2" t="s">
        <v>240</v>
      </c>
      <c r="B2985" s="2" t="s">
        <v>240</v>
      </c>
      <c r="C2985" s="2" t="s">
        <v>48</v>
      </c>
      <c r="D2985" s="2" t="s">
        <v>10</v>
      </c>
      <c r="E2985" s="2" t="s">
        <v>76</v>
      </c>
      <c r="F2985" s="2" t="s">
        <v>1145</v>
      </c>
      <c r="G2985" s="14" t="n">
        <v>9.5</v>
      </c>
      <c r="H2985" s="14" t="n">
        <v>5.95</v>
      </c>
      <c r="I2985" s="14" t="n">
        <v>9.5</v>
      </c>
      <c r="J2985" s="22" t="n">
        <f aca="false">IF(E2985="Priority",'Cost model'!N884,'Cost model'!M884)</f>
        <v>7.5</v>
      </c>
      <c r="K2985" s="14" t="n">
        <f aca="false">J2985-H2985</f>
        <v>1.55</v>
      </c>
      <c r="L2985" s="14" t="n">
        <f aca="false">G2985-H2985</f>
        <v>3.55</v>
      </c>
    </row>
    <row r="2986" customFormat="false" ht="15" hidden="false" customHeight="false" outlineLevel="0" collapsed="false">
      <c r="A2986" s="2" t="s">
        <v>240</v>
      </c>
      <c r="B2986" s="2" t="s">
        <v>165</v>
      </c>
      <c r="C2986" s="2" t="s">
        <v>50</v>
      </c>
      <c r="D2986" s="2" t="s">
        <v>10</v>
      </c>
      <c r="E2986" s="2" t="s">
        <v>76</v>
      </c>
      <c r="F2986" s="2" t="s">
        <v>1146</v>
      </c>
      <c r="G2986" s="14" t="n">
        <v>19.5</v>
      </c>
      <c r="H2986" s="14" t="n">
        <v>16.9</v>
      </c>
      <c r="I2986" s="14" t="n">
        <v>17.5</v>
      </c>
      <c r="J2986" s="22" t="n">
        <f aca="false">IF(E2986="Priority",'Cost model'!N904,'Cost model'!M904)</f>
        <v>24.5</v>
      </c>
      <c r="K2986" s="14" t="n">
        <f aca="false">J2986-H2986</f>
        <v>7.6</v>
      </c>
      <c r="L2986" s="14" t="n">
        <f aca="false">G2986-H2986</f>
        <v>2.6</v>
      </c>
    </row>
    <row r="2987" customFormat="false" ht="15" hidden="false" customHeight="false" outlineLevel="0" collapsed="false">
      <c r="A2987" s="2" t="s">
        <v>240</v>
      </c>
      <c r="B2987" s="2" t="s">
        <v>240</v>
      </c>
      <c r="C2987" s="2" t="s">
        <v>50</v>
      </c>
      <c r="D2987" s="2" t="s">
        <v>12</v>
      </c>
      <c r="E2987" s="2" t="s">
        <v>76</v>
      </c>
      <c r="F2987" s="2" t="s">
        <v>1145</v>
      </c>
      <c r="G2987" s="14" t="n">
        <v>19.5</v>
      </c>
      <c r="H2987" s="14" t="n">
        <v>70.78</v>
      </c>
      <c r="I2987" s="14" t="n">
        <v>19.5</v>
      </c>
      <c r="J2987" s="22" t="n">
        <f aca="false">IF(E2987="Priority",'Cost model'!N889,'Cost model'!M889)</f>
        <v>60</v>
      </c>
      <c r="K2987" s="14" t="n">
        <f aca="false">J2987-H2987</f>
        <v>-10.78</v>
      </c>
      <c r="L2987" s="14" t="n">
        <f aca="false">G2987-H2987</f>
        <v>-51.28</v>
      </c>
    </row>
    <row r="2988" customFormat="false" ht="15" hidden="false" customHeight="false" outlineLevel="0" collapsed="false">
      <c r="A2988" s="2" t="s">
        <v>184</v>
      </c>
      <c r="B2988" s="2" t="s">
        <v>126</v>
      </c>
      <c r="C2988" s="2" t="s">
        <v>50</v>
      </c>
      <c r="D2988" s="2" t="s">
        <v>12</v>
      </c>
      <c r="E2988" s="2" t="s">
        <v>76</v>
      </c>
      <c r="F2988" s="2" t="s">
        <v>1146</v>
      </c>
      <c r="G2988" s="14" t="n">
        <v>19.5</v>
      </c>
      <c r="H2988" s="14" t="n">
        <v>56.61</v>
      </c>
      <c r="I2988" s="14" t="n">
        <v>19.5</v>
      </c>
      <c r="J2988" s="22" t="n">
        <f aca="false">IF(E2988="Priority",'Cost model'!N133,'Cost model'!M133)</f>
        <v>55</v>
      </c>
      <c r="K2988" s="14" t="n">
        <f aca="false">J2988-H2988</f>
        <v>-1.61</v>
      </c>
      <c r="L2988" s="14" t="n">
        <f aca="false">G2988-H2988</f>
        <v>-37.11</v>
      </c>
    </row>
    <row r="2989" customFormat="false" ht="15" hidden="false" customHeight="false" outlineLevel="0" collapsed="false">
      <c r="A2989" s="2" t="s">
        <v>184</v>
      </c>
      <c r="B2989" s="2" t="s">
        <v>184</v>
      </c>
      <c r="C2989" s="2" t="s">
        <v>48</v>
      </c>
      <c r="D2989" s="2" t="s">
        <v>10</v>
      </c>
      <c r="E2989" s="2" t="s">
        <v>76</v>
      </c>
      <c r="F2989" s="2" t="s">
        <v>1145</v>
      </c>
      <c r="G2989" s="14" t="n">
        <v>9.5</v>
      </c>
      <c r="H2989" s="14" t="n">
        <v>7.46</v>
      </c>
      <c r="I2989" s="14" t="n">
        <v>9.5</v>
      </c>
      <c r="J2989" s="22" t="n">
        <f aca="false">IF(E2989="Priority",'Cost model'!N200,'Cost model'!M200)</f>
        <v>7.5</v>
      </c>
      <c r="K2989" s="14" t="n">
        <f aca="false">J2989-H2989</f>
        <v>0.04</v>
      </c>
      <c r="L2989" s="14" t="n">
        <f aca="false">G2989-H2989</f>
        <v>2.04</v>
      </c>
    </row>
    <row r="2990" customFormat="false" ht="15" hidden="false" customHeight="false" outlineLevel="0" collapsed="false">
      <c r="A2990" s="2" t="s">
        <v>146</v>
      </c>
      <c r="B2990" s="2" t="s">
        <v>146</v>
      </c>
      <c r="C2990" s="2" t="s">
        <v>49</v>
      </c>
      <c r="D2990" s="2" t="s">
        <v>12</v>
      </c>
      <c r="E2990" s="2" t="s">
        <v>85</v>
      </c>
      <c r="F2990" s="2" t="s">
        <v>1145</v>
      </c>
      <c r="G2990" s="14" t="n">
        <v>19.5</v>
      </c>
      <c r="H2990" s="14" t="n">
        <v>45.61</v>
      </c>
      <c r="I2990" s="14" t="n">
        <v>19.5</v>
      </c>
      <c r="J2990" s="22" t="n">
        <f aca="false">IF(E2990="Priority",'Cost model'!N762,'Cost model'!M762)</f>
        <v>60</v>
      </c>
      <c r="K2990" s="14" t="n">
        <f aca="false">J2990-H2990</f>
        <v>14.39</v>
      </c>
      <c r="L2990" s="14" t="n">
        <f aca="false">G2990-H2990</f>
        <v>-26.11</v>
      </c>
    </row>
    <row r="2991" customFormat="false" ht="15" hidden="false" customHeight="false" outlineLevel="0" collapsed="false">
      <c r="A2991" s="2" t="s">
        <v>184</v>
      </c>
      <c r="B2991" s="2" t="s">
        <v>126</v>
      </c>
      <c r="C2991" s="2" t="s">
        <v>48</v>
      </c>
      <c r="D2991" s="2" t="s">
        <v>12</v>
      </c>
      <c r="E2991" s="2" t="s">
        <v>76</v>
      </c>
      <c r="F2991" s="2" t="s">
        <v>1146</v>
      </c>
      <c r="G2991" s="14" t="n">
        <v>14.5</v>
      </c>
      <c r="H2991" s="14" t="n">
        <v>43.77</v>
      </c>
      <c r="I2991" s="14" t="n">
        <v>9.5</v>
      </c>
      <c r="J2991" s="22" t="n">
        <f aca="false">IF(E2991="Priority",'Cost model'!N131,'Cost model'!M131)</f>
        <v>40</v>
      </c>
      <c r="K2991" s="14" t="n">
        <f aca="false">J2991-H2991</f>
        <v>-3.77</v>
      </c>
      <c r="L2991" s="14" t="n">
        <f aca="false">G2991-H2991</f>
        <v>-29.27</v>
      </c>
    </row>
    <row r="2992" customFormat="false" ht="15" hidden="false" customHeight="false" outlineLevel="0" collapsed="false">
      <c r="A2992" s="2" t="s">
        <v>240</v>
      </c>
      <c r="B2992" s="2" t="s">
        <v>240</v>
      </c>
      <c r="C2992" s="2" t="s">
        <v>48</v>
      </c>
      <c r="D2992" s="2" t="s">
        <v>10</v>
      </c>
      <c r="E2992" s="2" t="s">
        <v>76</v>
      </c>
      <c r="F2992" s="2" t="s">
        <v>1145</v>
      </c>
      <c r="G2992" s="14" t="n">
        <v>9.5</v>
      </c>
      <c r="H2992" s="14" t="n">
        <v>7.4</v>
      </c>
      <c r="I2992" s="14" t="n">
        <v>9.5</v>
      </c>
      <c r="J2992" s="22" t="n">
        <f aca="false">IF(E2992="Priority",'Cost model'!N884,'Cost model'!M884)</f>
        <v>7.5</v>
      </c>
      <c r="K2992" s="14" t="n">
        <f aca="false">J2992-H2992</f>
        <v>0.0999999999999996</v>
      </c>
      <c r="L2992" s="14" t="n">
        <f aca="false">G2992-H2992</f>
        <v>2.1</v>
      </c>
    </row>
    <row r="2993" customFormat="false" ht="15" hidden="false" customHeight="false" outlineLevel="0" collapsed="false">
      <c r="A2993" s="2" t="s">
        <v>146</v>
      </c>
      <c r="B2993" s="2" t="s">
        <v>146</v>
      </c>
      <c r="C2993" s="2" t="s">
        <v>50</v>
      </c>
      <c r="D2993" s="2" t="s">
        <v>12</v>
      </c>
      <c r="E2993" s="2" t="s">
        <v>76</v>
      </c>
      <c r="F2993" s="2" t="s">
        <v>1145</v>
      </c>
      <c r="G2993" s="14" t="n">
        <v>19.5</v>
      </c>
      <c r="H2993" s="14" t="n">
        <v>43.25</v>
      </c>
      <c r="I2993" s="14" t="n">
        <v>19.5</v>
      </c>
      <c r="J2993" s="22" t="n">
        <f aca="false">IF(E2993="Priority",'Cost model'!N763,'Cost model'!M763)</f>
        <v>50</v>
      </c>
      <c r="K2993" s="14" t="n">
        <f aca="false">J2993-H2993</f>
        <v>6.75</v>
      </c>
      <c r="L2993" s="14" t="n">
        <f aca="false">G2993-H2993</f>
        <v>-23.75</v>
      </c>
    </row>
    <row r="2994" customFormat="false" ht="15" hidden="false" customHeight="false" outlineLevel="0" collapsed="false">
      <c r="A2994" s="2" t="s">
        <v>184</v>
      </c>
      <c r="B2994" s="2" t="s">
        <v>184</v>
      </c>
      <c r="C2994" s="2" t="s">
        <v>48</v>
      </c>
      <c r="D2994" s="2" t="s">
        <v>12</v>
      </c>
      <c r="E2994" s="2" t="s">
        <v>76</v>
      </c>
      <c r="F2994" s="2" t="s">
        <v>1145</v>
      </c>
      <c r="G2994" s="14" t="n">
        <v>9.5</v>
      </c>
      <c r="H2994" s="14" t="n">
        <v>41.03</v>
      </c>
      <c r="I2994" s="14" t="n">
        <v>9.5</v>
      </c>
      <c r="J2994" s="22" t="n">
        <f aca="false">IF(E2994="Priority",'Cost model'!N203,'Cost model'!M203)</f>
        <v>26.5</v>
      </c>
      <c r="K2994" s="14" t="n">
        <f aca="false">J2994-H2994</f>
        <v>-14.53</v>
      </c>
      <c r="L2994" s="14" t="n">
        <f aca="false">G2994-H2994</f>
        <v>-31.53</v>
      </c>
    </row>
    <row r="2995" customFormat="false" ht="15" hidden="false" customHeight="false" outlineLevel="0" collapsed="false">
      <c r="A2995" s="2" t="s">
        <v>146</v>
      </c>
      <c r="B2995" s="2" t="s">
        <v>146</v>
      </c>
      <c r="C2995" s="2" t="s">
        <v>49</v>
      </c>
      <c r="D2995" s="2" t="s">
        <v>12</v>
      </c>
      <c r="E2995" s="2" t="s">
        <v>85</v>
      </c>
      <c r="F2995" s="2" t="s">
        <v>1145</v>
      </c>
      <c r="G2995" s="14" t="n">
        <v>19.5</v>
      </c>
      <c r="H2995" s="14" t="n">
        <v>43.77</v>
      </c>
      <c r="I2995" s="14" t="n">
        <v>19.5</v>
      </c>
      <c r="J2995" s="22" t="n">
        <f aca="false">IF(E2995="Priority",'Cost model'!N762,'Cost model'!M762)</f>
        <v>60</v>
      </c>
      <c r="K2995" s="14" t="n">
        <f aca="false">J2995-H2995</f>
        <v>16.23</v>
      </c>
      <c r="L2995" s="14" t="n">
        <f aca="false">G2995-H2995</f>
        <v>-24.27</v>
      </c>
    </row>
    <row r="2996" customFormat="false" ht="15" hidden="false" customHeight="false" outlineLevel="0" collapsed="false">
      <c r="A2996" s="2" t="s">
        <v>184</v>
      </c>
      <c r="B2996" s="2" t="s">
        <v>184</v>
      </c>
      <c r="C2996" s="2" t="s">
        <v>50</v>
      </c>
      <c r="D2996" s="2" t="s">
        <v>12</v>
      </c>
      <c r="E2996" s="2" t="s">
        <v>76</v>
      </c>
      <c r="F2996" s="2" t="s">
        <v>1145</v>
      </c>
      <c r="G2996" s="14" t="n">
        <v>19.5</v>
      </c>
      <c r="H2996" s="14" t="n">
        <v>20.11</v>
      </c>
      <c r="I2996" s="14" t="n">
        <v>19.5</v>
      </c>
      <c r="J2996" s="22" t="n">
        <f aca="false">IF(E2996="Priority",'Cost model'!N205,'Cost model'!M205)</f>
        <v>50</v>
      </c>
      <c r="K2996" s="14" t="n">
        <f aca="false">J2996-H2996</f>
        <v>29.89</v>
      </c>
      <c r="L2996" s="14" t="n">
        <f aca="false">G2996-H2996</f>
        <v>-0.609999999999999</v>
      </c>
    </row>
    <row r="2997" customFormat="false" ht="15" hidden="false" customHeight="false" outlineLevel="0" collapsed="false">
      <c r="A2997" s="2" t="s">
        <v>184</v>
      </c>
      <c r="B2997" s="2" t="s">
        <v>184</v>
      </c>
      <c r="C2997" s="2" t="s">
        <v>49</v>
      </c>
      <c r="D2997" s="2" t="s">
        <v>12</v>
      </c>
      <c r="E2997" s="2" t="s">
        <v>76</v>
      </c>
      <c r="F2997" s="2" t="s">
        <v>1145</v>
      </c>
      <c r="G2997" s="14" t="n">
        <v>14.5</v>
      </c>
      <c r="H2997" s="14" t="n">
        <v>44.73</v>
      </c>
      <c r="I2997" s="14"/>
      <c r="J2997" s="22" t="n">
        <f aca="false">IF(E2997="Priority",'Cost model'!N204,'Cost model'!M204)</f>
        <v>45</v>
      </c>
      <c r="K2997" s="14" t="n">
        <f aca="false">J2997-H2997</f>
        <v>0.270000000000003</v>
      </c>
      <c r="L2997" s="14" t="n">
        <f aca="false">G2997-H2997</f>
        <v>-30.23</v>
      </c>
    </row>
    <row r="2998" customFormat="false" ht="15" hidden="false" customHeight="false" outlineLevel="0" collapsed="false">
      <c r="A2998" s="2" t="s">
        <v>184</v>
      </c>
      <c r="B2998" s="2" t="s">
        <v>184</v>
      </c>
      <c r="C2998" s="2" t="s">
        <v>48</v>
      </c>
      <c r="D2998" s="2" t="s">
        <v>10</v>
      </c>
      <c r="E2998" s="2" t="s">
        <v>85</v>
      </c>
      <c r="F2998" s="2" t="s">
        <v>1145</v>
      </c>
      <c r="G2998" s="14" t="n">
        <v>14.5</v>
      </c>
      <c r="H2998" s="14" t="n">
        <v>7.46</v>
      </c>
      <c r="I2998" s="14" t="n">
        <v>14.5</v>
      </c>
      <c r="J2998" s="22" t="n">
        <f aca="false">IF(E2998="Priority",'Cost model'!N200,'Cost model'!M200)</f>
        <v>12.5</v>
      </c>
      <c r="K2998" s="14" t="n">
        <f aca="false">J2998-H2998</f>
        <v>5.04</v>
      </c>
      <c r="L2998" s="14" t="n">
        <f aca="false">G2998-H2998</f>
        <v>7.04</v>
      </c>
    </row>
    <row r="2999" customFormat="false" ht="15" hidden="false" customHeight="false" outlineLevel="0" collapsed="false">
      <c r="A2999" s="2" t="s">
        <v>146</v>
      </c>
      <c r="B2999" s="2" t="s">
        <v>146</v>
      </c>
      <c r="C2999" s="2" t="s">
        <v>49</v>
      </c>
      <c r="D2999" s="2" t="s">
        <v>10</v>
      </c>
      <c r="E2999" s="2" t="s">
        <v>76</v>
      </c>
      <c r="F2999" s="2" t="s">
        <v>1145</v>
      </c>
      <c r="G2999" s="14" t="n">
        <v>12.5</v>
      </c>
      <c r="H2999" s="14" t="n">
        <v>21.76</v>
      </c>
      <c r="I2999" s="14" t="n">
        <v>12.5</v>
      </c>
      <c r="J2999" s="22" t="n">
        <f aca="false">IF(E2999="Priority",'Cost model'!N759,'Cost model'!M759)</f>
        <v>15.5</v>
      </c>
      <c r="K2999" s="14" t="n">
        <f aca="false">J2999-H2999</f>
        <v>-6.26</v>
      </c>
      <c r="L2999" s="14" t="n">
        <f aca="false">G2999-H2999</f>
        <v>-9.26</v>
      </c>
    </row>
    <row r="3000" customFormat="false" ht="15" hidden="false" customHeight="false" outlineLevel="0" collapsed="false">
      <c r="A3000" s="2" t="s">
        <v>184</v>
      </c>
      <c r="B3000" s="2" t="s">
        <v>126</v>
      </c>
      <c r="C3000" s="2" t="s">
        <v>50</v>
      </c>
      <c r="D3000" s="2" t="s">
        <v>14</v>
      </c>
      <c r="E3000" s="2" t="s">
        <v>85</v>
      </c>
      <c r="F3000" s="2" t="s">
        <v>1146</v>
      </c>
      <c r="G3000" s="14" t="n">
        <v>150</v>
      </c>
      <c r="H3000" s="14" t="n">
        <v>162.34</v>
      </c>
      <c r="I3000" s="14" t="n">
        <v>150</v>
      </c>
      <c r="J3000" s="22" t="n">
        <f aca="false">IF(E3000="Priority",'Cost model'!N139,'Cost model'!M139)</f>
        <v>205</v>
      </c>
      <c r="K3000" s="14" t="n">
        <f aca="false">J3000-H3000</f>
        <v>42.66</v>
      </c>
      <c r="L3000" s="14" t="n">
        <f aca="false">G3000-H3000</f>
        <v>-12.34</v>
      </c>
    </row>
    <row r="3001" customFormat="false" ht="15" hidden="false" customHeight="false" outlineLevel="0" collapsed="false">
      <c r="A3001" s="2" t="s">
        <v>126</v>
      </c>
      <c r="B3001" s="2" t="s">
        <v>126</v>
      </c>
      <c r="C3001" s="2" t="s">
        <v>50</v>
      </c>
      <c r="D3001" s="2" t="s">
        <v>14</v>
      </c>
      <c r="E3001" s="2" t="s">
        <v>76</v>
      </c>
      <c r="F3001" s="2" t="s">
        <v>1145</v>
      </c>
      <c r="G3001" s="14" t="n">
        <v>85</v>
      </c>
      <c r="H3001" s="14" t="n">
        <v>155.22</v>
      </c>
      <c r="I3001" s="14" t="n">
        <v>85</v>
      </c>
      <c r="J3001" s="22" t="n">
        <f aca="false">IF(E3001="Priority",'Cost model'!N391,'Cost model'!M391)</f>
        <v>170</v>
      </c>
      <c r="K3001" s="14" t="n">
        <f aca="false">J3001-H3001</f>
        <v>14.78</v>
      </c>
      <c r="L3001" s="14" t="n">
        <f aca="false">G3001-H3001</f>
        <v>-70.22</v>
      </c>
    </row>
    <row r="3002" customFormat="false" ht="15" hidden="false" customHeight="false" outlineLevel="0" collapsed="false">
      <c r="A3002" s="2" t="s">
        <v>184</v>
      </c>
      <c r="B3002" s="2" t="s">
        <v>184</v>
      </c>
      <c r="C3002" s="2" t="s">
        <v>49</v>
      </c>
      <c r="D3002" s="2" t="s">
        <v>10</v>
      </c>
      <c r="E3002" s="2" t="s">
        <v>76</v>
      </c>
      <c r="F3002" s="2" t="s">
        <v>1145</v>
      </c>
      <c r="G3002" s="14" t="n">
        <v>17.5</v>
      </c>
      <c r="H3002" s="14" t="n">
        <v>20.83</v>
      </c>
      <c r="I3002" s="14"/>
      <c r="J3002" s="22" t="n">
        <f aca="false">IF(E3002="Priority",'Cost model'!N201,'Cost model'!M201)</f>
        <v>12.5</v>
      </c>
      <c r="K3002" s="14" t="n">
        <f aca="false">J3002-H3002</f>
        <v>-8.33</v>
      </c>
      <c r="L3002" s="14" t="n">
        <f aca="false">G3002-H3002</f>
        <v>-3.33</v>
      </c>
    </row>
    <row r="3003" customFormat="false" ht="15" hidden="false" customHeight="false" outlineLevel="0" collapsed="false">
      <c r="A3003" s="2" t="s">
        <v>184</v>
      </c>
      <c r="B3003" s="2" t="s">
        <v>184</v>
      </c>
      <c r="C3003" s="2" t="s">
        <v>48</v>
      </c>
      <c r="D3003" s="2" t="s">
        <v>12</v>
      </c>
      <c r="E3003" s="2" t="s">
        <v>76</v>
      </c>
      <c r="F3003" s="2" t="s">
        <v>1145</v>
      </c>
      <c r="G3003" s="14" t="n">
        <v>9.5</v>
      </c>
      <c r="H3003" s="14" t="n">
        <v>42.61</v>
      </c>
      <c r="I3003" s="14" t="n">
        <v>9.5</v>
      </c>
      <c r="J3003" s="22" t="n">
        <f aca="false">IF(E3003="Priority",'Cost model'!N203,'Cost model'!M203)</f>
        <v>26.5</v>
      </c>
      <c r="K3003" s="14" t="n">
        <f aca="false">J3003-H3003</f>
        <v>-16.11</v>
      </c>
      <c r="L3003" s="14" t="n">
        <f aca="false">G3003-H3003</f>
        <v>-33.11</v>
      </c>
    </row>
    <row r="3004" customFormat="false" ht="15" hidden="false" customHeight="false" outlineLevel="0" collapsed="false">
      <c r="A3004" s="2" t="s">
        <v>146</v>
      </c>
      <c r="B3004" s="2" t="s">
        <v>146</v>
      </c>
      <c r="C3004" s="2" t="s">
        <v>49</v>
      </c>
      <c r="D3004" s="2" t="s">
        <v>13</v>
      </c>
      <c r="E3004" s="2" t="s">
        <v>76</v>
      </c>
      <c r="F3004" s="2" t="s">
        <v>1145</v>
      </c>
      <c r="G3004" s="14" t="n">
        <v>24.5</v>
      </c>
      <c r="H3004" s="14" t="n">
        <v>32.29</v>
      </c>
      <c r="I3004" s="14" t="n">
        <v>24.5</v>
      </c>
      <c r="J3004" s="22" t="n">
        <f aca="false">IF(E3004="Priority",'Cost model'!N765,'Cost model'!M765)</f>
        <v>70</v>
      </c>
      <c r="K3004" s="14" t="n">
        <f aca="false">J3004-H3004</f>
        <v>37.71</v>
      </c>
      <c r="L3004" s="14" t="n">
        <f aca="false">G3004-H3004</f>
        <v>-7.79</v>
      </c>
    </row>
    <row r="3005" customFormat="false" ht="15" hidden="false" customHeight="false" outlineLevel="0" collapsed="false">
      <c r="A3005" s="2" t="s">
        <v>146</v>
      </c>
      <c r="B3005" s="2" t="s">
        <v>146</v>
      </c>
      <c r="C3005" s="2" t="s">
        <v>48</v>
      </c>
      <c r="D3005" s="2" t="s">
        <v>12</v>
      </c>
      <c r="E3005" s="2" t="s">
        <v>76</v>
      </c>
      <c r="F3005" s="2" t="s">
        <v>1145</v>
      </c>
      <c r="G3005" s="14" t="n">
        <v>24.5</v>
      </c>
      <c r="H3005" s="14" t="n">
        <v>43.55</v>
      </c>
      <c r="I3005" s="14" t="n">
        <v>9.5</v>
      </c>
      <c r="J3005" s="22" t="n">
        <f aca="false">IF(E3005="Priority",'Cost model'!N761,'Cost model'!M761)</f>
        <v>35</v>
      </c>
      <c r="K3005" s="14" t="n">
        <f aca="false">J3005-H3005</f>
        <v>-8.55</v>
      </c>
      <c r="L3005" s="14" t="n">
        <f aca="false">G3005-H3005</f>
        <v>-19.05</v>
      </c>
    </row>
    <row r="3006" customFormat="false" ht="15" hidden="false" customHeight="false" outlineLevel="0" collapsed="false">
      <c r="A3006" s="2" t="s">
        <v>184</v>
      </c>
      <c r="B3006" s="2" t="s">
        <v>184</v>
      </c>
      <c r="C3006" s="2" t="s">
        <v>50</v>
      </c>
      <c r="D3006" s="2" t="s">
        <v>10</v>
      </c>
      <c r="E3006" s="2" t="s">
        <v>76</v>
      </c>
      <c r="F3006" s="2" t="s">
        <v>1145</v>
      </c>
      <c r="G3006" s="14" t="n">
        <v>17.5</v>
      </c>
      <c r="H3006" s="14" t="n">
        <v>11.59</v>
      </c>
      <c r="I3006" s="14" t="n">
        <v>17.5</v>
      </c>
      <c r="J3006" s="22" t="n">
        <f aca="false">IF(E3006="Priority",'Cost model'!N202,'Cost model'!M202)</f>
        <v>17.5</v>
      </c>
      <c r="K3006" s="14" t="n">
        <f aca="false">J3006-H3006</f>
        <v>5.91</v>
      </c>
      <c r="L3006" s="14" t="n">
        <f aca="false">G3006-H3006</f>
        <v>5.91</v>
      </c>
    </row>
    <row r="3007" customFormat="false" ht="15" hidden="false" customHeight="false" outlineLevel="0" collapsed="false">
      <c r="A3007" s="2" t="s">
        <v>184</v>
      </c>
      <c r="B3007" s="2" t="s">
        <v>184</v>
      </c>
      <c r="C3007" s="2" t="s">
        <v>49</v>
      </c>
      <c r="D3007" s="2" t="s">
        <v>10</v>
      </c>
      <c r="E3007" s="2" t="s">
        <v>76</v>
      </c>
      <c r="F3007" s="2" t="s">
        <v>1145</v>
      </c>
      <c r="G3007" s="14" t="n">
        <v>12.5</v>
      </c>
      <c r="H3007" s="14" t="n">
        <v>7.02</v>
      </c>
      <c r="I3007" s="14"/>
      <c r="J3007" s="22" t="n">
        <f aca="false">IF(E3007="Priority",'Cost model'!N201,'Cost model'!M201)</f>
        <v>12.5</v>
      </c>
      <c r="K3007" s="14" t="n">
        <f aca="false">J3007-H3007</f>
        <v>5.48</v>
      </c>
      <c r="L3007" s="14" t="n">
        <f aca="false">G3007-H3007</f>
        <v>5.48</v>
      </c>
    </row>
    <row r="3008" customFormat="false" ht="15" hidden="false" customHeight="false" outlineLevel="0" collapsed="false">
      <c r="A3008" s="2" t="s">
        <v>165</v>
      </c>
      <c r="B3008" s="2" t="s">
        <v>165</v>
      </c>
      <c r="C3008" s="2" t="s">
        <v>48</v>
      </c>
      <c r="D3008" s="2" t="s">
        <v>10</v>
      </c>
      <c r="E3008" s="2" t="s">
        <v>76</v>
      </c>
      <c r="F3008" s="2" t="s">
        <v>1145</v>
      </c>
      <c r="G3008" s="14" t="n">
        <v>9.5</v>
      </c>
      <c r="H3008" s="14" t="n">
        <v>7.45</v>
      </c>
      <c r="I3008" s="14" t="n">
        <v>9.5</v>
      </c>
      <c r="J3008" s="22" t="n">
        <f aca="false">IF(E3008="Priority",'Cost model'!N506,'Cost model'!M506)</f>
        <v>7.5</v>
      </c>
      <c r="K3008" s="14" t="n">
        <f aca="false">J3008-H3008</f>
        <v>0.0499999999999998</v>
      </c>
      <c r="L3008" s="14" t="n">
        <f aca="false">G3008-H3008</f>
        <v>2.05</v>
      </c>
    </row>
    <row r="3009" customFormat="false" ht="15" hidden="false" customHeight="false" outlineLevel="0" collapsed="false">
      <c r="A3009" s="2" t="s">
        <v>184</v>
      </c>
      <c r="B3009" s="2" t="s">
        <v>184</v>
      </c>
      <c r="C3009" s="2" t="s">
        <v>49</v>
      </c>
      <c r="D3009" s="2" t="s">
        <v>10</v>
      </c>
      <c r="E3009" s="2" t="s">
        <v>76</v>
      </c>
      <c r="F3009" s="2" t="s">
        <v>1145</v>
      </c>
      <c r="G3009" s="14" t="n">
        <v>12.5</v>
      </c>
      <c r="H3009" s="14" t="n">
        <v>15.24</v>
      </c>
      <c r="I3009" s="14"/>
      <c r="J3009" s="22" t="n">
        <f aca="false">IF(E3009="Priority",'Cost model'!N201,'Cost model'!M201)</f>
        <v>12.5</v>
      </c>
      <c r="K3009" s="14" t="n">
        <f aca="false">J3009-H3009</f>
        <v>-2.74</v>
      </c>
      <c r="L3009" s="14" t="n">
        <f aca="false">G3009-H3009</f>
        <v>-2.74</v>
      </c>
    </row>
    <row r="3010" customFormat="false" ht="15" hidden="false" customHeight="false" outlineLevel="0" collapsed="false">
      <c r="A3010" s="2" t="s">
        <v>146</v>
      </c>
      <c r="B3010" s="2" t="s">
        <v>184</v>
      </c>
      <c r="C3010" s="2" t="s">
        <v>50</v>
      </c>
      <c r="D3010" s="2" t="s">
        <v>12</v>
      </c>
      <c r="E3010" s="2" t="s">
        <v>76</v>
      </c>
      <c r="F3010" s="2" t="s">
        <v>1146</v>
      </c>
      <c r="G3010" s="14" t="n">
        <v>19.5</v>
      </c>
      <c r="H3010" s="14" t="n">
        <v>55.25</v>
      </c>
      <c r="I3010" s="14" t="n">
        <v>19.5</v>
      </c>
      <c r="J3010" s="22" t="n">
        <f aca="false">IF(E3010="Priority",'Cost model'!N835,'Cost model'!M835)</f>
        <v>50</v>
      </c>
      <c r="K3010" s="14" t="n">
        <f aca="false">J3010-H3010</f>
        <v>-5.25</v>
      </c>
      <c r="L3010" s="14" t="n">
        <f aca="false">G3010-H3010</f>
        <v>-35.75</v>
      </c>
    </row>
    <row r="3011" customFormat="false" ht="15" hidden="false" customHeight="false" outlineLevel="0" collapsed="false">
      <c r="A3011" s="2" t="s">
        <v>146</v>
      </c>
      <c r="B3011" s="2" t="s">
        <v>146</v>
      </c>
      <c r="C3011" s="2" t="s">
        <v>48</v>
      </c>
      <c r="D3011" s="2" t="s">
        <v>12</v>
      </c>
      <c r="E3011" s="2" t="s">
        <v>76</v>
      </c>
      <c r="F3011" s="2" t="s">
        <v>1145</v>
      </c>
      <c r="G3011" s="14" t="n">
        <v>9.5</v>
      </c>
      <c r="H3011" s="14" t="n">
        <v>43.77</v>
      </c>
      <c r="I3011" s="14" t="n">
        <v>9.5</v>
      </c>
      <c r="J3011" s="22" t="n">
        <f aca="false">IF(E3011="Priority",'Cost model'!N761,'Cost model'!M761)</f>
        <v>35</v>
      </c>
      <c r="K3011" s="14" t="n">
        <f aca="false">J3011-H3011</f>
        <v>-8.77</v>
      </c>
      <c r="L3011" s="14" t="n">
        <f aca="false">G3011-H3011</f>
        <v>-34.27</v>
      </c>
    </row>
    <row r="3012" customFormat="false" ht="15" hidden="false" customHeight="false" outlineLevel="0" collapsed="false">
      <c r="A3012" s="2" t="s">
        <v>126</v>
      </c>
      <c r="B3012" s="2" t="s">
        <v>126</v>
      </c>
      <c r="C3012" s="2" t="s">
        <v>48</v>
      </c>
      <c r="D3012" s="2" t="s">
        <v>12</v>
      </c>
      <c r="E3012" s="2" t="s">
        <v>85</v>
      </c>
      <c r="F3012" s="2" t="s">
        <v>1145</v>
      </c>
      <c r="G3012" s="14" t="n">
        <v>19.5</v>
      </c>
      <c r="H3012" s="14" t="n">
        <v>47.97</v>
      </c>
      <c r="I3012" s="14" t="n">
        <v>19.5</v>
      </c>
      <c r="J3012" s="22" t="n">
        <f aca="false">IF(E3012="Priority",'Cost model'!N383,'Cost model'!M383)</f>
        <v>35</v>
      </c>
      <c r="K3012" s="14" t="n">
        <f aca="false">J3012-H3012</f>
        <v>-12.97</v>
      </c>
      <c r="L3012" s="14" t="n">
        <f aca="false">G3012-H3012</f>
        <v>-28.47</v>
      </c>
    </row>
    <row r="3013" customFormat="false" ht="15" hidden="false" customHeight="false" outlineLevel="0" collapsed="false">
      <c r="A3013" s="2" t="s">
        <v>126</v>
      </c>
      <c r="B3013" s="2" t="s">
        <v>126</v>
      </c>
      <c r="C3013" s="2" t="s">
        <v>49</v>
      </c>
      <c r="D3013" s="2" t="s">
        <v>10</v>
      </c>
      <c r="E3013" s="2" t="s">
        <v>76</v>
      </c>
      <c r="F3013" s="2" t="s">
        <v>1145</v>
      </c>
      <c r="G3013" s="14" t="n">
        <v>12.5</v>
      </c>
      <c r="H3013" s="14" t="n">
        <v>17.69</v>
      </c>
      <c r="I3013" s="14" t="n">
        <v>12.5</v>
      </c>
      <c r="J3013" s="22" t="n">
        <f aca="false">IF(E3013="Priority",'Cost model'!N381,'Cost model'!M381)</f>
        <v>14.5</v>
      </c>
      <c r="K3013" s="14" t="n">
        <f aca="false">J3013-H3013</f>
        <v>-3.19</v>
      </c>
      <c r="L3013" s="14" t="n">
        <f aca="false">G3013-H3013</f>
        <v>-5.19</v>
      </c>
    </row>
    <row r="3014" customFormat="false" ht="15" hidden="false" customHeight="false" outlineLevel="0" collapsed="false">
      <c r="A3014" s="2" t="s">
        <v>184</v>
      </c>
      <c r="B3014" s="2" t="s">
        <v>184</v>
      </c>
      <c r="C3014" s="2" t="s">
        <v>49</v>
      </c>
      <c r="D3014" s="2" t="s">
        <v>13</v>
      </c>
      <c r="E3014" s="2" t="s">
        <v>76</v>
      </c>
      <c r="F3014" s="2" t="s">
        <v>1145</v>
      </c>
      <c r="G3014" s="14" t="n">
        <v>24.5</v>
      </c>
      <c r="H3014" s="14" t="n">
        <v>62.08</v>
      </c>
      <c r="I3014" s="14"/>
      <c r="J3014" s="22" t="n">
        <f aca="false">IF(E3014="Priority",'Cost model'!N207,'Cost model'!M207)</f>
        <v>75</v>
      </c>
      <c r="K3014" s="14" t="n">
        <f aca="false">J3014-H3014</f>
        <v>12.92</v>
      </c>
      <c r="L3014" s="14" t="n">
        <f aca="false">G3014-H3014</f>
        <v>-37.58</v>
      </c>
    </row>
    <row r="3015" customFormat="false" ht="15" hidden="false" customHeight="false" outlineLevel="0" collapsed="false">
      <c r="A3015" s="2" t="s">
        <v>184</v>
      </c>
      <c r="B3015" s="2" t="s">
        <v>184</v>
      </c>
      <c r="C3015" s="2" t="s">
        <v>49</v>
      </c>
      <c r="D3015" s="2" t="s">
        <v>12</v>
      </c>
      <c r="E3015" s="2" t="s">
        <v>76</v>
      </c>
      <c r="F3015" s="2" t="s">
        <v>1145</v>
      </c>
      <c r="G3015" s="14" t="n">
        <v>19.5</v>
      </c>
      <c r="H3015" s="14" t="n">
        <v>42.61</v>
      </c>
      <c r="I3015" s="14"/>
      <c r="J3015" s="22" t="n">
        <f aca="false">IF(E3015="Priority",'Cost model'!N204,'Cost model'!M204)</f>
        <v>45</v>
      </c>
      <c r="K3015" s="14" t="n">
        <f aca="false">J3015-H3015</f>
        <v>2.39</v>
      </c>
      <c r="L3015" s="14" t="n">
        <f aca="false">G3015-H3015</f>
        <v>-23.11</v>
      </c>
    </row>
    <row r="3016" customFormat="false" ht="15" hidden="false" customHeight="false" outlineLevel="0" collapsed="false">
      <c r="A3016" s="2" t="s">
        <v>146</v>
      </c>
      <c r="B3016" s="2" t="s">
        <v>146</v>
      </c>
      <c r="C3016" s="2" t="s">
        <v>48</v>
      </c>
      <c r="D3016" s="2" t="s">
        <v>12</v>
      </c>
      <c r="E3016" s="2" t="s">
        <v>76</v>
      </c>
      <c r="F3016" s="2" t="s">
        <v>1145</v>
      </c>
      <c r="G3016" s="14" t="n">
        <v>9.5</v>
      </c>
      <c r="H3016" s="14" t="n">
        <v>28.27</v>
      </c>
      <c r="I3016" s="14" t="n">
        <v>9.5</v>
      </c>
      <c r="J3016" s="22" t="n">
        <f aca="false">IF(E3016="Priority",'Cost model'!N761,'Cost model'!M761)</f>
        <v>35</v>
      </c>
      <c r="K3016" s="14" t="n">
        <f aca="false">J3016-H3016</f>
        <v>6.73</v>
      </c>
      <c r="L3016" s="14" t="n">
        <f aca="false">G3016-H3016</f>
        <v>-18.77</v>
      </c>
    </row>
    <row r="3017" customFormat="false" ht="15" hidden="false" customHeight="false" outlineLevel="0" collapsed="false">
      <c r="A3017" s="2" t="s">
        <v>146</v>
      </c>
      <c r="B3017" s="2" t="s">
        <v>184</v>
      </c>
      <c r="C3017" s="2" t="s">
        <v>49</v>
      </c>
      <c r="D3017" s="2" t="s">
        <v>10</v>
      </c>
      <c r="E3017" s="2" t="s">
        <v>76</v>
      </c>
      <c r="F3017" s="2" t="s">
        <v>1146</v>
      </c>
      <c r="G3017" s="14" t="n">
        <v>14.5</v>
      </c>
      <c r="H3017" s="14" t="n">
        <v>11.42</v>
      </c>
      <c r="I3017" s="14" t="n">
        <v>14.5</v>
      </c>
      <c r="J3017" s="22" t="n">
        <f aca="false">IF(E3017="Priority",'Cost model'!N831,'Cost model'!M831)</f>
        <v>10.5</v>
      </c>
      <c r="K3017" s="14" t="n">
        <f aca="false">J3017-H3017</f>
        <v>-0.92</v>
      </c>
      <c r="L3017" s="14" t="n">
        <f aca="false">G3017-H3017</f>
        <v>3.08</v>
      </c>
    </row>
    <row r="3018" customFormat="false" ht="15" hidden="false" customHeight="false" outlineLevel="0" collapsed="false">
      <c r="A3018" s="2" t="s">
        <v>165</v>
      </c>
      <c r="B3018" s="2" t="s">
        <v>126</v>
      </c>
      <c r="C3018" s="2" t="s">
        <v>48</v>
      </c>
      <c r="D3018" s="2" t="s">
        <v>12</v>
      </c>
      <c r="E3018" s="2" t="s">
        <v>76</v>
      </c>
      <c r="F3018" s="2" t="s">
        <v>1146</v>
      </c>
      <c r="G3018" s="14" t="n">
        <v>9.5</v>
      </c>
      <c r="H3018" s="14" t="n">
        <v>72.31</v>
      </c>
      <c r="I3018" s="14" t="n">
        <v>19.5</v>
      </c>
      <c r="J3018" s="22" t="n">
        <f aca="false">IF(E3018="Priority",'Cost model'!N545,'Cost model'!M545)</f>
        <v>50</v>
      </c>
      <c r="K3018" s="14" t="n">
        <f aca="false">J3018-H3018</f>
        <v>-22.31</v>
      </c>
      <c r="L3018" s="14" t="n">
        <f aca="false">G3018-H3018</f>
        <v>-62.81</v>
      </c>
    </row>
    <row r="3019" customFormat="false" ht="15" hidden="false" customHeight="false" outlineLevel="0" collapsed="false">
      <c r="A3019" s="2" t="s">
        <v>165</v>
      </c>
      <c r="B3019" s="2" t="s">
        <v>146</v>
      </c>
      <c r="C3019" s="2" t="s">
        <v>50</v>
      </c>
      <c r="D3019" s="2" t="s">
        <v>12</v>
      </c>
      <c r="E3019" s="2" t="s">
        <v>76</v>
      </c>
      <c r="F3019" s="2" t="s">
        <v>1146</v>
      </c>
      <c r="G3019" s="14" t="n">
        <v>19.5</v>
      </c>
      <c r="H3019" s="14" t="n">
        <v>97.78</v>
      </c>
      <c r="I3019" s="14" t="n">
        <v>19.5</v>
      </c>
      <c r="J3019" s="22" t="n">
        <f aca="false">IF(E3019="Priority",'Cost model'!N529,'Cost model'!M529)</f>
        <v>65</v>
      </c>
      <c r="K3019" s="14" t="n">
        <f aca="false">J3019-H3019</f>
        <v>-32.78</v>
      </c>
      <c r="L3019" s="14" t="n">
        <f aca="false">G3019-H3019</f>
        <v>-78.28</v>
      </c>
    </row>
    <row r="3020" customFormat="false" ht="15" hidden="false" customHeight="false" outlineLevel="0" collapsed="false">
      <c r="A3020" s="2" t="s">
        <v>146</v>
      </c>
      <c r="B3020" s="2" t="s">
        <v>146</v>
      </c>
      <c r="C3020" s="2" t="s">
        <v>49</v>
      </c>
      <c r="D3020" s="2" t="s">
        <v>12</v>
      </c>
      <c r="E3020" s="2" t="s">
        <v>76</v>
      </c>
      <c r="F3020" s="2" t="s">
        <v>1145</v>
      </c>
      <c r="G3020" s="14" t="n">
        <v>12.5</v>
      </c>
      <c r="H3020" s="14" t="n">
        <v>43.25</v>
      </c>
      <c r="I3020" s="14" t="n">
        <v>12.5</v>
      </c>
      <c r="J3020" s="22" t="n">
        <f aca="false">IF(E3020="Priority",'Cost model'!N762,'Cost model'!M762)</f>
        <v>45</v>
      </c>
      <c r="K3020" s="14" t="n">
        <f aca="false">J3020-H3020</f>
        <v>1.75</v>
      </c>
      <c r="L3020" s="14" t="n">
        <f aca="false">G3020-H3020</f>
        <v>-30.75</v>
      </c>
    </row>
    <row r="3021" customFormat="false" ht="15" hidden="false" customHeight="false" outlineLevel="0" collapsed="false">
      <c r="A3021" s="2" t="s">
        <v>221</v>
      </c>
      <c r="B3021" s="2" t="s">
        <v>221</v>
      </c>
      <c r="C3021" s="2" t="s">
        <v>49</v>
      </c>
      <c r="D3021" s="2" t="s">
        <v>10</v>
      </c>
      <c r="E3021" s="2" t="s">
        <v>76</v>
      </c>
      <c r="F3021" s="2" t="s">
        <v>1145</v>
      </c>
      <c r="G3021" s="14" t="n">
        <v>14.5</v>
      </c>
      <c r="H3021" s="14" t="n">
        <v>9.12</v>
      </c>
      <c r="I3021" s="14" t="n">
        <v>12.5</v>
      </c>
      <c r="J3021" s="22" t="n">
        <f aca="false">IF(E3021="Priority",'Cost model'!N633,'Cost model'!M633)</f>
        <v>13.5</v>
      </c>
      <c r="K3021" s="14" t="n">
        <f aca="false">J3021-H3021</f>
        <v>4.38</v>
      </c>
      <c r="L3021" s="14" t="n">
        <f aca="false">G3021-H3021</f>
        <v>5.38</v>
      </c>
    </row>
    <row r="3022" customFormat="false" ht="15" hidden="false" customHeight="false" outlineLevel="0" collapsed="false">
      <c r="A3022" s="2" t="s">
        <v>165</v>
      </c>
      <c r="B3022" s="2" t="s">
        <v>146</v>
      </c>
      <c r="C3022" s="2" t="s">
        <v>48</v>
      </c>
      <c r="D3022" s="2" t="s">
        <v>12</v>
      </c>
      <c r="E3022" s="2" t="s">
        <v>76</v>
      </c>
      <c r="F3022" s="2" t="s">
        <v>1146</v>
      </c>
      <c r="G3022" s="14" t="n">
        <v>19.5</v>
      </c>
      <c r="H3022" s="14" t="n">
        <v>44.66</v>
      </c>
      <c r="I3022" s="14" t="n">
        <v>19.5</v>
      </c>
      <c r="J3022" s="22" t="n">
        <f aca="false">IF(E3022="Priority",'Cost model'!N527,'Cost model'!M527)</f>
        <v>55</v>
      </c>
      <c r="K3022" s="14" t="n">
        <f aca="false">J3022-H3022</f>
        <v>10.34</v>
      </c>
      <c r="L3022" s="14" t="n">
        <f aca="false">G3022-H3022</f>
        <v>-25.16</v>
      </c>
    </row>
    <row r="3023" customFormat="false" ht="15" hidden="false" customHeight="false" outlineLevel="0" collapsed="false">
      <c r="A3023" s="2" t="s">
        <v>240</v>
      </c>
      <c r="B3023" s="2" t="s">
        <v>240</v>
      </c>
      <c r="C3023" s="2" t="s">
        <v>48</v>
      </c>
      <c r="D3023" s="2" t="s">
        <v>10</v>
      </c>
      <c r="E3023" s="2" t="s">
        <v>76</v>
      </c>
      <c r="F3023" s="2" t="s">
        <v>1145</v>
      </c>
      <c r="G3023" s="14" t="n">
        <v>9.5</v>
      </c>
      <c r="H3023" s="14" t="n">
        <v>7.43</v>
      </c>
      <c r="I3023" s="14" t="n">
        <v>9.5</v>
      </c>
      <c r="J3023" s="22" t="n">
        <f aca="false">IF(E3023="Priority",'Cost model'!N884,'Cost model'!M884)</f>
        <v>7.5</v>
      </c>
      <c r="K3023" s="14" t="n">
        <f aca="false">J3023-H3023</f>
        <v>0.0700000000000003</v>
      </c>
      <c r="L3023" s="14" t="n">
        <f aca="false">G3023-H3023</f>
        <v>2.07</v>
      </c>
    </row>
    <row r="3024" customFormat="false" ht="15" hidden="false" customHeight="false" outlineLevel="0" collapsed="false">
      <c r="A3024" s="2" t="s">
        <v>146</v>
      </c>
      <c r="B3024" s="2" t="s">
        <v>146</v>
      </c>
      <c r="C3024" s="2" t="s">
        <v>48</v>
      </c>
      <c r="D3024" s="2" t="s">
        <v>16</v>
      </c>
      <c r="E3024" s="2" t="s">
        <v>76</v>
      </c>
      <c r="F3024" s="2" t="s">
        <v>1145</v>
      </c>
      <c r="G3024" s="14" t="n">
        <v>45</v>
      </c>
      <c r="H3024" s="14" t="n">
        <v>137.81</v>
      </c>
      <c r="I3024" s="14" t="n">
        <v>45</v>
      </c>
      <c r="J3024" s="22" t="n">
        <f aca="false">IF(E3024="Priority",'Cost model'!N773,'Cost model'!M773)</f>
        <v>125</v>
      </c>
      <c r="K3024" s="14" t="n">
        <f aca="false">J3024-H3024</f>
        <v>-12.81</v>
      </c>
      <c r="L3024" s="14" t="n">
        <f aca="false">G3024-H3024</f>
        <v>-92.81</v>
      </c>
    </row>
    <row r="3025" customFormat="false" ht="15" hidden="false" customHeight="false" outlineLevel="0" collapsed="false">
      <c r="A3025" s="2" t="s">
        <v>240</v>
      </c>
      <c r="B3025" s="2" t="s">
        <v>240</v>
      </c>
      <c r="C3025" s="2" t="s">
        <v>48</v>
      </c>
      <c r="D3025" s="2" t="s">
        <v>10</v>
      </c>
      <c r="E3025" s="2" t="s">
        <v>85</v>
      </c>
      <c r="F3025" s="2" t="s">
        <v>1145</v>
      </c>
      <c r="G3025" s="14" t="n">
        <v>14.5</v>
      </c>
      <c r="H3025" s="14" t="n">
        <v>7.71</v>
      </c>
      <c r="I3025" s="14" t="n">
        <v>14.5</v>
      </c>
      <c r="J3025" s="22" t="n">
        <f aca="false">IF(E3025="Priority",'Cost model'!N884,'Cost model'!M884)</f>
        <v>12.5</v>
      </c>
      <c r="K3025" s="14" t="n">
        <f aca="false">J3025-H3025</f>
        <v>4.79</v>
      </c>
      <c r="L3025" s="14" t="n">
        <f aca="false">G3025-H3025</f>
        <v>6.79</v>
      </c>
    </row>
    <row r="3026" customFormat="false" ht="15" hidden="false" customHeight="false" outlineLevel="0" collapsed="false">
      <c r="A3026" s="2" t="s">
        <v>184</v>
      </c>
      <c r="B3026" s="2" t="s">
        <v>184</v>
      </c>
      <c r="C3026" s="2" t="s">
        <v>50</v>
      </c>
      <c r="D3026" s="2" t="s">
        <v>10</v>
      </c>
      <c r="E3026" s="2" t="s">
        <v>76</v>
      </c>
      <c r="F3026" s="2" t="s">
        <v>1145</v>
      </c>
      <c r="G3026" s="14" t="n">
        <v>17.5</v>
      </c>
      <c r="H3026" s="14" t="n">
        <v>11.59</v>
      </c>
      <c r="I3026" s="14" t="n">
        <v>17.5</v>
      </c>
      <c r="J3026" s="22" t="n">
        <f aca="false">IF(E3026="Priority",'Cost model'!N202,'Cost model'!M202)</f>
        <v>17.5</v>
      </c>
      <c r="K3026" s="14" t="n">
        <f aca="false">J3026-H3026</f>
        <v>5.91</v>
      </c>
      <c r="L3026" s="14" t="n">
        <f aca="false">G3026-H3026</f>
        <v>5.91</v>
      </c>
    </row>
    <row r="3027" customFormat="false" ht="15" hidden="false" customHeight="false" outlineLevel="0" collapsed="false">
      <c r="A3027" s="2" t="s">
        <v>184</v>
      </c>
      <c r="B3027" s="2" t="s">
        <v>184</v>
      </c>
      <c r="C3027" s="2" t="s">
        <v>49</v>
      </c>
      <c r="D3027" s="2" t="s">
        <v>12</v>
      </c>
      <c r="E3027" s="2" t="s">
        <v>76</v>
      </c>
      <c r="F3027" s="2" t="s">
        <v>1145</v>
      </c>
      <c r="G3027" s="14" t="n">
        <v>12.5</v>
      </c>
      <c r="H3027" s="14" t="n">
        <v>33.19</v>
      </c>
      <c r="I3027" s="14"/>
      <c r="J3027" s="22" t="n">
        <f aca="false">IF(E3027="Priority",'Cost model'!N204,'Cost model'!M204)</f>
        <v>45</v>
      </c>
      <c r="K3027" s="14" t="n">
        <f aca="false">J3027-H3027</f>
        <v>11.81</v>
      </c>
      <c r="L3027" s="14" t="n">
        <f aca="false">G3027-H3027</f>
        <v>-20.69</v>
      </c>
    </row>
    <row r="3028" customFormat="false" ht="15" hidden="false" customHeight="false" outlineLevel="0" collapsed="false">
      <c r="A3028" s="2" t="s">
        <v>146</v>
      </c>
      <c r="B3028" s="2" t="s">
        <v>184</v>
      </c>
      <c r="C3028" s="2" t="s">
        <v>50</v>
      </c>
      <c r="D3028" s="2" t="s">
        <v>10</v>
      </c>
      <c r="E3028" s="2" t="s">
        <v>76</v>
      </c>
      <c r="F3028" s="2" t="s">
        <v>1146</v>
      </c>
      <c r="G3028" s="14" t="n">
        <v>24.5</v>
      </c>
      <c r="H3028" s="14" t="n">
        <v>25.17</v>
      </c>
      <c r="I3028" s="14" t="n">
        <v>17.5</v>
      </c>
      <c r="J3028" s="22" t="n">
        <f aca="false">IF(E3028="Priority",'Cost model'!N832,'Cost model'!M832)</f>
        <v>15.5</v>
      </c>
      <c r="K3028" s="14" t="n">
        <f aca="false">J3028-H3028</f>
        <v>-9.67</v>
      </c>
      <c r="L3028" s="14" t="n">
        <f aca="false">G3028-H3028</f>
        <v>-0.670000000000002</v>
      </c>
    </row>
    <row r="3029" customFormat="false" ht="15" hidden="false" customHeight="false" outlineLevel="0" collapsed="false">
      <c r="A3029" s="2" t="s">
        <v>146</v>
      </c>
      <c r="B3029" s="2" t="s">
        <v>146</v>
      </c>
      <c r="C3029" s="2" t="s">
        <v>48</v>
      </c>
      <c r="D3029" s="2" t="s">
        <v>12</v>
      </c>
      <c r="E3029" s="2" t="s">
        <v>76</v>
      </c>
      <c r="F3029" s="2" t="s">
        <v>1145</v>
      </c>
      <c r="G3029" s="14" t="n">
        <v>9.5</v>
      </c>
      <c r="H3029" s="14" t="n">
        <v>69.78</v>
      </c>
      <c r="I3029" s="14" t="n">
        <v>9.5</v>
      </c>
      <c r="J3029" s="22" t="n">
        <f aca="false">IF(E3029="Priority",'Cost model'!N761,'Cost model'!M761)</f>
        <v>35</v>
      </c>
      <c r="K3029" s="14" t="n">
        <f aca="false">J3029-H3029</f>
        <v>-34.78</v>
      </c>
      <c r="L3029" s="14" t="n">
        <f aca="false">G3029-H3029</f>
        <v>-60.28</v>
      </c>
    </row>
    <row r="3030" customFormat="false" ht="15" hidden="false" customHeight="false" outlineLevel="0" collapsed="false">
      <c r="A3030" s="2" t="s">
        <v>126</v>
      </c>
      <c r="B3030" s="2" t="s">
        <v>126</v>
      </c>
      <c r="C3030" s="2" t="s">
        <v>48</v>
      </c>
      <c r="D3030" s="2" t="s">
        <v>12</v>
      </c>
      <c r="E3030" s="2" t="s">
        <v>85</v>
      </c>
      <c r="F3030" s="2" t="s">
        <v>1145</v>
      </c>
      <c r="G3030" s="14" t="n">
        <v>19.5</v>
      </c>
      <c r="H3030" s="14" t="n">
        <v>36.77</v>
      </c>
      <c r="I3030" s="14" t="n">
        <v>19.5</v>
      </c>
      <c r="J3030" s="22" t="n">
        <f aca="false">IF(E3030="Priority",'Cost model'!N383,'Cost model'!M383)</f>
        <v>35</v>
      </c>
      <c r="K3030" s="14" t="n">
        <f aca="false">J3030-H3030</f>
        <v>-1.77</v>
      </c>
      <c r="L3030" s="14" t="n">
        <f aca="false">G3030-H3030</f>
        <v>-17.27</v>
      </c>
    </row>
    <row r="3031" customFormat="false" ht="15" hidden="false" customHeight="false" outlineLevel="0" collapsed="false">
      <c r="A3031" s="2" t="s">
        <v>184</v>
      </c>
      <c r="B3031" s="2" t="s">
        <v>184</v>
      </c>
      <c r="C3031" s="2" t="s">
        <v>49</v>
      </c>
      <c r="D3031" s="2" t="s">
        <v>10</v>
      </c>
      <c r="E3031" s="2" t="s">
        <v>76</v>
      </c>
      <c r="F3031" s="2" t="s">
        <v>1145</v>
      </c>
      <c r="G3031" s="14" t="n">
        <v>12.5</v>
      </c>
      <c r="H3031" s="14" t="n">
        <v>7.37</v>
      </c>
      <c r="I3031" s="14"/>
      <c r="J3031" s="22" t="n">
        <f aca="false">IF(E3031="Priority",'Cost model'!N201,'Cost model'!M201)</f>
        <v>12.5</v>
      </c>
      <c r="K3031" s="14" t="n">
        <f aca="false">J3031-H3031</f>
        <v>5.13</v>
      </c>
      <c r="L3031" s="14" t="n">
        <f aca="false">G3031-H3031</f>
        <v>5.13</v>
      </c>
    </row>
    <row r="3032" customFormat="false" ht="15" hidden="false" customHeight="false" outlineLevel="0" collapsed="false">
      <c r="A3032" s="2" t="s">
        <v>126</v>
      </c>
      <c r="B3032" s="2" t="s">
        <v>126</v>
      </c>
      <c r="C3032" s="2" t="s">
        <v>49</v>
      </c>
      <c r="D3032" s="2" t="s">
        <v>10</v>
      </c>
      <c r="E3032" s="2" t="s">
        <v>76</v>
      </c>
      <c r="F3032" s="2" t="s">
        <v>1145</v>
      </c>
      <c r="G3032" s="14" t="n">
        <v>12.5</v>
      </c>
      <c r="H3032" s="14" t="n">
        <v>11.51</v>
      </c>
      <c r="I3032" s="14" t="n">
        <v>12.5</v>
      </c>
      <c r="J3032" s="22" t="n">
        <f aca="false">IF(E3032="Priority",'Cost model'!N381,'Cost model'!M381)</f>
        <v>14.5</v>
      </c>
      <c r="K3032" s="14" t="n">
        <f aca="false">J3032-H3032</f>
        <v>2.99</v>
      </c>
      <c r="L3032" s="14" t="n">
        <f aca="false">G3032-H3032</f>
        <v>0.99</v>
      </c>
    </row>
    <row r="3033" customFormat="false" ht="15" hidden="false" customHeight="false" outlineLevel="0" collapsed="false">
      <c r="A3033" s="2" t="s">
        <v>126</v>
      </c>
      <c r="B3033" s="2" t="s">
        <v>146</v>
      </c>
      <c r="C3033" s="2" t="s">
        <v>50</v>
      </c>
      <c r="D3033" s="2" t="s">
        <v>12</v>
      </c>
      <c r="E3033" s="2" t="s">
        <v>76</v>
      </c>
      <c r="F3033" s="2" t="s">
        <v>1146</v>
      </c>
      <c r="G3033" s="14" t="n">
        <v>19.5</v>
      </c>
      <c r="H3033" s="14" t="n">
        <v>62.44</v>
      </c>
      <c r="I3033" s="14" t="n">
        <v>19.5</v>
      </c>
      <c r="J3033" s="22" t="n">
        <f aca="false">IF(E3033="Priority",'Cost model'!N403,'Cost model'!M403)</f>
        <v>75</v>
      </c>
      <c r="K3033" s="14" t="n">
        <f aca="false">J3033-H3033</f>
        <v>12.56</v>
      </c>
      <c r="L3033" s="14" t="n">
        <f aca="false">G3033-H3033</f>
        <v>-42.94</v>
      </c>
    </row>
    <row r="3034" customFormat="false" ht="15" hidden="false" customHeight="false" outlineLevel="0" collapsed="false">
      <c r="A3034" s="2" t="s">
        <v>146</v>
      </c>
      <c r="B3034" s="2" t="s">
        <v>146</v>
      </c>
      <c r="C3034" s="2" t="s">
        <v>49</v>
      </c>
      <c r="D3034" s="2" t="s">
        <v>12</v>
      </c>
      <c r="E3034" s="2" t="s">
        <v>76</v>
      </c>
      <c r="F3034" s="2" t="s">
        <v>1145</v>
      </c>
      <c r="G3034" s="14" t="n">
        <v>12.5</v>
      </c>
      <c r="H3034" s="14" t="n">
        <v>25.01</v>
      </c>
      <c r="I3034" s="14" t="n">
        <v>12.5</v>
      </c>
      <c r="J3034" s="22" t="n">
        <f aca="false">IF(E3034="Priority",'Cost model'!N762,'Cost model'!M762)</f>
        <v>45</v>
      </c>
      <c r="K3034" s="14" t="n">
        <f aca="false">J3034-H3034</f>
        <v>19.99</v>
      </c>
      <c r="L3034" s="14" t="n">
        <f aca="false">G3034-H3034</f>
        <v>-12.51</v>
      </c>
    </row>
    <row r="3035" customFormat="false" ht="15" hidden="false" customHeight="false" outlineLevel="0" collapsed="false">
      <c r="A3035" s="2" t="s">
        <v>126</v>
      </c>
      <c r="B3035" s="2" t="s">
        <v>126</v>
      </c>
      <c r="C3035" s="2" t="s">
        <v>50</v>
      </c>
      <c r="D3035" s="2" t="s">
        <v>12</v>
      </c>
      <c r="E3035" s="2" t="s">
        <v>76</v>
      </c>
      <c r="F3035" s="2" t="s">
        <v>1145</v>
      </c>
      <c r="G3035" s="14" t="n">
        <v>19.5</v>
      </c>
      <c r="H3035" s="14" t="n">
        <v>54.4</v>
      </c>
      <c r="I3035" s="14" t="n">
        <v>19.5</v>
      </c>
      <c r="J3035" s="22" t="n">
        <f aca="false">IF(E3035="Priority",'Cost model'!N385,'Cost model'!M385)</f>
        <v>55</v>
      </c>
      <c r="K3035" s="14" t="n">
        <f aca="false">J3035-H3035</f>
        <v>0.600000000000001</v>
      </c>
      <c r="L3035" s="14" t="n">
        <f aca="false">G3035-H3035</f>
        <v>-34.9</v>
      </c>
    </row>
    <row r="3036" customFormat="false" ht="15" hidden="false" customHeight="false" outlineLevel="0" collapsed="false">
      <c r="A3036" s="2" t="s">
        <v>184</v>
      </c>
      <c r="B3036" s="2" t="s">
        <v>146</v>
      </c>
      <c r="C3036" s="2" t="s">
        <v>48</v>
      </c>
      <c r="D3036" s="2" t="s">
        <v>10</v>
      </c>
      <c r="E3036" s="2" t="s">
        <v>76</v>
      </c>
      <c r="F3036" s="2" t="s">
        <v>1146</v>
      </c>
      <c r="G3036" s="14" t="n">
        <v>9.5</v>
      </c>
      <c r="H3036" s="14" t="n">
        <v>8.26</v>
      </c>
      <c r="I3036" s="14" t="n">
        <v>9.5</v>
      </c>
      <c r="J3036" s="22" t="n">
        <f aca="false">IF(E3036="Priority",'Cost model'!N146,'Cost model'!M146)</f>
        <v>12.5</v>
      </c>
      <c r="K3036" s="14" t="n">
        <f aca="false">J3036-H3036</f>
        <v>4.24</v>
      </c>
      <c r="L3036" s="14" t="n">
        <f aca="false">G3036-H3036</f>
        <v>1.24</v>
      </c>
    </row>
    <row r="3037" customFormat="false" ht="15" hidden="false" customHeight="false" outlineLevel="0" collapsed="false">
      <c r="A3037" s="2" t="s">
        <v>146</v>
      </c>
      <c r="B3037" s="2" t="s">
        <v>146</v>
      </c>
      <c r="C3037" s="2" t="s">
        <v>49</v>
      </c>
      <c r="D3037" s="2" t="s">
        <v>10</v>
      </c>
      <c r="E3037" s="2" t="s">
        <v>76</v>
      </c>
      <c r="F3037" s="2" t="s">
        <v>1145</v>
      </c>
      <c r="G3037" s="14" t="n">
        <v>12.5</v>
      </c>
      <c r="H3037" s="14" t="n">
        <v>14.63</v>
      </c>
      <c r="I3037" s="14" t="n">
        <v>12.5</v>
      </c>
      <c r="J3037" s="22" t="n">
        <f aca="false">IF(E3037="Priority",'Cost model'!N759,'Cost model'!M759)</f>
        <v>15.5</v>
      </c>
      <c r="K3037" s="14" t="n">
        <f aca="false">J3037-H3037</f>
        <v>0.869999999999999</v>
      </c>
      <c r="L3037" s="14" t="n">
        <f aca="false">G3037-H3037</f>
        <v>-2.13</v>
      </c>
    </row>
    <row r="3038" customFormat="false" ht="15" hidden="false" customHeight="false" outlineLevel="0" collapsed="false">
      <c r="A3038" s="2" t="s">
        <v>126</v>
      </c>
      <c r="B3038" s="2" t="s">
        <v>126</v>
      </c>
      <c r="C3038" s="2" t="s">
        <v>49</v>
      </c>
      <c r="D3038" s="2" t="s">
        <v>12</v>
      </c>
      <c r="E3038" s="2" t="s">
        <v>76</v>
      </c>
      <c r="F3038" s="2" t="s">
        <v>1145</v>
      </c>
      <c r="G3038" s="14" t="n">
        <v>12.5</v>
      </c>
      <c r="H3038" s="14" t="n">
        <v>58.94</v>
      </c>
      <c r="I3038" s="14" t="n">
        <v>12.5</v>
      </c>
      <c r="J3038" s="22" t="n">
        <f aca="false">IF(E3038="Priority",'Cost model'!N384,'Cost model'!M384)</f>
        <v>45</v>
      </c>
      <c r="K3038" s="14" t="n">
        <f aca="false">J3038-H3038</f>
        <v>-13.94</v>
      </c>
      <c r="L3038" s="14" t="n">
        <f aca="false">G3038-H3038</f>
        <v>-46.44</v>
      </c>
    </row>
    <row r="3039" customFormat="false" ht="15" hidden="false" customHeight="false" outlineLevel="0" collapsed="false">
      <c r="A3039" s="2" t="s">
        <v>126</v>
      </c>
      <c r="B3039" s="2" t="s">
        <v>126</v>
      </c>
      <c r="C3039" s="2" t="s">
        <v>50</v>
      </c>
      <c r="D3039" s="2" t="s">
        <v>13</v>
      </c>
      <c r="E3039" s="2" t="s">
        <v>85</v>
      </c>
      <c r="F3039" s="2" t="s">
        <v>1145</v>
      </c>
      <c r="G3039" s="14" t="n">
        <v>95</v>
      </c>
      <c r="H3039" s="14" t="n">
        <v>192.37</v>
      </c>
      <c r="I3039" s="14" t="n">
        <v>95</v>
      </c>
      <c r="J3039" s="22" t="n">
        <f aca="false">IF(E3039="Priority",'Cost model'!N388,'Cost model'!M388)</f>
        <v>150</v>
      </c>
      <c r="K3039" s="14" t="n">
        <f aca="false">J3039-H3039</f>
        <v>-42.37</v>
      </c>
      <c r="L3039" s="14" t="n">
        <f aca="false">G3039-H3039</f>
        <v>-97.37</v>
      </c>
    </row>
    <row r="3040" customFormat="false" ht="15" hidden="false" customHeight="false" outlineLevel="0" collapsed="false">
      <c r="A3040" s="2" t="s">
        <v>184</v>
      </c>
      <c r="B3040" s="2" t="s">
        <v>184</v>
      </c>
      <c r="C3040" s="2" t="s">
        <v>50</v>
      </c>
      <c r="D3040" s="2" t="s">
        <v>10</v>
      </c>
      <c r="E3040" s="2" t="s">
        <v>76</v>
      </c>
      <c r="F3040" s="2" t="s">
        <v>1145</v>
      </c>
      <c r="G3040" s="14" t="n">
        <v>17.5</v>
      </c>
      <c r="H3040" s="14" t="n">
        <v>15.65</v>
      </c>
      <c r="I3040" s="14" t="n">
        <v>17.5</v>
      </c>
      <c r="J3040" s="22" t="n">
        <f aca="false">IF(E3040="Priority",'Cost model'!N202,'Cost model'!M202)</f>
        <v>17.5</v>
      </c>
      <c r="K3040" s="14" t="n">
        <f aca="false">J3040-H3040</f>
        <v>1.85</v>
      </c>
      <c r="L3040" s="14" t="n">
        <f aca="false">G3040-H3040</f>
        <v>1.85</v>
      </c>
    </row>
    <row r="3041" customFormat="false" ht="15" hidden="false" customHeight="false" outlineLevel="0" collapsed="false">
      <c r="A3041" s="2" t="s">
        <v>184</v>
      </c>
      <c r="B3041" s="2" t="s">
        <v>184</v>
      </c>
      <c r="C3041" s="2" t="s">
        <v>50</v>
      </c>
      <c r="D3041" s="2" t="s">
        <v>12</v>
      </c>
      <c r="E3041" s="2" t="s">
        <v>85</v>
      </c>
      <c r="F3041" s="2" t="s">
        <v>1145</v>
      </c>
      <c r="G3041" s="14" t="n">
        <v>29.5</v>
      </c>
      <c r="H3041" s="14" t="n">
        <v>55.79</v>
      </c>
      <c r="I3041" s="14" t="n">
        <v>29.5</v>
      </c>
      <c r="J3041" s="22" t="n">
        <f aca="false">IF(E3041="Priority",'Cost model'!N205,'Cost model'!M205)</f>
        <v>65</v>
      </c>
      <c r="K3041" s="14" t="n">
        <f aca="false">J3041-H3041</f>
        <v>9.21</v>
      </c>
      <c r="L3041" s="14" t="n">
        <f aca="false">G3041-H3041</f>
        <v>-26.29</v>
      </c>
    </row>
    <row r="3042" customFormat="false" ht="15" hidden="false" customHeight="false" outlineLevel="0" collapsed="false">
      <c r="A3042" s="2" t="s">
        <v>240</v>
      </c>
      <c r="B3042" s="2" t="s">
        <v>240</v>
      </c>
      <c r="C3042" s="2" t="s">
        <v>48</v>
      </c>
      <c r="D3042" s="2" t="s">
        <v>10</v>
      </c>
      <c r="E3042" s="2" t="s">
        <v>76</v>
      </c>
      <c r="F3042" s="2" t="s">
        <v>1145</v>
      </c>
      <c r="G3042" s="14" t="n">
        <v>9.5</v>
      </c>
      <c r="H3042" s="14" t="n">
        <v>7.32</v>
      </c>
      <c r="I3042" s="14" t="n">
        <v>9.5</v>
      </c>
      <c r="J3042" s="22" t="n">
        <f aca="false">IF(E3042="Priority",'Cost model'!N884,'Cost model'!M884)</f>
        <v>7.5</v>
      </c>
      <c r="K3042" s="14" t="n">
        <f aca="false">J3042-H3042</f>
        <v>0.18</v>
      </c>
      <c r="L3042" s="14" t="n">
        <f aca="false">G3042-H3042</f>
        <v>2.18</v>
      </c>
    </row>
    <row r="3043" customFormat="false" ht="15" hidden="false" customHeight="false" outlineLevel="0" collapsed="false">
      <c r="A3043" s="2" t="s">
        <v>240</v>
      </c>
      <c r="B3043" s="2" t="s">
        <v>126</v>
      </c>
      <c r="C3043" s="2" t="s">
        <v>48</v>
      </c>
      <c r="D3043" s="2" t="s">
        <v>10</v>
      </c>
      <c r="E3043" s="2" t="s">
        <v>76</v>
      </c>
      <c r="F3043" s="2" t="s">
        <v>1146</v>
      </c>
      <c r="G3043" s="14" t="n">
        <v>9.5</v>
      </c>
      <c r="H3043" s="14" t="n">
        <v>12.57</v>
      </c>
      <c r="I3043" s="14" t="n">
        <v>19.5</v>
      </c>
      <c r="J3043" s="22" t="n">
        <f aca="false">IF(E3043="Priority",'Cost model'!N956,'Cost model'!M956)</f>
        <v>15.5</v>
      </c>
      <c r="K3043" s="14" t="n">
        <f aca="false">J3043-H3043</f>
        <v>2.93</v>
      </c>
      <c r="L3043" s="14" t="n">
        <f aca="false">G3043-H3043</f>
        <v>-3.07</v>
      </c>
    </row>
    <row r="3044" customFormat="false" ht="15" hidden="false" customHeight="false" outlineLevel="0" collapsed="false">
      <c r="A3044" s="2" t="s">
        <v>184</v>
      </c>
      <c r="B3044" s="2" t="s">
        <v>184</v>
      </c>
      <c r="C3044" s="2" t="s">
        <v>48</v>
      </c>
      <c r="D3044" s="2" t="s">
        <v>10</v>
      </c>
      <c r="E3044" s="2" t="s">
        <v>76</v>
      </c>
      <c r="F3044" s="2" t="s">
        <v>1145</v>
      </c>
      <c r="G3044" s="14" t="n">
        <v>9.5</v>
      </c>
      <c r="H3044" s="14" t="n">
        <v>6.19</v>
      </c>
      <c r="I3044" s="14" t="n">
        <v>9.5</v>
      </c>
      <c r="J3044" s="22" t="n">
        <f aca="false">IF(E3044="Priority",'Cost model'!N200,'Cost model'!M200)</f>
        <v>7.5</v>
      </c>
      <c r="K3044" s="14" t="n">
        <f aca="false">J3044-H3044</f>
        <v>1.31</v>
      </c>
      <c r="L3044" s="14" t="n">
        <f aca="false">G3044-H3044</f>
        <v>3.31</v>
      </c>
    </row>
    <row r="3045" customFormat="false" ht="15" hidden="false" customHeight="false" outlineLevel="0" collapsed="false">
      <c r="A3045" s="2" t="s">
        <v>146</v>
      </c>
      <c r="B3045" s="2" t="s">
        <v>126</v>
      </c>
      <c r="C3045" s="2" t="s">
        <v>48</v>
      </c>
      <c r="D3045" s="2" t="s">
        <v>10</v>
      </c>
      <c r="E3045" s="2" t="s">
        <v>76</v>
      </c>
      <c r="F3045" s="2" t="s">
        <v>1146</v>
      </c>
      <c r="G3045" s="14" t="n">
        <v>9.5</v>
      </c>
      <c r="H3045" s="14" t="n">
        <v>10.24</v>
      </c>
      <c r="I3045" s="14" t="n">
        <v>14.5</v>
      </c>
      <c r="J3045" s="22" t="n">
        <f aca="false">IF(E3045="Priority",'Cost model'!N794,'Cost model'!M794)</f>
        <v>12.5</v>
      </c>
      <c r="K3045" s="14" t="n">
        <f aca="false">J3045-H3045</f>
        <v>2.26</v>
      </c>
      <c r="L3045" s="14" t="n">
        <f aca="false">G3045-H3045</f>
        <v>-0.74</v>
      </c>
    </row>
    <row r="3046" customFormat="false" ht="15" hidden="false" customHeight="false" outlineLevel="0" collapsed="false">
      <c r="A3046" s="2" t="s">
        <v>240</v>
      </c>
      <c r="B3046" s="2" t="s">
        <v>165</v>
      </c>
      <c r="C3046" s="2" t="s">
        <v>48</v>
      </c>
      <c r="D3046" s="2" t="s">
        <v>12</v>
      </c>
      <c r="E3046" s="2" t="s">
        <v>85</v>
      </c>
      <c r="F3046" s="2" t="s">
        <v>1146</v>
      </c>
      <c r="G3046" s="14" t="n">
        <v>24.5</v>
      </c>
      <c r="H3046" s="14" t="n">
        <v>38.69</v>
      </c>
      <c r="I3046" s="14" t="n">
        <v>24.5</v>
      </c>
      <c r="J3046" s="22" t="n">
        <f aca="false">IF(E3046="Priority",'Cost model'!N905,'Cost model'!M905)</f>
        <v>65</v>
      </c>
      <c r="K3046" s="14" t="n">
        <f aca="false">J3046-H3046</f>
        <v>26.31</v>
      </c>
      <c r="L3046" s="14" t="n">
        <f aca="false">G3046-H3046</f>
        <v>-14.19</v>
      </c>
    </row>
    <row r="3047" customFormat="false" ht="15" hidden="false" customHeight="false" outlineLevel="0" collapsed="false">
      <c r="A3047" s="2" t="s">
        <v>146</v>
      </c>
      <c r="B3047" s="2" t="s">
        <v>126</v>
      </c>
      <c r="C3047" s="2" t="s">
        <v>49</v>
      </c>
      <c r="D3047" s="2" t="s">
        <v>10</v>
      </c>
      <c r="E3047" s="2" t="s">
        <v>76</v>
      </c>
      <c r="F3047" s="2" t="s">
        <v>1146</v>
      </c>
      <c r="G3047" s="14" t="n">
        <v>9.5</v>
      </c>
      <c r="H3047" s="14" t="n">
        <v>12.45</v>
      </c>
      <c r="I3047" s="14" t="n">
        <v>14.5</v>
      </c>
      <c r="J3047" s="22" t="n">
        <f aca="false">IF(E3047="Priority",'Cost model'!N795,'Cost model'!M795)</f>
        <v>13.5</v>
      </c>
      <c r="K3047" s="14" t="n">
        <f aca="false">J3047-H3047</f>
        <v>1.05</v>
      </c>
      <c r="L3047" s="14" t="n">
        <f aca="false">G3047-H3047</f>
        <v>-2.95</v>
      </c>
    </row>
    <row r="3048" customFormat="false" ht="15" hidden="false" customHeight="false" outlineLevel="0" collapsed="false">
      <c r="A3048" s="2" t="s">
        <v>184</v>
      </c>
      <c r="B3048" s="2" t="s">
        <v>184</v>
      </c>
      <c r="C3048" s="2" t="s">
        <v>48</v>
      </c>
      <c r="D3048" s="2" t="s">
        <v>12</v>
      </c>
      <c r="E3048" s="2" t="s">
        <v>76</v>
      </c>
      <c r="F3048" s="2" t="s">
        <v>1145</v>
      </c>
      <c r="G3048" s="14" t="n">
        <v>9.5</v>
      </c>
      <c r="H3048" s="14" t="n">
        <v>28.03</v>
      </c>
      <c r="I3048" s="14" t="n">
        <v>9.5</v>
      </c>
      <c r="J3048" s="22" t="n">
        <f aca="false">IF(E3048="Priority",'Cost model'!N203,'Cost model'!M203)</f>
        <v>26.5</v>
      </c>
      <c r="K3048" s="14" t="n">
        <f aca="false">J3048-H3048</f>
        <v>-1.53</v>
      </c>
      <c r="L3048" s="14" t="n">
        <f aca="false">G3048-H3048</f>
        <v>-18.53</v>
      </c>
    </row>
    <row r="3049" customFormat="false" ht="15" hidden="false" customHeight="false" outlineLevel="0" collapsed="false">
      <c r="A3049" s="2" t="s">
        <v>184</v>
      </c>
      <c r="B3049" s="2" t="s">
        <v>184</v>
      </c>
      <c r="C3049" s="2" t="s">
        <v>48</v>
      </c>
      <c r="D3049" s="2" t="s">
        <v>10</v>
      </c>
      <c r="E3049" s="2" t="s">
        <v>76</v>
      </c>
      <c r="F3049" s="2" t="s">
        <v>1145</v>
      </c>
      <c r="G3049" s="14" t="n">
        <v>9.5</v>
      </c>
      <c r="H3049" s="14" t="n">
        <v>9.78</v>
      </c>
      <c r="I3049" s="14" t="n">
        <v>9.5</v>
      </c>
      <c r="J3049" s="22" t="n">
        <f aca="false">IF(E3049="Priority",'Cost model'!N200,'Cost model'!M200)</f>
        <v>7.5</v>
      </c>
      <c r="K3049" s="14" t="n">
        <f aca="false">J3049-H3049</f>
        <v>-2.28</v>
      </c>
      <c r="L3049" s="14" t="n">
        <f aca="false">G3049-H3049</f>
        <v>-0.279999999999999</v>
      </c>
    </row>
    <row r="3050" customFormat="false" ht="15" hidden="false" customHeight="false" outlineLevel="0" collapsed="false">
      <c r="A3050" s="2" t="s">
        <v>240</v>
      </c>
      <c r="B3050" s="2" t="s">
        <v>240</v>
      </c>
      <c r="C3050" s="2" t="s">
        <v>48</v>
      </c>
      <c r="D3050" s="2" t="s">
        <v>10</v>
      </c>
      <c r="E3050" s="2" t="s">
        <v>76</v>
      </c>
      <c r="F3050" s="2" t="s">
        <v>1145</v>
      </c>
      <c r="G3050" s="14" t="n">
        <v>9.5</v>
      </c>
      <c r="H3050" s="14" t="n">
        <v>7.12</v>
      </c>
      <c r="I3050" s="14" t="n">
        <v>9.5</v>
      </c>
      <c r="J3050" s="22" t="n">
        <f aca="false">IF(E3050="Priority",'Cost model'!N884,'Cost model'!M884)</f>
        <v>7.5</v>
      </c>
      <c r="K3050" s="14" t="n">
        <f aca="false">J3050-H3050</f>
        <v>0.38</v>
      </c>
      <c r="L3050" s="14" t="n">
        <f aca="false">G3050-H3050</f>
        <v>2.38</v>
      </c>
    </row>
    <row r="3051" customFormat="false" ht="15" hidden="false" customHeight="false" outlineLevel="0" collapsed="false">
      <c r="A3051" s="2" t="s">
        <v>165</v>
      </c>
      <c r="B3051" s="2" t="s">
        <v>165</v>
      </c>
      <c r="C3051" s="2" t="s">
        <v>50</v>
      </c>
      <c r="D3051" s="2" t="s">
        <v>10</v>
      </c>
      <c r="E3051" s="2" t="s">
        <v>85</v>
      </c>
      <c r="F3051" s="2" t="s">
        <v>1145</v>
      </c>
      <c r="G3051" s="14" t="n">
        <v>24.5</v>
      </c>
      <c r="H3051" s="14" t="n">
        <v>22.98</v>
      </c>
      <c r="I3051" s="14" t="n">
        <v>24.5</v>
      </c>
      <c r="J3051" s="22" t="n">
        <f aca="false">IF(E3051="Priority",'Cost model'!N508,'Cost model'!M508)</f>
        <v>23.5</v>
      </c>
      <c r="K3051" s="14" t="n">
        <f aca="false">J3051-H3051</f>
        <v>0.52</v>
      </c>
      <c r="L3051" s="14" t="n">
        <f aca="false">G3051-H3051</f>
        <v>1.52</v>
      </c>
    </row>
    <row r="3052" customFormat="false" ht="15" hidden="false" customHeight="false" outlineLevel="0" collapsed="false">
      <c r="A3052" s="2" t="s">
        <v>184</v>
      </c>
      <c r="B3052" s="2" t="s">
        <v>240</v>
      </c>
      <c r="C3052" s="2" t="s">
        <v>48</v>
      </c>
      <c r="D3052" s="2" t="s">
        <v>12</v>
      </c>
      <c r="E3052" s="2" t="s">
        <v>76</v>
      </c>
      <c r="F3052" s="2" t="s">
        <v>1146</v>
      </c>
      <c r="G3052" s="14" t="n">
        <v>9.5</v>
      </c>
      <c r="H3052" s="14" t="n">
        <v>52.51</v>
      </c>
      <c r="I3052" s="14" t="n">
        <v>24.5</v>
      </c>
      <c r="J3052" s="22" t="n">
        <f aca="false">IF(E3052="Priority",'Cost model'!N185,'Cost model'!M185)</f>
        <v>55</v>
      </c>
      <c r="K3052" s="14" t="n">
        <f aca="false">J3052-H3052</f>
        <v>2.49</v>
      </c>
      <c r="L3052" s="14" t="n">
        <f aca="false">G3052-H3052</f>
        <v>-43.01</v>
      </c>
    </row>
    <row r="3053" customFormat="false" ht="15" hidden="false" customHeight="false" outlineLevel="0" collapsed="false">
      <c r="A3053" s="2" t="s">
        <v>126</v>
      </c>
      <c r="B3053" s="2" t="s">
        <v>126</v>
      </c>
      <c r="C3053" s="2" t="s">
        <v>48</v>
      </c>
      <c r="D3053" s="2" t="s">
        <v>10</v>
      </c>
      <c r="E3053" s="2" t="s">
        <v>76</v>
      </c>
      <c r="F3053" s="2" t="s">
        <v>1145</v>
      </c>
      <c r="G3053" s="14" t="n">
        <v>9.5</v>
      </c>
      <c r="H3053" s="14" t="n">
        <v>7.32</v>
      </c>
      <c r="I3053" s="14" t="n">
        <v>9.5</v>
      </c>
      <c r="J3053" s="22" t="n">
        <f aca="false">IF(E3053="Priority",'Cost model'!N380,'Cost model'!M380)</f>
        <v>8.5</v>
      </c>
      <c r="K3053" s="14" t="n">
        <f aca="false">J3053-H3053</f>
        <v>1.18</v>
      </c>
      <c r="L3053" s="14" t="n">
        <f aca="false">G3053-H3053</f>
        <v>2.18</v>
      </c>
    </row>
    <row r="3054" customFormat="false" ht="15" hidden="false" customHeight="false" outlineLevel="0" collapsed="false">
      <c r="A3054" s="2" t="s">
        <v>184</v>
      </c>
      <c r="B3054" s="2" t="s">
        <v>184</v>
      </c>
      <c r="C3054" s="2" t="s">
        <v>49</v>
      </c>
      <c r="D3054" s="2" t="s">
        <v>12</v>
      </c>
      <c r="E3054" s="2" t="s">
        <v>76</v>
      </c>
      <c r="F3054" s="2" t="s">
        <v>1145</v>
      </c>
      <c r="G3054" s="14" t="n">
        <v>12.5</v>
      </c>
      <c r="H3054" s="14" t="n">
        <v>42.87</v>
      </c>
      <c r="I3054" s="14"/>
      <c r="J3054" s="22" t="n">
        <f aca="false">IF(E3054="Priority",'Cost model'!N204,'Cost model'!M204)</f>
        <v>45</v>
      </c>
      <c r="K3054" s="14" t="n">
        <f aca="false">J3054-H3054</f>
        <v>2.13</v>
      </c>
      <c r="L3054" s="14" t="n">
        <f aca="false">G3054-H3054</f>
        <v>-30.37</v>
      </c>
    </row>
    <row r="3055" customFormat="false" ht="15" hidden="false" customHeight="false" outlineLevel="0" collapsed="false">
      <c r="A3055" s="2" t="s">
        <v>125</v>
      </c>
      <c r="B3055" s="2" t="s">
        <v>125</v>
      </c>
      <c r="C3055" s="2" t="s">
        <v>48</v>
      </c>
      <c r="D3055" s="2" t="s">
        <v>12</v>
      </c>
      <c r="E3055" s="2" t="s">
        <v>85</v>
      </c>
      <c r="F3055" s="2" t="s">
        <v>1145</v>
      </c>
      <c r="G3055" s="14" t="n">
        <v>19.5</v>
      </c>
      <c r="H3055" s="14" t="n">
        <v>35.42</v>
      </c>
      <c r="I3055" s="14" t="n">
        <v>19.5</v>
      </c>
      <c r="J3055" s="22" t="n">
        <f aca="false">IF(E3055="Priority",'Cost model'!N77,'Cost model'!M77)</f>
        <v>65</v>
      </c>
      <c r="K3055" s="14" t="n">
        <f aca="false">J3055-H3055</f>
        <v>29.58</v>
      </c>
      <c r="L3055" s="14" t="n">
        <f aca="false">G3055-H3055</f>
        <v>-15.92</v>
      </c>
    </row>
    <row r="3056" customFormat="false" ht="15" hidden="false" customHeight="false" outlineLevel="0" collapsed="false">
      <c r="A3056" s="2" t="s">
        <v>240</v>
      </c>
      <c r="B3056" s="2" t="s">
        <v>165</v>
      </c>
      <c r="C3056" s="2" t="s">
        <v>50</v>
      </c>
      <c r="D3056" s="2" t="s">
        <v>12</v>
      </c>
      <c r="E3056" s="2" t="s">
        <v>76</v>
      </c>
      <c r="F3056" s="2" t="s">
        <v>1146</v>
      </c>
      <c r="G3056" s="14" t="n">
        <v>19.5</v>
      </c>
      <c r="H3056" s="14" t="n">
        <v>113.26</v>
      </c>
      <c r="I3056" s="14" t="n">
        <v>19.5</v>
      </c>
      <c r="J3056" s="22" t="n">
        <f aca="false">IF(E3056="Priority",'Cost model'!N907,'Cost model'!M907)</f>
        <v>70</v>
      </c>
      <c r="K3056" s="14" t="n">
        <f aca="false">J3056-H3056</f>
        <v>-43.26</v>
      </c>
      <c r="L3056" s="14" t="n">
        <f aca="false">G3056-H3056</f>
        <v>-93.76</v>
      </c>
    </row>
    <row r="3057" customFormat="false" ht="15" hidden="false" customHeight="false" outlineLevel="0" collapsed="false">
      <c r="A3057" s="2" t="s">
        <v>240</v>
      </c>
      <c r="B3057" s="2" t="s">
        <v>240</v>
      </c>
      <c r="C3057" s="2" t="s">
        <v>50</v>
      </c>
      <c r="D3057" s="2" t="s">
        <v>10</v>
      </c>
      <c r="E3057" s="2" t="s">
        <v>76</v>
      </c>
      <c r="F3057" s="2" t="s">
        <v>1145</v>
      </c>
      <c r="G3057" s="14" t="n">
        <v>17.5</v>
      </c>
      <c r="H3057" s="14" t="n">
        <v>21.14</v>
      </c>
      <c r="I3057" s="14" t="n">
        <v>17.5</v>
      </c>
      <c r="J3057" s="22" t="n">
        <f aca="false">IF(E3057="Priority",'Cost model'!N886,'Cost model'!M886)</f>
        <v>17.5</v>
      </c>
      <c r="K3057" s="14" t="n">
        <f aca="false">J3057-H3057</f>
        <v>-3.64</v>
      </c>
      <c r="L3057" s="14" t="n">
        <f aca="false">G3057-H3057</f>
        <v>-3.64</v>
      </c>
    </row>
    <row r="3058" customFormat="false" ht="15" hidden="false" customHeight="false" outlineLevel="0" collapsed="false">
      <c r="A3058" s="2" t="s">
        <v>126</v>
      </c>
      <c r="B3058" s="2" t="s">
        <v>126</v>
      </c>
      <c r="C3058" s="2" t="s">
        <v>49</v>
      </c>
      <c r="D3058" s="2" t="s">
        <v>12</v>
      </c>
      <c r="E3058" s="2" t="s">
        <v>85</v>
      </c>
      <c r="F3058" s="2" t="s">
        <v>1145</v>
      </c>
      <c r="G3058" s="14" t="n">
        <v>19.5</v>
      </c>
      <c r="H3058" s="14" t="n">
        <v>100.8</v>
      </c>
      <c r="I3058" s="14" t="n">
        <v>19.5</v>
      </c>
      <c r="J3058" s="22" t="n">
        <f aca="false">IF(E3058="Priority",'Cost model'!N384,'Cost model'!M384)</f>
        <v>60</v>
      </c>
      <c r="K3058" s="14" t="n">
        <f aca="false">J3058-H3058</f>
        <v>-40.8</v>
      </c>
      <c r="L3058" s="14" t="n">
        <f aca="false">G3058-H3058</f>
        <v>-81.3</v>
      </c>
    </row>
    <row r="3059" customFormat="false" ht="15" hidden="false" customHeight="false" outlineLevel="0" collapsed="false">
      <c r="A3059" s="2" t="s">
        <v>184</v>
      </c>
      <c r="B3059" s="2" t="s">
        <v>184</v>
      </c>
      <c r="C3059" s="2" t="s">
        <v>50</v>
      </c>
      <c r="D3059" s="2" t="s">
        <v>12</v>
      </c>
      <c r="E3059" s="2" t="s">
        <v>76</v>
      </c>
      <c r="F3059" s="2" t="s">
        <v>1145</v>
      </c>
      <c r="G3059" s="14" t="n">
        <v>19.5</v>
      </c>
      <c r="H3059" s="14" t="n">
        <v>24.63</v>
      </c>
      <c r="I3059" s="14" t="n">
        <v>19.5</v>
      </c>
      <c r="J3059" s="22" t="n">
        <f aca="false">IF(E3059="Priority",'Cost model'!N205,'Cost model'!M205)</f>
        <v>50</v>
      </c>
      <c r="K3059" s="14" t="n">
        <f aca="false">J3059-H3059</f>
        <v>25.37</v>
      </c>
      <c r="L3059" s="14" t="n">
        <f aca="false">G3059-H3059</f>
        <v>-5.13</v>
      </c>
    </row>
    <row r="3060" customFormat="false" ht="15" hidden="false" customHeight="false" outlineLevel="0" collapsed="false">
      <c r="A3060" s="2" t="s">
        <v>126</v>
      </c>
      <c r="B3060" s="2" t="s">
        <v>126</v>
      </c>
      <c r="C3060" s="2" t="s">
        <v>48</v>
      </c>
      <c r="D3060" s="2" t="s">
        <v>10</v>
      </c>
      <c r="E3060" s="2" t="s">
        <v>76</v>
      </c>
      <c r="F3060" s="2" t="s">
        <v>1145</v>
      </c>
      <c r="G3060" s="14" t="n">
        <v>9.5</v>
      </c>
      <c r="H3060" s="14" t="n">
        <v>6.74</v>
      </c>
      <c r="I3060" s="14" t="n">
        <v>9.5</v>
      </c>
      <c r="J3060" s="22" t="n">
        <f aca="false">IF(E3060="Priority",'Cost model'!N380,'Cost model'!M380)</f>
        <v>8.5</v>
      </c>
      <c r="K3060" s="14" t="n">
        <f aca="false">J3060-H3060</f>
        <v>1.76</v>
      </c>
      <c r="L3060" s="14" t="n">
        <f aca="false">G3060-H3060</f>
        <v>2.76</v>
      </c>
    </row>
    <row r="3061" customFormat="false" ht="15" hidden="false" customHeight="false" outlineLevel="0" collapsed="false">
      <c r="A3061" s="2" t="s">
        <v>240</v>
      </c>
      <c r="B3061" s="2" t="s">
        <v>165</v>
      </c>
      <c r="C3061" s="2" t="s">
        <v>50</v>
      </c>
      <c r="D3061" s="2" t="s">
        <v>12</v>
      </c>
      <c r="E3061" s="2" t="s">
        <v>76</v>
      </c>
      <c r="F3061" s="2" t="s">
        <v>1146</v>
      </c>
      <c r="G3061" s="14" t="n">
        <v>19.5</v>
      </c>
      <c r="H3061" s="14" t="n">
        <v>38.19</v>
      </c>
      <c r="I3061" s="14" t="n">
        <v>19.5</v>
      </c>
      <c r="J3061" s="22" t="n">
        <f aca="false">IF(E3061="Priority",'Cost model'!N907,'Cost model'!M907)</f>
        <v>70</v>
      </c>
      <c r="K3061" s="14" t="n">
        <f aca="false">J3061-H3061</f>
        <v>31.81</v>
      </c>
      <c r="L3061" s="14" t="n">
        <f aca="false">G3061-H3061</f>
        <v>-18.69</v>
      </c>
    </row>
    <row r="3062" customFormat="false" ht="15" hidden="false" customHeight="false" outlineLevel="0" collapsed="false">
      <c r="A3062" s="2" t="s">
        <v>126</v>
      </c>
      <c r="B3062" s="2" t="s">
        <v>126</v>
      </c>
      <c r="C3062" s="2" t="s">
        <v>49</v>
      </c>
      <c r="D3062" s="2" t="s">
        <v>10</v>
      </c>
      <c r="E3062" s="2" t="s">
        <v>76</v>
      </c>
      <c r="F3062" s="2" t="s">
        <v>1145</v>
      </c>
      <c r="G3062" s="14" t="n">
        <v>12.5</v>
      </c>
      <c r="H3062" s="14" t="n">
        <v>17.69</v>
      </c>
      <c r="I3062" s="14" t="n">
        <v>12.5</v>
      </c>
      <c r="J3062" s="22" t="n">
        <f aca="false">IF(E3062="Priority",'Cost model'!N381,'Cost model'!M381)</f>
        <v>14.5</v>
      </c>
      <c r="K3062" s="14" t="n">
        <f aca="false">J3062-H3062</f>
        <v>-3.19</v>
      </c>
      <c r="L3062" s="14" t="n">
        <f aca="false">G3062-H3062</f>
        <v>-5.19</v>
      </c>
    </row>
    <row r="3063" customFormat="false" ht="15" hidden="false" customHeight="false" outlineLevel="0" collapsed="false">
      <c r="A3063" s="2" t="s">
        <v>126</v>
      </c>
      <c r="B3063" s="2" t="s">
        <v>126</v>
      </c>
      <c r="C3063" s="2" t="s">
        <v>49</v>
      </c>
      <c r="D3063" s="2" t="s">
        <v>12</v>
      </c>
      <c r="E3063" s="2" t="s">
        <v>76</v>
      </c>
      <c r="F3063" s="2" t="s">
        <v>1145</v>
      </c>
      <c r="G3063" s="14" t="n">
        <v>14.5</v>
      </c>
      <c r="H3063" s="14" t="n">
        <v>61.18</v>
      </c>
      <c r="I3063" s="14" t="n">
        <v>12.5</v>
      </c>
      <c r="J3063" s="22" t="n">
        <f aca="false">IF(E3063="Priority",'Cost model'!N384,'Cost model'!M384)</f>
        <v>45</v>
      </c>
      <c r="K3063" s="14" t="n">
        <f aca="false">J3063-H3063</f>
        <v>-16.18</v>
      </c>
      <c r="L3063" s="14" t="n">
        <f aca="false">G3063-H3063</f>
        <v>-46.68</v>
      </c>
    </row>
    <row r="3064" customFormat="false" ht="15" hidden="false" customHeight="false" outlineLevel="0" collapsed="false">
      <c r="A3064" s="2" t="s">
        <v>125</v>
      </c>
      <c r="B3064" s="2" t="s">
        <v>184</v>
      </c>
      <c r="C3064" s="2" t="s">
        <v>48</v>
      </c>
      <c r="D3064" s="2" t="s">
        <v>10</v>
      </c>
      <c r="E3064" s="2" t="s">
        <v>85</v>
      </c>
      <c r="F3064" s="2" t="s">
        <v>1146</v>
      </c>
      <c r="G3064" s="14" t="n">
        <v>19.5</v>
      </c>
      <c r="H3064" s="14" t="n">
        <v>15.49</v>
      </c>
      <c r="I3064" s="14" t="n">
        <v>19.5</v>
      </c>
      <c r="J3064" s="22" t="n">
        <f aca="false">IF(E3064="Priority",'Cost model'!N56,'Cost model'!M56)</f>
        <v>16.5</v>
      </c>
      <c r="K3064" s="14" t="n">
        <f aca="false">J3064-H3064</f>
        <v>1.01</v>
      </c>
      <c r="L3064" s="14" t="n">
        <f aca="false">G3064-H3064</f>
        <v>4.01</v>
      </c>
    </row>
    <row r="3065" customFormat="false" ht="15" hidden="false" customHeight="false" outlineLevel="0" collapsed="false">
      <c r="A3065" s="2" t="s">
        <v>240</v>
      </c>
      <c r="B3065" s="2" t="s">
        <v>165</v>
      </c>
      <c r="C3065" s="2" t="s">
        <v>48</v>
      </c>
      <c r="D3065" s="2" t="s">
        <v>10</v>
      </c>
      <c r="E3065" s="2" t="s">
        <v>76</v>
      </c>
      <c r="F3065" s="2" t="s">
        <v>1146</v>
      </c>
      <c r="G3065" s="14" t="n">
        <v>9.5</v>
      </c>
      <c r="H3065" s="14" t="n">
        <v>13.2</v>
      </c>
      <c r="I3065" s="14" t="n">
        <v>14.5</v>
      </c>
      <c r="J3065" s="22" t="n">
        <f aca="false">IF(E3065="Priority",'Cost model'!N902,'Cost model'!M902)</f>
        <v>13.5</v>
      </c>
      <c r="K3065" s="14" t="n">
        <f aca="false">J3065-H3065</f>
        <v>0.300000000000001</v>
      </c>
      <c r="L3065" s="14" t="n">
        <f aca="false">G3065-H3065</f>
        <v>-3.7</v>
      </c>
    </row>
    <row r="3066" customFormat="false" ht="15" hidden="false" customHeight="false" outlineLevel="0" collapsed="false">
      <c r="A3066" s="2" t="s">
        <v>184</v>
      </c>
      <c r="B3066" s="2" t="s">
        <v>184</v>
      </c>
      <c r="C3066" s="2" t="s">
        <v>48</v>
      </c>
      <c r="D3066" s="2" t="s">
        <v>12</v>
      </c>
      <c r="E3066" s="2" t="s">
        <v>85</v>
      </c>
      <c r="F3066" s="2" t="s">
        <v>1145</v>
      </c>
      <c r="G3066" s="14" t="n">
        <v>19.5</v>
      </c>
      <c r="H3066" s="14" t="n">
        <v>27.49</v>
      </c>
      <c r="I3066" s="14" t="n">
        <v>19.5</v>
      </c>
      <c r="J3066" s="22" t="n">
        <f aca="false">IF(E3066="Priority",'Cost model'!N203,'Cost model'!M203)</f>
        <v>35</v>
      </c>
      <c r="K3066" s="14" t="n">
        <f aca="false">J3066-H3066</f>
        <v>7.51</v>
      </c>
      <c r="L3066" s="14" t="n">
        <f aca="false">G3066-H3066</f>
        <v>-7.99</v>
      </c>
    </row>
    <row r="3067" customFormat="false" ht="15" hidden="false" customHeight="false" outlineLevel="0" collapsed="false">
      <c r="A3067" s="2" t="s">
        <v>221</v>
      </c>
      <c r="B3067" s="2" t="s">
        <v>165</v>
      </c>
      <c r="C3067" s="2" t="s">
        <v>48</v>
      </c>
      <c r="D3067" s="2" t="s">
        <v>10</v>
      </c>
      <c r="E3067" s="2" t="s">
        <v>76</v>
      </c>
      <c r="F3067" s="2" t="s">
        <v>1146</v>
      </c>
      <c r="G3067" s="14" t="n">
        <v>9.5</v>
      </c>
      <c r="H3067" s="14" t="n">
        <v>9.65</v>
      </c>
      <c r="I3067" s="14"/>
      <c r="J3067" s="22" t="n">
        <f aca="false">IF(E3067="Priority",'Cost model'!N740,'Cost model'!M740)</f>
        <v>14.5</v>
      </c>
      <c r="K3067" s="14" t="n">
        <f aca="false">J3067-H3067</f>
        <v>4.85</v>
      </c>
      <c r="L3067" s="14" t="n">
        <f aca="false">G3067-H3067</f>
        <v>-0.15</v>
      </c>
    </row>
    <row r="3068" customFormat="false" ht="15" hidden="false" customHeight="false" outlineLevel="0" collapsed="false">
      <c r="A3068" s="2" t="s">
        <v>184</v>
      </c>
      <c r="B3068" s="2" t="s">
        <v>184</v>
      </c>
      <c r="C3068" s="2" t="s">
        <v>49</v>
      </c>
      <c r="D3068" s="2" t="s">
        <v>12</v>
      </c>
      <c r="E3068" s="2" t="s">
        <v>76</v>
      </c>
      <c r="F3068" s="2" t="s">
        <v>1145</v>
      </c>
      <c r="G3068" s="14" t="n">
        <v>12.5</v>
      </c>
      <c r="H3068" s="14" t="n">
        <v>42.61</v>
      </c>
      <c r="I3068" s="14" t="n">
        <v>12.5</v>
      </c>
      <c r="J3068" s="22" t="n">
        <f aca="false">IF(E3068="Priority",'Cost model'!N204,'Cost model'!M204)</f>
        <v>45</v>
      </c>
      <c r="K3068" s="14" t="n">
        <f aca="false">J3068-H3068</f>
        <v>2.39</v>
      </c>
      <c r="L3068" s="14" t="n">
        <f aca="false">G3068-H3068</f>
        <v>-30.11</v>
      </c>
    </row>
    <row r="3069" customFormat="false" ht="15" hidden="false" customHeight="false" outlineLevel="0" collapsed="false">
      <c r="A3069" s="2" t="s">
        <v>184</v>
      </c>
      <c r="B3069" s="2" t="s">
        <v>126</v>
      </c>
      <c r="C3069" s="2" t="s">
        <v>49</v>
      </c>
      <c r="D3069" s="2" t="s">
        <v>12</v>
      </c>
      <c r="E3069" s="2" t="s">
        <v>76</v>
      </c>
      <c r="F3069" s="2" t="s">
        <v>1146</v>
      </c>
      <c r="G3069" s="14" t="n">
        <v>12.5</v>
      </c>
      <c r="H3069" s="14" t="n">
        <v>85.43</v>
      </c>
      <c r="I3069" s="14"/>
      <c r="J3069" s="22" t="n">
        <f aca="false">IF(E3069="Priority",'Cost model'!N132,'Cost model'!M132)</f>
        <v>50</v>
      </c>
      <c r="K3069" s="14" t="n">
        <f aca="false">J3069-H3069</f>
        <v>-35.43</v>
      </c>
      <c r="L3069" s="14" t="n">
        <f aca="false">G3069-H3069</f>
        <v>-72.93</v>
      </c>
    </row>
    <row r="3070" customFormat="false" ht="15" hidden="false" customHeight="false" outlineLevel="0" collapsed="false">
      <c r="A3070" s="2" t="s">
        <v>240</v>
      </c>
      <c r="B3070" s="2" t="s">
        <v>240</v>
      </c>
      <c r="C3070" s="2" t="s">
        <v>50</v>
      </c>
      <c r="D3070" s="2" t="s">
        <v>10</v>
      </c>
      <c r="E3070" s="2" t="s">
        <v>85</v>
      </c>
      <c r="F3070" s="2" t="s">
        <v>1145</v>
      </c>
      <c r="G3070" s="14" t="n">
        <v>24.5</v>
      </c>
      <c r="H3070" s="14" t="n">
        <v>20.37</v>
      </c>
      <c r="I3070" s="14" t="n">
        <v>24.5</v>
      </c>
      <c r="J3070" s="22" t="n">
        <f aca="false">IF(E3070="Priority",'Cost model'!N886,'Cost model'!M886)</f>
        <v>23.5</v>
      </c>
      <c r="K3070" s="14" t="n">
        <f aca="false">J3070-H3070</f>
        <v>3.13</v>
      </c>
      <c r="L3070" s="14" t="n">
        <f aca="false">G3070-H3070</f>
        <v>4.13</v>
      </c>
    </row>
    <row r="3071" customFormat="false" ht="15" hidden="false" customHeight="false" outlineLevel="0" collapsed="false">
      <c r="A3071" s="2" t="s">
        <v>125</v>
      </c>
      <c r="B3071" s="2" t="s">
        <v>146</v>
      </c>
      <c r="C3071" s="2" t="s">
        <v>48</v>
      </c>
      <c r="D3071" s="2" t="s">
        <v>10</v>
      </c>
      <c r="E3071" s="2" t="s">
        <v>76</v>
      </c>
      <c r="F3071" s="2" t="s">
        <v>1146</v>
      </c>
      <c r="G3071" s="14" t="n">
        <v>14.5</v>
      </c>
      <c r="H3071" s="14" t="n">
        <v>25.65</v>
      </c>
      <c r="I3071" s="14" t="n">
        <v>14.5</v>
      </c>
      <c r="J3071" s="22" t="n">
        <f aca="false">IF(E3071="Priority",'Cost model'!N20,'Cost model'!M20)</f>
        <v>13.5</v>
      </c>
      <c r="K3071" s="14" t="n">
        <f aca="false">J3071-H3071</f>
        <v>-12.15</v>
      </c>
      <c r="L3071" s="14" t="n">
        <f aca="false">G3071-H3071</f>
        <v>-11.15</v>
      </c>
    </row>
    <row r="3072" customFormat="false" ht="15" hidden="false" customHeight="false" outlineLevel="0" collapsed="false">
      <c r="A3072" s="2" t="s">
        <v>184</v>
      </c>
      <c r="B3072" s="2" t="s">
        <v>184</v>
      </c>
      <c r="C3072" s="2" t="s">
        <v>49</v>
      </c>
      <c r="D3072" s="2" t="s">
        <v>12</v>
      </c>
      <c r="E3072" s="2" t="s">
        <v>76</v>
      </c>
      <c r="F3072" s="2" t="s">
        <v>1145</v>
      </c>
      <c r="G3072" s="14" t="n">
        <v>12.5</v>
      </c>
      <c r="H3072" s="14" t="n">
        <v>45.7</v>
      </c>
      <c r="I3072" s="14"/>
      <c r="J3072" s="22" t="n">
        <f aca="false">IF(E3072="Priority",'Cost model'!N204,'Cost model'!M204)</f>
        <v>45</v>
      </c>
      <c r="K3072" s="14" t="n">
        <f aca="false">J3072-H3072</f>
        <v>-0.700000000000003</v>
      </c>
      <c r="L3072" s="14" t="n">
        <f aca="false">G3072-H3072</f>
        <v>-33.2</v>
      </c>
    </row>
    <row r="3073" customFormat="false" ht="15" hidden="false" customHeight="false" outlineLevel="0" collapsed="false">
      <c r="A3073" s="2" t="s">
        <v>240</v>
      </c>
      <c r="B3073" s="2" t="s">
        <v>146</v>
      </c>
      <c r="C3073" s="2" t="s">
        <v>48</v>
      </c>
      <c r="D3073" s="2" t="s">
        <v>10</v>
      </c>
      <c r="E3073" s="2" t="s">
        <v>76</v>
      </c>
      <c r="F3073" s="2" t="s">
        <v>1146</v>
      </c>
      <c r="G3073" s="14" t="n">
        <v>9.5</v>
      </c>
      <c r="H3073" s="14" t="n">
        <v>6.81</v>
      </c>
      <c r="I3073" s="14" t="n">
        <v>19.5</v>
      </c>
      <c r="J3073" s="22" t="n">
        <f aca="false">IF(E3073="Priority",'Cost model'!N920,'Cost model'!M920)</f>
        <v>16.5</v>
      </c>
      <c r="K3073" s="14" t="n">
        <f aca="false">J3073-H3073</f>
        <v>9.69</v>
      </c>
      <c r="L3073" s="14" t="n">
        <f aca="false">G3073-H3073</f>
        <v>2.69</v>
      </c>
    </row>
    <row r="3074" customFormat="false" ht="15" hidden="false" customHeight="false" outlineLevel="0" collapsed="false">
      <c r="A3074" s="2" t="s">
        <v>184</v>
      </c>
      <c r="B3074" s="2" t="s">
        <v>126</v>
      </c>
      <c r="C3074" s="2" t="s">
        <v>50</v>
      </c>
      <c r="D3074" s="2" t="s">
        <v>12</v>
      </c>
      <c r="E3074" s="2" t="s">
        <v>76</v>
      </c>
      <c r="F3074" s="2" t="s">
        <v>1146</v>
      </c>
      <c r="G3074" s="14" t="n">
        <v>19.5</v>
      </c>
      <c r="H3074" s="14" t="n">
        <v>61.77</v>
      </c>
      <c r="I3074" s="14" t="n">
        <v>19.5</v>
      </c>
      <c r="J3074" s="22" t="n">
        <f aca="false">IF(E3074="Priority",'Cost model'!N133,'Cost model'!M133)</f>
        <v>55</v>
      </c>
      <c r="K3074" s="14" t="n">
        <f aca="false">J3074-H3074</f>
        <v>-6.77</v>
      </c>
      <c r="L3074" s="14" t="n">
        <f aca="false">G3074-H3074</f>
        <v>-42.27</v>
      </c>
    </row>
    <row r="3075" customFormat="false" ht="15" hidden="false" customHeight="false" outlineLevel="0" collapsed="false">
      <c r="A3075" s="2" t="s">
        <v>184</v>
      </c>
      <c r="B3075" s="2" t="s">
        <v>146</v>
      </c>
      <c r="C3075" s="2" t="s">
        <v>49</v>
      </c>
      <c r="D3075" s="2" t="s">
        <v>12</v>
      </c>
      <c r="E3075" s="2" t="s">
        <v>76</v>
      </c>
      <c r="F3075" s="2" t="s">
        <v>1146</v>
      </c>
      <c r="G3075" s="14" t="n">
        <v>12.5</v>
      </c>
      <c r="H3075" s="14" t="n">
        <v>73.63</v>
      </c>
      <c r="I3075" s="14"/>
      <c r="J3075" s="22" t="n">
        <f aca="false">IF(E3075="Priority",'Cost model'!N150,'Cost model'!M150)</f>
        <v>55</v>
      </c>
      <c r="K3075" s="14" t="n">
        <f aca="false">J3075-H3075</f>
        <v>-18.63</v>
      </c>
      <c r="L3075" s="14" t="n">
        <f aca="false">G3075-H3075</f>
        <v>-61.13</v>
      </c>
    </row>
    <row r="3076" customFormat="false" ht="15" hidden="false" customHeight="false" outlineLevel="0" collapsed="false">
      <c r="A3076" s="2" t="s">
        <v>146</v>
      </c>
      <c r="B3076" s="2" t="s">
        <v>126</v>
      </c>
      <c r="C3076" s="2" t="s">
        <v>48</v>
      </c>
      <c r="D3076" s="2" t="s">
        <v>10</v>
      </c>
      <c r="E3076" s="2" t="s">
        <v>76</v>
      </c>
      <c r="F3076" s="2" t="s">
        <v>1146</v>
      </c>
      <c r="G3076" s="14" t="n">
        <v>14.5</v>
      </c>
      <c r="H3076" s="14" t="n">
        <v>11.94</v>
      </c>
      <c r="I3076" s="14" t="n">
        <v>14.5</v>
      </c>
      <c r="J3076" s="22" t="n">
        <f aca="false">IF(E3076="Priority",'Cost model'!N794,'Cost model'!M794)</f>
        <v>12.5</v>
      </c>
      <c r="K3076" s="14" t="n">
        <f aca="false">J3076-H3076</f>
        <v>0.560000000000001</v>
      </c>
      <c r="L3076" s="14" t="n">
        <f aca="false">G3076-H3076</f>
        <v>2.56</v>
      </c>
    </row>
    <row r="3077" customFormat="false" ht="15" hidden="false" customHeight="false" outlineLevel="0" collapsed="false">
      <c r="A3077" s="2" t="s">
        <v>240</v>
      </c>
      <c r="B3077" s="2" t="s">
        <v>240</v>
      </c>
      <c r="C3077" s="2" t="s">
        <v>50</v>
      </c>
      <c r="D3077" s="2" t="s">
        <v>12</v>
      </c>
      <c r="E3077" s="2" t="s">
        <v>76</v>
      </c>
      <c r="F3077" s="2" t="s">
        <v>1145</v>
      </c>
      <c r="G3077" s="14" t="n">
        <v>19.5</v>
      </c>
      <c r="H3077" s="14" t="n">
        <v>160.45</v>
      </c>
      <c r="I3077" s="14" t="n">
        <v>19.5</v>
      </c>
      <c r="J3077" s="22" t="n">
        <f aca="false">IF(E3077="Priority",'Cost model'!N889,'Cost model'!M889)</f>
        <v>60</v>
      </c>
      <c r="K3077" s="14" t="n">
        <f aca="false">J3077-H3077</f>
        <v>-100.45</v>
      </c>
      <c r="L3077" s="14" t="n">
        <f aca="false">G3077-H3077</f>
        <v>-140.95</v>
      </c>
    </row>
    <row r="3078" customFormat="false" ht="15" hidden="false" customHeight="false" outlineLevel="0" collapsed="false">
      <c r="A3078" s="2" t="s">
        <v>126</v>
      </c>
      <c r="B3078" s="2" t="s">
        <v>126</v>
      </c>
      <c r="C3078" s="2" t="s">
        <v>48</v>
      </c>
      <c r="D3078" s="2" t="s">
        <v>10</v>
      </c>
      <c r="E3078" s="2" t="s">
        <v>76</v>
      </c>
      <c r="F3078" s="2" t="s">
        <v>1145</v>
      </c>
      <c r="G3078" s="14" t="n">
        <v>9.5</v>
      </c>
      <c r="H3078" s="14" t="n">
        <v>6.27</v>
      </c>
      <c r="I3078" s="14" t="n">
        <v>9.5</v>
      </c>
      <c r="J3078" s="22" t="n">
        <f aca="false">IF(E3078="Priority",'Cost model'!N380,'Cost model'!M380)</f>
        <v>8.5</v>
      </c>
      <c r="K3078" s="14" t="n">
        <f aca="false">J3078-H3078</f>
        <v>2.23</v>
      </c>
      <c r="L3078" s="14" t="n">
        <f aca="false">G3078-H3078</f>
        <v>3.23</v>
      </c>
    </row>
    <row r="3079" customFormat="false" ht="15" hidden="false" customHeight="false" outlineLevel="0" collapsed="false">
      <c r="A3079" s="2" t="s">
        <v>184</v>
      </c>
      <c r="B3079" s="2" t="s">
        <v>184</v>
      </c>
      <c r="C3079" s="2" t="s">
        <v>50</v>
      </c>
      <c r="D3079" s="2" t="s">
        <v>10</v>
      </c>
      <c r="E3079" s="2" t="s">
        <v>76</v>
      </c>
      <c r="F3079" s="2" t="s">
        <v>1145</v>
      </c>
      <c r="G3079" s="14" t="n">
        <v>17.5</v>
      </c>
      <c r="H3079" s="14" t="n">
        <v>12.18</v>
      </c>
      <c r="I3079" s="14" t="n">
        <v>17.5</v>
      </c>
      <c r="J3079" s="22" t="n">
        <f aca="false">IF(E3079="Priority",'Cost model'!N202,'Cost model'!M202)</f>
        <v>17.5</v>
      </c>
      <c r="K3079" s="14" t="n">
        <f aca="false">J3079-H3079</f>
        <v>5.32</v>
      </c>
      <c r="L3079" s="14" t="n">
        <f aca="false">G3079-H3079</f>
        <v>5.32</v>
      </c>
    </row>
    <row r="3080" customFormat="false" ht="15" hidden="false" customHeight="false" outlineLevel="0" collapsed="false">
      <c r="A3080" s="2" t="s">
        <v>184</v>
      </c>
      <c r="B3080" s="2" t="s">
        <v>184</v>
      </c>
      <c r="C3080" s="2" t="s">
        <v>50</v>
      </c>
      <c r="D3080" s="2" t="s">
        <v>10</v>
      </c>
      <c r="E3080" s="2" t="s">
        <v>76</v>
      </c>
      <c r="F3080" s="2" t="s">
        <v>1145</v>
      </c>
      <c r="G3080" s="14" t="n">
        <v>17.5</v>
      </c>
      <c r="H3080" s="14" t="n">
        <v>20.55</v>
      </c>
      <c r="I3080" s="14" t="n">
        <v>17.5</v>
      </c>
      <c r="J3080" s="22" t="n">
        <f aca="false">IF(E3080="Priority",'Cost model'!N202,'Cost model'!M202)</f>
        <v>17.5</v>
      </c>
      <c r="K3080" s="14" t="n">
        <f aca="false">J3080-H3080</f>
        <v>-3.05</v>
      </c>
      <c r="L3080" s="14" t="n">
        <f aca="false">G3080-H3080</f>
        <v>-3.05</v>
      </c>
    </row>
    <row r="3081" customFormat="false" ht="15" hidden="false" customHeight="false" outlineLevel="0" collapsed="false">
      <c r="A3081" s="2" t="s">
        <v>165</v>
      </c>
      <c r="B3081" s="2" t="s">
        <v>165</v>
      </c>
      <c r="C3081" s="2" t="s">
        <v>50</v>
      </c>
      <c r="D3081" s="2" t="s">
        <v>12</v>
      </c>
      <c r="E3081" s="2" t="s">
        <v>76</v>
      </c>
      <c r="F3081" s="2" t="s">
        <v>1145</v>
      </c>
      <c r="G3081" s="14" t="n">
        <v>19.5</v>
      </c>
      <c r="H3081" s="14" t="n">
        <v>58.87</v>
      </c>
      <c r="I3081" s="14" t="n">
        <v>19.5</v>
      </c>
      <c r="J3081" s="22" t="n">
        <f aca="false">IF(E3081="Priority",'Cost model'!N511,'Cost model'!M511)</f>
        <v>35</v>
      </c>
      <c r="K3081" s="14" t="n">
        <f aca="false">J3081-H3081</f>
        <v>-23.87</v>
      </c>
      <c r="L3081" s="14" t="n">
        <f aca="false">G3081-H3081</f>
        <v>-39.37</v>
      </c>
    </row>
    <row r="3082" customFormat="false" ht="15" hidden="false" customHeight="false" outlineLevel="0" collapsed="false">
      <c r="A3082" s="2" t="s">
        <v>125</v>
      </c>
      <c r="B3082" s="2" t="s">
        <v>125</v>
      </c>
      <c r="C3082" s="2" t="s">
        <v>48</v>
      </c>
      <c r="D3082" s="2" t="s">
        <v>12</v>
      </c>
      <c r="E3082" s="2" t="s">
        <v>76</v>
      </c>
      <c r="F3082" s="2" t="s">
        <v>1145</v>
      </c>
      <c r="G3082" s="14" t="n">
        <v>9.5</v>
      </c>
      <c r="H3082" s="14" t="n">
        <v>40.33</v>
      </c>
      <c r="I3082" s="14" t="n">
        <v>9.5</v>
      </c>
      <c r="J3082" s="22" t="n">
        <f aca="false">IF(E3082="Priority",'Cost model'!N77,'Cost model'!M77)</f>
        <v>50</v>
      </c>
      <c r="K3082" s="14" t="n">
        <f aca="false">J3082-H3082</f>
        <v>9.67</v>
      </c>
      <c r="L3082" s="14" t="n">
        <f aca="false">G3082-H3082</f>
        <v>-30.83</v>
      </c>
    </row>
    <row r="3083" customFormat="false" ht="15" hidden="false" customHeight="false" outlineLevel="0" collapsed="false">
      <c r="A3083" s="2" t="s">
        <v>126</v>
      </c>
      <c r="B3083" s="2" t="s">
        <v>126</v>
      </c>
      <c r="C3083" s="2" t="s">
        <v>48</v>
      </c>
      <c r="D3083" s="2" t="s">
        <v>10</v>
      </c>
      <c r="E3083" s="2" t="s">
        <v>76</v>
      </c>
      <c r="F3083" s="2" t="s">
        <v>1145</v>
      </c>
      <c r="G3083" s="14" t="n">
        <v>9.5</v>
      </c>
      <c r="H3083" s="14" t="n">
        <v>7.32</v>
      </c>
      <c r="I3083" s="14" t="n">
        <v>9.5</v>
      </c>
      <c r="J3083" s="22" t="n">
        <f aca="false">IF(E3083="Priority",'Cost model'!N380,'Cost model'!M380)</f>
        <v>8.5</v>
      </c>
      <c r="K3083" s="14" t="n">
        <f aca="false">J3083-H3083</f>
        <v>1.18</v>
      </c>
      <c r="L3083" s="14" t="n">
        <f aca="false">G3083-H3083</f>
        <v>2.18</v>
      </c>
    </row>
    <row r="3084" customFormat="false" ht="15" hidden="false" customHeight="false" outlineLevel="0" collapsed="false">
      <c r="A3084" s="2" t="s">
        <v>240</v>
      </c>
      <c r="B3084" s="2" t="s">
        <v>240</v>
      </c>
      <c r="C3084" s="2" t="s">
        <v>48</v>
      </c>
      <c r="D3084" s="2" t="s">
        <v>10</v>
      </c>
      <c r="E3084" s="2" t="s">
        <v>76</v>
      </c>
      <c r="F3084" s="2" t="s">
        <v>1145</v>
      </c>
      <c r="G3084" s="14" t="n">
        <v>9.5</v>
      </c>
      <c r="H3084" s="14" t="n">
        <v>5.14</v>
      </c>
      <c r="I3084" s="14" t="n">
        <v>9.5</v>
      </c>
      <c r="J3084" s="22" t="n">
        <f aca="false">IF(E3084="Priority",'Cost model'!N884,'Cost model'!M884)</f>
        <v>7.5</v>
      </c>
      <c r="K3084" s="14" t="n">
        <f aca="false">J3084-H3084</f>
        <v>2.36</v>
      </c>
      <c r="L3084" s="14" t="n">
        <f aca="false">G3084-H3084</f>
        <v>4.36</v>
      </c>
    </row>
    <row r="3085" customFormat="false" ht="15" hidden="false" customHeight="false" outlineLevel="0" collapsed="false">
      <c r="A3085" s="2" t="s">
        <v>165</v>
      </c>
      <c r="B3085" s="2" t="s">
        <v>165</v>
      </c>
      <c r="C3085" s="2" t="s">
        <v>49</v>
      </c>
      <c r="D3085" s="2" t="s">
        <v>12</v>
      </c>
      <c r="E3085" s="2" t="s">
        <v>76</v>
      </c>
      <c r="F3085" s="2" t="s">
        <v>1145</v>
      </c>
      <c r="G3085" s="14" t="n">
        <v>12.5</v>
      </c>
      <c r="H3085" s="14" t="n">
        <v>19.47</v>
      </c>
      <c r="I3085" s="14" t="n">
        <v>12.5</v>
      </c>
      <c r="J3085" s="22" t="n">
        <f aca="false">IF(E3085="Priority",'Cost model'!N510,'Cost model'!M510)</f>
        <v>35</v>
      </c>
      <c r="K3085" s="14" t="n">
        <f aca="false">J3085-H3085</f>
        <v>15.53</v>
      </c>
      <c r="L3085" s="14" t="n">
        <f aca="false">G3085-H3085</f>
        <v>-6.97</v>
      </c>
    </row>
    <row r="3086" customFormat="false" ht="15" hidden="false" customHeight="false" outlineLevel="0" collapsed="false">
      <c r="A3086" s="2" t="s">
        <v>146</v>
      </c>
      <c r="B3086" s="2" t="s">
        <v>146</v>
      </c>
      <c r="C3086" s="2" t="s">
        <v>49</v>
      </c>
      <c r="D3086" s="2" t="s">
        <v>12</v>
      </c>
      <c r="E3086" s="2" t="s">
        <v>76</v>
      </c>
      <c r="F3086" s="2" t="s">
        <v>1145</v>
      </c>
      <c r="G3086" s="14" t="n">
        <v>14.5</v>
      </c>
      <c r="H3086" s="14" t="n">
        <v>82.15</v>
      </c>
      <c r="I3086" s="14" t="n">
        <v>12.5</v>
      </c>
      <c r="J3086" s="22" t="n">
        <f aca="false">IF(E3086="Priority",'Cost model'!N762,'Cost model'!M762)</f>
        <v>45</v>
      </c>
      <c r="K3086" s="14" t="n">
        <f aca="false">J3086-H3086</f>
        <v>-37.15</v>
      </c>
      <c r="L3086" s="14" t="n">
        <f aca="false">G3086-H3086</f>
        <v>-67.65</v>
      </c>
    </row>
    <row r="3087" customFormat="false" ht="15" hidden="false" customHeight="false" outlineLevel="0" collapsed="false">
      <c r="A3087" s="2" t="s">
        <v>146</v>
      </c>
      <c r="B3087" s="2" t="s">
        <v>126</v>
      </c>
      <c r="C3087" s="2" t="s">
        <v>48</v>
      </c>
      <c r="D3087" s="2" t="s">
        <v>13</v>
      </c>
      <c r="E3087" s="2" t="s">
        <v>76</v>
      </c>
      <c r="F3087" s="2" t="s">
        <v>1146</v>
      </c>
      <c r="G3087" s="14" t="n">
        <v>24.5</v>
      </c>
      <c r="H3087" s="14" t="n">
        <v>92.66</v>
      </c>
      <c r="I3087" s="14" t="n">
        <v>24.5</v>
      </c>
      <c r="J3087" s="22" t="n">
        <f aca="false">IF(E3087="Priority",'Cost model'!N800,'Cost model'!M800)</f>
        <v>70</v>
      </c>
      <c r="K3087" s="14" t="n">
        <f aca="false">J3087-H3087</f>
        <v>-22.66</v>
      </c>
      <c r="L3087" s="14" t="n">
        <f aca="false">G3087-H3087</f>
        <v>-68.16</v>
      </c>
    </row>
    <row r="3088" customFormat="false" ht="15" hidden="false" customHeight="false" outlineLevel="0" collapsed="false">
      <c r="A3088" s="2" t="s">
        <v>146</v>
      </c>
      <c r="B3088" s="2" t="s">
        <v>146</v>
      </c>
      <c r="C3088" s="2" t="s">
        <v>48</v>
      </c>
      <c r="D3088" s="2" t="s">
        <v>12</v>
      </c>
      <c r="E3088" s="2" t="s">
        <v>76</v>
      </c>
      <c r="F3088" s="2" t="s">
        <v>1145</v>
      </c>
      <c r="G3088" s="14" t="n">
        <v>9.5</v>
      </c>
      <c r="H3088" s="14" t="n">
        <v>24.93</v>
      </c>
      <c r="I3088" s="14" t="n">
        <v>9.5</v>
      </c>
      <c r="J3088" s="22" t="n">
        <f aca="false">IF(E3088="Priority",'Cost model'!N761,'Cost model'!M761)</f>
        <v>35</v>
      </c>
      <c r="K3088" s="14" t="n">
        <f aca="false">J3088-H3088</f>
        <v>10.07</v>
      </c>
      <c r="L3088" s="14" t="n">
        <f aca="false">G3088-H3088</f>
        <v>-15.43</v>
      </c>
    </row>
    <row r="3089" customFormat="false" ht="15" hidden="false" customHeight="false" outlineLevel="0" collapsed="false">
      <c r="A3089" s="2" t="s">
        <v>184</v>
      </c>
      <c r="B3089" s="2" t="s">
        <v>126</v>
      </c>
      <c r="C3089" s="2" t="s">
        <v>50</v>
      </c>
      <c r="D3089" s="2" t="s">
        <v>10</v>
      </c>
      <c r="E3089" s="2" t="s">
        <v>76</v>
      </c>
      <c r="F3089" s="2" t="s">
        <v>1146</v>
      </c>
      <c r="G3089" s="14" t="n">
        <v>17.5</v>
      </c>
      <c r="H3089" s="14" t="n">
        <v>15.88</v>
      </c>
      <c r="I3089" s="14" t="n">
        <v>17.5</v>
      </c>
      <c r="J3089" s="22" t="n">
        <f aca="false">IF(E3089="Priority",'Cost model'!N130,'Cost model'!M130)</f>
        <v>18.5</v>
      </c>
      <c r="K3089" s="14" t="n">
        <f aca="false">J3089-H3089</f>
        <v>2.62</v>
      </c>
      <c r="L3089" s="14" t="n">
        <f aca="false">G3089-H3089</f>
        <v>1.62</v>
      </c>
    </row>
    <row r="3090" customFormat="false" ht="15" hidden="false" customHeight="false" outlineLevel="0" collapsed="false">
      <c r="A3090" s="2" t="s">
        <v>125</v>
      </c>
      <c r="B3090" s="2" t="s">
        <v>146</v>
      </c>
      <c r="C3090" s="2" t="s">
        <v>48</v>
      </c>
      <c r="D3090" s="2" t="s">
        <v>12</v>
      </c>
      <c r="E3090" s="2" t="s">
        <v>85</v>
      </c>
      <c r="F3090" s="2" t="s">
        <v>1146</v>
      </c>
      <c r="G3090" s="14" t="n">
        <v>24.5</v>
      </c>
      <c r="H3090" s="14" t="n">
        <v>100.8</v>
      </c>
      <c r="I3090" s="14" t="n">
        <v>24.5</v>
      </c>
      <c r="J3090" s="22" t="n">
        <f aca="false">IF(E3090="Priority",'Cost model'!N23,'Cost model'!M23)</f>
        <v>70</v>
      </c>
      <c r="K3090" s="14" t="n">
        <f aca="false">J3090-H3090</f>
        <v>-30.8</v>
      </c>
      <c r="L3090" s="14" t="n">
        <f aca="false">G3090-H3090</f>
        <v>-76.3</v>
      </c>
    </row>
    <row r="3091" customFormat="false" ht="15" hidden="false" customHeight="false" outlineLevel="0" collapsed="false">
      <c r="A3091" s="2" t="s">
        <v>126</v>
      </c>
      <c r="B3091" s="2" t="s">
        <v>125</v>
      </c>
      <c r="C3091" s="2" t="s">
        <v>49</v>
      </c>
      <c r="D3091" s="2" t="s">
        <v>12</v>
      </c>
      <c r="E3091" s="2" t="s">
        <v>76</v>
      </c>
      <c r="F3091" s="2" t="s">
        <v>1146</v>
      </c>
      <c r="G3091" s="14" t="n">
        <v>12.5</v>
      </c>
      <c r="H3091" s="14" t="n">
        <v>57.66</v>
      </c>
      <c r="I3091" s="14" t="n">
        <v>24.5</v>
      </c>
      <c r="J3091" s="22" t="n">
        <f aca="false">IF(E3091="Priority",'Cost model'!N474,'Cost model'!M474)</f>
        <v>65</v>
      </c>
      <c r="K3091" s="14" t="n">
        <f aca="false">J3091-H3091</f>
        <v>7.34</v>
      </c>
      <c r="L3091" s="14" t="n">
        <f aca="false">G3091-H3091</f>
        <v>-45.16</v>
      </c>
    </row>
    <row r="3092" customFormat="false" ht="15" hidden="false" customHeight="false" outlineLevel="0" collapsed="false">
      <c r="A3092" s="2" t="s">
        <v>240</v>
      </c>
      <c r="B3092" s="2" t="s">
        <v>240</v>
      </c>
      <c r="C3092" s="2" t="s">
        <v>50</v>
      </c>
      <c r="D3092" s="2" t="s">
        <v>12</v>
      </c>
      <c r="E3092" s="2" t="s">
        <v>76</v>
      </c>
      <c r="F3092" s="2" t="s">
        <v>1145</v>
      </c>
      <c r="G3092" s="14" t="n">
        <v>19.5</v>
      </c>
      <c r="H3092" s="14" t="n">
        <v>87.85</v>
      </c>
      <c r="I3092" s="14" t="n">
        <v>19.5</v>
      </c>
      <c r="J3092" s="22" t="n">
        <f aca="false">IF(E3092="Priority",'Cost model'!N889,'Cost model'!M889)</f>
        <v>60</v>
      </c>
      <c r="K3092" s="14" t="n">
        <f aca="false">J3092-H3092</f>
        <v>-27.85</v>
      </c>
      <c r="L3092" s="14" t="n">
        <f aca="false">G3092-H3092</f>
        <v>-68.35</v>
      </c>
    </row>
    <row r="3093" customFormat="false" ht="15" hidden="false" customHeight="false" outlineLevel="0" collapsed="false">
      <c r="A3093" s="2" t="s">
        <v>184</v>
      </c>
      <c r="B3093" s="2" t="s">
        <v>184</v>
      </c>
      <c r="C3093" s="2" t="s">
        <v>48</v>
      </c>
      <c r="D3093" s="2" t="s">
        <v>16</v>
      </c>
      <c r="E3093" s="2" t="s">
        <v>76</v>
      </c>
      <c r="F3093" s="2" t="s">
        <v>1145</v>
      </c>
      <c r="G3093" s="14" t="n">
        <v>25</v>
      </c>
      <c r="H3093" s="14" t="n">
        <v>32.81</v>
      </c>
      <c r="I3093" s="14" t="n">
        <v>25</v>
      </c>
      <c r="J3093" s="22" t="n">
        <f aca="false">IF(E3093="Priority",'Cost model'!N215,'Cost model'!M215)</f>
        <v>135</v>
      </c>
      <c r="K3093" s="14" t="n">
        <f aca="false">J3093-H3093</f>
        <v>102.19</v>
      </c>
      <c r="L3093" s="14" t="n">
        <f aca="false">G3093-H3093</f>
        <v>-7.81</v>
      </c>
    </row>
    <row r="3094" customFormat="false" ht="15" hidden="false" customHeight="false" outlineLevel="0" collapsed="false">
      <c r="A3094" s="2" t="s">
        <v>146</v>
      </c>
      <c r="B3094" s="2" t="s">
        <v>146</v>
      </c>
      <c r="C3094" s="2" t="s">
        <v>48</v>
      </c>
      <c r="D3094" s="2" t="s">
        <v>10</v>
      </c>
      <c r="E3094" s="2" t="s">
        <v>85</v>
      </c>
      <c r="F3094" s="2" t="s">
        <v>1145</v>
      </c>
      <c r="G3094" s="14" t="n">
        <v>14.5</v>
      </c>
      <c r="H3094" s="14" t="n">
        <v>9.19</v>
      </c>
      <c r="I3094" s="14" t="n">
        <v>14.5</v>
      </c>
      <c r="J3094" s="22" t="n">
        <f aca="false">IF(E3094="Priority",'Cost model'!N758,'Cost model'!M758)</f>
        <v>14.5</v>
      </c>
      <c r="K3094" s="14" t="n">
        <f aca="false">J3094-H3094</f>
        <v>5.31</v>
      </c>
      <c r="L3094" s="14" t="n">
        <f aca="false">G3094-H3094</f>
        <v>5.31</v>
      </c>
    </row>
    <row r="3095" customFormat="false" ht="15" hidden="false" customHeight="false" outlineLevel="0" collapsed="false">
      <c r="A3095" s="2" t="s">
        <v>146</v>
      </c>
      <c r="B3095" s="2" t="s">
        <v>146</v>
      </c>
      <c r="C3095" s="2" t="s">
        <v>48</v>
      </c>
      <c r="D3095" s="2" t="s">
        <v>10</v>
      </c>
      <c r="E3095" s="2" t="s">
        <v>76</v>
      </c>
      <c r="F3095" s="2" t="s">
        <v>1145</v>
      </c>
      <c r="G3095" s="14" t="n">
        <v>9.5</v>
      </c>
      <c r="H3095" s="14" t="n">
        <v>4.99</v>
      </c>
      <c r="I3095" s="14" t="n">
        <v>9.5</v>
      </c>
      <c r="J3095" s="22" t="n">
        <f aca="false">IF(E3095="Priority",'Cost model'!N758,'Cost model'!M758)</f>
        <v>9.5</v>
      </c>
      <c r="K3095" s="14" t="n">
        <f aca="false">J3095-H3095</f>
        <v>4.51</v>
      </c>
      <c r="L3095" s="14" t="n">
        <f aca="false">G3095-H3095</f>
        <v>4.51</v>
      </c>
    </row>
    <row r="3096" customFormat="false" ht="15" hidden="false" customHeight="false" outlineLevel="0" collapsed="false">
      <c r="A3096" s="2" t="s">
        <v>240</v>
      </c>
      <c r="B3096" s="2" t="s">
        <v>221</v>
      </c>
      <c r="C3096" s="2" t="s">
        <v>48</v>
      </c>
      <c r="D3096" s="2" t="s">
        <v>10</v>
      </c>
      <c r="E3096" s="2" t="s">
        <v>76</v>
      </c>
      <c r="F3096" s="2" t="s">
        <v>1146</v>
      </c>
      <c r="G3096" s="14" t="n">
        <v>9.5</v>
      </c>
      <c r="H3096" s="14" t="n">
        <v>7.93</v>
      </c>
      <c r="I3096" s="14"/>
      <c r="J3096" s="22" t="n">
        <f aca="false">IF(E3096="Priority",'Cost model'!N992,'Cost model'!M992)</f>
        <v>11.5</v>
      </c>
      <c r="K3096" s="14" t="n">
        <f aca="false">J3096-H3096</f>
        <v>3.57</v>
      </c>
      <c r="L3096" s="14" t="n">
        <f aca="false">G3096-H3096</f>
        <v>1.57</v>
      </c>
    </row>
    <row r="3097" customFormat="false" ht="15" hidden="false" customHeight="false" outlineLevel="0" collapsed="false">
      <c r="A3097" s="2" t="s">
        <v>184</v>
      </c>
      <c r="B3097" s="2" t="s">
        <v>184</v>
      </c>
      <c r="C3097" s="2" t="s">
        <v>49</v>
      </c>
      <c r="D3097" s="2" t="s">
        <v>12</v>
      </c>
      <c r="E3097" s="2" t="s">
        <v>76</v>
      </c>
      <c r="F3097" s="2" t="s">
        <v>1145</v>
      </c>
      <c r="G3097" s="14" t="n">
        <v>12.5</v>
      </c>
      <c r="H3097" s="14" t="n">
        <v>58.65</v>
      </c>
      <c r="I3097" s="14"/>
      <c r="J3097" s="22" t="n">
        <f aca="false">IF(E3097="Priority",'Cost model'!N204,'Cost model'!M204)</f>
        <v>45</v>
      </c>
      <c r="K3097" s="14" t="n">
        <f aca="false">J3097-H3097</f>
        <v>-13.65</v>
      </c>
      <c r="L3097" s="14" t="n">
        <f aca="false">G3097-H3097</f>
        <v>-46.15</v>
      </c>
    </row>
    <row r="3098" customFormat="false" ht="15" hidden="false" customHeight="false" outlineLevel="0" collapsed="false">
      <c r="A3098" s="2" t="s">
        <v>240</v>
      </c>
      <c r="B3098" s="2" t="s">
        <v>184</v>
      </c>
      <c r="C3098" s="2" t="s">
        <v>48</v>
      </c>
      <c r="D3098" s="2" t="s">
        <v>12</v>
      </c>
      <c r="E3098" s="2" t="s">
        <v>85</v>
      </c>
      <c r="F3098" s="2" t="s">
        <v>1146</v>
      </c>
      <c r="G3098" s="14" t="n">
        <v>29.5</v>
      </c>
      <c r="H3098" s="14" t="n">
        <v>53.14</v>
      </c>
      <c r="I3098" s="14" t="n">
        <v>29.5</v>
      </c>
      <c r="J3098" s="22" t="n">
        <f aca="false">IF(E3098="Priority",'Cost model'!N941,'Cost model'!M941)</f>
        <v>90</v>
      </c>
      <c r="K3098" s="14" t="n">
        <f aca="false">J3098-H3098</f>
        <v>36.86</v>
      </c>
      <c r="L3098" s="14" t="n">
        <f aca="false">G3098-H3098</f>
        <v>-23.64</v>
      </c>
    </row>
    <row r="3099" customFormat="false" ht="15" hidden="false" customHeight="false" outlineLevel="0" collapsed="false">
      <c r="A3099" s="2" t="s">
        <v>126</v>
      </c>
      <c r="B3099" s="2" t="s">
        <v>126</v>
      </c>
      <c r="C3099" s="2" t="s">
        <v>48</v>
      </c>
      <c r="D3099" s="2" t="s">
        <v>12</v>
      </c>
      <c r="E3099" s="2" t="s">
        <v>76</v>
      </c>
      <c r="F3099" s="2" t="s">
        <v>1145</v>
      </c>
      <c r="G3099" s="14" t="n">
        <v>9.5</v>
      </c>
      <c r="H3099" s="14" t="n">
        <v>7.72</v>
      </c>
      <c r="I3099" s="14" t="n">
        <v>9.5</v>
      </c>
      <c r="J3099" s="22" t="n">
        <f aca="false">IF(E3099="Priority",'Cost model'!N383,'Cost model'!M383)</f>
        <v>27.5</v>
      </c>
      <c r="K3099" s="14" t="n">
        <f aca="false">J3099-H3099</f>
        <v>19.78</v>
      </c>
      <c r="L3099" s="14" t="n">
        <f aca="false">G3099-H3099</f>
        <v>1.78</v>
      </c>
    </row>
    <row r="3100" customFormat="false" ht="15" hidden="false" customHeight="false" outlineLevel="0" collapsed="false">
      <c r="A3100" s="2" t="s">
        <v>184</v>
      </c>
      <c r="B3100" s="2" t="s">
        <v>184</v>
      </c>
      <c r="C3100" s="2" t="s">
        <v>48</v>
      </c>
      <c r="D3100" s="2" t="s">
        <v>12</v>
      </c>
      <c r="E3100" s="2" t="s">
        <v>76</v>
      </c>
      <c r="F3100" s="2" t="s">
        <v>1145</v>
      </c>
      <c r="G3100" s="14" t="n">
        <v>9.5</v>
      </c>
      <c r="H3100" s="14" t="n">
        <v>28.34</v>
      </c>
      <c r="I3100" s="14" t="n">
        <v>9.5</v>
      </c>
      <c r="J3100" s="22" t="n">
        <f aca="false">IF(E3100="Priority",'Cost model'!N203,'Cost model'!M203)</f>
        <v>26.5</v>
      </c>
      <c r="K3100" s="14" t="n">
        <f aca="false">J3100-H3100</f>
        <v>-1.84</v>
      </c>
      <c r="L3100" s="14" t="n">
        <f aca="false">G3100-H3100</f>
        <v>-18.84</v>
      </c>
    </row>
    <row r="3101" customFormat="false" ht="15" hidden="false" customHeight="false" outlineLevel="0" collapsed="false">
      <c r="A3101" s="2" t="s">
        <v>184</v>
      </c>
      <c r="B3101" s="2" t="s">
        <v>184</v>
      </c>
      <c r="C3101" s="2" t="s">
        <v>48</v>
      </c>
      <c r="D3101" s="2" t="s">
        <v>12</v>
      </c>
      <c r="E3101" s="2" t="s">
        <v>76</v>
      </c>
      <c r="F3101" s="2" t="s">
        <v>1145</v>
      </c>
      <c r="G3101" s="14" t="n">
        <v>9.5</v>
      </c>
      <c r="H3101" s="14" t="n">
        <v>27.76</v>
      </c>
      <c r="I3101" s="14" t="n">
        <v>9.5</v>
      </c>
      <c r="J3101" s="22" t="n">
        <f aca="false">IF(E3101="Priority",'Cost model'!N203,'Cost model'!M203)</f>
        <v>26.5</v>
      </c>
      <c r="K3101" s="14" t="n">
        <f aca="false">J3101-H3101</f>
        <v>-1.26</v>
      </c>
      <c r="L3101" s="14" t="n">
        <f aca="false">G3101-H3101</f>
        <v>-18.26</v>
      </c>
    </row>
    <row r="3102" customFormat="false" ht="15" hidden="false" customHeight="false" outlineLevel="0" collapsed="false">
      <c r="A3102" s="2" t="s">
        <v>240</v>
      </c>
      <c r="B3102" s="2" t="s">
        <v>240</v>
      </c>
      <c r="C3102" s="2" t="s">
        <v>50</v>
      </c>
      <c r="D3102" s="2" t="s">
        <v>12</v>
      </c>
      <c r="E3102" s="2" t="s">
        <v>76</v>
      </c>
      <c r="F3102" s="2" t="s">
        <v>1145</v>
      </c>
      <c r="G3102" s="14" t="n">
        <v>19.5</v>
      </c>
      <c r="H3102" s="14" t="n">
        <v>26.53</v>
      </c>
      <c r="I3102" s="14" t="n">
        <v>19.5</v>
      </c>
      <c r="J3102" s="22" t="n">
        <f aca="false">IF(E3102="Priority",'Cost model'!N889,'Cost model'!M889)</f>
        <v>60</v>
      </c>
      <c r="K3102" s="14" t="n">
        <f aca="false">J3102-H3102</f>
        <v>33.47</v>
      </c>
      <c r="L3102" s="14" t="n">
        <f aca="false">G3102-H3102</f>
        <v>-7.03</v>
      </c>
    </row>
    <row r="3103" customFormat="false" ht="15" hidden="false" customHeight="false" outlineLevel="0" collapsed="false">
      <c r="A3103" s="2" t="s">
        <v>126</v>
      </c>
      <c r="B3103" s="2" t="s">
        <v>126</v>
      </c>
      <c r="C3103" s="2" t="s">
        <v>49</v>
      </c>
      <c r="D3103" s="2" t="s">
        <v>10</v>
      </c>
      <c r="E3103" s="2" t="s">
        <v>85</v>
      </c>
      <c r="F3103" s="2" t="s">
        <v>1145</v>
      </c>
      <c r="G3103" s="14" t="n">
        <v>17.5</v>
      </c>
      <c r="H3103" s="14" t="n">
        <v>24.17</v>
      </c>
      <c r="I3103" s="14" t="n">
        <v>17.5</v>
      </c>
      <c r="J3103" s="22" t="n">
        <f aca="false">IF(E3103="Priority",'Cost model'!N381,'Cost model'!M381)</f>
        <v>19.5</v>
      </c>
      <c r="K3103" s="14" t="n">
        <f aca="false">J3103-H3103</f>
        <v>-4.67</v>
      </c>
      <c r="L3103" s="14" t="n">
        <f aca="false">G3103-H3103</f>
        <v>-6.67</v>
      </c>
    </row>
    <row r="3104" customFormat="false" ht="15" hidden="false" customHeight="false" outlineLevel="0" collapsed="false">
      <c r="A3104" s="2" t="s">
        <v>240</v>
      </c>
      <c r="B3104" s="2" t="s">
        <v>126</v>
      </c>
      <c r="C3104" s="2" t="s">
        <v>48</v>
      </c>
      <c r="D3104" s="2" t="s">
        <v>12</v>
      </c>
      <c r="E3104" s="2" t="s">
        <v>76</v>
      </c>
      <c r="F3104" s="2" t="s">
        <v>1146</v>
      </c>
      <c r="G3104" s="14" t="n">
        <v>9.5</v>
      </c>
      <c r="H3104" s="14" t="n">
        <v>69.61</v>
      </c>
      <c r="I3104" s="14" t="n">
        <v>24.5</v>
      </c>
      <c r="J3104" s="22" t="n">
        <f aca="false">IF(E3104="Priority",'Cost model'!N959,'Cost model'!M959)</f>
        <v>55</v>
      </c>
      <c r="K3104" s="14" t="n">
        <f aca="false">J3104-H3104</f>
        <v>-14.61</v>
      </c>
      <c r="L3104" s="14" t="n">
        <f aca="false">G3104-H3104</f>
        <v>-60.11</v>
      </c>
    </row>
    <row r="3105" customFormat="false" ht="15" hidden="false" customHeight="false" outlineLevel="0" collapsed="false">
      <c r="A3105" s="2" t="s">
        <v>240</v>
      </c>
      <c r="B3105" s="2" t="s">
        <v>125</v>
      </c>
      <c r="C3105" s="2" t="s">
        <v>48</v>
      </c>
      <c r="D3105" s="2" t="s">
        <v>10</v>
      </c>
      <c r="E3105" s="2" t="s">
        <v>76</v>
      </c>
      <c r="F3105" s="2" t="s">
        <v>1146</v>
      </c>
      <c r="G3105" s="14" t="n">
        <v>9.5</v>
      </c>
      <c r="H3105" s="14" t="n">
        <v>69.49</v>
      </c>
      <c r="I3105" s="14" t="n">
        <v>19.5</v>
      </c>
      <c r="J3105" s="22" t="n">
        <f aca="false">IF(E3105="Priority",'Cost model'!N974,'Cost model'!M974)</f>
        <v>22.5</v>
      </c>
      <c r="K3105" s="14" t="n">
        <f aca="false">J3105-H3105</f>
        <v>-46.99</v>
      </c>
      <c r="L3105" s="14" t="n">
        <f aca="false">G3105-H3105</f>
        <v>-59.99</v>
      </c>
    </row>
    <row r="3106" customFormat="false" ht="15" hidden="false" customHeight="false" outlineLevel="0" collapsed="false">
      <c r="A3106" s="2" t="s">
        <v>146</v>
      </c>
      <c r="B3106" s="2" t="s">
        <v>146</v>
      </c>
      <c r="C3106" s="2" t="s">
        <v>48</v>
      </c>
      <c r="D3106" s="2" t="s">
        <v>10</v>
      </c>
      <c r="E3106" s="2" t="s">
        <v>76</v>
      </c>
      <c r="F3106" s="2" t="s">
        <v>1145</v>
      </c>
      <c r="G3106" s="14" t="n">
        <v>9.5</v>
      </c>
      <c r="H3106" s="14" t="n">
        <v>5.95</v>
      </c>
      <c r="I3106" s="14" t="n">
        <v>9.5</v>
      </c>
      <c r="J3106" s="22" t="n">
        <f aca="false">IF(E3106="Priority",'Cost model'!N758,'Cost model'!M758)</f>
        <v>9.5</v>
      </c>
      <c r="K3106" s="14" t="n">
        <f aca="false">J3106-H3106</f>
        <v>3.55</v>
      </c>
      <c r="L3106" s="14" t="n">
        <f aca="false">G3106-H3106</f>
        <v>3.55</v>
      </c>
    </row>
    <row r="3107" customFormat="false" ht="15" hidden="false" customHeight="false" outlineLevel="0" collapsed="false">
      <c r="A3107" s="2" t="s">
        <v>184</v>
      </c>
      <c r="B3107" s="2" t="s">
        <v>184</v>
      </c>
      <c r="C3107" s="2" t="s">
        <v>49</v>
      </c>
      <c r="D3107" s="2" t="s">
        <v>12</v>
      </c>
      <c r="E3107" s="2" t="s">
        <v>76</v>
      </c>
      <c r="F3107" s="2" t="s">
        <v>1145</v>
      </c>
      <c r="G3107" s="14" t="n">
        <v>19.5</v>
      </c>
      <c r="H3107" s="14" t="n">
        <v>43.25</v>
      </c>
      <c r="I3107" s="14"/>
      <c r="J3107" s="22" t="n">
        <f aca="false">IF(E3107="Priority",'Cost model'!N204,'Cost model'!M204)</f>
        <v>45</v>
      </c>
      <c r="K3107" s="14" t="n">
        <f aca="false">J3107-H3107</f>
        <v>1.75</v>
      </c>
      <c r="L3107" s="14" t="n">
        <f aca="false">G3107-H3107</f>
        <v>-23.75</v>
      </c>
    </row>
    <row r="3108" customFormat="false" ht="15" hidden="false" customHeight="false" outlineLevel="0" collapsed="false">
      <c r="A3108" s="2" t="s">
        <v>385</v>
      </c>
      <c r="B3108" s="2" t="s">
        <v>165</v>
      </c>
      <c r="C3108" s="2" t="s">
        <v>48</v>
      </c>
      <c r="D3108" s="2" t="s">
        <v>13</v>
      </c>
      <c r="E3108" s="2" t="s">
        <v>76</v>
      </c>
      <c r="F3108" s="2" t="s">
        <v>1146</v>
      </c>
      <c r="G3108" s="14" t="n">
        <v>45</v>
      </c>
      <c r="H3108" s="14" t="n">
        <v>182.34</v>
      </c>
      <c r="I3108" s="14" t="n">
        <v>45</v>
      </c>
      <c r="J3108" s="22" t="n">
        <f aca="false">IF(E3108="Priority",'Cost model'!N260,'Cost model'!M260)</f>
        <v>115</v>
      </c>
      <c r="K3108" s="14" t="n">
        <f aca="false">J3108-H3108</f>
        <v>-67.34</v>
      </c>
      <c r="L3108" s="14" t="n">
        <f aca="false">G3108-H3108</f>
        <v>-137.34</v>
      </c>
    </row>
    <row r="3109" customFormat="false" ht="15" hidden="false" customHeight="false" outlineLevel="0" collapsed="false">
      <c r="A3109" s="2" t="s">
        <v>126</v>
      </c>
      <c r="B3109" s="2" t="s">
        <v>146</v>
      </c>
      <c r="C3109" s="2" t="s">
        <v>49</v>
      </c>
      <c r="D3109" s="2" t="s">
        <v>10</v>
      </c>
      <c r="E3109" s="2" t="s">
        <v>85</v>
      </c>
      <c r="F3109" s="2" t="s">
        <v>1146</v>
      </c>
      <c r="G3109" s="14" t="n">
        <v>19.5</v>
      </c>
      <c r="H3109" s="14" t="n">
        <v>20.83</v>
      </c>
      <c r="I3109" s="14" t="n">
        <v>19.5</v>
      </c>
      <c r="J3109" s="22" t="n">
        <f aca="false">IF(E3109="Priority",'Cost model'!N399,'Cost model'!M399)</f>
        <v>23.5</v>
      </c>
      <c r="K3109" s="14" t="n">
        <f aca="false">J3109-H3109</f>
        <v>2.67</v>
      </c>
      <c r="L3109" s="14" t="n">
        <f aca="false">G3109-H3109</f>
        <v>-1.33</v>
      </c>
    </row>
    <row r="3110" customFormat="false" ht="15" hidden="false" customHeight="false" outlineLevel="0" collapsed="false">
      <c r="A3110" s="2" t="s">
        <v>184</v>
      </c>
      <c r="B3110" s="2" t="s">
        <v>184</v>
      </c>
      <c r="C3110" s="2" t="s">
        <v>50</v>
      </c>
      <c r="D3110" s="2" t="s">
        <v>10</v>
      </c>
      <c r="E3110" s="2" t="s">
        <v>76</v>
      </c>
      <c r="F3110" s="2" t="s">
        <v>1145</v>
      </c>
      <c r="G3110" s="14" t="n">
        <v>17.5</v>
      </c>
      <c r="H3110" s="14" t="n">
        <v>10.51</v>
      </c>
      <c r="I3110" s="14" t="n">
        <v>17.5</v>
      </c>
      <c r="J3110" s="22" t="n">
        <f aca="false">IF(E3110="Priority",'Cost model'!N202,'Cost model'!M202)</f>
        <v>17.5</v>
      </c>
      <c r="K3110" s="14" t="n">
        <f aca="false">J3110-H3110</f>
        <v>6.99</v>
      </c>
      <c r="L3110" s="14" t="n">
        <f aca="false">G3110-H3110</f>
        <v>6.99</v>
      </c>
    </row>
    <row r="3111" customFormat="false" ht="15" hidden="false" customHeight="false" outlineLevel="0" collapsed="false">
      <c r="A3111" s="2" t="s">
        <v>126</v>
      </c>
      <c r="B3111" s="2" t="s">
        <v>126</v>
      </c>
      <c r="C3111" s="2" t="s">
        <v>48</v>
      </c>
      <c r="D3111" s="2" t="s">
        <v>10</v>
      </c>
      <c r="E3111" s="2" t="s">
        <v>76</v>
      </c>
      <c r="F3111" s="2" t="s">
        <v>1145</v>
      </c>
      <c r="G3111" s="14" t="n">
        <v>9.5</v>
      </c>
      <c r="H3111" s="14" t="n">
        <v>7.69</v>
      </c>
      <c r="I3111" s="14" t="n">
        <v>9.5</v>
      </c>
      <c r="J3111" s="22" t="n">
        <f aca="false">IF(E3111="Priority",'Cost model'!N380,'Cost model'!M380)</f>
        <v>8.5</v>
      </c>
      <c r="K3111" s="14" t="n">
        <f aca="false">J3111-H3111</f>
        <v>0.81</v>
      </c>
      <c r="L3111" s="14" t="n">
        <f aca="false">G3111-H3111</f>
        <v>1.81</v>
      </c>
    </row>
    <row r="3112" customFormat="false" ht="15" hidden="false" customHeight="false" outlineLevel="0" collapsed="false">
      <c r="A3112" s="2" t="s">
        <v>126</v>
      </c>
      <c r="B3112" s="2" t="s">
        <v>126</v>
      </c>
      <c r="C3112" s="2" t="s">
        <v>49</v>
      </c>
      <c r="D3112" s="2" t="s">
        <v>12</v>
      </c>
      <c r="E3112" s="2" t="s">
        <v>76</v>
      </c>
      <c r="F3112" s="2" t="s">
        <v>1145</v>
      </c>
      <c r="G3112" s="14" t="n">
        <v>12.5</v>
      </c>
      <c r="H3112" s="14" t="n">
        <v>49.48</v>
      </c>
      <c r="I3112" s="14" t="n">
        <v>12.5</v>
      </c>
      <c r="J3112" s="22" t="n">
        <f aca="false">IF(E3112="Priority",'Cost model'!N384,'Cost model'!M384)</f>
        <v>45</v>
      </c>
      <c r="K3112" s="14" t="n">
        <f aca="false">J3112-H3112</f>
        <v>-4.48</v>
      </c>
      <c r="L3112" s="14" t="n">
        <f aca="false">G3112-H3112</f>
        <v>-36.98</v>
      </c>
    </row>
    <row r="3113" customFormat="false" ht="15" hidden="false" customHeight="false" outlineLevel="0" collapsed="false">
      <c r="A3113" s="2" t="s">
        <v>184</v>
      </c>
      <c r="B3113" s="2" t="s">
        <v>146</v>
      </c>
      <c r="C3113" s="2" t="s">
        <v>49</v>
      </c>
      <c r="D3113" s="2" t="s">
        <v>13</v>
      </c>
      <c r="E3113" s="2" t="s">
        <v>76</v>
      </c>
      <c r="F3113" s="2" t="s">
        <v>1146</v>
      </c>
      <c r="G3113" s="14" t="n">
        <v>24.5</v>
      </c>
      <c r="H3113" s="14" t="n">
        <v>21.61</v>
      </c>
      <c r="I3113" s="14"/>
      <c r="J3113" s="22" t="n">
        <f aca="false">IF(E3113="Priority",'Cost model'!N153,'Cost model'!M153)</f>
        <v>100</v>
      </c>
      <c r="K3113" s="14" t="n">
        <f aca="false">J3113-H3113</f>
        <v>78.39</v>
      </c>
      <c r="L3113" s="14" t="n">
        <f aca="false">G3113-H3113</f>
        <v>2.89</v>
      </c>
    </row>
    <row r="3114" customFormat="false" ht="15" hidden="false" customHeight="false" outlineLevel="0" collapsed="false">
      <c r="A3114" s="2" t="s">
        <v>221</v>
      </c>
      <c r="B3114" s="2" t="s">
        <v>184</v>
      </c>
      <c r="C3114" s="2" t="s">
        <v>49</v>
      </c>
      <c r="D3114" s="2" t="s">
        <v>10</v>
      </c>
      <c r="E3114" s="2" t="s">
        <v>76</v>
      </c>
      <c r="F3114" s="2" t="s">
        <v>1146</v>
      </c>
      <c r="G3114" s="14" t="n">
        <v>14.5</v>
      </c>
      <c r="H3114" s="14" t="n">
        <v>11.75</v>
      </c>
      <c r="I3114" s="14" t="n">
        <v>14.5</v>
      </c>
      <c r="J3114" s="22" t="n">
        <f aca="false">IF(E3114="Priority",'Cost model'!N669,'Cost model'!M669)</f>
        <v>17.5</v>
      </c>
      <c r="K3114" s="14" t="n">
        <f aca="false">J3114-H3114</f>
        <v>5.75</v>
      </c>
      <c r="L3114" s="14" t="n">
        <f aca="false">G3114-H3114</f>
        <v>2.75</v>
      </c>
    </row>
    <row r="3115" customFormat="false" ht="15" hidden="false" customHeight="false" outlineLevel="0" collapsed="false">
      <c r="A3115" s="2" t="s">
        <v>184</v>
      </c>
      <c r="B3115" s="2" t="s">
        <v>146</v>
      </c>
      <c r="C3115" s="2" t="s">
        <v>48</v>
      </c>
      <c r="D3115" s="2" t="s">
        <v>10</v>
      </c>
      <c r="E3115" s="2" t="s">
        <v>76</v>
      </c>
      <c r="F3115" s="2" t="s">
        <v>1146</v>
      </c>
      <c r="G3115" s="14" t="n">
        <v>9.5</v>
      </c>
      <c r="H3115" s="14" t="n">
        <v>19.79</v>
      </c>
      <c r="I3115" s="14" t="n">
        <v>9.5</v>
      </c>
      <c r="J3115" s="22" t="n">
        <f aca="false">IF(E3115="Priority",'Cost model'!N146,'Cost model'!M146)</f>
        <v>12.5</v>
      </c>
      <c r="K3115" s="14" t="n">
        <f aca="false">J3115-H3115</f>
        <v>-7.29</v>
      </c>
      <c r="L3115" s="14" t="n">
        <f aca="false">G3115-H3115</f>
        <v>-10.29</v>
      </c>
    </row>
    <row r="3116" customFormat="false" ht="15" hidden="false" customHeight="false" outlineLevel="0" collapsed="false">
      <c r="A3116" s="2" t="s">
        <v>126</v>
      </c>
      <c r="B3116" s="2" t="s">
        <v>146</v>
      </c>
      <c r="C3116" s="2" t="s">
        <v>48</v>
      </c>
      <c r="D3116" s="2" t="s">
        <v>10</v>
      </c>
      <c r="E3116" s="2" t="s">
        <v>85</v>
      </c>
      <c r="F3116" s="2" t="s">
        <v>1146</v>
      </c>
      <c r="G3116" s="14" t="n">
        <v>19.5</v>
      </c>
      <c r="H3116" s="14" t="n">
        <v>24.48</v>
      </c>
      <c r="I3116" s="14" t="n">
        <v>19.5</v>
      </c>
      <c r="J3116" s="22" t="n">
        <f aca="false">IF(E3116="Priority",'Cost model'!N398,'Cost model'!M398)</f>
        <v>21.5</v>
      </c>
      <c r="K3116" s="14" t="n">
        <f aca="false">J3116-H3116</f>
        <v>-2.98</v>
      </c>
      <c r="L3116" s="14" t="n">
        <f aca="false">G3116-H3116</f>
        <v>-4.98</v>
      </c>
    </row>
    <row r="3117" customFormat="false" ht="15" hidden="false" customHeight="false" outlineLevel="0" collapsed="false">
      <c r="A3117" s="2" t="s">
        <v>240</v>
      </c>
      <c r="B3117" s="2" t="s">
        <v>240</v>
      </c>
      <c r="C3117" s="2" t="s">
        <v>50</v>
      </c>
      <c r="D3117" s="2" t="s">
        <v>12</v>
      </c>
      <c r="E3117" s="2" t="s">
        <v>85</v>
      </c>
      <c r="F3117" s="2" t="s">
        <v>1145</v>
      </c>
      <c r="G3117" s="14" t="n">
        <v>29.5</v>
      </c>
      <c r="H3117" s="14" t="n">
        <v>32.66</v>
      </c>
      <c r="I3117" s="14" t="n">
        <v>29.5</v>
      </c>
      <c r="J3117" s="22" t="n">
        <f aca="false">IF(E3117="Priority",'Cost model'!N889,'Cost model'!M889)</f>
        <v>80</v>
      </c>
      <c r="K3117" s="14" t="n">
        <f aca="false">J3117-H3117</f>
        <v>47.34</v>
      </c>
      <c r="L3117" s="14" t="n">
        <f aca="false">G3117-H3117</f>
        <v>-3.16</v>
      </c>
    </row>
    <row r="3118" customFormat="false" ht="15" hidden="false" customHeight="false" outlineLevel="0" collapsed="false">
      <c r="A3118" s="2" t="s">
        <v>385</v>
      </c>
      <c r="B3118" s="2" t="s">
        <v>146</v>
      </c>
      <c r="C3118" s="2" t="s">
        <v>48</v>
      </c>
      <c r="D3118" s="2" t="s">
        <v>12</v>
      </c>
      <c r="E3118" s="2" t="s">
        <v>76</v>
      </c>
      <c r="F3118" s="2" t="s">
        <v>1146</v>
      </c>
      <c r="G3118" s="14" t="n">
        <v>24.5</v>
      </c>
      <c r="H3118" s="14" t="n">
        <v>96.8</v>
      </c>
      <c r="I3118" s="14" t="n">
        <v>24.5</v>
      </c>
      <c r="J3118" s="22" t="n">
        <f aca="false">IF(E3118="Priority",'Cost model'!N275,'Cost model'!M275)</f>
        <v>70</v>
      </c>
      <c r="K3118" s="14" t="n">
        <f aca="false">J3118-H3118</f>
        <v>-26.8</v>
      </c>
      <c r="L3118" s="14" t="n">
        <f aca="false">G3118-H3118</f>
        <v>-72.3</v>
      </c>
    </row>
    <row r="3119" customFormat="false" ht="15" hidden="false" customHeight="false" outlineLevel="0" collapsed="false">
      <c r="A3119" s="2" t="s">
        <v>165</v>
      </c>
      <c r="B3119" s="2" t="s">
        <v>165</v>
      </c>
      <c r="C3119" s="2" t="s">
        <v>50</v>
      </c>
      <c r="D3119" s="2" t="s">
        <v>10</v>
      </c>
      <c r="E3119" s="2" t="s">
        <v>76</v>
      </c>
      <c r="F3119" s="2" t="s">
        <v>1145</v>
      </c>
      <c r="G3119" s="14" t="n">
        <v>17.5</v>
      </c>
      <c r="H3119" s="14" t="n">
        <v>14.39</v>
      </c>
      <c r="I3119" s="14" t="n">
        <v>17.5</v>
      </c>
      <c r="J3119" s="22" t="n">
        <f aca="false">IF(E3119="Priority",'Cost model'!N508,'Cost model'!M508)</f>
        <v>17.5</v>
      </c>
      <c r="K3119" s="14" t="n">
        <f aca="false">J3119-H3119</f>
        <v>3.11</v>
      </c>
      <c r="L3119" s="14" t="n">
        <f aca="false">G3119-H3119</f>
        <v>3.11</v>
      </c>
    </row>
    <row r="3120" customFormat="false" ht="15" hidden="false" customHeight="false" outlineLevel="0" collapsed="false">
      <c r="A3120" s="2" t="s">
        <v>146</v>
      </c>
      <c r="B3120" s="2" t="s">
        <v>146</v>
      </c>
      <c r="C3120" s="2" t="s">
        <v>50</v>
      </c>
      <c r="D3120" s="2" t="s">
        <v>12</v>
      </c>
      <c r="E3120" s="2" t="s">
        <v>76</v>
      </c>
      <c r="F3120" s="2" t="s">
        <v>1145</v>
      </c>
      <c r="G3120" s="14" t="n">
        <v>19.5</v>
      </c>
      <c r="H3120" s="14" t="n">
        <v>44.12</v>
      </c>
      <c r="I3120" s="14" t="n">
        <v>19.5</v>
      </c>
      <c r="J3120" s="22" t="n">
        <f aca="false">IF(E3120="Priority",'Cost model'!N763,'Cost model'!M763)</f>
        <v>50</v>
      </c>
      <c r="K3120" s="14" t="n">
        <f aca="false">J3120-H3120</f>
        <v>5.88</v>
      </c>
      <c r="L3120" s="14" t="n">
        <f aca="false">G3120-H3120</f>
        <v>-24.62</v>
      </c>
    </row>
    <row r="3121" customFormat="false" ht="15" hidden="false" customHeight="false" outlineLevel="0" collapsed="false">
      <c r="A3121" s="2" t="s">
        <v>165</v>
      </c>
      <c r="B3121" s="2" t="s">
        <v>165</v>
      </c>
      <c r="C3121" s="2" t="s">
        <v>50</v>
      </c>
      <c r="D3121" s="2" t="s">
        <v>10</v>
      </c>
      <c r="E3121" s="2" t="s">
        <v>76</v>
      </c>
      <c r="F3121" s="2" t="s">
        <v>1145</v>
      </c>
      <c r="G3121" s="14" t="n">
        <v>17.5</v>
      </c>
      <c r="H3121" s="14" t="n">
        <v>17.69</v>
      </c>
      <c r="I3121" s="14" t="n">
        <v>17.5</v>
      </c>
      <c r="J3121" s="22" t="n">
        <f aca="false">IF(E3121="Priority",'Cost model'!N508,'Cost model'!M508)</f>
        <v>17.5</v>
      </c>
      <c r="K3121" s="14" t="n">
        <f aca="false">J3121-H3121</f>
        <v>-0.190000000000001</v>
      </c>
      <c r="L3121" s="14" t="n">
        <f aca="false">G3121-H3121</f>
        <v>-0.190000000000001</v>
      </c>
    </row>
    <row r="3122" customFormat="false" ht="15" hidden="false" customHeight="false" outlineLevel="0" collapsed="false">
      <c r="A3122" s="2" t="s">
        <v>240</v>
      </c>
      <c r="B3122" s="2" t="s">
        <v>126</v>
      </c>
      <c r="C3122" s="2" t="s">
        <v>50</v>
      </c>
      <c r="D3122" s="2" t="s">
        <v>12</v>
      </c>
      <c r="E3122" s="2" t="s">
        <v>76</v>
      </c>
      <c r="F3122" s="2" t="s">
        <v>1146</v>
      </c>
      <c r="G3122" s="14" t="n">
        <v>29.5</v>
      </c>
      <c r="H3122" s="14" t="n">
        <v>59.79</v>
      </c>
      <c r="I3122" s="14" t="n">
        <v>24.5</v>
      </c>
      <c r="J3122" s="22" t="n">
        <f aca="false">IF(E3122="Priority",'Cost model'!N961,'Cost model'!M961)</f>
        <v>75</v>
      </c>
      <c r="K3122" s="14" t="n">
        <f aca="false">J3122-H3122</f>
        <v>15.21</v>
      </c>
      <c r="L3122" s="14" t="n">
        <f aca="false">G3122-H3122</f>
        <v>-30.29</v>
      </c>
    </row>
    <row r="3123" customFormat="false" ht="15" hidden="false" customHeight="false" outlineLevel="0" collapsed="false">
      <c r="A3123" s="2" t="s">
        <v>184</v>
      </c>
      <c r="B3123" s="2" t="s">
        <v>184</v>
      </c>
      <c r="C3123" s="2" t="s">
        <v>48</v>
      </c>
      <c r="D3123" s="2" t="s">
        <v>10</v>
      </c>
      <c r="E3123" s="2" t="s">
        <v>76</v>
      </c>
      <c r="F3123" s="2" t="s">
        <v>1145</v>
      </c>
      <c r="G3123" s="14" t="n">
        <v>9.5</v>
      </c>
      <c r="H3123" s="14" t="n">
        <v>7.45</v>
      </c>
      <c r="I3123" s="14" t="n">
        <v>9.5</v>
      </c>
      <c r="J3123" s="22" t="n">
        <f aca="false">IF(E3123="Priority",'Cost model'!N200,'Cost model'!M200)</f>
        <v>7.5</v>
      </c>
      <c r="K3123" s="14" t="n">
        <f aca="false">J3123-H3123</f>
        <v>0.0499999999999998</v>
      </c>
      <c r="L3123" s="14" t="n">
        <f aca="false">G3123-H3123</f>
        <v>2.05</v>
      </c>
    </row>
    <row r="3124" customFormat="false" ht="15" hidden="false" customHeight="false" outlineLevel="0" collapsed="false">
      <c r="A3124" s="2" t="s">
        <v>184</v>
      </c>
      <c r="B3124" s="2" t="s">
        <v>165</v>
      </c>
      <c r="C3124" s="2" t="s">
        <v>48</v>
      </c>
      <c r="D3124" s="2" t="s">
        <v>12</v>
      </c>
      <c r="E3124" s="2" t="s">
        <v>76</v>
      </c>
      <c r="F3124" s="2" t="s">
        <v>1146</v>
      </c>
      <c r="G3124" s="14" t="n">
        <v>19.5</v>
      </c>
      <c r="H3124" s="14" t="n">
        <v>57.41</v>
      </c>
      <c r="I3124" s="14" t="n">
        <v>19.5</v>
      </c>
      <c r="J3124" s="22" t="n">
        <f aca="false">IF(E3124="Priority",'Cost model'!N167,'Cost model'!M167)</f>
        <v>60</v>
      </c>
      <c r="K3124" s="14" t="n">
        <f aca="false">J3124-H3124</f>
        <v>2.59</v>
      </c>
      <c r="L3124" s="14" t="n">
        <f aca="false">G3124-H3124</f>
        <v>-37.91</v>
      </c>
    </row>
    <row r="3125" customFormat="false" ht="15" hidden="false" customHeight="false" outlineLevel="0" collapsed="false">
      <c r="A3125" s="2" t="s">
        <v>126</v>
      </c>
      <c r="B3125" s="2" t="s">
        <v>165</v>
      </c>
      <c r="C3125" s="2" t="s">
        <v>48</v>
      </c>
      <c r="D3125" s="2" t="s">
        <v>12</v>
      </c>
      <c r="E3125" s="2" t="s">
        <v>76</v>
      </c>
      <c r="F3125" s="2" t="s">
        <v>1146</v>
      </c>
      <c r="G3125" s="14" t="n">
        <v>9.5</v>
      </c>
      <c r="H3125" s="14" t="n">
        <v>12.57</v>
      </c>
      <c r="I3125" s="14" t="n">
        <v>19.5</v>
      </c>
      <c r="J3125" s="22" t="n">
        <f aca="false">IF(E3125="Priority",'Cost model'!N419,'Cost model'!M419)</f>
        <v>55</v>
      </c>
      <c r="K3125" s="14" t="n">
        <f aca="false">J3125-H3125</f>
        <v>42.43</v>
      </c>
      <c r="L3125" s="14" t="n">
        <f aca="false">G3125-H3125</f>
        <v>-3.07</v>
      </c>
    </row>
    <row r="3126" customFormat="false" ht="15" hidden="false" customHeight="false" outlineLevel="0" collapsed="false">
      <c r="A3126" s="2" t="s">
        <v>146</v>
      </c>
      <c r="B3126" s="2" t="s">
        <v>146</v>
      </c>
      <c r="C3126" s="2" t="s">
        <v>49</v>
      </c>
      <c r="D3126" s="2" t="s">
        <v>10</v>
      </c>
      <c r="E3126" s="2" t="s">
        <v>76</v>
      </c>
      <c r="F3126" s="2" t="s">
        <v>1145</v>
      </c>
      <c r="G3126" s="14" t="n">
        <v>12.5</v>
      </c>
      <c r="H3126" s="14" t="n">
        <v>23.58</v>
      </c>
      <c r="I3126" s="14" t="n">
        <v>12.5</v>
      </c>
      <c r="J3126" s="22" t="n">
        <f aca="false">IF(E3126="Priority",'Cost model'!N759,'Cost model'!M759)</f>
        <v>15.5</v>
      </c>
      <c r="K3126" s="14" t="n">
        <f aca="false">J3126-H3126</f>
        <v>-8.08</v>
      </c>
      <c r="L3126" s="14" t="n">
        <f aca="false">G3126-H3126</f>
        <v>-11.08</v>
      </c>
    </row>
    <row r="3127" customFormat="false" ht="15" hidden="false" customHeight="false" outlineLevel="0" collapsed="false">
      <c r="A3127" s="2" t="s">
        <v>184</v>
      </c>
      <c r="B3127" s="2" t="s">
        <v>184</v>
      </c>
      <c r="C3127" s="2" t="s">
        <v>48</v>
      </c>
      <c r="D3127" s="2" t="s">
        <v>10</v>
      </c>
      <c r="E3127" s="2" t="s">
        <v>76</v>
      </c>
      <c r="F3127" s="2" t="s">
        <v>1145</v>
      </c>
      <c r="G3127" s="14" t="n">
        <v>9.5</v>
      </c>
      <c r="H3127" s="14" t="n">
        <v>6.11</v>
      </c>
      <c r="I3127" s="14" t="n">
        <v>9.5</v>
      </c>
      <c r="J3127" s="22" t="n">
        <f aca="false">IF(E3127="Priority",'Cost model'!N200,'Cost model'!M200)</f>
        <v>7.5</v>
      </c>
      <c r="K3127" s="14" t="n">
        <f aca="false">J3127-H3127</f>
        <v>1.39</v>
      </c>
      <c r="L3127" s="14" t="n">
        <f aca="false">G3127-H3127</f>
        <v>3.39</v>
      </c>
    </row>
    <row r="3128" customFormat="false" ht="15" hidden="false" customHeight="false" outlineLevel="0" collapsed="false">
      <c r="A3128" s="2" t="s">
        <v>126</v>
      </c>
      <c r="B3128" s="2" t="s">
        <v>146</v>
      </c>
      <c r="C3128" s="2" t="s">
        <v>48</v>
      </c>
      <c r="D3128" s="2" t="s">
        <v>13</v>
      </c>
      <c r="E3128" s="2" t="s">
        <v>76</v>
      </c>
      <c r="F3128" s="2" t="s">
        <v>1146</v>
      </c>
      <c r="G3128" s="14" t="n">
        <v>19</v>
      </c>
      <c r="H3128" s="14" t="n">
        <v>384.24</v>
      </c>
      <c r="I3128" s="14" t="n">
        <v>24.5</v>
      </c>
      <c r="J3128" s="22" t="n">
        <f aca="false">IF(E3128="Priority",'Cost model'!N404,'Cost model'!M404)</f>
        <v>120</v>
      </c>
      <c r="K3128" s="14" t="n">
        <f aca="false">J3128-H3128</f>
        <v>-264.24</v>
      </c>
      <c r="L3128" s="14" t="n">
        <f aca="false">G3128-H3128</f>
        <v>-365.24</v>
      </c>
    </row>
    <row r="3129" customFormat="false" ht="15" hidden="false" customHeight="false" outlineLevel="0" collapsed="false">
      <c r="A3129" s="2" t="s">
        <v>184</v>
      </c>
      <c r="B3129" s="2" t="s">
        <v>184</v>
      </c>
      <c r="C3129" s="2" t="s">
        <v>49</v>
      </c>
      <c r="D3129" s="2" t="s">
        <v>12</v>
      </c>
      <c r="E3129" s="2" t="s">
        <v>76</v>
      </c>
      <c r="F3129" s="2" t="s">
        <v>1145</v>
      </c>
      <c r="G3129" s="14" t="n">
        <v>12.5</v>
      </c>
      <c r="H3129" s="14" t="n">
        <v>80.37</v>
      </c>
      <c r="I3129" s="14"/>
      <c r="J3129" s="22" t="n">
        <f aca="false">IF(E3129="Priority",'Cost model'!N204,'Cost model'!M204)</f>
        <v>45</v>
      </c>
      <c r="K3129" s="14" t="n">
        <f aca="false">J3129-H3129</f>
        <v>-35.37</v>
      </c>
      <c r="L3129" s="14" t="n">
        <f aca="false">G3129-H3129</f>
        <v>-67.87</v>
      </c>
    </row>
    <row r="3130" customFormat="false" ht="15" hidden="false" customHeight="false" outlineLevel="0" collapsed="false">
      <c r="A3130" s="2" t="s">
        <v>184</v>
      </c>
      <c r="B3130" s="2" t="s">
        <v>184</v>
      </c>
      <c r="C3130" s="2" t="s">
        <v>49</v>
      </c>
      <c r="D3130" s="2" t="s">
        <v>10</v>
      </c>
      <c r="E3130" s="2" t="s">
        <v>76</v>
      </c>
      <c r="F3130" s="2" t="s">
        <v>1145</v>
      </c>
      <c r="G3130" s="14" t="n">
        <v>19.5</v>
      </c>
      <c r="H3130" s="14" t="n">
        <v>7.02</v>
      </c>
      <c r="I3130" s="14"/>
      <c r="J3130" s="22" t="n">
        <f aca="false">IF(E3130="Priority",'Cost model'!N201,'Cost model'!M201)</f>
        <v>12.5</v>
      </c>
      <c r="K3130" s="14" t="n">
        <f aca="false">J3130-H3130</f>
        <v>5.48</v>
      </c>
      <c r="L3130" s="14" t="n">
        <f aca="false">G3130-H3130</f>
        <v>12.48</v>
      </c>
    </row>
    <row r="3131" customFormat="false" ht="15" hidden="false" customHeight="false" outlineLevel="0" collapsed="false">
      <c r="A3131" s="2" t="s">
        <v>126</v>
      </c>
      <c r="B3131" s="2" t="s">
        <v>126</v>
      </c>
      <c r="C3131" s="2" t="s">
        <v>49</v>
      </c>
      <c r="D3131" s="2" t="s">
        <v>12</v>
      </c>
      <c r="E3131" s="2" t="s">
        <v>85</v>
      </c>
      <c r="F3131" s="2" t="s">
        <v>1145</v>
      </c>
      <c r="G3131" s="14" t="n">
        <v>19.5</v>
      </c>
      <c r="H3131" s="14" t="n">
        <v>42.61</v>
      </c>
      <c r="I3131" s="14" t="n">
        <v>19.5</v>
      </c>
      <c r="J3131" s="22" t="n">
        <f aca="false">IF(E3131="Priority",'Cost model'!N384,'Cost model'!M384)</f>
        <v>60</v>
      </c>
      <c r="K3131" s="14" t="n">
        <f aca="false">J3131-H3131</f>
        <v>17.39</v>
      </c>
      <c r="L3131" s="14" t="n">
        <f aca="false">G3131-H3131</f>
        <v>-23.11</v>
      </c>
    </row>
    <row r="3132" customFormat="false" ht="15" hidden="false" customHeight="false" outlineLevel="0" collapsed="false">
      <c r="A3132" s="2" t="s">
        <v>146</v>
      </c>
      <c r="B3132" s="2" t="s">
        <v>146</v>
      </c>
      <c r="C3132" s="2" t="s">
        <v>50</v>
      </c>
      <c r="D3132" s="2" t="s">
        <v>12</v>
      </c>
      <c r="E3132" s="2" t="s">
        <v>76</v>
      </c>
      <c r="F3132" s="2" t="s">
        <v>1145</v>
      </c>
      <c r="G3132" s="14" t="n">
        <v>19.5</v>
      </c>
      <c r="H3132" s="14" t="n">
        <v>74.55</v>
      </c>
      <c r="I3132" s="14" t="n">
        <v>19.5</v>
      </c>
      <c r="J3132" s="22" t="n">
        <f aca="false">IF(E3132="Priority",'Cost model'!N763,'Cost model'!M763)</f>
        <v>50</v>
      </c>
      <c r="K3132" s="14" t="n">
        <f aca="false">J3132-H3132</f>
        <v>-24.55</v>
      </c>
      <c r="L3132" s="14" t="n">
        <f aca="false">G3132-H3132</f>
        <v>-55.05</v>
      </c>
    </row>
    <row r="3133" customFormat="false" ht="15" hidden="false" customHeight="false" outlineLevel="0" collapsed="false">
      <c r="A3133" s="2" t="s">
        <v>146</v>
      </c>
      <c r="B3133" s="2" t="s">
        <v>126</v>
      </c>
      <c r="C3133" s="2" t="s">
        <v>49</v>
      </c>
      <c r="D3133" s="2" t="s">
        <v>10</v>
      </c>
      <c r="E3133" s="2" t="s">
        <v>76</v>
      </c>
      <c r="F3133" s="2" t="s">
        <v>1146</v>
      </c>
      <c r="G3133" s="14" t="n">
        <v>14.5</v>
      </c>
      <c r="H3133" s="14" t="n">
        <v>9.12</v>
      </c>
      <c r="I3133" s="14" t="n">
        <v>14.5</v>
      </c>
      <c r="J3133" s="22" t="n">
        <f aca="false">IF(E3133="Priority",'Cost model'!N795,'Cost model'!M795)</f>
        <v>13.5</v>
      </c>
      <c r="K3133" s="14" t="n">
        <f aca="false">J3133-H3133</f>
        <v>4.38</v>
      </c>
      <c r="L3133" s="14" t="n">
        <f aca="false">G3133-H3133</f>
        <v>5.38</v>
      </c>
    </row>
    <row r="3134" customFormat="false" ht="15" hidden="false" customHeight="false" outlineLevel="0" collapsed="false">
      <c r="A3134" s="2" t="s">
        <v>184</v>
      </c>
      <c r="B3134" s="2" t="s">
        <v>184</v>
      </c>
      <c r="C3134" s="2" t="s">
        <v>50</v>
      </c>
      <c r="D3134" s="2" t="s">
        <v>12</v>
      </c>
      <c r="E3134" s="2" t="s">
        <v>76</v>
      </c>
      <c r="F3134" s="2" t="s">
        <v>1145</v>
      </c>
      <c r="G3134" s="14" t="n">
        <v>19.5</v>
      </c>
      <c r="H3134" s="14" t="n">
        <v>44.89</v>
      </c>
      <c r="I3134" s="14" t="n">
        <v>19.5</v>
      </c>
      <c r="J3134" s="22" t="n">
        <f aca="false">IF(E3134="Priority",'Cost model'!N205,'Cost model'!M205)</f>
        <v>50</v>
      </c>
      <c r="K3134" s="14" t="n">
        <f aca="false">J3134-H3134</f>
        <v>5.11</v>
      </c>
      <c r="L3134" s="14" t="n">
        <f aca="false">G3134-H3134</f>
        <v>-25.39</v>
      </c>
    </row>
    <row r="3135" customFormat="false" ht="15" hidden="false" customHeight="false" outlineLevel="0" collapsed="false">
      <c r="A3135" s="2" t="s">
        <v>184</v>
      </c>
      <c r="B3135" s="2" t="s">
        <v>184</v>
      </c>
      <c r="C3135" s="2" t="s">
        <v>49</v>
      </c>
      <c r="D3135" s="2" t="s">
        <v>10</v>
      </c>
      <c r="E3135" s="2" t="s">
        <v>76</v>
      </c>
      <c r="F3135" s="2" t="s">
        <v>1145</v>
      </c>
      <c r="G3135" s="14" t="n">
        <v>12.5</v>
      </c>
      <c r="H3135" s="14" t="n">
        <v>7.02</v>
      </c>
      <c r="I3135" s="14"/>
      <c r="J3135" s="22" t="n">
        <f aca="false">IF(E3135="Priority",'Cost model'!N201,'Cost model'!M201)</f>
        <v>12.5</v>
      </c>
      <c r="K3135" s="14" t="n">
        <f aca="false">J3135-H3135</f>
        <v>5.48</v>
      </c>
      <c r="L3135" s="14" t="n">
        <f aca="false">G3135-H3135</f>
        <v>5.48</v>
      </c>
    </row>
    <row r="3136" customFormat="false" ht="15" hidden="false" customHeight="false" outlineLevel="0" collapsed="false">
      <c r="A3136" s="2" t="s">
        <v>126</v>
      </c>
      <c r="B3136" s="2" t="s">
        <v>126</v>
      </c>
      <c r="C3136" s="2" t="s">
        <v>49</v>
      </c>
      <c r="D3136" s="2" t="s">
        <v>13</v>
      </c>
      <c r="E3136" s="2" t="s">
        <v>76</v>
      </c>
      <c r="F3136" s="2" t="s">
        <v>1145</v>
      </c>
      <c r="G3136" s="14" t="n">
        <v>24.5</v>
      </c>
      <c r="H3136" s="14" t="n">
        <v>121.81</v>
      </c>
      <c r="I3136" s="14" t="n">
        <v>24.5</v>
      </c>
      <c r="J3136" s="22" t="n">
        <f aca="false">IF(E3136="Priority",'Cost model'!N387,'Cost model'!M387)</f>
        <v>95</v>
      </c>
      <c r="K3136" s="14" t="n">
        <f aca="false">J3136-H3136</f>
        <v>-26.81</v>
      </c>
      <c r="L3136" s="14" t="n">
        <f aca="false">G3136-H3136</f>
        <v>-97.31</v>
      </c>
    </row>
    <row r="3137" customFormat="false" ht="15" hidden="false" customHeight="false" outlineLevel="0" collapsed="false">
      <c r="A3137" s="2" t="s">
        <v>240</v>
      </c>
      <c r="B3137" s="2" t="s">
        <v>184</v>
      </c>
      <c r="C3137" s="2" t="s">
        <v>50</v>
      </c>
      <c r="D3137" s="2" t="s">
        <v>12</v>
      </c>
      <c r="E3137" s="2" t="s">
        <v>76</v>
      </c>
      <c r="F3137" s="2" t="s">
        <v>1146</v>
      </c>
      <c r="G3137" s="14" t="n">
        <v>29.5</v>
      </c>
      <c r="H3137" s="14" t="n">
        <v>95.36</v>
      </c>
      <c r="I3137" s="14" t="n">
        <v>29.5</v>
      </c>
      <c r="J3137" s="22" t="n">
        <f aca="false">IF(E3137="Priority",'Cost model'!N943,'Cost model'!M943)</f>
        <v>75</v>
      </c>
      <c r="K3137" s="14" t="n">
        <f aca="false">J3137-H3137</f>
        <v>-20.36</v>
      </c>
      <c r="L3137" s="14" t="n">
        <f aca="false">G3137-H3137</f>
        <v>-65.86</v>
      </c>
    </row>
    <row r="3138" customFormat="false" ht="15" hidden="false" customHeight="false" outlineLevel="0" collapsed="false">
      <c r="A3138" s="2" t="s">
        <v>146</v>
      </c>
      <c r="B3138" s="2" t="s">
        <v>146</v>
      </c>
      <c r="C3138" s="2" t="s">
        <v>50</v>
      </c>
      <c r="D3138" s="2" t="s">
        <v>12</v>
      </c>
      <c r="E3138" s="2" t="s">
        <v>76</v>
      </c>
      <c r="F3138" s="2" t="s">
        <v>1145</v>
      </c>
      <c r="G3138" s="14" t="n">
        <v>19.5</v>
      </c>
      <c r="H3138" s="14" t="n">
        <v>45.61</v>
      </c>
      <c r="I3138" s="14" t="n">
        <v>19.5</v>
      </c>
      <c r="J3138" s="22" t="n">
        <f aca="false">IF(E3138="Priority",'Cost model'!N763,'Cost model'!M763)</f>
        <v>50</v>
      </c>
      <c r="K3138" s="14" t="n">
        <f aca="false">J3138-H3138</f>
        <v>4.39</v>
      </c>
      <c r="L3138" s="14" t="n">
        <f aca="false">G3138-H3138</f>
        <v>-26.11</v>
      </c>
    </row>
    <row r="3139" customFormat="false" ht="15" hidden="false" customHeight="false" outlineLevel="0" collapsed="false">
      <c r="A3139" s="2" t="s">
        <v>184</v>
      </c>
      <c r="B3139" s="2" t="s">
        <v>184</v>
      </c>
      <c r="C3139" s="2" t="s">
        <v>49</v>
      </c>
      <c r="D3139" s="2" t="s">
        <v>12</v>
      </c>
      <c r="E3139" s="2" t="s">
        <v>76</v>
      </c>
      <c r="F3139" s="2" t="s">
        <v>1145</v>
      </c>
      <c r="G3139" s="14" t="n">
        <v>12.5</v>
      </c>
      <c r="H3139" s="14" t="n">
        <v>50.06</v>
      </c>
      <c r="I3139" s="14"/>
      <c r="J3139" s="22" t="n">
        <f aca="false">IF(E3139="Priority",'Cost model'!N204,'Cost model'!M204)</f>
        <v>45</v>
      </c>
      <c r="K3139" s="14" t="n">
        <f aca="false">J3139-H3139</f>
        <v>-5.06</v>
      </c>
      <c r="L3139" s="14" t="n">
        <f aca="false">G3139-H3139</f>
        <v>-37.56</v>
      </c>
    </row>
    <row r="3140" customFormat="false" ht="15" hidden="false" customHeight="false" outlineLevel="0" collapsed="false">
      <c r="A3140" s="2" t="s">
        <v>146</v>
      </c>
      <c r="B3140" s="2" t="s">
        <v>184</v>
      </c>
      <c r="C3140" s="2" t="s">
        <v>49</v>
      </c>
      <c r="D3140" s="2" t="s">
        <v>10</v>
      </c>
      <c r="E3140" s="2" t="s">
        <v>76</v>
      </c>
      <c r="F3140" s="2" t="s">
        <v>1146</v>
      </c>
      <c r="G3140" s="14" t="n">
        <v>17.5</v>
      </c>
      <c r="H3140" s="14" t="n">
        <v>20.83</v>
      </c>
      <c r="I3140" s="14" t="n">
        <v>14.5</v>
      </c>
      <c r="J3140" s="22" t="n">
        <f aca="false">IF(E3140="Priority",'Cost model'!N831,'Cost model'!M831)</f>
        <v>10.5</v>
      </c>
      <c r="K3140" s="14" t="n">
        <f aca="false">J3140-H3140</f>
        <v>-10.33</v>
      </c>
      <c r="L3140" s="14" t="n">
        <f aca="false">G3140-H3140</f>
        <v>-3.33</v>
      </c>
    </row>
    <row r="3141" customFormat="false" ht="15" hidden="false" customHeight="false" outlineLevel="0" collapsed="false">
      <c r="A3141" s="2" t="s">
        <v>165</v>
      </c>
      <c r="B3141" s="2" t="s">
        <v>165</v>
      </c>
      <c r="C3141" s="2" t="s">
        <v>48</v>
      </c>
      <c r="D3141" s="2" t="s">
        <v>12</v>
      </c>
      <c r="E3141" s="2" t="s">
        <v>76</v>
      </c>
      <c r="F3141" s="2" t="s">
        <v>1145</v>
      </c>
      <c r="G3141" s="14" t="n">
        <v>9.5</v>
      </c>
      <c r="H3141" s="14" t="n">
        <v>17.01</v>
      </c>
      <c r="I3141" s="14" t="n">
        <v>9.5</v>
      </c>
      <c r="J3141" s="22" t="n">
        <f aca="false">IF(E3141="Priority",'Cost model'!N509,'Cost model'!M509)</f>
        <v>17.5</v>
      </c>
      <c r="K3141" s="14" t="n">
        <f aca="false">J3141-H3141</f>
        <v>0.489999999999998</v>
      </c>
      <c r="L3141" s="14" t="n">
        <f aca="false">G3141-H3141</f>
        <v>-7.51</v>
      </c>
    </row>
    <row r="3142" customFormat="false" ht="15" hidden="false" customHeight="false" outlineLevel="0" collapsed="false">
      <c r="A3142" s="2" t="s">
        <v>126</v>
      </c>
      <c r="B3142" s="2" t="s">
        <v>125</v>
      </c>
      <c r="C3142" s="2" t="s">
        <v>49</v>
      </c>
      <c r="D3142" s="2" t="s">
        <v>10</v>
      </c>
      <c r="E3142" s="2" t="s">
        <v>76</v>
      </c>
      <c r="F3142" s="2" t="s">
        <v>1146</v>
      </c>
      <c r="G3142" s="14" t="n">
        <v>12.5</v>
      </c>
      <c r="H3142" s="14" t="n">
        <v>23.58</v>
      </c>
      <c r="I3142" s="14" t="n">
        <v>19.5</v>
      </c>
      <c r="J3142" s="22" t="n">
        <f aca="false">IF(E3142="Priority",'Cost model'!N471,'Cost model'!M471)</f>
        <v>35</v>
      </c>
      <c r="K3142" s="14" t="n">
        <f aca="false">J3142-H3142</f>
        <v>11.42</v>
      </c>
      <c r="L3142" s="14" t="n">
        <f aca="false">G3142-H3142</f>
        <v>-11.08</v>
      </c>
    </row>
    <row r="3143" customFormat="false" ht="15" hidden="false" customHeight="false" outlineLevel="0" collapsed="false">
      <c r="A3143" s="2" t="s">
        <v>126</v>
      </c>
      <c r="B3143" s="2" t="s">
        <v>126</v>
      </c>
      <c r="C3143" s="2" t="s">
        <v>50</v>
      </c>
      <c r="D3143" s="2" t="s">
        <v>14</v>
      </c>
      <c r="E3143" s="2" t="s">
        <v>76</v>
      </c>
      <c r="F3143" s="2" t="s">
        <v>1145</v>
      </c>
      <c r="G3143" s="14" t="n">
        <v>85</v>
      </c>
      <c r="H3143" s="14" t="n">
        <v>109.92</v>
      </c>
      <c r="I3143" s="14" t="n">
        <v>85</v>
      </c>
      <c r="J3143" s="22" t="n">
        <f aca="false">IF(E3143="Priority",'Cost model'!N391,'Cost model'!M391)</f>
        <v>170</v>
      </c>
      <c r="K3143" s="14" t="n">
        <f aca="false">J3143-H3143</f>
        <v>60.08</v>
      </c>
      <c r="L3143" s="14" t="n">
        <f aca="false">G3143-H3143</f>
        <v>-24.92</v>
      </c>
    </row>
    <row r="3144" customFormat="false" ht="15" hidden="false" customHeight="false" outlineLevel="0" collapsed="false">
      <c r="A3144" s="2" t="s">
        <v>221</v>
      </c>
      <c r="B3144" s="2" t="s">
        <v>221</v>
      </c>
      <c r="C3144" s="2" t="s">
        <v>49</v>
      </c>
      <c r="D3144" s="2" t="s">
        <v>10</v>
      </c>
      <c r="E3144" s="2" t="s">
        <v>85</v>
      </c>
      <c r="F3144" s="2" t="s">
        <v>1145</v>
      </c>
      <c r="G3144" s="14" t="n">
        <v>17.5</v>
      </c>
      <c r="H3144" s="14" t="n">
        <v>9.25</v>
      </c>
      <c r="I3144" s="14" t="n">
        <v>17.5</v>
      </c>
      <c r="J3144" s="22" t="n">
        <f aca="false">IF(E3144="Priority",'Cost model'!N633,'Cost model'!M633)</f>
        <v>18.5</v>
      </c>
      <c r="K3144" s="14" t="n">
        <f aca="false">J3144-H3144</f>
        <v>9.25</v>
      </c>
      <c r="L3144" s="14" t="n">
        <f aca="false">G3144-H3144</f>
        <v>8.25</v>
      </c>
    </row>
    <row r="3145" customFormat="false" ht="15" hidden="false" customHeight="false" outlineLevel="0" collapsed="false">
      <c r="A3145" s="2" t="s">
        <v>146</v>
      </c>
      <c r="B3145" s="2" t="s">
        <v>126</v>
      </c>
      <c r="C3145" s="2" t="s">
        <v>50</v>
      </c>
      <c r="D3145" s="2" t="s">
        <v>12</v>
      </c>
      <c r="E3145" s="2" t="s">
        <v>76</v>
      </c>
      <c r="F3145" s="2" t="s">
        <v>1146</v>
      </c>
      <c r="G3145" s="14" t="n">
        <v>19.5</v>
      </c>
      <c r="H3145" s="14" t="n">
        <v>20.55</v>
      </c>
      <c r="I3145" s="14" t="n">
        <v>19.5</v>
      </c>
      <c r="J3145" s="22" t="n">
        <f aca="false">IF(E3145="Priority",'Cost model'!N799,'Cost model'!M799)</f>
        <v>55</v>
      </c>
      <c r="K3145" s="14" t="n">
        <f aca="false">J3145-H3145</f>
        <v>34.45</v>
      </c>
      <c r="L3145" s="14" t="n">
        <f aca="false">G3145-H3145</f>
        <v>-1.05</v>
      </c>
    </row>
    <row r="3146" customFormat="false" ht="15" hidden="false" customHeight="false" outlineLevel="0" collapsed="false">
      <c r="A3146" s="2" t="s">
        <v>126</v>
      </c>
      <c r="B3146" s="2" t="s">
        <v>184</v>
      </c>
      <c r="C3146" s="2" t="s">
        <v>49</v>
      </c>
      <c r="D3146" s="2" t="s">
        <v>13</v>
      </c>
      <c r="E3146" s="2" t="s">
        <v>76</v>
      </c>
      <c r="F3146" s="2" t="s">
        <v>1146</v>
      </c>
      <c r="G3146" s="14" t="n">
        <v>24.5</v>
      </c>
      <c r="H3146" s="14" t="n">
        <v>101.12</v>
      </c>
      <c r="I3146" s="14" t="n">
        <v>24.5</v>
      </c>
      <c r="J3146" s="22" t="n">
        <f aca="false">IF(E3146="Priority",'Cost model'!N441,'Cost model'!M441)</f>
        <v>95</v>
      </c>
      <c r="K3146" s="14" t="n">
        <f aca="false">J3146-H3146</f>
        <v>-6.12</v>
      </c>
      <c r="L3146" s="14" t="n">
        <f aca="false">G3146-H3146</f>
        <v>-76.62</v>
      </c>
    </row>
    <row r="3147" customFormat="false" ht="15" hidden="false" customHeight="false" outlineLevel="0" collapsed="false">
      <c r="A3147" s="2" t="s">
        <v>240</v>
      </c>
      <c r="B3147" s="2" t="s">
        <v>184</v>
      </c>
      <c r="C3147" s="2" t="s">
        <v>50</v>
      </c>
      <c r="D3147" s="2" t="s">
        <v>10</v>
      </c>
      <c r="E3147" s="2" t="s">
        <v>76</v>
      </c>
      <c r="F3147" s="2" t="s">
        <v>1146</v>
      </c>
      <c r="G3147" s="14" t="n">
        <v>17.5</v>
      </c>
      <c r="H3147" s="14" t="n">
        <v>24.17</v>
      </c>
      <c r="I3147" s="14" t="n">
        <v>19.5</v>
      </c>
      <c r="J3147" s="22" t="n">
        <f aca="false">IF(E3147="Priority",'Cost model'!N940,'Cost model'!M940)</f>
        <v>23.5</v>
      </c>
      <c r="K3147" s="14" t="n">
        <f aca="false">J3147-H3147</f>
        <v>-0.670000000000002</v>
      </c>
      <c r="L3147" s="14" t="n">
        <f aca="false">G3147-H3147</f>
        <v>-6.67</v>
      </c>
    </row>
    <row r="3148" customFormat="false" ht="15" hidden="false" customHeight="false" outlineLevel="0" collapsed="false">
      <c r="A3148" s="2" t="s">
        <v>165</v>
      </c>
      <c r="B3148" s="2" t="s">
        <v>165</v>
      </c>
      <c r="C3148" s="2" t="s">
        <v>50</v>
      </c>
      <c r="D3148" s="2" t="s">
        <v>10</v>
      </c>
      <c r="E3148" s="2" t="s">
        <v>76</v>
      </c>
      <c r="F3148" s="2" t="s">
        <v>1145</v>
      </c>
      <c r="G3148" s="14" t="n">
        <v>17.5</v>
      </c>
      <c r="H3148" s="14" t="n">
        <v>17.31</v>
      </c>
      <c r="I3148" s="14" t="n">
        <v>17.5</v>
      </c>
      <c r="J3148" s="22" t="n">
        <f aca="false">IF(E3148="Priority",'Cost model'!N508,'Cost model'!M508)</f>
        <v>17.5</v>
      </c>
      <c r="K3148" s="14" t="n">
        <f aca="false">J3148-H3148</f>
        <v>0.190000000000001</v>
      </c>
      <c r="L3148" s="14" t="n">
        <f aca="false">G3148-H3148</f>
        <v>0.190000000000001</v>
      </c>
    </row>
    <row r="3149" customFormat="false" ht="15" hidden="false" customHeight="false" outlineLevel="0" collapsed="false">
      <c r="A3149" s="2" t="s">
        <v>126</v>
      </c>
      <c r="B3149" s="2" t="s">
        <v>126</v>
      </c>
      <c r="C3149" s="2" t="s">
        <v>48</v>
      </c>
      <c r="D3149" s="2" t="s">
        <v>12</v>
      </c>
      <c r="E3149" s="2" t="s">
        <v>76</v>
      </c>
      <c r="F3149" s="2" t="s">
        <v>1145</v>
      </c>
      <c r="G3149" s="14" t="n">
        <v>9.5</v>
      </c>
      <c r="H3149" s="14" t="n">
        <v>46.08</v>
      </c>
      <c r="I3149" s="14" t="n">
        <v>9.5</v>
      </c>
      <c r="J3149" s="22" t="n">
        <f aca="false">IF(E3149="Priority",'Cost model'!N383,'Cost model'!M383)</f>
        <v>27.5</v>
      </c>
      <c r="K3149" s="14" t="n">
        <f aca="false">J3149-H3149</f>
        <v>-18.58</v>
      </c>
      <c r="L3149" s="14" t="n">
        <f aca="false">G3149-H3149</f>
        <v>-36.58</v>
      </c>
    </row>
    <row r="3150" customFormat="false" ht="15" hidden="false" customHeight="false" outlineLevel="0" collapsed="false">
      <c r="A3150" s="2" t="s">
        <v>146</v>
      </c>
      <c r="B3150" s="2" t="s">
        <v>146</v>
      </c>
      <c r="C3150" s="2" t="s">
        <v>50</v>
      </c>
      <c r="D3150" s="2" t="s">
        <v>10</v>
      </c>
      <c r="E3150" s="2" t="s">
        <v>76</v>
      </c>
      <c r="F3150" s="2" t="s">
        <v>1145</v>
      </c>
      <c r="G3150" s="14" t="n">
        <v>17.5</v>
      </c>
      <c r="H3150" s="14" t="n">
        <v>11.34</v>
      </c>
      <c r="I3150" s="14" t="n">
        <v>17.5</v>
      </c>
      <c r="J3150" s="22" t="n">
        <f aca="false">IF(E3150="Priority",'Cost model'!N760,'Cost model'!M760)</f>
        <v>18.5</v>
      </c>
      <c r="K3150" s="14" t="n">
        <f aca="false">J3150-H3150</f>
        <v>7.16</v>
      </c>
      <c r="L3150" s="14" t="n">
        <f aca="false">G3150-H3150</f>
        <v>6.16</v>
      </c>
    </row>
    <row r="3151" customFormat="false" ht="15" hidden="false" customHeight="false" outlineLevel="0" collapsed="false">
      <c r="A3151" s="2" t="s">
        <v>184</v>
      </c>
      <c r="B3151" s="2" t="s">
        <v>165</v>
      </c>
      <c r="C3151" s="2" t="s">
        <v>49</v>
      </c>
      <c r="D3151" s="2" t="s">
        <v>10</v>
      </c>
      <c r="E3151" s="2" t="s">
        <v>76</v>
      </c>
      <c r="F3151" s="2" t="s">
        <v>1146</v>
      </c>
      <c r="G3151" s="14" t="n">
        <v>17.5</v>
      </c>
      <c r="H3151" s="14" t="n">
        <v>32.3</v>
      </c>
      <c r="I3151" s="14" t="n">
        <v>14.5</v>
      </c>
      <c r="J3151" s="22" t="n">
        <f aca="false">IF(E3151="Priority",'Cost model'!N165,'Cost model'!M165)</f>
        <v>15.5</v>
      </c>
      <c r="K3151" s="14" t="n">
        <f aca="false">J3151-H3151</f>
        <v>-16.8</v>
      </c>
      <c r="L3151" s="14" t="n">
        <f aca="false">G3151-H3151</f>
        <v>-14.8</v>
      </c>
    </row>
    <row r="3152" customFormat="false" ht="15" hidden="false" customHeight="false" outlineLevel="0" collapsed="false">
      <c r="A3152" s="2" t="s">
        <v>184</v>
      </c>
      <c r="B3152" s="2" t="s">
        <v>184</v>
      </c>
      <c r="C3152" s="2" t="s">
        <v>49</v>
      </c>
      <c r="D3152" s="2" t="s">
        <v>12</v>
      </c>
      <c r="E3152" s="2" t="s">
        <v>76</v>
      </c>
      <c r="F3152" s="2" t="s">
        <v>1145</v>
      </c>
      <c r="G3152" s="14" t="n">
        <v>12.5</v>
      </c>
      <c r="H3152" s="14" t="n">
        <v>43.25</v>
      </c>
      <c r="I3152" s="14"/>
      <c r="J3152" s="22" t="n">
        <f aca="false">IF(E3152="Priority",'Cost model'!N204,'Cost model'!M204)</f>
        <v>45</v>
      </c>
      <c r="K3152" s="14" t="n">
        <f aca="false">J3152-H3152</f>
        <v>1.75</v>
      </c>
      <c r="L3152" s="14" t="n">
        <f aca="false">G3152-H3152</f>
        <v>-30.75</v>
      </c>
    </row>
    <row r="3153" customFormat="false" ht="15" hidden="false" customHeight="false" outlineLevel="0" collapsed="false">
      <c r="A3153" s="2" t="s">
        <v>146</v>
      </c>
      <c r="B3153" s="2" t="s">
        <v>146</v>
      </c>
      <c r="C3153" s="2" t="s">
        <v>50</v>
      </c>
      <c r="D3153" s="2" t="s">
        <v>12</v>
      </c>
      <c r="E3153" s="2" t="s">
        <v>76</v>
      </c>
      <c r="F3153" s="2" t="s">
        <v>1145</v>
      </c>
      <c r="G3153" s="14" t="n">
        <v>19.5</v>
      </c>
      <c r="H3153" s="14" t="n">
        <v>64.55</v>
      </c>
      <c r="I3153" s="14" t="n">
        <v>19.5</v>
      </c>
      <c r="J3153" s="22" t="n">
        <f aca="false">IF(E3153="Priority",'Cost model'!N763,'Cost model'!M763)</f>
        <v>50</v>
      </c>
      <c r="K3153" s="14" t="n">
        <f aca="false">J3153-H3153</f>
        <v>-14.55</v>
      </c>
      <c r="L3153" s="14" t="n">
        <f aca="false">G3153-H3153</f>
        <v>-45.05</v>
      </c>
    </row>
    <row r="3154" customFormat="false" ht="15" hidden="false" customHeight="false" outlineLevel="0" collapsed="false">
      <c r="A3154" s="2" t="s">
        <v>184</v>
      </c>
      <c r="B3154" s="2" t="s">
        <v>184</v>
      </c>
      <c r="C3154" s="2" t="s">
        <v>49</v>
      </c>
      <c r="D3154" s="2" t="s">
        <v>10</v>
      </c>
      <c r="E3154" s="2" t="s">
        <v>76</v>
      </c>
      <c r="F3154" s="2" t="s">
        <v>1145</v>
      </c>
      <c r="G3154" s="14" t="n">
        <v>12.5</v>
      </c>
      <c r="H3154" s="14" t="n">
        <v>7.37</v>
      </c>
      <c r="I3154" s="14"/>
      <c r="J3154" s="22" t="n">
        <f aca="false">IF(E3154="Priority",'Cost model'!N201,'Cost model'!M201)</f>
        <v>12.5</v>
      </c>
      <c r="K3154" s="14" t="n">
        <f aca="false">J3154-H3154</f>
        <v>5.13</v>
      </c>
      <c r="L3154" s="14" t="n">
        <f aca="false">G3154-H3154</f>
        <v>5.13</v>
      </c>
    </row>
    <row r="3155" customFormat="false" ht="15" hidden="false" customHeight="false" outlineLevel="0" collapsed="false">
      <c r="A3155" s="2" t="s">
        <v>146</v>
      </c>
      <c r="B3155" s="2" t="s">
        <v>126</v>
      </c>
      <c r="C3155" s="2" t="s">
        <v>49</v>
      </c>
      <c r="D3155" s="2" t="s">
        <v>12</v>
      </c>
      <c r="E3155" s="2" t="s">
        <v>85</v>
      </c>
      <c r="F3155" s="2" t="s">
        <v>1146</v>
      </c>
      <c r="G3155" s="14" t="n">
        <v>24.5</v>
      </c>
      <c r="H3155" s="14" t="n">
        <v>52.78</v>
      </c>
      <c r="I3155" s="14" t="n">
        <v>24.5</v>
      </c>
      <c r="J3155" s="22" t="n">
        <f aca="false">IF(E3155="Priority",'Cost model'!N798,'Cost model'!M798)</f>
        <v>60</v>
      </c>
      <c r="K3155" s="14" t="n">
        <f aca="false">J3155-H3155</f>
        <v>7.22</v>
      </c>
      <c r="L3155" s="14" t="n">
        <f aca="false">G3155-H3155</f>
        <v>-28.28</v>
      </c>
    </row>
    <row r="3156" customFormat="false" ht="15" hidden="false" customHeight="false" outlineLevel="0" collapsed="false">
      <c r="A3156" s="2" t="s">
        <v>126</v>
      </c>
      <c r="B3156" s="2" t="s">
        <v>126</v>
      </c>
      <c r="C3156" s="2" t="s">
        <v>48</v>
      </c>
      <c r="D3156" s="2" t="s">
        <v>13</v>
      </c>
      <c r="E3156" s="2" t="s">
        <v>76</v>
      </c>
      <c r="F3156" s="2" t="s">
        <v>1145</v>
      </c>
      <c r="G3156" s="14" t="n">
        <v>19</v>
      </c>
      <c r="H3156" s="14" t="n">
        <v>48.02</v>
      </c>
      <c r="I3156" s="14" t="n">
        <v>19</v>
      </c>
      <c r="J3156" s="22" t="n">
        <f aca="false">IF(E3156="Priority",'Cost model'!N386,'Cost model'!M386)</f>
        <v>55</v>
      </c>
      <c r="K3156" s="14" t="n">
        <f aca="false">J3156-H3156</f>
        <v>6.98</v>
      </c>
      <c r="L3156" s="14" t="n">
        <f aca="false">G3156-H3156</f>
        <v>-29.02</v>
      </c>
    </row>
    <row r="3157" customFormat="false" ht="15" hidden="false" customHeight="false" outlineLevel="0" collapsed="false">
      <c r="A3157" s="2" t="s">
        <v>146</v>
      </c>
      <c r="B3157" s="2" t="s">
        <v>146</v>
      </c>
      <c r="C3157" s="2" t="s">
        <v>48</v>
      </c>
      <c r="D3157" s="2" t="s">
        <v>14</v>
      </c>
      <c r="E3157" s="2" t="s">
        <v>76</v>
      </c>
      <c r="F3157" s="2" t="s">
        <v>1145</v>
      </c>
      <c r="G3157" s="14" t="n">
        <v>25</v>
      </c>
      <c r="H3157" s="14" t="n">
        <v>205.14</v>
      </c>
      <c r="I3157" s="14" t="n">
        <v>25</v>
      </c>
      <c r="J3157" s="22" t="n">
        <f aca="false">IF(E3157="Priority",'Cost model'!N767,'Cost model'!M767)</f>
        <v>100</v>
      </c>
      <c r="K3157" s="14" t="n">
        <f aca="false">J3157-H3157</f>
        <v>-105.14</v>
      </c>
      <c r="L3157" s="14" t="n">
        <f aca="false">G3157-H3157</f>
        <v>-180.14</v>
      </c>
    </row>
    <row r="3158" customFormat="false" ht="15" hidden="false" customHeight="false" outlineLevel="0" collapsed="false">
      <c r="A3158" s="2" t="s">
        <v>126</v>
      </c>
      <c r="B3158" s="2" t="s">
        <v>126</v>
      </c>
      <c r="C3158" s="2" t="s">
        <v>49</v>
      </c>
      <c r="D3158" s="2" t="s">
        <v>10</v>
      </c>
      <c r="E3158" s="2" t="s">
        <v>76</v>
      </c>
      <c r="F3158" s="2" t="s">
        <v>1145</v>
      </c>
      <c r="G3158" s="14" t="n">
        <v>12.5</v>
      </c>
      <c r="H3158" s="14" t="n">
        <v>14.29</v>
      </c>
      <c r="I3158" s="14" t="n">
        <v>12.5</v>
      </c>
      <c r="J3158" s="22" t="n">
        <f aca="false">IF(E3158="Priority",'Cost model'!N381,'Cost model'!M381)</f>
        <v>14.5</v>
      </c>
      <c r="K3158" s="14" t="n">
        <f aca="false">J3158-H3158</f>
        <v>0.210000000000001</v>
      </c>
      <c r="L3158" s="14" t="n">
        <f aca="false">G3158-H3158</f>
        <v>-1.79</v>
      </c>
    </row>
    <row r="3159" customFormat="false" ht="15" hidden="false" customHeight="false" outlineLevel="0" collapsed="false">
      <c r="A3159" s="2" t="s">
        <v>240</v>
      </c>
      <c r="B3159" s="2" t="s">
        <v>240</v>
      </c>
      <c r="C3159" s="2" t="s">
        <v>48</v>
      </c>
      <c r="D3159" s="2" t="s">
        <v>10</v>
      </c>
      <c r="E3159" s="2" t="s">
        <v>76</v>
      </c>
      <c r="F3159" s="2" t="s">
        <v>1145</v>
      </c>
      <c r="G3159" s="14" t="n">
        <v>9.5</v>
      </c>
      <c r="H3159" s="14" t="n">
        <v>6.25</v>
      </c>
      <c r="I3159" s="14" t="n">
        <v>9.5</v>
      </c>
      <c r="J3159" s="22" t="n">
        <f aca="false">IF(E3159="Priority",'Cost model'!N884,'Cost model'!M884)</f>
        <v>7.5</v>
      </c>
      <c r="K3159" s="14" t="n">
        <f aca="false">J3159-H3159</f>
        <v>1.25</v>
      </c>
      <c r="L3159" s="14" t="n">
        <f aca="false">G3159-H3159</f>
        <v>3.25</v>
      </c>
    </row>
    <row r="3160" customFormat="false" ht="15" hidden="false" customHeight="false" outlineLevel="0" collapsed="false">
      <c r="A3160" s="2" t="s">
        <v>184</v>
      </c>
      <c r="B3160" s="2" t="s">
        <v>184</v>
      </c>
      <c r="C3160" s="2" t="s">
        <v>48</v>
      </c>
      <c r="D3160" s="2" t="s">
        <v>15</v>
      </c>
      <c r="E3160" s="2" t="s">
        <v>76</v>
      </c>
      <c r="F3160" s="2" t="s">
        <v>1145</v>
      </c>
      <c r="G3160" s="14" t="n">
        <v>45</v>
      </c>
      <c r="H3160" s="14" t="n">
        <v>118.57</v>
      </c>
      <c r="I3160" s="14" t="n">
        <v>45</v>
      </c>
      <c r="J3160" s="22" t="n">
        <f aca="false">IF(E3160="Priority",'Cost model'!N212,'Cost model'!M212)</f>
        <v>120</v>
      </c>
      <c r="K3160" s="14" t="n">
        <f aca="false">J3160-H3160</f>
        <v>1.43000000000001</v>
      </c>
      <c r="L3160" s="14" t="n">
        <f aca="false">G3160-H3160</f>
        <v>-73.57</v>
      </c>
    </row>
    <row r="3161" customFormat="false" ht="15" hidden="false" customHeight="false" outlineLevel="0" collapsed="false">
      <c r="A3161" s="2" t="s">
        <v>126</v>
      </c>
      <c r="B3161" s="2" t="s">
        <v>165</v>
      </c>
      <c r="C3161" s="2" t="s">
        <v>49</v>
      </c>
      <c r="D3161" s="2" t="s">
        <v>10</v>
      </c>
      <c r="E3161" s="2" t="s">
        <v>76</v>
      </c>
      <c r="F3161" s="2" t="s">
        <v>1146</v>
      </c>
      <c r="G3161" s="14" t="n">
        <v>12.5</v>
      </c>
      <c r="H3161" s="14" t="n">
        <v>8.87</v>
      </c>
      <c r="I3161" s="14" t="n">
        <v>14.5</v>
      </c>
      <c r="J3161" s="22" t="n">
        <f aca="false">IF(E3161="Priority",'Cost model'!N417,'Cost model'!M417)</f>
        <v>18.5</v>
      </c>
      <c r="K3161" s="14" t="n">
        <f aca="false">J3161-H3161</f>
        <v>9.63</v>
      </c>
      <c r="L3161" s="14" t="n">
        <f aca="false">G3161-H3161</f>
        <v>3.63</v>
      </c>
    </row>
    <row r="3162" customFormat="false" ht="15" hidden="false" customHeight="false" outlineLevel="0" collapsed="false">
      <c r="A3162" s="2" t="s">
        <v>184</v>
      </c>
      <c r="B3162" s="2" t="s">
        <v>184</v>
      </c>
      <c r="C3162" s="2" t="s">
        <v>49</v>
      </c>
      <c r="D3162" s="2" t="s">
        <v>13</v>
      </c>
      <c r="E3162" s="2" t="s">
        <v>76</v>
      </c>
      <c r="F3162" s="2" t="s">
        <v>1145</v>
      </c>
      <c r="G3162" s="14" t="n">
        <v>24.5</v>
      </c>
      <c r="H3162" s="14" t="n">
        <v>129.25</v>
      </c>
      <c r="I3162" s="14" t="n">
        <v>24.5</v>
      </c>
      <c r="J3162" s="22" t="n">
        <f aca="false">IF(E3162="Priority",'Cost model'!N207,'Cost model'!M207)</f>
        <v>75</v>
      </c>
      <c r="K3162" s="14" t="n">
        <f aca="false">J3162-H3162</f>
        <v>-54.25</v>
      </c>
      <c r="L3162" s="14" t="n">
        <f aca="false">G3162-H3162</f>
        <v>-104.75</v>
      </c>
    </row>
    <row r="3163" customFormat="false" ht="15" hidden="false" customHeight="false" outlineLevel="0" collapsed="false">
      <c r="A3163" s="2" t="s">
        <v>385</v>
      </c>
      <c r="B3163" s="2" t="s">
        <v>165</v>
      </c>
      <c r="C3163" s="2" t="s">
        <v>48</v>
      </c>
      <c r="D3163" s="2" t="s">
        <v>12</v>
      </c>
      <c r="E3163" s="2" t="s">
        <v>76</v>
      </c>
      <c r="F3163" s="2" t="s">
        <v>1146</v>
      </c>
      <c r="G3163" s="14" t="n">
        <v>24.5</v>
      </c>
      <c r="H3163" s="14" t="n">
        <v>48.71</v>
      </c>
      <c r="I3163" s="14" t="n">
        <v>24.5</v>
      </c>
      <c r="J3163" s="22" t="n">
        <f aca="false">IF(E3163="Priority",'Cost model'!N257,'Cost model'!M257)</f>
        <v>60</v>
      </c>
      <c r="K3163" s="14" t="n">
        <f aca="false">J3163-H3163</f>
        <v>11.29</v>
      </c>
      <c r="L3163" s="14" t="n">
        <f aca="false">G3163-H3163</f>
        <v>-24.21</v>
      </c>
    </row>
    <row r="3164" customFormat="false" ht="15" hidden="false" customHeight="false" outlineLevel="0" collapsed="false">
      <c r="A3164" s="2" t="s">
        <v>184</v>
      </c>
      <c r="B3164" s="2" t="s">
        <v>184</v>
      </c>
      <c r="C3164" s="2" t="s">
        <v>50</v>
      </c>
      <c r="D3164" s="2" t="s">
        <v>10</v>
      </c>
      <c r="E3164" s="2" t="s">
        <v>76</v>
      </c>
      <c r="F3164" s="2" t="s">
        <v>1145</v>
      </c>
      <c r="G3164" s="14" t="n">
        <v>17.5</v>
      </c>
      <c r="H3164" s="14" t="n">
        <v>38.59</v>
      </c>
      <c r="I3164" s="14" t="n">
        <v>17.5</v>
      </c>
      <c r="J3164" s="22" t="n">
        <f aca="false">IF(E3164="Priority",'Cost model'!N202,'Cost model'!M202)</f>
        <v>17.5</v>
      </c>
      <c r="K3164" s="14" t="n">
        <f aca="false">J3164-H3164</f>
        <v>-21.09</v>
      </c>
      <c r="L3164" s="14" t="n">
        <f aca="false">G3164-H3164</f>
        <v>-21.09</v>
      </c>
    </row>
    <row r="3165" customFormat="false" ht="15" hidden="false" customHeight="false" outlineLevel="0" collapsed="false">
      <c r="A3165" s="2" t="s">
        <v>126</v>
      </c>
      <c r="B3165" s="2" t="s">
        <v>126</v>
      </c>
      <c r="C3165" s="2" t="s">
        <v>48</v>
      </c>
      <c r="D3165" s="2" t="s">
        <v>10</v>
      </c>
      <c r="E3165" s="2" t="s">
        <v>76</v>
      </c>
      <c r="F3165" s="2" t="s">
        <v>1145</v>
      </c>
      <c r="G3165" s="14" t="n">
        <v>9.5</v>
      </c>
      <c r="H3165" s="14" t="n">
        <v>8.39</v>
      </c>
      <c r="I3165" s="14" t="n">
        <v>9.5</v>
      </c>
      <c r="J3165" s="22" t="n">
        <f aca="false">IF(E3165="Priority",'Cost model'!N380,'Cost model'!M380)</f>
        <v>8.5</v>
      </c>
      <c r="K3165" s="14" t="n">
        <f aca="false">J3165-H3165</f>
        <v>0.109999999999999</v>
      </c>
      <c r="L3165" s="14" t="n">
        <f aca="false">G3165-H3165</f>
        <v>1.11</v>
      </c>
    </row>
    <row r="3166" customFormat="false" ht="15" hidden="false" customHeight="false" outlineLevel="0" collapsed="false">
      <c r="A3166" s="2" t="s">
        <v>126</v>
      </c>
      <c r="B3166" s="2" t="s">
        <v>184</v>
      </c>
      <c r="C3166" s="2" t="s">
        <v>48</v>
      </c>
      <c r="D3166" s="2" t="s">
        <v>12</v>
      </c>
      <c r="E3166" s="2" t="s">
        <v>76</v>
      </c>
      <c r="F3166" s="2" t="s">
        <v>1146</v>
      </c>
      <c r="G3166" s="14" t="n">
        <v>19.5</v>
      </c>
      <c r="H3166" s="14" t="n">
        <v>9.93</v>
      </c>
      <c r="I3166" s="14" t="n">
        <v>19.5</v>
      </c>
      <c r="J3166" s="22" t="n">
        <f aca="false">IF(E3166="Priority",'Cost model'!N437,'Cost model'!M437)</f>
        <v>50</v>
      </c>
      <c r="K3166" s="14" t="n">
        <f aca="false">J3166-H3166</f>
        <v>40.07</v>
      </c>
      <c r="L3166" s="14" t="n">
        <f aca="false">G3166-H3166</f>
        <v>9.57</v>
      </c>
    </row>
    <row r="3167" customFormat="false" ht="15" hidden="false" customHeight="false" outlineLevel="0" collapsed="false">
      <c r="A3167" s="2" t="s">
        <v>184</v>
      </c>
      <c r="B3167" s="2" t="s">
        <v>184</v>
      </c>
      <c r="C3167" s="2" t="s">
        <v>48</v>
      </c>
      <c r="D3167" s="2" t="s">
        <v>10</v>
      </c>
      <c r="E3167" s="2" t="s">
        <v>85</v>
      </c>
      <c r="F3167" s="2" t="s">
        <v>1145</v>
      </c>
      <c r="G3167" s="14" t="n">
        <v>14.5</v>
      </c>
      <c r="H3167" s="14" t="n">
        <v>6.67</v>
      </c>
      <c r="I3167" s="14" t="n">
        <v>14.5</v>
      </c>
      <c r="J3167" s="22" t="n">
        <f aca="false">IF(E3167="Priority",'Cost model'!N200,'Cost model'!M200)</f>
        <v>12.5</v>
      </c>
      <c r="K3167" s="14" t="n">
        <f aca="false">J3167-H3167</f>
        <v>5.83</v>
      </c>
      <c r="L3167" s="14" t="n">
        <f aca="false">G3167-H3167</f>
        <v>7.83</v>
      </c>
    </row>
    <row r="3168" customFormat="false" ht="15" hidden="false" customHeight="false" outlineLevel="0" collapsed="false">
      <c r="A3168" s="2" t="s">
        <v>184</v>
      </c>
      <c r="B3168" s="2" t="s">
        <v>184</v>
      </c>
      <c r="C3168" s="2" t="s">
        <v>49</v>
      </c>
      <c r="D3168" s="2" t="s">
        <v>14</v>
      </c>
      <c r="E3168" s="2" t="s">
        <v>76</v>
      </c>
      <c r="F3168" s="2" t="s">
        <v>1145</v>
      </c>
      <c r="G3168" s="14" t="n">
        <v>45</v>
      </c>
      <c r="H3168" s="14" t="n">
        <v>99.79</v>
      </c>
      <c r="I3168" s="14"/>
      <c r="J3168" s="22" t="n">
        <f aca="false">IF(E3168="Priority",'Cost model'!N210,'Cost model'!M210)</f>
        <v>135</v>
      </c>
      <c r="K3168" s="14" t="n">
        <f aca="false">J3168-H3168</f>
        <v>35.21</v>
      </c>
      <c r="L3168" s="14" t="n">
        <f aca="false">G3168-H3168</f>
        <v>-54.79</v>
      </c>
    </row>
    <row r="3169" customFormat="false" ht="15" hidden="false" customHeight="false" outlineLevel="0" collapsed="false">
      <c r="A3169" s="2" t="s">
        <v>184</v>
      </c>
      <c r="B3169" s="2" t="s">
        <v>184</v>
      </c>
      <c r="C3169" s="2" t="s">
        <v>48</v>
      </c>
      <c r="D3169" s="2" t="s">
        <v>10</v>
      </c>
      <c r="E3169" s="2" t="s">
        <v>76</v>
      </c>
      <c r="F3169" s="2" t="s">
        <v>1145</v>
      </c>
      <c r="G3169" s="14" t="n">
        <v>9.5</v>
      </c>
      <c r="H3169" s="14" t="n">
        <v>6.24</v>
      </c>
      <c r="I3169" s="14" t="n">
        <v>9.5</v>
      </c>
      <c r="J3169" s="22" t="n">
        <f aca="false">IF(E3169="Priority",'Cost model'!N200,'Cost model'!M200)</f>
        <v>7.5</v>
      </c>
      <c r="K3169" s="14" t="n">
        <f aca="false">J3169-H3169</f>
        <v>1.26</v>
      </c>
      <c r="L3169" s="14" t="n">
        <f aca="false">G3169-H3169</f>
        <v>3.26</v>
      </c>
    </row>
    <row r="3170" customFormat="false" ht="15" hidden="false" customHeight="false" outlineLevel="0" collapsed="false">
      <c r="A3170" s="2" t="s">
        <v>126</v>
      </c>
      <c r="B3170" s="2" t="s">
        <v>126</v>
      </c>
      <c r="C3170" s="2" t="s">
        <v>49</v>
      </c>
      <c r="D3170" s="2" t="s">
        <v>12</v>
      </c>
      <c r="E3170" s="2" t="s">
        <v>76</v>
      </c>
      <c r="F3170" s="2" t="s">
        <v>1145</v>
      </c>
      <c r="G3170" s="14" t="n">
        <v>12.5</v>
      </c>
      <c r="H3170" s="14" t="n">
        <v>7.72</v>
      </c>
      <c r="I3170" s="14" t="n">
        <v>12.5</v>
      </c>
      <c r="J3170" s="22" t="n">
        <f aca="false">IF(E3170="Priority",'Cost model'!N384,'Cost model'!M384)</f>
        <v>45</v>
      </c>
      <c r="K3170" s="14" t="n">
        <f aca="false">J3170-H3170</f>
        <v>37.28</v>
      </c>
      <c r="L3170" s="14" t="n">
        <f aca="false">G3170-H3170</f>
        <v>4.78</v>
      </c>
    </row>
    <row r="3171" customFormat="false" ht="15" hidden="false" customHeight="false" outlineLevel="0" collapsed="false">
      <c r="A3171" s="2" t="s">
        <v>146</v>
      </c>
      <c r="B3171" s="2" t="s">
        <v>184</v>
      </c>
      <c r="C3171" s="2" t="s">
        <v>48</v>
      </c>
      <c r="D3171" s="2" t="s">
        <v>12</v>
      </c>
      <c r="E3171" s="2" t="s">
        <v>76</v>
      </c>
      <c r="F3171" s="2" t="s">
        <v>1146</v>
      </c>
      <c r="G3171" s="14" t="n">
        <v>9.5</v>
      </c>
      <c r="H3171" s="14" t="n">
        <v>43.79</v>
      </c>
      <c r="I3171" s="14" t="n">
        <v>19.5</v>
      </c>
      <c r="J3171" s="22" t="n">
        <f aca="false">IF(E3171="Priority",'Cost model'!N833,'Cost model'!M833)</f>
        <v>45</v>
      </c>
      <c r="K3171" s="14" t="n">
        <f aca="false">J3171-H3171</f>
        <v>1.21</v>
      </c>
      <c r="L3171" s="14" t="n">
        <f aca="false">G3171-H3171</f>
        <v>-34.29</v>
      </c>
    </row>
    <row r="3172" customFormat="false" ht="15" hidden="false" customHeight="false" outlineLevel="0" collapsed="false">
      <c r="A3172" s="2" t="s">
        <v>385</v>
      </c>
      <c r="B3172" s="2" t="s">
        <v>165</v>
      </c>
      <c r="C3172" s="2" t="s">
        <v>48</v>
      </c>
      <c r="D3172" s="2" t="s">
        <v>14</v>
      </c>
      <c r="E3172" s="2" t="s">
        <v>76</v>
      </c>
      <c r="F3172" s="2" t="s">
        <v>1146</v>
      </c>
      <c r="G3172" s="14" t="n">
        <v>95</v>
      </c>
      <c r="H3172" s="14" t="n">
        <v>204.34</v>
      </c>
      <c r="I3172" s="14" t="n">
        <v>95</v>
      </c>
      <c r="J3172" s="22" t="n">
        <f aca="false">IF(E3172="Priority",'Cost model'!N263,'Cost model'!M263)</f>
        <v>185</v>
      </c>
      <c r="K3172" s="14" t="n">
        <f aca="false">J3172-H3172</f>
        <v>-19.34</v>
      </c>
      <c r="L3172" s="14" t="n">
        <f aca="false">G3172-H3172</f>
        <v>-109.34</v>
      </c>
    </row>
    <row r="3173" customFormat="false" ht="15" hidden="false" customHeight="false" outlineLevel="0" collapsed="false">
      <c r="A3173" s="2" t="s">
        <v>240</v>
      </c>
      <c r="B3173" s="2" t="s">
        <v>240</v>
      </c>
      <c r="C3173" s="2" t="s">
        <v>50</v>
      </c>
      <c r="D3173" s="2" t="s">
        <v>12</v>
      </c>
      <c r="E3173" s="2" t="s">
        <v>76</v>
      </c>
      <c r="F3173" s="2" t="s">
        <v>1145</v>
      </c>
      <c r="G3173" s="14" t="n">
        <v>19.5</v>
      </c>
      <c r="H3173" s="14" t="n">
        <v>60.98</v>
      </c>
      <c r="I3173" s="14" t="n">
        <v>19.5</v>
      </c>
      <c r="J3173" s="22" t="n">
        <f aca="false">IF(E3173="Priority",'Cost model'!N889,'Cost model'!M889)</f>
        <v>60</v>
      </c>
      <c r="K3173" s="14" t="n">
        <f aca="false">J3173-H3173</f>
        <v>-0.979999999999997</v>
      </c>
      <c r="L3173" s="14" t="n">
        <f aca="false">G3173-H3173</f>
        <v>-41.48</v>
      </c>
    </row>
    <row r="3174" customFormat="false" ht="15" hidden="false" customHeight="false" outlineLevel="0" collapsed="false">
      <c r="A3174" s="2" t="s">
        <v>126</v>
      </c>
      <c r="B3174" s="2" t="s">
        <v>126</v>
      </c>
      <c r="C3174" s="2" t="s">
        <v>49</v>
      </c>
      <c r="D3174" s="2" t="s">
        <v>10</v>
      </c>
      <c r="E3174" s="2" t="s">
        <v>76</v>
      </c>
      <c r="F3174" s="2" t="s">
        <v>1145</v>
      </c>
      <c r="G3174" s="14" t="n">
        <v>12.5</v>
      </c>
      <c r="H3174" s="14" t="n">
        <v>7.46</v>
      </c>
      <c r="I3174" s="14" t="n">
        <v>12.5</v>
      </c>
      <c r="J3174" s="22" t="n">
        <f aca="false">IF(E3174="Priority",'Cost model'!N381,'Cost model'!M381)</f>
        <v>14.5</v>
      </c>
      <c r="K3174" s="14" t="n">
        <f aca="false">J3174-H3174</f>
        <v>7.04</v>
      </c>
      <c r="L3174" s="14" t="n">
        <f aca="false">G3174-H3174</f>
        <v>5.04</v>
      </c>
    </row>
    <row r="3175" customFormat="false" ht="15" hidden="false" customHeight="false" outlineLevel="0" collapsed="false">
      <c r="A3175" s="2" t="s">
        <v>184</v>
      </c>
      <c r="B3175" s="2" t="s">
        <v>184</v>
      </c>
      <c r="C3175" s="2" t="s">
        <v>48</v>
      </c>
      <c r="D3175" s="2" t="s">
        <v>12</v>
      </c>
      <c r="E3175" s="2" t="s">
        <v>76</v>
      </c>
      <c r="F3175" s="2" t="s">
        <v>1145</v>
      </c>
      <c r="G3175" s="14" t="n">
        <v>9.5</v>
      </c>
      <c r="H3175" s="14" t="n">
        <v>7.72</v>
      </c>
      <c r="I3175" s="14" t="n">
        <v>9.5</v>
      </c>
      <c r="J3175" s="22" t="n">
        <f aca="false">IF(E3175="Priority",'Cost model'!N203,'Cost model'!M203)</f>
        <v>26.5</v>
      </c>
      <c r="K3175" s="14" t="n">
        <f aca="false">J3175-H3175</f>
        <v>18.78</v>
      </c>
      <c r="L3175" s="14" t="n">
        <f aca="false">G3175-H3175</f>
        <v>1.78</v>
      </c>
    </row>
    <row r="3176" customFormat="false" ht="15" hidden="false" customHeight="false" outlineLevel="0" collapsed="false">
      <c r="A3176" s="2" t="s">
        <v>125</v>
      </c>
      <c r="B3176" s="2" t="s">
        <v>125</v>
      </c>
      <c r="C3176" s="2" t="s">
        <v>48</v>
      </c>
      <c r="D3176" s="2" t="s">
        <v>10</v>
      </c>
      <c r="E3176" s="2" t="s">
        <v>85</v>
      </c>
      <c r="F3176" s="2" t="s">
        <v>1145</v>
      </c>
      <c r="G3176" s="14" t="n">
        <v>14.5</v>
      </c>
      <c r="H3176" s="14" t="n">
        <v>35.42</v>
      </c>
      <c r="I3176" s="14" t="n">
        <v>14.5</v>
      </c>
      <c r="J3176" s="22" t="n">
        <f aca="false">IF(E3176="Priority",'Cost model'!N74,'Cost model'!M74)</f>
        <v>29.5</v>
      </c>
      <c r="K3176" s="14" t="n">
        <f aca="false">J3176-H3176</f>
        <v>-5.92</v>
      </c>
      <c r="L3176" s="14" t="n">
        <f aca="false">G3176-H3176</f>
        <v>-20.92</v>
      </c>
    </row>
    <row r="3177" customFormat="false" ht="15" hidden="false" customHeight="false" outlineLevel="0" collapsed="false">
      <c r="A3177" s="2" t="s">
        <v>240</v>
      </c>
      <c r="B3177" s="2" t="s">
        <v>165</v>
      </c>
      <c r="C3177" s="2" t="s">
        <v>48</v>
      </c>
      <c r="D3177" s="2" t="s">
        <v>10</v>
      </c>
      <c r="E3177" s="2" t="s">
        <v>76</v>
      </c>
      <c r="F3177" s="2" t="s">
        <v>1146</v>
      </c>
      <c r="G3177" s="14" t="n">
        <v>9.5</v>
      </c>
      <c r="H3177" s="14" t="n">
        <v>18.84</v>
      </c>
      <c r="I3177" s="14" t="n">
        <v>14.5</v>
      </c>
      <c r="J3177" s="22" t="n">
        <f aca="false">IF(E3177="Priority",'Cost model'!N902,'Cost model'!M902)</f>
        <v>13.5</v>
      </c>
      <c r="K3177" s="14" t="n">
        <f aca="false">J3177-H3177</f>
        <v>-5.34</v>
      </c>
      <c r="L3177" s="14" t="n">
        <f aca="false">G3177-H3177</f>
        <v>-9.34</v>
      </c>
    </row>
    <row r="3178" customFormat="false" ht="15" hidden="false" customHeight="false" outlineLevel="0" collapsed="false">
      <c r="A3178" s="2" t="s">
        <v>126</v>
      </c>
      <c r="B3178" s="2" t="s">
        <v>126</v>
      </c>
      <c r="C3178" s="2" t="s">
        <v>48</v>
      </c>
      <c r="D3178" s="2" t="s">
        <v>12</v>
      </c>
      <c r="E3178" s="2" t="s">
        <v>76</v>
      </c>
      <c r="F3178" s="2" t="s">
        <v>1145</v>
      </c>
      <c r="G3178" s="14" t="n">
        <v>9.5</v>
      </c>
      <c r="H3178" s="14" t="n">
        <v>27.85</v>
      </c>
      <c r="I3178" s="14" t="n">
        <v>9.5</v>
      </c>
      <c r="J3178" s="22" t="n">
        <f aca="false">IF(E3178="Priority",'Cost model'!N383,'Cost model'!M383)</f>
        <v>27.5</v>
      </c>
      <c r="K3178" s="14" t="n">
        <f aca="false">J3178-H3178</f>
        <v>-0.350000000000001</v>
      </c>
      <c r="L3178" s="14" t="n">
        <f aca="false">G3178-H3178</f>
        <v>-18.35</v>
      </c>
    </row>
    <row r="3179" customFormat="false" ht="15" hidden="false" customHeight="false" outlineLevel="0" collapsed="false">
      <c r="A3179" s="2" t="s">
        <v>146</v>
      </c>
      <c r="B3179" s="2" t="s">
        <v>126</v>
      </c>
      <c r="C3179" s="2" t="s">
        <v>48</v>
      </c>
      <c r="D3179" s="2" t="s">
        <v>12</v>
      </c>
      <c r="E3179" s="2" t="s">
        <v>76</v>
      </c>
      <c r="F3179" s="2" t="s">
        <v>1146</v>
      </c>
      <c r="G3179" s="14" t="n">
        <v>9.5</v>
      </c>
      <c r="H3179" s="14" t="n">
        <v>19.82</v>
      </c>
      <c r="I3179" s="14" t="n">
        <v>19.5</v>
      </c>
      <c r="J3179" s="22" t="n">
        <f aca="false">IF(E3179="Priority",'Cost model'!N797,'Cost model'!M797)</f>
        <v>40</v>
      </c>
      <c r="K3179" s="14" t="n">
        <f aca="false">J3179-H3179</f>
        <v>20.18</v>
      </c>
      <c r="L3179" s="14" t="n">
        <f aca="false">G3179-H3179</f>
        <v>-10.32</v>
      </c>
    </row>
    <row r="3180" customFormat="false" ht="15" hidden="false" customHeight="false" outlineLevel="0" collapsed="false">
      <c r="A3180" s="2" t="s">
        <v>184</v>
      </c>
      <c r="B3180" s="2" t="s">
        <v>184</v>
      </c>
      <c r="C3180" s="2" t="s">
        <v>49</v>
      </c>
      <c r="D3180" s="2" t="s">
        <v>10</v>
      </c>
      <c r="E3180" s="2" t="s">
        <v>76</v>
      </c>
      <c r="F3180" s="2" t="s">
        <v>1145</v>
      </c>
      <c r="G3180" s="14" t="n">
        <v>12.5</v>
      </c>
      <c r="H3180" s="14" t="n">
        <v>25.78</v>
      </c>
      <c r="I3180" s="14" t="n">
        <v>12.5</v>
      </c>
      <c r="J3180" s="22" t="n">
        <f aca="false">IF(E3180="Priority",'Cost model'!N201,'Cost model'!M201)</f>
        <v>12.5</v>
      </c>
      <c r="K3180" s="14" t="n">
        <f aca="false">J3180-H3180</f>
        <v>-13.28</v>
      </c>
      <c r="L3180" s="14" t="n">
        <f aca="false">G3180-H3180</f>
        <v>-13.28</v>
      </c>
    </row>
    <row r="3181" customFormat="false" ht="15" hidden="false" customHeight="false" outlineLevel="0" collapsed="false">
      <c r="A3181" s="2" t="s">
        <v>126</v>
      </c>
      <c r="B3181" s="2" t="s">
        <v>126</v>
      </c>
      <c r="C3181" s="2" t="s">
        <v>48</v>
      </c>
      <c r="D3181" s="2" t="s">
        <v>15</v>
      </c>
      <c r="E3181" s="2" t="s">
        <v>76</v>
      </c>
      <c r="F3181" s="2" t="s">
        <v>1145</v>
      </c>
      <c r="G3181" s="14" t="n">
        <v>45</v>
      </c>
      <c r="H3181" s="14" t="n">
        <v>141.23</v>
      </c>
      <c r="I3181" s="14" t="n">
        <v>45</v>
      </c>
      <c r="J3181" s="22" t="n">
        <f aca="false">IF(E3181="Priority",'Cost model'!N392,'Cost model'!M392)</f>
        <v>115</v>
      </c>
      <c r="K3181" s="14" t="n">
        <f aca="false">J3181-H3181</f>
        <v>-26.23</v>
      </c>
      <c r="L3181" s="14" t="n">
        <f aca="false">G3181-H3181</f>
        <v>-96.23</v>
      </c>
    </row>
    <row r="3182" customFormat="false" ht="15" hidden="false" customHeight="false" outlineLevel="0" collapsed="false">
      <c r="A3182" s="2" t="s">
        <v>146</v>
      </c>
      <c r="B3182" s="2" t="s">
        <v>146</v>
      </c>
      <c r="C3182" s="2" t="s">
        <v>49</v>
      </c>
      <c r="D3182" s="2" t="s">
        <v>12</v>
      </c>
      <c r="E3182" s="2" t="s">
        <v>76</v>
      </c>
      <c r="F3182" s="2" t="s">
        <v>1145</v>
      </c>
      <c r="G3182" s="14" t="n">
        <v>12.5</v>
      </c>
      <c r="H3182" s="14" t="n">
        <v>44.02</v>
      </c>
      <c r="I3182" s="14" t="n">
        <v>12.5</v>
      </c>
      <c r="J3182" s="22" t="n">
        <f aca="false">IF(E3182="Priority",'Cost model'!N762,'Cost model'!M762)</f>
        <v>45</v>
      </c>
      <c r="K3182" s="14" t="n">
        <f aca="false">J3182-H3182</f>
        <v>0.979999999999997</v>
      </c>
      <c r="L3182" s="14" t="n">
        <f aca="false">G3182-H3182</f>
        <v>-31.52</v>
      </c>
    </row>
    <row r="3183" customFormat="false" ht="15" hidden="false" customHeight="false" outlineLevel="0" collapsed="false">
      <c r="A3183" s="2" t="s">
        <v>184</v>
      </c>
      <c r="B3183" s="2" t="s">
        <v>221</v>
      </c>
      <c r="C3183" s="2" t="s">
        <v>49</v>
      </c>
      <c r="D3183" s="2" t="s">
        <v>12</v>
      </c>
      <c r="E3183" s="2" t="s">
        <v>76</v>
      </c>
      <c r="F3183" s="2" t="s">
        <v>1146</v>
      </c>
      <c r="G3183" s="14" t="n">
        <v>19.5</v>
      </c>
      <c r="H3183" s="14" t="n">
        <v>53.05</v>
      </c>
      <c r="I3183" s="14"/>
      <c r="J3183" s="22" t="n">
        <f aca="false">IF(E3183="Priority",'Cost model'!N222,'Cost model'!M222)</f>
        <v>60</v>
      </c>
      <c r="K3183" s="14" t="n">
        <f aca="false">J3183-H3183</f>
        <v>6.95</v>
      </c>
      <c r="L3183" s="14" t="n">
        <f aca="false">G3183-H3183</f>
        <v>-33.55</v>
      </c>
    </row>
    <row r="3184" customFormat="false" ht="15" hidden="false" customHeight="false" outlineLevel="0" collapsed="false">
      <c r="A3184" s="2" t="s">
        <v>165</v>
      </c>
      <c r="B3184" s="2" t="s">
        <v>240</v>
      </c>
      <c r="C3184" s="2" t="s">
        <v>50</v>
      </c>
      <c r="D3184" s="2" t="s">
        <v>10</v>
      </c>
      <c r="E3184" s="2" t="s">
        <v>76</v>
      </c>
      <c r="F3184" s="2" t="s">
        <v>1146</v>
      </c>
      <c r="G3184" s="14" t="n">
        <v>19.5</v>
      </c>
      <c r="H3184" s="14" t="n">
        <v>49.15</v>
      </c>
      <c r="I3184" s="14" t="n">
        <v>19.5</v>
      </c>
      <c r="J3184" s="22" t="n">
        <f aca="false">IF(E3184="Priority",'Cost model'!N562,'Cost model'!M562)</f>
        <v>23.5</v>
      </c>
      <c r="K3184" s="14" t="n">
        <f aca="false">J3184-H3184</f>
        <v>-25.65</v>
      </c>
      <c r="L3184" s="14" t="n">
        <f aca="false">G3184-H3184</f>
        <v>-29.65</v>
      </c>
    </row>
    <row r="3185" customFormat="false" ht="15" hidden="false" customHeight="false" outlineLevel="0" collapsed="false">
      <c r="A3185" s="2" t="s">
        <v>240</v>
      </c>
      <c r="B3185" s="2" t="s">
        <v>240</v>
      </c>
      <c r="C3185" s="2" t="s">
        <v>49</v>
      </c>
      <c r="D3185" s="2" t="s">
        <v>10</v>
      </c>
      <c r="E3185" s="2" t="s">
        <v>76</v>
      </c>
      <c r="F3185" s="2" t="s">
        <v>1145</v>
      </c>
      <c r="G3185" s="14" t="n">
        <v>12.5</v>
      </c>
      <c r="H3185" s="14" t="n">
        <v>10.1</v>
      </c>
      <c r="I3185" s="14" t="n">
        <v>12.5</v>
      </c>
      <c r="J3185" s="22" t="n">
        <f aca="false">IF(E3185="Priority",'Cost model'!N885,'Cost model'!M885)</f>
        <v>13.5</v>
      </c>
      <c r="K3185" s="14" t="n">
        <f aca="false">J3185-H3185</f>
        <v>3.4</v>
      </c>
      <c r="L3185" s="14" t="n">
        <f aca="false">G3185-H3185</f>
        <v>2.4</v>
      </c>
    </row>
    <row r="3186" customFormat="false" ht="15" hidden="false" customHeight="false" outlineLevel="0" collapsed="false">
      <c r="A3186" s="2" t="s">
        <v>126</v>
      </c>
      <c r="B3186" s="2" t="s">
        <v>126</v>
      </c>
      <c r="C3186" s="2" t="s">
        <v>49</v>
      </c>
      <c r="D3186" s="2" t="s">
        <v>10</v>
      </c>
      <c r="E3186" s="2" t="s">
        <v>76</v>
      </c>
      <c r="F3186" s="2" t="s">
        <v>1145</v>
      </c>
      <c r="G3186" s="14" t="n">
        <v>12.5</v>
      </c>
      <c r="H3186" s="14" t="n">
        <v>17.69</v>
      </c>
      <c r="I3186" s="14" t="n">
        <v>12.5</v>
      </c>
      <c r="J3186" s="22" t="n">
        <f aca="false">IF(E3186="Priority",'Cost model'!N381,'Cost model'!M381)</f>
        <v>14.5</v>
      </c>
      <c r="K3186" s="14" t="n">
        <f aca="false">J3186-H3186</f>
        <v>-3.19</v>
      </c>
      <c r="L3186" s="14" t="n">
        <f aca="false">G3186-H3186</f>
        <v>-5.19</v>
      </c>
    </row>
    <row r="3187" customFormat="false" ht="15" hidden="false" customHeight="false" outlineLevel="0" collapsed="false">
      <c r="A3187" s="2" t="s">
        <v>126</v>
      </c>
      <c r="B3187" s="2" t="s">
        <v>126</v>
      </c>
      <c r="C3187" s="2" t="s">
        <v>50</v>
      </c>
      <c r="D3187" s="2" t="s">
        <v>12</v>
      </c>
      <c r="E3187" s="2" t="s">
        <v>85</v>
      </c>
      <c r="F3187" s="2" t="s">
        <v>1145</v>
      </c>
      <c r="G3187" s="14" t="n">
        <v>29.5</v>
      </c>
      <c r="H3187" s="14" t="n">
        <v>23.58</v>
      </c>
      <c r="I3187" s="14" t="n">
        <v>29.5</v>
      </c>
      <c r="J3187" s="22" t="n">
        <f aca="false">IF(E3187="Priority",'Cost model'!N385,'Cost model'!M385)</f>
        <v>70</v>
      </c>
      <c r="K3187" s="14" t="n">
        <f aca="false">J3187-H3187</f>
        <v>46.42</v>
      </c>
      <c r="L3187" s="14" t="n">
        <f aca="false">G3187-H3187</f>
        <v>5.92</v>
      </c>
    </row>
    <row r="3188" customFormat="false" ht="15" hidden="false" customHeight="false" outlineLevel="0" collapsed="false">
      <c r="A3188" s="2" t="s">
        <v>146</v>
      </c>
      <c r="B3188" s="2" t="s">
        <v>146</v>
      </c>
      <c r="C3188" s="2" t="s">
        <v>49</v>
      </c>
      <c r="D3188" s="2" t="s">
        <v>12</v>
      </c>
      <c r="E3188" s="2" t="s">
        <v>76</v>
      </c>
      <c r="F3188" s="2" t="s">
        <v>1145</v>
      </c>
      <c r="G3188" s="14" t="n">
        <v>12.5</v>
      </c>
      <c r="H3188" s="14" t="n">
        <v>65.59</v>
      </c>
      <c r="I3188" s="14" t="n">
        <v>12.5</v>
      </c>
      <c r="J3188" s="22" t="n">
        <f aca="false">IF(E3188="Priority",'Cost model'!N762,'Cost model'!M762)</f>
        <v>45</v>
      </c>
      <c r="K3188" s="14" t="n">
        <f aca="false">J3188-H3188</f>
        <v>-20.59</v>
      </c>
      <c r="L3188" s="14" t="n">
        <f aca="false">G3188-H3188</f>
        <v>-53.09</v>
      </c>
    </row>
    <row r="3189" customFormat="false" ht="15" hidden="false" customHeight="false" outlineLevel="0" collapsed="false">
      <c r="A3189" s="2" t="s">
        <v>146</v>
      </c>
      <c r="B3189" s="2" t="s">
        <v>146</v>
      </c>
      <c r="C3189" s="2" t="s">
        <v>48</v>
      </c>
      <c r="D3189" s="2" t="s">
        <v>14</v>
      </c>
      <c r="E3189" s="2" t="s">
        <v>76</v>
      </c>
      <c r="F3189" s="2" t="s">
        <v>1145</v>
      </c>
      <c r="G3189" s="14" t="n">
        <v>25</v>
      </c>
      <c r="H3189" s="14" t="n">
        <v>65.54</v>
      </c>
      <c r="I3189" s="14" t="n">
        <v>25</v>
      </c>
      <c r="J3189" s="22" t="n">
        <f aca="false">IF(E3189="Priority",'Cost model'!N767,'Cost model'!M767)</f>
        <v>100</v>
      </c>
      <c r="K3189" s="14" t="n">
        <f aca="false">J3189-H3189</f>
        <v>34.46</v>
      </c>
      <c r="L3189" s="14" t="n">
        <f aca="false">G3189-H3189</f>
        <v>-40.54</v>
      </c>
    </row>
    <row r="3190" customFormat="false" ht="15" hidden="false" customHeight="false" outlineLevel="0" collapsed="false">
      <c r="A3190" s="2" t="s">
        <v>184</v>
      </c>
      <c r="B3190" s="2" t="s">
        <v>184</v>
      </c>
      <c r="C3190" s="2" t="s">
        <v>49</v>
      </c>
      <c r="D3190" s="2" t="s">
        <v>10</v>
      </c>
      <c r="E3190" s="2" t="s">
        <v>76</v>
      </c>
      <c r="F3190" s="2" t="s">
        <v>1145</v>
      </c>
      <c r="G3190" s="14" t="n">
        <v>12.5</v>
      </c>
      <c r="H3190" s="14" t="n">
        <v>15.22</v>
      </c>
      <c r="I3190" s="14" t="n">
        <v>12.5</v>
      </c>
      <c r="J3190" s="22" t="n">
        <f aca="false">IF(E3190="Priority",'Cost model'!N201,'Cost model'!M201)</f>
        <v>12.5</v>
      </c>
      <c r="K3190" s="14" t="n">
        <f aca="false">J3190-H3190</f>
        <v>-2.72</v>
      </c>
      <c r="L3190" s="14" t="n">
        <f aca="false">G3190-H3190</f>
        <v>-2.72</v>
      </c>
    </row>
    <row r="3191" customFormat="false" ht="15" hidden="false" customHeight="false" outlineLevel="0" collapsed="false">
      <c r="A3191" s="2" t="s">
        <v>184</v>
      </c>
      <c r="B3191" s="2" t="s">
        <v>184</v>
      </c>
      <c r="C3191" s="2" t="s">
        <v>49</v>
      </c>
      <c r="D3191" s="2" t="s">
        <v>14</v>
      </c>
      <c r="E3191" s="2" t="s">
        <v>76</v>
      </c>
      <c r="F3191" s="2" t="s">
        <v>1145</v>
      </c>
      <c r="G3191" s="14" t="n">
        <v>45</v>
      </c>
      <c r="H3191" s="14" t="n">
        <v>110.21</v>
      </c>
      <c r="I3191" s="14"/>
      <c r="J3191" s="22" t="n">
        <f aca="false">IF(E3191="Priority",'Cost model'!N210,'Cost model'!M210)</f>
        <v>135</v>
      </c>
      <c r="K3191" s="14" t="n">
        <f aca="false">J3191-H3191</f>
        <v>24.79</v>
      </c>
      <c r="L3191" s="14" t="n">
        <f aca="false">G3191-H3191</f>
        <v>-65.21</v>
      </c>
    </row>
    <row r="3192" customFormat="false" ht="15" hidden="false" customHeight="false" outlineLevel="0" collapsed="false">
      <c r="A3192" s="2" t="s">
        <v>146</v>
      </c>
      <c r="B3192" s="2" t="s">
        <v>240</v>
      </c>
      <c r="C3192" s="2" t="s">
        <v>48</v>
      </c>
      <c r="D3192" s="2" t="s">
        <v>10</v>
      </c>
      <c r="E3192" s="2" t="s">
        <v>76</v>
      </c>
      <c r="F3192" s="2" t="s">
        <v>1146</v>
      </c>
      <c r="G3192" s="14" t="n">
        <v>9.5</v>
      </c>
      <c r="H3192" s="14" t="n">
        <v>8.4</v>
      </c>
      <c r="I3192" s="14" t="n">
        <v>19.5</v>
      </c>
      <c r="J3192" s="22" t="n">
        <f aca="false">IF(E3192="Priority",'Cost model'!N812,'Cost model'!M812)</f>
        <v>12.5</v>
      </c>
      <c r="K3192" s="14" t="n">
        <f aca="false">J3192-H3192</f>
        <v>4.1</v>
      </c>
      <c r="L3192" s="14" t="n">
        <f aca="false">G3192-H3192</f>
        <v>1.1</v>
      </c>
    </row>
    <row r="3193" customFormat="false" ht="15" hidden="false" customHeight="false" outlineLevel="0" collapsed="false">
      <c r="A3193" s="2" t="s">
        <v>125</v>
      </c>
      <c r="B3193" s="2" t="s">
        <v>126</v>
      </c>
      <c r="C3193" s="2" t="s">
        <v>48</v>
      </c>
      <c r="D3193" s="2" t="s">
        <v>12</v>
      </c>
      <c r="E3193" s="2" t="s">
        <v>76</v>
      </c>
      <c r="F3193" s="2" t="s">
        <v>1146</v>
      </c>
      <c r="G3193" s="14" t="n">
        <v>19.5</v>
      </c>
      <c r="H3193" s="14" t="n">
        <v>37.63</v>
      </c>
      <c r="I3193" s="14" t="n">
        <v>19.5</v>
      </c>
      <c r="J3193" s="22" t="n">
        <f aca="false">IF(E3193="Priority",'Cost model'!N5,'Cost model'!M5)</f>
        <v>50</v>
      </c>
      <c r="K3193" s="14" t="n">
        <f aca="false">J3193-H3193</f>
        <v>12.37</v>
      </c>
      <c r="L3193" s="14" t="n">
        <f aca="false">G3193-H3193</f>
        <v>-18.13</v>
      </c>
    </row>
    <row r="3194" customFormat="false" ht="15" hidden="false" customHeight="false" outlineLevel="0" collapsed="false">
      <c r="A3194" s="2" t="s">
        <v>184</v>
      </c>
      <c r="B3194" s="2" t="s">
        <v>184</v>
      </c>
      <c r="C3194" s="2" t="s">
        <v>48</v>
      </c>
      <c r="D3194" s="2" t="s">
        <v>10</v>
      </c>
      <c r="E3194" s="2" t="s">
        <v>76</v>
      </c>
      <c r="F3194" s="2" t="s">
        <v>1145</v>
      </c>
      <c r="G3194" s="14" t="n">
        <v>9.5</v>
      </c>
      <c r="H3194" s="14" t="n">
        <v>6.19</v>
      </c>
      <c r="I3194" s="14" t="n">
        <v>9.5</v>
      </c>
      <c r="J3194" s="22" t="n">
        <f aca="false">IF(E3194="Priority",'Cost model'!N200,'Cost model'!M200)</f>
        <v>7.5</v>
      </c>
      <c r="K3194" s="14" t="n">
        <f aca="false">J3194-H3194</f>
        <v>1.31</v>
      </c>
      <c r="L3194" s="14" t="n">
        <f aca="false">G3194-H3194</f>
        <v>3.31</v>
      </c>
    </row>
    <row r="3195" customFormat="false" ht="15" hidden="false" customHeight="false" outlineLevel="0" collapsed="false">
      <c r="A3195" s="2" t="s">
        <v>126</v>
      </c>
      <c r="B3195" s="2" t="s">
        <v>126</v>
      </c>
      <c r="C3195" s="2" t="s">
        <v>48</v>
      </c>
      <c r="D3195" s="2" t="s">
        <v>10</v>
      </c>
      <c r="E3195" s="2" t="s">
        <v>85</v>
      </c>
      <c r="F3195" s="2" t="s">
        <v>1145</v>
      </c>
      <c r="G3195" s="14" t="n">
        <v>14.5</v>
      </c>
      <c r="H3195" s="14" t="n">
        <v>8.8</v>
      </c>
      <c r="I3195" s="14" t="n">
        <v>14.5</v>
      </c>
      <c r="J3195" s="22" t="n">
        <f aca="false">IF(E3195="Priority",'Cost model'!N380,'Cost model'!M380)</f>
        <v>13.5</v>
      </c>
      <c r="K3195" s="14" t="n">
        <f aca="false">J3195-H3195</f>
        <v>4.7</v>
      </c>
      <c r="L3195" s="14" t="n">
        <f aca="false">G3195-H3195</f>
        <v>5.7</v>
      </c>
    </row>
    <row r="3196" customFormat="false" ht="15" hidden="false" customHeight="false" outlineLevel="0" collapsed="false">
      <c r="A3196" s="2" t="s">
        <v>126</v>
      </c>
      <c r="B3196" s="2" t="s">
        <v>126</v>
      </c>
      <c r="C3196" s="2" t="s">
        <v>50</v>
      </c>
      <c r="D3196" s="2" t="s">
        <v>12</v>
      </c>
      <c r="E3196" s="2" t="s">
        <v>76</v>
      </c>
      <c r="F3196" s="2" t="s">
        <v>1145</v>
      </c>
      <c r="G3196" s="14" t="n">
        <v>19.5</v>
      </c>
      <c r="H3196" s="14" t="n">
        <v>44.11</v>
      </c>
      <c r="I3196" s="14" t="n">
        <v>19.5</v>
      </c>
      <c r="J3196" s="22" t="n">
        <f aca="false">IF(E3196="Priority",'Cost model'!N385,'Cost model'!M385)</f>
        <v>55</v>
      </c>
      <c r="K3196" s="14" t="n">
        <f aca="false">J3196-H3196</f>
        <v>10.89</v>
      </c>
      <c r="L3196" s="14" t="n">
        <f aca="false">G3196-H3196</f>
        <v>-24.61</v>
      </c>
    </row>
    <row r="3197" customFormat="false" ht="15" hidden="false" customHeight="false" outlineLevel="0" collapsed="false">
      <c r="A3197" s="2" t="s">
        <v>240</v>
      </c>
      <c r="B3197" s="2" t="s">
        <v>240</v>
      </c>
      <c r="C3197" s="2" t="s">
        <v>48</v>
      </c>
      <c r="D3197" s="2" t="s">
        <v>13</v>
      </c>
      <c r="E3197" s="2" t="s">
        <v>76</v>
      </c>
      <c r="F3197" s="2" t="s">
        <v>1145</v>
      </c>
      <c r="G3197" s="14" t="n">
        <v>34.5</v>
      </c>
      <c r="H3197" s="14" t="n">
        <v>15.93</v>
      </c>
      <c r="I3197" s="14" t="n">
        <v>19.5</v>
      </c>
      <c r="J3197" s="22" t="n">
        <f aca="false">IF(E3197="Priority",'Cost model'!N890,'Cost model'!M890)</f>
        <v>45</v>
      </c>
      <c r="K3197" s="14" t="n">
        <f aca="false">J3197-H3197</f>
        <v>29.07</v>
      </c>
      <c r="L3197" s="14" t="n">
        <f aca="false">G3197-H3197</f>
        <v>18.57</v>
      </c>
    </row>
    <row r="3198" customFormat="false" ht="15" hidden="false" customHeight="false" outlineLevel="0" collapsed="false">
      <c r="A3198" s="2" t="s">
        <v>184</v>
      </c>
      <c r="B3198" s="2" t="s">
        <v>184</v>
      </c>
      <c r="C3198" s="2" t="s">
        <v>48</v>
      </c>
      <c r="D3198" s="2" t="s">
        <v>12</v>
      </c>
      <c r="E3198" s="2" t="s">
        <v>76</v>
      </c>
      <c r="F3198" s="2" t="s">
        <v>1145</v>
      </c>
      <c r="G3198" s="14" t="n">
        <v>9.5</v>
      </c>
      <c r="H3198" s="14" t="n">
        <v>28.47</v>
      </c>
      <c r="I3198" s="14" t="n">
        <v>9.5</v>
      </c>
      <c r="J3198" s="22" t="n">
        <f aca="false">IF(E3198="Priority",'Cost model'!N203,'Cost model'!M203)</f>
        <v>26.5</v>
      </c>
      <c r="K3198" s="14" t="n">
        <f aca="false">J3198-H3198</f>
        <v>-1.97</v>
      </c>
      <c r="L3198" s="14" t="n">
        <f aca="false">G3198-H3198</f>
        <v>-18.97</v>
      </c>
    </row>
    <row r="3199" customFormat="false" ht="15" hidden="false" customHeight="false" outlineLevel="0" collapsed="false">
      <c r="A3199" s="2" t="s">
        <v>146</v>
      </c>
      <c r="B3199" s="2" t="s">
        <v>146</v>
      </c>
      <c r="C3199" s="2" t="s">
        <v>49</v>
      </c>
      <c r="D3199" s="2" t="s">
        <v>10</v>
      </c>
      <c r="E3199" s="2" t="s">
        <v>76</v>
      </c>
      <c r="F3199" s="2" t="s">
        <v>1145</v>
      </c>
      <c r="G3199" s="14" t="n">
        <v>14.5</v>
      </c>
      <c r="H3199" s="14" t="n">
        <v>15.82</v>
      </c>
      <c r="I3199" s="14" t="n">
        <v>12.5</v>
      </c>
      <c r="J3199" s="22" t="n">
        <f aca="false">IF(E3199="Priority",'Cost model'!N759,'Cost model'!M759)</f>
        <v>15.5</v>
      </c>
      <c r="K3199" s="14" t="n">
        <f aca="false">J3199-H3199</f>
        <v>-0.32</v>
      </c>
      <c r="L3199" s="14" t="n">
        <f aca="false">G3199-H3199</f>
        <v>-1.32</v>
      </c>
    </row>
    <row r="3200" customFormat="false" ht="15" hidden="false" customHeight="false" outlineLevel="0" collapsed="false">
      <c r="A3200" s="2" t="s">
        <v>184</v>
      </c>
      <c r="B3200" s="2" t="s">
        <v>184</v>
      </c>
      <c r="C3200" s="2" t="s">
        <v>48</v>
      </c>
      <c r="D3200" s="2" t="s">
        <v>10</v>
      </c>
      <c r="E3200" s="2" t="s">
        <v>76</v>
      </c>
      <c r="F3200" s="2" t="s">
        <v>1145</v>
      </c>
      <c r="G3200" s="14" t="n">
        <v>9.5</v>
      </c>
      <c r="H3200" s="14" t="n">
        <v>7.72</v>
      </c>
      <c r="I3200" s="14" t="n">
        <v>9.5</v>
      </c>
      <c r="J3200" s="22" t="n">
        <f aca="false">IF(E3200="Priority",'Cost model'!N200,'Cost model'!M200)</f>
        <v>7.5</v>
      </c>
      <c r="K3200" s="14" t="n">
        <f aca="false">J3200-H3200</f>
        <v>-0.22</v>
      </c>
      <c r="L3200" s="14" t="n">
        <f aca="false">G3200-H3200</f>
        <v>1.78</v>
      </c>
    </row>
    <row r="3201" customFormat="false" ht="15" hidden="false" customHeight="false" outlineLevel="0" collapsed="false">
      <c r="A3201" s="2" t="s">
        <v>240</v>
      </c>
      <c r="B3201" s="2" t="s">
        <v>240</v>
      </c>
      <c r="C3201" s="2" t="s">
        <v>50</v>
      </c>
      <c r="D3201" s="2" t="s">
        <v>13</v>
      </c>
      <c r="E3201" s="2" t="s">
        <v>85</v>
      </c>
      <c r="F3201" s="2" t="s">
        <v>1145</v>
      </c>
      <c r="G3201" s="14" t="n">
        <v>95</v>
      </c>
      <c r="H3201" s="14" t="n">
        <v>194.63</v>
      </c>
      <c r="I3201" s="14" t="n">
        <v>95</v>
      </c>
      <c r="J3201" s="22" t="n">
        <f aca="false">IF(E3201="Priority",'Cost model'!N892,'Cost model'!M892)</f>
        <v>180</v>
      </c>
      <c r="K3201" s="14" t="n">
        <f aca="false">J3201-H3201</f>
        <v>-14.63</v>
      </c>
      <c r="L3201" s="14" t="n">
        <f aca="false">G3201-H3201</f>
        <v>-99.63</v>
      </c>
    </row>
    <row r="3202" customFormat="false" ht="15" hidden="false" customHeight="false" outlineLevel="0" collapsed="false">
      <c r="A3202" s="2" t="s">
        <v>126</v>
      </c>
      <c r="B3202" s="2" t="s">
        <v>126</v>
      </c>
      <c r="C3202" s="2" t="s">
        <v>48</v>
      </c>
      <c r="D3202" s="2" t="s">
        <v>10</v>
      </c>
      <c r="E3202" s="2" t="s">
        <v>76</v>
      </c>
      <c r="F3202" s="2" t="s">
        <v>1145</v>
      </c>
      <c r="G3202" s="14" t="n">
        <v>9.5</v>
      </c>
      <c r="H3202" s="14" t="n">
        <v>7.12</v>
      </c>
      <c r="I3202" s="14" t="n">
        <v>9.5</v>
      </c>
      <c r="J3202" s="22" t="n">
        <f aca="false">IF(E3202="Priority",'Cost model'!N380,'Cost model'!M380)</f>
        <v>8.5</v>
      </c>
      <c r="K3202" s="14" t="n">
        <f aca="false">J3202-H3202</f>
        <v>1.38</v>
      </c>
      <c r="L3202" s="14" t="n">
        <f aca="false">G3202-H3202</f>
        <v>2.38</v>
      </c>
    </row>
    <row r="3203" customFormat="false" ht="15" hidden="false" customHeight="false" outlineLevel="0" collapsed="false">
      <c r="A3203" s="2" t="s">
        <v>184</v>
      </c>
      <c r="B3203" s="2" t="s">
        <v>146</v>
      </c>
      <c r="C3203" s="2" t="s">
        <v>48</v>
      </c>
      <c r="D3203" s="2" t="s">
        <v>10</v>
      </c>
      <c r="E3203" s="2" t="s">
        <v>76</v>
      </c>
      <c r="F3203" s="2" t="s">
        <v>1146</v>
      </c>
      <c r="G3203" s="14" t="n">
        <v>9.5</v>
      </c>
      <c r="H3203" s="14" t="n">
        <v>9.64</v>
      </c>
      <c r="I3203" s="14" t="n">
        <v>9.5</v>
      </c>
      <c r="J3203" s="22" t="n">
        <f aca="false">IF(E3203="Priority",'Cost model'!N146,'Cost model'!M146)</f>
        <v>12.5</v>
      </c>
      <c r="K3203" s="14" t="n">
        <f aca="false">J3203-H3203</f>
        <v>2.86</v>
      </c>
      <c r="L3203" s="14" t="n">
        <f aca="false">G3203-H3203</f>
        <v>-0.140000000000001</v>
      </c>
    </row>
    <row r="3204" customFormat="false" ht="15" hidden="false" customHeight="false" outlineLevel="0" collapsed="false">
      <c r="A3204" s="2" t="s">
        <v>165</v>
      </c>
      <c r="B3204" s="2" t="s">
        <v>165</v>
      </c>
      <c r="C3204" s="2" t="s">
        <v>48</v>
      </c>
      <c r="D3204" s="2" t="s">
        <v>10</v>
      </c>
      <c r="E3204" s="2" t="s">
        <v>85</v>
      </c>
      <c r="F3204" s="2" t="s">
        <v>1145</v>
      </c>
      <c r="G3204" s="14" t="n">
        <v>14.5</v>
      </c>
      <c r="H3204" s="14" t="n">
        <v>7.14</v>
      </c>
      <c r="I3204" s="14" t="n">
        <v>14.5</v>
      </c>
      <c r="J3204" s="22" t="n">
        <f aca="false">IF(E3204="Priority",'Cost model'!N506,'Cost model'!M506)</f>
        <v>12.5</v>
      </c>
      <c r="K3204" s="14" t="n">
        <f aca="false">J3204-H3204</f>
        <v>5.36</v>
      </c>
      <c r="L3204" s="14" t="n">
        <f aca="false">G3204-H3204</f>
        <v>7.36</v>
      </c>
    </row>
    <row r="3205" customFormat="false" ht="15" hidden="false" customHeight="false" outlineLevel="0" collapsed="false">
      <c r="A3205" s="2" t="s">
        <v>126</v>
      </c>
      <c r="B3205" s="2" t="s">
        <v>126</v>
      </c>
      <c r="C3205" s="2" t="s">
        <v>49</v>
      </c>
      <c r="D3205" s="2" t="s">
        <v>10</v>
      </c>
      <c r="E3205" s="2" t="s">
        <v>76</v>
      </c>
      <c r="F3205" s="2" t="s">
        <v>1145</v>
      </c>
      <c r="G3205" s="14" t="n">
        <v>12.5</v>
      </c>
      <c r="H3205" s="14" t="n">
        <v>9.99</v>
      </c>
      <c r="I3205" s="14" t="n">
        <v>12.5</v>
      </c>
      <c r="J3205" s="22" t="n">
        <f aca="false">IF(E3205="Priority",'Cost model'!N381,'Cost model'!M381)</f>
        <v>14.5</v>
      </c>
      <c r="K3205" s="14" t="n">
        <f aca="false">J3205-H3205</f>
        <v>4.51</v>
      </c>
      <c r="L3205" s="14" t="n">
        <f aca="false">G3205-H3205</f>
        <v>2.51</v>
      </c>
    </row>
    <row r="3206" customFormat="false" ht="15" hidden="false" customHeight="false" outlineLevel="0" collapsed="false">
      <c r="A3206" s="2" t="s">
        <v>146</v>
      </c>
      <c r="B3206" s="2" t="s">
        <v>146</v>
      </c>
      <c r="C3206" s="2" t="s">
        <v>48</v>
      </c>
      <c r="D3206" s="2" t="s">
        <v>10</v>
      </c>
      <c r="E3206" s="2" t="s">
        <v>76</v>
      </c>
      <c r="F3206" s="2" t="s">
        <v>1145</v>
      </c>
      <c r="G3206" s="14" t="n">
        <v>9.5</v>
      </c>
      <c r="H3206" s="14" t="n">
        <v>6.14</v>
      </c>
      <c r="I3206" s="14" t="n">
        <v>9.5</v>
      </c>
      <c r="J3206" s="22" t="n">
        <f aca="false">IF(E3206="Priority",'Cost model'!N758,'Cost model'!M758)</f>
        <v>9.5</v>
      </c>
      <c r="K3206" s="14" t="n">
        <f aca="false">J3206-H3206</f>
        <v>3.36</v>
      </c>
      <c r="L3206" s="14" t="n">
        <f aca="false">G3206-H3206</f>
        <v>3.36</v>
      </c>
    </row>
    <row r="3207" customFormat="false" ht="15" hidden="false" customHeight="false" outlineLevel="0" collapsed="false">
      <c r="A3207" s="2" t="s">
        <v>184</v>
      </c>
      <c r="B3207" s="2" t="s">
        <v>146</v>
      </c>
      <c r="C3207" s="2" t="s">
        <v>48</v>
      </c>
      <c r="D3207" s="2" t="s">
        <v>14</v>
      </c>
      <c r="E3207" s="2" t="s">
        <v>76</v>
      </c>
      <c r="F3207" s="2" t="s">
        <v>1146</v>
      </c>
      <c r="G3207" s="14" t="n">
        <v>25</v>
      </c>
      <c r="H3207" s="14" t="n">
        <v>108.24</v>
      </c>
      <c r="I3207" s="14" t="n">
        <v>25</v>
      </c>
      <c r="J3207" s="22" t="n">
        <f aca="false">IF(E3207="Priority",'Cost model'!N155,'Cost model'!M155)</f>
        <v>125</v>
      </c>
      <c r="K3207" s="14" t="n">
        <f aca="false">J3207-H3207</f>
        <v>16.76</v>
      </c>
      <c r="L3207" s="14" t="n">
        <f aca="false">G3207-H3207</f>
        <v>-83.24</v>
      </c>
    </row>
    <row r="3208" customFormat="false" ht="15" hidden="false" customHeight="false" outlineLevel="0" collapsed="false">
      <c r="A3208" s="2" t="s">
        <v>126</v>
      </c>
      <c r="B3208" s="2" t="s">
        <v>126</v>
      </c>
      <c r="C3208" s="2" t="s">
        <v>48</v>
      </c>
      <c r="D3208" s="2" t="s">
        <v>13</v>
      </c>
      <c r="E3208" s="2" t="s">
        <v>76</v>
      </c>
      <c r="F3208" s="2" t="s">
        <v>1145</v>
      </c>
      <c r="G3208" s="14" t="n">
        <v>19</v>
      </c>
      <c r="H3208" s="14" t="n">
        <v>70.07</v>
      </c>
      <c r="I3208" s="14" t="n">
        <v>19</v>
      </c>
      <c r="J3208" s="22" t="n">
        <f aca="false">IF(E3208="Priority",'Cost model'!N386,'Cost model'!M386)</f>
        <v>55</v>
      </c>
      <c r="K3208" s="14" t="n">
        <f aca="false">J3208-H3208</f>
        <v>-15.07</v>
      </c>
      <c r="L3208" s="14" t="n">
        <f aca="false">G3208-H3208</f>
        <v>-51.07</v>
      </c>
    </row>
    <row r="3209" customFormat="false" ht="15" hidden="false" customHeight="false" outlineLevel="0" collapsed="false">
      <c r="A3209" s="2" t="s">
        <v>126</v>
      </c>
      <c r="B3209" s="2" t="s">
        <v>165</v>
      </c>
      <c r="C3209" s="2" t="s">
        <v>49</v>
      </c>
      <c r="D3209" s="2" t="s">
        <v>10</v>
      </c>
      <c r="E3209" s="2" t="s">
        <v>76</v>
      </c>
      <c r="F3209" s="2" t="s">
        <v>1146</v>
      </c>
      <c r="G3209" s="14" t="n">
        <v>17.5</v>
      </c>
      <c r="H3209" s="14" t="n">
        <v>17.26</v>
      </c>
      <c r="I3209" s="14" t="n">
        <v>14.5</v>
      </c>
      <c r="J3209" s="22" t="n">
        <f aca="false">IF(E3209="Priority",'Cost model'!N417,'Cost model'!M417)</f>
        <v>18.5</v>
      </c>
      <c r="K3209" s="14" t="n">
        <f aca="false">J3209-H3209</f>
        <v>1.24</v>
      </c>
      <c r="L3209" s="14" t="n">
        <f aca="false">G3209-H3209</f>
        <v>0.239999999999998</v>
      </c>
    </row>
    <row r="3210" customFormat="false" ht="15" hidden="false" customHeight="false" outlineLevel="0" collapsed="false">
      <c r="A3210" s="2" t="s">
        <v>126</v>
      </c>
      <c r="B3210" s="2" t="s">
        <v>126</v>
      </c>
      <c r="C3210" s="2" t="s">
        <v>49</v>
      </c>
      <c r="D3210" s="2" t="s">
        <v>12</v>
      </c>
      <c r="E3210" s="2" t="s">
        <v>76</v>
      </c>
      <c r="F3210" s="2" t="s">
        <v>1145</v>
      </c>
      <c r="G3210" s="14" t="n">
        <v>12.5</v>
      </c>
      <c r="H3210" s="14" t="n">
        <v>54.46</v>
      </c>
      <c r="I3210" s="14" t="n">
        <v>12.5</v>
      </c>
      <c r="J3210" s="22" t="n">
        <f aca="false">IF(E3210="Priority",'Cost model'!N384,'Cost model'!M384)</f>
        <v>45</v>
      </c>
      <c r="K3210" s="14" t="n">
        <f aca="false">J3210-H3210</f>
        <v>-9.46</v>
      </c>
      <c r="L3210" s="14" t="n">
        <f aca="false">G3210-H3210</f>
        <v>-41.96</v>
      </c>
    </row>
    <row r="3211" customFormat="false" ht="15" hidden="false" customHeight="false" outlineLevel="0" collapsed="false">
      <c r="A3211" s="2" t="s">
        <v>221</v>
      </c>
      <c r="B3211" s="2" t="s">
        <v>146</v>
      </c>
      <c r="C3211" s="2" t="s">
        <v>49</v>
      </c>
      <c r="D3211" s="2" t="s">
        <v>12</v>
      </c>
      <c r="E3211" s="2" t="s">
        <v>76</v>
      </c>
      <c r="F3211" s="2" t="s">
        <v>1146</v>
      </c>
      <c r="G3211" s="14" t="n">
        <v>19.5</v>
      </c>
      <c r="H3211" s="14" t="n">
        <v>106.79</v>
      </c>
      <c r="I3211" s="14" t="n">
        <v>19.5</v>
      </c>
      <c r="J3211" s="22" t="n">
        <f aca="false">IF(E3211="Priority",'Cost model'!N654,'Cost model'!M654)</f>
        <v>80</v>
      </c>
      <c r="K3211" s="14" t="n">
        <f aca="false">J3211-H3211</f>
        <v>-26.79</v>
      </c>
      <c r="L3211" s="14" t="n">
        <f aca="false">G3211-H3211</f>
        <v>-87.29</v>
      </c>
    </row>
    <row r="3212" customFormat="false" ht="15" hidden="false" customHeight="false" outlineLevel="0" collapsed="false">
      <c r="A3212" s="2" t="s">
        <v>240</v>
      </c>
      <c r="B3212" s="2" t="s">
        <v>240</v>
      </c>
      <c r="C3212" s="2" t="s">
        <v>48</v>
      </c>
      <c r="D3212" s="2" t="s">
        <v>10</v>
      </c>
      <c r="E3212" s="2" t="s">
        <v>76</v>
      </c>
      <c r="F3212" s="2" t="s">
        <v>1145</v>
      </c>
      <c r="G3212" s="14" t="n">
        <v>9.5</v>
      </c>
      <c r="H3212" s="14" t="n">
        <v>7.4</v>
      </c>
      <c r="I3212" s="14" t="n">
        <v>9.5</v>
      </c>
      <c r="J3212" s="22" t="n">
        <f aca="false">IF(E3212="Priority",'Cost model'!N884,'Cost model'!M884)</f>
        <v>7.5</v>
      </c>
      <c r="K3212" s="14" t="n">
        <f aca="false">J3212-H3212</f>
        <v>0.0999999999999996</v>
      </c>
      <c r="L3212" s="14" t="n">
        <f aca="false">G3212-H3212</f>
        <v>2.1</v>
      </c>
    </row>
    <row r="3213" customFormat="false" ht="15" hidden="false" customHeight="false" outlineLevel="0" collapsed="false">
      <c r="A3213" s="2" t="s">
        <v>146</v>
      </c>
      <c r="B3213" s="2" t="s">
        <v>240</v>
      </c>
      <c r="C3213" s="2" t="s">
        <v>49</v>
      </c>
      <c r="D3213" s="2" t="s">
        <v>10</v>
      </c>
      <c r="E3213" s="2" t="s">
        <v>76</v>
      </c>
      <c r="F3213" s="2" t="s">
        <v>1146</v>
      </c>
      <c r="G3213" s="14" t="n">
        <v>12.5</v>
      </c>
      <c r="H3213" s="14" t="n">
        <v>14.83</v>
      </c>
      <c r="I3213" s="14" t="n">
        <v>19.5</v>
      </c>
      <c r="J3213" s="22" t="n">
        <f aca="false">IF(E3213="Priority",'Cost model'!N813,'Cost model'!M813)</f>
        <v>15.5</v>
      </c>
      <c r="K3213" s="14" t="n">
        <f aca="false">J3213-H3213</f>
        <v>0.67</v>
      </c>
      <c r="L3213" s="14" t="n">
        <f aca="false">G3213-H3213</f>
        <v>-2.33</v>
      </c>
    </row>
    <row r="3214" customFormat="false" ht="15" hidden="false" customHeight="false" outlineLevel="0" collapsed="false">
      <c r="A3214" s="2" t="s">
        <v>221</v>
      </c>
      <c r="B3214" s="2" t="s">
        <v>146</v>
      </c>
      <c r="C3214" s="2" t="s">
        <v>48</v>
      </c>
      <c r="D3214" s="2" t="s">
        <v>12</v>
      </c>
      <c r="E3214" s="2" t="s">
        <v>76</v>
      </c>
      <c r="F3214" s="2" t="s">
        <v>1146</v>
      </c>
      <c r="G3214" s="14" t="n">
        <v>19.5</v>
      </c>
      <c r="H3214" s="14" t="n">
        <v>54.88</v>
      </c>
      <c r="I3214" s="14" t="n">
        <v>19.5</v>
      </c>
      <c r="J3214" s="22" t="n">
        <f aca="false">IF(E3214="Priority",'Cost model'!N653,'Cost model'!M653)</f>
        <v>65</v>
      </c>
      <c r="K3214" s="14" t="n">
        <f aca="false">J3214-H3214</f>
        <v>10.12</v>
      </c>
      <c r="L3214" s="14" t="n">
        <f aca="false">G3214-H3214</f>
        <v>-35.38</v>
      </c>
    </row>
    <row r="3215" customFormat="false" ht="15" hidden="false" customHeight="false" outlineLevel="0" collapsed="false">
      <c r="A3215" s="2" t="s">
        <v>126</v>
      </c>
      <c r="B3215" s="2" t="s">
        <v>126</v>
      </c>
      <c r="C3215" s="2" t="s">
        <v>49</v>
      </c>
      <c r="D3215" s="2" t="s">
        <v>10</v>
      </c>
      <c r="E3215" s="2" t="s">
        <v>76</v>
      </c>
      <c r="F3215" s="2" t="s">
        <v>1145</v>
      </c>
      <c r="G3215" s="14" t="n">
        <v>12.5</v>
      </c>
      <c r="H3215" s="14" t="n">
        <v>21.6</v>
      </c>
      <c r="I3215" s="14" t="n">
        <v>12.5</v>
      </c>
      <c r="J3215" s="22" t="n">
        <f aca="false">IF(E3215="Priority",'Cost model'!N381,'Cost model'!M381)</f>
        <v>14.5</v>
      </c>
      <c r="K3215" s="14" t="n">
        <f aca="false">J3215-H3215</f>
        <v>-7.1</v>
      </c>
      <c r="L3215" s="14" t="n">
        <f aca="false">G3215-H3215</f>
        <v>-9.1</v>
      </c>
    </row>
    <row r="3216" customFormat="false" ht="15" hidden="false" customHeight="false" outlineLevel="0" collapsed="false">
      <c r="A3216" s="2" t="s">
        <v>146</v>
      </c>
      <c r="B3216" s="2" t="s">
        <v>146</v>
      </c>
      <c r="C3216" s="2" t="s">
        <v>50</v>
      </c>
      <c r="D3216" s="2" t="s">
        <v>12</v>
      </c>
      <c r="E3216" s="2" t="s">
        <v>76</v>
      </c>
      <c r="F3216" s="2" t="s">
        <v>1145</v>
      </c>
      <c r="G3216" s="14" t="n">
        <v>19.5</v>
      </c>
      <c r="H3216" s="14" t="n">
        <v>25.01</v>
      </c>
      <c r="I3216" s="14" t="n">
        <v>19.5</v>
      </c>
      <c r="J3216" s="22" t="n">
        <f aca="false">IF(E3216="Priority",'Cost model'!N763,'Cost model'!M763)</f>
        <v>50</v>
      </c>
      <c r="K3216" s="14" t="n">
        <f aca="false">J3216-H3216</f>
        <v>24.99</v>
      </c>
      <c r="L3216" s="14" t="n">
        <f aca="false">G3216-H3216</f>
        <v>-5.51</v>
      </c>
    </row>
    <row r="3217" customFormat="false" ht="15" hidden="false" customHeight="false" outlineLevel="0" collapsed="false">
      <c r="A3217" s="2" t="s">
        <v>146</v>
      </c>
      <c r="B3217" s="2" t="s">
        <v>146</v>
      </c>
      <c r="C3217" s="2" t="s">
        <v>48</v>
      </c>
      <c r="D3217" s="2" t="s">
        <v>10</v>
      </c>
      <c r="E3217" s="2" t="s">
        <v>85</v>
      </c>
      <c r="F3217" s="2" t="s">
        <v>1145</v>
      </c>
      <c r="G3217" s="14" t="n">
        <v>14.5</v>
      </c>
      <c r="H3217" s="14" t="n">
        <v>7.45</v>
      </c>
      <c r="I3217" s="14" t="n">
        <v>14.5</v>
      </c>
      <c r="J3217" s="22" t="n">
        <f aca="false">IF(E3217="Priority",'Cost model'!N758,'Cost model'!M758)</f>
        <v>14.5</v>
      </c>
      <c r="K3217" s="14" t="n">
        <f aca="false">J3217-H3217</f>
        <v>7.05</v>
      </c>
      <c r="L3217" s="14" t="n">
        <f aca="false">G3217-H3217</f>
        <v>7.05</v>
      </c>
    </row>
    <row r="3218" customFormat="false" ht="15" hidden="false" customHeight="false" outlineLevel="0" collapsed="false">
      <c r="A3218" s="2" t="s">
        <v>126</v>
      </c>
      <c r="B3218" s="2" t="s">
        <v>126</v>
      </c>
      <c r="C3218" s="2" t="s">
        <v>49</v>
      </c>
      <c r="D3218" s="2" t="s">
        <v>12</v>
      </c>
      <c r="E3218" s="2" t="s">
        <v>76</v>
      </c>
      <c r="F3218" s="2" t="s">
        <v>1145</v>
      </c>
      <c r="G3218" s="14" t="n">
        <v>12.5</v>
      </c>
      <c r="H3218" s="14" t="n">
        <v>172.9</v>
      </c>
      <c r="I3218" s="14" t="n">
        <v>12.5</v>
      </c>
      <c r="J3218" s="22" t="n">
        <f aca="false">IF(E3218="Priority",'Cost model'!N384,'Cost model'!M384)</f>
        <v>45</v>
      </c>
      <c r="K3218" s="14" t="n">
        <f aca="false">J3218-H3218</f>
        <v>-127.9</v>
      </c>
      <c r="L3218" s="14" t="n">
        <f aca="false">G3218-H3218</f>
        <v>-160.4</v>
      </c>
    </row>
    <row r="3219" customFormat="false" ht="15" hidden="false" customHeight="false" outlineLevel="0" collapsed="false">
      <c r="A3219" s="2" t="s">
        <v>126</v>
      </c>
      <c r="B3219" s="2" t="s">
        <v>126</v>
      </c>
      <c r="C3219" s="2" t="s">
        <v>49</v>
      </c>
      <c r="D3219" s="2" t="s">
        <v>12</v>
      </c>
      <c r="E3219" s="2" t="s">
        <v>76</v>
      </c>
      <c r="F3219" s="2" t="s">
        <v>1145</v>
      </c>
      <c r="G3219" s="14" t="n">
        <v>12.5</v>
      </c>
      <c r="H3219" s="14" t="n">
        <v>55.53</v>
      </c>
      <c r="I3219" s="14" t="n">
        <v>12.5</v>
      </c>
      <c r="J3219" s="22" t="n">
        <f aca="false">IF(E3219="Priority",'Cost model'!N384,'Cost model'!M384)</f>
        <v>45</v>
      </c>
      <c r="K3219" s="14" t="n">
        <f aca="false">J3219-H3219</f>
        <v>-10.53</v>
      </c>
      <c r="L3219" s="14" t="n">
        <f aca="false">G3219-H3219</f>
        <v>-43.03</v>
      </c>
    </row>
    <row r="3220" customFormat="false" ht="15" hidden="false" customHeight="false" outlineLevel="0" collapsed="false">
      <c r="A3220" s="2" t="s">
        <v>126</v>
      </c>
      <c r="B3220" s="2" t="s">
        <v>126</v>
      </c>
      <c r="C3220" s="2" t="s">
        <v>49</v>
      </c>
      <c r="D3220" s="2" t="s">
        <v>10</v>
      </c>
      <c r="E3220" s="2" t="s">
        <v>76</v>
      </c>
      <c r="F3220" s="2" t="s">
        <v>1145</v>
      </c>
      <c r="G3220" s="14" t="n">
        <v>12.5</v>
      </c>
      <c r="H3220" s="14" t="n">
        <v>21.14</v>
      </c>
      <c r="I3220" s="14" t="n">
        <v>12.5</v>
      </c>
      <c r="J3220" s="22" t="n">
        <f aca="false">IF(E3220="Priority",'Cost model'!N381,'Cost model'!M381)</f>
        <v>14.5</v>
      </c>
      <c r="K3220" s="14" t="n">
        <f aca="false">J3220-H3220</f>
        <v>-6.64</v>
      </c>
      <c r="L3220" s="14" t="n">
        <f aca="false">G3220-H3220</f>
        <v>-8.64</v>
      </c>
    </row>
    <row r="3221" customFormat="false" ht="15" hidden="false" customHeight="false" outlineLevel="0" collapsed="false">
      <c r="A3221" s="2" t="s">
        <v>184</v>
      </c>
      <c r="B3221" s="2" t="s">
        <v>184</v>
      </c>
      <c r="C3221" s="2" t="s">
        <v>50</v>
      </c>
      <c r="D3221" s="2" t="s">
        <v>12</v>
      </c>
      <c r="E3221" s="2" t="s">
        <v>76</v>
      </c>
      <c r="F3221" s="2" t="s">
        <v>1145</v>
      </c>
      <c r="G3221" s="14" t="n">
        <v>19.5</v>
      </c>
      <c r="H3221" s="14" t="n">
        <v>58.01</v>
      </c>
      <c r="I3221" s="14" t="n">
        <v>19.5</v>
      </c>
      <c r="J3221" s="22" t="n">
        <f aca="false">IF(E3221="Priority",'Cost model'!N205,'Cost model'!M205)</f>
        <v>50</v>
      </c>
      <c r="K3221" s="14" t="n">
        <f aca="false">J3221-H3221</f>
        <v>-8.01</v>
      </c>
      <c r="L3221" s="14" t="n">
        <f aca="false">G3221-H3221</f>
        <v>-38.51</v>
      </c>
    </row>
    <row r="3222" customFormat="false" ht="15" hidden="false" customHeight="false" outlineLevel="0" collapsed="false">
      <c r="A3222" s="2" t="s">
        <v>126</v>
      </c>
      <c r="B3222" s="2" t="s">
        <v>126</v>
      </c>
      <c r="C3222" s="2" t="s">
        <v>49</v>
      </c>
      <c r="D3222" s="2" t="s">
        <v>12</v>
      </c>
      <c r="E3222" s="2" t="s">
        <v>85</v>
      </c>
      <c r="F3222" s="2" t="s">
        <v>1145</v>
      </c>
      <c r="G3222" s="14" t="n">
        <v>19.5</v>
      </c>
      <c r="H3222" s="14" t="n">
        <v>86.23</v>
      </c>
      <c r="I3222" s="14" t="n">
        <v>19.5</v>
      </c>
      <c r="J3222" s="22" t="n">
        <f aca="false">IF(E3222="Priority",'Cost model'!N384,'Cost model'!M384)</f>
        <v>60</v>
      </c>
      <c r="K3222" s="14" t="n">
        <f aca="false">J3222-H3222</f>
        <v>-26.23</v>
      </c>
      <c r="L3222" s="14" t="n">
        <f aca="false">G3222-H3222</f>
        <v>-66.73</v>
      </c>
    </row>
    <row r="3223" customFormat="false" ht="15" hidden="false" customHeight="false" outlineLevel="0" collapsed="false">
      <c r="A3223" s="2" t="s">
        <v>184</v>
      </c>
      <c r="B3223" s="2" t="s">
        <v>146</v>
      </c>
      <c r="C3223" s="2" t="s">
        <v>50</v>
      </c>
      <c r="D3223" s="2" t="s">
        <v>13</v>
      </c>
      <c r="E3223" s="2" t="s">
        <v>76</v>
      </c>
      <c r="F3223" s="2" t="s">
        <v>1146</v>
      </c>
      <c r="G3223" s="14" t="n">
        <v>50</v>
      </c>
      <c r="H3223" s="14" t="n">
        <v>98.59</v>
      </c>
      <c r="I3223" s="14" t="n">
        <v>50</v>
      </c>
      <c r="J3223" s="22" t="n">
        <f aca="false">IF(E3223="Priority",'Cost model'!N154,'Cost model'!M154)</f>
        <v>130</v>
      </c>
      <c r="K3223" s="14" t="n">
        <f aca="false">J3223-H3223</f>
        <v>31.41</v>
      </c>
      <c r="L3223" s="14" t="n">
        <f aca="false">G3223-H3223</f>
        <v>-48.59</v>
      </c>
    </row>
    <row r="3224" customFormat="false" ht="15" hidden="false" customHeight="false" outlineLevel="0" collapsed="false">
      <c r="A3224" s="2" t="s">
        <v>126</v>
      </c>
      <c r="B3224" s="2" t="s">
        <v>126</v>
      </c>
      <c r="C3224" s="2" t="s">
        <v>49</v>
      </c>
      <c r="D3224" s="2" t="s">
        <v>10</v>
      </c>
      <c r="E3224" s="2" t="s">
        <v>76</v>
      </c>
      <c r="F3224" s="2" t="s">
        <v>1145</v>
      </c>
      <c r="G3224" s="14" t="n">
        <v>12.5</v>
      </c>
      <c r="H3224" s="14" t="n">
        <v>10.1</v>
      </c>
      <c r="I3224" s="14" t="n">
        <v>12.5</v>
      </c>
      <c r="J3224" s="22" t="n">
        <f aca="false">IF(E3224="Priority",'Cost model'!N381,'Cost model'!M381)</f>
        <v>14.5</v>
      </c>
      <c r="K3224" s="14" t="n">
        <f aca="false">J3224-H3224</f>
        <v>4.4</v>
      </c>
      <c r="L3224" s="14" t="n">
        <f aca="false">G3224-H3224</f>
        <v>2.4</v>
      </c>
    </row>
    <row r="3225" customFormat="false" ht="15" hidden="false" customHeight="false" outlineLevel="0" collapsed="false">
      <c r="A3225" s="2" t="s">
        <v>126</v>
      </c>
      <c r="B3225" s="2" t="s">
        <v>184</v>
      </c>
      <c r="C3225" s="2" t="s">
        <v>49</v>
      </c>
      <c r="D3225" s="2" t="s">
        <v>10</v>
      </c>
      <c r="E3225" s="2" t="s">
        <v>76</v>
      </c>
      <c r="F3225" s="2" t="s">
        <v>1146</v>
      </c>
      <c r="G3225" s="14" t="n">
        <v>12.5</v>
      </c>
      <c r="H3225" s="14" t="n">
        <v>10.8</v>
      </c>
      <c r="I3225" s="14" t="n">
        <v>14.5</v>
      </c>
      <c r="J3225" s="22" t="n">
        <f aca="false">IF(E3225="Priority",'Cost model'!N435,'Cost model'!M435)</f>
        <v>15.5</v>
      </c>
      <c r="K3225" s="14" t="n">
        <f aca="false">J3225-H3225</f>
        <v>4.7</v>
      </c>
      <c r="L3225" s="14" t="n">
        <f aca="false">G3225-H3225</f>
        <v>1.7</v>
      </c>
    </row>
    <row r="3226" customFormat="false" ht="15" hidden="false" customHeight="false" outlineLevel="0" collapsed="false">
      <c r="A3226" s="2" t="s">
        <v>184</v>
      </c>
      <c r="B3226" s="2" t="s">
        <v>165</v>
      </c>
      <c r="C3226" s="2" t="s">
        <v>49</v>
      </c>
      <c r="D3226" s="2" t="s">
        <v>10</v>
      </c>
      <c r="E3226" s="2" t="s">
        <v>76</v>
      </c>
      <c r="F3226" s="2" t="s">
        <v>1146</v>
      </c>
      <c r="G3226" s="14" t="n">
        <v>12.5</v>
      </c>
      <c r="H3226" s="14" t="n">
        <v>20.11</v>
      </c>
      <c r="I3226" s="14"/>
      <c r="J3226" s="22" t="n">
        <f aca="false">IF(E3226="Priority",'Cost model'!N165,'Cost model'!M165)</f>
        <v>15.5</v>
      </c>
      <c r="K3226" s="14" t="n">
        <f aca="false">J3226-H3226</f>
        <v>-4.61</v>
      </c>
      <c r="L3226" s="14" t="n">
        <f aca="false">G3226-H3226</f>
        <v>-7.61</v>
      </c>
    </row>
    <row r="3227" customFormat="false" ht="15" hidden="false" customHeight="false" outlineLevel="0" collapsed="false">
      <c r="A3227" s="2" t="s">
        <v>184</v>
      </c>
      <c r="B3227" s="2" t="s">
        <v>146</v>
      </c>
      <c r="C3227" s="2" t="s">
        <v>50</v>
      </c>
      <c r="D3227" s="2" t="s">
        <v>10</v>
      </c>
      <c r="E3227" s="2" t="s">
        <v>76</v>
      </c>
      <c r="F3227" s="2" t="s">
        <v>1146</v>
      </c>
      <c r="G3227" s="14" t="n">
        <v>17.5</v>
      </c>
      <c r="H3227" s="14" t="n">
        <v>15.65</v>
      </c>
      <c r="I3227" s="14" t="n">
        <v>17.5</v>
      </c>
      <c r="J3227" s="22" t="n">
        <f aca="false">IF(E3227="Priority",'Cost model'!N148,'Cost model'!M148)</f>
        <v>21.5</v>
      </c>
      <c r="K3227" s="14" t="n">
        <f aca="false">J3227-H3227</f>
        <v>5.85</v>
      </c>
      <c r="L3227" s="14" t="n">
        <f aca="false">G3227-H3227</f>
        <v>1.85</v>
      </c>
    </row>
    <row r="3228" customFormat="false" ht="15" hidden="false" customHeight="false" outlineLevel="0" collapsed="false">
      <c r="A3228" s="2" t="s">
        <v>126</v>
      </c>
      <c r="B3228" s="2" t="s">
        <v>126</v>
      </c>
      <c r="C3228" s="2" t="s">
        <v>48</v>
      </c>
      <c r="D3228" s="2" t="s">
        <v>10</v>
      </c>
      <c r="E3228" s="2" t="s">
        <v>76</v>
      </c>
      <c r="F3228" s="2" t="s">
        <v>1145</v>
      </c>
      <c r="G3228" s="14" t="n">
        <v>9.5</v>
      </c>
      <c r="H3228" s="14" t="n">
        <v>7.46</v>
      </c>
      <c r="I3228" s="14" t="n">
        <v>9.5</v>
      </c>
      <c r="J3228" s="22" t="n">
        <f aca="false">IF(E3228="Priority",'Cost model'!N380,'Cost model'!M380)</f>
        <v>8.5</v>
      </c>
      <c r="K3228" s="14" t="n">
        <f aca="false">J3228-H3228</f>
        <v>1.04</v>
      </c>
      <c r="L3228" s="14" t="n">
        <f aca="false">G3228-H3228</f>
        <v>2.04</v>
      </c>
    </row>
    <row r="3229" customFormat="false" ht="15" hidden="false" customHeight="false" outlineLevel="0" collapsed="false">
      <c r="A3229" s="2" t="s">
        <v>126</v>
      </c>
      <c r="B3229" s="2" t="s">
        <v>126</v>
      </c>
      <c r="C3229" s="2" t="s">
        <v>49</v>
      </c>
      <c r="D3229" s="2" t="s">
        <v>12</v>
      </c>
      <c r="E3229" s="2" t="s">
        <v>76</v>
      </c>
      <c r="F3229" s="2" t="s">
        <v>1145</v>
      </c>
      <c r="G3229" s="14" t="n">
        <v>12.5</v>
      </c>
      <c r="H3229" s="14" t="n">
        <v>52.3</v>
      </c>
      <c r="I3229" s="14" t="n">
        <v>12.5</v>
      </c>
      <c r="J3229" s="22" t="n">
        <f aca="false">IF(E3229="Priority",'Cost model'!N384,'Cost model'!M384)</f>
        <v>45</v>
      </c>
      <c r="K3229" s="14" t="n">
        <f aca="false">J3229-H3229</f>
        <v>-7.3</v>
      </c>
      <c r="L3229" s="14" t="n">
        <f aca="false">G3229-H3229</f>
        <v>-39.8</v>
      </c>
    </row>
    <row r="3230" customFormat="false" ht="15" hidden="false" customHeight="false" outlineLevel="0" collapsed="false">
      <c r="A3230" s="2" t="s">
        <v>184</v>
      </c>
      <c r="B3230" s="2" t="s">
        <v>184</v>
      </c>
      <c r="C3230" s="2" t="s">
        <v>50</v>
      </c>
      <c r="D3230" s="2" t="s">
        <v>10</v>
      </c>
      <c r="E3230" s="2" t="s">
        <v>76</v>
      </c>
      <c r="F3230" s="2" t="s">
        <v>1145</v>
      </c>
      <c r="G3230" s="14" t="n">
        <v>17.5</v>
      </c>
      <c r="H3230" s="14" t="n">
        <v>20.11</v>
      </c>
      <c r="I3230" s="14" t="n">
        <v>17.5</v>
      </c>
      <c r="J3230" s="22" t="n">
        <f aca="false">IF(E3230="Priority",'Cost model'!N202,'Cost model'!M202)</f>
        <v>17.5</v>
      </c>
      <c r="K3230" s="14" t="n">
        <f aca="false">J3230-H3230</f>
        <v>-2.61</v>
      </c>
      <c r="L3230" s="14" t="n">
        <f aca="false">G3230-H3230</f>
        <v>-2.61</v>
      </c>
    </row>
    <row r="3231" customFormat="false" ht="15" hidden="false" customHeight="false" outlineLevel="0" collapsed="false">
      <c r="A3231" s="2" t="s">
        <v>146</v>
      </c>
      <c r="B3231" s="2" t="s">
        <v>146</v>
      </c>
      <c r="C3231" s="2" t="s">
        <v>48</v>
      </c>
      <c r="D3231" s="2" t="s">
        <v>12</v>
      </c>
      <c r="E3231" s="2" t="s">
        <v>76</v>
      </c>
      <c r="F3231" s="2" t="s">
        <v>1145</v>
      </c>
      <c r="G3231" s="14" t="n">
        <v>9.5</v>
      </c>
      <c r="H3231" s="14" t="n">
        <v>28.77</v>
      </c>
      <c r="I3231" s="14" t="n">
        <v>9.5</v>
      </c>
      <c r="J3231" s="22" t="n">
        <f aca="false">IF(E3231="Priority",'Cost model'!N761,'Cost model'!M761)</f>
        <v>35</v>
      </c>
      <c r="K3231" s="14" t="n">
        <f aca="false">J3231-H3231</f>
        <v>6.23</v>
      </c>
      <c r="L3231" s="14" t="n">
        <f aca="false">G3231-H3231</f>
        <v>-19.27</v>
      </c>
    </row>
    <row r="3232" customFormat="false" ht="15" hidden="false" customHeight="false" outlineLevel="0" collapsed="false">
      <c r="A3232" s="2" t="s">
        <v>184</v>
      </c>
      <c r="B3232" s="2" t="s">
        <v>184</v>
      </c>
      <c r="C3232" s="2" t="s">
        <v>49</v>
      </c>
      <c r="D3232" s="2" t="s">
        <v>12</v>
      </c>
      <c r="E3232" s="2" t="s">
        <v>76</v>
      </c>
      <c r="F3232" s="2" t="s">
        <v>1145</v>
      </c>
      <c r="G3232" s="14" t="n">
        <v>19.5</v>
      </c>
      <c r="H3232" s="14" t="n">
        <v>50.88</v>
      </c>
      <c r="I3232" s="14"/>
      <c r="J3232" s="22" t="n">
        <f aca="false">IF(E3232="Priority",'Cost model'!N204,'Cost model'!M204)</f>
        <v>45</v>
      </c>
      <c r="K3232" s="14" t="n">
        <f aca="false">J3232-H3232</f>
        <v>-5.88</v>
      </c>
      <c r="L3232" s="14" t="n">
        <f aca="false">G3232-H3232</f>
        <v>-31.38</v>
      </c>
    </row>
    <row r="3233" customFormat="false" ht="15" hidden="false" customHeight="false" outlineLevel="0" collapsed="false">
      <c r="A3233" s="2" t="s">
        <v>184</v>
      </c>
      <c r="B3233" s="2" t="s">
        <v>184</v>
      </c>
      <c r="C3233" s="2" t="s">
        <v>49</v>
      </c>
      <c r="D3233" s="2" t="s">
        <v>12</v>
      </c>
      <c r="E3233" s="2" t="s">
        <v>76</v>
      </c>
      <c r="F3233" s="2" t="s">
        <v>1145</v>
      </c>
      <c r="G3233" s="14" t="n">
        <v>12.5</v>
      </c>
      <c r="H3233" s="14" t="n">
        <v>43.59</v>
      </c>
      <c r="I3233" s="14"/>
      <c r="J3233" s="22" t="n">
        <f aca="false">IF(E3233="Priority",'Cost model'!N204,'Cost model'!M204)</f>
        <v>45</v>
      </c>
      <c r="K3233" s="14" t="n">
        <f aca="false">J3233-H3233</f>
        <v>1.41</v>
      </c>
      <c r="L3233" s="14" t="n">
        <f aca="false">G3233-H3233</f>
        <v>-31.09</v>
      </c>
    </row>
    <row r="3234" customFormat="false" ht="15" hidden="false" customHeight="false" outlineLevel="0" collapsed="false">
      <c r="A3234" s="2" t="s">
        <v>165</v>
      </c>
      <c r="B3234" s="2" t="s">
        <v>125</v>
      </c>
      <c r="C3234" s="2" t="s">
        <v>48</v>
      </c>
      <c r="D3234" s="2" t="s">
        <v>12</v>
      </c>
      <c r="E3234" s="2" t="s">
        <v>76</v>
      </c>
      <c r="F3234" s="2" t="s">
        <v>1146</v>
      </c>
      <c r="G3234" s="14" t="n">
        <v>19.5</v>
      </c>
      <c r="H3234" s="14" t="n">
        <v>41.81</v>
      </c>
      <c r="I3234" s="14" t="n">
        <v>24.5</v>
      </c>
      <c r="J3234" s="22" t="n">
        <f aca="false">IF(E3234="Priority",'Cost model'!N617,'Cost model'!M617)</f>
        <v>45</v>
      </c>
      <c r="K3234" s="14" t="n">
        <f aca="false">J3234-H3234</f>
        <v>3.19</v>
      </c>
      <c r="L3234" s="14" t="n">
        <f aca="false">G3234-H3234</f>
        <v>-22.31</v>
      </c>
    </row>
    <row r="3235" customFormat="false" ht="15" hidden="false" customHeight="false" outlineLevel="0" collapsed="false">
      <c r="A3235" s="2" t="s">
        <v>240</v>
      </c>
      <c r="B3235" s="2" t="s">
        <v>240</v>
      </c>
      <c r="C3235" s="2" t="s">
        <v>50</v>
      </c>
      <c r="D3235" s="2" t="s">
        <v>14</v>
      </c>
      <c r="E3235" s="2" t="s">
        <v>76</v>
      </c>
      <c r="F3235" s="2" t="s">
        <v>1145</v>
      </c>
      <c r="G3235" s="14" t="n">
        <v>125</v>
      </c>
      <c r="H3235" s="14" t="n">
        <v>554.69</v>
      </c>
      <c r="I3235" s="14" t="n">
        <v>125</v>
      </c>
      <c r="J3235" s="22" t="n">
        <f aca="false">IF(E3235="Priority",'Cost model'!N895,'Cost model'!M895)</f>
        <v>320</v>
      </c>
      <c r="K3235" s="14" t="n">
        <f aca="false">J3235-H3235</f>
        <v>-234.69</v>
      </c>
      <c r="L3235" s="14" t="n">
        <f aca="false">G3235-H3235</f>
        <v>-429.69</v>
      </c>
    </row>
    <row r="3236" customFormat="false" ht="15" hidden="false" customHeight="false" outlineLevel="0" collapsed="false">
      <c r="A3236" s="2" t="s">
        <v>126</v>
      </c>
      <c r="B3236" s="2" t="s">
        <v>126</v>
      </c>
      <c r="C3236" s="2" t="s">
        <v>48</v>
      </c>
      <c r="D3236" s="2" t="s">
        <v>13</v>
      </c>
      <c r="E3236" s="2" t="s">
        <v>76</v>
      </c>
      <c r="F3236" s="2" t="s">
        <v>1145</v>
      </c>
      <c r="G3236" s="14" t="n">
        <v>19</v>
      </c>
      <c r="H3236" s="14" t="n">
        <v>117.99</v>
      </c>
      <c r="I3236" s="14" t="n">
        <v>19</v>
      </c>
      <c r="J3236" s="22" t="n">
        <f aca="false">IF(E3236="Priority",'Cost model'!N386,'Cost model'!M386)</f>
        <v>55</v>
      </c>
      <c r="K3236" s="14" t="n">
        <f aca="false">J3236-H3236</f>
        <v>-62.99</v>
      </c>
      <c r="L3236" s="14" t="n">
        <f aca="false">G3236-H3236</f>
        <v>-98.99</v>
      </c>
    </row>
    <row r="3237" customFormat="false" ht="15" hidden="false" customHeight="false" outlineLevel="0" collapsed="false">
      <c r="A3237" s="2" t="s">
        <v>184</v>
      </c>
      <c r="B3237" s="2" t="s">
        <v>184</v>
      </c>
      <c r="C3237" s="2" t="s">
        <v>50</v>
      </c>
      <c r="D3237" s="2" t="s">
        <v>12</v>
      </c>
      <c r="E3237" s="2" t="s">
        <v>76</v>
      </c>
      <c r="F3237" s="2" t="s">
        <v>1145</v>
      </c>
      <c r="G3237" s="14" t="n">
        <v>19.5</v>
      </c>
      <c r="H3237" s="14" t="n">
        <v>46.37</v>
      </c>
      <c r="I3237" s="14" t="n">
        <v>19.5</v>
      </c>
      <c r="J3237" s="22" t="n">
        <f aca="false">IF(E3237="Priority",'Cost model'!N205,'Cost model'!M205)</f>
        <v>50</v>
      </c>
      <c r="K3237" s="14" t="n">
        <f aca="false">J3237-H3237</f>
        <v>3.63</v>
      </c>
      <c r="L3237" s="14" t="n">
        <f aca="false">G3237-H3237</f>
        <v>-26.87</v>
      </c>
    </row>
    <row r="3238" customFormat="false" ht="15" hidden="false" customHeight="false" outlineLevel="0" collapsed="false">
      <c r="A3238" s="2" t="s">
        <v>240</v>
      </c>
      <c r="B3238" s="2" t="s">
        <v>126</v>
      </c>
      <c r="C3238" s="2" t="s">
        <v>50</v>
      </c>
      <c r="D3238" s="2" t="s">
        <v>12</v>
      </c>
      <c r="E3238" s="2" t="s">
        <v>76</v>
      </c>
      <c r="F3238" s="2" t="s">
        <v>1146</v>
      </c>
      <c r="G3238" s="14" t="n">
        <v>29.5</v>
      </c>
      <c r="H3238" s="14" t="n">
        <v>38.69</v>
      </c>
      <c r="I3238" s="14" t="n">
        <v>24.5</v>
      </c>
      <c r="J3238" s="22" t="n">
        <f aca="false">IF(E3238="Priority",'Cost model'!N961,'Cost model'!M961)</f>
        <v>75</v>
      </c>
      <c r="K3238" s="14" t="n">
        <f aca="false">J3238-H3238</f>
        <v>36.31</v>
      </c>
      <c r="L3238" s="14" t="n">
        <f aca="false">G3238-H3238</f>
        <v>-9.19</v>
      </c>
    </row>
    <row r="3239" customFormat="false" ht="15" hidden="false" customHeight="false" outlineLevel="0" collapsed="false">
      <c r="A3239" s="2" t="s">
        <v>184</v>
      </c>
      <c r="B3239" s="2" t="s">
        <v>184</v>
      </c>
      <c r="C3239" s="2" t="s">
        <v>49</v>
      </c>
      <c r="D3239" s="2" t="s">
        <v>10</v>
      </c>
      <c r="E3239" s="2" t="s">
        <v>76</v>
      </c>
      <c r="F3239" s="2" t="s">
        <v>1145</v>
      </c>
      <c r="G3239" s="14" t="n">
        <v>12.5</v>
      </c>
      <c r="H3239" s="14" t="n">
        <v>11.46</v>
      </c>
      <c r="I3239" s="14"/>
      <c r="J3239" s="22" t="n">
        <f aca="false">IF(E3239="Priority",'Cost model'!N201,'Cost model'!M201)</f>
        <v>12.5</v>
      </c>
      <c r="K3239" s="14" t="n">
        <f aca="false">J3239-H3239</f>
        <v>1.04</v>
      </c>
      <c r="L3239" s="14" t="n">
        <f aca="false">G3239-H3239</f>
        <v>1.04</v>
      </c>
    </row>
    <row r="3240" customFormat="false" ht="15" hidden="false" customHeight="false" outlineLevel="0" collapsed="false">
      <c r="A3240" s="2" t="s">
        <v>146</v>
      </c>
      <c r="B3240" s="2" t="s">
        <v>146</v>
      </c>
      <c r="C3240" s="2" t="s">
        <v>48</v>
      </c>
      <c r="D3240" s="2" t="s">
        <v>12</v>
      </c>
      <c r="E3240" s="2" t="s">
        <v>76</v>
      </c>
      <c r="F3240" s="2" t="s">
        <v>1145</v>
      </c>
      <c r="G3240" s="14" t="n">
        <v>14.5</v>
      </c>
      <c r="H3240" s="14" t="n">
        <v>28.52</v>
      </c>
      <c r="I3240" s="14" t="n">
        <v>9.5</v>
      </c>
      <c r="J3240" s="22" t="n">
        <f aca="false">IF(E3240="Priority",'Cost model'!N761,'Cost model'!M761)</f>
        <v>35</v>
      </c>
      <c r="K3240" s="14" t="n">
        <f aca="false">J3240-H3240</f>
        <v>6.48</v>
      </c>
      <c r="L3240" s="14" t="n">
        <f aca="false">G3240-H3240</f>
        <v>-14.02</v>
      </c>
    </row>
    <row r="3241" customFormat="false" ht="15" hidden="false" customHeight="false" outlineLevel="0" collapsed="false">
      <c r="A3241" s="2" t="s">
        <v>184</v>
      </c>
      <c r="B3241" s="2" t="s">
        <v>126</v>
      </c>
      <c r="C3241" s="2" t="s">
        <v>50</v>
      </c>
      <c r="D3241" s="2" t="s">
        <v>10</v>
      </c>
      <c r="E3241" s="2" t="s">
        <v>76</v>
      </c>
      <c r="F3241" s="2" t="s">
        <v>1146</v>
      </c>
      <c r="G3241" s="14" t="n">
        <v>17.5</v>
      </c>
      <c r="H3241" s="14" t="n">
        <v>41.25</v>
      </c>
      <c r="I3241" s="14" t="n">
        <v>17.5</v>
      </c>
      <c r="J3241" s="22" t="n">
        <f aca="false">IF(E3241="Priority",'Cost model'!N130,'Cost model'!M130)</f>
        <v>18.5</v>
      </c>
      <c r="K3241" s="14" t="n">
        <f aca="false">J3241-H3241</f>
        <v>-22.75</v>
      </c>
      <c r="L3241" s="14" t="n">
        <f aca="false">G3241-H3241</f>
        <v>-23.75</v>
      </c>
    </row>
    <row r="3242" customFormat="false" ht="15" hidden="false" customHeight="false" outlineLevel="0" collapsed="false">
      <c r="A3242" s="2" t="s">
        <v>146</v>
      </c>
      <c r="B3242" s="2" t="s">
        <v>146</v>
      </c>
      <c r="C3242" s="2" t="s">
        <v>50</v>
      </c>
      <c r="D3242" s="2" t="s">
        <v>10</v>
      </c>
      <c r="E3242" s="2" t="s">
        <v>76</v>
      </c>
      <c r="F3242" s="2" t="s">
        <v>1145</v>
      </c>
      <c r="G3242" s="14" t="n">
        <v>17.5</v>
      </c>
      <c r="H3242" s="14" t="n">
        <v>15.82</v>
      </c>
      <c r="I3242" s="14" t="n">
        <v>17.5</v>
      </c>
      <c r="J3242" s="22" t="n">
        <f aca="false">IF(E3242="Priority",'Cost model'!N760,'Cost model'!M760)</f>
        <v>18.5</v>
      </c>
      <c r="K3242" s="14" t="n">
        <f aca="false">J3242-H3242</f>
        <v>2.68</v>
      </c>
      <c r="L3242" s="14" t="n">
        <f aca="false">G3242-H3242</f>
        <v>1.68</v>
      </c>
    </row>
    <row r="3243" customFormat="false" ht="15" hidden="false" customHeight="false" outlineLevel="0" collapsed="false">
      <c r="A3243" s="2" t="s">
        <v>184</v>
      </c>
      <c r="B3243" s="2" t="s">
        <v>184</v>
      </c>
      <c r="C3243" s="2" t="s">
        <v>48</v>
      </c>
      <c r="D3243" s="2" t="s">
        <v>12</v>
      </c>
      <c r="E3243" s="2" t="s">
        <v>76</v>
      </c>
      <c r="F3243" s="2" t="s">
        <v>1145</v>
      </c>
      <c r="G3243" s="14" t="n">
        <v>9.5</v>
      </c>
      <c r="H3243" s="14" t="n">
        <v>28.45</v>
      </c>
      <c r="I3243" s="14" t="n">
        <v>9.5</v>
      </c>
      <c r="J3243" s="22" t="n">
        <f aca="false">IF(E3243="Priority",'Cost model'!N203,'Cost model'!M203)</f>
        <v>26.5</v>
      </c>
      <c r="K3243" s="14" t="n">
        <f aca="false">J3243-H3243</f>
        <v>-1.95</v>
      </c>
      <c r="L3243" s="14" t="n">
        <f aca="false">G3243-H3243</f>
        <v>-18.95</v>
      </c>
    </row>
    <row r="3244" customFormat="false" ht="15" hidden="false" customHeight="false" outlineLevel="0" collapsed="false">
      <c r="A3244" s="2" t="s">
        <v>125</v>
      </c>
      <c r="B3244" s="2" t="s">
        <v>146</v>
      </c>
      <c r="C3244" s="2" t="s">
        <v>48</v>
      </c>
      <c r="D3244" s="2" t="s">
        <v>10</v>
      </c>
      <c r="E3244" s="2" t="s">
        <v>76</v>
      </c>
      <c r="F3244" s="2" t="s">
        <v>1146</v>
      </c>
      <c r="G3244" s="14" t="n">
        <v>14.5</v>
      </c>
      <c r="H3244" s="14" t="n">
        <v>11.46</v>
      </c>
      <c r="I3244" s="14" t="n">
        <v>14.5</v>
      </c>
      <c r="J3244" s="22" t="n">
        <f aca="false">IF(E3244="Priority",'Cost model'!N20,'Cost model'!M20)</f>
        <v>13.5</v>
      </c>
      <c r="K3244" s="14" t="n">
        <f aca="false">J3244-H3244</f>
        <v>2.04</v>
      </c>
      <c r="L3244" s="14" t="n">
        <f aca="false">G3244-H3244</f>
        <v>3.04</v>
      </c>
    </row>
    <row r="3245" customFormat="false" ht="15" hidden="false" customHeight="false" outlineLevel="0" collapsed="false">
      <c r="A3245" s="2" t="s">
        <v>126</v>
      </c>
      <c r="B3245" s="2" t="s">
        <v>184</v>
      </c>
      <c r="C3245" s="2" t="s">
        <v>49</v>
      </c>
      <c r="D3245" s="2" t="s">
        <v>10</v>
      </c>
      <c r="E3245" s="2" t="s">
        <v>76</v>
      </c>
      <c r="F3245" s="2" t="s">
        <v>1146</v>
      </c>
      <c r="G3245" s="14" t="n">
        <v>17.5</v>
      </c>
      <c r="H3245" s="14" t="n">
        <v>16.23</v>
      </c>
      <c r="I3245" s="14" t="n">
        <v>14.5</v>
      </c>
      <c r="J3245" s="22" t="n">
        <f aca="false">IF(E3245="Priority",'Cost model'!N435,'Cost model'!M435)</f>
        <v>15.5</v>
      </c>
      <c r="K3245" s="14" t="n">
        <f aca="false">J3245-H3245</f>
        <v>-0.73</v>
      </c>
      <c r="L3245" s="14" t="n">
        <f aca="false">G3245-H3245</f>
        <v>1.27</v>
      </c>
    </row>
    <row r="3246" customFormat="false" ht="15" hidden="false" customHeight="false" outlineLevel="0" collapsed="false">
      <c r="A3246" s="2" t="s">
        <v>184</v>
      </c>
      <c r="B3246" s="2" t="s">
        <v>184</v>
      </c>
      <c r="C3246" s="2" t="s">
        <v>49</v>
      </c>
      <c r="D3246" s="2" t="s">
        <v>12</v>
      </c>
      <c r="E3246" s="2" t="s">
        <v>76</v>
      </c>
      <c r="F3246" s="2" t="s">
        <v>1145</v>
      </c>
      <c r="G3246" s="14" t="n">
        <v>19.5</v>
      </c>
      <c r="H3246" s="14" t="n">
        <v>62.18</v>
      </c>
      <c r="I3246" s="14"/>
      <c r="J3246" s="22" t="n">
        <f aca="false">IF(E3246="Priority",'Cost model'!N204,'Cost model'!M204)</f>
        <v>45</v>
      </c>
      <c r="K3246" s="14" t="n">
        <f aca="false">J3246-H3246</f>
        <v>-17.18</v>
      </c>
      <c r="L3246" s="14" t="n">
        <f aca="false">G3246-H3246</f>
        <v>-42.68</v>
      </c>
    </row>
    <row r="3247" customFormat="false" ht="15" hidden="false" customHeight="false" outlineLevel="0" collapsed="false">
      <c r="A3247" s="2" t="s">
        <v>240</v>
      </c>
      <c r="B3247" s="2" t="s">
        <v>146</v>
      </c>
      <c r="C3247" s="2" t="s">
        <v>50</v>
      </c>
      <c r="D3247" s="2" t="s">
        <v>10</v>
      </c>
      <c r="E3247" s="2" t="s">
        <v>85</v>
      </c>
      <c r="F3247" s="2" t="s">
        <v>1146</v>
      </c>
      <c r="G3247" s="14" t="n">
        <v>34.5</v>
      </c>
      <c r="H3247" s="14" t="n">
        <v>20.83</v>
      </c>
      <c r="I3247" s="14" t="n">
        <v>34.5</v>
      </c>
      <c r="J3247" s="22" t="n">
        <f aca="false">IF(E3247="Priority",'Cost model'!N922,'Cost model'!M922)</f>
        <v>50</v>
      </c>
      <c r="K3247" s="14" t="n">
        <f aca="false">J3247-H3247</f>
        <v>29.17</v>
      </c>
      <c r="L3247" s="14" t="n">
        <f aca="false">G3247-H3247</f>
        <v>13.67</v>
      </c>
    </row>
    <row r="3248" customFormat="false" ht="15" hidden="false" customHeight="false" outlineLevel="0" collapsed="false">
      <c r="A3248" s="2" t="s">
        <v>126</v>
      </c>
      <c r="B3248" s="2" t="s">
        <v>126</v>
      </c>
      <c r="C3248" s="2" t="s">
        <v>49</v>
      </c>
      <c r="D3248" s="2" t="s">
        <v>12</v>
      </c>
      <c r="E3248" s="2" t="s">
        <v>76</v>
      </c>
      <c r="F3248" s="2" t="s">
        <v>1145</v>
      </c>
      <c r="G3248" s="14" t="n">
        <v>12.5</v>
      </c>
      <c r="H3248" s="14" t="n">
        <v>28.35</v>
      </c>
      <c r="I3248" s="14" t="n">
        <v>12.5</v>
      </c>
      <c r="J3248" s="22" t="n">
        <f aca="false">IF(E3248="Priority",'Cost model'!N384,'Cost model'!M384)</f>
        <v>45</v>
      </c>
      <c r="K3248" s="14" t="n">
        <f aca="false">J3248-H3248</f>
        <v>16.65</v>
      </c>
      <c r="L3248" s="14" t="n">
        <f aca="false">G3248-H3248</f>
        <v>-15.85</v>
      </c>
    </row>
    <row r="3249" customFormat="false" ht="15" hidden="false" customHeight="false" outlineLevel="0" collapsed="false">
      <c r="A3249" s="2" t="s">
        <v>240</v>
      </c>
      <c r="B3249" s="2" t="s">
        <v>240</v>
      </c>
      <c r="C3249" s="2" t="s">
        <v>48</v>
      </c>
      <c r="D3249" s="2" t="s">
        <v>12</v>
      </c>
      <c r="E3249" s="2" t="s">
        <v>76</v>
      </c>
      <c r="F3249" s="2" t="s">
        <v>1145</v>
      </c>
      <c r="G3249" s="14" t="n">
        <v>9.5</v>
      </c>
      <c r="H3249" s="14" t="n">
        <v>13.9</v>
      </c>
      <c r="I3249" s="14" t="n">
        <v>9.5</v>
      </c>
      <c r="J3249" s="22" t="n">
        <f aca="false">IF(E3249="Priority",'Cost model'!N887,'Cost model'!M887)</f>
        <v>21.5</v>
      </c>
      <c r="K3249" s="14" t="n">
        <f aca="false">J3249-H3249</f>
        <v>7.6</v>
      </c>
      <c r="L3249" s="14" t="n">
        <f aca="false">G3249-H3249</f>
        <v>-4.4</v>
      </c>
    </row>
    <row r="3250" customFormat="false" ht="15" hidden="false" customHeight="false" outlineLevel="0" collapsed="false">
      <c r="A3250" s="2" t="s">
        <v>126</v>
      </c>
      <c r="B3250" s="2" t="s">
        <v>184</v>
      </c>
      <c r="C3250" s="2" t="s">
        <v>48</v>
      </c>
      <c r="D3250" s="2" t="s">
        <v>12</v>
      </c>
      <c r="E3250" s="2" t="s">
        <v>76</v>
      </c>
      <c r="F3250" s="2" t="s">
        <v>1146</v>
      </c>
      <c r="G3250" s="14" t="n">
        <v>19.5</v>
      </c>
      <c r="H3250" s="14" t="n">
        <v>50.12</v>
      </c>
      <c r="I3250" s="14" t="n">
        <v>19.5</v>
      </c>
      <c r="J3250" s="22" t="n">
        <f aca="false">IF(E3250="Priority",'Cost model'!N437,'Cost model'!M437)</f>
        <v>50</v>
      </c>
      <c r="K3250" s="14" t="n">
        <f aca="false">J3250-H3250</f>
        <v>-0.119999999999997</v>
      </c>
      <c r="L3250" s="14" t="n">
        <f aca="false">G3250-H3250</f>
        <v>-30.62</v>
      </c>
    </row>
    <row r="3251" customFormat="false" ht="15" hidden="false" customHeight="false" outlineLevel="0" collapsed="false">
      <c r="A3251" s="2" t="s">
        <v>146</v>
      </c>
      <c r="B3251" s="2" t="s">
        <v>146</v>
      </c>
      <c r="C3251" s="2" t="s">
        <v>50</v>
      </c>
      <c r="D3251" s="2" t="s">
        <v>12</v>
      </c>
      <c r="E3251" s="2" t="s">
        <v>85</v>
      </c>
      <c r="F3251" s="2" t="s">
        <v>1145</v>
      </c>
      <c r="G3251" s="14" t="n">
        <v>29.5</v>
      </c>
      <c r="H3251" s="14" t="n">
        <v>63.87</v>
      </c>
      <c r="I3251" s="14" t="n">
        <v>29.5</v>
      </c>
      <c r="J3251" s="22" t="n">
        <f aca="false">IF(E3251="Priority",'Cost model'!N763,'Cost model'!M763)</f>
        <v>65</v>
      </c>
      <c r="K3251" s="14" t="n">
        <f aca="false">J3251-H3251</f>
        <v>1.13</v>
      </c>
      <c r="L3251" s="14" t="n">
        <f aca="false">G3251-H3251</f>
        <v>-34.37</v>
      </c>
    </row>
    <row r="3252" customFormat="false" ht="15" hidden="false" customHeight="false" outlineLevel="0" collapsed="false">
      <c r="A3252" s="2" t="s">
        <v>146</v>
      </c>
      <c r="B3252" s="2" t="s">
        <v>146</v>
      </c>
      <c r="C3252" s="2" t="s">
        <v>49</v>
      </c>
      <c r="D3252" s="2" t="s">
        <v>10</v>
      </c>
      <c r="E3252" s="2" t="s">
        <v>76</v>
      </c>
      <c r="F3252" s="2" t="s">
        <v>1145</v>
      </c>
      <c r="G3252" s="14" t="n">
        <v>12.5</v>
      </c>
      <c r="H3252" s="14" t="n">
        <v>24.48</v>
      </c>
      <c r="I3252" s="14" t="n">
        <v>12.5</v>
      </c>
      <c r="J3252" s="22" t="n">
        <f aca="false">IF(E3252="Priority",'Cost model'!N759,'Cost model'!M759)</f>
        <v>15.5</v>
      </c>
      <c r="K3252" s="14" t="n">
        <f aca="false">J3252-H3252</f>
        <v>-8.98</v>
      </c>
      <c r="L3252" s="14" t="n">
        <f aca="false">G3252-H3252</f>
        <v>-11.98</v>
      </c>
    </row>
    <row r="3253" customFormat="false" ht="15" hidden="false" customHeight="false" outlineLevel="0" collapsed="false">
      <c r="A3253" s="2" t="s">
        <v>184</v>
      </c>
      <c r="B3253" s="2" t="s">
        <v>184</v>
      </c>
      <c r="C3253" s="2" t="s">
        <v>49</v>
      </c>
      <c r="D3253" s="2" t="s">
        <v>12</v>
      </c>
      <c r="E3253" s="2" t="s">
        <v>76</v>
      </c>
      <c r="F3253" s="2" t="s">
        <v>1145</v>
      </c>
      <c r="G3253" s="14" t="n">
        <v>19.5</v>
      </c>
      <c r="H3253" s="14" t="n">
        <v>25.99</v>
      </c>
      <c r="I3253" s="14"/>
      <c r="J3253" s="22" t="n">
        <f aca="false">IF(E3253="Priority",'Cost model'!N204,'Cost model'!M204)</f>
        <v>45</v>
      </c>
      <c r="K3253" s="14" t="n">
        <f aca="false">J3253-H3253</f>
        <v>19.01</v>
      </c>
      <c r="L3253" s="14" t="n">
        <f aca="false">G3253-H3253</f>
        <v>-6.49</v>
      </c>
    </row>
    <row r="3254" customFormat="false" ht="15" hidden="false" customHeight="false" outlineLevel="0" collapsed="false">
      <c r="A3254" s="2" t="s">
        <v>126</v>
      </c>
      <c r="B3254" s="2" t="s">
        <v>126</v>
      </c>
      <c r="C3254" s="2" t="s">
        <v>48</v>
      </c>
      <c r="D3254" s="2" t="s">
        <v>10</v>
      </c>
      <c r="E3254" s="2" t="s">
        <v>76</v>
      </c>
      <c r="F3254" s="2" t="s">
        <v>1145</v>
      </c>
      <c r="G3254" s="14" t="n">
        <v>9.5</v>
      </c>
      <c r="H3254" s="14" t="n">
        <v>7.72</v>
      </c>
      <c r="I3254" s="14" t="n">
        <v>9.5</v>
      </c>
      <c r="J3254" s="22" t="n">
        <f aca="false">IF(E3254="Priority",'Cost model'!N380,'Cost model'!M380)</f>
        <v>8.5</v>
      </c>
      <c r="K3254" s="14" t="n">
        <f aca="false">J3254-H3254</f>
        <v>0.78</v>
      </c>
      <c r="L3254" s="14" t="n">
        <f aca="false">G3254-H3254</f>
        <v>1.78</v>
      </c>
    </row>
    <row r="3255" customFormat="false" ht="15" hidden="false" customHeight="false" outlineLevel="0" collapsed="false">
      <c r="A3255" s="2" t="s">
        <v>184</v>
      </c>
      <c r="B3255" s="2" t="s">
        <v>126</v>
      </c>
      <c r="C3255" s="2" t="s">
        <v>50</v>
      </c>
      <c r="D3255" s="2" t="s">
        <v>12</v>
      </c>
      <c r="E3255" s="2" t="s">
        <v>76</v>
      </c>
      <c r="F3255" s="2" t="s">
        <v>1146</v>
      </c>
      <c r="G3255" s="14" t="n">
        <v>19.5</v>
      </c>
      <c r="H3255" s="14" t="n">
        <v>64.17</v>
      </c>
      <c r="I3255" s="14" t="n">
        <v>19.5</v>
      </c>
      <c r="J3255" s="22" t="n">
        <f aca="false">IF(E3255="Priority",'Cost model'!N133,'Cost model'!M133)</f>
        <v>55</v>
      </c>
      <c r="K3255" s="14" t="n">
        <f aca="false">J3255-H3255</f>
        <v>-9.17</v>
      </c>
      <c r="L3255" s="14" t="n">
        <f aca="false">G3255-H3255</f>
        <v>-44.67</v>
      </c>
    </row>
    <row r="3256" customFormat="false" ht="15" hidden="false" customHeight="false" outlineLevel="0" collapsed="false">
      <c r="A3256" s="2" t="s">
        <v>146</v>
      </c>
      <c r="B3256" s="2" t="s">
        <v>146</v>
      </c>
      <c r="C3256" s="2" t="s">
        <v>48</v>
      </c>
      <c r="D3256" s="2" t="s">
        <v>10</v>
      </c>
      <c r="E3256" s="2" t="s">
        <v>85</v>
      </c>
      <c r="F3256" s="2" t="s">
        <v>1145</v>
      </c>
      <c r="G3256" s="14" t="n">
        <v>14.5</v>
      </c>
      <c r="H3256" s="14" t="n">
        <v>17.62</v>
      </c>
      <c r="I3256" s="14" t="n">
        <v>14.5</v>
      </c>
      <c r="J3256" s="22" t="n">
        <f aca="false">IF(E3256="Priority",'Cost model'!N758,'Cost model'!M758)</f>
        <v>14.5</v>
      </c>
      <c r="K3256" s="14" t="n">
        <f aca="false">J3256-H3256</f>
        <v>-3.12</v>
      </c>
      <c r="L3256" s="14" t="n">
        <f aca="false">G3256-H3256</f>
        <v>-3.12</v>
      </c>
    </row>
    <row r="3257" customFormat="false" ht="15" hidden="false" customHeight="false" outlineLevel="0" collapsed="false">
      <c r="A3257" s="2" t="s">
        <v>126</v>
      </c>
      <c r="B3257" s="2" t="s">
        <v>126</v>
      </c>
      <c r="C3257" s="2" t="s">
        <v>49</v>
      </c>
      <c r="D3257" s="2" t="s">
        <v>10</v>
      </c>
      <c r="E3257" s="2" t="s">
        <v>76</v>
      </c>
      <c r="F3257" s="2" t="s">
        <v>1145</v>
      </c>
      <c r="G3257" s="14" t="n">
        <v>19.5</v>
      </c>
      <c r="H3257" s="14" t="n">
        <v>20.83</v>
      </c>
      <c r="I3257" s="14" t="n">
        <v>12.5</v>
      </c>
      <c r="J3257" s="22" t="n">
        <f aca="false">IF(E3257="Priority",'Cost model'!N381,'Cost model'!M381)</f>
        <v>14.5</v>
      </c>
      <c r="K3257" s="14" t="n">
        <f aca="false">J3257-H3257</f>
        <v>-6.33</v>
      </c>
      <c r="L3257" s="14" t="n">
        <f aca="false">G3257-H3257</f>
        <v>-1.33</v>
      </c>
    </row>
    <row r="3258" customFormat="false" ht="15" hidden="false" customHeight="false" outlineLevel="0" collapsed="false">
      <c r="A3258" s="2" t="s">
        <v>240</v>
      </c>
      <c r="B3258" s="2" t="s">
        <v>240</v>
      </c>
      <c r="C3258" s="2" t="s">
        <v>48</v>
      </c>
      <c r="D3258" s="2" t="s">
        <v>10</v>
      </c>
      <c r="E3258" s="2" t="s">
        <v>76</v>
      </c>
      <c r="F3258" s="2" t="s">
        <v>1145</v>
      </c>
      <c r="G3258" s="14" t="n">
        <v>9.5</v>
      </c>
      <c r="H3258" s="14" t="n">
        <v>7.32</v>
      </c>
      <c r="I3258" s="14" t="n">
        <v>9.5</v>
      </c>
      <c r="J3258" s="22" t="n">
        <f aca="false">IF(E3258="Priority",'Cost model'!N884,'Cost model'!M884)</f>
        <v>7.5</v>
      </c>
      <c r="K3258" s="14" t="n">
        <f aca="false">J3258-H3258</f>
        <v>0.18</v>
      </c>
      <c r="L3258" s="14" t="n">
        <f aca="false">G3258-H3258</f>
        <v>2.18</v>
      </c>
    </row>
    <row r="3259" customFormat="false" ht="15" hidden="false" customHeight="false" outlineLevel="0" collapsed="false">
      <c r="A3259" s="2" t="s">
        <v>240</v>
      </c>
      <c r="B3259" s="2" t="s">
        <v>240</v>
      </c>
      <c r="C3259" s="2" t="s">
        <v>48</v>
      </c>
      <c r="D3259" s="2" t="s">
        <v>16</v>
      </c>
      <c r="E3259" s="2" t="s">
        <v>76</v>
      </c>
      <c r="F3259" s="2" t="s">
        <v>1145</v>
      </c>
      <c r="G3259" s="14" t="n">
        <v>45</v>
      </c>
      <c r="H3259" s="14" t="n">
        <v>170.15</v>
      </c>
      <c r="I3259" s="14" t="n">
        <v>45</v>
      </c>
      <c r="J3259" s="22" t="n">
        <f aca="false">IF(E3259="Priority",'Cost model'!N899,'Cost model'!M899)</f>
        <v>135</v>
      </c>
      <c r="K3259" s="14" t="n">
        <f aca="false">J3259-H3259</f>
        <v>-35.15</v>
      </c>
      <c r="L3259" s="14" t="n">
        <f aca="false">G3259-H3259</f>
        <v>-125.15</v>
      </c>
    </row>
    <row r="3260" customFormat="false" ht="15" hidden="false" customHeight="false" outlineLevel="0" collapsed="false">
      <c r="A3260" s="2" t="s">
        <v>125</v>
      </c>
      <c r="B3260" s="2" t="s">
        <v>184</v>
      </c>
      <c r="C3260" s="2" t="s">
        <v>48</v>
      </c>
      <c r="D3260" s="2" t="s">
        <v>12</v>
      </c>
      <c r="E3260" s="2" t="s">
        <v>76</v>
      </c>
      <c r="F3260" s="2" t="s">
        <v>1146</v>
      </c>
      <c r="G3260" s="14" t="n">
        <v>19.5</v>
      </c>
      <c r="H3260" s="14" t="n">
        <v>43.77</v>
      </c>
      <c r="I3260" s="14" t="n">
        <v>19.5</v>
      </c>
      <c r="J3260" s="22" t="n">
        <f aca="false">IF(E3260="Priority",'Cost model'!N59,'Cost model'!M59)</f>
        <v>45</v>
      </c>
      <c r="K3260" s="14" t="n">
        <f aca="false">J3260-H3260</f>
        <v>1.23</v>
      </c>
      <c r="L3260" s="14" t="n">
        <f aca="false">G3260-H3260</f>
        <v>-24.27</v>
      </c>
    </row>
    <row r="3261" customFormat="false" ht="15" hidden="false" customHeight="false" outlineLevel="0" collapsed="false">
      <c r="A3261" s="2" t="s">
        <v>184</v>
      </c>
      <c r="B3261" s="2" t="s">
        <v>146</v>
      </c>
      <c r="C3261" s="2" t="s">
        <v>48</v>
      </c>
      <c r="D3261" s="2" t="s">
        <v>10</v>
      </c>
      <c r="E3261" s="2" t="s">
        <v>76</v>
      </c>
      <c r="F3261" s="2" t="s">
        <v>1146</v>
      </c>
      <c r="G3261" s="14" t="n">
        <v>9.5</v>
      </c>
      <c r="H3261" s="14" t="n">
        <v>7.74</v>
      </c>
      <c r="I3261" s="14" t="n">
        <v>9.5</v>
      </c>
      <c r="J3261" s="22" t="n">
        <f aca="false">IF(E3261="Priority",'Cost model'!N146,'Cost model'!M146)</f>
        <v>12.5</v>
      </c>
      <c r="K3261" s="14" t="n">
        <f aca="false">J3261-H3261</f>
        <v>4.76</v>
      </c>
      <c r="L3261" s="14" t="n">
        <f aca="false">G3261-H3261</f>
        <v>1.76</v>
      </c>
    </row>
    <row r="3262" customFormat="false" ht="15" hidden="false" customHeight="false" outlineLevel="0" collapsed="false">
      <c r="A3262" s="2" t="s">
        <v>184</v>
      </c>
      <c r="B3262" s="2" t="s">
        <v>184</v>
      </c>
      <c r="C3262" s="2" t="s">
        <v>50</v>
      </c>
      <c r="D3262" s="2" t="s">
        <v>12</v>
      </c>
      <c r="E3262" s="2" t="s">
        <v>76</v>
      </c>
      <c r="F3262" s="2" t="s">
        <v>1145</v>
      </c>
      <c r="G3262" s="14" t="n">
        <v>19.5</v>
      </c>
      <c r="H3262" s="14" t="n">
        <v>55.14</v>
      </c>
      <c r="I3262" s="14" t="n">
        <v>19.5</v>
      </c>
      <c r="J3262" s="22" t="n">
        <f aca="false">IF(E3262="Priority",'Cost model'!N205,'Cost model'!M205)</f>
        <v>50</v>
      </c>
      <c r="K3262" s="14" t="n">
        <f aca="false">J3262-H3262</f>
        <v>-5.14</v>
      </c>
      <c r="L3262" s="14" t="n">
        <f aca="false">G3262-H3262</f>
        <v>-35.64</v>
      </c>
    </row>
    <row r="3263" customFormat="false" ht="15" hidden="false" customHeight="false" outlineLevel="0" collapsed="false">
      <c r="A3263" s="2" t="s">
        <v>240</v>
      </c>
      <c r="B3263" s="2" t="s">
        <v>240</v>
      </c>
      <c r="C3263" s="2" t="s">
        <v>50</v>
      </c>
      <c r="D3263" s="2" t="s">
        <v>10</v>
      </c>
      <c r="E3263" s="2" t="s">
        <v>76</v>
      </c>
      <c r="F3263" s="2" t="s">
        <v>1145</v>
      </c>
      <c r="G3263" s="14" t="n">
        <v>17.5</v>
      </c>
      <c r="H3263" s="14" t="n">
        <v>13.7</v>
      </c>
      <c r="I3263" s="14" t="n">
        <v>17.5</v>
      </c>
      <c r="J3263" s="22" t="n">
        <f aca="false">IF(E3263="Priority",'Cost model'!N886,'Cost model'!M886)</f>
        <v>17.5</v>
      </c>
      <c r="K3263" s="14" t="n">
        <f aca="false">J3263-H3263</f>
        <v>3.8</v>
      </c>
      <c r="L3263" s="14" t="n">
        <f aca="false">G3263-H3263</f>
        <v>3.8</v>
      </c>
    </row>
    <row r="3264" customFormat="false" ht="15" hidden="false" customHeight="false" outlineLevel="0" collapsed="false">
      <c r="A3264" s="2" t="s">
        <v>126</v>
      </c>
      <c r="B3264" s="2" t="s">
        <v>126</v>
      </c>
      <c r="C3264" s="2" t="s">
        <v>48</v>
      </c>
      <c r="D3264" s="2" t="s">
        <v>10</v>
      </c>
      <c r="E3264" s="2" t="s">
        <v>85</v>
      </c>
      <c r="F3264" s="2" t="s">
        <v>1145</v>
      </c>
      <c r="G3264" s="14" t="n">
        <v>14.5</v>
      </c>
      <c r="H3264" s="14" t="n">
        <v>21.76</v>
      </c>
      <c r="I3264" s="14" t="n">
        <v>14.5</v>
      </c>
      <c r="J3264" s="22" t="n">
        <f aca="false">IF(E3264="Priority",'Cost model'!N380,'Cost model'!M380)</f>
        <v>13.5</v>
      </c>
      <c r="K3264" s="14" t="n">
        <f aca="false">J3264-H3264</f>
        <v>-8.26</v>
      </c>
      <c r="L3264" s="14" t="n">
        <f aca="false">G3264-H3264</f>
        <v>-7.26</v>
      </c>
    </row>
    <row r="3265" customFormat="false" ht="15" hidden="false" customHeight="false" outlineLevel="0" collapsed="false">
      <c r="A3265" s="2" t="s">
        <v>184</v>
      </c>
      <c r="B3265" s="2" t="s">
        <v>184</v>
      </c>
      <c r="C3265" s="2" t="s">
        <v>49</v>
      </c>
      <c r="D3265" s="2" t="s">
        <v>10</v>
      </c>
      <c r="E3265" s="2" t="s">
        <v>76</v>
      </c>
      <c r="F3265" s="2" t="s">
        <v>1145</v>
      </c>
      <c r="G3265" s="14" t="n">
        <v>12.5</v>
      </c>
      <c r="H3265" s="14" t="n">
        <v>10.91</v>
      </c>
      <c r="I3265" s="14"/>
      <c r="J3265" s="22" t="n">
        <f aca="false">IF(E3265="Priority",'Cost model'!N201,'Cost model'!M201)</f>
        <v>12.5</v>
      </c>
      <c r="K3265" s="14" t="n">
        <f aca="false">J3265-H3265</f>
        <v>1.59</v>
      </c>
      <c r="L3265" s="14" t="n">
        <f aca="false">G3265-H3265</f>
        <v>1.59</v>
      </c>
    </row>
    <row r="3266" customFormat="false" ht="15" hidden="false" customHeight="false" outlineLevel="0" collapsed="false">
      <c r="A3266" s="2" t="s">
        <v>146</v>
      </c>
      <c r="B3266" s="2" t="s">
        <v>146</v>
      </c>
      <c r="C3266" s="2" t="s">
        <v>50</v>
      </c>
      <c r="D3266" s="2" t="s">
        <v>10</v>
      </c>
      <c r="E3266" s="2" t="s">
        <v>76</v>
      </c>
      <c r="F3266" s="2" t="s">
        <v>1145</v>
      </c>
      <c r="G3266" s="14" t="n">
        <v>17.5</v>
      </c>
      <c r="H3266" s="14" t="n">
        <v>16.84</v>
      </c>
      <c r="I3266" s="14" t="n">
        <v>17.5</v>
      </c>
      <c r="J3266" s="22" t="n">
        <f aca="false">IF(E3266="Priority",'Cost model'!N760,'Cost model'!M760)</f>
        <v>18.5</v>
      </c>
      <c r="K3266" s="14" t="n">
        <f aca="false">J3266-H3266</f>
        <v>1.66</v>
      </c>
      <c r="L3266" s="14" t="n">
        <f aca="false">G3266-H3266</f>
        <v>0.66</v>
      </c>
    </row>
    <row r="3267" customFormat="false" ht="15" hidden="false" customHeight="false" outlineLevel="0" collapsed="false">
      <c r="A3267" s="2" t="s">
        <v>184</v>
      </c>
      <c r="B3267" s="2" t="s">
        <v>184</v>
      </c>
      <c r="C3267" s="2" t="s">
        <v>48</v>
      </c>
      <c r="D3267" s="2" t="s">
        <v>12</v>
      </c>
      <c r="E3267" s="2" t="s">
        <v>76</v>
      </c>
      <c r="F3267" s="2" t="s">
        <v>1145</v>
      </c>
      <c r="G3267" s="14" t="n">
        <v>9.5</v>
      </c>
      <c r="H3267" s="14" t="n">
        <v>30.15</v>
      </c>
      <c r="I3267" s="14" t="n">
        <v>9.5</v>
      </c>
      <c r="J3267" s="22" t="n">
        <f aca="false">IF(E3267="Priority",'Cost model'!N203,'Cost model'!M203)</f>
        <v>26.5</v>
      </c>
      <c r="K3267" s="14" t="n">
        <f aca="false">J3267-H3267</f>
        <v>-3.65</v>
      </c>
      <c r="L3267" s="14" t="n">
        <f aca="false">G3267-H3267</f>
        <v>-20.65</v>
      </c>
    </row>
    <row r="3268" customFormat="false" ht="15" hidden="false" customHeight="false" outlineLevel="0" collapsed="false">
      <c r="A3268" s="2" t="s">
        <v>184</v>
      </c>
      <c r="B3268" s="2" t="s">
        <v>184</v>
      </c>
      <c r="C3268" s="2" t="s">
        <v>50</v>
      </c>
      <c r="D3268" s="2" t="s">
        <v>16</v>
      </c>
      <c r="E3268" s="2" t="s">
        <v>76</v>
      </c>
      <c r="F3268" s="2" t="s">
        <v>1145</v>
      </c>
      <c r="G3268" s="14" t="n">
        <v>250</v>
      </c>
      <c r="H3268" s="14" t="n">
        <v>320.91</v>
      </c>
      <c r="I3268" s="14" t="n">
        <v>250</v>
      </c>
      <c r="J3268" s="22" t="n">
        <f aca="false">IF(E3268="Priority",'Cost model'!N217,'Cost model'!M217)</f>
        <v>285</v>
      </c>
      <c r="K3268" s="14" t="n">
        <f aca="false">J3268-H3268</f>
        <v>-35.91</v>
      </c>
      <c r="L3268" s="14" t="n">
        <f aca="false">G3268-H3268</f>
        <v>-70.91</v>
      </c>
    </row>
    <row r="3269" customFormat="false" ht="15" hidden="false" customHeight="false" outlineLevel="0" collapsed="false">
      <c r="A3269" s="2" t="s">
        <v>146</v>
      </c>
      <c r="B3269" s="2" t="s">
        <v>184</v>
      </c>
      <c r="C3269" s="2" t="s">
        <v>50</v>
      </c>
      <c r="D3269" s="2" t="s">
        <v>10</v>
      </c>
      <c r="E3269" s="2" t="s">
        <v>85</v>
      </c>
      <c r="F3269" s="2" t="s">
        <v>1146</v>
      </c>
      <c r="G3269" s="14" t="n">
        <v>29.5</v>
      </c>
      <c r="H3269" s="14" t="n">
        <v>21.76</v>
      </c>
      <c r="I3269" s="14" t="n">
        <v>29.5</v>
      </c>
      <c r="J3269" s="22" t="n">
        <f aca="false">IF(E3269="Priority",'Cost model'!N832,'Cost model'!M832)</f>
        <v>21.5</v>
      </c>
      <c r="K3269" s="14" t="n">
        <f aca="false">J3269-H3269</f>
        <v>-0.260000000000002</v>
      </c>
      <c r="L3269" s="14" t="n">
        <f aca="false">G3269-H3269</f>
        <v>7.74</v>
      </c>
    </row>
    <row r="3270" customFormat="false" ht="15" hidden="false" customHeight="false" outlineLevel="0" collapsed="false">
      <c r="A3270" s="2" t="s">
        <v>184</v>
      </c>
      <c r="B3270" s="2" t="s">
        <v>184</v>
      </c>
      <c r="C3270" s="2" t="s">
        <v>49</v>
      </c>
      <c r="D3270" s="2" t="s">
        <v>13</v>
      </c>
      <c r="E3270" s="2" t="s">
        <v>76</v>
      </c>
      <c r="F3270" s="2" t="s">
        <v>1145</v>
      </c>
      <c r="G3270" s="14" t="n">
        <v>45</v>
      </c>
      <c r="H3270" s="14" t="n">
        <v>125.02</v>
      </c>
      <c r="I3270" s="14"/>
      <c r="J3270" s="22" t="n">
        <f aca="false">IF(E3270="Priority",'Cost model'!N207,'Cost model'!M207)</f>
        <v>75</v>
      </c>
      <c r="K3270" s="14" t="n">
        <f aca="false">J3270-H3270</f>
        <v>-50.02</v>
      </c>
      <c r="L3270" s="14" t="n">
        <f aca="false">G3270-H3270</f>
        <v>-80.02</v>
      </c>
    </row>
    <row r="3271" customFormat="false" ht="15" hidden="false" customHeight="false" outlineLevel="0" collapsed="false">
      <c r="A3271" s="2" t="s">
        <v>184</v>
      </c>
      <c r="B3271" s="2" t="s">
        <v>184</v>
      </c>
      <c r="C3271" s="2" t="s">
        <v>48</v>
      </c>
      <c r="D3271" s="2" t="s">
        <v>10</v>
      </c>
      <c r="E3271" s="2" t="s">
        <v>76</v>
      </c>
      <c r="F3271" s="2" t="s">
        <v>1145</v>
      </c>
      <c r="G3271" s="14" t="n">
        <v>9.5</v>
      </c>
      <c r="H3271" s="14" t="n">
        <v>7.72</v>
      </c>
      <c r="I3271" s="14" t="n">
        <v>9.5</v>
      </c>
      <c r="J3271" s="22" t="n">
        <f aca="false">IF(E3271="Priority",'Cost model'!N200,'Cost model'!M200)</f>
        <v>7.5</v>
      </c>
      <c r="K3271" s="14" t="n">
        <f aca="false">J3271-H3271</f>
        <v>-0.22</v>
      </c>
      <c r="L3271" s="14" t="n">
        <f aca="false">G3271-H3271</f>
        <v>1.78</v>
      </c>
    </row>
    <row r="3272" customFormat="false" ht="15" hidden="false" customHeight="false" outlineLevel="0" collapsed="false">
      <c r="A3272" s="2" t="s">
        <v>146</v>
      </c>
      <c r="B3272" s="2" t="s">
        <v>146</v>
      </c>
      <c r="C3272" s="2" t="s">
        <v>50</v>
      </c>
      <c r="D3272" s="2" t="s">
        <v>12</v>
      </c>
      <c r="E3272" s="2" t="s">
        <v>76</v>
      </c>
      <c r="F3272" s="2" t="s">
        <v>1145</v>
      </c>
      <c r="G3272" s="14" t="n">
        <v>19.5</v>
      </c>
      <c r="H3272" s="14" t="n">
        <v>44.89</v>
      </c>
      <c r="I3272" s="14" t="n">
        <v>19.5</v>
      </c>
      <c r="J3272" s="22" t="n">
        <f aca="false">IF(E3272="Priority",'Cost model'!N763,'Cost model'!M763)</f>
        <v>50</v>
      </c>
      <c r="K3272" s="14" t="n">
        <f aca="false">J3272-H3272</f>
        <v>5.11</v>
      </c>
      <c r="L3272" s="14" t="n">
        <f aca="false">G3272-H3272</f>
        <v>-25.39</v>
      </c>
    </row>
    <row r="3273" customFormat="false" ht="15" hidden="false" customHeight="false" outlineLevel="0" collapsed="false">
      <c r="A3273" s="2" t="s">
        <v>126</v>
      </c>
      <c r="B3273" s="2" t="s">
        <v>184</v>
      </c>
      <c r="C3273" s="2" t="s">
        <v>49</v>
      </c>
      <c r="D3273" s="2" t="s">
        <v>10</v>
      </c>
      <c r="E3273" s="2" t="s">
        <v>85</v>
      </c>
      <c r="F3273" s="2" t="s">
        <v>1146</v>
      </c>
      <c r="G3273" s="14" t="n">
        <v>19.5</v>
      </c>
      <c r="H3273" s="14" t="n">
        <v>20.83</v>
      </c>
      <c r="I3273" s="14" t="n">
        <v>19.5</v>
      </c>
      <c r="J3273" s="22" t="n">
        <f aca="false">IF(E3273="Priority",'Cost model'!N435,'Cost model'!M435)</f>
        <v>21.5</v>
      </c>
      <c r="K3273" s="14" t="n">
        <f aca="false">J3273-H3273</f>
        <v>0.670000000000002</v>
      </c>
      <c r="L3273" s="14" t="n">
        <f aca="false">G3273-H3273</f>
        <v>-1.33</v>
      </c>
    </row>
    <row r="3274" customFormat="false" ht="15" hidden="false" customHeight="false" outlineLevel="0" collapsed="false">
      <c r="A3274" s="2" t="s">
        <v>184</v>
      </c>
      <c r="B3274" s="2" t="s">
        <v>126</v>
      </c>
      <c r="C3274" s="2" t="s">
        <v>48</v>
      </c>
      <c r="D3274" s="2" t="s">
        <v>14</v>
      </c>
      <c r="E3274" s="2" t="s">
        <v>76</v>
      </c>
      <c r="F3274" s="2" t="s">
        <v>1146</v>
      </c>
      <c r="G3274" s="14" t="n">
        <v>25</v>
      </c>
      <c r="H3274" s="14" t="n">
        <v>124.14</v>
      </c>
      <c r="I3274" s="14" t="n">
        <v>25</v>
      </c>
      <c r="J3274" s="22" t="n">
        <f aca="false">IF(E3274="Priority",'Cost model'!N137,'Cost model'!M137)</f>
        <v>120</v>
      </c>
      <c r="K3274" s="14" t="n">
        <f aca="false">J3274-H3274</f>
        <v>-4.14</v>
      </c>
      <c r="L3274" s="14" t="n">
        <f aca="false">G3274-H3274</f>
        <v>-99.14</v>
      </c>
    </row>
    <row r="3275" customFormat="false" ht="15" hidden="false" customHeight="false" outlineLevel="0" collapsed="false">
      <c r="A3275" s="2" t="s">
        <v>146</v>
      </c>
      <c r="B3275" s="2" t="s">
        <v>146</v>
      </c>
      <c r="C3275" s="2" t="s">
        <v>48</v>
      </c>
      <c r="D3275" s="2" t="s">
        <v>10</v>
      </c>
      <c r="E3275" s="2" t="s">
        <v>85</v>
      </c>
      <c r="F3275" s="2" t="s">
        <v>1145</v>
      </c>
      <c r="G3275" s="14" t="n">
        <v>14.5</v>
      </c>
      <c r="H3275" s="14" t="n">
        <v>5.25</v>
      </c>
      <c r="I3275" s="14" t="n">
        <v>14.5</v>
      </c>
      <c r="J3275" s="22" t="n">
        <f aca="false">IF(E3275="Priority",'Cost model'!N758,'Cost model'!M758)</f>
        <v>14.5</v>
      </c>
      <c r="K3275" s="14" t="n">
        <f aca="false">J3275-H3275</f>
        <v>9.25</v>
      </c>
      <c r="L3275" s="14" t="n">
        <f aca="false">G3275-H3275</f>
        <v>9.25</v>
      </c>
    </row>
    <row r="3276" customFormat="false" ht="15" hidden="false" customHeight="false" outlineLevel="0" collapsed="false">
      <c r="A3276" s="2" t="s">
        <v>184</v>
      </c>
      <c r="B3276" s="2" t="s">
        <v>184</v>
      </c>
      <c r="C3276" s="2" t="s">
        <v>48</v>
      </c>
      <c r="D3276" s="2" t="s">
        <v>10</v>
      </c>
      <c r="E3276" s="2" t="s">
        <v>76</v>
      </c>
      <c r="F3276" s="2" t="s">
        <v>1145</v>
      </c>
      <c r="G3276" s="14" t="n">
        <v>9.5</v>
      </c>
      <c r="H3276" s="14" t="n">
        <v>6.11</v>
      </c>
      <c r="I3276" s="14" t="n">
        <v>9.5</v>
      </c>
      <c r="J3276" s="22" t="n">
        <f aca="false">IF(E3276="Priority",'Cost model'!N200,'Cost model'!M200)</f>
        <v>7.5</v>
      </c>
      <c r="K3276" s="14" t="n">
        <f aca="false">J3276-H3276</f>
        <v>1.39</v>
      </c>
      <c r="L3276" s="14" t="n">
        <f aca="false">G3276-H3276</f>
        <v>3.39</v>
      </c>
    </row>
    <row r="3277" customFormat="false" ht="15" hidden="false" customHeight="false" outlineLevel="0" collapsed="false">
      <c r="A3277" s="2" t="s">
        <v>184</v>
      </c>
      <c r="B3277" s="2" t="s">
        <v>126</v>
      </c>
      <c r="C3277" s="2" t="s">
        <v>49</v>
      </c>
      <c r="D3277" s="2" t="s">
        <v>13</v>
      </c>
      <c r="E3277" s="2" t="s">
        <v>76</v>
      </c>
      <c r="F3277" s="2" t="s">
        <v>1146</v>
      </c>
      <c r="G3277" s="14" t="n">
        <v>24.5</v>
      </c>
      <c r="H3277" s="14" t="n">
        <v>124.44</v>
      </c>
      <c r="I3277" s="14"/>
      <c r="J3277" s="22" t="n">
        <f aca="false">IF(E3277="Priority",'Cost model'!N135,'Cost model'!M135)</f>
        <v>80</v>
      </c>
      <c r="K3277" s="14" t="n">
        <f aca="false">J3277-H3277</f>
        <v>-44.44</v>
      </c>
      <c r="L3277" s="14" t="n">
        <f aca="false">G3277-H3277</f>
        <v>-99.94</v>
      </c>
    </row>
    <row r="3278" customFormat="false" ht="15" hidden="false" customHeight="false" outlineLevel="0" collapsed="false">
      <c r="A3278" s="2" t="s">
        <v>184</v>
      </c>
      <c r="B3278" s="2" t="s">
        <v>184</v>
      </c>
      <c r="C3278" s="2" t="s">
        <v>49</v>
      </c>
      <c r="D3278" s="2" t="s">
        <v>10</v>
      </c>
      <c r="E3278" s="2" t="s">
        <v>76</v>
      </c>
      <c r="F3278" s="2" t="s">
        <v>1145</v>
      </c>
      <c r="G3278" s="14" t="n">
        <v>17.5</v>
      </c>
      <c r="H3278" s="14" t="n">
        <v>16.01</v>
      </c>
      <c r="I3278" s="14"/>
      <c r="J3278" s="22" t="n">
        <f aca="false">IF(E3278="Priority",'Cost model'!N201,'Cost model'!M201)</f>
        <v>12.5</v>
      </c>
      <c r="K3278" s="14" t="n">
        <f aca="false">J3278-H3278</f>
        <v>-3.51</v>
      </c>
      <c r="L3278" s="14" t="n">
        <f aca="false">G3278-H3278</f>
        <v>1.49</v>
      </c>
    </row>
    <row r="3279" customFormat="false" ht="15" hidden="false" customHeight="false" outlineLevel="0" collapsed="false">
      <c r="A3279" s="2" t="s">
        <v>184</v>
      </c>
      <c r="B3279" s="2" t="s">
        <v>184</v>
      </c>
      <c r="C3279" s="2" t="s">
        <v>50</v>
      </c>
      <c r="D3279" s="2" t="s">
        <v>10</v>
      </c>
      <c r="E3279" s="2" t="s">
        <v>85</v>
      </c>
      <c r="F3279" s="2" t="s">
        <v>1145</v>
      </c>
      <c r="G3279" s="14" t="n">
        <v>24.5</v>
      </c>
      <c r="H3279" s="14" t="n">
        <v>21.61</v>
      </c>
      <c r="I3279" s="14" t="n">
        <v>24.5</v>
      </c>
      <c r="J3279" s="22" t="n">
        <f aca="false">IF(E3279="Priority",'Cost model'!N202,'Cost model'!M202)</f>
        <v>23.5</v>
      </c>
      <c r="K3279" s="14" t="n">
        <f aca="false">J3279-H3279</f>
        <v>1.89</v>
      </c>
      <c r="L3279" s="14" t="n">
        <f aca="false">G3279-H3279</f>
        <v>2.89</v>
      </c>
    </row>
    <row r="3280" customFormat="false" ht="15" hidden="false" customHeight="false" outlineLevel="0" collapsed="false">
      <c r="A3280" s="2" t="s">
        <v>240</v>
      </c>
      <c r="B3280" s="2" t="s">
        <v>240</v>
      </c>
      <c r="C3280" s="2" t="s">
        <v>50</v>
      </c>
      <c r="D3280" s="2" t="s">
        <v>12</v>
      </c>
      <c r="E3280" s="2" t="s">
        <v>76</v>
      </c>
      <c r="F3280" s="2" t="s">
        <v>1145</v>
      </c>
      <c r="G3280" s="14" t="n">
        <v>19.5</v>
      </c>
      <c r="H3280" s="14" t="n">
        <v>29.34</v>
      </c>
      <c r="I3280" s="14" t="n">
        <v>19.5</v>
      </c>
      <c r="J3280" s="22" t="n">
        <f aca="false">IF(E3280="Priority",'Cost model'!N889,'Cost model'!M889)</f>
        <v>60</v>
      </c>
      <c r="K3280" s="14" t="n">
        <f aca="false">J3280-H3280</f>
        <v>30.66</v>
      </c>
      <c r="L3280" s="14" t="n">
        <f aca="false">G3280-H3280</f>
        <v>-9.84</v>
      </c>
    </row>
    <row r="3281" customFormat="false" ht="15" hidden="false" customHeight="false" outlineLevel="0" collapsed="false">
      <c r="A3281" s="2" t="s">
        <v>126</v>
      </c>
      <c r="B3281" s="2" t="s">
        <v>126</v>
      </c>
      <c r="C3281" s="2" t="s">
        <v>49</v>
      </c>
      <c r="D3281" s="2" t="s">
        <v>14</v>
      </c>
      <c r="E3281" s="2" t="s">
        <v>76</v>
      </c>
      <c r="F3281" s="2" t="s">
        <v>1145</v>
      </c>
      <c r="G3281" s="14" t="n">
        <v>45</v>
      </c>
      <c r="H3281" s="14" t="n">
        <v>122.23</v>
      </c>
      <c r="I3281" s="14" t="n">
        <v>45</v>
      </c>
      <c r="J3281" s="22" t="n">
        <f aca="false">IF(E3281="Priority",'Cost model'!N390,'Cost model'!M390)</f>
        <v>115</v>
      </c>
      <c r="K3281" s="14" t="n">
        <f aca="false">J3281-H3281</f>
        <v>-7.23</v>
      </c>
      <c r="L3281" s="14" t="n">
        <f aca="false">G3281-H3281</f>
        <v>-77.23</v>
      </c>
    </row>
    <row r="3282" customFormat="false" ht="15" hidden="false" customHeight="false" outlineLevel="0" collapsed="false">
      <c r="A3282" s="2" t="s">
        <v>126</v>
      </c>
      <c r="B3282" s="2" t="s">
        <v>146</v>
      </c>
      <c r="C3282" s="2" t="s">
        <v>48</v>
      </c>
      <c r="D3282" s="2" t="s">
        <v>10</v>
      </c>
      <c r="E3282" s="2" t="s">
        <v>76</v>
      </c>
      <c r="F3282" s="2" t="s">
        <v>1146</v>
      </c>
      <c r="G3282" s="14" t="n">
        <v>9.5</v>
      </c>
      <c r="H3282" s="14" t="n">
        <v>9.71</v>
      </c>
      <c r="I3282" s="14" t="n">
        <v>14.5</v>
      </c>
      <c r="J3282" s="22" t="n">
        <f aca="false">IF(E3282="Priority",'Cost model'!N398,'Cost model'!M398)</f>
        <v>15.5</v>
      </c>
      <c r="K3282" s="14" t="n">
        <f aca="false">J3282-H3282</f>
        <v>5.79</v>
      </c>
      <c r="L3282" s="14" t="n">
        <f aca="false">G3282-H3282</f>
        <v>-0.210000000000001</v>
      </c>
    </row>
    <row r="3283" customFormat="false" ht="15" hidden="false" customHeight="false" outlineLevel="0" collapsed="false">
      <c r="A3283" s="2" t="s">
        <v>146</v>
      </c>
      <c r="B3283" s="2" t="s">
        <v>126</v>
      </c>
      <c r="C3283" s="2" t="s">
        <v>48</v>
      </c>
      <c r="D3283" s="2" t="s">
        <v>10</v>
      </c>
      <c r="E3283" s="2" t="s">
        <v>76</v>
      </c>
      <c r="F3283" s="2" t="s">
        <v>1146</v>
      </c>
      <c r="G3283" s="14" t="n">
        <v>14.5</v>
      </c>
      <c r="H3283" s="14" t="n">
        <v>9.64</v>
      </c>
      <c r="I3283" s="14" t="n">
        <v>14.5</v>
      </c>
      <c r="J3283" s="22" t="n">
        <f aca="false">IF(E3283="Priority",'Cost model'!N794,'Cost model'!M794)</f>
        <v>12.5</v>
      </c>
      <c r="K3283" s="14" t="n">
        <f aca="false">J3283-H3283</f>
        <v>2.86</v>
      </c>
      <c r="L3283" s="14" t="n">
        <f aca="false">G3283-H3283</f>
        <v>4.86</v>
      </c>
    </row>
    <row r="3284" customFormat="false" ht="15" hidden="false" customHeight="false" outlineLevel="0" collapsed="false">
      <c r="A3284" s="2" t="s">
        <v>184</v>
      </c>
      <c r="B3284" s="2" t="s">
        <v>240</v>
      </c>
      <c r="C3284" s="2" t="s">
        <v>48</v>
      </c>
      <c r="D3284" s="2" t="s">
        <v>12</v>
      </c>
      <c r="E3284" s="2" t="s">
        <v>76</v>
      </c>
      <c r="F3284" s="2" t="s">
        <v>1146</v>
      </c>
      <c r="G3284" s="14" t="n">
        <v>9.5</v>
      </c>
      <c r="H3284" s="14" t="n">
        <v>79.9</v>
      </c>
      <c r="I3284" s="14" t="n">
        <v>24.5</v>
      </c>
      <c r="J3284" s="22" t="n">
        <f aca="false">IF(E3284="Priority",'Cost model'!N185,'Cost model'!M185)</f>
        <v>55</v>
      </c>
      <c r="K3284" s="14" t="n">
        <f aca="false">J3284-H3284</f>
        <v>-24.9</v>
      </c>
      <c r="L3284" s="14" t="n">
        <f aca="false">G3284-H3284</f>
        <v>-70.4</v>
      </c>
    </row>
    <row r="3285" customFormat="false" ht="15" hidden="false" customHeight="false" outlineLevel="0" collapsed="false">
      <c r="A3285" s="2" t="s">
        <v>146</v>
      </c>
      <c r="B3285" s="2" t="s">
        <v>146</v>
      </c>
      <c r="C3285" s="2" t="s">
        <v>48</v>
      </c>
      <c r="D3285" s="2" t="s">
        <v>10</v>
      </c>
      <c r="E3285" s="2" t="s">
        <v>76</v>
      </c>
      <c r="F3285" s="2" t="s">
        <v>1145</v>
      </c>
      <c r="G3285" s="14" t="n">
        <v>9.5</v>
      </c>
      <c r="H3285" s="14" t="n">
        <v>20.83</v>
      </c>
      <c r="I3285" s="14" t="n">
        <v>9.5</v>
      </c>
      <c r="J3285" s="22" t="n">
        <f aca="false">IF(E3285="Priority",'Cost model'!N758,'Cost model'!M758)</f>
        <v>9.5</v>
      </c>
      <c r="K3285" s="14" t="n">
        <f aca="false">J3285-H3285</f>
        <v>-11.33</v>
      </c>
      <c r="L3285" s="14" t="n">
        <f aca="false">G3285-H3285</f>
        <v>-11.33</v>
      </c>
    </row>
    <row r="3286" customFormat="false" ht="15" hidden="false" customHeight="false" outlineLevel="0" collapsed="false">
      <c r="A3286" s="2" t="s">
        <v>146</v>
      </c>
      <c r="B3286" s="2" t="s">
        <v>146</v>
      </c>
      <c r="C3286" s="2" t="s">
        <v>48</v>
      </c>
      <c r="D3286" s="2" t="s">
        <v>10</v>
      </c>
      <c r="E3286" s="2" t="s">
        <v>76</v>
      </c>
      <c r="F3286" s="2" t="s">
        <v>1145</v>
      </c>
      <c r="G3286" s="14" t="n">
        <v>9.5</v>
      </c>
      <c r="H3286" s="14" t="n">
        <v>8.1</v>
      </c>
      <c r="I3286" s="14" t="n">
        <v>9.5</v>
      </c>
      <c r="J3286" s="22" t="n">
        <f aca="false">IF(E3286="Priority",'Cost model'!N758,'Cost model'!M758)</f>
        <v>9.5</v>
      </c>
      <c r="K3286" s="14" t="n">
        <f aca="false">J3286-H3286</f>
        <v>1.4</v>
      </c>
      <c r="L3286" s="14" t="n">
        <f aca="false">G3286-H3286</f>
        <v>1.4</v>
      </c>
    </row>
    <row r="3287" customFormat="false" ht="15" hidden="false" customHeight="false" outlineLevel="0" collapsed="false">
      <c r="A3287" s="2" t="s">
        <v>240</v>
      </c>
      <c r="B3287" s="2" t="s">
        <v>240</v>
      </c>
      <c r="C3287" s="2" t="s">
        <v>48</v>
      </c>
      <c r="D3287" s="2" t="s">
        <v>10</v>
      </c>
      <c r="E3287" s="2" t="s">
        <v>76</v>
      </c>
      <c r="F3287" s="2" t="s">
        <v>1145</v>
      </c>
      <c r="G3287" s="14" t="n">
        <v>9.5</v>
      </c>
      <c r="H3287" s="14" t="n">
        <v>7</v>
      </c>
      <c r="I3287" s="14" t="n">
        <v>9.5</v>
      </c>
      <c r="J3287" s="22" t="n">
        <f aca="false">IF(E3287="Priority",'Cost model'!N884,'Cost model'!M884)</f>
        <v>7.5</v>
      </c>
      <c r="K3287" s="14" t="n">
        <f aca="false">J3287-H3287</f>
        <v>0.5</v>
      </c>
      <c r="L3287" s="14" t="n">
        <f aca="false">G3287-H3287</f>
        <v>2.5</v>
      </c>
    </row>
    <row r="3288" customFormat="false" ht="15" hidden="false" customHeight="false" outlineLevel="0" collapsed="false">
      <c r="A3288" s="2" t="s">
        <v>126</v>
      </c>
      <c r="B3288" s="2" t="s">
        <v>126</v>
      </c>
      <c r="C3288" s="2" t="s">
        <v>50</v>
      </c>
      <c r="D3288" s="2" t="s">
        <v>10</v>
      </c>
      <c r="E3288" s="2" t="s">
        <v>85</v>
      </c>
      <c r="F3288" s="2" t="s">
        <v>1145</v>
      </c>
      <c r="G3288" s="14" t="n">
        <v>24.5</v>
      </c>
      <c r="H3288" s="14" t="n">
        <v>17.69</v>
      </c>
      <c r="I3288" s="14" t="n">
        <v>24.5</v>
      </c>
      <c r="J3288" s="22" t="n">
        <f aca="false">IF(E3288="Priority",'Cost model'!N382,'Cost model'!M382)</f>
        <v>25.5</v>
      </c>
      <c r="K3288" s="14" t="n">
        <f aca="false">J3288-H3288</f>
        <v>7.81</v>
      </c>
      <c r="L3288" s="14" t="n">
        <f aca="false">G3288-H3288</f>
        <v>6.81</v>
      </c>
    </row>
    <row r="3289" customFormat="false" ht="15" hidden="false" customHeight="false" outlineLevel="0" collapsed="false">
      <c r="A3289" s="2" t="s">
        <v>221</v>
      </c>
      <c r="B3289" s="2" t="s">
        <v>165</v>
      </c>
      <c r="C3289" s="2" t="s">
        <v>49</v>
      </c>
      <c r="D3289" s="2" t="s">
        <v>10</v>
      </c>
      <c r="E3289" s="2" t="s">
        <v>76</v>
      </c>
      <c r="F3289" s="2" t="s">
        <v>1146</v>
      </c>
      <c r="G3289" s="14" t="n">
        <v>14.5</v>
      </c>
      <c r="H3289" s="14" t="n">
        <v>13.64</v>
      </c>
      <c r="I3289" s="14"/>
      <c r="J3289" s="22" t="n">
        <f aca="false">IF(E3289="Priority",'Cost model'!N741,'Cost model'!M741)</f>
        <v>16.5</v>
      </c>
      <c r="K3289" s="14" t="n">
        <f aca="false">J3289-H3289</f>
        <v>2.86</v>
      </c>
      <c r="L3289" s="14" t="n">
        <f aca="false">G3289-H3289</f>
        <v>0.859999999999999</v>
      </c>
    </row>
    <row r="3290" customFormat="false" ht="15" hidden="false" customHeight="false" outlineLevel="0" collapsed="false">
      <c r="A3290" s="2" t="s">
        <v>146</v>
      </c>
      <c r="B3290" s="2" t="s">
        <v>126</v>
      </c>
      <c r="C3290" s="2" t="s">
        <v>48</v>
      </c>
      <c r="D3290" s="2" t="s">
        <v>12</v>
      </c>
      <c r="E3290" s="2" t="s">
        <v>85</v>
      </c>
      <c r="F3290" s="2" t="s">
        <v>1146</v>
      </c>
      <c r="G3290" s="14" t="n">
        <v>24.5</v>
      </c>
      <c r="H3290" s="14" t="n">
        <v>45.36</v>
      </c>
      <c r="I3290" s="14" t="n">
        <v>24.5</v>
      </c>
      <c r="J3290" s="22" t="n">
        <f aca="false">IF(E3290="Priority",'Cost model'!N797,'Cost model'!M797)</f>
        <v>55</v>
      </c>
      <c r="K3290" s="14" t="n">
        <f aca="false">J3290-H3290</f>
        <v>9.64</v>
      </c>
      <c r="L3290" s="14" t="n">
        <f aca="false">G3290-H3290</f>
        <v>-20.86</v>
      </c>
    </row>
    <row r="3291" customFormat="false" ht="15" hidden="false" customHeight="false" outlineLevel="0" collapsed="false">
      <c r="A3291" s="2" t="s">
        <v>240</v>
      </c>
      <c r="B3291" s="2" t="s">
        <v>240</v>
      </c>
      <c r="C3291" s="2" t="s">
        <v>48</v>
      </c>
      <c r="D3291" s="2" t="s">
        <v>10</v>
      </c>
      <c r="E3291" s="2" t="s">
        <v>76</v>
      </c>
      <c r="F3291" s="2" t="s">
        <v>1145</v>
      </c>
      <c r="G3291" s="14" t="n">
        <v>9.5</v>
      </c>
      <c r="H3291" s="14" t="n">
        <v>7</v>
      </c>
      <c r="I3291" s="14" t="n">
        <v>9.5</v>
      </c>
      <c r="J3291" s="22" t="n">
        <f aca="false">IF(E3291="Priority",'Cost model'!N884,'Cost model'!M884)</f>
        <v>7.5</v>
      </c>
      <c r="K3291" s="14" t="n">
        <f aca="false">J3291-H3291</f>
        <v>0.5</v>
      </c>
      <c r="L3291" s="14" t="n">
        <f aca="false">G3291-H3291</f>
        <v>2.5</v>
      </c>
    </row>
    <row r="3292" customFormat="false" ht="15" hidden="false" customHeight="false" outlineLevel="0" collapsed="false">
      <c r="A3292" s="2" t="s">
        <v>184</v>
      </c>
      <c r="B3292" s="2" t="s">
        <v>184</v>
      </c>
      <c r="C3292" s="2" t="s">
        <v>48</v>
      </c>
      <c r="D3292" s="2" t="s">
        <v>13</v>
      </c>
      <c r="E3292" s="2" t="s">
        <v>76</v>
      </c>
      <c r="F3292" s="2" t="s">
        <v>1145</v>
      </c>
      <c r="G3292" s="14" t="n">
        <v>19</v>
      </c>
      <c r="H3292" s="14" t="n">
        <v>34</v>
      </c>
      <c r="I3292" s="14" t="n">
        <v>19</v>
      </c>
      <c r="J3292" s="22" t="n">
        <f aca="false">IF(E3292="Priority",'Cost model'!N206,'Cost model'!M206)</f>
        <v>55</v>
      </c>
      <c r="K3292" s="14" t="n">
        <f aca="false">J3292-H3292</f>
        <v>21</v>
      </c>
      <c r="L3292" s="14" t="n">
        <f aca="false">G3292-H3292</f>
        <v>-15</v>
      </c>
    </row>
    <row r="3293" customFormat="false" ht="15" hidden="false" customHeight="false" outlineLevel="0" collapsed="false">
      <c r="A3293" s="2" t="s">
        <v>126</v>
      </c>
      <c r="B3293" s="2" t="s">
        <v>165</v>
      </c>
      <c r="C3293" s="2" t="s">
        <v>49</v>
      </c>
      <c r="D3293" s="2" t="s">
        <v>10</v>
      </c>
      <c r="E3293" s="2" t="s">
        <v>76</v>
      </c>
      <c r="F3293" s="2" t="s">
        <v>1146</v>
      </c>
      <c r="G3293" s="14" t="n">
        <v>12.5</v>
      </c>
      <c r="H3293" s="14" t="n">
        <v>16.13</v>
      </c>
      <c r="I3293" s="14" t="n">
        <v>14.5</v>
      </c>
      <c r="J3293" s="22" t="n">
        <f aca="false">IF(E3293="Priority",'Cost model'!N417,'Cost model'!M417)</f>
        <v>18.5</v>
      </c>
      <c r="K3293" s="14" t="n">
        <f aca="false">J3293-H3293</f>
        <v>2.37</v>
      </c>
      <c r="L3293" s="14" t="n">
        <f aca="false">G3293-H3293</f>
        <v>-3.63</v>
      </c>
    </row>
    <row r="3294" customFormat="false" ht="15" hidden="false" customHeight="false" outlineLevel="0" collapsed="false">
      <c r="A3294" s="2" t="s">
        <v>240</v>
      </c>
      <c r="B3294" s="2" t="s">
        <v>240</v>
      </c>
      <c r="C3294" s="2" t="s">
        <v>50</v>
      </c>
      <c r="D3294" s="2" t="s">
        <v>13</v>
      </c>
      <c r="E3294" s="2" t="s">
        <v>76</v>
      </c>
      <c r="F3294" s="2" t="s">
        <v>1145</v>
      </c>
      <c r="G3294" s="14" t="n">
        <v>50</v>
      </c>
      <c r="H3294" s="14" t="n">
        <v>115.15</v>
      </c>
      <c r="I3294" s="14" t="n">
        <v>50</v>
      </c>
      <c r="J3294" s="22" t="n">
        <f aca="false">IF(E3294="Priority",'Cost model'!N892,'Cost model'!M892)</f>
        <v>130</v>
      </c>
      <c r="K3294" s="14" t="n">
        <f aca="false">J3294-H3294</f>
        <v>14.85</v>
      </c>
      <c r="L3294" s="14" t="n">
        <f aca="false">G3294-H3294</f>
        <v>-65.15</v>
      </c>
    </row>
    <row r="3295" customFormat="false" ht="15" hidden="false" customHeight="false" outlineLevel="0" collapsed="false">
      <c r="A3295" s="2" t="s">
        <v>221</v>
      </c>
      <c r="B3295" s="2" t="s">
        <v>221</v>
      </c>
      <c r="C3295" s="2" t="s">
        <v>49</v>
      </c>
      <c r="D3295" s="2" t="s">
        <v>12</v>
      </c>
      <c r="E3295" s="2" t="s">
        <v>85</v>
      </c>
      <c r="F3295" s="2" t="s">
        <v>1145</v>
      </c>
      <c r="G3295" s="14" t="n">
        <v>19.5</v>
      </c>
      <c r="H3295" s="14" t="n">
        <v>43.21</v>
      </c>
      <c r="I3295" s="14" t="n">
        <v>19.5</v>
      </c>
      <c r="J3295" s="22" t="n">
        <f aca="false">IF(E3295="Priority",'Cost model'!N636,'Cost model'!M636)</f>
        <v>70</v>
      </c>
      <c r="K3295" s="14" t="n">
        <f aca="false">J3295-H3295</f>
        <v>26.79</v>
      </c>
      <c r="L3295" s="14" t="n">
        <f aca="false">G3295-H3295</f>
        <v>-23.71</v>
      </c>
    </row>
    <row r="3296" customFormat="false" ht="15" hidden="false" customHeight="false" outlineLevel="0" collapsed="false">
      <c r="A3296" s="2" t="s">
        <v>240</v>
      </c>
      <c r="B3296" s="2" t="s">
        <v>240</v>
      </c>
      <c r="C3296" s="2" t="s">
        <v>50</v>
      </c>
      <c r="D3296" s="2" t="s">
        <v>12</v>
      </c>
      <c r="E3296" s="2" t="s">
        <v>76</v>
      </c>
      <c r="F3296" s="2" t="s">
        <v>1145</v>
      </c>
      <c r="G3296" s="14" t="n">
        <v>19.5</v>
      </c>
      <c r="H3296" s="14" t="n">
        <v>21.14</v>
      </c>
      <c r="I3296" s="14" t="n">
        <v>19.5</v>
      </c>
      <c r="J3296" s="22" t="n">
        <f aca="false">IF(E3296="Priority",'Cost model'!N889,'Cost model'!M889)</f>
        <v>60</v>
      </c>
      <c r="K3296" s="14" t="n">
        <f aca="false">J3296-H3296</f>
        <v>38.86</v>
      </c>
      <c r="L3296" s="14" t="n">
        <f aca="false">G3296-H3296</f>
        <v>-1.64</v>
      </c>
    </row>
    <row r="3297" customFormat="false" ht="15" hidden="false" customHeight="false" outlineLevel="0" collapsed="false">
      <c r="A3297" s="2" t="s">
        <v>184</v>
      </c>
      <c r="B3297" s="2" t="s">
        <v>165</v>
      </c>
      <c r="C3297" s="2" t="s">
        <v>49</v>
      </c>
      <c r="D3297" s="2" t="s">
        <v>10</v>
      </c>
      <c r="E3297" s="2" t="s">
        <v>76</v>
      </c>
      <c r="F3297" s="2" t="s">
        <v>1146</v>
      </c>
      <c r="G3297" s="14" t="n">
        <v>19.5</v>
      </c>
      <c r="H3297" s="14" t="n">
        <v>11.91</v>
      </c>
      <c r="I3297" s="14"/>
      <c r="J3297" s="22" t="n">
        <f aca="false">IF(E3297="Priority",'Cost model'!N165,'Cost model'!M165)</f>
        <v>15.5</v>
      </c>
      <c r="K3297" s="14" t="n">
        <f aca="false">J3297-H3297</f>
        <v>3.59</v>
      </c>
      <c r="L3297" s="14" t="n">
        <f aca="false">G3297-H3297</f>
        <v>7.59</v>
      </c>
    </row>
    <row r="3298" customFormat="false" ht="15" hidden="false" customHeight="false" outlineLevel="0" collapsed="false">
      <c r="A3298" s="2" t="s">
        <v>125</v>
      </c>
      <c r="B3298" s="2" t="s">
        <v>146</v>
      </c>
      <c r="C3298" s="2" t="s">
        <v>48</v>
      </c>
      <c r="D3298" s="2" t="s">
        <v>12</v>
      </c>
      <c r="E3298" s="2" t="s">
        <v>76</v>
      </c>
      <c r="F3298" s="2" t="s">
        <v>1146</v>
      </c>
      <c r="G3298" s="14" t="n">
        <v>19.5</v>
      </c>
      <c r="H3298" s="14" t="n">
        <v>50.51</v>
      </c>
      <c r="I3298" s="14" t="n">
        <v>19.5</v>
      </c>
      <c r="J3298" s="22" t="n">
        <f aca="false">IF(E3298="Priority",'Cost model'!N23,'Cost model'!M23)</f>
        <v>55</v>
      </c>
      <c r="K3298" s="14" t="n">
        <f aca="false">J3298-H3298</f>
        <v>4.49</v>
      </c>
      <c r="L3298" s="14" t="n">
        <f aca="false">G3298-H3298</f>
        <v>-31.01</v>
      </c>
    </row>
    <row r="3299" customFormat="false" ht="15" hidden="false" customHeight="false" outlineLevel="0" collapsed="false">
      <c r="A3299" s="2" t="s">
        <v>146</v>
      </c>
      <c r="B3299" s="2" t="s">
        <v>146</v>
      </c>
      <c r="C3299" s="2" t="s">
        <v>48</v>
      </c>
      <c r="D3299" s="2" t="s">
        <v>10</v>
      </c>
      <c r="E3299" s="2" t="s">
        <v>76</v>
      </c>
      <c r="F3299" s="2" t="s">
        <v>1145</v>
      </c>
      <c r="G3299" s="14" t="n">
        <v>9.5</v>
      </c>
      <c r="H3299" s="14" t="n">
        <v>8.61</v>
      </c>
      <c r="I3299" s="14" t="n">
        <v>9.5</v>
      </c>
      <c r="J3299" s="22" t="n">
        <f aca="false">IF(E3299="Priority",'Cost model'!N758,'Cost model'!M758)</f>
        <v>9.5</v>
      </c>
      <c r="K3299" s="14" t="n">
        <f aca="false">J3299-H3299</f>
        <v>0.890000000000001</v>
      </c>
      <c r="L3299" s="14" t="n">
        <f aca="false">G3299-H3299</f>
        <v>0.890000000000001</v>
      </c>
    </row>
    <row r="3300" customFormat="false" ht="15" hidden="false" customHeight="false" outlineLevel="0" collapsed="false">
      <c r="A3300" s="2" t="s">
        <v>126</v>
      </c>
      <c r="B3300" s="2" t="s">
        <v>126</v>
      </c>
      <c r="C3300" s="2" t="s">
        <v>49</v>
      </c>
      <c r="D3300" s="2" t="s">
        <v>12</v>
      </c>
      <c r="E3300" s="2" t="s">
        <v>85</v>
      </c>
      <c r="F3300" s="2" t="s">
        <v>1145</v>
      </c>
      <c r="G3300" s="14" t="n">
        <v>19.5</v>
      </c>
      <c r="H3300" s="14" t="n">
        <v>52.88</v>
      </c>
      <c r="I3300" s="14" t="n">
        <v>19.5</v>
      </c>
      <c r="J3300" s="22" t="n">
        <f aca="false">IF(E3300="Priority",'Cost model'!N384,'Cost model'!M384)</f>
        <v>60</v>
      </c>
      <c r="K3300" s="14" t="n">
        <f aca="false">J3300-H3300</f>
        <v>7.12</v>
      </c>
      <c r="L3300" s="14" t="n">
        <f aca="false">G3300-H3300</f>
        <v>-33.38</v>
      </c>
    </row>
    <row r="3301" customFormat="false" ht="15" hidden="false" customHeight="false" outlineLevel="0" collapsed="false">
      <c r="A3301" s="2" t="s">
        <v>184</v>
      </c>
      <c r="B3301" s="2" t="s">
        <v>184</v>
      </c>
      <c r="C3301" s="2" t="s">
        <v>50</v>
      </c>
      <c r="D3301" s="2" t="s">
        <v>10</v>
      </c>
      <c r="E3301" s="2" t="s">
        <v>76</v>
      </c>
      <c r="F3301" s="2" t="s">
        <v>1145</v>
      </c>
      <c r="G3301" s="14" t="n">
        <v>17.5</v>
      </c>
      <c r="H3301" s="14" t="n">
        <v>20.11</v>
      </c>
      <c r="I3301" s="14" t="n">
        <v>17.5</v>
      </c>
      <c r="J3301" s="22" t="n">
        <f aca="false">IF(E3301="Priority",'Cost model'!N202,'Cost model'!M202)</f>
        <v>17.5</v>
      </c>
      <c r="K3301" s="14" t="n">
        <f aca="false">J3301-H3301</f>
        <v>-2.61</v>
      </c>
      <c r="L3301" s="14" t="n">
        <f aca="false">G3301-H3301</f>
        <v>-2.61</v>
      </c>
    </row>
    <row r="3302" customFormat="false" ht="15" hidden="false" customHeight="false" outlineLevel="0" collapsed="false">
      <c r="A3302" s="2" t="s">
        <v>146</v>
      </c>
      <c r="B3302" s="2" t="s">
        <v>146</v>
      </c>
      <c r="C3302" s="2" t="s">
        <v>48</v>
      </c>
      <c r="D3302" s="2" t="s">
        <v>12</v>
      </c>
      <c r="E3302" s="2" t="s">
        <v>85</v>
      </c>
      <c r="F3302" s="2" t="s">
        <v>1145</v>
      </c>
      <c r="G3302" s="14" t="n">
        <v>19.5</v>
      </c>
      <c r="H3302" s="14" t="n">
        <v>23.58</v>
      </c>
      <c r="I3302" s="14" t="n">
        <v>19.5</v>
      </c>
      <c r="J3302" s="22" t="n">
        <f aca="false">IF(E3302="Priority",'Cost model'!N761,'Cost model'!M761)</f>
        <v>45</v>
      </c>
      <c r="K3302" s="14" t="n">
        <f aca="false">J3302-H3302</f>
        <v>21.42</v>
      </c>
      <c r="L3302" s="14" t="n">
        <f aca="false">G3302-H3302</f>
        <v>-4.08</v>
      </c>
    </row>
    <row r="3303" customFormat="false" ht="15" hidden="false" customHeight="false" outlineLevel="0" collapsed="false">
      <c r="A3303" s="2" t="s">
        <v>184</v>
      </c>
      <c r="B3303" s="2" t="s">
        <v>184</v>
      </c>
      <c r="C3303" s="2" t="s">
        <v>50</v>
      </c>
      <c r="D3303" s="2" t="s">
        <v>12</v>
      </c>
      <c r="E3303" s="2" t="s">
        <v>76</v>
      </c>
      <c r="F3303" s="2" t="s">
        <v>1145</v>
      </c>
      <c r="G3303" s="14" t="n">
        <v>19.5</v>
      </c>
      <c r="H3303" s="14" t="n">
        <v>48.03</v>
      </c>
      <c r="I3303" s="14" t="n">
        <v>19.5</v>
      </c>
      <c r="J3303" s="22" t="n">
        <f aca="false">IF(E3303="Priority",'Cost model'!N205,'Cost model'!M205)</f>
        <v>50</v>
      </c>
      <c r="K3303" s="14" t="n">
        <f aca="false">J3303-H3303</f>
        <v>1.97</v>
      </c>
      <c r="L3303" s="14" t="n">
        <f aca="false">G3303-H3303</f>
        <v>-28.53</v>
      </c>
    </row>
    <row r="3304" customFormat="false" ht="15" hidden="false" customHeight="false" outlineLevel="0" collapsed="false">
      <c r="A3304" s="2" t="s">
        <v>184</v>
      </c>
      <c r="B3304" s="2" t="s">
        <v>184</v>
      </c>
      <c r="C3304" s="2" t="s">
        <v>50</v>
      </c>
      <c r="D3304" s="2" t="s">
        <v>12</v>
      </c>
      <c r="E3304" s="2" t="s">
        <v>76</v>
      </c>
      <c r="F3304" s="2" t="s">
        <v>1145</v>
      </c>
      <c r="G3304" s="14" t="n">
        <v>19.5</v>
      </c>
      <c r="H3304" s="14" t="n">
        <v>67.41</v>
      </c>
      <c r="I3304" s="14" t="n">
        <v>19.5</v>
      </c>
      <c r="J3304" s="22" t="n">
        <f aca="false">IF(E3304="Priority",'Cost model'!N205,'Cost model'!M205)</f>
        <v>50</v>
      </c>
      <c r="K3304" s="14" t="n">
        <f aca="false">J3304-H3304</f>
        <v>-17.41</v>
      </c>
      <c r="L3304" s="14" t="n">
        <f aca="false">G3304-H3304</f>
        <v>-47.91</v>
      </c>
    </row>
    <row r="3305" customFormat="false" ht="15" hidden="false" customHeight="false" outlineLevel="0" collapsed="false">
      <c r="A3305" s="2" t="s">
        <v>146</v>
      </c>
      <c r="B3305" s="2" t="s">
        <v>146</v>
      </c>
      <c r="C3305" s="2" t="s">
        <v>50</v>
      </c>
      <c r="D3305" s="2" t="s">
        <v>12</v>
      </c>
      <c r="E3305" s="2" t="s">
        <v>76</v>
      </c>
      <c r="F3305" s="2" t="s">
        <v>1145</v>
      </c>
      <c r="G3305" s="14" t="n">
        <v>19.5</v>
      </c>
      <c r="H3305" s="14" t="n">
        <v>44.18</v>
      </c>
      <c r="I3305" s="14" t="n">
        <v>19.5</v>
      </c>
      <c r="J3305" s="22" t="n">
        <f aca="false">IF(E3305="Priority",'Cost model'!N763,'Cost model'!M763)</f>
        <v>50</v>
      </c>
      <c r="K3305" s="14" t="n">
        <f aca="false">J3305-H3305</f>
        <v>5.82</v>
      </c>
      <c r="L3305" s="14" t="n">
        <f aca="false">G3305-H3305</f>
        <v>-24.68</v>
      </c>
    </row>
    <row r="3306" customFormat="false" ht="15" hidden="false" customHeight="false" outlineLevel="0" collapsed="false">
      <c r="A3306" s="2" t="s">
        <v>184</v>
      </c>
      <c r="B3306" s="2" t="s">
        <v>184</v>
      </c>
      <c r="C3306" s="2" t="s">
        <v>48</v>
      </c>
      <c r="D3306" s="2" t="s">
        <v>14</v>
      </c>
      <c r="E3306" s="2" t="s">
        <v>76</v>
      </c>
      <c r="F3306" s="2" t="s">
        <v>1145</v>
      </c>
      <c r="G3306" s="14" t="n">
        <v>25</v>
      </c>
      <c r="H3306" s="14" t="n">
        <v>142.52</v>
      </c>
      <c r="I3306" s="14" t="n">
        <v>25</v>
      </c>
      <c r="J3306" s="22" t="n">
        <f aca="false">IF(E3306="Priority",'Cost model'!N209,'Cost model'!M209)</f>
        <v>105</v>
      </c>
      <c r="K3306" s="14" t="n">
        <f aca="false">J3306-H3306</f>
        <v>-37.52</v>
      </c>
      <c r="L3306" s="14" t="n">
        <f aca="false">G3306-H3306</f>
        <v>-117.52</v>
      </c>
    </row>
    <row r="3307" customFormat="false" ht="15" hidden="false" customHeight="false" outlineLevel="0" collapsed="false">
      <c r="A3307" s="2" t="s">
        <v>184</v>
      </c>
      <c r="B3307" s="2" t="s">
        <v>184</v>
      </c>
      <c r="C3307" s="2" t="s">
        <v>48</v>
      </c>
      <c r="D3307" s="2" t="s">
        <v>10</v>
      </c>
      <c r="E3307" s="2" t="s">
        <v>76</v>
      </c>
      <c r="F3307" s="2" t="s">
        <v>1145</v>
      </c>
      <c r="G3307" s="14" t="n">
        <v>9.5</v>
      </c>
      <c r="H3307" s="14" t="n">
        <v>6.11</v>
      </c>
      <c r="I3307" s="14" t="n">
        <v>9.5</v>
      </c>
      <c r="J3307" s="22" t="n">
        <f aca="false">IF(E3307="Priority",'Cost model'!N200,'Cost model'!M200)</f>
        <v>7.5</v>
      </c>
      <c r="K3307" s="14" t="n">
        <f aca="false">J3307-H3307</f>
        <v>1.39</v>
      </c>
      <c r="L3307" s="14" t="n">
        <f aca="false">G3307-H3307</f>
        <v>3.39</v>
      </c>
    </row>
    <row r="3308" customFormat="false" ht="15" hidden="false" customHeight="false" outlineLevel="0" collapsed="false">
      <c r="A3308" s="2" t="s">
        <v>240</v>
      </c>
      <c r="B3308" s="2" t="s">
        <v>240</v>
      </c>
      <c r="C3308" s="2" t="s">
        <v>50</v>
      </c>
      <c r="D3308" s="2" t="s">
        <v>12</v>
      </c>
      <c r="E3308" s="2" t="s">
        <v>85</v>
      </c>
      <c r="F3308" s="2" t="s">
        <v>1145</v>
      </c>
      <c r="G3308" s="14" t="n">
        <v>29.5</v>
      </c>
      <c r="H3308" s="14" t="n">
        <v>101.33</v>
      </c>
      <c r="I3308" s="14" t="n">
        <v>29.5</v>
      </c>
      <c r="J3308" s="22" t="n">
        <f aca="false">IF(E3308="Priority",'Cost model'!N889,'Cost model'!M889)</f>
        <v>80</v>
      </c>
      <c r="K3308" s="14" t="n">
        <f aca="false">J3308-H3308</f>
        <v>-21.33</v>
      </c>
      <c r="L3308" s="14" t="n">
        <f aca="false">G3308-H3308</f>
        <v>-71.83</v>
      </c>
    </row>
    <row r="3309" customFormat="false" ht="15" hidden="false" customHeight="false" outlineLevel="0" collapsed="false">
      <c r="A3309" s="2" t="s">
        <v>240</v>
      </c>
      <c r="B3309" s="2" t="s">
        <v>126</v>
      </c>
      <c r="C3309" s="2" t="s">
        <v>48</v>
      </c>
      <c r="D3309" s="2" t="s">
        <v>12</v>
      </c>
      <c r="E3309" s="2" t="s">
        <v>76</v>
      </c>
      <c r="F3309" s="2" t="s">
        <v>1146</v>
      </c>
      <c r="G3309" s="14" t="n">
        <v>9.5</v>
      </c>
      <c r="H3309" s="14" t="n">
        <v>55.97</v>
      </c>
      <c r="I3309" s="14" t="n">
        <v>24.5</v>
      </c>
      <c r="J3309" s="22" t="n">
        <f aca="false">IF(E3309="Priority",'Cost model'!N959,'Cost model'!M959)</f>
        <v>55</v>
      </c>
      <c r="K3309" s="14" t="n">
        <f aca="false">J3309-H3309</f>
        <v>-0.969999999999999</v>
      </c>
      <c r="L3309" s="14" t="n">
        <f aca="false">G3309-H3309</f>
        <v>-46.47</v>
      </c>
    </row>
    <row r="3310" customFormat="false" ht="15" hidden="false" customHeight="false" outlineLevel="0" collapsed="false">
      <c r="A3310" s="2" t="s">
        <v>240</v>
      </c>
      <c r="B3310" s="2" t="s">
        <v>126</v>
      </c>
      <c r="C3310" s="2" t="s">
        <v>48</v>
      </c>
      <c r="D3310" s="2" t="s">
        <v>10</v>
      </c>
      <c r="E3310" s="2" t="s">
        <v>76</v>
      </c>
      <c r="F3310" s="2" t="s">
        <v>1146</v>
      </c>
      <c r="G3310" s="14" t="n">
        <v>9.5</v>
      </c>
      <c r="H3310" s="14" t="n">
        <v>24.17</v>
      </c>
      <c r="I3310" s="14" t="n">
        <v>19.5</v>
      </c>
      <c r="J3310" s="22" t="n">
        <f aca="false">IF(E3310="Priority",'Cost model'!N956,'Cost model'!M956)</f>
        <v>15.5</v>
      </c>
      <c r="K3310" s="14" t="n">
        <f aca="false">J3310-H3310</f>
        <v>-8.67</v>
      </c>
      <c r="L3310" s="14" t="n">
        <f aca="false">G3310-H3310</f>
        <v>-14.67</v>
      </c>
    </row>
    <row r="3311" customFormat="false" ht="15" hidden="false" customHeight="false" outlineLevel="0" collapsed="false">
      <c r="A3311" s="2" t="s">
        <v>146</v>
      </c>
      <c r="B3311" s="2" t="s">
        <v>184</v>
      </c>
      <c r="C3311" s="2" t="s">
        <v>48</v>
      </c>
      <c r="D3311" s="2" t="s">
        <v>10</v>
      </c>
      <c r="E3311" s="2" t="s">
        <v>76</v>
      </c>
      <c r="F3311" s="2" t="s">
        <v>1146</v>
      </c>
      <c r="G3311" s="14" t="n">
        <v>14.5</v>
      </c>
      <c r="H3311" s="14" t="n">
        <v>7.14</v>
      </c>
      <c r="I3311" s="14" t="n">
        <v>14.5</v>
      </c>
      <c r="J3311" s="22" t="n">
        <f aca="false">IF(E3311="Priority",'Cost model'!N830,'Cost model'!M830)</f>
        <v>9.5</v>
      </c>
      <c r="K3311" s="14" t="n">
        <f aca="false">J3311-H3311</f>
        <v>2.36</v>
      </c>
      <c r="L3311" s="14" t="n">
        <f aca="false">G3311-H3311</f>
        <v>7.36</v>
      </c>
    </row>
    <row r="3312" customFormat="false" ht="15" hidden="false" customHeight="false" outlineLevel="0" collapsed="false">
      <c r="A3312" s="2" t="s">
        <v>125</v>
      </c>
      <c r="B3312" s="2" t="s">
        <v>126</v>
      </c>
      <c r="C3312" s="2" t="s">
        <v>48</v>
      </c>
      <c r="D3312" s="2" t="s">
        <v>10</v>
      </c>
      <c r="E3312" s="2" t="s">
        <v>85</v>
      </c>
      <c r="F3312" s="2" t="s">
        <v>1146</v>
      </c>
      <c r="G3312" s="14" t="n">
        <v>19.5</v>
      </c>
      <c r="H3312" s="14" t="n">
        <v>21.76</v>
      </c>
      <c r="I3312" s="14" t="n">
        <v>19.5</v>
      </c>
      <c r="J3312" s="22" t="n">
        <f aca="false">IF(E3312="Priority",'Cost model'!N2,'Cost model'!M2)</f>
        <v>19.5</v>
      </c>
      <c r="K3312" s="14" t="n">
        <f aca="false">J3312-H3312</f>
        <v>-2.26</v>
      </c>
      <c r="L3312" s="14" t="n">
        <f aca="false">G3312-H3312</f>
        <v>-2.26</v>
      </c>
    </row>
    <row r="3313" customFormat="false" ht="15" hidden="false" customHeight="false" outlineLevel="0" collapsed="false">
      <c r="A3313" s="2" t="s">
        <v>126</v>
      </c>
      <c r="B3313" s="2" t="s">
        <v>165</v>
      </c>
      <c r="C3313" s="2" t="s">
        <v>49</v>
      </c>
      <c r="D3313" s="2" t="s">
        <v>12</v>
      </c>
      <c r="E3313" s="2" t="s">
        <v>85</v>
      </c>
      <c r="F3313" s="2" t="s">
        <v>1146</v>
      </c>
      <c r="G3313" s="14" t="n">
        <v>24.5</v>
      </c>
      <c r="H3313" s="14" t="n">
        <v>49.36</v>
      </c>
      <c r="I3313" s="14" t="n">
        <v>24.5</v>
      </c>
      <c r="J3313" s="22" t="n">
        <f aca="false">IF(E3313="Priority",'Cost model'!N420,'Cost model'!M420)</f>
        <v>80</v>
      </c>
      <c r="K3313" s="14" t="n">
        <f aca="false">J3313-H3313</f>
        <v>30.64</v>
      </c>
      <c r="L3313" s="14" t="n">
        <f aca="false">G3313-H3313</f>
        <v>-24.86</v>
      </c>
    </row>
    <row r="3314" customFormat="false" ht="15" hidden="false" customHeight="false" outlineLevel="0" collapsed="false">
      <c r="A3314" s="2" t="s">
        <v>126</v>
      </c>
      <c r="B3314" s="2" t="s">
        <v>126</v>
      </c>
      <c r="C3314" s="2" t="s">
        <v>48</v>
      </c>
      <c r="D3314" s="2" t="s">
        <v>10</v>
      </c>
      <c r="E3314" s="2" t="s">
        <v>76</v>
      </c>
      <c r="F3314" s="2" t="s">
        <v>1145</v>
      </c>
      <c r="G3314" s="14" t="n">
        <v>9.5</v>
      </c>
      <c r="H3314" s="14" t="n">
        <v>7.46</v>
      </c>
      <c r="I3314" s="14" t="n">
        <v>9.5</v>
      </c>
      <c r="J3314" s="22" t="n">
        <f aca="false">IF(E3314="Priority",'Cost model'!N380,'Cost model'!M380)</f>
        <v>8.5</v>
      </c>
      <c r="K3314" s="14" t="n">
        <f aca="false">J3314-H3314</f>
        <v>1.04</v>
      </c>
      <c r="L3314" s="14" t="n">
        <f aca="false">G3314-H3314</f>
        <v>2.04</v>
      </c>
    </row>
    <row r="3315" customFormat="false" ht="15" hidden="false" customHeight="false" outlineLevel="0" collapsed="false">
      <c r="A3315" s="2" t="s">
        <v>126</v>
      </c>
      <c r="B3315" s="2" t="s">
        <v>146</v>
      </c>
      <c r="C3315" s="2" t="s">
        <v>49</v>
      </c>
      <c r="D3315" s="2" t="s">
        <v>12</v>
      </c>
      <c r="E3315" s="2" t="s">
        <v>76</v>
      </c>
      <c r="F3315" s="2" t="s">
        <v>1146</v>
      </c>
      <c r="G3315" s="14" t="n">
        <v>12.5</v>
      </c>
      <c r="H3315" s="14" t="n">
        <v>48.8</v>
      </c>
      <c r="I3315" s="14" t="n">
        <v>19.5</v>
      </c>
      <c r="J3315" s="22" t="n">
        <f aca="false">IF(E3315="Priority",'Cost model'!N402,'Cost model'!M402)</f>
        <v>60</v>
      </c>
      <c r="K3315" s="14" t="n">
        <f aca="false">J3315-H3315</f>
        <v>11.2</v>
      </c>
      <c r="L3315" s="14" t="n">
        <f aca="false">G3315-H3315</f>
        <v>-36.3</v>
      </c>
    </row>
    <row r="3316" customFormat="false" ht="15" hidden="false" customHeight="false" outlineLevel="0" collapsed="false">
      <c r="A3316" s="2" t="s">
        <v>146</v>
      </c>
      <c r="B3316" s="2" t="s">
        <v>146</v>
      </c>
      <c r="C3316" s="2" t="s">
        <v>48</v>
      </c>
      <c r="D3316" s="2" t="s">
        <v>10</v>
      </c>
      <c r="E3316" s="2" t="s">
        <v>85</v>
      </c>
      <c r="F3316" s="2" t="s">
        <v>1145</v>
      </c>
      <c r="G3316" s="14" t="n">
        <v>14.5</v>
      </c>
      <c r="H3316" s="14" t="n">
        <v>7.45</v>
      </c>
      <c r="I3316" s="14" t="n">
        <v>14.5</v>
      </c>
      <c r="J3316" s="22" t="n">
        <f aca="false">IF(E3316="Priority",'Cost model'!N758,'Cost model'!M758)</f>
        <v>14.5</v>
      </c>
      <c r="K3316" s="14" t="n">
        <f aca="false">J3316-H3316</f>
        <v>7.05</v>
      </c>
      <c r="L3316" s="14" t="n">
        <f aca="false">G3316-H3316</f>
        <v>7.05</v>
      </c>
    </row>
    <row r="3317" customFormat="false" ht="15" hidden="false" customHeight="false" outlineLevel="0" collapsed="false">
      <c r="A3317" s="2" t="s">
        <v>126</v>
      </c>
      <c r="B3317" s="2" t="s">
        <v>126</v>
      </c>
      <c r="C3317" s="2" t="s">
        <v>48</v>
      </c>
      <c r="D3317" s="2" t="s">
        <v>10</v>
      </c>
      <c r="E3317" s="2" t="s">
        <v>76</v>
      </c>
      <c r="F3317" s="2" t="s">
        <v>1145</v>
      </c>
      <c r="G3317" s="14" t="n">
        <v>9.5</v>
      </c>
      <c r="H3317" s="14" t="n">
        <v>7.46</v>
      </c>
      <c r="I3317" s="14" t="n">
        <v>9.5</v>
      </c>
      <c r="J3317" s="22" t="n">
        <f aca="false">IF(E3317="Priority",'Cost model'!N380,'Cost model'!M380)</f>
        <v>8.5</v>
      </c>
      <c r="K3317" s="14" t="n">
        <f aca="false">J3317-H3317</f>
        <v>1.04</v>
      </c>
      <c r="L3317" s="14" t="n">
        <f aca="false">G3317-H3317</f>
        <v>2.04</v>
      </c>
    </row>
    <row r="3318" customFormat="false" ht="15" hidden="false" customHeight="false" outlineLevel="0" collapsed="false">
      <c r="A3318" s="2" t="s">
        <v>184</v>
      </c>
      <c r="B3318" s="2" t="s">
        <v>184</v>
      </c>
      <c r="C3318" s="2" t="s">
        <v>50</v>
      </c>
      <c r="D3318" s="2" t="s">
        <v>12</v>
      </c>
      <c r="E3318" s="2" t="s">
        <v>76</v>
      </c>
      <c r="F3318" s="2" t="s">
        <v>1145</v>
      </c>
      <c r="G3318" s="14" t="n">
        <v>24.5</v>
      </c>
      <c r="H3318" s="14" t="n">
        <v>65.9</v>
      </c>
      <c r="I3318" s="14" t="n">
        <v>19.5</v>
      </c>
      <c r="J3318" s="22" t="n">
        <f aca="false">IF(E3318="Priority",'Cost model'!N205,'Cost model'!M205)</f>
        <v>50</v>
      </c>
      <c r="K3318" s="14" t="n">
        <f aca="false">J3318-H3318</f>
        <v>-15.9</v>
      </c>
      <c r="L3318" s="14" t="n">
        <f aca="false">G3318-H3318</f>
        <v>-41.4</v>
      </c>
    </row>
    <row r="3319" customFormat="false" ht="15" hidden="false" customHeight="false" outlineLevel="0" collapsed="false">
      <c r="A3319" s="2" t="s">
        <v>126</v>
      </c>
      <c r="B3319" s="2" t="s">
        <v>126</v>
      </c>
      <c r="C3319" s="2" t="s">
        <v>50</v>
      </c>
      <c r="D3319" s="2" t="s">
        <v>12</v>
      </c>
      <c r="E3319" s="2" t="s">
        <v>76</v>
      </c>
      <c r="F3319" s="2" t="s">
        <v>1145</v>
      </c>
      <c r="G3319" s="14" t="n">
        <v>19.5</v>
      </c>
      <c r="H3319" s="14" t="n">
        <v>56.9</v>
      </c>
      <c r="I3319" s="14" t="n">
        <v>19.5</v>
      </c>
      <c r="J3319" s="22" t="n">
        <f aca="false">IF(E3319="Priority",'Cost model'!N385,'Cost model'!M385)</f>
        <v>55</v>
      </c>
      <c r="K3319" s="14" t="n">
        <f aca="false">J3319-H3319</f>
        <v>-1.9</v>
      </c>
      <c r="L3319" s="14" t="n">
        <f aca="false">G3319-H3319</f>
        <v>-37.4</v>
      </c>
    </row>
    <row r="3320" customFormat="false" ht="15" hidden="false" customHeight="false" outlineLevel="0" collapsed="false">
      <c r="A3320" s="2" t="s">
        <v>146</v>
      </c>
      <c r="B3320" s="2" t="s">
        <v>146</v>
      </c>
      <c r="C3320" s="2" t="s">
        <v>49</v>
      </c>
      <c r="D3320" s="2" t="s">
        <v>10</v>
      </c>
      <c r="E3320" s="2" t="s">
        <v>76</v>
      </c>
      <c r="F3320" s="2" t="s">
        <v>1145</v>
      </c>
      <c r="G3320" s="14" t="n">
        <v>12.5</v>
      </c>
      <c r="H3320" s="14" t="n">
        <v>8.8</v>
      </c>
      <c r="I3320" s="14" t="n">
        <v>12.5</v>
      </c>
      <c r="J3320" s="22" t="n">
        <f aca="false">IF(E3320="Priority",'Cost model'!N759,'Cost model'!M759)</f>
        <v>15.5</v>
      </c>
      <c r="K3320" s="14" t="n">
        <f aca="false">J3320-H3320</f>
        <v>6.7</v>
      </c>
      <c r="L3320" s="14" t="n">
        <f aca="false">G3320-H3320</f>
        <v>3.7</v>
      </c>
    </row>
    <row r="3321" customFormat="false" ht="15" hidden="false" customHeight="false" outlineLevel="0" collapsed="false">
      <c r="A3321" s="2" t="s">
        <v>126</v>
      </c>
      <c r="B3321" s="2" t="s">
        <v>126</v>
      </c>
      <c r="C3321" s="2" t="s">
        <v>48</v>
      </c>
      <c r="D3321" s="2" t="s">
        <v>12</v>
      </c>
      <c r="E3321" s="2" t="s">
        <v>76</v>
      </c>
      <c r="F3321" s="2" t="s">
        <v>1145</v>
      </c>
      <c r="G3321" s="14" t="n">
        <v>9.5</v>
      </c>
      <c r="H3321" s="14" t="n">
        <v>7.72</v>
      </c>
      <c r="I3321" s="14" t="n">
        <v>9.5</v>
      </c>
      <c r="J3321" s="22" t="n">
        <f aca="false">IF(E3321="Priority",'Cost model'!N383,'Cost model'!M383)</f>
        <v>27.5</v>
      </c>
      <c r="K3321" s="14" t="n">
        <f aca="false">J3321-H3321</f>
        <v>19.78</v>
      </c>
      <c r="L3321" s="14" t="n">
        <f aca="false">G3321-H3321</f>
        <v>1.78</v>
      </c>
    </row>
    <row r="3322" customFormat="false" ht="15" hidden="false" customHeight="false" outlineLevel="0" collapsed="false">
      <c r="A3322" s="2" t="s">
        <v>240</v>
      </c>
      <c r="B3322" s="2" t="s">
        <v>240</v>
      </c>
      <c r="C3322" s="2" t="s">
        <v>48</v>
      </c>
      <c r="D3322" s="2" t="s">
        <v>12</v>
      </c>
      <c r="E3322" s="2" t="s">
        <v>76</v>
      </c>
      <c r="F3322" s="2" t="s">
        <v>1145</v>
      </c>
      <c r="G3322" s="14" t="n">
        <v>9.5</v>
      </c>
      <c r="H3322" s="14" t="n">
        <v>8.86</v>
      </c>
      <c r="I3322" s="14" t="n">
        <v>9.5</v>
      </c>
      <c r="J3322" s="22" t="n">
        <f aca="false">IF(E3322="Priority",'Cost model'!N887,'Cost model'!M887)</f>
        <v>21.5</v>
      </c>
      <c r="K3322" s="14" t="n">
        <f aca="false">J3322-H3322</f>
        <v>12.64</v>
      </c>
      <c r="L3322" s="14" t="n">
        <f aca="false">G3322-H3322</f>
        <v>0.640000000000001</v>
      </c>
    </row>
    <row r="3323" customFormat="false" ht="15" hidden="false" customHeight="false" outlineLevel="0" collapsed="false">
      <c r="A3323" s="2" t="s">
        <v>240</v>
      </c>
      <c r="B3323" s="2" t="s">
        <v>240</v>
      </c>
      <c r="C3323" s="2" t="s">
        <v>48</v>
      </c>
      <c r="D3323" s="2" t="s">
        <v>10</v>
      </c>
      <c r="E3323" s="2" t="s">
        <v>76</v>
      </c>
      <c r="F3323" s="2" t="s">
        <v>1145</v>
      </c>
      <c r="G3323" s="14" t="n">
        <v>9.5</v>
      </c>
      <c r="H3323" s="14" t="n">
        <v>6.12</v>
      </c>
      <c r="I3323" s="14" t="n">
        <v>9.5</v>
      </c>
      <c r="J3323" s="22" t="n">
        <f aca="false">IF(E3323="Priority",'Cost model'!N884,'Cost model'!M884)</f>
        <v>7.5</v>
      </c>
      <c r="K3323" s="14" t="n">
        <f aca="false">J3323-H3323</f>
        <v>1.38</v>
      </c>
      <c r="L3323" s="14" t="n">
        <f aca="false">G3323-H3323</f>
        <v>3.38</v>
      </c>
    </row>
    <row r="3324" customFormat="false" ht="15" hidden="false" customHeight="false" outlineLevel="0" collapsed="false">
      <c r="A3324" s="2" t="s">
        <v>125</v>
      </c>
      <c r="B3324" s="2" t="s">
        <v>126</v>
      </c>
      <c r="C3324" s="2" t="s">
        <v>48</v>
      </c>
      <c r="D3324" s="2" t="s">
        <v>13</v>
      </c>
      <c r="E3324" s="2" t="s">
        <v>76</v>
      </c>
      <c r="F3324" s="2" t="s">
        <v>1146</v>
      </c>
      <c r="G3324" s="14" t="n">
        <v>24.5</v>
      </c>
      <c r="H3324" s="14" t="n">
        <v>65.99</v>
      </c>
      <c r="I3324" s="14" t="n">
        <v>24.5</v>
      </c>
      <c r="J3324" s="22" t="n">
        <f aca="false">IF(E3324="Priority",'Cost model'!N8,'Cost model'!M8)</f>
        <v>80</v>
      </c>
      <c r="K3324" s="14" t="n">
        <f aca="false">J3324-H3324</f>
        <v>14.01</v>
      </c>
      <c r="L3324" s="14" t="n">
        <f aca="false">G3324-H3324</f>
        <v>-41.49</v>
      </c>
    </row>
    <row r="3325" customFormat="false" ht="15" hidden="false" customHeight="false" outlineLevel="0" collapsed="false">
      <c r="A3325" s="2" t="s">
        <v>184</v>
      </c>
      <c r="B3325" s="2" t="s">
        <v>184</v>
      </c>
      <c r="C3325" s="2" t="s">
        <v>48</v>
      </c>
      <c r="D3325" s="2" t="s">
        <v>10</v>
      </c>
      <c r="E3325" s="2" t="s">
        <v>76</v>
      </c>
      <c r="F3325" s="2" t="s">
        <v>1145</v>
      </c>
      <c r="G3325" s="14" t="n">
        <v>9.5</v>
      </c>
      <c r="H3325" s="14" t="n">
        <v>6.11</v>
      </c>
      <c r="I3325" s="14" t="n">
        <v>9.5</v>
      </c>
      <c r="J3325" s="22" t="n">
        <f aca="false">IF(E3325="Priority",'Cost model'!N200,'Cost model'!M200)</f>
        <v>7.5</v>
      </c>
      <c r="K3325" s="14" t="n">
        <f aca="false">J3325-H3325</f>
        <v>1.39</v>
      </c>
      <c r="L3325" s="14" t="n">
        <f aca="false">G3325-H3325</f>
        <v>3.39</v>
      </c>
    </row>
    <row r="3326" customFormat="false" ht="15" hidden="false" customHeight="false" outlineLevel="0" collapsed="false">
      <c r="A3326" s="2" t="s">
        <v>184</v>
      </c>
      <c r="B3326" s="2" t="s">
        <v>184</v>
      </c>
      <c r="C3326" s="2" t="s">
        <v>49</v>
      </c>
      <c r="D3326" s="2" t="s">
        <v>12</v>
      </c>
      <c r="E3326" s="2" t="s">
        <v>76</v>
      </c>
      <c r="F3326" s="2" t="s">
        <v>1145</v>
      </c>
      <c r="G3326" s="14" t="n">
        <v>12.5</v>
      </c>
      <c r="H3326" s="14" t="n">
        <v>43.25</v>
      </c>
      <c r="I3326" s="14"/>
      <c r="J3326" s="22" t="n">
        <f aca="false">IF(E3326="Priority",'Cost model'!N204,'Cost model'!M204)</f>
        <v>45</v>
      </c>
      <c r="K3326" s="14" t="n">
        <f aca="false">J3326-H3326</f>
        <v>1.75</v>
      </c>
      <c r="L3326" s="14" t="n">
        <f aca="false">G3326-H3326</f>
        <v>-30.75</v>
      </c>
    </row>
    <row r="3327" customFormat="false" ht="15" hidden="false" customHeight="false" outlineLevel="0" collapsed="false">
      <c r="A3327" s="2" t="s">
        <v>184</v>
      </c>
      <c r="B3327" s="2" t="s">
        <v>184</v>
      </c>
      <c r="C3327" s="2" t="s">
        <v>49</v>
      </c>
      <c r="D3327" s="2" t="s">
        <v>12</v>
      </c>
      <c r="E3327" s="2" t="s">
        <v>76</v>
      </c>
      <c r="F3327" s="2" t="s">
        <v>1145</v>
      </c>
      <c r="G3327" s="14" t="n">
        <v>12.5</v>
      </c>
      <c r="H3327" s="14" t="n">
        <v>8.92</v>
      </c>
      <c r="I3327" s="14"/>
      <c r="J3327" s="22" t="n">
        <f aca="false">IF(E3327="Priority",'Cost model'!N204,'Cost model'!M204)</f>
        <v>45</v>
      </c>
      <c r="K3327" s="14" t="n">
        <f aca="false">J3327-H3327</f>
        <v>36.08</v>
      </c>
      <c r="L3327" s="14" t="n">
        <f aca="false">G3327-H3327</f>
        <v>3.58</v>
      </c>
    </row>
    <row r="3328" customFormat="false" ht="15" hidden="false" customHeight="false" outlineLevel="0" collapsed="false">
      <c r="A3328" s="2" t="s">
        <v>165</v>
      </c>
      <c r="B3328" s="2" t="s">
        <v>165</v>
      </c>
      <c r="C3328" s="2" t="s">
        <v>48</v>
      </c>
      <c r="D3328" s="2" t="s">
        <v>12</v>
      </c>
      <c r="E3328" s="2" t="s">
        <v>76</v>
      </c>
      <c r="F3328" s="2" t="s">
        <v>1145</v>
      </c>
      <c r="G3328" s="14" t="n">
        <v>9.5</v>
      </c>
      <c r="H3328" s="14" t="n">
        <v>7.71</v>
      </c>
      <c r="I3328" s="14" t="n">
        <v>9.5</v>
      </c>
      <c r="J3328" s="22" t="n">
        <f aca="false">IF(E3328="Priority",'Cost model'!N509,'Cost model'!M509)</f>
        <v>17.5</v>
      </c>
      <c r="K3328" s="14" t="n">
        <f aca="false">J3328-H3328</f>
        <v>9.79</v>
      </c>
      <c r="L3328" s="14" t="n">
        <f aca="false">G3328-H3328</f>
        <v>1.79</v>
      </c>
    </row>
    <row r="3329" customFormat="false" ht="15" hidden="false" customHeight="false" outlineLevel="0" collapsed="false">
      <c r="A3329" s="2" t="s">
        <v>146</v>
      </c>
      <c r="B3329" s="2" t="s">
        <v>126</v>
      </c>
      <c r="C3329" s="2" t="s">
        <v>48</v>
      </c>
      <c r="D3329" s="2" t="s">
        <v>14</v>
      </c>
      <c r="E3329" s="2" t="s">
        <v>85</v>
      </c>
      <c r="F3329" s="2" t="s">
        <v>1146</v>
      </c>
      <c r="G3329" s="14" t="n">
        <v>125</v>
      </c>
      <c r="H3329" s="14" t="n">
        <v>102.28</v>
      </c>
      <c r="I3329" s="14" t="n">
        <v>125</v>
      </c>
      <c r="J3329" s="22" t="n">
        <f aca="false">IF(E3329="Priority",'Cost model'!N803,'Cost model'!M803)</f>
        <v>145</v>
      </c>
      <c r="K3329" s="14" t="n">
        <f aca="false">J3329-H3329</f>
        <v>42.72</v>
      </c>
      <c r="L3329" s="14" t="n">
        <f aca="false">G3329-H3329</f>
        <v>22.72</v>
      </c>
    </row>
    <row r="3330" customFormat="false" ht="15" hidden="false" customHeight="false" outlineLevel="0" collapsed="false">
      <c r="A3330" s="2" t="s">
        <v>126</v>
      </c>
      <c r="B3330" s="2" t="s">
        <v>126</v>
      </c>
      <c r="C3330" s="2" t="s">
        <v>49</v>
      </c>
      <c r="D3330" s="2" t="s">
        <v>10</v>
      </c>
      <c r="E3330" s="2" t="s">
        <v>76</v>
      </c>
      <c r="F3330" s="2" t="s">
        <v>1145</v>
      </c>
      <c r="G3330" s="14" t="n">
        <v>19.5</v>
      </c>
      <c r="H3330" s="14" t="n">
        <v>11.03</v>
      </c>
      <c r="I3330" s="14" t="n">
        <v>12.5</v>
      </c>
      <c r="J3330" s="22" t="n">
        <f aca="false">IF(E3330="Priority",'Cost model'!N381,'Cost model'!M381)</f>
        <v>14.5</v>
      </c>
      <c r="K3330" s="14" t="n">
        <f aca="false">J3330-H3330</f>
        <v>3.47</v>
      </c>
      <c r="L3330" s="14" t="n">
        <f aca="false">G3330-H3330</f>
        <v>8.47</v>
      </c>
    </row>
    <row r="3331" customFormat="false" ht="15" hidden="false" customHeight="false" outlineLevel="0" collapsed="false">
      <c r="A3331" s="2" t="s">
        <v>126</v>
      </c>
      <c r="B3331" s="2" t="s">
        <v>126</v>
      </c>
      <c r="C3331" s="2" t="s">
        <v>49</v>
      </c>
      <c r="D3331" s="2" t="s">
        <v>12</v>
      </c>
      <c r="E3331" s="2" t="s">
        <v>76</v>
      </c>
      <c r="F3331" s="2" t="s">
        <v>1145</v>
      </c>
      <c r="G3331" s="14" t="n">
        <v>12.5</v>
      </c>
      <c r="H3331" s="14" t="n">
        <v>15.69</v>
      </c>
      <c r="I3331" s="14" t="n">
        <v>12.5</v>
      </c>
      <c r="J3331" s="22" t="n">
        <f aca="false">IF(E3331="Priority",'Cost model'!N384,'Cost model'!M384)</f>
        <v>45</v>
      </c>
      <c r="K3331" s="14" t="n">
        <f aca="false">J3331-H3331</f>
        <v>29.31</v>
      </c>
      <c r="L3331" s="14" t="n">
        <f aca="false">G3331-H3331</f>
        <v>-3.19</v>
      </c>
    </row>
    <row r="3332" customFormat="false" ht="15" hidden="false" customHeight="false" outlineLevel="0" collapsed="false">
      <c r="A3332" s="2" t="s">
        <v>240</v>
      </c>
      <c r="B3332" s="2" t="s">
        <v>240</v>
      </c>
      <c r="C3332" s="2" t="s">
        <v>48</v>
      </c>
      <c r="D3332" s="2" t="s">
        <v>10</v>
      </c>
      <c r="E3332" s="2" t="s">
        <v>76</v>
      </c>
      <c r="F3332" s="2" t="s">
        <v>1145</v>
      </c>
      <c r="G3332" s="14" t="n">
        <v>9.5</v>
      </c>
      <c r="H3332" s="14" t="n">
        <v>5.21</v>
      </c>
      <c r="I3332" s="14" t="n">
        <v>9.5</v>
      </c>
      <c r="J3332" s="22" t="n">
        <f aca="false">IF(E3332="Priority",'Cost model'!N884,'Cost model'!M884)</f>
        <v>7.5</v>
      </c>
      <c r="K3332" s="14" t="n">
        <f aca="false">J3332-H3332</f>
        <v>2.29</v>
      </c>
      <c r="L3332" s="14" t="n">
        <f aca="false">G3332-H3332</f>
        <v>4.29</v>
      </c>
    </row>
    <row r="3333" customFormat="false" ht="15" hidden="false" customHeight="false" outlineLevel="0" collapsed="false">
      <c r="A3333" s="2" t="s">
        <v>184</v>
      </c>
      <c r="B3333" s="2" t="s">
        <v>184</v>
      </c>
      <c r="C3333" s="2" t="s">
        <v>49</v>
      </c>
      <c r="D3333" s="2" t="s">
        <v>12</v>
      </c>
      <c r="E3333" s="2" t="s">
        <v>76</v>
      </c>
      <c r="F3333" s="2" t="s">
        <v>1145</v>
      </c>
      <c r="G3333" s="14" t="n">
        <v>19.5</v>
      </c>
      <c r="H3333" s="14" t="n">
        <v>43.25</v>
      </c>
      <c r="I3333" s="14"/>
      <c r="J3333" s="22" t="n">
        <f aca="false">IF(E3333="Priority",'Cost model'!N204,'Cost model'!M204)</f>
        <v>45</v>
      </c>
      <c r="K3333" s="14" t="n">
        <f aca="false">J3333-H3333</f>
        <v>1.75</v>
      </c>
      <c r="L3333" s="14" t="n">
        <f aca="false">G3333-H3333</f>
        <v>-23.75</v>
      </c>
    </row>
    <row r="3334" customFormat="false" ht="15" hidden="false" customHeight="false" outlineLevel="0" collapsed="false">
      <c r="A3334" s="2" t="s">
        <v>240</v>
      </c>
      <c r="B3334" s="2" t="s">
        <v>240</v>
      </c>
      <c r="C3334" s="2" t="s">
        <v>48</v>
      </c>
      <c r="D3334" s="2" t="s">
        <v>10</v>
      </c>
      <c r="E3334" s="2" t="s">
        <v>76</v>
      </c>
      <c r="F3334" s="2" t="s">
        <v>1145</v>
      </c>
      <c r="G3334" s="14" t="n">
        <v>9.5</v>
      </c>
      <c r="H3334" s="14" t="n">
        <v>5.23</v>
      </c>
      <c r="I3334" s="14" t="n">
        <v>9.5</v>
      </c>
      <c r="J3334" s="22" t="n">
        <f aca="false">IF(E3334="Priority",'Cost model'!N884,'Cost model'!M884)</f>
        <v>7.5</v>
      </c>
      <c r="K3334" s="14" t="n">
        <f aca="false">J3334-H3334</f>
        <v>2.27</v>
      </c>
      <c r="L3334" s="14" t="n">
        <f aca="false">G3334-H3334</f>
        <v>4.27</v>
      </c>
    </row>
    <row r="3335" customFormat="false" ht="15" hidden="false" customHeight="false" outlineLevel="0" collapsed="false">
      <c r="A3335" s="2" t="s">
        <v>184</v>
      </c>
      <c r="B3335" s="2" t="s">
        <v>221</v>
      </c>
      <c r="C3335" s="2" t="s">
        <v>49</v>
      </c>
      <c r="D3335" s="2" t="s">
        <v>12</v>
      </c>
      <c r="E3335" s="2" t="s">
        <v>76</v>
      </c>
      <c r="F3335" s="2" t="s">
        <v>1146</v>
      </c>
      <c r="G3335" s="14" t="n">
        <v>12.5</v>
      </c>
      <c r="H3335" s="14" t="n">
        <v>64.62</v>
      </c>
      <c r="I3335" s="14" t="n">
        <v>24.5</v>
      </c>
      <c r="J3335" s="22" t="n">
        <f aca="false">IF(E3335="Priority",'Cost model'!N222,'Cost model'!M222)</f>
        <v>60</v>
      </c>
      <c r="K3335" s="14" t="n">
        <f aca="false">J3335-H3335</f>
        <v>-4.62</v>
      </c>
      <c r="L3335" s="14" t="n">
        <f aca="false">G3335-H3335</f>
        <v>-52.12</v>
      </c>
    </row>
    <row r="3336" customFormat="false" ht="15" hidden="false" customHeight="false" outlineLevel="0" collapsed="false">
      <c r="A3336" s="2" t="s">
        <v>126</v>
      </c>
      <c r="B3336" s="2" t="s">
        <v>184</v>
      </c>
      <c r="C3336" s="2" t="s">
        <v>50</v>
      </c>
      <c r="D3336" s="2" t="s">
        <v>10</v>
      </c>
      <c r="E3336" s="2" t="s">
        <v>76</v>
      </c>
      <c r="F3336" s="2" t="s">
        <v>1146</v>
      </c>
      <c r="G3336" s="14" t="n">
        <v>17.5</v>
      </c>
      <c r="H3336" s="14" t="n">
        <v>21.6</v>
      </c>
      <c r="I3336" s="14" t="n">
        <v>17.5</v>
      </c>
      <c r="J3336" s="22" t="n">
        <f aca="false">IF(E3336="Priority",'Cost model'!N436,'Cost model'!M436)</f>
        <v>19.5</v>
      </c>
      <c r="K3336" s="14" t="n">
        <f aca="false">J3336-H3336</f>
        <v>-2.1</v>
      </c>
      <c r="L3336" s="14" t="n">
        <f aca="false">G3336-H3336</f>
        <v>-4.1</v>
      </c>
    </row>
    <row r="3337" customFormat="false" ht="15" hidden="false" customHeight="false" outlineLevel="0" collapsed="false">
      <c r="A3337" s="2" t="s">
        <v>146</v>
      </c>
      <c r="B3337" s="2" t="s">
        <v>146</v>
      </c>
      <c r="C3337" s="2" t="s">
        <v>48</v>
      </c>
      <c r="D3337" s="2" t="s">
        <v>10</v>
      </c>
      <c r="E3337" s="2" t="s">
        <v>76</v>
      </c>
      <c r="F3337" s="2" t="s">
        <v>1145</v>
      </c>
      <c r="G3337" s="14" t="n">
        <v>9.5</v>
      </c>
      <c r="H3337" s="14" t="n">
        <v>11.01</v>
      </c>
      <c r="I3337" s="14" t="n">
        <v>9.5</v>
      </c>
      <c r="J3337" s="22" t="n">
        <f aca="false">IF(E3337="Priority",'Cost model'!N758,'Cost model'!M758)</f>
        <v>9.5</v>
      </c>
      <c r="K3337" s="14" t="n">
        <f aca="false">J3337-H3337</f>
        <v>-1.51</v>
      </c>
      <c r="L3337" s="14" t="n">
        <f aca="false">G3337-H3337</f>
        <v>-1.51</v>
      </c>
    </row>
    <row r="3338" customFormat="false" ht="15" hidden="false" customHeight="false" outlineLevel="0" collapsed="false">
      <c r="A3338" s="2" t="s">
        <v>126</v>
      </c>
      <c r="B3338" s="2" t="s">
        <v>126</v>
      </c>
      <c r="C3338" s="2" t="s">
        <v>48</v>
      </c>
      <c r="D3338" s="2" t="s">
        <v>12</v>
      </c>
      <c r="E3338" s="2" t="s">
        <v>76</v>
      </c>
      <c r="F3338" s="2" t="s">
        <v>1145</v>
      </c>
      <c r="G3338" s="14" t="n">
        <v>9.5</v>
      </c>
      <c r="H3338" s="14" t="n">
        <v>8.51</v>
      </c>
      <c r="I3338" s="14" t="n">
        <v>9.5</v>
      </c>
      <c r="J3338" s="22" t="n">
        <f aca="false">IF(E3338="Priority",'Cost model'!N383,'Cost model'!M383)</f>
        <v>27.5</v>
      </c>
      <c r="K3338" s="14" t="n">
        <f aca="false">J3338-H3338</f>
        <v>18.99</v>
      </c>
      <c r="L3338" s="14" t="n">
        <f aca="false">G3338-H3338</f>
        <v>0.99</v>
      </c>
    </row>
    <row r="3339" customFormat="false" ht="15" hidden="false" customHeight="false" outlineLevel="0" collapsed="false">
      <c r="A3339" s="2" t="s">
        <v>184</v>
      </c>
      <c r="B3339" s="2" t="s">
        <v>184</v>
      </c>
      <c r="C3339" s="2" t="s">
        <v>48</v>
      </c>
      <c r="D3339" s="2" t="s">
        <v>10</v>
      </c>
      <c r="E3339" s="2" t="s">
        <v>76</v>
      </c>
      <c r="F3339" s="2" t="s">
        <v>1145</v>
      </c>
      <c r="G3339" s="14" t="n">
        <v>9.5</v>
      </c>
      <c r="H3339" s="14" t="n">
        <v>7.72</v>
      </c>
      <c r="I3339" s="14" t="n">
        <v>9.5</v>
      </c>
      <c r="J3339" s="22" t="n">
        <f aca="false">IF(E3339="Priority",'Cost model'!N200,'Cost model'!M200)</f>
        <v>7.5</v>
      </c>
      <c r="K3339" s="14" t="n">
        <f aca="false">J3339-H3339</f>
        <v>-0.22</v>
      </c>
      <c r="L3339" s="14" t="n">
        <f aca="false">G3339-H3339</f>
        <v>1.78</v>
      </c>
    </row>
    <row r="3340" customFormat="false" ht="15" hidden="false" customHeight="false" outlineLevel="0" collapsed="false">
      <c r="A3340" s="2" t="s">
        <v>240</v>
      </c>
      <c r="B3340" s="2" t="s">
        <v>240</v>
      </c>
      <c r="C3340" s="2" t="s">
        <v>50</v>
      </c>
      <c r="D3340" s="2" t="s">
        <v>10</v>
      </c>
      <c r="E3340" s="2" t="s">
        <v>76</v>
      </c>
      <c r="F3340" s="2" t="s">
        <v>1145</v>
      </c>
      <c r="G3340" s="14" t="n">
        <v>17.5</v>
      </c>
      <c r="H3340" s="14" t="n">
        <v>14.29</v>
      </c>
      <c r="I3340" s="14" t="n">
        <v>17.5</v>
      </c>
      <c r="J3340" s="22" t="n">
        <f aca="false">IF(E3340="Priority",'Cost model'!N886,'Cost model'!M886)</f>
        <v>17.5</v>
      </c>
      <c r="K3340" s="14" t="n">
        <f aca="false">J3340-H3340</f>
        <v>3.21</v>
      </c>
      <c r="L3340" s="14" t="n">
        <f aca="false">G3340-H3340</f>
        <v>3.21</v>
      </c>
    </row>
    <row r="3341" customFormat="false" ht="15" hidden="false" customHeight="false" outlineLevel="0" collapsed="false">
      <c r="A3341" s="2" t="s">
        <v>165</v>
      </c>
      <c r="B3341" s="2" t="s">
        <v>165</v>
      </c>
      <c r="C3341" s="2" t="s">
        <v>50</v>
      </c>
      <c r="D3341" s="2" t="s">
        <v>14</v>
      </c>
      <c r="E3341" s="2" t="s">
        <v>76</v>
      </c>
      <c r="F3341" s="2" t="s">
        <v>1145</v>
      </c>
      <c r="G3341" s="14" t="n">
        <v>85</v>
      </c>
      <c r="H3341" s="14" t="n">
        <v>82.8</v>
      </c>
      <c r="I3341" s="14" t="n">
        <v>85</v>
      </c>
      <c r="J3341" s="22" t="n">
        <f aca="false">IF(E3341="Priority",'Cost model'!N517,'Cost model'!M517)</f>
        <v>140</v>
      </c>
      <c r="K3341" s="14" t="n">
        <f aca="false">J3341-H3341</f>
        <v>57.2</v>
      </c>
      <c r="L3341" s="14" t="n">
        <f aca="false">G3341-H3341</f>
        <v>2.2</v>
      </c>
    </row>
    <row r="3342" customFormat="false" ht="15" hidden="false" customHeight="false" outlineLevel="0" collapsed="false">
      <c r="A3342" s="2" t="s">
        <v>240</v>
      </c>
      <c r="B3342" s="2" t="s">
        <v>240</v>
      </c>
      <c r="C3342" s="2" t="s">
        <v>48</v>
      </c>
      <c r="D3342" s="2" t="s">
        <v>12</v>
      </c>
      <c r="E3342" s="2" t="s">
        <v>76</v>
      </c>
      <c r="F3342" s="2" t="s">
        <v>1145</v>
      </c>
      <c r="G3342" s="14" t="n">
        <v>9.5</v>
      </c>
      <c r="H3342" s="14" t="n">
        <v>15.93</v>
      </c>
      <c r="I3342" s="14" t="n">
        <v>9.5</v>
      </c>
      <c r="J3342" s="22" t="n">
        <f aca="false">IF(E3342="Priority",'Cost model'!N887,'Cost model'!M887)</f>
        <v>21.5</v>
      </c>
      <c r="K3342" s="14" t="n">
        <f aca="false">J3342-H3342</f>
        <v>5.57</v>
      </c>
      <c r="L3342" s="14" t="n">
        <f aca="false">G3342-H3342</f>
        <v>-6.43</v>
      </c>
    </row>
    <row r="3343" customFormat="false" ht="15" hidden="false" customHeight="false" outlineLevel="0" collapsed="false">
      <c r="A3343" s="2" t="s">
        <v>184</v>
      </c>
      <c r="B3343" s="2" t="s">
        <v>184</v>
      </c>
      <c r="C3343" s="2" t="s">
        <v>48</v>
      </c>
      <c r="D3343" s="2" t="s">
        <v>10</v>
      </c>
      <c r="E3343" s="2" t="s">
        <v>76</v>
      </c>
      <c r="F3343" s="2" t="s">
        <v>1145</v>
      </c>
      <c r="G3343" s="14" t="n">
        <v>9.5</v>
      </c>
      <c r="H3343" s="14" t="n">
        <v>7.45</v>
      </c>
      <c r="I3343" s="14" t="n">
        <v>9.5</v>
      </c>
      <c r="J3343" s="22" t="n">
        <f aca="false">IF(E3343="Priority",'Cost model'!N200,'Cost model'!M200)</f>
        <v>7.5</v>
      </c>
      <c r="K3343" s="14" t="n">
        <f aca="false">J3343-H3343</f>
        <v>0.0499999999999998</v>
      </c>
      <c r="L3343" s="14" t="n">
        <f aca="false">G3343-H3343</f>
        <v>2.05</v>
      </c>
    </row>
    <row r="3344" customFormat="false" ht="15" hidden="false" customHeight="false" outlineLevel="0" collapsed="false">
      <c r="A3344" s="2" t="s">
        <v>165</v>
      </c>
      <c r="B3344" s="2" t="s">
        <v>165</v>
      </c>
      <c r="C3344" s="2" t="s">
        <v>50</v>
      </c>
      <c r="D3344" s="2" t="s">
        <v>13</v>
      </c>
      <c r="E3344" s="2" t="s">
        <v>76</v>
      </c>
      <c r="F3344" s="2" t="s">
        <v>1145</v>
      </c>
      <c r="G3344" s="14" t="n">
        <v>50</v>
      </c>
      <c r="H3344" s="14" t="n">
        <v>89.79</v>
      </c>
      <c r="I3344" s="14" t="n">
        <v>50</v>
      </c>
      <c r="J3344" s="22" t="n">
        <f aca="false">IF(E3344="Priority",'Cost model'!N514,'Cost model'!M514)</f>
        <v>70</v>
      </c>
      <c r="K3344" s="14" t="n">
        <f aca="false">J3344-H3344</f>
        <v>-19.79</v>
      </c>
      <c r="L3344" s="14" t="n">
        <f aca="false">G3344-H3344</f>
        <v>-39.79</v>
      </c>
    </row>
    <row r="3345" customFormat="false" ht="15" hidden="false" customHeight="false" outlineLevel="0" collapsed="false">
      <c r="A3345" s="2" t="s">
        <v>240</v>
      </c>
      <c r="B3345" s="2" t="s">
        <v>165</v>
      </c>
      <c r="C3345" s="2" t="s">
        <v>50</v>
      </c>
      <c r="D3345" s="2" t="s">
        <v>10</v>
      </c>
      <c r="E3345" s="2" t="s">
        <v>76</v>
      </c>
      <c r="F3345" s="2" t="s">
        <v>1146</v>
      </c>
      <c r="G3345" s="14" t="n">
        <v>24.5</v>
      </c>
      <c r="H3345" s="14" t="n">
        <v>20.83</v>
      </c>
      <c r="I3345" s="14" t="n">
        <v>17.5</v>
      </c>
      <c r="J3345" s="22" t="n">
        <f aca="false">IF(E3345="Priority",'Cost model'!N904,'Cost model'!M904)</f>
        <v>24.5</v>
      </c>
      <c r="K3345" s="14" t="n">
        <f aca="false">J3345-H3345</f>
        <v>3.67</v>
      </c>
      <c r="L3345" s="14" t="n">
        <f aca="false">G3345-H3345</f>
        <v>3.67</v>
      </c>
    </row>
    <row r="3346" customFormat="false" ht="15" hidden="false" customHeight="false" outlineLevel="0" collapsed="false">
      <c r="A3346" s="2" t="s">
        <v>184</v>
      </c>
      <c r="B3346" s="2" t="s">
        <v>184</v>
      </c>
      <c r="C3346" s="2" t="s">
        <v>49</v>
      </c>
      <c r="D3346" s="2" t="s">
        <v>13</v>
      </c>
      <c r="E3346" s="2" t="s">
        <v>76</v>
      </c>
      <c r="F3346" s="2" t="s">
        <v>1145</v>
      </c>
      <c r="G3346" s="14" t="n">
        <v>24.5</v>
      </c>
      <c r="H3346" s="14" t="n">
        <v>89.24</v>
      </c>
      <c r="I3346" s="14"/>
      <c r="J3346" s="22" t="n">
        <f aca="false">IF(E3346="Priority",'Cost model'!N207,'Cost model'!M207)</f>
        <v>75</v>
      </c>
      <c r="K3346" s="14" t="n">
        <f aca="false">J3346-H3346</f>
        <v>-14.24</v>
      </c>
      <c r="L3346" s="14" t="n">
        <f aca="false">G3346-H3346</f>
        <v>-64.74</v>
      </c>
    </row>
    <row r="3347" customFormat="false" ht="15" hidden="false" customHeight="false" outlineLevel="0" collapsed="false">
      <c r="A3347" s="2" t="s">
        <v>126</v>
      </c>
      <c r="B3347" s="2" t="s">
        <v>184</v>
      </c>
      <c r="C3347" s="2" t="s">
        <v>49</v>
      </c>
      <c r="D3347" s="2" t="s">
        <v>10</v>
      </c>
      <c r="E3347" s="2" t="s">
        <v>76</v>
      </c>
      <c r="F3347" s="2" t="s">
        <v>1146</v>
      </c>
      <c r="G3347" s="14" t="n">
        <v>12.5</v>
      </c>
      <c r="H3347" s="14" t="n">
        <v>15.16</v>
      </c>
      <c r="I3347" s="14" t="n">
        <v>14.5</v>
      </c>
      <c r="J3347" s="22" t="n">
        <f aca="false">IF(E3347="Priority",'Cost model'!N435,'Cost model'!M435)</f>
        <v>15.5</v>
      </c>
      <c r="K3347" s="14" t="n">
        <f aca="false">J3347-H3347</f>
        <v>0.34</v>
      </c>
      <c r="L3347" s="14" t="n">
        <f aca="false">G3347-H3347</f>
        <v>-2.66</v>
      </c>
    </row>
    <row r="3348" customFormat="false" ht="15" hidden="false" customHeight="false" outlineLevel="0" collapsed="false">
      <c r="A3348" s="2" t="s">
        <v>184</v>
      </c>
      <c r="B3348" s="2" t="s">
        <v>126</v>
      </c>
      <c r="C3348" s="2" t="s">
        <v>48</v>
      </c>
      <c r="D3348" s="2" t="s">
        <v>10</v>
      </c>
      <c r="E3348" s="2" t="s">
        <v>85</v>
      </c>
      <c r="F3348" s="2" t="s">
        <v>1146</v>
      </c>
      <c r="G3348" s="14" t="n">
        <v>14.5</v>
      </c>
      <c r="H3348" s="14" t="n">
        <v>8.26</v>
      </c>
      <c r="I3348" s="14" t="n">
        <v>14.5</v>
      </c>
      <c r="J3348" s="22" t="n">
        <f aca="false">IF(E3348="Priority",'Cost model'!N128,'Cost model'!M128)</f>
        <v>15.5</v>
      </c>
      <c r="K3348" s="14" t="n">
        <f aca="false">J3348-H3348</f>
        <v>7.24</v>
      </c>
      <c r="L3348" s="14" t="n">
        <f aca="false">G3348-H3348</f>
        <v>6.24</v>
      </c>
    </row>
    <row r="3349" customFormat="false" ht="15" hidden="false" customHeight="false" outlineLevel="0" collapsed="false">
      <c r="A3349" s="2" t="s">
        <v>184</v>
      </c>
      <c r="B3349" s="2" t="s">
        <v>184</v>
      </c>
      <c r="C3349" s="2" t="s">
        <v>48</v>
      </c>
      <c r="D3349" s="2" t="s">
        <v>16</v>
      </c>
      <c r="E3349" s="2" t="s">
        <v>85</v>
      </c>
      <c r="F3349" s="2" t="s">
        <v>1145</v>
      </c>
      <c r="G3349" s="14" t="n">
        <v>85</v>
      </c>
      <c r="H3349" s="14" t="n">
        <v>156.93</v>
      </c>
      <c r="I3349" s="14" t="n">
        <v>85</v>
      </c>
      <c r="J3349" s="22" t="n">
        <f aca="false">IF(E3349="Priority",'Cost model'!N215,'Cost model'!M215)</f>
        <v>165</v>
      </c>
      <c r="K3349" s="14" t="n">
        <f aca="false">J3349-H3349</f>
        <v>8.06999999999999</v>
      </c>
      <c r="L3349" s="14" t="n">
        <f aca="false">G3349-H3349</f>
        <v>-71.93</v>
      </c>
    </row>
    <row r="3350" customFormat="false" ht="15" hidden="false" customHeight="false" outlineLevel="0" collapsed="false">
      <c r="A3350" s="2" t="s">
        <v>126</v>
      </c>
      <c r="B3350" s="2" t="s">
        <v>126</v>
      </c>
      <c r="C3350" s="2" t="s">
        <v>49</v>
      </c>
      <c r="D3350" s="2" t="s">
        <v>16</v>
      </c>
      <c r="E3350" s="2" t="s">
        <v>76</v>
      </c>
      <c r="F3350" s="2" t="s">
        <v>1145</v>
      </c>
      <c r="G3350" s="14" t="n">
        <v>85</v>
      </c>
      <c r="H3350" s="14" t="n">
        <v>67.23</v>
      </c>
      <c r="I3350" s="14" t="n">
        <v>85</v>
      </c>
      <c r="J3350" s="22" t="n">
        <f aca="false">IF(E3350="Priority",'Cost model'!N396,'Cost model'!M396)</f>
        <v>245</v>
      </c>
      <c r="K3350" s="14" t="n">
        <f aca="false">J3350-H3350</f>
        <v>177.77</v>
      </c>
      <c r="L3350" s="14" t="n">
        <f aca="false">G3350-H3350</f>
        <v>17.77</v>
      </c>
    </row>
    <row r="3351" customFormat="false" ht="15" hidden="false" customHeight="false" outlineLevel="0" collapsed="false">
      <c r="A3351" s="2" t="s">
        <v>184</v>
      </c>
      <c r="B3351" s="2" t="s">
        <v>184</v>
      </c>
      <c r="C3351" s="2" t="s">
        <v>48</v>
      </c>
      <c r="D3351" s="2" t="s">
        <v>12</v>
      </c>
      <c r="E3351" s="2" t="s">
        <v>85</v>
      </c>
      <c r="F3351" s="2" t="s">
        <v>1145</v>
      </c>
      <c r="G3351" s="14" t="n">
        <v>19.5</v>
      </c>
      <c r="H3351" s="14" t="n">
        <v>25.05</v>
      </c>
      <c r="I3351" s="14" t="n">
        <v>19.5</v>
      </c>
      <c r="J3351" s="22" t="n">
        <f aca="false">IF(E3351="Priority",'Cost model'!N203,'Cost model'!M203)</f>
        <v>35</v>
      </c>
      <c r="K3351" s="14" t="n">
        <f aca="false">J3351-H3351</f>
        <v>9.95</v>
      </c>
      <c r="L3351" s="14" t="n">
        <f aca="false">G3351-H3351</f>
        <v>-5.55</v>
      </c>
    </row>
    <row r="3352" customFormat="false" ht="15" hidden="false" customHeight="false" outlineLevel="0" collapsed="false">
      <c r="A3352" s="2" t="s">
        <v>240</v>
      </c>
      <c r="B3352" s="2" t="s">
        <v>240</v>
      </c>
      <c r="C3352" s="2" t="s">
        <v>50</v>
      </c>
      <c r="D3352" s="2" t="s">
        <v>13</v>
      </c>
      <c r="E3352" s="2" t="s">
        <v>76</v>
      </c>
      <c r="F3352" s="2" t="s">
        <v>1145</v>
      </c>
      <c r="G3352" s="14" t="n">
        <v>50</v>
      </c>
      <c r="H3352" s="14" t="n">
        <v>89.79</v>
      </c>
      <c r="I3352" s="14" t="n">
        <v>50</v>
      </c>
      <c r="J3352" s="22" t="n">
        <f aca="false">IF(E3352="Priority",'Cost model'!N892,'Cost model'!M892)</f>
        <v>130</v>
      </c>
      <c r="K3352" s="14" t="n">
        <f aca="false">J3352-H3352</f>
        <v>40.21</v>
      </c>
      <c r="L3352" s="14" t="n">
        <f aca="false">G3352-H3352</f>
        <v>-39.79</v>
      </c>
    </row>
    <row r="3353" customFormat="false" ht="15" hidden="false" customHeight="false" outlineLevel="0" collapsed="false">
      <c r="A3353" s="2" t="s">
        <v>125</v>
      </c>
      <c r="B3353" s="2" t="s">
        <v>184</v>
      </c>
      <c r="C3353" s="2" t="s">
        <v>48</v>
      </c>
      <c r="D3353" s="2" t="s">
        <v>12</v>
      </c>
      <c r="E3353" s="2" t="s">
        <v>85</v>
      </c>
      <c r="F3353" s="2" t="s">
        <v>1146</v>
      </c>
      <c r="G3353" s="14" t="n">
        <v>24.5</v>
      </c>
      <c r="H3353" s="14" t="n">
        <v>41.77</v>
      </c>
      <c r="I3353" s="14" t="n">
        <v>24.5</v>
      </c>
      <c r="J3353" s="22" t="n">
        <f aca="false">IF(E3353="Priority",'Cost model'!N59,'Cost model'!M59)</f>
        <v>60</v>
      </c>
      <c r="K3353" s="14" t="n">
        <f aca="false">J3353-H3353</f>
        <v>18.23</v>
      </c>
      <c r="L3353" s="14" t="n">
        <f aca="false">G3353-H3353</f>
        <v>-17.27</v>
      </c>
    </row>
    <row r="3354" customFormat="false" ht="15" hidden="false" customHeight="false" outlineLevel="0" collapsed="false">
      <c r="A3354" s="2" t="s">
        <v>184</v>
      </c>
      <c r="B3354" s="2" t="s">
        <v>184</v>
      </c>
      <c r="C3354" s="2" t="s">
        <v>48</v>
      </c>
      <c r="D3354" s="2" t="s">
        <v>12</v>
      </c>
      <c r="E3354" s="2" t="s">
        <v>76</v>
      </c>
      <c r="F3354" s="2" t="s">
        <v>1145</v>
      </c>
      <c r="G3354" s="14" t="n">
        <v>9.5</v>
      </c>
      <c r="H3354" s="14" t="n">
        <v>28.09</v>
      </c>
      <c r="I3354" s="14" t="n">
        <v>9.5</v>
      </c>
      <c r="J3354" s="22" t="n">
        <f aca="false">IF(E3354="Priority",'Cost model'!N203,'Cost model'!M203)</f>
        <v>26.5</v>
      </c>
      <c r="K3354" s="14" t="n">
        <f aca="false">J3354-H3354</f>
        <v>-1.59</v>
      </c>
      <c r="L3354" s="14" t="n">
        <f aca="false">G3354-H3354</f>
        <v>-18.59</v>
      </c>
    </row>
    <row r="3355" customFormat="false" ht="15" hidden="false" customHeight="false" outlineLevel="0" collapsed="false">
      <c r="A3355" s="2" t="s">
        <v>126</v>
      </c>
      <c r="B3355" s="2" t="s">
        <v>126</v>
      </c>
      <c r="C3355" s="2" t="s">
        <v>50</v>
      </c>
      <c r="D3355" s="2" t="s">
        <v>12</v>
      </c>
      <c r="E3355" s="2" t="s">
        <v>76</v>
      </c>
      <c r="F3355" s="2" t="s">
        <v>1145</v>
      </c>
      <c r="G3355" s="14" t="n">
        <v>19.5</v>
      </c>
      <c r="H3355" s="14" t="n">
        <v>68.53</v>
      </c>
      <c r="I3355" s="14" t="n">
        <v>19.5</v>
      </c>
      <c r="J3355" s="22" t="n">
        <f aca="false">IF(E3355="Priority",'Cost model'!N385,'Cost model'!M385)</f>
        <v>55</v>
      </c>
      <c r="K3355" s="14" t="n">
        <f aca="false">J3355-H3355</f>
        <v>-13.53</v>
      </c>
      <c r="L3355" s="14" t="n">
        <f aca="false">G3355-H3355</f>
        <v>-49.03</v>
      </c>
    </row>
    <row r="3356" customFormat="false" ht="15" hidden="false" customHeight="false" outlineLevel="0" collapsed="false">
      <c r="A3356" s="2" t="s">
        <v>221</v>
      </c>
      <c r="B3356" s="2" t="s">
        <v>221</v>
      </c>
      <c r="C3356" s="2" t="s">
        <v>49</v>
      </c>
      <c r="D3356" s="2" t="s">
        <v>12</v>
      </c>
      <c r="E3356" s="2" t="s">
        <v>85</v>
      </c>
      <c r="F3356" s="2" t="s">
        <v>1145</v>
      </c>
      <c r="G3356" s="14" t="n">
        <v>19.5</v>
      </c>
      <c r="H3356" s="14" t="n">
        <v>38.69</v>
      </c>
      <c r="I3356" s="14" t="n">
        <v>19.5</v>
      </c>
      <c r="J3356" s="22" t="n">
        <f aca="false">IF(E3356="Priority",'Cost model'!N636,'Cost model'!M636)</f>
        <v>70</v>
      </c>
      <c r="K3356" s="14" t="n">
        <f aca="false">J3356-H3356</f>
        <v>31.31</v>
      </c>
      <c r="L3356" s="14" t="n">
        <f aca="false">G3356-H3356</f>
        <v>-19.19</v>
      </c>
    </row>
    <row r="3357" customFormat="false" ht="15" hidden="false" customHeight="false" outlineLevel="0" collapsed="false">
      <c r="A3357" s="2" t="s">
        <v>126</v>
      </c>
      <c r="B3357" s="2" t="s">
        <v>184</v>
      </c>
      <c r="C3357" s="2" t="s">
        <v>48</v>
      </c>
      <c r="D3357" s="2" t="s">
        <v>12</v>
      </c>
      <c r="E3357" s="2" t="s">
        <v>76</v>
      </c>
      <c r="F3357" s="2" t="s">
        <v>1146</v>
      </c>
      <c r="G3357" s="14" t="n">
        <v>19.5</v>
      </c>
      <c r="H3357" s="14" t="n">
        <v>35.76</v>
      </c>
      <c r="I3357" s="14" t="n">
        <v>19.5</v>
      </c>
      <c r="J3357" s="22" t="n">
        <f aca="false">IF(E3357="Priority",'Cost model'!N437,'Cost model'!M437)</f>
        <v>50</v>
      </c>
      <c r="K3357" s="14" t="n">
        <f aca="false">J3357-H3357</f>
        <v>14.24</v>
      </c>
      <c r="L3357" s="14" t="n">
        <f aca="false">G3357-H3357</f>
        <v>-16.26</v>
      </c>
    </row>
    <row r="3358" customFormat="false" ht="15" hidden="false" customHeight="false" outlineLevel="0" collapsed="false">
      <c r="A3358" s="2" t="s">
        <v>184</v>
      </c>
      <c r="B3358" s="2" t="s">
        <v>184</v>
      </c>
      <c r="C3358" s="2" t="s">
        <v>48</v>
      </c>
      <c r="D3358" s="2" t="s">
        <v>12</v>
      </c>
      <c r="E3358" s="2" t="s">
        <v>76</v>
      </c>
      <c r="F3358" s="2" t="s">
        <v>1145</v>
      </c>
      <c r="G3358" s="14" t="n">
        <v>9.5</v>
      </c>
      <c r="H3358" s="14" t="n">
        <v>28.05</v>
      </c>
      <c r="I3358" s="14" t="n">
        <v>9.5</v>
      </c>
      <c r="J3358" s="22" t="n">
        <f aca="false">IF(E3358="Priority",'Cost model'!N203,'Cost model'!M203)</f>
        <v>26.5</v>
      </c>
      <c r="K3358" s="14" t="n">
        <f aca="false">J3358-H3358</f>
        <v>-1.55</v>
      </c>
      <c r="L3358" s="14" t="n">
        <f aca="false">G3358-H3358</f>
        <v>-18.55</v>
      </c>
    </row>
    <row r="3359" customFormat="false" ht="15" hidden="false" customHeight="false" outlineLevel="0" collapsed="false">
      <c r="A3359" s="2" t="s">
        <v>240</v>
      </c>
      <c r="B3359" s="2" t="s">
        <v>240</v>
      </c>
      <c r="C3359" s="2" t="s">
        <v>48</v>
      </c>
      <c r="D3359" s="2" t="s">
        <v>10</v>
      </c>
      <c r="E3359" s="2" t="s">
        <v>76</v>
      </c>
      <c r="F3359" s="2" t="s">
        <v>1145</v>
      </c>
      <c r="G3359" s="14" t="n">
        <v>9.5</v>
      </c>
      <c r="H3359" s="14" t="n">
        <v>7.32</v>
      </c>
      <c r="I3359" s="14" t="n">
        <v>9.5</v>
      </c>
      <c r="J3359" s="22" t="n">
        <f aca="false">IF(E3359="Priority",'Cost model'!N884,'Cost model'!M884)</f>
        <v>7.5</v>
      </c>
      <c r="K3359" s="14" t="n">
        <f aca="false">J3359-H3359</f>
        <v>0.18</v>
      </c>
      <c r="L3359" s="14" t="n">
        <f aca="false">G3359-H3359</f>
        <v>2.18</v>
      </c>
    </row>
    <row r="3360" customFormat="false" ht="15" hidden="false" customHeight="false" outlineLevel="0" collapsed="false">
      <c r="A3360" s="2" t="s">
        <v>146</v>
      </c>
      <c r="B3360" s="2" t="s">
        <v>146</v>
      </c>
      <c r="C3360" s="2" t="s">
        <v>50</v>
      </c>
      <c r="D3360" s="2" t="s">
        <v>10</v>
      </c>
      <c r="E3360" s="2" t="s">
        <v>76</v>
      </c>
      <c r="F3360" s="2" t="s">
        <v>1145</v>
      </c>
      <c r="G3360" s="14" t="n">
        <v>17.5</v>
      </c>
      <c r="H3360" s="14" t="n">
        <v>14.63</v>
      </c>
      <c r="I3360" s="14" t="n">
        <v>17.5</v>
      </c>
      <c r="J3360" s="22" t="n">
        <f aca="false">IF(E3360="Priority",'Cost model'!N760,'Cost model'!M760)</f>
        <v>18.5</v>
      </c>
      <c r="K3360" s="14" t="n">
        <f aca="false">J3360-H3360</f>
        <v>3.87</v>
      </c>
      <c r="L3360" s="14" t="n">
        <f aca="false">G3360-H3360</f>
        <v>2.87</v>
      </c>
    </row>
    <row r="3361" customFormat="false" ht="15" hidden="false" customHeight="false" outlineLevel="0" collapsed="false">
      <c r="A3361" s="2" t="s">
        <v>240</v>
      </c>
      <c r="B3361" s="2" t="s">
        <v>240</v>
      </c>
      <c r="C3361" s="2" t="s">
        <v>48</v>
      </c>
      <c r="D3361" s="2" t="s">
        <v>12</v>
      </c>
      <c r="E3361" s="2" t="s">
        <v>85</v>
      </c>
      <c r="F3361" s="2" t="s">
        <v>1145</v>
      </c>
      <c r="G3361" s="14" t="n">
        <v>19.5</v>
      </c>
      <c r="H3361" s="14" t="n">
        <v>16.9</v>
      </c>
      <c r="I3361" s="14" t="n">
        <v>19.5</v>
      </c>
      <c r="J3361" s="22" t="n">
        <f aca="false">IF(E3361="Priority",'Cost model'!N887,'Cost model'!M887)</f>
        <v>27.5</v>
      </c>
      <c r="K3361" s="14" t="n">
        <f aca="false">J3361-H3361</f>
        <v>10.6</v>
      </c>
      <c r="L3361" s="14" t="n">
        <f aca="false">G3361-H3361</f>
        <v>2.6</v>
      </c>
    </row>
    <row r="3362" customFormat="false" ht="15" hidden="false" customHeight="false" outlineLevel="0" collapsed="false">
      <c r="A3362" s="2" t="s">
        <v>126</v>
      </c>
      <c r="B3362" s="2" t="s">
        <v>126</v>
      </c>
      <c r="C3362" s="2" t="s">
        <v>49</v>
      </c>
      <c r="D3362" s="2" t="s">
        <v>10</v>
      </c>
      <c r="E3362" s="2" t="s">
        <v>76</v>
      </c>
      <c r="F3362" s="2" t="s">
        <v>1145</v>
      </c>
      <c r="G3362" s="14" t="n">
        <v>12.5</v>
      </c>
      <c r="H3362" s="14" t="n">
        <v>11.25</v>
      </c>
      <c r="I3362" s="14" t="n">
        <v>12.5</v>
      </c>
      <c r="J3362" s="22" t="n">
        <f aca="false">IF(E3362="Priority",'Cost model'!N381,'Cost model'!M381)</f>
        <v>14.5</v>
      </c>
      <c r="K3362" s="14" t="n">
        <f aca="false">J3362-H3362</f>
        <v>3.25</v>
      </c>
      <c r="L3362" s="14" t="n">
        <f aca="false">G3362-H3362</f>
        <v>1.25</v>
      </c>
    </row>
    <row r="3363" customFormat="false" ht="15" hidden="false" customHeight="false" outlineLevel="0" collapsed="false">
      <c r="A3363" s="2" t="s">
        <v>184</v>
      </c>
      <c r="B3363" s="2" t="s">
        <v>184</v>
      </c>
      <c r="C3363" s="2" t="s">
        <v>48</v>
      </c>
      <c r="D3363" s="2" t="s">
        <v>10</v>
      </c>
      <c r="E3363" s="2" t="s">
        <v>76</v>
      </c>
      <c r="F3363" s="2" t="s">
        <v>1145</v>
      </c>
      <c r="G3363" s="14" t="n">
        <v>9.5</v>
      </c>
      <c r="H3363" s="14" t="n">
        <v>5.94</v>
      </c>
      <c r="I3363" s="14" t="n">
        <v>9.5</v>
      </c>
      <c r="J3363" s="22" t="n">
        <f aca="false">IF(E3363="Priority",'Cost model'!N200,'Cost model'!M200)</f>
        <v>7.5</v>
      </c>
      <c r="K3363" s="14" t="n">
        <f aca="false">J3363-H3363</f>
        <v>1.56</v>
      </c>
      <c r="L3363" s="14" t="n">
        <f aca="false">G3363-H3363</f>
        <v>3.56</v>
      </c>
    </row>
    <row r="3364" customFormat="false" ht="15" hidden="false" customHeight="false" outlineLevel="0" collapsed="false">
      <c r="A3364" s="2" t="s">
        <v>184</v>
      </c>
      <c r="B3364" s="2" t="s">
        <v>126</v>
      </c>
      <c r="C3364" s="2" t="s">
        <v>49</v>
      </c>
      <c r="D3364" s="2" t="s">
        <v>12</v>
      </c>
      <c r="E3364" s="2" t="s">
        <v>76</v>
      </c>
      <c r="F3364" s="2" t="s">
        <v>1146</v>
      </c>
      <c r="G3364" s="14" t="n">
        <v>19.5</v>
      </c>
      <c r="H3364" s="14" t="n">
        <v>45.78</v>
      </c>
      <c r="I3364" s="14"/>
      <c r="J3364" s="22" t="n">
        <f aca="false">IF(E3364="Priority",'Cost model'!N132,'Cost model'!M132)</f>
        <v>50</v>
      </c>
      <c r="K3364" s="14" t="n">
        <f aca="false">J3364-H3364</f>
        <v>4.22</v>
      </c>
      <c r="L3364" s="14" t="n">
        <f aca="false">G3364-H3364</f>
        <v>-26.28</v>
      </c>
    </row>
    <row r="3365" customFormat="false" ht="15" hidden="false" customHeight="false" outlineLevel="0" collapsed="false">
      <c r="A3365" s="2" t="s">
        <v>240</v>
      </c>
      <c r="B3365" s="2" t="s">
        <v>240</v>
      </c>
      <c r="C3365" s="2" t="s">
        <v>48</v>
      </c>
      <c r="D3365" s="2" t="s">
        <v>12</v>
      </c>
      <c r="E3365" s="2" t="s">
        <v>76</v>
      </c>
      <c r="F3365" s="2" t="s">
        <v>1145</v>
      </c>
      <c r="G3365" s="14" t="n">
        <v>9.5</v>
      </c>
      <c r="H3365" s="14" t="n">
        <v>14.36</v>
      </c>
      <c r="I3365" s="14" t="n">
        <v>9.5</v>
      </c>
      <c r="J3365" s="22" t="n">
        <f aca="false">IF(E3365="Priority",'Cost model'!N887,'Cost model'!M887)</f>
        <v>21.5</v>
      </c>
      <c r="K3365" s="14" t="n">
        <f aca="false">J3365-H3365</f>
        <v>7.14</v>
      </c>
      <c r="L3365" s="14" t="n">
        <f aca="false">G3365-H3365</f>
        <v>-4.86</v>
      </c>
    </row>
    <row r="3366" customFormat="false" ht="15" hidden="false" customHeight="false" outlineLevel="0" collapsed="false">
      <c r="A3366" s="2" t="s">
        <v>126</v>
      </c>
      <c r="B3366" s="2" t="s">
        <v>184</v>
      </c>
      <c r="C3366" s="2" t="s">
        <v>49</v>
      </c>
      <c r="D3366" s="2" t="s">
        <v>14</v>
      </c>
      <c r="E3366" s="2" t="s">
        <v>76</v>
      </c>
      <c r="F3366" s="2" t="s">
        <v>1146</v>
      </c>
      <c r="G3366" s="14" t="n">
        <v>45</v>
      </c>
      <c r="H3366" s="14" t="n">
        <v>290.55</v>
      </c>
      <c r="I3366" s="14" t="n">
        <v>125</v>
      </c>
      <c r="J3366" s="22" t="n">
        <f aca="false">IF(E3366="Priority",'Cost model'!N444,'Cost model'!M444)</f>
        <v>185</v>
      </c>
      <c r="K3366" s="14" t="n">
        <f aca="false">J3366-H3366</f>
        <v>-105.55</v>
      </c>
      <c r="L3366" s="14" t="n">
        <f aca="false">G3366-H3366</f>
        <v>-245.55</v>
      </c>
    </row>
    <row r="3367" customFormat="false" ht="15" hidden="false" customHeight="false" outlineLevel="0" collapsed="false">
      <c r="A3367" s="2" t="s">
        <v>146</v>
      </c>
      <c r="B3367" s="2" t="s">
        <v>126</v>
      </c>
      <c r="C3367" s="2" t="s">
        <v>48</v>
      </c>
      <c r="D3367" s="2" t="s">
        <v>10</v>
      </c>
      <c r="E3367" s="2" t="s">
        <v>76</v>
      </c>
      <c r="F3367" s="2" t="s">
        <v>1146</v>
      </c>
      <c r="G3367" s="14" t="n">
        <v>9.5</v>
      </c>
      <c r="H3367" s="14" t="n">
        <v>10.49</v>
      </c>
      <c r="I3367" s="14" t="n">
        <v>14.5</v>
      </c>
      <c r="J3367" s="22" t="n">
        <f aca="false">IF(E3367="Priority",'Cost model'!N794,'Cost model'!M794)</f>
        <v>12.5</v>
      </c>
      <c r="K3367" s="14" t="n">
        <f aca="false">J3367-H3367</f>
        <v>2.01</v>
      </c>
      <c r="L3367" s="14" t="n">
        <f aca="false">G3367-H3367</f>
        <v>-0.99</v>
      </c>
    </row>
    <row r="3368" customFormat="false" ht="15" hidden="false" customHeight="false" outlineLevel="0" collapsed="false">
      <c r="A3368" s="2" t="s">
        <v>126</v>
      </c>
      <c r="B3368" s="2" t="s">
        <v>126</v>
      </c>
      <c r="C3368" s="2" t="s">
        <v>49</v>
      </c>
      <c r="D3368" s="2" t="s">
        <v>12</v>
      </c>
      <c r="E3368" s="2" t="s">
        <v>76</v>
      </c>
      <c r="F3368" s="2" t="s">
        <v>1145</v>
      </c>
      <c r="G3368" s="14" t="n">
        <v>12.5</v>
      </c>
      <c r="H3368" s="14" t="n">
        <v>12.14</v>
      </c>
      <c r="I3368" s="14" t="n">
        <v>12.5</v>
      </c>
      <c r="J3368" s="22" t="n">
        <f aca="false">IF(E3368="Priority",'Cost model'!N384,'Cost model'!M384)</f>
        <v>45</v>
      </c>
      <c r="K3368" s="14" t="n">
        <f aca="false">J3368-H3368</f>
        <v>32.86</v>
      </c>
      <c r="L3368" s="14" t="n">
        <f aca="false">G3368-H3368</f>
        <v>0.359999999999999</v>
      </c>
    </row>
    <row r="3369" customFormat="false" ht="15" hidden="false" customHeight="false" outlineLevel="0" collapsed="false">
      <c r="A3369" s="2" t="s">
        <v>184</v>
      </c>
      <c r="B3369" s="2" t="s">
        <v>184</v>
      </c>
      <c r="C3369" s="2" t="s">
        <v>50</v>
      </c>
      <c r="D3369" s="2" t="s">
        <v>12</v>
      </c>
      <c r="E3369" s="2" t="s">
        <v>76</v>
      </c>
      <c r="F3369" s="2" t="s">
        <v>1145</v>
      </c>
      <c r="G3369" s="14" t="n">
        <v>19.5</v>
      </c>
      <c r="H3369" s="14" t="n">
        <v>44.04</v>
      </c>
      <c r="I3369" s="14" t="n">
        <v>19.5</v>
      </c>
      <c r="J3369" s="22" t="n">
        <f aca="false">IF(E3369="Priority",'Cost model'!N205,'Cost model'!M205)</f>
        <v>50</v>
      </c>
      <c r="K3369" s="14" t="n">
        <f aca="false">J3369-H3369</f>
        <v>5.96</v>
      </c>
      <c r="L3369" s="14" t="n">
        <f aca="false">G3369-H3369</f>
        <v>-24.54</v>
      </c>
    </row>
    <row r="3370" customFormat="false" ht="15" hidden="false" customHeight="false" outlineLevel="0" collapsed="false">
      <c r="A3370" s="2" t="s">
        <v>184</v>
      </c>
      <c r="B3370" s="2" t="s">
        <v>184</v>
      </c>
      <c r="C3370" s="2" t="s">
        <v>49</v>
      </c>
      <c r="D3370" s="2" t="s">
        <v>15</v>
      </c>
      <c r="E3370" s="2" t="s">
        <v>76</v>
      </c>
      <c r="F3370" s="2" t="s">
        <v>1145</v>
      </c>
      <c r="G3370" s="14" t="n">
        <v>85</v>
      </c>
      <c r="H3370" s="14" t="n">
        <v>93.01</v>
      </c>
      <c r="I3370" s="14"/>
      <c r="J3370" s="22" t="n">
        <f aca="false">IF(E3370="Priority",'Cost model'!N213,'Cost model'!M213)</f>
        <v>155</v>
      </c>
      <c r="K3370" s="14" t="n">
        <f aca="false">J3370-H3370</f>
        <v>61.99</v>
      </c>
      <c r="L3370" s="14" t="n">
        <f aca="false">G3370-H3370</f>
        <v>-8.01000000000001</v>
      </c>
    </row>
    <row r="3371" customFormat="false" ht="15" hidden="false" customHeight="false" outlineLevel="0" collapsed="false">
      <c r="A3371" s="2" t="s">
        <v>184</v>
      </c>
      <c r="B3371" s="2" t="s">
        <v>184</v>
      </c>
      <c r="C3371" s="2" t="s">
        <v>49</v>
      </c>
      <c r="D3371" s="2" t="s">
        <v>12</v>
      </c>
      <c r="E3371" s="2" t="s">
        <v>76</v>
      </c>
      <c r="F3371" s="2" t="s">
        <v>1145</v>
      </c>
      <c r="G3371" s="14" t="n">
        <v>12.5</v>
      </c>
      <c r="H3371" s="14" t="n">
        <v>62.55</v>
      </c>
      <c r="I3371" s="14"/>
      <c r="J3371" s="22" t="n">
        <f aca="false">IF(E3371="Priority",'Cost model'!N204,'Cost model'!M204)</f>
        <v>45</v>
      </c>
      <c r="K3371" s="14" t="n">
        <f aca="false">J3371-H3371</f>
        <v>-17.55</v>
      </c>
      <c r="L3371" s="14" t="n">
        <f aca="false">G3371-H3371</f>
        <v>-50.05</v>
      </c>
    </row>
    <row r="3372" customFormat="false" ht="15" hidden="false" customHeight="false" outlineLevel="0" collapsed="false">
      <c r="A3372" s="2" t="s">
        <v>146</v>
      </c>
      <c r="B3372" s="2" t="s">
        <v>146</v>
      </c>
      <c r="C3372" s="2" t="s">
        <v>48</v>
      </c>
      <c r="D3372" s="2" t="s">
        <v>12</v>
      </c>
      <c r="E3372" s="2" t="s">
        <v>76</v>
      </c>
      <c r="F3372" s="2" t="s">
        <v>1145</v>
      </c>
      <c r="G3372" s="14" t="n">
        <v>9.5</v>
      </c>
      <c r="H3372" s="14" t="n">
        <v>7.71</v>
      </c>
      <c r="I3372" s="14" t="n">
        <v>9.5</v>
      </c>
      <c r="J3372" s="22" t="n">
        <f aca="false">IF(E3372="Priority",'Cost model'!N761,'Cost model'!M761)</f>
        <v>35</v>
      </c>
      <c r="K3372" s="14" t="n">
        <f aca="false">J3372-H3372</f>
        <v>27.29</v>
      </c>
      <c r="L3372" s="14" t="n">
        <f aca="false">G3372-H3372</f>
        <v>1.79</v>
      </c>
    </row>
    <row r="3373" customFormat="false" ht="15" hidden="false" customHeight="false" outlineLevel="0" collapsed="false">
      <c r="A3373" s="2" t="s">
        <v>126</v>
      </c>
      <c r="B3373" s="2" t="s">
        <v>126</v>
      </c>
      <c r="C3373" s="2" t="s">
        <v>49</v>
      </c>
      <c r="D3373" s="2" t="s">
        <v>10</v>
      </c>
      <c r="E3373" s="2" t="s">
        <v>76</v>
      </c>
      <c r="F3373" s="2" t="s">
        <v>1145</v>
      </c>
      <c r="G3373" s="14" t="n">
        <v>12.5</v>
      </c>
      <c r="H3373" s="14" t="n">
        <v>11.64</v>
      </c>
      <c r="I3373" s="14" t="n">
        <v>12.5</v>
      </c>
      <c r="J3373" s="22" t="n">
        <f aca="false">IF(E3373="Priority",'Cost model'!N381,'Cost model'!M381)</f>
        <v>14.5</v>
      </c>
      <c r="K3373" s="14" t="n">
        <f aca="false">J3373-H3373</f>
        <v>2.86</v>
      </c>
      <c r="L3373" s="14" t="n">
        <f aca="false">G3373-H3373</f>
        <v>0.859999999999999</v>
      </c>
    </row>
    <row r="3374" customFormat="false" ht="15" hidden="false" customHeight="false" outlineLevel="0" collapsed="false">
      <c r="A3374" s="2" t="s">
        <v>146</v>
      </c>
      <c r="B3374" s="2" t="s">
        <v>165</v>
      </c>
      <c r="C3374" s="2" t="s">
        <v>48</v>
      </c>
      <c r="D3374" s="2" t="s">
        <v>10</v>
      </c>
      <c r="E3374" s="2" t="s">
        <v>76</v>
      </c>
      <c r="F3374" s="2" t="s">
        <v>1146</v>
      </c>
      <c r="G3374" s="14" t="n">
        <v>9.5</v>
      </c>
      <c r="H3374" s="14" t="n">
        <v>9.85</v>
      </c>
      <c r="I3374" s="14" t="n">
        <v>14.5</v>
      </c>
      <c r="J3374" s="22" t="n">
        <f aca="false">IF(E3374="Priority",'Cost model'!N776,'Cost model'!M776)</f>
        <v>13.5</v>
      </c>
      <c r="K3374" s="14" t="n">
        <f aca="false">J3374-H3374</f>
        <v>3.65</v>
      </c>
      <c r="L3374" s="14" t="n">
        <f aca="false">G3374-H3374</f>
        <v>-0.35</v>
      </c>
    </row>
    <row r="3375" customFormat="false" ht="15" hidden="false" customHeight="false" outlineLevel="0" collapsed="false">
      <c r="A3375" s="2" t="s">
        <v>184</v>
      </c>
      <c r="B3375" s="2" t="s">
        <v>184</v>
      </c>
      <c r="C3375" s="2" t="s">
        <v>48</v>
      </c>
      <c r="D3375" s="2" t="s">
        <v>10</v>
      </c>
      <c r="E3375" s="2" t="s">
        <v>76</v>
      </c>
      <c r="F3375" s="2" t="s">
        <v>1145</v>
      </c>
      <c r="G3375" s="14" t="n">
        <v>9.5</v>
      </c>
      <c r="H3375" s="14" t="n">
        <v>7.45</v>
      </c>
      <c r="I3375" s="14" t="n">
        <v>9.5</v>
      </c>
      <c r="J3375" s="22" t="n">
        <f aca="false">IF(E3375="Priority",'Cost model'!N200,'Cost model'!M200)</f>
        <v>7.5</v>
      </c>
      <c r="K3375" s="14" t="n">
        <f aca="false">J3375-H3375</f>
        <v>0.0499999999999998</v>
      </c>
      <c r="L3375" s="14" t="n">
        <f aca="false">G3375-H3375</f>
        <v>2.05</v>
      </c>
    </row>
    <row r="3376" customFormat="false" ht="15" hidden="false" customHeight="false" outlineLevel="0" collapsed="false">
      <c r="A3376" s="2" t="s">
        <v>184</v>
      </c>
      <c r="B3376" s="2" t="s">
        <v>184</v>
      </c>
      <c r="C3376" s="2" t="s">
        <v>48</v>
      </c>
      <c r="D3376" s="2" t="s">
        <v>12</v>
      </c>
      <c r="E3376" s="2" t="s">
        <v>76</v>
      </c>
      <c r="F3376" s="2" t="s">
        <v>1145</v>
      </c>
      <c r="G3376" s="14" t="n">
        <v>9.5</v>
      </c>
      <c r="H3376" s="14" t="n">
        <v>28.99</v>
      </c>
      <c r="I3376" s="14" t="n">
        <v>9.5</v>
      </c>
      <c r="J3376" s="22" t="n">
        <f aca="false">IF(E3376="Priority",'Cost model'!N203,'Cost model'!M203)</f>
        <v>26.5</v>
      </c>
      <c r="K3376" s="14" t="n">
        <f aca="false">J3376-H3376</f>
        <v>-2.49</v>
      </c>
      <c r="L3376" s="14" t="n">
        <f aca="false">G3376-H3376</f>
        <v>-19.49</v>
      </c>
    </row>
    <row r="3377" customFormat="false" ht="15" hidden="false" customHeight="false" outlineLevel="0" collapsed="false">
      <c r="A3377" s="2" t="s">
        <v>184</v>
      </c>
      <c r="B3377" s="2" t="s">
        <v>184</v>
      </c>
      <c r="C3377" s="2" t="s">
        <v>49</v>
      </c>
      <c r="D3377" s="2" t="s">
        <v>10</v>
      </c>
      <c r="E3377" s="2" t="s">
        <v>76</v>
      </c>
      <c r="F3377" s="2" t="s">
        <v>1145</v>
      </c>
      <c r="G3377" s="14" t="n">
        <v>17.5</v>
      </c>
      <c r="H3377" s="14" t="n">
        <v>24.48</v>
      </c>
      <c r="I3377" s="14"/>
      <c r="J3377" s="22" t="n">
        <f aca="false">IF(E3377="Priority",'Cost model'!N201,'Cost model'!M201)</f>
        <v>12.5</v>
      </c>
      <c r="K3377" s="14" t="n">
        <f aca="false">J3377-H3377</f>
        <v>-11.98</v>
      </c>
      <c r="L3377" s="14" t="n">
        <f aca="false">G3377-H3377</f>
        <v>-6.98</v>
      </c>
    </row>
    <row r="3378" customFormat="false" ht="15" hidden="false" customHeight="false" outlineLevel="0" collapsed="false">
      <c r="A3378" s="2" t="s">
        <v>165</v>
      </c>
      <c r="B3378" s="2" t="s">
        <v>165</v>
      </c>
      <c r="C3378" s="2" t="s">
        <v>48</v>
      </c>
      <c r="D3378" s="2" t="s">
        <v>10</v>
      </c>
      <c r="E3378" s="2" t="s">
        <v>76</v>
      </c>
      <c r="F3378" s="2" t="s">
        <v>1145</v>
      </c>
      <c r="G3378" s="14" t="n">
        <v>9.5</v>
      </c>
      <c r="H3378" s="14" t="n">
        <v>7.14</v>
      </c>
      <c r="I3378" s="14" t="n">
        <v>9.5</v>
      </c>
      <c r="J3378" s="22" t="n">
        <f aca="false">IF(E3378="Priority",'Cost model'!N506,'Cost model'!M506)</f>
        <v>7.5</v>
      </c>
      <c r="K3378" s="14" t="n">
        <f aca="false">J3378-H3378</f>
        <v>0.36</v>
      </c>
      <c r="L3378" s="14" t="n">
        <f aca="false">G3378-H3378</f>
        <v>2.36</v>
      </c>
    </row>
    <row r="3379" customFormat="false" ht="15" hidden="false" customHeight="false" outlineLevel="0" collapsed="false">
      <c r="A3379" s="2" t="s">
        <v>184</v>
      </c>
      <c r="B3379" s="2" t="s">
        <v>184</v>
      </c>
      <c r="C3379" s="2" t="s">
        <v>50</v>
      </c>
      <c r="D3379" s="2" t="s">
        <v>10</v>
      </c>
      <c r="E3379" s="2" t="s">
        <v>76</v>
      </c>
      <c r="F3379" s="2" t="s">
        <v>1145</v>
      </c>
      <c r="G3379" s="14" t="n">
        <v>17.5</v>
      </c>
      <c r="H3379" s="14" t="n">
        <v>19.56</v>
      </c>
      <c r="I3379" s="14" t="n">
        <v>17.5</v>
      </c>
      <c r="J3379" s="22" t="n">
        <f aca="false">IF(E3379="Priority",'Cost model'!N202,'Cost model'!M202)</f>
        <v>17.5</v>
      </c>
      <c r="K3379" s="14" t="n">
        <f aca="false">J3379-H3379</f>
        <v>-2.06</v>
      </c>
      <c r="L3379" s="14" t="n">
        <f aca="false">G3379-H3379</f>
        <v>-2.06</v>
      </c>
    </row>
    <row r="3380" customFormat="false" ht="15" hidden="false" customHeight="false" outlineLevel="0" collapsed="false">
      <c r="A3380" s="2" t="s">
        <v>146</v>
      </c>
      <c r="B3380" s="2" t="s">
        <v>126</v>
      </c>
      <c r="C3380" s="2" t="s">
        <v>48</v>
      </c>
      <c r="D3380" s="2" t="s">
        <v>10</v>
      </c>
      <c r="E3380" s="2" t="s">
        <v>76</v>
      </c>
      <c r="F3380" s="2" t="s">
        <v>1146</v>
      </c>
      <c r="G3380" s="14" t="n">
        <v>14.5</v>
      </c>
      <c r="H3380" s="14" t="n">
        <v>24.63</v>
      </c>
      <c r="I3380" s="14" t="n">
        <v>14.5</v>
      </c>
      <c r="J3380" s="22" t="n">
        <f aca="false">IF(E3380="Priority",'Cost model'!N794,'Cost model'!M794)</f>
        <v>12.5</v>
      </c>
      <c r="K3380" s="14" t="n">
        <f aca="false">J3380-H3380</f>
        <v>-12.13</v>
      </c>
      <c r="L3380" s="14" t="n">
        <f aca="false">G3380-H3380</f>
        <v>-10.13</v>
      </c>
    </row>
    <row r="3381" customFormat="false" ht="15" hidden="false" customHeight="false" outlineLevel="0" collapsed="false">
      <c r="A3381" s="2" t="s">
        <v>240</v>
      </c>
      <c r="B3381" s="2" t="s">
        <v>240</v>
      </c>
      <c r="C3381" s="2" t="s">
        <v>48</v>
      </c>
      <c r="D3381" s="2" t="s">
        <v>12</v>
      </c>
      <c r="E3381" s="2" t="s">
        <v>76</v>
      </c>
      <c r="F3381" s="2" t="s">
        <v>1145</v>
      </c>
      <c r="G3381" s="14" t="n">
        <v>9.5</v>
      </c>
      <c r="H3381" s="14" t="n">
        <v>27.82</v>
      </c>
      <c r="I3381" s="14" t="n">
        <v>9.5</v>
      </c>
      <c r="J3381" s="22" t="n">
        <f aca="false">IF(E3381="Priority",'Cost model'!N887,'Cost model'!M887)</f>
        <v>21.5</v>
      </c>
      <c r="K3381" s="14" t="n">
        <f aca="false">J3381-H3381</f>
        <v>-6.32</v>
      </c>
      <c r="L3381" s="14" t="n">
        <f aca="false">G3381-H3381</f>
        <v>-18.32</v>
      </c>
    </row>
    <row r="3382" customFormat="false" ht="15" hidden="false" customHeight="false" outlineLevel="0" collapsed="false">
      <c r="A3382" s="2" t="s">
        <v>184</v>
      </c>
      <c r="B3382" s="2" t="s">
        <v>184</v>
      </c>
      <c r="C3382" s="2" t="s">
        <v>49</v>
      </c>
      <c r="D3382" s="2" t="s">
        <v>12</v>
      </c>
      <c r="E3382" s="2" t="s">
        <v>76</v>
      </c>
      <c r="F3382" s="2" t="s">
        <v>1145</v>
      </c>
      <c r="G3382" s="14" t="n">
        <v>19.5</v>
      </c>
      <c r="H3382" s="14" t="n">
        <v>62.55</v>
      </c>
      <c r="I3382" s="14"/>
      <c r="J3382" s="22" t="n">
        <f aca="false">IF(E3382="Priority",'Cost model'!N204,'Cost model'!M204)</f>
        <v>45</v>
      </c>
      <c r="K3382" s="14" t="n">
        <f aca="false">J3382-H3382</f>
        <v>-17.55</v>
      </c>
      <c r="L3382" s="14" t="n">
        <f aca="false">G3382-H3382</f>
        <v>-43.05</v>
      </c>
    </row>
    <row r="3383" customFormat="false" ht="15" hidden="false" customHeight="false" outlineLevel="0" collapsed="false">
      <c r="A3383" s="2" t="s">
        <v>126</v>
      </c>
      <c r="B3383" s="2" t="s">
        <v>184</v>
      </c>
      <c r="C3383" s="2" t="s">
        <v>49</v>
      </c>
      <c r="D3383" s="2" t="s">
        <v>12</v>
      </c>
      <c r="E3383" s="2" t="s">
        <v>76</v>
      </c>
      <c r="F3383" s="2" t="s">
        <v>1146</v>
      </c>
      <c r="G3383" s="14" t="n">
        <v>12.5</v>
      </c>
      <c r="H3383" s="14" t="n">
        <v>47.27</v>
      </c>
      <c r="I3383" s="14" t="n">
        <v>19.5</v>
      </c>
      <c r="J3383" s="22" t="n">
        <f aca="false">IF(E3383="Priority",'Cost model'!N438,'Cost model'!M438)</f>
        <v>55</v>
      </c>
      <c r="K3383" s="14" t="n">
        <f aca="false">J3383-H3383</f>
        <v>7.73</v>
      </c>
      <c r="L3383" s="14" t="n">
        <f aca="false">G3383-H3383</f>
        <v>-34.77</v>
      </c>
    </row>
    <row r="3384" customFormat="false" ht="15" hidden="false" customHeight="false" outlineLevel="0" collapsed="false">
      <c r="A3384" s="2" t="s">
        <v>146</v>
      </c>
      <c r="B3384" s="2" t="s">
        <v>146</v>
      </c>
      <c r="C3384" s="2" t="s">
        <v>48</v>
      </c>
      <c r="D3384" s="2" t="s">
        <v>10</v>
      </c>
      <c r="E3384" s="2" t="s">
        <v>85</v>
      </c>
      <c r="F3384" s="2" t="s">
        <v>1145</v>
      </c>
      <c r="G3384" s="14" t="n">
        <v>14.5</v>
      </c>
      <c r="H3384" s="14" t="n">
        <v>9.89</v>
      </c>
      <c r="I3384" s="14" t="n">
        <v>14.5</v>
      </c>
      <c r="J3384" s="22" t="n">
        <f aca="false">IF(E3384="Priority",'Cost model'!N758,'Cost model'!M758)</f>
        <v>14.5</v>
      </c>
      <c r="K3384" s="14" t="n">
        <f aca="false">J3384-H3384</f>
        <v>4.61</v>
      </c>
      <c r="L3384" s="14" t="n">
        <f aca="false">G3384-H3384</f>
        <v>4.61</v>
      </c>
    </row>
    <row r="3385" customFormat="false" ht="15" hidden="false" customHeight="false" outlineLevel="0" collapsed="false">
      <c r="A3385" s="2" t="s">
        <v>126</v>
      </c>
      <c r="B3385" s="2" t="s">
        <v>126</v>
      </c>
      <c r="C3385" s="2" t="s">
        <v>48</v>
      </c>
      <c r="D3385" s="2" t="s">
        <v>12</v>
      </c>
      <c r="E3385" s="2" t="s">
        <v>76</v>
      </c>
      <c r="F3385" s="2" t="s">
        <v>1145</v>
      </c>
      <c r="G3385" s="14" t="n">
        <v>14.5</v>
      </c>
      <c r="H3385" s="14" t="n">
        <v>7.46</v>
      </c>
      <c r="I3385" s="14" t="n">
        <v>9.5</v>
      </c>
      <c r="J3385" s="22" t="n">
        <f aca="false">IF(E3385="Priority",'Cost model'!N383,'Cost model'!M383)</f>
        <v>27.5</v>
      </c>
      <c r="K3385" s="14" t="n">
        <f aca="false">J3385-H3385</f>
        <v>20.04</v>
      </c>
      <c r="L3385" s="14" t="n">
        <f aca="false">G3385-H3385</f>
        <v>7.04</v>
      </c>
    </row>
    <row r="3386" customFormat="false" ht="15" hidden="false" customHeight="false" outlineLevel="0" collapsed="false">
      <c r="A3386" s="2" t="s">
        <v>184</v>
      </c>
      <c r="B3386" s="2" t="s">
        <v>184</v>
      </c>
      <c r="C3386" s="2" t="s">
        <v>50</v>
      </c>
      <c r="D3386" s="2" t="s">
        <v>13</v>
      </c>
      <c r="E3386" s="2" t="s">
        <v>76</v>
      </c>
      <c r="F3386" s="2" t="s">
        <v>1145</v>
      </c>
      <c r="G3386" s="14" t="n">
        <v>50</v>
      </c>
      <c r="H3386" s="14" t="n">
        <v>201.94</v>
      </c>
      <c r="I3386" s="14" t="n">
        <v>50</v>
      </c>
      <c r="J3386" s="22" t="n">
        <f aca="false">IF(E3386="Priority",'Cost model'!N208,'Cost model'!M208)</f>
        <v>80</v>
      </c>
      <c r="K3386" s="14" t="n">
        <f aca="false">J3386-H3386</f>
        <v>-121.94</v>
      </c>
      <c r="L3386" s="14" t="n">
        <f aca="false">G3386-H3386</f>
        <v>-151.94</v>
      </c>
    </row>
    <row r="3387" customFormat="false" ht="15" hidden="false" customHeight="false" outlineLevel="0" collapsed="false">
      <c r="A3387" s="2" t="s">
        <v>184</v>
      </c>
      <c r="B3387" s="2" t="s">
        <v>126</v>
      </c>
      <c r="C3387" s="2" t="s">
        <v>50</v>
      </c>
      <c r="D3387" s="2" t="s">
        <v>10</v>
      </c>
      <c r="E3387" s="2" t="s">
        <v>76</v>
      </c>
      <c r="F3387" s="2" t="s">
        <v>1146</v>
      </c>
      <c r="G3387" s="14" t="n">
        <v>17.5</v>
      </c>
      <c r="H3387" s="14" t="n">
        <v>12.18</v>
      </c>
      <c r="I3387" s="14" t="n">
        <v>17.5</v>
      </c>
      <c r="J3387" s="22" t="n">
        <f aca="false">IF(E3387="Priority",'Cost model'!N130,'Cost model'!M130)</f>
        <v>18.5</v>
      </c>
      <c r="K3387" s="14" t="n">
        <f aca="false">J3387-H3387</f>
        <v>6.32</v>
      </c>
      <c r="L3387" s="14" t="n">
        <f aca="false">G3387-H3387</f>
        <v>5.32</v>
      </c>
    </row>
    <row r="3388" customFormat="false" ht="15" hidden="false" customHeight="false" outlineLevel="0" collapsed="false">
      <c r="A3388" s="2" t="s">
        <v>240</v>
      </c>
      <c r="B3388" s="2" t="s">
        <v>240</v>
      </c>
      <c r="C3388" s="2" t="s">
        <v>50</v>
      </c>
      <c r="D3388" s="2" t="s">
        <v>12</v>
      </c>
      <c r="E3388" s="2" t="s">
        <v>76</v>
      </c>
      <c r="F3388" s="2" t="s">
        <v>1145</v>
      </c>
      <c r="G3388" s="14" t="n">
        <v>19.5</v>
      </c>
      <c r="H3388" s="14" t="n">
        <v>30.16</v>
      </c>
      <c r="I3388" s="14" t="n">
        <v>19.5</v>
      </c>
      <c r="J3388" s="22" t="n">
        <f aca="false">IF(E3388="Priority",'Cost model'!N889,'Cost model'!M889)</f>
        <v>60</v>
      </c>
      <c r="K3388" s="14" t="n">
        <f aca="false">J3388-H3388</f>
        <v>29.84</v>
      </c>
      <c r="L3388" s="14" t="n">
        <f aca="false">G3388-H3388</f>
        <v>-10.66</v>
      </c>
    </row>
    <row r="3389" customFormat="false" ht="15" hidden="false" customHeight="false" outlineLevel="0" collapsed="false">
      <c r="A3389" s="2" t="s">
        <v>240</v>
      </c>
      <c r="B3389" s="2" t="s">
        <v>165</v>
      </c>
      <c r="C3389" s="2" t="s">
        <v>48</v>
      </c>
      <c r="D3389" s="2" t="s">
        <v>10</v>
      </c>
      <c r="E3389" s="2" t="s">
        <v>76</v>
      </c>
      <c r="F3389" s="2" t="s">
        <v>1146</v>
      </c>
      <c r="G3389" s="14" t="n">
        <v>9.5</v>
      </c>
      <c r="H3389" s="14" t="n">
        <v>8.58</v>
      </c>
      <c r="I3389" s="14" t="n">
        <v>14.5</v>
      </c>
      <c r="J3389" s="22" t="n">
        <f aca="false">IF(E3389="Priority",'Cost model'!N902,'Cost model'!M902)</f>
        <v>13.5</v>
      </c>
      <c r="K3389" s="14" t="n">
        <f aca="false">J3389-H3389</f>
        <v>4.92</v>
      </c>
      <c r="L3389" s="14" t="n">
        <f aca="false">G3389-H3389</f>
        <v>0.92</v>
      </c>
    </row>
    <row r="3390" customFormat="false" ht="15" hidden="false" customHeight="false" outlineLevel="0" collapsed="false">
      <c r="A3390" s="2" t="s">
        <v>184</v>
      </c>
      <c r="B3390" s="2" t="s">
        <v>146</v>
      </c>
      <c r="C3390" s="2" t="s">
        <v>50</v>
      </c>
      <c r="D3390" s="2" t="s">
        <v>12</v>
      </c>
      <c r="E3390" s="2" t="s">
        <v>85</v>
      </c>
      <c r="F3390" s="2" t="s">
        <v>1146</v>
      </c>
      <c r="G3390" s="14" t="n">
        <v>29.5</v>
      </c>
      <c r="H3390" s="14" t="n">
        <v>49.71</v>
      </c>
      <c r="I3390" s="14" t="n">
        <v>29.5</v>
      </c>
      <c r="J3390" s="22" t="n">
        <f aca="false">IF(E3390="Priority",'Cost model'!N151,'Cost model'!M151)</f>
        <v>70</v>
      </c>
      <c r="K3390" s="14" t="n">
        <f aca="false">J3390-H3390</f>
        <v>20.29</v>
      </c>
      <c r="L3390" s="14" t="n">
        <f aca="false">G3390-H3390</f>
        <v>-20.21</v>
      </c>
    </row>
    <row r="3391" customFormat="false" ht="15" hidden="false" customHeight="false" outlineLevel="0" collapsed="false">
      <c r="A3391" s="2" t="s">
        <v>126</v>
      </c>
      <c r="B3391" s="2" t="s">
        <v>126</v>
      </c>
      <c r="C3391" s="2" t="s">
        <v>48</v>
      </c>
      <c r="D3391" s="2" t="s">
        <v>10</v>
      </c>
      <c r="E3391" s="2" t="s">
        <v>76</v>
      </c>
      <c r="F3391" s="2" t="s">
        <v>1145</v>
      </c>
      <c r="G3391" s="14" t="n">
        <v>9.5</v>
      </c>
      <c r="H3391" s="14" t="n">
        <v>7.45</v>
      </c>
      <c r="I3391" s="14" t="n">
        <v>9.5</v>
      </c>
      <c r="J3391" s="22" t="n">
        <f aca="false">IF(E3391="Priority",'Cost model'!N380,'Cost model'!M380)</f>
        <v>8.5</v>
      </c>
      <c r="K3391" s="14" t="n">
        <f aca="false">J3391-H3391</f>
        <v>1.05</v>
      </c>
      <c r="L3391" s="14" t="n">
        <f aca="false">G3391-H3391</f>
        <v>2.05</v>
      </c>
    </row>
    <row r="3392" customFormat="false" ht="15" hidden="false" customHeight="false" outlineLevel="0" collapsed="false">
      <c r="A3392" s="2" t="s">
        <v>184</v>
      </c>
      <c r="B3392" s="2" t="s">
        <v>126</v>
      </c>
      <c r="C3392" s="2" t="s">
        <v>48</v>
      </c>
      <c r="D3392" s="2" t="s">
        <v>10</v>
      </c>
      <c r="E3392" s="2" t="s">
        <v>76</v>
      </c>
      <c r="F3392" s="2" t="s">
        <v>1146</v>
      </c>
      <c r="G3392" s="14" t="n">
        <v>9.5</v>
      </c>
      <c r="H3392" s="14" t="n">
        <v>9.37</v>
      </c>
      <c r="I3392" s="14" t="n">
        <v>9.5</v>
      </c>
      <c r="J3392" s="22" t="n">
        <f aca="false">IF(E3392="Priority",'Cost model'!N128,'Cost model'!M128)</f>
        <v>10.5</v>
      </c>
      <c r="K3392" s="14" t="n">
        <f aca="false">J3392-H3392</f>
        <v>1.13</v>
      </c>
      <c r="L3392" s="14" t="n">
        <f aca="false">G3392-H3392</f>
        <v>0.130000000000001</v>
      </c>
    </row>
    <row r="3393" customFormat="false" ht="15" hidden="false" customHeight="false" outlineLevel="0" collapsed="false">
      <c r="A3393" s="2" t="s">
        <v>221</v>
      </c>
      <c r="B3393" s="2" t="s">
        <v>221</v>
      </c>
      <c r="C3393" s="2" t="s">
        <v>49</v>
      </c>
      <c r="D3393" s="2" t="s">
        <v>13</v>
      </c>
      <c r="E3393" s="2" t="s">
        <v>85</v>
      </c>
      <c r="F3393" s="2" t="s">
        <v>1145</v>
      </c>
      <c r="G3393" s="14" t="n">
        <v>45</v>
      </c>
      <c r="H3393" s="14" t="n">
        <v>81.31</v>
      </c>
      <c r="I3393" s="14" t="n">
        <v>45</v>
      </c>
      <c r="J3393" s="22" t="n">
        <f aca="false">IF(E3393="Priority",'Cost model'!N639,'Cost model'!M639)</f>
        <v>125</v>
      </c>
      <c r="K3393" s="14" t="n">
        <f aca="false">J3393-H3393</f>
        <v>43.69</v>
      </c>
      <c r="L3393" s="14" t="n">
        <f aca="false">G3393-H3393</f>
        <v>-36.31</v>
      </c>
    </row>
    <row r="3394" customFormat="false" ht="15" hidden="false" customHeight="false" outlineLevel="0" collapsed="false">
      <c r="A3394" s="2" t="s">
        <v>184</v>
      </c>
      <c r="B3394" s="2" t="s">
        <v>240</v>
      </c>
      <c r="C3394" s="2" t="s">
        <v>49</v>
      </c>
      <c r="D3394" s="2" t="s">
        <v>12</v>
      </c>
      <c r="E3394" s="2" t="s">
        <v>76</v>
      </c>
      <c r="F3394" s="2" t="s">
        <v>1146</v>
      </c>
      <c r="G3394" s="14" t="n">
        <v>24.5</v>
      </c>
      <c r="H3394" s="14" t="n">
        <v>67.25</v>
      </c>
      <c r="I3394" s="14"/>
      <c r="J3394" s="22" t="n">
        <f aca="false">IF(E3394="Priority",'Cost model'!N186,'Cost model'!M186)</f>
        <v>55</v>
      </c>
      <c r="K3394" s="14" t="n">
        <f aca="false">J3394-H3394</f>
        <v>-12.25</v>
      </c>
      <c r="L3394" s="14" t="n">
        <f aca="false">G3394-H3394</f>
        <v>-42.75</v>
      </c>
    </row>
    <row r="3395" customFormat="false" ht="15" hidden="false" customHeight="false" outlineLevel="0" collapsed="false">
      <c r="A3395" s="2" t="s">
        <v>240</v>
      </c>
      <c r="B3395" s="2" t="s">
        <v>240</v>
      </c>
      <c r="C3395" s="2" t="s">
        <v>48</v>
      </c>
      <c r="D3395" s="2" t="s">
        <v>12</v>
      </c>
      <c r="E3395" s="2" t="s">
        <v>85</v>
      </c>
      <c r="F3395" s="2" t="s">
        <v>1145</v>
      </c>
      <c r="G3395" s="14" t="n">
        <v>19.5</v>
      </c>
      <c r="H3395" s="14" t="n">
        <v>15.95</v>
      </c>
      <c r="I3395" s="14" t="n">
        <v>19.5</v>
      </c>
      <c r="J3395" s="22" t="n">
        <f aca="false">IF(E3395="Priority",'Cost model'!N887,'Cost model'!M887)</f>
        <v>27.5</v>
      </c>
      <c r="K3395" s="14" t="n">
        <f aca="false">J3395-H3395</f>
        <v>11.55</v>
      </c>
      <c r="L3395" s="14" t="n">
        <f aca="false">G3395-H3395</f>
        <v>3.55</v>
      </c>
    </row>
    <row r="3396" customFormat="false" ht="15" hidden="false" customHeight="false" outlineLevel="0" collapsed="false">
      <c r="A3396" s="2" t="s">
        <v>240</v>
      </c>
      <c r="B3396" s="2" t="s">
        <v>240</v>
      </c>
      <c r="C3396" s="2" t="s">
        <v>50</v>
      </c>
      <c r="D3396" s="2" t="s">
        <v>10</v>
      </c>
      <c r="E3396" s="2" t="s">
        <v>76</v>
      </c>
      <c r="F3396" s="2" t="s">
        <v>1145</v>
      </c>
      <c r="G3396" s="14" t="n">
        <v>17.5</v>
      </c>
      <c r="H3396" s="14" t="n">
        <v>21.6</v>
      </c>
      <c r="I3396" s="14" t="n">
        <v>17.5</v>
      </c>
      <c r="J3396" s="22" t="n">
        <f aca="false">IF(E3396="Priority",'Cost model'!N886,'Cost model'!M886)</f>
        <v>17.5</v>
      </c>
      <c r="K3396" s="14" t="n">
        <f aca="false">J3396-H3396</f>
        <v>-4.1</v>
      </c>
      <c r="L3396" s="14" t="n">
        <f aca="false">G3396-H3396</f>
        <v>-4.1</v>
      </c>
    </row>
    <row r="3397" customFormat="false" ht="15" hidden="false" customHeight="false" outlineLevel="0" collapsed="false">
      <c r="A3397" s="2" t="s">
        <v>184</v>
      </c>
      <c r="B3397" s="2" t="s">
        <v>184</v>
      </c>
      <c r="C3397" s="2" t="s">
        <v>49</v>
      </c>
      <c r="D3397" s="2" t="s">
        <v>10</v>
      </c>
      <c r="E3397" s="2" t="s">
        <v>85</v>
      </c>
      <c r="F3397" s="2" t="s">
        <v>1145</v>
      </c>
      <c r="G3397" s="14" t="n">
        <v>17.5</v>
      </c>
      <c r="H3397" s="14" t="n">
        <v>21.34</v>
      </c>
      <c r="I3397" s="14" t="n">
        <v>17.5</v>
      </c>
      <c r="J3397" s="22" t="n">
        <f aca="false">IF(E3397="Priority",'Cost model'!N201,'Cost model'!M201)</f>
        <v>17.5</v>
      </c>
      <c r="K3397" s="14" t="n">
        <f aca="false">J3397-H3397</f>
        <v>-3.84</v>
      </c>
      <c r="L3397" s="14" t="n">
        <f aca="false">G3397-H3397</f>
        <v>-3.84</v>
      </c>
    </row>
    <row r="3398" customFormat="false" ht="15" hidden="false" customHeight="false" outlineLevel="0" collapsed="false">
      <c r="A3398" s="2" t="s">
        <v>240</v>
      </c>
      <c r="B3398" s="2" t="s">
        <v>240</v>
      </c>
      <c r="C3398" s="2" t="s">
        <v>48</v>
      </c>
      <c r="D3398" s="2" t="s">
        <v>12</v>
      </c>
      <c r="E3398" s="2" t="s">
        <v>76</v>
      </c>
      <c r="F3398" s="2" t="s">
        <v>1145</v>
      </c>
      <c r="G3398" s="14" t="n">
        <v>9.5</v>
      </c>
      <c r="H3398" s="14" t="n">
        <v>7.15</v>
      </c>
      <c r="I3398" s="14" t="n">
        <v>9.5</v>
      </c>
      <c r="J3398" s="22" t="n">
        <f aca="false">IF(E3398="Priority",'Cost model'!N887,'Cost model'!M887)</f>
        <v>21.5</v>
      </c>
      <c r="K3398" s="14" t="n">
        <f aca="false">J3398-H3398</f>
        <v>14.35</v>
      </c>
      <c r="L3398" s="14" t="n">
        <f aca="false">G3398-H3398</f>
        <v>2.35</v>
      </c>
    </row>
    <row r="3399" customFormat="false" ht="15" hidden="false" customHeight="false" outlineLevel="0" collapsed="false">
      <c r="A3399" s="2" t="s">
        <v>240</v>
      </c>
      <c r="B3399" s="2" t="s">
        <v>240</v>
      </c>
      <c r="C3399" s="2" t="s">
        <v>48</v>
      </c>
      <c r="D3399" s="2" t="s">
        <v>12</v>
      </c>
      <c r="E3399" s="2" t="s">
        <v>76</v>
      </c>
      <c r="F3399" s="2" t="s">
        <v>1145</v>
      </c>
      <c r="G3399" s="14" t="n">
        <v>9.5</v>
      </c>
      <c r="H3399" s="14" t="n">
        <v>16.06</v>
      </c>
      <c r="I3399" s="14" t="n">
        <v>9.5</v>
      </c>
      <c r="J3399" s="22" t="n">
        <f aca="false">IF(E3399="Priority",'Cost model'!N887,'Cost model'!M887)</f>
        <v>21.5</v>
      </c>
      <c r="K3399" s="14" t="n">
        <f aca="false">J3399-H3399</f>
        <v>5.44</v>
      </c>
      <c r="L3399" s="14" t="n">
        <f aca="false">G3399-H3399</f>
        <v>-6.56</v>
      </c>
    </row>
    <row r="3400" customFormat="false" ht="15" hidden="false" customHeight="false" outlineLevel="0" collapsed="false">
      <c r="A3400" s="2" t="s">
        <v>126</v>
      </c>
      <c r="B3400" s="2" t="s">
        <v>126</v>
      </c>
      <c r="C3400" s="2" t="s">
        <v>50</v>
      </c>
      <c r="D3400" s="2" t="s">
        <v>12</v>
      </c>
      <c r="E3400" s="2" t="s">
        <v>85</v>
      </c>
      <c r="F3400" s="2" t="s">
        <v>1145</v>
      </c>
      <c r="G3400" s="14" t="n">
        <v>29.5</v>
      </c>
      <c r="H3400" s="14" t="n">
        <v>29.29</v>
      </c>
      <c r="I3400" s="14" t="n">
        <v>29.5</v>
      </c>
      <c r="J3400" s="22" t="n">
        <f aca="false">IF(E3400="Priority",'Cost model'!N385,'Cost model'!M385)</f>
        <v>70</v>
      </c>
      <c r="K3400" s="14" t="n">
        <f aca="false">J3400-H3400</f>
        <v>40.71</v>
      </c>
      <c r="L3400" s="14" t="n">
        <f aca="false">G3400-H3400</f>
        <v>0.210000000000001</v>
      </c>
    </row>
    <row r="3401" customFormat="false" ht="15" hidden="false" customHeight="false" outlineLevel="0" collapsed="false">
      <c r="A3401" s="2" t="s">
        <v>184</v>
      </c>
      <c r="B3401" s="2" t="s">
        <v>184</v>
      </c>
      <c r="C3401" s="2" t="s">
        <v>50</v>
      </c>
      <c r="D3401" s="2" t="s">
        <v>12</v>
      </c>
      <c r="E3401" s="2" t="s">
        <v>76</v>
      </c>
      <c r="F3401" s="2" t="s">
        <v>1145</v>
      </c>
      <c r="G3401" s="14" t="n">
        <v>19.5</v>
      </c>
      <c r="H3401" s="14" t="n">
        <v>51.8</v>
      </c>
      <c r="I3401" s="14" t="n">
        <v>19.5</v>
      </c>
      <c r="J3401" s="22" t="n">
        <f aca="false">IF(E3401="Priority",'Cost model'!N205,'Cost model'!M205)</f>
        <v>50</v>
      </c>
      <c r="K3401" s="14" t="n">
        <f aca="false">J3401-H3401</f>
        <v>-1.8</v>
      </c>
      <c r="L3401" s="14" t="n">
        <f aca="false">G3401-H3401</f>
        <v>-32.3</v>
      </c>
    </row>
    <row r="3402" customFormat="false" ht="15" hidden="false" customHeight="false" outlineLevel="0" collapsed="false">
      <c r="A3402" s="2" t="s">
        <v>184</v>
      </c>
      <c r="B3402" s="2" t="s">
        <v>184</v>
      </c>
      <c r="C3402" s="2" t="s">
        <v>48</v>
      </c>
      <c r="D3402" s="2" t="s">
        <v>10</v>
      </c>
      <c r="E3402" s="2" t="s">
        <v>85</v>
      </c>
      <c r="F3402" s="2" t="s">
        <v>1145</v>
      </c>
      <c r="G3402" s="14" t="n">
        <v>14.5</v>
      </c>
      <c r="H3402" s="14" t="n">
        <v>7.46</v>
      </c>
      <c r="I3402" s="14" t="n">
        <v>14.5</v>
      </c>
      <c r="J3402" s="22" t="n">
        <f aca="false">IF(E3402="Priority",'Cost model'!N200,'Cost model'!M200)</f>
        <v>12.5</v>
      </c>
      <c r="K3402" s="14" t="n">
        <f aca="false">J3402-H3402</f>
        <v>5.04</v>
      </c>
      <c r="L3402" s="14" t="n">
        <f aca="false">G3402-H3402</f>
        <v>7.04</v>
      </c>
    </row>
    <row r="3403" customFormat="false" ht="15" hidden="false" customHeight="false" outlineLevel="0" collapsed="false">
      <c r="A3403" s="2" t="s">
        <v>184</v>
      </c>
      <c r="B3403" s="2" t="s">
        <v>184</v>
      </c>
      <c r="C3403" s="2" t="s">
        <v>49</v>
      </c>
      <c r="D3403" s="2" t="s">
        <v>12</v>
      </c>
      <c r="E3403" s="2" t="s">
        <v>76</v>
      </c>
      <c r="F3403" s="2" t="s">
        <v>1145</v>
      </c>
      <c r="G3403" s="14" t="n">
        <v>12.5</v>
      </c>
      <c r="H3403" s="14" t="n">
        <v>43.25</v>
      </c>
      <c r="I3403" s="14"/>
      <c r="J3403" s="22" t="n">
        <f aca="false">IF(E3403="Priority",'Cost model'!N204,'Cost model'!M204)</f>
        <v>45</v>
      </c>
      <c r="K3403" s="14" t="n">
        <f aca="false">J3403-H3403</f>
        <v>1.75</v>
      </c>
      <c r="L3403" s="14" t="n">
        <f aca="false">G3403-H3403</f>
        <v>-30.75</v>
      </c>
    </row>
    <row r="3404" customFormat="false" ht="15" hidden="false" customHeight="false" outlineLevel="0" collapsed="false">
      <c r="A3404" s="2" t="s">
        <v>240</v>
      </c>
      <c r="B3404" s="2" t="s">
        <v>146</v>
      </c>
      <c r="C3404" s="2" t="s">
        <v>48</v>
      </c>
      <c r="D3404" s="2" t="s">
        <v>10</v>
      </c>
      <c r="E3404" s="2" t="s">
        <v>76</v>
      </c>
      <c r="F3404" s="2" t="s">
        <v>1146</v>
      </c>
      <c r="G3404" s="14" t="n">
        <v>19.5</v>
      </c>
      <c r="H3404" s="14" t="n">
        <v>20.83</v>
      </c>
      <c r="I3404" s="14" t="n">
        <v>19.5</v>
      </c>
      <c r="J3404" s="22" t="n">
        <f aca="false">IF(E3404="Priority",'Cost model'!N920,'Cost model'!M920)</f>
        <v>16.5</v>
      </c>
      <c r="K3404" s="14" t="n">
        <f aca="false">J3404-H3404</f>
        <v>-4.33</v>
      </c>
      <c r="L3404" s="14" t="n">
        <f aca="false">G3404-H3404</f>
        <v>-1.33</v>
      </c>
    </row>
    <row r="3405" customFormat="false" ht="15" hidden="false" customHeight="false" outlineLevel="0" collapsed="false">
      <c r="A3405" s="2" t="s">
        <v>146</v>
      </c>
      <c r="B3405" s="2" t="s">
        <v>146</v>
      </c>
      <c r="C3405" s="2" t="s">
        <v>48</v>
      </c>
      <c r="D3405" s="2" t="s">
        <v>10</v>
      </c>
      <c r="E3405" s="2" t="s">
        <v>76</v>
      </c>
      <c r="F3405" s="2" t="s">
        <v>1145</v>
      </c>
      <c r="G3405" s="14" t="n">
        <v>19.5</v>
      </c>
      <c r="H3405" s="14" t="n">
        <v>23.58</v>
      </c>
      <c r="I3405" s="14" t="n">
        <v>9.5</v>
      </c>
      <c r="J3405" s="22" t="n">
        <f aca="false">IF(E3405="Priority",'Cost model'!N758,'Cost model'!M758)</f>
        <v>9.5</v>
      </c>
      <c r="K3405" s="14" t="n">
        <f aca="false">J3405-H3405</f>
        <v>-14.08</v>
      </c>
      <c r="L3405" s="14" t="n">
        <f aca="false">G3405-H3405</f>
        <v>-4.08</v>
      </c>
    </row>
    <row r="3406" customFormat="false" ht="15" hidden="false" customHeight="false" outlineLevel="0" collapsed="false">
      <c r="A3406" s="2" t="s">
        <v>240</v>
      </c>
      <c r="B3406" s="2" t="s">
        <v>165</v>
      </c>
      <c r="C3406" s="2" t="s">
        <v>49</v>
      </c>
      <c r="D3406" s="2" t="s">
        <v>10</v>
      </c>
      <c r="E3406" s="2" t="s">
        <v>76</v>
      </c>
      <c r="F3406" s="2" t="s">
        <v>1146</v>
      </c>
      <c r="G3406" s="14" t="n">
        <v>12.5</v>
      </c>
      <c r="H3406" s="14" t="n">
        <v>14.83</v>
      </c>
      <c r="I3406" s="14" t="n">
        <v>14.5</v>
      </c>
      <c r="J3406" s="22" t="n">
        <f aca="false">IF(E3406="Priority",'Cost model'!N903,'Cost model'!M903)</f>
        <v>16.5</v>
      </c>
      <c r="K3406" s="14" t="n">
        <f aca="false">J3406-H3406</f>
        <v>1.67</v>
      </c>
      <c r="L3406" s="14" t="n">
        <f aca="false">G3406-H3406</f>
        <v>-2.33</v>
      </c>
    </row>
    <row r="3407" customFormat="false" ht="15" hidden="false" customHeight="false" outlineLevel="0" collapsed="false">
      <c r="A3407" s="2" t="s">
        <v>165</v>
      </c>
      <c r="B3407" s="2" t="s">
        <v>146</v>
      </c>
      <c r="C3407" s="2" t="s">
        <v>48</v>
      </c>
      <c r="D3407" s="2" t="s">
        <v>14</v>
      </c>
      <c r="E3407" s="2" t="s">
        <v>76</v>
      </c>
      <c r="F3407" s="2" t="s">
        <v>1146</v>
      </c>
      <c r="G3407" s="14" t="n">
        <v>25</v>
      </c>
      <c r="H3407" s="14" t="n">
        <v>85.78</v>
      </c>
      <c r="I3407" s="14" t="n">
        <v>85</v>
      </c>
      <c r="J3407" s="22" t="n">
        <f aca="false">IF(E3407="Priority",'Cost model'!N533,'Cost model'!M533)</f>
        <v>135</v>
      </c>
      <c r="K3407" s="14" t="n">
        <f aca="false">J3407-H3407</f>
        <v>49.22</v>
      </c>
      <c r="L3407" s="14" t="n">
        <f aca="false">G3407-H3407</f>
        <v>-60.78</v>
      </c>
    </row>
    <row r="3408" customFormat="false" ht="15" hidden="false" customHeight="false" outlineLevel="0" collapsed="false">
      <c r="A3408" s="2" t="s">
        <v>184</v>
      </c>
      <c r="B3408" s="2" t="s">
        <v>146</v>
      </c>
      <c r="C3408" s="2" t="s">
        <v>48</v>
      </c>
      <c r="D3408" s="2" t="s">
        <v>12</v>
      </c>
      <c r="E3408" s="2" t="s">
        <v>85</v>
      </c>
      <c r="F3408" s="2" t="s">
        <v>1146</v>
      </c>
      <c r="G3408" s="14" t="n">
        <v>19.5</v>
      </c>
      <c r="H3408" s="14" t="n">
        <v>43.25</v>
      </c>
      <c r="I3408" s="14" t="n">
        <v>19.5</v>
      </c>
      <c r="J3408" s="22" t="n">
        <f aca="false">IF(E3408="Priority",'Cost model'!N149,'Cost model'!M149)</f>
        <v>60</v>
      </c>
      <c r="K3408" s="14" t="n">
        <f aca="false">J3408-H3408</f>
        <v>16.75</v>
      </c>
      <c r="L3408" s="14" t="n">
        <f aca="false">G3408-H3408</f>
        <v>-23.75</v>
      </c>
    </row>
    <row r="3409" customFormat="false" ht="15" hidden="false" customHeight="false" outlineLevel="0" collapsed="false">
      <c r="A3409" s="2" t="s">
        <v>184</v>
      </c>
      <c r="B3409" s="2" t="s">
        <v>184</v>
      </c>
      <c r="C3409" s="2" t="s">
        <v>48</v>
      </c>
      <c r="D3409" s="2" t="s">
        <v>12</v>
      </c>
      <c r="E3409" s="2" t="s">
        <v>76</v>
      </c>
      <c r="F3409" s="2" t="s">
        <v>1145</v>
      </c>
      <c r="G3409" s="14" t="n">
        <v>9.5</v>
      </c>
      <c r="H3409" s="14" t="n">
        <v>42.23</v>
      </c>
      <c r="I3409" s="14" t="n">
        <v>9.5</v>
      </c>
      <c r="J3409" s="22" t="n">
        <f aca="false">IF(E3409="Priority",'Cost model'!N203,'Cost model'!M203)</f>
        <v>26.5</v>
      </c>
      <c r="K3409" s="14" t="n">
        <f aca="false">J3409-H3409</f>
        <v>-15.73</v>
      </c>
      <c r="L3409" s="14" t="n">
        <f aca="false">G3409-H3409</f>
        <v>-32.73</v>
      </c>
    </row>
    <row r="3410" customFormat="false" ht="15" hidden="false" customHeight="false" outlineLevel="0" collapsed="false">
      <c r="A3410" s="2" t="s">
        <v>126</v>
      </c>
      <c r="B3410" s="2" t="s">
        <v>126</v>
      </c>
      <c r="C3410" s="2" t="s">
        <v>49</v>
      </c>
      <c r="D3410" s="2" t="s">
        <v>10</v>
      </c>
      <c r="E3410" s="2" t="s">
        <v>76</v>
      </c>
      <c r="F3410" s="2" t="s">
        <v>1145</v>
      </c>
      <c r="G3410" s="14" t="n">
        <v>12.5</v>
      </c>
      <c r="H3410" s="14" t="n">
        <v>14.39</v>
      </c>
      <c r="I3410" s="14" t="n">
        <v>12.5</v>
      </c>
      <c r="J3410" s="22" t="n">
        <f aca="false">IF(E3410="Priority",'Cost model'!N381,'Cost model'!M381)</f>
        <v>14.5</v>
      </c>
      <c r="K3410" s="14" t="n">
        <f aca="false">J3410-H3410</f>
        <v>0.109999999999999</v>
      </c>
      <c r="L3410" s="14" t="n">
        <f aca="false">G3410-H3410</f>
        <v>-1.89</v>
      </c>
    </row>
    <row r="3411" customFormat="false" ht="15" hidden="false" customHeight="false" outlineLevel="0" collapsed="false">
      <c r="A3411" s="2" t="s">
        <v>184</v>
      </c>
      <c r="B3411" s="2" t="s">
        <v>184</v>
      </c>
      <c r="C3411" s="2" t="s">
        <v>48</v>
      </c>
      <c r="D3411" s="2" t="s">
        <v>12</v>
      </c>
      <c r="E3411" s="2" t="s">
        <v>76</v>
      </c>
      <c r="F3411" s="2" t="s">
        <v>1145</v>
      </c>
      <c r="G3411" s="14" t="n">
        <v>9.5</v>
      </c>
      <c r="H3411" s="14" t="n">
        <v>8.55</v>
      </c>
      <c r="I3411" s="14" t="n">
        <v>9.5</v>
      </c>
      <c r="J3411" s="22" t="n">
        <f aca="false">IF(E3411="Priority",'Cost model'!N203,'Cost model'!M203)</f>
        <v>26.5</v>
      </c>
      <c r="K3411" s="14" t="n">
        <f aca="false">J3411-H3411</f>
        <v>17.95</v>
      </c>
      <c r="L3411" s="14" t="n">
        <f aca="false">G3411-H3411</f>
        <v>0.949999999999999</v>
      </c>
    </row>
    <row r="3412" customFormat="false" ht="15" hidden="false" customHeight="false" outlineLevel="0" collapsed="false">
      <c r="A3412" s="2" t="s">
        <v>126</v>
      </c>
      <c r="B3412" s="2" t="s">
        <v>126</v>
      </c>
      <c r="C3412" s="2" t="s">
        <v>49</v>
      </c>
      <c r="D3412" s="2" t="s">
        <v>12</v>
      </c>
      <c r="E3412" s="2" t="s">
        <v>85</v>
      </c>
      <c r="F3412" s="2" t="s">
        <v>1145</v>
      </c>
      <c r="G3412" s="14" t="n">
        <v>19.5</v>
      </c>
      <c r="H3412" s="14" t="n">
        <v>41.77</v>
      </c>
      <c r="I3412" s="14" t="n">
        <v>19.5</v>
      </c>
      <c r="J3412" s="22" t="n">
        <f aca="false">IF(E3412="Priority",'Cost model'!N384,'Cost model'!M384)</f>
        <v>60</v>
      </c>
      <c r="K3412" s="14" t="n">
        <f aca="false">J3412-H3412</f>
        <v>18.23</v>
      </c>
      <c r="L3412" s="14" t="n">
        <f aca="false">G3412-H3412</f>
        <v>-22.27</v>
      </c>
    </row>
    <row r="3413" customFormat="false" ht="15" hidden="false" customHeight="false" outlineLevel="0" collapsed="false">
      <c r="A3413" s="2" t="s">
        <v>165</v>
      </c>
      <c r="B3413" s="2" t="s">
        <v>165</v>
      </c>
      <c r="C3413" s="2" t="s">
        <v>48</v>
      </c>
      <c r="D3413" s="2" t="s">
        <v>10</v>
      </c>
      <c r="E3413" s="2" t="s">
        <v>76</v>
      </c>
      <c r="F3413" s="2" t="s">
        <v>1145</v>
      </c>
      <c r="G3413" s="14" t="n">
        <v>9.5</v>
      </c>
      <c r="H3413" s="14" t="n">
        <v>5.27</v>
      </c>
      <c r="I3413" s="14" t="n">
        <v>9.5</v>
      </c>
      <c r="J3413" s="22" t="n">
        <f aca="false">IF(E3413="Priority",'Cost model'!N506,'Cost model'!M506)</f>
        <v>7.5</v>
      </c>
      <c r="K3413" s="14" t="n">
        <f aca="false">J3413-H3413</f>
        <v>2.23</v>
      </c>
      <c r="L3413" s="14" t="n">
        <f aca="false">G3413-H3413</f>
        <v>4.23</v>
      </c>
    </row>
    <row r="3414" customFormat="false" ht="15" hidden="false" customHeight="false" outlineLevel="0" collapsed="false">
      <c r="A3414" s="2" t="s">
        <v>184</v>
      </c>
      <c r="B3414" s="2" t="s">
        <v>184</v>
      </c>
      <c r="C3414" s="2" t="s">
        <v>49</v>
      </c>
      <c r="D3414" s="2" t="s">
        <v>10</v>
      </c>
      <c r="E3414" s="2" t="s">
        <v>76</v>
      </c>
      <c r="F3414" s="2" t="s">
        <v>1145</v>
      </c>
      <c r="G3414" s="14" t="n">
        <v>12.5</v>
      </c>
      <c r="H3414" s="14" t="n">
        <v>19.56</v>
      </c>
      <c r="I3414" s="14"/>
      <c r="J3414" s="22" t="n">
        <f aca="false">IF(E3414="Priority",'Cost model'!N201,'Cost model'!M201)</f>
        <v>12.5</v>
      </c>
      <c r="K3414" s="14" t="n">
        <f aca="false">J3414-H3414</f>
        <v>-7.06</v>
      </c>
      <c r="L3414" s="14" t="n">
        <f aca="false">G3414-H3414</f>
        <v>-7.06</v>
      </c>
    </row>
    <row r="3415" customFormat="false" ht="15" hidden="false" customHeight="false" outlineLevel="0" collapsed="false">
      <c r="A3415" s="2" t="s">
        <v>126</v>
      </c>
      <c r="B3415" s="2" t="s">
        <v>126</v>
      </c>
      <c r="C3415" s="2" t="s">
        <v>50</v>
      </c>
      <c r="D3415" s="2" t="s">
        <v>13</v>
      </c>
      <c r="E3415" s="2" t="s">
        <v>85</v>
      </c>
      <c r="F3415" s="2" t="s">
        <v>1145</v>
      </c>
      <c r="G3415" s="14" t="n">
        <v>95</v>
      </c>
      <c r="H3415" s="14" t="n">
        <v>81</v>
      </c>
      <c r="I3415" s="14" t="n">
        <v>95</v>
      </c>
      <c r="J3415" s="22" t="n">
        <f aca="false">IF(E3415="Priority",'Cost model'!N388,'Cost model'!M388)</f>
        <v>150</v>
      </c>
      <c r="K3415" s="14" t="n">
        <f aca="false">J3415-H3415</f>
        <v>69</v>
      </c>
      <c r="L3415" s="14" t="n">
        <f aca="false">G3415-H3415</f>
        <v>14</v>
      </c>
    </row>
    <row r="3416" customFormat="false" ht="15" hidden="false" customHeight="false" outlineLevel="0" collapsed="false">
      <c r="A3416" s="2" t="s">
        <v>125</v>
      </c>
      <c r="B3416" s="2" t="s">
        <v>184</v>
      </c>
      <c r="C3416" s="2" t="s">
        <v>48</v>
      </c>
      <c r="D3416" s="2" t="s">
        <v>10</v>
      </c>
      <c r="E3416" s="2" t="s">
        <v>76</v>
      </c>
      <c r="F3416" s="2" t="s">
        <v>1146</v>
      </c>
      <c r="G3416" s="14" t="n">
        <v>14.5</v>
      </c>
      <c r="H3416" s="14" t="n">
        <v>12.27</v>
      </c>
      <c r="I3416" s="14" t="n">
        <v>14.5</v>
      </c>
      <c r="J3416" s="22" t="n">
        <f aca="false">IF(E3416="Priority",'Cost model'!N56,'Cost model'!M56)</f>
        <v>11.5</v>
      </c>
      <c r="K3416" s="14" t="n">
        <f aca="false">J3416-H3416</f>
        <v>-0.77</v>
      </c>
      <c r="L3416" s="14" t="n">
        <f aca="false">G3416-H3416</f>
        <v>2.23</v>
      </c>
    </row>
    <row r="3417" customFormat="false" ht="15" hidden="false" customHeight="false" outlineLevel="0" collapsed="false">
      <c r="A3417" s="2" t="s">
        <v>146</v>
      </c>
      <c r="B3417" s="2" t="s">
        <v>125</v>
      </c>
      <c r="C3417" s="2" t="s">
        <v>49</v>
      </c>
      <c r="D3417" s="2" t="s">
        <v>12</v>
      </c>
      <c r="E3417" s="2" t="s">
        <v>76</v>
      </c>
      <c r="F3417" s="2" t="s">
        <v>1146</v>
      </c>
      <c r="G3417" s="14" t="n">
        <v>12.5</v>
      </c>
      <c r="H3417" s="14" t="n">
        <v>37.28</v>
      </c>
      <c r="I3417" s="14" t="n">
        <v>24.5</v>
      </c>
      <c r="J3417" s="22" t="n">
        <f aca="false">IF(E3417="Priority",'Cost model'!N870,'Cost model'!M870)</f>
        <v>50</v>
      </c>
      <c r="K3417" s="14" t="n">
        <f aca="false">J3417-H3417</f>
        <v>12.72</v>
      </c>
      <c r="L3417" s="14" t="n">
        <f aca="false">G3417-H3417</f>
        <v>-24.78</v>
      </c>
    </row>
    <row r="3418" customFormat="false" ht="15" hidden="false" customHeight="false" outlineLevel="0" collapsed="false">
      <c r="A3418" s="2" t="s">
        <v>184</v>
      </c>
      <c r="B3418" s="2" t="s">
        <v>146</v>
      </c>
      <c r="C3418" s="2" t="s">
        <v>50</v>
      </c>
      <c r="D3418" s="2" t="s">
        <v>13</v>
      </c>
      <c r="E3418" s="2" t="s">
        <v>76</v>
      </c>
      <c r="F3418" s="2" t="s">
        <v>1146</v>
      </c>
      <c r="G3418" s="14" t="n">
        <v>85</v>
      </c>
      <c r="H3418" s="14" t="n">
        <v>172.12</v>
      </c>
      <c r="I3418" s="14" t="n">
        <v>50</v>
      </c>
      <c r="J3418" s="22" t="n">
        <f aca="false">IF(E3418="Priority",'Cost model'!N154,'Cost model'!M154)</f>
        <v>130</v>
      </c>
      <c r="K3418" s="14" t="n">
        <f aca="false">J3418-H3418</f>
        <v>-42.12</v>
      </c>
      <c r="L3418" s="14" t="n">
        <f aca="false">G3418-H3418</f>
        <v>-87.12</v>
      </c>
    </row>
    <row r="3419" customFormat="false" ht="15" hidden="false" customHeight="false" outlineLevel="0" collapsed="false">
      <c r="A3419" s="2" t="s">
        <v>146</v>
      </c>
      <c r="B3419" s="2" t="s">
        <v>146</v>
      </c>
      <c r="C3419" s="2" t="s">
        <v>50</v>
      </c>
      <c r="D3419" s="2" t="s">
        <v>10</v>
      </c>
      <c r="E3419" s="2" t="s">
        <v>85</v>
      </c>
      <c r="F3419" s="2" t="s">
        <v>1145</v>
      </c>
      <c r="G3419" s="14" t="n">
        <v>24.5</v>
      </c>
      <c r="H3419" s="14" t="n">
        <v>23.58</v>
      </c>
      <c r="I3419" s="14" t="n">
        <v>24.5</v>
      </c>
      <c r="J3419" s="22" t="n">
        <f aca="false">IF(E3419="Priority",'Cost model'!N760,'Cost model'!M760)</f>
        <v>25.5</v>
      </c>
      <c r="K3419" s="14" t="n">
        <f aca="false">J3419-H3419</f>
        <v>1.92</v>
      </c>
      <c r="L3419" s="14" t="n">
        <f aca="false">G3419-H3419</f>
        <v>0.920000000000002</v>
      </c>
    </row>
    <row r="3420" customFormat="false" ht="15" hidden="false" customHeight="false" outlineLevel="0" collapsed="false">
      <c r="A3420" s="2" t="s">
        <v>126</v>
      </c>
      <c r="B3420" s="2" t="s">
        <v>126</v>
      </c>
      <c r="C3420" s="2" t="s">
        <v>48</v>
      </c>
      <c r="D3420" s="2" t="s">
        <v>10</v>
      </c>
      <c r="E3420" s="2" t="s">
        <v>76</v>
      </c>
      <c r="F3420" s="2" t="s">
        <v>1145</v>
      </c>
      <c r="G3420" s="14" t="n">
        <v>9.5</v>
      </c>
      <c r="H3420" s="14" t="n">
        <v>7.45</v>
      </c>
      <c r="I3420" s="14" t="n">
        <v>9.5</v>
      </c>
      <c r="J3420" s="22" t="n">
        <f aca="false">IF(E3420="Priority",'Cost model'!N380,'Cost model'!M380)</f>
        <v>8.5</v>
      </c>
      <c r="K3420" s="14" t="n">
        <f aca="false">J3420-H3420</f>
        <v>1.05</v>
      </c>
      <c r="L3420" s="14" t="n">
        <f aca="false">G3420-H3420</f>
        <v>2.05</v>
      </c>
    </row>
    <row r="3421" customFormat="false" ht="15" hidden="false" customHeight="false" outlineLevel="0" collapsed="false">
      <c r="A3421" s="2" t="s">
        <v>240</v>
      </c>
      <c r="B3421" s="2" t="s">
        <v>165</v>
      </c>
      <c r="C3421" s="2" t="s">
        <v>48</v>
      </c>
      <c r="D3421" s="2" t="s">
        <v>12</v>
      </c>
      <c r="E3421" s="2" t="s">
        <v>85</v>
      </c>
      <c r="F3421" s="2" t="s">
        <v>1146</v>
      </c>
      <c r="G3421" s="14" t="n">
        <v>24.5</v>
      </c>
      <c r="H3421" s="14" t="n">
        <v>44.35</v>
      </c>
      <c r="I3421" s="14" t="n">
        <v>24.5</v>
      </c>
      <c r="J3421" s="22" t="n">
        <f aca="false">IF(E3421="Priority",'Cost model'!N905,'Cost model'!M905)</f>
        <v>65</v>
      </c>
      <c r="K3421" s="14" t="n">
        <f aca="false">J3421-H3421</f>
        <v>20.65</v>
      </c>
      <c r="L3421" s="14" t="n">
        <f aca="false">G3421-H3421</f>
        <v>-19.85</v>
      </c>
    </row>
    <row r="3422" customFormat="false" ht="15" hidden="false" customHeight="false" outlineLevel="0" collapsed="false">
      <c r="A3422" s="2" t="s">
        <v>184</v>
      </c>
      <c r="B3422" s="2" t="s">
        <v>184</v>
      </c>
      <c r="C3422" s="2" t="s">
        <v>48</v>
      </c>
      <c r="D3422" s="2" t="s">
        <v>10</v>
      </c>
      <c r="E3422" s="2" t="s">
        <v>76</v>
      </c>
      <c r="F3422" s="2" t="s">
        <v>1145</v>
      </c>
      <c r="G3422" s="14" t="n">
        <v>9.5</v>
      </c>
      <c r="H3422" s="14" t="n">
        <v>7.72</v>
      </c>
      <c r="I3422" s="14" t="n">
        <v>9.5</v>
      </c>
      <c r="J3422" s="22" t="n">
        <f aca="false">IF(E3422="Priority",'Cost model'!N200,'Cost model'!M200)</f>
        <v>7.5</v>
      </c>
      <c r="K3422" s="14" t="n">
        <f aca="false">J3422-H3422</f>
        <v>-0.22</v>
      </c>
      <c r="L3422" s="14" t="n">
        <f aca="false">G3422-H3422</f>
        <v>1.78</v>
      </c>
    </row>
    <row r="3423" customFormat="false" ht="15" hidden="false" customHeight="false" outlineLevel="0" collapsed="false">
      <c r="A3423" s="2" t="s">
        <v>126</v>
      </c>
      <c r="B3423" s="2" t="s">
        <v>126</v>
      </c>
      <c r="C3423" s="2" t="s">
        <v>50</v>
      </c>
      <c r="D3423" s="2" t="s">
        <v>10</v>
      </c>
      <c r="E3423" s="2" t="s">
        <v>76</v>
      </c>
      <c r="F3423" s="2" t="s">
        <v>1145</v>
      </c>
      <c r="G3423" s="14" t="n">
        <v>17.5</v>
      </c>
      <c r="H3423" s="14" t="n">
        <v>10.26</v>
      </c>
      <c r="I3423" s="14" t="n">
        <v>17.5</v>
      </c>
      <c r="J3423" s="22" t="n">
        <f aca="false">IF(E3423="Priority",'Cost model'!N382,'Cost model'!M382)</f>
        <v>18.5</v>
      </c>
      <c r="K3423" s="14" t="n">
        <f aca="false">J3423-H3423</f>
        <v>8.24</v>
      </c>
      <c r="L3423" s="14" t="n">
        <f aca="false">G3423-H3423</f>
        <v>7.24</v>
      </c>
    </row>
    <row r="3424" customFormat="false" ht="15" hidden="false" customHeight="false" outlineLevel="0" collapsed="false">
      <c r="A3424" s="2" t="s">
        <v>184</v>
      </c>
      <c r="B3424" s="2" t="s">
        <v>184</v>
      </c>
      <c r="C3424" s="2" t="s">
        <v>48</v>
      </c>
      <c r="D3424" s="2" t="s">
        <v>10</v>
      </c>
      <c r="E3424" s="2" t="s">
        <v>85</v>
      </c>
      <c r="F3424" s="2" t="s">
        <v>1145</v>
      </c>
      <c r="G3424" s="14" t="n">
        <v>14.5</v>
      </c>
      <c r="H3424" s="14" t="n">
        <v>7.69</v>
      </c>
      <c r="I3424" s="14" t="n">
        <v>14.5</v>
      </c>
      <c r="J3424" s="22" t="n">
        <f aca="false">IF(E3424="Priority",'Cost model'!N200,'Cost model'!M200)</f>
        <v>12.5</v>
      </c>
      <c r="K3424" s="14" t="n">
        <f aca="false">J3424-H3424</f>
        <v>4.81</v>
      </c>
      <c r="L3424" s="14" t="n">
        <f aca="false">G3424-H3424</f>
        <v>6.81</v>
      </c>
    </row>
    <row r="3425" customFormat="false" ht="15" hidden="false" customHeight="false" outlineLevel="0" collapsed="false">
      <c r="A3425" s="2" t="s">
        <v>146</v>
      </c>
      <c r="B3425" s="2" t="s">
        <v>146</v>
      </c>
      <c r="C3425" s="2" t="s">
        <v>48</v>
      </c>
      <c r="D3425" s="2" t="s">
        <v>12</v>
      </c>
      <c r="E3425" s="2" t="s">
        <v>76</v>
      </c>
      <c r="F3425" s="2" t="s">
        <v>1145</v>
      </c>
      <c r="G3425" s="14" t="n">
        <v>9.5</v>
      </c>
      <c r="H3425" s="14" t="n">
        <v>25.99</v>
      </c>
      <c r="I3425" s="14" t="n">
        <v>9.5</v>
      </c>
      <c r="J3425" s="22" t="n">
        <f aca="false">IF(E3425="Priority",'Cost model'!N761,'Cost model'!M761)</f>
        <v>35</v>
      </c>
      <c r="K3425" s="14" t="n">
        <f aca="false">J3425-H3425</f>
        <v>9.01</v>
      </c>
      <c r="L3425" s="14" t="n">
        <f aca="false">G3425-H3425</f>
        <v>-16.49</v>
      </c>
    </row>
    <row r="3426" customFormat="false" ht="15" hidden="false" customHeight="false" outlineLevel="0" collapsed="false">
      <c r="A3426" s="2" t="s">
        <v>126</v>
      </c>
      <c r="B3426" s="2" t="s">
        <v>126</v>
      </c>
      <c r="C3426" s="2" t="s">
        <v>50</v>
      </c>
      <c r="D3426" s="2" t="s">
        <v>12</v>
      </c>
      <c r="E3426" s="2" t="s">
        <v>85</v>
      </c>
      <c r="F3426" s="2" t="s">
        <v>1145</v>
      </c>
      <c r="G3426" s="14" t="n">
        <v>29.5</v>
      </c>
      <c r="H3426" s="14" t="n">
        <v>46.98</v>
      </c>
      <c r="I3426" s="14" t="n">
        <v>29.5</v>
      </c>
      <c r="J3426" s="22" t="n">
        <f aca="false">IF(E3426="Priority",'Cost model'!N385,'Cost model'!M385)</f>
        <v>70</v>
      </c>
      <c r="K3426" s="14" t="n">
        <f aca="false">J3426-H3426</f>
        <v>23.02</v>
      </c>
      <c r="L3426" s="14" t="n">
        <f aca="false">G3426-H3426</f>
        <v>-17.48</v>
      </c>
    </row>
    <row r="3427" customFormat="false" ht="15" hidden="false" customHeight="false" outlineLevel="0" collapsed="false">
      <c r="A3427" s="2" t="s">
        <v>165</v>
      </c>
      <c r="B3427" s="2" t="s">
        <v>165</v>
      </c>
      <c r="C3427" s="2" t="s">
        <v>50</v>
      </c>
      <c r="D3427" s="2" t="s">
        <v>10</v>
      </c>
      <c r="E3427" s="2" t="s">
        <v>85</v>
      </c>
      <c r="F3427" s="2" t="s">
        <v>1145</v>
      </c>
      <c r="G3427" s="14" t="n">
        <v>24.5</v>
      </c>
      <c r="H3427" s="14" t="n">
        <v>17.69</v>
      </c>
      <c r="I3427" s="14" t="n">
        <v>24.5</v>
      </c>
      <c r="J3427" s="22" t="n">
        <f aca="false">IF(E3427="Priority",'Cost model'!N508,'Cost model'!M508)</f>
        <v>23.5</v>
      </c>
      <c r="K3427" s="14" t="n">
        <f aca="false">J3427-H3427</f>
        <v>5.81</v>
      </c>
      <c r="L3427" s="14" t="n">
        <f aca="false">G3427-H3427</f>
        <v>6.81</v>
      </c>
    </row>
    <row r="3428" customFormat="false" ht="15" hidden="false" customHeight="false" outlineLevel="0" collapsed="false">
      <c r="A3428" s="2" t="s">
        <v>126</v>
      </c>
      <c r="B3428" s="2" t="s">
        <v>126</v>
      </c>
      <c r="C3428" s="2" t="s">
        <v>48</v>
      </c>
      <c r="D3428" s="2" t="s">
        <v>10</v>
      </c>
      <c r="E3428" s="2" t="s">
        <v>76</v>
      </c>
      <c r="F3428" s="2" t="s">
        <v>1145</v>
      </c>
      <c r="G3428" s="14" t="n">
        <v>9.5</v>
      </c>
      <c r="H3428" s="14" t="n">
        <v>10.95</v>
      </c>
      <c r="I3428" s="14" t="n">
        <v>9.5</v>
      </c>
      <c r="J3428" s="22" t="n">
        <f aca="false">IF(E3428="Priority",'Cost model'!N380,'Cost model'!M380)</f>
        <v>8.5</v>
      </c>
      <c r="K3428" s="14" t="n">
        <f aca="false">J3428-H3428</f>
        <v>-2.45</v>
      </c>
      <c r="L3428" s="14" t="n">
        <f aca="false">G3428-H3428</f>
        <v>-1.45</v>
      </c>
    </row>
    <row r="3429" customFormat="false" ht="15" hidden="false" customHeight="false" outlineLevel="0" collapsed="false">
      <c r="A3429" s="2" t="s">
        <v>146</v>
      </c>
      <c r="B3429" s="2" t="s">
        <v>146</v>
      </c>
      <c r="C3429" s="2" t="s">
        <v>48</v>
      </c>
      <c r="D3429" s="2" t="s">
        <v>10</v>
      </c>
      <c r="E3429" s="2" t="s">
        <v>76</v>
      </c>
      <c r="F3429" s="2" t="s">
        <v>1145</v>
      </c>
      <c r="G3429" s="14" t="n">
        <v>9.5</v>
      </c>
      <c r="H3429" s="14" t="n">
        <v>7.34</v>
      </c>
      <c r="I3429" s="14" t="n">
        <v>9.5</v>
      </c>
      <c r="J3429" s="22" t="n">
        <f aca="false">IF(E3429="Priority",'Cost model'!N758,'Cost model'!M758)</f>
        <v>9.5</v>
      </c>
      <c r="K3429" s="14" t="n">
        <f aca="false">J3429-H3429</f>
        <v>2.16</v>
      </c>
      <c r="L3429" s="14" t="n">
        <f aca="false">G3429-H3429</f>
        <v>2.16</v>
      </c>
    </row>
    <row r="3430" customFormat="false" ht="15" hidden="false" customHeight="false" outlineLevel="0" collapsed="false">
      <c r="A3430" s="2" t="s">
        <v>184</v>
      </c>
      <c r="B3430" s="2" t="s">
        <v>146</v>
      </c>
      <c r="C3430" s="2" t="s">
        <v>49</v>
      </c>
      <c r="D3430" s="2" t="s">
        <v>12</v>
      </c>
      <c r="E3430" s="2" t="s">
        <v>76</v>
      </c>
      <c r="F3430" s="2" t="s">
        <v>1146</v>
      </c>
      <c r="G3430" s="14" t="n">
        <v>12.5</v>
      </c>
      <c r="H3430" s="14" t="n">
        <v>48.6</v>
      </c>
      <c r="I3430" s="14"/>
      <c r="J3430" s="22" t="n">
        <f aca="false">IF(E3430="Priority",'Cost model'!N150,'Cost model'!M150)</f>
        <v>55</v>
      </c>
      <c r="K3430" s="14" t="n">
        <f aca="false">J3430-H3430</f>
        <v>6.4</v>
      </c>
      <c r="L3430" s="14" t="n">
        <f aca="false">G3430-H3430</f>
        <v>-36.1</v>
      </c>
    </row>
    <row r="3431" customFormat="false" ht="15" hidden="false" customHeight="false" outlineLevel="0" collapsed="false">
      <c r="A3431" s="2" t="s">
        <v>184</v>
      </c>
      <c r="B3431" s="2" t="s">
        <v>126</v>
      </c>
      <c r="C3431" s="2" t="s">
        <v>49</v>
      </c>
      <c r="D3431" s="2" t="s">
        <v>13</v>
      </c>
      <c r="E3431" s="2" t="s">
        <v>76</v>
      </c>
      <c r="F3431" s="2" t="s">
        <v>1146</v>
      </c>
      <c r="G3431" s="14" t="n">
        <v>24.5</v>
      </c>
      <c r="H3431" s="14" t="n">
        <v>104.4</v>
      </c>
      <c r="I3431" s="14"/>
      <c r="J3431" s="22" t="n">
        <f aca="false">IF(E3431="Priority",'Cost model'!N135,'Cost model'!M135)</f>
        <v>80</v>
      </c>
      <c r="K3431" s="14" t="n">
        <f aca="false">J3431-H3431</f>
        <v>-24.4</v>
      </c>
      <c r="L3431" s="14" t="n">
        <f aca="false">G3431-H3431</f>
        <v>-79.9</v>
      </c>
    </row>
    <row r="3432" customFormat="false" ht="15" hidden="false" customHeight="false" outlineLevel="0" collapsed="false">
      <c r="A3432" s="2" t="s">
        <v>146</v>
      </c>
      <c r="B3432" s="2" t="s">
        <v>126</v>
      </c>
      <c r="C3432" s="2" t="s">
        <v>48</v>
      </c>
      <c r="D3432" s="2" t="s">
        <v>12</v>
      </c>
      <c r="E3432" s="2" t="s">
        <v>76</v>
      </c>
      <c r="F3432" s="2" t="s">
        <v>1146</v>
      </c>
      <c r="G3432" s="14" t="n">
        <v>9.5</v>
      </c>
      <c r="H3432" s="14" t="n">
        <v>9.85</v>
      </c>
      <c r="I3432" s="14" t="n">
        <v>19.5</v>
      </c>
      <c r="J3432" s="22" t="n">
        <f aca="false">IF(E3432="Priority",'Cost model'!N797,'Cost model'!M797)</f>
        <v>40</v>
      </c>
      <c r="K3432" s="14" t="n">
        <f aca="false">J3432-H3432</f>
        <v>30.15</v>
      </c>
      <c r="L3432" s="14" t="n">
        <f aca="false">G3432-H3432</f>
        <v>-0.35</v>
      </c>
    </row>
    <row r="3433" customFormat="false" ht="15" hidden="false" customHeight="false" outlineLevel="0" collapsed="false">
      <c r="A3433" s="2" t="s">
        <v>126</v>
      </c>
      <c r="B3433" s="2" t="s">
        <v>126</v>
      </c>
      <c r="C3433" s="2" t="s">
        <v>48</v>
      </c>
      <c r="D3433" s="2" t="s">
        <v>12</v>
      </c>
      <c r="E3433" s="2" t="s">
        <v>76</v>
      </c>
      <c r="F3433" s="2" t="s">
        <v>1145</v>
      </c>
      <c r="G3433" s="14" t="n">
        <v>14.5</v>
      </c>
      <c r="H3433" s="14" t="n">
        <v>7.47</v>
      </c>
      <c r="I3433" s="14" t="n">
        <v>9.5</v>
      </c>
      <c r="J3433" s="22" t="n">
        <f aca="false">IF(E3433="Priority",'Cost model'!N383,'Cost model'!M383)</f>
        <v>27.5</v>
      </c>
      <c r="K3433" s="14" t="n">
        <f aca="false">J3433-H3433</f>
        <v>20.03</v>
      </c>
      <c r="L3433" s="14" t="n">
        <f aca="false">G3433-H3433</f>
        <v>7.03</v>
      </c>
    </row>
    <row r="3434" customFormat="false" ht="15" hidden="false" customHeight="false" outlineLevel="0" collapsed="false">
      <c r="A3434" s="2" t="s">
        <v>146</v>
      </c>
      <c r="B3434" s="2" t="s">
        <v>146</v>
      </c>
      <c r="C3434" s="2" t="s">
        <v>48</v>
      </c>
      <c r="D3434" s="2" t="s">
        <v>10</v>
      </c>
      <c r="E3434" s="2" t="s">
        <v>76</v>
      </c>
      <c r="F3434" s="2" t="s">
        <v>1145</v>
      </c>
      <c r="G3434" s="14" t="n">
        <v>9.5</v>
      </c>
      <c r="H3434" s="14" t="n">
        <v>5.27</v>
      </c>
      <c r="I3434" s="14" t="n">
        <v>9.5</v>
      </c>
      <c r="J3434" s="22" t="n">
        <f aca="false">IF(E3434="Priority",'Cost model'!N758,'Cost model'!M758)</f>
        <v>9.5</v>
      </c>
      <c r="K3434" s="14" t="n">
        <f aca="false">J3434-H3434</f>
        <v>4.23</v>
      </c>
      <c r="L3434" s="14" t="n">
        <f aca="false">G3434-H3434</f>
        <v>4.23</v>
      </c>
    </row>
    <row r="3435" customFormat="false" ht="15" hidden="false" customHeight="false" outlineLevel="0" collapsed="false">
      <c r="A3435" s="2" t="s">
        <v>184</v>
      </c>
      <c r="B3435" s="2" t="s">
        <v>126</v>
      </c>
      <c r="C3435" s="2" t="s">
        <v>48</v>
      </c>
      <c r="D3435" s="2" t="s">
        <v>12</v>
      </c>
      <c r="E3435" s="2" t="s">
        <v>76</v>
      </c>
      <c r="F3435" s="2" t="s">
        <v>1146</v>
      </c>
      <c r="G3435" s="14" t="n">
        <v>9.5</v>
      </c>
      <c r="H3435" s="14" t="n">
        <v>54.88</v>
      </c>
      <c r="I3435" s="14" t="n">
        <v>9.5</v>
      </c>
      <c r="J3435" s="22" t="n">
        <f aca="false">IF(E3435="Priority",'Cost model'!N131,'Cost model'!M131)</f>
        <v>40</v>
      </c>
      <c r="K3435" s="14" t="n">
        <f aca="false">J3435-H3435</f>
        <v>-14.88</v>
      </c>
      <c r="L3435" s="14" t="n">
        <f aca="false">G3435-H3435</f>
        <v>-45.38</v>
      </c>
    </row>
    <row r="3436" customFormat="false" ht="15" hidden="false" customHeight="false" outlineLevel="0" collapsed="false">
      <c r="A3436" s="2" t="s">
        <v>184</v>
      </c>
      <c r="B3436" s="2" t="s">
        <v>184</v>
      </c>
      <c r="C3436" s="2" t="s">
        <v>48</v>
      </c>
      <c r="D3436" s="2" t="s">
        <v>12</v>
      </c>
      <c r="E3436" s="2" t="s">
        <v>76</v>
      </c>
      <c r="F3436" s="2" t="s">
        <v>1145</v>
      </c>
      <c r="G3436" s="14" t="n">
        <v>9.5</v>
      </c>
      <c r="H3436" s="14" t="n">
        <v>27.97</v>
      </c>
      <c r="I3436" s="14" t="n">
        <v>9.5</v>
      </c>
      <c r="J3436" s="22" t="n">
        <f aca="false">IF(E3436="Priority",'Cost model'!N203,'Cost model'!M203)</f>
        <v>26.5</v>
      </c>
      <c r="K3436" s="14" t="n">
        <f aca="false">J3436-H3436</f>
        <v>-1.47</v>
      </c>
      <c r="L3436" s="14" t="n">
        <f aca="false">G3436-H3436</f>
        <v>-18.47</v>
      </c>
    </row>
    <row r="3437" customFormat="false" ht="15" hidden="false" customHeight="false" outlineLevel="0" collapsed="false">
      <c r="A3437" s="2" t="s">
        <v>240</v>
      </c>
      <c r="B3437" s="2" t="s">
        <v>240</v>
      </c>
      <c r="C3437" s="2" t="s">
        <v>48</v>
      </c>
      <c r="D3437" s="2" t="s">
        <v>12</v>
      </c>
      <c r="E3437" s="2" t="s">
        <v>76</v>
      </c>
      <c r="F3437" s="2" t="s">
        <v>1145</v>
      </c>
      <c r="G3437" s="14" t="n">
        <v>9.5</v>
      </c>
      <c r="H3437" s="14" t="n">
        <v>7.15</v>
      </c>
      <c r="I3437" s="14" t="n">
        <v>9.5</v>
      </c>
      <c r="J3437" s="22" t="n">
        <f aca="false">IF(E3437="Priority",'Cost model'!N887,'Cost model'!M887)</f>
        <v>21.5</v>
      </c>
      <c r="K3437" s="14" t="n">
        <f aca="false">J3437-H3437</f>
        <v>14.35</v>
      </c>
      <c r="L3437" s="14" t="n">
        <f aca="false">G3437-H3437</f>
        <v>2.35</v>
      </c>
    </row>
    <row r="3438" customFormat="false" ht="15" hidden="false" customHeight="false" outlineLevel="0" collapsed="false">
      <c r="A3438" s="2" t="s">
        <v>126</v>
      </c>
      <c r="B3438" s="2" t="s">
        <v>126</v>
      </c>
      <c r="C3438" s="2" t="s">
        <v>49</v>
      </c>
      <c r="D3438" s="2" t="s">
        <v>12</v>
      </c>
      <c r="E3438" s="2" t="s">
        <v>76</v>
      </c>
      <c r="F3438" s="2" t="s">
        <v>1145</v>
      </c>
      <c r="G3438" s="14" t="n">
        <v>12.5</v>
      </c>
      <c r="H3438" s="14" t="n">
        <v>81.61</v>
      </c>
      <c r="I3438" s="14" t="n">
        <v>12.5</v>
      </c>
      <c r="J3438" s="22" t="n">
        <f aca="false">IF(E3438="Priority",'Cost model'!N384,'Cost model'!M384)</f>
        <v>45</v>
      </c>
      <c r="K3438" s="14" t="n">
        <f aca="false">J3438-H3438</f>
        <v>-36.61</v>
      </c>
      <c r="L3438" s="14" t="n">
        <f aca="false">G3438-H3438</f>
        <v>-69.11</v>
      </c>
    </row>
    <row r="3439" customFormat="false" ht="15" hidden="false" customHeight="false" outlineLevel="0" collapsed="false">
      <c r="A3439" s="2" t="s">
        <v>184</v>
      </c>
      <c r="B3439" s="2" t="s">
        <v>184</v>
      </c>
      <c r="C3439" s="2" t="s">
        <v>50</v>
      </c>
      <c r="D3439" s="2" t="s">
        <v>12</v>
      </c>
      <c r="E3439" s="2" t="s">
        <v>76</v>
      </c>
      <c r="F3439" s="2" t="s">
        <v>1145</v>
      </c>
      <c r="G3439" s="14" t="n">
        <v>19.5</v>
      </c>
      <c r="H3439" s="14" t="n">
        <v>48.8</v>
      </c>
      <c r="I3439" s="14" t="n">
        <v>19.5</v>
      </c>
      <c r="J3439" s="22" t="n">
        <f aca="false">IF(E3439="Priority",'Cost model'!N205,'Cost model'!M205)</f>
        <v>50</v>
      </c>
      <c r="K3439" s="14" t="n">
        <f aca="false">J3439-H3439</f>
        <v>1.2</v>
      </c>
      <c r="L3439" s="14" t="n">
        <f aca="false">G3439-H3439</f>
        <v>-29.3</v>
      </c>
    </row>
    <row r="3440" customFormat="false" ht="15" hidden="false" customHeight="false" outlineLevel="0" collapsed="false">
      <c r="A3440" s="2" t="s">
        <v>184</v>
      </c>
      <c r="B3440" s="2" t="s">
        <v>184</v>
      </c>
      <c r="C3440" s="2" t="s">
        <v>48</v>
      </c>
      <c r="D3440" s="2" t="s">
        <v>10</v>
      </c>
      <c r="E3440" s="2" t="s">
        <v>76</v>
      </c>
      <c r="F3440" s="2" t="s">
        <v>1145</v>
      </c>
      <c r="G3440" s="14" t="n">
        <v>9.5</v>
      </c>
      <c r="H3440" s="14" t="n">
        <v>7.45</v>
      </c>
      <c r="I3440" s="14" t="n">
        <v>9.5</v>
      </c>
      <c r="J3440" s="22" t="n">
        <f aca="false">IF(E3440="Priority",'Cost model'!N200,'Cost model'!M200)</f>
        <v>7.5</v>
      </c>
      <c r="K3440" s="14" t="n">
        <f aca="false">J3440-H3440</f>
        <v>0.0499999999999998</v>
      </c>
      <c r="L3440" s="14" t="n">
        <f aca="false">G3440-H3440</f>
        <v>2.05</v>
      </c>
    </row>
    <row r="3441" customFormat="false" ht="15" hidden="false" customHeight="false" outlineLevel="0" collapsed="false">
      <c r="A3441" s="2" t="s">
        <v>221</v>
      </c>
      <c r="B3441" s="2" t="s">
        <v>146</v>
      </c>
      <c r="C3441" s="2" t="s">
        <v>48</v>
      </c>
      <c r="D3441" s="2" t="s">
        <v>10</v>
      </c>
      <c r="E3441" s="2" t="s">
        <v>85</v>
      </c>
      <c r="F3441" s="2" t="s">
        <v>1146</v>
      </c>
      <c r="G3441" s="14" t="n">
        <v>19.5</v>
      </c>
      <c r="H3441" s="14" t="n">
        <v>21.34</v>
      </c>
      <c r="I3441" s="14" t="n">
        <v>19.5</v>
      </c>
      <c r="J3441" s="22" t="n">
        <f aca="false">IF(E3441="Priority",'Cost model'!N650,'Cost model'!M650)</f>
        <v>22.5</v>
      </c>
      <c r="K3441" s="14" t="n">
        <f aca="false">J3441-H3441</f>
        <v>1.16</v>
      </c>
      <c r="L3441" s="14" t="n">
        <f aca="false">G3441-H3441</f>
        <v>-1.84</v>
      </c>
    </row>
    <row r="3442" customFormat="false" ht="15" hidden="false" customHeight="false" outlineLevel="0" collapsed="false">
      <c r="A3442" s="2" t="s">
        <v>184</v>
      </c>
      <c r="B3442" s="2" t="s">
        <v>184</v>
      </c>
      <c r="C3442" s="2" t="s">
        <v>49</v>
      </c>
      <c r="D3442" s="2" t="s">
        <v>12</v>
      </c>
      <c r="E3442" s="2" t="s">
        <v>76</v>
      </c>
      <c r="F3442" s="2" t="s">
        <v>1145</v>
      </c>
      <c r="G3442" s="14" t="n">
        <v>12.5</v>
      </c>
      <c r="H3442" s="14" t="n">
        <v>43.51</v>
      </c>
      <c r="I3442" s="14"/>
      <c r="J3442" s="22" t="n">
        <f aca="false">IF(E3442="Priority",'Cost model'!N204,'Cost model'!M204)</f>
        <v>45</v>
      </c>
      <c r="K3442" s="14" t="n">
        <f aca="false">J3442-H3442</f>
        <v>1.49</v>
      </c>
      <c r="L3442" s="14" t="n">
        <f aca="false">G3442-H3442</f>
        <v>-31.01</v>
      </c>
    </row>
    <row r="3443" customFormat="false" ht="15" hidden="false" customHeight="false" outlineLevel="0" collapsed="false">
      <c r="A3443" s="2" t="s">
        <v>165</v>
      </c>
      <c r="B3443" s="2" t="s">
        <v>146</v>
      </c>
      <c r="C3443" s="2" t="s">
        <v>48</v>
      </c>
      <c r="D3443" s="2" t="s">
        <v>10</v>
      </c>
      <c r="E3443" s="2" t="s">
        <v>85</v>
      </c>
      <c r="F3443" s="2" t="s">
        <v>1146</v>
      </c>
      <c r="G3443" s="14" t="n">
        <v>19.5</v>
      </c>
      <c r="H3443" s="14" t="n">
        <v>4.99</v>
      </c>
      <c r="I3443" s="14" t="n">
        <v>19.5</v>
      </c>
      <c r="J3443" s="22" t="n">
        <f aca="false">IF(E3443="Priority",'Cost model'!N524,'Cost model'!M524)</f>
        <v>19.5</v>
      </c>
      <c r="K3443" s="14" t="n">
        <f aca="false">J3443-H3443</f>
        <v>14.51</v>
      </c>
      <c r="L3443" s="14" t="n">
        <f aca="false">G3443-H3443</f>
        <v>14.51</v>
      </c>
    </row>
    <row r="3444" customFormat="false" ht="15" hidden="false" customHeight="false" outlineLevel="0" collapsed="false">
      <c r="A3444" s="2" t="s">
        <v>146</v>
      </c>
      <c r="B3444" s="2" t="s">
        <v>146</v>
      </c>
      <c r="C3444" s="2" t="s">
        <v>48</v>
      </c>
      <c r="D3444" s="2" t="s">
        <v>12</v>
      </c>
      <c r="E3444" s="2" t="s">
        <v>76</v>
      </c>
      <c r="F3444" s="2" t="s">
        <v>1145</v>
      </c>
      <c r="G3444" s="14" t="n">
        <v>9.5</v>
      </c>
      <c r="H3444" s="14" t="n">
        <v>42.61</v>
      </c>
      <c r="I3444" s="14" t="n">
        <v>9.5</v>
      </c>
      <c r="J3444" s="22" t="n">
        <f aca="false">IF(E3444="Priority",'Cost model'!N761,'Cost model'!M761)</f>
        <v>35</v>
      </c>
      <c r="K3444" s="14" t="n">
        <f aca="false">J3444-H3444</f>
        <v>-7.61</v>
      </c>
      <c r="L3444" s="14" t="n">
        <f aca="false">G3444-H3444</f>
        <v>-33.11</v>
      </c>
    </row>
    <row r="3445" customFormat="false" ht="15" hidden="false" customHeight="false" outlineLevel="0" collapsed="false">
      <c r="A3445" s="2" t="s">
        <v>146</v>
      </c>
      <c r="B3445" s="2" t="s">
        <v>165</v>
      </c>
      <c r="C3445" s="2" t="s">
        <v>49</v>
      </c>
      <c r="D3445" s="2" t="s">
        <v>10</v>
      </c>
      <c r="E3445" s="2" t="s">
        <v>85</v>
      </c>
      <c r="F3445" s="2" t="s">
        <v>1146</v>
      </c>
      <c r="G3445" s="14" t="n">
        <v>19.5</v>
      </c>
      <c r="H3445" s="14" t="n">
        <v>20.55</v>
      </c>
      <c r="I3445" s="14" t="n">
        <v>19.5</v>
      </c>
      <c r="J3445" s="22" t="n">
        <f aca="false">IF(E3445="Priority",'Cost model'!N777,'Cost model'!M777)</f>
        <v>22.5</v>
      </c>
      <c r="K3445" s="14" t="n">
        <f aca="false">J3445-H3445</f>
        <v>1.95</v>
      </c>
      <c r="L3445" s="14" t="n">
        <f aca="false">G3445-H3445</f>
        <v>-1.05</v>
      </c>
    </row>
    <row r="3446" customFormat="false" ht="15" hidden="false" customHeight="false" outlineLevel="0" collapsed="false">
      <c r="A3446" s="2" t="s">
        <v>184</v>
      </c>
      <c r="B3446" s="2" t="s">
        <v>146</v>
      </c>
      <c r="C3446" s="2" t="s">
        <v>48</v>
      </c>
      <c r="D3446" s="2" t="s">
        <v>10</v>
      </c>
      <c r="E3446" s="2" t="s">
        <v>76</v>
      </c>
      <c r="F3446" s="2" t="s">
        <v>1146</v>
      </c>
      <c r="G3446" s="14" t="n">
        <v>19.5</v>
      </c>
      <c r="H3446" s="14" t="n">
        <v>21.34</v>
      </c>
      <c r="I3446" s="14" t="n">
        <v>9.5</v>
      </c>
      <c r="J3446" s="22" t="n">
        <f aca="false">IF(E3446="Priority",'Cost model'!N146,'Cost model'!M146)</f>
        <v>12.5</v>
      </c>
      <c r="K3446" s="14" t="n">
        <f aca="false">J3446-H3446</f>
        <v>-8.84</v>
      </c>
      <c r="L3446" s="14" t="n">
        <f aca="false">G3446-H3446</f>
        <v>-1.84</v>
      </c>
    </row>
    <row r="3447" customFormat="false" ht="15" hidden="false" customHeight="false" outlineLevel="0" collapsed="false">
      <c r="A3447" s="2" t="s">
        <v>165</v>
      </c>
      <c r="B3447" s="2" t="s">
        <v>165</v>
      </c>
      <c r="C3447" s="2" t="s">
        <v>48</v>
      </c>
      <c r="D3447" s="2" t="s">
        <v>10</v>
      </c>
      <c r="E3447" s="2" t="s">
        <v>76</v>
      </c>
      <c r="F3447" s="2" t="s">
        <v>1145</v>
      </c>
      <c r="G3447" s="14" t="n">
        <v>9.5</v>
      </c>
      <c r="H3447" s="14" t="n">
        <v>8.8</v>
      </c>
      <c r="I3447" s="14" t="n">
        <v>9.5</v>
      </c>
      <c r="J3447" s="22" t="n">
        <f aca="false">IF(E3447="Priority",'Cost model'!N506,'Cost model'!M506)</f>
        <v>7.5</v>
      </c>
      <c r="K3447" s="14" t="n">
        <f aca="false">J3447-H3447</f>
        <v>-1.3</v>
      </c>
      <c r="L3447" s="14" t="n">
        <f aca="false">G3447-H3447</f>
        <v>0.699999999999999</v>
      </c>
    </row>
    <row r="3448" customFormat="false" ht="15" hidden="false" customHeight="false" outlineLevel="0" collapsed="false">
      <c r="A3448" s="2" t="s">
        <v>184</v>
      </c>
      <c r="B3448" s="2" t="s">
        <v>184</v>
      </c>
      <c r="C3448" s="2" t="s">
        <v>48</v>
      </c>
      <c r="D3448" s="2" t="s">
        <v>10</v>
      </c>
      <c r="E3448" s="2" t="s">
        <v>76</v>
      </c>
      <c r="F3448" s="2" t="s">
        <v>1145</v>
      </c>
      <c r="G3448" s="14" t="n">
        <v>9.5</v>
      </c>
      <c r="H3448" s="14" t="n">
        <v>6.19</v>
      </c>
      <c r="I3448" s="14" t="n">
        <v>9.5</v>
      </c>
      <c r="J3448" s="22" t="n">
        <f aca="false">IF(E3448="Priority",'Cost model'!N200,'Cost model'!M200)</f>
        <v>7.5</v>
      </c>
      <c r="K3448" s="14" t="n">
        <f aca="false">J3448-H3448</f>
        <v>1.31</v>
      </c>
      <c r="L3448" s="14" t="n">
        <f aca="false">G3448-H3448</f>
        <v>3.31</v>
      </c>
    </row>
    <row r="3449" customFormat="false" ht="15" hidden="false" customHeight="false" outlineLevel="0" collapsed="false">
      <c r="A3449" s="2" t="s">
        <v>184</v>
      </c>
      <c r="B3449" s="2" t="s">
        <v>184</v>
      </c>
      <c r="C3449" s="2" t="s">
        <v>50</v>
      </c>
      <c r="D3449" s="2" t="s">
        <v>12</v>
      </c>
      <c r="E3449" s="2" t="s">
        <v>76</v>
      </c>
      <c r="F3449" s="2" t="s">
        <v>1145</v>
      </c>
      <c r="G3449" s="14" t="n">
        <v>19.5</v>
      </c>
      <c r="H3449" s="14" t="n">
        <v>43.64</v>
      </c>
      <c r="I3449" s="14" t="n">
        <v>19.5</v>
      </c>
      <c r="J3449" s="22" t="n">
        <f aca="false">IF(E3449="Priority",'Cost model'!N205,'Cost model'!M205)</f>
        <v>50</v>
      </c>
      <c r="K3449" s="14" t="n">
        <f aca="false">J3449-H3449</f>
        <v>6.36</v>
      </c>
      <c r="L3449" s="14" t="n">
        <f aca="false">G3449-H3449</f>
        <v>-24.14</v>
      </c>
    </row>
    <row r="3450" customFormat="false" ht="15" hidden="false" customHeight="false" outlineLevel="0" collapsed="false">
      <c r="A3450" s="2" t="s">
        <v>184</v>
      </c>
      <c r="B3450" s="2" t="s">
        <v>184</v>
      </c>
      <c r="C3450" s="2" t="s">
        <v>50</v>
      </c>
      <c r="D3450" s="2" t="s">
        <v>12</v>
      </c>
      <c r="E3450" s="2" t="s">
        <v>76</v>
      </c>
      <c r="F3450" s="2" t="s">
        <v>1145</v>
      </c>
      <c r="G3450" s="14" t="n">
        <v>19.5</v>
      </c>
      <c r="H3450" s="14" t="n">
        <v>52.01</v>
      </c>
      <c r="I3450" s="14" t="n">
        <v>19.5</v>
      </c>
      <c r="J3450" s="22" t="n">
        <f aca="false">IF(E3450="Priority",'Cost model'!N205,'Cost model'!M205)</f>
        <v>50</v>
      </c>
      <c r="K3450" s="14" t="n">
        <f aca="false">J3450-H3450</f>
        <v>-2.01</v>
      </c>
      <c r="L3450" s="14" t="n">
        <f aca="false">G3450-H3450</f>
        <v>-32.51</v>
      </c>
    </row>
    <row r="3451" customFormat="false" ht="15" hidden="false" customHeight="false" outlineLevel="0" collapsed="false">
      <c r="A3451" s="2" t="s">
        <v>184</v>
      </c>
      <c r="B3451" s="2" t="s">
        <v>184</v>
      </c>
      <c r="C3451" s="2" t="s">
        <v>48</v>
      </c>
      <c r="D3451" s="2" t="s">
        <v>10</v>
      </c>
      <c r="E3451" s="2" t="s">
        <v>85</v>
      </c>
      <c r="F3451" s="2" t="s">
        <v>1145</v>
      </c>
      <c r="G3451" s="14" t="n">
        <v>14.5</v>
      </c>
      <c r="H3451" s="14" t="n">
        <v>7.45</v>
      </c>
      <c r="I3451" s="14" t="n">
        <v>14.5</v>
      </c>
      <c r="J3451" s="22" t="n">
        <f aca="false">IF(E3451="Priority",'Cost model'!N200,'Cost model'!M200)</f>
        <v>12.5</v>
      </c>
      <c r="K3451" s="14" t="n">
        <f aca="false">J3451-H3451</f>
        <v>5.05</v>
      </c>
      <c r="L3451" s="14" t="n">
        <f aca="false">G3451-H3451</f>
        <v>7.05</v>
      </c>
    </row>
    <row r="3452" customFormat="false" ht="15" hidden="false" customHeight="false" outlineLevel="0" collapsed="false">
      <c r="A3452" s="2" t="s">
        <v>184</v>
      </c>
      <c r="B3452" s="2" t="s">
        <v>184</v>
      </c>
      <c r="C3452" s="2" t="s">
        <v>48</v>
      </c>
      <c r="D3452" s="2" t="s">
        <v>12</v>
      </c>
      <c r="E3452" s="2" t="s">
        <v>76</v>
      </c>
      <c r="F3452" s="2" t="s">
        <v>1145</v>
      </c>
      <c r="G3452" s="14" t="n">
        <v>9.5</v>
      </c>
      <c r="H3452" s="14" t="n">
        <v>30.15</v>
      </c>
      <c r="I3452" s="14" t="n">
        <v>9.5</v>
      </c>
      <c r="J3452" s="22" t="n">
        <f aca="false">IF(E3452="Priority",'Cost model'!N203,'Cost model'!M203)</f>
        <v>26.5</v>
      </c>
      <c r="K3452" s="14" t="n">
        <f aca="false">J3452-H3452</f>
        <v>-3.65</v>
      </c>
      <c r="L3452" s="14" t="n">
        <f aca="false">G3452-H3452</f>
        <v>-20.65</v>
      </c>
    </row>
    <row r="3453" customFormat="false" ht="15" hidden="false" customHeight="false" outlineLevel="0" collapsed="false">
      <c r="A3453" s="2" t="s">
        <v>240</v>
      </c>
      <c r="B3453" s="2" t="s">
        <v>240</v>
      </c>
      <c r="C3453" s="2" t="s">
        <v>48</v>
      </c>
      <c r="D3453" s="2" t="s">
        <v>12</v>
      </c>
      <c r="E3453" s="2" t="s">
        <v>76</v>
      </c>
      <c r="F3453" s="2" t="s">
        <v>1145</v>
      </c>
      <c r="G3453" s="14" t="n">
        <v>29.5</v>
      </c>
      <c r="H3453" s="14" t="n">
        <v>10.7</v>
      </c>
      <c r="I3453" s="14" t="n">
        <v>9.5</v>
      </c>
      <c r="J3453" s="22" t="n">
        <f aca="false">IF(E3453="Priority",'Cost model'!N887,'Cost model'!M887)</f>
        <v>21.5</v>
      </c>
      <c r="K3453" s="14" t="n">
        <f aca="false">J3453-H3453</f>
        <v>10.8</v>
      </c>
      <c r="L3453" s="14" t="n">
        <f aca="false">G3453-H3453</f>
        <v>18.8</v>
      </c>
    </row>
    <row r="3454" customFormat="false" ht="15" hidden="false" customHeight="false" outlineLevel="0" collapsed="false">
      <c r="A3454" s="2" t="s">
        <v>165</v>
      </c>
      <c r="B3454" s="2" t="s">
        <v>184</v>
      </c>
      <c r="C3454" s="2" t="s">
        <v>50</v>
      </c>
      <c r="D3454" s="2" t="s">
        <v>13</v>
      </c>
      <c r="E3454" s="2" t="s">
        <v>76</v>
      </c>
      <c r="F3454" s="2" t="s">
        <v>1146</v>
      </c>
      <c r="G3454" s="14" t="n">
        <v>85</v>
      </c>
      <c r="H3454" s="14" t="n">
        <v>118.97</v>
      </c>
      <c r="I3454" s="14" t="n">
        <v>85</v>
      </c>
      <c r="J3454" s="22" t="n">
        <f aca="false">IF(E3454="Priority",'Cost model'!N586,'Cost model'!M586)</f>
        <v>115</v>
      </c>
      <c r="K3454" s="14" t="n">
        <f aca="false">J3454-H3454</f>
        <v>-3.97</v>
      </c>
      <c r="L3454" s="14" t="n">
        <f aca="false">G3454-H3454</f>
        <v>-33.97</v>
      </c>
    </row>
    <row r="3455" customFormat="false" ht="15" hidden="false" customHeight="false" outlineLevel="0" collapsed="false">
      <c r="A3455" s="2" t="s">
        <v>184</v>
      </c>
      <c r="B3455" s="2" t="s">
        <v>184</v>
      </c>
      <c r="C3455" s="2" t="s">
        <v>50</v>
      </c>
      <c r="D3455" s="2" t="s">
        <v>13</v>
      </c>
      <c r="E3455" s="2" t="s">
        <v>76</v>
      </c>
      <c r="F3455" s="2" t="s">
        <v>1145</v>
      </c>
      <c r="G3455" s="14" t="n">
        <v>50</v>
      </c>
      <c r="H3455" s="14" t="n">
        <v>65.01</v>
      </c>
      <c r="I3455" s="14" t="n">
        <v>50</v>
      </c>
      <c r="J3455" s="22" t="n">
        <f aca="false">IF(E3455="Priority",'Cost model'!N208,'Cost model'!M208)</f>
        <v>80</v>
      </c>
      <c r="K3455" s="14" t="n">
        <f aca="false">J3455-H3455</f>
        <v>14.99</v>
      </c>
      <c r="L3455" s="14" t="n">
        <f aca="false">G3455-H3455</f>
        <v>-15.01</v>
      </c>
    </row>
    <row r="3456" customFormat="false" ht="15" hidden="false" customHeight="false" outlineLevel="0" collapsed="false">
      <c r="A3456" s="2" t="s">
        <v>184</v>
      </c>
      <c r="B3456" s="2" t="s">
        <v>184</v>
      </c>
      <c r="C3456" s="2" t="s">
        <v>49</v>
      </c>
      <c r="D3456" s="2" t="s">
        <v>10</v>
      </c>
      <c r="E3456" s="2" t="s">
        <v>76</v>
      </c>
      <c r="F3456" s="2" t="s">
        <v>1145</v>
      </c>
      <c r="G3456" s="14" t="n">
        <v>12.5</v>
      </c>
      <c r="H3456" s="14" t="n">
        <v>20.55</v>
      </c>
      <c r="I3456" s="14" t="n">
        <v>12.5</v>
      </c>
      <c r="J3456" s="22" t="n">
        <f aca="false">IF(E3456="Priority",'Cost model'!N201,'Cost model'!M201)</f>
        <v>12.5</v>
      </c>
      <c r="K3456" s="14" t="n">
        <f aca="false">J3456-H3456</f>
        <v>-8.05</v>
      </c>
      <c r="L3456" s="14" t="n">
        <f aca="false">G3456-H3456</f>
        <v>-8.05</v>
      </c>
    </row>
    <row r="3457" customFormat="false" ht="15" hidden="false" customHeight="false" outlineLevel="0" collapsed="false">
      <c r="A3457" s="2" t="s">
        <v>126</v>
      </c>
      <c r="B3457" s="2" t="s">
        <v>126</v>
      </c>
      <c r="C3457" s="2" t="s">
        <v>48</v>
      </c>
      <c r="D3457" s="2" t="s">
        <v>12</v>
      </c>
      <c r="E3457" s="2" t="s">
        <v>85</v>
      </c>
      <c r="F3457" s="2" t="s">
        <v>1145</v>
      </c>
      <c r="G3457" s="14" t="n">
        <v>19.5</v>
      </c>
      <c r="H3457" s="14" t="n">
        <v>69.66</v>
      </c>
      <c r="I3457" s="14" t="n">
        <v>19.5</v>
      </c>
      <c r="J3457" s="22" t="n">
        <f aca="false">IF(E3457="Priority",'Cost model'!N383,'Cost model'!M383)</f>
        <v>35</v>
      </c>
      <c r="K3457" s="14" t="n">
        <f aca="false">J3457-H3457</f>
        <v>-34.66</v>
      </c>
      <c r="L3457" s="14" t="n">
        <f aca="false">G3457-H3457</f>
        <v>-50.16</v>
      </c>
    </row>
    <row r="3458" customFormat="false" ht="15" hidden="false" customHeight="false" outlineLevel="0" collapsed="false">
      <c r="A3458" s="2" t="s">
        <v>165</v>
      </c>
      <c r="B3458" s="2" t="s">
        <v>184</v>
      </c>
      <c r="C3458" s="2" t="s">
        <v>48</v>
      </c>
      <c r="D3458" s="2" t="s">
        <v>12</v>
      </c>
      <c r="E3458" s="2" t="s">
        <v>76</v>
      </c>
      <c r="F3458" s="2" t="s">
        <v>1146</v>
      </c>
      <c r="G3458" s="14" t="n">
        <v>29.5</v>
      </c>
      <c r="H3458" s="14" t="n">
        <v>59.65</v>
      </c>
      <c r="I3458" s="14" t="n">
        <v>19.5</v>
      </c>
      <c r="J3458" s="22" t="n">
        <f aca="false">IF(E3458="Priority",'Cost model'!N581,'Cost model'!M581)</f>
        <v>45</v>
      </c>
      <c r="K3458" s="14" t="n">
        <f aca="false">J3458-H3458</f>
        <v>-14.65</v>
      </c>
      <c r="L3458" s="14" t="n">
        <f aca="false">G3458-H3458</f>
        <v>-30.15</v>
      </c>
    </row>
    <row r="3459" customFormat="false" ht="15" hidden="false" customHeight="false" outlineLevel="0" collapsed="false">
      <c r="A3459" s="2" t="s">
        <v>240</v>
      </c>
      <c r="B3459" s="2" t="s">
        <v>240</v>
      </c>
      <c r="C3459" s="2" t="s">
        <v>50</v>
      </c>
      <c r="D3459" s="2" t="s">
        <v>10</v>
      </c>
      <c r="E3459" s="2" t="s">
        <v>76</v>
      </c>
      <c r="F3459" s="2" t="s">
        <v>1145</v>
      </c>
      <c r="G3459" s="14" t="n">
        <v>17.5</v>
      </c>
      <c r="H3459" s="14" t="n">
        <v>15.31</v>
      </c>
      <c r="I3459" s="14" t="n">
        <v>17.5</v>
      </c>
      <c r="J3459" s="22" t="n">
        <f aca="false">IF(E3459="Priority",'Cost model'!N886,'Cost model'!M886)</f>
        <v>17.5</v>
      </c>
      <c r="K3459" s="14" t="n">
        <f aca="false">J3459-H3459</f>
        <v>2.19</v>
      </c>
      <c r="L3459" s="14" t="n">
        <f aca="false">G3459-H3459</f>
        <v>2.19</v>
      </c>
    </row>
    <row r="3460" customFormat="false" ht="15" hidden="false" customHeight="false" outlineLevel="0" collapsed="false">
      <c r="A3460" s="2" t="s">
        <v>184</v>
      </c>
      <c r="B3460" s="2" t="s">
        <v>165</v>
      </c>
      <c r="C3460" s="2" t="s">
        <v>49</v>
      </c>
      <c r="D3460" s="2" t="s">
        <v>10</v>
      </c>
      <c r="E3460" s="2" t="s">
        <v>76</v>
      </c>
      <c r="F3460" s="2" t="s">
        <v>1146</v>
      </c>
      <c r="G3460" s="14" t="n">
        <v>14.5</v>
      </c>
      <c r="H3460" s="14" t="n">
        <v>12.54</v>
      </c>
      <c r="I3460" s="14"/>
      <c r="J3460" s="22" t="n">
        <f aca="false">IF(E3460="Priority",'Cost model'!N165,'Cost model'!M165)</f>
        <v>15.5</v>
      </c>
      <c r="K3460" s="14" t="n">
        <f aca="false">J3460-H3460</f>
        <v>2.96</v>
      </c>
      <c r="L3460" s="14" t="n">
        <f aca="false">G3460-H3460</f>
        <v>1.96</v>
      </c>
    </row>
    <row r="3461" customFormat="false" ht="15" hidden="false" customHeight="false" outlineLevel="0" collapsed="false">
      <c r="A3461" s="2" t="s">
        <v>184</v>
      </c>
      <c r="B3461" s="2" t="s">
        <v>184</v>
      </c>
      <c r="C3461" s="2" t="s">
        <v>49</v>
      </c>
      <c r="D3461" s="2" t="s">
        <v>12</v>
      </c>
      <c r="E3461" s="2" t="s">
        <v>76</v>
      </c>
      <c r="F3461" s="2" t="s">
        <v>1145</v>
      </c>
      <c r="G3461" s="14" t="n">
        <v>12.5</v>
      </c>
      <c r="H3461" s="14" t="n">
        <v>43.77</v>
      </c>
      <c r="I3461" s="14"/>
      <c r="J3461" s="22" t="n">
        <f aca="false">IF(E3461="Priority",'Cost model'!N204,'Cost model'!M204)</f>
        <v>45</v>
      </c>
      <c r="K3461" s="14" t="n">
        <f aca="false">J3461-H3461</f>
        <v>1.23</v>
      </c>
      <c r="L3461" s="14" t="n">
        <f aca="false">G3461-H3461</f>
        <v>-31.27</v>
      </c>
    </row>
    <row r="3462" customFormat="false" ht="15" hidden="false" customHeight="false" outlineLevel="0" collapsed="false">
      <c r="A3462" s="2" t="s">
        <v>184</v>
      </c>
      <c r="B3462" s="2" t="s">
        <v>184</v>
      </c>
      <c r="C3462" s="2" t="s">
        <v>50</v>
      </c>
      <c r="D3462" s="2" t="s">
        <v>12</v>
      </c>
      <c r="E3462" s="2" t="s">
        <v>76</v>
      </c>
      <c r="F3462" s="2" t="s">
        <v>1145</v>
      </c>
      <c r="G3462" s="14" t="n">
        <v>19.5</v>
      </c>
      <c r="H3462" s="14" t="n">
        <v>42.61</v>
      </c>
      <c r="I3462" s="14" t="n">
        <v>19.5</v>
      </c>
      <c r="J3462" s="22" t="n">
        <f aca="false">IF(E3462="Priority",'Cost model'!N205,'Cost model'!M205)</f>
        <v>50</v>
      </c>
      <c r="K3462" s="14" t="n">
        <f aca="false">J3462-H3462</f>
        <v>7.39</v>
      </c>
      <c r="L3462" s="14" t="n">
        <f aca="false">G3462-H3462</f>
        <v>-23.11</v>
      </c>
    </row>
    <row r="3463" customFormat="false" ht="15" hidden="false" customHeight="false" outlineLevel="0" collapsed="false">
      <c r="A3463" s="2" t="s">
        <v>165</v>
      </c>
      <c r="B3463" s="2" t="s">
        <v>165</v>
      </c>
      <c r="C3463" s="2" t="s">
        <v>48</v>
      </c>
      <c r="D3463" s="2" t="s">
        <v>10</v>
      </c>
      <c r="E3463" s="2" t="s">
        <v>76</v>
      </c>
      <c r="F3463" s="2" t="s">
        <v>1145</v>
      </c>
      <c r="G3463" s="14" t="n">
        <v>9.5</v>
      </c>
      <c r="H3463" s="14" t="n">
        <v>5.27</v>
      </c>
      <c r="I3463" s="14" t="n">
        <v>9.5</v>
      </c>
      <c r="J3463" s="22" t="n">
        <f aca="false">IF(E3463="Priority",'Cost model'!N506,'Cost model'!M506)</f>
        <v>7.5</v>
      </c>
      <c r="K3463" s="14" t="n">
        <f aca="false">J3463-H3463</f>
        <v>2.23</v>
      </c>
      <c r="L3463" s="14" t="n">
        <f aca="false">G3463-H3463</f>
        <v>4.23</v>
      </c>
    </row>
    <row r="3464" customFormat="false" ht="15" hidden="false" customHeight="false" outlineLevel="0" collapsed="false">
      <c r="A3464" s="2" t="s">
        <v>184</v>
      </c>
      <c r="B3464" s="2" t="s">
        <v>146</v>
      </c>
      <c r="C3464" s="2" t="s">
        <v>49</v>
      </c>
      <c r="D3464" s="2" t="s">
        <v>12</v>
      </c>
      <c r="E3464" s="2" t="s">
        <v>76</v>
      </c>
      <c r="F3464" s="2" t="s">
        <v>1146</v>
      </c>
      <c r="G3464" s="14" t="n">
        <v>12.5</v>
      </c>
      <c r="H3464" s="14" t="n">
        <v>52.51</v>
      </c>
      <c r="I3464" s="14"/>
      <c r="J3464" s="22" t="n">
        <f aca="false">IF(E3464="Priority",'Cost model'!N150,'Cost model'!M150)</f>
        <v>55</v>
      </c>
      <c r="K3464" s="14" t="n">
        <f aca="false">J3464-H3464</f>
        <v>2.49</v>
      </c>
      <c r="L3464" s="14" t="n">
        <f aca="false">G3464-H3464</f>
        <v>-40.01</v>
      </c>
    </row>
    <row r="3465" customFormat="false" ht="15" hidden="false" customHeight="false" outlineLevel="0" collapsed="false">
      <c r="A3465" s="2" t="s">
        <v>146</v>
      </c>
      <c r="B3465" s="2" t="s">
        <v>165</v>
      </c>
      <c r="C3465" s="2" t="s">
        <v>50</v>
      </c>
      <c r="D3465" s="2" t="s">
        <v>10</v>
      </c>
      <c r="E3465" s="2" t="s">
        <v>76</v>
      </c>
      <c r="F3465" s="2" t="s">
        <v>1146</v>
      </c>
      <c r="G3465" s="14" t="n">
        <v>17.5</v>
      </c>
      <c r="H3465" s="14" t="n">
        <v>16.39</v>
      </c>
      <c r="I3465" s="14" t="n">
        <v>17.5</v>
      </c>
      <c r="J3465" s="22" t="n">
        <f aca="false">IF(E3465="Priority",'Cost model'!N778,'Cost model'!M778)</f>
        <v>19.5</v>
      </c>
      <c r="K3465" s="14" t="n">
        <f aca="false">J3465-H3465</f>
        <v>3.11</v>
      </c>
      <c r="L3465" s="14" t="n">
        <f aca="false">G3465-H3465</f>
        <v>1.11</v>
      </c>
    </row>
    <row r="3466" customFormat="false" ht="15" hidden="false" customHeight="false" outlineLevel="0" collapsed="false">
      <c r="A3466" s="2" t="s">
        <v>146</v>
      </c>
      <c r="B3466" s="2" t="s">
        <v>184</v>
      </c>
      <c r="C3466" s="2" t="s">
        <v>49</v>
      </c>
      <c r="D3466" s="2" t="s">
        <v>10</v>
      </c>
      <c r="E3466" s="2" t="s">
        <v>76</v>
      </c>
      <c r="F3466" s="2" t="s">
        <v>1146</v>
      </c>
      <c r="G3466" s="14" t="n">
        <v>12.5</v>
      </c>
      <c r="H3466" s="14" t="n">
        <v>9.05</v>
      </c>
      <c r="I3466" s="14" t="n">
        <v>14.5</v>
      </c>
      <c r="J3466" s="22" t="n">
        <f aca="false">IF(E3466="Priority",'Cost model'!N831,'Cost model'!M831)</f>
        <v>10.5</v>
      </c>
      <c r="K3466" s="14" t="n">
        <f aca="false">J3466-H3466</f>
        <v>1.45</v>
      </c>
      <c r="L3466" s="14" t="n">
        <f aca="false">G3466-H3466</f>
        <v>3.45</v>
      </c>
    </row>
    <row r="3467" customFormat="false" ht="15" hidden="false" customHeight="false" outlineLevel="0" collapsed="false">
      <c r="A3467" s="2" t="s">
        <v>184</v>
      </c>
      <c r="B3467" s="2" t="s">
        <v>184</v>
      </c>
      <c r="C3467" s="2" t="s">
        <v>50</v>
      </c>
      <c r="D3467" s="2" t="s">
        <v>10</v>
      </c>
      <c r="E3467" s="2" t="s">
        <v>76</v>
      </c>
      <c r="F3467" s="2" t="s">
        <v>1145</v>
      </c>
      <c r="G3467" s="14" t="n">
        <v>29.5</v>
      </c>
      <c r="H3467" s="14" t="n">
        <v>20.83</v>
      </c>
      <c r="I3467" s="14" t="n">
        <v>17.5</v>
      </c>
      <c r="J3467" s="22" t="n">
        <f aca="false">IF(E3467="Priority",'Cost model'!N202,'Cost model'!M202)</f>
        <v>17.5</v>
      </c>
      <c r="K3467" s="14" t="n">
        <f aca="false">J3467-H3467</f>
        <v>-3.33</v>
      </c>
      <c r="L3467" s="14" t="n">
        <f aca="false">G3467-H3467</f>
        <v>8.67</v>
      </c>
    </row>
    <row r="3468" customFormat="false" ht="15" hidden="false" customHeight="false" outlineLevel="0" collapsed="false">
      <c r="A3468" s="2" t="s">
        <v>184</v>
      </c>
      <c r="B3468" s="2" t="s">
        <v>184</v>
      </c>
      <c r="C3468" s="2" t="s">
        <v>48</v>
      </c>
      <c r="D3468" s="2" t="s">
        <v>12</v>
      </c>
      <c r="E3468" s="2" t="s">
        <v>76</v>
      </c>
      <c r="F3468" s="2" t="s">
        <v>1145</v>
      </c>
      <c r="G3468" s="14" t="n">
        <v>9.5</v>
      </c>
      <c r="H3468" s="14" t="n">
        <v>28.74</v>
      </c>
      <c r="I3468" s="14" t="n">
        <v>9.5</v>
      </c>
      <c r="J3468" s="22" t="n">
        <f aca="false">IF(E3468="Priority",'Cost model'!N203,'Cost model'!M203)</f>
        <v>26.5</v>
      </c>
      <c r="K3468" s="14" t="n">
        <f aca="false">J3468-H3468</f>
        <v>-2.24</v>
      </c>
      <c r="L3468" s="14" t="n">
        <f aca="false">G3468-H3468</f>
        <v>-19.24</v>
      </c>
    </row>
    <row r="3469" customFormat="false" ht="15" hidden="false" customHeight="false" outlineLevel="0" collapsed="false">
      <c r="A3469" s="2" t="s">
        <v>146</v>
      </c>
      <c r="B3469" s="2" t="s">
        <v>146</v>
      </c>
      <c r="C3469" s="2" t="s">
        <v>49</v>
      </c>
      <c r="D3469" s="2" t="s">
        <v>10</v>
      </c>
      <c r="E3469" s="2" t="s">
        <v>85</v>
      </c>
      <c r="F3469" s="2" t="s">
        <v>1145</v>
      </c>
      <c r="G3469" s="14" t="n">
        <v>17.5</v>
      </c>
      <c r="H3469" s="14" t="n">
        <v>20.83</v>
      </c>
      <c r="I3469" s="14" t="n">
        <v>17.5</v>
      </c>
      <c r="J3469" s="22" t="n">
        <f aca="false">IF(E3469="Priority",'Cost model'!N759,'Cost model'!M759)</f>
        <v>21.5</v>
      </c>
      <c r="K3469" s="14" t="n">
        <f aca="false">J3469-H3469</f>
        <v>0.670000000000002</v>
      </c>
      <c r="L3469" s="14" t="n">
        <f aca="false">G3469-H3469</f>
        <v>-3.33</v>
      </c>
    </row>
    <row r="3470" customFormat="false" ht="15" hidden="false" customHeight="false" outlineLevel="0" collapsed="false">
      <c r="A3470" s="2" t="s">
        <v>126</v>
      </c>
      <c r="B3470" s="2" t="s">
        <v>126</v>
      </c>
      <c r="C3470" s="2" t="s">
        <v>49</v>
      </c>
      <c r="D3470" s="2" t="s">
        <v>12</v>
      </c>
      <c r="E3470" s="2" t="s">
        <v>76</v>
      </c>
      <c r="F3470" s="2" t="s">
        <v>1145</v>
      </c>
      <c r="G3470" s="14" t="n">
        <v>12.5</v>
      </c>
      <c r="H3470" s="14" t="n">
        <v>46.13</v>
      </c>
      <c r="I3470" s="14" t="n">
        <v>12.5</v>
      </c>
      <c r="J3470" s="22" t="n">
        <f aca="false">IF(E3470="Priority",'Cost model'!N384,'Cost model'!M384)</f>
        <v>45</v>
      </c>
      <c r="K3470" s="14" t="n">
        <f aca="false">J3470-H3470</f>
        <v>-1.13</v>
      </c>
      <c r="L3470" s="14" t="n">
        <f aca="false">G3470-H3470</f>
        <v>-33.63</v>
      </c>
    </row>
    <row r="3471" customFormat="false" ht="15" hidden="false" customHeight="false" outlineLevel="0" collapsed="false">
      <c r="A3471" s="2" t="s">
        <v>126</v>
      </c>
      <c r="B3471" s="2" t="s">
        <v>126</v>
      </c>
      <c r="C3471" s="2" t="s">
        <v>50</v>
      </c>
      <c r="D3471" s="2" t="s">
        <v>12</v>
      </c>
      <c r="E3471" s="2" t="s">
        <v>76</v>
      </c>
      <c r="F3471" s="2" t="s">
        <v>1145</v>
      </c>
      <c r="G3471" s="14" t="n">
        <v>19.5</v>
      </c>
      <c r="H3471" s="14" t="n">
        <v>99.75</v>
      </c>
      <c r="I3471" s="14" t="n">
        <v>19.5</v>
      </c>
      <c r="J3471" s="22" t="n">
        <f aca="false">IF(E3471="Priority",'Cost model'!N385,'Cost model'!M385)</f>
        <v>55</v>
      </c>
      <c r="K3471" s="14" t="n">
        <f aca="false">J3471-H3471</f>
        <v>-44.75</v>
      </c>
      <c r="L3471" s="14" t="n">
        <f aca="false">G3471-H3471</f>
        <v>-80.25</v>
      </c>
    </row>
    <row r="3472" customFormat="false" ht="15" hidden="false" customHeight="false" outlineLevel="0" collapsed="false">
      <c r="A3472" s="2" t="s">
        <v>184</v>
      </c>
      <c r="B3472" s="2" t="s">
        <v>126</v>
      </c>
      <c r="C3472" s="2" t="s">
        <v>50</v>
      </c>
      <c r="D3472" s="2" t="s">
        <v>10</v>
      </c>
      <c r="E3472" s="2" t="s">
        <v>85</v>
      </c>
      <c r="F3472" s="2" t="s">
        <v>1146</v>
      </c>
      <c r="G3472" s="14" t="n">
        <v>24.5</v>
      </c>
      <c r="H3472" s="14" t="n">
        <v>21.76</v>
      </c>
      <c r="I3472" s="14" t="n">
        <v>24.5</v>
      </c>
      <c r="J3472" s="22" t="n">
        <f aca="false">IF(E3472="Priority",'Cost model'!N130,'Cost model'!M130)</f>
        <v>25.5</v>
      </c>
      <c r="K3472" s="14" t="n">
        <f aca="false">J3472-H3472</f>
        <v>3.74</v>
      </c>
      <c r="L3472" s="14" t="n">
        <f aca="false">G3472-H3472</f>
        <v>2.74</v>
      </c>
    </row>
    <row r="3473" customFormat="false" ht="15" hidden="false" customHeight="false" outlineLevel="0" collapsed="false">
      <c r="A3473" s="2" t="s">
        <v>240</v>
      </c>
      <c r="B3473" s="2" t="s">
        <v>240</v>
      </c>
      <c r="C3473" s="2" t="s">
        <v>48</v>
      </c>
      <c r="D3473" s="2" t="s">
        <v>10</v>
      </c>
      <c r="E3473" s="2" t="s">
        <v>76</v>
      </c>
      <c r="F3473" s="2" t="s">
        <v>1145</v>
      </c>
      <c r="G3473" s="14" t="n">
        <v>9.5</v>
      </c>
      <c r="H3473" s="14" t="n">
        <v>8.3</v>
      </c>
      <c r="I3473" s="14" t="n">
        <v>9.5</v>
      </c>
      <c r="J3473" s="22" t="n">
        <f aca="false">IF(E3473="Priority",'Cost model'!N884,'Cost model'!M884)</f>
        <v>7.5</v>
      </c>
      <c r="K3473" s="14" t="n">
        <f aca="false">J3473-H3473</f>
        <v>-0.800000000000001</v>
      </c>
      <c r="L3473" s="14" t="n">
        <f aca="false">G3473-H3473</f>
        <v>1.2</v>
      </c>
    </row>
    <row r="3474" customFormat="false" ht="15" hidden="false" customHeight="false" outlineLevel="0" collapsed="false">
      <c r="A3474" s="2" t="s">
        <v>184</v>
      </c>
      <c r="B3474" s="2" t="s">
        <v>184</v>
      </c>
      <c r="C3474" s="2" t="s">
        <v>50</v>
      </c>
      <c r="D3474" s="2" t="s">
        <v>12</v>
      </c>
      <c r="E3474" s="2" t="s">
        <v>76</v>
      </c>
      <c r="F3474" s="2" t="s">
        <v>1145</v>
      </c>
      <c r="G3474" s="14" t="n">
        <v>19.5</v>
      </c>
      <c r="H3474" s="14" t="n">
        <v>20.11</v>
      </c>
      <c r="I3474" s="14" t="n">
        <v>19.5</v>
      </c>
      <c r="J3474" s="22" t="n">
        <f aca="false">IF(E3474="Priority",'Cost model'!N205,'Cost model'!M205)</f>
        <v>50</v>
      </c>
      <c r="K3474" s="14" t="n">
        <f aca="false">J3474-H3474</f>
        <v>29.89</v>
      </c>
      <c r="L3474" s="14" t="n">
        <f aca="false">G3474-H3474</f>
        <v>-0.609999999999999</v>
      </c>
    </row>
    <row r="3475" customFormat="false" ht="15" hidden="false" customHeight="false" outlineLevel="0" collapsed="false">
      <c r="A3475" s="2" t="s">
        <v>184</v>
      </c>
      <c r="B3475" s="2" t="s">
        <v>126</v>
      </c>
      <c r="C3475" s="2" t="s">
        <v>49</v>
      </c>
      <c r="D3475" s="2" t="s">
        <v>13</v>
      </c>
      <c r="E3475" s="2" t="s">
        <v>76</v>
      </c>
      <c r="F3475" s="2" t="s">
        <v>1146</v>
      </c>
      <c r="G3475" s="14" t="n">
        <v>24.5</v>
      </c>
      <c r="H3475" s="14" t="n">
        <v>91.96</v>
      </c>
      <c r="I3475" s="14" t="n">
        <v>24.5</v>
      </c>
      <c r="J3475" s="22" t="n">
        <f aca="false">IF(E3475="Priority",'Cost model'!N135,'Cost model'!M135)</f>
        <v>80</v>
      </c>
      <c r="K3475" s="14" t="n">
        <f aca="false">J3475-H3475</f>
        <v>-11.96</v>
      </c>
      <c r="L3475" s="14" t="n">
        <f aca="false">G3475-H3475</f>
        <v>-67.46</v>
      </c>
    </row>
    <row r="3476" customFormat="false" ht="15" hidden="false" customHeight="false" outlineLevel="0" collapsed="false">
      <c r="A3476" s="2" t="s">
        <v>184</v>
      </c>
      <c r="B3476" s="2" t="s">
        <v>184</v>
      </c>
      <c r="C3476" s="2" t="s">
        <v>49</v>
      </c>
      <c r="D3476" s="2" t="s">
        <v>12</v>
      </c>
      <c r="E3476" s="2" t="s">
        <v>76</v>
      </c>
      <c r="F3476" s="2" t="s">
        <v>1145</v>
      </c>
      <c r="G3476" s="14" t="n">
        <v>12.5</v>
      </c>
      <c r="H3476" s="14" t="n">
        <v>42.61</v>
      </c>
      <c r="I3476" s="14"/>
      <c r="J3476" s="22" t="n">
        <f aca="false">IF(E3476="Priority",'Cost model'!N204,'Cost model'!M204)</f>
        <v>45</v>
      </c>
      <c r="K3476" s="14" t="n">
        <f aca="false">J3476-H3476</f>
        <v>2.39</v>
      </c>
      <c r="L3476" s="14" t="n">
        <f aca="false">G3476-H3476</f>
        <v>-30.11</v>
      </c>
    </row>
    <row r="3477" customFormat="false" ht="15" hidden="false" customHeight="false" outlineLevel="0" collapsed="false">
      <c r="A3477" s="2" t="s">
        <v>184</v>
      </c>
      <c r="B3477" s="2" t="s">
        <v>184</v>
      </c>
      <c r="C3477" s="2" t="s">
        <v>48</v>
      </c>
      <c r="D3477" s="2" t="s">
        <v>13</v>
      </c>
      <c r="E3477" s="2" t="s">
        <v>76</v>
      </c>
      <c r="F3477" s="2" t="s">
        <v>1145</v>
      </c>
      <c r="G3477" s="14" t="n">
        <v>19</v>
      </c>
      <c r="H3477" s="14" t="n">
        <v>71.62</v>
      </c>
      <c r="I3477" s="14" t="n">
        <v>19</v>
      </c>
      <c r="J3477" s="22" t="n">
        <f aca="false">IF(E3477="Priority",'Cost model'!N206,'Cost model'!M206)</f>
        <v>55</v>
      </c>
      <c r="K3477" s="14" t="n">
        <f aca="false">J3477-H3477</f>
        <v>-16.62</v>
      </c>
      <c r="L3477" s="14" t="n">
        <f aca="false">G3477-H3477</f>
        <v>-52.62</v>
      </c>
    </row>
    <row r="3478" customFormat="false" ht="15" hidden="false" customHeight="false" outlineLevel="0" collapsed="false">
      <c r="A3478" s="2" t="s">
        <v>184</v>
      </c>
      <c r="B3478" s="2" t="s">
        <v>240</v>
      </c>
      <c r="C3478" s="2" t="s">
        <v>48</v>
      </c>
      <c r="D3478" s="2" t="s">
        <v>12</v>
      </c>
      <c r="E3478" s="2" t="s">
        <v>76</v>
      </c>
      <c r="F3478" s="2" t="s">
        <v>1146</v>
      </c>
      <c r="G3478" s="14" t="n">
        <v>9.5</v>
      </c>
      <c r="H3478" s="14" t="n">
        <v>13.2</v>
      </c>
      <c r="I3478" s="14" t="n">
        <v>24.5</v>
      </c>
      <c r="J3478" s="22" t="n">
        <f aca="false">IF(E3478="Priority",'Cost model'!N185,'Cost model'!M185)</f>
        <v>55</v>
      </c>
      <c r="K3478" s="14" t="n">
        <f aca="false">J3478-H3478</f>
        <v>41.8</v>
      </c>
      <c r="L3478" s="14" t="n">
        <f aca="false">G3478-H3478</f>
        <v>-3.7</v>
      </c>
    </row>
    <row r="3479" customFormat="false" ht="15" hidden="false" customHeight="false" outlineLevel="0" collapsed="false">
      <c r="A3479" s="2" t="s">
        <v>126</v>
      </c>
      <c r="B3479" s="2" t="s">
        <v>126</v>
      </c>
      <c r="C3479" s="2" t="s">
        <v>50</v>
      </c>
      <c r="D3479" s="2" t="s">
        <v>14</v>
      </c>
      <c r="E3479" s="2" t="s">
        <v>76</v>
      </c>
      <c r="F3479" s="2" t="s">
        <v>1145</v>
      </c>
      <c r="G3479" s="14" t="n">
        <v>85</v>
      </c>
      <c r="H3479" s="14" t="n">
        <v>146.28</v>
      </c>
      <c r="I3479" s="14" t="n">
        <v>85</v>
      </c>
      <c r="J3479" s="22" t="n">
        <f aca="false">IF(E3479="Priority",'Cost model'!N391,'Cost model'!M391)</f>
        <v>170</v>
      </c>
      <c r="K3479" s="14" t="n">
        <f aca="false">J3479-H3479</f>
        <v>23.72</v>
      </c>
      <c r="L3479" s="14" t="n">
        <f aca="false">G3479-H3479</f>
        <v>-61.28</v>
      </c>
    </row>
    <row r="3480" customFormat="false" ht="15" hidden="false" customHeight="false" outlineLevel="0" collapsed="false">
      <c r="A3480" s="2" t="s">
        <v>184</v>
      </c>
      <c r="B3480" s="2" t="s">
        <v>146</v>
      </c>
      <c r="C3480" s="2" t="s">
        <v>48</v>
      </c>
      <c r="D3480" s="2" t="s">
        <v>10</v>
      </c>
      <c r="E3480" s="2" t="s">
        <v>76</v>
      </c>
      <c r="F3480" s="2" t="s">
        <v>1146</v>
      </c>
      <c r="G3480" s="14" t="n">
        <v>9.5</v>
      </c>
      <c r="H3480" s="14" t="n">
        <v>23.58</v>
      </c>
      <c r="I3480" s="14" t="n">
        <v>9.5</v>
      </c>
      <c r="J3480" s="22" t="n">
        <f aca="false">IF(E3480="Priority",'Cost model'!N146,'Cost model'!M146)</f>
        <v>12.5</v>
      </c>
      <c r="K3480" s="14" t="n">
        <f aca="false">J3480-H3480</f>
        <v>-11.08</v>
      </c>
      <c r="L3480" s="14" t="n">
        <f aca="false">G3480-H3480</f>
        <v>-14.08</v>
      </c>
    </row>
    <row r="3481" customFormat="false" ht="15" hidden="false" customHeight="false" outlineLevel="0" collapsed="false">
      <c r="A3481" s="2" t="s">
        <v>126</v>
      </c>
      <c r="B3481" s="2" t="s">
        <v>126</v>
      </c>
      <c r="C3481" s="2" t="s">
        <v>49</v>
      </c>
      <c r="D3481" s="2" t="s">
        <v>12</v>
      </c>
      <c r="E3481" s="2" t="s">
        <v>85</v>
      </c>
      <c r="F3481" s="2" t="s">
        <v>1145</v>
      </c>
      <c r="G3481" s="14" t="n">
        <v>19.5</v>
      </c>
      <c r="H3481" s="14" t="n">
        <v>25.01</v>
      </c>
      <c r="I3481" s="14" t="n">
        <v>19.5</v>
      </c>
      <c r="J3481" s="22" t="n">
        <f aca="false">IF(E3481="Priority",'Cost model'!N384,'Cost model'!M384)</f>
        <v>60</v>
      </c>
      <c r="K3481" s="14" t="n">
        <f aca="false">J3481-H3481</f>
        <v>34.99</v>
      </c>
      <c r="L3481" s="14" t="n">
        <f aca="false">G3481-H3481</f>
        <v>-5.51</v>
      </c>
    </row>
    <row r="3482" customFormat="false" ht="15" hidden="false" customHeight="false" outlineLevel="0" collapsed="false">
      <c r="A3482" s="2" t="s">
        <v>126</v>
      </c>
      <c r="B3482" s="2" t="s">
        <v>126</v>
      </c>
      <c r="C3482" s="2" t="s">
        <v>50</v>
      </c>
      <c r="D3482" s="2" t="s">
        <v>12</v>
      </c>
      <c r="E3482" s="2" t="s">
        <v>85</v>
      </c>
      <c r="F3482" s="2" t="s">
        <v>1145</v>
      </c>
      <c r="G3482" s="14" t="n">
        <v>29.5</v>
      </c>
      <c r="H3482" s="14" t="n">
        <v>62.71</v>
      </c>
      <c r="I3482" s="14" t="n">
        <v>29.5</v>
      </c>
      <c r="J3482" s="22" t="n">
        <f aca="false">IF(E3482="Priority",'Cost model'!N385,'Cost model'!M385)</f>
        <v>70</v>
      </c>
      <c r="K3482" s="14" t="n">
        <f aca="false">J3482-H3482</f>
        <v>7.29</v>
      </c>
      <c r="L3482" s="14" t="n">
        <f aca="false">G3482-H3482</f>
        <v>-33.21</v>
      </c>
    </row>
    <row r="3483" customFormat="false" ht="15" hidden="false" customHeight="false" outlineLevel="0" collapsed="false">
      <c r="A3483" s="2" t="s">
        <v>146</v>
      </c>
      <c r="B3483" s="2" t="s">
        <v>126</v>
      </c>
      <c r="C3483" s="2" t="s">
        <v>49</v>
      </c>
      <c r="D3483" s="2" t="s">
        <v>10</v>
      </c>
      <c r="E3483" s="2" t="s">
        <v>76</v>
      </c>
      <c r="F3483" s="2" t="s">
        <v>1146</v>
      </c>
      <c r="G3483" s="14" t="n">
        <v>14.5</v>
      </c>
      <c r="H3483" s="14" t="n">
        <v>7.02</v>
      </c>
      <c r="I3483" s="14" t="n">
        <v>14.5</v>
      </c>
      <c r="J3483" s="22" t="n">
        <f aca="false">IF(E3483="Priority",'Cost model'!N795,'Cost model'!M795)</f>
        <v>13.5</v>
      </c>
      <c r="K3483" s="14" t="n">
        <f aca="false">J3483-H3483</f>
        <v>6.48</v>
      </c>
      <c r="L3483" s="14" t="n">
        <f aca="false">G3483-H3483</f>
        <v>7.48</v>
      </c>
    </row>
    <row r="3484" customFormat="false" ht="15" hidden="false" customHeight="false" outlineLevel="0" collapsed="false">
      <c r="A3484" s="2" t="s">
        <v>240</v>
      </c>
      <c r="B3484" s="2" t="s">
        <v>240</v>
      </c>
      <c r="C3484" s="2" t="s">
        <v>48</v>
      </c>
      <c r="D3484" s="2" t="s">
        <v>10</v>
      </c>
      <c r="E3484" s="2" t="s">
        <v>76</v>
      </c>
      <c r="F3484" s="2" t="s">
        <v>1145</v>
      </c>
      <c r="G3484" s="14" t="n">
        <v>9.5</v>
      </c>
      <c r="H3484" s="14" t="n">
        <v>13.34</v>
      </c>
      <c r="I3484" s="14" t="n">
        <v>9.5</v>
      </c>
      <c r="J3484" s="22" t="n">
        <f aca="false">IF(E3484="Priority",'Cost model'!N884,'Cost model'!M884)</f>
        <v>7.5</v>
      </c>
      <c r="K3484" s="14" t="n">
        <f aca="false">J3484-H3484</f>
        <v>-5.84</v>
      </c>
      <c r="L3484" s="14" t="n">
        <f aca="false">G3484-H3484</f>
        <v>-3.84</v>
      </c>
    </row>
    <row r="3485" customFormat="false" ht="15" hidden="false" customHeight="false" outlineLevel="0" collapsed="false">
      <c r="A3485" s="2" t="s">
        <v>125</v>
      </c>
      <c r="B3485" s="2" t="s">
        <v>165</v>
      </c>
      <c r="C3485" s="2" t="s">
        <v>48</v>
      </c>
      <c r="D3485" s="2" t="s">
        <v>10</v>
      </c>
      <c r="E3485" s="2" t="s">
        <v>85</v>
      </c>
      <c r="F3485" s="2" t="s">
        <v>1146</v>
      </c>
      <c r="G3485" s="14" t="n">
        <v>24.5</v>
      </c>
      <c r="H3485" s="14" t="n">
        <v>20.83</v>
      </c>
      <c r="I3485" s="14" t="n">
        <v>24.5</v>
      </c>
      <c r="J3485" s="22" t="n">
        <f aca="false">IF(E3485="Priority",'Cost model'!N38,'Cost model'!M38)</f>
        <v>18.5</v>
      </c>
      <c r="K3485" s="14" t="n">
        <f aca="false">J3485-H3485</f>
        <v>-2.33</v>
      </c>
      <c r="L3485" s="14" t="n">
        <f aca="false">G3485-H3485</f>
        <v>3.67</v>
      </c>
    </row>
    <row r="3486" customFormat="false" ht="15" hidden="false" customHeight="false" outlineLevel="0" collapsed="false">
      <c r="A3486" s="2" t="s">
        <v>126</v>
      </c>
      <c r="B3486" s="2" t="s">
        <v>126</v>
      </c>
      <c r="C3486" s="2" t="s">
        <v>49</v>
      </c>
      <c r="D3486" s="2" t="s">
        <v>10</v>
      </c>
      <c r="E3486" s="2" t="s">
        <v>85</v>
      </c>
      <c r="F3486" s="2" t="s">
        <v>1145</v>
      </c>
      <c r="G3486" s="14" t="n">
        <v>17.5</v>
      </c>
      <c r="H3486" s="14" t="n">
        <v>20.83</v>
      </c>
      <c r="I3486" s="14" t="n">
        <v>17.5</v>
      </c>
      <c r="J3486" s="22" t="n">
        <f aca="false">IF(E3486="Priority",'Cost model'!N381,'Cost model'!M381)</f>
        <v>19.5</v>
      </c>
      <c r="K3486" s="14" t="n">
        <f aca="false">J3486-H3486</f>
        <v>-1.33</v>
      </c>
      <c r="L3486" s="14" t="n">
        <f aca="false">G3486-H3486</f>
        <v>-3.33</v>
      </c>
    </row>
    <row r="3487" customFormat="false" ht="15" hidden="false" customHeight="false" outlineLevel="0" collapsed="false">
      <c r="A3487" s="2" t="s">
        <v>126</v>
      </c>
      <c r="B3487" s="2" t="s">
        <v>126</v>
      </c>
      <c r="C3487" s="2" t="s">
        <v>49</v>
      </c>
      <c r="D3487" s="2" t="s">
        <v>14</v>
      </c>
      <c r="E3487" s="2" t="s">
        <v>76</v>
      </c>
      <c r="F3487" s="2" t="s">
        <v>1145</v>
      </c>
      <c r="G3487" s="14" t="n">
        <v>45</v>
      </c>
      <c r="H3487" s="14" t="n">
        <v>99.3</v>
      </c>
      <c r="I3487" s="14" t="n">
        <v>45</v>
      </c>
      <c r="J3487" s="22" t="n">
        <f aca="false">IF(E3487="Priority",'Cost model'!N390,'Cost model'!M390)</f>
        <v>115</v>
      </c>
      <c r="K3487" s="14" t="n">
        <f aca="false">J3487-H3487</f>
        <v>15.7</v>
      </c>
      <c r="L3487" s="14" t="n">
        <f aca="false">G3487-H3487</f>
        <v>-54.3</v>
      </c>
    </row>
    <row r="3488" customFormat="false" ht="15" hidden="false" customHeight="false" outlineLevel="0" collapsed="false">
      <c r="A3488" s="2" t="s">
        <v>126</v>
      </c>
      <c r="B3488" s="2" t="s">
        <v>126</v>
      </c>
      <c r="C3488" s="2" t="s">
        <v>49</v>
      </c>
      <c r="D3488" s="2" t="s">
        <v>10</v>
      </c>
      <c r="E3488" s="2" t="s">
        <v>85</v>
      </c>
      <c r="F3488" s="2" t="s">
        <v>1145</v>
      </c>
      <c r="G3488" s="14" t="n">
        <v>17.5</v>
      </c>
      <c r="H3488" s="14" t="n">
        <v>17.69</v>
      </c>
      <c r="I3488" s="14" t="n">
        <v>17.5</v>
      </c>
      <c r="J3488" s="22" t="n">
        <f aca="false">IF(E3488="Priority",'Cost model'!N381,'Cost model'!M381)</f>
        <v>19.5</v>
      </c>
      <c r="K3488" s="14" t="n">
        <f aca="false">J3488-H3488</f>
        <v>1.81</v>
      </c>
      <c r="L3488" s="14" t="n">
        <f aca="false">G3488-H3488</f>
        <v>-0.190000000000001</v>
      </c>
    </row>
    <row r="3489" customFormat="false" ht="15" hidden="false" customHeight="false" outlineLevel="0" collapsed="false">
      <c r="A3489" s="2" t="s">
        <v>126</v>
      </c>
      <c r="B3489" s="2" t="s">
        <v>126</v>
      </c>
      <c r="C3489" s="2" t="s">
        <v>48</v>
      </c>
      <c r="D3489" s="2" t="s">
        <v>12</v>
      </c>
      <c r="E3489" s="2" t="s">
        <v>76</v>
      </c>
      <c r="F3489" s="2" t="s">
        <v>1145</v>
      </c>
      <c r="G3489" s="14" t="n">
        <v>9.5</v>
      </c>
      <c r="H3489" s="14" t="n">
        <v>59.17</v>
      </c>
      <c r="I3489" s="14" t="n">
        <v>9.5</v>
      </c>
      <c r="J3489" s="22" t="n">
        <f aca="false">IF(E3489="Priority",'Cost model'!N383,'Cost model'!M383)</f>
        <v>27.5</v>
      </c>
      <c r="K3489" s="14" t="n">
        <f aca="false">J3489-H3489</f>
        <v>-31.67</v>
      </c>
      <c r="L3489" s="14" t="n">
        <f aca="false">G3489-H3489</f>
        <v>-49.67</v>
      </c>
    </row>
    <row r="3490" customFormat="false" ht="15" hidden="false" customHeight="false" outlineLevel="0" collapsed="false">
      <c r="A3490" s="2" t="s">
        <v>125</v>
      </c>
      <c r="B3490" s="2" t="s">
        <v>184</v>
      </c>
      <c r="C3490" s="2" t="s">
        <v>48</v>
      </c>
      <c r="D3490" s="2" t="s">
        <v>12</v>
      </c>
      <c r="E3490" s="2" t="s">
        <v>85</v>
      </c>
      <c r="F3490" s="2" t="s">
        <v>1146</v>
      </c>
      <c r="G3490" s="14" t="n">
        <v>24.5</v>
      </c>
      <c r="H3490" s="14" t="n">
        <v>51.01</v>
      </c>
      <c r="I3490" s="14" t="n">
        <v>24.5</v>
      </c>
      <c r="J3490" s="22" t="n">
        <f aca="false">IF(E3490="Priority",'Cost model'!N59,'Cost model'!M59)</f>
        <v>60</v>
      </c>
      <c r="K3490" s="14" t="n">
        <f aca="false">J3490-H3490</f>
        <v>8.99</v>
      </c>
      <c r="L3490" s="14" t="n">
        <f aca="false">G3490-H3490</f>
        <v>-26.51</v>
      </c>
    </row>
    <row r="3491" customFormat="false" ht="15" hidden="false" customHeight="false" outlineLevel="0" collapsed="false">
      <c r="A3491" s="2" t="s">
        <v>240</v>
      </c>
      <c r="B3491" s="2" t="s">
        <v>146</v>
      </c>
      <c r="C3491" s="2" t="s">
        <v>48</v>
      </c>
      <c r="D3491" s="2" t="s">
        <v>10</v>
      </c>
      <c r="E3491" s="2" t="s">
        <v>76</v>
      </c>
      <c r="F3491" s="2" t="s">
        <v>1146</v>
      </c>
      <c r="G3491" s="14" t="n">
        <v>9.5</v>
      </c>
      <c r="H3491" s="14" t="n">
        <v>10.93</v>
      </c>
      <c r="I3491" s="14" t="n">
        <v>19.5</v>
      </c>
      <c r="J3491" s="22" t="n">
        <f aca="false">IF(E3491="Priority",'Cost model'!N920,'Cost model'!M920)</f>
        <v>16.5</v>
      </c>
      <c r="K3491" s="14" t="n">
        <f aca="false">J3491-H3491</f>
        <v>5.57</v>
      </c>
      <c r="L3491" s="14" t="n">
        <f aca="false">G3491-H3491</f>
        <v>-1.43</v>
      </c>
    </row>
    <row r="3492" customFormat="false" ht="15" hidden="false" customHeight="false" outlineLevel="0" collapsed="false">
      <c r="A3492" s="2" t="s">
        <v>146</v>
      </c>
      <c r="B3492" s="2" t="s">
        <v>146</v>
      </c>
      <c r="C3492" s="2" t="s">
        <v>49</v>
      </c>
      <c r="D3492" s="2" t="s">
        <v>10</v>
      </c>
      <c r="E3492" s="2" t="s">
        <v>76</v>
      </c>
      <c r="F3492" s="2" t="s">
        <v>1145</v>
      </c>
      <c r="G3492" s="14" t="n">
        <v>12.5</v>
      </c>
      <c r="H3492" s="14" t="n">
        <v>10.51</v>
      </c>
      <c r="I3492" s="14" t="n">
        <v>12.5</v>
      </c>
      <c r="J3492" s="22" t="n">
        <f aca="false">IF(E3492="Priority",'Cost model'!N759,'Cost model'!M759)</f>
        <v>15.5</v>
      </c>
      <c r="K3492" s="14" t="n">
        <f aca="false">J3492-H3492</f>
        <v>4.99</v>
      </c>
      <c r="L3492" s="14" t="n">
        <f aca="false">G3492-H3492</f>
        <v>1.99</v>
      </c>
    </row>
    <row r="3493" customFormat="false" ht="15" hidden="false" customHeight="false" outlineLevel="0" collapsed="false">
      <c r="A3493" s="2" t="s">
        <v>126</v>
      </c>
      <c r="B3493" s="2" t="s">
        <v>126</v>
      </c>
      <c r="C3493" s="2" t="s">
        <v>49</v>
      </c>
      <c r="D3493" s="2" t="s">
        <v>10</v>
      </c>
      <c r="E3493" s="2" t="s">
        <v>76</v>
      </c>
      <c r="F3493" s="2" t="s">
        <v>1145</v>
      </c>
      <c r="G3493" s="14" t="n">
        <v>12.5</v>
      </c>
      <c r="H3493" s="14" t="n">
        <v>11.42</v>
      </c>
      <c r="I3493" s="14" t="n">
        <v>12.5</v>
      </c>
      <c r="J3493" s="22" t="n">
        <f aca="false">IF(E3493="Priority",'Cost model'!N381,'Cost model'!M381)</f>
        <v>14.5</v>
      </c>
      <c r="K3493" s="14" t="n">
        <f aca="false">J3493-H3493</f>
        <v>3.08</v>
      </c>
      <c r="L3493" s="14" t="n">
        <f aca="false">G3493-H3493</f>
        <v>1.08</v>
      </c>
    </row>
    <row r="3494" customFormat="false" ht="15" hidden="false" customHeight="false" outlineLevel="0" collapsed="false">
      <c r="A3494" s="2" t="s">
        <v>184</v>
      </c>
      <c r="B3494" s="2" t="s">
        <v>184</v>
      </c>
      <c r="C3494" s="2" t="s">
        <v>49</v>
      </c>
      <c r="D3494" s="2" t="s">
        <v>10</v>
      </c>
      <c r="E3494" s="2" t="s">
        <v>76</v>
      </c>
      <c r="F3494" s="2" t="s">
        <v>1145</v>
      </c>
      <c r="G3494" s="14" t="n">
        <v>12.5</v>
      </c>
      <c r="H3494" s="14" t="n">
        <v>10.51</v>
      </c>
      <c r="I3494" s="14"/>
      <c r="J3494" s="22" t="n">
        <f aca="false">IF(E3494="Priority",'Cost model'!N201,'Cost model'!M201)</f>
        <v>12.5</v>
      </c>
      <c r="K3494" s="14" t="n">
        <f aca="false">J3494-H3494</f>
        <v>1.99</v>
      </c>
      <c r="L3494" s="14" t="n">
        <f aca="false">G3494-H3494</f>
        <v>1.99</v>
      </c>
    </row>
    <row r="3495" customFormat="false" ht="15" hidden="false" customHeight="false" outlineLevel="0" collapsed="false">
      <c r="A3495" s="2" t="s">
        <v>184</v>
      </c>
      <c r="B3495" s="2" t="s">
        <v>184</v>
      </c>
      <c r="C3495" s="2" t="s">
        <v>50</v>
      </c>
      <c r="D3495" s="2" t="s">
        <v>14</v>
      </c>
      <c r="E3495" s="2" t="s">
        <v>76</v>
      </c>
      <c r="F3495" s="2" t="s">
        <v>1145</v>
      </c>
      <c r="G3495" s="14" t="n">
        <v>85</v>
      </c>
      <c r="H3495" s="14" t="n">
        <v>312.98</v>
      </c>
      <c r="I3495" s="14" t="n">
        <v>85</v>
      </c>
      <c r="J3495" s="22" t="n">
        <f aca="false">IF(E3495="Priority",'Cost model'!N211,'Cost model'!M211)</f>
        <v>175</v>
      </c>
      <c r="K3495" s="14" t="n">
        <f aca="false">J3495-H3495</f>
        <v>-137.98</v>
      </c>
      <c r="L3495" s="14" t="n">
        <f aca="false">G3495-H3495</f>
        <v>-227.98</v>
      </c>
    </row>
    <row r="3496" customFormat="false" ht="15" hidden="false" customHeight="false" outlineLevel="0" collapsed="false">
      <c r="A3496" s="2" t="s">
        <v>146</v>
      </c>
      <c r="B3496" s="2" t="s">
        <v>146</v>
      </c>
      <c r="C3496" s="2" t="s">
        <v>49</v>
      </c>
      <c r="D3496" s="2" t="s">
        <v>12</v>
      </c>
      <c r="E3496" s="2" t="s">
        <v>76</v>
      </c>
      <c r="F3496" s="2" t="s">
        <v>1145</v>
      </c>
      <c r="G3496" s="14" t="n">
        <v>12.5</v>
      </c>
      <c r="H3496" s="14" t="n">
        <v>76.65</v>
      </c>
      <c r="I3496" s="14" t="n">
        <v>12.5</v>
      </c>
      <c r="J3496" s="22" t="n">
        <f aca="false">IF(E3496="Priority",'Cost model'!N762,'Cost model'!M762)</f>
        <v>45</v>
      </c>
      <c r="K3496" s="14" t="n">
        <f aca="false">J3496-H3496</f>
        <v>-31.65</v>
      </c>
      <c r="L3496" s="14" t="n">
        <f aca="false">G3496-H3496</f>
        <v>-64.15</v>
      </c>
    </row>
    <row r="3497" customFormat="false" ht="15" hidden="false" customHeight="false" outlineLevel="0" collapsed="false">
      <c r="A3497" s="2" t="s">
        <v>146</v>
      </c>
      <c r="B3497" s="2" t="s">
        <v>146</v>
      </c>
      <c r="C3497" s="2" t="s">
        <v>49</v>
      </c>
      <c r="D3497" s="2" t="s">
        <v>10</v>
      </c>
      <c r="E3497" s="2" t="s">
        <v>76</v>
      </c>
      <c r="F3497" s="2" t="s">
        <v>1145</v>
      </c>
      <c r="G3497" s="14" t="n">
        <v>12.5</v>
      </c>
      <c r="H3497" s="14" t="n">
        <v>23.58</v>
      </c>
      <c r="I3497" s="14" t="n">
        <v>12.5</v>
      </c>
      <c r="J3497" s="22" t="n">
        <f aca="false">IF(E3497="Priority",'Cost model'!N759,'Cost model'!M759)</f>
        <v>15.5</v>
      </c>
      <c r="K3497" s="14" t="n">
        <f aca="false">J3497-H3497</f>
        <v>-8.08</v>
      </c>
      <c r="L3497" s="14" t="n">
        <f aca="false">G3497-H3497</f>
        <v>-11.08</v>
      </c>
    </row>
    <row r="3498" customFormat="false" ht="15" hidden="false" customHeight="false" outlineLevel="0" collapsed="false">
      <c r="A3498" s="2" t="s">
        <v>184</v>
      </c>
      <c r="B3498" s="2" t="s">
        <v>184</v>
      </c>
      <c r="C3498" s="2" t="s">
        <v>48</v>
      </c>
      <c r="D3498" s="2" t="s">
        <v>10</v>
      </c>
      <c r="E3498" s="2" t="s">
        <v>76</v>
      </c>
      <c r="F3498" s="2" t="s">
        <v>1145</v>
      </c>
      <c r="G3498" s="14" t="n">
        <v>9.5</v>
      </c>
      <c r="H3498" s="14" t="n">
        <v>7.46</v>
      </c>
      <c r="I3498" s="14" t="n">
        <v>9.5</v>
      </c>
      <c r="J3498" s="22" t="n">
        <f aca="false">IF(E3498="Priority",'Cost model'!N200,'Cost model'!M200)</f>
        <v>7.5</v>
      </c>
      <c r="K3498" s="14" t="n">
        <f aca="false">J3498-H3498</f>
        <v>0.04</v>
      </c>
      <c r="L3498" s="14" t="n">
        <f aca="false">G3498-H3498</f>
        <v>2.04</v>
      </c>
    </row>
    <row r="3499" customFormat="false" ht="15" hidden="false" customHeight="false" outlineLevel="0" collapsed="false">
      <c r="A3499" s="2" t="s">
        <v>184</v>
      </c>
      <c r="B3499" s="2" t="s">
        <v>126</v>
      </c>
      <c r="C3499" s="2" t="s">
        <v>50</v>
      </c>
      <c r="D3499" s="2" t="s">
        <v>12</v>
      </c>
      <c r="E3499" s="2" t="s">
        <v>76</v>
      </c>
      <c r="F3499" s="2" t="s">
        <v>1146</v>
      </c>
      <c r="G3499" s="14" t="n">
        <v>19.5</v>
      </c>
      <c r="H3499" s="14" t="n">
        <v>38.69</v>
      </c>
      <c r="I3499" s="14" t="n">
        <v>19.5</v>
      </c>
      <c r="J3499" s="22" t="n">
        <f aca="false">IF(E3499="Priority",'Cost model'!N133,'Cost model'!M133)</f>
        <v>55</v>
      </c>
      <c r="K3499" s="14" t="n">
        <f aca="false">J3499-H3499</f>
        <v>16.31</v>
      </c>
      <c r="L3499" s="14" t="n">
        <f aca="false">G3499-H3499</f>
        <v>-19.19</v>
      </c>
    </row>
    <row r="3500" customFormat="false" ht="15" hidden="false" customHeight="false" outlineLevel="0" collapsed="false">
      <c r="A3500" s="2" t="s">
        <v>126</v>
      </c>
      <c r="B3500" s="2" t="s">
        <v>126</v>
      </c>
      <c r="C3500" s="2" t="s">
        <v>49</v>
      </c>
      <c r="D3500" s="2" t="s">
        <v>12</v>
      </c>
      <c r="E3500" s="2" t="s">
        <v>76</v>
      </c>
      <c r="F3500" s="2" t="s">
        <v>1145</v>
      </c>
      <c r="G3500" s="14" t="n">
        <v>12.5</v>
      </c>
      <c r="H3500" s="14" t="n">
        <v>25.99</v>
      </c>
      <c r="I3500" s="14" t="n">
        <v>12.5</v>
      </c>
      <c r="J3500" s="22" t="n">
        <f aca="false">IF(E3500="Priority",'Cost model'!N384,'Cost model'!M384)</f>
        <v>45</v>
      </c>
      <c r="K3500" s="14" t="n">
        <f aca="false">J3500-H3500</f>
        <v>19.01</v>
      </c>
      <c r="L3500" s="14" t="n">
        <f aca="false">G3500-H3500</f>
        <v>-13.49</v>
      </c>
    </row>
    <row r="3501" customFormat="false" ht="15" hidden="false" customHeight="false" outlineLevel="0" collapsed="false">
      <c r="A3501" s="2" t="s">
        <v>146</v>
      </c>
      <c r="B3501" s="2" t="s">
        <v>184</v>
      </c>
      <c r="C3501" s="2" t="s">
        <v>48</v>
      </c>
      <c r="D3501" s="2" t="s">
        <v>10</v>
      </c>
      <c r="E3501" s="2" t="s">
        <v>76</v>
      </c>
      <c r="F3501" s="2" t="s">
        <v>1146</v>
      </c>
      <c r="G3501" s="14" t="n">
        <v>14.5</v>
      </c>
      <c r="H3501" s="14" t="n">
        <v>7.93</v>
      </c>
      <c r="I3501" s="14" t="n">
        <v>14.5</v>
      </c>
      <c r="J3501" s="22" t="n">
        <f aca="false">IF(E3501="Priority",'Cost model'!N830,'Cost model'!M830)</f>
        <v>9.5</v>
      </c>
      <c r="K3501" s="14" t="n">
        <f aca="false">J3501-H3501</f>
        <v>1.57</v>
      </c>
      <c r="L3501" s="14" t="n">
        <f aca="false">G3501-H3501</f>
        <v>6.57</v>
      </c>
    </row>
    <row r="3502" customFormat="false" ht="15" hidden="false" customHeight="false" outlineLevel="0" collapsed="false">
      <c r="A3502" s="2" t="s">
        <v>146</v>
      </c>
      <c r="B3502" s="2" t="s">
        <v>146</v>
      </c>
      <c r="C3502" s="2" t="s">
        <v>49</v>
      </c>
      <c r="D3502" s="2" t="s">
        <v>10</v>
      </c>
      <c r="E3502" s="2" t="s">
        <v>85</v>
      </c>
      <c r="F3502" s="2" t="s">
        <v>1145</v>
      </c>
      <c r="G3502" s="14" t="n">
        <v>17.5</v>
      </c>
      <c r="H3502" s="14" t="n">
        <v>20.83</v>
      </c>
      <c r="I3502" s="14" t="n">
        <v>17.5</v>
      </c>
      <c r="J3502" s="22" t="n">
        <f aca="false">IF(E3502="Priority",'Cost model'!N759,'Cost model'!M759)</f>
        <v>21.5</v>
      </c>
      <c r="K3502" s="14" t="n">
        <f aca="false">J3502-H3502</f>
        <v>0.670000000000002</v>
      </c>
      <c r="L3502" s="14" t="n">
        <f aca="false">G3502-H3502</f>
        <v>-3.33</v>
      </c>
    </row>
    <row r="3503" customFormat="false" ht="15" hidden="false" customHeight="false" outlineLevel="0" collapsed="false">
      <c r="A3503" s="2" t="s">
        <v>184</v>
      </c>
      <c r="B3503" s="2" t="s">
        <v>184</v>
      </c>
      <c r="C3503" s="2" t="s">
        <v>49</v>
      </c>
      <c r="D3503" s="2" t="s">
        <v>12</v>
      </c>
      <c r="E3503" s="2" t="s">
        <v>76</v>
      </c>
      <c r="F3503" s="2" t="s">
        <v>1145</v>
      </c>
      <c r="G3503" s="14" t="n">
        <v>12.5</v>
      </c>
      <c r="H3503" s="14" t="n">
        <v>44.73</v>
      </c>
      <c r="I3503" s="14"/>
      <c r="J3503" s="22" t="n">
        <f aca="false">IF(E3503="Priority",'Cost model'!N204,'Cost model'!M204)</f>
        <v>45</v>
      </c>
      <c r="K3503" s="14" t="n">
        <f aca="false">J3503-H3503</f>
        <v>0.270000000000003</v>
      </c>
      <c r="L3503" s="14" t="n">
        <f aca="false">G3503-H3503</f>
        <v>-32.23</v>
      </c>
    </row>
    <row r="3504" customFormat="false" ht="15" hidden="false" customHeight="false" outlineLevel="0" collapsed="false">
      <c r="A3504" s="2" t="s">
        <v>146</v>
      </c>
      <c r="B3504" s="2" t="s">
        <v>146</v>
      </c>
      <c r="C3504" s="2" t="s">
        <v>50</v>
      </c>
      <c r="D3504" s="2" t="s">
        <v>12</v>
      </c>
      <c r="E3504" s="2" t="s">
        <v>85</v>
      </c>
      <c r="F3504" s="2" t="s">
        <v>1145</v>
      </c>
      <c r="G3504" s="14" t="n">
        <v>29.5</v>
      </c>
      <c r="H3504" s="14" t="n">
        <v>107.13</v>
      </c>
      <c r="I3504" s="14" t="n">
        <v>29.5</v>
      </c>
      <c r="J3504" s="22" t="n">
        <f aca="false">IF(E3504="Priority",'Cost model'!N763,'Cost model'!M763)</f>
        <v>65</v>
      </c>
      <c r="K3504" s="14" t="n">
        <f aca="false">J3504-H3504</f>
        <v>-42.13</v>
      </c>
      <c r="L3504" s="14" t="n">
        <f aca="false">G3504-H3504</f>
        <v>-77.63</v>
      </c>
    </row>
    <row r="3505" customFormat="false" ht="15" hidden="false" customHeight="false" outlineLevel="0" collapsed="false">
      <c r="A3505" s="2" t="s">
        <v>184</v>
      </c>
      <c r="B3505" s="2" t="s">
        <v>126</v>
      </c>
      <c r="C3505" s="2" t="s">
        <v>50</v>
      </c>
      <c r="D3505" s="2" t="s">
        <v>12</v>
      </c>
      <c r="E3505" s="2" t="s">
        <v>85</v>
      </c>
      <c r="F3505" s="2" t="s">
        <v>1146</v>
      </c>
      <c r="G3505" s="14" t="n">
        <v>29.5</v>
      </c>
      <c r="H3505" s="14" t="n">
        <v>34.79</v>
      </c>
      <c r="I3505" s="14" t="n">
        <v>29.5</v>
      </c>
      <c r="J3505" s="22" t="n">
        <f aca="false">IF(E3505="Priority",'Cost model'!N133,'Cost model'!M133)</f>
        <v>70</v>
      </c>
      <c r="K3505" s="14" t="n">
        <f aca="false">J3505-H3505</f>
        <v>35.21</v>
      </c>
      <c r="L3505" s="14" t="n">
        <f aca="false">G3505-H3505</f>
        <v>-5.29</v>
      </c>
    </row>
    <row r="3506" customFormat="false" ht="15" hidden="false" customHeight="false" outlineLevel="0" collapsed="false">
      <c r="A3506" s="2" t="s">
        <v>184</v>
      </c>
      <c r="B3506" s="2" t="s">
        <v>184</v>
      </c>
      <c r="C3506" s="2" t="s">
        <v>49</v>
      </c>
      <c r="D3506" s="2" t="s">
        <v>12</v>
      </c>
      <c r="E3506" s="2" t="s">
        <v>85</v>
      </c>
      <c r="F3506" s="2" t="s">
        <v>1145</v>
      </c>
      <c r="G3506" s="14" t="n">
        <v>19.5</v>
      </c>
      <c r="H3506" s="14" t="n">
        <v>42.61</v>
      </c>
      <c r="I3506" s="14" t="n">
        <v>19.5</v>
      </c>
      <c r="J3506" s="22" t="n">
        <f aca="false">IF(E3506="Priority",'Cost model'!N204,'Cost model'!M204)</f>
        <v>60</v>
      </c>
      <c r="K3506" s="14" t="n">
        <f aca="false">J3506-H3506</f>
        <v>17.39</v>
      </c>
      <c r="L3506" s="14" t="n">
        <f aca="false">G3506-H3506</f>
        <v>-23.11</v>
      </c>
    </row>
    <row r="3507" customFormat="false" ht="15" hidden="false" customHeight="false" outlineLevel="0" collapsed="false">
      <c r="A3507" s="2" t="s">
        <v>126</v>
      </c>
      <c r="B3507" s="2" t="s">
        <v>126</v>
      </c>
      <c r="C3507" s="2" t="s">
        <v>49</v>
      </c>
      <c r="D3507" s="2" t="s">
        <v>10</v>
      </c>
      <c r="E3507" s="2" t="s">
        <v>76</v>
      </c>
      <c r="F3507" s="2" t="s">
        <v>1145</v>
      </c>
      <c r="G3507" s="14" t="n">
        <v>12.5</v>
      </c>
      <c r="H3507" s="14" t="n">
        <v>11.34</v>
      </c>
      <c r="I3507" s="14" t="n">
        <v>12.5</v>
      </c>
      <c r="J3507" s="22" t="n">
        <f aca="false">IF(E3507="Priority",'Cost model'!N381,'Cost model'!M381)</f>
        <v>14.5</v>
      </c>
      <c r="K3507" s="14" t="n">
        <f aca="false">J3507-H3507</f>
        <v>3.16</v>
      </c>
      <c r="L3507" s="14" t="n">
        <f aca="false">G3507-H3507</f>
        <v>1.16</v>
      </c>
    </row>
    <row r="3508" customFormat="false" ht="15" hidden="false" customHeight="false" outlineLevel="0" collapsed="false">
      <c r="A3508" s="2" t="s">
        <v>240</v>
      </c>
      <c r="B3508" s="2" t="s">
        <v>240</v>
      </c>
      <c r="C3508" s="2" t="s">
        <v>48</v>
      </c>
      <c r="D3508" s="2" t="s">
        <v>12</v>
      </c>
      <c r="E3508" s="2" t="s">
        <v>76</v>
      </c>
      <c r="F3508" s="2" t="s">
        <v>1145</v>
      </c>
      <c r="G3508" s="14" t="n">
        <v>9.5</v>
      </c>
      <c r="H3508" s="14" t="n">
        <v>7.9</v>
      </c>
      <c r="I3508" s="14" t="n">
        <v>9.5</v>
      </c>
      <c r="J3508" s="22" t="n">
        <f aca="false">IF(E3508="Priority",'Cost model'!N887,'Cost model'!M887)</f>
        <v>21.5</v>
      </c>
      <c r="K3508" s="14" t="n">
        <f aca="false">J3508-H3508</f>
        <v>13.6</v>
      </c>
      <c r="L3508" s="14" t="n">
        <f aca="false">G3508-H3508</f>
        <v>1.6</v>
      </c>
    </row>
    <row r="3509" customFormat="false" ht="15" hidden="false" customHeight="false" outlineLevel="0" collapsed="false">
      <c r="A3509" s="2" t="s">
        <v>165</v>
      </c>
      <c r="B3509" s="2" t="s">
        <v>165</v>
      </c>
      <c r="C3509" s="2" t="s">
        <v>48</v>
      </c>
      <c r="D3509" s="2" t="s">
        <v>10</v>
      </c>
      <c r="E3509" s="2" t="s">
        <v>85</v>
      </c>
      <c r="F3509" s="2" t="s">
        <v>1145</v>
      </c>
      <c r="G3509" s="14" t="n">
        <v>14.5</v>
      </c>
      <c r="H3509" s="14" t="n">
        <v>8.04</v>
      </c>
      <c r="I3509" s="14" t="n">
        <v>14.5</v>
      </c>
      <c r="J3509" s="22" t="n">
        <f aca="false">IF(E3509="Priority",'Cost model'!N506,'Cost model'!M506)</f>
        <v>12.5</v>
      </c>
      <c r="K3509" s="14" t="n">
        <f aca="false">J3509-H3509</f>
        <v>4.46</v>
      </c>
      <c r="L3509" s="14" t="n">
        <f aca="false">G3509-H3509</f>
        <v>6.46</v>
      </c>
    </row>
    <row r="3510" customFormat="false" ht="15" hidden="false" customHeight="false" outlineLevel="0" collapsed="false">
      <c r="A3510" s="2" t="s">
        <v>240</v>
      </c>
      <c r="B3510" s="2" t="s">
        <v>146</v>
      </c>
      <c r="C3510" s="2" t="s">
        <v>48</v>
      </c>
      <c r="D3510" s="2" t="s">
        <v>12</v>
      </c>
      <c r="E3510" s="2" t="s">
        <v>76</v>
      </c>
      <c r="F3510" s="2" t="s">
        <v>1146</v>
      </c>
      <c r="G3510" s="14" t="n">
        <v>9.5</v>
      </c>
      <c r="H3510" s="14" t="n">
        <v>25.8</v>
      </c>
      <c r="I3510" s="14" t="n">
        <v>24.5</v>
      </c>
      <c r="J3510" s="22" t="n">
        <f aca="false">IF(E3510="Priority",'Cost model'!N923,'Cost model'!M923)</f>
        <v>65</v>
      </c>
      <c r="K3510" s="14" t="n">
        <f aca="false">J3510-H3510</f>
        <v>39.2</v>
      </c>
      <c r="L3510" s="14" t="n">
        <f aca="false">G3510-H3510</f>
        <v>-16.3</v>
      </c>
    </row>
    <row r="3511" customFormat="false" ht="15" hidden="false" customHeight="false" outlineLevel="0" collapsed="false">
      <c r="A3511" s="2" t="s">
        <v>240</v>
      </c>
      <c r="B3511" s="2" t="s">
        <v>240</v>
      </c>
      <c r="C3511" s="2" t="s">
        <v>48</v>
      </c>
      <c r="D3511" s="2" t="s">
        <v>12</v>
      </c>
      <c r="E3511" s="2" t="s">
        <v>76</v>
      </c>
      <c r="F3511" s="2" t="s">
        <v>1145</v>
      </c>
      <c r="G3511" s="14" t="n">
        <v>9.5</v>
      </c>
      <c r="H3511" s="14" t="n">
        <v>27.86</v>
      </c>
      <c r="I3511" s="14" t="n">
        <v>9.5</v>
      </c>
      <c r="J3511" s="22" t="n">
        <f aca="false">IF(E3511="Priority",'Cost model'!N887,'Cost model'!M887)</f>
        <v>21.5</v>
      </c>
      <c r="K3511" s="14" t="n">
        <f aca="false">J3511-H3511</f>
        <v>-6.36</v>
      </c>
      <c r="L3511" s="14" t="n">
        <f aca="false">G3511-H3511</f>
        <v>-18.36</v>
      </c>
    </row>
    <row r="3512" customFormat="false" ht="15" hidden="false" customHeight="false" outlineLevel="0" collapsed="false">
      <c r="A3512" s="2" t="s">
        <v>184</v>
      </c>
      <c r="B3512" s="2" t="s">
        <v>184</v>
      </c>
      <c r="C3512" s="2" t="s">
        <v>50</v>
      </c>
      <c r="D3512" s="2" t="s">
        <v>12</v>
      </c>
      <c r="E3512" s="2" t="s">
        <v>76</v>
      </c>
      <c r="F3512" s="2" t="s">
        <v>1145</v>
      </c>
      <c r="G3512" s="14" t="n">
        <v>19.5</v>
      </c>
      <c r="H3512" s="14" t="n">
        <v>43.3</v>
      </c>
      <c r="I3512" s="14" t="n">
        <v>19.5</v>
      </c>
      <c r="J3512" s="22" t="n">
        <f aca="false">IF(E3512="Priority",'Cost model'!N205,'Cost model'!M205)</f>
        <v>50</v>
      </c>
      <c r="K3512" s="14" t="n">
        <f aca="false">J3512-H3512</f>
        <v>6.7</v>
      </c>
      <c r="L3512" s="14" t="n">
        <f aca="false">G3512-H3512</f>
        <v>-23.8</v>
      </c>
    </row>
    <row r="3513" customFormat="false" ht="15" hidden="false" customHeight="false" outlineLevel="0" collapsed="false">
      <c r="A3513" s="2" t="s">
        <v>165</v>
      </c>
      <c r="B3513" s="2" t="s">
        <v>165</v>
      </c>
      <c r="C3513" s="2" t="s">
        <v>48</v>
      </c>
      <c r="D3513" s="2" t="s">
        <v>10</v>
      </c>
      <c r="E3513" s="2" t="s">
        <v>76</v>
      </c>
      <c r="F3513" s="2" t="s">
        <v>1145</v>
      </c>
      <c r="G3513" s="14" t="n">
        <v>9.5</v>
      </c>
      <c r="H3513" s="14" t="n">
        <v>8.09</v>
      </c>
      <c r="I3513" s="14" t="n">
        <v>9.5</v>
      </c>
      <c r="J3513" s="22" t="n">
        <f aca="false">IF(E3513="Priority",'Cost model'!N506,'Cost model'!M506)</f>
        <v>7.5</v>
      </c>
      <c r="K3513" s="14" t="n">
        <f aca="false">J3513-H3513</f>
        <v>-0.59</v>
      </c>
      <c r="L3513" s="14" t="n">
        <f aca="false">G3513-H3513</f>
        <v>1.41</v>
      </c>
    </row>
    <row r="3514" customFormat="false" ht="15" hidden="false" customHeight="false" outlineLevel="0" collapsed="false">
      <c r="A3514" s="2" t="s">
        <v>184</v>
      </c>
      <c r="B3514" s="2" t="s">
        <v>184</v>
      </c>
      <c r="C3514" s="2" t="s">
        <v>48</v>
      </c>
      <c r="D3514" s="2" t="s">
        <v>16</v>
      </c>
      <c r="E3514" s="2" t="s">
        <v>76</v>
      </c>
      <c r="F3514" s="2" t="s">
        <v>1145</v>
      </c>
      <c r="G3514" s="14" t="n">
        <v>25</v>
      </c>
      <c r="H3514" s="14" t="n">
        <v>143.53</v>
      </c>
      <c r="I3514" s="14" t="n">
        <v>25</v>
      </c>
      <c r="J3514" s="22" t="n">
        <f aca="false">IF(E3514="Priority",'Cost model'!N215,'Cost model'!M215)</f>
        <v>135</v>
      </c>
      <c r="K3514" s="14" t="n">
        <f aca="false">J3514-H3514</f>
        <v>-8.53</v>
      </c>
      <c r="L3514" s="14" t="n">
        <f aca="false">G3514-H3514</f>
        <v>-118.53</v>
      </c>
    </row>
    <row r="3515" customFormat="false" ht="15" hidden="false" customHeight="false" outlineLevel="0" collapsed="false">
      <c r="A3515" s="2" t="s">
        <v>126</v>
      </c>
      <c r="B3515" s="2" t="s">
        <v>126</v>
      </c>
      <c r="C3515" s="2" t="s">
        <v>48</v>
      </c>
      <c r="D3515" s="2" t="s">
        <v>10</v>
      </c>
      <c r="E3515" s="2" t="s">
        <v>85</v>
      </c>
      <c r="F3515" s="2" t="s">
        <v>1145</v>
      </c>
      <c r="G3515" s="14" t="n">
        <v>14.5</v>
      </c>
      <c r="H3515" s="14" t="n">
        <v>21.34</v>
      </c>
      <c r="I3515" s="14" t="n">
        <v>14.5</v>
      </c>
      <c r="J3515" s="22" t="n">
        <f aca="false">IF(E3515="Priority",'Cost model'!N380,'Cost model'!M380)</f>
        <v>13.5</v>
      </c>
      <c r="K3515" s="14" t="n">
        <f aca="false">J3515-H3515</f>
        <v>-7.84</v>
      </c>
      <c r="L3515" s="14" t="n">
        <f aca="false">G3515-H3515</f>
        <v>-6.84</v>
      </c>
    </row>
    <row r="3516" customFormat="false" ht="15" hidden="false" customHeight="false" outlineLevel="0" collapsed="false">
      <c r="A3516" s="2" t="s">
        <v>240</v>
      </c>
      <c r="B3516" s="2" t="s">
        <v>240</v>
      </c>
      <c r="C3516" s="2" t="s">
        <v>48</v>
      </c>
      <c r="D3516" s="2" t="s">
        <v>12</v>
      </c>
      <c r="E3516" s="2" t="s">
        <v>76</v>
      </c>
      <c r="F3516" s="2" t="s">
        <v>1145</v>
      </c>
      <c r="G3516" s="14" t="n">
        <v>9.5</v>
      </c>
      <c r="H3516" s="14" t="n">
        <v>35.61</v>
      </c>
      <c r="I3516" s="14" t="n">
        <v>9.5</v>
      </c>
      <c r="J3516" s="22" t="n">
        <f aca="false">IF(E3516="Priority",'Cost model'!N887,'Cost model'!M887)</f>
        <v>21.5</v>
      </c>
      <c r="K3516" s="14" t="n">
        <f aca="false">J3516-H3516</f>
        <v>-14.11</v>
      </c>
      <c r="L3516" s="14" t="n">
        <f aca="false">G3516-H3516</f>
        <v>-26.11</v>
      </c>
    </row>
    <row r="3517" customFormat="false" ht="15" hidden="false" customHeight="false" outlineLevel="0" collapsed="false">
      <c r="A3517" s="2" t="s">
        <v>165</v>
      </c>
      <c r="B3517" s="2" t="s">
        <v>165</v>
      </c>
      <c r="C3517" s="2" t="s">
        <v>48</v>
      </c>
      <c r="D3517" s="2" t="s">
        <v>13</v>
      </c>
      <c r="E3517" s="2" t="s">
        <v>76</v>
      </c>
      <c r="F3517" s="2" t="s">
        <v>1145</v>
      </c>
      <c r="G3517" s="14" t="n">
        <v>19</v>
      </c>
      <c r="H3517" s="14" t="n">
        <v>21.48</v>
      </c>
      <c r="I3517" s="14" t="n">
        <v>19</v>
      </c>
      <c r="J3517" s="22" t="n">
        <f aca="false">IF(E3517="Priority",'Cost model'!N512,'Cost model'!M512)</f>
        <v>35</v>
      </c>
      <c r="K3517" s="14" t="n">
        <f aca="false">J3517-H3517</f>
        <v>13.52</v>
      </c>
      <c r="L3517" s="14" t="n">
        <f aca="false">G3517-H3517</f>
        <v>-2.48</v>
      </c>
    </row>
    <row r="3518" customFormat="false" ht="15" hidden="false" customHeight="false" outlineLevel="0" collapsed="false">
      <c r="A3518" s="2" t="s">
        <v>184</v>
      </c>
      <c r="B3518" s="2" t="s">
        <v>184</v>
      </c>
      <c r="C3518" s="2" t="s">
        <v>50</v>
      </c>
      <c r="D3518" s="2" t="s">
        <v>10</v>
      </c>
      <c r="E3518" s="2" t="s">
        <v>76</v>
      </c>
      <c r="F3518" s="2" t="s">
        <v>1145</v>
      </c>
      <c r="G3518" s="14" t="n">
        <v>17.5</v>
      </c>
      <c r="H3518" s="14" t="n">
        <v>10.79</v>
      </c>
      <c r="I3518" s="14" t="n">
        <v>17.5</v>
      </c>
      <c r="J3518" s="22" t="n">
        <f aca="false">IF(E3518="Priority",'Cost model'!N202,'Cost model'!M202)</f>
        <v>17.5</v>
      </c>
      <c r="K3518" s="14" t="n">
        <f aca="false">J3518-H3518</f>
        <v>6.71</v>
      </c>
      <c r="L3518" s="14" t="n">
        <f aca="false">G3518-H3518</f>
        <v>6.71</v>
      </c>
    </row>
    <row r="3519" customFormat="false" ht="15" hidden="false" customHeight="false" outlineLevel="0" collapsed="false">
      <c r="A3519" s="2" t="s">
        <v>146</v>
      </c>
      <c r="B3519" s="2" t="s">
        <v>126</v>
      </c>
      <c r="C3519" s="2" t="s">
        <v>48</v>
      </c>
      <c r="D3519" s="2" t="s">
        <v>10</v>
      </c>
      <c r="E3519" s="2" t="s">
        <v>76</v>
      </c>
      <c r="F3519" s="2" t="s">
        <v>1146</v>
      </c>
      <c r="G3519" s="14" t="n">
        <v>9.5</v>
      </c>
      <c r="H3519" s="14" t="n">
        <v>7.37</v>
      </c>
      <c r="I3519" s="14" t="n">
        <v>14.5</v>
      </c>
      <c r="J3519" s="22" t="n">
        <f aca="false">IF(E3519="Priority",'Cost model'!N794,'Cost model'!M794)</f>
        <v>12.5</v>
      </c>
      <c r="K3519" s="14" t="n">
        <f aca="false">J3519-H3519</f>
        <v>5.13</v>
      </c>
      <c r="L3519" s="14" t="n">
        <f aca="false">G3519-H3519</f>
        <v>2.13</v>
      </c>
    </row>
    <row r="3520" customFormat="false" ht="15" hidden="false" customHeight="false" outlineLevel="0" collapsed="false">
      <c r="A3520" s="2" t="s">
        <v>184</v>
      </c>
      <c r="B3520" s="2" t="s">
        <v>184</v>
      </c>
      <c r="C3520" s="2" t="s">
        <v>48</v>
      </c>
      <c r="D3520" s="2" t="s">
        <v>12</v>
      </c>
      <c r="E3520" s="2" t="s">
        <v>76</v>
      </c>
      <c r="F3520" s="2" t="s">
        <v>1145</v>
      </c>
      <c r="G3520" s="14" t="n">
        <v>9.5</v>
      </c>
      <c r="H3520" s="14" t="n">
        <v>28.31</v>
      </c>
      <c r="I3520" s="14" t="n">
        <v>9.5</v>
      </c>
      <c r="J3520" s="22" t="n">
        <f aca="false">IF(E3520="Priority",'Cost model'!N203,'Cost model'!M203)</f>
        <v>26.5</v>
      </c>
      <c r="K3520" s="14" t="n">
        <f aca="false">J3520-H3520</f>
        <v>-1.81</v>
      </c>
      <c r="L3520" s="14" t="n">
        <f aca="false">G3520-H3520</f>
        <v>-18.81</v>
      </c>
    </row>
    <row r="3521" customFormat="false" ht="15" hidden="false" customHeight="false" outlineLevel="0" collapsed="false">
      <c r="A3521" s="2" t="s">
        <v>126</v>
      </c>
      <c r="B3521" s="2" t="s">
        <v>126</v>
      </c>
      <c r="C3521" s="2" t="s">
        <v>49</v>
      </c>
      <c r="D3521" s="2" t="s">
        <v>16</v>
      </c>
      <c r="E3521" s="2" t="s">
        <v>76</v>
      </c>
      <c r="F3521" s="2" t="s">
        <v>1145</v>
      </c>
      <c r="G3521" s="14" t="n">
        <v>85</v>
      </c>
      <c r="H3521" s="14" t="n">
        <v>112.35</v>
      </c>
      <c r="I3521" s="14" t="n">
        <v>85</v>
      </c>
      <c r="J3521" s="22" t="n">
        <f aca="false">IF(E3521="Priority",'Cost model'!N396,'Cost model'!M396)</f>
        <v>245</v>
      </c>
      <c r="K3521" s="14" t="n">
        <f aca="false">J3521-H3521</f>
        <v>132.65</v>
      </c>
      <c r="L3521" s="14" t="n">
        <f aca="false">G3521-H3521</f>
        <v>-27.35</v>
      </c>
    </row>
    <row r="3522" customFormat="false" ht="15" hidden="false" customHeight="false" outlineLevel="0" collapsed="false">
      <c r="A3522" s="2" t="s">
        <v>126</v>
      </c>
      <c r="B3522" s="2" t="s">
        <v>184</v>
      </c>
      <c r="C3522" s="2" t="s">
        <v>48</v>
      </c>
      <c r="D3522" s="2" t="s">
        <v>12</v>
      </c>
      <c r="E3522" s="2" t="s">
        <v>85</v>
      </c>
      <c r="F3522" s="2" t="s">
        <v>1146</v>
      </c>
      <c r="G3522" s="14" t="n">
        <v>24.5</v>
      </c>
      <c r="H3522" s="14" t="n">
        <v>54.88</v>
      </c>
      <c r="I3522" s="14" t="n">
        <v>24.5</v>
      </c>
      <c r="J3522" s="22" t="n">
        <f aca="false">IF(E3522="Priority",'Cost model'!N437,'Cost model'!M437)</f>
        <v>65</v>
      </c>
      <c r="K3522" s="14" t="n">
        <f aca="false">J3522-H3522</f>
        <v>10.12</v>
      </c>
      <c r="L3522" s="14" t="n">
        <f aca="false">G3522-H3522</f>
        <v>-30.38</v>
      </c>
    </row>
    <row r="3523" customFormat="false" ht="15" hidden="false" customHeight="false" outlineLevel="0" collapsed="false">
      <c r="A3523" s="2" t="s">
        <v>184</v>
      </c>
      <c r="B3523" s="2" t="s">
        <v>126</v>
      </c>
      <c r="C3523" s="2" t="s">
        <v>48</v>
      </c>
      <c r="D3523" s="2" t="s">
        <v>10</v>
      </c>
      <c r="E3523" s="2" t="s">
        <v>76</v>
      </c>
      <c r="F3523" s="2" t="s">
        <v>1146</v>
      </c>
      <c r="G3523" s="14" t="n">
        <v>9.5</v>
      </c>
      <c r="H3523" s="14" t="n">
        <v>9.37</v>
      </c>
      <c r="I3523" s="14" t="n">
        <v>9.5</v>
      </c>
      <c r="J3523" s="22" t="n">
        <f aca="false">IF(E3523="Priority",'Cost model'!N128,'Cost model'!M128)</f>
        <v>10.5</v>
      </c>
      <c r="K3523" s="14" t="n">
        <f aca="false">J3523-H3523</f>
        <v>1.13</v>
      </c>
      <c r="L3523" s="14" t="n">
        <f aca="false">G3523-H3523</f>
        <v>0.130000000000001</v>
      </c>
    </row>
    <row r="3524" customFormat="false" ht="15" hidden="false" customHeight="false" outlineLevel="0" collapsed="false">
      <c r="A3524" s="2" t="s">
        <v>240</v>
      </c>
      <c r="B3524" s="2" t="s">
        <v>146</v>
      </c>
      <c r="C3524" s="2" t="s">
        <v>50</v>
      </c>
      <c r="D3524" s="2" t="s">
        <v>12</v>
      </c>
      <c r="E3524" s="2" t="s">
        <v>76</v>
      </c>
      <c r="F3524" s="2" t="s">
        <v>1146</v>
      </c>
      <c r="G3524" s="14" t="n">
        <v>19.5</v>
      </c>
      <c r="H3524" s="14" t="n">
        <v>77.8</v>
      </c>
      <c r="I3524" s="14" t="n">
        <v>29.5</v>
      </c>
      <c r="J3524" s="22" t="n">
        <f aca="false">IF(E3524="Priority",'Cost model'!N925,'Cost model'!M925)</f>
        <v>80</v>
      </c>
      <c r="K3524" s="14" t="n">
        <f aca="false">J3524-H3524</f>
        <v>2.2</v>
      </c>
      <c r="L3524" s="14" t="n">
        <f aca="false">G3524-H3524</f>
        <v>-58.3</v>
      </c>
    </row>
    <row r="3525" customFormat="false" ht="15" hidden="false" customHeight="false" outlineLevel="0" collapsed="false">
      <c r="A3525" s="2" t="s">
        <v>184</v>
      </c>
      <c r="B3525" s="2" t="s">
        <v>184</v>
      </c>
      <c r="C3525" s="2" t="s">
        <v>48</v>
      </c>
      <c r="D3525" s="2" t="s">
        <v>10</v>
      </c>
      <c r="E3525" s="2" t="s">
        <v>85</v>
      </c>
      <c r="F3525" s="2" t="s">
        <v>1145</v>
      </c>
      <c r="G3525" s="14" t="n">
        <v>14.5</v>
      </c>
      <c r="H3525" s="14" t="n">
        <v>7.46</v>
      </c>
      <c r="I3525" s="14" t="n">
        <v>14.5</v>
      </c>
      <c r="J3525" s="22" t="n">
        <f aca="false">IF(E3525="Priority",'Cost model'!N200,'Cost model'!M200)</f>
        <v>12.5</v>
      </c>
      <c r="K3525" s="14" t="n">
        <f aca="false">J3525-H3525</f>
        <v>5.04</v>
      </c>
      <c r="L3525" s="14" t="n">
        <f aca="false">G3525-H3525</f>
        <v>7.04</v>
      </c>
    </row>
    <row r="3526" customFormat="false" ht="15" hidden="false" customHeight="false" outlineLevel="0" collapsed="false">
      <c r="A3526" s="2" t="s">
        <v>184</v>
      </c>
      <c r="B3526" s="2" t="s">
        <v>126</v>
      </c>
      <c r="C3526" s="2" t="s">
        <v>49</v>
      </c>
      <c r="D3526" s="2" t="s">
        <v>10</v>
      </c>
      <c r="E3526" s="2" t="s">
        <v>76</v>
      </c>
      <c r="F3526" s="2" t="s">
        <v>1146</v>
      </c>
      <c r="G3526" s="14" t="n">
        <v>12.5</v>
      </c>
      <c r="H3526" s="14" t="n">
        <v>15.99</v>
      </c>
      <c r="I3526" s="14"/>
      <c r="J3526" s="22" t="n">
        <f aca="false">IF(E3526="Priority",'Cost model'!N129,'Cost model'!M129)</f>
        <v>13.5</v>
      </c>
      <c r="K3526" s="14" t="n">
        <f aca="false">J3526-H3526</f>
        <v>-2.49</v>
      </c>
      <c r="L3526" s="14" t="n">
        <f aca="false">G3526-H3526</f>
        <v>-3.49</v>
      </c>
    </row>
    <row r="3527" customFormat="false" ht="15" hidden="false" customHeight="false" outlineLevel="0" collapsed="false">
      <c r="A3527" s="2" t="s">
        <v>184</v>
      </c>
      <c r="B3527" s="2" t="s">
        <v>126</v>
      </c>
      <c r="C3527" s="2" t="s">
        <v>49</v>
      </c>
      <c r="D3527" s="2" t="s">
        <v>10</v>
      </c>
      <c r="E3527" s="2" t="s">
        <v>76</v>
      </c>
      <c r="F3527" s="2" t="s">
        <v>1146</v>
      </c>
      <c r="G3527" s="14" t="n">
        <v>12.5</v>
      </c>
      <c r="H3527" s="14" t="n">
        <v>10.91</v>
      </c>
      <c r="I3527" s="14"/>
      <c r="J3527" s="22" t="n">
        <f aca="false">IF(E3527="Priority",'Cost model'!N129,'Cost model'!M129)</f>
        <v>13.5</v>
      </c>
      <c r="K3527" s="14" t="n">
        <f aca="false">J3527-H3527</f>
        <v>2.59</v>
      </c>
      <c r="L3527" s="14" t="n">
        <f aca="false">G3527-H3527</f>
        <v>1.59</v>
      </c>
    </row>
    <row r="3528" customFormat="false" ht="15" hidden="false" customHeight="false" outlineLevel="0" collapsed="false">
      <c r="A3528" s="2" t="s">
        <v>385</v>
      </c>
      <c r="B3528" s="2" t="s">
        <v>146</v>
      </c>
      <c r="C3528" s="2" t="s">
        <v>48</v>
      </c>
      <c r="D3528" s="2" t="s">
        <v>10</v>
      </c>
      <c r="E3528" s="2" t="s">
        <v>85</v>
      </c>
      <c r="F3528" s="2" t="s">
        <v>1146</v>
      </c>
      <c r="G3528" s="14" t="n">
        <v>24.5</v>
      </c>
      <c r="H3528" s="14" t="n">
        <v>71.92</v>
      </c>
      <c r="I3528" s="14" t="n">
        <v>24.5</v>
      </c>
      <c r="J3528" s="22" t="n">
        <f aca="false">IF(E3528="Priority",'Cost model'!N272,'Cost model'!M272)</f>
        <v>35</v>
      </c>
      <c r="K3528" s="14" t="n">
        <f aca="false">J3528-H3528</f>
        <v>-36.92</v>
      </c>
      <c r="L3528" s="14" t="n">
        <f aca="false">G3528-H3528</f>
        <v>-47.42</v>
      </c>
    </row>
    <row r="3529" customFormat="false" ht="15" hidden="false" customHeight="false" outlineLevel="0" collapsed="false">
      <c r="A3529" s="2" t="s">
        <v>184</v>
      </c>
      <c r="B3529" s="2" t="s">
        <v>146</v>
      </c>
      <c r="C3529" s="2" t="s">
        <v>50</v>
      </c>
      <c r="D3529" s="2" t="s">
        <v>12</v>
      </c>
      <c r="E3529" s="2" t="s">
        <v>76</v>
      </c>
      <c r="F3529" s="2" t="s">
        <v>1146</v>
      </c>
      <c r="G3529" s="14" t="n">
        <v>19.5</v>
      </c>
      <c r="H3529" s="14" t="n">
        <v>76.32</v>
      </c>
      <c r="I3529" s="14" t="n">
        <v>19.5</v>
      </c>
      <c r="J3529" s="22" t="n">
        <f aca="false">IF(E3529="Priority",'Cost model'!N151,'Cost model'!M151)</f>
        <v>55</v>
      </c>
      <c r="K3529" s="14" t="n">
        <f aca="false">J3529-H3529</f>
        <v>-21.32</v>
      </c>
      <c r="L3529" s="14" t="n">
        <f aca="false">G3529-H3529</f>
        <v>-56.82</v>
      </c>
    </row>
    <row r="3530" customFormat="false" ht="15" hidden="false" customHeight="false" outlineLevel="0" collapsed="false">
      <c r="A3530" s="2" t="s">
        <v>146</v>
      </c>
      <c r="B3530" s="2" t="s">
        <v>146</v>
      </c>
      <c r="C3530" s="2" t="s">
        <v>48</v>
      </c>
      <c r="D3530" s="2" t="s">
        <v>10</v>
      </c>
      <c r="E3530" s="2" t="s">
        <v>76</v>
      </c>
      <c r="F3530" s="2" t="s">
        <v>1145</v>
      </c>
      <c r="G3530" s="14" t="n">
        <v>9.5</v>
      </c>
      <c r="H3530" s="14" t="n">
        <v>7.14</v>
      </c>
      <c r="I3530" s="14" t="n">
        <v>9.5</v>
      </c>
      <c r="J3530" s="22" t="n">
        <f aca="false">IF(E3530="Priority",'Cost model'!N758,'Cost model'!M758)</f>
        <v>9.5</v>
      </c>
      <c r="K3530" s="14" t="n">
        <f aca="false">J3530-H3530</f>
        <v>2.36</v>
      </c>
      <c r="L3530" s="14" t="n">
        <f aca="false">G3530-H3530</f>
        <v>2.36</v>
      </c>
    </row>
    <row r="3531" customFormat="false" ht="15" hidden="false" customHeight="false" outlineLevel="0" collapsed="false">
      <c r="A3531" s="2" t="s">
        <v>126</v>
      </c>
      <c r="B3531" s="2" t="s">
        <v>165</v>
      </c>
      <c r="C3531" s="2" t="s">
        <v>49</v>
      </c>
      <c r="D3531" s="2" t="s">
        <v>14</v>
      </c>
      <c r="E3531" s="2" t="s">
        <v>76</v>
      </c>
      <c r="F3531" s="2" t="s">
        <v>1146</v>
      </c>
      <c r="G3531" s="14" t="n">
        <v>45</v>
      </c>
      <c r="H3531" s="14" t="n">
        <v>190.62</v>
      </c>
      <c r="I3531" s="14" t="n">
        <v>125</v>
      </c>
      <c r="J3531" s="22" t="n">
        <f aca="false">IF(E3531="Priority",'Cost model'!N426,'Cost model'!M426)</f>
        <v>220</v>
      </c>
      <c r="K3531" s="14" t="n">
        <f aca="false">J3531-H3531</f>
        <v>29.38</v>
      </c>
      <c r="L3531" s="14" t="n">
        <f aca="false">G3531-H3531</f>
        <v>-145.62</v>
      </c>
    </row>
    <row r="3532" customFormat="false" ht="15" hidden="false" customHeight="false" outlineLevel="0" collapsed="false">
      <c r="A3532" s="2" t="s">
        <v>184</v>
      </c>
      <c r="B3532" s="2" t="s">
        <v>184</v>
      </c>
      <c r="C3532" s="2" t="s">
        <v>48</v>
      </c>
      <c r="D3532" s="2" t="s">
        <v>12</v>
      </c>
      <c r="E3532" s="2" t="s">
        <v>76</v>
      </c>
      <c r="F3532" s="2" t="s">
        <v>1145</v>
      </c>
      <c r="G3532" s="14" t="n">
        <v>9.5</v>
      </c>
      <c r="H3532" s="14" t="n">
        <v>27.97</v>
      </c>
      <c r="I3532" s="14" t="n">
        <v>9.5</v>
      </c>
      <c r="J3532" s="22" t="n">
        <f aca="false">IF(E3532="Priority",'Cost model'!N203,'Cost model'!M203)</f>
        <v>26.5</v>
      </c>
      <c r="K3532" s="14" t="n">
        <f aca="false">J3532-H3532</f>
        <v>-1.47</v>
      </c>
      <c r="L3532" s="14" t="n">
        <f aca="false">G3532-H3532</f>
        <v>-18.47</v>
      </c>
    </row>
    <row r="3533" customFormat="false" ht="15" hidden="false" customHeight="false" outlineLevel="0" collapsed="false">
      <c r="A3533" s="2" t="s">
        <v>184</v>
      </c>
      <c r="B3533" s="2" t="s">
        <v>126</v>
      </c>
      <c r="C3533" s="2" t="s">
        <v>49</v>
      </c>
      <c r="D3533" s="2" t="s">
        <v>12</v>
      </c>
      <c r="E3533" s="2" t="s">
        <v>76</v>
      </c>
      <c r="F3533" s="2" t="s">
        <v>1146</v>
      </c>
      <c r="G3533" s="14" t="n">
        <v>12.5</v>
      </c>
      <c r="H3533" s="14" t="n">
        <v>41.33</v>
      </c>
      <c r="I3533" s="14"/>
      <c r="J3533" s="22" t="n">
        <f aca="false">IF(E3533="Priority",'Cost model'!N132,'Cost model'!M132)</f>
        <v>50</v>
      </c>
      <c r="K3533" s="14" t="n">
        <f aca="false">J3533-H3533</f>
        <v>8.67</v>
      </c>
      <c r="L3533" s="14" t="n">
        <f aca="false">G3533-H3533</f>
        <v>-28.83</v>
      </c>
    </row>
    <row r="3534" customFormat="false" ht="15" hidden="false" customHeight="false" outlineLevel="0" collapsed="false">
      <c r="A3534" s="2" t="s">
        <v>126</v>
      </c>
      <c r="B3534" s="2" t="s">
        <v>126</v>
      </c>
      <c r="C3534" s="2" t="s">
        <v>49</v>
      </c>
      <c r="D3534" s="2" t="s">
        <v>12</v>
      </c>
      <c r="E3534" s="2" t="s">
        <v>76</v>
      </c>
      <c r="F3534" s="2" t="s">
        <v>1145</v>
      </c>
      <c r="G3534" s="14" t="n">
        <v>12.5</v>
      </c>
      <c r="H3534" s="14" t="n">
        <v>48.05</v>
      </c>
      <c r="I3534" s="14" t="n">
        <v>12.5</v>
      </c>
      <c r="J3534" s="22" t="n">
        <f aca="false">IF(E3534="Priority",'Cost model'!N384,'Cost model'!M384)</f>
        <v>45</v>
      </c>
      <c r="K3534" s="14" t="n">
        <f aca="false">J3534-H3534</f>
        <v>-3.05</v>
      </c>
      <c r="L3534" s="14" t="n">
        <f aca="false">G3534-H3534</f>
        <v>-35.55</v>
      </c>
    </row>
    <row r="3535" customFormat="false" ht="15" hidden="false" customHeight="false" outlineLevel="0" collapsed="false">
      <c r="A3535" s="2" t="s">
        <v>146</v>
      </c>
      <c r="B3535" s="2" t="s">
        <v>146</v>
      </c>
      <c r="C3535" s="2" t="s">
        <v>48</v>
      </c>
      <c r="D3535" s="2" t="s">
        <v>16</v>
      </c>
      <c r="E3535" s="2" t="s">
        <v>76</v>
      </c>
      <c r="F3535" s="2" t="s">
        <v>1145</v>
      </c>
      <c r="G3535" s="14" t="n">
        <v>45</v>
      </c>
      <c r="H3535" s="14" t="n">
        <v>58.15</v>
      </c>
      <c r="I3535" s="14" t="n">
        <v>45</v>
      </c>
      <c r="J3535" s="22" t="n">
        <f aca="false">IF(E3535="Priority",'Cost model'!N773,'Cost model'!M773)</f>
        <v>125</v>
      </c>
      <c r="K3535" s="14" t="n">
        <f aca="false">J3535-H3535</f>
        <v>66.85</v>
      </c>
      <c r="L3535" s="14" t="n">
        <f aca="false">G3535-H3535</f>
        <v>-13.15</v>
      </c>
    </row>
    <row r="3536" customFormat="false" ht="15" hidden="false" customHeight="false" outlineLevel="0" collapsed="false">
      <c r="A3536" s="2" t="s">
        <v>184</v>
      </c>
      <c r="B3536" s="2" t="s">
        <v>184</v>
      </c>
      <c r="C3536" s="2" t="s">
        <v>50</v>
      </c>
      <c r="D3536" s="2" t="s">
        <v>12</v>
      </c>
      <c r="E3536" s="2" t="s">
        <v>85</v>
      </c>
      <c r="F3536" s="2" t="s">
        <v>1145</v>
      </c>
      <c r="G3536" s="14" t="n">
        <v>29.5</v>
      </c>
      <c r="H3536" s="14" t="n">
        <v>47.6</v>
      </c>
      <c r="I3536" s="14" t="n">
        <v>29.5</v>
      </c>
      <c r="J3536" s="22" t="n">
        <f aca="false">IF(E3536="Priority",'Cost model'!N205,'Cost model'!M205)</f>
        <v>65</v>
      </c>
      <c r="K3536" s="14" t="n">
        <f aca="false">J3536-H3536</f>
        <v>17.4</v>
      </c>
      <c r="L3536" s="14" t="n">
        <f aca="false">G3536-H3536</f>
        <v>-18.1</v>
      </c>
    </row>
    <row r="3537" customFormat="false" ht="15" hidden="false" customHeight="false" outlineLevel="0" collapsed="false">
      <c r="A3537" s="2" t="s">
        <v>146</v>
      </c>
      <c r="B3537" s="2" t="s">
        <v>146</v>
      </c>
      <c r="C3537" s="2" t="s">
        <v>49</v>
      </c>
      <c r="D3537" s="2" t="s">
        <v>10</v>
      </c>
      <c r="E3537" s="2" t="s">
        <v>76</v>
      </c>
      <c r="F3537" s="2" t="s">
        <v>1145</v>
      </c>
      <c r="G3537" s="14" t="n">
        <v>12.5</v>
      </c>
      <c r="H3537" s="14" t="n">
        <v>10.48</v>
      </c>
      <c r="I3537" s="14" t="n">
        <v>12.5</v>
      </c>
      <c r="J3537" s="22" t="n">
        <f aca="false">IF(E3537="Priority",'Cost model'!N759,'Cost model'!M759)</f>
        <v>15.5</v>
      </c>
      <c r="K3537" s="14" t="n">
        <f aca="false">J3537-H3537</f>
        <v>5.02</v>
      </c>
      <c r="L3537" s="14" t="n">
        <f aca="false">G3537-H3537</f>
        <v>2.02</v>
      </c>
    </row>
    <row r="3538" customFormat="false" ht="15" hidden="false" customHeight="false" outlineLevel="0" collapsed="false">
      <c r="A3538" s="2" t="s">
        <v>240</v>
      </c>
      <c r="B3538" s="2" t="s">
        <v>146</v>
      </c>
      <c r="C3538" s="2" t="s">
        <v>48</v>
      </c>
      <c r="D3538" s="2" t="s">
        <v>12</v>
      </c>
      <c r="E3538" s="2" t="s">
        <v>76</v>
      </c>
      <c r="F3538" s="2" t="s">
        <v>1146</v>
      </c>
      <c r="G3538" s="14" t="n">
        <v>9.5</v>
      </c>
      <c r="H3538" s="14" t="n">
        <v>74.55</v>
      </c>
      <c r="I3538" s="14" t="n">
        <v>24.5</v>
      </c>
      <c r="J3538" s="22" t="n">
        <f aca="false">IF(E3538="Priority",'Cost model'!N923,'Cost model'!M923)</f>
        <v>65</v>
      </c>
      <c r="K3538" s="14" t="n">
        <f aca="false">J3538-H3538</f>
        <v>-9.55</v>
      </c>
      <c r="L3538" s="14" t="n">
        <f aca="false">G3538-H3538</f>
        <v>-65.05</v>
      </c>
    </row>
    <row r="3539" customFormat="false" ht="15" hidden="false" customHeight="false" outlineLevel="0" collapsed="false">
      <c r="A3539" s="2" t="s">
        <v>126</v>
      </c>
      <c r="B3539" s="2" t="s">
        <v>126</v>
      </c>
      <c r="C3539" s="2" t="s">
        <v>49</v>
      </c>
      <c r="D3539" s="2" t="s">
        <v>12</v>
      </c>
      <c r="E3539" s="2" t="s">
        <v>76</v>
      </c>
      <c r="F3539" s="2" t="s">
        <v>1145</v>
      </c>
      <c r="G3539" s="14" t="n">
        <v>12.5</v>
      </c>
      <c r="H3539" s="14" t="n">
        <v>44.84</v>
      </c>
      <c r="I3539" s="14" t="n">
        <v>12.5</v>
      </c>
      <c r="J3539" s="22" t="n">
        <f aca="false">IF(E3539="Priority",'Cost model'!N384,'Cost model'!M384)</f>
        <v>45</v>
      </c>
      <c r="K3539" s="14" t="n">
        <f aca="false">J3539-H3539</f>
        <v>0.159999999999997</v>
      </c>
      <c r="L3539" s="14" t="n">
        <f aca="false">G3539-H3539</f>
        <v>-32.34</v>
      </c>
    </row>
    <row r="3540" customFormat="false" ht="15" hidden="false" customHeight="false" outlineLevel="0" collapsed="false">
      <c r="A3540" s="2" t="s">
        <v>240</v>
      </c>
      <c r="B3540" s="2" t="s">
        <v>240</v>
      </c>
      <c r="C3540" s="2" t="s">
        <v>48</v>
      </c>
      <c r="D3540" s="2" t="s">
        <v>10</v>
      </c>
      <c r="E3540" s="2" t="s">
        <v>76</v>
      </c>
      <c r="F3540" s="2" t="s">
        <v>1145</v>
      </c>
      <c r="G3540" s="14" t="n">
        <v>19.5</v>
      </c>
      <c r="H3540" s="14" t="n">
        <v>16.58</v>
      </c>
      <c r="I3540" s="14" t="n">
        <v>9.5</v>
      </c>
      <c r="J3540" s="22" t="n">
        <f aca="false">IF(E3540="Priority",'Cost model'!N884,'Cost model'!M884)</f>
        <v>7.5</v>
      </c>
      <c r="K3540" s="14" t="n">
        <f aca="false">J3540-H3540</f>
        <v>-9.08</v>
      </c>
      <c r="L3540" s="14" t="n">
        <f aca="false">G3540-H3540</f>
        <v>2.92</v>
      </c>
    </row>
    <row r="3541" customFormat="false" ht="15" hidden="false" customHeight="false" outlineLevel="0" collapsed="false">
      <c r="A3541" s="2" t="s">
        <v>184</v>
      </c>
      <c r="B3541" s="2" t="s">
        <v>184</v>
      </c>
      <c r="C3541" s="2" t="s">
        <v>49</v>
      </c>
      <c r="D3541" s="2" t="s">
        <v>10</v>
      </c>
      <c r="E3541" s="2" t="s">
        <v>76</v>
      </c>
      <c r="F3541" s="2" t="s">
        <v>1145</v>
      </c>
      <c r="G3541" s="14" t="n">
        <v>12.5</v>
      </c>
      <c r="H3541" s="14" t="n">
        <v>20.55</v>
      </c>
      <c r="I3541" s="14" t="n">
        <v>12.5</v>
      </c>
      <c r="J3541" s="22" t="n">
        <f aca="false">IF(E3541="Priority",'Cost model'!N201,'Cost model'!M201)</f>
        <v>12.5</v>
      </c>
      <c r="K3541" s="14" t="n">
        <f aca="false">J3541-H3541</f>
        <v>-8.05</v>
      </c>
      <c r="L3541" s="14" t="n">
        <f aca="false">G3541-H3541</f>
        <v>-8.05</v>
      </c>
    </row>
    <row r="3542" customFormat="false" ht="15" hidden="false" customHeight="false" outlineLevel="0" collapsed="false">
      <c r="A3542" s="2" t="s">
        <v>184</v>
      </c>
      <c r="B3542" s="2" t="s">
        <v>184</v>
      </c>
      <c r="C3542" s="2" t="s">
        <v>49</v>
      </c>
      <c r="D3542" s="2" t="s">
        <v>12</v>
      </c>
      <c r="E3542" s="2" t="s">
        <v>76</v>
      </c>
      <c r="F3542" s="2" t="s">
        <v>1145</v>
      </c>
      <c r="G3542" s="14" t="n">
        <v>12.5</v>
      </c>
      <c r="H3542" s="14" t="n">
        <v>60.49</v>
      </c>
      <c r="I3542" s="14"/>
      <c r="J3542" s="22" t="n">
        <f aca="false">IF(E3542="Priority",'Cost model'!N204,'Cost model'!M204)</f>
        <v>45</v>
      </c>
      <c r="K3542" s="14" t="n">
        <f aca="false">J3542-H3542</f>
        <v>-15.49</v>
      </c>
      <c r="L3542" s="14" t="n">
        <f aca="false">G3542-H3542</f>
        <v>-47.99</v>
      </c>
    </row>
    <row r="3543" customFormat="false" ht="15" hidden="false" customHeight="false" outlineLevel="0" collapsed="false">
      <c r="A3543" s="2" t="s">
        <v>184</v>
      </c>
      <c r="B3543" s="2" t="s">
        <v>126</v>
      </c>
      <c r="C3543" s="2" t="s">
        <v>48</v>
      </c>
      <c r="D3543" s="2" t="s">
        <v>12</v>
      </c>
      <c r="E3543" s="2" t="s">
        <v>76</v>
      </c>
      <c r="F3543" s="2" t="s">
        <v>1146</v>
      </c>
      <c r="G3543" s="14" t="n">
        <v>9.5</v>
      </c>
      <c r="H3543" s="14" t="n">
        <v>13.52</v>
      </c>
      <c r="I3543" s="14" t="n">
        <v>9.5</v>
      </c>
      <c r="J3543" s="22" t="n">
        <f aca="false">IF(E3543="Priority",'Cost model'!N131,'Cost model'!M131)</f>
        <v>40</v>
      </c>
      <c r="K3543" s="14" t="n">
        <f aca="false">J3543-H3543</f>
        <v>26.48</v>
      </c>
      <c r="L3543" s="14" t="n">
        <f aca="false">G3543-H3543</f>
        <v>-4.02</v>
      </c>
    </row>
    <row r="3544" customFormat="false" ht="15" hidden="false" customHeight="false" outlineLevel="0" collapsed="false">
      <c r="A3544" s="2" t="s">
        <v>240</v>
      </c>
      <c r="B3544" s="2" t="s">
        <v>240</v>
      </c>
      <c r="C3544" s="2" t="s">
        <v>49</v>
      </c>
      <c r="D3544" s="2" t="s">
        <v>10</v>
      </c>
      <c r="E3544" s="2" t="s">
        <v>76</v>
      </c>
      <c r="F3544" s="2" t="s">
        <v>1145</v>
      </c>
      <c r="G3544" s="14" t="n">
        <v>14.5</v>
      </c>
      <c r="H3544" s="14" t="n">
        <v>9.94</v>
      </c>
      <c r="I3544" s="14" t="n">
        <v>12.5</v>
      </c>
      <c r="J3544" s="22" t="n">
        <f aca="false">IF(E3544="Priority",'Cost model'!N885,'Cost model'!M885)</f>
        <v>13.5</v>
      </c>
      <c r="K3544" s="14" t="n">
        <f aca="false">J3544-H3544</f>
        <v>3.56</v>
      </c>
      <c r="L3544" s="14" t="n">
        <f aca="false">G3544-H3544</f>
        <v>4.56</v>
      </c>
    </row>
    <row r="3545" customFormat="false" ht="15" hidden="false" customHeight="false" outlineLevel="0" collapsed="false">
      <c r="A3545" s="2" t="s">
        <v>146</v>
      </c>
      <c r="B3545" s="2" t="s">
        <v>146</v>
      </c>
      <c r="C3545" s="2" t="s">
        <v>48</v>
      </c>
      <c r="D3545" s="2" t="s">
        <v>10</v>
      </c>
      <c r="E3545" s="2" t="s">
        <v>76</v>
      </c>
      <c r="F3545" s="2" t="s">
        <v>1145</v>
      </c>
      <c r="G3545" s="14" t="n">
        <v>9.5</v>
      </c>
      <c r="H3545" s="14" t="n">
        <v>42.61</v>
      </c>
      <c r="I3545" s="14" t="n">
        <v>9.5</v>
      </c>
      <c r="J3545" s="22" t="n">
        <f aca="false">IF(E3545="Priority",'Cost model'!N758,'Cost model'!M758)</f>
        <v>9.5</v>
      </c>
      <c r="K3545" s="14" t="n">
        <f aca="false">J3545-H3545</f>
        <v>-33.11</v>
      </c>
      <c r="L3545" s="14" t="n">
        <f aca="false">G3545-H3545</f>
        <v>-33.11</v>
      </c>
    </row>
    <row r="3546" customFormat="false" ht="15" hidden="false" customHeight="false" outlineLevel="0" collapsed="false">
      <c r="A3546" s="2" t="s">
        <v>146</v>
      </c>
      <c r="B3546" s="2" t="s">
        <v>146</v>
      </c>
      <c r="C3546" s="2" t="s">
        <v>48</v>
      </c>
      <c r="D3546" s="2" t="s">
        <v>10</v>
      </c>
      <c r="E3546" s="2" t="s">
        <v>76</v>
      </c>
      <c r="F3546" s="2" t="s">
        <v>1145</v>
      </c>
      <c r="G3546" s="14" t="n">
        <v>9.5</v>
      </c>
      <c r="H3546" s="14" t="n">
        <v>6.8</v>
      </c>
      <c r="I3546" s="14" t="n">
        <v>9.5</v>
      </c>
      <c r="J3546" s="22" t="n">
        <f aca="false">IF(E3546="Priority",'Cost model'!N758,'Cost model'!M758)</f>
        <v>9.5</v>
      </c>
      <c r="K3546" s="14" t="n">
        <f aca="false">J3546-H3546</f>
        <v>2.7</v>
      </c>
      <c r="L3546" s="14" t="n">
        <f aca="false">G3546-H3546</f>
        <v>2.7</v>
      </c>
    </row>
    <row r="3547" customFormat="false" ht="15" hidden="false" customHeight="false" outlineLevel="0" collapsed="false">
      <c r="A3547" s="2" t="s">
        <v>184</v>
      </c>
      <c r="B3547" s="2" t="s">
        <v>184</v>
      </c>
      <c r="C3547" s="2" t="s">
        <v>49</v>
      </c>
      <c r="D3547" s="2" t="s">
        <v>10</v>
      </c>
      <c r="E3547" s="2" t="s">
        <v>76</v>
      </c>
      <c r="F3547" s="2" t="s">
        <v>1145</v>
      </c>
      <c r="G3547" s="14" t="n">
        <v>12.5</v>
      </c>
      <c r="H3547" s="14" t="n">
        <v>11.22</v>
      </c>
      <c r="I3547" s="14"/>
      <c r="J3547" s="22" t="n">
        <f aca="false">IF(E3547="Priority",'Cost model'!N201,'Cost model'!M201)</f>
        <v>12.5</v>
      </c>
      <c r="K3547" s="14" t="n">
        <f aca="false">J3547-H3547</f>
        <v>1.28</v>
      </c>
      <c r="L3547" s="14" t="n">
        <f aca="false">G3547-H3547</f>
        <v>1.28</v>
      </c>
    </row>
    <row r="3548" customFormat="false" ht="15" hidden="false" customHeight="false" outlineLevel="0" collapsed="false">
      <c r="A3548" s="2" t="s">
        <v>221</v>
      </c>
      <c r="B3548" s="2" t="s">
        <v>184</v>
      </c>
      <c r="C3548" s="2" t="s">
        <v>48</v>
      </c>
      <c r="D3548" s="2" t="s">
        <v>10</v>
      </c>
      <c r="E3548" s="2" t="s">
        <v>85</v>
      </c>
      <c r="F3548" s="2" t="s">
        <v>1146</v>
      </c>
      <c r="G3548" s="14" t="n">
        <v>19.5</v>
      </c>
      <c r="H3548" s="14" t="n">
        <v>21.61</v>
      </c>
      <c r="I3548" s="14" t="n">
        <v>19.5</v>
      </c>
      <c r="J3548" s="22" t="n">
        <f aca="false">IF(E3548="Priority",'Cost model'!N668,'Cost model'!M668)</f>
        <v>21.5</v>
      </c>
      <c r="K3548" s="14" t="n">
        <f aca="false">J3548-H3548</f>
        <v>-0.109999999999999</v>
      </c>
      <c r="L3548" s="14" t="n">
        <f aca="false">G3548-H3548</f>
        <v>-2.11</v>
      </c>
    </row>
    <row r="3549" customFormat="false" ht="15" hidden="false" customHeight="false" outlineLevel="0" collapsed="false">
      <c r="A3549" s="2" t="s">
        <v>126</v>
      </c>
      <c r="B3549" s="2" t="s">
        <v>126</v>
      </c>
      <c r="C3549" s="2" t="s">
        <v>50</v>
      </c>
      <c r="D3549" s="2" t="s">
        <v>12</v>
      </c>
      <c r="E3549" s="2" t="s">
        <v>76</v>
      </c>
      <c r="F3549" s="2" t="s">
        <v>1145</v>
      </c>
      <c r="G3549" s="14" t="n">
        <v>19.5</v>
      </c>
      <c r="H3549" s="14" t="n">
        <v>45.73</v>
      </c>
      <c r="I3549" s="14" t="n">
        <v>19.5</v>
      </c>
      <c r="J3549" s="22" t="n">
        <f aca="false">IF(E3549="Priority",'Cost model'!N385,'Cost model'!M385)</f>
        <v>55</v>
      </c>
      <c r="K3549" s="14" t="n">
        <f aca="false">J3549-H3549</f>
        <v>9.27</v>
      </c>
      <c r="L3549" s="14" t="n">
        <f aca="false">G3549-H3549</f>
        <v>-26.23</v>
      </c>
    </row>
    <row r="3550" customFormat="false" ht="15" hidden="false" customHeight="false" outlineLevel="0" collapsed="false">
      <c r="A3550" s="2" t="s">
        <v>184</v>
      </c>
      <c r="B3550" s="2" t="s">
        <v>146</v>
      </c>
      <c r="C3550" s="2" t="s">
        <v>50</v>
      </c>
      <c r="D3550" s="2" t="s">
        <v>10</v>
      </c>
      <c r="E3550" s="2" t="s">
        <v>85</v>
      </c>
      <c r="F3550" s="2" t="s">
        <v>1146</v>
      </c>
      <c r="G3550" s="14" t="n">
        <v>24.5</v>
      </c>
      <c r="H3550" s="14" t="n">
        <v>21.61</v>
      </c>
      <c r="I3550" s="14" t="n">
        <v>24.5</v>
      </c>
      <c r="J3550" s="22" t="n">
        <f aca="false">IF(E3550="Priority",'Cost model'!N148,'Cost model'!M148)</f>
        <v>29.5</v>
      </c>
      <c r="K3550" s="14" t="n">
        <f aca="false">J3550-H3550</f>
        <v>7.89</v>
      </c>
      <c r="L3550" s="14" t="n">
        <f aca="false">G3550-H3550</f>
        <v>2.89</v>
      </c>
    </row>
    <row r="3551" customFormat="false" ht="15" hidden="false" customHeight="false" outlineLevel="0" collapsed="false">
      <c r="A3551" s="2" t="s">
        <v>126</v>
      </c>
      <c r="B3551" s="2" t="s">
        <v>126</v>
      </c>
      <c r="C3551" s="2" t="s">
        <v>48</v>
      </c>
      <c r="D3551" s="2" t="s">
        <v>12</v>
      </c>
      <c r="E3551" s="2" t="s">
        <v>76</v>
      </c>
      <c r="F3551" s="2" t="s">
        <v>1145</v>
      </c>
      <c r="G3551" s="14" t="n">
        <v>9.5</v>
      </c>
      <c r="H3551" s="14" t="n">
        <v>28.96</v>
      </c>
      <c r="I3551" s="14" t="n">
        <v>9.5</v>
      </c>
      <c r="J3551" s="22" t="n">
        <f aca="false">IF(E3551="Priority",'Cost model'!N383,'Cost model'!M383)</f>
        <v>27.5</v>
      </c>
      <c r="K3551" s="14" t="n">
        <f aca="false">J3551-H3551</f>
        <v>-1.46</v>
      </c>
      <c r="L3551" s="14" t="n">
        <f aca="false">G3551-H3551</f>
        <v>-19.46</v>
      </c>
    </row>
    <row r="3552" customFormat="false" ht="15" hidden="false" customHeight="false" outlineLevel="0" collapsed="false">
      <c r="A3552" s="2" t="s">
        <v>184</v>
      </c>
      <c r="B3552" s="2" t="s">
        <v>184</v>
      </c>
      <c r="C3552" s="2" t="s">
        <v>48</v>
      </c>
      <c r="D3552" s="2" t="s">
        <v>10</v>
      </c>
      <c r="E3552" s="2" t="s">
        <v>76</v>
      </c>
      <c r="F3552" s="2" t="s">
        <v>1145</v>
      </c>
      <c r="G3552" s="14" t="n">
        <v>9.5</v>
      </c>
      <c r="H3552" s="14" t="n">
        <v>10.97</v>
      </c>
      <c r="I3552" s="14" t="n">
        <v>9.5</v>
      </c>
      <c r="J3552" s="22" t="n">
        <f aca="false">IF(E3552="Priority",'Cost model'!N200,'Cost model'!M200)</f>
        <v>7.5</v>
      </c>
      <c r="K3552" s="14" t="n">
        <f aca="false">J3552-H3552</f>
        <v>-3.47</v>
      </c>
      <c r="L3552" s="14" t="n">
        <f aca="false">G3552-H3552</f>
        <v>-1.47</v>
      </c>
    </row>
    <row r="3553" customFormat="false" ht="15" hidden="false" customHeight="false" outlineLevel="0" collapsed="false">
      <c r="A3553" s="2" t="s">
        <v>184</v>
      </c>
      <c r="B3553" s="2" t="s">
        <v>146</v>
      </c>
      <c r="C3553" s="2" t="s">
        <v>48</v>
      </c>
      <c r="D3553" s="2" t="s">
        <v>10</v>
      </c>
      <c r="E3553" s="2" t="s">
        <v>76</v>
      </c>
      <c r="F3553" s="2" t="s">
        <v>1146</v>
      </c>
      <c r="G3553" s="14" t="n">
        <v>9.5</v>
      </c>
      <c r="H3553" s="14" t="n">
        <v>9.37</v>
      </c>
      <c r="I3553" s="14" t="n">
        <v>9.5</v>
      </c>
      <c r="J3553" s="22" t="n">
        <f aca="false">IF(E3553="Priority",'Cost model'!N146,'Cost model'!M146)</f>
        <v>12.5</v>
      </c>
      <c r="K3553" s="14" t="n">
        <f aca="false">J3553-H3553</f>
        <v>3.13</v>
      </c>
      <c r="L3553" s="14" t="n">
        <f aca="false">G3553-H3553</f>
        <v>0.130000000000001</v>
      </c>
    </row>
    <row r="3554" customFormat="false" ht="15" hidden="false" customHeight="false" outlineLevel="0" collapsed="false">
      <c r="A3554" s="2" t="s">
        <v>240</v>
      </c>
      <c r="B3554" s="2" t="s">
        <v>240</v>
      </c>
      <c r="C3554" s="2" t="s">
        <v>48</v>
      </c>
      <c r="D3554" s="2" t="s">
        <v>12</v>
      </c>
      <c r="E3554" s="2" t="s">
        <v>76</v>
      </c>
      <c r="F3554" s="2" t="s">
        <v>1145</v>
      </c>
      <c r="G3554" s="14" t="n">
        <v>9.5</v>
      </c>
      <c r="H3554" s="14" t="n">
        <v>16.07</v>
      </c>
      <c r="I3554" s="14" t="n">
        <v>9.5</v>
      </c>
      <c r="J3554" s="22" t="n">
        <f aca="false">IF(E3554="Priority",'Cost model'!N887,'Cost model'!M887)</f>
        <v>21.5</v>
      </c>
      <c r="K3554" s="14" t="n">
        <f aca="false">J3554-H3554</f>
        <v>5.43</v>
      </c>
      <c r="L3554" s="14" t="n">
        <f aca="false">G3554-H3554</f>
        <v>-6.57</v>
      </c>
    </row>
    <row r="3555" customFormat="false" ht="15" hidden="false" customHeight="false" outlineLevel="0" collapsed="false">
      <c r="A3555" s="2" t="s">
        <v>126</v>
      </c>
      <c r="B3555" s="2" t="s">
        <v>184</v>
      </c>
      <c r="C3555" s="2" t="s">
        <v>48</v>
      </c>
      <c r="D3555" s="2" t="s">
        <v>10</v>
      </c>
      <c r="E3555" s="2" t="s">
        <v>76</v>
      </c>
      <c r="F3555" s="2" t="s">
        <v>1146</v>
      </c>
      <c r="G3555" s="14" t="n">
        <v>9.5</v>
      </c>
      <c r="H3555" s="14" t="n">
        <v>18</v>
      </c>
      <c r="I3555" s="14" t="n">
        <v>14.5</v>
      </c>
      <c r="J3555" s="22" t="n">
        <f aca="false">IF(E3555="Priority",'Cost model'!N434,'Cost model'!M434)</f>
        <v>13.5</v>
      </c>
      <c r="K3555" s="14" t="n">
        <f aca="false">J3555-H3555</f>
        <v>-4.5</v>
      </c>
      <c r="L3555" s="14" t="n">
        <f aca="false">G3555-H3555</f>
        <v>-8.5</v>
      </c>
    </row>
    <row r="3556" customFormat="false" ht="15" hidden="false" customHeight="false" outlineLevel="0" collapsed="false">
      <c r="A3556" s="2" t="s">
        <v>184</v>
      </c>
      <c r="B3556" s="2" t="s">
        <v>184</v>
      </c>
      <c r="C3556" s="2" t="s">
        <v>48</v>
      </c>
      <c r="D3556" s="2" t="s">
        <v>10</v>
      </c>
      <c r="E3556" s="2" t="s">
        <v>85</v>
      </c>
      <c r="F3556" s="2" t="s">
        <v>1145</v>
      </c>
      <c r="G3556" s="14" t="n">
        <v>14.5</v>
      </c>
      <c r="H3556" s="14" t="n">
        <v>7.72</v>
      </c>
      <c r="I3556" s="14" t="n">
        <v>14.5</v>
      </c>
      <c r="J3556" s="22" t="n">
        <f aca="false">IF(E3556="Priority",'Cost model'!N200,'Cost model'!M200)</f>
        <v>12.5</v>
      </c>
      <c r="K3556" s="14" t="n">
        <f aca="false">J3556-H3556</f>
        <v>4.78</v>
      </c>
      <c r="L3556" s="14" t="n">
        <f aca="false">G3556-H3556</f>
        <v>6.78</v>
      </c>
    </row>
    <row r="3557" customFormat="false" ht="15" hidden="false" customHeight="false" outlineLevel="0" collapsed="false">
      <c r="A3557" s="2" t="s">
        <v>165</v>
      </c>
      <c r="B3557" s="2" t="s">
        <v>165</v>
      </c>
      <c r="C3557" s="2" t="s">
        <v>48</v>
      </c>
      <c r="D3557" s="2" t="s">
        <v>10</v>
      </c>
      <c r="E3557" s="2" t="s">
        <v>76</v>
      </c>
      <c r="F3557" s="2" t="s">
        <v>1145</v>
      </c>
      <c r="G3557" s="14" t="n">
        <v>9.5</v>
      </c>
      <c r="H3557" s="14" t="n">
        <v>6.14</v>
      </c>
      <c r="I3557" s="14" t="n">
        <v>9.5</v>
      </c>
      <c r="J3557" s="22" t="n">
        <f aca="false">IF(E3557="Priority",'Cost model'!N506,'Cost model'!M506)</f>
        <v>7.5</v>
      </c>
      <c r="K3557" s="14" t="n">
        <f aca="false">J3557-H3557</f>
        <v>1.36</v>
      </c>
      <c r="L3557" s="14" t="n">
        <f aca="false">G3557-H3557</f>
        <v>3.36</v>
      </c>
    </row>
    <row r="3558" customFormat="false" ht="15" hidden="false" customHeight="false" outlineLevel="0" collapsed="false">
      <c r="A3558" s="2" t="s">
        <v>221</v>
      </c>
      <c r="B3558" s="2" t="s">
        <v>165</v>
      </c>
      <c r="C3558" s="2" t="s">
        <v>49</v>
      </c>
      <c r="D3558" s="2" t="s">
        <v>10</v>
      </c>
      <c r="E3558" s="2" t="s">
        <v>76</v>
      </c>
      <c r="F3558" s="2" t="s">
        <v>1146</v>
      </c>
      <c r="G3558" s="14" t="n">
        <v>14.5</v>
      </c>
      <c r="H3558" s="14" t="n">
        <v>25.23</v>
      </c>
      <c r="I3558" s="14"/>
      <c r="J3558" s="22" t="n">
        <f aca="false">IF(E3558="Priority",'Cost model'!N741,'Cost model'!M741)</f>
        <v>16.5</v>
      </c>
      <c r="K3558" s="14" t="n">
        <f aca="false">J3558-H3558</f>
        <v>-8.73</v>
      </c>
      <c r="L3558" s="14" t="n">
        <f aca="false">G3558-H3558</f>
        <v>-10.73</v>
      </c>
    </row>
    <row r="3559" customFormat="false" ht="15" hidden="false" customHeight="false" outlineLevel="0" collapsed="false">
      <c r="A3559" s="2" t="s">
        <v>240</v>
      </c>
      <c r="B3559" s="2" t="s">
        <v>240</v>
      </c>
      <c r="C3559" s="2" t="s">
        <v>48</v>
      </c>
      <c r="D3559" s="2" t="s">
        <v>10</v>
      </c>
      <c r="E3559" s="2" t="s">
        <v>76</v>
      </c>
      <c r="F3559" s="2" t="s">
        <v>1145</v>
      </c>
      <c r="G3559" s="14" t="n">
        <v>19.5</v>
      </c>
      <c r="H3559" s="14" t="n">
        <v>7.15</v>
      </c>
      <c r="I3559" s="14" t="n">
        <v>9.5</v>
      </c>
      <c r="J3559" s="22" t="n">
        <f aca="false">IF(E3559="Priority",'Cost model'!N884,'Cost model'!M884)</f>
        <v>7.5</v>
      </c>
      <c r="K3559" s="14" t="n">
        <f aca="false">J3559-H3559</f>
        <v>0.35</v>
      </c>
      <c r="L3559" s="14" t="n">
        <f aca="false">G3559-H3559</f>
        <v>12.35</v>
      </c>
    </row>
    <row r="3560" customFormat="false" ht="15" hidden="false" customHeight="false" outlineLevel="0" collapsed="false">
      <c r="A3560" s="2" t="s">
        <v>126</v>
      </c>
      <c r="B3560" s="2" t="s">
        <v>126</v>
      </c>
      <c r="C3560" s="2" t="s">
        <v>49</v>
      </c>
      <c r="D3560" s="2" t="s">
        <v>12</v>
      </c>
      <c r="E3560" s="2" t="s">
        <v>85</v>
      </c>
      <c r="F3560" s="2" t="s">
        <v>1145</v>
      </c>
      <c r="G3560" s="14" t="n">
        <v>19.5</v>
      </c>
      <c r="H3560" s="14" t="n">
        <v>67.57</v>
      </c>
      <c r="I3560" s="14" t="n">
        <v>19.5</v>
      </c>
      <c r="J3560" s="22" t="n">
        <f aca="false">IF(E3560="Priority",'Cost model'!N384,'Cost model'!M384)</f>
        <v>60</v>
      </c>
      <c r="K3560" s="14" t="n">
        <f aca="false">J3560-H3560</f>
        <v>-7.56999999999999</v>
      </c>
      <c r="L3560" s="14" t="n">
        <f aca="false">G3560-H3560</f>
        <v>-48.07</v>
      </c>
    </row>
    <row r="3561" customFormat="false" ht="15" hidden="false" customHeight="false" outlineLevel="0" collapsed="false">
      <c r="A3561" s="2" t="s">
        <v>146</v>
      </c>
      <c r="B3561" s="2" t="s">
        <v>221</v>
      </c>
      <c r="C3561" s="2" t="s">
        <v>48</v>
      </c>
      <c r="D3561" s="2" t="s">
        <v>10</v>
      </c>
      <c r="E3561" s="2" t="s">
        <v>76</v>
      </c>
      <c r="F3561" s="2" t="s">
        <v>1146</v>
      </c>
      <c r="G3561" s="14" t="n">
        <v>19.5</v>
      </c>
      <c r="H3561" s="14" t="n">
        <v>6.12</v>
      </c>
      <c r="I3561" s="14" t="n">
        <v>19.5</v>
      </c>
      <c r="J3561" s="22" t="n">
        <f aca="false">IF(E3561="Priority",'Cost model'!N848,'Cost model'!M848)</f>
        <v>9.5</v>
      </c>
      <c r="K3561" s="14" t="n">
        <f aca="false">J3561-H3561</f>
        <v>3.38</v>
      </c>
      <c r="L3561" s="14" t="n">
        <f aca="false">G3561-H3561</f>
        <v>13.38</v>
      </c>
    </row>
    <row r="3562" customFormat="false" ht="15" hidden="false" customHeight="false" outlineLevel="0" collapsed="false">
      <c r="A3562" s="2" t="s">
        <v>126</v>
      </c>
      <c r="B3562" s="2" t="s">
        <v>126</v>
      </c>
      <c r="C3562" s="2" t="s">
        <v>48</v>
      </c>
      <c r="D3562" s="2" t="s">
        <v>10</v>
      </c>
      <c r="E3562" s="2" t="s">
        <v>76</v>
      </c>
      <c r="F3562" s="2" t="s">
        <v>1145</v>
      </c>
      <c r="G3562" s="14" t="n">
        <v>9.5</v>
      </c>
      <c r="H3562" s="14" t="n">
        <v>24.17</v>
      </c>
      <c r="I3562" s="14" t="n">
        <v>9.5</v>
      </c>
      <c r="J3562" s="22" t="n">
        <f aca="false">IF(E3562="Priority",'Cost model'!N380,'Cost model'!M380)</f>
        <v>8.5</v>
      </c>
      <c r="K3562" s="14" t="n">
        <f aca="false">J3562-H3562</f>
        <v>-15.67</v>
      </c>
      <c r="L3562" s="14" t="n">
        <f aca="false">G3562-H3562</f>
        <v>-14.67</v>
      </c>
    </row>
    <row r="3563" customFormat="false" ht="15" hidden="false" customHeight="false" outlineLevel="0" collapsed="false">
      <c r="A3563" s="2" t="s">
        <v>184</v>
      </c>
      <c r="B3563" s="2" t="s">
        <v>184</v>
      </c>
      <c r="C3563" s="2" t="s">
        <v>49</v>
      </c>
      <c r="D3563" s="2" t="s">
        <v>12</v>
      </c>
      <c r="E3563" s="2" t="s">
        <v>76</v>
      </c>
      <c r="F3563" s="2" t="s">
        <v>1145</v>
      </c>
      <c r="G3563" s="14" t="n">
        <v>12.5</v>
      </c>
      <c r="H3563" s="14" t="n">
        <v>42.61</v>
      </c>
      <c r="I3563" s="14"/>
      <c r="J3563" s="22" t="n">
        <f aca="false">IF(E3563="Priority",'Cost model'!N204,'Cost model'!M204)</f>
        <v>45</v>
      </c>
      <c r="K3563" s="14" t="n">
        <f aca="false">J3563-H3563</f>
        <v>2.39</v>
      </c>
      <c r="L3563" s="14" t="n">
        <f aca="false">G3563-H3563</f>
        <v>-30.11</v>
      </c>
    </row>
    <row r="3564" customFormat="false" ht="15" hidden="false" customHeight="false" outlineLevel="0" collapsed="false">
      <c r="A3564" s="2" t="s">
        <v>146</v>
      </c>
      <c r="B3564" s="2" t="s">
        <v>146</v>
      </c>
      <c r="C3564" s="2" t="s">
        <v>50</v>
      </c>
      <c r="D3564" s="2" t="s">
        <v>12</v>
      </c>
      <c r="E3564" s="2" t="s">
        <v>76</v>
      </c>
      <c r="F3564" s="2" t="s">
        <v>1145</v>
      </c>
      <c r="G3564" s="14" t="n">
        <v>19.5</v>
      </c>
      <c r="H3564" s="14" t="n">
        <v>20.57</v>
      </c>
      <c r="I3564" s="14" t="n">
        <v>19.5</v>
      </c>
      <c r="J3564" s="22" t="n">
        <f aca="false">IF(E3564="Priority",'Cost model'!N763,'Cost model'!M763)</f>
        <v>50</v>
      </c>
      <c r="K3564" s="14" t="n">
        <f aca="false">J3564-H3564</f>
        <v>29.43</v>
      </c>
      <c r="L3564" s="14" t="n">
        <f aca="false">G3564-H3564</f>
        <v>-1.07</v>
      </c>
    </row>
    <row r="3565" customFormat="false" ht="15" hidden="false" customHeight="false" outlineLevel="0" collapsed="false">
      <c r="A3565" s="2" t="s">
        <v>184</v>
      </c>
      <c r="B3565" s="2" t="s">
        <v>184</v>
      </c>
      <c r="C3565" s="2" t="s">
        <v>50</v>
      </c>
      <c r="D3565" s="2" t="s">
        <v>10</v>
      </c>
      <c r="E3565" s="2" t="s">
        <v>76</v>
      </c>
      <c r="F3565" s="2" t="s">
        <v>1145</v>
      </c>
      <c r="G3565" s="14" t="n">
        <v>17.5</v>
      </c>
      <c r="H3565" s="14" t="n">
        <v>10.79</v>
      </c>
      <c r="I3565" s="14" t="n">
        <v>17.5</v>
      </c>
      <c r="J3565" s="22" t="n">
        <f aca="false">IF(E3565="Priority",'Cost model'!N202,'Cost model'!M202)</f>
        <v>17.5</v>
      </c>
      <c r="K3565" s="14" t="n">
        <f aca="false">J3565-H3565</f>
        <v>6.71</v>
      </c>
      <c r="L3565" s="14" t="n">
        <f aca="false">G3565-H3565</f>
        <v>6.71</v>
      </c>
    </row>
    <row r="3566" customFormat="false" ht="15" hidden="false" customHeight="false" outlineLevel="0" collapsed="false">
      <c r="A3566" s="2" t="s">
        <v>126</v>
      </c>
      <c r="B3566" s="2" t="s">
        <v>126</v>
      </c>
      <c r="C3566" s="2" t="s">
        <v>49</v>
      </c>
      <c r="D3566" s="2" t="s">
        <v>12</v>
      </c>
      <c r="E3566" s="2" t="s">
        <v>76</v>
      </c>
      <c r="F3566" s="2" t="s">
        <v>1145</v>
      </c>
      <c r="G3566" s="14" t="n">
        <v>12.5</v>
      </c>
      <c r="H3566" s="14" t="n">
        <v>64.47</v>
      </c>
      <c r="I3566" s="14" t="n">
        <v>12.5</v>
      </c>
      <c r="J3566" s="22" t="n">
        <f aca="false">IF(E3566="Priority",'Cost model'!N384,'Cost model'!M384)</f>
        <v>45</v>
      </c>
      <c r="K3566" s="14" t="n">
        <f aca="false">J3566-H3566</f>
        <v>-19.47</v>
      </c>
      <c r="L3566" s="14" t="n">
        <f aca="false">G3566-H3566</f>
        <v>-51.97</v>
      </c>
    </row>
    <row r="3567" customFormat="false" ht="15" hidden="false" customHeight="false" outlineLevel="0" collapsed="false">
      <c r="A3567" s="2" t="s">
        <v>184</v>
      </c>
      <c r="B3567" s="2" t="s">
        <v>184</v>
      </c>
      <c r="C3567" s="2" t="s">
        <v>49</v>
      </c>
      <c r="D3567" s="2" t="s">
        <v>12</v>
      </c>
      <c r="E3567" s="2" t="s">
        <v>76</v>
      </c>
      <c r="F3567" s="2" t="s">
        <v>1145</v>
      </c>
      <c r="G3567" s="14" t="n">
        <v>24.5</v>
      </c>
      <c r="H3567" s="14" t="n">
        <v>7.46</v>
      </c>
      <c r="I3567" s="14"/>
      <c r="J3567" s="22" t="n">
        <f aca="false">IF(E3567="Priority",'Cost model'!N204,'Cost model'!M204)</f>
        <v>45</v>
      </c>
      <c r="K3567" s="14" t="n">
        <f aca="false">J3567-H3567</f>
        <v>37.54</v>
      </c>
      <c r="L3567" s="14" t="n">
        <f aca="false">G3567-H3567</f>
        <v>17.04</v>
      </c>
    </row>
    <row r="3568" customFormat="false" ht="15" hidden="false" customHeight="false" outlineLevel="0" collapsed="false">
      <c r="A3568" s="2" t="s">
        <v>240</v>
      </c>
      <c r="B3568" s="2" t="s">
        <v>126</v>
      </c>
      <c r="C3568" s="2" t="s">
        <v>48</v>
      </c>
      <c r="D3568" s="2" t="s">
        <v>10</v>
      </c>
      <c r="E3568" s="2" t="s">
        <v>76</v>
      </c>
      <c r="F3568" s="2" t="s">
        <v>1146</v>
      </c>
      <c r="G3568" s="14" t="n">
        <v>9.5</v>
      </c>
      <c r="H3568" s="14" t="n">
        <v>28.6</v>
      </c>
      <c r="I3568" s="14" t="n">
        <v>19.5</v>
      </c>
      <c r="J3568" s="22" t="n">
        <f aca="false">IF(E3568="Priority",'Cost model'!N956,'Cost model'!M956)</f>
        <v>15.5</v>
      </c>
      <c r="K3568" s="14" t="n">
        <f aca="false">J3568-H3568</f>
        <v>-13.1</v>
      </c>
      <c r="L3568" s="14" t="n">
        <f aca="false">G3568-H3568</f>
        <v>-19.1</v>
      </c>
    </row>
    <row r="3569" customFormat="false" ht="15" hidden="false" customHeight="false" outlineLevel="0" collapsed="false">
      <c r="A3569" s="2" t="s">
        <v>240</v>
      </c>
      <c r="B3569" s="2" t="s">
        <v>240</v>
      </c>
      <c r="C3569" s="2" t="s">
        <v>48</v>
      </c>
      <c r="D3569" s="2" t="s">
        <v>12</v>
      </c>
      <c r="E3569" s="2" t="s">
        <v>76</v>
      </c>
      <c r="F3569" s="2" t="s">
        <v>1145</v>
      </c>
      <c r="G3569" s="14" t="n">
        <v>9.5</v>
      </c>
      <c r="H3569" s="14" t="n">
        <v>16.9</v>
      </c>
      <c r="I3569" s="14" t="n">
        <v>9.5</v>
      </c>
      <c r="J3569" s="22" t="n">
        <f aca="false">IF(E3569="Priority",'Cost model'!N887,'Cost model'!M887)</f>
        <v>21.5</v>
      </c>
      <c r="K3569" s="14" t="n">
        <f aca="false">J3569-H3569</f>
        <v>4.6</v>
      </c>
      <c r="L3569" s="14" t="n">
        <f aca="false">G3569-H3569</f>
        <v>-7.4</v>
      </c>
    </row>
    <row r="3570" customFormat="false" ht="15" hidden="false" customHeight="false" outlineLevel="0" collapsed="false">
      <c r="A3570" s="2" t="s">
        <v>184</v>
      </c>
      <c r="B3570" s="2" t="s">
        <v>184</v>
      </c>
      <c r="C3570" s="2" t="s">
        <v>49</v>
      </c>
      <c r="D3570" s="2" t="s">
        <v>12</v>
      </c>
      <c r="E3570" s="2" t="s">
        <v>76</v>
      </c>
      <c r="F3570" s="2" t="s">
        <v>1145</v>
      </c>
      <c r="G3570" s="14" t="n">
        <v>12.5</v>
      </c>
      <c r="H3570" s="14" t="n">
        <v>43.59</v>
      </c>
      <c r="I3570" s="14"/>
      <c r="J3570" s="22" t="n">
        <f aca="false">IF(E3570="Priority",'Cost model'!N204,'Cost model'!M204)</f>
        <v>45</v>
      </c>
      <c r="K3570" s="14" t="n">
        <f aca="false">J3570-H3570</f>
        <v>1.41</v>
      </c>
      <c r="L3570" s="14" t="n">
        <f aca="false">G3570-H3570</f>
        <v>-31.09</v>
      </c>
    </row>
    <row r="3571" customFormat="false" ht="15" hidden="false" customHeight="false" outlineLevel="0" collapsed="false">
      <c r="A3571" s="2" t="s">
        <v>184</v>
      </c>
      <c r="B3571" s="2" t="s">
        <v>184</v>
      </c>
      <c r="C3571" s="2" t="s">
        <v>49</v>
      </c>
      <c r="D3571" s="2" t="s">
        <v>10</v>
      </c>
      <c r="E3571" s="2" t="s">
        <v>76</v>
      </c>
      <c r="F3571" s="2" t="s">
        <v>1145</v>
      </c>
      <c r="G3571" s="14" t="n">
        <v>12.5</v>
      </c>
      <c r="H3571" s="14" t="n">
        <v>7.37</v>
      </c>
      <c r="I3571" s="14"/>
      <c r="J3571" s="22" t="n">
        <f aca="false">IF(E3571="Priority",'Cost model'!N201,'Cost model'!M201)</f>
        <v>12.5</v>
      </c>
      <c r="K3571" s="14" t="n">
        <f aca="false">J3571-H3571</f>
        <v>5.13</v>
      </c>
      <c r="L3571" s="14" t="n">
        <f aca="false">G3571-H3571</f>
        <v>5.13</v>
      </c>
    </row>
    <row r="3572" customFormat="false" ht="15" hidden="false" customHeight="false" outlineLevel="0" collapsed="false">
      <c r="A3572" s="2" t="s">
        <v>184</v>
      </c>
      <c r="B3572" s="2" t="s">
        <v>184</v>
      </c>
      <c r="C3572" s="2" t="s">
        <v>48</v>
      </c>
      <c r="D3572" s="2" t="s">
        <v>10</v>
      </c>
      <c r="E3572" s="2" t="s">
        <v>85</v>
      </c>
      <c r="F3572" s="2" t="s">
        <v>1145</v>
      </c>
      <c r="G3572" s="14" t="n">
        <v>14.5</v>
      </c>
      <c r="H3572" s="14" t="n">
        <v>7.46</v>
      </c>
      <c r="I3572" s="14" t="n">
        <v>14.5</v>
      </c>
      <c r="J3572" s="22" t="n">
        <f aca="false">IF(E3572="Priority",'Cost model'!N200,'Cost model'!M200)</f>
        <v>12.5</v>
      </c>
      <c r="K3572" s="14" t="n">
        <f aca="false">J3572-H3572</f>
        <v>5.04</v>
      </c>
      <c r="L3572" s="14" t="n">
        <f aca="false">G3572-H3572</f>
        <v>7.04</v>
      </c>
    </row>
    <row r="3573" customFormat="false" ht="15" hidden="false" customHeight="false" outlineLevel="0" collapsed="false">
      <c r="A3573" s="2" t="s">
        <v>184</v>
      </c>
      <c r="B3573" s="2" t="s">
        <v>184</v>
      </c>
      <c r="C3573" s="2" t="s">
        <v>49</v>
      </c>
      <c r="D3573" s="2" t="s">
        <v>12</v>
      </c>
      <c r="E3573" s="2" t="s">
        <v>76</v>
      </c>
      <c r="F3573" s="2" t="s">
        <v>1145</v>
      </c>
      <c r="G3573" s="14" t="n">
        <v>12.5</v>
      </c>
      <c r="H3573" s="14" t="n">
        <v>42.61</v>
      </c>
      <c r="I3573" s="14"/>
      <c r="J3573" s="22" t="n">
        <f aca="false">IF(E3573="Priority",'Cost model'!N204,'Cost model'!M204)</f>
        <v>45</v>
      </c>
      <c r="K3573" s="14" t="n">
        <f aca="false">J3573-H3573</f>
        <v>2.39</v>
      </c>
      <c r="L3573" s="14" t="n">
        <f aca="false">G3573-H3573</f>
        <v>-30.11</v>
      </c>
    </row>
    <row r="3574" customFormat="false" ht="15" hidden="false" customHeight="false" outlineLevel="0" collapsed="false">
      <c r="A3574" s="2" t="s">
        <v>126</v>
      </c>
      <c r="B3574" s="2" t="s">
        <v>221</v>
      </c>
      <c r="C3574" s="2" t="s">
        <v>49</v>
      </c>
      <c r="D3574" s="2" t="s">
        <v>10</v>
      </c>
      <c r="E3574" s="2" t="s">
        <v>76</v>
      </c>
      <c r="F3574" s="2" t="s">
        <v>1146</v>
      </c>
      <c r="G3574" s="14" t="n">
        <v>12.5</v>
      </c>
      <c r="H3574" s="14" t="n">
        <v>9.25</v>
      </c>
      <c r="I3574" s="14" t="n">
        <v>19.5</v>
      </c>
      <c r="J3574" s="22" t="n">
        <f aca="false">IF(E3574="Priority",'Cost model'!N453,'Cost model'!M453)</f>
        <v>16.5</v>
      </c>
      <c r="K3574" s="14" t="n">
        <f aca="false">J3574-H3574</f>
        <v>7.25</v>
      </c>
      <c r="L3574" s="14" t="n">
        <f aca="false">G3574-H3574</f>
        <v>3.25</v>
      </c>
    </row>
    <row r="3575" customFormat="false" ht="15" hidden="false" customHeight="false" outlineLevel="0" collapsed="false">
      <c r="A3575" s="2" t="s">
        <v>184</v>
      </c>
      <c r="B3575" s="2" t="s">
        <v>184</v>
      </c>
      <c r="C3575" s="2" t="s">
        <v>48</v>
      </c>
      <c r="D3575" s="2" t="s">
        <v>10</v>
      </c>
      <c r="E3575" s="2" t="s">
        <v>76</v>
      </c>
      <c r="F3575" s="2" t="s">
        <v>1145</v>
      </c>
      <c r="G3575" s="14" t="n">
        <v>9.5</v>
      </c>
      <c r="H3575" s="14" t="n">
        <v>7.72</v>
      </c>
      <c r="I3575" s="14" t="n">
        <v>9.5</v>
      </c>
      <c r="J3575" s="22" t="n">
        <f aca="false">IF(E3575="Priority",'Cost model'!N200,'Cost model'!M200)</f>
        <v>7.5</v>
      </c>
      <c r="K3575" s="14" t="n">
        <f aca="false">J3575-H3575</f>
        <v>-0.22</v>
      </c>
      <c r="L3575" s="14" t="n">
        <f aca="false">G3575-H3575</f>
        <v>1.78</v>
      </c>
    </row>
    <row r="3576" customFormat="false" ht="15" hidden="false" customHeight="false" outlineLevel="0" collapsed="false">
      <c r="A3576" s="2" t="s">
        <v>184</v>
      </c>
      <c r="B3576" s="2" t="s">
        <v>184</v>
      </c>
      <c r="C3576" s="2" t="s">
        <v>48</v>
      </c>
      <c r="D3576" s="2" t="s">
        <v>12</v>
      </c>
      <c r="E3576" s="2" t="s">
        <v>76</v>
      </c>
      <c r="F3576" s="2" t="s">
        <v>1145</v>
      </c>
      <c r="G3576" s="14" t="n">
        <v>9.5</v>
      </c>
      <c r="H3576" s="14" t="n">
        <v>30.86</v>
      </c>
      <c r="I3576" s="14" t="n">
        <v>9.5</v>
      </c>
      <c r="J3576" s="22" t="n">
        <f aca="false">IF(E3576="Priority",'Cost model'!N203,'Cost model'!M203)</f>
        <v>26.5</v>
      </c>
      <c r="K3576" s="14" t="n">
        <f aca="false">J3576-H3576</f>
        <v>-4.36</v>
      </c>
      <c r="L3576" s="14" t="n">
        <f aca="false">G3576-H3576</f>
        <v>-21.36</v>
      </c>
    </row>
    <row r="3577" customFormat="false" ht="15" hidden="false" customHeight="false" outlineLevel="0" collapsed="false">
      <c r="A3577" s="2" t="s">
        <v>240</v>
      </c>
      <c r="B3577" s="2" t="s">
        <v>240</v>
      </c>
      <c r="C3577" s="2" t="s">
        <v>48</v>
      </c>
      <c r="D3577" s="2" t="s">
        <v>12</v>
      </c>
      <c r="E3577" s="2" t="s">
        <v>76</v>
      </c>
      <c r="F3577" s="2" t="s">
        <v>1145</v>
      </c>
      <c r="G3577" s="14" t="n">
        <v>9.5</v>
      </c>
      <c r="H3577" s="14" t="n">
        <v>42.23</v>
      </c>
      <c r="I3577" s="14" t="n">
        <v>9.5</v>
      </c>
      <c r="J3577" s="22" t="n">
        <f aca="false">IF(E3577="Priority",'Cost model'!N887,'Cost model'!M887)</f>
        <v>21.5</v>
      </c>
      <c r="K3577" s="14" t="n">
        <f aca="false">J3577-H3577</f>
        <v>-20.73</v>
      </c>
      <c r="L3577" s="14" t="n">
        <f aca="false">G3577-H3577</f>
        <v>-32.73</v>
      </c>
    </row>
    <row r="3578" customFormat="false" ht="15" hidden="false" customHeight="false" outlineLevel="0" collapsed="false">
      <c r="A3578" s="2" t="s">
        <v>126</v>
      </c>
      <c r="B3578" s="2" t="s">
        <v>126</v>
      </c>
      <c r="C3578" s="2" t="s">
        <v>48</v>
      </c>
      <c r="D3578" s="2" t="s">
        <v>12</v>
      </c>
      <c r="E3578" s="2" t="s">
        <v>76</v>
      </c>
      <c r="F3578" s="2" t="s">
        <v>1145</v>
      </c>
      <c r="G3578" s="14" t="n">
        <v>9.5</v>
      </c>
      <c r="H3578" s="14" t="n">
        <v>27.69</v>
      </c>
      <c r="I3578" s="14" t="n">
        <v>9.5</v>
      </c>
      <c r="J3578" s="22" t="n">
        <f aca="false">IF(E3578="Priority",'Cost model'!N383,'Cost model'!M383)</f>
        <v>27.5</v>
      </c>
      <c r="K3578" s="14" t="n">
        <f aca="false">J3578-H3578</f>
        <v>-0.190000000000001</v>
      </c>
      <c r="L3578" s="14" t="n">
        <f aca="false">G3578-H3578</f>
        <v>-18.19</v>
      </c>
    </row>
    <row r="3579" customFormat="false" ht="15" hidden="false" customHeight="false" outlineLevel="0" collapsed="false">
      <c r="A3579" s="2" t="s">
        <v>184</v>
      </c>
      <c r="B3579" s="2" t="s">
        <v>146</v>
      </c>
      <c r="C3579" s="2" t="s">
        <v>49</v>
      </c>
      <c r="D3579" s="2" t="s">
        <v>10</v>
      </c>
      <c r="E3579" s="2" t="s">
        <v>76</v>
      </c>
      <c r="F3579" s="2" t="s">
        <v>1146</v>
      </c>
      <c r="G3579" s="14" t="n">
        <v>12.5</v>
      </c>
      <c r="H3579" s="14" t="n">
        <v>15.99</v>
      </c>
      <c r="I3579" s="14"/>
      <c r="J3579" s="22" t="n">
        <f aca="false">IF(E3579="Priority",'Cost model'!N147,'Cost model'!M147)</f>
        <v>14.5</v>
      </c>
      <c r="K3579" s="14" t="n">
        <f aca="false">J3579-H3579</f>
        <v>-1.49</v>
      </c>
      <c r="L3579" s="14" t="n">
        <f aca="false">G3579-H3579</f>
        <v>-3.49</v>
      </c>
    </row>
    <row r="3580" customFormat="false" ht="15" hidden="false" customHeight="false" outlineLevel="0" collapsed="false">
      <c r="A3580" s="2" t="s">
        <v>184</v>
      </c>
      <c r="B3580" s="2" t="s">
        <v>146</v>
      </c>
      <c r="C3580" s="2" t="s">
        <v>48</v>
      </c>
      <c r="D3580" s="2" t="s">
        <v>12</v>
      </c>
      <c r="E3580" s="2" t="s">
        <v>85</v>
      </c>
      <c r="F3580" s="2" t="s">
        <v>1146</v>
      </c>
      <c r="G3580" s="14" t="n">
        <v>19.5</v>
      </c>
      <c r="H3580" s="14" t="n">
        <v>44.04</v>
      </c>
      <c r="I3580" s="14" t="n">
        <v>19.5</v>
      </c>
      <c r="J3580" s="22" t="n">
        <f aca="false">IF(E3580="Priority",'Cost model'!N149,'Cost model'!M149)</f>
        <v>60</v>
      </c>
      <c r="K3580" s="14" t="n">
        <f aca="false">J3580-H3580</f>
        <v>15.96</v>
      </c>
      <c r="L3580" s="14" t="n">
        <f aca="false">G3580-H3580</f>
        <v>-24.54</v>
      </c>
    </row>
    <row r="3581" customFormat="false" ht="15" hidden="false" customHeight="false" outlineLevel="0" collapsed="false">
      <c r="A3581" s="2" t="s">
        <v>240</v>
      </c>
      <c r="B3581" s="2" t="s">
        <v>184</v>
      </c>
      <c r="C3581" s="2" t="s">
        <v>50</v>
      </c>
      <c r="D3581" s="2" t="s">
        <v>12</v>
      </c>
      <c r="E3581" s="2" t="s">
        <v>76</v>
      </c>
      <c r="F3581" s="2" t="s">
        <v>1146</v>
      </c>
      <c r="G3581" s="14" t="n">
        <v>19.5</v>
      </c>
      <c r="H3581" s="14" t="n">
        <v>100.79</v>
      </c>
      <c r="I3581" s="14" t="n">
        <v>29.5</v>
      </c>
      <c r="J3581" s="22" t="n">
        <f aca="false">IF(E3581="Priority",'Cost model'!N943,'Cost model'!M943)</f>
        <v>75</v>
      </c>
      <c r="K3581" s="14" t="n">
        <f aca="false">J3581-H3581</f>
        <v>-25.79</v>
      </c>
      <c r="L3581" s="14" t="n">
        <f aca="false">G3581-H3581</f>
        <v>-81.29</v>
      </c>
    </row>
    <row r="3582" customFormat="false" ht="15" hidden="false" customHeight="false" outlineLevel="0" collapsed="false">
      <c r="A3582" s="2" t="s">
        <v>184</v>
      </c>
      <c r="B3582" s="2" t="s">
        <v>184</v>
      </c>
      <c r="C3582" s="2" t="s">
        <v>48</v>
      </c>
      <c r="D3582" s="2" t="s">
        <v>10</v>
      </c>
      <c r="E3582" s="2" t="s">
        <v>85</v>
      </c>
      <c r="F3582" s="2" t="s">
        <v>1145</v>
      </c>
      <c r="G3582" s="14" t="n">
        <v>14.5</v>
      </c>
      <c r="H3582" s="14" t="n">
        <v>7.46</v>
      </c>
      <c r="I3582" s="14" t="n">
        <v>14.5</v>
      </c>
      <c r="J3582" s="22" t="n">
        <f aca="false">IF(E3582="Priority",'Cost model'!N200,'Cost model'!M200)</f>
        <v>12.5</v>
      </c>
      <c r="K3582" s="14" t="n">
        <f aca="false">J3582-H3582</f>
        <v>5.04</v>
      </c>
      <c r="L3582" s="14" t="n">
        <f aca="false">G3582-H3582</f>
        <v>7.04</v>
      </c>
    </row>
    <row r="3583" customFormat="false" ht="15" hidden="false" customHeight="false" outlineLevel="0" collapsed="false">
      <c r="A3583" s="2" t="s">
        <v>240</v>
      </c>
      <c r="B3583" s="2" t="s">
        <v>240</v>
      </c>
      <c r="C3583" s="2" t="s">
        <v>50</v>
      </c>
      <c r="D3583" s="2" t="s">
        <v>10</v>
      </c>
      <c r="E3583" s="2" t="s">
        <v>76</v>
      </c>
      <c r="F3583" s="2" t="s">
        <v>1145</v>
      </c>
      <c r="G3583" s="14" t="n">
        <v>17.5</v>
      </c>
      <c r="H3583" s="14" t="n">
        <v>26.32</v>
      </c>
      <c r="I3583" s="14" t="n">
        <v>17.5</v>
      </c>
      <c r="J3583" s="22" t="n">
        <f aca="false">IF(E3583="Priority",'Cost model'!N886,'Cost model'!M886)</f>
        <v>17.5</v>
      </c>
      <c r="K3583" s="14" t="n">
        <f aca="false">J3583-H3583</f>
        <v>-8.82</v>
      </c>
      <c r="L3583" s="14" t="n">
        <f aca="false">G3583-H3583</f>
        <v>-8.82</v>
      </c>
    </row>
    <row r="3584" customFormat="false" ht="15" hidden="false" customHeight="false" outlineLevel="0" collapsed="false">
      <c r="A3584" s="2" t="s">
        <v>184</v>
      </c>
      <c r="B3584" s="2" t="s">
        <v>184</v>
      </c>
      <c r="C3584" s="2" t="s">
        <v>49</v>
      </c>
      <c r="D3584" s="2" t="s">
        <v>12</v>
      </c>
      <c r="E3584" s="2" t="s">
        <v>76</v>
      </c>
      <c r="F3584" s="2" t="s">
        <v>1145</v>
      </c>
      <c r="G3584" s="14" t="n">
        <v>12.5</v>
      </c>
      <c r="H3584" s="14" t="n">
        <v>24.61</v>
      </c>
      <c r="I3584" s="14"/>
      <c r="J3584" s="22" t="n">
        <f aca="false">IF(E3584="Priority",'Cost model'!N204,'Cost model'!M204)</f>
        <v>45</v>
      </c>
      <c r="K3584" s="14" t="n">
        <f aca="false">J3584-H3584</f>
        <v>20.39</v>
      </c>
      <c r="L3584" s="14" t="n">
        <f aca="false">G3584-H3584</f>
        <v>-12.11</v>
      </c>
    </row>
    <row r="3585" customFormat="false" ht="15" hidden="false" customHeight="false" outlineLevel="0" collapsed="false">
      <c r="A3585" s="2" t="s">
        <v>240</v>
      </c>
      <c r="B3585" s="2" t="s">
        <v>240</v>
      </c>
      <c r="C3585" s="2" t="s">
        <v>50</v>
      </c>
      <c r="D3585" s="2" t="s">
        <v>12</v>
      </c>
      <c r="E3585" s="2" t="s">
        <v>76</v>
      </c>
      <c r="F3585" s="2" t="s">
        <v>1145</v>
      </c>
      <c r="G3585" s="14" t="n">
        <v>19.5</v>
      </c>
      <c r="H3585" s="14" t="n">
        <v>38.1</v>
      </c>
      <c r="I3585" s="14" t="n">
        <v>19.5</v>
      </c>
      <c r="J3585" s="22" t="n">
        <f aca="false">IF(E3585="Priority",'Cost model'!N889,'Cost model'!M889)</f>
        <v>60</v>
      </c>
      <c r="K3585" s="14" t="n">
        <f aca="false">J3585-H3585</f>
        <v>21.9</v>
      </c>
      <c r="L3585" s="14" t="n">
        <f aca="false">G3585-H3585</f>
        <v>-18.6</v>
      </c>
    </row>
    <row r="3586" customFormat="false" ht="15" hidden="false" customHeight="false" outlineLevel="0" collapsed="false">
      <c r="A3586" s="2" t="s">
        <v>146</v>
      </c>
      <c r="B3586" s="2" t="s">
        <v>184</v>
      </c>
      <c r="C3586" s="2" t="s">
        <v>49</v>
      </c>
      <c r="D3586" s="2" t="s">
        <v>12</v>
      </c>
      <c r="E3586" s="2" t="s">
        <v>76</v>
      </c>
      <c r="F3586" s="2" t="s">
        <v>1146</v>
      </c>
      <c r="G3586" s="14" t="n">
        <v>19.5</v>
      </c>
      <c r="H3586" s="14" t="n">
        <v>74.08</v>
      </c>
      <c r="I3586" s="14" t="n">
        <v>19.5</v>
      </c>
      <c r="J3586" s="22" t="n">
        <f aca="false">IF(E3586="Priority",'Cost model'!N834,'Cost model'!M834)</f>
        <v>45</v>
      </c>
      <c r="K3586" s="14" t="n">
        <f aca="false">J3586-H3586</f>
        <v>-29.08</v>
      </c>
      <c r="L3586" s="14" t="n">
        <f aca="false">G3586-H3586</f>
        <v>-54.58</v>
      </c>
    </row>
    <row r="3587" customFormat="false" ht="15" hidden="false" customHeight="false" outlineLevel="0" collapsed="false">
      <c r="A3587" s="2" t="s">
        <v>146</v>
      </c>
      <c r="B3587" s="2" t="s">
        <v>146</v>
      </c>
      <c r="C3587" s="2" t="s">
        <v>50</v>
      </c>
      <c r="D3587" s="2" t="s">
        <v>12</v>
      </c>
      <c r="E3587" s="2" t="s">
        <v>76</v>
      </c>
      <c r="F3587" s="2" t="s">
        <v>1145</v>
      </c>
      <c r="G3587" s="14" t="n">
        <v>19.5</v>
      </c>
      <c r="H3587" s="14" t="n">
        <v>43.77</v>
      </c>
      <c r="I3587" s="14" t="n">
        <v>19.5</v>
      </c>
      <c r="J3587" s="22" t="n">
        <f aca="false">IF(E3587="Priority",'Cost model'!N763,'Cost model'!M763)</f>
        <v>50</v>
      </c>
      <c r="K3587" s="14" t="n">
        <f aca="false">J3587-H3587</f>
        <v>6.23</v>
      </c>
      <c r="L3587" s="14" t="n">
        <f aca="false">G3587-H3587</f>
        <v>-24.27</v>
      </c>
    </row>
    <row r="3588" customFormat="false" ht="15" hidden="false" customHeight="false" outlineLevel="0" collapsed="false">
      <c r="A3588" s="2" t="s">
        <v>184</v>
      </c>
      <c r="B3588" s="2" t="s">
        <v>184</v>
      </c>
      <c r="C3588" s="2" t="s">
        <v>49</v>
      </c>
      <c r="D3588" s="2" t="s">
        <v>10</v>
      </c>
      <c r="E3588" s="2" t="s">
        <v>76</v>
      </c>
      <c r="F3588" s="2" t="s">
        <v>1145</v>
      </c>
      <c r="G3588" s="14" t="n">
        <v>12.5</v>
      </c>
      <c r="H3588" s="14" t="n">
        <v>7.22</v>
      </c>
      <c r="I3588" s="14"/>
      <c r="J3588" s="22" t="n">
        <f aca="false">IF(E3588="Priority",'Cost model'!N201,'Cost model'!M201)</f>
        <v>12.5</v>
      </c>
      <c r="K3588" s="14" t="n">
        <f aca="false">J3588-H3588</f>
        <v>5.28</v>
      </c>
      <c r="L3588" s="14" t="n">
        <f aca="false">G3588-H3588</f>
        <v>5.28</v>
      </c>
    </row>
    <row r="3589" customFormat="false" ht="15" hidden="false" customHeight="false" outlineLevel="0" collapsed="false">
      <c r="A3589" s="2" t="s">
        <v>126</v>
      </c>
      <c r="B3589" s="2" t="s">
        <v>126</v>
      </c>
      <c r="C3589" s="2" t="s">
        <v>48</v>
      </c>
      <c r="D3589" s="2" t="s">
        <v>12</v>
      </c>
      <c r="E3589" s="2" t="s">
        <v>76</v>
      </c>
      <c r="F3589" s="2" t="s">
        <v>1145</v>
      </c>
      <c r="G3589" s="14" t="n">
        <v>9.5</v>
      </c>
      <c r="H3589" s="14" t="n">
        <v>29.49</v>
      </c>
      <c r="I3589" s="14" t="n">
        <v>9.5</v>
      </c>
      <c r="J3589" s="22" t="n">
        <f aca="false">IF(E3589="Priority",'Cost model'!N383,'Cost model'!M383)</f>
        <v>27.5</v>
      </c>
      <c r="K3589" s="14" t="n">
        <f aca="false">J3589-H3589</f>
        <v>-1.99</v>
      </c>
      <c r="L3589" s="14" t="n">
        <f aca="false">G3589-H3589</f>
        <v>-19.99</v>
      </c>
    </row>
    <row r="3590" customFormat="false" ht="15" hidden="false" customHeight="false" outlineLevel="0" collapsed="false">
      <c r="A3590" s="2" t="s">
        <v>184</v>
      </c>
      <c r="B3590" s="2" t="s">
        <v>184</v>
      </c>
      <c r="C3590" s="2" t="s">
        <v>50</v>
      </c>
      <c r="D3590" s="2" t="s">
        <v>10</v>
      </c>
      <c r="E3590" s="2" t="s">
        <v>76</v>
      </c>
      <c r="F3590" s="2" t="s">
        <v>1145</v>
      </c>
      <c r="G3590" s="14" t="n">
        <v>17.5</v>
      </c>
      <c r="H3590" s="14" t="n">
        <v>12.18</v>
      </c>
      <c r="I3590" s="14" t="n">
        <v>17.5</v>
      </c>
      <c r="J3590" s="22" t="n">
        <f aca="false">IF(E3590="Priority",'Cost model'!N202,'Cost model'!M202)</f>
        <v>17.5</v>
      </c>
      <c r="K3590" s="14" t="n">
        <f aca="false">J3590-H3590</f>
        <v>5.32</v>
      </c>
      <c r="L3590" s="14" t="n">
        <f aca="false">G3590-H3590</f>
        <v>5.32</v>
      </c>
    </row>
    <row r="3591" customFormat="false" ht="15" hidden="false" customHeight="false" outlineLevel="0" collapsed="false">
      <c r="A3591" s="2" t="s">
        <v>126</v>
      </c>
      <c r="B3591" s="2" t="s">
        <v>126</v>
      </c>
      <c r="C3591" s="2" t="s">
        <v>49</v>
      </c>
      <c r="D3591" s="2" t="s">
        <v>12</v>
      </c>
      <c r="E3591" s="2" t="s">
        <v>76</v>
      </c>
      <c r="F3591" s="2" t="s">
        <v>1145</v>
      </c>
      <c r="G3591" s="14" t="n">
        <v>12.5</v>
      </c>
      <c r="H3591" s="14" t="n">
        <v>12.23</v>
      </c>
      <c r="I3591" s="14" t="n">
        <v>12.5</v>
      </c>
      <c r="J3591" s="22" t="n">
        <f aca="false">IF(E3591="Priority",'Cost model'!N384,'Cost model'!M384)</f>
        <v>45</v>
      </c>
      <c r="K3591" s="14" t="n">
        <f aca="false">J3591-H3591</f>
        <v>32.77</v>
      </c>
      <c r="L3591" s="14" t="n">
        <f aca="false">G3591-H3591</f>
        <v>0.27</v>
      </c>
    </row>
    <row r="3592" customFormat="false" ht="15" hidden="false" customHeight="false" outlineLevel="0" collapsed="false">
      <c r="A3592" s="2" t="s">
        <v>184</v>
      </c>
      <c r="B3592" s="2" t="s">
        <v>184</v>
      </c>
      <c r="C3592" s="2" t="s">
        <v>50</v>
      </c>
      <c r="D3592" s="2" t="s">
        <v>10</v>
      </c>
      <c r="E3592" s="2" t="s">
        <v>76</v>
      </c>
      <c r="F3592" s="2" t="s">
        <v>1145</v>
      </c>
      <c r="G3592" s="14" t="n">
        <v>17.5</v>
      </c>
      <c r="H3592" s="14" t="n">
        <v>20.39</v>
      </c>
      <c r="I3592" s="14" t="n">
        <v>17.5</v>
      </c>
      <c r="J3592" s="22" t="n">
        <f aca="false">IF(E3592="Priority",'Cost model'!N202,'Cost model'!M202)</f>
        <v>17.5</v>
      </c>
      <c r="K3592" s="14" t="n">
        <f aca="false">J3592-H3592</f>
        <v>-2.89</v>
      </c>
      <c r="L3592" s="14" t="n">
        <f aca="false">G3592-H3592</f>
        <v>-2.89</v>
      </c>
    </row>
    <row r="3593" customFormat="false" ht="15" hidden="false" customHeight="false" outlineLevel="0" collapsed="false">
      <c r="A3593" s="2" t="s">
        <v>184</v>
      </c>
      <c r="B3593" s="2" t="s">
        <v>184</v>
      </c>
      <c r="C3593" s="2" t="s">
        <v>50</v>
      </c>
      <c r="D3593" s="2" t="s">
        <v>10</v>
      </c>
      <c r="E3593" s="2" t="s">
        <v>85</v>
      </c>
      <c r="F3593" s="2" t="s">
        <v>1145</v>
      </c>
      <c r="G3593" s="14" t="n">
        <v>24.5</v>
      </c>
      <c r="H3593" s="14" t="n">
        <v>36.34</v>
      </c>
      <c r="I3593" s="14" t="n">
        <v>24.5</v>
      </c>
      <c r="J3593" s="22" t="n">
        <f aca="false">IF(E3593="Priority",'Cost model'!N202,'Cost model'!M202)</f>
        <v>23.5</v>
      </c>
      <c r="K3593" s="14" t="n">
        <f aca="false">J3593-H3593</f>
        <v>-12.84</v>
      </c>
      <c r="L3593" s="14" t="n">
        <f aca="false">G3593-H3593</f>
        <v>-11.84</v>
      </c>
    </row>
    <row r="3594" customFormat="false" ht="15" hidden="false" customHeight="false" outlineLevel="0" collapsed="false">
      <c r="A3594" s="2" t="s">
        <v>184</v>
      </c>
      <c r="B3594" s="2" t="s">
        <v>184</v>
      </c>
      <c r="C3594" s="2" t="s">
        <v>48</v>
      </c>
      <c r="D3594" s="2" t="s">
        <v>12</v>
      </c>
      <c r="E3594" s="2" t="s">
        <v>76</v>
      </c>
      <c r="F3594" s="2" t="s">
        <v>1145</v>
      </c>
      <c r="G3594" s="14" t="n">
        <v>9.5</v>
      </c>
      <c r="H3594" s="14" t="n">
        <v>28.57</v>
      </c>
      <c r="I3594" s="14" t="n">
        <v>9.5</v>
      </c>
      <c r="J3594" s="22" t="n">
        <f aca="false">IF(E3594="Priority",'Cost model'!N203,'Cost model'!M203)</f>
        <v>26.5</v>
      </c>
      <c r="K3594" s="14" t="n">
        <f aca="false">J3594-H3594</f>
        <v>-2.07</v>
      </c>
      <c r="L3594" s="14" t="n">
        <f aca="false">G3594-H3594</f>
        <v>-19.07</v>
      </c>
    </row>
    <row r="3595" customFormat="false" ht="15" hidden="false" customHeight="false" outlineLevel="0" collapsed="false">
      <c r="A3595" s="2" t="s">
        <v>125</v>
      </c>
      <c r="B3595" s="2" t="s">
        <v>125</v>
      </c>
      <c r="C3595" s="2" t="s">
        <v>48</v>
      </c>
      <c r="D3595" s="2" t="s">
        <v>10</v>
      </c>
      <c r="E3595" s="2" t="s">
        <v>85</v>
      </c>
      <c r="F3595" s="2" t="s">
        <v>1145</v>
      </c>
      <c r="G3595" s="14" t="n">
        <v>14.5</v>
      </c>
      <c r="H3595" s="14" t="n">
        <v>21.76</v>
      </c>
      <c r="I3595" s="14" t="n">
        <v>14.5</v>
      </c>
      <c r="J3595" s="22" t="n">
        <f aca="false">IF(E3595="Priority",'Cost model'!N74,'Cost model'!M74)</f>
        <v>29.5</v>
      </c>
      <c r="K3595" s="14" t="n">
        <f aca="false">J3595-H3595</f>
        <v>7.74</v>
      </c>
      <c r="L3595" s="14" t="n">
        <f aca="false">G3595-H3595</f>
        <v>-7.26</v>
      </c>
    </row>
    <row r="3596" customFormat="false" ht="15" hidden="false" customHeight="false" outlineLevel="0" collapsed="false">
      <c r="A3596" s="2" t="s">
        <v>146</v>
      </c>
      <c r="B3596" s="2" t="s">
        <v>146</v>
      </c>
      <c r="C3596" s="2" t="s">
        <v>48</v>
      </c>
      <c r="D3596" s="2" t="s">
        <v>10</v>
      </c>
      <c r="E3596" s="2" t="s">
        <v>85</v>
      </c>
      <c r="F3596" s="2" t="s">
        <v>1145</v>
      </c>
      <c r="G3596" s="14" t="n">
        <v>14.5</v>
      </c>
      <c r="H3596" s="14" t="n">
        <v>15.79</v>
      </c>
      <c r="I3596" s="14" t="n">
        <v>14.5</v>
      </c>
      <c r="J3596" s="22" t="n">
        <f aca="false">IF(E3596="Priority",'Cost model'!N758,'Cost model'!M758)</f>
        <v>14.5</v>
      </c>
      <c r="K3596" s="14" t="n">
        <f aca="false">J3596-H3596</f>
        <v>-1.29</v>
      </c>
      <c r="L3596" s="14" t="n">
        <f aca="false">G3596-H3596</f>
        <v>-1.29</v>
      </c>
    </row>
    <row r="3597" customFormat="false" ht="15" hidden="false" customHeight="false" outlineLevel="0" collapsed="false">
      <c r="A3597" s="2" t="s">
        <v>126</v>
      </c>
      <c r="B3597" s="2" t="s">
        <v>126</v>
      </c>
      <c r="C3597" s="2" t="s">
        <v>50</v>
      </c>
      <c r="D3597" s="2" t="s">
        <v>13</v>
      </c>
      <c r="E3597" s="2" t="s">
        <v>76</v>
      </c>
      <c r="F3597" s="2" t="s">
        <v>1145</v>
      </c>
      <c r="G3597" s="14" t="n">
        <v>50</v>
      </c>
      <c r="H3597" s="14" t="n">
        <v>90.66</v>
      </c>
      <c r="I3597" s="14" t="n">
        <v>50</v>
      </c>
      <c r="J3597" s="22" t="n">
        <f aca="false">IF(E3597="Priority",'Cost model'!N388,'Cost model'!M388)</f>
        <v>110</v>
      </c>
      <c r="K3597" s="14" t="n">
        <f aca="false">J3597-H3597</f>
        <v>19.34</v>
      </c>
      <c r="L3597" s="14" t="n">
        <f aca="false">G3597-H3597</f>
        <v>-40.66</v>
      </c>
    </row>
    <row r="3598" customFormat="false" ht="15" hidden="false" customHeight="false" outlineLevel="0" collapsed="false">
      <c r="A3598" s="2" t="s">
        <v>126</v>
      </c>
      <c r="B3598" s="2" t="s">
        <v>126</v>
      </c>
      <c r="C3598" s="2" t="s">
        <v>49</v>
      </c>
      <c r="D3598" s="2" t="s">
        <v>10</v>
      </c>
      <c r="E3598" s="2" t="s">
        <v>85</v>
      </c>
      <c r="F3598" s="2" t="s">
        <v>1145</v>
      </c>
      <c r="G3598" s="14" t="n">
        <v>17.5</v>
      </c>
      <c r="H3598" s="14" t="n">
        <v>21.34</v>
      </c>
      <c r="I3598" s="14" t="n">
        <v>17.5</v>
      </c>
      <c r="J3598" s="22" t="n">
        <f aca="false">IF(E3598="Priority",'Cost model'!N381,'Cost model'!M381)</f>
        <v>19.5</v>
      </c>
      <c r="K3598" s="14" t="n">
        <f aca="false">J3598-H3598</f>
        <v>-1.84</v>
      </c>
      <c r="L3598" s="14" t="n">
        <f aca="false">G3598-H3598</f>
        <v>-3.84</v>
      </c>
    </row>
    <row r="3599" customFormat="false" ht="15" hidden="false" customHeight="false" outlineLevel="0" collapsed="false">
      <c r="A3599" s="2" t="s">
        <v>126</v>
      </c>
      <c r="B3599" s="2" t="s">
        <v>184</v>
      </c>
      <c r="C3599" s="2" t="s">
        <v>48</v>
      </c>
      <c r="D3599" s="2" t="s">
        <v>12</v>
      </c>
      <c r="E3599" s="2" t="s">
        <v>76</v>
      </c>
      <c r="F3599" s="2" t="s">
        <v>1146</v>
      </c>
      <c r="G3599" s="14" t="n">
        <v>19.5</v>
      </c>
      <c r="H3599" s="14" t="n">
        <v>50.95</v>
      </c>
      <c r="I3599" s="14" t="n">
        <v>19.5</v>
      </c>
      <c r="J3599" s="22" t="n">
        <f aca="false">IF(E3599="Priority",'Cost model'!N437,'Cost model'!M437)</f>
        <v>50</v>
      </c>
      <c r="K3599" s="14" t="n">
        <f aca="false">J3599-H3599</f>
        <v>-0.950000000000003</v>
      </c>
      <c r="L3599" s="14" t="n">
        <f aca="false">G3599-H3599</f>
        <v>-31.45</v>
      </c>
    </row>
    <row r="3600" customFormat="false" ht="15" hidden="false" customHeight="false" outlineLevel="0" collapsed="false">
      <c r="A3600" s="2" t="s">
        <v>126</v>
      </c>
      <c r="B3600" s="2" t="s">
        <v>126</v>
      </c>
      <c r="C3600" s="2" t="s">
        <v>49</v>
      </c>
      <c r="D3600" s="2" t="s">
        <v>12</v>
      </c>
      <c r="E3600" s="2" t="s">
        <v>76</v>
      </c>
      <c r="F3600" s="2" t="s">
        <v>1145</v>
      </c>
      <c r="G3600" s="14" t="n">
        <v>12.5</v>
      </c>
      <c r="H3600" s="14" t="n">
        <v>42.23</v>
      </c>
      <c r="I3600" s="14" t="n">
        <v>12.5</v>
      </c>
      <c r="J3600" s="22" t="n">
        <f aca="false">IF(E3600="Priority",'Cost model'!N384,'Cost model'!M384)</f>
        <v>45</v>
      </c>
      <c r="K3600" s="14" t="n">
        <f aca="false">J3600-H3600</f>
        <v>2.77</v>
      </c>
      <c r="L3600" s="14" t="n">
        <f aca="false">G3600-H3600</f>
        <v>-29.73</v>
      </c>
    </row>
    <row r="3601" customFormat="false" ht="15" hidden="false" customHeight="false" outlineLevel="0" collapsed="false">
      <c r="A3601" s="2" t="s">
        <v>146</v>
      </c>
      <c r="B3601" s="2" t="s">
        <v>146</v>
      </c>
      <c r="C3601" s="2" t="s">
        <v>48</v>
      </c>
      <c r="D3601" s="2" t="s">
        <v>12</v>
      </c>
      <c r="E3601" s="2" t="s">
        <v>76</v>
      </c>
      <c r="F3601" s="2" t="s">
        <v>1145</v>
      </c>
      <c r="G3601" s="14" t="n">
        <v>24.5</v>
      </c>
      <c r="H3601" s="14" t="n">
        <v>97.78</v>
      </c>
      <c r="I3601" s="14" t="n">
        <v>9.5</v>
      </c>
      <c r="J3601" s="22" t="n">
        <f aca="false">IF(E3601="Priority",'Cost model'!N761,'Cost model'!M761)</f>
        <v>35</v>
      </c>
      <c r="K3601" s="14" t="n">
        <f aca="false">J3601-H3601</f>
        <v>-62.78</v>
      </c>
      <c r="L3601" s="14" t="n">
        <f aca="false">G3601-H3601</f>
        <v>-73.28</v>
      </c>
    </row>
    <row r="3602" customFormat="false" ht="15" hidden="false" customHeight="false" outlineLevel="0" collapsed="false">
      <c r="A3602" s="2" t="s">
        <v>126</v>
      </c>
      <c r="B3602" s="2" t="s">
        <v>126</v>
      </c>
      <c r="C3602" s="2" t="s">
        <v>48</v>
      </c>
      <c r="D3602" s="2" t="s">
        <v>12</v>
      </c>
      <c r="E3602" s="2" t="s">
        <v>76</v>
      </c>
      <c r="F3602" s="2" t="s">
        <v>1145</v>
      </c>
      <c r="G3602" s="14" t="n">
        <v>9.5</v>
      </c>
      <c r="H3602" s="14" t="n">
        <v>28.35</v>
      </c>
      <c r="I3602" s="14" t="n">
        <v>9.5</v>
      </c>
      <c r="J3602" s="22" t="n">
        <f aca="false">IF(E3602="Priority",'Cost model'!N383,'Cost model'!M383)</f>
        <v>27.5</v>
      </c>
      <c r="K3602" s="14" t="n">
        <f aca="false">J3602-H3602</f>
        <v>-0.850000000000001</v>
      </c>
      <c r="L3602" s="14" t="n">
        <f aca="false">G3602-H3602</f>
        <v>-18.85</v>
      </c>
    </row>
    <row r="3603" customFormat="false" ht="15" hidden="false" customHeight="false" outlineLevel="0" collapsed="false">
      <c r="A3603" s="2" t="s">
        <v>146</v>
      </c>
      <c r="B3603" s="2" t="s">
        <v>146</v>
      </c>
      <c r="C3603" s="2" t="s">
        <v>48</v>
      </c>
      <c r="D3603" s="2" t="s">
        <v>13</v>
      </c>
      <c r="E3603" s="2" t="s">
        <v>85</v>
      </c>
      <c r="F3603" s="2" t="s">
        <v>1145</v>
      </c>
      <c r="G3603" s="14" t="n">
        <v>45</v>
      </c>
      <c r="H3603" s="14" t="n">
        <v>38.38</v>
      </c>
      <c r="I3603" s="14" t="n">
        <v>45</v>
      </c>
      <c r="J3603" s="22" t="n">
        <f aca="false">IF(E3603="Priority",'Cost model'!N764,'Cost model'!M764)</f>
        <v>75</v>
      </c>
      <c r="K3603" s="14" t="n">
        <f aca="false">J3603-H3603</f>
        <v>36.62</v>
      </c>
      <c r="L3603" s="14" t="n">
        <f aca="false">G3603-H3603</f>
        <v>6.62</v>
      </c>
    </row>
    <row r="3604" customFormat="false" ht="15" hidden="false" customHeight="false" outlineLevel="0" collapsed="false">
      <c r="A3604" s="2" t="s">
        <v>126</v>
      </c>
      <c r="B3604" s="2" t="s">
        <v>126</v>
      </c>
      <c r="C3604" s="2" t="s">
        <v>48</v>
      </c>
      <c r="D3604" s="2" t="s">
        <v>12</v>
      </c>
      <c r="E3604" s="2" t="s">
        <v>76</v>
      </c>
      <c r="F3604" s="2" t="s">
        <v>1145</v>
      </c>
      <c r="G3604" s="14" t="n">
        <v>14.5</v>
      </c>
      <c r="H3604" s="14" t="n">
        <v>28.35</v>
      </c>
      <c r="I3604" s="14" t="n">
        <v>9.5</v>
      </c>
      <c r="J3604" s="22" t="n">
        <f aca="false">IF(E3604="Priority",'Cost model'!N383,'Cost model'!M383)</f>
        <v>27.5</v>
      </c>
      <c r="K3604" s="14" t="n">
        <f aca="false">J3604-H3604</f>
        <v>-0.850000000000001</v>
      </c>
      <c r="L3604" s="14" t="n">
        <f aca="false">G3604-H3604</f>
        <v>-13.85</v>
      </c>
    </row>
    <row r="3605" customFormat="false" ht="15" hidden="false" customHeight="false" outlineLevel="0" collapsed="false">
      <c r="A3605" s="2" t="s">
        <v>146</v>
      </c>
      <c r="B3605" s="2" t="s">
        <v>184</v>
      </c>
      <c r="C3605" s="2" t="s">
        <v>48</v>
      </c>
      <c r="D3605" s="2" t="s">
        <v>12</v>
      </c>
      <c r="E3605" s="2" t="s">
        <v>76</v>
      </c>
      <c r="F3605" s="2" t="s">
        <v>1146</v>
      </c>
      <c r="G3605" s="14" t="n">
        <v>19.5</v>
      </c>
      <c r="H3605" s="14" t="n">
        <v>88.92</v>
      </c>
      <c r="I3605" s="14" t="n">
        <v>19.5</v>
      </c>
      <c r="J3605" s="22" t="n">
        <f aca="false">IF(E3605="Priority",'Cost model'!N833,'Cost model'!M833)</f>
        <v>45</v>
      </c>
      <c r="K3605" s="14" t="n">
        <f aca="false">J3605-H3605</f>
        <v>-43.92</v>
      </c>
      <c r="L3605" s="14" t="n">
        <f aca="false">G3605-H3605</f>
        <v>-69.42</v>
      </c>
    </row>
    <row r="3606" customFormat="false" ht="15" hidden="false" customHeight="false" outlineLevel="0" collapsed="false">
      <c r="A3606" s="2" t="s">
        <v>165</v>
      </c>
      <c r="B3606" s="2" t="s">
        <v>125</v>
      </c>
      <c r="C3606" s="2" t="s">
        <v>48</v>
      </c>
      <c r="D3606" s="2" t="s">
        <v>12</v>
      </c>
      <c r="E3606" s="2" t="s">
        <v>76</v>
      </c>
      <c r="F3606" s="2" t="s">
        <v>1146</v>
      </c>
      <c r="G3606" s="14" t="n">
        <v>9.5</v>
      </c>
      <c r="H3606" s="14" t="n">
        <v>41.91</v>
      </c>
      <c r="I3606" s="14" t="n">
        <v>24.5</v>
      </c>
      <c r="J3606" s="22" t="n">
        <f aca="false">IF(E3606="Priority",'Cost model'!N617,'Cost model'!M617)</f>
        <v>45</v>
      </c>
      <c r="K3606" s="14" t="n">
        <f aca="false">J3606-H3606</f>
        <v>3.09</v>
      </c>
      <c r="L3606" s="14" t="n">
        <f aca="false">G3606-H3606</f>
        <v>-32.41</v>
      </c>
    </row>
    <row r="3607" customFormat="false" ht="15" hidden="false" customHeight="false" outlineLevel="0" collapsed="false">
      <c r="A3607" s="2" t="s">
        <v>165</v>
      </c>
      <c r="B3607" s="2" t="s">
        <v>165</v>
      </c>
      <c r="C3607" s="2" t="s">
        <v>49</v>
      </c>
      <c r="D3607" s="2" t="s">
        <v>10</v>
      </c>
      <c r="E3607" s="2" t="s">
        <v>76</v>
      </c>
      <c r="F3607" s="2" t="s">
        <v>1145</v>
      </c>
      <c r="G3607" s="14" t="n">
        <v>12.5</v>
      </c>
      <c r="H3607" s="14" t="n">
        <v>13.77</v>
      </c>
      <c r="I3607" s="14" t="n">
        <v>12.5</v>
      </c>
      <c r="J3607" s="22" t="n">
        <f aca="false">IF(E3607="Priority",'Cost model'!N507,'Cost model'!M507)</f>
        <v>11.5</v>
      </c>
      <c r="K3607" s="14" t="n">
        <f aca="false">J3607-H3607</f>
        <v>-2.27</v>
      </c>
      <c r="L3607" s="14" t="n">
        <f aca="false">G3607-H3607</f>
        <v>-1.27</v>
      </c>
    </row>
    <row r="3608" customFormat="false" ht="15" hidden="false" customHeight="false" outlineLevel="0" collapsed="false">
      <c r="A3608" s="2" t="s">
        <v>240</v>
      </c>
      <c r="B3608" s="2" t="s">
        <v>240</v>
      </c>
      <c r="C3608" s="2" t="s">
        <v>48</v>
      </c>
      <c r="D3608" s="2" t="s">
        <v>10</v>
      </c>
      <c r="E3608" s="2" t="s">
        <v>76</v>
      </c>
      <c r="F3608" s="2" t="s">
        <v>1145</v>
      </c>
      <c r="G3608" s="14" t="n">
        <v>9.5</v>
      </c>
      <c r="H3608" s="14" t="n">
        <v>7.68</v>
      </c>
      <c r="I3608" s="14" t="n">
        <v>9.5</v>
      </c>
      <c r="J3608" s="22" t="n">
        <f aca="false">IF(E3608="Priority",'Cost model'!N884,'Cost model'!M884)</f>
        <v>7.5</v>
      </c>
      <c r="K3608" s="14" t="n">
        <f aca="false">J3608-H3608</f>
        <v>-0.18</v>
      </c>
      <c r="L3608" s="14" t="n">
        <f aca="false">G3608-H3608</f>
        <v>1.82</v>
      </c>
    </row>
    <row r="3609" customFormat="false" ht="15" hidden="false" customHeight="false" outlineLevel="0" collapsed="false">
      <c r="A3609" s="2" t="s">
        <v>146</v>
      </c>
      <c r="B3609" s="2" t="s">
        <v>184</v>
      </c>
      <c r="C3609" s="2" t="s">
        <v>50</v>
      </c>
      <c r="D3609" s="2" t="s">
        <v>12</v>
      </c>
      <c r="E3609" s="2" t="s">
        <v>76</v>
      </c>
      <c r="F3609" s="2" t="s">
        <v>1146</v>
      </c>
      <c r="G3609" s="14" t="n">
        <v>19.5</v>
      </c>
      <c r="H3609" s="14" t="n">
        <v>51.15</v>
      </c>
      <c r="I3609" s="14" t="n">
        <v>19.5</v>
      </c>
      <c r="J3609" s="22" t="n">
        <f aca="false">IF(E3609="Priority",'Cost model'!N835,'Cost model'!M835)</f>
        <v>50</v>
      </c>
      <c r="K3609" s="14" t="n">
        <f aca="false">J3609-H3609</f>
        <v>-1.15</v>
      </c>
      <c r="L3609" s="14" t="n">
        <f aca="false">G3609-H3609</f>
        <v>-31.65</v>
      </c>
    </row>
    <row r="3610" customFormat="false" ht="15" hidden="false" customHeight="false" outlineLevel="0" collapsed="false">
      <c r="A3610" s="2" t="s">
        <v>146</v>
      </c>
      <c r="B3610" s="2" t="s">
        <v>146</v>
      </c>
      <c r="C3610" s="2" t="s">
        <v>48</v>
      </c>
      <c r="D3610" s="2" t="s">
        <v>10</v>
      </c>
      <c r="E3610" s="2" t="s">
        <v>76</v>
      </c>
      <c r="F3610" s="2" t="s">
        <v>1145</v>
      </c>
      <c r="G3610" s="14" t="n">
        <v>9.5</v>
      </c>
      <c r="H3610" s="14" t="n">
        <v>7.47</v>
      </c>
      <c r="I3610" s="14" t="n">
        <v>9.5</v>
      </c>
      <c r="J3610" s="22" t="n">
        <f aca="false">IF(E3610="Priority",'Cost model'!N758,'Cost model'!M758)</f>
        <v>9.5</v>
      </c>
      <c r="K3610" s="14" t="n">
        <f aca="false">J3610-H3610</f>
        <v>2.03</v>
      </c>
      <c r="L3610" s="14" t="n">
        <f aca="false">G3610-H3610</f>
        <v>2.03</v>
      </c>
    </row>
    <row r="3611" customFormat="false" ht="15" hidden="false" customHeight="false" outlineLevel="0" collapsed="false">
      <c r="A3611" s="2" t="s">
        <v>184</v>
      </c>
      <c r="B3611" s="2" t="s">
        <v>146</v>
      </c>
      <c r="C3611" s="2" t="s">
        <v>49</v>
      </c>
      <c r="D3611" s="2" t="s">
        <v>10</v>
      </c>
      <c r="E3611" s="2" t="s">
        <v>76</v>
      </c>
      <c r="F3611" s="2" t="s">
        <v>1146</v>
      </c>
      <c r="G3611" s="14" t="n">
        <v>12.5</v>
      </c>
      <c r="H3611" s="14" t="n">
        <v>14.84</v>
      </c>
      <c r="I3611" s="14"/>
      <c r="J3611" s="22" t="n">
        <f aca="false">IF(E3611="Priority",'Cost model'!N147,'Cost model'!M147)</f>
        <v>14.5</v>
      </c>
      <c r="K3611" s="14" t="n">
        <f aca="false">J3611-H3611</f>
        <v>-0.34</v>
      </c>
      <c r="L3611" s="14" t="n">
        <f aca="false">G3611-H3611</f>
        <v>-2.34</v>
      </c>
    </row>
    <row r="3612" customFormat="false" ht="15" hidden="false" customHeight="false" outlineLevel="0" collapsed="false">
      <c r="A3612" s="2" t="s">
        <v>240</v>
      </c>
      <c r="B3612" s="2" t="s">
        <v>240</v>
      </c>
      <c r="C3612" s="2" t="s">
        <v>48</v>
      </c>
      <c r="D3612" s="2" t="s">
        <v>10</v>
      </c>
      <c r="E3612" s="2" t="s">
        <v>76</v>
      </c>
      <c r="F3612" s="2" t="s">
        <v>1145</v>
      </c>
      <c r="G3612" s="14" t="n">
        <v>9.5</v>
      </c>
      <c r="H3612" s="14" t="n">
        <v>7.4</v>
      </c>
      <c r="I3612" s="14" t="n">
        <v>9.5</v>
      </c>
      <c r="J3612" s="22" t="n">
        <f aca="false">IF(E3612="Priority",'Cost model'!N884,'Cost model'!M884)</f>
        <v>7.5</v>
      </c>
      <c r="K3612" s="14" t="n">
        <f aca="false">J3612-H3612</f>
        <v>0.0999999999999996</v>
      </c>
      <c r="L3612" s="14" t="n">
        <f aca="false">G3612-H3612</f>
        <v>2.1</v>
      </c>
    </row>
    <row r="3613" customFormat="false" ht="15" hidden="false" customHeight="false" outlineLevel="0" collapsed="false">
      <c r="A3613" s="2" t="s">
        <v>146</v>
      </c>
      <c r="B3613" s="2" t="s">
        <v>146</v>
      </c>
      <c r="C3613" s="2" t="s">
        <v>48</v>
      </c>
      <c r="D3613" s="2" t="s">
        <v>14</v>
      </c>
      <c r="E3613" s="2" t="s">
        <v>76</v>
      </c>
      <c r="F3613" s="2" t="s">
        <v>1145</v>
      </c>
      <c r="G3613" s="14" t="n">
        <v>125</v>
      </c>
      <c r="H3613" s="14" t="n">
        <v>7.93</v>
      </c>
      <c r="I3613" s="14" t="n">
        <v>25</v>
      </c>
      <c r="J3613" s="22" t="n">
        <f aca="false">IF(E3613="Priority",'Cost model'!N767,'Cost model'!M767)</f>
        <v>100</v>
      </c>
      <c r="K3613" s="14" t="n">
        <f aca="false">J3613-H3613</f>
        <v>92.07</v>
      </c>
      <c r="L3613" s="14" t="n">
        <f aca="false">G3613-H3613</f>
        <v>117.07</v>
      </c>
    </row>
    <row r="3614" customFormat="false" ht="15" hidden="false" customHeight="false" outlineLevel="0" collapsed="false">
      <c r="A3614" s="2" t="s">
        <v>126</v>
      </c>
      <c r="B3614" s="2" t="s">
        <v>184</v>
      </c>
      <c r="C3614" s="2" t="s">
        <v>49</v>
      </c>
      <c r="D3614" s="2" t="s">
        <v>10</v>
      </c>
      <c r="E3614" s="2" t="s">
        <v>76</v>
      </c>
      <c r="F3614" s="2" t="s">
        <v>1146</v>
      </c>
      <c r="G3614" s="14" t="n">
        <v>12.5</v>
      </c>
      <c r="H3614" s="14" t="n">
        <v>9.25</v>
      </c>
      <c r="I3614" s="14" t="n">
        <v>14.5</v>
      </c>
      <c r="J3614" s="22" t="n">
        <f aca="false">IF(E3614="Priority",'Cost model'!N435,'Cost model'!M435)</f>
        <v>15.5</v>
      </c>
      <c r="K3614" s="14" t="n">
        <f aca="false">J3614-H3614</f>
        <v>6.25</v>
      </c>
      <c r="L3614" s="14" t="n">
        <f aca="false">G3614-H3614</f>
        <v>3.25</v>
      </c>
    </row>
    <row r="3615" customFormat="false" ht="15" hidden="false" customHeight="false" outlineLevel="0" collapsed="false">
      <c r="A3615" s="2" t="s">
        <v>126</v>
      </c>
      <c r="B3615" s="2" t="s">
        <v>146</v>
      </c>
      <c r="C3615" s="2" t="s">
        <v>48</v>
      </c>
      <c r="D3615" s="2" t="s">
        <v>12</v>
      </c>
      <c r="E3615" s="2" t="s">
        <v>76</v>
      </c>
      <c r="F3615" s="2" t="s">
        <v>1146</v>
      </c>
      <c r="G3615" s="14" t="n">
        <v>19.5</v>
      </c>
      <c r="H3615" s="14" t="n">
        <v>29.44</v>
      </c>
      <c r="I3615" s="14" t="n">
        <v>19.5</v>
      </c>
      <c r="J3615" s="22" t="n">
        <f aca="false">IF(E3615="Priority",'Cost model'!N401,'Cost model'!M401)</f>
        <v>60</v>
      </c>
      <c r="K3615" s="14" t="n">
        <f aca="false">J3615-H3615</f>
        <v>30.56</v>
      </c>
      <c r="L3615" s="14" t="n">
        <f aca="false">G3615-H3615</f>
        <v>-9.94</v>
      </c>
    </row>
    <row r="3616" customFormat="false" ht="15" hidden="false" customHeight="false" outlineLevel="0" collapsed="false">
      <c r="A3616" s="2" t="s">
        <v>146</v>
      </c>
      <c r="B3616" s="2" t="s">
        <v>146</v>
      </c>
      <c r="C3616" s="2" t="s">
        <v>49</v>
      </c>
      <c r="D3616" s="2" t="s">
        <v>13</v>
      </c>
      <c r="E3616" s="2" t="s">
        <v>76</v>
      </c>
      <c r="F3616" s="2" t="s">
        <v>1145</v>
      </c>
      <c r="G3616" s="14" t="n">
        <v>24.5</v>
      </c>
      <c r="H3616" s="14" t="n">
        <v>39.57</v>
      </c>
      <c r="I3616" s="14" t="n">
        <v>24.5</v>
      </c>
      <c r="J3616" s="22" t="n">
        <f aca="false">IF(E3616="Priority",'Cost model'!N765,'Cost model'!M765)</f>
        <v>70</v>
      </c>
      <c r="K3616" s="14" t="n">
        <f aca="false">J3616-H3616</f>
        <v>30.43</v>
      </c>
      <c r="L3616" s="14" t="n">
        <f aca="false">G3616-H3616</f>
        <v>-15.07</v>
      </c>
    </row>
    <row r="3617" customFormat="false" ht="15" hidden="false" customHeight="false" outlineLevel="0" collapsed="false">
      <c r="A3617" s="2" t="s">
        <v>184</v>
      </c>
      <c r="B3617" s="2" t="s">
        <v>184</v>
      </c>
      <c r="C3617" s="2" t="s">
        <v>50</v>
      </c>
      <c r="D3617" s="2" t="s">
        <v>10</v>
      </c>
      <c r="E3617" s="2" t="s">
        <v>85</v>
      </c>
      <c r="F3617" s="2" t="s">
        <v>1145</v>
      </c>
      <c r="G3617" s="14" t="n">
        <v>24.5</v>
      </c>
      <c r="H3617" s="14" t="n">
        <v>21.76</v>
      </c>
      <c r="I3617" s="14" t="n">
        <v>24.5</v>
      </c>
      <c r="J3617" s="22" t="n">
        <f aca="false">IF(E3617="Priority",'Cost model'!N202,'Cost model'!M202)</f>
        <v>23.5</v>
      </c>
      <c r="K3617" s="14" t="n">
        <f aca="false">J3617-H3617</f>
        <v>1.74</v>
      </c>
      <c r="L3617" s="14" t="n">
        <f aca="false">G3617-H3617</f>
        <v>2.74</v>
      </c>
    </row>
    <row r="3618" customFormat="false" ht="15" hidden="false" customHeight="false" outlineLevel="0" collapsed="false">
      <c r="A3618" s="2" t="s">
        <v>126</v>
      </c>
      <c r="B3618" s="2" t="s">
        <v>126</v>
      </c>
      <c r="C3618" s="2" t="s">
        <v>49</v>
      </c>
      <c r="D3618" s="2" t="s">
        <v>10</v>
      </c>
      <c r="E3618" s="2" t="s">
        <v>76</v>
      </c>
      <c r="F3618" s="2" t="s">
        <v>1145</v>
      </c>
      <c r="G3618" s="14" t="n">
        <v>12.5</v>
      </c>
      <c r="H3618" s="14" t="n">
        <v>7.46</v>
      </c>
      <c r="I3618" s="14" t="n">
        <v>12.5</v>
      </c>
      <c r="J3618" s="22" t="n">
        <f aca="false">IF(E3618="Priority",'Cost model'!N381,'Cost model'!M381)</f>
        <v>14.5</v>
      </c>
      <c r="K3618" s="14" t="n">
        <f aca="false">J3618-H3618</f>
        <v>7.04</v>
      </c>
      <c r="L3618" s="14" t="n">
        <f aca="false">G3618-H3618</f>
        <v>5.04</v>
      </c>
    </row>
    <row r="3619" customFormat="false" ht="15" hidden="false" customHeight="false" outlineLevel="0" collapsed="false">
      <c r="A3619" s="2" t="s">
        <v>184</v>
      </c>
      <c r="B3619" s="2" t="s">
        <v>184</v>
      </c>
      <c r="C3619" s="2" t="s">
        <v>49</v>
      </c>
      <c r="D3619" s="2" t="s">
        <v>12</v>
      </c>
      <c r="E3619" s="2" t="s">
        <v>76</v>
      </c>
      <c r="F3619" s="2" t="s">
        <v>1145</v>
      </c>
      <c r="G3619" s="14" t="n">
        <v>12.5</v>
      </c>
      <c r="H3619" s="14" t="n">
        <v>43.77</v>
      </c>
      <c r="I3619" s="14"/>
      <c r="J3619" s="22" t="n">
        <f aca="false">IF(E3619="Priority",'Cost model'!N204,'Cost model'!M204)</f>
        <v>45</v>
      </c>
      <c r="K3619" s="14" t="n">
        <f aca="false">J3619-H3619</f>
        <v>1.23</v>
      </c>
      <c r="L3619" s="14" t="n">
        <f aca="false">G3619-H3619</f>
        <v>-31.27</v>
      </c>
    </row>
    <row r="3620" customFormat="false" ht="15" hidden="false" customHeight="false" outlineLevel="0" collapsed="false">
      <c r="A3620" s="2" t="s">
        <v>240</v>
      </c>
      <c r="B3620" s="2" t="s">
        <v>146</v>
      </c>
      <c r="C3620" s="2" t="s">
        <v>48</v>
      </c>
      <c r="D3620" s="2" t="s">
        <v>12</v>
      </c>
      <c r="E3620" s="2" t="s">
        <v>76</v>
      </c>
      <c r="F3620" s="2" t="s">
        <v>1146</v>
      </c>
      <c r="G3620" s="14" t="n">
        <v>19.5</v>
      </c>
      <c r="H3620" s="14" t="n">
        <v>29.67</v>
      </c>
      <c r="I3620" s="14" t="n">
        <v>24.5</v>
      </c>
      <c r="J3620" s="22" t="n">
        <f aca="false">IF(E3620="Priority",'Cost model'!N923,'Cost model'!M923)</f>
        <v>65</v>
      </c>
      <c r="K3620" s="14" t="n">
        <f aca="false">J3620-H3620</f>
        <v>35.33</v>
      </c>
      <c r="L3620" s="14" t="n">
        <f aca="false">G3620-H3620</f>
        <v>-10.17</v>
      </c>
    </row>
    <row r="3621" customFormat="false" ht="15" hidden="false" customHeight="false" outlineLevel="0" collapsed="false">
      <c r="A3621" s="2" t="s">
        <v>126</v>
      </c>
      <c r="B3621" s="2" t="s">
        <v>126</v>
      </c>
      <c r="C3621" s="2" t="s">
        <v>48</v>
      </c>
      <c r="D3621" s="2" t="s">
        <v>12</v>
      </c>
      <c r="E3621" s="2" t="s">
        <v>85</v>
      </c>
      <c r="F3621" s="2" t="s">
        <v>1145</v>
      </c>
      <c r="G3621" s="14" t="n">
        <v>19.5</v>
      </c>
      <c r="H3621" s="14" t="n">
        <v>46.13</v>
      </c>
      <c r="I3621" s="14" t="n">
        <v>19.5</v>
      </c>
      <c r="J3621" s="22" t="n">
        <f aca="false">IF(E3621="Priority",'Cost model'!N383,'Cost model'!M383)</f>
        <v>35</v>
      </c>
      <c r="K3621" s="14" t="n">
        <f aca="false">J3621-H3621</f>
        <v>-11.13</v>
      </c>
      <c r="L3621" s="14" t="n">
        <f aca="false">G3621-H3621</f>
        <v>-26.63</v>
      </c>
    </row>
    <row r="3622" customFormat="false" ht="15" hidden="false" customHeight="false" outlineLevel="0" collapsed="false">
      <c r="A3622" s="2" t="s">
        <v>165</v>
      </c>
      <c r="B3622" s="2" t="s">
        <v>126</v>
      </c>
      <c r="C3622" s="2" t="s">
        <v>48</v>
      </c>
      <c r="D3622" s="2" t="s">
        <v>10</v>
      </c>
      <c r="E3622" s="2" t="s">
        <v>76</v>
      </c>
      <c r="F3622" s="2" t="s">
        <v>1146</v>
      </c>
      <c r="G3622" s="14" t="n">
        <v>14.5</v>
      </c>
      <c r="H3622" s="14" t="n">
        <v>11.24</v>
      </c>
      <c r="I3622" s="14" t="n">
        <v>14.5</v>
      </c>
      <c r="J3622" s="22" t="n">
        <f aca="false">IF(E3622="Priority",'Cost model'!N542,'Cost model'!M542)</f>
        <v>14.5</v>
      </c>
      <c r="K3622" s="14" t="n">
        <f aca="false">J3622-H3622</f>
        <v>3.26</v>
      </c>
      <c r="L3622" s="14" t="n">
        <f aca="false">G3622-H3622</f>
        <v>3.26</v>
      </c>
    </row>
    <row r="3623" customFormat="false" ht="15" hidden="false" customHeight="false" outlineLevel="0" collapsed="false">
      <c r="A3623" s="2" t="s">
        <v>184</v>
      </c>
      <c r="B3623" s="2" t="s">
        <v>184</v>
      </c>
      <c r="C3623" s="2" t="s">
        <v>49</v>
      </c>
      <c r="D3623" s="2" t="s">
        <v>10</v>
      </c>
      <c r="E3623" s="2" t="s">
        <v>76</v>
      </c>
      <c r="F3623" s="2" t="s">
        <v>1145</v>
      </c>
      <c r="G3623" s="14" t="n">
        <v>12.5</v>
      </c>
      <c r="H3623" s="14" t="n">
        <v>15.9</v>
      </c>
      <c r="I3623" s="14" t="n">
        <v>12.5</v>
      </c>
      <c r="J3623" s="22" t="n">
        <f aca="false">IF(E3623="Priority",'Cost model'!N201,'Cost model'!M201)</f>
        <v>12.5</v>
      </c>
      <c r="K3623" s="14" t="n">
        <f aca="false">J3623-H3623</f>
        <v>-3.4</v>
      </c>
      <c r="L3623" s="14" t="n">
        <f aca="false">G3623-H3623</f>
        <v>-3.4</v>
      </c>
    </row>
    <row r="3624" customFormat="false" ht="15" hidden="false" customHeight="false" outlineLevel="0" collapsed="false">
      <c r="A3624" s="2" t="s">
        <v>126</v>
      </c>
      <c r="B3624" s="2" t="s">
        <v>221</v>
      </c>
      <c r="C3624" s="2" t="s">
        <v>48</v>
      </c>
      <c r="D3624" s="2" t="s">
        <v>10</v>
      </c>
      <c r="E3624" s="2" t="s">
        <v>76</v>
      </c>
      <c r="F3624" s="2" t="s">
        <v>1146</v>
      </c>
      <c r="G3624" s="14" t="n">
        <v>14.5</v>
      </c>
      <c r="H3624" s="14" t="n">
        <v>16.38</v>
      </c>
      <c r="I3624" s="14" t="n">
        <v>19.5</v>
      </c>
      <c r="J3624" s="22" t="n">
        <f aca="false">IF(E3624="Priority",'Cost model'!N452,'Cost model'!M452)</f>
        <v>13.5</v>
      </c>
      <c r="K3624" s="14" t="n">
        <f aca="false">J3624-H3624</f>
        <v>-2.88</v>
      </c>
      <c r="L3624" s="14" t="n">
        <f aca="false">G3624-H3624</f>
        <v>-1.88</v>
      </c>
    </row>
    <row r="3625" customFormat="false" ht="15" hidden="false" customHeight="false" outlineLevel="0" collapsed="false">
      <c r="A3625" s="2" t="s">
        <v>221</v>
      </c>
      <c r="B3625" s="2" t="s">
        <v>221</v>
      </c>
      <c r="C3625" s="2" t="s">
        <v>49</v>
      </c>
      <c r="D3625" s="2" t="s">
        <v>14</v>
      </c>
      <c r="E3625" s="2" t="s">
        <v>76</v>
      </c>
      <c r="F3625" s="2" t="s">
        <v>1145</v>
      </c>
      <c r="G3625" s="14" t="n">
        <v>45</v>
      </c>
      <c r="H3625" s="14" t="n">
        <v>125.48</v>
      </c>
      <c r="I3625" s="14" t="n">
        <v>45</v>
      </c>
      <c r="J3625" s="22" t="n">
        <f aca="false">IF(E3625="Priority",'Cost model'!N642,'Cost model'!M642)</f>
        <v>150</v>
      </c>
      <c r="K3625" s="14" t="n">
        <f aca="false">J3625-H3625</f>
        <v>24.52</v>
      </c>
      <c r="L3625" s="14" t="n">
        <f aca="false">G3625-H3625</f>
        <v>-80.48</v>
      </c>
    </row>
    <row r="3626" customFormat="false" ht="15" hidden="false" customHeight="false" outlineLevel="0" collapsed="false">
      <c r="A3626" s="2" t="s">
        <v>146</v>
      </c>
      <c r="B3626" s="2" t="s">
        <v>146</v>
      </c>
      <c r="C3626" s="2" t="s">
        <v>48</v>
      </c>
      <c r="D3626" s="2" t="s">
        <v>10</v>
      </c>
      <c r="E3626" s="2" t="s">
        <v>76</v>
      </c>
      <c r="F3626" s="2" t="s">
        <v>1145</v>
      </c>
      <c r="G3626" s="14" t="n">
        <v>9.5</v>
      </c>
      <c r="H3626" s="14" t="n">
        <v>20.83</v>
      </c>
      <c r="I3626" s="14" t="n">
        <v>9.5</v>
      </c>
      <c r="J3626" s="22" t="n">
        <f aca="false">IF(E3626="Priority",'Cost model'!N758,'Cost model'!M758)</f>
        <v>9.5</v>
      </c>
      <c r="K3626" s="14" t="n">
        <f aca="false">J3626-H3626</f>
        <v>-11.33</v>
      </c>
      <c r="L3626" s="14" t="n">
        <f aca="false">G3626-H3626</f>
        <v>-11.33</v>
      </c>
    </row>
    <row r="3627" customFormat="false" ht="15" hidden="false" customHeight="false" outlineLevel="0" collapsed="false">
      <c r="A3627" s="2" t="s">
        <v>184</v>
      </c>
      <c r="B3627" s="2" t="s">
        <v>184</v>
      </c>
      <c r="C3627" s="2" t="s">
        <v>48</v>
      </c>
      <c r="D3627" s="2" t="s">
        <v>10</v>
      </c>
      <c r="E3627" s="2" t="s">
        <v>76</v>
      </c>
      <c r="F3627" s="2" t="s">
        <v>1145</v>
      </c>
      <c r="G3627" s="14" t="n">
        <v>9.5</v>
      </c>
      <c r="H3627" s="14" t="n">
        <v>7.45</v>
      </c>
      <c r="I3627" s="14" t="n">
        <v>9.5</v>
      </c>
      <c r="J3627" s="22" t="n">
        <f aca="false">IF(E3627="Priority",'Cost model'!N200,'Cost model'!M200)</f>
        <v>7.5</v>
      </c>
      <c r="K3627" s="14" t="n">
        <f aca="false">J3627-H3627</f>
        <v>0.0499999999999998</v>
      </c>
      <c r="L3627" s="14" t="n">
        <f aca="false">G3627-H3627</f>
        <v>2.05</v>
      </c>
    </row>
    <row r="3628" customFormat="false" ht="15" hidden="false" customHeight="false" outlineLevel="0" collapsed="false">
      <c r="A3628" s="2" t="s">
        <v>184</v>
      </c>
      <c r="B3628" s="2" t="s">
        <v>184</v>
      </c>
      <c r="C3628" s="2" t="s">
        <v>50</v>
      </c>
      <c r="D3628" s="2" t="s">
        <v>12</v>
      </c>
      <c r="E3628" s="2" t="s">
        <v>76</v>
      </c>
      <c r="F3628" s="2" t="s">
        <v>1145</v>
      </c>
      <c r="G3628" s="14" t="n">
        <v>19.5</v>
      </c>
      <c r="H3628" s="14" t="n">
        <v>11.59</v>
      </c>
      <c r="I3628" s="14" t="n">
        <v>19.5</v>
      </c>
      <c r="J3628" s="22" t="n">
        <f aca="false">IF(E3628="Priority",'Cost model'!N205,'Cost model'!M205)</f>
        <v>50</v>
      </c>
      <c r="K3628" s="14" t="n">
        <f aca="false">J3628-H3628</f>
        <v>38.41</v>
      </c>
      <c r="L3628" s="14" t="n">
        <f aca="false">G3628-H3628</f>
        <v>7.91</v>
      </c>
    </row>
    <row r="3629" customFormat="false" ht="15" hidden="false" customHeight="false" outlineLevel="0" collapsed="false">
      <c r="A3629" s="2" t="s">
        <v>184</v>
      </c>
      <c r="B3629" s="2" t="s">
        <v>184</v>
      </c>
      <c r="C3629" s="2" t="s">
        <v>48</v>
      </c>
      <c r="D3629" s="2" t="s">
        <v>12</v>
      </c>
      <c r="E3629" s="2" t="s">
        <v>76</v>
      </c>
      <c r="F3629" s="2" t="s">
        <v>1145</v>
      </c>
      <c r="G3629" s="14" t="n">
        <v>9.5</v>
      </c>
      <c r="H3629" s="14" t="n">
        <v>27.97</v>
      </c>
      <c r="I3629" s="14" t="n">
        <v>9.5</v>
      </c>
      <c r="J3629" s="22" t="n">
        <f aca="false">IF(E3629="Priority",'Cost model'!N203,'Cost model'!M203)</f>
        <v>26.5</v>
      </c>
      <c r="K3629" s="14" t="n">
        <f aca="false">J3629-H3629</f>
        <v>-1.47</v>
      </c>
      <c r="L3629" s="14" t="n">
        <f aca="false">G3629-H3629</f>
        <v>-18.47</v>
      </c>
    </row>
    <row r="3630" customFormat="false" ht="15" hidden="false" customHeight="false" outlineLevel="0" collapsed="false">
      <c r="A3630" s="2" t="s">
        <v>126</v>
      </c>
      <c r="B3630" s="2" t="s">
        <v>126</v>
      </c>
      <c r="C3630" s="2" t="s">
        <v>50</v>
      </c>
      <c r="D3630" s="2" t="s">
        <v>12</v>
      </c>
      <c r="E3630" s="2" t="s">
        <v>85</v>
      </c>
      <c r="F3630" s="2" t="s">
        <v>1145</v>
      </c>
      <c r="G3630" s="14" t="n">
        <v>29.5</v>
      </c>
      <c r="H3630" s="14" t="n">
        <v>34.94</v>
      </c>
      <c r="I3630" s="14" t="n">
        <v>29.5</v>
      </c>
      <c r="J3630" s="22" t="n">
        <f aca="false">IF(E3630="Priority",'Cost model'!N385,'Cost model'!M385)</f>
        <v>70</v>
      </c>
      <c r="K3630" s="14" t="n">
        <f aca="false">J3630-H3630</f>
        <v>35.06</v>
      </c>
      <c r="L3630" s="14" t="n">
        <f aca="false">G3630-H3630</f>
        <v>-5.44</v>
      </c>
    </row>
    <row r="3631" customFormat="false" ht="15" hidden="false" customHeight="false" outlineLevel="0" collapsed="false">
      <c r="A3631" s="2" t="s">
        <v>184</v>
      </c>
      <c r="B3631" s="2" t="s">
        <v>184</v>
      </c>
      <c r="C3631" s="2" t="s">
        <v>50</v>
      </c>
      <c r="D3631" s="2" t="s">
        <v>12</v>
      </c>
      <c r="E3631" s="2" t="s">
        <v>76</v>
      </c>
      <c r="F3631" s="2" t="s">
        <v>1145</v>
      </c>
      <c r="G3631" s="14" t="n">
        <v>19.5</v>
      </c>
      <c r="H3631" s="14" t="n">
        <v>43.77</v>
      </c>
      <c r="I3631" s="14" t="n">
        <v>19.5</v>
      </c>
      <c r="J3631" s="22" t="n">
        <f aca="false">IF(E3631="Priority",'Cost model'!N205,'Cost model'!M205)</f>
        <v>50</v>
      </c>
      <c r="K3631" s="14" t="n">
        <f aca="false">J3631-H3631</f>
        <v>6.23</v>
      </c>
      <c r="L3631" s="14" t="n">
        <f aca="false">G3631-H3631</f>
        <v>-24.27</v>
      </c>
    </row>
    <row r="3632" customFormat="false" ht="15" hidden="false" customHeight="false" outlineLevel="0" collapsed="false">
      <c r="A3632" s="2" t="s">
        <v>184</v>
      </c>
      <c r="B3632" s="2" t="s">
        <v>184</v>
      </c>
      <c r="C3632" s="2" t="s">
        <v>49</v>
      </c>
      <c r="D3632" s="2" t="s">
        <v>12</v>
      </c>
      <c r="E3632" s="2" t="s">
        <v>76</v>
      </c>
      <c r="F3632" s="2" t="s">
        <v>1145</v>
      </c>
      <c r="G3632" s="14" t="n">
        <v>12.5</v>
      </c>
      <c r="H3632" s="14" t="n">
        <v>61.5</v>
      </c>
      <c r="I3632" s="14"/>
      <c r="J3632" s="22" t="n">
        <f aca="false">IF(E3632="Priority",'Cost model'!N204,'Cost model'!M204)</f>
        <v>45</v>
      </c>
      <c r="K3632" s="14" t="n">
        <f aca="false">J3632-H3632</f>
        <v>-16.5</v>
      </c>
      <c r="L3632" s="14" t="n">
        <f aca="false">G3632-H3632</f>
        <v>-49</v>
      </c>
    </row>
    <row r="3633" customFormat="false" ht="15" hidden="false" customHeight="false" outlineLevel="0" collapsed="false">
      <c r="A3633" s="2" t="s">
        <v>126</v>
      </c>
      <c r="B3633" s="2" t="s">
        <v>126</v>
      </c>
      <c r="C3633" s="2" t="s">
        <v>50</v>
      </c>
      <c r="D3633" s="2" t="s">
        <v>10</v>
      </c>
      <c r="E3633" s="2" t="s">
        <v>76</v>
      </c>
      <c r="F3633" s="2" t="s">
        <v>1145</v>
      </c>
      <c r="G3633" s="14" t="n">
        <v>17.5</v>
      </c>
      <c r="H3633" s="14" t="n">
        <v>20.83</v>
      </c>
      <c r="I3633" s="14" t="n">
        <v>17.5</v>
      </c>
      <c r="J3633" s="22" t="n">
        <f aca="false">IF(E3633="Priority",'Cost model'!N382,'Cost model'!M382)</f>
        <v>18.5</v>
      </c>
      <c r="K3633" s="14" t="n">
        <f aca="false">J3633-H3633</f>
        <v>-2.33</v>
      </c>
      <c r="L3633" s="14" t="n">
        <f aca="false">G3633-H3633</f>
        <v>-3.33</v>
      </c>
    </row>
    <row r="3634" customFormat="false" ht="15" hidden="false" customHeight="false" outlineLevel="0" collapsed="false">
      <c r="A3634" s="2" t="s">
        <v>184</v>
      </c>
      <c r="B3634" s="2" t="s">
        <v>184</v>
      </c>
      <c r="C3634" s="2" t="s">
        <v>50</v>
      </c>
      <c r="D3634" s="2" t="s">
        <v>10</v>
      </c>
      <c r="E3634" s="2" t="s">
        <v>76</v>
      </c>
      <c r="F3634" s="2" t="s">
        <v>1145</v>
      </c>
      <c r="G3634" s="14" t="n">
        <v>17.5</v>
      </c>
      <c r="H3634" s="14" t="n">
        <v>20.55</v>
      </c>
      <c r="I3634" s="14" t="n">
        <v>17.5</v>
      </c>
      <c r="J3634" s="22" t="n">
        <f aca="false">IF(E3634="Priority",'Cost model'!N202,'Cost model'!M202)</f>
        <v>17.5</v>
      </c>
      <c r="K3634" s="14" t="n">
        <f aca="false">J3634-H3634</f>
        <v>-3.05</v>
      </c>
      <c r="L3634" s="14" t="n">
        <f aca="false">G3634-H3634</f>
        <v>-3.05</v>
      </c>
    </row>
    <row r="3635" customFormat="false" ht="15" hidden="false" customHeight="false" outlineLevel="0" collapsed="false">
      <c r="A3635" s="2" t="s">
        <v>221</v>
      </c>
      <c r="B3635" s="2" t="s">
        <v>221</v>
      </c>
      <c r="C3635" s="2" t="s">
        <v>49</v>
      </c>
      <c r="D3635" s="2" t="s">
        <v>12</v>
      </c>
      <c r="E3635" s="2" t="s">
        <v>76</v>
      </c>
      <c r="F3635" s="2" t="s">
        <v>1145</v>
      </c>
      <c r="G3635" s="14" t="n">
        <v>24.5</v>
      </c>
      <c r="H3635" s="14" t="n">
        <v>55.79</v>
      </c>
      <c r="I3635" s="14" t="n">
        <v>12.5</v>
      </c>
      <c r="J3635" s="22" t="n">
        <f aca="false">IF(E3635="Priority",'Cost model'!N636,'Cost model'!M636)</f>
        <v>55</v>
      </c>
      <c r="K3635" s="14" t="n">
        <f aca="false">J3635-H3635</f>
        <v>-0.789999999999999</v>
      </c>
      <c r="L3635" s="14" t="n">
        <f aca="false">G3635-H3635</f>
        <v>-31.29</v>
      </c>
    </row>
    <row r="3636" customFormat="false" ht="15" hidden="false" customHeight="false" outlineLevel="0" collapsed="false">
      <c r="A3636" s="2" t="s">
        <v>126</v>
      </c>
      <c r="B3636" s="2" t="s">
        <v>146</v>
      </c>
      <c r="C3636" s="2" t="s">
        <v>48</v>
      </c>
      <c r="D3636" s="2" t="s">
        <v>12</v>
      </c>
      <c r="E3636" s="2" t="s">
        <v>76</v>
      </c>
      <c r="F3636" s="2" t="s">
        <v>1146</v>
      </c>
      <c r="G3636" s="14" t="n">
        <v>19.5</v>
      </c>
      <c r="H3636" s="14" t="n">
        <v>48.13</v>
      </c>
      <c r="I3636" s="14" t="n">
        <v>19.5</v>
      </c>
      <c r="J3636" s="22" t="n">
        <f aca="false">IF(E3636="Priority",'Cost model'!N401,'Cost model'!M401)</f>
        <v>60</v>
      </c>
      <c r="K3636" s="14" t="n">
        <f aca="false">J3636-H3636</f>
        <v>11.87</v>
      </c>
      <c r="L3636" s="14" t="n">
        <f aca="false">G3636-H3636</f>
        <v>-28.63</v>
      </c>
    </row>
    <row r="3637" customFormat="false" ht="15" hidden="false" customHeight="false" outlineLevel="0" collapsed="false">
      <c r="A3637" s="2" t="s">
        <v>184</v>
      </c>
      <c r="B3637" s="2" t="s">
        <v>184</v>
      </c>
      <c r="C3637" s="2" t="s">
        <v>48</v>
      </c>
      <c r="D3637" s="2" t="s">
        <v>12</v>
      </c>
      <c r="E3637" s="2" t="s">
        <v>76</v>
      </c>
      <c r="F3637" s="2" t="s">
        <v>1145</v>
      </c>
      <c r="G3637" s="14" t="n">
        <v>9.5</v>
      </c>
      <c r="H3637" s="14" t="n">
        <v>11.35</v>
      </c>
      <c r="I3637" s="14" t="n">
        <v>9.5</v>
      </c>
      <c r="J3637" s="22" t="n">
        <f aca="false">IF(E3637="Priority",'Cost model'!N203,'Cost model'!M203)</f>
        <v>26.5</v>
      </c>
      <c r="K3637" s="14" t="n">
        <f aca="false">J3637-H3637</f>
        <v>15.15</v>
      </c>
      <c r="L3637" s="14" t="n">
        <f aca="false">G3637-H3637</f>
        <v>-1.85</v>
      </c>
    </row>
    <row r="3638" customFormat="false" ht="15" hidden="false" customHeight="false" outlineLevel="0" collapsed="false">
      <c r="A3638" s="2" t="s">
        <v>184</v>
      </c>
      <c r="B3638" s="2" t="s">
        <v>184</v>
      </c>
      <c r="C3638" s="2" t="s">
        <v>48</v>
      </c>
      <c r="D3638" s="2" t="s">
        <v>12</v>
      </c>
      <c r="E3638" s="2" t="s">
        <v>76</v>
      </c>
      <c r="F3638" s="2" t="s">
        <v>1145</v>
      </c>
      <c r="G3638" s="14" t="n">
        <v>9.5</v>
      </c>
      <c r="H3638" s="14" t="n">
        <v>28.48</v>
      </c>
      <c r="I3638" s="14" t="n">
        <v>9.5</v>
      </c>
      <c r="J3638" s="22" t="n">
        <f aca="false">IF(E3638="Priority",'Cost model'!N203,'Cost model'!M203)</f>
        <v>26.5</v>
      </c>
      <c r="K3638" s="14" t="n">
        <f aca="false">J3638-H3638</f>
        <v>-1.98</v>
      </c>
      <c r="L3638" s="14" t="n">
        <f aca="false">G3638-H3638</f>
        <v>-18.98</v>
      </c>
    </row>
    <row r="3639" customFormat="false" ht="15" hidden="false" customHeight="false" outlineLevel="0" collapsed="false">
      <c r="A3639" s="2" t="s">
        <v>184</v>
      </c>
      <c r="B3639" s="2" t="s">
        <v>126</v>
      </c>
      <c r="C3639" s="2" t="s">
        <v>50</v>
      </c>
      <c r="D3639" s="2" t="s">
        <v>14</v>
      </c>
      <c r="E3639" s="2" t="s">
        <v>76</v>
      </c>
      <c r="F3639" s="2" t="s">
        <v>1146</v>
      </c>
      <c r="G3639" s="14" t="n">
        <v>85</v>
      </c>
      <c r="H3639" s="14" t="n">
        <v>152.06</v>
      </c>
      <c r="I3639" s="14" t="n">
        <v>85</v>
      </c>
      <c r="J3639" s="22" t="n">
        <f aca="false">IF(E3639="Priority",'Cost model'!N139,'Cost model'!M139)</f>
        <v>170</v>
      </c>
      <c r="K3639" s="14" t="n">
        <f aca="false">J3639-H3639</f>
        <v>17.94</v>
      </c>
      <c r="L3639" s="14" t="n">
        <f aca="false">G3639-H3639</f>
        <v>-67.06</v>
      </c>
    </row>
    <row r="3640" customFormat="false" ht="15" hidden="false" customHeight="false" outlineLevel="0" collapsed="false">
      <c r="A3640" s="2" t="s">
        <v>126</v>
      </c>
      <c r="B3640" s="2" t="s">
        <v>126</v>
      </c>
      <c r="C3640" s="2" t="s">
        <v>50</v>
      </c>
      <c r="D3640" s="2" t="s">
        <v>10</v>
      </c>
      <c r="E3640" s="2" t="s">
        <v>85</v>
      </c>
      <c r="F3640" s="2" t="s">
        <v>1145</v>
      </c>
      <c r="G3640" s="14" t="n">
        <v>24.5</v>
      </c>
      <c r="H3640" s="14" t="n">
        <v>21.34</v>
      </c>
      <c r="I3640" s="14" t="n">
        <v>24.5</v>
      </c>
      <c r="J3640" s="22" t="n">
        <f aca="false">IF(E3640="Priority",'Cost model'!N382,'Cost model'!M382)</f>
        <v>25.5</v>
      </c>
      <c r="K3640" s="14" t="n">
        <f aca="false">J3640-H3640</f>
        <v>4.16</v>
      </c>
      <c r="L3640" s="14" t="n">
        <f aca="false">G3640-H3640</f>
        <v>3.16</v>
      </c>
    </row>
    <row r="3641" customFormat="false" ht="15" hidden="false" customHeight="false" outlineLevel="0" collapsed="false">
      <c r="A3641" s="2" t="s">
        <v>126</v>
      </c>
      <c r="B3641" s="2" t="s">
        <v>126</v>
      </c>
      <c r="C3641" s="2" t="s">
        <v>50</v>
      </c>
      <c r="D3641" s="2" t="s">
        <v>12</v>
      </c>
      <c r="E3641" s="2" t="s">
        <v>76</v>
      </c>
      <c r="F3641" s="2" t="s">
        <v>1145</v>
      </c>
      <c r="G3641" s="14" t="n">
        <v>19.5</v>
      </c>
      <c r="H3641" s="14" t="n">
        <v>43.25</v>
      </c>
      <c r="I3641" s="14" t="n">
        <v>19.5</v>
      </c>
      <c r="J3641" s="22" t="n">
        <f aca="false">IF(E3641="Priority",'Cost model'!N385,'Cost model'!M385)</f>
        <v>55</v>
      </c>
      <c r="K3641" s="14" t="n">
        <f aca="false">J3641-H3641</f>
        <v>11.75</v>
      </c>
      <c r="L3641" s="14" t="n">
        <f aca="false">G3641-H3641</f>
        <v>-23.75</v>
      </c>
    </row>
    <row r="3642" customFormat="false" ht="15" hidden="false" customHeight="false" outlineLevel="0" collapsed="false">
      <c r="A3642" s="2" t="s">
        <v>184</v>
      </c>
      <c r="B3642" s="2" t="s">
        <v>184</v>
      </c>
      <c r="C3642" s="2" t="s">
        <v>49</v>
      </c>
      <c r="D3642" s="2" t="s">
        <v>10</v>
      </c>
      <c r="E3642" s="2" t="s">
        <v>76</v>
      </c>
      <c r="F3642" s="2" t="s">
        <v>1145</v>
      </c>
      <c r="G3642" s="14" t="n">
        <v>12.5</v>
      </c>
      <c r="H3642" s="14" t="n">
        <v>7.37</v>
      </c>
      <c r="I3642" s="14"/>
      <c r="J3642" s="22" t="n">
        <f aca="false">IF(E3642="Priority",'Cost model'!N201,'Cost model'!M201)</f>
        <v>12.5</v>
      </c>
      <c r="K3642" s="14" t="n">
        <f aca="false">J3642-H3642</f>
        <v>5.13</v>
      </c>
      <c r="L3642" s="14" t="n">
        <f aca="false">G3642-H3642</f>
        <v>5.13</v>
      </c>
    </row>
    <row r="3643" customFormat="false" ht="15" hidden="false" customHeight="false" outlineLevel="0" collapsed="false">
      <c r="A3643" s="2" t="s">
        <v>184</v>
      </c>
      <c r="B3643" s="2" t="s">
        <v>184</v>
      </c>
      <c r="C3643" s="2" t="s">
        <v>49</v>
      </c>
      <c r="D3643" s="2" t="s">
        <v>10</v>
      </c>
      <c r="E3643" s="2" t="s">
        <v>76</v>
      </c>
      <c r="F3643" s="2" t="s">
        <v>1145</v>
      </c>
      <c r="G3643" s="14" t="n">
        <v>12.5</v>
      </c>
      <c r="H3643" s="14" t="n">
        <v>14.74</v>
      </c>
      <c r="I3643" s="14"/>
      <c r="J3643" s="22" t="n">
        <f aca="false">IF(E3643="Priority",'Cost model'!N201,'Cost model'!M201)</f>
        <v>12.5</v>
      </c>
      <c r="K3643" s="14" t="n">
        <f aca="false">J3643-H3643</f>
        <v>-2.24</v>
      </c>
      <c r="L3643" s="14" t="n">
        <f aca="false">G3643-H3643</f>
        <v>-2.24</v>
      </c>
    </row>
    <row r="3644" customFormat="false" ht="15" hidden="false" customHeight="false" outlineLevel="0" collapsed="false">
      <c r="A3644" s="2" t="s">
        <v>146</v>
      </c>
      <c r="B3644" s="2" t="s">
        <v>184</v>
      </c>
      <c r="C3644" s="2" t="s">
        <v>49</v>
      </c>
      <c r="D3644" s="2" t="s">
        <v>12</v>
      </c>
      <c r="E3644" s="2" t="s">
        <v>76</v>
      </c>
      <c r="F3644" s="2" t="s">
        <v>1146</v>
      </c>
      <c r="G3644" s="14" t="n">
        <v>19.5</v>
      </c>
      <c r="H3644" s="14" t="n">
        <v>9.68</v>
      </c>
      <c r="I3644" s="14" t="n">
        <v>19.5</v>
      </c>
      <c r="J3644" s="22" t="n">
        <f aca="false">IF(E3644="Priority",'Cost model'!N834,'Cost model'!M834)</f>
        <v>45</v>
      </c>
      <c r="K3644" s="14" t="n">
        <f aca="false">J3644-H3644</f>
        <v>35.32</v>
      </c>
      <c r="L3644" s="14" t="n">
        <f aca="false">G3644-H3644</f>
        <v>9.82</v>
      </c>
    </row>
    <row r="3645" customFormat="false" ht="15" hidden="false" customHeight="false" outlineLevel="0" collapsed="false">
      <c r="A3645" s="2" t="s">
        <v>184</v>
      </c>
      <c r="B3645" s="2" t="s">
        <v>184</v>
      </c>
      <c r="C3645" s="2" t="s">
        <v>48</v>
      </c>
      <c r="D3645" s="2" t="s">
        <v>12</v>
      </c>
      <c r="E3645" s="2" t="s">
        <v>76</v>
      </c>
      <c r="F3645" s="2" t="s">
        <v>1145</v>
      </c>
      <c r="G3645" s="14" t="n">
        <v>9.5</v>
      </c>
      <c r="H3645" s="14" t="n">
        <v>7.72</v>
      </c>
      <c r="I3645" s="14" t="n">
        <v>9.5</v>
      </c>
      <c r="J3645" s="22" t="n">
        <f aca="false">IF(E3645="Priority",'Cost model'!N203,'Cost model'!M203)</f>
        <v>26.5</v>
      </c>
      <c r="K3645" s="14" t="n">
        <f aca="false">J3645-H3645</f>
        <v>18.78</v>
      </c>
      <c r="L3645" s="14" t="n">
        <f aca="false">G3645-H3645</f>
        <v>1.78</v>
      </c>
    </row>
    <row r="3646" customFormat="false" ht="15" hidden="false" customHeight="false" outlineLevel="0" collapsed="false">
      <c r="A3646" s="2" t="s">
        <v>184</v>
      </c>
      <c r="B3646" s="2" t="s">
        <v>184</v>
      </c>
      <c r="C3646" s="2" t="s">
        <v>48</v>
      </c>
      <c r="D3646" s="2" t="s">
        <v>12</v>
      </c>
      <c r="E3646" s="2" t="s">
        <v>76</v>
      </c>
      <c r="F3646" s="2" t="s">
        <v>1145</v>
      </c>
      <c r="G3646" s="14" t="n">
        <v>9.5</v>
      </c>
      <c r="H3646" s="14" t="n">
        <v>28.59</v>
      </c>
      <c r="I3646" s="14" t="n">
        <v>9.5</v>
      </c>
      <c r="J3646" s="22" t="n">
        <f aca="false">IF(E3646="Priority",'Cost model'!N203,'Cost model'!M203)</f>
        <v>26.5</v>
      </c>
      <c r="K3646" s="14" t="n">
        <f aca="false">J3646-H3646</f>
        <v>-2.09</v>
      </c>
      <c r="L3646" s="14" t="n">
        <f aca="false">G3646-H3646</f>
        <v>-19.09</v>
      </c>
    </row>
    <row r="3647" customFormat="false" ht="15" hidden="false" customHeight="false" outlineLevel="0" collapsed="false">
      <c r="A3647" s="2" t="s">
        <v>184</v>
      </c>
      <c r="B3647" s="2" t="s">
        <v>184</v>
      </c>
      <c r="C3647" s="2" t="s">
        <v>49</v>
      </c>
      <c r="D3647" s="2" t="s">
        <v>12</v>
      </c>
      <c r="E3647" s="2" t="s">
        <v>76</v>
      </c>
      <c r="F3647" s="2" t="s">
        <v>1145</v>
      </c>
      <c r="G3647" s="14" t="n">
        <v>12.5</v>
      </c>
      <c r="H3647" s="14" t="n">
        <v>43.77</v>
      </c>
      <c r="I3647" s="14"/>
      <c r="J3647" s="22" t="n">
        <f aca="false">IF(E3647="Priority",'Cost model'!N204,'Cost model'!M204)</f>
        <v>45</v>
      </c>
      <c r="K3647" s="14" t="n">
        <f aca="false">J3647-H3647</f>
        <v>1.23</v>
      </c>
      <c r="L3647" s="14" t="n">
        <f aca="false">G3647-H3647</f>
        <v>-31.27</v>
      </c>
    </row>
    <row r="3648" customFormat="false" ht="15" hidden="false" customHeight="false" outlineLevel="0" collapsed="false">
      <c r="A3648" s="2" t="s">
        <v>184</v>
      </c>
      <c r="B3648" s="2" t="s">
        <v>126</v>
      </c>
      <c r="C3648" s="2" t="s">
        <v>50</v>
      </c>
      <c r="D3648" s="2" t="s">
        <v>10</v>
      </c>
      <c r="E3648" s="2" t="s">
        <v>76</v>
      </c>
      <c r="F3648" s="2" t="s">
        <v>1146</v>
      </c>
      <c r="G3648" s="14" t="n">
        <v>17.5</v>
      </c>
      <c r="H3648" s="14" t="n">
        <v>35.01</v>
      </c>
      <c r="I3648" s="14" t="n">
        <v>17.5</v>
      </c>
      <c r="J3648" s="22" t="n">
        <f aca="false">IF(E3648="Priority",'Cost model'!N130,'Cost model'!M130)</f>
        <v>18.5</v>
      </c>
      <c r="K3648" s="14" t="n">
        <f aca="false">J3648-H3648</f>
        <v>-16.51</v>
      </c>
      <c r="L3648" s="14" t="n">
        <f aca="false">G3648-H3648</f>
        <v>-17.51</v>
      </c>
    </row>
    <row r="3649" customFormat="false" ht="15" hidden="false" customHeight="false" outlineLevel="0" collapsed="false">
      <c r="A3649" s="2" t="s">
        <v>126</v>
      </c>
      <c r="B3649" s="2" t="s">
        <v>126</v>
      </c>
      <c r="C3649" s="2" t="s">
        <v>48</v>
      </c>
      <c r="D3649" s="2" t="s">
        <v>10</v>
      </c>
      <c r="E3649" s="2" t="s">
        <v>76</v>
      </c>
      <c r="F3649" s="2" t="s">
        <v>1145</v>
      </c>
      <c r="G3649" s="14" t="n">
        <v>9.5</v>
      </c>
      <c r="H3649" s="14" t="n">
        <v>7.72</v>
      </c>
      <c r="I3649" s="14" t="n">
        <v>9.5</v>
      </c>
      <c r="J3649" s="22" t="n">
        <f aca="false">IF(E3649="Priority",'Cost model'!N380,'Cost model'!M380)</f>
        <v>8.5</v>
      </c>
      <c r="K3649" s="14" t="n">
        <f aca="false">J3649-H3649</f>
        <v>0.78</v>
      </c>
      <c r="L3649" s="14" t="n">
        <f aca="false">G3649-H3649</f>
        <v>1.78</v>
      </c>
    </row>
    <row r="3650" customFormat="false" ht="15" hidden="false" customHeight="false" outlineLevel="0" collapsed="false">
      <c r="A3650" s="2" t="s">
        <v>385</v>
      </c>
      <c r="B3650" s="2" t="s">
        <v>146</v>
      </c>
      <c r="C3650" s="2" t="s">
        <v>48</v>
      </c>
      <c r="D3650" s="2" t="s">
        <v>12</v>
      </c>
      <c r="E3650" s="2" t="s">
        <v>85</v>
      </c>
      <c r="F3650" s="2" t="s">
        <v>1146</v>
      </c>
      <c r="G3650" s="14" t="n">
        <v>29.5</v>
      </c>
      <c r="H3650" s="14" t="n">
        <v>88.42</v>
      </c>
      <c r="I3650" s="14" t="n">
        <v>29.5</v>
      </c>
      <c r="J3650" s="22" t="n">
        <f aca="false">IF(E3650="Priority",'Cost model'!N275,'Cost model'!M275)</f>
        <v>90</v>
      </c>
      <c r="K3650" s="14" t="n">
        <f aca="false">J3650-H3650</f>
        <v>1.58</v>
      </c>
      <c r="L3650" s="14" t="n">
        <f aca="false">G3650-H3650</f>
        <v>-58.92</v>
      </c>
    </row>
    <row r="3651" customFormat="false" ht="15" hidden="false" customHeight="false" outlineLevel="0" collapsed="false">
      <c r="A3651" s="2" t="s">
        <v>184</v>
      </c>
      <c r="B3651" s="2" t="s">
        <v>125</v>
      </c>
      <c r="C3651" s="2" t="s">
        <v>49</v>
      </c>
      <c r="D3651" s="2" t="s">
        <v>13</v>
      </c>
      <c r="E3651" s="2" t="s">
        <v>76</v>
      </c>
      <c r="F3651" s="2" t="s">
        <v>1146</v>
      </c>
      <c r="G3651" s="14" t="n">
        <v>24.5</v>
      </c>
      <c r="H3651" s="14" t="n">
        <v>129.97</v>
      </c>
      <c r="I3651" s="14" t="n">
        <v>45</v>
      </c>
      <c r="J3651" s="22" t="n">
        <f aca="false">IF(E3651="Priority",'Cost model'!N243,'Cost model'!M243)</f>
        <v>110</v>
      </c>
      <c r="K3651" s="14" t="n">
        <f aca="false">J3651-H3651</f>
        <v>-19.97</v>
      </c>
      <c r="L3651" s="14" t="n">
        <f aca="false">G3651-H3651</f>
        <v>-105.47</v>
      </c>
    </row>
    <row r="3652" customFormat="false" ht="15" hidden="false" customHeight="false" outlineLevel="0" collapsed="false">
      <c r="A3652" s="2" t="s">
        <v>146</v>
      </c>
      <c r="B3652" s="2" t="s">
        <v>126</v>
      </c>
      <c r="C3652" s="2" t="s">
        <v>50</v>
      </c>
      <c r="D3652" s="2" t="s">
        <v>10</v>
      </c>
      <c r="E3652" s="2" t="s">
        <v>76</v>
      </c>
      <c r="F3652" s="2" t="s">
        <v>1146</v>
      </c>
      <c r="G3652" s="14" t="n">
        <v>17.5</v>
      </c>
      <c r="H3652" s="14" t="n">
        <v>24.63</v>
      </c>
      <c r="I3652" s="14" t="n">
        <v>17.5</v>
      </c>
      <c r="J3652" s="22" t="n">
        <f aca="false">IF(E3652="Priority",'Cost model'!N796,'Cost model'!M796)</f>
        <v>17.5</v>
      </c>
      <c r="K3652" s="14" t="n">
        <f aca="false">J3652-H3652</f>
        <v>-7.13</v>
      </c>
      <c r="L3652" s="14" t="n">
        <f aca="false">G3652-H3652</f>
        <v>-7.13</v>
      </c>
    </row>
    <row r="3653" customFormat="false" ht="15" hidden="false" customHeight="false" outlineLevel="0" collapsed="false">
      <c r="A3653" s="2" t="s">
        <v>126</v>
      </c>
      <c r="B3653" s="2" t="s">
        <v>126</v>
      </c>
      <c r="C3653" s="2" t="s">
        <v>49</v>
      </c>
      <c r="D3653" s="2" t="s">
        <v>12</v>
      </c>
      <c r="E3653" s="2" t="s">
        <v>76</v>
      </c>
      <c r="F3653" s="2" t="s">
        <v>1145</v>
      </c>
      <c r="G3653" s="14" t="n">
        <v>12.5</v>
      </c>
      <c r="H3653" s="14" t="n">
        <v>46.12</v>
      </c>
      <c r="I3653" s="14" t="n">
        <v>12.5</v>
      </c>
      <c r="J3653" s="22" t="n">
        <f aca="false">IF(E3653="Priority",'Cost model'!N384,'Cost model'!M384)</f>
        <v>45</v>
      </c>
      <c r="K3653" s="14" t="n">
        <f aca="false">J3653-H3653</f>
        <v>-1.12</v>
      </c>
      <c r="L3653" s="14" t="n">
        <f aca="false">G3653-H3653</f>
        <v>-33.62</v>
      </c>
    </row>
    <row r="3654" customFormat="false" ht="15" hidden="false" customHeight="false" outlineLevel="0" collapsed="false">
      <c r="A3654" s="2" t="s">
        <v>146</v>
      </c>
      <c r="B3654" s="2" t="s">
        <v>146</v>
      </c>
      <c r="C3654" s="2" t="s">
        <v>48</v>
      </c>
      <c r="D3654" s="2" t="s">
        <v>12</v>
      </c>
      <c r="E3654" s="2" t="s">
        <v>76</v>
      </c>
      <c r="F3654" s="2" t="s">
        <v>1145</v>
      </c>
      <c r="G3654" s="14" t="n">
        <v>9.5</v>
      </c>
      <c r="H3654" s="14" t="n">
        <v>43.59</v>
      </c>
      <c r="I3654" s="14" t="n">
        <v>9.5</v>
      </c>
      <c r="J3654" s="22" t="n">
        <f aca="false">IF(E3654="Priority",'Cost model'!N761,'Cost model'!M761)</f>
        <v>35</v>
      </c>
      <c r="K3654" s="14" t="n">
        <f aca="false">J3654-H3654</f>
        <v>-8.59</v>
      </c>
      <c r="L3654" s="14" t="n">
        <f aca="false">G3654-H3654</f>
        <v>-34.09</v>
      </c>
    </row>
    <row r="3655" customFormat="false" ht="15" hidden="false" customHeight="false" outlineLevel="0" collapsed="false">
      <c r="A3655" s="2" t="s">
        <v>184</v>
      </c>
      <c r="B3655" s="2" t="s">
        <v>184</v>
      </c>
      <c r="C3655" s="2" t="s">
        <v>49</v>
      </c>
      <c r="D3655" s="2" t="s">
        <v>10</v>
      </c>
      <c r="E3655" s="2" t="s">
        <v>76</v>
      </c>
      <c r="F3655" s="2" t="s">
        <v>1145</v>
      </c>
      <c r="G3655" s="14" t="n">
        <v>12.5</v>
      </c>
      <c r="H3655" s="14" t="n">
        <v>15.66</v>
      </c>
      <c r="I3655" s="14"/>
      <c r="J3655" s="22" t="n">
        <f aca="false">IF(E3655="Priority",'Cost model'!N201,'Cost model'!M201)</f>
        <v>12.5</v>
      </c>
      <c r="K3655" s="14" t="n">
        <f aca="false">J3655-H3655</f>
        <v>-3.16</v>
      </c>
      <c r="L3655" s="14" t="n">
        <f aca="false">G3655-H3655</f>
        <v>-3.16</v>
      </c>
    </row>
    <row r="3656" customFormat="false" ht="15" hidden="false" customHeight="false" outlineLevel="0" collapsed="false">
      <c r="A3656" s="2" t="s">
        <v>126</v>
      </c>
      <c r="B3656" s="2" t="s">
        <v>126</v>
      </c>
      <c r="C3656" s="2" t="s">
        <v>49</v>
      </c>
      <c r="D3656" s="2" t="s">
        <v>10</v>
      </c>
      <c r="E3656" s="2" t="s">
        <v>76</v>
      </c>
      <c r="F3656" s="2" t="s">
        <v>1145</v>
      </c>
      <c r="G3656" s="14" t="n">
        <v>12.5</v>
      </c>
      <c r="H3656" s="14" t="n">
        <v>10.26</v>
      </c>
      <c r="I3656" s="14" t="n">
        <v>12.5</v>
      </c>
      <c r="J3656" s="22" t="n">
        <f aca="false">IF(E3656="Priority",'Cost model'!N381,'Cost model'!M381)</f>
        <v>14.5</v>
      </c>
      <c r="K3656" s="14" t="n">
        <f aca="false">J3656-H3656</f>
        <v>4.24</v>
      </c>
      <c r="L3656" s="14" t="n">
        <f aca="false">G3656-H3656</f>
        <v>2.24</v>
      </c>
    </row>
    <row r="3657" customFormat="false" ht="15" hidden="false" customHeight="false" outlineLevel="0" collapsed="false">
      <c r="A3657" s="2" t="s">
        <v>184</v>
      </c>
      <c r="B3657" s="2" t="s">
        <v>146</v>
      </c>
      <c r="C3657" s="2" t="s">
        <v>49</v>
      </c>
      <c r="D3657" s="2" t="s">
        <v>13</v>
      </c>
      <c r="E3657" s="2" t="s">
        <v>76</v>
      </c>
      <c r="F3657" s="2" t="s">
        <v>1146</v>
      </c>
      <c r="G3657" s="14" t="n">
        <v>24.5</v>
      </c>
      <c r="H3657" s="14" t="n">
        <v>80.41</v>
      </c>
      <c r="I3657" s="14" t="n">
        <v>24.5</v>
      </c>
      <c r="J3657" s="22" t="n">
        <f aca="false">IF(E3657="Priority",'Cost model'!N153,'Cost model'!M153)</f>
        <v>100</v>
      </c>
      <c r="K3657" s="14" t="n">
        <f aca="false">J3657-H3657</f>
        <v>19.59</v>
      </c>
      <c r="L3657" s="14" t="n">
        <f aca="false">G3657-H3657</f>
        <v>-55.91</v>
      </c>
    </row>
    <row r="3658" customFormat="false" ht="15" hidden="false" customHeight="false" outlineLevel="0" collapsed="false">
      <c r="A3658" s="2" t="s">
        <v>146</v>
      </c>
      <c r="B3658" s="2" t="s">
        <v>146</v>
      </c>
      <c r="C3658" s="2" t="s">
        <v>50</v>
      </c>
      <c r="D3658" s="2" t="s">
        <v>10</v>
      </c>
      <c r="E3658" s="2" t="s">
        <v>76</v>
      </c>
      <c r="F3658" s="2" t="s">
        <v>1145</v>
      </c>
      <c r="G3658" s="14" t="n">
        <v>17.5</v>
      </c>
      <c r="H3658" s="14" t="n">
        <v>17.57</v>
      </c>
      <c r="I3658" s="14" t="n">
        <v>17.5</v>
      </c>
      <c r="J3658" s="22" t="n">
        <f aca="false">IF(E3658="Priority",'Cost model'!N760,'Cost model'!M760)</f>
        <v>18.5</v>
      </c>
      <c r="K3658" s="14" t="n">
        <f aca="false">J3658-H3658</f>
        <v>0.93</v>
      </c>
      <c r="L3658" s="14" t="n">
        <f aca="false">G3658-H3658</f>
        <v>-0.0700000000000003</v>
      </c>
    </row>
    <row r="3659" customFormat="false" ht="15" hidden="false" customHeight="false" outlineLevel="0" collapsed="false">
      <c r="A3659" s="2" t="s">
        <v>184</v>
      </c>
      <c r="B3659" s="2" t="s">
        <v>184</v>
      </c>
      <c r="C3659" s="2" t="s">
        <v>50</v>
      </c>
      <c r="D3659" s="2" t="s">
        <v>13</v>
      </c>
      <c r="E3659" s="2" t="s">
        <v>76</v>
      </c>
      <c r="F3659" s="2" t="s">
        <v>1145</v>
      </c>
      <c r="G3659" s="14" t="n">
        <v>50</v>
      </c>
      <c r="H3659" s="14" t="n">
        <v>43.62</v>
      </c>
      <c r="I3659" s="14" t="n">
        <v>50</v>
      </c>
      <c r="J3659" s="22" t="n">
        <f aca="false">IF(E3659="Priority",'Cost model'!N208,'Cost model'!M208)</f>
        <v>80</v>
      </c>
      <c r="K3659" s="14" t="n">
        <f aca="false">J3659-H3659</f>
        <v>36.38</v>
      </c>
      <c r="L3659" s="14" t="n">
        <f aca="false">G3659-H3659</f>
        <v>6.38</v>
      </c>
    </row>
    <row r="3660" customFormat="false" ht="15" hidden="false" customHeight="false" outlineLevel="0" collapsed="false">
      <c r="A3660" s="2" t="s">
        <v>184</v>
      </c>
      <c r="B3660" s="2" t="s">
        <v>184</v>
      </c>
      <c r="C3660" s="2" t="s">
        <v>49</v>
      </c>
      <c r="D3660" s="2" t="s">
        <v>12</v>
      </c>
      <c r="E3660" s="2" t="s">
        <v>76</v>
      </c>
      <c r="F3660" s="2" t="s">
        <v>1145</v>
      </c>
      <c r="G3660" s="14" t="n">
        <v>19.5</v>
      </c>
      <c r="H3660" s="14" t="n">
        <v>84.73</v>
      </c>
      <c r="I3660" s="14"/>
      <c r="J3660" s="22" t="n">
        <f aca="false">IF(E3660="Priority",'Cost model'!N204,'Cost model'!M204)</f>
        <v>45</v>
      </c>
      <c r="K3660" s="14" t="n">
        <f aca="false">J3660-H3660</f>
        <v>-39.73</v>
      </c>
      <c r="L3660" s="14" t="n">
        <f aca="false">G3660-H3660</f>
        <v>-65.23</v>
      </c>
    </row>
    <row r="3661" customFormat="false" ht="15" hidden="false" customHeight="false" outlineLevel="0" collapsed="false">
      <c r="A3661" s="2" t="s">
        <v>146</v>
      </c>
      <c r="B3661" s="2" t="s">
        <v>146</v>
      </c>
      <c r="C3661" s="2" t="s">
        <v>48</v>
      </c>
      <c r="D3661" s="2" t="s">
        <v>12</v>
      </c>
      <c r="E3661" s="2" t="s">
        <v>76</v>
      </c>
      <c r="F3661" s="2" t="s">
        <v>1145</v>
      </c>
      <c r="G3661" s="14" t="n">
        <v>14.5</v>
      </c>
      <c r="H3661" s="14" t="n">
        <v>28.08</v>
      </c>
      <c r="I3661" s="14" t="n">
        <v>9.5</v>
      </c>
      <c r="J3661" s="22" t="n">
        <f aca="false">IF(E3661="Priority",'Cost model'!N761,'Cost model'!M761)</f>
        <v>35</v>
      </c>
      <c r="K3661" s="14" t="n">
        <f aca="false">J3661-H3661</f>
        <v>6.92</v>
      </c>
      <c r="L3661" s="14" t="n">
        <f aca="false">G3661-H3661</f>
        <v>-13.58</v>
      </c>
    </row>
    <row r="3662" customFormat="false" ht="15" hidden="false" customHeight="false" outlineLevel="0" collapsed="false">
      <c r="A3662" s="2" t="s">
        <v>184</v>
      </c>
      <c r="B3662" s="2" t="s">
        <v>146</v>
      </c>
      <c r="C3662" s="2" t="s">
        <v>50</v>
      </c>
      <c r="D3662" s="2" t="s">
        <v>10</v>
      </c>
      <c r="E3662" s="2" t="s">
        <v>85</v>
      </c>
      <c r="F3662" s="2" t="s">
        <v>1146</v>
      </c>
      <c r="G3662" s="14" t="n">
        <v>24.5</v>
      </c>
      <c r="H3662" s="14" t="n">
        <v>20.39</v>
      </c>
      <c r="I3662" s="14" t="n">
        <v>24.5</v>
      </c>
      <c r="J3662" s="22" t="n">
        <f aca="false">IF(E3662="Priority",'Cost model'!N148,'Cost model'!M148)</f>
        <v>29.5</v>
      </c>
      <c r="K3662" s="14" t="n">
        <f aca="false">J3662-H3662</f>
        <v>9.11</v>
      </c>
      <c r="L3662" s="14" t="n">
        <f aca="false">G3662-H3662</f>
        <v>4.11</v>
      </c>
    </row>
    <row r="3663" customFormat="false" ht="15" hidden="false" customHeight="false" outlineLevel="0" collapsed="false">
      <c r="A3663" s="2" t="s">
        <v>146</v>
      </c>
      <c r="B3663" s="2" t="s">
        <v>126</v>
      </c>
      <c r="C3663" s="2" t="s">
        <v>50</v>
      </c>
      <c r="D3663" s="2" t="s">
        <v>10</v>
      </c>
      <c r="E3663" s="2" t="s">
        <v>76</v>
      </c>
      <c r="F3663" s="2" t="s">
        <v>1146</v>
      </c>
      <c r="G3663" s="14" t="n">
        <v>17.5</v>
      </c>
      <c r="H3663" s="14" t="n">
        <v>11.92</v>
      </c>
      <c r="I3663" s="14" t="n">
        <v>17.5</v>
      </c>
      <c r="J3663" s="22" t="n">
        <f aca="false">IF(E3663="Priority",'Cost model'!N796,'Cost model'!M796)</f>
        <v>17.5</v>
      </c>
      <c r="K3663" s="14" t="n">
        <f aca="false">J3663-H3663</f>
        <v>5.58</v>
      </c>
      <c r="L3663" s="14" t="n">
        <f aca="false">G3663-H3663</f>
        <v>5.58</v>
      </c>
    </row>
    <row r="3664" customFormat="false" ht="15" hidden="false" customHeight="false" outlineLevel="0" collapsed="false">
      <c r="A3664" s="2" t="s">
        <v>126</v>
      </c>
      <c r="B3664" s="2" t="s">
        <v>126</v>
      </c>
      <c r="C3664" s="2" t="s">
        <v>50</v>
      </c>
      <c r="D3664" s="2" t="s">
        <v>12</v>
      </c>
      <c r="E3664" s="2" t="s">
        <v>76</v>
      </c>
      <c r="F3664" s="2" t="s">
        <v>1145</v>
      </c>
      <c r="G3664" s="14" t="n">
        <v>19.5</v>
      </c>
      <c r="H3664" s="14" t="n">
        <v>61.56</v>
      </c>
      <c r="I3664" s="14" t="n">
        <v>19.5</v>
      </c>
      <c r="J3664" s="22" t="n">
        <f aca="false">IF(E3664="Priority",'Cost model'!N385,'Cost model'!M385)</f>
        <v>55</v>
      </c>
      <c r="K3664" s="14" t="n">
        <f aca="false">J3664-H3664</f>
        <v>-6.56</v>
      </c>
      <c r="L3664" s="14" t="n">
        <f aca="false">G3664-H3664</f>
        <v>-42.06</v>
      </c>
    </row>
    <row r="3665" customFormat="false" ht="15" hidden="false" customHeight="false" outlineLevel="0" collapsed="false">
      <c r="A3665" s="2" t="s">
        <v>240</v>
      </c>
      <c r="B3665" s="2" t="s">
        <v>240</v>
      </c>
      <c r="C3665" s="2" t="s">
        <v>50</v>
      </c>
      <c r="D3665" s="2" t="s">
        <v>10</v>
      </c>
      <c r="E3665" s="2" t="s">
        <v>76</v>
      </c>
      <c r="F3665" s="2" t="s">
        <v>1145</v>
      </c>
      <c r="G3665" s="14" t="n">
        <v>17.5</v>
      </c>
      <c r="H3665" s="14" t="n">
        <v>11.34</v>
      </c>
      <c r="I3665" s="14" t="n">
        <v>17.5</v>
      </c>
      <c r="J3665" s="22" t="n">
        <f aca="false">IF(E3665="Priority",'Cost model'!N886,'Cost model'!M886)</f>
        <v>17.5</v>
      </c>
      <c r="K3665" s="14" t="n">
        <f aca="false">J3665-H3665</f>
        <v>6.16</v>
      </c>
      <c r="L3665" s="14" t="n">
        <f aca="false">G3665-H3665</f>
        <v>6.16</v>
      </c>
    </row>
    <row r="3666" customFormat="false" ht="15" hidden="false" customHeight="false" outlineLevel="0" collapsed="false">
      <c r="A3666" s="2" t="s">
        <v>184</v>
      </c>
      <c r="B3666" s="2" t="s">
        <v>184</v>
      </c>
      <c r="C3666" s="2" t="s">
        <v>48</v>
      </c>
      <c r="D3666" s="2" t="s">
        <v>12</v>
      </c>
      <c r="E3666" s="2" t="s">
        <v>76</v>
      </c>
      <c r="F3666" s="2" t="s">
        <v>1145</v>
      </c>
      <c r="G3666" s="14" t="n">
        <v>9.5</v>
      </c>
      <c r="H3666" s="14" t="n">
        <v>30.91</v>
      </c>
      <c r="I3666" s="14" t="n">
        <v>9.5</v>
      </c>
      <c r="J3666" s="22" t="n">
        <f aca="false">IF(E3666="Priority",'Cost model'!N203,'Cost model'!M203)</f>
        <v>26.5</v>
      </c>
      <c r="K3666" s="14" t="n">
        <f aca="false">J3666-H3666</f>
        <v>-4.41</v>
      </c>
      <c r="L3666" s="14" t="n">
        <f aca="false">G3666-H3666</f>
        <v>-21.41</v>
      </c>
    </row>
    <row r="3667" customFormat="false" ht="15" hidden="false" customHeight="false" outlineLevel="0" collapsed="false">
      <c r="A3667" s="2" t="s">
        <v>240</v>
      </c>
      <c r="B3667" s="2" t="s">
        <v>165</v>
      </c>
      <c r="C3667" s="2" t="s">
        <v>48</v>
      </c>
      <c r="D3667" s="2" t="s">
        <v>12</v>
      </c>
      <c r="E3667" s="2" t="s">
        <v>85</v>
      </c>
      <c r="F3667" s="2" t="s">
        <v>1146</v>
      </c>
      <c r="G3667" s="14" t="n">
        <v>24.5</v>
      </c>
      <c r="H3667" s="14" t="n">
        <v>24.17</v>
      </c>
      <c r="I3667" s="14" t="n">
        <v>24.5</v>
      </c>
      <c r="J3667" s="22" t="n">
        <f aca="false">IF(E3667="Priority",'Cost model'!N905,'Cost model'!M905)</f>
        <v>65</v>
      </c>
      <c r="K3667" s="14" t="n">
        <f aca="false">J3667-H3667</f>
        <v>40.83</v>
      </c>
      <c r="L3667" s="14" t="n">
        <f aca="false">G3667-H3667</f>
        <v>0.329999999999998</v>
      </c>
    </row>
    <row r="3668" customFormat="false" ht="15" hidden="false" customHeight="false" outlineLevel="0" collapsed="false">
      <c r="A3668" s="2" t="s">
        <v>146</v>
      </c>
      <c r="B3668" s="2" t="s">
        <v>146</v>
      </c>
      <c r="C3668" s="2" t="s">
        <v>48</v>
      </c>
      <c r="D3668" s="2" t="s">
        <v>13</v>
      </c>
      <c r="E3668" s="2" t="s">
        <v>76</v>
      </c>
      <c r="F3668" s="2" t="s">
        <v>1145</v>
      </c>
      <c r="G3668" s="14" t="n">
        <v>19</v>
      </c>
      <c r="H3668" s="14" t="n">
        <v>38.6</v>
      </c>
      <c r="I3668" s="14" t="n">
        <v>19</v>
      </c>
      <c r="J3668" s="22" t="n">
        <f aca="false">IF(E3668="Priority",'Cost model'!N764,'Cost model'!M764)</f>
        <v>55</v>
      </c>
      <c r="K3668" s="14" t="n">
        <f aca="false">J3668-H3668</f>
        <v>16.4</v>
      </c>
      <c r="L3668" s="14" t="n">
        <f aca="false">G3668-H3668</f>
        <v>-19.6</v>
      </c>
    </row>
    <row r="3669" customFormat="false" ht="15" hidden="false" customHeight="false" outlineLevel="0" collapsed="false">
      <c r="A3669" s="2" t="s">
        <v>146</v>
      </c>
      <c r="B3669" s="2" t="s">
        <v>146</v>
      </c>
      <c r="C3669" s="2" t="s">
        <v>49</v>
      </c>
      <c r="D3669" s="2" t="s">
        <v>10</v>
      </c>
      <c r="E3669" s="2" t="s">
        <v>76</v>
      </c>
      <c r="F3669" s="2" t="s">
        <v>1145</v>
      </c>
      <c r="G3669" s="14" t="n">
        <v>12.5</v>
      </c>
      <c r="H3669" s="14" t="n">
        <v>10.95</v>
      </c>
      <c r="I3669" s="14" t="n">
        <v>12.5</v>
      </c>
      <c r="J3669" s="22" t="n">
        <f aca="false">IF(E3669="Priority",'Cost model'!N759,'Cost model'!M759)</f>
        <v>15.5</v>
      </c>
      <c r="K3669" s="14" t="n">
        <f aca="false">J3669-H3669</f>
        <v>4.55</v>
      </c>
      <c r="L3669" s="14" t="n">
        <f aca="false">G3669-H3669</f>
        <v>1.55</v>
      </c>
    </row>
    <row r="3670" customFormat="false" ht="15" hidden="false" customHeight="false" outlineLevel="0" collapsed="false">
      <c r="A3670" s="2" t="s">
        <v>184</v>
      </c>
      <c r="B3670" s="2" t="s">
        <v>184</v>
      </c>
      <c r="C3670" s="2" t="s">
        <v>50</v>
      </c>
      <c r="D3670" s="2" t="s">
        <v>12</v>
      </c>
      <c r="E3670" s="2" t="s">
        <v>76</v>
      </c>
      <c r="F3670" s="2" t="s">
        <v>1145</v>
      </c>
      <c r="G3670" s="14" t="n">
        <v>19.5</v>
      </c>
      <c r="H3670" s="14" t="n">
        <v>49.26</v>
      </c>
      <c r="I3670" s="14" t="n">
        <v>19.5</v>
      </c>
      <c r="J3670" s="22" t="n">
        <f aca="false">IF(E3670="Priority",'Cost model'!N205,'Cost model'!M205)</f>
        <v>50</v>
      </c>
      <c r="K3670" s="14" t="n">
        <f aca="false">J3670-H3670</f>
        <v>0.740000000000002</v>
      </c>
      <c r="L3670" s="14" t="n">
        <f aca="false">G3670-H3670</f>
        <v>-29.76</v>
      </c>
    </row>
    <row r="3671" customFormat="false" ht="15" hidden="false" customHeight="false" outlineLevel="0" collapsed="false">
      <c r="A3671" s="2" t="s">
        <v>184</v>
      </c>
      <c r="B3671" s="2" t="s">
        <v>184</v>
      </c>
      <c r="C3671" s="2" t="s">
        <v>49</v>
      </c>
      <c r="D3671" s="2" t="s">
        <v>12</v>
      </c>
      <c r="E3671" s="2" t="s">
        <v>76</v>
      </c>
      <c r="F3671" s="2" t="s">
        <v>1145</v>
      </c>
      <c r="G3671" s="14" t="n">
        <v>12.5</v>
      </c>
      <c r="H3671" s="14" t="n">
        <v>43.46</v>
      </c>
      <c r="I3671" s="14"/>
      <c r="J3671" s="22" t="n">
        <f aca="false">IF(E3671="Priority",'Cost model'!N204,'Cost model'!M204)</f>
        <v>45</v>
      </c>
      <c r="K3671" s="14" t="n">
        <f aca="false">J3671-H3671</f>
        <v>1.54</v>
      </c>
      <c r="L3671" s="14" t="n">
        <f aca="false">G3671-H3671</f>
        <v>-30.96</v>
      </c>
    </row>
    <row r="3672" customFormat="false" ht="15" hidden="false" customHeight="false" outlineLevel="0" collapsed="false">
      <c r="A3672" s="2" t="s">
        <v>240</v>
      </c>
      <c r="B3672" s="2" t="s">
        <v>240</v>
      </c>
      <c r="C3672" s="2" t="s">
        <v>48</v>
      </c>
      <c r="D3672" s="2" t="s">
        <v>10</v>
      </c>
      <c r="E3672" s="2" t="s">
        <v>85</v>
      </c>
      <c r="F3672" s="2" t="s">
        <v>1145</v>
      </c>
      <c r="G3672" s="14" t="n">
        <v>14.5</v>
      </c>
      <c r="H3672" s="14" t="n">
        <v>24.48</v>
      </c>
      <c r="I3672" s="14" t="n">
        <v>14.5</v>
      </c>
      <c r="J3672" s="22" t="n">
        <f aca="false">IF(E3672="Priority",'Cost model'!N884,'Cost model'!M884)</f>
        <v>12.5</v>
      </c>
      <c r="K3672" s="14" t="n">
        <f aca="false">J3672-H3672</f>
        <v>-11.98</v>
      </c>
      <c r="L3672" s="14" t="n">
        <f aca="false">G3672-H3672</f>
        <v>-9.98</v>
      </c>
    </row>
    <row r="3673" customFormat="false" ht="15" hidden="false" customHeight="false" outlineLevel="0" collapsed="false">
      <c r="A3673" s="2" t="s">
        <v>184</v>
      </c>
      <c r="B3673" s="2" t="s">
        <v>126</v>
      </c>
      <c r="C3673" s="2" t="s">
        <v>49</v>
      </c>
      <c r="D3673" s="2" t="s">
        <v>12</v>
      </c>
      <c r="E3673" s="2" t="s">
        <v>76</v>
      </c>
      <c r="F3673" s="2" t="s">
        <v>1146</v>
      </c>
      <c r="G3673" s="14" t="n">
        <v>12.5</v>
      </c>
      <c r="H3673" s="14" t="n">
        <v>11.94</v>
      </c>
      <c r="I3673" s="14"/>
      <c r="J3673" s="22" t="n">
        <f aca="false">IF(E3673="Priority",'Cost model'!N132,'Cost model'!M132)</f>
        <v>50</v>
      </c>
      <c r="K3673" s="14" t="n">
        <f aca="false">J3673-H3673</f>
        <v>38.06</v>
      </c>
      <c r="L3673" s="14" t="n">
        <f aca="false">G3673-H3673</f>
        <v>0.560000000000001</v>
      </c>
    </row>
    <row r="3674" customFormat="false" ht="15" hidden="false" customHeight="false" outlineLevel="0" collapsed="false">
      <c r="A3674" s="2" t="s">
        <v>126</v>
      </c>
      <c r="B3674" s="2" t="s">
        <v>126</v>
      </c>
      <c r="C3674" s="2" t="s">
        <v>49</v>
      </c>
      <c r="D3674" s="2" t="s">
        <v>12</v>
      </c>
      <c r="E3674" s="2" t="s">
        <v>85</v>
      </c>
      <c r="F3674" s="2" t="s">
        <v>1145</v>
      </c>
      <c r="G3674" s="14" t="n">
        <v>19.5</v>
      </c>
      <c r="H3674" s="14" t="n">
        <v>50.5</v>
      </c>
      <c r="I3674" s="14" t="n">
        <v>19.5</v>
      </c>
      <c r="J3674" s="22" t="n">
        <f aca="false">IF(E3674="Priority",'Cost model'!N384,'Cost model'!M384)</f>
        <v>60</v>
      </c>
      <c r="K3674" s="14" t="n">
        <f aca="false">J3674-H3674</f>
        <v>9.5</v>
      </c>
      <c r="L3674" s="14" t="n">
        <f aca="false">G3674-H3674</f>
        <v>-31</v>
      </c>
    </row>
    <row r="3675" customFormat="false" ht="15" hidden="false" customHeight="false" outlineLevel="0" collapsed="false">
      <c r="A3675" s="2" t="s">
        <v>184</v>
      </c>
      <c r="B3675" s="2" t="s">
        <v>126</v>
      </c>
      <c r="C3675" s="2" t="s">
        <v>48</v>
      </c>
      <c r="D3675" s="2" t="s">
        <v>10</v>
      </c>
      <c r="E3675" s="2" t="s">
        <v>85</v>
      </c>
      <c r="F3675" s="2" t="s">
        <v>1146</v>
      </c>
      <c r="G3675" s="14" t="n">
        <v>14.5</v>
      </c>
      <c r="H3675" s="14" t="n">
        <v>10.53</v>
      </c>
      <c r="I3675" s="14" t="n">
        <v>14.5</v>
      </c>
      <c r="J3675" s="22" t="n">
        <f aca="false">IF(E3675="Priority",'Cost model'!N128,'Cost model'!M128)</f>
        <v>15.5</v>
      </c>
      <c r="K3675" s="14" t="n">
        <f aca="false">J3675-H3675</f>
        <v>4.97</v>
      </c>
      <c r="L3675" s="14" t="n">
        <f aca="false">G3675-H3675</f>
        <v>3.97</v>
      </c>
    </row>
    <row r="3676" customFormat="false" ht="15" hidden="false" customHeight="false" outlineLevel="0" collapsed="false">
      <c r="A3676" s="2" t="s">
        <v>240</v>
      </c>
      <c r="B3676" s="2" t="s">
        <v>165</v>
      </c>
      <c r="C3676" s="2" t="s">
        <v>50</v>
      </c>
      <c r="D3676" s="2" t="s">
        <v>12</v>
      </c>
      <c r="E3676" s="2" t="s">
        <v>76</v>
      </c>
      <c r="F3676" s="2" t="s">
        <v>1146</v>
      </c>
      <c r="G3676" s="14" t="n">
        <v>19.5</v>
      </c>
      <c r="H3676" s="14" t="n">
        <v>51.4</v>
      </c>
      <c r="I3676" s="14" t="n">
        <v>19.5</v>
      </c>
      <c r="J3676" s="22" t="n">
        <f aca="false">IF(E3676="Priority",'Cost model'!N907,'Cost model'!M907)</f>
        <v>70</v>
      </c>
      <c r="K3676" s="14" t="n">
        <f aca="false">J3676-H3676</f>
        <v>18.6</v>
      </c>
      <c r="L3676" s="14" t="n">
        <f aca="false">G3676-H3676</f>
        <v>-31.9</v>
      </c>
    </row>
    <row r="3677" customFormat="false" ht="15" hidden="false" customHeight="false" outlineLevel="0" collapsed="false">
      <c r="A3677" s="2" t="s">
        <v>126</v>
      </c>
      <c r="B3677" s="2" t="s">
        <v>126</v>
      </c>
      <c r="C3677" s="2" t="s">
        <v>49</v>
      </c>
      <c r="D3677" s="2" t="s">
        <v>10</v>
      </c>
      <c r="E3677" s="2" t="s">
        <v>76</v>
      </c>
      <c r="F3677" s="2" t="s">
        <v>1145</v>
      </c>
      <c r="G3677" s="14" t="n">
        <v>12.5</v>
      </c>
      <c r="H3677" s="14" t="n">
        <v>14.39</v>
      </c>
      <c r="I3677" s="14" t="n">
        <v>12.5</v>
      </c>
      <c r="J3677" s="22" t="n">
        <f aca="false">IF(E3677="Priority",'Cost model'!N381,'Cost model'!M381)</f>
        <v>14.5</v>
      </c>
      <c r="K3677" s="14" t="n">
        <f aca="false">J3677-H3677</f>
        <v>0.109999999999999</v>
      </c>
      <c r="L3677" s="14" t="n">
        <f aca="false">G3677-H3677</f>
        <v>-1.89</v>
      </c>
    </row>
    <row r="3678" customFormat="false" ht="15" hidden="false" customHeight="false" outlineLevel="0" collapsed="false">
      <c r="A3678" s="2" t="s">
        <v>184</v>
      </c>
      <c r="B3678" s="2" t="s">
        <v>146</v>
      </c>
      <c r="C3678" s="2" t="s">
        <v>48</v>
      </c>
      <c r="D3678" s="2" t="s">
        <v>14</v>
      </c>
      <c r="E3678" s="2" t="s">
        <v>76</v>
      </c>
      <c r="F3678" s="2" t="s">
        <v>1146</v>
      </c>
      <c r="G3678" s="14" t="n">
        <v>25</v>
      </c>
      <c r="H3678" s="14" t="n">
        <v>142.36</v>
      </c>
      <c r="I3678" s="14" t="n">
        <v>25</v>
      </c>
      <c r="J3678" s="22" t="n">
        <f aca="false">IF(E3678="Priority",'Cost model'!N155,'Cost model'!M155)</f>
        <v>125</v>
      </c>
      <c r="K3678" s="14" t="n">
        <f aca="false">J3678-H3678</f>
        <v>-17.36</v>
      </c>
      <c r="L3678" s="14" t="n">
        <f aca="false">G3678-H3678</f>
        <v>-117.36</v>
      </c>
    </row>
    <row r="3679" customFormat="false" ht="15" hidden="false" customHeight="false" outlineLevel="0" collapsed="false">
      <c r="A3679" s="2" t="s">
        <v>184</v>
      </c>
      <c r="B3679" s="2" t="s">
        <v>184</v>
      </c>
      <c r="C3679" s="2" t="s">
        <v>48</v>
      </c>
      <c r="D3679" s="2" t="s">
        <v>10</v>
      </c>
      <c r="E3679" s="2" t="s">
        <v>76</v>
      </c>
      <c r="F3679" s="2" t="s">
        <v>1145</v>
      </c>
      <c r="G3679" s="14" t="n">
        <v>9.5</v>
      </c>
      <c r="H3679" s="14" t="n">
        <v>7.69</v>
      </c>
      <c r="I3679" s="14" t="n">
        <v>9.5</v>
      </c>
      <c r="J3679" s="22" t="n">
        <f aca="false">IF(E3679="Priority",'Cost model'!N200,'Cost model'!M200)</f>
        <v>7.5</v>
      </c>
      <c r="K3679" s="14" t="n">
        <f aca="false">J3679-H3679</f>
        <v>-0.19</v>
      </c>
      <c r="L3679" s="14" t="n">
        <f aca="false">G3679-H3679</f>
        <v>1.81</v>
      </c>
    </row>
    <row r="3680" customFormat="false" ht="15" hidden="false" customHeight="false" outlineLevel="0" collapsed="false">
      <c r="A3680" s="2" t="s">
        <v>146</v>
      </c>
      <c r="B3680" s="2" t="s">
        <v>146</v>
      </c>
      <c r="C3680" s="2" t="s">
        <v>48</v>
      </c>
      <c r="D3680" s="2" t="s">
        <v>10</v>
      </c>
      <c r="E3680" s="2" t="s">
        <v>76</v>
      </c>
      <c r="F3680" s="2" t="s">
        <v>1145</v>
      </c>
      <c r="G3680" s="14" t="n">
        <v>9.5</v>
      </c>
      <c r="H3680" s="14" t="n">
        <v>7.47</v>
      </c>
      <c r="I3680" s="14" t="n">
        <v>9.5</v>
      </c>
      <c r="J3680" s="22" t="n">
        <f aca="false">IF(E3680="Priority",'Cost model'!N758,'Cost model'!M758)</f>
        <v>9.5</v>
      </c>
      <c r="K3680" s="14" t="n">
        <f aca="false">J3680-H3680</f>
        <v>2.03</v>
      </c>
      <c r="L3680" s="14" t="n">
        <f aca="false">G3680-H3680</f>
        <v>2.03</v>
      </c>
    </row>
    <row r="3681" customFormat="false" ht="15" hidden="false" customHeight="false" outlineLevel="0" collapsed="false">
      <c r="A3681" s="2" t="s">
        <v>240</v>
      </c>
      <c r="B3681" s="2" t="s">
        <v>126</v>
      </c>
      <c r="C3681" s="2" t="s">
        <v>50</v>
      </c>
      <c r="D3681" s="2" t="s">
        <v>10</v>
      </c>
      <c r="E3681" s="2" t="s">
        <v>76</v>
      </c>
      <c r="F3681" s="2" t="s">
        <v>1146</v>
      </c>
      <c r="G3681" s="14" t="n">
        <v>17.5</v>
      </c>
      <c r="H3681" s="14" t="n">
        <v>37.28</v>
      </c>
      <c r="I3681" s="14" t="n">
        <v>19.5</v>
      </c>
      <c r="J3681" s="22" t="n">
        <f aca="false">IF(E3681="Priority",'Cost model'!N958,'Cost model'!M958)</f>
        <v>24.5</v>
      </c>
      <c r="K3681" s="14" t="n">
        <f aca="false">J3681-H3681</f>
        <v>-12.78</v>
      </c>
      <c r="L3681" s="14" t="n">
        <f aca="false">G3681-H3681</f>
        <v>-19.78</v>
      </c>
    </row>
    <row r="3682" customFormat="false" ht="15" hidden="false" customHeight="false" outlineLevel="0" collapsed="false">
      <c r="A3682" s="2" t="s">
        <v>165</v>
      </c>
      <c r="B3682" s="2" t="s">
        <v>184</v>
      </c>
      <c r="C3682" s="2" t="s">
        <v>50</v>
      </c>
      <c r="D3682" s="2" t="s">
        <v>14</v>
      </c>
      <c r="E3682" s="2" t="s">
        <v>76</v>
      </c>
      <c r="F3682" s="2" t="s">
        <v>1146</v>
      </c>
      <c r="G3682" s="14" t="n">
        <v>150</v>
      </c>
      <c r="H3682" s="14" t="n">
        <v>181.96</v>
      </c>
      <c r="I3682" s="14" t="n">
        <v>199</v>
      </c>
      <c r="J3682" s="22" t="n">
        <f aca="false">IF(E3682="Priority",'Cost model'!N589,'Cost model'!M589)</f>
        <v>190</v>
      </c>
      <c r="K3682" s="14" t="n">
        <f aca="false">J3682-H3682</f>
        <v>8.03999999999999</v>
      </c>
      <c r="L3682" s="14" t="n">
        <f aca="false">G3682-H3682</f>
        <v>-31.96</v>
      </c>
    </row>
    <row r="3683" customFormat="false" ht="15" hidden="false" customHeight="false" outlineLevel="0" collapsed="false">
      <c r="A3683" s="2" t="s">
        <v>240</v>
      </c>
      <c r="B3683" s="2" t="s">
        <v>240</v>
      </c>
      <c r="C3683" s="2" t="s">
        <v>50</v>
      </c>
      <c r="D3683" s="2" t="s">
        <v>13</v>
      </c>
      <c r="E3683" s="2" t="s">
        <v>76</v>
      </c>
      <c r="F3683" s="2" t="s">
        <v>1145</v>
      </c>
      <c r="G3683" s="14" t="n">
        <v>50</v>
      </c>
      <c r="H3683" s="14" t="n">
        <v>116.2</v>
      </c>
      <c r="I3683" s="14" t="n">
        <v>50</v>
      </c>
      <c r="J3683" s="22" t="n">
        <f aca="false">IF(E3683="Priority",'Cost model'!N892,'Cost model'!M892)</f>
        <v>130</v>
      </c>
      <c r="K3683" s="14" t="n">
        <f aca="false">J3683-H3683</f>
        <v>13.8</v>
      </c>
      <c r="L3683" s="14" t="n">
        <f aca="false">G3683-H3683</f>
        <v>-66.2</v>
      </c>
    </row>
    <row r="3684" customFormat="false" ht="15" hidden="false" customHeight="false" outlineLevel="0" collapsed="false">
      <c r="A3684" s="2" t="s">
        <v>184</v>
      </c>
      <c r="B3684" s="2" t="s">
        <v>184</v>
      </c>
      <c r="C3684" s="2" t="s">
        <v>48</v>
      </c>
      <c r="D3684" s="2" t="s">
        <v>10</v>
      </c>
      <c r="E3684" s="2" t="s">
        <v>76</v>
      </c>
      <c r="F3684" s="2" t="s">
        <v>1145</v>
      </c>
      <c r="G3684" s="14" t="n">
        <v>9.5</v>
      </c>
      <c r="H3684" s="14" t="n">
        <v>7.37</v>
      </c>
      <c r="I3684" s="14" t="n">
        <v>9.5</v>
      </c>
      <c r="J3684" s="22" t="n">
        <f aca="false">IF(E3684="Priority",'Cost model'!N200,'Cost model'!M200)</f>
        <v>7.5</v>
      </c>
      <c r="K3684" s="14" t="n">
        <f aca="false">J3684-H3684</f>
        <v>0.13</v>
      </c>
      <c r="L3684" s="14" t="n">
        <f aca="false">G3684-H3684</f>
        <v>2.13</v>
      </c>
    </row>
    <row r="3685" customFormat="false" ht="15" hidden="false" customHeight="false" outlineLevel="0" collapsed="false">
      <c r="A3685" s="2" t="s">
        <v>240</v>
      </c>
      <c r="B3685" s="2" t="s">
        <v>240</v>
      </c>
      <c r="C3685" s="2" t="s">
        <v>50</v>
      </c>
      <c r="D3685" s="2" t="s">
        <v>12</v>
      </c>
      <c r="E3685" s="2" t="s">
        <v>85</v>
      </c>
      <c r="F3685" s="2" t="s">
        <v>1145</v>
      </c>
      <c r="G3685" s="14" t="n">
        <v>29.5</v>
      </c>
      <c r="H3685" s="14" t="n">
        <v>38.69</v>
      </c>
      <c r="I3685" s="14" t="n">
        <v>29.5</v>
      </c>
      <c r="J3685" s="22" t="n">
        <f aca="false">IF(E3685="Priority",'Cost model'!N889,'Cost model'!M889)</f>
        <v>80</v>
      </c>
      <c r="K3685" s="14" t="n">
        <f aca="false">J3685-H3685</f>
        <v>41.31</v>
      </c>
      <c r="L3685" s="14" t="n">
        <f aca="false">G3685-H3685</f>
        <v>-9.19</v>
      </c>
    </row>
    <row r="3686" customFormat="false" ht="15" hidden="false" customHeight="false" outlineLevel="0" collapsed="false">
      <c r="A3686" s="2" t="s">
        <v>184</v>
      </c>
      <c r="B3686" s="2" t="s">
        <v>184</v>
      </c>
      <c r="C3686" s="2" t="s">
        <v>49</v>
      </c>
      <c r="D3686" s="2" t="s">
        <v>10</v>
      </c>
      <c r="E3686" s="2" t="s">
        <v>76</v>
      </c>
      <c r="F3686" s="2" t="s">
        <v>1145</v>
      </c>
      <c r="G3686" s="14" t="n">
        <v>17.5</v>
      </c>
      <c r="H3686" s="14" t="n">
        <v>7.02</v>
      </c>
      <c r="I3686" s="14"/>
      <c r="J3686" s="22" t="n">
        <f aca="false">IF(E3686="Priority",'Cost model'!N201,'Cost model'!M201)</f>
        <v>12.5</v>
      </c>
      <c r="K3686" s="14" t="n">
        <f aca="false">J3686-H3686</f>
        <v>5.48</v>
      </c>
      <c r="L3686" s="14" t="n">
        <f aca="false">G3686-H3686</f>
        <v>10.48</v>
      </c>
    </row>
    <row r="3687" customFormat="false" ht="15" hidden="false" customHeight="false" outlineLevel="0" collapsed="false">
      <c r="A3687" s="2" t="s">
        <v>126</v>
      </c>
      <c r="B3687" s="2" t="s">
        <v>126</v>
      </c>
      <c r="C3687" s="2" t="s">
        <v>50</v>
      </c>
      <c r="D3687" s="2" t="s">
        <v>12</v>
      </c>
      <c r="E3687" s="2" t="s">
        <v>76</v>
      </c>
      <c r="F3687" s="2" t="s">
        <v>1145</v>
      </c>
      <c r="G3687" s="14" t="n">
        <v>19.5</v>
      </c>
      <c r="H3687" s="14" t="n">
        <v>76.68</v>
      </c>
      <c r="I3687" s="14" t="n">
        <v>19.5</v>
      </c>
      <c r="J3687" s="22" t="n">
        <f aca="false">IF(E3687="Priority",'Cost model'!N385,'Cost model'!M385)</f>
        <v>55</v>
      </c>
      <c r="K3687" s="14" t="n">
        <f aca="false">J3687-H3687</f>
        <v>-21.68</v>
      </c>
      <c r="L3687" s="14" t="n">
        <f aca="false">G3687-H3687</f>
        <v>-57.18</v>
      </c>
    </row>
    <row r="3688" customFormat="false" ht="15" hidden="false" customHeight="false" outlineLevel="0" collapsed="false">
      <c r="A3688" s="2" t="s">
        <v>221</v>
      </c>
      <c r="B3688" s="2" t="s">
        <v>126</v>
      </c>
      <c r="C3688" s="2" t="s">
        <v>49</v>
      </c>
      <c r="D3688" s="2" t="s">
        <v>10</v>
      </c>
      <c r="E3688" s="2" t="s">
        <v>76</v>
      </c>
      <c r="F3688" s="2" t="s">
        <v>1146</v>
      </c>
      <c r="G3688" s="14" t="n">
        <v>14.5</v>
      </c>
      <c r="H3688" s="14" t="n">
        <v>19.05</v>
      </c>
      <c r="I3688" s="14" t="n">
        <v>19.5</v>
      </c>
      <c r="J3688" s="22" t="n">
        <f aca="false">IF(E3688="Priority",'Cost model'!N687,'Cost model'!M687)</f>
        <v>17.5</v>
      </c>
      <c r="K3688" s="14" t="n">
        <f aca="false">J3688-H3688</f>
        <v>-1.55</v>
      </c>
      <c r="L3688" s="14" t="n">
        <f aca="false">G3688-H3688</f>
        <v>-4.55</v>
      </c>
    </row>
    <row r="3689" customFormat="false" ht="15" hidden="false" customHeight="false" outlineLevel="0" collapsed="false">
      <c r="A3689" s="2" t="s">
        <v>146</v>
      </c>
      <c r="B3689" s="2" t="s">
        <v>146</v>
      </c>
      <c r="C3689" s="2" t="s">
        <v>48</v>
      </c>
      <c r="D3689" s="2" t="s">
        <v>10</v>
      </c>
      <c r="E3689" s="2" t="s">
        <v>85</v>
      </c>
      <c r="F3689" s="2" t="s">
        <v>1145</v>
      </c>
      <c r="G3689" s="14" t="n">
        <v>14.5</v>
      </c>
      <c r="H3689" s="14" t="n">
        <v>16.23</v>
      </c>
      <c r="I3689" s="14" t="n">
        <v>14.5</v>
      </c>
      <c r="J3689" s="22" t="n">
        <f aca="false">IF(E3689="Priority",'Cost model'!N758,'Cost model'!M758)</f>
        <v>14.5</v>
      </c>
      <c r="K3689" s="14" t="n">
        <f aca="false">J3689-H3689</f>
        <v>-1.73</v>
      </c>
      <c r="L3689" s="14" t="n">
        <f aca="false">G3689-H3689</f>
        <v>-1.73</v>
      </c>
    </row>
    <row r="3690" customFormat="false" ht="15" hidden="false" customHeight="false" outlineLevel="0" collapsed="false">
      <c r="A3690" s="2" t="s">
        <v>184</v>
      </c>
      <c r="B3690" s="2" t="s">
        <v>165</v>
      </c>
      <c r="C3690" s="2" t="s">
        <v>50</v>
      </c>
      <c r="D3690" s="2" t="s">
        <v>10</v>
      </c>
      <c r="E3690" s="2" t="s">
        <v>76</v>
      </c>
      <c r="F3690" s="2" t="s">
        <v>1146</v>
      </c>
      <c r="G3690" s="14" t="n">
        <v>19.5</v>
      </c>
      <c r="H3690" s="14" t="n">
        <v>20.11</v>
      </c>
      <c r="I3690" s="14" t="n">
        <v>17.5</v>
      </c>
      <c r="J3690" s="22" t="n">
        <f aca="false">IF(E3690="Priority",'Cost model'!N166,'Cost model'!M166)</f>
        <v>18.5</v>
      </c>
      <c r="K3690" s="14" t="n">
        <f aca="false">J3690-H3690</f>
        <v>-1.61</v>
      </c>
      <c r="L3690" s="14" t="n">
        <f aca="false">G3690-H3690</f>
        <v>-0.609999999999999</v>
      </c>
    </row>
    <row r="3691" customFormat="false" ht="15" hidden="false" customHeight="false" outlineLevel="0" collapsed="false">
      <c r="A3691" s="2" t="s">
        <v>184</v>
      </c>
      <c r="B3691" s="2" t="s">
        <v>184</v>
      </c>
      <c r="C3691" s="2" t="s">
        <v>48</v>
      </c>
      <c r="D3691" s="2" t="s">
        <v>12</v>
      </c>
      <c r="E3691" s="2" t="s">
        <v>76</v>
      </c>
      <c r="F3691" s="2" t="s">
        <v>1145</v>
      </c>
      <c r="G3691" s="14" t="n">
        <v>9.5</v>
      </c>
      <c r="H3691" s="14" t="n">
        <v>27.86</v>
      </c>
      <c r="I3691" s="14" t="n">
        <v>9.5</v>
      </c>
      <c r="J3691" s="22" t="n">
        <f aca="false">IF(E3691="Priority",'Cost model'!N203,'Cost model'!M203)</f>
        <v>26.5</v>
      </c>
      <c r="K3691" s="14" t="n">
        <f aca="false">J3691-H3691</f>
        <v>-1.36</v>
      </c>
      <c r="L3691" s="14" t="n">
        <f aca="false">G3691-H3691</f>
        <v>-18.36</v>
      </c>
    </row>
    <row r="3692" customFormat="false" ht="15" hidden="false" customHeight="false" outlineLevel="0" collapsed="false">
      <c r="A3692" s="2" t="s">
        <v>165</v>
      </c>
      <c r="B3692" s="2" t="s">
        <v>165</v>
      </c>
      <c r="C3692" s="2" t="s">
        <v>48</v>
      </c>
      <c r="D3692" s="2" t="s">
        <v>14</v>
      </c>
      <c r="E3692" s="2" t="s">
        <v>76</v>
      </c>
      <c r="F3692" s="2" t="s">
        <v>1145</v>
      </c>
      <c r="G3692" s="14" t="n">
        <v>25</v>
      </c>
      <c r="H3692" s="14" t="n">
        <v>31.58</v>
      </c>
      <c r="I3692" s="14" t="n">
        <v>25</v>
      </c>
      <c r="J3692" s="22" t="n">
        <f aca="false">IF(E3692="Priority",'Cost model'!N515,'Cost model'!M515)</f>
        <v>75</v>
      </c>
      <c r="K3692" s="14" t="n">
        <f aca="false">J3692-H3692</f>
        <v>43.42</v>
      </c>
      <c r="L3692" s="14" t="n">
        <f aca="false">G3692-H3692</f>
        <v>-6.58</v>
      </c>
    </row>
    <row r="3693" customFormat="false" ht="15" hidden="false" customHeight="false" outlineLevel="0" collapsed="false">
      <c r="A3693" s="2" t="s">
        <v>184</v>
      </c>
      <c r="B3693" s="2" t="s">
        <v>184</v>
      </c>
      <c r="C3693" s="2" t="s">
        <v>50</v>
      </c>
      <c r="D3693" s="2" t="s">
        <v>10</v>
      </c>
      <c r="E3693" s="2" t="s">
        <v>76</v>
      </c>
      <c r="F3693" s="2" t="s">
        <v>1145</v>
      </c>
      <c r="G3693" s="14" t="n">
        <v>17.5</v>
      </c>
      <c r="H3693" s="14" t="n">
        <v>19.56</v>
      </c>
      <c r="I3693" s="14" t="n">
        <v>17.5</v>
      </c>
      <c r="J3693" s="22" t="n">
        <f aca="false">IF(E3693="Priority",'Cost model'!N202,'Cost model'!M202)</f>
        <v>17.5</v>
      </c>
      <c r="K3693" s="14" t="n">
        <f aca="false">J3693-H3693</f>
        <v>-2.06</v>
      </c>
      <c r="L3693" s="14" t="n">
        <f aca="false">G3693-H3693</f>
        <v>-2.06</v>
      </c>
    </row>
    <row r="3694" customFormat="false" ht="15" hidden="false" customHeight="false" outlineLevel="0" collapsed="false">
      <c r="A3694" s="2" t="s">
        <v>184</v>
      </c>
      <c r="B3694" s="2" t="s">
        <v>184</v>
      </c>
      <c r="C3694" s="2" t="s">
        <v>48</v>
      </c>
      <c r="D3694" s="2" t="s">
        <v>12</v>
      </c>
      <c r="E3694" s="2" t="s">
        <v>76</v>
      </c>
      <c r="F3694" s="2" t="s">
        <v>1145</v>
      </c>
      <c r="G3694" s="14" t="n">
        <v>9.5</v>
      </c>
      <c r="H3694" s="14" t="n">
        <v>27.75</v>
      </c>
      <c r="I3694" s="14" t="n">
        <v>9.5</v>
      </c>
      <c r="J3694" s="22" t="n">
        <f aca="false">IF(E3694="Priority",'Cost model'!N203,'Cost model'!M203)</f>
        <v>26.5</v>
      </c>
      <c r="K3694" s="14" t="n">
        <f aca="false">J3694-H3694</f>
        <v>-1.25</v>
      </c>
      <c r="L3694" s="14" t="n">
        <f aca="false">G3694-H3694</f>
        <v>-18.25</v>
      </c>
    </row>
    <row r="3695" customFormat="false" ht="15" hidden="false" customHeight="false" outlineLevel="0" collapsed="false">
      <c r="A3695" s="2" t="s">
        <v>240</v>
      </c>
      <c r="B3695" s="2" t="s">
        <v>165</v>
      </c>
      <c r="C3695" s="2" t="s">
        <v>50</v>
      </c>
      <c r="D3695" s="2" t="s">
        <v>12</v>
      </c>
      <c r="E3695" s="2" t="s">
        <v>76</v>
      </c>
      <c r="F3695" s="2" t="s">
        <v>1146</v>
      </c>
      <c r="G3695" s="14" t="n">
        <v>19.5</v>
      </c>
      <c r="H3695" s="14" t="n">
        <v>91.62</v>
      </c>
      <c r="I3695" s="14" t="n">
        <v>19.5</v>
      </c>
      <c r="J3695" s="22" t="n">
        <f aca="false">IF(E3695="Priority",'Cost model'!N907,'Cost model'!M907)</f>
        <v>70</v>
      </c>
      <c r="K3695" s="14" t="n">
        <f aca="false">J3695-H3695</f>
        <v>-21.62</v>
      </c>
      <c r="L3695" s="14" t="n">
        <f aca="false">G3695-H3695</f>
        <v>-72.12</v>
      </c>
    </row>
    <row r="3696" customFormat="false" ht="15" hidden="false" customHeight="false" outlineLevel="0" collapsed="false">
      <c r="A3696" s="2" t="s">
        <v>126</v>
      </c>
      <c r="B3696" s="2" t="s">
        <v>165</v>
      </c>
      <c r="C3696" s="2" t="s">
        <v>48</v>
      </c>
      <c r="D3696" s="2" t="s">
        <v>10</v>
      </c>
      <c r="E3696" s="2" t="s">
        <v>76</v>
      </c>
      <c r="F3696" s="2" t="s">
        <v>1146</v>
      </c>
      <c r="G3696" s="14" t="n">
        <v>9.5</v>
      </c>
      <c r="H3696" s="14" t="n">
        <v>13.2</v>
      </c>
      <c r="I3696" s="14" t="n">
        <v>14.5</v>
      </c>
      <c r="J3696" s="22" t="n">
        <f aca="false">IF(E3696="Priority",'Cost model'!N416,'Cost model'!M416)</f>
        <v>16.5</v>
      </c>
      <c r="K3696" s="14" t="n">
        <f aca="false">J3696-H3696</f>
        <v>3.3</v>
      </c>
      <c r="L3696" s="14" t="n">
        <f aca="false">G3696-H3696</f>
        <v>-3.7</v>
      </c>
    </row>
    <row r="3697" customFormat="false" ht="15" hidden="false" customHeight="false" outlineLevel="0" collapsed="false">
      <c r="A3697" s="2" t="s">
        <v>240</v>
      </c>
      <c r="B3697" s="2" t="s">
        <v>240</v>
      </c>
      <c r="C3697" s="2" t="s">
        <v>50</v>
      </c>
      <c r="D3697" s="2" t="s">
        <v>12</v>
      </c>
      <c r="E3697" s="2" t="s">
        <v>76</v>
      </c>
      <c r="F3697" s="2" t="s">
        <v>1145</v>
      </c>
      <c r="G3697" s="14" t="n">
        <v>19.5</v>
      </c>
      <c r="H3697" s="14" t="n">
        <v>14.29</v>
      </c>
      <c r="I3697" s="14" t="n">
        <v>19.5</v>
      </c>
      <c r="J3697" s="22" t="n">
        <f aca="false">IF(E3697="Priority",'Cost model'!N889,'Cost model'!M889)</f>
        <v>60</v>
      </c>
      <c r="K3697" s="14" t="n">
        <f aca="false">J3697-H3697</f>
        <v>45.71</v>
      </c>
      <c r="L3697" s="14" t="n">
        <f aca="false">G3697-H3697</f>
        <v>5.21</v>
      </c>
    </row>
    <row r="3698" customFormat="false" ht="15" hidden="false" customHeight="false" outlineLevel="0" collapsed="false">
      <c r="A3698" s="2" t="s">
        <v>165</v>
      </c>
      <c r="B3698" s="2" t="s">
        <v>126</v>
      </c>
      <c r="C3698" s="2" t="s">
        <v>50</v>
      </c>
      <c r="D3698" s="2" t="s">
        <v>10</v>
      </c>
      <c r="E3698" s="2" t="s">
        <v>76</v>
      </c>
      <c r="F3698" s="2" t="s">
        <v>1146</v>
      </c>
      <c r="G3698" s="14" t="n">
        <v>17.5</v>
      </c>
      <c r="H3698" s="14" t="n">
        <v>18.13</v>
      </c>
      <c r="I3698" s="14" t="n">
        <v>17.5</v>
      </c>
      <c r="J3698" s="22" t="n">
        <f aca="false">IF(E3698="Priority",'Cost model'!N544,'Cost model'!M544)</f>
        <v>21.5</v>
      </c>
      <c r="K3698" s="14" t="n">
        <f aca="false">J3698-H3698</f>
        <v>3.37</v>
      </c>
      <c r="L3698" s="14" t="n">
        <f aca="false">G3698-H3698</f>
        <v>-0.629999999999999</v>
      </c>
    </row>
    <row r="3699" customFormat="false" ht="15" hidden="false" customHeight="false" outlineLevel="0" collapsed="false">
      <c r="A3699" s="2" t="s">
        <v>146</v>
      </c>
      <c r="B3699" s="2" t="s">
        <v>126</v>
      </c>
      <c r="C3699" s="2" t="s">
        <v>48</v>
      </c>
      <c r="D3699" s="2" t="s">
        <v>10</v>
      </c>
      <c r="E3699" s="2" t="s">
        <v>76</v>
      </c>
      <c r="F3699" s="2" t="s">
        <v>1146</v>
      </c>
      <c r="G3699" s="14" t="n">
        <v>14.5</v>
      </c>
      <c r="H3699" s="14" t="n">
        <v>7.37</v>
      </c>
      <c r="I3699" s="14" t="n">
        <v>14.5</v>
      </c>
      <c r="J3699" s="22" t="n">
        <f aca="false">IF(E3699="Priority",'Cost model'!N794,'Cost model'!M794)</f>
        <v>12.5</v>
      </c>
      <c r="K3699" s="14" t="n">
        <f aca="false">J3699-H3699</f>
        <v>5.13</v>
      </c>
      <c r="L3699" s="14" t="n">
        <f aca="false">G3699-H3699</f>
        <v>7.13</v>
      </c>
    </row>
    <row r="3700" customFormat="false" ht="15" hidden="false" customHeight="false" outlineLevel="0" collapsed="false">
      <c r="A3700" s="2" t="s">
        <v>184</v>
      </c>
      <c r="B3700" s="2" t="s">
        <v>184</v>
      </c>
      <c r="C3700" s="2" t="s">
        <v>49</v>
      </c>
      <c r="D3700" s="2" t="s">
        <v>15</v>
      </c>
      <c r="E3700" s="2" t="s">
        <v>76</v>
      </c>
      <c r="F3700" s="2" t="s">
        <v>1145</v>
      </c>
      <c r="G3700" s="14" t="n">
        <v>250</v>
      </c>
      <c r="H3700" s="14" t="n">
        <v>107.05</v>
      </c>
      <c r="I3700" s="14" t="n">
        <v>85</v>
      </c>
      <c r="J3700" s="22" t="n">
        <f aca="false">IF(E3700="Priority",'Cost model'!N213,'Cost model'!M213)</f>
        <v>155</v>
      </c>
      <c r="K3700" s="14" t="n">
        <f aca="false">J3700-H3700</f>
        <v>47.95</v>
      </c>
      <c r="L3700" s="14" t="n">
        <f aca="false">G3700-H3700</f>
        <v>142.95</v>
      </c>
    </row>
    <row r="3701" customFormat="false" ht="15" hidden="false" customHeight="false" outlineLevel="0" collapsed="false">
      <c r="A3701" s="2" t="s">
        <v>184</v>
      </c>
      <c r="B3701" s="2" t="s">
        <v>184</v>
      </c>
      <c r="C3701" s="2" t="s">
        <v>48</v>
      </c>
      <c r="D3701" s="2" t="s">
        <v>10</v>
      </c>
      <c r="E3701" s="2" t="s">
        <v>76</v>
      </c>
      <c r="F3701" s="2" t="s">
        <v>1145</v>
      </c>
      <c r="G3701" s="14" t="n">
        <v>9.5</v>
      </c>
      <c r="H3701" s="14" t="n">
        <v>7.72</v>
      </c>
      <c r="I3701" s="14" t="n">
        <v>9.5</v>
      </c>
      <c r="J3701" s="22" t="n">
        <f aca="false">IF(E3701="Priority",'Cost model'!N200,'Cost model'!M200)</f>
        <v>7.5</v>
      </c>
      <c r="K3701" s="14" t="n">
        <f aca="false">J3701-H3701</f>
        <v>-0.22</v>
      </c>
      <c r="L3701" s="14" t="n">
        <f aca="false">G3701-H3701</f>
        <v>1.78</v>
      </c>
    </row>
    <row r="3702" customFormat="false" ht="15" hidden="false" customHeight="false" outlineLevel="0" collapsed="false">
      <c r="A3702" s="2" t="s">
        <v>126</v>
      </c>
      <c r="B3702" s="2" t="s">
        <v>126</v>
      </c>
      <c r="C3702" s="2" t="s">
        <v>48</v>
      </c>
      <c r="D3702" s="2" t="s">
        <v>12</v>
      </c>
      <c r="E3702" s="2" t="s">
        <v>76</v>
      </c>
      <c r="F3702" s="2" t="s">
        <v>1145</v>
      </c>
      <c r="G3702" s="14" t="n">
        <v>24.5</v>
      </c>
      <c r="H3702" s="14" t="n">
        <v>27.57</v>
      </c>
      <c r="I3702" s="14" t="n">
        <v>9.5</v>
      </c>
      <c r="J3702" s="22" t="n">
        <f aca="false">IF(E3702="Priority",'Cost model'!N383,'Cost model'!M383)</f>
        <v>27.5</v>
      </c>
      <c r="K3702" s="14" t="n">
        <f aca="false">J3702-H3702</f>
        <v>-0.0700000000000003</v>
      </c>
      <c r="L3702" s="14" t="n">
        <f aca="false">G3702-H3702</f>
        <v>-3.07</v>
      </c>
    </row>
    <row r="3703" customFormat="false" ht="15" hidden="false" customHeight="false" outlineLevel="0" collapsed="false">
      <c r="A3703" s="2" t="s">
        <v>184</v>
      </c>
      <c r="B3703" s="2" t="s">
        <v>184</v>
      </c>
      <c r="C3703" s="2" t="s">
        <v>48</v>
      </c>
      <c r="D3703" s="2" t="s">
        <v>10</v>
      </c>
      <c r="E3703" s="2" t="s">
        <v>76</v>
      </c>
      <c r="F3703" s="2" t="s">
        <v>1145</v>
      </c>
      <c r="G3703" s="14" t="n">
        <v>9.5</v>
      </c>
      <c r="H3703" s="14" t="n">
        <v>9.89</v>
      </c>
      <c r="I3703" s="14" t="n">
        <v>9.5</v>
      </c>
      <c r="J3703" s="22" t="n">
        <f aca="false">IF(E3703="Priority",'Cost model'!N200,'Cost model'!M200)</f>
        <v>7.5</v>
      </c>
      <c r="K3703" s="14" t="n">
        <f aca="false">J3703-H3703</f>
        <v>-2.39</v>
      </c>
      <c r="L3703" s="14" t="n">
        <f aca="false">G3703-H3703</f>
        <v>-0.390000000000001</v>
      </c>
    </row>
    <row r="3704" customFormat="false" ht="15" hidden="false" customHeight="false" outlineLevel="0" collapsed="false">
      <c r="A3704" s="2" t="s">
        <v>184</v>
      </c>
      <c r="B3704" s="2" t="s">
        <v>126</v>
      </c>
      <c r="C3704" s="2" t="s">
        <v>48</v>
      </c>
      <c r="D3704" s="2" t="s">
        <v>12</v>
      </c>
      <c r="E3704" s="2" t="s">
        <v>85</v>
      </c>
      <c r="F3704" s="2" t="s">
        <v>1146</v>
      </c>
      <c r="G3704" s="14" t="n">
        <v>19.5</v>
      </c>
      <c r="H3704" s="14" t="n">
        <v>25.98</v>
      </c>
      <c r="I3704" s="14" t="n">
        <v>19.5</v>
      </c>
      <c r="J3704" s="22" t="n">
        <f aca="false">IF(E3704="Priority",'Cost model'!N131,'Cost model'!M131)</f>
        <v>55</v>
      </c>
      <c r="K3704" s="14" t="n">
        <f aca="false">J3704-H3704</f>
        <v>29.02</v>
      </c>
      <c r="L3704" s="14" t="n">
        <f aca="false">G3704-H3704</f>
        <v>-6.48</v>
      </c>
    </row>
    <row r="3705" customFormat="false" ht="15" hidden="false" customHeight="false" outlineLevel="0" collapsed="false">
      <c r="A3705" s="2" t="s">
        <v>184</v>
      </c>
      <c r="B3705" s="2" t="s">
        <v>184</v>
      </c>
      <c r="C3705" s="2" t="s">
        <v>49</v>
      </c>
      <c r="D3705" s="2" t="s">
        <v>12</v>
      </c>
      <c r="E3705" s="2" t="s">
        <v>76</v>
      </c>
      <c r="F3705" s="2" t="s">
        <v>1145</v>
      </c>
      <c r="G3705" s="14" t="n">
        <v>12.5</v>
      </c>
      <c r="H3705" s="14" t="n">
        <v>8.92</v>
      </c>
      <c r="I3705" s="14"/>
      <c r="J3705" s="22" t="n">
        <f aca="false">IF(E3705="Priority",'Cost model'!N204,'Cost model'!M204)</f>
        <v>45</v>
      </c>
      <c r="K3705" s="14" t="n">
        <f aca="false">J3705-H3705</f>
        <v>36.08</v>
      </c>
      <c r="L3705" s="14" t="n">
        <f aca="false">G3705-H3705</f>
        <v>3.58</v>
      </c>
    </row>
    <row r="3706" customFormat="false" ht="15" hidden="false" customHeight="false" outlineLevel="0" collapsed="false">
      <c r="A3706" s="2" t="s">
        <v>184</v>
      </c>
      <c r="B3706" s="2" t="s">
        <v>184</v>
      </c>
      <c r="C3706" s="2" t="s">
        <v>49</v>
      </c>
      <c r="D3706" s="2" t="s">
        <v>12</v>
      </c>
      <c r="E3706" s="2" t="s">
        <v>76</v>
      </c>
      <c r="F3706" s="2" t="s">
        <v>1145</v>
      </c>
      <c r="G3706" s="14" t="n">
        <v>12.5</v>
      </c>
      <c r="H3706" s="14" t="n">
        <v>15.66</v>
      </c>
      <c r="I3706" s="14"/>
      <c r="J3706" s="22" t="n">
        <f aca="false">IF(E3706="Priority",'Cost model'!N204,'Cost model'!M204)</f>
        <v>45</v>
      </c>
      <c r="K3706" s="14" t="n">
        <f aca="false">J3706-H3706</f>
        <v>29.34</v>
      </c>
      <c r="L3706" s="14" t="n">
        <f aca="false">G3706-H3706</f>
        <v>-3.16</v>
      </c>
    </row>
    <row r="3707" customFormat="false" ht="15" hidden="false" customHeight="false" outlineLevel="0" collapsed="false">
      <c r="A3707" s="2" t="s">
        <v>184</v>
      </c>
      <c r="B3707" s="2" t="s">
        <v>184</v>
      </c>
      <c r="C3707" s="2" t="s">
        <v>48</v>
      </c>
      <c r="D3707" s="2" t="s">
        <v>16</v>
      </c>
      <c r="E3707" s="2" t="s">
        <v>85</v>
      </c>
      <c r="F3707" s="2" t="s">
        <v>1145</v>
      </c>
      <c r="G3707" s="14" t="n">
        <v>85</v>
      </c>
      <c r="H3707" s="14" t="n">
        <v>167.99</v>
      </c>
      <c r="I3707" s="14" t="n">
        <v>85</v>
      </c>
      <c r="J3707" s="22" t="n">
        <f aca="false">IF(E3707="Priority",'Cost model'!N215,'Cost model'!M215)</f>
        <v>165</v>
      </c>
      <c r="K3707" s="14" t="n">
        <f aca="false">J3707-H3707</f>
        <v>-2.99000000000001</v>
      </c>
      <c r="L3707" s="14" t="n">
        <f aca="false">G3707-H3707</f>
        <v>-82.99</v>
      </c>
    </row>
    <row r="3708" customFormat="false" ht="15" hidden="false" customHeight="false" outlineLevel="0" collapsed="false">
      <c r="A3708" s="2" t="s">
        <v>184</v>
      </c>
      <c r="B3708" s="2" t="s">
        <v>184</v>
      </c>
      <c r="C3708" s="2" t="s">
        <v>48</v>
      </c>
      <c r="D3708" s="2" t="s">
        <v>12</v>
      </c>
      <c r="E3708" s="2" t="s">
        <v>76</v>
      </c>
      <c r="F3708" s="2" t="s">
        <v>1145</v>
      </c>
      <c r="G3708" s="14" t="n">
        <v>9.5</v>
      </c>
      <c r="H3708" s="14" t="n">
        <v>43.64</v>
      </c>
      <c r="I3708" s="14" t="n">
        <v>9.5</v>
      </c>
      <c r="J3708" s="22" t="n">
        <f aca="false">IF(E3708="Priority",'Cost model'!N203,'Cost model'!M203)</f>
        <v>26.5</v>
      </c>
      <c r="K3708" s="14" t="n">
        <f aca="false">J3708-H3708</f>
        <v>-17.14</v>
      </c>
      <c r="L3708" s="14" t="n">
        <f aca="false">G3708-H3708</f>
        <v>-34.14</v>
      </c>
    </row>
    <row r="3709" customFormat="false" ht="15" hidden="false" customHeight="false" outlineLevel="0" collapsed="false">
      <c r="A3709" s="2" t="s">
        <v>146</v>
      </c>
      <c r="B3709" s="2" t="s">
        <v>146</v>
      </c>
      <c r="C3709" s="2" t="s">
        <v>49</v>
      </c>
      <c r="D3709" s="2" t="s">
        <v>10</v>
      </c>
      <c r="E3709" s="2" t="s">
        <v>76</v>
      </c>
      <c r="F3709" s="2" t="s">
        <v>1145</v>
      </c>
      <c r="G3709" s="14" t="n">
        <v>12.5</v>
      </c>
      <c r="H3709" s="14" t="n">
        <v>20.83</v>
      </c>
      <c r="I3709" s="14" t="n">
        <v>12.5</v>
      </c>
      <c r="J3709" s="22" t="n">
        <f aca="false">IF(E3709="Priority",'Cost model'!N759,'Cost model'!M759)</f>
        <v>15.5</v>
      </c>
      <c r="K3709" s="14" t="n">
        <f aca="false">J3709-H3709</f>
        <v>-5.33</v>
      </c>
      <c r="L3709" s="14" t="n">
        <f aca="false">G3709-H3709</f>
        <v>-8.33</v>
      </c>
    </row>
    <row r="3710" customFormat="false" ht="15" hidden="false" customHeight="false" outlineLevel="0" collapsed="false">
      <c r="A3710" s="2" t="s">
        <v>146</v>
      </c>
      <c r="B3710" s="2" t="s">
        <v>184</v>
      </c>
      <c r="C3710" s="2" t="s">
        <v>48</v>
      </c>
      <c r="D3710" s="2" t="s">
        <v>12</v>
      </c>
      <c r="E3710" s="2" t="s">
        <v>76</v>
      </c>
      <c r="F3710" s="2" t="s">
        <v>1146</v>
      </c>
      <c r="G3710" s="14" t="n">
        <v>9.5</v>
      </c>
      <c r="H3710" s="14" t="n">
        <v>27.62</v>
      </c>
      <c r="I3710" s="14" t="n">
        <v>19.5</v>
      </c>
      <c r="J3710" s="22" t="n">
        <f aca="false">IF(E3710="Priority",'Cost model'!N833,'Cost model'!M833)</f>
        <v>45</v>
      </c>
      <c r="K3710" s="14" t="n">
        <f aca="false">J3710-H3710</f>
        <v>17.38</v>
      </c>
      <c r="L3710" s="14" t="n">
        <f aca="false">G3710-H3710</f>
        <v>-18.12</v>
      </c>
    </row>
    <row r="3711" customFormat="false" ht="15" hidden="false" customHeight="false" outlineLevel="0" collapsed="false">
      <c r="A3711" s="2" t="s">
        <v>126</v>
      </c>
      <c r="B3711" s="2" t="s">
        <v>126</v>
      </c>
      <c r="C3711" s="2" t="s">
        <v>50</v>
      </c>
      <c r="D3711" s="2" t="s">
        <v>10</v>
      </c>
      <c r="E3711" s="2" t="s">
        <v>76</v>
      </c>
      <c r="F3711" s="2" t="s">
        <v>1145</v>
      </c>
      <c r="G3711" s="14" t="n">
        <v>17.5</v>
      </c>
      <c r="H3711" s="14" t="n">
        <v>17.31</v>
      </c>
      <c r="I3711" s="14" t="n">
        <v>17.5</v>
      </c>
      <c r="J3711" s="22" t="n">
        <f aca="false">IF(E3711="Priority",'Cost model'!N382,'Cost model'!M382)</f>
        <v>18.5</v>
      </c>
      <c r="K3711" s="14" t="n">
        <f aca="false">J3711-H3711</f>
        <v>1.19</v>
      </c>
      <c r="L3711" s="14" t="n">
        <f aca="false">G3711-H3711</f>
        <v>0.190000000000001</v>
      </c>
    </row>
    <row r="3712" customFormat="false" ht="15" hidden="false" customHeight="false" outlineLevel="0" collapsed="false">
      <c r="A3712" s="2" t="s">
        <v>126</v>
      </c>
      <c r="B3712" s="2" t="s">
        <v>126</v>
      </c>
      <c r="C3712" s="2" t="s">
        <v>48</v>
      </c>
      <c r="D3712" s="2" t="s">
        <v>12</v>
      </c>
      <c r="E3712" s="2" t="s">
        <v>76</v>
      </c>
      <c r="F3712" s="2" t="s">
        <v>1145</v>
      </c>
      <c r="G3712" s="14" t="n">
        <v>9.5</v>
      </c>
      <c r="H3712" s="14" t="n">
        <v>28.31</v>
      </c>
      <c r="I3712" s="14" t="n">
        <v>9.5</v>
      </c>
      <c r="J3712" s="22" t="n">
        <f aca="false">IF(E3712="Priority",'Cost model'!N383,'Cost model'!M383)</f>
        <v>27.5</v>
      </c>
      <c r="K3712" s="14" t="n">
        <f aca="false">J3712-H3712</f>
        <v>-0.809999999999999</v>
      </c>
      <c r="L3712" s="14" t="n">
        <f aca="false">G3712-H3712</f>
        <v>-18.81</v>
      </c>
    </row>
    <row r="3713" customFormat="false" ht="15" hidden="false" customHeight="false" outlineLevel="0" collapsed="false">
      <c r="A3713" s="2" t="s">
        <v>146</v>
      </c>
      <c r="B3713" s="2" t="s">
        <v>146</v>
      </c>
      <c r="C3713" s="2" t="s">
        <v>48</v>
      </c>
      <c r="D3713" s="2" t="s">
        <v>10</v>
      </c>
      <c r="E3713" s="2" t="s">
        <v>76</v>
      </c>
      <c r="F3713" s="2" t="s">
        <v>1145</v>
      </c>
      <c r="G3713" s="14" t="n">
        <v>9.5</v>
      </c>
      <c r="H3713" s="14" t="n">
        <v>7.45</v>
      </c>
      <c r="I3713" s="14" t="n">
        <v>9.5</v>
      </c>
      <c r="J3713" s="22" t="n">
        <f aca="false">IF(E3713="Priority",'Cost model'!N758,'Cost model'!M758)</f>
        <v>9.5</v>
      </c>
      <c r="K3713" s="14" t="n">
        <f aca="false">J3713-H3713</f>
        <v>2.05</v>
      </c>
      <c r="L3713" s="14" t="n">
        <f aca="false">G3713-H3713</f>
        <v>2.05</v>
      </c>
    </row>
    <row r="3714" customFormat="false" ht="15" hidden="false" customHeight="false" outlineLevel="0" collapsed="false">
      <c r="A3714" s="2" t="s">
        <v>184</v>
      </c>
      <c r="B3714" s="2" t="s">
        <v>184</v>
      </c>
      <c r="C3714" s="2" t="s">
        <v>49</v>
      </c>
      <c r="D3714" s="2" t="s">
        <v>12</v>
      </c>
      <c r="E3714" s="2" t="s">
        <v>76</v>
      </c>
      <c r="F3714" s="2" t="s">
        <v>1145</v>
      </c>
      <c r="G3714" s="14" t="n">
        <v>19.5</v>
      </c>
      <c r="H3714" s="14" t="n">
        <v>61.36</v>
      </c>
      <c r="I3714" s="14"/>
      <c r="J3714" s="22" t="n">
        <f aca="false">IF(E3714="Priority",'Cost model'!N204,'Cost model'!M204)</f>
        <v>45</v>
      </c>
      <c r="K3714" s="14" t="n">
        <f aca="false">J3714-H3714</f>
        <v>-16.36</v>
      </c>
      <c r="L3714" s="14" t="n">
        <f aca="false">G3714-H3714</f>
        <v>-41.86</v>
      </c>
    </row>
    <row r="3715" customFormat="false" ht="15" hidden="false" customHeight="false" outlineLevel="0" collapsed="false">
      <c r="A3715" s="2" t="s">
        <v>184</v>
      </c>
      <c r="B3715" s="2" t="s">
        <v>165</v>
      </c>
      <c r="C3715" s="2" t="s">
        <v>50</v>
      </c>
      <c r="D3715" s="2" t="s">
        <v>10</v>
      </c>
      <c r="E3715" s="2" t="s">
        <v>76</v>
      </c>
      <c r="F3715" s="2" t="s">
        <v>1146</v>
      </c>
      <c r="G3715" s="14" t="n">
        <v>17.5</v>
      </c>
      <c r="H3715" s="14" t="n">
        <v>15.94</v>
      </c>
      <c r="I3715" s="14" t="n">
        <v>17.5</v>
      </c>
      <c r="J3715" s="22" t="n">
        <f aca="false">IF(E3715="Priority",'Cost model'!N166,'Cost model'!M166)</f>
        <v>18.5</v>
      </c>
      <c r="K3715" s="14" t="n">
        <f aca="false">J3715-H3715</f>
        <v>2.56</v>
      </c>
      <c r="L3715" s="14" t="n">
        <f aca="false">G3715-H3715</f>
        <v>1.56</v>
      </c>
    </row>
    <row r="3716" customFormat="false" ht="15" hidden="false" customHeight="false" outlineLevel="0" collapsed="false">
      <c r="A3716" s="2" t="s">
        <v>146</v>
      </c>
      <c r="B3716" s="2" t="s">
        <v>146</v>
      </c>
      <c r="C3716" s="2" t="s">
        <v>50</v>
      </c>
      <c r="D3716" s="2" t="s">
        <v>14</v>
      </c>
      <c r="E3716" s="2" t="s">
        <v>76</v>
      </c>
      <c r="F3716" s="2" t="s">
        <v>1145</v>
      </c>
      <c r="G3716" s="14" t="n">
        <v>85</v>
      </c>
      <c r="H3716" s="14" t="n">
        <v>98.37</v>
      </c>
      <c r="I3716" s="14" t="n">
        <v>85</v>
      </c>
      <c r="J3716" s="22" t="n">
        <f aca="false">IF(E3716="Priority",'Cost model'!N769,'Cost model'!M769)</f>
        <v>160</v>
      </c>
      <c r="K3716" s="14" t="n">
        <f aca="false">J3716-H3716</f>
        <v>61.63</v>
      </c>
      <c r="L3716" s="14" t="n">
        <f aca="false">G3716-H3716</f>
        <v>-13.37</v>
      </c>
    </row>
    <row r="3717" customFormat="false" ht="15" hidden="false" customHeight="false" outlineLevel="0" collapsed="false">
      <c r="A3717" s="2" t="s">
        <v>184</v>
      </c>
      <c r="B3717" s="2" t="s">
        <v>184</v>
      </c>
      <c r="C3717" s="2" t="s">
        <v>48</v>
      </c>
      <c r="D3717" s="2" t="s">
        <v>10</v>
      </c>
      <c r="E3717" s="2" t="s">
        <v>76</v>
      </c>
      <c r="F3717" s="2" t="s">
        <v>1145</v>
      </c>
      <c r="G3717" s="14" t="n">
        <v>9.5</v>
      </c>
      <c r="H3717" s="14" t="n">
        <v>7.45</v>
      </c>
      <c r="I3717" s="14" t="n">
        <v>9.5</v>
      </c>
      <c r="J3717" s="22" t="n">
        <f aca="false">IF(E3717="Priority",'Cost model'!N200,'Cost model'!M200)</f>
        <v>7.5</v>
      </c>
      <c r="K3717" s="14" t="n">
        <f aca="false">J3717-H3717</f>
        <v>0.0499999999999998</v>
      </c>
      <c r="L3717" s="14" t="n">
        <f aca="false">G3717-H3717</f>
        <v>2.05</v>
      </c>
    </row>
    <row r="3718" customFormat="false" ht="15" hidden="false" customHeight="false" outlineLevel="0" collapsed="false">
      <c r="A3718" s="2" t="s">
        <v>240</v>
      </c>
      <c r="B3718" s="2" t="s">
        <v>240</v>
      </c>
      <c r="C3718" s="2" t="s">
        <v>48</v>
      </c>
      <c r="D3718" s="2" t="s">
        <v>10</v>
      </c>
      <c r="E3718" s="2" t="s">
        <v>76</v>
      </c>
      <c r="F3718" s="2" t="s">
        <v>1145</v>
      </c>
      <c r="G3718" s="14" t="n">
        <v>9.5</v>
      </c>
      <c r="H3718" s="14" t="n">
        <v>7.47</v>
      </c>
      <c r="I3718" s="14" t="n">
        <v>9.5</v>
      </c>
      <c r="J3718" s="22" t="n">
        <f aca="false">IF(E3718="Priority",'Cost model'!N884,'Cost model'!M884)</f>
        <v>7.5</v>
      </c>
      <c r="K3718" s="14" t="n">
        <f aca="false">J3718-H3718</f>
        <v>0.0300000000000003</v>
      </c>
      <c r="L3718" s="14" t="n">
        <f aca="false">G3718-H3718</f>
        <v>2.03</v>
      </c>
    </row>
    <row r="3719" customFormat="false" ht="15" hidden="false" customHeight="false" outlineLevel="0" collapsed="false">
      <c r="A3719" s="2" t="s">
        <v>126</v>
      </c>
      <c r="B3719" s="2" t="s">
        <v>126</v>
      </c>
      <c r="C3719" s="2" t="s">
        <v>48</v>
      </c>
      <c r="D3719" s="2" t="s">
        <v>10</v>
      </c>
      <c r="E3719" s="2" t="s">
        <v>76</v>
      </c>
      <c r="F3719" s="2" t="s">
        <v>1145</v>
      </c>
      <c r="G3719" s="14" t="n">
        <v>9.5</v>
      </c>
      <c r="H3719" s="14" t="n">
        <v>7.46</v>
      </c>
      <c r="I3719" s="14" t="n">
        <v>9.5</v>
      </c>
      <c r="J3719" s="22" t="n">
        <f aca="false">IF(E3719="Priority",'Cost model'!N380,'Cost model'!M380)</f>
        <v>8.5</v>
      </c>
      <c r="K3719" s="14" t="n">
        <f aca="false">J3719-H3719</f>
        <v>1.04</v>
      </c>
      <c r="L3719" s="14" t="n">
        <f aca="false">G3719-H3719</f>
        <v>2.04</v>
      </c>
    </row>
    <row r="3720" customFormat="false" ht="15" hidden="false" customHeight="false" outlineLevel="0" collapsed="false">
      <c r="A3720" s="2" t="s">
        <v>221</v>
      </c>
      <c r="B3720" s="2" t="s">
        <v>221</v>
      </c>
      <c r="C3720" s="2" t="s">
        <v>49</v>
      </c>
      <c r="D3720" s="2" t="s">
        <v>10</v>
      </c>
      <c r="E3720" s="2" t="s">
        <v>76</v>
      </c>
      <c r="F3720" s="2" t="s">
        <v>1145</v>
      </c>
      <c r="G3720" s="14" t="n">
        <v>14.5</v>
      </c>
      <c r="H3720" s="14" t="n">
        <v>9.12</v>
      </c>
      <c r="I3720" s="14" t="n">
        <v>12.5</v>
      </c>
      <c r="J3720" s="22" t="n">
        <f aca="false">IF(E3720="Priority",'Cost model'!N633,'Cost model'!M633)</f>
        <v>13.5</v>
      </c>
      <c r="K3720" s="14" t="n">
        <f aca="false">J3720-H3720</f>
        <v>4.38</v>
      </c>
      <c r="L3720" s="14" t="n">
        <f aca="false">G3720-H3720</f>
        <v>5.38</v>
      </c>
    </row>
    <row r="3721" customFormat="false" ht="15" hidden="false" customHeight="false" outlineLevel="0" collapsed="false">
      <c r="A3721" s="2" t="s">
        <v>126</v>
      </c>
      <c r="B3721" s="2" t="s">
        <v>126</v>
      </c>
      <c r="C3721" s="2" t="s">
        <v>50</v>
      </c>
      <c r="D3721" s="2" t="s">
        <v>16</v>
      </c>
      <c r="E3721" s="2" t="s">
        <v>76</v>
      </c>
      <c r="F3721" s="2" t="s">
        <v>1145</v>
      </c>
      <c r="G3721" s="14" t="n">
        <v>85</v>
      </c>
      <c r="H3721" s="14" t="n">
        <v>281.11</v>
      </c>
      <c r="I3721" s="14" t="n">
        <v>85</v>
      </c>
      <c r="J3721" s="22" t="n">
        <f aca="false">IF(E3721="Priority",'Cost model'!N397,'Cost model'!M397)</f>
        <v>295</v>
      </c>
      <c r="K3721" s="14" t="n">
        <f aca="false">J3721-H3721</f>
        <v>13.89</v>
      </c>
      <c r="L3721" s="14" t="n">
        <f aca="false">G3721-H3721</f>
        <v>-196.11</v>
      </c>
    </row>
    <row r="3722" customFormat="false" ht="15" hidden="false" customHeight="false" outlineLevel="0" collapsed="false">
      <c r="A3722" s="2" t="s">
        <v>126</v>
      </c>
      <c r="B3722" s="2" t="s">
        <v>184</v>
      </c>
      <c r="C3722" s="2" t="s">
        <v>49</v>
      </c>
      <c r="D3722" s="2" t="s">
        <v>10</v>
      </c>
      <c r="E3722" s="2" t="s">
        <v>85</v>
      </c>
      <c r="F3722" s="2" t="s">
        <v>1146</v>
      </c>
      <c r="G3722" s="14" t="n">
        <v>19.5</v>
      </c>
      <c r="H3722" s="14" t="n">
        <v>24.17</v>
      </c>
      <c r="I3722" s="14" t="n">
        <v>19.5</v>
      </c>
      <c r="J3722" s="22" t="n">
        <f aca="false">IF(E3722="Priority",'Cost model'!N435,'Cost model'!M435)</f>
        <v>21.5</v>
      </c>
      <c r="K3722" s="14" t="n">
        <f aca="false">J3722-H3722</f>
        <v>-2.67</v>
      </c>
      <c r="L3722" s="14" t="n">
        <f aca="false">G3722-H3722</f>
        <v>-4.67</v>
      </c>
    </row>
    <row r="3723" customFormat="false" ht="15" hidden="false" customHeight="false" outlineLevel="0" collapsed="false">
      <c r="A3723" s="2" t="s">
        <v>240</v>
      </c>
      <c r="B3723" s="2" t="s">
        <v>146</v>
      </c>
      <c r="C3723" s="2" t="s">
        <v>48</v>
      </c>
      <c r="D3723" s="2" t="s">
        <v>12</v>
      </c>
      <c r="E3723" s="2" t="s">
        <v>76</v>
      </c>
      <c r="F3723" s="2" t="s">
        <v>1146</v>
      </c>
      <c r="G3723" s="14" t="n">
        <v>9.5</v>
      </c>
      <c r="H3723" s="14" t="n">
        <v>60.76</v>
      </c>
      <c r="I3723" s="14" t="n">
        <v>24.5</v>
      </c>
      <c r="J3723" s="22" t="n">
        <f aca="false">IF(E3723="Priority",'Cost model'!N923,'Cost model'!M923)</f>
        <v>65</v>
      </c>
      <c r="K3723" s="14" t="n">
        <f aca="false">J3723-H3723</f>
        <v>4.24</v>
      </c>
      <c r="L3723" s="14" t="n">
        <f aca="false">G3723-H3723</f>
        <v>-51.26</v>
      </c>
    </row>
    <row r="3724" customFormat="false" ht="15" hidden="false" customHeight="false" outlineLevel="0" collapsed="false">
      <c r="A3724" s="2" t="s">
        <v>184</v>
      </c>
      <c r="B3724" s="2" t="s">
        <v>184</v>
      </c>
      <c r="C3724" s="2" t="s">
        <v>49</v>
      </c>
      <c r="D3724" s="2" t="s">
        <v>10</v>
      </c>
      <c r="E3724" s="2" t="s">
        <v>76</v>
      </c>
      <c r="F3724" s="2" t="s">
        <v>1145</v>
      </c>
      <c r="G3724" s="14" t="n">
        <v>14.5</v>
      </c>
      <c r="H3724" s="14" t="n">
        <v>7.46</v>
      </c>
      <c r="I3724" s="14" t="n">
        <v>12.5</v>
      </c>
      <c r="J3724" s="22" t="n">
        <f aca="false">IF(E3724="Priority",'Cost model'!N201,'Cost model'!M201)</f>
        <v>12.5</v>
      </c>
      <c r="K3724" s="14" t="n">
        <f aca="false">J3724-H3724</f>
        <v>5.04</v>
      </c>
      <c r="L3724" s="14" t="n">
        <f aca="false">G3724-H3724</f>
        <v>7.04</v>
      </c>
    </row>
    <row r="3725" customFormat="false" ht="15" hidden="false" customHeight="false" outlineLevel="0" collapsed="false">
      <c r="A3725" s="2" t="s">
        <v>126</v>
      </c>
      <c r="B3725" s="2" t="s">
        <v>126</v>
      </c>
      <c r="C3725" s="2" t="s">
        <v>48</v>
      </c>
      <c r="D3725" s="2" t="s">
        <v>12</v>
      </c>
      <c r="E3725" s="2" t="s">
        <v>76</v>
      </c>
      <c r="F3725" s="2" t="s">
        <v>1145</v>
      </c>
      <c r="G3725" s="14" t="n">
        <v>9.5</v>
      </c>
      <c r="H3725" s="14" t="n">
        <v>29.34</v>
      </c>
      <c r="I3725" s="14" t="n">
        <v>9.5</v>
      </c>
      <c r="J3725" s="22" t="n">
        <f aca="false">IF(E3725="Priority",'Cost model'!N383,'Cost model'!M383)</f>
        <v>27.5</v>
      </c>
      <c r="K3725" s="14" t="n">
        <f aca="false">J3725-H3725</f>
        <v>-1.84</v>
      </c>
      <c r="L3725" s="14" t="n">
        <f aca="false">G3725-H3725</f>
        <v>-19.84</v>
      </c>
    </row>
    <row r="3726" customFormat="false" ht="15" hidden="false" customHeight="false" outlineLevel="0" collapsed="false">
      <c r="A3726" s="2" t="s">
        <v>126</v>
      </c>
      <c r="B3726" s="2" t="s">
        <v>126</v>
      </c>
      <c r="C3726" s="2" t="s">
        <v>48</v>
      </c>
      <c r="D3726" s="2" t="s">
        <v>10</v>
      </c>
      <c r="E3726" s="2" t="s">
        <v>76</v>
      </c>
      <c r="F3726" s="2" t="s">
        <v>1145</v>
      </c>
      <c r="G3726" s="14" t="n">
        <v>9.5</v>
      </c>
      <c r="H3726" s="14" t="n">
        <v>7.72</v>
      </c>
      <c r="I3726" s="14" t="n">
        <v>9.5</v>
      </c>
      <c r="J3726" s="22" t="n">
        <f aca="false">IF(E3726="Priority",'Cost model'!N380,'Cost model'!M380)</f>
        <v>8.5</v>
      </c>
      <c r="K3726" s="14" t="n">
        <f aca="false">J3726-H3726</f>
        <v>0.78</v>
      </c>
      <c r="L3726" s="14" t="n">
        <f aca="false">G3726-H3726</f>
        <v>1.78</v>
      </c>
    </row>
    <row r="3727" customFormat="false" ht="15" hidden="false" customHeight="false" outlineLevel="0" collapsed="false">
      <c r="A3727" s="2" t="s">
        <v>126</v>
      </c>
      <c r="B3727" s="2" t="s">
        <v>146</v>
      </c>
      <c r="C3727" s="2" t="s">
        <v>50</v>
      </c>
      <c r="D3727" s="2" t="s">
        <v>10</v>
      </c>
      <c r="E3727" s="2" t="s">
        <v>76</v>
      </c>
      <c r="F3727" s="2" t="s">
        <v>1146</v>
      </c>
      <c r="G3727" s="14" t="n">
        <v>24.5</v>
      </c>
      <c r="H3727" s="14" t="n">
        <v>24.17</v>
      </c>
      <c r="I3727" s="14" t="n">
        <v>17.5</v>
      </c>
      <c r="J3727" s="22" t="n">
        <f aca="false">IF(E3727="Priority",'Cost model'!N400,'Cost model'!M400)</f>
        <v>20.5</v>
      </c>
      <c r="K3727" s="14" t="n">
        <f aca="false">J3727-H3727</f>
        <v>-3.67</v>
      </c>
      <c r="L3727" s="14" t="n">
        <f aca="false">G3727-H3727</f>
        <v>0.329999999999998</v>
      </c>
    </row>
    <row r="3728" customFormat="false" ht="15" hidden="false" customHeight="false" outlineLevel="0" collapsed="false">
      <c r="A3728" s="2" t="s">
        <v>184</v>
      </c>
      <c r="B3728" s="2" t="s">
        <v>184</v>
      </c>
      <c r="C3728" s="2" t="s">
        <v>49</v>
      </c>
      <c r="D3728" s="2" t="s">
        <v>10</v>
      </c>
      <c r="E3728" s="2" t="s">
        <v>76</v>
      </c>
      <c r="F3728" s="2" t="s">
        <v>1145</v>
      </c>
      <c r="G3728" s="14" t="n">
        <v>9.5</v>
      </c>
      <c r="H3728" s="14" t="n">
        <v>7.37</v>
      </c>
      <c r="I3728" s="14"/>
      <c r="J3728" s="22" t="n">
        <f aca="false">IF(E3728="Priority",'Cost model'!N201,'Cost model'!M201)</f>
        <v>12.5</v>
      </c>
      <c r="K3728" s="14" t="n">
        <f aca="false">J3728-H3728</f>
        <v>5.13</v>
      </c>
      <c r="L3728" s="14" t="n">
        <f aca="false">G3728-H3728</f>
        <v>2.13</v>
      </c>
    </row>
    <row r="3729" customFormat="false" ht="15" hidden="false" customHeight="false" outlineLevel="0" collapsed="false">
      <c r="A3729" s="2" t="s">
        <v>126</v>
      </c>
      <c r="B3729" s="2" t="s">
        <v>126</v>
      </c>
      <c r="C3729" s="2" t="s">
        <v>49</v>
      </c>
      <c r="D3729" s="2" t="s">
        <v>12</v>
      </c>
      <c r="E3729" s="2" t="s">
        <v>76</v>
      </c>
      <c r="F3729" s="2" t="s">
        <v>1145</v>
      </c>
      <c r="G3729" s="14" t="n">
        <v>12.5</v>
      </c>
      <c r="H3729" s="14" t="n">
        <v>42.23</v>
      </c>
      <c r="I3729" s="14" t="n">
        <v>12.5</v>
      </c>
      <c r="J3729" s="22" t="n">
        <f aca="false">IF(E3729="Priority",'Cost model'!N384,'Cost model'!M384)</f>
        <v>45</v>
      </c>
      <c r="K3729" s="14" t="n">
        <f aca="false">J3729-H3729</f>
        <v>2.77</v>
      </c>
      <c r="L3729" s="14" t="n">
        <f aca="false">G3729-H3729</f>
        <v>-29.73</v>
      </c>
    </row>
    <row r="3730" customFormat="false" ht="15" hidden="false" customHeight="false" outlineLevel="0" collapsed="false">
      <c r="A3730" s="2" t="s">
        <v>184</v>
      </c>
      <c r="B3730" s="2" t="s">
        <v>184</v>
      </c>
      <c r="C3730" s="2" t="s">
        <v>49</v>
      </c>
      <c r="D3730" s="2" t="s">
        <v>12</v>
      </c>
      <c r="E3730" s="2" t="s">
        <v>76</v>
      </c>
      <c r="F3730" s="2" t="s">
        <v>1145</v>
      </c>
      <c r="G3730" s="14" t="n">
        <v>14.5</v>
      </c>
      <c r="H3730" s="14" t="n">
        <v>45.85</v>
      </c>
      <c r="I3730" s="14"/>
      <c r="J3730" s="22" t="n">
        <f aca="false">IF(E3730="Priority",'Cost model'!N204,'Cost model'!M204)</f>
        <v>45</v>
      </c>
      <c r="K3730" s="14" t="n">
        <f aca="false">J3730-H3730</f>
        <v>-0.850000000000001</v>
      </c>
      <c r="L3730" s="14" t="n">
        <f aca="false">G3730-H3730</f>
        <v>-31.35</v>
      </c>
    </row>
    <row r="3731" customFormat="false" ht="15" hidden="false" customHeight="false" outlineLevel="0" collapsed="false">
      <c r="A3731" s="2" t="s">
        <v>126</v>
      </c>
      <c r="B3731" s="2" t="s">
        <v>146</v>
      </c>
      <c r="C3731" s="2" t="s">
        <v>49</v>
      </c>
      <c r="D3731" s="2" t="s">
        <v>10</v>
      </c>
      <c r="E3731" s="2" t="s">
        <v>76</v>
      </c>
      <c r="F3731" s="2" t="s">
        <v>1146</v>
      </c>
      <c r="G3731" s="14" t="n">
        <v>12.5</v>
      </c>
      <c r="H3731" s="14" t="n">
        <v>11.46</v>
      </c>
      <c r="I3731" s="14" t="n">
        <v>14.5</v>
      </c>
      <c r="J3731" s="22" t="n">
        <f aca="false">IF(E3731="Priority",'Cost model'!N399,'Cost model'!M399)</f>
        <v>17.5</v>
      </c>
      <c r="K3731" s="14" t="n">
        <f aca="false">J3731-H3731</f>
        <v>6.04</v>
      </c>
      <c r="L3731" s="14" t="n">
        <f aca="false">G3731-H3731</f>
        <v>1.04</v>
      </c>
    </row>
    <row r="3732" customFormat="false" ht="15" hidden="false" customHeight="false" outlineLevel="0" collapsed="false">
      <c r="A3732" s="2" t="s">
        <v>184</v>
      </c>
      <c r="B3732" s="2" t="s">
        <v>184</v>
      </c>
      <c r="C3732" s="2" t="s">
        <v>49</v>
      </c>
      <c r="D3732" s="2" t="s">
        <v>14</v>
      </c>
      <c r="E3732" s="2" t="s">
        <v>76</v>
      </c>
      <c r="F3732" s="2" t="s">
        <v>1145</v>
      </c>
      <c r="G3732" s="14" t="n">
        <v>45</v>
      </c>
      <c r="H3732" s="14" t="n">
        <v>219.59</v>
      </c>
      <c r="I3732" s="14"/>
      <c r="J3732" s="22" t="n">
        <f aca="false">IF(E3732="Priority",'Cost model'!N210,'Cost model'!M210)</f>
        <v>135</v>
      </c>
      <c r="K3732" s="14" t="n">
        <f aca="false">J3732-H3732</f>
        <v>-84.59</v>
      </c>
      <c r="L3732" s="14" t="n">
        <f aca="false">G3732-H3732</f>
        <v>-174.59</v>
      </c>
    </row>
    <row r="3733" customFormat="false" ht="15" hidden="false" customHeight="false" outlineLevel="0" collapsed="false">
      <c r="A3733" s="2" t="s">
        <v>184</v>
      </c>
      <c r="B3733" s="2" t="s">
        <v>126</v>
      </c>
      <c r="C3733" s="2" t="s">
        <v>48</v>
      </c>
      <c r="D3733" s="2" t="s">
        <v>10</v>
      </c>
      <c r="E3733" s="2" t="s">
        <v>76</v>
      </c>
      <c r="F3733" s="2" t="s">
        <v>1146</v>
      </c>
      <c r="G3733" s="14" t="n">
        <v>9.5</v>
      </c>
      <c r="H3733" s="14" t="n">
        <v>10.24</v>
      </c>
      <c r="I3733" s="14" t="n">
        <v>9.5</v>
      </c>
      <c r="J3733" s="22" t="n">
        <f aca="false">IF(E3733="Priority",'Cost model'!N128,'Cost model'!M128)</f>
        <v>10.5</v>
      </c>
      <c r="K3733" s="14" t="n">
        <f aca="false">J3733-H3733</f>
        <v>0.26</v>
      </c>
      <c r="L3733" s="14" t="n">
        <f aca="false">G3733-H3733</f>
        <v>-0.74</v>
      </c>
    </row>
    <row r="3734" customFormat="false" ht="15" hidden="false" customHeight="false" outlineLevel="0" collapsed="false">
      <c r="A3734" s="2" t="s">
        <v>240</v>
      </c>
      <c r="B3734" s="2" t="s">
        <v>240</v>
      </c>
      <c r="C3734" s="2" t="s">
        <v>49</v>
      </c>
      <c r="D3734" s="2" t="s">
        <v>12</v>
      </c>
      <c r="E3734" s="2" t="s">
        <v>76</v>
      </c>
      <c r="F3734" s="2" t="s">
        <v>1145</v>
      </c>
      <c r="G3734" s="14" t="n">
        <v>12.5</v>
      </c>
      <c r="H3734" s="14" t="n">
        <v>101.33</v>
      </c>
      <c r="I3734" s="14" t="n">
        <v>12.5</v>
      </c>
      <c r="J3734" s="22" t="n">
        <f aca="false">IF(E3734="Priority",'Cost model'!N888,'Cost model'!M888)</f>
        <v>50</v>
      </c>
      <c r="K3734" s="14" t="n">
        <f aca="false">J3734-H3734</f>
        <v>-51.33</v>
      </c>
      <c r="L3734" s="14" t="n">
        <f aca="false">G3734-H3734</f>
        <v>-88.83</v>
      </c>
    </row>
    <row r="3735" customFormat="false" ht="15" hidden="false" customHeight="false" outlineLevel="0" collapsed="false">
      <c r="A3735" s="2" t="s">
        <v>126</v>
      </c>
      <c r="B3735" s="2" t="s">
        <v>184</v>
      </c>
      <c r="C3735" s="2" t="s">
        <v>50</v>
      </c>
      <c r="D3735" s="2" t="s">
        <v>13</v>
      </c>
      <c r="E3735" s="2" t="s">
        <v>76</v>
      </c>
      <c r="F3735" s="2" t="s">
        <v>1146</v>
      </c>
      <c r="G3735" s="14" t="n">
        <v>50</v>
      </c>
      <c r="H3735" s="14" t="n">
        <v>171.71</v>
      </c>
      <c r="I3735" s="14" t="n">
        <v>85</v>
      </c>
      <c r="J3735" s="22" t="n">
        <f aca="false">IF(E3735="Priority",'Cost model'!N442,'Cost model'!M442)</f>
        <v>140</v>
      </c>
      <c r="K3735" s="14" t="n">
        <f aca="false">J3735-H3735</f>
        <v>-31.71</v>
      </c>
      <c r="L3735" s="14" t="n">
        <f aca="false">G3735-H3735</f>
        <v>-121.71</v>
      </c>
    </row>
    <row r="3736" customFormat="false" ht="15" hidden="false" customHeight="false" outlineLevel="0" collapsed="false">
      <c r="A3736" s="2" t="s">
        <v>146</v>
      </c>
      <c r="B3736" s="2" t="s">
        <v>184</v>
      </c>
      <c r="C3736" s="2" t="s">
        <v>48</v>
      </c>
      <c r="D3736" s="2" t="s">
        <v>10</v>
      </c>
      <c r="E3736" s="2" t="s">
        <v>76</v>
      </c>
      <c r="F3736" s="2" t="s">
        <v>1146</v>
      </c>
      <c r="G3736" s="14" t="n">
        <v>14.5</v>
      </c>
      <c r="H3736" s="14" t="n">
        <v>21.61</v>
      </c>
      <c r="I3736" s="14" t="n">
        <v>14.5</v>
      </c>
      <c r="J3736" s="22" t="n">
        <f aca="false">IF(E3736="Priority",'Cost model'!N830,'Cost model'!M830)</f>
        <v>9.5</v>
      </c>
      <c r="K3736" s="14" t="n">
        <f aca="false">J3736-H3736</f>
        <v>-12.11</v>
      </c>
      <c r="L3736" s="14" t="n">
        <f aca="false">G3736-H3736</f>
        <v>-7.11</v>
      </c>
    </row>
    <row r="3737" customFormat="false" ht="15" hidden="false" customHeight="false" outlineLevel="0" collapsed="false">
      <c r="A3737" s="2" t="s">
        <v>146</v>
      </c>
      <c r="B3737" s="2" t="s">
        <v>125</v>
      </c>
      <c r="C3737" s="2" t="s">
        <v>50</v>
      </c>
      <c r="D3737" s="2" t="s">
        <v>10</v>
      </c>
      <c r="E3737" s="2" t="s">
        <v>76</v>
      </c>
      <c r="F3737" s="2" t="s">
        <v>1146</v>
      </c>
      <c r="G3737" s="14" t="n">
        <v>17.5</v>
      </c>
      <c r="H3737" s="14" t="n">
        <v>21.34</v>
      </c>
      <c r="I3737" s="14" t="n">
        <v>19.5</v>
      </c>
      <c r="J3737" s="22" t="n">
        <f aca="false">IF(E3737="Priority",'Cost model'!N868,'Cost model'!M868)</f>
        <v>19.5</v>
      </c>
      <c r="K3737" s="14" t="n">
        <f aca="false">J3737-H3737</f>
        <v>-1.84</v>
      </c>
      <c r="L3737" s="14" t="n">
        <f aca="false">G3737-H3737</f>
        <v>-3.84</v>
      </c>
    </row>
    <row r="3738" customFormat="false" ht="15" hidden="false" customHeight="false" outlineLevel="0" collapsed="false">
      <c r="A3738" s="2" t="s">
        <v>146</v>
      </c>
      <c r="B3738" s="2" t="s">
        <v>146</v>
      </c>
      <c r="C3738" s="2" t="s">
        <v>48</v>
      </c>
      <c r="D3738" s="2" t="s">
        <v>10</v>
      </c>
      <c r="E3738" s="2" t="s">
        <v>76</v>
      </c>
      <c r="F3738" s="2" t="s">
        <v>1145</v>
      </c>
      <c r="G3738" s="14" t="n">
        <v>9.5</v>
      </c>
      <c r="H3738" s="14" t="n">
        <v>20.83</v>
      </c>
      <c r="I3738" s="14" t="n">
        <v>9.5</v>
      </c>
      <c r="J3738" s="22" t="n">
        <f aca="false">IF(E3738="Priority",'Cost model'!N758,'Cost model'!M758)</f>
        <v>9.5</v>
      </c>
      <c r="K3738" s="14" t="n">
        <f aca="false">J3738-H3738</f>
        <v>-11.33</v>
      </c>
      <c r="L3738" s="14" t="n">
        <f aca="false">G3738-H3738</f>
        <v>-11.33</v>
      </c>
    </row>
    <row r="3739" customFormat="false" ht="15" hidden="false" customHeight="false" outlineLevel="0" collapsed="false">
      <c r="A3739" s="2" t="s">
        <v>146</v>
      </c>
      <c r="B3739" s="2" t="s">
        <v>126</v>
      </c>
      <c r="C3739" s="2" t="s">
        <v>49</v>
      </c>
      <c r="D3739" s="2" t="s">
        <v>16</v>
      </c>
      <c r="E3739" s="2" t="s">
        <v>76</v>
      </c>
      <c r="F3739" s="2" t="s">
        <v>1146</v>
      </c>
      <c r="G3739" s="14" t="n">
        <v>85</v>
      </c>
      <c r="H3739" s="14" t="n">
        <v>458.72</v>
      </c>
      <c r="I3739" s="14" t="n">
        <v>250</v>
      </c>
      <c r="J3739" s="22" t="n">
        <f aca="false">IF(E3739="Priority",'Cost model'!N810,'Cost model'!M810)</f>
        <v>355</v>
      </c>
      <c r="K3739" s="14" t="n">
        <f aca="false">J3739-H3739</f>
        <v>-103.72</v>
      </c>
      <c r="L3739" s="14" t="n">
        <f aca="false">G3739-H3739</f>
        <v>-373.72</v>
      </c>
    </row>
    <row r="3740" customFormat="false" ht="15" hidden="false" customHeight="false" outlineLevel="0" collapsed="false">
      <c r="A3740" s="2" t="s">
        <v>184</v>
      </c>
      <c r="B3740" s="2" t="s">
        <v>184</v>
      </c>
      <c r="C3740" s="2" t="s">
        <v>48</v>
      </c>
      <c r="D3740" s="2" t="s">
        <v>12</v>
      </c>
      <c r="E3740" s="2" t="s">
        <v>76</v>
      </c>
      <c r="F3740" s="2" t="s">
        <v>1145</v>
      </c>
      <c r="G3740" s="14" t="n">
        <v>9.5</v>
      </c>
      <c r="H3740" s="14" t="n">
        <v>27.66</v>
      </c>
      <c r="I3740" s="14" t="n">
        <v>9.5</v>
      </c>
      <c r="J3740" s="22" t="n">
        <f aca="false">IF(E3740="Priority",'Cost model'!N203,'Cost model'!M203)</f>
        <v>26.5</v>
      </c>
      <c r="K3740" s="14" t="n">
        <f aca="false">J3740-H3740</f>
        <v>-1.16</v>
      </c>
      <c r="L3740" s="14" t="n">
        <f aca="false">G3740-H3740</f>
        <v>-18.16</v>
      </c>
    </row>
    <row r="3741" customFormat="false" ht="15" hidden="false" customHeight="false" outlineLevel="0" collapsed="false">
      <c r="A3741" s="2" t="s">
        <v>184</v>
      </c>
      <c r="B3741" s="2" t="s">
        <v>146</v>
      </c>
      <c r="C3741" s="2" t="s">
        <v>48</v>
      </c>
      <c r="D3741" s="2" t="s">
        <v>12</v>
      </c>
      <c r="E3741" s="2" t="s">
        <v>76</v>
      </c>
      <c r="F3741" s="2" t="s">
        <v>1146</v>
      </c>
      <c r="G3741" s="14" t="n">
        <v>9.5</v>
      </c>
      <c r="H3741" s="14" t="n">
        <v>18.37</v>
      </c>
      <c r="I3741" s="14" t="n">
        <v>9.5</v>
      </c>
      <c r="J3741" s="22" t="n">
        <f aca="false">IF(E3741="Priority",'Cost model'!N149,'Cost model'!M149)</f>
        <v>45</v>
      </c>
      <c r="K3741" s="14" t="n">
        <f aca="false">J3741-H3741</f>
        <v>26.63</v>
      </c>
      <c r="L3741" s="14" t="n">
        <f aca="false">G3741-H3741</f>
        <v>-8.87</v>
      </c>
    </row>
    <row r="3742" customFormat="false" ht="15" hidden="false" customHeight="false" outlineLevel="0" collapsed="false">
      <c r="A3742" s="2" t="s">
        <v>221</v>
      </c>
      <c r="B3742" s="2" t="s">
        <v>146</v>
      </c>
      <c r="C3742" s="2" t="s">
        <v>48</v>
      </c>
      <c r="D3742" s="2" t="s">
        <v>12</v>
      </c>
      <c r="E3742" s="2" t="s">
        <v>76</v>
      </c>
      <c r="F3742" s="2" t="s">
        <v>1146</v>
      </c>
      <c r="G3742" s="14" t="n">
        <v>19.5</v>
      </c>
      <c r="H3742" s="14" t="n">
        <v>98</v>
      </c>
      <c r="I3742" s="14" t="n">
        <v>19.5</v>
      </c>
      <c r="J3742" s="22" t="n">
        <f aca="false">IF(E3742="Priority",'Cost model'!N653,'Cost model'!M653)</f>
        <v>65</v>
      </c>
      <c r="K3742" s="14" t="n">
        <f aca="false">J3742-H3742</f>
        <v>-33</v>
      </c>
      <c r="L3742" s="14" t="n">
        <f aca="false">G3742-H3742</f>
        <v>-78.5</v>
      </c>
    </row>
    <row r="3743" customFormat="false" ht="15" hidden="false" customHeight="false" outlineLevel="0" collapsed="false">
      <c r="A3743" s="2" t="s">
        <v>184</v>
      </c>
      <c r="B3743" s="2" t="s">
        <v>184</v>
      </c>
      <c r="C3743" s="2" t="s">
        <v>49</v>
      </c>
      <c r="D3743" s="2" t="s">
        <v>10</v>
      </c>
      <c r="E3743" s="2" t="s">
        <v>76</v>
      </c>
      <c r="F3743" s="2" t="s">
        <v>1145</v>
      </c>
      <c r="G3743" s="14" t="n">
        <v>12.5</v>
      </c>
      <c r="H3743" s="14" t="n">
        <v>15.66</v>
      </c>
      <c r="I3743" s="14"/>
      <c r="J3743" s="22" t="n">
        <f aca="false">IF(E3743="Priority",'Cost model'!N201,'Cost model'!M201)</f>
        <v>12.5</v>
      </c>
      <c r="K3743" s="14" t="n">
        <f aca="false">J3743-H3743</f>
        <v>-3.16</v>
      </c>
      <c r="L3743" s="14" t="n">
        <f aca="false">G3743-H3743</f>
        <v>-3.16</v>
      </c>
    </row>
    <row r="3744" customFormat="false" ht="15" hidden="false" customHeight="false" outlineLevel="0" collapsed="false">
      <c r="A3744" s="2" t="s">
        <v>126</v>
      </c>
      <c r="B3744" s="2" t="s">
        <v>126</v>
      </c>
      <c r="C3744" s="2" t="s">
        <v>49</v>
      </c>
      <c r="D3744" s="2" t="s">
        <v>10</v>
      </c>
      <c r="E3744" s="2" t="s">
        <v>85</v>
      </c>
      <c r="F3744" s="2" t="s">
        <v>1145</v>
      </c>
      <c r="G3744" s="14" t="n">
        <v>17.5</v>
      </c>
      <c r="H3744" s="14" t="n">
        <v>24.17</v>
      </c>
      <c r="I3744" s="14" t="n">
        <v>17.5</v>
      </c>
      <c r="J3744" s="22" t="n">
        <f aca="false">IF(E3744="Priority",'Cost model'!N381,'Cost model'!M381)</f>
        <v>19.5</v>
      </c>
      <c r="K3744" s="14" t="n">
        <f aca="false">J3744-H3744</f>
        <v>-4.67</v>
      </c>
      <c r="L3744" s="14" t="n">
        <f aca="false">G3744-H3744</f>
        <v>-6.67</v>
      </c>
    </row>
    <row r="3745" customFormat="false" ht="15" hidden="false" customHeight="false" outlineLevel="0" collapsed="false">
      <c r="A3745" s="2" t="s">
        <v>125</v>
      </c>
      <c r="B3745" s="2" t="s">
        <v>125</v>
      </c>
      <c r="C3745" s="2" t="s">
        <v>48</v>
      </c>
      <c r="D3745" s="2" t="s">
        <v>10</v>
      </c>
      <c r="E3745" s="2" t="s">
        <v>76</v>
      </c>
      <c r="F3745" s="2" t="s">
        <v>1145</v>
      </c>
      <c r="G3745" s="14" t="n">
        <v>9.5</v>
      </c>
      <c r="H3745" s="14" t="n">
        <v>21.61</v>
      </c>
      <c r="I3745" s="14" t="n">
        <v>9.5</v>
      </c>
      <c r="J3745" s="22" t="n">
        <f aca="false">IF(E3745="Priority",'Cost model'!N74,'Cost model'!M74)</f>
        <v>21.5</v>
      </c>
      <c r="K3745" s="14" t="n">
        <f aca="false">J3745-H3745</f>
        <v>-0.109999999999999</v>
      </c>
      <c r="L3745" s="14" t="n">
        <f aca="false">G3745-H3745</f>
        <v>-12.11</v>
      </c>
    </row>
    <row r="3746" customFormat="false" ht="15" hidden="false" customHeight="false" outlineLevel="0" collapsed="false">
      <c r="A3746" s="2" t="s">
        <v>240</v>
      </c>
      <c r="B3746" s="2" t="s">
        <v>240</v>
      </c>
      <c r="C3746" s="2" t="s">
        <v>49</v>
      </c>
      <c r="D3746" s="2" t="s">
        <v>10</v>
      </c>
      <c r="E3746" s="2" t="s">
        <v>76</v>
      </c>
      <c r="F3746" s="2" t="s">
        <v>1145</v>
      </c>
      <c r="G3746" s="14" t="n">
        <v>12.5</v>
      </c>
      <c r="H3746" s="14" t="n">
        <v>10.16</v>
      </c>
      <c r="I3746" s="14" t="n">
        <v>12.5</v>
      </c>
      <c r="J3746" s="22" t="n">
        <f aca="false">IF(E3746="Priority",'Cost model'!N885,'Cost model'!M885)</f>
        <v>13.5</v>
      </c>
      <c r="K3746" s="14" t="n">
        <f aca="false">J3746-H3746</f>
        <v>3.34</v>
      </c>
      <c r="L3746" s="14" t="n">
        <f aca="false">G3746-H3746</f>
        <v>2.34</v>
      </c>
    </row>
    <row r="3747" customFormat="false" ht="15" hidden="false" customHeight="false" outlineLevel="0" collapsed="false">
      <c r="A3747" s="2" t="s">
        <v>126</v>
      </c>
      <c r="B3747" s="2" t="s">
        <v>240</v>
      </c>
      <c r="C3747" s="2" t="s">
        <v>50</v>
      </c>
      <c r="D3747" s="2" t="s">
        <v>10</v>
      </c>
      <c r="E3747" s="2" t="s">
        <v>76</v>
      </c>
      <c r="F3747" s="2" t="s">
        <v>1146</v>
      </c>
      <c r="G3747" s="14" t="n">
        <v>19.5</v>
      </c>
      <c r="H3747" s="14" t="n">
        <v>21.61</v>
      </c>
      <c r="I3747" s="14" t="n">
        <v>19.5</v>
      </c>
      <c r="J3747" s="22" t="n">
        <f aca="false">IF(E3747="Priority",'Cost model'!N490,'Cost model'!M490)</f>
        <v>26.5</v>
      </c>
      <c r="K3747" s="14" t="n">
        <f aca="false">J3747-H3747</f>
        <v>4.89</v>
      </c>
      <c r="L3747" s="14" t="n">
        <f aca="false">G3747-H3747</f>
        <v>-2.11</v>
      </c>
    </row>
    <row r="3748" customFormat="false" ht="15" hidden="false" customHeight="false" outlineLevel="0" collapsed="false">
      <c r="A3748" s="2" t="s">
        <v>146</v>
      </c>
      <c r="B3748" s="2" t="s">
        <v>221</v>
      </c>
      <c r="C3748" s="2" t="s">
        <v>49</v>
      </c>
      <c r="D3748" s="2" t="s">
        <v>10</v>
      </c>
      <c r="E3748" s="2" t="s">
        <v>76</v>
      </c>
      <c r="F3748" s="2" t="s">
        <v>1146</v>
      </c>
      <c r="G3748" s="14" t="n">
        <v>12.5</v>
      </c>
      <c r="H3748" s="14" t="n">
        <v>11.25</v>
      </c>
      <c r="I3748" s="14" t="n">
        <v>19.5</v>
      </c>
      <c r="J3748" s="22" t="n">
        <f aca="false">IF(E3748="Priority",'Cost model'!N849,'Cost model'!M849)</f>
        <v>12.5</v>
      </c>
      <c r="K3748" s="14" t="n">
        <f aca="false">J3748-H3748</f>
        <v>1.25</v>
      </c>
      <c r="L3748" s="14" t="n">
        <f aca="false">G3748-H3748</f>
        <v>1.25</v>
      </c>
    </row>
    <row r="3749" customFormat="false" ht="15" hidden="false" customHeight="false" outlineLevel="0" collapsed="false">
      <c r="A3749" s="2" t="s">
        <v>184</v>
      </c>
      <c r="B3749" s="2" t="s">
        <v>126</v>
      </c>
      <c r="C3749" s="2" t="s">
        <v>48</v>
      </c>
      <c r="D3749" s="2" t="s">
        <v>10</v>
      </c>
      <c r="E3749" s="2" t="s">
        <v>76</v>
      </c>
      <c r="F3749" s="2" t="s">
        <v>1146</v>
      </c>
      <c r="G3749" s="14" t="n">
        <v>9.5</v>
      </c>
      <c r="H3749" s="14" t="n">
        <v>9.37</v>
      </c>
      <c r="I3749" s="14" t="n">
        <v>9.5</v>
      </c>
      <c r="J3749" s="22" t="n">
        <f aca="false">IF(E3749="Priority",'Cost model'!N128,'Cost model'!M128)</f>
        <v>10.5</v>
      </c>
      <c r="K3749" s="14" t="n">
        <f aca="false">J3749-H3749</f>
        <v>1.13</v>
      </c>
      <c r="L3749" s="14" t="n">
        <f aca="false">G3749-H3749</f>
        <v>0.130000000000001</v>
      </c>
    </row>
    <row r="3750" customFormat="false" ht="15" hidden="false" customHeight="false" outlineLevel="0" collapsed="false">
      <c r="A3750" s="2" t="s">
        <v>126</v>
      </c>
      <c r="B3750" s="2" t="s">
        <v>126</v>
      </c>
      <c r="C3750" s="2" t="s">
        <v>48</v>
      </c>
      <c r="D3750" s="2" t="s">
        <v>10</v>
      </c>
      <c r="E3750" s="2" t="s">
        <v>76</v>
      </c>
      <c r="F3750" s="2" t="s">
        <v>1145</v>
      </c>
      <c r="G3750" s="14" t="n">
        <v>9.5</v>
      </c>
      <c r="H3750" s="14" t="n">
        <v>5.95</v>
      </c>
      <c r="I3750" s="14" t="n">
        <v>9.5</v>
      </c>
      <c r="J3750" s="22" t="n">
        <f aca="false">IF(E3750="Priority",'Cost model'!N380,'Cost model'!M380)</f>
        <v>8.5</v>
      </c>
      <c r="K3750" s="14" t="n">
        <f aca="false">J3750-H3750</f>
        <v>2.55</v>
      </c>
      <c r="L3750" s="14" t="n">
        <f aca="false">G3750-H3750</f>
        <v>3.55</v>
      </c>
    </row>
    <row r="3751" customFormat="false" ht="15" hidden="false" customHeight="false" outlineLevel="0" collapsed="false">
      <c r="A3751" s="2" t="s">
        <v>126</v>
      </c>
      <c r="B3751" s="2" t="s">
        <v>146</v>
      </c>
      <c r="C3751" s="2" t="s">
        <v>49</v>
      </c>
      <c r="D3751" s="2" t="s">
        <v>12</v>
      </c>
      <c r="E3751" s="2" t="s">
        <v>76</v>
      </c>
      <c r="F3751" s="2" t="s">
        <v>1146</v>
      </c>
      <c r="G3751" s="14" t="n">
        <v>12.5</v>
      </c>
      <c r="H3751" s="14" t="n">
        <v>101.33</v>
      </c>
      <c r="I3751" s="14" t="n">
        <v>19.5</v>
      </c>
      <c r="J3751" s="22" t="n">
        <f aca="false">IF(E3751="Priority",'Cost model'!N402,'Cost model'!M402)</f>
        <v>60</v>
      </c>
      <c r="K3751" s="14" t="n">
        <f aca="false">J3751-H3751</f>
        <v>-41.33</v>
      </c>
      <c r="L3751" s="14" t="n">
        <f aca="false">G3751-H3751</f>
        <v>-88.83</v>
      </c>
    </row>
    <row r="3752" customFormat="false" ht="15" hidden="false" customHeight="false" outlineLevel="0" collapsed="false">
      <c r="A3752" s="2" t="s">
        <v>240</v>
      </c>
      <c r="B3752" s="2" t="s">
        <v>240</v>
      </c>
      <c r="C3752" s="2" t="s">
        <v>50</v>
      </c>
      <c r="D3752" s="2" t="s">
        <v>12</v>
      </c>
      <c r="E3752" s="2" t="s">
        <v>76</v>
      </c>
      <c r="F3752" s="2" t="s">
        <v>1145</v>
      </c>
      <c r="G3752" s="14" t="n">
        <v>19.5</v>
      </c>
      <c r="H3752" s="14" t="n">
        <v>32.66</v>
      </c>
      <c r="I3752" s="14" t="n">
        <v>19.5</v>
      </c>
      <c r="J3752" s="22" t="n">
        <f aca="false">IF(E3752="Priority",'Cost model'!N889,'Cost model'!M889)</f>
        <v>60</v>
      </c>
      <c r="K3752" s="14" t="n">
        <f aca="false">J3752-H3752</f>
        <v>27.34</v>
      </c>
      <c r="L3752" s="14" t="n">
        <f aca="false">G3752-H3752</f>
        <v>-13.16</v>
      </c>
    </row>
    <row r="3753" customFormat="false" ht="15" hidden="false" customHeight="false" outlineLevel="0" collapsed="false">
      <c r="A3753" s="2" t="s">
        <v>126</v>
      </c>
      <c r="B3753" s="2" t="s">
        <v>125</v>
      </c>
      <c r="C3753" s="2" t="s">
        <v>48</v>
      </c>
      <c r="D3753" s="2" t="s">
        <v>12</v>
      </c>
      <c r="E3753" s="2" t="s">
        <v>76</v>
      </c>
      <c r="F3753" s="2" t="s">
        <v>1146</v>
      </c>
      <c r="G3753" s="14" t="n">
        <v>19.5</v>
      </c>
      <c r="H3753" s="14" t="n">
        <v>63.56</v>
      </c>
      <c r="I3753" s="14" t="n">
        <v>24.5</v>
      </c>
      <c r="J3753" s="22" t="n">
        <f aca="false">IF(E3753="Priority",'Cost model'!N473,'Cost model'!M473)</f>
        <v>65</v>
      </c>
      <c r="K3753" s="14" t="n">
        <f aca="false">J3753-H3753</f>
        <v>1.44</v>
      </c>
      <c r="L3753" s="14" t="n">
        <f aca="false">G3753-H3753</f>
        <v>-44.06</v>
      </c>
    </row>
    <row r="3754" customFormat="false" ht="15" hidden="false" customHeight="false" outlineLevel="0" collapsed="false">
      <c r="A3754" s="2" t="s">
        <v>126</v>
      </c>
      <c r="B3754" s="2" t="s">
        <v>126</v>
      </c>
      <c r="C3754" s="2" t="s">
        <v>50</v>
      </c>
      <c r="D3754" s="2" t="s">
        <v>10</v>
      </c>
      <c r="E3754" s="2" t="s">
        <v>76</v>
      </c>
      <c r="F3754" s="2" t="s">
        <v>1145</v>
      </c>
      <c r="G3754" s="14" t="n">
        <v>17.5</v>
      </c>
      <c r="H3754" s="14" t="n">
        <v>14.39</v>
      </c>
      <c r="I3754" s="14" t="n">
        <v>17.5</v>
      </c>
      <c r="J3754" s="22" t="n">
        <f aca="false">IF(E3754="Priority",'Cost model'!N382,'Cost model'!M382)</f>
        <v>18.5</v>
      </c>
      <c r="K3754" s="14" t="n">
        <f aca="false">J3754-H3754</f>
        <v>4.11</v>
      </c>
      <c r="L3754" s="14" t="n">
        <f aca="false">G3754-H3754</f>
        <v>3.11</v>
      </c>
    </row>
    <row r="3755" customFormat="false" ht="15" hidden="false" customHeight="false" outlineLevel="0" collapsed="false">
      <c r="A3755" s="2" t="s">
        <v>146</v>
      </c>
      <c r="B3755" s="2" t="s">
        <v>146</v>
      </c>
      <c r="C3755" s="2" t="s">
        <v>48</v>
      </c>
      <c r="D3755" s="2" t="s">
        <v>13</v>
      </c>
      <c r="E3755" s="2" t="s">
        <v>76</v>
      </c>
      <c r="F3755" s="2" t="s">
        <v>1145</v>
      </c>
      <c r="G3755" s="14" t="n">
        <v>19</v>
      </c>
      <c r="H3755" s="14" t="n">
        <v>51.15</v>
      </c>
      <c r="I3755" s="14" t="n">
        <v>19</v>
      </c>
      <c r="J3755" s="22" t="n">
        <f aca="false">IF(E3755="Priority",'Cost model'!N764,'Cost model'!M764)</f>
        <v>55</v>
      </c>
      <c r="K3755" s="14" t="n">
        <f aca="false">J3755-H3755</f>
        <v>3.85</v>
      </c>
      <c r="L3755" s="14" t="n">
        <f aca="false">G3755-H3755</f>
        <v>-32.15</v>
      </c>
    </row>
    <row r="3756" customFormat="false" ht="15" hidden="false" customHeight="false" outlineLevel="0" collapsed="false">
      <c r="A3756" s="2" t="s">
        <v>184</v>
      </c>
      <c r="B3756" s="2" t="s">
        <v>184</v>
      </c>
      <c r="C3756" s="2" t="s">
        <v>48</v>
      </c>
      <c r="D3756" s="2" t="s">
        <v>12</v>
      </c>
      <c r="E3756" s="2" t="s">
        <v>76</v>
      </c>
      <c r="F3756" s="2" t="s">
        <v>1145</v>
      </c>
      <c r="G3756" s="14" t="n">
        <v>9.5</v>
      </c>
      <c r="H3756" s="14" t="n">
        <v>11.07</v>
      </c>
      <c r="I3756" s="14" t="n">
        <v>9.5</v>
      </c>
      <c r="J3756" s="22" t="n">
        <f aca="false">IF(E3756="Priority",'Cost model'!N203,'Cost model'!M203)</f>
        <v>26.5</v>
      </c>
      <c r="K3756" s="14" t="n">
        <f aca="false">J3756-H3756</f>
        <v>15.43</v>
      </c>
      <c r="L3756" s="14" t="n">
        <f aca="false">G3756-H3756</f>
        <v>-1.57</v>
      </c>
    </row>
    <row r="3757" customFormat="false" ht="15" hidden="false" customHeight="false" outlineLevel="0" collapsed="false">
      <c r="A3757" s="2" t="s">
        <v>146</v>
      </c>
      <c r="B3757" s="2" t="s">
        <v>146</v>
      </c>
      <c r="C3757" s="2" t="s">
        <v>48</v>
      </c>
      <c r="D3757" s="2" t="s">
        <v>12</v>
      </c>
      <c r="E3757" s="2" t="s">
        <v>76</v>
      </c>
      <c r="F3757" s="2" t="s">
        <v>1145</v>
      </c>
      <c r="G3757" s="14" t="n">
        <v>9.5</v>
      </c>
      <c r="H3757" s="14" t="n">
        <v>26.77</v>
      </c>
      <c r="I3757" s="14" t="n">
        <v>9.5</v>
      </c>
      <c r="J3757" s="22" t="n">
        <f aca="false">IF(E3757="Priority",'Cost model'!N761,'Cost model'!M761)</f>
        <v>35</v>
      </c>
      <c r="K3757" s="14" t="n">
        <f aca="false">J3757-H3757</f>
        <v>8.23</v>
      </c>
      <c r="L3757" s="14" t="n">
        <f aca="false">G3757-H3757</f>
        <v>-17.27</v>
      </c>
    </row>
    <row r="3758" customFormat="false" ht="15" hidden="false" customHeight="false" outlineLevel="0" collapsed="false">
      <c r="A3758" s="2" t="s">
        <v>125</v>
      </c>
      <c r="B3758" s="2" t="s">
        <v>125</v>
      </c>
      <c r="C3758" s="2" t="s">
        <v>48</v>
      </c>
      <c r="D3758" s="2" t="s">
        <v>12</v>
      </c>
      <c r="E3758" s="2" t="s">
        <v>76</v>
      </c>
      <c r="F3758" s="2" t="s">
        <v>1145</v>
      </c>
      <c r="G3758" s="14" t="n">
        <v>9.5</v>
      </c>
      <c r="H3758" s="14" t="n">
        <v>37.06</v>
      </c>
      <c r="I3758" s="14" t="n">
        <v>9.5</v>
      </c>
      <c r="J3758" s="22" t="n">
        <f aca="false">IF(E3758="Priority",'Cost model'!N77,'Cost model'!M77)</f>
        <v>50</v>
      </c>
      <c r="K3758" s="14" t="n">
        <f aca="false">J3758-H3758</f>
        <v>12.94</v>
      </c>
      <c r="L3758" s="14" t="n">
        <f aca="false">G3758-H3758</f>
        <v>-27.56</v>
      </c>
    </row>
    <row r="3759" customFormat="false" ht="15" hidden="false" customHeight="false" outlineLevel="0" collapsed="false">
      <c r="A3759" s="2" t="s">
        <v>184</v>
      </c>
      <c r="B3759" s="2" t="s">
        <v>184</v>
      </c>
      <c r="C3759" s="2" t="s">
        <v>50</v>
      </c>
      <c r="D3759" s="2" t="s">
        <v>12</v>
      </c>
      <c r="E3759" s="2" t="s">
        <v>85</v>
      </c>
      <c r="F3759" s="2" t="s">
        <v>1145</v>
      </c>
      <c r="G3759" s="14" t="n">
        <v>29.5</v>
      </c>
      <c r="H3759" s="14" t="n">
        <v>42.61</v>
      </c>
      <c r="I3759" s="14" t="n">
        <v>29.5</v>
      </c>
      <c r="J3759" s="22" t="n">
        <f aca="false">IF(E3759="Priority",'Cost model'!N205,'Cost model'!M205)</f>
        <v>65</v>
      </c>
      <c r="K3759" s="14" t="n">
        <f aca="false">J3759-H3759</f>
        <v>22.39</v>
      </c>
      <c r="L3759" s="14" t="n">
        <f aca="false">G3759-H3759</f>
        <v>-13.11</v>
      </c>
    </row>
    <row r="3760" customFormat="false" ht="15" hidden="false" customHeight="false" outlineLevel="0" collapsed="false">
      <c r="A3760" s="2" t="s">
        <v>184</v>
      </c>
      <c r="B3760" s="2" t="s">
        <v>184</v>
      </c>
      <c r="C3760" s="2" t="s">
        <v>48</v>
      </c>
      <c r="D3760" s="2" t="s">
        <v>12</v>
      </c>
      <c r="E3760" s="2" t="s">
        <v>76</v>
      </c>
      <c r="F3760" s="2" t="s">
        <v>1145</v>
      </c>
      <c r="G3760" s="14" t="n">
        <v>9.5</v>
      </c>
      <c r="H3760" s="14" t="n">
        <v>7.72</v>
      </c>
      <c r="I3760" s="14" t="n">
        <v>9.5</v>
      </c>
      <c r="J3760" s="22" t="n">
        <f aca="false">IF(E3760="Priority",'Cost model'!N203,'Cost model'!M203)</f>
        <v>26.5</v>
      </c>
      <c r="K3760" s="14" t="n">
        <f aca="false">J3760-H3760</f>
        <v>18.78</v>
      </c>
      <c r="L3760" s="14" t="n">
        <f aca="false">G3760-H3760</f>
        <v>1.78</v>
      </c>
    </row>
    <row r="3761" customFormat="false" ht="15" hidden="false" customHeight="false" outlineLevel="0" collapsed="false">
      <c r="A3761" s="2" t="s">
        <v>165</v>
      </c>
      <c r="B3761" s="2" t="s">
        <v>165</v>
      </c>
      <c r="C3761" s="2" t="s">
        <v>50</v>
      </c>
      <c r="D3761" s="2" t="s">
        <v>10</v>
      </c>
      <c r="E3761" s="2" t="s">
        <v>85</v>
      </c>
      <c r="F3761" s="2" t="s">
        <v>1145</v>
      </c>
      <c r="G3761" s="14" t="n">
        <v>24.5</v>
      </c>
      <c r="H3761" s="14" t="n">
        <v>20.83</v>
      </c>
      <c r="I3761" s="14" t="n">
        <v>24.5</v>
      </c>
      <c r="J3761" s="22" t="n">
        <f aca="false">IF(E3761="Priority",'Cost model'!N508,'Cost model'!M508)</f>
        <v>23.5</v>
      </c>
      <c r="K3761" s="14" t="n">
        <f aca="false">J3761-H3761</f>
        <v>2.67</v>
      </c>
      <c r="L3761" s="14" t="n">
        <f aca="false">G3761-H3761</f>
        <v>3.67</v>
      </c>
    </row>
    <row r="3762" customFormat="false" ht="15" hidden="false" customHeight="false" outlineLevel="0" collapsed="false">
      <c r="A3762" s="2" t="s">
        <v>126</v>
      </c>
      <c r="B3762" s="2" t="s">
        <v>126</v>
      </c>
      <c r="C3762" s="2" t="s">
        <v>48</v>
      </c>
      <c r="D3762" s="2" t="s">
        <v>14</v>
      </c>
      <c r="E3762" s="2" t="s">
        <v>76</v>
      </c>
      <c r="F3762" s="2" t="s">
        <v>1145</v>
      </c>
      <c r="G3762" s="14" t="n">
        <v>25</v>
      </c>
      <c r="H3762" s="14" t="n">
        <v>56.9</v>
      </c>
      <c r="I3762" s="14" t="n">
        <v>25</v>
      </c>
      <c r="J3762" s="22" t="n">
        <f aca="false">IF(E3762="Priority",'Cost model'!N389,'Cost model'!M389)</f>
        <v>95</v>
      </c>
      <c r="K3762" s="14" t="n">
        <f aca="false">J3762-H3762</f>
        <v>38.1</v>
      </c>
      <c r="L3762" s="14" t="n">
        <f aca="false">G3762-H3762</f>
        <v>-31.9</v>
      </c>
    </row>
    <row r="3763" customFormat="false" ht="15" hidden="false" customHeight="false" outlineLevel="0" collapsed="false">
      <c r="A3763" s="2" t="s">
        <v>146</v>
      </c>
      <c r="B3763" s="2" t="s">
        <v>146</v>
      </c>
      <c r="C3763" s="2" t="s">
        <v>48</v>
      </c>
      <c r="D3763" s="2" t="s">
        <v>12</v>
      </c>
      <c r="E3763" s="2" t="s">
        <v>76</v>
      </c>
      <c r="F3763" s="2" t="s">
        <v>1145</v>
      </c>
      <c r="G3763" s="14" t="n">
        <v>9.5</v>
      </c>
      <c r="H3763" s="14" t="n">
        <v>28.36</v>
      </c>
      <c r="I3763" s="14" t="n">
        <v>9.5</v>
      </c>
      <c r="J3763" s="22" t="n">
        <f aca="false">IF(E3763="Priority",'Cost model'!N761,'Cost model'!M761)</f>
        <v>35</v>
      </c>
      <c r="K3763" s="14" t="n">
        <f aca="false">J3763-H3763</f>
        <v>6.64</v>
      </c>
      <c r="L3763" s="14" t="n">
        <f aca="false">G3763-H3763</f>
        <v>-18.86</v>
      </c>
    </row>
    <row r="3764" customFormat="false" ht="15" hidden="false" customHeight="false" outlineLevel="0" collapsed="false">
      <c r="A3764" s="2" t="s">
        <v>184</v>
      </c>
      <c r="B3764" s="2" t="s">
        <v>184</v>
      </c>
      <c r="C3764" s="2" t="s">
        <v>48</v>
      </c>
      <c r="D3764" s="2" t="s">
        <v>10</v>
      </c>
      <c r="E3764" s="2" t="s">
        <v>85</v>
      </c>
      <c r="F3764" s="2" t="s">
        <v>1145</v>
      </c>
      <c r="G3764" s="14" t="n">
        <v>14.5</v>
      </c>
      <c r="H3764" s="14" t="n">
        <v>8.45</v>
      </c>
      <c r="I3764" s="14" t="n">
        <v>14.5</v>
      </c>
      <c r="J3764" s="22" t="n">
        <f aca="false">IF(E3764="Priority",'Cost model'!N200,'Cost model'!M200)</f>
        <v>12.5</v>
      </c>
      <c r="K3764" s="14" t="n">
        <f aca="false">J3764-H3764</f>
        <v>4.05</v>
      </c>
      <c r="L3764" s="14" t="n">
        <f aca="false">G3764-H3764</f>
        <v>6.05</v>
      </c>
    </row>
    <row r="3765" customFormat="false" ht="15" hidden="false" customHeight="false" outlineLevel="0" collapsed="false">
      <c r="A3765" s="2" t="s">
        <v>184</v>
      </c>
      <c r="B3765" s="2" t="s">
        <v>184</v>
      </c>
      <c r="C3765" s="2" t="s">
        <v>48</v>
      </c>
      <c r="D3765" s="2" t="s">
        <v>10</v>
      </c>
      <c r="E3765" s="2" t="s">
        <v>76</v>
      </c>
      <c r="F3765" s="2" t="s">
        <v>1145</v>
      </c>
      <c r="G3765" s="14" t="n">
        <v>9.5</v>
      </c>
      <c r="H3765" s="14" t="n">
        <v>7.45</v>
      </c>
      <c r="I3765" s="14" t="n">
        <v>9.5</v>
      </c>
      <c r="J3765" s="22" t="n">
        <f aca="false">IF(E3765="Priority",'Cost model'!N200,'Cost model'!M200)</f>
        <v>7.5</v>
      </c>
      <c r="K3765" s="14" t="n">
        <f aca="false">J3765-H3765</f>
        <v>0.0499999999999998</v>
      </c>
      <c r="L3765" s="14" t="n">
        <f aca="false">G3765-H3765</f>
        <v>2.05</v>
      </c>
    </row>
    <row r="3766" customFormat="false" ht="15" hidden="false" customHeight="false" outlineLevel="0" collapsed="false">
      <c r="A3766" s="2" t="s">
        <v>126</v>
      </c>
      <c r="B3766" s="2" t="s">
        <v>126</v>
      </c>
      <c r="C3766" s="2" t="s">
        <v>49</v>
      </c>
      <c r="D3766" s="2" t="s">
        <v>10</v>
      </c>
      <c r="E3766" s="2" t="s">
        <v>76</v>
      </c>
      <c r="F3766" s="2" t="s">
        <v>1145</v>
      </c>
      <c r="G3766" s="14" t="n">
        <v>12.5</v>
      </c>
      <c r="H3766" s="14" t="n">
        <v>14.08</v>
      </c>
      <c r="I3766" s="14" t="n">
        <v>12.5</v>
      </c>
      <c r="J3766" s="22" t="n">
        <f aca="false">IF(E3766="Priority",'Cost model'!N381,'Cost model'!M381)</f>
        <v>14.5</v>
      </c>
      <c r="K3766" s="14" t="n">
        <f aca="false">J3766-H3766</f>
        <v>0.42</v>
      </c>
      <c r="L3766" s="14" t="n">
        <f aca="false">G3766-H3766</f>
        <v>-1.58</v>
      </c>
    </row>
    <row r="3767" customFormat="false" ht="15" hidden="false" customHeight="false" outlineLevel="0" collapsed="false">
      <c r="A3767" s="2" t="s">
        <v>184</v>
      </c>
      <c r="B3767" s="2" t="s">
        <v>184</v>
      </c>
      <c r="C3767" s="2" t="s">
        <v>48</v>
      </c>
      <c r="D3767" s="2" t="s">
        <v>12</v>
      </c>
      <c r="E3767" s="2" t="s">
        <v>76</v>
      </c>
      <c r="F3767" s="2" t="s">
        <v>1145</v>
      </c>
      <c r="G3767" s="14" t="n">
        <v>24.5</v>
      </c>
      <c r="H3767" s="14" t="n">
        <v>42.61</v>
      </c>
      <c r="I3767" s="14" t="n">
        <v>9.5</v>
      </c>
      <c r="J3767" s="22" t="n">
        <f aca="false">IF(E3767="Priority",'Cost model'!N203,'Cost model'!M203)</f>
        <v>26.5</v>
      </c>
      <c r="K3767" s="14" t="n">
        <f aca="false">J3767-H3767</f>
        <v>-16.11</v>
      </c>
      <c r="L3767" s="14" t="n">
        <f aca="false">G3767-H3767</f>
        <v>-18.11</v>
      </c>
    </row>
    <row r="3768" customFormat="false" ht="15" hidden="false" customHeight="false" outlineLevel="0" collapsed="false">
      <c r="A3768" s="2" t="s">
        <v>146</v>
      </c>
      <c r="B3768" s="2" t="s">
        <v>126</v>
      </c>
      <c r="C3768" s="2" t="s">
        <v>48</v>
      </c>
      <c r="D3768" s="2" t="s">
        <v>10</v>
      </c>
      <c r="E3768" s="2" t="s">
        <v>76</v>
      </c>
      <c r="F3768" s="2" t="s">
        <v>1146</v>
      </c>
      <c r="G3768" s="14" t="n">
        <v>9.5</v>
      </c>
      <c r="H3768" s="14" t="n">
        <v>14.33</v>
      </c>
      <c r="I3768" s="14" t="n">
        <v>14.5</v>
      </c>
      <c r="J3768" s="22" t="n">
        <f aca="false">IF(E3768="Priority",'Cost model'!N794,'Cost model'!M794)</f>
        <v>12.5</v>
      </c>
      <c r="K3768" s="14" t="n">
        <f aca="false">J3768-H3768</f>
        <v>-1.83</v>
      </c>
      <c r="L3768" s="14" t="n">
        <f aca="false">G3768-H3768</f>
        <v>-4.83</v>
      </c>
    </row>
    <row r="3769" customFormat="false" ht="15" hidden="false" customHeight="false" outlineLevel="0" collapsed="false">
      <c r="A3769" s="2" t="s">
        <v>184</v>
      </c>
      <c r="B3769" s="2" t="s">
        <v>184</v>
      </c>
      <c r="C3769" s="2" t="s">
        <v>48</v>
      </c>
      <c r="D3769" s="2" t="s">
        <v>12</v>
      </c>
      <c r="E3769" s="2" t="s">
        <v>76</v>
      </c>
      <c r="F3769" s="2" t="s">
        <v>1145</v>
      </c>
      <c r="G3769" s="14" t="n">
        <v>9.5</v>
      </c>
      <c r="H3769" s="14" t="n">
        <v>28.15</v>
      </c>
      <c r="I3769" s="14" t="n">
        <v>9.5</v>
      </c>
      <c r="J3769" s="22" t="n">
        <f aca="false">IF(E3769="Priority",'Cost model'!N203,'Cost model'!M203)</f>
        <v>26.5</v>
      </c>
      <c r="K3769" s="14" t="n">
        <f aca="false">J3769-H3769</f>
        <v>-1.65</v>
      </c>
      <c r="L3769" s="14" t="n">
        <f aca="false">G3769-H3769</f>
        <v>-18.65</v>
      </c>
    </row>
    <row r="3770" customFormat="false" ht="15" hidden="false" customHeight="false" outlineLevel="0" collapsed="false">
      <c r="A3770" s="2" t="s">
        <v>146</v>
      </c>
      <c r="B3770" s="2" t="s">
        <v>146</v>
      </c>
      <c r="C3770" s="2" t="s">
        <v>49</v>
      </c>
      <c r="D3770" s="2" t="s">
        <v>12</v>
      </c>
      <c r="E3770" s="2" t="s">
        <v>76</v>
      </c>
      <c r="F3770" s="2" t="s">
        <v>1145</v>
      </c>
      <c r="G3770" s="14" t="n">
        <v>12.5</v>
      </c>
      <c r="H3770" s="14" t="n">
        <v>29.74</v>
      </c>
      <c r="I3770" s="14" t="n">
        <v>12.5</v>
      </c>
      <c r="J3770" s="22" t="n">
        <f aca="false">IF(E3770="Priority",'Cost model'!N762,'Cost model'!M762)</f>
        <v>45</v>
      </c>
      <c r="K3770" s="14" t="n">
        <f aca="false">J3770-H3770</f>
        <v>15.26</v>
      </c>
      <c r="L3770" s="14" t="n">
        <f aca="false">G3770-H3770</f>
        <v>-17.24</v>
      </c>
    </row>
    <row r="3771" customFormat="false" ht="15" hidden="false" customHeight="false" outlineLevel="0" collapsed="false">
      <c r="A3771" s="2" t="s">
        <v>240</v>
      </c>
      <c r="B3771" s="2" t="s">
        <v>240</v>
      </c>
      <c r="C3771" s="2" t="s">
        <v>48</v>
      </c>
      <c r="D3771" s="2" t="s">
        <v>10</v>
      </c>
      <c r="E3771" s="2" t="s">
        <v>85</v>
      </c>
      <c r="F3771" s="2" t="s">
        <v>1145</v>
      </c>
      <c r="G3771" s="14" t="n">
        <v>14.5</v>
      </c>
      <c r="H3771" s="14" t="n">
        <v>7.14</v>
      </c>
      <c r="I3771" s="14" t="n">
        <v>14.5</v>
      </c>
      <c r="J3771" s="22" t="n">
        <f aca="false">IF(E3771="Priority",'Cost model'!N884,'Cost model'!M884)</f>
        <v>12.5</v>
      </c>
      <c r="K3771" s="14" t="n">
        <f aca="false">J3771-H3771</f>
        <v>5.36</v>
      </c>
      <c r="L3771" s="14" t="n">
        <f aca="false">G3771-H3771</f>
        <v>7.36</v>
      </c>
    </row>
    <row r="3772" customFormat="false" ht="15" hidden="false" customHeight="false" outlineLevel="0" collapsed="false">
      <c r="A3772" s="2" t="s">
        <v>146</v>
      </c>
      <c r="B3772" s="2" t="s">
        <v>240</v>
      </c>
      <c r="C3772" s="2" t="s">
        <v>49</v>
      </c>
      <c r="D3772" s="2" t="s">
        <v>12</v>
      </c>
      <c r="E3772" s="2" t="s">
        <v>76</v>
      </c>
      <c r="F3772" s="2" t="s">
        <v>1146</v>
      </c>
      <c r="G3772" s="14" t="n">
        <v>12.5</v>
      </c>
      <c r="H3772" s="14" t="n">
        <v>57.35</v>
      </c>
      <c r="I3772" s="14" t="n">
        <v>24.5</v>
      </c>
      <c r="J3772" s="22" t="n">
        <f aca="false">IF(E3772="Priority",'Cost model'!N816,'Cost model'!M816)</f>
        <v>55</v>
      </c>
      <c r="K3772" s="14" t="n">
        <f aca="false">J3772-H3772</f>
        <v>-2.35</v>
      </c>
      <c r="L3772" s="14" t="n">
        <f aca="false">G3772-H3772</f>
        <v>-44.85</v>
      </c>
    </row>
    <row r="3773" customFormat="false" ht="15" hidden="false" customHeight="false" outlineLevel="0" collapsed="false">
      <c r="A3773" s="2" t="s">
        <v>184</v>
      </c>
      <c r="B3773" s="2" t="s">
        <v>184</v>
      </c>
      <c r="C3773" s="2" t="s">
        <v>49</v>
      </c>
      <c r="D3773" s="2" t="s">
        <v>10</v>
      </c>
      <c r="E3773" s="2" t="s">
        <v>76</v>
      </c>
      <c r="F3773" s="2" t="s">
        <v>1145</v>
      </c>
      <c r="G3773" s="14" t="n">
        <v>12.5</v>
      </c>
      <c r="H3773" s="14" t="n">
        <v>11.94</v>
      </c>
      <c r="I3773" s="14"/>
      <c r="J3773" s="22" t="n">
        <f aca="false">IF(E3773="Priority",'Cost model'!N201,'Cost model'!M201)</f>
        <v>12.5</v>
      </c>
      <c r="K3773" s="14" t="n">
        <f aca="false">J3773-H3773</f>
        <v>0.560000000000001</v>
      </c>
      <c r="L3773" s="14" t="n">
        <f aca="false">G3773-H3773</f>
        <v>0.560000000000001</v>
      </c>
    </row>
    <row r="3774" customFormat="false" ht="15" hidden="false" customHeight="false" outlineLevel="0" collapsed="false">
      <c r="A3774" s="2" t="s">
        <v>184</v>
      </c>
      <c r="B3774" s="2" t="s">
        <v>184</v>
      </c>
      <c r="C3774" s="2" t="s">
        <v>50</v>
      </c>
      <c r="D3774" s="2" t="s">
        <v>12</v>
      </c>
      <c r="E3774" s="2" t="s">
        <v>76</v>
      </c>
      <c r="F3774" s="2" t="s">
        <v>1145</v>
      </c>
      <c r="G3774" s="14" t="n">
        <v>19.5</v>
      </c>
      <c r="H3774" s="14" t="n">
        <v>117.43</v>
      </c>
      <c r="I3774" s="14" t="n">
        <v>19.5</v>
      </c>
      <c r="J3774" s="22" t="n">
        <f aca="false">IF(E3774="Priority",'Cost model'!N205,'Cost model'!M205)</f>
        <v>50</v>
      </c>
      <c r="K3774" s="14" t="n">
        <f aca="false">J3774-H3774</f>
        <v>-67.43</v>
      </c>
      <c r="L3774" s="14" t="n">
        <f aca="false">G3774-H3774</f>
        <v>-97.93</v>
      </c>
    </row>
    <row r="3775" customFormat="false" ht="15" hidden="false" customHeight="false" outlineLevel="0" collapsed="false">
      <c r="A3775" s="2" t="s">
        <v>184</v>
      </c>
      <c r="B3775" s="2" t="s">
        <v>184</v>
      </c>
      <c r="C3775" s="2" t="s">
        <v>50</v>
      </c>
      <c r="D3775" s="2" t="s">
        <v>10</v>
      </c>
      <c r="E3775" s="2" t="s">
        <v>76</v>
      </c>
      <c r="F3775" s="2" t="s">
        <v>1145</v>
      </c>
      <c r="G3775" s="14" t="n">
        <v>17.5</v>
      </c>
      <c r="H3775" s="14" t="n">
        <v>19.56</v>
      </c>
      <c r="I3775" s="14" t="n">
        <v>17.5</v>
      </c>
      <c r="J3775" s="22" t="n">
        <f aca="false">IF(E3775="Priority",'Cost model'!N202,'Cost model'!M202)</f>
        <v>17.5</v>
      </c>
      <c r="K3775" s="14" t="n">
        <f aca="false">J3775-H3775</f>
        <v>-2.06</v>
      </c>
      <c r="L3775" s="14" t="n">
        <f aca="false">G3775-H3775</f>
        <v>-2.06</v>
      </c>
    </row>
    <row r="3776" customFormat="false" ht="15" hidden="false" customHeight="false" outlineLevel="0" collapsed="false">
      <c r="A3776" s="2" t="s">
        <v>184</v>
      </c>
      <c r="B3776" s="2" t="s">
        <v>126</v>
      </c>
      <c r="C3776" s="2" t="s">
        <v>49</v>
      </c>
      <c r="D3776" s="2" t="s">
        <v>12</v>
      </c>
      <c r="E3776" s="2" t="s">
        <v>76</v>
      </c>
      <c r="F3776" s="2" t="s">
        <v>1146</v>
      </c>
      <c r="G3776" s="14" t="n">
        <v>29.5</v>
      </c>
      <c r="H3776" s="14" t="n">
        <v>24.17</v>
      </c>
      <c r="I3776" s="14" t="n">
        <v>12.5</v>
      </c>
      <c r="J3776" s="22" t="n">
        <f aca="false">IF(E3776="Priority",'Cost model'!N132,'Cost model'!M132)</f>
        <v>50</v>
      </c>
      <c r="K3776" s="14" t="n">
        <f aca="false">J3776-H3776</f>
        <v>25.83</v>
      </c>
      <c r="L3776" s="14" t="n">
        <f aca="false">G3776-H3776</f>
        <v>5.33</v>
      </c>
    </row>
    <row r="3777" customFormat="false" ht="15" hidden="false" customHeight="false" outlineLevel="0" collapsed="false">
      <c r="A3777" s="2" t="s">
        <v>184</v>
      </c>
      <c r="B3777" s="2" t="s">
        <v>184</v>
      </c>
      <c r="C3777" s="2" t="s">
        <v>50</v>
      </c>
      <c r="D3777" s="2" t="s">
        <v>12</v>
      </c>
      <c r="E3777" s="2" t="s">
        <v>85</v>
      </c>
      <c r="F3777" s="2" t="s">
        <v>1145</v>
      </c>
      <c r="G3777" s="14" t="n">
        <v>29.5</v>
      </c>
      <c r="H3777" s="14" t="n">
        <v>49.24</v>
      </c>
      <c r="I3777" s="14" t="n">
        <v>29.5</v>
      </c>
      <c r="J3777" s="22" t="n">
        <f aca="false">IF(E3777="Priority",'Cost model'!N205,'Cost model'!M205)</f>
        <v>65</v>
      </c>
      <c r="K3777" s="14" t="n">
        <f aca="false">J3777-H3777</f>
        <v>15.76</v>
      </c>
      <c r="L3777" s="14" t="n">
        <f aca="false">G3777-H3777</f>
        <v>-19.74</v>
      </c>
    </row>
    <row r="3778" customFormat="false" ht="15" hidden="false" customHeight="false" outlineLevel="0" collapsed="false">
      <c r="A3778" s="2" t="s">
        <v>184</v>
      </c>
      <c r="B3778" s="2" t="s">
        <v>184</v>
      </c>
      <c r="C3778" s="2" t="s">
        <v>48</v>
      </c>
      <c r="D3778" s="2" t="s">
        <v>12</v>
      </c>
      <c r="E3778" s="2" t="s">
        <v>76</v>
      </c>
      <c r="F3778" s="2" t="s">
        <v>1145</v>
      </c>
      <c r="G3778" s="14" t="n">
        <v>9.5</v>
      </c>
      <c r="H3778" s="14" t="n">
        <v>10.54</v>
      </c>
      <c r="I3778" s="14" t="n">
        <v>9.5</v>
      </c>
      <c r="J3778" s="22" t="n">
        <f aca="false">IF(E3778="Priority",'Cost model'!N203,'Cost model'!M203)</f>
        <v>26.5</v>
      </c>
      <c r="K3778" s="14" t="n">
        <f aca="false">J3778-H3778</f>
        <v>15.96</v>
      </c>
      <c r="L3778" s="14" t="n">
        <f aca="false">G3778-H3778</f>
        <v>-1.04</v>
      </c>
    </row>
    <row r="3779" customFormat="false" ht="15" hidden="false" customHeight="false" outlineLevel="0" collapsed="false">
      <c r="A3779" s="2" t="s">
        <v>385</v>
      </c>
      <c r="B3779" s="2" t="s">
        <v>165</v>
      </c>
      <c r="C3779" s="2" t="s">
        <v>48</v>
      </c>
      <c r="D3779" s="2" t="s">
        <v>13</v>
      </c>
      <c r="E3779" s="2" t="s">
        <v>76</v>
      </c>
      <c r="F3779" s="2" t="s">
        <v>1146</v>
      </c>
      <c r="G3779" s="14" t="n">
        <v>45</v>
      </c>
      <c r="H3779" s="14" t="n">
        <v>125.97</v>
      </c>
      <c r="I3779" s="14" t="n">
        <v>45</v>
      </c>
      <c r="J3779" s="22" t="n">
        <f aca="false">IF(E3779="Priority",'Cost model'!N260,'Cost model'!M260)</f>
        <v>115</v>
      </c>
      <c r="K3779" s="14" t="n">
        <f aca="false">J3779-H3779</f>
        <v>-10.97</v>
      </c>
      <c r="L3779" s="14" t="n">
        <f aca="false">G3779-H3779</f>
        <v>-80.97</v>
      </c>
    </row>
    <row r="3780" customFormat="false" ht="15" hidden="false" customHeight="false" outlineLevel="0" collapsed="false">
      <c r="A3780" s="2" t="s">
        <v>184</v>
      </c>
      <c r="B3780" s="2" t="s">
        <v>184</v>
      </c>
      <c r="C3780" s="2" t="s">
        <v>49</v>
      </c>
      <c r="D3780" s="2" t="s">
        <v>13</v>
      </c>
      <c r="E3780" s="2" t="s">
        <v>76</v>
      </c>
      <c r="F3780" s="2" t="s">
        <v>1145</v>
      </c>
      <c r="G3780" s="14" t="n">
        <v>24.5</v>
      </c>
      <c r="H3780" s="14" t="n">
        <v>106.02</v>
      </c>
      <c r="I3780" s="14"/>
      <c r="J3780" s="22" t="n">
        <f aca="false">IF(E3780="Priority",'Cost model'!N207,'Cost model'!M207)</f>
        <v>75</v>
      </c>
      <c r="K3780" s="14" t="n">
        <f aca="false">J3780-H3780</f>
        <v>-31.02</v>
      </c>
      <c r="L3780" s="14" t="n">
        <f aca="false">G3780-H3780</f>
        <v>-81.52</v>
      </c>
    </row>
    <row r="3781" customFormat="false" ht="15" hidden="false" customHeight="false" outlineLevel="0" collapsed="false">
      <c r="A3781" s="2" t="s">
        <v>184</v>
      </c>
      <c r="B3781" s="2" t="s">
        <v>184</v>
      </c>
      <c r="C3781" s="2" t="s">
        <v>50</v>
      </c>
      <c r="D3781" s="2" t="s">
        <v>12</v>
      </c>
      <c r="E3781" s="2" t="s">
        <v>76</v>
      </c>
      <c r="F3781" s="2" t="s">
        <v>1145</v>
      </c>
      <c r="G3781" s="14" t="n">
        <v>19.5</v>
      </c>
      <c r="H3781" s="14" t="n">
        <v>43.3</v>
      </c>
      <c r="I3781" s="14" t="n">
        <v>19.5</v>
      </c>
      <c r="J3781" s="22" t="n">
        <f aca="false">IF(E3781="Priority",'Cost model'!N205,'Cost model'!M205)</f>
        <v>50</v>
      </c>
      <c r="K3781" s="14" t="n">
        <f aca="false">J3781-H3781</f>
        <v>6.7</v>
      </c>
      <c r="L3781" s="14" t="n">
        <f aca="false">G3781-H3781</f>
        <v>-23.8</v>
      </c>
    </row>
    <row r="3782" customFormat="false" ht="15" hidden="false" customHeight="false" outlineLevel="0" collapsed="false">
      <c r="A3782" s="2" t="s">
        <v>184</v>
      </c>
      <c r="B3782" s="2" t="s">
        <v>184</v>
      </c>
      <c r="C3782" s="2" t="s">
        <v>50</v>
      </c>
      <c r="D3782" s="2" t="s">
        <v>14</v>
      </c>
      <c r="E3782" s="2" t="s">
        <v>76</v>
      </c>
      <c r="F3782" s="2" t="s">
        <v>1145</v>
      </c>
      <c r="G3782" s="14" t="n">
        <v>85</v>
      </c>
      <c r="H3782" s="14" t="n">
        <v>171.14</v>
      </c>
      <c r="I3782" s="14" t="n">
        <v>85</v>
      </c>
      <c r="J3782" s="22" t="n">
        <f aca="false">IF(E3782="Priority",'Cost model'!N211,'Cost model'!M211)</f>
        <v>175</v>
      </c>
      <c r="K3782" s="14" t="n">
        <f aca="false">J3782-H3782</f>
        <v>3.86000000000001</v>
      </c>
      <c r="L3782" s="14" t="n">
        <f aca="false">G3782-H3782</f>
        <v>-86.14</v>
      </c>
    </row>
    <row r="3783" customFormat="false" ht="15" hidden="false" customHeight="false" outlineLevel="0" collapsed="false">
      <c r="A3783" s="2" t="s">
        <v>240</v>
      </c>
      <c r="B3783" s="2" t="s">
        <v>240</v>
      </c>
      <c r="C3783" s="2" t="s">
        <v>48</v>
      </c>
      <c r="D3783" s="2" t="s">
        <v>12</v>
      </c>
      <c r="E3783" s="2" t="s">
        <v>76</v>
      </c>
      <c r="F3783" s="2" t="s">
        <v>1145</v>
      </c>
      <c r="G3783" s="14" t="n">
        <v>9.5</v>
      </c>
      <c r="H3783" s="14" t="n">
        <v>12.36</v>
      </c>
      <c r="I3783" s="14" t="n">
        <v>9.5</v>
      </c>
      <c r="J3783" s="22" t="n">
        <f aca="false">IF(E3783="Priority",'Cost model'!N887,'Cost model'!M887)</f>
        <v>21.5</v>
      </c>
      <c r="K3783" s="14" t="n">
        <f aca="false">J3783-H3783</f>
        <v>9.14</v>
      </c>
      <c r="L3783" s="14" t="n">
        <f aca="false">G3783-H3783</f>
        <v>-2.86</v>
      </c>
    </row>
    <row r="3784" customFormat="false" ht="15" hidden="false" customHeight="false" outlineLevel="0" collapsed="false">
      <c r="A3784" s="2" t="s">
        <v>240</v>
      </c>
      <c r="B3784" s="2" t="s">
        <v>240</v>
      </c>
      <c r="C3784" s="2" t="s">
        <v>50</v>
      </c>
      <c r="D3784" s="2" t="s">
        <v>12</v>
      </c>
      <c r="E3784" s="2" t="s">
        <v>76</v>
      </c>
      <c r="F3784" s="2" t="s">
        <v>1145</v>
      </c>
      <c r="G3784" s="14" t="n">
        <v>19.5</v>
      </c>
      <c r="H3784" s="14" t="n">
        <v>44.03</v>
      </c>
      <c r="I3784" s="14" t="n">
        <v>19.5</v>
      </c>
      <c r="J3784" s="22" t="n">
        <f aca="false">IF(E3784="Priority",'Cost model'!N889,'Cost model'!M889)</f>
        <v>60</v>
      </c>
      <c r="K3784" s="14" t="n">
        <f aca="false">J3784-H3784</f>
        <v>15.97</v>
      </c>
      <c r="L3784" s="14" t="n">
        <f aca="false">G3784-H3784</f>
        <v>-24.53</v>
      </c>
    </row>
    <row r="3785" customFormat="false" ht="15" hidden="false" customHeight="false" outlineLevel="0" collapsed="false">
      <c r="A3785" s="2" t="s">
        <v>126</v>
      </c>
      <c r="B3785" s="2" t="s">
        <v>126</v>
      </c>
      <c r="C3785" s="2" t="s">
        <v>48</v>
      </c>
      <c r="D3785" s="2" t="s">
        <v>10</v>
      </c>
      <c r="E3785" s="2" t="s">
        <v>76</v>
      </c>
      <c r="F3785" s="2" t="s">
        <v>1145</v>
      </c>
      <c r="G3785" s="14" t="n">
        <v>9.5</v>
      </c>
      <c r="H3785" s="14" t="n">
        <v>7.72</v>
      </c>
      <c r="I3785" s="14" t="n">
        <v>9.5</v>
      </c>
      <c r="J3785" s="22" t="n">
        <f aca="false">IF(E3785="Priority",'Cost model'!N380,'Cost model'!M380)</f>
        <v>8.5</v>
      </c>
      <c r="K3785" s="14" t="n">
        <f aca="false">J3785-H3785</f>
        <v>0.78</v>
      </c>
      <c r="L3785" s="14" t="n">
        <f aca="false">G3785-H3785</f>
        <v>1.78</v>
      </c>
    </row>
    <row r="3786" customFormat="false" ht="15" hidden="false" customHeight="false" outlineLevel="0" collapsed="false">
      <c r="A3786" s="2" t="s">
        <v>184</v>
      </c>
      <c r="B3786" s="2" t="s">
        <v>184</v>
      </c>
      <c r="C3786" s="2" t="s">
        <v>50</v>
      </c>
      <c r="D3786" s="2" t="s">
        <v>12</v>
      </c>
      <c r="E3786" s="2" t="s">
        <v>76</v>
      </c>
      <c r="F3786" s="2" t="s">
        <v>1145</v>
      </c>
      <c r="G3786" s="14" t="n">
        <v>19.5</v>
      </c>
      <c r="H3786" s="14" t="n">
        <v>59.17</v>
      </c>
      <c r="I3786" s="14" t="n">
        <v>19.5</v>
      </c>
      <c r="J3786" s="22" t="n">
        <f aca="false">IF(E3786="Priority",'Cost model'!N205,'Cost model'!M205)</f>
        <v>50</v>
      </c>
      <c r="K3786" s="14" t="n">
        <f aca="false">J3786-H3786</f>
        <v>-9.17</v>
      </c>
      <c r="L3786" s="14" t="n">
        <f aca="false">G3786-H3786</f>
        <v>-39.67</v>
      </c>
    </row>
    <row r="3787" customFormat="false" ht="15" hidden="false" customHeight="false" outlineLevel="0" collapsed="false">
      <c r="A3787" s="2" t="s">
        <v>221</v>
      </c>
      <c r="B3787" s="2" t="s">
        <v>221</v>
      </c>
      <c r="C3787" s="2" t="s">
        <v>49</v>
      </c>
      <c r="D3787" s="2" t="s">
        <v>10</v>
      </c>
      <c r="E3787" s="2" t="s">
        <v>76</v>
      </c>
      <c r="F3787" s="2" t="s">
        <v>1145</v>
      </c>
      <c r="G3787" s="14" t="n">
        <v>14.5</v>
      </c>
      <c r="H3787" s="14" t="n">
        <v>15.65</v>
      </c>
      <c r="I3787" s="14" t="n">
        <v>12.5</v>
      </c>
      <c r="J3787" s="22" t="n">
        <f aca="false">IF(E3787="Priority",'Cost model'!N633,'Cost model'!M633)</f>
        <v>13.5</v>
      </c>
      <c r="K3787" s="14" t="n">
        <f aca="false">J3787-H3787</f>
        <v>-2.15</v>
      </c>
      <c r="L3787" s="14" t="n">
        <f aca="false">G3787-H3787</f>
        <v>-1.15</v>
      </c>
    </row>
    <row r="3788" customFormat="false" ht="15" hidden="false" customHeight="false" outlineLevel="0" collapsed="false">
      <c r="A3788" s="2" t="s">
        <v>165</v>
      </c>
      <c r="B3788" s="2" t="s">
        <v>146</v>
      </c>
      <c r="C3788" s="2" t="s">
        <v>50</v>
      </c>
      <c r="D3788" s="2" t="s">
        <v>10</v>
      </c>
      <c r="E3788" s="2" t="s">
        <v>76</v>
      </c>
      <c r="F3788" s="2" t="s">
        <v>1146</v>
      </c>
      <c r="G3788" s="14" t="n">
        <v>17.5</v>
      </c>
      <c r="H3788" s="14" t="n">
        <v>30.96</v>
      </c>
      <c r="I3788" s="14" t="n">
        <v>17.5</v>
      </c>
      <c r="J3788" s="22" t="n">
        <f aca="false">IF(E3788="Priority",'Cost model'!N526,'Cost model'!M526)</f>
        <v>20.5</v>
      </c>
      <c r="K3788" s="14" t="n">
        <f aca="false">J3788-H3788</f>
        <v>-10.46</v>
      </c>
      <c r="L3788" s="14" t="n">
        <f aca="false">G3788-H3788</f>
        <v>-13.46</v>
      </c>
    </row>
    <row r="3789" customFormat="false" ht="15" hidden="false" customHeight="false" outlineLevel="0" collapsed="false">
      <c r="A3789" s="2" t="s">
        <v>165</v>
      </c>
      <c r="B3789" s="2" t="s">
        <v>165</v>
      </c>
      <c r="C3789" s="2" t="s">
        <v>50</v>
      </c>
      <c r="D3789" s="2" t="s">
        <v>10</v>
      </c>
      <c r="E3789" s="2" t="s">
        <v>85</v>
      </c>
      <c r="F3789" s="2" t="s">
        <v>1145</v>
      </c>
      <c r="G3789" s="14" t="n">
        <v>24.5</v>
      </c>
      <c r="H3789" s="14" t="n">
        <v>23.58</v>
      </c>
      <c r="I3789" s="14" t="n">
        <v>24.5</v>
      </c>
      <c r="J3789" s="22" t="n">
        <f aca="false">IF(E3789="Priority",'Cost model'!N508,'Cost model'!M508)</f>
        <v>23.5</v>
      </c>
      <c r="K3789" s="14" t="n">
        <f aca="false">J3789-H3789</f>
        <v>-0.0799999999999983</v>
      </c>
      <c r="L3789" s="14" t="n">
        <f aca="false">G3789-H3789</f>
        <v>0.920000000000002</v>
      </c>
    </row>
    <row r="3790" customFormat="false" ht="15" hidden="false" customHeight="false" outlineLevel="0" collapsed="false">
      <c r="A3790" s="2" t="s">
        <v>240</v>
      </c>
      <c r="B3790" s="2" t="s">
        <v>240</v>
      </c>
      <c r="C3790" s="2" t="s">
        <v>48</v>
      </c>
      <c r="D3790" s="2" t="s">
        <v>10</v>
      </c>
      <c r="E3790" s="2" t="s">
        <v>76</v>
      </c>
      <c r="F3790" s="2" t="s">
        <v>1145</v>
      </c>
      <c r="G3790" s="14" t="n">
        <v>19.5</v>
      </c>
      <c r="H3790" s="14" t="n">
        <v>6.12</v>
      </c>
      <c r="I3790" s="14" t="n">
        <v>9.5</v>
      </c>
      <c r="J3790" s="22" t="n">
        <f aca="false">IF(E3790="Priority",'Cost model'!N884,'Cost model'!M884)</f>
        <v>7.5</v>
      </c>
      <c r="K3790" s="14" t="n">
        <f aca="false">J3790-H3790</f>
        <v>1.38</v>
      </c>
      <c r="L3790" s="14" t="n">
        <f aca="false">G3790-H3790</f>
        <v>13.38</v>
      </c>
    </row>
    <row r="3791" customFormat="false" ht="15" hidden="false" customHeight="false" outlineLevel="0" collapsed="false">
      <c r="A3791" s="2" t="s">
        <v>184</v>
      </c>
      <c r="B3791" s="2" t="s">
        <v>184</v>
      </c>
      <c r="C3791" s="2" t="s">
        <v>48</v>
      </c>
      <c r="D3791" s="2" t="s">
        <v>12</v>
      </c>
      <c r="E3791" s="2" t="s">
        <v>76</v>
      </c>
      <c r="F3791" s="2" t="s">
        <v>1145</v>
      </c>
      <c r="G3791" s="14" t="n">
        <v>9.5</v>
      </c>
      <c r="H3791" s="14" t="n">
        <v>7.72</v>
      </c>
      <c r="I3791" s="14" t="n">
        <v>9.5</v>
      </c>
      <c r="J3791" s="22" t="n">
        <f aca="false">IF(E3791="Priority",'Cost model'!N203,'Cost model'!M203)</f>
        <v>26.5</v>
      </c>
      <c r="K3791" s="14" t="n">
        <f aca="false">J3791-H3791</f>
        <v>18.78</v>
      </c>
      <c r="L3791" s="14" t="n">
        <f aca="false">G3791-H3791</f>
        <v>1.78</v>
      </c>
    </row>
    <row r="3792" customFormat="false" ht="15" hidden="false" customHeight="false" outlineLevel="0" collapsed="false">
      <c r="A3792" s="2" t="s">
        <v>240</v>
      </c>
      <c r="B3792" s="2" t="s">
        <v>240</v>
      </c>
      <c r="C3792" s="2" t="s">
        <v>48</v>
      </c>
      <c r="D3792" s="2" t="s">
        <v>10</v>
      </c>
      <c r="E3792" s="2" t="s">
        <v>76</v>
      </c>
      <c r="F3792" s="2" t="s">
        <v>1145</v>
      </c>
      <c r="G3792" s="14" t="n">
        <v>9.5</v>
      </c>
      <c r="H3792" s="14" t="n">
        <v>8.01</v>
      </c>
      <c r="I3792" s="14" t="n">
        <v>9.5</v>
      </c>
      <c r="J3792" s="22" t="n">
        <f aca="false">IF(E3792="Priority",'Cost model'!N884,'Cost model'!M884)</f>
        <v>7.5</v>
      </c>
      <c r="K3792" s="14" t="n">
        <f aca="false">J3792-H3792</f>
        <v>-0.51</v>
      </c>
      <c r="L3792" s="14" t="n">
        <f aca="false">G3792-H3792</f>
        <v>1.49</v>
      </c>
    </row>
    <row r="3793" customFormat="false" ht="15" hidden="false" customHeight="false" outlineLevel="0" collapsed="false">
      <c r="A3793" s="2" t="s">
        <v>126</v>
      </c>
      <c r="B3793" s="2" t="s">
        <v>126</v>
      </c>
      <c r="C3793" s="2" t="s">
        <v>50</v>
      </c>
      <c r="D3793" s="2" t="s">
        <v>12</v>
      </c>
      <c r="E3793" s="2" t="s">
        <v>76</v>
      </c>
      <c r="F3793" s="2" t="s">
        <v>1145</v>
      </c>
      <c r="G3793" s="14" t="n">
        <v>19.5</v>
      </c>
      <c r="H3793" s="14" t="n">
        <v>21.76</v>
      </c>
      <c r="I3793" s="14" t="n">
        <v>19.5</v>
      </c>
      <c r="J3793" s="22" t="n">
        <f aca="false">IF(E3793="Priority",'Cost model'!N385,'Cost model'!M385)</f>
        <v>55</v>
      </c>
      <c r="K3793" s="14" t="n">
        <f aca="false">J3793-H3793</f>
        <v>33.24</v>
      </c>
      <c r="L3793" s="14" t="n">
        <f aca="false">G3793-H3793</f>
        <v>-2.26</v>
      </c>
    </row>
    <row r="3794" customFormat="false" ht="15" hidden="false" customHeight="false" outlineLevel="0" collapsed="false">
      <c r="A3794" s="2" t="s">
        <v>184</v>
      </c>
      <c r="B3794" s="2" t="s">
        <v>184</v>
      </c>
      <c r="C3794" s="2" t="s">
        <v>48</v>
      </c>
      <c r="D3794" s="2" t="s">
        <v>10</v>
      </c>
      <c r="E3794" s="2" t="s">
        <v>76</v>
      </c>
      <c r="F3794" s="2" t="s">
        <v>1145</v>
      </c>
      <c r="G3794" s="14" t="n">
        <v>9.5</v>
      </c>
      <c r="H3794" s="14" t="n">
        <v>9.89</v>
      </c>
      <c r="I3794" s="14" t="n">
        <v>9.5</v>
      </c>
      <c r="J3794" s="22" t="n">
        <f aca="false">IF(E3794="Priority",'Cost model'!N200,'Cost model'!M200)</f>
        <v>7.5</v>
      </c>
      <c r="K3794" s="14" t="n">
        <f aca="false">J3794-H3794</f>
        <v>-2.39</v>
      </c>
      <c r="L3794" s="14" t="n">
        <f aca="false">G3794-H3794</f>
        <v>-0.390000000000001</v>
      </c>
    </row>
    <row r="3795" customFormat="false" ht="15" hidden="false" customHeight="false" outlineLevel="0" collapsed="false">
      <c r="A3795" s="2" t="s">
        <v>184</v>
      </c>
      <c r="B3795" s="2" t="s">
        <v>146</v>
      </c>
      <c r="C3795" s="2" t="s">
        <v>48</v>
      </c>
      <c r="D3795" s="2" t="s">
        <v>12</v>
      </c>
      <c r="E3795" s="2" t="s">
        <v>76</v>
      </c>
      <c r="F3795" s="2" t="s">
        <v>1146</v>
      </c>
      <c r="G3795" s="14" t="n">
        <v>9.5</v>
      </c>
      <c r="H3795" s="14" t="n">
        <v>9.78</v>
      </c>
      <c r="I3795" s="14" t="n">
        <v>9.5</v>
      </c>
      <c r="J3795" s="22" t="n">
        <f aca="false">IF(E3795="Priority",'Cost model'!N149,'Cost model'!M149)</f>
        <v>45</v>
      </c>
      <c r="K3795" s="14" t="n">
        <f aca="false">J3795-H3795</f>
        <v>35.22</v>
      </c>
      <c r="L3795" s="14" t="n">
        <f aca="false">G3795-H3795</f>
        <v>-0.279999999999999</v>
      </c>
    </row>
    <row r="3796" customFormat="false" ht="15" hidden="false" customHeight="false" outlineLevel="0" collapsed="false">
      <c r="A3796" s="2" t="s">
        <v>126</v>
      </c>
      <c r="B3796" s="2" t="s">
        <v>240</v>
      </c>
      <c r="C3796" s="2" t="s">
        <v>49</v>
      </c>
      <c r="D3796" s="2" t="s">
        <v>12</v>
      </c>
      <c r="E3796" s="2" t="s">
        <v>76</v>
      </c>
      <c r="F3796" s="2" t="s">
        <v>1146</v>
      </c>
      <c r="G3796" s="14" t="n">
        <v>24.5</v>
      </c>
      <c r="H3796" s="14" t="n">
        <v>38.69</v>
      </c>
      <c r="I3796" s="14" t="n">
        <v>24.5</v>
      </c>
      <c r="J3796" s="22" t="n">
        <f aca="false">IF(E3796="Priority",'Cost model'!N492,'Cost model'!M492)</f>
        <v>60</v>
      </c>
      <c r="K3796" s="14" t="n">
        <f aca="false">J3796-H3796</f>
        <v>21.31</v>
      </c>
      <c r="L3796" s="14" t="n">
        <f aca="false">G3796-H3796</f>
        <v>-14.19</v>
      </c>
    </row>
    <row r="3797" customFormat="false" ht="15" hidden="false" customHeight="false" outlineLevel="0" collapsed="false">
      <c r="A3797" s="2" t="s">
        <v>126</v>
      </c>
      <c r="B3797" s="2" t="s">
        <v>126</v>
      </c>
      <c r="C3797" s="2" t="s">
        <v>49</v>
      </c>
      <c r="D3797" s="2" t="s">
        <v>12</v>
      </c>
      <c r="E3797" s="2" t="s">
        <v>76</v>
      </c>
      <c r="F3797" s="2" t="s">
        <v>1145</v>
      </c>
      <c r="G3797" s="14" t="n">
        <v>12.5</v>
      </c>
      <c r="H3797" s="14" t="n">
        <v>121.47</v>
      </c>
      <c r="I3797" s="14" t="n">
        <v>12.5</v>
      </c>
      <c r="J3797" s="22" t="n">
        <f aca="false">IF(E3797="Priority",'Cost model'!N384,'Cost model'!M384)</f>
        <v>45</v>
      </c>
      <c r="K3797" s="14" t="n">
        <f aca="false">J3797-H3797</f>
        <v>-76.47</v>
      </c>
      <c r="L3797" s="14" t="n">
        <f aca="false">G3797-H3797</f>
        <v>-108.97</v>
      </c>
    </row>
    <row r="3798" customFormat="false" ht="15" hidden="false" customHeight="false" outlineLevel="0" collapsed="false">
      <c r="A3798" s="2" t="s">
        <v>126</v>
      </c>
      <c r="B3798" s="2" t="s">
        <v>126</v>
      </c>
      <c r="C3798" s="2" t="s">
        <v>49</v>
      </c>
      <c r="D3798" s="2" t="s">
        <v>10</v>
      </c>
      <c r="E3798" s="2" t="s">
        <v>76</v>
      </c>
      <c r="F3798" s="2" t="s">
        <v>1145</v>
      </c>
      <c r="G3798" s="14" t="n">
        <v>12.5</v>
      </c>
      <c r="H3798" s="14" t="n">
        <v>11.34</v>
      </c>
      <c r="I3798" s="14" t="n">
        <v>12.5</v>
      </c>
      <c r="J3798" s="22" t="n">
        <f aca="false">IF(E3798="Priority",'Cost model'!N381,'Cost model'!M381)</f>
        <v>14.5</v>
      </c>
      <c r="K3798" s="14" t="n">
        <f aca="false">J3798-H3798</f>
        <v>3.16</v>
      </c>
      <c r="L3798" s="14" t="n">
        <f aca="false">G3798-H3798</f>
        <v>1.16</v>
      </c>
    </row>
    <row r="3799" customFormat="false" ht="15" hidden="false" customHeight="false" outlineLevel="0" collapsed="false">
      <c r="A3799" s="2" t="s">
        <v>126</v>
      </c>
      <c r="B3799" s="2" t="s">
        <v>126</v>
      </c>
      <c r="C3799" s="2" t="s">
        <v>48</v>
      </c>
      <c r="D3799" s="2" t="s">
        <v>10</v>
      </c>
      <c r="E3799" s="2" t="s">
        <v>76</v>
      </c>
      <c r="F3799" s="2" t="s">
        <v>1145</v>
      </c>
      <c r="G3799" s="14" t="n">
        <v>9.5</v>
      </c>
      <c r="H3799" s="14" t="n">
        <v>7.43</v>
      </c>
      <c r="I3799" s="14" t="n">
        <v>9.5</v>
      </c>
      <c r="J3799" s="22" t="n">
        <f aca="false">IF(E3799="Priority",'Cost model'!N380,'Cost model'!M380)</f>
        <v>8.5</v>
      </c>
      <c r="K3799" s="14" t="n">
        <f aca="false">J3799-H3799</f>
        <v>1.07</v>
      </c>
      <c r="L3799" s="14" t="n">
        <f aca="false">G3799-H3799</f>
        <v>2.07</v>
      </c>
    </row>
    <row r="3800" customFormat="false" ht="15" hidden="false" customHeight="false" outlineLevel="0" collapsed="false">
      <c r="A3800" s="2" t="s">
        <v>126</v>
      </c>
      <c r="B3800" s="2" t="s">
        <v>184</v>
      </c>
      <c r="C3800" s="2" t="s">
        <v>49</v>
      </c>
      <c r="D3800" s="2" t="s">
        <v>10</v>
      </c>
      <c r="E3800" s="2" t="s">
        <v>76</v>
      </c>
      <c r="F3800" s="2" t="s">
        <v>1146</v>
      </c>
      <c r="G3800" s="14" t="n">
        <v>12.5</v>
      </c>
      <c r="H3800" s="14" t="n">
        <v>6.8</v>
      </c>
      <c r="I3800" s="14" t="n">
        <v>14.5</v>
      </c>
      <c r="J3800" s="22" t="n">
        <f aca="false">IF(E3800="Priority",'Cost model'!N435,'Cost model'!M435)</f>
        <v>15.5</v>
      </c>
      <c r="K3800" s="14" t="n">
        <f aca="false">J3800-H3800</f>
        <v>8.7</v>
      </c>
      <c r="L3800" s="14" t="n">
        <f aca="false">G3800-H3800</f>
        <v>5.7</v>
      </c>
    </row>
    <row r="3801" customFormat="false" ht="15" hidden="false" customHeight="false" outlineLevel="0" collapsed="false">
      <c r="A3801" s="2" t="s">
        <v>184</v>
      </c>
      <c r="B3801" s="2" t="s">
        <v>184</v>
      </c>
      <c r="C3801" s="2" t="s">
        <v>48</v>
      </c>
      <c r="D3801" s="2" t="s">
        <v>12</v>
      </c>
      <c r="E3801" s="2" t="s">
        <v>85</v>
      </c>
      <c r="F3801" s="2" t="s">
        <v>1145</v>
      </c>
      <c r="G3801" s="14" t="n">
        <v>19.5</v>
      </c>
      <c r="H3801" s="14" t="n">
        <v>63.15</v>
      </c>
      <c r="I3801" s="14" t="n">
        <v>19.5</v>
      </c>
      <c r="J3801" s="22" t="n">
        <f aca="false">IF(E3801="Priority",'Cost model'!N203,'Cost model'!M203)</f>
        <v>35</v>
      </c>
      <c r="K3801" s="14" t="n">
        <f aca="false">J3801-H3801</f>
        <v>-28.15</v>
      </c>
      <c r="L3801" s="14" t="n">
        <f aca="false">G3801-H3801</f>
        <v>-43.65</v>
      </c>
    </row>
    <row r="3802" customFormat="false" ht="15" hidden="false" customHeight="false" outlineLevel="0" collapsed="false">
      <c r="A3802" s="2" t="s">
        <v>184</v>
      </c>
      <c r="B3802" s="2" t="s">
        <v>184</v>
      </c>
      <c r="C3802" s="2" t="s">
        <v>48</v>
      </c>
      <c r="D3802" s="2" t="s">
        <v>13</v>
      </c>
      <c r="E3802" s="2" t="s">
        <v>76</v>
      </c>
      <c r="F3802" s="2" t="s">
        <v>1145</v>
      </c>
      <c r="G3802" s="14" t="n">
        <v>19</v>
      </c>
      <c r="H3802" s="14" t="n">
        <v>33.83</v>
      </c>
      <c r="I3802" s="14" t="n">
        <v>19</v>
      </c>
      <c r="J3802" s="22" t="n">
        <f aca="false">IF(E3802="Priority",'Cost model'!N206,'Cost model'!M206)</f>
        <v>55</v>
      </c>
      <c r="K3802" s="14" t="n">
        <f aca="false">J3802-H3802</f>
        <v>21.17</v>
      </c>
      <c r="L3802" s="14" t="n">
        <f aca="false">G3802-H3802</f>
        <v>-14.83</v>
      </c>
    </row>
    <row r="3803" customFormat="false" ht="15" hidden="false" customHeight="false" outlineLevel="0" collapsed="false">
      <c r="A3803" s="2" t="s">
        <v>165</v>
      </c>
      <c r="B3803" s="2" t="s">
        <v>146</v>
      </c>
      <c r="C3803" s="2" t="s">
        <v>48</v>
      </c>
      <c r="D3803" s="2" t="s">
        <v>12</v>
      </c>
      <c r="E3803" s="2" t="s">
        <v>76</v>
      </c>
      <c r="F3803" s="2" t="s">
        <v>1146</v>
      </c>
      <c r="G3803" s="14" t="n">
        <v>19.5</v>
      </c>
      <c r="H3803" s="14" t="n">
        <v>71.89</v>
      </c>
      <c r="I3803" s="14" t="n">
        <v>19.5</v>
      </c>
      <c r="J3803" s="22" t="n">
        <f aca="false">IF(E3803="Priority",'Cost model'!N527,'Cost model'!M527)</f>
        <v>55</v>
      </c>
      <c r="K3803" s="14" t="n">
        <f aca="false">J3803-H3803</f>
        <v>-16.89</v>
      </c>
      <c r="L3803" s="14" t="n">
        <f aca="false">G3803-H3803</f>
        <v>-52.39</v>
      </c>
    </row>
    <row r="3804" customFormat="false" ht="15" hidden="false" customHeight="false" outlineLevel="0" collapsed="false">
      <c r="A3804" s="2" t="s">
        <v>126</v>
      </c>
      <c r="B3804" s="2" t="s">
        <v>146</v>
      </c>
      <c r="C3804" s="2" t="s">
        <v>48</v>
      </c>
      <c r="D3804" s="2" t="s">
        <v>12</v>
      </c>
      <c r="E3804" s="2" t="s">
        <v>76</v>
      </c>
      <c r="F3804" s="2" t="s">
        <v>1146</v>
      </c>
      <c r="G3804" s="14" t="n">
        <v>19.5</v>
      </c>
      <c r="H3804" s="14" t="n">
        <v>48.8</v>
      </c>
      <c r="I3804" s="14" t="n">
        <v>19.5</v>
      </c>
      <c r="J3804" s="22" t="n">
        <f aca="false">IF(E3804="Priority",'Cost model'!N401,'Cost model'!M401)</f>
        <v>60</v>
      </c>
      <c r="K3804" s="14" t="n">
        <f aca="false">J3804-H3804</f>
        <v>11.2</v>
      </c>
      <c r="L3804" s="14" t="n">
        <f aca="false">G3804-H3804</f>
        <v>-29.3</v>
      </c>
    </row>
    <row r="3805" customFormat="false" ht="15" hidden="false" customHeight="false" outlineLevel="0" collapsed="false">
      <c r="A3805" s="2" t="s">
        <v>146</v>
      </c>
      <c r="B3805" s="2" t="s">
        <v>146</v>
      </c>
      <c r="C3805" s="2" t="s">
        <v>49</v>
      </c>
      <c r="D3805" s="2" t="s">
        <v>10</v>
      </c>
      <c r="E3805" s="2" t="s">
        <v>76</v>
      </c>
      <c r="F3805" s="2" t="s">
        <v>1145</v>
      </c>
      <c r="G3805" s="14" t="n">
        <v>14.5</v>
      </c>
      <c r="H3805" s="14" t="n">
        <v>24.17</v>
      </c>
      <c r="I3805" s="14" t="n">
        <v>12.5</v>
      </c>
      <c r="J3805" s="22" t="n">
        <f aca="false">IF(E3805="Priority",'Cost model'!N759,'Cost model'!M759)</f>
        <v>15.5</v>
      </c>
      <c r="K3805" s="14" t="n">
        <f aca="false">J3805-H3805</f>
        <v>-8.67</v>
      </c>
      <c r="L3805" s="14" t="n">
        <f aca="false">G3805-H3805</f>
        <v>-9.67</v>
      </c>
    </row>
    <row r="3806" customFormat="false" ht="15" hidden="false" customHeight="false" outlineLevel="0" collapsed="false">
      <c r="A3806" s="2" t="s">
        <v>184</v>
      </c>
      <c r="B3806" s="2" t="s">
        <v>184</v>
      </c>
      <c r="C3806" s="2" t="s">
        <v>48</v>
      </c>
      <c r="D3806" s="2" t="s">
        <v>10</v>
      </c>
      <c r="E3806" s="2" t="s">
        <v>76</v>
      </c>
      <c r="F3806" s="2" t="s">
        <v>1145</v>
      </c>
      <c r="G3806" s="14" t="n">
        <v>9.5</v>
      </c>
      <c r="H3806" s="14" t="n">
        <v>7.45</v>
      </c>
      <c r="I3806" s="14" t="n">
        <v>9.5</v>
      </c>
      <c r="J3806" s="22" t="n">
        <f aca="false">IF(E3806="Priority",'Cost model'!N200,'Cost model'!M200)</f>
        <v>7.5</v>
      </c>
      <c r="K3806" s="14" t="n">
        <f aca="false">J3806-H3806</f>
        <v>0.0499999999999998</v>
      </c>
      <c r="L3806" s="14" t="n">
        <f aca="false">G3806-H3806</f>
        <v>2.05</v>
      </c>
    </row>
    <row r="3807" customFormat="false" ht="15" hidden="false" customHeight="false" outlineLevel="0" collapsed="false">
      <c r="A3807" s="2" t="s">
        <v>146</v>
      </c>
      <c r="B3807" s="2" t="s">
        <v>146</v>
      </c>
      <c r="C3807" s="2" t="s">
        <v>48</v>
      </c>
      <c r="D3807" s="2" t="s">
        <v>10</v>
      </c>
      <c r="E3807" s="2" t="s">
        <v>76</v>
      </c>
      <c r="F3807" s="2" t="s">
        <v>1145</v>
      </c>
      <c r="G3807" s="14" t="n">
        <v>9.5</v>
      </c>
      <c r="H3807" s="14" t="n">
        <v>7.32</v>
      </c>
      <c r="I3807" s="14" t="n">
        <v>9.5</v>
      </c>
      <c r="J3807" s="22" t="n">
        <f aca="false">IF(E3807="Priority",'Cost model'!N758,'Cost model'!M758)</f>
        <v>9.5</v>
      </c>
      <c r="K3807" s="14" t="n">
        <f aca="false">J3807-H3807</f>
        <v>2.18</v>
      </c>
      <c r="L3807" s="14" t="n">
        <f aca="false">G3807-H3807</f>
        <v>2.18</v>
      </c>
    </row>
    <row r="3808" customFormat="false" ht="15" hidden="false" customHeight="false" outlineLevel="0" collapsed="false">
      <c r="A3808" s="2" t="s">
        <v>125</v>
      </c>
      <c r="B3808" s="2" t="s">
        <v>146</v>
      </c>
      <c r="C3808" s="2" t="s">
        <v>48</v>
      </c>
      <c r="D3808" s="2" t="s">
        <v>12</v>
      </c>
      <c r="E3808" s="2" t="s">
        <v>76</v>
      </c>
      <c r="F3808" s="2" t="s">
        <v>1146</v>
      </c>
      <c r="G3808" s="14" t="n">
        <v>19.5</v>
      </c>
      <c r="H3808" s="14" t="n">
        <v>79.34</v>
      </c>
      <c r="I3808" s="14" t="n">
        <v>19.5</v>
      </c>
      <c r="J3808" s="22" t="n">
        <f aca="false">IF(E3808="Priority",'Cost model'!N23,'Cost model'!M23)</f>
        <v>55</v>
      </c>
      <c r="K3808" s="14" t="n">
        <f aca="false">J3808-H3808</f>
        <v>-24.34</v>
      </c>
      <c r="L3808" s="14" t="n">
        <f aca="false">G3808-H3808</f>
        <v>-59.84</v>
      </c>
    </row>
    <row r="3809" customFormat="false" ht="15" hidden="false" customHeight="false" outlineLevel="0" collapsed="false">
      <c r="A3809" s="2" t="s">
        <v>146</v>
      </c>
      <c r="B3809" s="2" t="s">
        <v>146</v>
      </c>
      <c r="C3809" s="2" t="s">
        <v>49</v>
      </c>
      <c r="D3809" s="2" t="s">
        <v>12</v>
      </c>
      <c r="E3809" s="2" t="s">
        <v>76</v>
      </c>
      <c r="F3809" s="2" t="s">
        <v>1145</v>
      </c>
      <c r="G3809" s="14" t="n">
        <v>12.5</v>
      </c>
      <c r="H3809" s="14" t="n">
        <v>42.61</v>
      </c>
      <c r="I3809" s="14" t="n">
        <v>12.5</v>
      </c>
      <c r="J3809" s="22" t="n">
        <f aca="false">IF(E3809="Priority",'Cost model'!N762,'Cost model'!M762)</f>
        <v>45</v>
      </c>
      <c r="K3809" s="14" t="n">
        <f aca="false">J3809-H3809</f>
        <v>2.39</v>
      </c>
      <c r="L3809" s="14" t="n">
        <f aca="false">G3809-H3809</f>
        <v>-30.11</v>
      </c>
    </row>
    <row r="3810" customFormat="false" ht="15" hidden="false" customHeight="false" outlineLevel="0" collapsed="false">
      <c r="A3810" s="2" t="s">
        <v>240</v>
      </c>
      <c r="B3810" s="2" t="s">
        <v>146</v>
      </c>
      <c r="C3810" s="2" t="s">
        <v>48</v>
      </c>
      <c r="D3810" s="2" t="s">
        <v>12</v>
      </c>
      <c r="E3810" s="2" t="s">
        <v>76</v>
      </c>
      <c r="F3810" s="2" t="s">
        <v>1146</v>
      </c>
      <c r="G3810" s="14" t="n">
        <v>24.5</v>
      </c>
      <c r="H3810" s="14" t="n">
        <v>63.26</v>
      </c>
      <c r="I3810" s="14" t="n">
        <v>24.5</v>
      </c>
      <c r="J3810" s="22" t="n">
        <f aca="false">IF(E3810="Priority",'Cost model'!N923,'Cost model'!M923)</f>
        <v>65</v>
      </c>
      <c r="K3810" s="14" t="n">
        <f aca="false">J3810-H3810</f>
        <v>1.74</v>
      </c>
      <c r="L3810" s="14" t="n">
        <f aca="false">G3810-H3810</f>
        <v>-38.76</v>
      </c>
    </row>
    <row r="3811" customFormat="false" ht="15" hidden="false" customHeight="false" outlineLevel="0" collapsed="false">
      <c r="A3811" s="2" t="s">
        <v>385</v>
      </c>
      <c r="B3811" s="2" t="s">
        <v>240</v>
      </c>
      <c r="C3811" s="2" t="s">
        <v>48</v>
      </c>
      <c r="D3811" s="2" t="s">
        <v>14</v>
      </c>
      <c r="E3811" s="2" t="s">
        <v>76</v>
      </c>
      <c r="F3811" s="2" t="s">
        <v>1146</v>
      </c>
      <c r="G3811" s="14" t="n">
        <v>95</v>
      </c>
      <c r="H3811" s="14" t="n">
        <v>213.92</v>
      </c>
      <c r="I3811" s="14" t="n">
        <v>150</v>
      </c>
      <c r="J3811" s="22" t="n">
        <f aca="false">IF(E3811="Priority",'Cost model'!N299,'Cost model'!M299)</f>
        <v>180</v>
      </c>
      <c r="K3811" s="14" t="n">
        <f aca="false">J3811-H3811</f>
        <v>-33.92</v>
      </c>
      <c r="L3811" s="14" t="n">
        <f aca="false">G3811-H3811</f>
        <v>-118.92</v>
      </c>
    </row>
    <row r="3812" customFormat="false" ht="15" hidden="false" customHeight="false" outlineLevel="0" collapsed="false">
      <c r="A3812" s="2" t="s">
        <v>126</v>
      </c>
      <c r="B3812" s="2" t="s">
        <v>184</v>
      </c>
      <c r="C3812" s="2" t="s">
        <v>49</v>
      </c>
      <c r="D3812" s="2" t="s">
        <v>12</v>
      </c>
      <c r="E3812" s="2" t="s">
        <v>76</v>
      </c>
      <c r="F3812" s="2" t="s">
        <v>1146</v>
      </c>
      <c r="G3812" s="14" t="n">
        <v>19.5</v>
      </c>
      <c r="H3812" s="14" t="n">
        <v>29.99</v>
      </c>
      <c r="I3812" s="14" t="n">
        <v>19.5</v>
      </c>
      <c r="J3812" s="22" t="n">
        <f aca="false">IF(E3812="Priority",'Cost model'!N438,'Cost model'!M438)</f>
        <v>55</v>
      </c>
      <c r="K3812" s="14" t="n">
        <f aca="false">J3812-H3812</f>
        <v>25.01</v>
      </c>
      <c r="L3812" s="14" t="n">
        <f aca="false">G3812-H3812</f>
        <v>-10.49</v>
      </c>
    </row>
    <row r="3813" customFormat="false" ht="15" hidden="false" customHeight="false" outlineLevel="0" collapsed="false">
      <c r="A3813" s="2" t="s">
        <v>221</v>
      </c>
      <c r="B3813" s="2" t="s">
        <v>125</v>
      </c>
      <c r="C3813" s="2" t="s">
        <v>49</v>
      </c>
      <c r="D3813" s="2" t="s">
        <v>10</v>
      </c>
      <c r="E3813" s="2" t="s">
        <v>76</v>
      </c>
      <c r="F3813" s="2" t="s">
        <v>1146</v>
      </c>
      <c r="G3813" s="14" t="n">
        <v>14.5</v>
      </c>
      <c r="H3813" s="14" t="n">
        <v>23.58</v>
      </c>
      <c r="I3813" s="14" t="n">
        <v>19.5</v>
      </c>
      <c r="J3813" s="22" t="n">
        <f aca="false">IF(E3813="Priority",'Cost model'!N723,'Cost model'!M723)</f>
        <v>17.5</v>
      </c>
      <c r="K3813" s="14" t="n">
        <f aca="false">J3813-H3813</f>
        <v>-6.08</v>
      </c>
      <c r="L3813" s="14" t="n">
        <f aca="false">G3813-H3813</f>
        <v>-9.08</v>
      </c>
    </row>
    <row r="3814" customFormat="false" ht="15" hidden="false" customHeight="false" outlineLevel="0" collapsed="false">
      <c r="A3814" s="2" t="s">
        <v>126</v>
      </c>
      <c r="B3814" s="2" t="s">
        <v>126</v>
      </c>
      <c r="C3814" s="2" t="s">
        <v>50</v>
      </c>
      <c r="D3814" s="2" t="s">
        <v>10</v>
      </c>
      <c r="E3814" s="2" t="s">
        <v>85</v>
      </c>
      <c r="F3814" s="2" t="s">
        <v>1145</v>
      </c>
      <c r="G3814" s="14" t="n">
        <v>24.5</v>
      </c>
      <c r="H3814" s="14" t="n">
        <v>21.34</v>
      </c>
      <c r="I3814" s="14" t="n">
        <v>24.5</v>
      </c>
      <c r="J3814" s="22" t="n">
        <f aca="false">IF(E3814="Priority",'Cost model'!N382,'Cost model'!M382)</f>
        <v>25.5</v>
      </c>
      <c r="K3814" s="14" t="n">
        <f aca="false">J3814-H3814</f>
        <v>4.16</v>
      </c>
      <c r="L3814" s="14" t="n">
        <f aca="false">G3814-H3814</f>
        <v>3.16</v>
      </c>
    </row>
    <row r="3815" customFormat="false" ht="15" hidden="false" customHeight="false" outlineLevel="0" collapsed="false">
      <c r="A3815" s="2" t="s">
        <v>126</v>
      </c>
      <c r="B3815" s="2" t="s">
        <v>125</v>
      </c>
      <c r="C3815" s="2" t="s">
        <v>49</v>
      </c>
      <c r="D3815" s="2" t="s">
        <v>10</v>
      </c>
      <c r="E3815" s="2" t="s">
        <v>76</v>
      </c>
      <c r="F3815" s="2" t="s">
        <v>1146</v>
      </c>
      <c r="G3815" s="14" t="n">
        <v>45</v>
      </c>
      <c r="H3815" s="14" t="n">
        <v>194.53</v>
      </c>
      <c r="I3815" s="14" t="n">
        <v>19.5</v>
      </c>
      <c r="J3815" s="22" t="n">
        <f aca="false">IF(E3815="Priority",'Cost model'!N471,'Cost model'!M471)</f>
        <v>35</v>
      </c>
      <c r="K3815" s="14" t="n">
        <f aca="false">J3815-H3815</f>
        <v>-159.53</v>
      </c>
      <c r="L3815" s="14" t="n">
        <f aca="false">G3815-H3815</f>
        <v>-149.53</v>
      </c>
    </row>
    <row r="3816" customFormat="false" ht="15" hidden="false" customHeight="false" outlineLevel="0" collapsed="false">
      <c r="A3816" s="2" t="s">
        <v>126</v>
      </c>
      <c r="B3816" s="2" t="s">
        <v>126</v>
      </c>
      <c r="C3816" s="2" t="s">
        <v>48</v>
      </c>
      <c r="D3816" s="2" t="s">
        <v>12</v>
      </c>
      <c r="E3816" s="2" t="s">
        <v>76</v>
      </c>
      <c r="F3816" s="2" t="s">
        <v>1145</v>
      </c>
      <c r="G3816" s="14" t="n">
        <v>9.5</v>
      </c>
      <c r="H3816" s="14" t="n">
        <v>7.45</v>
      </c>
      <c r="I3816" s="14" t="n">
        <v>9.5</v>
      </c>
      <c r="J3816" s="22" t="n">
        <f aca="false">IF(E3816="Priority",'Cost model'!N383,'Cost model'!M383)</f>
        <v>27.5</v>
      </c>
      <c r="K3816" s="14" t="n">
        <f aca="false">J3816-H3816</f>
        <v>20.05</v>
      </c>
      <c r="L3816" s="14" t="n">
        <f aca="false">G3816-H3816</f>
        <v>2.05</v>
      </c>
    </row>
    <row r="3817" customFormat="false" ht="15" hidden="false" customHeight="false" outlineLevel="0" collapsed="false">
      <c r="A3817" s="2" t="s">
        <v>184</v>
      </c>
      <c r="B3817" s="2" t="s">
        <v>146</v>
      </c>
      <c r="C3817" s="2" t="s">
        <v>48</v>
      </c>
      <c r="D3817" s="2" t="s">
        <v>13</v>
      </c>
      <c r="E3817" s="2" t="s">
        <v>76</v>
      </c>
      <c r="F3817" s="2" t="s">
        <v>1146</v>
      </c>
      <c r="G3817" s="14" t="n">
        <v>19</v>
      </c>
      <c r="H3817" s="14" t="n">
        <v>51.11</v>
      </c>
      <c r="I3817" s="14" t="n">
        <v>19</v>
      </c>
      <c r="J3817" s="22" t="n">
        <f aca="false">IF(E3817="Priority",'Cost model'!N152,'Cost model'!M152)</f>
        <v>65</v>
      </c>
      <c r="K3817" s="14" t="n">
        <f aca="false">J3817-H3817</f>
        <v>13.89</v>
      </c>
      <c r="L3817" s="14" t="n">
        <f aca="false">G3817-H3817</f>
        <v>-32.11</v>
      </c>
    </row>
    <row r="3818" customFormat="false" ht="15" hidden="false" customHeight="false" outlineLevel="0" collapsed="false">
      <c r="A3818" s="2" t="s">
        <v>146</v>
      </c>
      <c r="B3818" s="2" t="s">
        <v>146</v>
      </c>
      <c r="C3818" s="2" t="s">
        <v>48</v>
      </c>
      <c r="D3818" s="2" t="s">
        <v>10</v>
      </c>
      <c r="E3818" s="2" t="s">
        <v>76</v>
      </c>
      <c r="F3818" s="2" t="s">
        <v>1145</v>
      </c>
      <c r="G3818" s="14" t="n">
        <v>9.5</v>
      </c>
      <c r="H3818" s="14" t="n">
        <v>9.68</v>
      </c>
      <c r="I3818" s="14" t="n">
        <v>9.5</v>
      </c>
      <c r="J3818" s="22" t="n">
        <f aca="false">IF(E3818="Priority",'Cost model'!N758,'Cost model'!M758)</f>
        <v>9.5</v>
      </c>
      <c r="K3818" s="14" t="n">
        <f aca="false">J3818-H3818</f>
        <v>-0.18</v>
      </c>
      <c r="L3818" s="14" t="n">
        <f aca="false">G3818-H3818</f>
        <v>-0.18</v>
      </c>
    </row>
    <row r="3819" customFormat="false" ht="15" hidden="false" customHeight="false" outlineLevel="0" collapsed="false">
      <c r="A3819" s="2" t="s">
        <v>126</v>
      </c>
      <c r="B3819" s="2" t="s">
        <v>126</v>
      </c>
      <c r="C3819" s="2" t="s">
        <v>48</v>
      </c>
      <c r="D3819" s="2" t="s">
        <v>14</v>
      </c>
      <c r="E3819" s="2" t="s">
        <v>76</v>
      </c>
      <c r="F3819" s="2" t="s">
        <v>1145</v>
      </c>
      <c r="G3819" s="14" t="n">
        <v>25</v>
      </c>
      <c r="H3819" s="14" t="n">
        <v>74.92</v>
      </c>
      <c r="I3819" s="14" t="n">
        <v>25</v>
      </c>
      <c r="J3819" s="22" t="n">
        <f aca="false">IF(E3819="Priority",'Cost model'!N389,'Cost model'!M389)</f>
        <v>95</v>
      </c>
      <c r="K3819" s="14" t="n">
        <f aca="false">J3819-H3819</f>
        <v>20.08</v>
      </c>
      <c r="L3819" s="14" t="n">
        <f aca="false">G3819-H3819</f>
        <v>-49.92</v>
      </c>
    </row>
    <row r="3820" customFormat="false" ht="15" hidden="false" customHeight="false" outlineLevel="0" collapsed="false">
      <c r="A3820" s="2" t="s">
        <v>125</v>
      </c>
      <c r="B3820" s="2" t="s">
        <v>184</v>
      </c>
      <c r="C3820" s="2" t="s">
        <v>48</v>
      </c>
      <c r="D3820" s="2" t="s">
        <v>10</v>
      </c>
      <c r="E3820" s="2" t="s">
        <v>85</v>
      </c>
      <c r="F3820" s="2" t="s">
        <v>1146</v>
      </c>
      <c r="G3820" s="14" t="n">
        <v>19.5</v>
      </c>
      <c r="H3820" s="14" t="n">
        <v>7.02</v>
      </c>
      <c r="I3820" s="14" t="n">
        <v>19.5</v>
      </c>
      <c r="J3820" s="22" t="n">
        <f aca="false">IF(E3820="Priority",'Cost model'!N56,'Cost model'!M56)</f>
        <v>16.5</v>
      </c>
      <c r="K3820" s="14" t="n">
        <f aca="false">J3820-H3820</f>
        <v>9.48</v>
      </c>
      <c r="L3820" s="14" t="n">
        <f aca="false">G3820-H3820</f>
        <v>12.48</v>
      </c>
    </row>
    <row r="3821" customFormat="false" ht="15" hidden="false" customHeight="false" outlineLevel="0" collapsed="false">
      <c r="A3821" s="2" t="s">
        <v>184</v>
      </c>
      <c r="B3821" s="2" t="s">
        <v>184</v>
      </c>
      <c r="C3821" s="2" t="s">
        <v>49</v>
      </c>
      <c r="D3821" s="2" t="s">
        <v>10</v>
      </c>
      <c r="E3821" s="2" t="s">
        <v>76</v>
      </c>
      <c r="F3821" s="2" t="s">
        <v>1145</v>
      </c>
      <c r="G3821" s="14" t="n">
        <v>12.5</v>
      </c>
      <c r="H3821" s="14" t="n">
        <v>9.05</v>
      </c>
      <c r="I3821" s="14"/>
      <c r="J3821" s="22" t="n">
        <f aca="false">IF(E3821="Priority",'Cost model'!N201,'Cost model'!M201)</f>
        <v>12.5</v>
      </c>
      <c r="K3821" s="14" t="n">
        <f aca="false">J3821-H3821</f>
        <v>3.45</v>
      </c>
      <c r="L3821" s="14" t="n">
        <f aca="false">G3821-H3821</f>
        <v>3.45</v>
      </c>
    </row>
    <row r="3822" customFormat="false" ht="15" hidden="false" customHeight="false" outlineLevel="0" collapsed="false">
      <c r="A3822" s="2" t="s">
        <v>184</v>
      </c>
      <c r="B3822" s="2" t="s">
        <v>184</v>
      </c>
      <c r="C3822" s="2" t="s">
        <v>49</v>
      </c>
      <c r="D3822" s="2" t="s">
        <v>16</v>
      </c>
      <c r="E3822" s="2" t="s">
        <v>76</v>
      </c>
      <c r="F3822" s="2" t="s">
        <v>1145</v>
      </c>
      <c r="G3822" s="14" t="n">
        <v>85</v>
      </c>
      <c r="H3822" s="14" t="n">
        <v>351.7</v>
      </c>
      <c r="I3822" s="14"/>
      <c r="J3822" s="22" t="n">
        <f aca="false">IF(E3822="Priority",'Cost model'!N216,'Cost model'!M216)</f>
        <v>215</v>
      </c>
      <c r="K3822" s="14" t="n">
        <f aca="false">J3822-H3822</f>
        <v>-136.7</v>
      </c>
      <c r="L3822" s="14" t="n">
        <f aca="false">G3822-H3822</f>
        <v>-266.7</v>
      </c>
    </row>
    <row r="3823" customFormat="false" ht="15" hidden="false" customHeight="false" outlineLevel="0" collapsed="false">
      <c r="A3823" s="2" t="s">
        <v>146</v>
      </c>
      <c r="B3823" s="2" t="s">
        <v>126</v>
      </c>
      <c r="C3823" s="2" t="s">
        <v>48</v>
      </c>
      <c r="D3823" s="2" t="s">
        <v>13</v>
      </c>
      <c r="E3823" s="2" t="s">
        <v>76</v>
      </c>
      <c r="F3823" s="2" t="s">
        <v>1146</v>
      </c>
      <c r="G3823" s="14" t="n">
        <v>24.5</v>
      </c>
      <c r="H3823" s="14" t="n">
        <v>47.28</v>
      </c>
      <c r="I3823" s="14" t="n">
        <v>24.5</v>
      </c>
      <c r="J3823" s="22" t="n">
        <f aca="false">IF(E3823="Priority",'Cost model'!N800,'Cost model'!M800)</f>
        <v>70</v>
      </c>
      <c r="K3823" s="14" t="n">
        <f aca="false">J3823-H3823</f>
        <v>22.72</v>
      </c>
      <c r="L3823" s="14" t="n">
        <f aca="false">G3823-H3823</f>
        <v>-22.78</v>
      </c>
    </row>
    <row r="3824" customFormat="false" ht="15" hidden="false" customHeight="false" outlineLevel="0" collapsed="false">
      <c r="A3824" s="2" t="s">
        <v>184</v>
      </c>
      <c r="B3824" s="2" t="s">
        <v>184</v>
      </c>
      <c r="C3824" s="2" t="s">
        <v>48</v>
      </c>
      <c r="D3824" s="2" t="s">
        <v>10</v>
      </c>
      <c r="E3824" s="2" t="s">
        <v>76</v>
      </c>
      <c r="F3824" s="2" t="s">
        <v>1145</v>
      </c>
      <c r="G3824" s="14" t="n">
        <v>9.5</v>
      </c>
      <c r="H3824" s="14" t="n">
        <v>7.46</v>
      </c>
      <c r="I3824" s="14" t="n">
        <v>9.5</v>
      </c>
      <c r="J3824" s="22" t="n">
        <f aca="false">IF(E3824="Priority",'Cost model'!N200,'Cost model'!M200)</f>
        <v>7.5</v>
      </c>
      <c r="K3824" s="14" t="n">
        <f aca="false">J3824-H3824</f>
        <v>0.04</v>
      </c>
      <c r="L3824" s="14" t="n">
        <f aca="false">G3824-H3824</f>
        <v>2.04</v>
      </c>
    </row>
    <row r="3825" customFormat="false" ht="15" hidden="false" customHeight="false" outlineLevel="0" collapsed="false">
      <c r="A3825" s="2" t="s">
        <v>146</v>
      </c>
      <c r="B3825" s="2" t="s">
        <v>146</v>
      </c>
      <c r="C3825" s="2" t="s">
        <v>50</v>
      </c>
      <c r="D3825" s="2" t="s">
        <v>13</v>
      </c>
      <c r="E3825" s="2" t="s">
        <v>76</v>
      </c>
      <c r="F3825" s="2" t="s">
        <v>1145</v>
      </c>
      <c r="G3825" s="14" t="n">
        <v>50</v>
      </c>
      <c r="H3825" s="14" t="n">
        <v>25.01</v>
      </c>
      <c r="I3825" s="14" t="n">
        <v>50</v>
      </c>
      <c r="J3825" s="22" t="n">
        <f aca="false">IF(E3825="Priority",'Cost model'!N766,'Cost model'!M766)</f>
        <v>90</v>
      </c>
      <c r="K3825" s="14" t="n">
        <f aca="false">J3825-H3825</f>
        <v>64.99</v>
      </c>
      <c r="L3825" s="14" t="n">
        <f aca="false">G3825-H3825</f>
        <v>24.99</v>
      </c>
    </row>
    <row r="3826" customFormat="false" ht="15" hidden="false" customHeight="false" outlineLevel="0" collapsed="false">
      <c r="A3826" s="2" t="s">
        <v>126</v>
      </c>
      <c r="B3826" s="2" t="s">
        <v>126</v>
      </c>
      <c r="C3826" s="2" t="s">
        <v>48</v>
      </c>
      <c r="D3826" s="2" t="s">
        <v>12</v>
      </c>
      <c r="E3826" s="2" t="s">
        <v>76</v>
      </c>
      <c r="F3826" s="2" t="s">
        <v>1145</v>
      </c>
      <c r="G3826" s="14" t="n">
        <v>9.5</v>
      </c>
      <c r="H3826" s="14" t="n">
        <v>12.76</v>
      </c>
      <c r="I3826" s="14" t="n">
        <v>9.5</v>
      </c>
      <c r="J3826" s="22" t="n">
        <f aca="false">IF(E3826="Priority",'Cost model'!N383,'Cost model'!M383)</f>
        <v>27.5</v>
      </c>
      <c r="K3826" s="14" t="n">
        <f aca="false">J3826-H3826</f>
        <v>14.74</v>
      </c>
      <c r="L3826" s="14" t="n">
        <f aca="false">G3826-H3826</f>
        <v>-3.26</v>
      </c>
    </row>
    <row r="3827" customFormat="false" ht="15" hidden="false" customHeight="false" outlineLevel="0" collapsed="false">
      <c r="A3827" s="2" t="s">
        <v>240</v>
      </c>
      <c r="B3827" s="2" t="s">
        <v>240</v>
      </c>
      <c r="C3827" s="2" t="s">
        <v>48</v>
      </c>
      <c r="D3827" s="2" t="s">
        <v>12</v>
      </c>
      <c r="E3827" s="2" t="s">
        <v>76</v>
      </c>
      <c r="F3827" s="2" t="s">
        <v>1145</v>
      </c>
      <c r="G3827" s="14" t="n">
        <v>9.5</v>
      </c>
      <c r="H3827" s="14" t="n">
        <v>28.37</v>
      </c>
      <c r="I3827" s="14" t="n">
        <v>9.5</v>
      </c>
      <c r="J3827" s="22" t="n">
        <f aca="false">IF(E3827="Priority",'Cost model'!N887,'Cost model'!M887)</f>
        <v>21.5</v>
      </c>
      <c r="K3827" s="14" t="n">
        <f aca="false">J3827-H3827</f>
        <v>-6.87</v>
      </c>
      <c r="L3827" s="14" t="n">
        <f aca="false">G3827-H3827</f>
        <v>-18.87</v>
      </c>
    </row>
    <row r="3828" customFormat="false" ht="15" hidden="false" customHeight="false" outlineLevel="0" collapsed="false">
      <c r="A3828" s="2" t="s">
        <v>126</v>
      </c>
      <c r="B3828" s="2" t="s">
        <v>184</v>
      </c>
      <c r="C3828" s="2" t="s">
        <v>50</v>
      </c>
      <c r="D3828" s="2" t="s">
        <v>14</v>
      </c>
      <c r="E3828" s="2" t="s">
        <v>76</v>
      </c>
      <c r="F3828" s="2" t="s">
        <v>1146</v>
      </c>
      <c r="G3828" s="14" t="n">
        <v>85</v>
      </c>
      <c r="H3828" s="14" t="n">
        <v>657.57</v>
      </c>
      <c r="I3828" s="14" t="n">
        <v>199</v>
      </c>
      <c r="J3828" s="22" t="n">
        <f aca="false">IF(E3828="Priority",'Cost model'!N445,'Cost model'!M445)</f>
        <v>250</v>
      </c>
      <c r="K3828" s="14" t="n">
        <f aca="false">J3828-H3828</f>
        <v>-407.57</v>
      </c>
      <c r="L3828" s="14" t="n">
        <f aca="false">G3828-H3828</f>
        <v>-572.57</v>
      </c>
    </row>
    <row r="3829" customFormat="false" ht="15" hidden="false" customHeight="false" outlineLevel="0" collapsed="false">
      <c r="A3829" s="2" t="s">
        <v>146</v>
      </c>
      <c r="B3829" s="2" t="s">
        <v>146</v>
      </c>
      <c r="C3829" s="2" t="s">
        <v>48</v>
      </c>
      <c r="D3829" s="2" t="s">
        <v>16</v>
      </c>
      <c r="E3829" s="2" t="s">
        <v>76</v>
      </c>
      <c r="F3829" s="2" t="s">
        <v>1145</v>
      </c>
      <c r="G3829" s="14" t="n">
        <v>45</v>
      </c>
      <c r="H3829" s="14" t="n">
        <v>114.95</v>
      </c>
      <c r="I3829" s="14" t="n">
        <v>45</v>
      </c>
      <c r="J3829" s="22" t="n">
        <f aca="false">IF(E3829="Priority",'Cost model'!N773,'Cost model'!M773)</f>
        <v>125</v>
      </c>
      <c r="K3829" s="14" t="n">
        <f aca="false">J3829-H3829</f>
        <v>10.05</v>
      </c>
      <c r="L3829" s="14" t="n">
        <f aca="false">G3829-H3829</f>
        <v>-69.95</v>
      </c>
    </row>
    <row r="3830" customFormat="false" ht="15" hidden="false" customHeight="false" outlineLevel="0" collapsed="false">
      <c r="A3830" s="2" t="s">
        <v>221</v>
      </c>
      <c r="B3830" s="2" t="s">
        <v>146</v>
      </c>
      <c r="C3830" s="2" t="s">
        <v>48</v>
      </c>
      <c r="D3830" s="2" t="s">
        <v>10</v>
      </c>
      <c r="E3830" s="2" t="s">
        <v>85</v>
      </c>
      <c r="F3830" s="2" t="s">
        <v>1146</v>
      </c>
      <c r="G3830" s="14" t="n">
        <v>19.5</v>
      </c>
      <c r="H3830" s="14" t="n">
        <v>21.34</v>
      </c>
      <c r="I3830" s="14" t="n">
        <v>19.5</v>
      </c>
      <c r="J3830" s="22" t="n">
        <f aca="false">IF(E3830="Priority",'Cost model'!N650,'Cost model'!M650)</f>
        <v>22.5</v>
      </c>
      <c r="K3830" s="14" t="n">
        <f aca="false">J3830-H3830</f>
        <v>1.16</v>
      </c>
      <c r="L3830" s="14" t="n">
        <f aca="false">G3830-H3830</f>
        <v>-1.84</v>
      </c>
    </row>
    <row r="3831" customFormat="false" ht="15" hidden="false" customHeight="false" outlineLevel="0" collapsed="false">
      <c r="A3831" s="2" t="s">
        <v>184</v>
      </c>
      <c r="B3831" s="2" t="s">
        <v>184</v>
      </c>
      <c r="C3831" s="2" t="s">
        <v>50</v>
      </c>
      <c r="D3831" s="2" t="s">
        <v>14</v>
      </c>
      <c r="E3831" s="2" t="s">
        <v>76</v>
      </c>
      <c r="F3831" s="2" t="s">
        <v>1145</v>
      </c>
      <c r="G3831" s="14" t="n">
        <v>85</v>
      </c>
      <c r="H3831" s="14" t="n">
        <v>77.53</v>
      </c>
      <c r="I3831" s="14" t="n">
        <v>85</v>
      </c>
      <c r="J3831" s="22" t="n">
        <f aca="false">IF(E3831="Priority",'Cost model'!N211,'Cost model'!M211)</f>
        <v>175</v>
      </c>
      <c r="K3831" s="14" t="n">
        <f aca="false">J3831-H3831</f>
        <v>97.47</v>
      </c>
      <c r="L3831" s="14" t="n">
        <f aca="false">G3831-H3831</f>
        <v>7.47</v>
      </c>
    </row>
    <row r="3832" customFormat="false" ht="15" hidden="false" customHeight="false" outlineLevel="0" collapsed="false">
      <c r="A3832" s="2" t="s">
        <v>184</v>
      </c>
      <c r="B3832" s="2" t="s">
        <v>184</v>
      </c>
      <c r="C3832" s="2" t="s">
        <v>49</v>
      </c>
      <c r="D3832" s="2" t="s">
        <v>12</v>
      </c>
      <c r="E3832" s="2" t="s">
        <v>76</v>
      </c>
      <c r="F3832" s="2" t="s">
        <v>1145</v>
      </c>
      <c r="G3832" s="14" t="n">
        <v>12.5</v>
      </c>
      <c r="H3832" s="14" t="n">
        <v>45.65</v>
      </c>
      <c r="I3832" s="14" t="n">
        <v>12.5</v>
      </c>
      <c r="J3832" s="22" t="n">
        <f aca="false">IF(E3832="Priority",'Cost model'!N204,'Cost model'!M204)</f>
        <v>45</v>
      </c>
      <c r="K3832" s="14" t="n">
        <f aca="false">J3832-H3832</f>
        <v>-0.649999999999999</v>
      </c>
      <c r="L3832" s="14" t="n">
        <f aca="false">G3832-H3832</f>
        <v>-33.15</v>
      </c>
    </row>
    <row r="3833" customFormat="false" ht="15" hidden="false" customHeight="false" outlineLevel="0" collapsed="false">
      <c r="A3833" s="2" t="s">
        <v>240</v>
      </c>
      <c r="B3833" s="2" t="s">
        <v>240</v>
      </c>
      <c r="C3833" s="2" t="s">
        <v>48</v>
      </c>
      <c r="D3833" s="2" t="s">
        <v>10</v>
      </c>
      <c r="E3833" s="2" t="s">
        <v>76</v>
      </c>
      <c r="F3833" s="2" t="s">
        <v>1145</v>
      </c>
      <c r="G3833" s="14" t="n">
        <v>9.5</v>
      </c>
      <c r="H3833" s="14" t="n">
        <v>8.06</v>
      </c>
      <c r="I3833" s="14" t="n">
        <v>9.5</v>
      </c>
      <c r="J3833" s="22" t="n">
        <f aca="false">IF(E3833="Priority",'Cost model'!N884,'Cost model'!M884)</f>
        <v>7.5</v>
      </c>
      <c r="K3833" s="14" t="n">
        <f aca="false">J3833-H3833</f>
        <v>-0.560000000000001</v>
      </c>
      <c r="L3833" s="14" t="n">
        <f aca="false">G3833-H3833</f>
        <v>1.44</v>
      </c>
    </row>
    <row r="3834" customFormat="false" ht="15" hidden="false" customHeight="false" outlineLevel="0" collapsed="false">
      <c r="A3834" s="2" t="s">
        <v>184</v>
      </c>
      <c r="B3834" s="2" t="s">
        <v>126</v>
      </c>
      <c r="C3834" s="2" t="s">
        <v>49</v>
      </c>
      <c r="D3834" s="2" t="s">
        <v>10</v>
      </c>
      <c r="E3834" s="2" t="s">
        <v>76</v>
      </c>
      <c r="F3834" s="2" t="s">
        <v>1146</v>
      </c>
      <c r="G3834" s="14" t="n">
        <v>12.5</v>
      </c>
      <c r="H3834" s="14" t="n">
        <v>11.59</v>
      </c>
      <c r="I3834" s="14" t="n">
        <v>12.5</v>
      </c>
      <c r="J3834" s="22" t="n">
        <f aca="false">IF(E3834="Priority",'Cost model'!N129,'Cost model'!M129)</f>
        <v>13.5</v>
      </c>
      <c r="K3834" s="14" t="n">
        <f aca="false">J3834-H3834</f>
        <v>1.91</v>
      </c>
      <c r="L3834" s="14" t="n">
        <f aca="false">G3834-H3834</f>
        <v>0.91</v>
      </c>
    </row>
    <row r="3835" customFormat="false" ht="15" hidden="false" customHeight="false" outlineLevel="0" collapsed="false">
      <c r="A3835" s="2" t="s">
        <v>146</v>
      </c>
      <c r="B3835" s="2" t="s">
        <v>146</v>
      </c>
      <c r="C3835" s="2" t="s">
        <v>48</v>
      </c>
      <c r="D3835" s="2" t="s">
        <v>13</v>
      </c>
      <c r="E3835" s="2" t="s">
        <v>76</v>
      </c>
      <c r="F3835" s="2" t="s">
        <v>1145</v>
      </c>
      <c r="G3835" s="14" t="n">
        <v>19</v>
      </c>
      <c r="H3835" s="14" t="n">
        <v>77.44</v>
      </c>
      <c r="I3835" s="14" t="n">
        <v>19</v>
      </c>
      <c r="J3835" s="22" t="n">
        <f aca="false">IF(E3835="Priority",'Cost model'!N764,'Cost model'!M764)</f>
        <v>55</v>
      </c>
      <c r="K3835" s="14" t="n">
        <f aca="false">J3835-H3835</f>
        <v>-22.44</v>
      </c>
      <c r="L3835" s="14" t="n">
        <f aca="false">G3835-H3835</f>
        <v>-58.44</v>
      </c>
    </row>
    <row r="3836" customFormat="false" ht="15" hidden="false" customHeight="false" outlineLevel="0" collapsed="false">
      <c r="A3836" s="2" t="s">
        <v>184</v>
      </c>
      <c r="B3836" s="2" t="s">
        <v>184</v>
      </c>
      <c r="C3836" s="2" t="s">
        <v>50</v>
      </c>
      <c r="D3836" s="2" t="s">
        <v>12</v>
      </c>
      <c r="E3836" s="2" t="s">
        <v>76</v>
      </c>
      <c r="F3836" s="2" t="s">
        <v>1145</v>
      </c>
      <c r="G3836" s="14" t="n">
        <v>19.5</v>
      </c>
      <c r="H3836" s="14" t="n">
        <v>47</v>
      </c>
      <c r="I3836" s="14" t="n">
        <v>19.5</v>
      </c>
      <c r="J3836" s="22" t="n">
        <f aca="false">IF(E3836="Priority",'Cost model'!N205,'Cost model'!M205)</f>
        <v>50</v>
      </c>
      <c r="K3836" s="14" t="n">
        <f aca="false">J3836-H3836</f>
        <v>3</v>
      </c>
      <c r="L3836" s="14" t="n">
        <f aca="false">G3836-H3836</f>
        <v>-27.5</v>
      </c>
    </row>
    <row r="3837" customFormat="false" ht="15" hidden="false" customHeight="false" outlineLevel="0" collapsed="false">
      <c r="A3837" s="2" t="s">
        <v>184</v>
      </c>
      <c r="B3837" s="2" t="s">
        <v>184</v>
      </c>
      <c r="C3837" s="2" t="s">
        <v>49</v>
      </c>
      <c r="D3837" s="2" t="s">
        <v>12</v>
      </c>
      <c r="E3837" s="2" t="s">
        <v>76</v>
      </c>
      <c r="F3837" s="2" t="s">
        <v>1145</v>
      </c>
      <c r="G3837" s="14" t="n">
        <v>12.5</v>
      </c>
      <c r="H3837" s="14" t="n">
        <v>49.03</v>
      </c>
      <c r="I3837" s="14"/>
      <c r="J3837" s="22" t="n">
        <f aca="false">IF(E3837="Priority",'Cost model'!N204,'Cost model'!M204)</f>
        <v>45</v>
      </c>
      <c r="K3837" s="14" t="n">
        <f aca="false">J3837-H3837</f>
        <v>-4.03</v>
      </c>
      <c r="L3837" s="14" t="n">
        <f aca="false">G3837-H3837</f>
        <v>-36.53</v>
      </c>
    </row>
    <row r="3838" customFormat="false" ht="15" hidden="false" customHeight="false" outlineLevel="0" collapsed="false">
      <c r="A3838" s="2" t="s">
        <v>146</v>
      </c>
      <c r="B3838" s="2" t="s">
        <v>165</v>
      </c>
      <c r="C3838" s="2" t="s">
        <v>48</v>
      </c>
      <c r="D3838" s="2" t="s">
        <v>10</v>
      </c>
      <c r="E3838" s="2" t="s">
        <v>76</v>
      </c>
      <c r="F3838" s="2" t="s">
        <v>1146</v>
      </c>
      <c r="G3838" s="14" t="n">
        <v>14.5</v>
      </c>
      <c r="H3838" s="14" t="n">
        <v>12.45</v>
      </c>
      <c r="I3838" s="14" t="n">
        <v>14.5</v>
      </c>
      <c r="J3838" s="22" t="n">
        <f aca="false">IF(E3838="Priority",'Cost model'!N776,'Cost model'!M776)</f>
        <v>13.5</v>
      </c>
      <c r="K3838" s="14" t="n">
        <f aca="false">J3838-H3838</f>
        <v>1.05</v>
      </c>
      <c r="L3838" s="14" t="n">
        <f aca="false">G3838-H3838</f>
        <v>2.05</v>
      </c>
    </row>
    <row r="3839" customFormat="false" ht="15" hidden="false" customHeight="false" outlineLevel="0" collapsed="false">
      <c r="A3839" s="2" t="s">
        <v>126</v>
      </c>
      <c r="B3839" s="2" t="s">
        <v>126</v>
      </c>
      <c r="C3839" s="2" t="s">
        <v>49</v>
      </c>
      <c r="D3839" s="2" t="s">
        <v>12</v>
      </c>
      <c r="E3839" s="2" t="s">
        <v>76</v>
      </c>
      <c r="F3839" s="2" t="s">
        <v>1145</v>
      </c>
      <c r="G3839" s="14" t="n">
        <v>12.5</v>
      </c>
      <c r="H3839" s="14" t="n">
        <v>37.1</v>
      </c>
      <c r="I3839" s="14" t="n">
        <v>12.5</v>
      </c>
      <c r="J3839" s="22" t="n">
        <f aca="false">IF(E3839="Priority",'Cost model'!N384,'Cost model'!M384)</f>
        <v>45</v>
      </c>
      <c r="K3839" s="14" t="n">
        <f aca="false">J3839-H3839</f>
        <v>7.9</v>
      </c>
      <c r="L3839" s="14" t="n">
        <f aca="false">G3839-H3839</f>
        <v>-24.6</v>
      </c>
    </row>
    <row r="3840" customFormat="false" ht="15" hidden="false" customHeight="false" outlineLevel="0" collapsed="false">
      <c r="A3840" s="2" t="s">
        <v>240</v>
      </c>
      <c r="B3840" s="2" t="s">
        <v>240</v>
      </c>
      <c r="C3840" s="2" t="s">
        <v>49</v>
      </c>
      <c r="D3840" s="2" t="s">
        <v>10</v>
      </c>
      <c r="E3840" s="2" t="s">
        <v>76</v>
      </c>
      <c r="F3840" s="2" t="s">
        <v>1145</v>
      </c>
      <c r="G3840" s="14" t="n">
        <v>19.5</v>
      </c>
      <c r="H3840" s="14" t="n">
        <v>13.95</v>
      </c>
      <c r="I3840" s="14" t="n">
        <v>12.5</v>
      </c>
      <c r="J3840" s="22" t="n">
        <f aca="false">IF(E3840="Priority",'Cost model'!N885,'Cost model'!M885)</f>
        <v>13.5</v>
      </c>
      <c r="K3840" s="14" t="n">
        <f aca="false">J3840-H3840</f>
        <v>-0.449999999999999</v>
      </c>
      <c r="L3840" s="14" t="n">
        <f aca="false">G3840-H3840</f>
        <v>5.55</v>
      </c>
    </row>
    <row r="3841" customFormat="false" ht="15" hidden="false" customHeight="false" outlineLevel="0" collapsed="false">
      <c r="A3841" s="2" t="s">
        <v>184</v>
      </c>
      <c r="B3841" s="2" t="s">
        <v>126</v>
      </c>
      <c r="C3841" s="2" t="s">
        <v>49</v>
      </c>
      <c r="D3841" s="2" t="s">
        <v>10</v>
      </c>
      <c r="E3841" s="2" t="s">
        <v>76</v>
      </c>
      <c r="F3841" s="2" t="s">
        <v>1146</v>
      </c>
      <c r="G3841" s="14" t="n">
        <v>12.5</v>
      </c>
      <c r="H3841" s="14" t="n">
        <v>12.54</v>
      </c>
      <c r="I3841" s="14"/>
      <c r="J3841" s="22" t="n">
        <f aca="false">IF(E3841="Priority",'Cost model'!N129,'Cost model'!M129)</f>
        <v>13.5</v>
      </c>
      <c r="K3841" s="14" t="n">
        <f aca="false">J3841-H3841</f>
        <v>0.960000000000001</v>
      </c>
      <c r="L3841" s="14" t="n">
        <f aca="false">G3841-H3841</f>
        <v>-0.0399999999999992</v>
      </c>
    </row>
    <row r="3842" customFormat="false" ht="15" hidden="false" customHeight="false" outlineLevel="0" collapsed="false">
      <c r="A3842" s="2" t="s">
        <v>184</v>
      </c>
      <c r="B3842" s="2" t="s">
        <v>184</v>
      </c>
      <c r="C3842" s="2" t="s">
        <v>50</v>
      </c>
      <c r="D3842" s="2" t="s">
        <v>10</v>
      </c>
      <c r="E3842" s="2" t="s">
        <v>76</v>
      </c>
      <c r="F3842" s="2" t="s">
        <v>1145</v>
      </c>
      <c r="G3842" s="14" t="n">
        <v>17.5</v>
      </c>
      <c r="H3842" s="14" t="n">
        <v>11.59</v>
      </c>
      <c r="I3842" s="14" t="n">
        <v>17.5</v>
      </c>
      <c r="J3842" s="22" t="n">
        <f aca="false">IF(E3842="Priority",'Cost model'!N202,'Cost model'!M202)</f>
        <v>17.5</v>
      </c>
      <c r="K3842" s="14" t="n">
        <f aca="false">J3842-H3842</f>
        <v>5.91</v>
      </c>
      <c r="L3842" s="14" t="n">
        <f aca="false">G3842-H3842</f>
        <v>5.91</v>
      </c>
    </row>
    <row r="3843" customFormat="false" ht="15" hidden="false" customHeight="false" outlineLevel="0" collapsed="false">
      <c r="A3843" s="2" t="s">
        <v>126</v>
      </c>
      <c r="B3843" s="2" t="s">
        <v>126</v>
      </c>
      <c r="C3843" s="2" t="s">
        <v>48</v>
      </c>
      <c r="D3843" s="2" t="s">
        <v>12</v>
      </c>
      <c r="E3843" s="2" t="s">
        <v>76</v>
      </c>
      <c r="F3843" s="2" t="s">
        <v>1145</v>
      </c>
      <c r="G3843" s="14" t="n">
        <v>9.5</v>
      </c>
      <c r="H3843" s="14" t="n">
        <v>31.49</v>
      </c>
      <c r="I3843" s="14" t="n">
        <v>9.5</v>
      </c>
      <c r="J3843" s="22" t="n">
        <f aca="false">IF(E3843="Priority",'Cost model'!N383,'Cost model'!M383)</f>
        <v>27.5</v>
      </c>
      <c r="K3843" s="14" t="n">
        <f aca="false">J3843-H3843</f>
        <v>-3.99</v>
      </c>
      <c r="L3843" s="14" t="n">
        <f aca="false">G3843-H3843</f>
        <v>-21.99</v>
      </c>
    </row>
    <row r="3844" customFormat="false" ht="15" hidden="false" customHeight="false" outlineLevel="0" collapsed="false">
      <c r="A3844" s="2" t="s">
        <v>184</v>
      </c>
      <c r="B3844" s="2" t="s">
        <v>184</v>
      </c>
      <c r="C3844" s="2" t="s">
        <v>48</v>
      </c>
      <c r="D3844" s="2" t="s">
        <v>12</v>
      </c>
      <c r="E3844" s="2" t="s">
        <v>76</v>
      </c>
      <c r="F3844" s="2" t="s">
        <v>1145</v>
      </c>
      <c r="G3844" s="14" t="n">
        <v>9.5</v>
      </c>
      <c r="H3844" s="14" t="n">
        <v>30.47</v>
      </c>
      <c r="I3844" s="14" t="n">
        <v>9.5</v>
      </c>
      <c r="J3844" s="22" t="n">
        <f aca="false">IF(E3844="Priority",'Cost model'!N203,'Cost model'!M203)</f>
        <v>26.5</v>
      </c>
      <c r="K3844" s="14" t="n">
        <f aca="false">J3844-H3844</f>
        <v>-3.97</v>
      </c>
      <c r="L3844" s="14" t="n">
        <f aca="false">G3844-H3844</f>
        <v>-20.97</v>
      </c>
    </row>
    <row r="3845" customFormat="false" ht="15" hidden="false" customHeight="false" outlineLevel="0" collapsed="false">
      <c r="A3845" s="2" t="s">
        <v>126</v>
      </c>
      <c r="B3845" s="2" t="s">
        <v>165</v>
      </c>
      <c r="C3845" s="2" t="s">
        <v>49</v>
      </c>
      <c r="D3845" s="2" t="s">
        <v>16</v>
      </c>
      <c r="E3845" s="2" t="s">
        <v>76</v>
      </c>
      <c r="F3845" s="2" t="s">
        <v>1146</v>
      </c>
      <c r="G3845" s="14" t="n">
        <v>300</v>
      </c>
      <c r="H3845" s="14" t="n">
        <v>495.03</v>
      </c>
      <c r="I3845" s="14" t="n">
        <v>125</v>
      </c>
      <c r="J3845" s="22" t="n">
        <f aca="false">IF(E3845="Priority",'Cost model'!N432,'Cost model'!M432)</f>
        <v>435</v>
      </c>
      <c r="K3845" s="14" t="n">
        <f aca="false">J3845-H3845</f>
        <v>-60.03</v>
      </c>
      <c r="L3845" s="14" t="n">
        <f aca="false">G3845-H3845</f>
        <v>-195.03</v>
      </c>
    </row>
    <row r="3846" customFormat="false" ht="15" hidden="false" customHeight="false" outlineLevel="0" collapsed="false">
      <c r="A3846" s="2" t="s">
        <v>184</v>
      </c>
      <c r="B3846" s="2" t="s">
        <v>184</v>
      </c>
      <c r="C3846" s="2" t="s">
        <v>48</v>
      </c>
      <c r="D3846" s="2" t="s">
        <v>12</v>
      </c>
      <c r="E3846" s="2" t="s">
        <v>76</v>
      </c>
      <c r="F3846" s="2" t="s">
        <v>1145</v>
      </c>
      <c r="G3846" s="14" t="n">
        <v>9.5</v>
      </c>
      <c r="H3846" s="14" t="n">
        <v>114.46</v>
      </c>
      <c r="I3846" s="14" t="n">
        <v>9.5</v>
      </c>
      <c r="J3846" s="22" t="n">
        <f aca="false">IF(E3846="Priority",'Cost model'!N203,'Cost model'!M203)</f>
        <v>26.5</v>
      </c>
      <c r="K3846" s="14" t="n">
        <f aca="false">J3846-H3846</f>
        <v>-87.96</v>
      </c>
      <c r="L3846" s="14" t="n">
        <f aca="false">G3846-H3846</f>
        <v>-104.96</v>
      </c>
    </row>
    <row r="3847" customFormat="false" ht="15" hidden="false" customHeight="false" outlineLevel="0" collapsed="false">
      <c r="A3847" s="2" t="s">
        <v>165</v>
      </c>
      <c r="B3847" s="2" t="s">
        <v>126</v>
      </c>
      <c r="C3847" s="2" t="s">
        <v>48</v>
      </c>
      <c r="D3847" s="2" t="s">
        <v>12</v>
      </c>
      <c r="E3847" s="2" t="s">
        <v>76</v>
      </c>
      <c r="F3847" s="2" t="s">
        <v>1146</v>
      </c>
      <c r="G3847" s="14" t="n">
        <v>9.5</v>
      </c>
      <c r="H3847" s="14" t="n">
        <v>44.39</v>
      </c>
      <c r="I3847" s="14" t="n">
        <v>19.5</v>
      </c>
      <c r="J3847" s="22" t="n">
        <f aca="false">IF(E3847="Priority",'Cost model'!N545,'Cost model'!M545)</f>
        <v>50</v>
      </c>
      <c r="K3847" s="14" t="n">
        <f aca="false">J3847-H3847</f>
        <v>5.61</v>
      </c>
      <c r="L3847" s="14" t="n">
        <f aca="false">G3847-H3847</f>
        <v>-34.89</v>
      </c>
    </row>
    <row r="3848" customFormat="false" ht="15" hidden="false" customHeight="false" outlineLevel="0" collapsed="false">
      <c r="A3848" s="2" t="s">
        <v>184</v>
      </c>
      <c r="B3848" s="2" t="s">
        <v>184</v>
      </c>
      <c r="C3848" s="2" t="s">
        <v>48</v>
      </c>
      <c r="D3848" s="2" t="s">
        <v>10</v>
      </c>
      <c r="E3848" s="2" t="s">
        <v>76</v>
      </c>
      <c r="F3848" s="2" t="s">
        <v>1145</v>
      </c>
      <c r="G3848" s="14" t="n">
        <v>9.5</v>
      </c>
      <c r="H3848" s="14" t="n">
        <v>9.89</v>
      </c>
      <c r="I3848" s="14" t="n">
        <v>9.5</v>
      </c>
      <c r="J3848" s="22" t="n">
        <f aca="false">IF(E3848="Priority",'Cost model'!N200,'Cost model'!M200)</f>
        <v>7.5</v>
      </c>
      <c r="K3848" s="14" t="n">
        <f aca="false">J3848-H3848</f>
        <v>-2.39</v>
      </c>
      <c r="L3848" s="14" t="n">
        <f aca="false">G3848-H3848</f>
        <v>-0.390000000000001</v>
      </c>
    </row>
    <row r="3849" customFormat="false" ht="15" hidden="false" customHeight="false" outlineLevel="0" collapsed="false">
      <c r="A3849" s="2" t="s">
        <v>146</v>
      </c>
      <c r="B3849" s="2" t="s">
        <v>146</v>
      </c>
      <c r="C3849" s="2" t="s">
        <v>48</v>
      </c>
      <c r="D3849" s="2" t="s">
        <v>12</v>
      </c>
      <c r="E3849" s="2" t="s">
        <v>76</v>
      </c>
      <c r="F3849" s="2" t="s">
        <v>1145</v>
      </c>
      <c r="G3849" s="14" t="n">
        <v>9.5</v>
      </c>
      <c r="H3849" s="14" t="n">
        <v>44.21</v>
      </c>
      <c r="I3849" s="14" t="n">
        <v>9.5</v>
      </c>
      <c r="J3849" s="22" t="n">
        <f aca="false">IF(E3849="Priority",'Cost model'!N761,'Cost model'!M761)</f>
        <v>35</v>
      </c>
      <c r="K3849" s="14" t="n">
        <f aca="false">J3849-H3849</f>
        <v>-9.21</v>
      </c>
      <c r="L3849" s="14" t="n">
        <f aca="false">G3849-H3849</f>
        <v>-34.71</v>
      </c>
    </row>
    <row r="3850" customFormat="false" ht="15" hidden="false" customHeight="false" outlineLevel="0" collapsed="false">
      <c r="A3850" s="2" t="s">
        <v>126</v>
      </c>
      <c r="B3850" s="2" t="s">
        <v>126</v>
      </c>
      <c r="C3850" s="2" t="s">
        <v>48</v>
      </c>
      <c r="D3850" s="2" t="s">
        <v>12</v>
      </c>
      <c r="E3850" s="2" t="s">
        <v>76</v>
      </c>
      <c r="F3850" s="2" t="s">
        <v>1145</v>
      </c>
      <c r="G3850" s="14" t="n">
        <v>9.5</v>
      </c>
      <c r="H3850" s="14" t="n">
        <v>27.45</v>
      </c>
      <c r="I3850" s="14" t="n">
        <v>9.5</v>
      </c>
      <c r="J3850" s="22" t="n">
        <f aca="false">IF(E3850="Priority",'Cost model'!N383,'Cost model'!M383)</f>
        <v>27.5</v>
      </c>
      <c r="K3850" s="14" t="n">
        <f aca="false">J3850-H3850</f>
        <v>0.0500000000000007</v>
      </c>
      <c r="L3850" s="14" t="n">
        <f aca="false">G3850-H3850</f>
        <v>-17.95</v>
      </c>
    </row>
    <row r="3851" customFormat="false" ht="15" hidden="false" customHeight="false" outlineLevel="0" collapsed="false">
      <c r="A3851" s="2" t="s">
        <v>240</v>
      </c>
      <c r="B3851" s="2" t="s">
        <v>240</v>
      </c>
      <c r="C3851" s="2" t="s">
        <v>50</v>
      </c>
      <c r="D3851" s="2" t="s">
        <v>12</v>
      </c>
      <c r="E3851" s="2" t="s">
        <v>76</v>
      </c>
      <c r="F3851" s="2" t="s">
        <v>1145</v>
      </c>
      <c r="G3851" s="14" t="n">
        <v>19.5</v>
      </c>
      <c r="H3851" s="14" t="n">
        <v>181.17</v>
      </c>
      <c r="I3851" s="14" t="n">
        <v>19.5</v>
      </c>
      <c r="J3851" s="22" t="n">
        <f aca="false">IF(E3851="Priority",'Cost model'!N889,'Cost model'!M889)</f>
        <v>60</v>
      </c>
      <c r="K3851" s="14" t="n">
        <f aca="false">J3851-H3851</f>
        <v>-121.17</v>
      </c>
      <c r="L3851" s="14" t="n">
        <f aca="false">G3851-H3851</f>
        <v>-161.67</v>
      </c>
    </row>
    <row r="3852" customFormat="false" ht="15" hidden="false" customHeight="false" outlineLevel="0" collapsed="false">
      <c r="A3852" s="2" t="s">
        <v>126</v>
      </c>
      <c r="B3852" s="2" t="s">
        <v>126</v>
      </c>
      <c r="C3852" s="2" t="s">
        <v>48</v>
      </c>
      <c r="D3852" s="2" t="s">
        <v>10</v>
      </c>
      <c r="E3852" s="2" t="s">
        <v>76</v>
      </c>
      <c r="F3852" s="2" t="s">
        <v>1145</v>
      </c>
      <c r="G3852" s="14" t="n">
        <v>9.5</v>
      </c>
      <c r="H3852" s="14" t="n">
        <v>21.76</v>
      </c>
      <c r="I3852" s="14" t="n">
        <v>9.5</v>
      </c>
      <c r="J3852" s="22" t="n">
        <f aca="false">IF(E3852="Priority",'Cost model'!N380,'Cost model'!M380)</f>
        <v>8.5</v>
      </c>
      <c r="K3852" s="14" t="n">
        <f aca="false">J3852-H3852</f>
        <v>-13.26</v>
      </c>
      <c r="L3852" s="14" t="n">
        <f aca="false">G3852-H3852</f>
        <v>-12.26</v>
      </c>
    </row>
    <row r="3853" customFormat="false" ht="15" hidden="false" customHeight="false" outlineLevel="0" collapsed="false">
      <c r="A3853" s="2" t="s">
        <v>184</v>
      </c>
      <c r="B3853" s="2" t="s">
        <v>184</v>
      </c>
      <c r="C3853" s="2" t="s">
        <v>50</v>
      </c>
      <c r="D3853" s="2" t="s">
        <v>10</v>
      </c>
      <c r="E3853" s="2" t="s">
        <v>76</v>
      </c>
      <c r="F3853" s="2" t="s">
        <v>1145</v>
      </c>
      <c r="G3853" s="14" t="n">
        <v>17.5</v>
      </c>
      <c r="H3853" s="14" t="n">
        <v>18.29</v>
      </c>
      <c r="I3853" s="14" t="n">
        <v>17.5</v>
      </c>
      <c r="J3853" s="22" t="n">
        <f aca="false">IF(E3853="Priority",'Cost model'!N202,'Cost model'!M202)</f>
        <v>17.5</v>
      </c>
      <c r="K3853" s="14" t="n">
        <f aca="false">J3853-H3853</f>
        <v>-0.789999999999999</v>
      </c>
      <c r="L3853" s="14" t="n">
        <f aca="false">G3853-H3853</f>
        <v>-0.789999999999999</v>
      </c>
    </row>
    <row r="3854" customFormat="false" ht="15" hidden="false" customHeight="false" outlineLevel="0" collapsed="false">
      <c r="A3854" s="2" t="s">
        <v>184</v>
      </c>
      <c r="B3854" s="2" t="s">
        <v>165</v>
      </c>
      <c r="C3854" s="2" t="s">
        <v>50</v>
      </c>
      <c r="D3854" s="2" t="s">
        <v>10</v>
      </c>
      <c r="E3854" s="2" t="s">
        <v>76</v>
      </c>
      <c r="F3854" s="2" t="s">
        <v>1146</v>
      </c>
      <c r="G3854" s="14" t="n">
        <v>17.5</v>
      </c>
      <c r="H3854" s="14" t="n">
        <v>15.99</v>
      </c>
      <c r="I3854" s="14" t="n">
        <v>17.5</v>
      </c>
      <c r="J3854" s="22" t="n">
        <f aca="false">IF(E3854="Priority",'Cost model'!N166,'Cost model'!M166)</f>
        <v>18.5</v>
      </c>
      <c r="K3854" s="14" t="n">
        <f aca="false">J3854-H3854</f>
        <v>2.51</v>
      </c>
      <c r="L3854" s="14" t="n">
        <f aca="false">G3854-H3854</f>
        <v>1.51</v>
      </c>
    </row>
    <row r="3855" customFormat="false" ht="15" hidden="false" customHeight="false" outlineLevel="0" collapsed="false">
      <c r="A3855" s="2" t="s">
        <v>184</v>
      </c>
      <c r="B3855" s="2" t="s">
        <v>184</v>
      </c>
      <c r="C3855" s="2" t="s">
        <v>48</v>
      </c>
      <c r="D3855" s="2" t="s">
        <v>12</v>
      </c>
      <c r="E3855" s="2" t="s">
        <v>85</v>
      </c>
      <c r="F3855" s="2" t="s">
        <v>1145</v>
      </c>
      <c r="G3855" s="14" t="n">
        <v>19.5</v>
      </c>
      <c r="H3855" s="14" t="n">
        <v>76.66</v>
      </c>
      <c r="I3855" s="14" t="n">
        <v>19.5</v>
      </c>
      <c r="J3855" s="22" t="n">
        <f aca="false">IF(E3855="Priority",'Cost model'!N203,'Cost model'!M203)</f>
        <v>35</v>
      </c>
      <c r="K3855" s="14" t="n">
        <f aca="false">J3855-H3855</f>
        <v>-41.66</v>
      </c>
      <c r="L3855" s="14" t="n">
        <f aca="false">G3855-H3855</f>
        <v>-57.16</v>
      </c>
    </row>
    <row r="3856" customFormat="false" ht="15" hidden="false" customHeight="false" outlineLevel="0" collapsed="false">
      <c r="A3856" s="2" t="s">
        <v>126</v>
      </c>
      <c r="B3856" s="2" t="s">
        <v>126</v>
      </c>
      <c r="C3856" s="2" t="s">
        <v>48</v>
      </c>
      <c r="D3856" s="2" t="s">
        <v>12</v>
      </c>
      <c r="E3856" s="2" t="s">
        <v>76</v>
      </c>
      <c r="F3856" s="2" t="s">
        <v>1145</v>
      </c>
      <c r="G3856" s="14" t="n">
        <v>9.5</v>
      </c>
      <c r="H3856" s="14" t="n">
        <v>35.44</v>
      </c>
      <c r="I3856" s="14" t="n">
        <v>9.5</v>
      </c>
      <c r="J3856" s="22" t="n">
        <f aca="false">IF(E3856="Priority",'Cost model'!N383,'Cost model'!M383)</f>
        <v>27.5</v>
      </c>
      <c r="K3856" s="14" t="n">
        <f aca="false">J3856-H3856</f>
        <v>-7.94</v>
      </c>
      <c r="L3856" s="14" t="n">
        <f aca="false">G3856-H3856</f>
        <v>-25.94</v>
      </c>
    </row>
    <row r="3857" customFormat="false" ht="15" hidden="false" customHeight="false" outlineLevel="0" collapsed="false">
      <c r="A3857" s="2" t="s">
        <v>184</v>
      </c>
      <c r="B3857" s="2" t="s">
        <v>184</v>
      </c>
      <c r="C3857" s="2" t="s">
        <v>48</v>
      </c>
      <c r="D3857" s="2" t="s">
        <v>10</v>
      </c>
      <c r="E3857" s="2" t="s">
        <v>76</v>
      </c>
      <c r="F3857" s="2" t="s">
        <v>1145</v>
      </c>
      <c r="G3857" s="14" t="n">
        <v>9.5</v>
      </c>
      <c r="H3857" s="14" t="n">
        <v>5.94</v>
      </c>
      <c r="I3857" s="14" t="n">
        <v>9.5</v>
      </c>
      <c r="J3857" s="22" t="n">
        <f aca="false">IF(E3857="Priority",'Cost model'!N200,'Cost model'!M200)</f>
        <v>7.5</v>
      </c>
      <c r="K3857" s="14" t="n">
        <f aca="false">J3857-H3857</f>
        <v>1.56</v>
      </c>
      <c r="L3857" s="14" t="n">
        <f aca="false">G3857-H3857</f>
        <v>3.56</v>
      </c>
    </row>
    <row r="3858" customFormat="false" ht="15" hidden="false" customHeight="false" outlineLevel="0" collapsed="false">
      <c r="A3858" s="2" t="s">
        <v>385</v>
      </c>
      <c r="B3858" s="2" t="s">
        <v>165</v>
      </c>
      <c r="C3858" s="2" t="s">
        <v>48</v>
      </c>
      <c r="D3858" s="2" t="s">
        <v>12</v>
      </c>
      <c r="E3858" s="2" t="s">
        <v>76</v>
      </c>
      <c r="F3858" s="2" t="s">
        <v>1146</v>
      </c>
      <c r="G3858" s="14" t="n">
        <v>24.5</v>
      </c>
      <c r="H3858" s="14" t="n">
        <v>63.37</v>
      </c>
      <c r="I3858" s="14" t="n">
        <v>24.5</v>
      </c>
      <c r="J3858" s="22" t="n">
        <f aca="false">IF(E3858="Priority",'Cost model'!N257,'Cost model'!M257)</f>
        <v>60</v>
      </c>
      <c r="K3858" s="14" t="n">
        <f aca="false">J3858-H3858</f>
        <v>-3.37</v>
      </c>
      <c r="L3858" s="14" t="n">
        <f aca="false">G3858-H3858</f>
        <v>-38.87</v>
      </c>
    </row>
    <row r="3859" customFormat="false" ht="15" hidden="false" customHeight="false" outlineLevel="0" collapsed="false">
      <c r="A3859" s="2" t="s">
        <v>184</v>
      </c>
      <c r="B3859" s="2" t="s">
        <v>184</v>
      </c>
      <c r="C3859" s="2" t="s">
        <v>50</v>
      </c>
      <c r="D3859" s="2" t="s">
        <v>10</v>
      </c>
      <c r="E3859" s="2" t="s">
        <v>85</v>
      </c>
      <c r="F3859" s="2" t="s">
        <v>1145</v>
      </c>
      <c r="G3859" s="14" t="n">
        <v>24.5</v>
      </c>
      <c r="H3859" s="14" t="n">
        <v>20.83</v>
      </c>
      <c r="I3859" s="14" t="n">
        <v>24.5</v>
      </c>
      <c r="J3859" s="22" t="n">
        <f aca="false">IF(E3859="Priority",'Cost model'!N202,'Cost model'!M202)</f>
        <v>23.5</v>
      </c>
      <c r="K3859" s="14" t="n">
        <f aca="false">J3859-H3859</f>
        <v>2.67</v>
      </c>
      <c r="L3859" s="14" t="n">
        <f aca="false">G3859-H3859</f>
        <v>3.67</v>
      </c>
    </row>
    <row r="3860" customFormat="false" ht="15" hidden="false" customHeight="false" outlineLevel="0" collapsed="false">
      <c r="A3860" s="2" t="s">
        <v>146</v>
      </c>
      <c r="B3860" s="2" t="s">
        <v>184</v>
      </c>
      <c r="C3860" s="2" t="s">
        <v>48</v>
      </c>
      <c r="D3860" s="2" t="s">
        <v>13</v>
      </c>
      <c r="E3860" s="2" t="s">
        <v>76</v>
      </c>
      <c r="F3860" s="2" t="s">
        <v>1146</v>
      </c>
      <c r="G3860" s="14" t="n">
        <v>19.5</v>
      </c>
      <c r="H3860" s="14" t="n">
        <v>78.05</v>
      </c>
      <c r="I3860" s="14" t="n">
        <v>24.5</v>
      </c>
      <c r="J3860" s="22" t="n">
        <f aca="false">IF(E3860="Priority",'Cost model'!N836,'Cost model'!M836)</f>
        <v>75</v>
      </c>
      <c r="K3860" s="14" t="n">
        <f aca="false">J3860-H3860</f>
        <v>-3.05</v>
      </c>
      <c r="L3860" s="14" t="n">
        <f aca="false">G3860-H3860</f>
        <v>-58.55</v>
      </c>
    </row>
    <row r="3861" customFormat="false" ht="15" hidden="false" customHeight="false" outlineLevel="0" collapsed="false">
      <c r="A3861" s="2" t="s">
        <v>126</v>
      </c>
      <c r="B3861" s="2" t="s">
        <v>126</v>
      </c>
      <c r="C3861" s="2" t="s">
        <v>49</v>
      </c>
      <c r="D3861" s="2" t="s">
        <v>12</v>
      </c>
      <c r="E3861" s="2" t="s">
        <v>85</v>
      </c>
      <c r="F3861" s="2" t="s">
        <v>1145</v>
      </c>
      <c r="G3861" s="14" t="n">
        <v>19.5</v>
      </c>
      <c r="H3861" s="14" t="n">
        <v>43.25</v>
      </c>
      <c r="I3861" s="14" t="n">
        <v>19.5</v>
      </c>
      <c r="J3861" s="22" t="n">
        <f aca="false">IF(E3861="Priority",'Cost model'!N384,'Cost model'!M384)</f>
        <v>60</v>
      </c>
      <c r="K3861" s="14" t="n">
        <f aca="false">J3861-H3861</f>
        <v>16.75</v>
      </c>
      <c r="L3861" s="14" t="n">
        <f aca="false">G3861-H3861</f>
        <v>-23.75</v>
      </c>
    </row>
    <row r="3862" customFormat="false" ht="15" hidden="false" customHeight="false" outlineLevel="0" collapsed="false">
      <c r="A3862" s="2" t="s">
        <v>146</v>
      </c>
      <c r="B3862" s="2" t="s">
        <v>146</v>
      </c>
      <c r="C3862" s="2" t="s">
        <v>48</v>
      </c>
      <c r="D3862" s="2" t="s">
        <v>12</v>
      </c>
      <c r="E3862" s="2" t="s">
        <v>76</v>
      </c>
      <c r="F3862" s="2" t="s">
        <v>1145</v>
      </c>
      <c r="G3862" s="14" t="n">
        <v>9.5</v>
      </c>
      <c r="H3862" s="14" t="n">
        <v>43.25</v>
      </c>
      <c r="I3862" s="14" t="n">
        <v>9.5</v>
      </c>
      <c r="J3862" s="22" t="n">
        <f aca="false">IF(E3862="Priority",'Cost model'!N761,'Cost model'!M761)</f>
        <v>35</v>
      </c>
      <c r="K3862" s="14" t="n">
        <f aca="false">J3862-H3862</f>
        <v>-8.25</v>
      </c>
      <c r="L3862" s="14" t="n">
        <f aca="false">G3862-H3862</f>
        <v>-33.75</v>
      </c>
    </row>
    <row r="3863" customFormat="false" ht="15" hidden="false" customHeight="false" outlineLevel="0" collapsed="false">
      <c r="A3863" s="2" t="s">
        <v>126</v>
      </c>
      <c r="B3863" s="2" t="s">
        <v>126</v>
      </c>
      <c r="C3863" s="2" t="s">
        <v>49</v>
      </c>
      <c r="D3863" s="2" t="s">
        <v>10</v>
      </c>
      <c r="E3863" s="2" t="s">
        <v>76</v>
      </c>
      <c r="F3863" s="2" t="s">
        <v>1145</v>
      </c>
      <c r="G3863" s="14" t="n">
        <v>12.5</v>
      </c>
      <c r="H3863" s="14" t="n">
        <v>12.33</v>
      </c>
      <c r="I3863" s="14" t="n">
        <v>12.5</v>
      </c>
      <c r="J3863" s="22" t="n">
        <f aca="false">IF(E3863="Priority",'Cost model'!N381,'Cost model'!M381)</f>
        <v>14.5</v>
      </c>
      <c r="K3863" s="14" t="n">
        <f aca="false">J3863-H3863</f>
        <v>2.17</v>
      </c>
      <c r="L3863" s="14" t="n">
        <f aca="false">G3863-H3863</f>
        <v>0.17</v>
      </c>
    </row>
    <row r="3864" customFormat="false" ht="15" hidden="false" customHeight="false" outlineLevel="0" collapsed="false">
      <c r="A3864" s="2" t="s">
        <v>165</v>
      </c>
      <c r="B3864" s="2" t="s">
        <v>165</v>
      </c>
      <c r="C3864" s="2" t="s">
        <v>48</v>
      </c>
      <c r="D3864" s="2" t="s">
        <v>12</v>
      </c>
      <c r="E3864" s="2" t="s">
        <v>76</v>
      </c>
      <c r="F3864" s="2" t="s">
        <v>1145</v>
      </c>
      <c r="G3864" s="14" t="n">
        <v>9.5</v>
      </c>
      <c r="H3864" s="14" t="n">
        <v>12.91</v>
      </c>
      <c r="I3864" s="14" t="n">
        <v>9.5</v>
      </c>
      <c r="J3864" s="22" t="n">
        <f aca="false">IF(E3864="Priority",'Cost model'!N509,'Cost model'!M509)</f>
        <v>17.5</v>
      </c>
      <c r="K3864" s="14" t="n">
        <f aca="false">J3864-H3864</f>
        <v>4.59</v>
      </c>
      <c r="L3864" s="14" t="n">
        <f aca="false">G3864-H3864</f>
        <v>-3.41</v>
      </c>
    </row>
    <row r="3865" customFormat="false" ht="15" hidden="false" customHeight="false" outlineLevel="0" collapsed="false">
      <c r="A3865" s="2" t="s">
        <v>184</v>
      </c>
      <c r="B3865" s="2" t="s">
        <v>184</v>
      </c>
      <c r="C3865" s="2" t="s">
        <v>48</v>
      </c>
      <c r="D3865" s="2" t="s">
        <v>12</v>
      </c>
      <c r="E3865" s="2" t="s">
        <v>76</v>
      </c>
      <c r="F3865" s="2" t="s">
        <v>1145</v>
      </c>
      <c r="G3865" s="14" t="n">
        <v>9.5</v>
      </c>
      <c r="H3865" s="14" t="n">
        <v>42.61</v>
      </c>
      <c r="I3865" s="14" t="n">
        <v>9.5</v>
      </c>
      <c r="J3865" s="22" t="n">
        <f aca="false">IF(E3865="Priority",'Cost model'!N203,'Cost model'!M203)</f>
        <v>26.5</v>
      </c>
      <c r="K3865" s="14" t="n">
        <f aca="false">J3865-H3865</f>
        <v>-16.11</v>
      </c>
      <c r="L3865" s="14" t="n">
        <f aca="false">G3865-H3865</f>
        <v>-33.11</v>
      </c>
    </row>
    <row r="3866" customFormat="false" ht="15" hidden="false" customHeight="false" outlineLevel="0" collapsed="false">
      <c r="A3866" s="2" t="s">
        <v>126</v>
      </c>
      <c r="B3866" s="2" t="s">
        <v>126</v>
      </c>
      <c r="C3866" s="2" t="s">
        <v>48</v>
      </c>
      <c r="D3866" s="2" t="s">
        <v>12</v>
      </c>
      <c r="E3866" s="2" t="s">
        <v>76</v>
      </c>
      <c r="F3866" s="2" t="s">
        <v>1145</v>
      </c>
      <c r="G3866" s="14" t="n">
        <v>14.5</v>
      </c>
      <c r="H3866" s="14" t="n">
        <v>37.17</v>
      </c>
      <c r="I3866" s="14" t="n">
        <v>9.5</v>
      </c>
      <c r="J3866" s="22" t="n">
        <f aca="false">IF(E3866="Priority",'Cost model'!N383,'Cost model'!M383)</f>
        <v>27.5</v>
      </c>
      <c r="K3866" s="14" t="n">
        <f aca="false">J3866-H3866</f>
        <v>-9.67</v>
      </c>
      <c r="L3866" s="14" t="n">
        <f aca="false">G3866-H3866</f>
        <v>-22.67</v>
      </c>
    </row>
    <row r="3867" customFormat="false" ht="15" hidden="false" customHeight="false" outlineLevel="0" collapsed="false">
      <c r="A3867" s="2" t="s">
        <v>126</v>
      </c>
      <c r="B3867" s="2" t="s">
        <v>126</v>
      </c>
      <c r="C3867" s="2" t="s">
        <v>49</v>
      </c>
      <c r="D3867" s="2" t="s">
        <v>10</v>
      </c>
      <c r="E3867" s="2" t="s">
        <v>76</v>
      </c>
      <c r="F3867" s="2" t="s">
        <v>1145</v>
      </c>
      <c r="G3867" s="14" t="n">
        <v>12.5</v>
      </c>
      <c r="H3867" s="14" t="n">
        <v>11.97</v>
      </c>
      <c r="I3867" s="14" t="n">
        <v>12.5</v>
      </c>
      <c r="J3867" s="22" t="n">
        <f aca="false">IF(E3867="Priority",'Cost model'!N381,'Cost model'!M381)</f>
        <v>14.5</v>
      </c>
      <c r="K3867" s="14" t="n">
        <f aca="false">J3867-H3867</f>
        <v>2.53</v>
      </c>
      <c r="L3867" s="14" t="n">
        <f aca="false">G3867-H3867</f>
        <v>0.529999999999999</v>
      </c>
    </row>
    <row r="3868" customFormat="false" ht="15" hidden="false" customHeight="false" outlineLevel="0" collapsed="false">
      <c r="A3868" s="2" t="s">
        <v>240</v>
      </c>
      <c r="B3868" s="2" t="s">
        <v>240</v>
      </c>
      <c r="C3868" s="2" t="s">
        <v>48</v>
      </c>
      <c r="D3868" s="2" t="s">
        <v>12</v>
      </c>
      <c r="E3868" s="2" t="s">
        <v>76</v>
      </c>
      <c r="F3868" s="2" t="s">
        <v>1145</v>
      </c>
      <c r="G3868" s="14" t="n">
        <v>9.5</v>
      </c>
      <c r="H3868" s="14" t="n">
        <v>9.67</v>
      </c>
      <c r="I3868" s="14" t="n">
        <v>9.5</v>
      </c>
      <c r="J3868" s="22" t="n">
        <f aca="false">IF(E3868="Priority",'Cost model'!N887,'Cost model'!M887)</f>
        <v>21.5</v>
      </c>
      <c r="K3868" s="14" t="n">
        <f aca="false">J3868-H3868</f>
        <v>11.83</v>
      </c>
      <c r="L3868" s="14" t="n">
        <f aca="false">G3868-H3868</f>
        <v>-0.17</v>
      </c>
    </row>
    <row r="3869" customFormat="false" ht="15" hidden="false" customHeight="false" outlineLevel="0" collapsed="false">
      <c r="A3869" s="2" t="s">
        <v>184</v>
      </c>
      <c r="B3869" s="2" t="s">
        <v>184</v>
      </c>
      <c r="C3869" s="2" t="s">
        <v>49</v>
      </c>
      <c r="D3869" s="2" t="s">
        <v>10</v>
      </c>
      <c r="E3869" s="2" t="s">
        <v>76</v>
      </c>
      <c r="F3869" s="2" t="s">
        <v>1145</v>
      </c>
      <c r="G3869" s="14" t="n">
        <v>12.5</v>
      </c>
      <c r="H3869" s="14" t="n">
        <v>7.02</v>
      </c>
      <c r="I3869" s="14"/>
      <c r="J3869" s="22" t="n">
        <f aca="false">IF(E3869="Priority",'Cost model'!N201,'Cost model'!M201)</f>
        <v>12.5</v>
      </c>
      <c r="K3869" s="14" t="n">
        <f aca="false">J3869-H3869</f>
        <v>5.48</v>
      </c>
      <c r="L3869" s="14" t="n">
        <f aca="false">G3869-H3869</f>
        <v>5.48</v>
      </c>
    </row>
    <row r="3870" customFormat="false" ht="15" hidden="false" customHeight="false" outlineLevel="0" collapsed="false">
      <c r="A3870" s="2" t="s">
        <v>184</v>
      </c>
      <c r="B3870" s="2" t="s">
        <v>221</v>
      </c>
      <c r="C3870" s="2" t="s">
        <v>49</v>
      </c>
      <c r="D3870" s="2" t="s">
        <v>10</v>
      </c>
      <c r="E3870" s="2" t="s">
        <v>76</v>
      </c>
      <c r="F3870" s="2" t="s">
        <v>1146</v>
      </c>
      <c r="G3870" s="14" t="n">
        <v>12.5</v>
      </c>
      <c r="H3870" s="14" t="n">
        <v>8.92</v>
      </c>
      <c r="I3870" s="14"/>
      <c r="J3870" s="22" t="n">
        <f aca="false">IF(E3870="Priority",'Cost model'!N219,'Cost model'!M219)</f>
        <v>14.5</v>
      </c>
      <c r="K3870" s="14" t="n">
        <f aca="false">J3870-H3870</f>
        <v>5.58</v>
      </c>
      <c r="L3870" s="14" t="n">
        <f aca="false">G3870-H3870</f>
        <v>3.58</v>
      </c>
    </row>
    <row r="3871" customFormat="false" ht="15" hidden="false" customHeight="false" outlineLevel="0" collapsed="false">
      <c r="A3871" s="2" t="s">
        <v>126</v>
      </c>
      <c r="B3871" s="2" t="s">
        <v>126</v>
      </c>
      <c r="C3871" s="2" t="s">
        <v>49</v>
      </c>
      <c r="D3871" s="2" t="s">
        <v>12</v>
      </c>
      <c r="E3871" s="2" t="s">
        <v>76</v>
      </c>
      <c r="F3871" s="2" t="s">
        <v>1145</v>
      </c>
      <c r="G3871" s="14" t="n">
        <v>12.5</v>
      </c>
      <c r="H3871" s="14" t="n">
        <v>25.65</v>
      </c>
      <c r="I3871" s="14" t="n">
        <v>12.5</v>
      </c>
      <c r="J3871" s="22" t="n">
        <f aca="false">IF(E3871="Priority",'Cost model'!N384,'Cost model'!M384)</f>
        <v>45</v>
      </c>
      <c r="K3871" s="14" t="n">
        <f aca="false">J3871-H3871</f>
        <v>19.35</v>
      </c>
      <c r="L3871" s="14" t="n">
        <f aca="false">G3871-H3871</f>
        <v>-13.15</v>
      </c>
    </row>
    <row r="3872" customFormat="false" ht="15" hidden="false" customHeight="false" outlineLevel="0" collapsed="false">
      <c r="A3872" s="2" t="s">
        <v>146</v>
      </c>
      <c r="B3872" s="2" t="s">
        <v>184</v>
      </c>
      <c r="C3872" s="2" t="s">
        <v>49</v>
      </c>
      <c r="D3872" s="2" t="s">
        <v>13</v>
      </c>
      <c r="E3872" s="2" t="s">
        <v>76</v>
      </c>
      <c r="F3872" s="2" t="s">
        <v>1146</v>
      </c>
      <c r="G3872" s="14" t="n">
        <v>24.5</v>
      </c>
      <c r="H3872" s="14" t="n">
        <v>20.04</v>
      </c>
      <c r="I3872" s="14" t="n">
        <v>24.5</v>
      </c>
      <c r="J3872" s="22" t="n">
        <f aca="false">IF(E3872="Priority",'Cost model'!N837,'Cost model'!M837)</f>
        <v>75</v>
      </c>
      <c r="K3872" s="14" t="n">
        <f aca="false">J3872-H3872</f>
        <v>54.96</v>
      </c>
      <c r="L3872" s="14" t="n">
        <f aca="false">G3872-H3872</f>
        <v>4.46</v>
      </c>
    </row>
    <row r="3873" customFormat="false" ht="15" hidden="false" customHeight="false" outlineLevel="0" collapsed="false">
      <c r="A3873" s="2" t="s">
        <v>240</v>
      </c>
      <c r="B3873" s="2" t="s">
        <v>221</v>
      </c>
      <c r="C3873" s="2" t="s">
        <v>48</v>
      </c>
      <c r="D3873" s="2" t="s">
        <v>10</v>
      </c>
      <c r="E3873" s="2" t="s">
        <v>76</v>
      </c>
      <c r="F3873" s="2" t="s">
        <v>1146</v>
      </c>
      <c r="G3873" s="14" t="n">
        <v>9.5</v>
      </c>
      <c r="H3873" s="14" t="n">
        <v>7.9</v>
      </c>
      <c r="I3873" s="14"/>
      <c r="J3873" s="22" t="n">
        <f aca="false">IF(E3873="Priority",'Cost model'!N992,'Cost model'!M992)</f>
        <v>11.5</v>
      </c>
      <c r="K3873" s="14" t="n">
        <f aca="false">J3873-H3873</f>
        <v>3.6</v>
      </c>
      <c r="L3873" s="14" t="n">
        <f aca="false">G3873-H3873</f>
        <v>1.6</v>
      </c>
    </row>
    <row r="3874" customFormat="false" ht="15" hidden="false" customHeight="false" outlineLevel="0" collapsed="false">
      <c r="A3874" s="2" t="s">
        <v>146</v>
      </c>
      <c r="B3874" s="2" t="s">
        <v>146</v>
      </c>
      <c r="C3874" s="2" t="s">
        <v>48</v>
      </c>
      <c r="D3874" s="2" t="s">
        <v>12</v>
      </c>
      <c r="E3874" s="2" t="s">
        <v>76</v>
      </c>
      <c r="F3874" s="2" t="s">
        <v>1145</v>
      </c>
      <c r="G3874" s="14" t="n">
        <v>9.5</v>
      </c>
      <c r="H3874" s="14" t="n">
        <v>7.93</v>
      </c>
      <c r="I3874" s="14" t="n">
        <v>9.5</v>
      </c>
      <c r="J3874" s="22" t="n">
        <f aca="false">IF(E3874="Priority",'Cost model'!N761,'Cost model'!M761)</f>
        <v>35</v>
      </c>
      <c r="K3874" s="14" t="n">
        <f aca="false">J3874-H3874</f>
        <v>27.07</v>
      </c>
      <c r="L3874" s="14" t="n">
        <f aca="false">G3874-H3874</f>
        <v>1.57</v>
      </c>
    </row>
    <row r="3875" customFormat="false" ht="15" hidden="false" customHeight="false" outlineLevel="0" collapsed="false">
      <c r="A3875" s="2" t="s">
        <v>126</v>
      </c>
      <c r="B3875" s="2" t="s">
        <v>126</v>
      </c>
      <c r="C3875" s="2" t="s">
        <v>49</v>
      </c>
      <c r="D3875" s="2" t="s">
        <v>10</v>
      </c>
      <c r="E3875" s="2" t="s">
        <v>76</v>
      </c>
      <c r="F3875" s="2" t="s">
        <v>1145</v>
      </c>
      <c r="G3875" s="14" t="n">
        <v>12.5</v>
      </c>
      <c r="H3875" s="14" t="n">
        <v>17.62</v>
      </c>
      <c r="I3875" s="14" t="n">
        <v>12.5</v>
      </c>
      <c r="J3875" s="22" t="n">
        <f aca="false">IF(E3875="Priority",'Cost model'!N381,'Cost model'!M381)</f>
        <v>14.5</v>
      </c>
      <c r="K3875" s="14" t="n">
        <f aca="false">J3875-H3875</f>
        <v>-3.12</v>
      </c>
      <c r="L3875" s="14" t="n">
        <f aca="false">G3875-H3875</f>
        <v>-5.12</v>
      </c>
    </row>
    <row r="3876" customFormat="false" ht="15" hidden="false" customHeight="false" outlineLevel="0" collapsed="false">
      <c r="A3876" s="2" t="s">
        <v>146</v>
      </c>
      <c r="B3876" s="2" t="s">
        <v>146</v>
      </c>
      <c r="C3876" s="2" t="s">
        <v>48</v>
      </c>
      <c r="D3876" s="2" t="s">
        <v>10</v>
      </c>
      <c r="E3876" s="2" t="s">
        <v>76</v>
      </c>
      <c r="F3876" s="2" t="s">
        <v>1145</v>
      </c>
      <c r="G3876" s="14" t="n">
        <v>9.5</v>
      </c>
      <c r="H3876" s="14" t="n">
        <v>24.48</v>
      </c>
      <c r="I3876" s="14" t="n">
        <v>9.5</v>
      </c>
      <c r="J3876" s="22" t="n">
        <f aca="false">IF(E3876="Priority",'Cost model'!N758,'Cost model'!M758)</f>
        <v>9.5</v>
      </c>
      <c r="K3876" s="14" t="n">
        <f aca="false">J3876-H3876</f>
        <v>-14.98</v>
      </c>
      <c r="L3876" s="14" t="n">
        <f aca="false">G3876-H3876</f>
        <v>-14.98</v>
      </c>
    </row>
    <row r="3877" customFormat="false" ht="15" hidden="false" customHeight="false" outlineLevel="0" collapsed="false">
      <c r="A3877" s="2" t="s">
        <v>184</v>
      </c>
      <c r="B3877" s="2" t="s">
        <v>184</v>
      </c>
      <c r="C3877" s="2" t="s">
        <v>48</v>
      </c>
      <c r="D3877" s="2" t="s">
        <v>10</v>
      </c>
      <c r="E3877" s="2" t="s">
        <v>76</v>
      </c>
      <c r="F3877" s="2" t="s">
        <v>1145</v>
      </c>
      <c r="G3877" s="14" t="n">
        <v>9.5</v>
      </c>
      <c r="H3877" s="14" t="n">
        <v>6.24</v>
      </c>
      <c r="I3877" s="14" t="n">
        <v>9.5</v>
      </c>
      <c r="J3877" s="22" t="n">
        <f aca="false">IF(E3877="Priority",'Cost model'!N200,'Cost model'!M200)</f>
        <v>7.5</v>
      </c>
      <c r="K3877" s="14" t="n">
        <f aca="false">J3877-H3877</f>
        <v>1.26</v>
      </c>
      <c r="L3877" s="14" t="n">
        <f aca="false">G3877-H3877</f>
        <v>3.26</v>
      </c>
    </row>
    <row r="3878" customFormat="false" ht="15" hidden="false" customHeight="false" outlineLevel="0" collapsed="false">
      <c r="A3878" s="2" t="s">
        <v>126</v>
      </c>
      <c r="B3878" s="2" t="s">
        <v>184</v>
      </c>
      <c r="C3878" s="2" t="s">
        <v>49</v>
      </c>
      <c r="D3878" s="2" t="s">
        <v>10</v>
      </c>
      <c r="E3878" s="2" t="s">
        <v>76</v>
      </c>
      <c r="F3878" s="2" t="s">
        <v>1146</v>
      </c>
      <c r="G3878" s="14" t="n">
        <v>12.5</v>
      </c>
      <c r="H3878" s="14" t="n">
        <v>21.34</v>
      </c>
      <c r="I3878" s="14" t="n">
        <v>14.5</v>
      </c>
      <c r="J3878" s="22" t="n">
        <f aca="false">IF(E3878="Priority",'Cost model'!N435,'Cost model'!M435)</f>
        <v>15.5</v>
      </c>
      <c r="K3878" s="14" t="n">
        <f aca="false">J3878-H3878</f>
        <v>-5.84</v>
      </c>
      <c r="L3878" s="14" t="n">
        <f aca="false">G3878-H3878</f>
        <v>-8.84</v>
      </c>
    </row>
    <row r="3879" customFormat="false" ht="15" hidden="false" customHeight="false" outlineLevel="0" collapsed="false">
      <c r="A3879" s="2" t="s">
        <v>146</v>
      </c>
      <c r="B3879" s="2" t="s">
        <v>146</v>
      </c>
      <c r="C3879" s="2" t="s">
        <v>48</v>
      </c>
      <c r="D3879" s="2" t="s">
        <v>12</v>
      </c>
      <c r="E3879" s="2" t="s">
        <v>76</v>
      </c>
      <c r="F3879" s="2" t="s">
        <v>1145</v>
      </c>
      <c r="G3879" s="14" t="n">
        <v>9.5</v>
      </c>
      <c r="H3879" s="14" t="n">
        <v>44.62</v>
      </c>
      <c r="I3879" s="14" t="n">
        <v>9.5</v>
      </c>
      <c r="J3879" s="22" t="n">
        <f aca="false">IF(E3879="Priority",'Cost model'!N761,'Cost model'!M761)</f>
        <v>35</v>
      </c>
      <c r="K3879" s="14" t="n">
        <f aca="false">J3879-H3879</f>
        <v>-9.62</v>
      </c>
      <c r="L3879" s="14" t="n">
        <f aca="false">G3879-H3879</f>
        <v>-35.12</v>
      </c>
    </row>
    <row r="3880" customFormat="false" ht="15" hidden="false" customHeight="false" outlineLevel="0" collapsed="false">
      <c r="A3880" s="2" t="s">
        <v>221</v>
      </c>
      <c r="B3880" s="2" t="s">
        <v>126</v>
      </c>
      <c r="C3880" s="2" t="s">
        <v>48</v>
      </c>
      <c r="D3880" s="2" t="s">
        <v>10</v>
      </c>
      <c r="E3880" s="2" t="s">
        <v>76</v>
      </c>
      <c r="F3880" s="2" t="s">
        <v>1146</v>
      </c>
      <c r="G3880" s="14" t="n">
        <v>14.5</v>
      </c>
      <c r="H3880" s="14" t="n">
        <v>18.13</v>
      </c>
      <c r="I3880" s="14" t="n">
        <v>19.5</v>
      </c>
      <c r="J3880" s="22" t="n">
        <f aca="false">IF(E3880="Priority",'Cost model'!N686,'Cost model'!M686)</f>
        <v>14.5</v>
      </c>
      <c r="K3880" s="14" t="n">
        <f aca="false">J3880-H3880</f>
        <v>-3.63</v>
      </c>
      <c r="L3880" s="14" t="n">
        <f aca="false">G3880-H3880</f>
        <v>-3.63</v>
      </c>
    </row>
    <row r="3881" customFormat="false" ht="15" hidden="false" customHeight="false" outlineLevel="0" collapsed="false">
      <c r="A3881" s="2" t="s">
        <v>126</v>
      </c>
      <c r="B3881" s="2" t="s">
        <v>240</v>
      </c>
      <c r="C3881" s="2" t="s">
        <v>50</v>
      </c>
      <c r="D3881" s="2" t="s">
        <v>10</v>
      </c>
      <c r="E3881" s="2" t="s">
        <v>76</v>
      </c>
      <c r="F3881" s="2" t="s">
        <v>1146</v>
      </c>
      <c r="G3881" s="14" t="n">
        <v>19.5</v>
      </c>
      <c r="H3881" s="14" t="n">
        <v>21.61</v>
      </c>
      <c r="I3881" s="14" t="n">
        <v>19.5</v>
      </c>
      <c r="J3881" s="22" t="n">
        <f aca="false">IF(E3881="Priority",'Cost model'!N490,'Cost model'!M490)</f>
        <v>26.5</v>
      </c>
      <c r="K3881" s="14" t="n">
        <f aca="false">J3881-H3881</f>
        <v>4.89</v>
      </c>
      <c r="L3881" s="14" t="n">
        <f aca="false">G3881-H3881</f>
        <v>-2.11</v>
      </c>
    </row>
    <row r="3882" customFormat="false" ht="15" hidden="false" customHeight="false" outlineLevel="0" collapsed="false">
      <c r="A3882" s="2" t="s">
        <v>126</v>
      </c>
      <c r="B3882" s="2" t="s">
        <v>126</v>
      </c>
      <c r="C3882" s="2" t="s">
        <v>49</v>
      </c>
      <c r="D3882" s="2" t="s">
        <v>10</v>
      </c>
      <c r="E3882" s="2" t="s">
        <v>76</v>
      </c>
      <c r="F3882" s="2" t="s">
        <v>1145</v>
      </c>
      <c r="G3882" s="14" t="n">
        <v>12.5</v>
      </c>
      <c r="H3882" s="14" t="n">
        <v>14.29</v>
      </c>
      <c r="I3882" s="14" t="n">
        <v>12.5</v>
      </c>
      <c r="J3882" s="22" t="n">
        <f aca="false">IF(E3882="Priority",'Cost model'!N381,'Cost model'!M381)</f>
        <v>14.5</v>
      </c>
      <c r="K3882" s="14" t="n">
        <f aca="false">J3882-H3882</f>
        <v>0.210000000000001</v>
      </c>
      <c r="L3882" s="14" t="n">
        <f aca="false">G3882-H3882</f>
        <v>-1.79</v>
      </c>
    </row>
    <row r="3883" customFormat="false" ht="15" hidden="false" customHeight="false" outlineLevel="0" collapsed="false">
      <c r="A3883" s="2" t="s">
        <v>165</v>
      </c>
      <c r="B3883" s="2" t="s">
        <v>165</v>
      </c>
      <c r="C3883" s="2" t="s">
        <v>50</v>
      </c>
      <c r="D3883" s="2" t="s">
        <v>10</v>
      </c>
      <c r="E3883" s="2" t="s">
        <v>76</v>
      </c>
      <c r="F3883" s="2" t="s">
        <v>1145</v>
      </c>
      <c r="G3883" s="14" t="n">
        <v>17.5</v>
      </c>
      <c r="H3883" s="14" t="n">
        <v>26.26</v>
      </c>
      <c r="I3883" s="14" t="n">
        <v>17.5</v>
      </c>
      <c r="J3883" s="22" t="n">
        <f aca="false">IF(E3883="Priority",'Cost model'!N508,'Cost model'!M508)</f>
        <v>17.5</v>
      </c>
      <c r="K3883" s="14" t="n">
        <f aca="false">J3883-H3883</f>
        <v>-8.76</v>
      </c>
      <c r="L3883" s="14" t="n">
        <f aca="false">G3883-H3883</f>
        <v>-8.76</v>
      </c>
    </row>
    <row r="3884" customFormat="false" ht="15" hidden="false" customHeight="false" outlineLevel="0" collapsed="false">
      <c r="A3884" s="2" t="s">
        <v>240</v>
      </c>
      <c r="B3884" s="2" t="s">
        <v>146</v>
      </c>
      <c r="C3884" s="2" t="s">
        <v>48</v>
      </c>
      <c r="D3884" s="2" t="s">
        <v>12</v>
      </c>
      <c r="E3884" s="2" t="s">
        <v>85</v>
      </c>
      <c r="F3884" s="2" t="s">
        <v>1146</v>
      </c>
      <c r="G3884" s="14" t="n">
        <v>29.5</v>
      </c>
      <c r="H3884" s="14" t="n">
        <v>79.7</v>
      </c>
      <c r="I3884" s="14" t="n">
        <v>29.5</v>
      </c>
      <c r="J3884" s="22" t="n">
        <f aca="false">IF(E3884="Priority",'Cost model'!N923,'Cost model'!M923)</f>
        <v>85</v>
      </c>
      <c r="K3884" s="14" t="n">
        <f aca="false">J3884-H3884</f>
        <v>5.3</v>
      </c>
      <c r="L3884" s="14" t="n">
        <f aca="false">G3884-H3884</f>
        <v>-50.2</v>
      </c>
    </row>
    <row r="3885" customFormat="false" ht="15" hidden="false" customHeight="false" outlineLevel="0" collapsed="false">
      <c r="A3885" s="2" t="s">
        <v>146</v>
      </c>
      <c r="B3885" s="2" t="s">
        <v>146</v>
      </c>
      <c r="C3885" s="2" t="s">
        <v>50</v>
      </c>
      <c r="D3885" s="2" t="s">
        <v>12</v>
      </c>
      <c r="E3885" s="2" t="s">
        <v>76</v>
      </c>
      <c r="F3885" s="2" t="s">
        <v>1145</v>
      </c>
      <c r="G3885" s="14" t="n">
        <v>19.5</v>
      </c>
      <c r="H3885" s="14" t="n">
        <v>25.65</v>
      </c>
      <c r="I3885" s="14" t="n">
        <v>19.5</v>
      </c>
      <c r="J3885" s="22" t="n">
        <f aca="false">IF(E3885="Priority",'Cost model'!N763,'Cost model'!M763)</f>
        <v>50</v>
      </c>
      <c r="K3885" s="14" t="n">
        <f aca="false">J3885-H3885</f>
        <v>24.35</v>
      </c>
      <c r="L3885" s="14" t="n">
        <f aca="false">G3885-H3885</f>
        <v>-6.15</v>
      </c>
    </row>
    <row r="3886" customFormat="false" ht="15" hidden="false" customHeight="false" outlineLevel="0" collapsed="false">
      <c r="A3886" s="2" t="s">
        <v>126</v>
      </c>
      <c r="B3886" s="2" t="s">
        <v>184</v>
      </c>
      <c r="C3886" s="2" t="s">
        <v>49</v>
      </c>
      <c r="D3886" s="2" t="s">
        <v>12</v>
      </c>
      <c r="E3886" s="2" t="s">
        <v>76</v>
      </c>
      <c r="F3886" s="2" t="s">
        <v>1146</v>
      </c>
      <c r="G3886" s="14" t="n">
        <v>12.5</v>
      </c>
      <c r="H3886" s="14" t="n">
        <v>101.33</v>
      </c>
      <c r="I3886" s="14" t="n">
        <v>19.5</v>
      </c>
      <c r="J3886" s="22" t="n">
        <f aca="false">IF(E3886="Priority",'Cost model'!N438,'Cost model'!M438)</f>
        <v>55</v>
      </c>
      <c r="K3886" s="14" t="n">
        <f aca="false">J3886-H3886</f>
        <v>-46.33</v>
      </c>
      <c r="L3886" s="14" t="n">
        <f aca="false">G3886-H3886</f>
        <v>-88.83</v>
      </c>
    </row>
    <row r="3887" customFormat="false" ht="15" hidden="false" customHeight="false" outlineLevel="0" collapsed="false">
      <c r="A3887" s="2" t="s">
        <v>126</v>
      </c>
      <c r="B3887" s="2" t="s">
        <v>126</v>
      </c>
      <c r="C3887" s="2" t="s">
        <v>49</v>
      </c>
      <c r="D3887" s="2" t="s">
        <v>12</v>
      </c>
      <c r="E3887" s="2" t="s">
        <v>85</v>
      </c>
      <c r="F3887" s="2" t="s">
        <v>1145</v>
      </c>
      <c r="G3887" s="14" t="n">
        <v>19.5</v>
      </c>
      <c r="H3887" s="14" t="n">
        <v>43.59</v>
      </c>
      <c r="I3887" s="14" t="n">
        <v>19.5</v>
      </c>
      <c r="J3887" s="22" t="n">
        <f aca="false">IF(E3887="Priority",'Cost model'!N384,'Cost model'!M384)</f>
        <v>60</v>
      </c>
      <c r="K3887" s="14" t="n">
        <f aca="false">J3887-H3887</f>
        <v>16.41</v>
      </c>
      <c r="L3887" s="14" t="n">
        <f aca="false">G3887-H3887</f>
        <v>-24.09</v>
      </c>
    </row>
    <row r="3888" customFormat="false" ht="15" hidden="false" customHeight="false" outlineLevel="0" collapsed="false">
      <c r="A3888" s="2" t="s">
        <v>126</v>
      </c>
      <c r="B3888" s="2" t="s">
        <v>126</v>
      </c>
      <c r="C3888" s="2" t="s">
        <v>48</v>
      </c>
      <c r="D3888" s="2" t="s">
        <v>10</v>
      </c>
      <c r="E3888" s="2" t="s">
        <v>76</v>
      </c>
      <c r="F3888" s="2" t="s">
        <v>1145</v>
      </c>
      <c r="G3888" s="14" t="n">
        <v>9.5</v>
      </c>
      <c r="H3888" s="14" t="n">
        <v>7.71</v>
      </c>
      <c r="I3888" s="14" t="n">
        <v>9.5</v>
      </c>
      <c r="J3888" s="22" t="n">
        <f aca="false">IF(E3888="Priority",'Cost model'!N380,'Cost model'!M380)</f>
        <v>8.5</v>
      </c>
      <c r="K3888" s="14" t="n">
        <f aca="false">J3888-H3888</f>
        <v>0.79</v>
      </c>
      <c r="L3888" s="14" t="n">
        <f aca="false">G3888-H3888</f>
        <v>1.79</v>
      </c>
    </row>
    <row r="3889" customFormat="false" ht="15" hidden="false" customHeight="false" outlineLevel="0" collapsed="false">
      <c r="A3889" s="2" t="s">
        <v>184</v>
      </c>
      <c r="B3889" s="2" t="s">
        <v>184</v>
      </c>
      <c r="C3889" s="2" t="s">
        <v>49</v>
      </c>
      <c r="D3889" s="2" t="s">
        <v>10</v>
      </c>
      <c r="E3889" s="2" t="s">
        <v>76</v>
      </c>
      <c r="F3889" s="2" t="s">
        <v>1145</v>
      </c>
      <c r="G3889" s="14" t="n">
        <v>12.5</v>
      </c>
      <c r="H3889" s="14" t="n">
        <v>11.38</v>
      </c>
      <c r="I3889" s="14"/>
      <c r="J3889" s="22" t="n">
        <f aca="false">IF(E3889="Priority",'Cost model'!N201,'Cost model'!M201)</f>
        <v>12.5</v>
      </c>
      <c r="K3889" s="14" t="n">
        <f aca="false">J3889-H3889</f>
        <v>1.12</v>
      </c>
      <c r="L3889" s="14" t="n">
        <f aca="false">G3889-H3889</f>
        <v>1.12</v>
      </c>
    </row>
    <row r="3890" customFormat="false" ht="15" hidden="false" customHeight="false" outlineLevel="0" collapsed="false">
      <c r="A3890" s="2" t="s">
        <v>146</v>
      </c>
      <c r="B3890" s="2" t="s">
        <v>146</v>
      </c>
      <c r="C3890" s="2" t="s">
        <v>48</v>
      </c>
      <c r="D3890" s="2" t="s">
        <v>12</v>
      </c>
      <c r="E3890" s="2" t="s">
        <v>76</v>
      </c>
      <c r="F3890" s="2" t="s">
        <v>1145</v>
      </c>
      <c r="G3890" s="14" t="n">
        <v>9.5</v>
      </c>
      <c r="H3890" s="14" t="n">
        <v>43.77</v>
      </c>
      <c r="I3890" s="14" t="n">
        <v>9.5</v>
      </c>
      <c r="J3890" s="22" t="n">
        <f aca="false">IF(E3890="Priority",'Cost model'!N761,'Cost model'!M761)</f>
        <v>35</v>
      </c>
      <c r="K3890" s="14" t="n">
        <f aca="false">J3890-H3890</f>
        <v>-8.77</v>
      </c>
      <c r="L3890" s="14" t="n">
        <f aca="false">G3890-H3890</f>
        <v>-34.27</v>
      </c>
    </row>
    <row r="3891" customFormat="false" ht="15" hidden="false" customHeight="false" outlineLevel="0" collapsed="false">
      <c r="A3891" s="2" t="s">
        <v>184</v>
      </c>
      <c r="B3891" s="2" t="s">
        <v>126</v>
      </c>
      <c r="C3891" s="2" t="s">
        <v>48</v>
      </c>
      <c r="D3891" s="2" t="s">
        <v>10</v>
      </c>
      <c r="E3891" s="2" t="s">
        <v>76</v>
      </c>
      <c r="F3891" s="2" t="s">
        <v>1146</v>
      </c>
      <c r="G3891" s="14" t="n">
        <v>9.5</v>
      </c>
      <c r="H3891" s="14" t="n">
        <v>7.58</v>
      </c>
      <c r="I3891" s="14" t="n">
        <v>9.5</v>
      </c>
      <c r="J3891" s="22" t="n">
        <f aca="false">IF(E3891="Priority",'Cost model'!N128,'Cost model'!M128)</f>
        <v>10.5</v>
      </c>
      <c r="K3891" s="14" t="n">
        <f aca="false">J3891-H3891</f>
        <v>2.92</v>
      </c>
      <c r="L3891" s="14" t="n">
        <f aca="false">G3891-H3891</f>
        <v>1.92</v>
      </c>
    </row>
    <row r="3892" customFormat="false" ht="15" hidden="false" customHeight="false" outlineLevel="0" collapsed="false">
      <c r="A3892" s="2" t="s">
        <v>184</v>
      </c>
      <c r="B3892" s="2" t="s">
        <v>184</v>
      </c>
      <c r="C3892" s="2" t="s">
        <v>49</v>
      </c>
      <c r="D3892" s="2" t="s">
        <v>12</v>
      </c>
      <c r="E3892" s="2" t="s">
        <v>76</v>
      </c>
      <c r="F3892" s="2" t="s">
        <v>1145</v>
      </c>
      <c r="G3892" s="14" t="n">
        <v>12.5</v>
      </c>
      <c r="H3892" s="14" t="n">
        <v>20.11</v>
      </c>
      <c r="I3892" s="14" t="n">
        <v>12.5</v>
      </c>
      <c r="J3892" s="22" t="n">
        <f aca="false">IF(E3892="Priority",'Cost model'!N204,'Cost model'!M204)</f>
        <v>45</v>
      </c>
      <c r="K3892" s="14" t="n">
        <f aca="false">J3892-H3892</f>
        <v>24.89</v>
      </c>
      <c r="L3892" s="14" t="n">
        <f aca="false">G3892-H3892</f>
        <v>-7.61</v>
      </c>
    </row>
    <row r="3893" customFormat="false" ht="15" hidden="false" customHeight="false" outlineLevel="0" collapsed="false">
      <c r="A3893" s="2" t="s">
        <v>184</v>
      </c>
      <c r="B3893" s="2" t="s">
        <v>184</v>
      </c>
      <c r="C3893" s="2" t="s">
        <v>50</v>
      </c>
      <c r="D3893" s="2" t="s">
        <v>10</v>
      </c>
      <c r="E3893" s="2" t="s">
        <v>76</v>
      </c>
      <c r="F3893" s="2" t="s">
        <v>1145</v>
      </c>
      <c r="G3893" s="14" t="n">
        <v>17.5</v>
      </c>
      <c r="H3893" s="14" t="n">
        <v>10.79</v>
      </c>
      <c r="I3893" s="14" t="n">
        <v>17.5</v>
      </c>
      <c r="J3893" s="22" t="n">
        <f aca="false">IF(E3893="Priority",'Cost model'!N202,'Cost model'!M202)</f>
        <v>17.5</v>
      </c>
      <c r="K3893" s="14" t="n">
        <f aca="false">J3893-H3893</f>
        <v>6.71</v>
      </c>
      <c r="L3893" s="14" t="n">
        <f aca="false">G3893-H3893</f>
        <v>6.71</v>
      </c>
    </row>
    <row r="3894" customFormat="false" ht="15" hidden="false" customHeight="false" outlineLevel="0" collapsed="false">
      <c r="A3894" s="2" t="s">
        <v>184</v>
      </c>
      <c r="B3894" s="2" t="s">
        <v>184</v>
      </c>
      <c r="C3894" s="2" t="s">
        <v>48</v>
      </c>
      <c r="D3894" s="2" t="s">
        <v>12</v>
      </c>
      <c r="E3894" s="2" t="s">
        <v>76</v>
      </c>
      <c r="F3894" s="2" t="s">
        <v>1145</v>
      </c>
      <c r="G3894" s="14" t="n">
        <v>9.5</v>
      </c>
      <c r="H3894" s="14" t="n">
        <v>97.98</v>
      </c>
      <c r="I3894" s="14" t="n">
        <v>9.5</v>
      </c>
      <c r="J3894" s="22" t="n">
        <f aca="false">IF(E3894="Priority",'Cost model'!N203,'Cost model'!M203)</f>
        <v>26.5</v>
      </c>
      <c r="K3894" s="14" t="n">
        <f aca="false">J3894-H3894</f>
        <v>-71.48</v>
      </c>
      <c r="L3894" s="14" t="n">
        <f aca="false">G3894-H3894</f>
        <v>-88.48</v>
      </c>
    </row>
    <row r="3895" customFormat="false" ht="15" hidden="false" customHeight="false" outlineLevel="0" collapsed="false">
      <c r="A3895" s="2" t="s">
        <v>146</v>
      </c>
      <c r="B3895" s="2" t="s">
        <v>146</v>
      </c>
      <c r="C3895" s="2" t="s">
        <v>48</v>
      </c>
      <c r="D3895" s="2" t="s">
        <v>12</v>
      </c>
      <c r="E3895" s="2" t="s">
        <v>76</v>
      </c>
      <c r="F3895" s="2" t="s">
        <v>1145</v>
      </c>
      <c r="G3895" s="14" t="n">
        <v>9.5</v>
      </c>
      <c r="H3895" s="14" t="n">
        <v>42.61</v>
      </c>
      <c r="I3895" s="14" t="n">
        <v>9.5</v>
      </c>
      <c r="J3895" s="22" t="n">
        <f aca="false">IF(E3895="Priority",'Cost model'!N761,'Cost model'!M761)</f>
        <v>35</v>
      </c>
      <c r="K3895" s="14" t="n">
        <f aca="false">J3895-H3895</f>
        <v>-7.61</v>
      </c>
      <c r="L3895" s="14" t="n">
        <f aca="false">G3895-H3895</f>
        <v>-33.11</v>
      </c>
    </row>
    <row r="3896" customFormat="false" ht="15" hidden="false" customHeight="false" outlineLevel="0" collapsed="false">
      <c r="A3896" s="2" t="s">
        <v>240</v>
      </c>
      <c r="B3896" s="2" t="s">
        <v>146</v>
      </c>
      <c r="C3896" s="2" t="s">
        <v>50</v>
      </c>
      <c r="D3896" s="2" t="s">
        <v>10</v>
      </c>
      <c r="E3896" s="2" t="s">
        <v>76</v>
      </c>
      <c r="F3896" s="2" t="s">
        <v>1146</v>
      </c>
      <c r="G3896" s="14" t="n">
        <v>19.5</v>
      </c>
      <c r="H3896" s="14" t="n">
        <v>41.18</v>
      </c>
      <c r="I3896" s="14" t="n">
        <v>19.5</v>
      </c>
      <c r="J3896" s="22" t="n">
        <f aca="false">IF(E3896="Priority",'Cost model'!N922,'Cost model'!M922)</f>
        <v>35</v>
      </c>
      <c r="K3896" s="14" t="n">
        <f aca="false">J3896-H3896</f>
        <v>-6.18</v>
      </c>
      <c r="L3896" s="14" t="n">
        <f aca="false">G3896-H3896</f>
        <v>-21.68</v>
      </c>
    </row>
    <row r="3897" customFormat="false" ht="15" hidden="false" customHeight="false" outlineLevel="0" collapsed="false">
      <c r="A3897" s="2" t="s">
        <v>126</v>
      </c>
      <c r="B3897" s="2" t="s">
        <v>126</v>
      </c>
      <c r="C3897" s="2" t="s">
        <v>49</v>
      </c>
      <c r="D3897" s="2" t="s">
        <v>10</v>
      </c>
      <c r="E3897" s="2" t="s">
        <v>76</v>
      </c>
      <c r="F3897" s="2" t="s">
        <v>1145</v>
      </c>
      <c r="G3897" s="14" t="n">
        <v>12.5</v>
      </c>
      <c r="H3897" s="14" t="n">
        <v>7.46</v>
      </c>
      <c r="I3897" s="14" t="n">
        <v>12.5</v>
      </c>
      <c r="J3897" s="22" t="n">
        <f aca="false">IF(E3897="Priority",'Cost model'!N381,'Cost model'!M381)</f>
        <v>14.5</v>
      </c>
      <c r="K3897" s="14" t="n">
        <f aca="false">J3897-H3897</f>
        <v>7.04</v>
      </c>
      <c r="L3897" s="14" t="n">
        <f aca="false">G3897-H3897</f>
        <v>5.04</v>
      </c>
    </row>
    <row r="3898" customFormat="false" ht="15" hidden="false" customHeight="false" outlineLevel="0" collapsed="false">
      <c r="A3898" s="2" t="s">
        <v>146</v>
      </c>
      <c r="B3898" s="2" t="s">
        <v>146</v>
      </c>
      <c r="C3898" s="2" t="s">
        <v>50</v>
      </c>
      <c r="D3898" s="2" t="s">
        <v>12</v>
      </c>
      <c r="E3898" s="2" t="s">
        <v>76</v>
      </c>
      <c r="F3898" s="2" t="s">
        <v>1145</v>
      </c>
      <c r="G3898" s="14" t="n">
        <v>19.5</v>
      </c>
      <c r="H3898" s="14" t="n">
        <v>24.17</v>
      </c>
      <c r="I3898" s="14" t="n">
        <v>19.5</v>
      </c>
      <c r="J3898" s="22" t="n">
        <f aca="false">IF(E3898="Priority",'Cost model'!N763,'Cost model'!M763)</f>
        <v>50</v>
      </c>
      <c r="K3898" s="14" t="n">
        <f aca="false">J3898-H3898</f>
        <v>25.83</v>
      </c>
      <c r="L3898" s="14" t="n">
        <f aca="false">G3898-H3898</f>
        <v>-4.67</v>
      </c>
    </row>
    <row r="3899" customFormat="false" ht="15" hidden="false" customHeight="false" outlineLevel="0" collapsed="false">
      <c r="A3899" s="2" t="s">
        <v>240</v>
      </c>
      <c r="B3899" s="2" t="s">
        <v>240</v>
      </c>
      <c r="C3899" s="2" t="s">
        <v>48</v>
      </c>
      <c r="D3899" s="2" t="s">
        <v>10</v>
      </c>
      <c r="E3899" s="2" t="s">
        <v>76</v>
      </c>
      <c r="F3899" s="2" t="s">
        <v>1145</v>
      </c>
      <c r="G3899" s="14" t="n">
        <v>9.5</v>
      </c>
      <c r="H3899" s="14" t="n">
        <v>7.32</v>
      </c>
      <c r="I3899" s="14" t="n">
        <v>9.5</v>
      </c>
      <c r="J3899" s="22" t="n">
        <f aca="false">IF(E3899="Priority",'Cost model'!N884,'Cost model'!M884)</f>
        <v>7.5</v>
      </c>
      <c r="K3899" s="14" t="n">
        <f aca="false">J3899-H3899</f>
        <v>0.18</v>
      </c>
      <c r="L3899" s="14" t="n">
        <f aca="false">G3899-H3899</f>
        <v>2.18</v>
      </c>
    </row>
    <row r="3900" customFormat="false" ht="15" hidden="false" customHeight="false" outlineLevel="0" collapsed="false">
      <c r="A3900" s="2" t="s">
        <v>126</v>
      </c>
      <c r="B3900" s="2" t="s">
        <v>126</v>
      </c>
      <c r="C3900" s="2" t="s">
        <v>49</v>
      </c>
      <c r="D3900" s="2" t="s">
        <v>10</v>
      </c>
      <c r="E3900" s="2" t="s">
        <v>76</v>
      </c>
      <c r="F3900" s="2" t="s">
        <v>1145</v>
      </c>
      <c r="G3900" s="14" t="n">
        <v>12.5</v>
      </c>
      <c r="H3900" s="14" t="n">
        <v>21.45</v>
      </c>
      <c r="I3900" s="14" t="n">
        <v>12.5</v>
      </c>
      <c r="J3900" s="22" t="n">
        <f aca="false">IF(E3900="Priority",'Cost model'!N381,'Cost model'!M381)</f>
        <v>14.5</v>
      </c>
      <c r="K3900" s="14" t="n">
        <f aca="false">J3900-H3900</f>
        <v>-6.95</v>
      </c>
      <c r="L3900" s="14" t="n">
        <f aca="false">G3900-H3900</f>
        <v>-8.95</v>
      </c>
    </row>
    <row r="3901" customFormat="false" ht="15" hidden="false" customHeight="false" outlineLevel="0" collapsed="false">
      <c r="A3901" s="2" t="s">
        <v>146</v>
      </c>
      <c r="B3901" s="2" t="s">
        <v>146</v>
      </c>
      <c r="C3901" s="2" t="s">
        <v>48</v>
      </c>
      <c r="D3901" s="2" t="s">
        <v>10</v>
      </c>
      <c r="E3901" s="2" t="s">
        <v>76</v>
      </c>
      <c r="F3901" s="2" t="s">
        <v>1145</v>
      </c>
      <c r="G3901" s="14" t="n">
        <v>9.5</v>
      </c>
      <c r="H3901" s="14" t="n">
        <v>4.99</v>
      </c>
      <c r="I3901" s="14" t="n">
        <v>9.5</v>
      </c>
      <c r="J3901" s="22" t="n">
        <f aca="false">IF(E3901="Priority",'Cost model'!N758,'Cost model'!M758)</f>
        <v>9.5</v>
      </c>
      <c r="K3901" s="14" t="n">
        <f aca="false">J3901-H3901</f>
        <v>4.51</v>
      </c>
      <c r="L3901" s="14" t="n">
        <f aca="false">G3901-H3901</f>
        <v>4.51</v>
      </c>
    </row>
    <row r="3902" customFormat="false" ht="15" hidden="false" customHeight="false" outlineLevel="0" collapsed="false">
      <c r="A3902" s="2" t="s">
        <v>184</v>
      </c>
      <c r="B3902" s="2" t="s">
        <v>184</v>
      </c>
      <c r="C3902" s="2" t="s">
        <v>50</v>
      </c>
      <c r="D3902" s="2" t="s">
        <v>10</v>
      </c>
      <c r="E3902" s="2" t="s">
        <v>85</v>
      </c>
      <c r="F3902" s="2" t="s">
        <v>1145</v>
      </c>
      <c r="G3902" s="14" t="n">
        <v>24.5</v>
      </c>
      <c r="H3902" s="14" t="n">
        <v>28.34</v>
      </c>
      <c r="I3902" s="14" t="n">
        <v>24.5</v>
      </c>
      <c r="J3902" s="22" t="n">
        <f aca="false">IF(E3902="Priority",'Cost model'!N202,'Cost model'!M202)</f>
        <v>23.5</v>
      </c>
      <c r="K3902" s="14" t="n">
        <f aca="false">J3902-H3902</f>
        <v>-4.84</v>
      </c>
      <c r="L3902" s="14" t="n">
        <f aca="false">G3902-H3902</f>
        <v>-3.84</v>
      </c>
    </row>
    <row r="3903" customFormat="false" ht="15" hidden="false" customHeight="false" outlineLevel="0" collapsed="false">
      <c r="A3903" s="2" t="s">
        <v>184</v>
      </c>
      <c r="B3903" s="2" t="s">
        <v>165</v>
      </c>
      <c r="C3903" s="2" t="s">
        <v>50</v>
      </c>
      <c r="D3903" s="2" t="s">
        <v>12</v>
      </c>
      <c r="E3903" s="2" t="s">
        <v>85</v>
      </c>
      <c r="F3903" s="2" t="s">
        <v>1146</v>
      </c>
      <c r="G3903" s="14" t="n">
        <v>34.5</v>
      </c>
      <c r="H3903" s="14" t="n">
        <v>56.72</v>
      </c>
      <c r="I3903" s="14" t="n">
        <v>34.5</v>
      </c>
      <c r="J3903" s="22" t="n">
        <f aca="false">IF(E3903="Priority",'Cost model'!N169,'Cost model'!M169)</f>
        <v>80</v>
      </c>
      <c r="K3903" s="14" t="n">
        <f aca="false">J3903-H3903</f>
        <v>23.28</v>
      </c>
      <c r="L3903" s="14" t="n">
        <f aca="false">G3903-H3903</f>
        <v>-22.22</v>
      </c>
    </row>
    <row r="3904" customFormat="false" ht="15" hidden="false" customHeight="false" outlineLevel="0" collapsed="false">
      <c r="A3904" s="2" t="s">
        <v>240</v>
      </c>
      <c r="B3904" s="2" t="s">
        <v>240</v>
      </c>
      <c r="C3904" s="2" t="s">
        <v>48</v>
      </c>
      <c r="D3904" s="2" t="s">
        <v>12</v>
      </c>
      <c r="E3904" s="2" t="s">
        <v>76</v>
      </c>
      <c r="F3904" s="2" t="s">
        <v>1145</v>
      </c>
      <c r="G3904" s="14" t="n">
        <v>9.5</v>
      </c>
      <c r="H3904" s="14" t="n">
        <v>13.9</v>
      </c>
      <c r="I3904" s="14" t="n">
        <v>9.5</v>
      </c>
      <c r="J3904" s="22" t="n">
        <f aca="false">IF(E3904="Priority",'Cost model'!N887,'Cost model'!M887)</f>
        <v>21.5</v>
      </c>
      <c r="K3904" s="14" t="n">
        <f aca="false">J3904-H3904</f>
        <v>7.6</v>
      </c>
      <c r="L3904" s="14" t="n">
        <f aca="false">G3904-H3904</f>
        <v>-4.4</v>
      </c>
    </row>
    <row r="3905" customFormat="false" ht="15" hidden="false" customHeight="false" outlineLevel="0" collapsed="false">
      <c r="A3905" s="2" t="s">
        <v>126</v>
      </c>
      <c r="B3905" s="2" t="s">
        <v>126</v>
      </c>
      <c r="C3905" s="2" t="s">
        <v>48</v>
      </c>
      <c r="D3905" s="2" t="s">
        <v>10</v>
      </c>
      <c r="E3905" s="2" t="s">
        <v>76</v>
      </c>
      <c r="F3905" s="2" t="s">
        <v>1145</v>
      </c>
      <c r="G3905" s="14" t="n">
        <v>9.5</v>
      </c>
      <c r="H3905" s="14" t="n">
        <v>7.45</v>
      </c>
      <c r="I3905" s="14" t="n">
        <v>9.5</v>
      </c>
      <c r="J3905" s="22" t="n">
        <f aca="false">IF(E3905="Priority",'Cost model'!N380,'Cost model'!M380)</f>
        <v>8.5</v>
      </c>
      <c r="K3905" s="14" t="n">
        <f aca="false">J3905-H3905</f>
        <v>1.05</v>
      </c>
      <c r="L3905" s="14" t="n">
        <f aca="false">G3905-H3905</f>
        <v>2.05</v>
      </c>
    </row>
    <row r="3906" customFormat="false" ht="15" hidden="false" customHeight="false" outlineLevel="0" collapsed="false">
      <c r="A3906" s="2" t="s">
        <v>146</v>
      </c>
      <c r="B3906" s="2" t="s">
        <v>184</v>
      </c>
      <c r="C3906" s="2" t="s">
        <v>50</v>
      </c>
      <c r="D3906" s="2" t="s">
        <v>12</v>
      </c>
      <c r="E3906" s="2" t="s">
        <v>85</v>
      </c>
      <c r="F3906" s="2" t="s">
        <v>1146</v>
      </c>
      <c r="G3906" s="14" t="n">
        <v>34.5</v>
      </c>
      <c r="H3906" s="14" t="n">
        <v>30.18</v>
      </c>
      <c r="I3906" s="14" t="n">
        <v>34.5</v>
      </c>
      <c r="J3906" s="22" t="n">
        <f aca="false">IF(E3906="Priority",'Cost model'!N835,'Cost model'!M835)</f>
        <v>65</v>
      </c>
      <c r="K3906" s="14" t="n">
        <f aca="false">J3906-H3906</f>
        <v>34.82</v>
      </c>
      <c r="L3906" s="14" t="n">
        <f aca="false">G3906-H3906</f>
        <v>4.32</v>
      </c>
    </row>
    <row r="3907" customFormat="false" ht="15" hidden="false" customHeight="false" outlineLevel="0" collapsed="false">
      <c r="A3907" s="2" t="s">
        <v>146</v>
      </c>
      <c r="B3907" s="2" t="s">
        <v>146</v>
      </c>
      <c r="C3907" s="2" t="s">
        <v>48</v>
      </c>
      <c r="D3907" s="2" t="s">
        <v>12</v>
      </c>
      <c r="E3907" s="2" t="s">
        <v>76</v>
      </c>
      <c r="F3907" s="2" t="s">
        <v>1145</v>
      </c>
      <c r="G3907" s="14" t="n">
        <v>9.5</v>
      </c>
      <c r="H3907" s="14" t="n">
        <v>64.06</v>
      </c>
      <c r="I3907" s="14" t="n">
        <v>9.5</v>
      </c>
      <c r="J3907" s="22" t="n">
        <f aca="false">IF(E3907="Priority",'Cost model'!N761,'Cost model'!M761)</f>
        <v>35</v>
      </c>
      <c r="K3907" s="14" t="n">
        <f aca="false">J3907-H3907</f>
        <v>-29.06</v>
      </c>
      <c r="L3907" s="14" t="n">
        <f aca="false">G3907-H3907</f>
        <v>-54.56</v>
      </c>
    </row>
    <row r="3908" customFormat="false" ht="15" hidden="false" customHeight="false" outlineLevel="0" collapsed="false">
      <c r="A3908" s="2" t="s">
        <v>146</v>
      </c>
      <c r="B3908" s="2" t="s">
        <v>146</v>
      </c>
      <c r="C3908" s="2" t="s">
        <v>48</v>
      </c>
      <c r="D3908" s="2" t="s">
        <v>10</v>
      </c>
      <c r="E3908" s="2" t="s">
        <v>85</v>
      </c>
      <c r="F3908" s="2" t="s">
        <v>1145</v>
      </c>
      <c r="G3908" s="14" t="n">
        <v>14.5</v>
      </c>
      <c r="H3908" s="14" t="n">
        <v>21.61</v>
      </c>
      <c r="I3908" s="14" t="n">
        <v>14.5</v>
      </c>
      <c r="J3908" s="22" t="n">
        <f aca="false">IF(E3908="Priority",'Cost model'!N758,'Cost model'!M758)</f>
        <v>14.5</v>
      </c>
      <c r="K3908" s="14" t="n">
        <f aca="false">J3908-H3908</f>
        <v>-7.11</v>
      </c>
      <c r="L3908" s="14" t="n">
        <f aca="false">G3908-H3908</f>
        <v>-7.11</v>
      </c>
    </row>
    <row r="3909" customFormat="false" ht="15" hidden="false" customHeight="false" outlineLevel="0" collapsed="false">
      <c r="A3909" s="2" t="s">
        <v>184</v>
      </c>
      <c r="B3909" s="2" t="s">
        <v>184</v>
      </c>
      <c r="C3909" s="2" t="s">
        <v>48</v>
      </c>
      <c r="D3909" s="2" t="s">
        <v>12</v>
      </c>
      <c r="E3909" s="2" t="s">
        <v>76</v>
      </c>
      <c r="F3909" s="2" t="s">
        <v>1145</v>
      </c>
      <c r="G3909" s="14" t="n">
        <v>9.5</v>
      </c>
      <c r="H3909" s="14" t="n">
        <v>28.71</v>
      </c>
      <c r="I3909" s="14" t="n">
        <v>9.5</v>
      </c>
      <c r="J3909" s="22" t="n">
        <f aca="false">IF(E3909="Priority",'Cost model'!N203,'Cost model'!M203)</f>
        <v>26.5</v>
      </c>
      <c r="K3909" s="14" t="n">
        <f aca="false">J3909-H3909</f>
        <v>-2.21</v>
      </c>
      <c r="L3909" s="14" t="n">
        <f aca="false">G3909-H3909</f>
        <v>-19.21</v>
      </c>
    </row>
    <row r="3910" customFormat="false" ht="15" hidden="false" customHeight="false" outlineLevel="0" collapsed="false">
      <c r="A3910" s="2" t="s">
        <v>184</v>
      </c>
      <c r="B3910" s="2" t="s">
        <v>165</v>
      </c>
      <c r="C3910" s="2" t="s">
        <v>49</v>
      </c>
      <c r="D3910" s="2" t="s">
        <v>10</v>
      </c>
      <c r="E3910" s="2" t="s">
        <v>76</v>
      </c>
      <c r="F3910" s="2" t="s">
        <v>1146</v>
      </c>
      <c r="G3910" s="14" t="n">
        <v>14.5</v>
      </c>
      <c r="H3910" s="14" t="n">
        <v>9.25</v>
      </c>
      <c r="I3910" s="14"/>
      <c r="J3910" s="22" t="n">
        <f aca="false">IF(E3910="Priority",'Cost model'!N165,'Cost model'!M165)</f>
        <v>15.5</v>
      </c>
      <c r="K3910" s="14" t="n">
        <f aca="false">J3910-H3910</f>
        <v>6.25</v>
      </c>
      <c r="L3910" s="14" t="n">
        <f aca="false">G3910-H3910</f>
        <v>5.25</v>
      </c>
    </row>
    <row r="3911" customFormat="false" ht="15" hidden="false" customHeight="false" outlineLevel="0" collapsed="false">
      <c r="A3911" s="2" t="s">
        <v>184</v>
      </c>
      <c r="B3911" s="2" t="s">
        <v>165</v>
      </c>
      <c r="C3911" s="2" t="s">
        <v>50</v>
      </c>
      <c r="D3911" s="2" t="s">
        <v>10</v>
      </c>
      <c r="E3911" s="2" t="s">
        <v>76</v>
      </c>
      <c r="F3911" s="2" t="s">
        <v>1146</v>
      </c>
      <c r="G3911" s="14" t="n">
        <v>17.5</v>
      </c>
      <c r="H3911" s="14" t="n">
        <v>21.34</v>
      </c>
      <c r="I3911" s="14" t="n">
        <v>17.5</v>
      </c>
      <c r="J3911" s="22" t="n">
        <f aca="false">IF(E3911="Priority",'Cost model'!N166,'Cost model'!M166)</f>
        <v>18.5</v>
      </c>
      <c r="K3911" s="14" t="n">
        <f aca="false">J3911-H3911</f>
        <v>-2.84</v>
      </c>
      <c r="L3911" s="14" t="n">
        <f aca="false">G3911-H3911</f>
        <v>-3.84</v>
      </c>
    </row>
    <row r="3912" customFormat="false" ht="15" hidden="false" customHeight="false" outlineLevel="0" collapsed="false">
      <c r="A3912" s="2" t="s">
        <v>146</v>
      </c>
      <c r="B3912" s="2" t="s">
        <v>146</v>
      </c>
      <c r="C3912" s="2" t="s">
        <v>49</v>
      </c>
      <c r="D3912" s="2" t="s">
        <v>12</v>
      </c>
      <c r="E3912" s="2" t="s">
        <v>85</v>
      </c>
      <c r="F3912" s="2" t="s">
        <v>1145</v>
      </c>
      <c r="G3912" s="14" t="n">
        <v>19.5</v>
      </c>
      <c r="H3912" s="14" t="n">
        <v>73.71</v>
      </c>
      <c r="I3912" s="14" t="n">
        <v>19.5</v>
      </c>
      <c r="J3912" s="22" t="n">
        <f aca="false">IF(E3912="Priority",'Cost model'!N762,'Cost model'!M762)</f>
        <v>60</v>
      </c>
      <c r="K3912" s="14" t="n">
        <f aca="false">J3912-H3912</f>
        <v>-13.71</v>
      </c>
      <c r="L3912" s="14" t="n">
        <f aca="false">G3912-H3912</f>
        <v>-54.21</v>
      </c>
    </row>
    <row r="3913" customFormat="false" ht="15" hidden="false" customHeight="false" outlineLevel="0" collapsed="false">
      <c r="A3913" s="2" t="s">
        <v>184</v>
      </c>
      <c r="B3913" s="2" t="s">
        <v>146</v>
      </c>
      <c r="C3913" s="2" t="s">
        <v>48</v>
      </c>
      <c r="D3913" s="2" t="s">
        <v>12</v>
      </c>
      <c r="E3913" s="2" t="s">
        <v>76</v>
      </c>
      <c r="F3913" s="2" t="s">
        <v>1146</v>
      </c>
      <c r="G3913" s="14" t="n">
        <v>24.5</v>
      </c>
      <c r="H3913" s="14" t="n">
        <v>63.15</v>
      </c>
      <c r="I3913" s="14" t="n">
        <v>9.5</v>
      </c>
      <c r="J3913" s="22" t="n">
        <f aca="false">IF(E3913="Priority",'Cost model'!N149,'Cost model'!M149)</f>
        <v>45</v>
      </c>
      <c r="K3913" s="14" t="n">
        <f aca="false">J3913-H3913</f>
        <v>-18.15</v>
      </c>
      <c r="L3913" s="14" t="n">
        <f aca="false">G3913-H3913</f>
        <v>-38.65</v>
      </c>
    </row>
    <row r="3914" customFormat="false" ht="15" hidden="false" customHeight="false" outlineLevel="0" collapsed="false">
      <c r="A3914" s="2" t="s">
        <v>184</v>
      </c>
      <c r="B3914" s="2" t="s">
        <v>184</v>
      </c>
      <c r="C3914" s="2" t="s">
        <v>48</v>
      </c>
      <c r="D3914" s="2" t="s">
        <v>10</v>
      </c>
      <c r="E3914" s="2" t="s">
        <v>76</v>
      </c>
      <c r="F3914" s="2" t="s">
        <v>1145</v>
      </c>
      <c r="G3914" s="14" t="n">
        <v>9.5</v>
      </c>
      <c r="H3914" s="14" t="n">
        <v>5.94</v>
      </c>
      <c r="I3914" s="14" t="n">
        <v>9.5</v>
      </c>
      <c r="J3914" s="22" t="n">
        <f aca="false">IF(E3914="Priority",'Cost model'!N200,'Cost model'!M200)</f>
        <v>7.5</v>
      </c>
      <c r="K3914" s="14" t="n">
        <f aca="false">J3914-H3914</f>
        <v>1.56</v>
      </c>
      <c r="L3914" s="14" t="n">
        <f aca="false">G3914-H3914</f>
        <v>3.56</v>
      </c>
    </row>
    <row r="3915" customFormat="false" ht="15" hidden="false" customHeight="false" outlineLevel="0" collapsed="false">
      <c r="A3915" s="2" t="s">
        <v>184</v>
      </c>
      <c r="B3915" s="2" t="s">
        <v>184</v>
      </c>
      <c r="C3915" s="2" t="s">
        <v>49</v>
      </c>
      <c r="D3915" s="2" t="s">
        <v>14</v>
      </c>
      <c r="E3915" s="2" t="s">
        <v>76</v>
      </c>
      <c r="F3915" s="2" t="s">
        <v>1145</v>
      </c>
      <c r="G3915" s="14" t="n">
        <v>45</v>
      </c>
      <c r="H3915" s="14" t="n">
        <v>143.97</v>
      </c>
      <c r="I3915" s="14"/>
      <c r="J3915" s="22" t="n">
        <f aca="false">IF(E3915="Priority",'Cost model'!N210,'Cost model'!M210)</f>
        <v>135</v>
      </c>
      <c r="K3915" s="14" t="n">
        <f aca="false">J3915-H3915</f>
        <v>-8.97</v>
      </c>
      <c r="L3915" s="14" t="n">
        <f aca="false">G3915-H3915</f>
        <v>-98.97</v>
      </c>
    </row>
    <row r="3916" customFormat="false" ht="15" hidden="false" customHeight="false" outlineLevel="0" collapsed="false">
      <c r="A3916" s="2" t="s">
        <v>184</v>
      </c>
      <c r="B3916" s="2" t="s">
        <v>184</v>
      </c>
      <c r="C3916" s="2" t="s">
        <v>48</v>
      </c>
      <c r="D3916" s="2" t="s">
        <v>12</v>
      </c>
      <c r="E3916" s="2" t="s">
        <v>76</v>
      </c>
      <c r="F3916" s="2" t="s">
        <v>1145</v>
      </c>
      <c r="G3916" s="14" t="n">
        <v>9.5</v>
      </c>
      <c r="H3916" s="14" t="n">
        <v>28.13</v>
      </c>
      <c r="I3916" s="14" t="n">
        <v>9.5</v>
      </c>
      <c r="J3916" s="22" t="n">
        <f aca="false">IF(E3916="Priority",'Cost model'!N203,'Cost model'!M203)</f>
        <v>26.5</v>
      </c>
      <c r="K3916" s="14" t="n">
        <f aca="false">J3916-H3916</f>
        <v>-1.63</v>
      </c>
      <c r="L3916" s="14" t="n">
        <f aca="false">G3916-H3916</f>
        <v>-18.63</v>
      </c>
    </row>
    <row r="3917" customFormat="false" ht="15" hidden="false" customHeight="false" outlineLevel="0" collapsed="false">
      <c r="A3917" s="2" t="s">
        <v>146</v>
      </c>
      <c r="B3917" s="2" t="s">
        <v>126</v>
      </c>
      <c r="C3917" s="2" t="s">
        <v>49</v>
      </c>
      <c r="D3917" s="2" t="s">
        <v>12</v>
      </c>
      <c r="E3917" s="2" t="s">
        <v>76</v>
      </c>
      <c r="F3917" s="2" t="s">
        <v>1146</v>
      </c>
      <c r="G3917" s="14" t="n">
        <v>14.5</v>
      </c>
      <c r="H3917" s="14" t="n">
        <v>47.41</v>
      </c>
      <c r="I3917" s="14" t="n">
        <v>19.5</v>
      </c>
      <c r="J3917" s="22" t="n">
        <f aca="false">IF(E3917="Priority",'Cost model'!N798,'Cost model'!M798)</f>
        <v>45</v>
      </c>
      <c r="K3917" s="14" t="n">
        <f aca="false">J3917-H3917</f>
        <v>-2.41</v>
      </c>
      <c r="L3917" s="14" t="n">
        <f aca="false">G3917-H3917</f>
        <v>-32.91</v>
      </c>
    </row>
    <row r="3918" customFormat="false" ht="15" hidden="false" customHeight="false" outlineLevel="0" collapsed="false">
      <c r="A3918" s="2" t="s">
        <v>126</v>
      </c>
      <c r="B3918" s="2" t="s">
        <v>126</v>
      </c>
      <c r="C3918" s="2" t="s">
        <v>49</v>
      </c>
      <c r="D3918" s="2" t="s">
        <v>12</v>
      </c>
      <c r="E3918" s="2" t="s">
        <v>85</v>
      </c>
      <c r="F3918" s="2" t="s">
        <v>1145</v>
      </c>
      <c r="G3918" s="14" t="n">
        <v>19.5</v>
      </c>
      <c r="H3918" s="14" t="n">
        <v>17.69</v>
      </c>
      <c r="I3918" s="14" t="n">
        <v>19.5</v>
      </c>
      <c r="J3918" s="22" t="n">
        <f aca="false">IF(E3918="Priority",'Cost model'!N384,'Cost model'!M384)</f>
        <v>60</v>
      </c>
      <c r="K3918" s="14" t="n">
        <f aca="false">J3918-H3918</f>
        <v>42.31</v>
      </c>
      <c r="L3918" s="14" t="n">
        <f aca="false">G3918-H3918</f>
        <v>1.81</v>
      </c>
    </row>
    <row r="3919" customFormat="false" ht="15" hidden="false" customHeight="false" outlineLevel="0" collapsed="false">
      <c r="A3919" s="2" t="s">
        <v>146</v>
      </c>
      <c r="B3919" s="2" t="s">
        <v>146</v>
      </c>
      <c r="C3919" s="2" t="s">
        <v>48</v>
      </c>
      <c r="D3919" s="2" t="s">
        <v>10</v>
      </c>
      <c r="E3919" s="2" t="s">
        <v>76</v>
      </c>
      <c r="F3919" s="2" t="s">
        <v>1145</v>
      </c>
      <c r="G3919" s="14" t="n">
        <v>9.5</v>
      </c>
      <c r="H3919" s="14" t="n">
        <v>5.27</v>
      </c>
      <c r="I3919" s="14" t="n">
        <v>9.5</v>
      </c>
      <c r="J3919" s="22" t="n">
        <f aca="false">IF(E3919="Priority",'Cost model'!N758,'Cost model'!M758)</f>
        <v>9.5</v>
      </c>
      <c r="K3919" s="14" t="n">
        <f aca="false">J3919-H3919</f>
        <v>4.23</v>
      </c>
      <c r="L3919" s="14" t="n">
        <f aca="false">G3919-H3919</f>
        <v>4.23</v>
      </c>
    </row>
    <row r="3920" customFormat="false" ht="15" hidden="false" customHeight="false" outlineLevel="0" collapsed="false">
      <c r="A3920" s="2" t="s">
        <v>126</v>
      </c>
      <c r="B3920" s="2" t="s">
        <v>184</v>
      </c>
      <c r="C3920" s="2" t="s">
        <v>50</v>
      </c>
      <c r="D3920" s="2" t="s">
        <v>12</v>
      </c>
      <c r="E3920" s="2" t="s">
        <v>76</v>
      </c>
      <c r="F3920" s="2" t="s">
        <v>1146</v>
      </c>
      <c r="G3920" s="14" t="n">
        <v>19.5</v>
      </c>
      <c r="H3920" s="14" t="n">
        <v>41.77</v>
      </c>
      <c r="I3920" s="14" t="n">
        <v>19.5</v>
      </c>
      <c r="J3920" s="22" t="n">
        <f aca="false">IF(E3920="Priority",'Cost model'!N439,'Cost model'!M439)</f>
        <v>60</v>
      </c>
      <c r="K3920" s="14" t="n">
        <f aca="false">J3920-H3920</f>
        <v>18.23</v>
      </c>
      <c r="L3920" s="14" t="n">
        <f aca="false">G3920-H3920</f>
        <v>-22.27</v>
      </c>
    </row>
    <row r="3921" customFormat="false" ht="15" hidden="false" customHeight="false" outlineLevel="0" collapsed="false">
      <c r="A3921" s="2" t="s">
        <v>184</v>
      </c>
      <c r="B3921" s="2" t="s">
        <v>184</v>
      </c>
      <c r="C3921" s="2" t="s">
        <v>50</v>
      </c>
      <c r="D3921" s="2" t="s">
        <v>10</v>
      </c>
      <c r="E3921" s="2" t="s">
        <v>85</v>
      </c>
      <c r="F3921" s="2" t="s">
        <v>1145</v>
      </c>
      <c r="G3921" s="14" t="n">
        <v>24.5</v>
      </c>
      <c r="H3921" s="14" t="n">
        <v>22.09</v>
      </c>
      <c r="I3921" s="14" t="n">
        <v>24.5</v>
      </c>
      <c r="J3921" s="22" t="n">
        <f aca="false">IF(E3921="Priority",'Cost model'!N202,'Cost model'!M202)</f>
        <v>23.5</v>
      </c>
      <c r="K3921" s="14" t="n">
        <f aca="false">J3921-H3921</f>
        <v>1.41</v>
      </c>
      <c r="L3921" s="14" t="n">
        <f aca="false">G3921-H3921</f>
        <v>2.41</v>
      </c>
    </row>
    <row r="3922" customFormat="false" ht="15" hidden="false" customHeight="false" outlineLevel="0" collapsed="false">
      <c r="A3922" s="2" t="s">
        <v>146</v>
      </c>
      <c r="B3922" s="2" t="s">
        <v>146</v>
      </c>
      <c r="C3922" s="2" t="s">
        <v>48</v>
      </c>
      <c r="D3922" s="2" t="s">
        <v>12</v>
      </c>
      <c r="E3922" s="2" t="s">
        <v>85</v>
      </c>
      <c r="F3922" s="2" t="s">
        <v>1145</v>
      </c>
      <c r="G3922" s="14" t="n">
        <v>19.5</v>
      </c>
      <c r="H3922" s="14" t="n">
        <v>60.68</v>
      </c>
      <c r="I3922" s="14" t="n">
        <v>19.5</v>
      </c>
      <c r="J3922" s="22" t="n">
        <f aca="false">IF(E3922="Priority",'Cost model'!N761,'Cost model'!M761)</f>
        <v>45</v>
      </c>
      <c r="K3922" s="14" t="n">
        <f aca="false">J3922-H3922</f>
        <v>-15.68</v>
      </c>
      <c r="L3922" s="14" t="n">
        <f aca="false">G3922-H3922</f>
        <v>-41.18</v>
      </c>
    </row>
    <row r="3923" customFormat="false" ht="15" hidden="false" customHeight="false" outlineLevel="0" collapsed="false">
      <c r="A3923" s="2" t="s">
        <v>240</v>
      </c>
      <c r="B3923" s="2" t="s">
        <v>240</v>
      </c>
      <c r="C3923" s="2" t="s">
        <v>48</v>
      </c>
      <c r="D3923" s="2" t="s">
        <v>10</v>
      </c>
      <c r="E3923" s="2" t="s">
        <v>76</v>
      </c>
      <c r="F3923" s="2" t="s">
        <v>1145</v>
      </c>
      <c r="G3923" s="14" t="n">
        <v>9.5</v>
      </c>
      <c r="H3923" s="14" t="n">
        <v>6.25</v>
      </c>
      <c r="I3923" s="14" t="n">
        <v>9.5</v>
      </c>
      <c r="J3923" s="22" t="n">
        <f aca="false">IF(E3923="Priority",'Cost model'!N884,'Cost model'!M884)</f>
        <v>7.5</v>
      </c>
      <c r="K3923" s="14" t="n">
        <f aca="false">J3923-H3923</f>
        <v>1.25</v>
      </c>
      <c r="L3923" s="14" t="n">
        <f aca="false">G3923-H3923</f>
        <v>3.25</v>
      </c>
    </row>
    <row r="3924" customFormat="false" ht="15" hidden="false" customHeight="false" outlineLevel="0" collapsed="false">
      <c r="A3924" s="2" t="s">
        <v>146</v>
      </c>
      <c r="B3924" s="2" t="s">
        <v>146</v>
      </c>
      <c r="C3924" s="2" t="s">
        <v>48</v>
      </c>
      <c r="D3924" s="2" t="s">
        <v>10</v>
      </c>
      <c r="E3924" s="2" t="s">
        <v>76</v>
      </c>
      <c r="F3924" s="2" t="s">
        <v>1145</v>
      </c>
      <c r="G3924" s="14" t="n">
        <v>9.5</v>
      </c>
      <c r="H3924" s="14" t="n">
        <v>5.23</v>
      </c>
      <c r="I3924" s="14" t="n">
        <v>9.5</v>
      </c>
      <c r="J3924" s="22" t="n">
        <f aca="false">IF(E3924="Priority",'Cost model'!N758,'Cost model'!M758)</f>
        <v>9.5</v>
      </c>
      <c r="K3924" s="14" t="n">
        <f aca="false">J3924-H3924</f>
        <v>4.27</v>
      </c>
      <c r="L3924" s="14" t="n">
        <f aca="false">G3924-H3924</f>
        <v>4.27</v>
      </c>
    </row>
    <row r="3925" customFormat="false" ht="15" hidden="false" customHeight="false" outlineLevel="0" collapsed="false">
      <c r="A3925" s="2" t="s">
        <v>126</v>
      </c>
      <c r="B3925" s="2" t="s">
        <v>126</v>
      </c>
      <c r="C3925" s="2" t="s">
        <v>49</v>
      </c>
      <c r="D3925" s="2" t="s">
        <v>10</v>
      </c>
      <c r="E3925" s="2" t="s">
        <v>85</v>
      </c>
      <c r="F3925" s="2" t="s">
        <v>1145</v>
      </c>
      <c r="G3925" s="14" t="n">
        <v>17.5</v>
      </c>
      <c r="H3925" s="14" t="n">
        <v>25.99</v>
      </c>
      <c r="I3925" s="14" t="n">
        <v>17.5</v>
      </c>
      <c r="J3925" s="22" t="n">
        <f aca="false">IF(E3925="Priority",'Cost model'!N381,'Cost model'!M381)</f>
        <v>19.5</v>
      </c>
      <c r="K3925" s="14" t="n">
        <f aca="false">J3925-H3925</f>
        <v>-6.49</v>
      </c>
      <c r="L3925" s="14" t="n">
        <f aca="false">G3925-H3925</f>
        <v>-8.49</v>
      </c>
    </row>
    <row r="3926" customFormat="false" ht="15" hidden="false" customHeight="false" outlineLevel="0" collapsed="false">
      <c r="A3926" s="2" t="s">
        <v>184</v>
      </c>
      <c r="B3926" s="2" t="s">
        <v>184</v>
      </c>
      <c r="C3926" s="2" t="s">
        <v>48</v>
      </c>
      <c r="D3926" s="2" t="s">
        <v>12</v>
      </c>
      <c r="E3926" s="2" t="s">
        <v>76</v>
      </c>
      <c r="F3926" s="2" t="s">
        <v>1145</v>
      </c>
      <c r="G3926" s="14" t="n">
        <v>9.5</v>
      </c>
      <c r="H3926" s="14" t="n">
        <v>29.14</v>
      </c>
      <c r="I3926" s="14" t="n">
        <v>9.5</v>
      </c>
      <c r="J3926" s="22" t="n">
        <f aca="false">IF(E3926="Priority",'Cost model'!N203,'Cost model'!M203)</f>
        <v>26.5</v>
      </c>
      <c r="K3926" s="14" t="n">
        <f aca="false">J3926-H3926</f>
        <v>-2.64</v>
      </c>
      <c r="L3926" s="14" t="n">
        <f aca="false">G3926-H3926</f>
        <v>-19.64</v>
      </c>
    </row>
    <row r="3927" customFormat="false" ht="15" hidden="false" customHeight="false" outlineLevel="0" collapsed="false">
      <c r="A3927" s="2" t="s">
        <v>165</v>
      </c>
      <c r="B3927" s="2" t="s">
        <v>165</v>
      </c>
      <c r="C3927" s="2" t="s">
        <v>48</v>
      </c>
      <c r="D3927" s="2" t="s">
        <v>10</v>
      </c>
      <c r="E3927" s="2" t="s">
        <v>76</v>
      </c>
      <c r="F3927" s="2" t="s">
        <v>1145</v>
      </c>
      <c r="G3927" s="14" t="n">
        <v>9.5</v>
      </c>
      <c r="H3927" s="14" t="n">
        <v>9.25</v>
      </c>
      <c r="I3927" s="14" t="n">
        <v>9.5</v>
      </c>
      <c r="J3927" s="22" t="n">
        <f aca="false">IF(E3927="Priority",'Cost model'!N506,'Cost model'!M506)</f>
        <v>7.5</v>
      </c>
      <c r="K3927" s="14" t="n">
        <f aca="false">J3927-H3927</f>
        <v>-1.75</v>
      </c>
      <c r="L3927" s="14" t="n">
        <f aca="false">G3927-H3927</f>
        <v>0.25</v>
      </c>
    </row>
    <row r="3928" customFormat="false" ht="15" hidden="false" customHeight="false" outlineLevel="0" collapsed="false">
      <c r="A3928" s="2" t="s">
        <v>184</v>
      </c>
      <c r="B3928" s="2" t="s">
        <v>126</v>
      </c>
      <c r="C3928" s="2" t="s">
        <v>48</v>
      </c>
      <c r="D3928" s="2" t="s">
        <v>12</v>
      </c>
      <c r="E3928" s="2" t="s">
        <v>85</v>
      </c>
      <c r="F3928" s="2" t="s">
        <v>1146</v>
      </c>
      <c r="G3928" s="14" t="n">
        <v>19.5</v>
      </c>
      <c r="H3928" s="14" t="n">
        <v>45.58</v>
      </c>
      <c r="I3928" s="14" t="n">
        <v>19.5</v>
      </c>
      <c r="J3928" s="22" t="n">
        <f aca="false">IF(E3928="Priority",'Cost model'!N131,'Cost model'!M131)</f>
        <v>55</v>
      </c>
      <c r="K3928" s="14" t="n">
        <f aca="false">J3928-H3928</f>
        <v>9.42</v>
      </c>
      <c r="L3928" s="14" t="n">
        <f aca="false">G3928-H3928</f>
        <v>-26.08</v>
      </c>
    </row>
    <row r="3929" customFormat="false" ht="15" hidden="false" customHeight="false" outlineLevel="0" collapsed="false">
      <c r="A3929" s="2" t="s">
        <v>184</v>
      </c>
      <c r="B3929" s="2" t="s">
        <v>184</v>
      </c>
      <c r="C3929" s="2" t="s">
        <v>49</v>
      </c>
      <c r="D3929" s="2" t="s">
        <v>12</v>
      </c>
      <c r="E3929" s="2" t="s">
        <v>76</v>
      </c>
      <c r="F3929" s="2" t="s">
        <v>1145</v>
      </c>
      <c r="G3929" s="14" t="n">
        <v>12.5</v>
      </c>
      <c r="H3929" s="14" t="n">
        <v>45.25</v>
      </c>
      <c r="I3929" s="14" t="n">
        <v>12.5</v>
      </c>
      <c r="J3929" s="22" t="n">
        <f aca="false">IF(E3929="Priority",'Cost model'!N204,'Cost model'!M204)</f>
        <v>45</v>
      </c>
      <c r="K3929" s="14" t="n">
        <f aca="false">J3929-H3929</f>
        <v>-0.25</v>
      </c>
      <c r="L3929" s="14" t="n">
        <f aca="false">G3929-H3929</f>
        <v>-32.75</v>
      </c>
    </row>
    <row r="3930" customFormat="false" ht="15" hidden="false" customHeight="false" outlineLevel="0" collapsed="false">
      <c r="A3930" s="2" t="s">
        <v>165</v>
      </c>
      <c r="B3930" s="2" t="s">
        <v>165</v>
      </c>
      <c r="C3930" s="2" t="s">
        <v>50</v>
      </c>
      <c r="D3930" s="2" t="s">
        <v>12</v>
      </c>
      <c r="E3930" s="2" t="s">
        <v>85</v>
      </c>
      <c r="F3930" s="2" t="s">
        <v>1145</v>
      </c>
      <c r="G3930" s="14" t="n">
        <v>29.5</v>
      </c>
      <c r="H3930" s="14" t="n">
        <v>33.2</v>
      </c>
      <c r="I3930" s="14" t="n">
        <v>29.5</v>
      </c>
      <c r="J3930" s="22" t="n">
        <f aca="false">IF(E3930="Priority",'Cost model'!N511,'Cost model'!M511)</f>
        <v>45</v>
      </c>
      <c r="K3930" s="14" t="n">
        <f aca="false">J3930-H3930</f>
        <v>11.8</v>
      </c>
      <c r="L3930" s="14" t="n">
        <f aca="false">G3930-H3930</f>
        <v>-3.7</v>
      </c>
    </row>
    <row r="3931" customFormat="false" ht="15" hidden="false" customHeight="false" outlineLevel="0" collapsed="false">
      <c r="A3931" s="2" t="s">
        <v>126</v>
      </c>
      <c r="B3931" s="2" t="s">
        <v>126</v>
      </c>
      <c r="C3931" s="2" t="s">
        <v>48</v>
      </c>
      <c r="D3931" s="2" t="s">
        <v>10</v>
      </c>
      <c r="E3931" s="2" t="s">
        <v>76</v>
      </c>
      <c r="F3931" s="2" t="s">
        <v>1145</v>
      </c>
      <c r="G3931" s="14" t="n">
        <v>9.5</v>
      </c>
      <c r="H3931" s="14" t="n">
        <v>7.45</v>
      </c>
      <c r="I3931" s="14" t="n">
        <v>9.5</v>
      </c>
      <c r="J3931" s="22" t="n">
        <f aca="false">IF(E3931="Priority",'Cost model'!N380,'Cost model'!M380)</f>
        <v>8.5</v>
      </c>
      <c r="K3931" s="14" t="n">
        <f aca="false">J3931-H3931</f>
        <v>1.05</v>
      </c>
      <c r="L3931" s="14" t="n">
        <f aca="false">G3931-H3931</f>
        <v>2.05</v>
      </c>
    </row>
    <row r="3932" customFormat="false" ht="15" hidden="false" customHeight="false" outlineLevel="0" collapsed="false">
      <c r="A3932" s="2" t="s">
        <v>126</v>
      </c>
      <c r="B3932" s="2" t="s">
        <v>221</v>
      </c>
      <c r="C3932" s="2" t="s">
        <v>50</v>
      </c>
      <c r="D3932" s="2" t="s">
        <v>12</v>
      </c>
      <c r="E3932" s="2" t="s">
        <v>76</v>
      </c>
      <c r="F3932" s="2" t="s">
        <v>1146</v>
      </c>
      <c r="G3932" s="14" t="n">
        <v>85</v>
      </c>
      <c r="H3932" s="14" t="n">
        <v>469.92</v>
      </c>
      <c r="I3932" s="14" t="n">
        <v>24.5</v>
      </c>
      <c r="J3932" s="22" t="n">
        <f aca="false">IF(E3932="Priority",'Cost model'!N457,'Cost model'!M457)</f>
        <v>105</v>
      </c>
      <c r="K3932" s="14" t="n">
        <f aca="false">J3932-H3932</f>
        <v>-364.92</v>
      </c>
      <c r="L3932" s="14" t="n">
        <f aca="false">G3932-H3932</f>
        <v>-384.92</v>
      </c>
    </row>
    <row r="3933" customFormat="false" ht="15" hidden="false" customHeight="false" outlineLevel="0" collapsed="false">
      <c r="A3933" s="2" t="s">
        <v>126</v>
      </c>
      <c r="B3933" s="2" t="s">
        <v>126</v>
      </c>
      <c r="C3933" s="2" t="s">
        <v>50</v>
      </c>
      <c r="D3933" s="2" t="s">
        <v>12</v>
      </c>
      <c r="E3933" s="2" t="s">
        <v>76</v>
      </c>
      <c r="F3933" s="2" t="s">
        <v>1145</v>
      </c>
      <c r="G3933" s="14" t="n">
        <v>19.5</v>
      </c>
      <c r="H3933" s="14" t="n">
        <v>47.65</v>
      </c>
      <c r="I3933" s="14" t="n">
        <v>19.5</v>
      </c>
      <c r="J3933" s="22" t="n">
        <f aca="false">IF(E3933="Priority",'Cost model'!N385,'Cost model'!M385)</f>
        <v>55</v>
      </c>
      <c r="K3933" s="14" t="n">
        <f aca="false">J3933-H3933</f>
        <v>7.35</v>
      </c>
      <c r="L3933" s="14" t="n">
        <f aca="false">G3933-H3933</f>
        <v>-28.15</v>
      </c>
    </row>
    <row r="3934" customFormat="false" ht="15" hidden="false" customHeight="false" outlineLevel="0" collapsed="false">
      <c r="A3934" s="2" t="s">
        <v>146</v>
      </c>
      <c r="B3934" s="2" t="s">
        <v>126</v>
      </c>
      <c r="C3934" s="2" t="s">
        <v>50</v>
      </c>
      <c r="D3934" s="2" t="s">
        <v>10</v>
      </c>
      <c r="E3934" s="2" t="s">
        <v>76</v>
      </c>
      <c r="F3934" s="2" t="s">
        <v>1146</v>
      </c>
      <c r="G3934" s="14" t="n">
        <v>17.5</v>
      </c>
      <c r="H3934" s="14" t="n">
        <v>15.99</v>
      </c>
      <c r="I3934" s="14" t="n">
        <v>17.5</v>
      </c>
      <c r="J3934" s="22" t="n">
        <f aca="false">IF(E3934="Priority",'Cost model'!N796,'Cost model'!M796)</f>
        <v>17.5</v>
      </c>
      <c r="K3934" s="14" t="n">
        <f aca="false">J3934-H3934</f>
        <v>1.51</v>
      </c>
      <c r="L3934" s="14" t="n">
        <f aca="false">G3934-H3934</f>
        <v>1.51</v>
      </c>
    </row>
    <row r="3935" customFormat="false" ht="15" hidden="false" customHeight="false" outlineLevel="0" collapsed="false">
      <c r="A3935" s="2" t="s">
        <v>184</v>
      </c>
      <c r="B3935" s="2" t="s">
        <v>184</v>
      </c>
      <c r="C3935" s="2" t="s">
        <v>48</v>
      </c>
      <c r="D3935" s="2" t="s">
        <v>14</v>
      </c>
      <c r="E3935" s="2" t="s">
        <v>76</v>
      </c>
      <c r="F3935" s="2" t="s">
        <v>1145</v>
      </c>
      <c r="G3935" s="14" t="n">
        <v>25</v>
      </c>
      <c r="H3935" s="14" t="n">
        <v>154.81</v>
      </c>
      <c r="I3935" s="14" t="n">
        <v>25</v>
      </c>
      <c r="J3935" s="22" t="n">
        <f aca="false">IF(E3935="Priority",'Cost model'!N209,'Cost model'!M209)</f>
        <v>105</v>
      </c>
      <c r="K3935" s="14" t="n">
        <f aca="false">J3935-H3935</f>
        <v>-49.81</v>
      </c>
      <c r="L3935" s="14" t="n">
        <f aca="false">G3935-H3935</f>
        <v>-129.81</v>
      </c>
    </row>
    <row r="3936" customFormat="false" ht="15" hidden="false" customHeight="false" outlineLevel="0" collapsed="false">
      <c r="A3936" s="2" t="s">
        <v>184</v>
      </c>
      <c r="B3936" s="2" t="s">
        <v>184</v>
      </c>
      <c r="C3936" s="2" t="s">
        <v>50</v>
      </c>
      <c r="D3936" s="2" t="s">
        <v>13</v>
      </c>
      <c r="E3936" s="2" t="s">
        <v>76</v>
      </c>
      <c r="F3936" s="2" t="s">
        <v>1145</v>
      </c>
      <c r="G3936" s="14" t="n">
        <v>50</v>
      </c>
      <c r="H3936" s="14" t="n">
        <v>89.24</v>
      </c>
      <c r="I3936" s="14" t="n">
        <v>50</v>
      </c>
      <c r="J3936" s="22" t="n">
        <f aca="false">IF(E3936="Priority",'Cost model'!N208,'Cost model'!M208)</f>
        <v>80</v>
      </c>
      <c r="K3936" s="14" t="n">
        <f aca="false">J3936-H3936</f>
        <v>-9.24</v>
      </c>
      <c r="L3936" s="14" t="n">
        <f aca="false">G3936-H3936</f>
        <v>-39.24</v>
      </c>
    </row>
    <row r="3937" customFormat="false" ht="15" hidden="false" customHeight="false" outlineLevel="0" collapsed="false">
      <c r="A3937" s="2" t="s">
        <v>126</v>
      </c>
      <c r="B3937" s="2" t="s">
        <v>126</v>
      </c>
      <c r="C3937" s="2" t="s">
        <v>50</v>
      </c>
      <c r="D3937" s="2" t="s">
        <v>10</v>
      </c>
      <c r="E3937" s="2" t="s">
        <v>76</v>
      </c>
      <c r="F3937" s="2" t="s">
        <v>1145</v>
      </c>
      <c r="G3937" s="14" t="n">
        <v>17.5</v>
      </c>
      <c r="H3937" s="14" t="n">
        <v>20.83</v>
      </c>
      <c r="I3937" s="14" t="n">
        <v>17.5</v>
      </c>
      <c r="J3937" s="22" t="n">
        <f aca="false">IF(E3937="Priority",'Cost model'!N382,'Cost model'!M382)</f>
        <v>18.5</v>
      </c>
      <c r="K3937" s="14" t="n">
        <f aca="false">J3937-H3937</f>
        <v>-2.33</v>
      </c>
      <c r="L3937" s="14" t="n">
        <f aca="false">G3937-H3937</f>
        <v>-3.33</v>
      </c>
    </row>
    <row r="3938" customFormat="false" ht="15" hidden="false" customHeight="false" outlineLevel="0" collapsed="false">
      <c r="A3938" s="2" t="s">
        <v>165</v>
      </c>
      <c r="B3938" s="2" t="s">
        <v>165</v>
      </c>
      <c r="C3938" s="2" t="s">
        <v>50</v>
      </c>
      <c r="D3938" s="2" t="s">
        <v>12</v>
      </c>
      <c r="E3938" s="2" t="s">
        <v>76</v>
      </c>
      <c r="F3938" s="2" t="s">
        <v>1145</v>
      </c>
      <c r="G3938" s="14" t="n">
        <v>19.5</v>
      </c>
      <c r="H3938" s="14" t="n">
        <v>16.62</v>
      </c>
      <c r="I3938" s="14" t="n">
        <v>19.5</v>
      </c>
      <c r="J3938" s="22" t="n">
        <f aca="false">IF(E3938="Priority",'Cost model'!N511,'Cost model'!M511)</f>
        <v>35</v>
      </c>
      <c r="K3938" s="14" t="n">
        <f aca="false">J3938-H3938</f>
        <v>18.38</v>
      </c>
      <c r="L3938" s="14" t="n">
        <f aca="false">G3938-H3938</f>
        <v>2.88</v>
      </c>
    </row>
    <row r="3939" customFormat="false" ht="15" hidden="false" customHeight="false" outlineLevel="0" collapsed="false">
      <c r="A3939" s="2" t="s">
        <v>240</v>
      </c>
      <c r="B3939" s="2" t="s">
        <v>165</v>
      </c>
      <c r="C3939" s="2" t="s">
        <v>50</v>
      </c>
      <c r="D3939" s="2" t="s">
        <v>10</v>
      </c>
      <c r="E3939" s="2" t="s">
        <v>76</v>
      </c>
      <c r="F3939" s="2" t="s">
        <v>1146</v>
      </c>
      <c r="G3939" s="14" t="n">
        <v>17.5</v>
      </c>
      <c r="H3939" s="14" t="n">
        <v>16.9</v>
      </c>
      <c r="I3939" s="14" t="n">
        <v>17.5</v>
      </c>
      <c r="J3939" s="22" t="n">
        <f aca="false">IF(E3939="Priority",'Cost model'!N904,'Cost model'!M904)</f>
        <v>24.5</v>
      </c>
      <c r="K3939" s="14" t="n">
        <f aca="false">J3939-H3939</f>
        <v>7.6</v>
      </c>
      <c r="L3939" s="14" t="n">
        <f aca="false">G3939-H3939</f>
        <v>0.600000000000001</v>
      </c>
    </row>
    <row r="3940" customFormat="false" ht="15" hidden="false" customHeight="false" outlineLevel="0" collapsed="false">
      <c r="A3940" s="2" t="s">
        <v>126</v>
      </c>
      <c r="B3940" s="2" t="s">
        <v>126</v>
      </c>
      <c r="C3940" s="2" t="s">
        <v>50</v>
      </c>
      <c r="D3940" s="2" t="s">
        <v>10</v>
      </c>
      <c r="E3940" s="2" t="s">
        <v>76</v>
      </c>
      <c r="F3940" s="2" t="s">
        <v>1145</v>
      </c>
      <c r="G3940" s="14" t="n">
        <v>17.5</v>
      </c>
      <c r="H3940" s="14" t="n">
        <v>21.6</v>
      </c>
      <c r="I3940" s="14" t="n">
        <v>17.5</v>
      </c>
      <c r="J3940" s="22" t="n">
        <f aca="false">IF(E3940="Priority",'Cost model'!N382,'Cost model'!M382)</f>
        <v>18.5</v>
      </c>
      <c r="K3940" s="14" t="n">
        <f aca="false">J3940-H3940</f>
        <v>-3.1</v>
      </c>
      <c r="L3940" s="14" t="n">
        <f aca="false">G3940-H3940</f>
        <v>-4.1</v>
      </c>
    </row>
    <row r="3941" customFormat="false" ht="15" hidden="false" customHeight="false" outlineLevel="0" collapsed="false">
      <c r="A3941" s="2" t="s">
        <v>184</v>
      </c>
      <c r="B3941" s="2" t="s">
        <v>184</v>
      </c>
      <c r="C3941" s="2" t="s">
        <v>50</v>
      </c>
      <c r="D3941" s="2" t="s">
        <v>12</v>
      </c>
      <c r="E3941" s="2" t="s">
        <v>76</v>
      </c>
      <c r="F3941" s="2" t="s">
        <v>1145</v>
      </c>
      <c r="G3941" s="14" t="n">
        <v>19.5</v>
      </c>
      <c r="H3941" s="14" t="n">
        <v>50.49</v>
      </c>
      <c r="I3941" s="14" t="n">
        <v>19.5</v>
      </c>
      <c r="J3941" s="22" t="n">
        <f aca="false">IF(E3941="Priority",'Cost model'!N205,'Cost model'!M205)</f>
        <v>50</v>
      </c>
      <c r="K3941" s="14" t="n">
        <f aca="false">J3941-H3941</f>
        <v>-0.490000000000002</v>
      </c>
      <c r="L3941" s="14" t="n">
        <f aca="false">G3941-H3941</f>
        <v>-30.99</v>
      </c>
    </row>
    <row r="3942" customFormat="false" ht="15" hidden="false" customHeight="false" outlineLevel="0" collapsed="false">
      <c r="A3942" s="2" t="s">
        <v>125</v>
      </c>
      <c r="B3942" s="2" t="s">
        <v>184</v>
      </c>
      <c r="C3942" s="2" t="s">
        <v>48</v>
      </c>
      <c r="D3942" s="2" t="s">
        <v>12</v>
      </c>
      <c r="E3942" s="2" t="s">
        <v>76</v>
      </c>
      <c r="F3942" s="2" t="s">
        <v>1146</v>
      </c>
      <c r="G3942" s="14" t="n">
        <v>19.5</v>
      </c>
      <c r="H3942" s="14" t="n">
        <v>26.63</v>
      </c>
      <c r="I3942" s="14" t="n">
        <v>19.5</v>
      </c>
      <c r="J3942" s="22" t="n">
        <f aca="false">IF(E3942="Priority",'Cost model'!N59,'Cost model'!M59)</f>
        <v>45</v>
      </c>
      <c r="K3942" s="14" t="n">
        <f aca="false">J3942-H3942</f>
        <v>18.37</v>
      </c>
      <c r="L3942" s="14" t="n">
        <f aca="false">G3942-H3942</f>
        <v>-7.13</v>
      </c>
    </row>
    <row r="3943" customFormat="false" ht="15" hidden="false" customHeight="false" outlineLevel="0" collapsed="false">
      <c r="A3943" s="2" t="s">
        <v>146</v>
      </c>
      <c r="B3943" s="2" t="s">
        <v>184</v>
      </c>
      <c r="C3943" s="2" t="s">
        <v>50</v>
      </c>
      <c r="D3943" s="2" t="s">
        <v>10</v>
      </c>
      <c r="E3943" s="2" t="s">
        <v>76</v>
      </c>
      <c r="F3943" s="2" t="s">
        <v>1146</v>
      </c>
      <c r="G3943" s="14" t="n">
        <v>17.5</v>
      </c>
      <c r="H3943" s="14" t="n">
        <v>13.92</v>
      </c>
      <c r="I3943" s="14" t="n">
        <v>17.5</v>
      </c>
      <c r="J3943" s="22" t="n">
        <f aca="false">IF(E3943="Priority",'Cost model'!N832,'Cost model'!M832)</f>
        <v>15.5</v>
      </c>
      <c r="K3943" s="14" t="n">
        <f aca="false">J3943-H3943</f>
        <v>1.58</v>
      </c>
      <c r="L3943" s="14" t="n">
        <f aca="false">G3943-H3943</f>
        <v>3.58</v>
      </c>
    </row>
    <row r="3944" customFormat="false" ht="15" hidden="false" customHeight="false" outlineLevel="0" collapsed="false">
      <c r="A3944" s="2" t="s">
        <v>146</v>
      </c>
      <c r="B3944" s="2" t="s">
        <v>126</v>
      </c>
      <c r="C3944" s="2" t="s">
        <v>50</v>
      </c>
      <c r="D3944" s="2" t="s">
        <v>10</v>
      </c>
      <c r="E3944" s="2" t="s">
        <v>76</v>
      </c>
      <c r="F3944" s="2" t="s">
        <v>1146</v>
      </c>
      <c r="G3944" s="14" t="n">
        <v>17.5</v>
      </c>
      <c r="H3944" s="14" t="n">
        <v>15.88</v>
      </c>
      <c r="I3944" s="14" t="n">
        <v>17.5</v>
      </c>
      <c r="J3944" s="22" t="n">
        <f aca="false">IF(E3944="Priority",'Cost model'!N796,'Cost model'!M796)</f>
        <v>17.5</v>
      </c>
      <c r="K3944" s="14" t="n">
        <f aca="false">J3944-H3944</f>
        <v>1.62</v>
      </c>
      <c r="L3944" s="14" t="n">
        <f aca="false">G3944-H3944</f>
        <v>1.62</v>
      </c>
    </row>
    <row r="3945" customFormat="false" ht="15" hidden="false" customHeight="false" outlineLevel="0" collapsed="false">
      <c r="A3945" s="2" t="s">
        <v>126</v>
      </c>
      <c r="B3945" s="2" t="s">
        <v>126</v>
      </c>
      <c r="C3945" s="2" t="s">
        <v>49</v>
      </c>
      <c r="D3945" s="2" t="s">
        <v>14</v>
      </c>
      <c r="E3945" s="2" t="s">
        <v>76</v>
      </c>
      <c r="F3945" s="2" t="s">
        <v>1145</v>
      </c>
      <c r="G3945" s="14" t="n">
        <v>45</v>
      </c>
      <c r="H3945" s="14" t="n">
        <v>94.07</v>
      </c>
      <c r="I3945" s="14" t="n">
        <v>45</v>
      </c>
      <c r="J3945" s="22" t="n">
        <f aca="false">IF(E3945="Priority",'Cost model'!N390,'Cost model'!M390)</f>
        <v>115</v>
      </c>
      <c r="K3945" s="14" t="n">
        <f aca="false">J3945-H3945</f>
        <v>20.93</v>
      </c>
      <c r="L3945" s="14" t="n">
        <f aca="false">G3945-H3945</f>
        <v>-49.07</v>
      </c>
    </row>
    <row r="3946" customFormat="false" ht="15" hidden="false" customHeight="false" outlineLevel="0" collapsed="false">
      <c r="A3946" s="2" t="s">
        <v>126</v>
      </c>
      <c r="B3946" s="2" t="s">
        <v>126</v>
      </c>
      <c r="C3946" s="2" t="s">
        <v>50</v>
      </c>
      <c r="D3946" s="2" t="s">
        <v>13</v>
      </c>
      <c r="E3946" s="2" t="s">
        <v>76</v>
      </c>
      <c r="F3946" s="2" t="s">
        <v>1145</v>
      </c>
      <c r="G3946" s="14" t="n">
        <v>50</v>
      </c>
      <c r="H3946" s="14" t="n">
        <v>96.13</v>
      </c>
      <c r="I3946" s="14" t="n">
        <v>50</v>
      </c>
      <c r="J3946" s="22" t="n">
        <f aca="false">IF(E3946="Priority",'Cost model'!N388,'Cost model'!M388)</f>
        <v>110</v>
      </c>
      <c r="K3946" s="14" t="n">
        <f aca="false">J3946-H3946</f>
        <v>13.87</v>
      </c>
      <c r="L3946" s="14" t="n">
        <f aca="false">G3946-H3946</f>
        <v>-46.13</v>
      </c>
    </row>
    <row r="3947" customFormat="false" ht="15" hidden="false" customHeight="false" outlineLevel="0" collapsed="false">
      <c r="A3947" s="2" t="s">
        <v>165</v>
      </c>
      <c r="B3947" s="2" t="s">
        <v>165</v>
      </c>
      <c r="C3947" s="2" t="s">
        <v>48</v>
      </c>
      <c r="D3947" s="2" t="s">
        <v>10</v>
      </c>
      <c r="E3947" s="2" t="s">
        <v>85</v>
      </c>
      <c r="F3947" s="2" t="s">
        <v>1145</v>
      </c>
      <c r="G3947" s="14" t="n">
        <v>14.5</v>
      </c>
      <c r="H3947" s="14" t="n">
        <v>21.34</v>
      </c>
      <c r="I3947" s="14" t="n">
        <v>14.5</v>
      </c>
      <c r="J3947" s="22" t="n">
        <f aca="false">IF(E3947="Priority",'Cost model'!N506,'Cost model'!M506)</f>
        <v>12.5</v>
      </c>
      <c r="K3947" s="14" t="n">
        <f aca="false">J3947-H3947</f>
        <v>-8.84</v>
      </c>
      <c r="L3947" s="14" t="n">
        <f aca="false">G3947-H3947</f>
        <v>-6.84</v>
      </c>
    </row>
    <row r="3948" customFormat="false" ht="15" hidden="false" customHeight="false" outlineLevel="0" collapsed="false">
      <c r="A3948" s="2" t="s">
        <v>184</v>
      </c>
      <c r="B3948" s="2" t="s">
        <v>240</v>
      </c>
      <c r="C3948" s="2" t="s">
        <v>48</v>
      </c>
      <c r="D3948" s="2" t="s">
        <v>10</v>
      </c>
      <c r="E3948" s="2" t="s">
        <v>76</v>
      </c>
      <c r="F3948" s="2" t="s">
        <v>1146</v>
      </c>
      <c r="G3948" s="14" t="n">
        <v>12.5</v>
      </c>
      <c r="H3948" s="14" t="n">
        <v>8.4</v>
      </c>
      <c r="I3948" s="14" t="n">
        <v>19.5</v>
      </c>
      <c r="J3948" s="22" t="n">
        <f aca="false">IF(E3948="Priority",'Cost model'!N182,'Cost model'!M182)</f>
        <v>15.5</v>
      </c>
      <c r="K3948" s="14" t="n">
        <f aca="false">J3948-H3948</f>
        <v>7.1</v>
      </c>
      <c r="L3948" s="14" t="n">
        <f aca="false">G3948-H3948</f>
        <v>4.1</v>
      </c>
    </row>
    <row r="3949" customFormat="false" ht="15" hidden="false" customHeight="false" outlineLevel="0" collapsed="false">
      <c r="A3949" s="2" t="s">
        <v>184</v>
      </c>
      <c r="B3949" s="2" t="s">
        <v>184</v>
      </c>
      <c r="C3949" s="2" t="s">
        <v>48</v>
      </c>
      <c r="D3949" s="2" t="s">
        <v>12</v>
      </c>
      <c r="E3949" s="2" t="s">
        <v>76</v>
      </c>
      <c r="F3949" s="2" t="s">
        <v>1145</v>
      </c>
      <c r="G3949" s="14" t="n">
        <v>9.5</v>
      </c>
      <c r="H3949" s="14" t="n">
        <v>27.73</v>
      </c>
      <c r="I3949" s="14" t="n">
        <v>9.5</v>
      </c>
      <c r="J3949" s="22" t="n">
        <f aca="false">IF(E3949="Priority",'Cost model'!N203,'Cost model'!M203)</f>
        <v>26.5</v>
      </c>
      <c r="K3949" s="14" t="n">
        <f aca="false">J3949-H3949</f>
        <v>-1.23</v>
      </c>
      <c r="L3949" s="14" t="n">
        <f aca="false">G3949-H3949</f>
        <v>-18.23</v>
      </c>
    </row>
    <row r="3950" customFormat="false" ht="15" hidden="false" customHeight="false" outlineLevel="0" collapsed="false">
      <c r="A3950" s="2" t="s">
        <v>126</v>
      </c>
      <c r="B3950" s="2" t="s">
        <v>126</v>
      </c>
      <c r="C3950" s="2" t="s">
        <v>48</v>
      </c>
      <c r="D3950" s="2" t="s">
        <v>10</v>
      </c>
      <c r="E3950" s="2" t="s">
        <v>76</v>
      </c>
      <c r="F3950" s="2" t="s">
        <v>1145</v>
      </c>
      <c r="G3950" s="14" t="n">
        <v>9.5</v>
      </c>
      <c r="H3950" s="14" t="n">
        <v>7.45</v>
      </c>
      <c r="I3950" s="14" t="n">
        <v>9.5</v>
      </c>
      <c r="J3950" s="22" t="n">
        <f aca="false">IF(E3950="Priority",'Cost model'!N380,'Cost model'!M380)</f>
        <v>8.5</v>
      </c>
      <c r="K3950" s="14" t="n">
        <f aca="false">J3950-H3950</f>
        <v>1.05</v>
      </c>
      <c r="L3950" s="14" t="n">
        <f aca="false">G3950-H3950</f>
        <v>2.05</v>
      </c>
    </row>
    <row r="3951" customFormat="false" ht="15" hidden="false" customHeight="false" outlineLevel="0" collapsed="false">
      <c r="A3951" s="2" t="s">
        <v>184</v>
      </c>
      <c r="B3951" s="2" t="s">
        <v>184</v>
      </c>
      <c r="C3951" s="2" t="s">
        <v>50</v>
      </c>
      <c r="D3951" s="2" t="s">
        <v>12</v>
      </c>
      <c r="E3951" s="2" t="s">
        <v>76</v>
      </c>
      <c r="F3951" s="2" t="s">
        <v>1145</v>
      </c>
      <c r="G3951" s="14" t="n">
        <v>19.5</v>
      </c>
      <c r="H3951" s="14" t="n">
        <v>69.98</v>
      </c>
      <c r="I3951" s="14" t="n">
        <v>19.5</v>
      </c>
      <c r="J3951" s="22" t="n">
        <f aca="false">IF(E3951="Priority",'Cost model'!N205,'Cost model'!M205)</f>
        <v>50</v>
      </c>
      <c r="K3951" s="14" t="n">
        <f aca="false">J3951-H3951</f>
        <v>-19.98</v>
      </c>
      <c r="L3951" s="14" t="n">
        <f aca="false">G3951-H3951</f>
        <v>-50.48</v>
      </c>
    </row>
    <row r="3952" customFormat="false" ht="15" hidden="false" customHeight="false" outlineLevel="0" collapsed="false">
      <c r="A3952" s="2" t="s">
        <v>184</v>
      </c>
      <c r="B3952" s="2" t="s">
        <v>126</v>
      </c>
      <c r="C3952" s="2" t="s">
        <v>49</v>
      </c>
      <c r="D3952" s="2" t="s">
        <v>10</v>
      </c>
      <c r="E3952" s="2" t="s">
        <v>76</v>
      </c>
      <c r="F3952" s="2" t="s">
        <v>1146</v>
      </c>
      <c r="G3952" s="14" t="n">
        <v>12.5</v>
      </c>
      <c r="H3952" s="14" t="n">
        <v>10.91</v>
      </c>
      <c r="I3952" s="14"/>
      <c r="J3952" s="22" t="n">
        <f aca="false">IF(E3952="Priority",'Cost model'!N129,'Cost model'!M129)</f>
        <v>13.5</v>
      </c>
      <c r="K3952" s="14" t="n">
        <f aca="false">J3952-H3952</f>
        <v>2.59</v>
      </c>
      <c r="L3952" s="14" t="n">
        <f aca="false">G3952-H3952</f>
        <v>1.59</v>
      </c>
    </row>
    <row r="3953" customFormat="false" ht="15" hidden="false" customHeight="false" outlineLevel="0" collapsed="false">
      <c r="A3953" s="2" t="s">
        <v>146</v>
      </c>
      <c r="B3953" s="2" t="s">
        <v>126</v>
      </c>
      <c r="C3953" s="2" t="s">
        <v>50</v>
      </c>
      <c r="D3953" s="2" t="s">
        <v>13</v>
      </c>
      <c r="E3953" s="2" t="s">
        <v>76</v>
      </c>
      <c r="F3953" s="2" t="s">
        <v>1146</v>
      </c>
      <c r="G3953" s="14" t="n">
        <v>95</v>
      </c>
      <c r="H3953" s="14" t="n">
        <v>133.17</v>
      </c>
      <c r="I3953" s="14" t="n">
        <v>85</v>
      </c>
      <c r="J3953" s="22" t="n">
        <f aca="false">IF(E3953="Priority",'Cost model'!N802,'Cost model'!M802)</f>
        <v>110</v>
      </c>
      <c r="K3953" s="14" t="n">
        <f aca="false">J3953-H3953</f>
        <v>-23.17</v>
      </c>
      <c r="L3953" s="14" t="n">
        <f aca="false">G3953-H3953</f>
        <v>-38.17</v>
      </c>
    </row>
    <row r="3954" customFormat="false" ht="15" hidden="false" customHeight="false" outlineLevel="0" collapsed="false">
      <c r="A3954" s="2" t="s">
        <v>126</v>
      </c>
      <c r="B3954" s="2" t="s">
        <v>184</v>
      </c>
      <c r="C3954" s="2" t="s">
        <v>48</v>
      </c>
      <c r="D3954" s="2" t="s">
        <v>12</v>
      </c>
      <c r="E3954" s="2" t="s">
        <v>76</v>
      </c>
      <c r="F3954" s="2" t="s">
        <v>1146</v>
      </c>
      <c r="G3954" s="14" t="n">
        <v>9.5</v>
      </c>
      <c r="H3954" s="14" t="n">
        <v>57.55</v>
      </c>
      <c r="I3954" s="14" t="n">
        <v>19.5</v>
      </c>
      <c r="J3954" s="22" t="n">
        <f aca="false">IF(E3954="Priority",'Cost model'!N437,'Cost model'!M437)</f>
        <v>50</v>
      </c>
      <c r="K3954" s="14" t="n">
        <f aca="false">J3954-H3954</f>
        <v>-7.55</v>
      </c>
      <c r="L3954" s="14" t="n">
        <f aca="false">G3954-H3954</f>
        <v>-48.05</v>
      </c>
    </row>
    <row r="3955" customFormat="false" ht="15" hidden="false" customHeight="false" outlineLevel="0" collapsed="false">
      <c r="A3955" s="2" t="s">
        <v>126</v>
      </c>
      <c r="B3955" s="2" t="s">
        <v>184</v>
      </c>
      <c r="C3955" s="2" t="s">
        <v>50</v>
      </c>
      <c r="D3955" s="2" t="s">
        <v>12</v>
      </c>
      <c r="E3955" s="2" t="s">
        <v>76</v>
      </c>
      <c r="F3955" s="2" t="s">
        <v>1146</v>
      </c>
      <c r="G3955" s="14" t="n">
        <v>19.5</v>
      </c>
      <c r="H3955" s="14" t="n">
        <v>67.03</v>
      </c>
      <c r="I3955" s="14" t="n">
        <v>19.5</v>
      </c>
      <c r="J3955" s="22" t="n">
        <f aca="false">IF(E3955="Priority",'Cost model'!N439,'Cost model'!M439)</f>
        <v>60</v>
      </c>
      <c r="K3955" s="14" t="n">
        <f aca="false">J3955-H3955</f>
        <v>-7.03</v>
      </c>
      <c r="L3955" s="14" t="n">
        <f aca="false">G3955-H3955</f>
        <v>-47.53</v>
      </c>
    </row>
    <row r="3956" customFormat="false" ht="15" hidden="false" customHeight="false" outlineLevel="0" collapsed="false">
      <c r="A3956" s="2" t="s">
        <v>126</v>
      </c>
      <c r="B3956" s="2" t="s">
        <v>126</v>
      </c>
      <c r="C3956" s="2" t="s">
        <v>49</v>
      </c>
      <c r="D3956" s="2" t="s">
        <v>10</v>
      </c>
      <c r="E3956" s="2" t="s">
        <v>76</v>
      </c>
      <c r="F3956" s="2" t="s">
        <v>1145</v>
      </c>
      <c r="G3956" s="14" t="n">
        <v>12.5</v>
      </c>
      <c r="H3956" s="14" t="n">
        <v>8.09</v>
      </c>
      <c r="I3956" s="14" t="n">
        <v>12.5</v>
      </c>
      <c r="J3956" s="22" t="n">
        <f aca="false">IF(E3956="Priority",'Cost model'!N381,'Cost model'!M381)</f>
        <v>14.5</v>
      </c>
      <c r="K3956" s="14" t="n">
        <f aca="false">J3956-H3956</f>
        <v>6.41</v>
      </c>
      <c r="L3956" s="14" t="n">
        <f aca="false">G3956-H3956</f>
        <v>4.41</v>
      </c>
    </row>
    <row r="3957" customFormat="false" ht="15" hidden="false" customHeight="false" outlineLevel="0" collapsed="false">
      <c r="A3957" s="2" t="s">
        <v>184</v>
      </c>
      <c r="B3957" s="2" t="s">
        <v>184</v>
      </c>
      <c r="C3957" s="2" t="s">
        <v>48</v>
      </c>
      <c r="D3957" s="2" t="s">
        <v>12</v>
      </c>
      <c r="E3957" s="2" t="s">
        <v>76</v>
      </c>
      <c r="F3957" s="2" t="s">
        <v>1145</v>
      </c>
      <c r="G3957" s="14" t="n">
        <v>9.5</v>
      </c>
      <c r="H3957" s="14" t="n">
        <v>12.04</v>
      </c>
      <c r="I3957" s="14" t="n">
        <v>9.5</v>
      </c>
      <c r="J3957" s="22" t="n">
        <f aca="false">IF(E3957="Priority",'Cost model'!N203,'Cost model'!M203)</f>
        <v>26.5</v>
      </c>
      <c r="K3957" s="14" t="n">
        <f aca="false">J3957-H3957</f>
        <v>14.46</v>
      </c>
      <c r="L3957" s="14" t="n">
        <f aca="false">G3957-H3957</f>
        <v>-2.54</v>
      </c>
    </row>
    <row r="3958" customFormat="false" ht="15" hidden="false" customHeight="false" outlineLevel="0" collapsed="false">
      <c r="A3958" s="2" t="s">
        <v>184</v>
      </c>
      <c r="B3958" s="2" t="s">
        <v>184</v>
      </c>
      <c r="C3958" s="2" t="s">
        <v>49</v>
      </c>
      <c r="D3958" s="2" t="s">
        <v>10</v>
      </c>
      <c r="E3958" s="2" t="s">
        <v>76</v>
      </c>
      <c r="F3958" s="2" t="s">
        <v>1145</v>
      </c>
      <c r="G3958" s="14" t="n">
        <v>19</v>
      </c>
      <c r="H3958" s="14" t="n">
        <v>7.72</v>
      </c>
      <c r="I3958" s="14"/>
      <c r="J3958" s="22" t="n">
        <f aca="false">IF(E3958="Priority",'Cost model'!N201,'Cost model'!M201)</f>
        <v>12.5</v>
      </c>
      <c r="K3958" s="14" t="n">
        <f aca="false">J3958-H3958</f>
        <v>4.78</v>
      </c>
      <c r="L3958" s="14" t="n">
        <f aca="false">G3958-H3958</f>
        <v>11.28</v>
      </c>
    </row>
    <row r="3959" customFormat="false" ht="15" hidden="false" customHeight="false" outlineLevel="0" collapsed="false">
      <c r="A3959" s="2" t="s">
        <v>184</v>
      </c>
      <c r="B3959" s="2" t="s">
        <v>184</v>
      </c>
      <c r="C3959" s="2" t="s">
        <v>49</v>
      </c>
      <c r="D3959" s="2" t="s">
        <v>12</v>
      </c>
      <c r="E3959" s="2" t="s">
        <v>76</v>
      </c>
      <c r="F3959" s="2" t="s">
        <v>1145</v>
      </c>
      <c r="G3959" s="14" t="n">
        <v>12.5</v>
      </c>
      <c r="H3959" s="14" t="n">
        <v>42.61</v>
      </c>
      <c r="I3959" s="14"/>
      <c r="J3959" s="22" t="n">
        <f aca="false">IF(E3959="Priority",'Cost model'!N204,'Cost model'!M204)</f>
        <v>45</v>
      </c>
      <c r="K3959" s="14" t="n">
        <f aca="false">J3959-H3959</f>
        <v>2.39</v>
      </c>
      <c r="L3959" s="14" t="n">
        <f aca="false">G3959-H3959</f>
        <v>-30.11</v>
      </c>
    </row>
    <row r="3960" customFormat="false" ht="15" hidden="false" customHeight="false" outlineLevel="0" collapsed="false">
      <c r="A3960" s="2" t="s">
        <v>240</v>
      </c>
      <c r="B3960" s="2" t="s">
        <v>165</v>
      </c>
      <c r="C3960" s="2" t="s">
        <v>50</v>
      </c>
      <c r="D3960" s="2" t="s">
        <v>12</v>
      </c>
      <c r="E3960" s="2" t="s">
        <v>76</v>
      </c>
      <c r="F3960" s="2" t="s">
        <v>1146</v>
      </c>
      <c r="G3960" s="14" t="n">
        <v>19.5</v>
      </c>
      <c r="H3960" s="14" t="n">
        <v>88.56</v>
      </c>
      <c r="I3960" s="14" t="n">
        <v>19.5</v>
      </c>
      <c r="J3960" s="22" t="n">
        <f aca="false">IF(E3960="Priority",'Cost model'!N907,'Cost model'!M907)</f>
        <v>70</v>
      </c>
      <c r="K3960" s="14" t="n">
        <f aca="false">J3960-H3960</f>
        <v>-18.56</v>
      </c>
      <c r="L3960" s="14" t="n">
        <f aca="false">G3960-H3960</f>
        <v>-69.06</v>
      </c>
    </row>
    <row r="3961" customFormat="false" ht="15" hidden="false" customHeight="false" outlineLevel="0" collapsed="false">
      <c r="A3961" s="2" t="s">
        <v>126</v>
      </c>
      <c r="B3961" s="2" t="s">
        <v>126</v>
      </c>
      <c r="C3961" s="2" t="s">
        <v>48</v>
      </c>
      <c r="D3961" s="2" t="s">
        <v>12</v>
      </c>
      <c r="E3961" s="2" t="s">
        <v>76</v>
      </c>
      <c r="F3961" s="2" t="s">
        <v>1145</v>
      </c>
      <c r="G3961" s="14" t="n">
        <v>9.5</v>
      </c>
      <c r="H3961" s="14" t="n">
        <v>28.64</v>
      </c>
      <c r="I3961" s="14" t="n">
        <v>9.5</v>
      </c>
      <c r="J3961" s="22" t="n">
        <f aca="false">IF(E3961="Priority",'Cost model'!N383,'Cost model'!M383)</f>
        <v>27.5</v>
      </c>
      <c r="K3961" s="14" t="n">
        <f aca="false">J3961-H3961</f>
        <v>-1.14</v>
      </c>
      <c r="L3961" s="14" t="n">
        <f aca="false">G3961-H3961</f>
        <v>-19.14</v>
      </c>
    </row>
    <row r="3962" customFormat="false" ht="15" hidden="false" customHeight="false" outlineLevel="0" collapsed="false">
      <c r="A3962" s="2" t="s">
        <v>126</v>
      </c>
      <c r="B3962" s="2" t="s">
        <v>165</v>
      </c>
      <c r="C3962" s="2" t="s">
        <v>49</v>
      </c>
      <c r="D3962" s="2" t="s">
        <v>16</v>
      </c>
      <c r="E3962" s="2" t="s">
        <v>76</v>
      </c>
      <c r="F3962" s="2" t="s">
        <v>1146</v>
      </c>
      <c r="G3962" s="14" t="n">
        <v>45</v>
      </c>
      <c r="H3962" s="14" t="n">
        <v>153.04</v>
      </c>
      <c r="I3962" s="14" t="n">
        <v>125</v>
      </c>
      <c r="J3962" s="22" t="n">
        <f aca="false">IF(E3962="Priority",'Cost model'!N432,'Cost model'!M432)</f>
        <v>435</v>
      </c>
      <c r="K3962" s="14" t="n">
        <f aca="false">J3962-H3962</f>
        <v>281.96</v>
      </c>
      <c r="L3962" s="14" t="n">
        <f aca="false">G3962-H3962</f>
        <v>-108.04</v>
      </c>
    </row>
    <row r="3963" customFormat="false" ht="15" hidden="false" customHeight="false" outlineLevel="0" collapsed="false">
      <c r="A3963" s="2" t="s">
        <v>126</v>
      </c>
      <c r="B3963" s="2" t="s">
        <v>126</v>
      </c>
      <c r="C3963" s="2" t="s">
        <v>50</v>
      </c>
      <c r="D3963" s="2" t="s">
        <v>12</v>
      </c>
      <c r="E3963" s="2" t="s">
        <v>76</v>
      </c>
      <c r="F3963" s="2" t="s">
        <v>1145</v>
      </c>
      <c r="G3963" s="14" t="n">
        <v>19.5</v>
      </c>
      <c r="H3963" s="14" t="n">
        <v>48.55</v>
      </c>
      <c r="I3963" s="14" t="n">
        <v>19.5</v>
      </c>
      <c r="J3963" s="22" t="n">
        <f aca="false">IF(E3963="Priority",'Cost model'!N385,'Cost model'!M385)</f>
        <v>55</v>
      </c>
      <c r="K3963" s="14" t="n">
        <f aca="false">J3963-H3963</f>
        <v>6.45</v>
      </c>
      <c r="L3963" s="14" t="n">
        <f aca="false">G3963-H3963</f>
        <v>-29.05</v>
      </c>
    </row>
    <row r="3964" customFormat="false" ht="15" hidden="false" customHeight="false" outlineLevel="0" collapsed="false">
      <c r="A3964" s="2" t="s">
        <v>240</v>
      </c>
      <c r="B3964" s="2" t="s">
        <v>240</v>
      </c>
      <c r="C3964" s="2" t="s">
        <v>50</v>
      </c>
      <c r="D3964" s="2" t="s">
        <v>10</v>
      </c>
      <c r="E3964" s="2" t="s">
        <v>76</v>
      </c>
      <c r="F3964" s="2" t="s">
        <v>1145</v>
      </c>
      <c r="G3964" s="14" t="n">
        <v>17.5</v>
      </c>
      <c r="H3964" s="14" t="n">
        <v>21.6</v>
      </c>
      <c r="I3964" s="14" t="n">
        <v>17.5</v>
      </c>
      <c r="J3964" s="22" t="n">
        <f aca="false">IF(E3964="Priority",'Cost model'!N886,'Cost model'!M886)</f>
        <v>17.5</v>
      </c>
      <c r="K3964" s="14" t="n">
        <f aca="false">J3964-H3964</f>
        <v>-4.1</v>
      </c>
      <c r="L3964" s="14" t="n">
        <f aca="false">G3964-H3964</f>
        <v>-4.1</v>
      </c>
    </row>
    <row r="3965" customFormat="false" ht="15" hidden="false" customHeight="false" outlineLevel="0" collapsed="false">
      <c r="A3965" s="2" t="s">
        <v>126</v>
      </c>
      <c r="B3965" s="2" t="s">
        <v>126</v>
      </c>
      <c r="C3965" s="2" t="s">
        <v>48</v>
      </c>
      <c r="D3965" s="2" t="s">
        <v>10</v>
      </c>
      <c r="E3965" s="2" t="s">
        <v>76</v>
      </c>
      <c r="F3965" s="2" t="s">
        <v>1145</v>
      </c>
      <c r="G3965" s="14" t="n">
        <v>9.5</v>
      </c>
      <c r="H3965" s="14" t="n">
        <v>7.72</v>
      </c>
      <c r="I3965" s="14" t="n">
        <v>9.5</v>
      </c>
      <c r="J3965" s="22" t="n">
        <f aca="false">IF(E3965="Priority",'Cost model'!N380,'Cost model'!M380)</f>
        <v>8.5</v>
      </c>
      <c r="K3965" s="14" t="n">
        <f aca="false">J3965-H3965</f>
        <v>0.78</v>
      </c>
      <c r="L3965" s="14" t="n">
        <f aca="false">G3965-H3965</f>
        <v>1.78</v>
      </c>
    </row>
    <row r="3966" customFormat="false" ht="15" hidden="false" customHeight="false" outlineLevel="0" collapsed="false">
      <c r="A3966" s="2" t="s">
        <v>184</v>
      </c>
      <c r="B3966" s="2" t="s">
        <v>146</v>
      </c>
      <c r="C3966" s="2" t="s">
        <v>49</v>
      </c>
      <c r="D3966" s="2" t="s">
        <v>12</v>
      </c>
      <c r="E3966" s="2" t="s">
        <v>76</v>
      </c>
      <c r="F3966" s="2" t="s">
        <v>1146</v>
      </c>
      <c r="G3966" s="14" t="n">
        <v>12.5</v>
      </c>
      <c r="H3966" s="14" t="n">
        <v>64.04</v>
      </c>
      <c r="I3966" s="14"/>
      <c r="J3966" s="22" t="n">
        <f aca="false">IF(E3966="Priority",'Cost model'!N150,'Cost model'!M150)</f>
        <v>55</v>
      </c>
      <c r="K3966" s="14" t="n">
        <f aca="false">J3966-H3966</f>
        <v>-9.04000000000001</v>
      </c>
      <c r="L3966" s="14" t="n">
        <f aca="false">G3966-H3966</f>
        <v>-51.54</v>
      </c>
    </row>
    <row r="3967" customFormat="false" ht="15" hidden="false" customHeight="false" outlineLevel="0" collapsed="false">
      <c r="A3967" s="2" t="s">
        <v>146</v>
      </c>
      <c r="B3967" s="2" t="s">
        <v>126</v>
      </c>
      <c r="C3967" s="2" t="s">
        <v>48</v>
      </c>
      <c r="D3967" s="2" t="s">
        <v>10</v>
      </c>
      <c r="E3967" s="2" t="s">
        <v>76</v>
      </c>
      <c r="F3967" s="2" t="s">
        <v>1146</v>
      </c>
      <c r="G3967" s="14" t="n">
        <v>14.5</v>
      </c>
      <c r="H3967" s="14" t="n">
        <v>9.37</v>
      </c>
      <c r="I3967" s="14" t="n">
        <v>14.5</v>
      </c>
      <c r="J3967" s="22" t="n">
        <f aca="false">IF(E3967="Priority",'Cost model'!N794,'Cost model'!M794)</f>
        <v>12.5</v>
      </c>
      <c r="K3967" s="14" t="n">
        <f aca="false">J3967-H3967</f>
        <v>3.13</v>
      </c>
      <c r="L3967" s="14" t="n">
        <f aca="false">G3967-H3967</f>
        <v>5.13</v>
      </c>
    </row>
    <row r="3968" customFormat="false" ht="15" hidden="false" customHeight="false" outlineLevel="0" collapsed="false">
      <c r="A3968" s="2" t="s">
        <v>184</v>
      </c>
      <c r="B3968" s="2" t="s">
        <v>184</v>
      </c>
      <c r="C3968" s="2" t="s">
        <v>49</v>
      </c>
      <c r="D3968" s="2" t="s">
        <v>12</v>
      </c>
      <c r="E3968" s="2" t="s">
        <v>76</v>
      </c>
      <c r="F3968" s="2" t="s">
        <v>1145</v>
      </c>
      <c r="G3968" s="14" t="n">
        <v>12.5</v>
      </c>
      <c r="H3968" s="14" t="n">
        <v>43.59</v>
      </c>
      <c r="I3968" s="14"/>
      <c r="J3968" s="22" t="n">
        <f aca="false">IF(E3968="Priority",'Cost model'!N204,'Cost model'!M204)</f>
        <v>45</v>
      </c>
      <c r="K3968" s="14" t="n">
        <f aca="false">J3968-H3968</f>
        <v>1.41</v>
      </c>
      <c r="L3968" s="14" t="n">
        <f aca="false">G3968-H3968</f>
        <v>-31.09</v>
      </c>
    </row>
    <row r="3969" customFormat="false" ht="15" hidden="false" customHeight="false" outlineLevel="0" collapsed="false">
      <c r="A3969" s="2" t="s">
        <v>184</v>
      </c>
      <c r="B3969" s="2" t="s">
        <v>165</v>
      </c>
      <c r="C3969" s="2" t="s">
        <v>50</v>
      </c>
      <c r="D3969" s="2" t="s">
        <v>12</v>
      </c>
      <c r="E3969" s="2" t="s">
        <v>76</v>
      </c>
      <c r="F3969" s="2" t="s">
        <v>1146</v>
      </c>
      <c r="G3969" s="14" t="n">
        <v>19.5</v>
      </c>
      <c r="H3969" s="14" t="n">
        <v>91.91</v>
      </c>
      <c r="I3969" s="14" t="n">
        <v>19.5</v>
      </c>
      <c r="J3969" s="22" t="n">
        <f aca="false">IF(E3969="Priority",'Cost model'!N169,'Cost model'!M169)</f>
        <v>60</v>
      </c>
      <c r="K3969" s="14" t="n">
        <f aca="false">J3969-H3969</f>
        <v>-31.91</v>
      </c>
      <c r="L3969" s="14" t="n">
        <f aca="false">G3969-H3969</f>
        <v>-72.41</v>
      </c>
    </row>
    <row r="3970" customFormat="false" ht="15" hidden="false" customHeight="false" outlineLevel="0" collapsed="false">
      <c r="A3970" s="2" t="s">
        <v>184</v>
      </c>
      <c r="B3970" s="2" t="s">
        <v>126</v>
      </c>
      <c r="C3970" s="2" t="s">
        <v>50</v>
      </c>
      <c r="D3970" s="2" t="s">
        <v>12</v>
      </c>
      <c r="E3970" s="2" t="s">
        <v>85</v>
      </c>
      <c r="F3970" s="2" t="s">
        <v>1146</v>
      </c>
      <c r="G3970" s="14" t="n">
        <v>29.5</v>
      </c>
      <c r="H3970" s="14" t="n">
        <v>74.33</v>
      </c>
      <c r="I3970" s="14" t="n">
        <v>29.5</v>
      </c>
      <c r="J3970" s="22" t="n">
        <f aca="false">IF(E3970="Priority",'Cost model'!N133,'Cost model'!M133)</f>
        <v>70</v>
      </c>
      <c r="K3970" s="14" t="n">
        <f aca="false">J3970-H3970</f>
        <v>-4.33</v>
      </c>
      <c r="L3970" s="14" t="n">
        <f aca="false">G3970-H3970</f>
        <v>-44.83</v>
      </c>
    </row>
    <row r="3971" customFormat="false" ht="15" hidden="false" customHeight="false" outlineLevel="0" collapsed="false">
      <c r="A3971" s="2" t="s">
        <v>126</v>
      </c>
      <c r="B3971" s="2" t="s">
        <v>126</v>
      </c>
      <c r="C3971" s="2" t="s">
        <v>49</v>
      </c>
      <c r="D3971" s="2" t="s">
        <v>12</v>
      </c>
      <c r="E3971" s="2" t="s">
        <v>76</v>
      </c>
      <c r="F3971" s="2" t="s">
        <v>1145</v>
      </c>
      <c r="G3971" s="14" t="n">
        <v>12.5</v>
      </c>
      <c r="H3971" s="14" t="n">
        <v>50.85</v>
      </c>
      <c r="I3971" s="14" t="n">
        <v>12.5</v>
      </c>
      <c r="J3971" s="22" t="n">
        <f aca="false">IF(E3971="Priority",'Cost model'!N384,'Cost model'!M384)</f>
        <v>45</v>
      </c>
      <c r="K3971" s="14" t="n">
        <f aca="false">J3971-H3971</f>
        <v>-5.85</v>
      </c>
      <c r="L3971" s="14" t="n">
        <f aca="false">G3971-H3971</f>
        <v>-38.35</v>
      </c>
    </row>
    <row r="3972" customFormat="false" ht="15" hidden="false" customHeight="false" outlineLevel="0" collapsed="false">
      <c r="A3972" s="2" t="s">
        <v>126</v>
      </c>
      <c r="B3972" s="2" t="s">
        <v>126</v>
      </c>
      <c r="C3972" s="2" t="s">
        <v>49</v>
      </c>
      <c r="D3972" s="2" t="s">
        <v>12</v>
      </c>
      <c r="E3972" s="2" t="s">
        <v>76</v>
      </c>
      <c r="F3972" s="2" t="s">
        <v>1145</v>
      </c>
      <c r="G3972" s="14" t="n">
        <v>12.5</v>
      </c>
      <c r="H3972" s="14" t="n">
        <v>25.99</v>
      </c>
      <c r="I3972" s="14" t="n">
        <v>12.5</v>
      </c>
      <c r="J3972" s="22" t="n">
        <f aca="false">IF(E3972="Priority",'Cost model'!N384,'Cost model'!M384)</f>
        <v>45</v>
      </c>
      <c r="K3972" s="14" t="n">
        <f aca="false">J3972-H3972</f>
        <v>19.01</v>
      </c>
      <c r="L3972" s="14" t="n">
        <f aca="false">G3972-H3972</f>
        <v>-13.49</v>
      </c>
    </row>
    <row r="3973" customFormat="false" ht="15" hidden="false" customHeight="false" outlineLevel="0" collapsed="false">
      <c r="A3973" s="2" t="s">
        <v>184</v>
      </c>
      <c r="B3973" s="2" t="s">
        <v>184</v>
      </c>
      <c r="C3973" s="2" t="s">
        <v>48</v>
      </c>
      <c r="D3973" s="2" t="s">
        <v>10</v>
      </c>
      <c r="E3973" s="2" t="s">
        <v>76</v>
      </c>
      <c r="F3973" s="2" t="s">
        <v>1145</v>
      </c>
      <c r="G3973" s="14" t="n">
        <v>9.5</v>
      </c>
      <c r="H3973" s="14" t="n">
        <v>7.46</v>
      </c>
      <c r="I3973" s="14" t="n">
        <v>9.5</v>
      </c>
      <c r="J3973" s="22" t="n">
        <f aca="false">IF(E3973="Priority",'Cost model'!N200,'Cost model'!M200)</f>
        <v>7.5</v>
      </c>
      <c r="K3973" s="14" t="n">
        <f aca="false">J3973-H3973</f>
        <v>0.04</v>
      </c>
      <c r="L3973" s="14" t="n">
        <f aca="false">G3973-H3973</f>
        <v>2.04</v>
      </c>
    </row>
    <row r="3974" customFormat="false" ht="15" hidden="false" customHeight="false" outlineLevel="0" collapsed="false">
      <c r="A3974" s="2" t="s">
        <v>240</v>
      </c>
      <c r="B3974" s="2" t="s">
        <v>240</v>
      </c>
      <c r="C3974" s="2" t="s">
        <v>50</v>
      </c>
      <c r="D3974" s="2" t="s">
        <v>12</v>
      </c>
      <c r="E3974" s="2" t="s">
        <v>76</v>
      </c>
      <c r="F3974" s="2" t="s">
        <v>1145</v>
      </c>
      <c r="G3974" s="14" t="n">
        <v>19.5</v>
      </c>
      <c r="H3974" s="14" t="n">
        <v>38.07</v>
      </c>
      <c r="I3974" s="14" t="n">
        <v>19.5</v>
      </c>
      <c r="J3974" s="22" t="n">
        <f aca="false">IF(E3974="Priority",'Cost model'!N889,'Cost model'!M889)</f>
        <v>60</v>
      </c>
      <c r="K3974" s="14" t="n">
        <f aca="false">J3974-H3974</f>
        <v>21.93</v>
      </c>
      <c r="L3974" s="14" t="n">
        <f aca="false">G3974-H3974</f>
        <v>-18.57</v>
      </c>
    </row>
    <row r="3975" customFormat="false" ht="15" hidden="false" customHeight="false" outlineLevel="0" collapsed="false">
      <c r="A3975" s="2" t="s">
        <v>126</v>
      </c>
      <c r="B3975" s="2" t="s">
        <v>126</v>
      </c>
      <c r="C3975" s="2" t="s">
        <v>49</v>
      </c>
      <c r="D3975" s="2" t="s">
        <v>12</v>
      </c>
      <c r="E3975" s="2" t="s">
        <v>76</v>
      </c>
      <c r="F3975" s="2" t="s">
        <v>1145</v>
      </c>
      <c r="G3975" s="14" t="n">
        <v>12.5</v>
      </c>
      <c r="H3975" s="14" t="n">
        <v>38.86</v>
      </c>
      <c r="I3975" s="14" t="n">
        <v>12.5</v>
      </c>
      <c r="J3975" s="22" t="n">
        <f aca="false">IF(E3975="Priority",'Cost model'!N384,'Cost model'!M384)</f>
        <v>45</v>
      </c>
      <c r="K3975" s="14" t="n">
        <f aca="false">J3975-H3975</f>
        <v>6.14</v>
      </c>
      <c r="L3975" s="14" t="n">
        <f aca="false">G3975-H3975</f>
        <v>-26.36</v>
      </c>
    </row>
    <row r="3976" customFormat="false" ht="15" hidden="false" customHeight="false" outlineLevel="0" collapsed="false">
      <c r="A3976" s="2" t="s">
        <v>146</v>
      </c>
      <c r="B3976" s="2" t="s">
        <v>126</v>
      </c>
      <c r="C3976" s="2" t="s">
        <v>50</v>
      </c>
      <c r="D3976" s="2" t="s">
        <v>10</v>
      </c>
      <c r="E3976" s="2" t="s">
        <v>76</v>
      </c>
      <c r="F3976" s="2" t="s">
        <v>1146</v>
      </c>
      <c r="G3976" s="14" t="n">
        <v>17.5</v>
      </c>
      <c r="H3976" s="14" t="n">
        <v>20.55</v>
      </c>
      <c r="I3976" s="14" t="n">
        <v>17.5</v>
      </c>
      <c r="J3976" s="22" t="n">
        <f aca="false">IF(E3976="Priority",'Cost model'!N796,'Cost model'!M796)</f>
        <v>17.5</v>
      </c>
      <c r="K3976" s="14" t="n">
        <f aca="false">J3976-H3976</f>
        <v>-3.05</v>
      </c>
      <c r="L3976" s="14" t="n">
        <f aca="false">G3976-H3976</f>
        <v>-3.05</v>
      </c>
    </row>
    <row r="3977" customFormat="false" ht="15" hidden="false" customHeight="false" outlineLevel="0" collapsed="false">
      <c r="A3977" s="2" t="s">
        <v>221</v>
      </c>
      <c r="B3977" s="2" t="s">
        <v>221</v>
      </c>
      <c r="C3977" s="2" t="s">
        <v>49</v>
      </c>
      <c r="D3977" s="2" t="s">
        <v>13</v>
      </c>
      <c r="E3977" s="2" t="s">
        <v>76</v>
      </c>
      <c r="F3977" s="2" t="s">
        <v>1145</v>
      </c>
      <c r="G3977" s="14" t="n">
        <v>24.5</v>
      </c>
      <c r="H3977" s="14" t="n">
        <v>63.62</v>
      </c>
      <c r="I3977" s="14" t="n">
        <v>24.5</v>
      </c>
      <c r="J3977" s="22" t="n">
        <f aca="false">IF(E3977="Priority",'Cost model'!N639,'Cost model'!M639)</f>
        <v>90</v>
      </c>
      <c r="K3977" s="14" t="n">
        <f aca="false">J3977-H3977</f>
        <v>26.38</v>
      </c>
      <c r="L3977" s="14" t="n">
        <f aca="false">G3977-H3977</f>
        <v>-39.12</v>
      </c>
    </row>
    <row r="3978" customFormat="false" ht="15" hidden="false" customHeight="false" outlineLevel="0" collapsed="false">
      <c r="A3978" s="2" t="s">
        <v>126</v>
      </c>
      <c r="B3978" s="2" t="s">
        <v>184</v>
      </c>
      <c r="C3978" s="2" t="s">
        <v>48</v>
      </c>
      <c r="D3978" s="2" t="s">
        <v>12</v>
      </c>
      <c r="E3978" s="2" t="s">
        <v>76</v>
      </c>
      <c r="F3978" s="2" t="s">
        <v>1146</v>
      </c>
      <c r="G3978" s="14" t="n">
        <v>9.5</v>
      </c>
      <c r="H3978" s="14" t="n">
        <v>18.85</v>
      </c>
      <c r="I3978" s="14" t="n">
        <v>19.5</v>
      </c>
      <c r="J3978" s="22" t="n">
        <f aca="false">IF(E3978="Priority",'Cost model'!N437,'Cost model'!M437)</f>
        <v>50</v>
      </c>
      <c r="K3978" s="14" t="n">
        <f aca="false">J3978-H3978</f>
        <v>31.15</v>
      </c>
      <c r="L3978" s="14" t="n">
        <f aca="false">G3978-H3978</f>
        <v>-9.35</v>
      </c>
    </row>
    <row r="3979" customFormat="false" ht="15" hidden="false" customHeight="false" outlineLevel="0" collapsed="false">
      <c r="A3979" s="2" t="s">
        <v>126</v>
      </c>
      <c r="B3979" s="2" t="s">
        <v>126</v>
      </c>
      <c r="C3979" s="2" t="s">
        <v>49</v>
      </c>
      <c r="D3979" s="2" t="s">
        <v>14</v>
      </c>
      <c r="E3979" s="2" t="s">
        <v>76</v>
      </c>
      <c r="F3979" s="2" t="s">
        <v>1145</v>
      </c>
      <c r="G3979" s="14" t="n">
        <v>45</v>
      </c>
      <c r="H3979" s="14" t="n">
        <v>93.47</v>
      </c>
      <c r="I3979" s="14" t="n">
        <v>45</v>
      </c>
      <c r="J3979" s="22" t="n">
        <f aca="false">IF(E3979="Priority",'Cost model'!N390,'Cost model'!M390)</f>
        <v>115</v>
      </c>
      <c r="K3979" s="14" t="n">
        <f aca="false">J3979-H3979</f>
        <v>21.53</v>
      </c>
      <c r="L3979" s="14" t="n">
        <f aca="false">G3979-H3979</f>
        <v>-48.47</v>
      </c>
    </row>
    <row r="3980" customFormat="false" ht="15" hidden="false" customHeight="false" outlineLevel="0" collapsed="false">
      <c r="A3980" s="2" t="s">
        <v>240</v>
      </c>
      <c r="B3980" s="2" t="s">
        <v>240</v>
      </c>
      <c r="C3980" s="2" t="s">
        <v>48</v>
      </c>
      <c r="D3980" s="2" t="s">
        <v>12</v>
      </c>
      <c r="E3980" s="2" t="s">
        <v>76</v>
      </c>
      <c r="F3980" s="2" t="s">
        <v>1145</v>
      </c>
      <c r="G3980" s="14" t="n">
        <v>9.5</v>
      </c>
      <c r="H3980" s="14" t="n">
        <v>27.3</v>
      </c>
      <c r="I3980" s="14" t="n">
        <v>9.5</v>
      </c>
      <c r="J3980" s="22" t="n">
        <f aca="false">IF(E3980="Priority",'Cost model'!N887,'Cost model'!M887)</f>
        <v>21.5</v>
      </c>
      <c r="K3980" s="14" t="n">
        <f aca="false">J3980-H3980</f>
        <v>-5.8</v>
      </c>
      <c r="L3980" s="14" t="n">
        <f aca="false">G3980-H3980</f>
        <v>-17.8</v>
      </c>
    </row>
    <row r="3981" customFormat="false" ht="15" hidden="false" customHeight="false" outlineLevel="0" collapsed="false">
      <c r="A3981" s="2" t="s">
        <v>240</v>
      </c>
      <c r="B3981" s="2" t="s">
        <v>240</v>
      </c>
      <c r="C3981" s="2" t="s">
        <v>50</v>
      </c>
      <c r="D3981" s="2" t="s">
        <v>10</v>
      </c>
      <c r="E3981" s="2" t="s">
        <v>76</v>
      </c>
      <c r="F3981" s="2" t="s">
        <v>1145</v>
      </c>
      <c r="G3981" s="14" t="n">
        <v>17.5</v>
      </c>
      <c r="H3981" s="14" t="n">
        <v>17.57</v>
      </c>
      <c r="I3981" s="14" t="n">
        <v>17.5</v>
      </c>
      <c r="J3981" s="22" t="n">
        <f aca="false">IF(E3981="Priority",'Cost model'!N886,'Cost model'!M886)</f>
        <v>17.5</v>
      </c>
      <c r="K3981" s="14" t="n">
        <f aca="false">J3981-H3981</f>
        <v>-0.0700000000000003</v>
      </c>
      <c r="L3981" s="14" t="n">
        <f aca="false">G3981-H3981</f>
        <v>-0.0700000000000003</v>
      </c>
    </row>
    <row r="3982" customFormat="false" ht="15" hidden="false" customHeight="false" outlineLevel="0" collapsed="false">
      <c r="A3982" s="2" t="s">
        <v>126</v>
      </c>
      <c r="B3982" s="2" t="s">
        <v>126</v>
      </c>
      <c r="C3982" s="2" t="s">
        <v>49</v>
      </c>
      <c r="D3982" s="2" t="s">
        <v>10</v>
      </c>
      <c r="E3982" s="2" t="s">
        <v>76</v>
      </c>
      <c r="F3982" s="2" t="s">
        <v>1145</v>
      </c>
      <c r="G3982" s="14" t="n">
        <v>19.5</v>
      </c>
      <c r="H3982" s="14" t="n">
        <v>10.51</v>
      </c>
      <c r="I3982" s="14" t="n">
        <v>12.5</v>
      </c>
      <c r="J3982" s="22" t="n">
        <f aca="false">IF(E3982="Priority",'Cost model'!N381,'Cost model'!M381)</f>
        <v>14.5</v>
      </c>
      <c r="K3982" s="14" t="n">
        <f aca="false">J3982-H3982</f>
        <v>3.99</v>
      </c>
      <c r="L3982" s="14" t="n">
        <f aca="false">G3982-H3982</f>
        <v>8.99</v>
      </c>
    </row>
    <row r="3983" customFormat="false" ht="15" hidden="false" customHeight="false" outlineLevel="0" collapsed="false">
      <c r="A3983" s="2" t="s">
        <v>184</v>
      </c>
      <c r="B3983" s="2" t="s">
        <v>184</v>
      </c>
      <c r="C3983" s="2" t="s">
        <v>48</v>
      </c>
      <c r="D3983" s="2" t="s">
        <v>12</v>
      </c>
      <c r="E3983" s="2" t="s">
        <v>76</v>
      </c>
      <c r="F3983" s="2" t="s">
        <v>1145</v>
      </c>
      <c r="G3983" s="14" t="n">
        <v>9.5</v>
      </c>
      <c r="H3983" s="14" t="n">
        <v>29.01</v>
      </c>
      <c r="I3983" s="14" t="n">
        <v>9.5</v>
      </c>
      <c r="J3983" s="22" t="n">
        <f aca="false">IF(E3983="Priority",'Cost model'!N203,'Cost model'!M203)</f>
        <v>26.5</v>
      </c>
      <c r="K3983" s="14" t="n">
        <f aca="false">J3983-H3983</f>
        <v>-2.51</v>
      </c>
      <c r="L3983" s="14" t="n">
        <f aca="false">G3983-H3983</f>
        <v>-19.51</v>
      </c>
    </row>
    <row r="3984" customFormat="false" ht="15" hidden="false" customHeight="false" outlineLevel="0" collapsed="false">
      <c r="A3984" s="2" t="s">
        <v>165</v>
      </c>
      <c r="B3984" s="2" t="s">
        <v>165</v>
      </c>
      <c r="C3984" s="2" t="s">
        <v>50</v>
      </c>
      <c r="D3984" s="2" t="s">
        <v>10</v>
      </c>
      <c r="E3984" s="2" t="s">
        <v>85</v>
      </c>
      <c r="F3984" s="2" t="s">
        <v>1145</v>
      </c>
      <c r="G3984" s="14" t="n">
        <v>24.5</v>
      </c>
      <c r="H3984" s="14" t="n">
        <v>21.76</v>
      </c>
      <c r="I3984" s="14" t="n">
        <v>24.5</v>
      </c>
      <c r="J3984" s="22" t="n">
        <f aca="false">IF(E3984="Priority",'Cost model'!N508,'Cost model'!M508)</f>
        <v>23.5</v>
      </c>
      <c r="K3984" s="14" t="n">
        <f aca="false">J3984-H3984</f>
        <v>1.74</v>
      </c>
      <c r="L3984" s="14" t="n">
        <f aca="false">G3984-H3984</f>
        <v>2.74</v>
      </c>
    </row>
    <row r="3985" customFormat="false" ht="15" hidden="false" customHeight="false" outlineLevel="0" collapsed="false">
      <c r="A3985" s="2" t="s">
        <v>126</v>
      </c>
      <c r="B3985" s="2" t="s">
        <v>184</v>
      </c>
      <c r="C3985" s="2" t="s">
        <v>48</v>
      </c>
      <c r="D3985" s="2" t="s">
        <v>10</v>
      </c>
      <c r="E3985" s="2" t="s">
        <v>76</v>
      </c>
      <c r="F3985" s="2" t="s">
        <v>1146</v>
      </c>
      <c r="G3985" s="14" t="n">
        <v>14.5</v>
      </c>
      <c r="H3985" s="14" t="n">
        <v>20.83</v>
      </c>
      <c r="I3985" s="14" t="n">
        <v>14.5</v>
      </c>
      <c r="J3985" s="22" t="n">
        <f aca="false">IF(E3985="Priority",'Cost model'!N434,'Cost model'!M434)</f>
        <v>13.5</v>
      </c>
      <c r="K3985" s="14" t="n">
        <f aca="false">J3985-H3985</f>
        <v>-7.33</v>
      </c>
      <c r="L3985" s="14" t="n">
        <f aca="false">G3985-H3985</f>
        <v>-6.33</v>
      </c>
    </row>
    <row r="3986" customFormat="false" ht="15" hidden="false" customHeight="false" outlineLevel="0" collapsed="false">
      <c r="A3986" s="2" t="s">
        <v>240</v>
      </c>
      <c r="B3986" s="2" t="s">
        <v>126</v>
      </c>
      <c r="C3986" s="2" t="s">
        <v>48</v>
      </c>
      <c r="D3986" s="2" t="s">
        <v>12</v>
      </c>
      <c r="E3986" s="2" t="s">
        <v>76</v>
      </c>
      <c r="F3986" s="2" t="s">
        <v>1146</v>
      </c>
      <c r="G3986" s="14" t="n">
        <v>9.5</v>
      </c>
      <c r="H3986" s="14" t="n">
        <v>13.2</v>
      </c>
      <c r="I3986" s="14" t="n">
        <v>24.5</v>
      </c>
      <c r="J3986" s="22" t="n">
        <f aca="false">IF(E3986="Priority",'Cost model'!N959,'Cost model'!M959)</f>
        <v>55</v>
      </c>
      <c r="K3986" s="14" t="n">
        <f aca="false">J3986-H3986</f>
        <v>41.8</v>
      </c>
      <c r="L3986" s="14" t="n">
        <f aca="false">G3986-H3986</f>
        <v>-3.7</v>
      </c>
    </row>
    <row r="3987" customFormat="false" ht="15" hidden="false" customHeight="false" outlineLevel="0" collapsed="false">
      <c r="A3987" s="2" t="s">
        <v>126</v>
      </c>
      <c r="B3987" s="2" t="s">
        <v>126</v>
      </c>
      <c r="C3987" s="2" t="s">
        <v>49</v>
      </c>
      <c r="D3987" s="2" t="s">
        <v>13</v>
      </c>
      <c r="E3987" s="2" t="s">
        <v>76</v>
      </c>
      <c r="F3987" s="2" t="s">
        <v>1145</v>
      </c>
      <c r="G3987" s="14" t="n">
        <v>24.5</v>
      </c>
      <c r="H3987" s="14" t="n">
        <v>141.34</v>
      </c>
      <c r="I3987" s="14" t="n">
        <v>24.5</v>
      </c>
      <c r="J3987" s="22" t="n">
        <f aca="false">IF(E3987="Priority",'Cost model'!N387,'Cost model'!M387)</f>
        <v>95</v>
      </c>
      <c r="K3987" s="14" t="n">
        <f aca="false">J3987-H3987</f>
        <v>-46.34</v>
      </c>
      <c r="L3987" s="14" t="n">
        <f aca="false">G3987-H3987</f>
        <v>-116.84</v>
      </c>
    </row>
    <row r="3988" customFormat="false" ht="15" hidden="false" customHeight="false" outlineLevel="0" collapsed="false">
      <c r="A3988" s="2" t="s">
        <v>126</v>
      </c>
      <c r="B3988" s="2" t="s">
        <v>126</v>
      </c>
      <c r="C3988" s="2" t="s">
        <v>49</v>
      </c>
      <c r="D3988" s="2" t="s">
        <v>12</v>
      </c>
      <c r="E3988" s="2" t="s">
        <v>76</v>
      </c>
      <c r="F3988" s="2" t="s">
        <v>1145</v>
      </c>
      <c r="G3988" s="14" t="n">
        <v>12.5</v>
      </c>
      <c r="H3988" s="14" t="n">
        <v>44.16</v>
      </c>
      <c r="I3988" s="14" t="n">
        <v>12.5</v>
      </c>
      <c r="J3988" s="22" t="n">
        <f aca="false">IF(E3988="Priority",'Cost model'!N384,'Cost model'!M384)</f>
        <v>45</v>
      </c>
      <c r="K3988" s="14" t="n">
        <f aca="false">J3988-H3988</f>
        <v>0.840000000000003</v>
      </c>
      <c r="L3988" s="14" t="n">
        <f aca="false">G3988-H3988</f>
        <v>-31.66</v>
      </c>
    </row>
    <row r="3989" customFormat="false" ht="15" hidden="false" customHeight="false" outlineLevel="0" collapsed="false">
      <c r="A3989" s="2" t="s">
        <v>126</v>
      </c>
      <c r="B3989" s="2" t="s">
        <v>126</v>
      </c>
      <c r="C3989" s="2" t="s">
        <v>50</v>
      </c>
      <c r="D3989" s="2" t="s">
        <v>10</v>
      </c>
      <c r="E3989" s="2" t="s">
        <v>76</v>
      </c>
      <c r="F3989" s="2" t="s">
        <v>1145</v>
      </c>
      <c r="G3989" s="14" t="n">
        <v>17.5</v>
      </c>
      <c r="H3989" s="14" t="n">
        <v>13.7</v>
      </c>
      <c r="I3989" s="14" t="n">
        <v>17.5</v>
      </c>
      <c r="J3989" s="22" t="n">
        <f aca="false">IF(E3989="Priority",'Cost model'!N382,'Cost model'!M382)</f>
        <v>18.5</v>
      </c>
      <c r="K3989" s="14" t="n">
        <f aca="false">J3989-H3989</f>
        <v>4.8</v>
      </c>
      <c r="L3989" s="14" t="n">
        <f aca="false">G3989-H3989</f>
        <v>3.8</v>
      </c>
    </row>
    <row r="3990" customFormat="false" ht="15" hidden="false" customHeight="false" outlineLevel="0" collapsed="false">
      <c r="A3990" s="2" t="s">
        <v>126</v>
      </c>
      <c r="B3990" s="2" t="s">
        <v>126</v>
      </c>
      <c r="C3990" s="2" t="s">
        <v>48</v>
      </c>
      <c r="D3990" s="2" t="s">
        <v>12</v>
      </c>
      <c r="E3990" s="2" t="s">
        <v>76</v>
      </c>
      <c r="F3990" s="2" t="s">
        <v>1145</v>
      </c>
      <c r="G3990" s="14" t="n">
        <v>9.5</v>
      </c>
      <c r="H3990" s="14" t="n">
        <v>43.05</v>
      </c>
      <c r="I3990" s="14" t="n">
        <v>9.5</v>
      </c>
      <c r="J3990" s="22" t="n">
        <f aca="false">IF(E3990="Priority",'Cost model'!N383,'Cost model'!M383)</f>
        <v>27.5</v>
      </c>
      <c r="K3990" s="14" t="n">
        <f aca="false">J3990-H3990</f>
        <v>-15.55</v>
      </c>
      <c r="L3990" s="14" t="n">
        <f aca="false">G3990-H3990</f>
        <v>-33.55</v>
      </c>
    </row>
    <row r="3991" customFormat="false" ht="15" hidden="false" customHeight="false" outlineLevel="0" collapsed="false">
      <c r="A3991" s="2" t="s">
        <v>184</v>
      </c>
      <c r="B3991" s="2" t="s">
        <v>184</v>
      </c>
      <c r="C3991" s="2" t="s">
        <v>50</v>
      </c>
      <c r="D3991" s="2" t="s">
        <v>12</v>
      </c>
      <c r="E3991" s="2" t="s">
        <v>76</v>
      </c>
      <c r="F3991" s="2" t="s">
        <v>1145</v>
      </c>
      <c r="G3991" s="14" t="n">
        <v>19.5</v>
      </c>
      <c r="H3991" s="14" t="n">
        <v>47.95</v>
      </c>
      <c r="I3991" s="14" t="n">
        <v>19.5</v>
      </c>
      <c r="J3991" s="22" t="n">
        <f aca="false">IF(E3991="Priority",'Cost model'!N205,'Cost model'!M205)</f>
        <v>50</v>
      </c>
      <c r="K3991" s="14" t="n">
        <f aca="false">J3991-H3991</f>
        <v>2.05</v>
      </c>
      <c r="L3991" s="14" t="n">
        <f aca="false">G3991-H3991</f>
        <v>-28.45</v>
      </c>
    </row>
    <row r="3992" customFormat="false" ht="15" hidden="false" customHeight="false" outlineLevel="0" collapsed="false">
      <c r="A3992" s="2" t="s">
        <v>146</v>
      </c>
      <c r="B3992" s="2" t="s">
        <v>126</v>
      </c>
      <c r="C3992" s="2" t="s">
        <v>50</v>
      </c>
      <c r="D3992" s="2" t="s">
        <v>12</v>
      </c>
      <c r="E3992" s="2" t="s">
        <v>76</v>
      </c>
      <c r="F3992" s="2" t="s">
        <v>1146</v>
      </c>
      <c r="G3992" s="14" t="n">
        <v>19.5</v>
      </c>
      <c r="H3992" s="14" t="n">
        <v>51.56</v>
      </c>
      <c r="I3992" s="14" t="n">
        <v>19.5</v>
      </c>
      <c r="J3992" s="22" t="n">
        <f aca="false">IF(E3992="Priority",'Cost model'!N799,'Cost model'!M799)</f>
        <v>55</v>
      </c>
      <c r="K3992" s="14" t="n">
        <f aca="false">J3992-H3992</f>
        <v>3.44</v>
      </c>
      <c r="L3992" s="14" t="n">
        <f aca="false">G3992-H3992</f>
        <v>-32.06</v>
      </c>
    </row>
    <row r="3993" customFormat="false" ht="15" hidden="false" customHeight="false" outlineLevel="0" collapsed="false">
      <c r="A3993" s="2" t="s">
        <v>146</v>
      </c>
      <c r="B3993" s="2" t="s">
        <v>240</v>
      </c>
      <c r="C3993" s="2" t="s">
        <v>48</v>
      </c>
      <c r="D3993" s="2" t="s">
        <v>10</v>
      </c>
      <c r="E3993" s="2" t="s">
        <v>76</v>
      </c>
      <c r="F3993" s="2" t="s">
        <v>1146</v>
      </c>
      <c r="G3993" s="14" t="n">
        <v>19.5</v>
      </c>
      <c r="H3993" s="14" t="n">
        <v>10.82</v>
      </c>
      <c r="I3993" s="14" t="n">
        <v>19.5</v>
      </c>
      <c r="J3993" s="22" t="n">
        <f aca="false">IF(E3993="Priority",'Cost model'!N812,'Cost model'!M812)</f>
        <v>12.5</v>
      </c>
      <c r="K3993" s="14" t="n">
        <f aca="false">J3993-H3993</f>
        <v>1.68</v>
      </c>
      <c r="L3993" s="14" t="n">
        <f aca="false">G3993-H3993</f>
        <v>8.68</v>
      </c>
    </row>
    <row r="3994" customFormat="false" ht="15" hidden="false" customHeight="false" outlineLevel="0" collapsed="false">
      <c r="A3994" s="2" t="s">
        <v>126</v>
      </c>
      <c r="B3994" s="2" t="s">
        <v>126</v>
      </c>
      <c r="C3994" s="2" t="s">
        <v>48</v>
      </c>
      <c r="D3994" s="2" t="s">
        <v>12</v>
      </c>
      <c r="E3994" s="2" t="s">
        <v>76</v>
      </c>
      <c r="F3994" s="2" t="s">
        <v>1145</v>
      </c>
      <c r="G3994" s="14" t="n">
        <v>9.5</v>
      </c>
      <c r="H3994" s="14" t="n">
        <v>7.46</v>
      </c>
      <c r="I3994" s="14" t="n">
        <v>9.5</v>
      </c>
      <c r="J3994" s="22" t="n">
        <f aca="false">IF(E3994="Priority",'Cost model'!N383,'Cost model'!M383)</f>
        <v>27.5</v>
      </c>
      <c r="K3994" s="14" t="n">
        <f aca="false">J3994-H3994</f>
        <v>20.04</v>
      </c>
      <c r="L3994" s="14" t="n">
        <f aca="false">G3994-H3994</f>
        <v>2.04</v>
      </c>
    </row>
    <row r="3995" customFormat="false" ht="15" hidden="false" customHeight="false" outlineLevel="0" collapsed="false">
      <c r="A3995" s="2" t="s">
        <v>126</v>
      </c>
      <c r="B3995" s="2" t="s">
        <v>184</v>
      </c>
      <c r="C3995" s="2" t="s">
        <v>49</v>
      </c>
      <c r="D3995" s="2" t="s">
        <v>10</v>
      </c>
      <c r="E3995" s="2" t="s">
        <v>76</v>
      </c>
      <c r="F3995" s="2" t="s">
        <v>1146</v>
      </c>
      <c r="G3995" s="14" t="n">
        <v>12.5</v>
      </c>
      <c r="H3995" s="14" t="n">
        <v>9.68</v>
      </c>
      <c r="I3995" s="14" t="n">
        <v>14.5</v>
      </c>
      <c r="J3995" s="22" t="n">
        <f aca="false">IF(E3995="Priority",'Cost model'!N435,'Cost model'!M435)</f>
        <v>15.5</v>
      </c>
      <c r="K3995" s="14" t="n">
        <f aca="false">J3995-H3995</f>
        <v>5.82</v>
      </c>
      <c r="L3995" s="14" t="n">
        <f aca="false">G3995-H3995</f>
        <v>2.82</v>
      </c>
    </row>
    <row r="3996" customFormat="false" ht="15" hidden="false" customHeight="false" outlineLevel="0" collapsed="false">
      <c r="A3996" s="2" t="s">
        <v>184</v>
      </c>
      <c r="B3996" s="2" t="s">
        <v>146</v>
      </c>
      <c r="C3996" s="2" t="s">
        <v>49</v>
      </c>
      <c r="D3996" s="2" t="s">
        <v>10</v>
      </c>
      <c r="E3996" s="2" t="s">
        <v>76</v>
      </c>
      <c r="F3996" s="2" t="s">
        <v>1146</v>
      </c>
      <c r="G3996" s="14" t="n">
        <v>12.5</v>
      </c>
      <c r="H3996" s="14" t="n">
        <v>20.55</v>
      </c>
      <c r="I3996" s="14"/>
      <c r="J3996" s="22" t="n">
        <f aca="false">IF(E3996="Priority",'Cost model'!N147,'Cost model'!M147)</f>
        <v>14.5</v>
      </c>
      <c r="K3996" s="14" t="n">
        <f aca="false">J3996-H3996</f>
        <v>-6.05</v>
      </c>
      <c r="L3996" s="14" t="n">
        <f aca="false">G3996-H3996</f>
        <v>-8.05</v>
      </c>
    </row>
    <row r="3997" customFormat="false" ht="15" hidden="false" customHeight="false" outlineLevel="0" collapsed="false">
      <c r="A3997" s="2" t="s">
        <v>184</v>
      </c>
      <c r="B3997" s="2" t="s">
        <v>184</v>
      </c>
      <c r="C3997" s="2" t="s">
        <v>49</v>
      </c>
      <c r="D3997" s="2" t="s">
        <v>10</v>
      </c>
      <c r="E3997" s="2" t="s">
        <v>76</v>
      </c>
      <c r="F3997" s="2" t="s">
        <v>1145</v>
      </c>
      <c r="G3997" s="14" t="n">
        <v>12.5</v>
      </c>
      <c r="H3997" s="14" t="n">
        <v>44.02</v>
      </c>
      <c r="I3997" s="14"/>
      <c r="J3997" s="22" t="n">
        <f aca="false">IF(E3997="Priority",'Cost model'!N201,'Cost model'!M201)</f>
        <v>12.5</v>
      </c>
      <c r="K3997" s="14" t="n">
        <f aca="false">J3997-H3997</f>
        <v>-31.52</v>
      </c>
      <c r="L3997" s="14" t="n">
        <f aca="false">G3997-H3997</f>
        <v>-31.52</v>
      </c>
    </row>
    <row r="3998" customFormat="false" ht="15" hidden="false" customHeight="false" outlineLevel="0" collapsed="false">
      <c r="A3998" s="2" t="s">
        <v>146</v>
      </c>
      <c r="B3998" s="2" t="s">
        <v>146</v>
      </c>
      <c r="C3998" s="2" t="s">
        <v>48</v>
      </c>
      <c r="D3998" s="2" t="s">
        <v>12</v>
      </c>
      <c r="E3998" s="2" t="s">
        <v>76</v>
      </c>
      <c r="F3998" s="2" t="s">
        <v>1145</v>
      </c>
      <c r="G3998" s="14" t="n">
        <v>9.5</v>
      </c>
      <c r="H3998" s="14" t="n">
        <v>25.01</v>
      </c>
      <c r="I3998" s="14" t="n">
        <v>9.5</v>
      </c>
      <c r="J3998" s="22" t="n">
        <f aca="false">IF(E3998="Priority",'Cost model'!N761,'Cost model'!M761)</f>
        <v>35</v>
      </c>
      <c r="K3998" s="14" t="n">
        <f aca="false">J3998-H3998</f>
        <v>9.99</v>
      </c>
      <c r="L3998" s="14" t="n">
        <f aca="false">G3998-H3998</f>
        <v>-15.51</v>
      </c>
    </row>
    <row r="3999" customFormat="false" ht="15" hidden="false" customHeight="false" outlineLevel="0" collapsed="false">
      <c r="A3999" s="2" t="s">
        <v>184</v>
      </c>
      <c r="B3999" s="2" t="s">
        <v>146</v>
      </c>
      <c r="C3999" s="2" t="s">
        <v>50</v>
      </c>
      <c r="D3999" s="2" t="s">
        <v>10</v>
      </c>
      <c r="E3999" s="2" t="s">
        <v>76</v>
      </c>
      <c r="F3999" s="2" t="s">
        <v>1146</v>
      </c>
      <c r="G3999" s="14" t="n">
        <v>17.5</v>
      </c>
      <c r="H3999" s="14" t="n">
        <v>45.06</v>
      </c>
      <c r="I3999" s="14" t="n">
        <v>17.5</v>
      </c>
      <c r="J3999" s="22" t="n">
        <f aca="false">IF(E3999="Priority",'Cost model'!N148,'Cost model'!M148)</f>
        <v>21.5</v>
      </c>
      <c r="K3999" s="14" t="n">
        <f aca="false">J3999-H3999</f>
        <v>-23.56</v>
      </c>
      <c r="L3999" s="14" t="n">
        <f aca="false">G3999-H3999</f>
        <v>-27.56</v>
      </c>
    </row>
    <row r="4000" customFormat="false" ht="15" hidden="false" customHeight="false" outlineLevel="0" collapsed="false">
      <c r="A4000" s="2" t="s">
        <v>184</v>
      </c>
      <c r="B4000" s="2" t="s">
        <v>184</v>
      </c>
      <c r="C4000" s="2" t="s">
        <v>49</v>
      </c>
      <c r="D4000" s="2" t="s">
        <v>10</v>
      </c>
      <c r="E4000" s="2" t="s">
        <v>76</v>
      </c>
      <c r="F4000" s="2" t="s">
        <v>1145</v>
      </c>
      <c r="G4000" s="14" t="n">
        <v>12.5</v>
      </c>
      <c r="H4000" s="14" t="n">
        <v>12.27</v>
      </c>
      <c r="I4000" s="14"/>
      <c r="J4000" s="22" t="n">
        <f aca="false">IF(E4000="Priority",'Cost model'!N201,'Cost model'!M201)</f>
        <v>12.5</v>
      </c>
      <c r="K4000" s="14" t="n">
        <f aca="false">J4000-H4000</f>
        <v>0.23</v>
      </c>
      <c r="L4000" s="14" t="n">
        <f aca="false">G4000-H4000</f>
        <v>0.23</v>
      </c>
    </row>
    <row r="4001" customFormat="false" ht="15" hidden="false" customHeight="false" outlineLevel="0" collapsed="false">
      <c r="A4001" s="2" t="s">
        <v>165</v>
      </c>
      <c r="B4001" s="2" t="s">
        <v>240</v>
      </c>
      <c r="C4001" s="2" t="s">
        <v>48</v>
      </c>
      <c r="D4001" s="2" t="s">
        <v>12</v>
      </c>
      <c r="E4001" s="2" t="s">
        <v>85</v>
      </c>
      <c r="F4001" s="2" t="s">
        <v>1146</v>
      </c>
      <c r="G4001" s="14" t="n">
        <v>29.5</v>
      </c>
      <c r="H4001" s="14" t="n">
        <v>97.78</v>
      </c>
      <c r="I4001" s="14" t="n">
        <v>29.5</v>
      </c>
      <c r="J4001" s="22" t="n">
        <f aca="false">IF(E4001="Priority",'Cost model'!N563,'Cost model'!M563)</f>
        <v>70</v>
      </c>
      <c r="K4001" s="14" t="n">
        <f aca="false">J4001-H4001</f>
        <v>-27.78</v>
      </c>
      <c r="L4001" s="14" t="n">
        <f aca="false">G4001-H4001</f>
        <v>-68.28</v>
      </c>
    </row>
    <row r="4002" customFormat="false" ht="15" hidden="false" customHeight="false" outlineLevel="0" collapsed="false">
      <c r="A4002" s="2" t="s">
        <v>240</v>
      </c>
      <c r="B4002" s="2" t="s">
        <v>240</v>
      </c>
      <c r="C4002" s="2" t="s">
        <v>50</v>
      </c>
      <c r="D4002" s="2" t="s">
        <v>12</v>
      </c>
      <c r="E4002" s="2" t="s">
        <v>76</v>
      </c>
      <c r="F4002" s="2" t="s">
        <v>1145</v>
      </c>
      <c r="G4002" s="14" t="n">
        <v>19.5</v>
      </c>
      <c r="H4002" s="14" t="n">
        <v>32.66</v>
      </c>
      <c r="I4002" s="14" t="n">
        <v>19.5</v>
      </c>
      <c r="J4002" s="22" t="n">
        <f aca="false">IF(E4002="Priority",'Cost model'!N889,'Cost model'!M889)</f>
        <v>60</v>
      </c>
      <c r="K4002" s="14" t="n">
        <f aca="false">J4002-H4002</f>
        <v>27.34</v>
      </c>
      <c r="L4002" s="14" t="n">
        <f aca="false">G4002-H4002</f>
        <v>-13.16</v>
      </c>
    </row>
    <row r="4003" customFormat="false" ht="15" hidden="false" customHeight="false" outlineLevel="0" collapsed="false">
      <c r="A4003" s="2" t="s">
        <v>240</v>
      </c>
      <c r="B4003" s="2" t="s">
        <v>165</v>
      </c>
      <c r="C4003" s="2" t="s">
        <v>50</v>
      </c>
      <c r="D4003" s="2" t="s">
        <v>10</v>
      </c>
      <c r="E4003" s="2" t="s">
        <v>76</v>
      </c>
      <c r="F4003" s="2" t="s">
        <v>1146</v>
      </c>
      <c r="G4003" s="14" t="n">
        <v>17.5</v>
      </c>
      <c r="H4003" s="14" t="n">
        <v>18.91</v>
      </c>
      <c r="I4003" s="14" t="n">
        <v>17.5</v>
      </c>
      <c r="J4003" s="22" t="n">
        <f aca="false">IF(E4003="Priority",'Cost model'!N904,'Cost model'!M904)</f>
        <v>24.5</v>
      </c>
      <c r="K4003" s="14" t="n">
        <f aca="false">J4003-H4003</f>
        <v>5.59</v>
      </c>
      <c r="L4003" s="14" t="n">
        <f aca="false">G4003-H4003</f>
        <v>-1.41</v>
      </c>
    </row>
    <row r="4004" customFormat="false" ht="15" hidden="false" customHeight="false" outlineLevel="0" collapsed="false">
      <c r="A4004" s="2" t="s">
        <v>126</v>
      </c>
      <c r="B4004" s="2" t="s">
        <v>126</v>
      </c>
      <c r="C4004" s="2" t="s">
        <v>49</v>
      </c>
      <c r="D4004" s="2" t="s">
        <v>13</v>
      </c>
      <c r="E4004" s="2" t="s">
        <v>76</v>
      </c>
      <c r="F4004" s="2" t="s">
        <v>1145</v>
      </c>
      <c r="G4004" s="14" t="n">
        <v>24.5</v>
      </c>
      <c r="H4004" s="14" t="n">
        <v>37.11</v>
      </c>
      <c r="I4004" s="14" t="n">
        <v>24.5</v>
      </c>
      <c r="J4004" s="22" t="n">
        <f aca="false">IF(E4004="Priority",'Cost model'!N387,'Cost model'!M387)</f>
        <v>95</v>
      </c>
      <c r="K4004" s="14" t="n">
        <f aca="false">J4004-H4004</f>
        <v>57.89</v>
      </c>
      <c r="L4004" s="14" t="n">
        <f aca="false">G4004-H4004</f>
        <v>-12.61</v>
      </c>
    </row>
    <row r="4005" customFormat="false" ht="15" hidden="false" customHeight="false" outlineLevel="0" collapsed="false">
      <c r="A4005" s="2" t="s">
        <v>126</v>
      </c>
      <c r="B4005" s="2" t="s">
        <v>126</v>
      </c>
      <c r="C4005" s="2" t="s">
        <v>50</v>
      </c>
      <c r="D4005" s="2" t="s">
        <v>10</v>
      </c>
      <c r="E4005" s="2" t="s">
        <v>76</v>
      </c>
      <c r="F4005" s="2" t="s">
        <v>1145</v>
      </c>
      <c r="G4005" s="14" t="n">
        <v>17.5</v>
      </c>
      <c r="H4005" s="14" t="n">
        <v>17.57</v>
      </c>
      <c r="I4005" s="14" t="n">
        <v>17.5</v>
      </c>
      <c r="J4005" s="22" t="n">
        <f aca="false">IF(E4005="Priority",'Cost model'!N382,'Cost model'!M382)</f>
        <v>18.5</v>
      </c>
      <c r="K4005" s="14" t="n">
        <f aca="false">J4005-H4005</f>
        <v>0.93</v>
      </c>
      <c r="L4005" s="14" t="n">
        <f aca="false">G4005-H4005</f>
        <v>-0.0700000000000003</v>
      </c>
    </row>
    <row r="4006" customFormat="false" ht="15" hidden="false" customHeight="false" outlineLevel="0" collapsed="false">
      <c r="A4006" s="2" t="s">
        <v>240</v>
      </c>
      <c r="B4006" s="2" t="s">
        <v>240</v>
      </c>
      <c r="C4006" s="2" t="s">
        <v>50</v>
      </c>
      <c r="D4006" s="2" t="s">
        <v>14</v>
      </c>
      <c r="E4006" s="2" t="s">
        <v>85</v>
      </c>
      <c r="F4006" s="2" t="s">
        <v>1145</v>
      </c>
      <c r="G4006" s="14" t="n">
        <v>150</v>
      </c>
      <c r="H4006" s="14" t="n">
        <v>216.62</v>
      </c>
      <c r="I4006" s="14" t="n">
        <v>150</v>
      </c>
      <c r="J4006" s="22" t="n">
        <f aca="false">IF(E4006="Priority",'Cost model'!N895,'Cost model'!M895)</f>
        <v>385</v>
      </c>
      <c r="K4006" s="14" t="n">
        <f aca="false">J4006-H4006</f>
        <v>168.38</v>
      </c>
      <c r="L4006" s="14" t="n">
        <f aca="false">G4006-H4006</f>
        <v>-66.62</v>
      </c>
    </row>
    <row r="4007" customFormat="false" ht="15" hidden="false" customHeight="false" outlineLevel="0" collapsed="false">
      <c r="A4007" s="2" t="s">
        <v>184</v>
      </c>
      <c r="B4007" s="2" t="s">
        <v>146</v>
      </c>
      <c r="C4007" s="2" t="s">
        <v>49</v>
      </c>
      <c r="D4007" s="2" t="s">
        <v>12</v>
      </c>
      <c r="E4007" s="2" t="s">
        <v>76</v>
      </c>
      <c r="F4007" s="2" t="s">
        <v>1146</v>
      </c>
      <c r="G4007" s="14" t="n">
        <v>12.5</v>
      </c>
      <c r="H4007" s="14" t="n">
        <v>46.56</v>
      </c>
      <c r="I4007" s="14"/>
      <c r="J4007" s="22" t="n">
        <f aca="false">IF(E4007="Priority",'Cost model'!N150,'Cost model'!M150)</f>
        <v>55</v>
      </c>
      <c r="K4007" s="14" t="n">
        <f aca="false">J4007-H4007</f>
        <v>8.44</v>
      </c>
      <c r="L4007" s="14" t="n">
        <f aca="false">G4007-H4007</f>
        <v>-34.06</v>
      </c>
    </row>
    <row r="4008" customFormat="false" ht="15" hidden="false" customHeight="false" outlineLevel="0" collapsed="false">
      <c r="A4008" s="2" t="s">
        <v>184</v>
      </c>
      <c r="B4008" s="2" t="s">
        <v>184</v>
      </c>
      <c r="C4008" s="2" t="s">
        <v>50</v>
      </c>
      <c r="D4008" s="2" t="s">
        <v>10</v>
      </c>
      <c r="E4008" s="2" t="s">
        <v>76</v>
      </c>
      <c r="F4008" s="2" t="s">
        <v>1145</v>
      </c>
      <c r="G4008" s="14" t="n">
        <v>17.5</v>
      </c>
      <c r="H4008" s="14" t="n">
        <v>10.79</v>
      </c>
      <c r="I4008" s="14" t="n">
        <v>17.5</v>
      </c>
      <c r="J4008" s="22" t="n">
        <f aca="false">IF(E4008="Priority",'Cost model'!N202,'Cost model'!M202)</f>
        <v>17.5</v>
      </c>
      <c r="K4008" s="14" t="n">
        <f aca="false">J4008-H4008</f>
        <v>6.71</v>
      </c>
      <c r="L4008" s="14" t="n">
        <f aca="false">G4008-H4008</f>
        <v>6.71</v>
      </c>
    </row>
    <row r="4009" customFormat="false" ht="15" hidden="false" customHeight="false" outlineLevel="0" collapsed="false">
      <c r="A4009" s="2" t="s">
        <v>126</v>
      </c>
      <c r="B4009" s="2" t="s">
        <v>126</v>
      </c>
      <c r="C4009" s="2" t="s">
        <v>49</v>
      </c>
      <c r="D4009" s="2" t="s">
        <v>10</v>
      </c>
      <c r="E4009" s="2" t="s">
        <v>76</v>
      </c>
      <c r="F4009" s="2" t="s">
        <v>1145</v>
      </c>
      <c r="G4009" s="14" t="n">
        <v>12.5</v>
      </c>
      <c r="H4009" s="14" t="n">
        <v>8.11</v>
      </c>
      <c r="I4009" s="14" t="n">
        <v>12.5</v>
      </c>
      <c r="J4009" s="22" t="n">
        <f aca="false">IF(E4009="Priority",'Cost model'!N381,'Cost model'!M381)</f>
        <v>14.5</v>
      </c>
      <c r="K4009" s="14" t="n">
        <f aca="false">J4009-H4009</f>
        <v>6.39</v>
      </c>
      <c r="L4009" s="14" t="n">
        <f aca="false">G4009-H4009</f>
        <v>4.39</v>
      </c>
    </row>
    <row r="4010" customFormat="false" ht="15" hidden="false" customHeight="false" outlineLevel="0" collapsed="false">
      <c r="A4010" s="2" t="s">
        <v>240</v>
      </c>
      <c r="B4010" s="2" t="s">
        <v>126</v>
      </c>
      <c r="C4010" s="2" t="s">
        <v>48</v>
      </c>
      <c r="D4010" s="2" t="s">
        <v>10</v>
      </c>
      <c r="E4010" s="2" t="s">
        <v>76</v>
      </c>
      <c r="F4010" s="2" t="s">
        <v>1146</v>
      </c>
      <c r="G4010" s="14" t="n">
        <v>9.5</v>
      </c>
      <c r="H4010" s="14" t="n">
        <v>17.05</v>
      </c>
      <c r="I4010" s="14" t="n">
        <v>19.5</v>
      </c>
      <c r="J4010" s="22" t="n">
        <f aca="false">IF(E4010="Priority",'Cost model'!N956,'Cost model'!M956)</f>
        <v>15.5</v>
      </c>
      <c r="K4010" s="14" t="n">
        <f aca="false">J4010-H4010</f>
        <v>-1.55</v>
      </c>
      <c r="L4010" s="14" t="n">
        <f aca="false">G4010-H4010</f>
        <v>-7.55</v>
      </c>
    </row>
    <row r="4011" customFormat="false" ht="15" hidden="false" customHeight="false" outlineLevel="0" collapsed="false">
      <c r="A4011" s="2" t="s">
        <v>184</v>
      </c>
      <c r="B4011" s="2" t="s">
        <v>184</v>
      </c>
      <c r="C4011" s="2" t="s">
        <v>48</v>
      </c>
      <c r="D4011" s="2" t="s">
        <v>12</v>
      </c>
      <c r="E4011" s="2" t="s">
        <v>76</v>
      </c>
      <c r="F4011" s="2" t="s">
        <v>1145</v>
      </c>
      <c r="G4011" s="14" t="n">
        <v>9.5</v>
      </c>
      <c r="H4011" s="14" t="n">
        <v>31.05</v>
      </c>
      <c r="I4011" s="14" t="n">
        <v>9.5</v>
      </c>
      <c r="J4011" s="22" t="n">
        <f aca="false">IF(E4011="Priority",'Cost model'!N203,'Cost model'!M203)</f>
        <v>26.5</v>
      </c>
      <c r="K4011" s="14" t="n">
        <f aca="false">J4011-H4011</f>
        <v>-4.55</v>
      </c>
      <c r="L4011" s="14" t="n">
        <f aca="false">G4011-H4011</f>
        <v>-21.55</v>
      </c>
    </row>
    <row r="4012" customFormat="false" ht="15" hidden="false" customHeight="false" outlineLevel="0" collapsed="false">
      <c r="A4012" s="2" t="s">
        <v>126</v>
      </c>
      <c r="B4012" s="2" t="s">
        <v>184</v>
      </c>
      <c r="C4012" s="2" t="s">
        <v>48</v>
      </c>
      <c r="D4012" s="2" t="s">
        <v>13</v>
      </c>
      <c r="E4012" s="2" t="s">
        <v>76</v>
      </c>
      <c r="F4012" s="2" t="s">
        <v>1146</v>
      </c>
      <c r="G4012" s="14" t="n">
        <v>24.5</v>
      </c>
      <c r="H4012" s="14" t="n">
        <v>101.1</v>
      </c>
      <c r="I4012" s="14" t="n">
        <v>24.5</v>
      </c>
      <c r="J4012" s="22" t="n">
        <f aca="false">IF(E4012="Priority",'Cost model'!N440,'Cost model'!M440)</f>
        <v>90</v>
      </c>
      <c r="K4012" s="14" t="n">
        <f aca="false">J4012-H4012</f>
        <v>-11.1</v>
      </c>
      <c r="L4012" s="14" t="n">
        <f aca="false">G4012-H4012</f>
        <v>-76.6</v>
      </c>
    </row>
    <row r="4013" customFormat="false" ht="15" hidden="false" customHeight="false" outlineLevel="0" collapsed="false">
      <c r="A4013" s="2" t="s">
        <v>240</v>
      </c>
      <c r="B4013" s="2" t="s">
        <v>240</v>
      </c>
      <c r="C4013" s="2" t="s">
        <v>48</v>
      </c>
      <c r="D4013" s="2" t="s">
        <v>13</v>
      </c>
      <c r="E4013" s="2" t="s">
        <v>85</v>
      </c>
      <c r="F4013" s="2" t="s">
        <v>1145</v>
      </c>
      <c r="G4013" s="14" t="n">
        <v>45</v>
      </c>
      <c r="H4013" s="14" t="n">
        <v>114.58</v>
      </c>
      <c r="I4013" s="14" t="n">
        <v>45</v>
      </c>
      <c r="J4013" s="22" t="n">
        <f aca="false">IF(E4013="Priority",'Cost model'!N890,'Cost model'!M890)</f>
        <v>65</v>
      </c>
      <c r="K4013" s="14" t="n">
        <f aca="false">J4013-H4013</f>
        <v>-49.58</v>
      </c>
      <c r="L4013" s="14" t="n">
        <f aca="false">G4013-H4013</f>
        <v>-69.58</v>
      </c>
    </row>
    <row r="4014" customFormat="false" ht="15" hidden="false" customHeight="false" outlineLevel="0" collapsed="false">
      <c r="A4014" s="2" t="s">
        <v>146</v>
      </c>
      <c r="B4014" s="2" t="s">
        <v>126</v>
      </c>
      <c r="C4014" s="2" t="s">
        <v>49</v>
      </c>
      <c r="D4014" s="2" t="s">
        <v>10</v>
      </c>
      <c r="E4014" s="2" t="s">
        <v>76</v>
      </c>
      <c r="F4014" s="2" t="s">
        <v>1146</v>
      </c>
      <c r="G4014" s="14" t="n">
        <v>14.5</v>
      </c>
      <c r="H4014" s="14" t="n">
        <v>12.09</v>
      </c>
      <c r="I4014" s="14" t="n">
        <v>14.5</v>
      </c>
      <c r="J4014" s="22" t="n">
        <f aca="false">IF(E4014="Priority",'Cost model'!N795,'Cost model'!M795)</f>
        <v>13.5</v>
      </c>
      <c r="K4014" s="14" t="n">
        <f aca="false">J4014-H4014</f>
        <v>1.41</v>
      </c>
      <c r="L4014" s="14" t="n">
        <f aca="false">G4014-H4014</f>
        <v>2.41</v>
      </c>
    </row>
    <row r="4015" customFormat="false" ht="15" hidden="false" customHeight="false" outlineLevel="0" collapsed="false">
      <c r="A4015" s="2" t="s">
        <v>165</v>
      </c>
      <c r="B4015" s="2" t="s">
        <v>126</v>
      </c>
      <c r="C4015" s="2" t="s">
        <v>50</v>
      </c>
      <c r="D4015" s="2" t="s">
        <v>12</v>
      </c>
      <c r="E4015" s="2" t="s">
        <v>76</v>
      </c>
      <c r="F4015" s="2" t="s">
        <v>1146</v>
      </c>
      <c r="G4015" s="14" t="n">
        <v>19.5</v>
      </c>
      <c r="H4015" s="14" t="n">
        <v>61.22</v>
      </c>
      <c r="I4015" s="14" t="n">
        <v>19.5</v>
      </c>
      <c r="J4015" s="22" t="n">
        <f aca="false">IF(E4015="Priority",'Cost model'!N547,'Cost model'!M547)</f>
        <v>60</v>
      </c>
      <c r="K4015" s="14" t="n">
        <f aca="false">J4015-H4015</f>
        <v>-1.22</v>
      </c>
      <c r="L4015" s="14" t="n">
        <f aca="false">G4015-H4015</f>
        <v>-41.72</v>
      </c>
    </row>
    <row r="4016" customFormat="false" ht="15" hidden="false" customHeight="false" outlineLevel="0" collapsed="false">
      <c r="A4016" s="2" t="s">
        <v>126</v>
      </c>
      <c r="B4016" s="2" t="s">
        <v>184</v>
      </c>
      <c r="C4016" s="2" t="s">
        <v>48</v>
      </c>
      <c r="D4016" s="2" t="s">
        <v>10</v>
      </c>
      <c r="E4016" s="2" t="s">
        <v>76</v>
      </c>
      <c r="F4016" s="2" t="s">
        <v>1146</v>
      </c>
      <c r="G4016" s="14" t="n">
        <v>9.5</v>
      </c>
      <c r="H4016" s="14" t="n">
        <v>5.23</v>
      </c>
      <c r="I4016" s="14" t="n">
        <v>14.5</v>
      </c>
      <c r="J4016" s="22" t="n">
        <f aca="false">IF(E4016="Priority",'Cost model'!N434,'Cost model'!M434)</f>
        <v>13.5</v>
      </c>
      <c r="K4016" s="14" t="n">
        <f aca="false">J4016-H4016</f>
        <v>8.27</v>
      </c>
      <c r="L4016" s="14" t="n">
        <f aca="false">G4016-H4016</f>
        <v>4.27</v>
      </c>
    </row>
    <row r="4017" customFormat="false" ht="15" hidden="false" customHeight="false" outlineLevel="0" collapsed="false">
      <c r="A4017" s="2" t="s">
        <v>184</v>
      </c>
      <c r="B4017" s="2" t="s">
        <v>126</v>
      </c>
      <c r="C4017" s="2" t="s">
        <v>49</v>
      </c>
      <c r="D4017" s="2" t="s">
        <v>10</v>
      </c>
      <c r="E4017" s="2" t="s">
        <v>76</v>
      </c>
      <c r="F4017" s="2" t="s">
        <v>1146</v>
      </c>
      <c r="G4017" s="14" t="n">
        <v>12.5</v>
      </c>
      <c r="H4017" s="14" t="n">
        <v>10.91</v>
      </c>
      <c r="I4017" s="14"/>
      <c r="J4017" s="22" t="n">
        <f aca="false">IF(E4017="Priority",'Cost model'!N129,'Cost model'!M129)</f>
        <v>13.5</v>
      </c>
      <c r="K4017" s="14" t="n">
        <f aca="false">J4017-H4017</f>
        <v>2.59</v>
      </c>
      <c r="L4017" s="14" t="n">
        <f aca="false">G4017-H4017</f>
        <v>1.59</v>
      </c>
    </row>
    <row r="4018" customFormat="false" ht="15" hidden="false" customHeight="false" outlineLevel="0" collapsed="false">
      <c r="A4018" s="2" t="s">
        <v>126</v>
      </c>
      <c r="B4018" s="2" t="s">
        <v>165</v>
      </c>
      <c r="C4018" s="2" t="s">
        <v>50</v>
      </c>
      <c r="D4018" s="2" t="s">
        <v>15</v>
      </c>
      <c r="E4018" s="2" t="s">
        <v>76</v>
      </c>
      <c r="F4018" s="2" t="s">
        <v>1146</v>
      </c>
      <c r="G4018" s="14" t="n">
        <v>300</v>
      </c>
      <c r="H4018" s="14" t="n">
        <v>305.72</v>
      </c>
      <c r="I4018" s="14" t="n">
        <v>300</v>
      </c>
      <c r="J4018" s="22" t="n">
        <f aca="false">IF(E4018="Priority",'Cost model'!N430,'Cost model'!M430)</f>
        <v>370</v>
      </c>
      <c r="K4018" s="14" t="n">
        <f aca="false">J4018-H4018</f>
        <v>64.28</v>
      </c>
      <c r="L4018" s="14" t="n">
        <f aca="false">G4018-H4018</f>
        <v>-5.72000000000003</v>
      </c>
    </row>
    <row r="4019" customFormat="false" ht="15" hidden="false" customHeight="false" outlineLevel="0" collapsed="false">
      <c r="A4019" s="2" t="s">
        <v>240</v>
      </c>
      <c r="B4019" s="2" t="s">
        <v>221</v>
      </c>
      <c r="C4019" s="2" t="s">
        <v>48</v>
      </c>
      <c r="D4019" s="2" t="s">
        <v>10</v>
      </c>
      <c r="E4019" s="2" t="s">
        <v>76</v>
      </c>
      <c r="F4019" s="2" t="s">
        <v>1146</v>
      </c>
      <c r="G4019" s="14" t="n">
        <v>9.5</v>
      </c>
      <c r="H4019" s="14" t="n">
        <v>12.62</v>
      </c>
      <c r="I4019" s="14"/>
      <c r="J4019" s="22" t="n">
        <f aca="false">IF(E4019="Priority",'Cost model'!N992,'Cost model'!M992)</f>
        <v>11.5</v>
      </c>
      <c r="K4019" s="14" t="n">
        <f aca="false">J4019-H4019</f>
        <v>-1.12</v>
      </c>
      <c r="L4019" s="14" t="n">
        <f aca="false">G4019-H4019</f>
        <v>-3.12</v>
      </c>
    </row>
    <row r="4020" customFormat="false" ht="15" hidden="false" customHeight="false" outlineLevel="0" collapsed="false">
      <c r="A4020" s="2" t="s">
        <v>184</v>
      </c>
      <c r="B4020" s="2" t="s">
        <v>184</v>
      </c>
      <c r="C4020" s="2" t="s">
        <v>50</v>
      </c>
      <c r="D4020" s="2" t="s">
        <v>10</v>
      </c>
      <c r="E4020" s="2" t="s">
        <v>76</v>
      </c>
      <c r="F4020" s="2" t="s">
        <v>1145</v>
      </c>
      <c r="G4020" s="14" t="n">
        <v>17.5</v>
      </c>
      <c r="H4020" s="14" t="n">
        <v>19.56</v>
      </c>
      <c r="I4020" s="14" t="n">
        <v>17.5</v>
      </c>
      <c r="J4020" s="22" t="n">
        <f aca="false">IF(E4020="Priority",'Cost model'!N202,'Cost model'!M202)</f>
        <v>17.5</v>
      </c>
      <c r="K4020" s="14" t="n">
        <f aca="false">J4020-H4020</f>
        <v>-2.06</v>
      </c>
      <c r="L4020" s="14" t="n">
        <f aca="false">G4020-H4020</f>
        <v>-2.06</v>
      </c>
    </row>
    <row r="4021" customFormat="false" ht="15" hidden="false" customHeight="false" outlineLevel="0" collapsed="false">
      <c r="A4021" s="2" t="s">
        <v>126</v>
      </c>
      <c r="B4021" s="2" t="s">
        <v>126</v>
      </c>
      <c r="C4021" s="2" t="s">
        <v>50</v>
      </c>
      <c r="D4021" s="2" t="s">
        <v>12</v>
      </c>
      <c r="E4021" s="2" t="s">
        <v>76</v>
      </c>
      <c r="F4021" s="2" t="s">
        <v>1145</v>
      </c>
      <c r="G4021" s="14" t="n">
        <v>19.5</v>
      </c>
      <c r="H4021" s="14" t="n">
        <v>63.29</v>
      </c>
      <c r="I4021" s="14" t="n">
        <v>19.5</v>
      </c>
      <c r="J4021" s="22" t="n">
        <f aca="false">IF(E4021="Priority",'Cost model'!N385,'Cost model'!M385)</f>
        <v>55</v>
      </c>
      <c r="K4021" s="14" t="n">
        <f aca="false">J4021-H4021</f>
        <v>-8.29</v>
      </c>
      <c r="L4021" s="14" t="n">
        <f aca="false">G4021-H4021</f>
        <v>-43.79</v>
      </c>
    </row>
    <row r="4022" customFormat="false" ht="15" hidden="false" customHeight="false" outlineLevel="0" collapsed="false">
      <c r="A4022" s="2" t="s">
        <v>221</v>
      </c>
      <c r="B4022" s="2" t="s">
        <v>146</v>
      </c>
      <c r="C4022" s="2" t="s">
        <v>49</v>
      </c>
      <c r="D4022" s="2" t="s">
        <v>10</v>
      </c>
      <c r="E4022" s="2" t="s">
        <v>76</v>
      </c>
      <c r="F4022" s="2" t="s">
        <v>1146</v>
      </c>
      <c r="G4022" s="14" t="n">
        <v>14.5</v>
      </c>
      <c r="H4022" s="14" t="n">
        <v>11.92</v>
      </c>
      <c r="I4022" s="14" t="n">
        <v>14.5</v>
      </c>
      <c r="J4022" s="22" t="n">
        <f aca="false">IF(E4022="Priority",'Cost model'!N651,'Cost model'!M651)</f>
        <v>20.5</v>
      </c>
      <c r="K4022" s="14" t="n">
        <f aca="false">J4022-H4022</f>
        <v>8.58</v>
      </c>
      <c r="L4022" s="14" t="n">
        <f aca="false">G4022-H4022</f>
        <v>2.58</v>
      </c>
    </row>
    <row r="4023" customFormat="false" ht="15" hidden="false" customHeight="false" outlineLevel="0" collapsed="false">
      <c r="A4023" s="2" t="s">
        <v>184</v>
      </c>
      <c r="B4023" s="2" t="s">
        <v>184</v>
      </c>
      <c r="C4023" s="2" t="s">
        <v>49</v>
      </c>
      <c r="D4023" s="2" t="s">
        <v>10</v>
      </c>
      <c r="E4023" s="2" t="s">
        <v>76</v>
      </c>
      <c r="F4023" s="2" t="s">
        <v>1145</v>
      </c>
      <c r="G4023" s="14" t="n">
        <v>12.5</v>
      </c>
      <c r="H4023" s="14" t="n">
        <v>16.38</v>
      </c>
      <c r="I4023" s="14"/>
      <c r="J4023" s="22" t="n">
        <f aca="false">IF(E4023="Priority",'Cost model'!N201,'Cost model'!M201)</f>
        <v>12.5</v>
      </c>
      <c r="K4023" s="14" t="n">
        <f aca="false">J4023-H4023</f>
        <v>-3.88</v>
      </c>
      <c r="L4023" s="14" t="n">
        <f aca="false">G4023-H4023</f>
        <v>-3.88</v>
      </c>
    </row>
    <row r="4024" customFormat="false" ht="15" hidden="false" customHeight="false" outlineLevel="0" collapsed="false">
      <c r="A4024" s="2" t="s">
        <v>240</v>
      </c>
      <c r="B4024" s="2" t="s">
        <v>240</v>
      </c>
      <c r="C4024" s="2" t="s">
        <v>50</v>
      </c>
      <c r="D4024" s="2" t="s">
        <v>12</v>
      </c>
      <c r="E4024" s="2" t="s">
        <v>76</v>
      </c>
      <c r="F4024" s="2" t="s">
        <v>1145</v>
      </c>
      <c r="G4024" s="14" t="n">
        <v>19.5</v>
      </c>
      <c r="H4024" s="14" t="n">
        <v>83.2</v>
      </c>
      <c r="I4024" s="14" t="n">
        <v>19.5</v>
      </c>
      <c r="J4024" s="22" t="n">
        <f aca="false">IF(E4024="Priority",'Cost model'!N889,'Cost model'!M889)</f>
        <v>60</v>
      </c>
      <c r="K4024" s="14" t="n">
        <f aca="false">J4024-H4024</f>
        <v>-23.2</v>
      </c>
      <c r="L4024" s="14" t="n">
        <f aca="false">G4024-H4024</f>
        <v>-63.7</v>
      </c>
    </row>
    <row r="4025" customFormat="false" ht="15" hidden="false" customHeight="false" outlineLevel="0" collapsed="false">
      <c r="A4025" s="2" t="s">
        <v>184</v>
      </c>
      <c r="B4025" s="2" t="s">
        <v>184</v>
      </c>
      <c r="C4025" s="2" t="s">
        <v>48</v>
      </c>
      <c r="D4025" s="2" t="s">
        <v>12</v>
      </c>
      <c r="E4025" s="2" t="s">
        <v>76</v>
      </c>
      <c r="F4025" s="2" t="s">
        <v>1145</v>
      </c>
      <c r="G4025" s="14" t="n">
        <v>9.5</v>
      </c>
      <c r="H4025" s="14" t="n">
        <v>7.45</v>
      </c>
      <c r="I4025" s="14" t="n">
        <v>9.5</v>
      </c>
      <c r="J4025" s="22" t="n">
        <f aca="false">IF(E4025="Priority",'Cost model'!N203,'Cost model'!M203)</f>
        <v>26.5</v>
      </c>
      <c r="K4025" s="14" t="n">
        <f aca="false">J4025-H4025</f>
        <v>19.05</v>
      </c>
      <c r="L4025" s="14" t="n">
        <f aca="false">G4025-H4025</f>
        <v>2.05</v>
      </c>
    </row>
    <row r="4026" customFormat="false" ht="15" hidden="false" customHeight="false" outlineLevel="0" collapsed="false">
      <c r="A4026" s="2" t="s">
        <v>184</v>
      </c>
      <c r="B4026" s="2" t="s">
        <v>126</v>
      </c>
      <c r="C4026" s="2" t="s">
        <v>49</v>
      </c>
      <c r="D4026" s="2" t="s">
        <v>14</v>
      </c>
      <c r="E4026" s="2" t="s">
        <v>76</v>
      </c>
      <c r="F4026" s="2" t="s">
        <v>1146</v>
      </c>
      <c r="G4026" s="14" t="n">
        <v>45</v>
      </c>
      <c r="H4026" s="14" t="n">
        <v>84.16</v>
      </c>
      <c r="I4026" s="14"/>
      <c r="J4026" s="22" t="n">
        <f aca="false">IF(E4026="Priority",'Cost model'!N138,'Cost model'!M138)</f>
        <v>150</v>
      </c>
      <c r="K4026" s="14" t="n">
        <f aca="false">J4026-H4026</f>
        <v>65.84</v>
      </c>
      <c r="L4026" s="14" t="n">
        <f aca="false">G4026-H4026</f>
        <v>-39.16</v>
      </c>
    </row>
    <row r="4027" customFormat="false" ht="15" hidden="false" customHeight="false" outlineLevel="0" collapsed="false">
      <c r="A4027" s="2" t="s">
        <v>184</v>
      </c>
      <c r="B4027" s="2" t="s">
        <v>146</v>
      </c>
      <c r="C4027" s="2" t="s">
        <v>48</v>
      </c>
      <c r="D4027" s="2" t="s">
        <v>12</v>
      </c>
      <c r="E4027" s="2" t="s">
        <v>76</v>
      </c>
      <c r="F4027" s="2" t="s">
        <v>1146</v>
      </c>
      <c r="G4027" s="14" t="n">
        <v>9.5</v>
      </c>
      <c r="H4027" s="14" t="n">
        <v>24.48</v>
      </c>
      <c r="I4027" s="14" t="n">
        <v>9.5</v>
      </c>
      <c r="J4027" s="22" t="n">
        <f aca="false">IF(E4027="Priority",'Cost model'!N149,'Cost model'!M149)</f>
        <v>45</v>
      </c>
      <c r="K4027" s="14" t="n">
        <f aca="false">J4027-H4027</f>
        <v>20.52</v>
      </c>
      <c r="L4027" s="14" t="n">
        <f aca="false">G4027-H4027</f>
        <v>-14.98</v>
      </c>
    </row>
    <row r="4028" customFormat="false" ht="15" hidden="false" customHeight="false" outlineLevel="0" collapsed="false">
      <c r="A4028" s="2" t="s">
        <v>184</v>
      </c>
      <c r="B4028" s="2" t="s">
        <v>126</v>
      </c>
      <c r="C4028" s="2" t="s">
        <v>49</v>
      </c>
      <c r="D4028" s="2" t="s">
        <v>12</v>
      </c>
      <c r="E4028" s="2" t="s">
        <v>76</v>
      </c>
      <c r="F4028" s="2" t="s">
        <v>1146</v>
      </c>
      <c r="G4028" s="14" t="n">
        <v>12.5</v>
      </c>
      <c r="H4028" s="14" t="n">
        <v>167.39</v>
      </c>
      <c r="I4028" s="14" t="n">
        <v>12.5</v>
      </c>
      <c r="J4028" s="22" t="n">
        <f aca="false">IF(E4028="Priority",'Cost model'!N132,'Cost model'!M132)</f>
        <v>50</v>
      </c>
      <c r="K4028" s="14" t="n">
        <f aca="false">J4028-H4028</f>
        <v>-117.39</v>
      </c>
      <c r="L4028" s="14" t="n">
        <f aca="false">G4028-H4028</f>
        <v>-154.89</v>
      </c>
    </row>
    <row r="4029" customFormat="false" ht="15" hidden="false" customHeight="false" outlineLevel="0" collapsed="false">
      <c r="A4029" s="2" t="s">
        <v>184</v>
      </c>
      <c r="B4029" s="2" t="s">
        <v>184</v>
      </c>
      <c r="C4029" s="2" t="s">
        <v>49</v>
      </c>
      <c r="D4029" s="2" t="s">
        <v>12</v>
      </c>
      <c r="E4029" s="2" t="s">
        <v>76</v>
      </c>
      <c r="F4029" s="2" t="s">
        <v>1145</v>
      </c>
      <c r="G4029" s="14" t="n">
        <v>12.5</v>
      </c>
      <c r="H4029" s="14" t="n">
        <v>86.48</v>
      </c>
      <c r="I4029" s="14"/>
      <c r="J4029" s="22" t="n">
        <f aca="false">IF(E4029="Priority",'Cost model'!N204,'Cost model'!M204)</f>
        <v>45</v>
      </c>
      <c r="K4029" s="14" t="n">
        <f aca="false">J4029-H4029</f>
        <v>-41.48</v>
      </c>
      <c r="L4029" s="14" t="n">
        <f aca="false">G4029-H4029</f>
        <v>-73.98</v>
      </c>
    </row>
    <row r="4030" customFormat="false" ht="15" hidden="false" customHeight="false" outlineLevel="0" collapsed="false">
      <c r="A4030" s="2" t="s">
        <v>184</v>
      </c>
      <c r="B4030" s="2" t="s">
        <v>184</v>
      </c>
      <c r="C4030" s="2" t="s">
        <v>48</v>
      </c>
      <c r="D4030" s="2" t="s">
        <v>10</v>
      </c>
      <c r="E4030" s="2" t="s">
        <v>76</v>
      </c>
      <c r="F4030" s="2" t="s">
        <v>1145</v>
      </c>
      <c r="G4030" s="14" t="n">
        <v>9.5</v>
      </c>
      <c r="H4030" s="14" t="n">
        <v>7.69</v>
      </c>
      <c r="I4030" s="14" t="n">
        <v>9.5</v>
      </c>
      <c r="J4030" s="22" t="n">
        <f aca="false">IF(E4030="Priority",'Cost model'!N200,'Cost model'!M200)</f>
        <v>7.5</v>
      </c>
      <c r="K4030" s="14" t="n">
        <f aca="false">J4030-H4030</f>
        <v>-0.19</v>
      </c>
      <c r="L4030" s="14" t="n">
        <f aca="false">G4030-H4030</f>
        <v>1.81</v>
      </c>
    </row>
    <row r="4031" customFormat="false" ht="15" hidden="false" customHeight="false" outlineLevel="0" collapsed="false">
      <c r="A4031" s="2" t="s">
        <v>126</v>
      </c>
      <c r="B4031" s="2" t="s">
        <v>165</v>
      </c>
      <c r="C4031" s="2" t="s">
        <v>49</v>
      </c>
      <c r="D4031" s="2" t="s">
        <v>12</v>
      </c>
      <c r="E4031" s="2" t="s">
        <v>76</v>
      </c>
      <c r="F4031" s="2" t="s">
        <v>1146</v>
      </c>
      <c r="G4031" s="14" t="n">
        <v>12.5</v>
      </c>
      <c r="H4031" s="14" t="n">
        <v>66.13</v>
      </c>
      <c r="I4031" s="14" t="n">
        <v>19.5</v>
      </c>
      <c r="J4031" s="22" t="n">
        <f aca="false">IF(E4031="Priority",'Cost model'!N420,'Cost model'!M420)</f>
        <v>60</v>
      </c>
      <c r="K4031" s="14" t="n">
        <f aca="false">J4031-H4031</f>
        <v>-6.13</v>
      </c>
      <c r="L4031" s="14" t="n">
        <f aca="false">G4031-H4031</f>
        <v>-53.63</v>
      </c>
    </row>
    <row r="4032" customFormat="false" ht="15" hidden="false" customHeight="false" outlineLevel="0" collapsed="false">
      <c r="A4032" s="2" t="s">
        <v>184</v>
      </c>
      <c r="B4032" s="2" t="s">
        <v>184</v>
      </c>
      <c r="C4032" s="2" t="s">
        <v>49</v>
      </c>
      <c r="D4032" s="2" t="s">
        <v>12</v>
      </c>
      <c r="E4032" s="2" t="s">
        <v>76</v>
      </c>
      <c r="F4032" s="2" t="s">
        <v>1145</v>
      </c>
      <c r="G4032" s="14" t="n">
        <v>12.5</v>
      </c>
      <c r="H4032" s="14" t="n">
        <v>42.61</v>
      </c>
      <c r="I4032" s="14"/>
      <c r="J4032" s="22" t="n">
        <f aca="false">IF(E4032="Priority",'Cost model'!N204,'Cost model'!M204)</f>
        <v>45</v>
      </c>
      <c r="K4032" s="14" t="n">
        <f aca="false">J4032-H4032</f>
        <v>2.39</v>
      </c>
      <c r="L4032" s="14" t="n">
        <f aca="false">G4032-H4032</f>
        <v>-30.11</v>
      </c>
    </row>
    <row r="4033" customFormat="false" ht="15" hidden="false" customHeight="false" outlineLevel="0" collapsed="false">
      <c r="A4033" s="2" t="s">
        <v>184</v>
      </c>
      <c r="B4033" s="2" t="s">
        <v>184</v>
      </c>
      <c r="C4033" s="2" t="s">
        <v>50</v>
      </c>
      <c r="D4033" s="2" t="s">
        <v>10</v>
      </c>
      <c r="E4033" s="2" t="s">
        <v>76</v>
      </c>
      <c r="F4033" s="2" t="s">
        <v>1145</v>
      </c>
      <c r="G4033" s="14" t="n">
        <v>17.5</v>
      </c>
      <c r="H4033" s="14" t="n">
        <v>11.03</v>
      </c>
      <c r="I4033" s="14" t="n">
        <v>17.5</v>
      </c>
      <c r="J4033" s="22" t="n">
        <f aca="false">IF(E4033="Priority",'Cost model'!N202,'Cost model'!M202)</f>
        <v>17.5</v>
      </c>
      <c r="K4033" s="14" t="n">
        <f aca="false">J4033-H4033</f>
        <v>6.47</v>
      </c>
      <c r="L4033" s="14" t="n">
        <f aca="false">G4033-H4033</f>
        <v>6.47</v>
      </c>
    </row>
    <row r="4034" customFormat="false" ht="15" hidden="false" customHeight="false" outlineLevel="0" collapsed="false">
      <c r="A4034" s="2" t="s">
        <v>184</v>
      </c>
      <c r="B4034" s="2" t="s">
        <v>126</v>
      </c>
      <c r="C4034" s="2" t="s">
        <v>48</v>
      </c>
      <c r="D4034" s="2" t="s">
        <v>12</v>
      </c>
      <c r="E4034" s="2" t="s">
        <v>76</v>
      </c>
      <c r="F4034" s="2" t="s">
        <v>1146</v>
      </c>
      <c r="G4034" s="14" t="n">
        <v>9.5</v>
      </c>
      <c r="H4034" s="14" t="n">
        <v>63.15</v>
      </c>
      <c r="I4034" s="14" t="n">
        <v>9.5</v>
      </c>
      <c r="J4034" s="22" t="n">
        <f aca="false">IF(E4034="Priority",'Cost model'!N131,'Cost model'!M131)</f>
        <v>40</v>
      </c>
      <c r="K4034" s="14" t="n">
        <f aca="false">J4034-H4034</f>
        <v>-23.15</v>
      </c>
      <c r="L4034" s="14" t="n">
        <f aca="false">G4034-H4034</f>
        <v>-53.65</v>
      </c>
    </row>
    <row r="4035" customFormat="false" ht="15" hidden="false" customHeight="false" outlineLevel="0" collapsed="false">
      <c r="A4035" s="2" t="s">
        <v>240</v>
      </c>
      <c r="B4035" s="2" t="s">
        <v>184</v>
      </c>
      <c r="C4035" s="2" t="s">
        <v>50</v>
      </c>
      <c r="D4035" s="2" t="s">
        <v>10</v>
      </c>
      <c r="E4035" s="2" t="s">
        <v>76</v>
      </c>
      <c r="F4035" s="2" t="s">
        <v>1146</v>
      </c>
      <c r="G4035" s="14" t="n">
        <v>24.5</v>
      </c>
      <c r="H4035" s="14" t="n">
        <v>24.63</v>
      </c>
      <c r="I4035" s="14" t="n">
        <v>19.5</v>
      </c>
      <c r="J4035" s="22" t="n">
        <f aca="false">IF(E4035="Priority",'Cost model'!N940,'Cost model'!M940)</f>
        <v>23.5</v>
      </c>
      <c r="K4035" s="14" t="n">
        <f aca="false">J4035-H4035</f>
        <v>-1.13</v>
      </c>
      <c r="L4035" s="14" t="n">
        <f aca="false">G4035-H4035</f>
        <v>-0.129999999999999</v>
      </c>
    </row>
    <row r="4036" customFormat="false" ht="15" hidden="false" customHeight="false" outlineLevel="0" collapsed="false">
      <c r="A4036" s="2" t="s">
        <v>126</v>
      </c>
      <c r="B4036" s="2" t="s">
        <v>126</v>
      </c>
      <c r="C4036" s="2" t="s">
        <v>50</v>
      </c>
      <c r="D4036" s="2" t="s">
        <v>12</v>
      </c>
      <c r="E4036" s="2" t="s">
        <v>85</v>
      </c>
      <c r="F4036" s="2" t="s">
        <v>1145</v>
      </c>
      <c r="G4036" s="14" t="n">
        <v>29.5</v>
      </c>
      <c r="H4036" s="14" t="n">
        <v>24.75</v>
      </c>
      <c r="I4036" s="14" t="n">
        <v>29.5</v>
      </c>
      <c r="J4036" s="22" t="n">
        <f aca="false">IF(E4036="Priority",'Cost model'!N385,'Cost model'!M385)</f>
        <v>70</v>
      </c>
      <c r="K4036" s="14" t="n">
        <f aca="false">J4036-H4036</f>
        <v>45.25</v>
      </c>
      <c r="L4036" s="14" t="n">
        <f aca="false">G4036-H4036</f>
        <v>4.75</v>
      </c>
    </row>
    <row r="4037" customFormat="false" ht="15" hidden="false" customHeight="false" outlineLevel="0" collapsed="false">
      <c r="A4037" s="2" t="s">
        <v>184</v>
      </c>
      <c r="B4037" s="2" t="s">
        <v>184</v>
      </c>
      <c r="C4037" s="2" t="s">
        <v>48</v>
      </c>
      <c r="D4037" s="2" t="s">
        <v>13</v>
      </c>
      <c r="E4037" s="2" t="s">
        <v>76</v>
      </c>
      <c r="F4037" s="2" t="s">
        <v>1145</v>
      </c>
      <c r="G4037" s="14" t="n">
        <v>19</v>
      </c>
      <c r="H4037" s="14" t="n">
        <v>106.27</v>
      </c>
      <c r="I4037" s="14" t="n">
        <v>19</v>
      </c>
      <c r="J4037" s="22" t="n">
        <f aca="false">IF(E4037="Priority",'Cost model'!N206,'Cost model'!M206)</f>
        <v>55</v>
      </c>
      <c r="K4037" s="14" t="n">
        <f aca="false">J4037-H4037</f>
        <v>-51.27</v>
      </c>
      <c r="L4037" s="14" t="n">
        <f aca="false">G4037-H4037</f>
        <v>-87.27</v>
      </c>
    </row>
    <row r="4038" customFormat="false" ht="15" hidden="false" customHeight="false" outlineLevel="0" collapsed="false">
      <c r="A4038" s="2" t="s">
        <v>184</v>
      </c>
      <c r="B4038" s="2" t="s">
        <v>184</v>
      </c>
      <c r="C4038" s="2" t="s">
        <v>48</v>
      </c>
      <c r="D4038" s="2" t="s">
        <v>12</v>
      </c>
      <c r="E4038" s="2" t="s">
        <v>76</v>
      </c>
      <c r="F4038" s="2" t="s">
        <v>1145</v>
      </c>
      <c r="G4038" s="14" t="n">
        <v>9.5</v>
      </c>
      <c r="H4038" s="14" t="n">
        <v>12.84</v>
      </c>
      <c r="I4038" s="14" t="n">
        <v>9.5</v>
      </c>
      <c r="J4038" s="22" t="n">
        <f aca="false">IF(E4038="Priority",'Cost model'!N203,'Cost model'!M203)</f>
        <v>26.5</v>
      </c>
      <c r="K4038" s="14" t="n">
        <f aca="false">J4038-H4038</f>
        <v>13.66</v>
      </c>
      <c r="L4038" s="14" t="n">
        <f aca="false">G4038-H4038</f>
        <v>-3.34</v>
      </c>
    </row>
    <row r="4039" customFormat="false" ht="15" hidden="false" customHeight="false" outlineLevel="0" collapsed="false">
      <c r="A4039" s="2" t="s">
        <v>240</v>
      </c>
      <c r="B4039" s="2" t="s">
        <v>240</v>
      </c>
      <c r="C4039" s="2" t="s">
        <v>50</v>
      </c>
      <c r="D4039" s="2" t="s">
        <v>14</v>
      </c>
      <c r="E4039" s="2" t="s">
        <v>85</v>
      </c>
      <c r="F4039" s="2" t="s">
        <v>1145</v>
      </c>
      <c r="G4039" s="14" t="n">
        <v>150</v>
      </c>
      <c r="H4039" s="14" t="n">
        <v>305.95</v>
      </c>
      <c r="I4039" s="14" t="n">
        <v>150</v>
      </c>
      <c r="J4039" s="22" t="n">
        <f aca="false">IF(E4039="Priority",'Cost model'!N895,'Cost model'!M895)</f>
        <v>385</v>
      </c>
      <c r="K4039" s="14" t="n">
        <f aca="false">J4039-H4039</f>
        <v>79.05</v>
      </c>
      <c r="L4039" s="14" t="n">
        <f aca="false">G4039-H4039</f>
        <v>-155.95</v>
      </c>
    </row>
    <row r="4040" customFormat="false" ht="15" hidden="false" customHeight="false" outlineLevel="0" collapsed="false">
      <c r="A4040" s="2" t="s">
        <v>184</v>
      </c>
      <c r="B4040" s="2" t="s">
        <v>146</v>
      </c>
      <c r="C4040" s="2" t="s">
        <v>48</v>
      </c>
      <c r="D4040" s="2" t="s">
        <v>10</v>
      </c>
      <c r="E4040" s="2" t="s">
        <v>76</v>
      </c>
      <c r="F4040" s="2" t="s">
        <v>1146</v>
      </c>
      <c r="G4040" s="14" t="n">
        <v>9.5</v>
      </c>
      <c r="H4040" s="14" t="n">
        <v>10.68</v>
      </c>
      <c r="I4040" s="14" t="n">
        <v>9.5</v>
      </c>
      <c r="J4040" s="22" t="n">
        <f aca="false">IF(E4040="Priority",'Cost model'!N146,'Cost model'!M146)</f>
        <v>12.5</v>
      </c>
      <c r="K4040" s="14" t="n">
        <f aca="false">J4040-H4040</f>
        <v>1.82</v>
      </c>
      <c r="L4040" s="14" t="n">
        <f aca="false">G4040-H4040</f>
        <v>-1.18</v>
      </c>
    </row>
    <row r="4041" customFormat="false" ht="15" hidden="false" customHeight="false" outlineLevel="0" collapsed="false">
      <c r="A4041" s="2" t="s">
        <v>126</v>
      </c>
      <c r="B4041" s="2" t="s">
        <v>126</v>
      </c>
      <c r="C4041" s="2" t="s">
        <v>50</v>
      </c>
      <c r="D4041" s="2" t="s">
        <v>10</v>
      </c>
      <c r="E4041" s="2" t="s">
        <v>76</v>
      </c>
      <c r="F4041" s="2" t="s">
        <v>1145</v>
      </c>
      <c r="G4041" s="14" t="n">
        <v>17.5</v>
      </c>
      <c r="H4041" s="14" t="n">
        <v>20.83</v>
      </c>
      <c r="I4041" s="14" t="n">
        <v>17.5</v>
      </c>
      <c r="J4041" s="22" t="n">
        <f aca="false">IF(E4041="Priority",'Cost model'!N382,'Cost model'!M382)</f>
        <v>18.5</v>
      </c>
      <c r="K4041" s="14" t="n">
        <f aca="false">J4041-H4041</f>
        <v>-2.33</v>
      </c>
      <c r="L4041" s="14" t="n">
        <f aca="false">G4041-H4041</f>
        <v>-3.33</v>
      </c>
    </row>
    <row r="4042" customFormat="false" ht="15" hidden="false" customHeight="false" outlineLevel="0" collapsed="false">
      <c r="A4042" s="2" t="s">
        <v>184</v>
      </c>
      <c r="B4042" s="2" t="s">
        <v>126</v>
      </c>
      <c r="C4042" s="2" t="s">
        <v>48</v>
      </c>
      <c r="D4042" s="2" t="s">
        <v>13</v>
      </c>
      <c r="E4042" s="2" t="s">
        <v>76</v>
      </c>
      <c r="F4042" s="2" t="s">
        <v>1146</v>
      </c>
      <c r="G4042" s="14" t="n">
        <v>19</v>
      </c>
      <c r="H4042" s="14" t="n">
        <v>63.32</v>
      </c>
      <c r="I4042" s="14" t="n">
        <v>19</v>
      </c>
      <c r="J4042" s="22" t="n">
        <f aca="false">IF(E4042="Priority",'Cost model'!N134,'Cost model'!M134)</f>
        <v>80</v>
      </c>
      <c r="K4042" s="14" t="n">
        <f aca="false">J4042-H4042</f>
        <v>16.68</v>
      </c>
      <c r="L4042" s="14" t="n">
        <f aca="false">G4042-H4042</f>
        <v>-44.32</v>
      </c>
    </row>
    <row r="4043" customFormat="false" ht="15" hidden="false" customHeight="false" outlineLevel="0" collapsed="false">
      <c r="A4043" s="2" t="s">
        <v>125</v>
      </c>
      <c r="B4043" s="2" t="s">
        <v>126</v>
      </c>
      <c r="C4043" s="2" t="s">
        <v>48</v>
      </c>
      <c r="D4043" s="2" t="s">
        <v>12</v>
      </c>
      <c r="E4043" s="2" t="s">
        <v>76</v>
      </c>
      <c r="F4043" s="2" t="s">
        <v>1146</v>
      </c>
      <c r="G4043" s="14" t="n">
        <v>9.5</v>
      </c>
      <c r="H4043" s="14" t="n">
        <v>42.54</v>
      </c>
      <c r="I4043" s="14" t="n">
        <v>19.5</v>
      </c>
      <c r="J4043" s="22" t="n">
        <f aca="false">IF(E4043="Priority",'Cost model'!N5,'Cost model'!M5)</f>
        <v>50</v>
      </c>
      <c r="K4043" s="14" t="n">
        <f aca="false">J4043-H4043</f>
        <v>7.46</v>
      </c>
      <c r="L4043" s="14" t="n">
        <f aca="false">G4043-H4043</f>
        <v>-33.04</v>
      </c>
    </row>
    <row r="4044" customFormat="false" ht="15" hidden="false" customHeight="false" outlineLevel="0" collapsed="false">
      <c r="A4044" s="2" t="s">
        <v>165</v>
      </c>
      <c r="B4044" s="2" t="s">
        <v>165</v>
      </c>
      <c r="C4044" s="2" t="s">
        <v>48</v>
      </c>
      <c r="D4044" s="2" t="s">
        <v>12</v>
      </c>
      <c r="E4044" s="2" t="s">
        <v>76</v>
      </c>
      <c r="F4044" s="2" t="s">
        <v>1145</v>
      </c>
      <c r="G4044" s="14" t="n">
        <v>9.5</v>
      </c>
      <c r="H4044" s="14" t="n">
        <v>14.16</v>
      </c>
      <c r="I4044" s="14" t="n">
        <v>9.5</v>
      </c>
      <c r="J4044" s="22" t="n">
        <f aca="false">IF(E4044="Priority",'Cost model'!N509,'Cost model'!M509)</f>
        <v>17.5</v>
      </c>
      <c r="K4044" s="14" t="n">
        <f aca="false">J4044-H4044</f>
        <v>3.34</v>
      </c>
      <c r="L4044" s="14" t="n">
        <f aca="false">G4044-H4044</f>
        <v>-4.66</v>
      </c>
    </row>
    <row r="4045" customFormat="false" ht="15" hidden="false" customHeight="false" outlineLevel="0" collapsed="false">
      <c r="A4045" s="2" t="s">
        <v>184</v>
      </c>
      <c r="B4045" s="2" t="s">
        <v>184</v>
      </c>
      <c r="C4045" s="2" t="s">
        <v>49</v>
      </c>
      <c r="D4045" s="2" t="s">
        <v>10</v>
      </c>
      <c r="E4045" s="2" t="s">
        <v>76</v>
      </c>
      <c r="F4045" s="2" t="s">
        <v>1145</v>
      </c>
      <c r="G4045" s="14" t="n">
        <v>17.5</v>
      </c>
      <c r="H4045" s="14" t="n">
        <v>10.87</v>
      </c>
      <c r="I4045" s="14"/>
      <c r="J4045" s="22" t="n">
        <f aca="false">IF(E4045="Priority",'Cost model'!N201,'Cost model'!M201)</f>
        <v>12.5</v>
      </c>
      <c r="K4045" s="14" t="n">
        <f aca="false">J4045-H4045</f>
        <v>1.63</v>
      </c>
      <c r="L4045" s="14" t="n">
        <f aca="false">G4045-H4045</f>
        <v>6.63</v>
      </c>
    </row>
    <row r="4046" customFormat="false" ht="15" hidden="false" customHeight="false" outlineLevel="0" collapsed="false">
      <c r="A4046" s="2" t="s">
        <v>240</v>
      </c>
      <c r="B4046" s="2" t="s">
        <v>165</v>
      </c>
      <c r="C4046" s="2" t="s">
        <v>48</v>
      </c>
      <c r="D4046" s="2" t="s">
        <v>12</v>
      </c>
      <c r="E4046" s="2" t="s">
        <v>76</v>
      </c>
      <c r="F4046" s="2" t="s">
        <v>1146</v>
      </c>
      <c r="G4046" s="14" t="n">
        <v>19.5</v>
      </c>
      <c r="H4046" s="14" t="n">
        <v>65.19</v>
      </c>
      <c r="I4046" s="14" t="n">
        <v>19.5</v>
      </c>
      <c r="J4046" s="22" t="n">
        <f aca="false">IF(E4046="Priority",'Cost model'!N905,'Cost model'!M905)</f>
        <v>50</v>
      </c>
      <c r="K4046" s="14" t="n">
        <f aca="false">J4046-H4046</f>
        <v>-15.19</v>
      </c>
      <c r="L4046" s="14" t="n">
        <f aca="false">G4046-H4046</f>
        <v>-45.69</v>
      </c>
    </row>
    <row r="4047" customFormat="false" ht="15" hidden="false" customHeight="false" outlineLevel="0" collapsed="false">
      <c r="A4047" s="2" t="s">
        <v>126</v>
      </c>
      <c r="B4047" s="2" t="s">
        <v>126</v>
      </c>
      <c r="C4047" s="2" t="s">
        <v>49</v>
      </c>
      <c r="D4047" s="2" t="s">
        <v>10</v>
      </c>
      <c r="E4047" s="2" t="s">
        <v>76</v>
      </c>
      <c r="F4047" s="2" t="s">
        <v>1145</v>
      </c>
      <c r="G4047" s="14" t="n">
        <v>12.5</v>
      </c>
      <c r="H4047" s="14" t="n">
        <v>10.1</v>
      </c>
      <c r="I4047" s="14" t="n">
        <v>12.5</v>
      </c>
      <c r="J4047" s="22" t="n">
        <f aca="false">IF(E4047="Priority",'Cost model'!N381,'Cost model'!M381)</f>
        <v>14.5</v>
      </c>
      <c r="K4047" s="14" t="n">
        <f aca="false">J4047-H4047</f>
        <v>4.4</v>
      </c>
      <c r="L4047" s="14" t="n">
        <f aca="false">G4047-H4047</f>
        <v>2.4</v>
      </c>
    </row>
    <row r="4048" customFormat="false" ht="15" hidden="false" customHeight="false" outlineLevel="0" collapsed="false">
      <c r="A4048" s="2" t="s">
        <v>146</v>
      </c>
      <c r="B4048" s="2" t="s">
        <v>146</v>
      </c>
      <c r="C4048" s="2" t="s">
        <v>48</v>
      </c>
      <c r="D4048" s="2" t="s">
        <v>12</v>
      </c>
      <c r="E4048" s="2" t="s">
        <v>76</v>
      </c>
      <c r="F4048" s="2" t="s">
        <v>1145</v>
      </c>
      <c r="G4048" s="14" t="n">
        <v>9.5</v>
      </c>
      <c r="H4048" s="14" t="n">
        <v>42.61</v>
      </c>
      <c r="I4048" s="14" t="n">
        <v>9.5</v>
      </c>
      <c r="J4048" s="22" t="n">
        <f aca="false">IF(E4048="Priority",'Cost model'!N761,'Cost model'!M761)</f>
        <v>35</v>
      </c>
      <c r="K4048" s="14" t="n">
        <f aca="false">J4048-H4048</f>
        <v>-7.61</v>
      </c>
      <c r="L4048" s="14" t="n">
        <f aca="false">G4048-H4048</f>
        <v>-33.11</v>
      </c>
    </row>
    <row r="4049" customFormat="false" ht="15" hidden="false" customHeight="false" outlineLevel="0" collapsed="false">
      <c r="A4049" s="2" t="s">
        <v>184</v>
      </c>
      <c r="B4049" s="2" t="s">
        <v>184</v>
      </c>
      <c r="C4049" s="2" t="s">
        <v>49</v>
      </c>
      <c r="D4049" s="2" t="s">
        <v>12</v>
      </c>
      <c r="E4049" s="2" t="s">
        <v>76</v>
      </c>
      <c r="F4049" s="2" t="s">
        <v>1145</v>
      </c>
      <c r="G4049" s="14" t="n">
        <v>12.5</v>
      </c>
      <c r="H4049" s="14" t="n">
        <v>43.77</v>
      </c>
      <c r="I4049" s="14"/>
      <c r="J4049" s="22" t="n">
        <f aca="false">IF(E4049="Priority",'Cost model'!N204,'Cost model'!M204)</f>
        <v>45</v>
      </c>
      <c r="K4049" s="14" t="n">
        <f aca="false">J4049-H4049</f>
        <v>1.23</v>
      </c>
      <c r="L4049" s="14" t="n">
        <f aca="false">G4049-H4049</f>
        <v>-31.27</v>
      </c>
    </row>
    <row r="4050" customFormat="false" ht="15" hidden="false" customHeight="false" outlineLevel="0" collapsed="false">
      <c r="A4050" s="2" t="s">
        <v>240</v>
      </c>
      <c r="B4050" s="2" t="s">
        <v>126</v>
      </c>
      <c r="C4050" s="2" t="s">
        <v>48</v>
      </c>
      <c r="D4050" s="2" t="s">
        <v>13</v>
      </c>
      <c r="E4050" s="2" t="s">
        <v>76</v>
      </c>
      <c r="F4050" s="2" t="s">
        <v>1146</v>
      </c>
      <c r="G4050" s="14" t="n">
        <v>45</v>
      </c>
      <c r="H4050" s="14" t="n">
        <v>341.04</v>
      </c>
      <c r="I4050" s="14" t="n">
        <v>45</v>
      </c>
      <c r="J4050" s="22" t="n">
        <f aca="false">IF(E4050="Priority",'Cost model'!N962,'Cost model'!M962)</f>
        <v>120</v>
      </c>
      <c r="K4050" s="14" t="n">
        <f aca="false">J4050-H4050</f>
        <v>-221.04</v>
      </c>
      <c r="L4050" s="14" t="n">
        <f aca="false">G4050-H4050</f>
        <v>-296.04</v>
      </c>
    </row>
    <row r="4051" customFormat="false" ht="15" hidden="false" customHeight="false" outlineLevel="0" collapsed="false">
      <c r="A4051" s="2" t="s">
        <v>146</v>
      </c>
      <c r="B4051" s="2" t="s">
        <v>146</v>
      </c>
      <c r="C4051" s="2" t="s">
        <v>50</v>
      </c>
      <c r="D4051" s="2" t="s">
        <v>12</v>
      </c>
      <c r="E4051" s="2" t="s">
        <v>76</v>
      </c>
      <c r="F4051" s="2" t="s">
        <v>1145</v>
      </c>
      <c r="G4051" s="14" t="n">
        <v>19.5</v>
      </c>
      <c r="H4051" s="14" t="n">
        <v>23.58</v>
      </c>
      <c r="I4051" s="14" t="n">
        <v>19.5</v>
      </c>
      <c r="J4051" s="22" t="n">
        <f aca="false">IF(E4051="Priority",'Cost model'!N763,'Cost model'!M763)</f>
        <v>50</v>
      </c>
      <c r="K4051" s="14" t="n">
        <f aca="false">J4051-H4051</f>
        <v>26.42</v>
      </c>
      <c r="L4051" s="14" t="n">
        <f aca="false">G4051-H4051</f>
        <v>-4.08</v>
      </c>
    </row>
    <row r="4052" customFormat="false" ht="15" hidden="false" customHeight="false" outlineLevel="0" collapsed="false">
      <c r="A4052" s="2" t="s">
        <v>184</v>
      </c>
      <c r="B4052" s="2" t="s">
        <v>184</v>
      </c>
      <c r="C4052" s="2" t="s">
        <v>48</v>
      </c>
      <c r="D4052" s="2" t="s">
        <v>12</v>
      </c>
      <c r="E4052" s="2" t="s">
        <v>76</v>
      </c>
      <c r="F4052" s="2" t="s">
        <v>1145</v>
      </c>
      <c r="G4052" s="14" t="n">
        <v>9.5</v>
      </c>
      <c r="H4052" s="14" t="n">
        <v>14.88</v>
      </c>
      <c r="I4052" s="14" t="n">
        <v>9.5</v>
      </c>
      <c r="J4052" s="22" t="n">
        <f aca="false">IF(E4052="Priority",'Cost model'!N203,'Cost model'!M203)</f>
        <v>26.5</v>
      </c>
      <c r="K4052" s="14" t="n">
        <f aca="false">J4052-H4052</f>
        <v>11.62</v>
      </c>
      <c r="L4052" s="14" t="n">
        <f aca="false">G4052-H4052</f>
        <v>-5.38</v>
      </c>
    </row>
    <row r="4053" customFormat="false" ht="15" hidden="false" customHeight="false" outlineLevel="0" collapsed="false">
      <c r="A4053" s="2" t="s">
        <v>146</v>
      </c>
      <c r="B4053" s="2" t="s">
        <v>146</v>
      </c>
      <c r="C4053" s="2" t="s">
        <v>48</v>
      </c>
      <c r="D4053" s="2" t="s">
        <v>13</v>
      </c>
      <c r="E4053" s="2" t="s">
        <v>76</v>
      </c>
      <c r="F4053" s="2" t="s">
        <v>1145</v>
      </c>
      <c r="G4053" s="14" t="n">
        <v>19</v>
      </c>
      <c r="H4053" s="14" t="n">
        <v>61.36</v>
      </c>
      <c r="I4053" s="14" t="n">
        <v>19</v>
      </c>
      <c r="J4053" s="22" t="n">
        <f aca="false">IF(E4053="Priority",'Cost model'!N764,'Cost model'!M764)</f>
        <v>55</v>
      </c>
      <c r="K4053" s="14" t="n">
        <f aca="false">J4053-H4053</f>
        <v>-6.36</v>
      </c>
      <c r="L4053" s="14" t="n">
        <f aca="false">G4053-H4053</f>
        <v>-42.36</v>
      </c>
    </row>
    <row r="4054" customFormat="false" ht="15" hidden="false" customHeight="false" outlineLevel="0" collapsed="false">
      <c r="A4054" s="2" t="s">
        <v>184</v>
      </c>
      <c r="B4054" s="2" t="s">
        <v>146</v>
      </c>
      <c r="C4054" s="2" t="s">
        <v>50</v>
      </c>
      <c r="D4054" s="2" t="s">
        <v>12</v>
      </c>
      <c r="E4054" s="2" t="s">
        <v>76</v>
      </c>
      <c r="F4054" s="2" t="s">
        <v>1146</v>
      </c>
      <c r="G4054" s="14" t="n">
        <v>19.5</v>
      </c>
      <c r="H4054" s="14" t="n">
        <v>51.2</v>
      </c>
      <c r="I4054" s="14" t="n">
        <v>19.5</v>
      </c>
      <c r="J4054" s="22" t="n">
        <f aca="false">IF(E4054="Priority",'Cost model'!N151,'Cost model'!M151)</f>
        <v>55</v>
      </c>
      <c r="K4054" s="14" t="n">
        <f aca="false">J4054-H4054</f>
        <v>3.8</v>
      </c>
      <c r="L4054" s="14" t="n">
        <f aca="false">G4054-H4054</f>
        <v>-31.7</v>
      </c>
    </row>
    <row r="4055" customFormat="false" ht="15" hidden="false" customHeight="false" outlineLevel="0" collapsed="false">
      <c r="A4055" s="2" t="s">
        <v>165</v>
      </c>
      <c r="B4055" s="2" t="s">
        <v>165</v>
      </c>
      <c r="C4055" s="2" t="s">
        <v>48</v>
      </c>
      <c r="D4055" s="2" t="s">
        <v>12</v>
      </c>
      <c r="E4055" s="2" t="s">
        <v>76</v>
      </c>
      <c r="F4055" s="2" t="s">
        <v>1145</v>
      </c>
      <c r="G4055" s="14" t="n">
        <v>9.5</v>
      </c>
      <c r="H4055" s="14" t="n">
        <v>18.81</v>
      </c>
      <c r="I4055" s="14" t="n">
        <v>9.5</v>
      </c>
      <c r="J4055" s="22" t="n">
        <f aca="false">IF(E4055="Priority",'Cost model'!N509,'Cost model'!M509)</f>
        <v>17.5</v>
      </c>
      <c r="K4055" s="14" t="n">
        <f aca="false">J4055-H4055</f>
        <v>-1.31</v>
      </c>
      <c r="L4055" s="14" t="n">
        <f aca="false">G4055-H4055</f>
        <v>-9.31</v>
      </c>
    </row>
    <row r="4056" customFormat="false" ht="15" hidden="false" customHeight="false" outlineLevel="0" collapsed="false">
      <c r="A4056" s="2" t="s">
        <v>184</v>
      </c>
      <c r="B4056" s="2" t="s">
        <v>165</v>
      </c>
      <c r="C4056" s="2" t="s">
        <v>50</v>
      </c>
      <c r="D4056" s="2" t="s">
        <v>10</v>
      </c>
      <c r="E4056" s="2" t="s">
        <v>76</v>
      </c>
      <c r="F4056" s="2" t="s">
        <v>1146</v>
      </c>
      <c r="G4056" s="14" t="n">
        <v>17.5</v>
      </c>
      <c r="H4056" s="14" t="n">
        <v>20.55</v>
      </c>
      <c r="I4056" s="14" t="n">
        <v>17.5</v>
      </c>
      <c r="J4056" s="22" t="n">
        <f aca="false">IF(E4056="Priority",'Cost model'!N166,'Cost model'!M166)</f>
        <v>18.5</v>
      </c>
      <c r="K4056" s="14" t="n">
        <f aca="false">J4056-H4056</f>
        <v>-2.05</v>
      </c>
      <c r="L4056" s="14" t="n">
        <f aca="false">G4056-H4056</f>
        <v>-3.05</v>
      </c>
    </row>
    <row r="4057" customFormat="false" ht="15" hidden="false" customHeight="false" outlineLevel="0" collapsed="false">
      <c r="A4057" s="2" t="s">
        <v>385</v>
      </c>
      <c r="B4057" s="2" t="s">
        <v>165</v>
      </c>
      <c r="C4057" s="2" t="s">
        <v>48</v>
      </c>
      <c r="D4057" s="2" t="s">
        <v>12</v>
      </c>
      <c r="E4057" s="2" t="s">
        <v>76</v>
      </c>
      <c r="F4057" s="2" t="s">
        <v>1146</v>
      </c>
      <c r="G4057" s="14" t="n">
        <v>24.5</v>
      </c>
      <c r="H4057" s="14" t="n">
        <v>50.89</v>
      </c>
      <c r="I4057" s="14" t="n">
        <v>24.5</v>
      </c>
      <c r="J4057" s="22" t="n">
        <f aca="false">IF(E4057="Priority",'Cost model'!N257,'Cost model'!M257)</f>
        <v>60</v>
      </c>
      <c r="K4057" s="14" t="n">
        <f aca="false">J4057-H4057</f>
        <v>9.11</v>
      </c>
      <c r="L4057" s="14" t="n">
        <f aca="false">G4057-H4057</f>
        <v>-26.39</v>
      </c>
    </row>
    <row r="4058" customFormat="false" ht="15" hidden="false" customHeight="false" outlineLevel="0" collapsed="false">
      <c r="A4058" s="2" t="s">
        <v>184</v>
      </c>
      <c r="B4058" s="2" t="s">
        <v>126</v>
      </c>
      <c r="C4058" s="2" t="s">
        <v>50</v>
      </c>
      <c r="D4058" s="2" t="s">
        <v>10</v>
      </c>
      <c r="E4058" s="2" t="s">
        <v>85</v>
      </c>
      <c r="F4058" s="2" t="s">
        <v>1146</v>
      </c>
      <c r="G4058" s="14" t="n">
        <v>24.5</v>
      </c>
      <c r="H4058" s="14" t="n">
        <v>15.94</v>
      </c>
      <c r="I4058" s="14" t="n">
        <v>24.5</v>
      </c>
      <c r="J4058" s="22" t="n">
        <f aca="false">IF(E4058="Priority",'Cost model'!N130,'Cost model'!M130)</f>
        <v>25.5</v>
      </c>
      <c r="K4058" s="14" t="n">
        <f aca="false">J4058-H4058</f>
        <v>9.56</v>
      </c>
      <c r="L4058" s="14" t="n">
        <f aca="false">G4058-H4058</f>
        <v>8.56</v>
      </c>
    </row>
    <row r="4059" customFormat="false" ht="15" hidden="false" customHeight="false" outlineLevel="0" collapsed="false">
      <c r="A4059" s="2" t="s">
        <v>165</v>
      </c>
      <c r="B4059" s="2" t="s">
        <v>146</v>
      </c>
      <c r="C4059" s="2" t="s">
        <v>50</v>
      </c>
      <c r="D4059" s="2" t="s">
        <v>12</v>
      </c>
      <c r="E4059" s="2" t="s">
        <v>76</v>
      </c>
      <c r="F4059" s="2" t="s">
        <v>1146</v>
      </c>
      <c r="G4059" s="14" t="n">
        <v>19.5</v>
      </c>
      <c r="H4059" s="14" t="n">
        <v>99.75</v>
      </c>
      <c r="I4059" s="14" t="n">
        <v>19.5</v>
      </c>
      <c r="J4059" s="22" t="n">
        <f aca="false">IF(E4059="Priority",'Cost model'!N529,'Cost model'!M529)</f>
        <v>65</v>
      </c>
      <c r="K4059" s="14" t="n">
        <f aca="false">J4059-H4059</f>
        <v>-34.75</v>
      </c>
      <c r="L4059" s="14" t="n">
        <f aca="false">G4059-H4059</f>
        <v>-80.25</v>
      </c>
    </row>
    <row r="4060" customFormat="false" ht="15" hidden="false" customHeight="false" outlineLevel="0" collapsed="false">
      <c r="A4060" s="2" t="s">
        <v>146</v>
      </c>
      <c r="B4060" s="2" t="s">
        <v>146</v>
      </c>
      <c r="C4060" s="2" t="s">
        <v>49</v>
      </c>
      <c r="D4060" s="2" t="s">
        <v>12</v>
      </c>
      <c r="E4060" s="2" t="s">
        <v>76</v>
      </c>
      <c r="F4060" s="2" t="s">
        <v>1145</v>
      </c>
      <c r="G4060" s="14" t="n">
        <v>12.5</v>
      </c>
      <c r="H4060" s="14" t="n">
        <v>61.11</v>
      </c>
      <c r="I4060" s="14" t="n">
        <v>12.5</v>
      </c>
      <c r="J4060" s="22" t="n">
        <f aca="false">IF(E4060="Priority",'Cost model'!N762,'Cost model'!M762)</f>
        <v>45</v>
      </c>
      <c r="K4060" s="14" t="n">
        <f aca="false">J4060-H4060</f>
        <v>-16.11</v>
      </c>
      <c r="L4060" s="14" t="n">
        <f aca="false">G4060-H4060</f>
        <v>-48.61</v>
      </c>
    </row>
    <row r="4061" customFormat="false" ht="15" hidden="false" customHeight="false" outlineLevel="0" collapsed="false">
      <c r="A4061" s="2" t="s">
        <v>126</v>
      </c>
      <c r="B4061" s="2" t="s">
        <v>126</v>
      </c>
      <c r="C4061" s="2" t="s">
        <v>50</v>
      </c>
      <c r="D4061" s="2" t="s">
        <v>12</v>
      </c>
      <c r="E4061" s="2" t="s">
        <v>76</v>
      </c>
      <c r="F4061" s="2" t="s">
        <v>1145</v>
      </c>
      <c r="G4061" s="14" t="n">
        <v>19.5</v>
      </c>
      <c r="H4061" s="14" t="n">
        <v>46.28</v>
      </c>
      <c r="I4061" s="14" t="n">
        <v>19.5</v>
      </c>
      <c r="J4061" s="22" t="n">
        <f aca="false">IF(E4061="Priority",'Cost model'!N385,'Cost model'!M385)</f>
        <v>55</v>
      </c>
      <c r="K4061" s="14" t="n">
        <f aca="false">J4061-H4061</f>
        <v>8.72</v>
      </c>
      <c r="L4061" s="14" t="n">
        <f aca="false">G4061-H4061</f>
        <v>-26.78</v>
      </c>
    </row>
    <row r="4062" customFormat="false" ht="15" hidden="false" customHeight="false" outlineLevel="0" collapsed="false">
      <c r="A4062" s="2" t="s">
        <v>165</v>
      </c>
      <c r="B4062" s="2" t="s">
        <v>165</v>
      </c>
      <c r="C4062" s="2" t="s">
        <v>50</v>
      </c>
      <c r="D4062" s="2" t="s">
        <v>12</v>
      </c>
      <c r="E4062" s="2" t="s">
        <v>76</v>
      </c>
      <c r="F4062" s="2" t="s">
        <v>1145</v>
      </c>
      <c r="G4062" s="14" t="n">
        <v>19.5</v>
      </c>
      <c r="H4062" s="14" t="n">
        <v>23.73</v>
      </c>
      <c r="I4062" s="14" t="n">
        <v>19.5</v>
      </c>
      <c r="J4062" s="22" t="n">
        <f aca="false">IF(E4062="Priority",'Cost model'!N511,'Cost model'!M511)</f>
        <v>35</v>
      </c>
      <c r="K4062" s="14" t="n">
        <f aca="false">J4062-H4062</f>
        <v>11.27</v>
      </c>
      <c r="L4062" s="14" t="n">
        <f aca="false">G4062-H4062</f>
        <v>-4.23</v>
      </c>
    </row>
    <row r="4063" customFormat="false" ht="15" hidden="false" customHeight="false" outlineLevel="0" collapsed="false">
      <c r="A4063" s="2" t="s">
        <v>184</v>
      </c>
      <c r="B4063" s="2" t="s">
        <v>184</v>
      </c>
      <c r="C4063" s="2" t="s">
        <v>49</v>
      </c>
      <c r="D4063" s="2" t="s">
        <v>12</v>
      </c>
      <c r="E4063" s="2" t="s">
        <v>76</v>
      </c>
      <c r="F4063" s="2" t="s">
        <v>1145</v>
      </c>
      <c r="G4063" s="14" t="n">
        <v>19.5</v>
      </c>
      <c r="H4063" s="14" t="n">
        <v>35.42</v>
      </c>
      <c r="I4063" s="14"/>
      <c r="J4063" s="22" t="n">
        <f aca="false">IF(E4063="Priority",'Cost model'!N204,'Cost model'!M204)</f>
        <v>45</v>
      </c>
      <c r="K4063" s="14" t="n">
        <f aca="false">J4063-H4063</f>
        <v>9.58</v>
      </c>
      <c r="L4063" s="14" t="n">
        <f aca="false">G4063-H4063</f>
        <v>-15.92</v>
      </c>
    </row>
    <row r="4064" customFormat="false" ht="15" hidden="false" customHeight="false" outlineLevel="0" collapsed="false">
      <c r="A4064" s="2" t="s">
        <v>184</v>
      </c>
      <c r="B4064" s="2" t="s">
        <v>184</v>
      </c>
      <c r="C4064" s="2" t="s">
        <v>50</v>
      </c>
      <c r="D4064" s="2" t="s">
        <v>12</v>
      </c>
      <c r="E4064" s="2" t="s">
        <v>76</v>
      </c>
      <c r="F4064" s="2" t="s">
        <v>1145</v>
      </c>
      <c r="G4064" s="14" t="n">
        <v>19.5</v>
      </c>
      <c r="H4064" s="14" t="n">
        <v>45.89</v>
      </c>
      <c r="I4064" s="14" t="n">
        <v>19.5</v>
      </c>
      <c r="J4064" s="22" t="n">
        <f aca="false">IF(E4064="Priority",'Cost model'!N205,'Cost model'!M205)</f>
        <v>50</v>
      </c>
      <c r="K4064" s="14" t="n">
        <f aca="false">J4064-H4064</f>
        <v>4.11</v>
      </c>
      <c r="L4064" s="14" t="n">
        <f aca="false">G4064-H4064</f>
        <v>-26.39</v>
      </c>
    </row>
    <row r="4065" customFormat="false" ht="15" hidden="false" customHeight="false" outlineLevel="0" collapsed="false">
      <c r="A4065" s="2" t="s">
        <v>146</v>
      </c>
      <c r="B4065" s="2" t="s">
        <v>146</v>
      </c>
      <c r="C4065" s="2" t="s">
        <v>49</v>
      </c>
      <c r="D4065" s="2" t="s">
        <v>10</v>
      </c>
      <c r="E4065" s="2" t="s">
        <v>76</v>
      </c>
      <c r="F4065" s="2" t="s">
        <v>1145</v>
      </c>
      <c r="G4065" s="14" t="n">
        <v>12.5</v>
      </c>
      <c r="H4065" s="14" t="n">
        <v>15.79</v>
      </c>
      <c r="I4065" s="14" t="n">
        <v>12.5</v>
      </c>
      <c r="J4065" s="22" t="n">
        <f aca="false">IF(E4065="Priority",'Cost model'!N759,'Cost model'!M759)</f>
        <v>15.5</v>
      </c>
      <c r="K4065" s="14" t="n">
        <f aca="false">J4065-H4065</f>
        <v>-0.289999999999999</v>
      </c>
      <c r="L4065" s="14" t="n">
        <f aca="false">G4065-H4065</f>
        <v>-3.29</v>
      </c>
    </row>
    <row r="4066" customFormat="false" ht="15" hidden="false" customHeight="false" outlineLevel="0" collapsed="false">
      <c r="A4066" s="2" t="s">
        <v>146</v>
      </c>
      <c r="B4066" s="2" t="s">
        <v>126</v>
      </c>
      <c r="C4066" s="2" t="s">
        <v>49</v>
      </c>
      <c r="D4066" s="2" t="s">
        <v>12</v>
      </c>
      <c r="E4066" s="2" t="s">
        <v>85</v>
      </c>
      <c r="F4066" s="2" t="s">
        <v>1146</v>
      </c>
      <c r="G4066" s="14" t="n">
        <v>24.5</v>
      </c>
      <c r="H4066" s="14" t="n">
        <v>50.11</v>
      </c>
      <c r="I4066" s="14" t="n">
        <v>24.5</v>
      </c>
      <c r="J4066" s="22" t="n">
        <f aca="false">IF(E4066="Priority",'Cost model'!N798,'Cost model'!M798)</f>
        <v>60</v>
      </c>
      <c r="K4066" s="14" t="n">
        <f aca="false">J4066-H4066</f>
        <v>9.89</v>
      </c>
      <c r="L4066" s="14" t="n">
        <f aca="false">G4066-H4066</f>
        <v>-25.61</v>
      </c>
    </row>
    <row r="4067" customFormat="false" ht="15" hidden="false" customHeight="false" outlineLevel="0" collapsed="false">
      <c r="A4067" s="2" t="s">
        <v>184</v>
      </c>
      <c r="B4067" s="2" t="s">
        <v>184</v>
      </c>
      <c r="C4067" s="2" t="s">
        <v>49</v>
      </c>
      <c r="D4067" s="2" t="s">
        <v>13</v>
      </c>
      <c r="E4067" s="2" t="s">
        <v>76</v>
      </c>
      <c r="F4067" s="2" t="s">
        <v>1145</v>
      </c>
      <c r="G4067" s="14" t="n">
        <v>24.5</v>
      </c>
      <c r="H4067" s="14" t="n">
        <v>67.84</v>
      </c>
      <c r="I4067" s="14"/>
      <c r="J4067" s="22" t="n">
        <f aca="false">IF(E4067="Priority",'Cost model'!N207,'Cost model'!M207)</f>
        <v>75</v>
      </c>
      <c r="K4067" s="14" t="n">
        <f aca="false">J4067-H4067</f>
        <v>7.16</v>
      </c>
      <c r="L4067" s="14" t="n">
        <f aca="false">G4067-H4067</f>
        <v>-43.34</v>
      </c>
    </row>
    <row r="4068" customFormat="false" ht="15" hidden="false" customHeight="false" outlineLevel="0" collapsed="false">
      <c r="A4068" s="2" t="s">
        <v>184</v>
      </c>
      <c r="B4068" s="2" t="s">
        <v>184</v>
      </c>
      <c r="C4068" s="2" t="s">
        <v>50</v>
      </c>
      <c r="D4068" s="2" t="s">
        <v>12</v>
      </c>
      <c r="E4068" s="2" t="s">
        <v>76</v>
      </c>
      <c r="F4068" s="2" t="s">
        <v>1145</v>
      </c>
      <c r="G4068" s="14" t="n">
        <v>19.5</v>
      </c>
      <c r="H4068" s="14" t="n">
        <v>56.35</v>
      </c>
      <c r="I4068" s="14" t="n">
        <v>19.5</v>
      </c>
      <c r="J4068" s="22" t="n">
        <f aca="false">IF(E4068="Priority",'Cost model'!N205,'Cost model'!M205)</f>
        <v>50</v>
      </c>
      <c r="K4068" s="14" t="n">
        <f aca="false">J4068-H4068</f>
        <v>-6.35</v>
      </c>
      <c r="L4068" s="14" t="n">
        <f aca="false">G4068-H4068</f>
        <v>-36.85</v>
      </c>
    </row>
    <row r="4069" customFormat="false" ht="15" hidden="false" customHeight="false" outlineLevel="0" collapsed="false">
      <c r="A4069" s="2" t="s">
        <v>184</v>
      </c>
      <c r="B4069" s="2" t="s">
        <v>184</v>
      </c>
      <c r="C4069" s="2" t="s">
        <v>49</v>
      </c>
      <c r="D4069" s="2" t="s">
        <v>10</v>
      </c>
      <c r="E4069" s="2" t="s">
        <v>76</v>
      </c>
      <c r="F4069" s="2" t="s">
        <v>1145</v>
      </c>
      <c r="G4069" s="14" t="n">
        <v>12.5</v>
      </c>
      <c r="H4069" s="14" t="n">
        <v>12.27</v>
      </c>
      <c r="I4069" s="14"/>
      <c r="J4069" s="22" t="n">
        <f aca="false">IF(E4069="Priority",'Cost model'!N201,'Cost model'!M201)</f>
        <v>12.5</v>
      </c>
      <c r="K4069" s="14" t="n">
        <f aca="false">J4069-H4069</f>
        <v>0.23</v>
      </c>
      <c r="L4069" s="14" t="n">
        <f aca="false">G4069-H4069</f>
        <v>0.23</v>
      </c>
    </row>
    <row r="4070" customFormat="false" ht="15" hidden="false" customHeight="false" outlineLevel="0" collapsed="false">
      <c r="A4070" s="2" t="s">
        <v>126</v>
      </c>
      <c r="B4070" s="2" t="s">
        <v>184</v>
      </c>
      <c r="C4070" s="2" t="s">
        <v>49</v>
      </c>
      <c r="D4070" s="2" t="s">
        <v>10</v>
      </c>
      <c r="E4070" s="2" t="s">
        <v>76</v>
      </c>
      <c r="F4070" s="2" t="s">
        <v>1146</v>
      </c>
      <c r="G4070" s="14" t="n">
        <v>14.5</v>
      </c>
      <c r="H4070" s="14" t="n">
        <v>17.57</v>
      </c>
      <c r="I4070" s="14" t="n">
        <v>14.5</v>
      </c>
      <c r="J4070" s="22" t="n">
        <f aca="false">IF(E4070="Priority",'Cost model'!N435,'Cost model'!M435)</f>
        <v>15.5</v>
      </c>
      <c r="K4070" s="14" t="n">
        <f aca="false">J4070-H4070</f>
        <v>-2.07</v>
      </c>
      <c r="L4070" s="14" t="n">
        <f aca="false">G4070-H4070</f>
        <v>-3.07</v>
      </c>
    </row>
    <row r="4071" customFormat="false" ht="15" hidden="false" customHeight="false" outlineLevel="0" collapsed="false">
      <c r="A4071" s="2" t="s">
        <v>240</v>
      </c>
      <c r="B4071" s="2" t="s">
        <v>240</v>
      </c>
      <c r="C4071" s="2" t="s">
        <v>50</v>
      </c>
      <c r="D4071" s="2" t="s">
        <v>14</v>
      </c>
      <c r="E4071" s="2" t="s">
        <v>76</v>
      </c>
      <c r="F4071" s="2" t="s">
        <v>1145</v>
      </c>
      <c r="G4071" s="14" t="n">
        <v>125</v>
      </c>
      <c r="H4071" s="14" t="n">
        <v>645.25</v>
      </c>
      <c r="I4071" s="14" t="n">
        <v>125</v>
      </c>
      <c r="J4071" s="22" t="n">
        <f aca="false">IF(E4071="Priority",'Cost model'!N895,'Cost model'!M895)</f>
        <v>320</v>
      </c>
      <c r="K4071" s="14" t="n">
        <f aca="false">J4071-H4071</f>
        <v>-325.25</v>
      </c>
      <c r="L4071" s="14" t="n">
        <f aca="false">G4071-H4071</f>
        <v>-520.25</v>
      </c>
    </row>
    <row r="4072" customFormat="false" ht="15" hidden="false" customHeight="false" outlineLevel="0" collapsed="false">
      <c r="A4072" s="2" t="s">
        <v>126</v>
      </c>
      <c r="B4072" s="2" t="s">
        <v>126</v>
      </c>
      <c r="C4072" s="2" t="s">
        <v>49</v>
      </c>
      <c r="D4072" s="2" t="s">
        <v>10</v>
      </c>
      <c r="E4072" s="2" t="s">
        <v>76</v>
      </c>
      <c r="F4072" s="2" t="s">
        <v>1145</v>
      </c>
      <c r="G4072" s="14" t="n">
        <v>12.5</v>
      </c>
      <c r="H4072" s="14" t="n">
        <v>11.34</v>
      </c>
      <c r="I4072" s="14" t="n">
        <v>12.5</v>
      </c>
      <c r="J4072" s="22" t="n">
        <f aca="false">IF(E4072="Priority",'Cost model'!N381,'Cost model'!M381)</f>
        <v>14.5</v>
      </c>
      <c r="K4072" s="14" t="n">
        <f aca="false">J4072-H4072</f>
        <v>3.16</v>
      </c>
      <c r="L4072" s="14" t="n">
        <f aca="false">G4072-H4072</f>
        <v>1.16</v>
      </c>
    </row>
    <row r="4073" customFormat="false" ht="15" hidden="false" customHeight="false" outlineLevel="0" collapsed="false">
      <c r="A4073" s="2" t="s">
        <v>184</v>
      </c>
      <c r="B4073" s="2" t="s">
        <v>184</v>
      </c>
      <c r="C4073" s="2" t="s">
        <v>48</v>
      </c>
      <c r="D4073" s="2" t="s">
        <v>12</v>
      </c>
      <c r="E4073" s="2" t="s">
        <v>76</v>
      </c>
      <c r="F4073" s="2" t="s">
        <v>1145</v>
      </c>
      <c r="G4073" s="14" t="n">
        <v>9.5</v>
      </c>
      <c r="H4073" s="14" t="n">
        <v>28.7</v>
      </c>
      <c r="I4073" s="14" t="n">
        <v>9.5</v>
      </c>
      <c r="J4073" s="22" t="n">
        <f aca="false">IF(E4073="Priority",'Cost model'!N203,'Cost model'!M203)</f>
        <v>26.5</v>
      </c>
      <c r="K4073" s="14" t="n">
        <f aca="false">J4073-H4073</f>
        <v>-2.2</v>
      </c>
      <c r="L4073" s="14" t="n">
        <f aca="false">G4073-H4073</f>
        <v>-19.2</v>
      </c>
    </row>
    <row r="4074" customFormat="false" ht="15" hidden="false" customHeight="false" outlineLevel="0" collapsed="false">
      <c r="A4074" s="2" t="s">
        <v>240</v>
      </c>
      <c r="B4074" s="2" t="s">
        <v>240</v>
      </c>
      <c r="C4074" s="2" t="s">
        <v>48</v>
      </c>
      <c r="D4074" s="2" t="s">
        <v>10</v>
      </c>
      <c r="E4074" s="2" t="s">
        <v>85</v>
      </c>
      <c r="F4074" s="2" t="s">
        <v>1145</v>
      </c>
      <c r="G4074" s="14" t="n">
        <v>14.5</v>
      </c>
      <c r="H4074" s="14" t="n">
        <v>8.09</v>
      </c>
      <c r="I4074" s="14" t="n">
        <v>14.5</v>
      </c>
      <c r="J4074" s="22" t="n">
        <f aca="false">IF(E4074="Priority",'Cost model'!N884,'Cost model'!M884)</f>
        <v>12.5</v>
      </c>
      <c r="K4074" s="14" t="n">
        <f aca="false">J4074-H4074</f>
        <v>4.41</v>
      </c>
      <c r="L4074" s="14" t="n">
        <f aca="false">G4074-H4074</f>
        <v>6.41</v>
      </c>
    </row>
    <row r="4075" customFormat="false" ht="15" hidden="false" customHeight="false" outlineLevel="0" collapsed="false">
      <c r="A4075" s="2" t="s">
        <v>146</v>
      </c>
      <c r="B4075" s="2" t="s">
        <v>146</v>
      </c>
      <c r="C4075" s="2" t="s">
        <v>49</v>
      </c>
      <c r="D4075" s="2" t="s">
        <v>12</v>
      </c>
      <c r="E4075" s="2" t="s">
        <v>76</v>
      </c>
      <c r="F4075" s="2" t="s">
        <v>1145</v>
      </c>
      <c r="G4075" s="14" t="n">
        <v>12.5</v>
      </c>
      <c r="H4075" s="14" t="n">
        <v>25.99</v>
      </c>
      <c r="I4075" s="14" t="n">
        <v>12.5</v>
      </c>
      <c r="J4075" s="22" t="n">
        <f aca="false">IF(E4075="Priority",'Cost model'!N762,'Cost model'!M762)</f>
        <v>45</v>
      </c>
      <c r="K4075" s="14" t="n">
        <f aca="false">J4075-H4075</f>
        <v>19.01</v>
      </c>
      <c r="L4075" s="14" t="n">
        <f aca="false">G4075-H4075</f>
        <v>-13.49</v>
      </c>
    </row>
    <row r="4076" customFormat="false" ht="15" hidden="false" customHeight="false" outlineLevel="0" collapsed="false">
      <c r="A4076" s="2" t="s">
        <v>126</v>
      </c>
      <c r="B4076" s="2" t="s">
        <v>126</v>
      </c>
      <c r="C4076" s="2" t="s">
        <v>50</v>
      </c>
      <c r="D4076" s="2" t="s">
        <v>12</v>
      </c>
      <c r="E4076" s="2" t="s">
        <v>76</v>
      </c>
      <c r="F4076" s="2" t="s">
        <v>1145</v>
      </c>
      <c r="G4076" s="14" t="n">
        <v>34.5</v>
      </c>
      <c r="H4076" s="14" t="n">
        <v>68.41</v>
      </c>
      <c r="I4076" s="14" t="n">
        <v>19.5</v>
      </c>
      <c r="J4076" s="22" t="n">
        <f aca="false">IF(E4076="Priority",'Cost model'!N385,'Cost model'!M385)</f>
        <v>55</v>
      </c>
      <c r="K4076" s="14" t="n">
        <f aca="false">J4076-H4076</f>
        <v>-13.41</v>
      </c>
      <c r="L4076" s="14" t="n">
        <f aca="false">G4076-H4076</f>
        <v>-33.91</v>
      </c>
    </row>
    <row r="4077" customFormat="false" ht="15" hidden="false" customHeight="false" outlineLevel="0" collapsed="false">
      <c r="A4077" s="2" t="s">
        <v>184</v>
      </c>
      <c r="B4077" s="2" t="s">
        <v>184</v>
      </c>
      <c r="C4077" s="2" t="s">
        <v>50</v>
      </c>
      <c r="D4077" s="2" t="s">
        <v>10</v>
      </c>
      <c r="E4077" s="2" t="s">
        <v>76</v>
      </c>
      <c r="F4077" s="2" t="s">
        <v>1145</v>
      </c>
      <c r="G4077" s="14" t="n">
        <v>17.5</v>
      </c>
      <c r="H4077" s="14" t="n">
        <v>15.99</v>
      </c>
      <c r="I4077" s="14" t="n">
        <v>17.5</v>
      </c>
      <c r="J4077" s="22" t="n">
        <f aca="false">IF(E4077="Priority",'Cost model'!N202,'Cost model'!M202)</f>
        <v>17.5</v>
      </c>
      <c r="K4077" s="14" t="n">
        <f aca="false">J4077-H4077</f>
        <v>1.51</v>
      </c>
      <c r="L4077" s="14" t="n">
        <f aca="false">G4077-H4077</f>
        <v>1.51</v>
      </c>
    </row>
    <row r="4078" customFormat="false" ht="15" hidden="false" customHeight="false" outlineLevel="0" collapsed="false">
      <c r="A4078" s="2" t="s">
        <v>146</v>
      </c>
      <c r="B4078" s="2" t="s">
        <v>146</v>
      </c>
      <c r="C4078" s="2" t="s">
        <v>50</v>
      </c>
      <c r="D4078" s="2" t="s">
        <v>10</v>
      </c>
      <c r="E4078" s="2" t="s">
        <v>76</v>
      </c>
      <c r="F4078" s="2" t="s">
        <v>1145</v>
      </c>
      <c r="G4078" s="14" t="n">
        <v>17.5</v>
      </c>
      <c r="H4078" s="14" t="n">
        <v>21.6</v>
      </c>
      <c r="I4078" s="14" t="n">
        <v>17.5</v>
      </c>
      <c r="J4078" s="22" t="n">
        <f aca="false">IF(E4078="Priority",'Cost model'!N760,'Cost model'!M760)</f>
        <v>18.5</v>
      </c>
      <c r="K4078" s="14" t="n">
        <f aca="false">J4078-H4078</f>
        <v>-3.1</v>
      </c>
      <c r="L4078" s="14" t="n">
        <f aca="false">G4078-H4078</f>
        <v>-4.1</v>
      </c>
    </row>
    <row r="4079" customFormat="false" ht="15" hidden="false" customHeight="false" outlineLevel="0" collapsed="false">
      <c r="A4079" s="2" t="s">
        <v>146</v>
      </c>
      <c r="B4079" s="2" t="s">
        <v>146</v>
      </c>
      <c r="C4079" s="2" t="s">
        <v>48</v>
      </c>
      <c r="D4079" s="2" t="s">
        <v>16</v>
      </c>
      <c r="E4079" s="2" t="s">
        <v>76</v>
      </c>
      <c r="F4079" s="2" t="s">
        <v>1145</v>
      </c>
      <c r="G4079" s="14" t="n">
        <v>25</v>
      </c>
      <c r="H4079" s="14" t="n">
        <v>117.96</v>
      </c>
      <c r="I4079" s="14" t="n">
        <v>25</v>
      </c>
      <c r="J4079" s="22" t="n">
        <f aca="false">IF(E4079="Priority",'Cost model'!N773,'Cost model'!M773)</f>
        <v>125</v>
      </c>
      <c r="K4079" s="14" t="n">
        <f aca="false">J4079-H4079</f>
        <v>7.04000000000001</v>
      </c>
      <c r="L4079" s="14" t="n">
        <f aca="false">G4079-H4079</f>
        <v>-92.96</v>
      </c>
    </row>
    <row r="4080" customFormat="false" ht="15" hidden="false" customHeight="false" outlineLevel="0" collapsed="false">
      <c r="A4080" s="2" t="s">
        <v>126</v>
      </c>
      <c r="B4080" s="2" t="s">
        <v>126</v>
      </c>
      <c r="C4080" s="2" t="s">
        <v>50</v>
      </c>
      <c r="D4080" s="2" t="s">
        <v>12</v>
      </c>
      <c r="E4080" s="2" t="s">
        <v>76</v>
      </c>
      <c r="F4080" s="2" t="s">
        <v>1145</v>
      </c>
      <c r="G4080" s="14" t="n">
        <v>19.5</v>
      </c>
      <c r="H4080" s="14" t="n">
        <v>28.24</v>
      </c>
      <c r="I4080" s="14" t="n">
        <v>19.5</v>
      </c>
      <c r="J4080" s="22" t="n">
        <f aca="false">IF(E4080="Priority",'Cost model'!N385,'Cost model'!M385)</f>
        <v>55</v>
      </c>
      <c r="K4080" s="14" t="n">
        <f aca="false">J4080-H4080</f>
        <v>26.76</v>
      </c>
      <c r="L4080" s="14" t="n">
        <f aca="false">G4080-H4080</f>
        <v>-8.74</v>
      </c>
    </row>
    <row r="4081" customFormat="false" ht="15" hidden="false" customHeight="false" outlineLevel="0" collapsed="false">
      <c r="A4081" s="2" t="s">
        <v>146</v>
      </c>
      <c r="B4081" s="2" t="s">
        <v>146</v>
      </c>
      <c r="C4081" s="2" t="s">
        <v>48</v>
      </c>
      <c r="D4081" s="2" t="s">
        <v>10</v>
      </c>
      <c r="E4081" s="2" t="s">
        <v>76</v>
      </c>
      <c r="F4081" s="2" t="s">
        <v>1145</v>
      </c>
      <c r="G4081" s="14" t="n">
        <v>9.5</v>
      </c>
      <c r="H4081" s="14" t="n">
        <v>6.14</v>
      </c>
      <c r="I4081" s="14" t="n">
        <v>9.5</v>
      </c>
      <c r="J4081" s="22" t="n">
        <f aca="false">IF(E4081="Priority",'Cost model'!N758,'Cost model'!M758)</f>
        <v>9.5</v>
      </c>
      <c r="K4081" s="14" t="n">
        <f aca="false">J4081-H4081</f>
        <v>3.36</v>
      </c>
      <c r="L4081" s="14" t="n">
        <f aca="false">G4081-H4081</f>
        <v>3.36</v>
      </c>
    </row>
    <row r="4082" customFormat="false" ht="15" hidden="false" customHeight="false" outlineLevel="0" collapsed="false">
      <c r="A4082" s="2" t="s">
        <v>184</v>
      </c>
      <c r="B4082" s="2" t="s">
        <v>184</v>
      </c>
      <c r="C4082" s="2" t="s">
        <v>49</v>
      </c>
      <c r="D4082" s="2" t="s">
        <v>12</v>
      </c>
      <c r="E4082" s="2" t="s">
        <v>76</v>
      </c>
      <c r="F4082" s="2" t="s">
        <v>1145</v>
      </c>
      <c r="G4082" s="14" t="n">
        <v>12.5</v>
      </c>
      <c r="H4082" s="14" t="n">
        <v>9.66</v>
      </c>
      <c r="I4082" s="14"/>
      <c r="J4082" s="22" t="n">
        <f aca="false">IF(E4082="Priority",'Cost model'!N204,'Cost model'!M204)</f>
        <v>45</v>
      </c>
      <c r="K4082" s="14" t="n">
        <f aca="false">J4082-H4082</f>
        <v>35.34</v>
      </c>
      <c r="L4082" s="14" t="n">
        <f aca="false">G4082-H4082</f>
        <v>2.84</v>
      </c>
    </row>
    <row r="4083" customFormat="false" ht="15" hidden="false" customHeight="false" outlineLevel="0" collapsed="false">
      <c r="A4083" s="2" t="s">
        <v>126</v>
      </c>
      <c r="B4083" s="2" t="s">
        <v>184</v>
      </c>
      <c r="C4083" s="2" t="s">
        <v>49</v>
      </c>
      <c r="D4083" s="2" t="s">
        <v>10</v>
      </c>
      <c r="E4083" s="2" t="s">
        <v>76</v>
      </c>
      <c r="F4083" s="2" t="s">
        <v>1146</v>
      </c>
      <c r="G4083" s="14" t="n">
        <v>12.5</v>
      </c>
      <c r="H4083" s="14" t="n">
        <v>14.39</v>
      </c>
      <c r="I4083" s="14" t="n">
        <v>14.5</v>
      </c>
      <c r="J4083" s="22" t="n">
        <f aca="false">IF(E4083="Priority",'Cost model'!N435,'Cost model'!M435)</f>
        <v>15.5</v>
      </c>
      <c r="K4083" s="14" t="n">
        <f aca="false">J4083-H4083</f>
        <v>1.11</v>
      </c>
      <c r="L4083" s="14" t="n">
        <f aca="false">G4083-H4083</f>
        <v>-1.89</v>
      </c>
    </row>
    <row r="4084" customFormat="false" ht="15" hidden="false" customHeight="false" outlineLevel="0" collapsed="false">
      <c r="A4084" s="2" t="s">
        <v>184</v>
      </c>
      <c r="B4084" s="2" t="s">
        <v>146</v>
      </c>
      <c r="C4084" s="2" t="s">
        <v>48</v>
      </c>
      <c r="D4084" s="2" t="s">
        <v>10</v>
      </c>
      <c r="E4084" s="2" t="s">
        <v>76</v>
      </c>
      <c r="F4084" s="2" t="s">
        <v>1146</v>
      </c>
      <c r="G4084" s="14" t="n">
        <v>9.5</v>
      </c>
      <c r="H4084" s="14" t="n">
        <v>15.24</v>
      </c>
      <c r="I4084" s="14" t="n">
        <v>9.5</v>
      </c>
      <c r="J4084" s="22" t="n">
        <f aca="false">IF(E4084="Priority",'Cost model'!N146,'Cost model'!M146)</f>
        <v>12.5</v>
      </c>
      <c r="K4084" s="14" t="n">
        <f aca="false">J4084-H4084</f>
        <v>-2.74</v>
      </c>
      <c r="L4084" s="14" t="n">
        <f aca="false">G4084-H4084</f>
        <v>-5.74</v>
      </c>
    </row>
    <row r="4085" customFormat="false" ht="15" hidden="false" customHeight="false" outlineLevel="0" collapsed="false">
      <c r="A4085" s="2" t="s">
        <v>165</v>
      </c>
      <c r="B4085" s="2" t="s">
        <v>165</v>
      </c>
      <c r="C4085" s="2" t="s">
        <v>48</v>
      </c>
      <c r="D4085" s="2" t="s">
        <v>12</v>
      </c>
      <c r="E4085" s="2" t="s">
        <v>85</v>
      </c>
      <c r="F4085" s="2" t="s">
        <v>1145</v>
      </c>
      <c r="G4085" s="14" t="n">
        <v>19.5</v>
      </c>
      <c r="H4085" s="14" t="n">
        <v>14</v>
      </c>
      <c r="I4085" s="14" t="n">
        <v>19.5</v>
      </c>
      <c r="J4085" s="22" t="n">
        <f aca="false">IF(E4085="Priority",'Cost model'!N509,'Cost model'!M509)</f>
        <v>22.5</v>
      </c>
      <c r="K4085" s="14" t="n">
        <f aca="false">J4085-H4085</f>
        <v>8.5</v>
      </c>
      <c r="L4085" s="14" t="n">
        <f aca="false">G4085-H4085</f>
        <v>5.5</v>
      </c>
    </row>
    <row r="4086" customFormat="false" ht="15" hidden="false" customHeight="false" outlineLevel="0" collapsed="false">
      <c r="A4086" s="2" t="s">
        <v>184</v>
      </c>
      <c r="B4086" s="2" t="s">
        <v>184</v>
      </c>
      <c r="C4086" s="2" t="s">
        <v>49</v>
      </c>
      <c r="D4086" s="2" t="s">
        <v>12</v>
      </c>
      <c r="E4086" s="2" t="s">
        <v>76</v>
      </c>
      <c r="F4086" s="2" t="s">
        <v>1145</v>
      </c>
      <c r="G4086" s="14" t="n">
        <v>12.5</v>
      </c>
      <c r="H4086" s="14" t="n">
        <v>58.01</v>
      </c>
      <c r="I4086" s="14"/>
      <c r="J4086" s="22" t="n">
        <f aca="false">IF(E4086="Priority",'Cost model'!N204,'Cost model'!M204)</f>
        <v>45</v>
      </c>
      <c r="K4086" s="14" t="n">
        <f aca="false">J4086-H4086</f>
        <v>-13.01</v>
      </c>
      <c r="L4086" s="14" t="n">
        <f aca="false">G4086-H4086</f>
        <v>-45.51</v>
      </c>
    </row>
    <row r="4087" customFormat="false" ht="15" hidden="false" customHeight="false" outlineLevel="0" collapsed="false">
      <c r="A4087" s="2" t="s">
        <v>184</v>
      </c>
      <c r="B4087" s="2" t="s">
        <v>126</v>
      </c>
      <c r="C4087" s="2" t="s">
        <v>48</v>
      </c>
      <c r="D4087" s="2" t="s">
        <v>10</v>
      </c>
      <c r="E4087" s="2" t="s">
        <v>76</v>
      </c>
      <c r="F4087" s="2" t="s">
        <v>1146</v>
      </c>
      <c r="G4087" s="14" t="n">
        <v>9.5</v>
      </c>
      <c r="H4087" s="14" t="n">
        <v>13.72</v>
      </c>
      <c r="I4087" s="14" t="n">
        <v>9.5</v>
      </c>
      <c r="J4087" s="22" t="n">
        <f aca="false">IF(E4087="Priority",'Cost model'!N128,'Cost model'!M128)</f>
        <v>10.5</v>
      </c>
      <c r="K4087" s="14" t="n">
        <f aca="false">J4087-H4087</f>
        <v>-3.22</v>
      </c>
      <c r="L4087" s="14" t="n">
        <f aca="false">G4087-H4087</f>
        <v>-4.22</v>
      </c>
    </row>
    <row r="4088" customFormat="false" ht="15" hidden="false" customHeight="false" outlineLevel="0" collapsed="false">
      <c r="A4088" s="2" t="s">
        <v>184</v>
      </c>
      <c r="B4088" s="2" t="s">
        <v>146</v>
      </c>
      <c r="C4088" s="2" t="s">
        <v>49</v>
      </c>
      <c r="D4088" s="2" t="s">
        <v>12</v>
      </c>
      <c r="E4088" s="2" t="s">
        <v>76</v>
      </c>
      <c r="F4088" s="2" t="s">
        <v>1146</v>
      </c>
      <c r="G4088" s="14" t="n">
        <v>12.5</v>
      </c>
      <c r="H4088" s="14" t="n">
        <v>31.09</v>
      </c>
      <c r="I4088" s="14"/>
      <c r="J4088" s="22" t="n">
        <f aca="false">IF(E4088="Priority",'Cost model'!N150,'Cost model'!M150)</f>
        <v>55</v>
      </c>
      <c r="K4088" s="14" t="n">
        <f aca="false">J4088-H4088</f>
        <v>23.91</v>
      </c>
      <c r="L4088" s="14" t="n">
        <f aca="false">G4088-H4088</f>
        <v>-18.59</v>
      </c>
    </row>
    <row r="4089" customFormat="false" ht="15" hidden="false" customHeight="false" outlineLevel="0" collapsed="false">
      <c r="A4089" s="2" t="s">
        <v>184</v>
      </c>
      <c r="B4089" s="2" t="s">
        <v>184</v>
      </c>
      <c r="C4089" s="2" t="s">
        <v>48</v>
      </c>
      <c r="D4089" s="2" t="s">
        <v>10</v>
      </c>
      <c r="E4089" s="2" t="s">
        <v>76</v>
      </c>
      <c r="F4089" s="2" t="s">
        <v>1145</v>
      </c>
      <c r="G4089" s="14" t="n">
        <v>9.5</v>
      </c>
      <c r="H4089" s="14" t="n">
        <v>9.82</v>
      </c>
      <c r="I4089" s="14" t="n">
        <v>9.5</v>
      </c>
      <c r="J4089" s="22" t="n">
        <f aca="false">IF(E4089="Priority",'Cost model'!N200,'Cost model'!M200)</f>
        <v>7.5</v>
      </c>
      <c r="K4089" s="14" t="n">
        <f aca="false">J4089-H4089</f>
        <v>-2.32</v>
      </c>
      <c r="L4089" s="14" t="n">
        <f aca="false">G4089-H4089</f>
        <v>-0.32</v>
      </c>
    </row>
    <row r="4090" customFormat="false" ht="15" hidden="false" customHeight="false" outlineLevel="0" collapsed="false">
      <c r="A4090" s="2" t="s">
        <v>184</v>
      </c>
      <c r="B4090" s="2" t="s">
        <v>184</v>
      </c>
      <c r="C4090" s="2" t="s">
        <v>48</v>
      </c>
      <c r="D4090" s="2" t="s">
        <v>12</v>
      </c>
      <c r="E4090" s="2" t="s">
        <v>76</v>
      </c>
      <c r="F4090" s="2" t="s">
        <v>1145</v>
      </c>
      <c r="G4090" s="14" t="n">
        <v>9.5</v>
      </c>
      <c r="H4090" s="14" t="n">
        <v>29.65</v>
      </c>
      <c r="I4090" s="14" t="n">
        <v>9.5</v>
      </c>
      <c r="J4090" s="22" t="n">
        <f aca="false">IF(E4090="Priority",'Cost model'!N203,'Cost model'!M203)</f>
        <v>26.5</v>
      </c>
      <c r="K4090" s="14" t="n">
        <f aca="false">J4090-H4090</f>
        <v>-3.15</v>
      </c>
      <c r="L4090" s="14" t="n">
        <f aca="false">G4090-H4090</f>
        <v>-20.15</v>
      </c>
    </row>
    <row r="4091" customFormat="false" ht="15" hidden="false" customHeight="false" outlineLevel="0" collapsed="false">
      <c r="A4091" s="2" t="s">
        <v>165</v>
      </c>
      <c r="B4091" s="2" t="s">
        <v>146</v>
      </c>
      <c r="C4091" s="2" t="s">
        <v>48</v>
      </c>
      <c r="D4091" s="2" t="s">
        <v>12</v>
      </c>
      <c r="E4091" s="2" t="s">
        <v>76</v>
      </c>
      <c r="F4091" s="2" t="s">
        <v>1146</v>
      </c>
      <c r="G4091" s="14" t="n">
        <v>9.5</v>
      </c>
      <c r="H4091" s="14" t="n">
        <v>46.73</v>
      </c>
      <c r="I4091" s="14" t="n">
        <v>19.5</v>
      </c>
      <c r="J4091" s="22" t="n">
        <f aca="false">IF(E4091="Priority",'Cost model'!N527,'Cost model'!M527)</f>
        <v>55</v>
      </c>
      <c r="K4091" s="14" t="n">
        <f aca="false">J4091-H4091</f>
        <v>8.27</v>
      </c>
      <c r="L4091" s="14" t="n">
        <f aca="false">G4091-H4091</f>
        <v>-37.23</v>
      </c>
    </row>
    <row r="4092" customFormat="false" ht="15" hidden="false" customHeight="false" outlineLevel="0" collapsed="false">
      <c r="A4092" s="2" t="s">
        <v>385</v>
      </c>
      <c r="B4092" s="2" t="s">
        <v>165</v>
      </c>
      <c r="C4092" s="2" t="s">
        <v>48</v>
      </c>
      <c r="D4092" s="2" t="s">
        <v>12</v>
      </c>
      <c r="E4092" s="2" t="s">
        <v>76</v>
      </c>
      <c r="F4092" s="2" t="s">
        <v>1146</v>
      </c>
      <c r="G4092" s="14" t="n">
        <v>24.5</v>
      </c>
      <c r="H4092" s="14" t="n">
        <v>93.29</v>
      </c>
      <c r="I4092" s="14" t="n">
        <v>24.5</v>
      </c>
      <c r="J4092" s="22" t="n">
        <f aca="false">IF(E4092="Priority",'Cost model'!N257,'Cost model'!M257)</f>
        <v>60</v>
      </c>
      <c r="K4092" s="14" t="n">
        <f aca="false">J4092-H4092</f>
        <v>-33.29</v>
      </c>
      <c r="L4092" s="14" t="n">
        <f aca="false">G4092-H4092</f>
        <v>-68.79</v>
      </c>
    </row>
    <row r="4093" customFormat="false" ht="15" hidden="false" customHeight="false" outlineLevel="0" collapsed="false">
      <c r="A4093" s="2" t="s">
        <v>184</v>
      </c>
      <c r="B4093" s="2" t="s">
        <v>126</v>
      </c>
      <c r="C4093" s="2" t="s">
        <v>48</v>
      </c>
      <c r="D4093" s="2" t="s">
        <v>10</v>
      </c>
      <c r="E4093" s="2" t="s">
        <v>76</v>
      </c>
      <c r="F4093" s="2" t="s">
        <v>1146</v>
      </c>
      <c r="G4093" s="14" t="n">
        <v>9.5</v>
      </c>
      <c r="H4093" s="14" t="n">
        <v>7.58</v>
      </c>
      <c r="I4093" s="14" t="n">
        <v>9.5</v>
      </c>
      <c r="J4093" s="22" t="n">
        <f aca="false">IF(E4093="Priority",'Cost model'!N128,'Cost model'!M128)</f>
        <v>10.5</v>
      </c>
      <c r="K4093" s="14" t="n">
        <f aca="false">J4093-H4093</f>
        <v>2.92</v>
      </c>
      <c r="L4093" s="14" t="n">
        <f aca="false">G4093-H4093</f>
        <v>1.92</v>
      </c>
    </row>
    <row r="4094" customFormat="false" ht="15" hidden="false" customHeight="false" outlineLevel="0" collapsed="false">
      <c r="A4094" s="2" t="s">
        <v>184</v>
      </c>
      <c r="B4094" s="2" t="s">
        <v>184</v>
      </c>
      <c r="C4094" s="2" t="s">
        <v>49</v>
      </c>
      <c r="D4094" s="2" t="s">
        <v>10</v>
      </c>
      <c r="E4094" s="2" t="s">
        <v>76</v>
      </c>
      <c r="F4094" s="2" t="s">
        <v>1145</v>
      </c>
      <c r="G4094" s="14" t="n">
        <v>12.5</v>
      </c>
      <c r="H4094" s="14" t="n">
        <v>11.03</v>
      </c>
      <c r="I4094" s="14"/>
      <c r="J4094" s="22" t="n">
        <f aca="false">IF(E4094="Priority",'Cost model'!N201,'Cost model'!M201)</f>
        <v>12.5</v>
      </c>
      <c r="K4094" s="14" t="n">
        <f aca="false">J4094-H4094</f>
        <v>1.47</v>
      </c>
      <c r="L4094" s="14" t="n">
        <f aca="false">G4094-H4094</f>
        <v>1.47</v>
      </c>
    </row>
    <row r="4095" customFormat="false" ht="15" hidden="false" customHeight="false" outlineLevel="0" collapsed="false">
      <c r="A4095" s="2" t="s">
        <v>184</v>
      </c>
      <c r="B4095" s="2" t="s">
        <v>184</v>
      </c>
      <c r="C4095" s="2" t="s">
        <v>49</v>
      </c>
      <c r="D4095" s="2" t="s">
        <v>10</v>
      </c>
      <c r="E4095" s="2" t="s">
        <v>76</v>
      </c>
      <c r="F4095" s="2" t="s">
        <v>1145</v>
      </c>
      <c r="G4095" s="14" t="n">
        <v>17.5</v>
      </c>
      <c r="H4095" s="14" t="n">
        <v>11.43</v>
      </c>
      <c r="I4095" s="14"/>
      <c r="J4095" s="22" t="n">
        <f aca="false">IF(E4095="Priority",'Cost model'!N201,'Cost model'!M201)</f>
        <v>12.5</v>
      </c>
      <c r="K4095" s="14" t="n">
        <f aca="false">J4095-H4095</f>
        <v>1.07</v>
      </c>
      <c r="L4095" s="14" t="n">
        <f aca="false">G4095-H4095</f>
        <v>6.07</v>
      </c>
    </row>
    <row r="4096" customFormat="false" ht="15" hidden="false" customHeight="false" outlineLevel="0" collapsed="false">
      <c r="A4096" s="2" t="s">
        <v>126</v>
      </c>
      <c r="B4096" s="2" t="s">
        <v>126</v>
      </c>
      <c r="C4096" s="2" t="s">
        <v>50</v>
      </c>
      <c r="D4096" s="2" t="s">
        <v>14</v>
      </c>
      <c r="E4096" s="2" t="s">
        <v>85</v>
      </c>
      <c r="F4096" s="2" t="s">
        <v>1145</v>
      </c>
      <c r="G4096" s="14" t="n">
        <v>150</v>
      </c>
      <c r="H4096" s="14" t="n">
        <v>103.33</v>
      </c>
      <c r="I4096" s="14" t="n">
        <v>150</v>
      </c>
      <c r="J4096" s="22" t="n">
        <f aca="false">IF(E4096="Priority",'Cost model'!N391,'Cost model'!M391)</f>
        <v>205</v>
      </c>
      <c r="K4096" s="14" t="n">
        <f aca="false">J4096-H4096</f>
        <v>101.67</v>
      </c>
      <c r="L4096" s="14" t="n">
        <f aca="false">G4096-H4096</f>
        <v>46.67</v>
      </c>
    </row>
    <row r="4097" customFormat="false" ht="15" hidden="false" customHeight="false" outlineLevel="0" collapsed="false">
      <c r="A4097" s="2" t="s">
        <v>240</v>
      </c>
      <c r="B4097" s="2" t="s">
        <v>165</v>
      </c>
      <c r="C4097" s="2" t="s">
        <v>48</v>
      </c>
      <c r="D4097" s="2" t="s">
        <v>10</v>
      </c>
      <c r="E4097" s="2" t="s">
        <v>76</v>
      </c>
      <c r="F4097" s="2" t="s">
        <v>1146</v>
      </c>
      <c r="G4097" s="14" t="n">
        <v>9.5</v>
      </c>
      <c r="H4097" s="14" t="n">
        <v>11.48</v>
      </c>
      <c r="I4097" s="14" t="n">
        <v>14.5</v>
      </c>
      <c r="J4097" s="22" t="n">
        <f aca="false">IF(E4097="Priority",'Cost model'!N902,'Cost model'!M902)</f>
        <v>13.5</v>
      </c>
      <c r="K4097" s="14" t="n">
        <f aca="false">J4097-H4097</f>
        <v>2.02</v>
      </c>
      <c r="L4097" s="14" t="n">
        <f aca="false">G4097-H4097</f>
        <v>-1.98</v>
      </c>
    </row>
    <row r="4098" customFormat="false" ht="15" hidden="false" customHeight="false" outlineLevel="0" collapsed="false">
      <c r="A4098" s="2" t="s">
        <v>146</v>
      </c>
      <c r="B4098" s="2" t="s">
        <v>146</v>
      </c>
      <c r="C4098" s="2" t="s">
        <v>48</v>
      </c>
      <c r="D4098" s="2" t="s">
        <v>12</v>
      </c>
      <c r="E4098" s="2" t="s">
        <v>76</v>
      </c>
      <c r="F4098" s="2" t="s">
        <v>1145</v>
      </c>
      <c r="G4098" s="14" t="n">
        <v>9.5</v>
      </c>
      <c r="H4098" s="14" t="n">
        <v>43.25</v>
      </c>
      <c r="I4098" s="14" t="n">
        <v>9.5</v>
      </c>
      <c r="J4098" s="22" t="n">
        <f aca="false">IF(E4098="Priority",'Cost model'!N761,'Cost model'!M761)</f>
        <v>35</v>
      </c>
      <c r="K4098" s="14" t="n">
        <f aca="false">J4098-H4098</f>
        <v>-8.25</v>
      </c>
      <c r="L4098" s="14" t="n">
        <f aca="false">G4098-H4098</f>
        <v>-33.75</v>
      </c>
    </row>
    <row r="4099" customFormat="false" ht="15" hidden="false" customHeight="false" outlineLevel="0" collapsed="false">
      <c r="A4099" s="2" t="s">
        <v>146</v>
      </c>
      <c r="B4099" s="2" t="s">
        <v>146</v>
      </c>
      <c r="C4099" s="2" t="s">
        <v>49</v>
      </c>
      <c r="D4099" s="2" t="s">
        <v>12</v>
      </c>
      <c r="E4099" s="2" t="s">
        <v>76</v>
      </c>
      <c r="F4099" s="2" t="s">
        <v>1145</v>
      </c>
      <c r="G4099" s="14" t="n">
        <v>12.5</v>
      </c>
      <c r="H4099" s="14" t="n">
        <v>28.92</v>
      </c>
      <c r="I4099" s="14" t="n">
        <v>12.5</v>
      </c>
      <c r="J4099" s="22" t="n">
        <f aca="false">IF(E4099="Priority",'Cost model'!N762,'Cost model'!M762)</f>
        <v>45</v>
      </c>
      <c r="K4099" s="14" t="n">
        <f aca="false">J4099-H4099</f>
        <v>16.08</v>
      </c>
      <c r="L4099" s="14" t="n">
        <f aca="false">G4099-H4099</f>
        <v>-16.42</v>
      </c>
    </row>
    <row r="4100" customFormat="false" ht="15" hidden="false" customHeight="false" outlineLevel="0" collapsed="false">
      <c r="A4100" s="2" t="s">
        <v>184</v>
      </c>
      <c r="B4100" s="2" t="s">
        <v>165</v>
      </c>
      <c r="C4100" s="2" t="s">
        <v>49</v>
      </c>
      <c r="D4100" s="2" t="s">
        <v>16</v>
      </c>
      <c r="E4100" s="2" t="s">
        <v>76</v>
      </c>
      <c r="F4100" s="2" t="s">
        <v>1146</v>
      </c>
      <c r="G4100" s="14" t="n">
        <v>85</v>
      </c>
      <c r="H4100" s="14" t="n">
        <v>593.91</v>
      </c>
      <c r="I4100" s="14"/>
      <c r="J4100" s="22" t="n">
        <f aca="false">IF(E4100="Priority",'Cost model'!N180,'Cost model'!M180)</f>
        <v>385</v>
      </c>
      <c r="K4100" s="14" t="n">
        <f aca="false">J4100-H4100</f>
        <v>-208.91</v>
      </c>
      <c r="L4100" s="14" t="n">
        <f aca="false">G4100-H4100</f>
        <v>-508.91</v>
      </c>
    </row>
    <row r="4101" customFormat="false" ht="15" hidden="false" customHeight="false" outlineLevel="0" collapsed="false">
      <c r="A4101" s="2" t="s">
        <v>126</v>
      </c>
      <c r="B4101" s="2" t="s">
        <v>126</v>
      </c>
      <c r="C4101" s="2" t="s">
        <v>49</v>
      </c>
      <c r="D4101" s="2" t="s">
        <v>10</v>
      </c>
      <c r="E4101" s="2" t="s">
        <v>76</v>
      </c>
      <c r="F4101" s="2" t="s">
        <v>1145</v>
      </c>
      <c r="G4101" s="14" t="n">
        <v>12.5</v>
      </c>
      <c r="H4101" s="14" t="n">
        <v>13.64</v>
      </c>
      <c r="I4101" s="14" t="n">
        <v>12.5</v>
      </c>
      <c r="J4101" s="22" t="n">
        <f aca="false">IF(E4101="Priority",'Cost model'!N381,'Cost model'!M381)</f>
        <v>14.5</v>
      </c>
      <c r="K4101" s="14" t="n">
        <f aca="false">J4101-H4101</f>
        <v>0.859999999999999</v>
      </c>
      <c r="L4101" s="14" t="n">
        <f aca="false">G4101-H4101</f>
        <v>-1.14</v>
      </c>
    </row>
    <row r="4102" customFormat="false" ht="15" hidden="false" customHeight="false" outlineLevel="0" collapsed="false">
      <c r="A4102" s="2" t="s">
        <v>184</v>
      </c>
      <c r="B4102" s="2" t="s">
        <v>184</v>
      </c>
      <c r="C4102" s="2" t="s">
        <v>50</v>
      </c>
      <c r="D4102" s="2" t="s">
        <v>10</v>
      </c>
      <c r="E4102" s="2" t="s">
        <v>85</v>
      </c>
      <c r="F4102" s="2" t="s">
        <v>1145</v>
      </c>
      <c r="G4102" s="14" t="n">
        <v>24.5</v>
      </c>
      <c r="H4102" s="14" t="n">
        <v>24.17</v>
      </c>
      <c r="I4102" s="14" t="n">
        <v>24.5</v>
      </c>
      <c r="J4102" s="22" t="n">
        <f aca="false">IF(E4102="Priority",'Cost model'!N202,'Cost model'!M202)</f>
        <v>23.5</v>
      </c>
      <c r="K4102" s="14" t="n">
        <f aca="false">J4102-H4102</f>
        <v>-0.670000000000002</v>
      </c>
      <c r="L4102" s="14" t="n">
        <f aca="false">G4102-H4102</f>
        <v>0.329999999999998</v>
      </c>
    </row>
    <row r="4103" customFormat="false" ht="15" hidden="false" customHeight="false" outlineLevel="0" collapsed="false">
      <c r="A4103" s="2" t="s">
        <v>146</v>
      </c>
      <c r="B4103" s="2" t="s">
        <v>146</v>
      </c>
      <c r="C4103" s="2" t="s">
        <v>48</v>
      </c>
      <c r="D4103" s="2" t="s">
        <v>12</v>
      </c>
      <c r="E4103" s="2" t="s">
        <v>76</v>
      </c>
      <c r="F4103" s="2" t="s">
        <v>1145</v>
      </c>
      <c r="G4103" s="14" t="n">
        <v>9.5</v>
      </c>
      <c r="H4103" s="14" t="n">
        <v>89.58</v>
      </c>
      <c r="I4103" s="14" t="n">
        <v>9.5</v>
      </c>
      <c r="J4103" s="22" t="n">
        <f aca="false">IF(E4103="Priority",'Cost model'!N761,'Cost model'!M761)</f>
        <v>35</v>
      </c>
      <c r="K4103" s="14" t="n">
        <f aca="false">J4103-H4103</f>
        <v>-54.58</v>
      </c>
      <c r="L4103" s="14" t="n">
        <f aca="false">G4103-H4103</f>
        <v>-80.08</v>
      </c>
    </row>
    <row r="4104" customFormat="false" ht="15" hidden="false" customHeight="false" outlineLevel="0" collapsed="false">
      <c r="A4104" s="2" t="s">
        <v>184</v>
      </c>
      <c r="B4104" s="2" t="s">
        <v>184</v>
      </c>
      <c r="C4104" s="2" t="s">
        <v>48</v>
      </c>
      <c r="D4104" s="2" t="s">
        <v>10</v>
      </c>
      <c r="E4104" s="2" t="s">
        <v>76</v>
      </c>
      <c r="F4104" s="2" t="s">
        <v>1145</v>
      </c>
      <c r="G4104" s="14" t="n">
        <v>9.5</v>
      </c>
      <c r="H4104" s="14" t="n">
        <v>6.11</v>
      </c>
      <c r="I4104" s="14" t="n">
        <v>9.5</v>
      </c>
      <c r="J4104" s="22" t="n">
        <f aca="false">IF(E4104="Priority",'Cost model'!N200,'Cost model'!M200)</f>
        <v>7.5</v>
      </c>
      <c r="K4104" s="14" t="n">
        <f aca="false">J4104-H4104</f>
        <v>1.39</v>
      </c>
      <c r="L4104" s="14" t="n">
        <f aca="false">G4104-H4104</f>
        <v>3.39</v>
      </c>
    </row>
    <row r="4105" customFormat="false" ht="15" hidden="false" customHeight="false" outlineLevel="0" collapsed="false">
      <c r="A4105" s="2" t="s">
        <v>146</v>
      </c>
      <c r="B4105" s="2" t="s">
        <v>184</v>
      </c>
      <c r="C4105" s="2" t="s">
        <v>48</v>
      </c>
      <c r="D4105" s="2" t="s">
        <v>12</v>
      </c>
      <c r="E4105" s="2" t="s">
        <v>85</v>
      </c>
      <c r="F4105" s="2" t="s">
        <v>1146</v>
      </c>
      <c r="G4105" s="14" t="n">
        <v>24.5</v>
      </c>
      <c r="H4105" s="14" t="n">
        <v>46.62</v>
      </c>
      <c r="I4105" s="14" t="n">
        <v>24.5</v>
      </c>
      <c r="J4105" s="22" t="n">
        <f aca="false">IF(E4105="Priority",'Cost model'!N833,'Cost model'!M833)</f>
        <v>60</v>
      </c>
      <c r="K4105" s="14" t="n">
        <f aca="false">J4105-H4105</f>
        <v>13.38</v>
      </c>
      <c r="L4105" s="14" t="n">
        <f aca="false">G4105-H4105</f>
        <v>-22.12</v>
      </c>
    </row>
    <row r="4106" customFormat="false" ht="15" hidden="false" customHeight="false" outlineLevel="0" collapsed="false">
      <c r="A4106" s="2" t="s">
        <v>184</v>
      </c>
      <c r="B4106" s="2" t="s">
        <v>126</v>
      </c>
      <c r="C4106" s="2" t="s">
        <v>48</v>
      </c>
      <c r="D4106" s="2" t="s">
        <v>10</v>
      </c>
      <c r="E4106" s="2" t="s">
        <v>76</v>
      </c>
      <c r="F4106" s="2" t="s">
        <v>1146</v>
      </c>
      <c r="G4106" s="14" t="n">
        <v>9.5</v>
      </c>
      <c r="H4106" s="14" t="n">
        <v>7.74</v>
      </c>
      <c r="I4106" s="14" t="n">
        <v>9.5</v>
      </c>
      <c r="J4106" s="22" t="n">
        <f aca="false">IF(E4106="Priority",'Cost model'!N128,'Cost model'!M128)</f>
        <v>10.5</v>
      </c>
      <c r="K4106" s="14" t="n">
        <f aca="false">J4106-H4106</f>
        <v>2.76</v>
      </c>
      <c r="L4106" s="14" t="n">
        <f aca="false">G4106-H4106</f>
        <v>1.76</v>
      </c>
    </row>
    <row r="4107" customFormat="false" ht="15" hidden="false" customHeight="false" outlineLevel="0" collapsed="false">
      <c r="A4107" s="2" t="s">
        <v>184</v>
      </c>
      <c r="B4107" s="2" t="s">
        <v>184</v>
      </c>
      <c r="C4107" s="2" t="s">
        <v>48</v>
      </c>
      <c r="D4107" s="2" t="s">
        <v>10</v>
      </c>
      <c r="E4107" s="2" t="s">
        <v>76</v>
      </c>
      <c r="F4107" s="2" t="s">
        <v>1145</v>
      </c>
      <c r="G4107" s="14" t="n">
        <v>9.5</v>
      </c>
      <c r="H4107" s="14" t="n">
        <v>7.46</v>
      </c>
      <c r="I4107" s="14" t="n">
        <v>9.5</v>
      </c>
      <c r="J4107" s="22" t="n">
        <f aca="false">IF(E4107="Priority",'Cost model'!N200,'Cost model'!M200)</f>
        <v>7.5</v>
      </c>
      <c r="K4107" s="14" t="n">
        <f aca="false">J4107-H4107</f>
        <v>0.04</v>
      </c>
      <c r="L4107" s="14" t="n">
        <f aca="false">G4107-H4107</f>
        <v>2.04</v>
      </c>
    </row>
    <row r="4108" customFormat="false" ht="15" hidden="false" customHeight="false" outlineLevel="0" collapsed="false">
      <c r="A4108" s="2" t="s">
        <v>184</v>
      </c>
      <c r="B4108" s="2" t="s">
        <v>146</v>
      </c>
      <c r="C4108" s="2" t="s">
        <v>49</v>
      </c>
      <c r="D4108" s="2" t="s">
        <v>14</v>
      </c>
      <c r="E4108" s="2" t="s">
        <v>76</v>
      </c>
      <c r="F4108" s="2" t="s">
        <v>1146</v>
      </c>
      <c r="G4108" s="14" t="n">
        <v>45</v>
      </c>
      <c r="H4108" s="14" t="n">
        <v>90.13</v>
      </c>
      <c r="I4108" s="14"/>
      <c r="J4108" s="22" t="n">
        <f aca="false">IF(E4108="Priority",'Cost model'!N156,'Cost model'!M156)</f>
        <v>145</v>
      </c>
      <c r="K4108" s="14" t="n">
        <f aca="false">J4108-H4108</f>
        <v>54.87</v>
      </c>
      <c r="L4108" s="14" t="n">
        <f aca="false">G4108-H4108</f>
        <v>-45.13</v>
      </c>
    </row>
    <row r="4109" customFormat="false" ht="15" hidden="false" customHeight="false" outlineLevel="0" collapsed="false">
      <c r="A4109" s="2" t="s">
        <v>184</v>
      </c>
      <c r="B4109" s="2" t="s">
        <v>184</v>
      </c>
      <c r="C4109" s="2" t="s">
        <v>49</v>
      </c>
      <c r="D4109" s="2" t="s">
        <v>12</v>
      </c>
      <c r="E4109" s="2" t="s">
        <v>76</v>
      </c>
      <c r="F4109" s="2" t="s">
        <v>1145</v>
      </c>
      <c r="G4109" s="14" t="n">
        <v>12.5</v>
      </c>
      <c r="H4109" s="14" t="n">
        <v>43.77</v>
      </c>
      <c r="I4109" s="14"/>
      <c r="J4109" s="22" t="n">
        <f aca="false">IF(E4109="Priority",'Cost model'!N204,'Cost model'!M204)</f>
        <v>45</v>
      </c>
      <c r="K4109" s="14" t="n">
        <f aca="false">J4109-H4109</f>
        <v>1.23</v>
      </c>
      <c r="L4109" s="14" t="n">
        <f aca="false">G4109-H4109</f>
        <v>-31.27</v>
      </c>
    </row>
    <row r="4110" customFormat="false" ht="15" hidden="false" customHeight="false" outlineLevel="0" collapsed="false">
      <c r="A4110" s="2" t="s">
        <v>126</v>
      </c>
      <c r="B4110" s="2" t="s">
        <v>126</v>
      </c>
      <c r="C4110" s="2" t="s">
        <v>50</v>
      </c>
      <c r="D4110" s="2" t="s">
        <v>12</v>
      </c>
      <c r="E4110" s="2" t="s">
        <v>76</v>
      </c>
      <c r="F4110" s="2" t="s">
        <v>1145</v>
      </c>
      <c r="G4110" s="14" t="n">
        <v>19.5</v>
      </c>
      <c r="H4110" s="14" t="n">
        <v>30.76</v>
      </c>
      <c r="I4110" s="14" t="n">
        <v>19.5</v>
      </c>
      <c r="J4110" s="22" t="n">
        <f aca="false">IF(E4110="Priority",'Cost model'!N385,'Cost model'!M385)</f>
        <v>55</v>
      </c>
      <c r="K4110" s="14" t="n">
        <f aca="false">J4110-H4110</f>
        <v>24.24</v>
      </c>
      <c r="L4110" s="14" t="n">
        <f aca="false">G4110-H4110</f>
        <v>-11.26</v>
      </c>
    </row>
    <row r="4111" customFormat="false" ht="15" hidden="false" customHeight="false" outlineLevel="0" collapsed="false">
      <c r="A4111" s="2" t="s">
        <v>126</v>
      </c>
      <c r="B4111" s="2" t="s">
        <v>125</v>
      </c>
      <c r="C4111" s="2" t="s">
        <v>48</v>
      </c>
      <c r="D4111" s="2" t="s">
        <v>10</v>
      </c>
      <c r="E4111" s="2" t="s">
        <v>76</v>
      </c>
      <c r="F4111" s="2" t="s">
        <v>1146</v>
      </c>
      <c r="G4111" s="14" t="n">
        <v>9.5</v>
      </c>
      <c r="H4111" s="14" t="n">
        <v>20.83</v>
      </c>
      <c r="I4111" s="14" t="n">
        <v>19.5</v>
      </c>
      <c r="J4111" s="22" t="n">
        <f aca="false">IF(E4111="Priority",'Cost model'!N470,'Cost model'!M470)</f>
        <v>19.5</v>
      </c>
      <c r="K4111" s="14" t="n">
        <f aca="false">J4111-H4111</f>
        <v>-1.33</v>
      </c>
      <c r="L4111" s="14" t="n">
        <f aca="false">G4111-H4111</f>
        <v>-11.33</v>
      </c>
    </row>
    <row r="4112" customFormat="false" ht="15" hidden="false" customHeight="false" outlineLevel="0" collapsed="false">
      <c r="A4112" s="2" t="s">
        <v>126</v>
      </c>
      <c r="B4112" s="2" t="s">
        <v>126</v>
      </c>
      <c r="C4112" s="2" t="s">
        <v>48</v>
      </c>
      <c r="D4112" s="2" t="s">
        <v>10</v>
      </c>
      <c r="E4112" s="2" t="s">
        <v>85</v>
      </c>
      <c r="F4112" s="2" t="s">
        <v>1145</v>
      </c>
      <c r="G4112" s="14" t="n">
        <v>14.5</v>
      </c>
      <c r="H4112" s="14" t="n">
        <v>7.46</v>
      </c>
      <c r="I4112" s="14" t="n">
        <v>14.5</v>
      </c>
      <c r="J4112" s="22" t="n">
        <f aca="false">IF(E4112="Priority",'Cost model'!N380,'Cost model'!M380)</f>
        <v>13.5</v>
      </c>
      <c r="K4112" s="14" t="n">
        <f aca="false">J4112-H4112</f>
        <v>6.04</v>
      </c>
      <c r="L4112" s="14" t="n">
        <f aca="false">G4112-H4112</f>
        <v>7.04</v>
      </c>
    </row>
    <row r="4113" customFormat="false" ht="15" hidden="false" customHeight="false" outlineLevel="0" collapsed="false">
      <c r="A4113" s="2" t="s">
        <v>126</v>
      </c>
      <c r="B4113" s="2" t="s">
        <v>146</v>
      </c>
      <c r="C4113" s="2" t="s">
        <v>48</v>
      </c>
      <c r="D4113" s="2" t="s">
        <v>12</v>
      </c>
      <c r="E4113" s="2" t="s">
        <v>76</v>
      </c>
      <c r="F4113" s="2" t="s">
        <v>1146</v>
      </c>
      <c r="G4113" s="14" t="n">
        <v>19.5</v>
      </c>
      <c r="H4113" s="14" t="n">
        <v>67.12</v>
      </c>
      <c r="I4113" s="14" t="n">
        <v>19.5</v>
      </c>
      <c r="J4113" s="22" t="n">
        <f aca="false">IF(E4113="Priority",'Cost model'!N401,'Cost model'!M401)</f>
        <v>60</v>
      </c>
      <c r="K4113" s="14" t="n">
        <f aca="false">J4113-H4113</f>
        <v>-7.12</v>
      </c>
      <c r="L4113" s="14" t="n">
        <f aca="false">G4113-H4113</f>
        <v>-47.62</v>
      </c>
    </row>
    <row r="4114" customFormat="false" ht="15" hidden="false" customHeight="false" outlineLevel="0" collapsed="false">
      <c r="A4114" s="2" t="s">
        <v>146</v>
      </c>
      <c r="B4114" s="2" t="s">
        <v>146</v>
      </c>
      <c r="C4114" s="2" t="s">
        <v>48</v>
      </c>
      <c r="D4114" s="2" t="s">
        <v>10</v>
      </c>
      <c r="E4114" s="2" t="s">
        <v>85</v>
      </c>
      <c r="F4114" s="2" t="s">
        <v>1145</v>
      </c>
      <c r="G4114" s="14" t="n">
        <v>14.5</v>
      </c>
      <c r="H4114" s="14" t="n">
        <v>6.23</v>
      </c>
      <c r="I4114" s="14" t="n">
        <v>14.5</v>
      </c>
      <c r="J4114" s="22" t="n">
        <f aca="false">IF(E4114="Priority",'Cost model'!N758,'Cost model'!M758)</f>
        <v>14.5</v>
      </c>
      <c r="K4114" s="14" t="n">
        <f aca="false">J4114-H4114</f>
        <v>8.27</v>
      </c>
      <c r="L4114" s="14" t="n">
        <f aca="false">G4114-H4114</f>
        <v>8.27</v>
      </c>
    </row>
    <row r="4115" customFormat="false" ht="15" hidden="false" customHeight="false" outlineLevel="0" collapsed="false">
      <c r="A4115" s="2" t="s">
        <v>184</v>
      </c>
      <c r="B4115" s="2" t="s">
        <v>184</v>
      </c>
      <c r="C4115" s="2" t="s">
        <v>50</v>
      </c>
      <c r="D4115" s="2" t="s">
        <v>12</v>
      </c>
      <c r="E4115" s="2" t="s">
        <v>85</v>
      </c>
      <c r="F4115" s="2" t="s">
        <v>1145</v>
      </c>
      <c r="G4115" s="14" t="n">
        <v>29.5</v>
      </c>
      <c r="H4115" s="14" t="n">
        <v>47.6</v>
      </c>
      <c r="I4115" s="14" t="n">
        <v>29.5</v>
      </c>
      <c r="J4115" s="22" t="n">
        <f aca="false">IF(E4115="Priority",'Cost model'!N205,'Cost model'!M205)</f>
        <v>65</v>
      </c>
      <c r="K4115" s="14" t="n">
        <f aca="false">J4115-H4115</f>
        <v>17.4</v>
      </c>
      <c r="L4115" s="14" t="n">
        <f aca="false">G4115-H4115</f>
        <v>-18.1</v>
      </c>
    </row>
    <row r="4116" customFormat="false" ht="15" hidden="false" customHeight="false" outlineLevel="0" collapsed="false">
      <c r="A4116" s="2" t="s">
        <v>126</v>
      </c>
      <c r="B4116" s="2" t="s">
        <v>126</v>
      </c>
      <c r="C4116" s="2" t="s">
        <v>48</v>
      </c>
      <c r="D4116" s="2" t="s">
        <v>10</v>
      </c>
      <c r="E4116" s="2" t="s">
        <v>76</v>
      </c>
      <c r="F4116" s="2" t="s">
        <v>1145</v>
      </c>
      <c r="G4116" s="14" t="n">
        <v>9.5</v>
      </c>
      <c r="H4116" s="14" t="n">
        <v>8.16</v>
      </c>
      <c r="I4116" s="14" t="n">
        <v>9.5</v>
      </c>
      <c r="J4116" s="22" t="n">
        <f aca="false">IF(E4116="Priority",'Cost model'!N380,'Cost model'!M380)</f>
        <v>8.5</v>
      </c>
      <c r="K4116" s="14" t="n">
        <f aca="false">J4116-H4116</f>
        <v>0.34</v>
      </c>
      <c r="L4116" s="14" t="n">
        <f aca="false">G4116-H4116</f>
        <v>1.34</v>
      </c>
    </row>
    <row r="4117" customFormat="false" ht="15" hidden="false" customHeight="false" outlineLevel="0" collapsed="false">
      <c r="A4117" s="2" t="s">
        <v>184</v>
      </c>
      <c r="B4117" s="2" t="s">
        <v>184</v>
      </c>
      <c r="C4117" s="2" t="s">
        <v>48</v>
      </c>
      <c r="D4117" s="2" t="s">
        <v>10</v>
      </c>
      <c r="E4117" s="2" t="s">
        <v>76</v>
      </c>
      <c r="F4117" s="2" t="s">
        <v>1145</v>
      </c>
      <c r="G4117" s="14" t="n">
        <v>9.5</v>
      </c>
      <c r="H4117" s="14" t="n">
        <v>6.19</v>
      </c>
      <c r="I4117" s="14" t="n">
        <v>9.5</v>
      </c>
      <c r="J4117" s="22" t="n">
        <f aca="false">IF(E4117="Priority",'Cost model'!N200,'Cost model'!M200)</f>
        <v>7.5</v>
      </c>
      <c r="K4117" s="14" t="n">
        <f aca="false">J4117-H4117</f>
        <v>1.31</v>
      </c>
      <c r="L4117" s="14" t="n">
        <f aca="false">G4117-H4117</f>
        <v>3.31</v>
      </c>
    </row>
    <row r="4118" customFormat="false" ht="15" hidden="false" customHeight="false" outlineLevel="0" collapsed="false">
      <c r="A4118" s="2" t="s">
        <v>184</v>
      </c>
      <c r="B4118" s="2" t="s">
        <v>184</v>
      </c>
      <c r="C4118" s="2" t="s">
        <v>48</v>
      </c>
      <c r="D4118" s="2" t="s">
        <v>12</v>
      </c>
      <c r="E4118" s="2" t="s">
        <v>76</v>
      </c>
      <c r="F4118" s="2" t="s">
        <v>1145</v>
      </c>
      <c r="G4118" s="14" t="n">
        <v>9.5</v>
      </c>
      <c r="H4118" s="14" t="n">
        <v>44.16</v>
      </c>
      <c r="I4118" s="14" t="n">
        <v>9.5</v>
      </c>
      <c r="J4118" s="22" t="n">
        <f aca="false">IF(E4118="Priority",'Cost model'!N203,'Cost model'!M203)</f>
        <v>26.5</v>
      </c>
      <c r="K4118" s="14" t="n">
        <f aca="false">J4118-H4118</f>
        <v>-17.66</v>
      </c>
      <c r="L4118" s="14" t="n">
        <f aca="false">G4118-H4118</f>
        <v>-34.66</v>
      </c>
    </row>
    <row r="4119" customFormat="false" ht="15" hidden="false" customHeight="false" outlineLevel="0" collapsed="false">
      <c r="A4119" s="2" t="s">
        <v>126</v>
      </c>
      <c r="B4119" s="2" t="s">
        <v>126</v>
      </c>
      <c r="C4119" s="2" t="s">
        <v>48</v>
      </c>
      <c r="D4119" s="2" t="s">
        <v>12</v>
      </c>
      <c r="E4119" s="2" t="s">
        <v>76</v>
      </c>
      <c r="F4119" s="2" t="s">
        <v>1145</v>
      </c>
      <c r="G4119" s="14" t="n">
        <v>9.5</v>
      </c>
      <c r="H4119" s="14" t="n">
        <v>27.53</v>
      </c>
      <c r="I4119" s="14" t="n">
        <v>9.5</v>
      </c>
      <c r="J4119" s="22" t="n">
        <f aca="false">IF(E4119="Priority",'Cost model'!N383,'Cost model'!M383)</f>
        <v>27.5</v>
      </c>
      <c r="K4119" s="14" t="n">
        <f aca="false">J4119-H4119</f>
        <v>-0.0300000000000011</v>
      </c>
      <c r="L4119" s="14" t="n">
        <f aca="false">G4119-H4119</f>
        <v>-18.03</v>
      </c>
    </row>
    <row r="4120" customFormat="false" ht="15" hidden="false" customHeight="false" outlineLevel="0" collapsed="false">
      <c r="A4120" s="2" t="s">
        <v>240</v>
      </c>
      <c r="B4120" s="2" t="s">
        <v>240</v>
      </c>
      <c r="C4120" s="2" t="s">
        <v>48</v>
      </c>
      <c r="D4120" s="2" t="s">
        <v>12</v>
      </c>
      <c r="E4120" s="2" t="s">
        <v>76</v>
      </c>
      <c r="F4120" s="2" t="s">
        <v>1145</v>
      </c>
      <c r="G4120" s="14" t="n">
        <v>9.5</v>
      </c>
      <c r="H4120" s="14" t="n">
        <v>7.12</v>
      </c>
      <c r="I4120" s="14" t="n">
        <v>9.5</v>
      </c>
      <c r="J4120" s="22" t="n">
        <f aca="false">IF(E4120="Priority",'Cost model'!N887,'Cost model'!M887)</f>
        <v>21.5</v>
      </c>
      <c r="K4120" s="14" t="n">
        <f aca="false">J4120-H4120</f>
        <v>14.38</v>
      </c>
      <c r="L4120" s="14" t="n">
        <f aca="false">G4120-H4120</f>
        <v>2.38</v>
      </c>
    </row>
    <row r="4121" customFormat="false" ht="15" hidden="false" customHeight="false" outlineLevel="0" collapsed="false">
      <c r="A4121" s="2" t="s">
        <v>126</v>
      </c>
      <c r="B4121" s="2" t="s">
        <v>126</v>
      </c>
      <c r="C4121" s="2" t="s">
        <v>50</v>
      </c>
      <c r="D4121" s="2" t="s">
        <v>10</v>
      </c>
      <c r="E4121" s="2" t="s">
        <v>76</v>
      </c>
      <c r="F4121" s="2" t="s">
        <v>1145</v>
      </c>
      <c r="G4121" s="14" t="n">
        <v>17.5</v>
      </c>
      <c r="H4121" s="14" t="n">
        <v>11.34</v>
      </c>
      <c r="I4121" s="14" t="n">
        <v>17.5</v>
      </c>
      <c r="J4121" s="22" t="n">
        <f aca="false">IF(E4121="Priority",'Cost model'!N382,'Cost model'!M382)</f>
        <v>18.5</v>
      </c>
      <c r="K4121" s="14" t="n">
        <f aca="false">J4121-H4121</f>
        <v>7.16</v>
      </c>
      <c r="L4121" s="14" t="n">
        <f aca="false">G4121-H4121</f>
        <v>6.16</v>
      </c>
    </row>
    <row r="4122" customFormat="false" ht="15" hidden="false" customHeight="false" outlineLevel="0" collapsed="false">
      <c r="A4122" s="2" t="s">
        <v>184</v>
      </c>
      <c r="B4122" s="2" t="s">
        <v>184</v>
      </c>
      <c r="C4122" s="2" t="s">
        <v>49</v>
      </c>
      <c r="D4122" s="2" t="s">
        <v>12</v>
      </c>
      <c r="E4122" s="2" t="s">
        <v>76</v>
      </c>
      <c r="F4122" s="2" t="s">
        <v>1145</v>
      </c>
      <c r="G4122" s="14" t="n">
        <v>12.5</v>
      </c>
      <c r="H4122" s="14" t="n">
        <v>47.15</v>
      </c>
      <c r="I4122" s="14" t="n">
        <v>12.5</v>
      </c>
      <c r="J4122" s="22" t="n">
        <f aca="false">IF(E4122="Priority",'Cost model'!N204,'Cost model'!M204)</f>
        <v>45</v>
      </c>
      <c r="K4122" s="14" t="n">
        <f aca="false">J4122-H4122</f>
        <v>-2.15</v>
      </c>
      <c r="L4122" s="14" t="n">
        <f aca="false">G4122-H4122</f>
        <v>-34.65</v>
      </c>
    </row>
    <row r="4123" customFormat="false" ht="15" hidden="false" customHeight="false" outlineLevel="0" collapsed="false">
      <c r="A4123" s="2" t="s">
        <v>184</v>
      </c>
      <c r="B4123" s="2" t="s">
        <v>184</v>
      </c>
      <c r="C4123" s="2" t="s">
        <v>48</v>
      </c>
      <c r="D4123" s="2" t="s">
        <v>10</v>
      </c>
      <c r="E4123" s="2" t="s">
        <v>76</v>
      </c>
      <c r="F4123" s="2" t="s">
        <v>1145</v>
      </c>
      <c r="G4123" s="14" t="n">
        <v>9.5</v>
      </c>
      <c r="H4123" s="14" t="n">
        <v>7.69</v>
      </c>
      <c r="I4123" s="14" t="n">
        <v>9.5</v>
      </c>
      <c r="J4123" s="22" t="n">
        <f aca="false">IF(E4123="Priority",'Cost model'!N200,'Cost model'!M200)</f>
        <v>7.5</v>
      </c>
      <c r="K4123" s="14" t="n">
        <f aca="false">J4123-H4123</f>
        <v>-0.19</v>
      </c>
      <c r="L4123" s="14" t="n">
        <f aca="false">G4123-H4123</f>
        <v>1.81</v>
      </c>
    </row>
    <row r="4124" customFormat="false" ht="15" hidden="false" customHeight="false" outlineLevel="0" collapsed="false">
      <c r="A4124" s="2" t="s">
        <v>146</v>
      </c>
      <c r="B4124" s="2" t="s">
        <v>146</v>
      </c>
      <c r="C4124" s="2" t="s">
        <v>49</v>
      </c>
      <c r="D4124" s="2" t="s">
        <v>10</v>
      </c>
      <c r="E4124" s="2" t="s">
        <v>76</v>
      </c>
      <c r="F4124" s="2" t="s">
        <v>1145</v>
      </c>
      <c r="G4124" s="14" t="n">
        <v>12.5</v>
      </c>
      <c r="H4124" s="14" t="n">
        <v>17.57</v>
      </c>
      <c r="I4124" s="14" t="n">
        <v>12.5</v>
      </c>
      <c r="J4124" s="22" t="n">
        <f aca="false">IF(E4124="Priority",'Cost model'!N759,'Cost model'!M759)</f>
        <v>15.5</v>
      </c>
      <c r="K4124" s="14" t="n">
        <f aca="false">J4124-H4124</f>
        <v>-2.07</v>
      </c>
      <c r="L4124" s="14" t="n">
        <f aca="false">G4124-H4124</f>
        <v>-5.07</v>
      </c>
    </row>
    <row r="4125" customFormat="false" ht="15" hidden="false" customHeight="false" outlineLevel="0" collapsed="false">
      <c r="A4125" s="2" t="s">
        <v>184</v>
      </c>
      <c r="B4125" s="2" t="s">
        <v>184</v>
      </c>
      <c r="C4125" s="2" t="s">
        <v>49</v>
      </c>
      <c r="D4125" s="2" t="s">
        <v>14</v>
      </c>
      <c r="E4125" s="2" t="s">
        <v>76</v>
      </c>
      <c r="F4125" s="2" t="s">
        <v>1145</v>
      </c>
      <c r="G4125" s="14" t="n">
        <v>45</v>
      </c>
      <c r="H4125" s="14" t="n">
        <v>94.4</v>
      </c>
      <c r="I4125" s="14"/>
      <c r="J4125" s="22" t="n">
        <f aca="false">IF(E4125="Priority",'Cost model'!N210,'Cost model'!M210)</f>
        <v>135</v>
      </c>
      <c r="K4125" s="14" t="n">
        <f aca="false">J4125-H4125</f>
        <v>40.6</v>
      </c>
      <c r="L4125" s="14" t="n">
        <f aca="false">G4125-H4125</f>
        <v>-49.4</v>
      </c>
    </row>
    <row r="4126" customFormat="false" ht="15" hidden="false" customHeight="false" outlineLevel="0" collapsed="false">
      <c r="A4126" s="2" t="s">
        <v>126</v>
      </c>
      <c r="B4126" s="2" t="s">
        <v>184</v>
      </c>
      <c r="C4126" s="2" t="s">
        <v>49</v>
      </c>
      <c r="D4126" s="2" t="s">
        <v>12</v>
      </c>
      <c r="E4126" s="2" t="s">
        <v>76</v>
      </c>
      <c r="F4126" s="2" t="s">
        <v>1146</v>
      </c>
      <c r="G4126" s="14" t="n">
        <v>12.5</v>
      </c>
      <c r="H4126" s="14" t="n">
        <v>55.01</v>
      </c>
      <c r="I4126" s="14" t="n">
        <v>19.5</v>
      </c>
      <c r="J4126" s="22" t="n">
        <f aca="false">IF(E4126="Priority",'Cost model'!N438,'Cost model'!M438)</f>
        <v>55</v>
      </c>
      <c r="K4126" s="14" t="n">
        <f aca="false">J4126-H4126</f>
        <v>-0.00999999999999801</v>
      </c>
      <c r="L4126" s="14" t="n">
        <f aca="false">G4126-H4126</f>
        <v>-42.51</v>
      </c>
    </row>
    <row r="4127" customFormat="false" ht="15" hidden="false" customHeight="false" outlineLevel="0" collapsed="false">
      <c r="A4127" s="2" t="s">
        <v>146</v>
      </c>
      <c r="B4127" s="2" t="s">
        <v>146</v>
      </c>
      <c r="C4127" s="2" t="s">
        <v>49</v>
      </c>
      <c r="D4127" s="2" t="s">
        <v>12</v>
      </c>
      <c r="E4127" s="2" t="s">
        <v>76</v>
      </c>
      <c r="F4127" s="2" t="s">
        <v>1145</v>
      </c>
      <c r="G4127" s="14" t="n">
        <v>12.5</v>
      </c>
      <c r="H4127" s="14" t="n">
        <v>43.59</v>
      </c>
      <c r="I4127" s="14" t="n">
        <v>12.5</v>
      </c>
      <c r="J4127" s="22" t="n">
        <f aca="false">IF(E4127="Priority",'Cost model'!N762,'Cost model'!M762)</f>
        <v>45</v>
      </c>
      <c r="K4127" s="14" t="n">
        <f aca="false">J4127-H4127</f>
        <v>1.41</v>
      </c>
      <c r="L4127" s="14" t="n">
        <f aca="false">G4127-H4127</f>
        <v>-31.09</v>
      </c>
    </row>
    <row r="4128" customFormat="false" ht="15" hidden="false" customHeight="false" outlineLevel="0" collapsed="false">
      <c r="A4128" s="2" t="s">
        <v>146</v>
      </c>
      <c r="B4128" s="2" t="s">
        <v>146</v>
      </c>
      <c r="C4128" s="2" t="s">
        <v>48</v>
      </c>
      <c r="D4128" s="2" t="s">
        <v>10</v>
      </c>
      <c r="E4128" s="2" t="s">
        <v>76</v>
      </c>
      <c r="F4128" s="2" t="s">
        <v>1145</v>
      </c>
      <c r="G4128" s="14" t="n">
        <v>9.5</v>
      </c>
      <c r="H4128" s="14" t="n">
        <v>6.25</v>
      </c>
      <c r="I4128" s="14" t="n">
        <v>9.5</v>
      </c>
      <c r="J4128" s="22" t="n">
        <f aca="false">IF(E4128="Priority",'Cost model'!N758,'Cost model'!M758)</f>
        <v>9.5</v>
      </c>
      <c r="K4128" s="14" t="n">
        <f aca="false">J4128-H4128</f>
        <v>3.25</v>
      </c>
      <c r="L4128" s="14" t="n">
        <f aca="false">G4128-H4128</f>
        <v>3.25</v>
      </c>
    </row>
    <row r="4129" customFormat="false" ht="15" hidden="false" customHeight="false" outlineLevel="0" collapsed="false">
      <c r="A4129" s="2" t="s">
        <v>184</v>
      </c>
      <c r="B4129" s="2" t="s">
        <v>184</v>
      </c>
      <c r="C4129" s="2" t="s">
        <v>50</v>
      </c>
      <c r="D4129" s="2" t="s">
        <v>12</v>
      </c>
      <c r="E4129" s="2" t="s">
        <v>85</v>
      </c>
      <c r="F4129" s="2" t="s">
        <v>1145</v>
      </c>
      <c r="G4129" s="14" t="n">
        <v>29.5</v>
      </c>
      <c r="H4129" s="14" t="n">
        <v>58.34</v>
      </c>
      <c r="I4129" s="14" t="n">
        <v>29.5</v>
      </c>
      <c r="J4129" s="22" t="n">
        <f aca="false">IF(E4129="Priority",'Cost model'!N205,'Cost model'!M205)</f>
        <v>65</v>
      </c>
      <c r="K4129" s="14" t="n">
        <f aca="false">J4129-H4129</f>
        <v>6.66</v>
      </c>
      <c r="L4129" s="14" t="n">
        <f aca="false">G4129-H4129</f>
        <v>-28.84</v>
      </c>
    </row>
    <row r="4130" customFormat="false" ht="15" hidden="false" customHeight="false" outlineLevel="0" collapsed="false">
      <c r="A4130" s="2" t="s">
        <v>184</v>
      </c>
      <c r="B4130" s="2" t="s">
        <v>184</v>
      </c>
      <c r="C4130" s="2" t="s">
        <v>48</v>
      </c>
      <c r="D4130" s="2" t="s">
        <v>12</v>
      </c>
      <c r="E4130" s="2" t="s">
        <v>76</v>
      </c>
      <c r="F4130" s="2" t="s">
        <v>1145</v>
      </c>
      <c r="G4130" s="14" t="n">
        <v>9.5</v>
      </c>
      <c r="H4130" s="14" t="n">
        <v>7.46</v>
      </c>
      <c r="I4130" s="14" t="n">
        <v>9.5</v>
      </c>
      <c r="J4130" s="22" t="n">
        <f aca="false">IF(E4130="Priority",'Cost model'!N203,'Cost model'!M203)</f>
        <v>26.5</v>
      </c>
      <c r="K4130" s="14" t="n">
        <f aca="false">J4130-H4130</f>
        <v>19.04</v>
      </c>
      <c r="L4130" s="14" t="n">
        <f aca="false">G4130-H4130</f>
        <v>2.04</v>
      </c>
    </row>
    <row r="4131" customFormat="false" ht="15" hidden="false" customHeight="false" outlineLevel="0" collapsed="false">
      <c r="A4131" s="2" t="s">
        <v>240</v>
      </c>
      <c r="B4131" s="2" t="s">
        <v>240</v>
      </c>
      <c r="C4131" s="2" t="s">
        <v>48</v>
      </c>
      <c r="D4131" s="2" t="s">
        <v>12</v>
      </c>
      <c r="E4131" s="2" t="s">
        <v>85</v>
      </c>
      <c r="F4131" s="2" t="s">
        <v>1145</v>
      </c>
      <c r="G4131" s="14" t="n">
        <v>19.5</v>
      </c>
      <c r="H4131" s="14" t="n">
        <v>42.23</v>
      </c>
      <c r="I4131" s="14" t="n">
        <v>19.5</v>
      </c>
      <c r="J4131" s="22" t="n">
        <f aca="false">IF(E4131="Priority",'Cost model'!N887,'Cost model'!M887)</f>
        <v>27.5</v>
      </c>
      <c r="K4131" s="14" t="n">
        <f aca="false">J4131-H4131</f>
        <v>-14.73</v>
      </c>
      <c r="L4131" s="14" t="n">
        <f aca="false">G4131-H4131</f>
        <v>-22.73</v>
      </c>
    </row>
    <row r="4132" customFormat="false" ht="15" hidden="false" customHeight="false" outlineLevel="0" collapsed="false">
      <c r="A4132" s="2" t="s">
        <v>126</v>
      </c>
      <c r="B4132" s="2" t="s">
        <v>126</v>
      </c>
      <c r="C4132" s="2" t="s">
        <v>48</v>
      </c>
      <c r="D4132" s="2" t="s">
        <v>10</v>
      </c>
      <c r="E4132" s="2" t="s">
        <v>76</v>
      </c>
      <c r="F4132" s="2" t="s">
        <v>1145</v>
      </c>
      <c r="G4132" s="14" t="n">
        <v>9.5</v>
      </c>
      <c r="H4132" s="14" t="n">
        <v>7.72</v>
      </c>
      <c r="I4132" s="14" t="n">
        <v>9.5</v>
      </c>
      <c r="J4132" s="22" t="n">
        <f aca="false">IF(E4132="Priority",'Cost model'!N380,'Cost model'!M380)</f>
        <v>8.5</v>
      </c>
      <c r="K4132" s="14" t="n">
        <f aca="false">J4132-H4132</f>
        <v>0.78</v>
      </c>
      <c r="L4132" s="14" t="n">
        <f aca="false">G4132-H4132</f>
        <v>1.78</v>
      </c>
    </row>
    <row r="4133" customFormat="false" ht="15" hidden="false" customHeight="false" outlineLevel="0" collapsed="false">
      <c r="A4133" s="2" t="s">
        <v>184</v>
      </c>
      <c r="B4133" s="2" t="s">
        <v>184</v>
      </c>
      <c r="C4133" s="2" t="s">
        <v>49</v>
      </c>
      <c r="D4133" s="2" t="s">
        <v>10</v>
      </c>
      <c r="E4133" s="2" t="s">
        <v>76</v>
      </c>
      <c r="F4133" s="2" t="s">
        <v>1145</v>
      </c>
      <c r="G4133" s="14" t="n">
        <v>12.5</v>
      </c>
      <c r="H4133" s="14" t="n">
        <v>7.02</v>
      </c>
      <c r="I4133" s="14"/>
      <c r="J4133" s="22" t="n">
        <f aca="false">IF(E4133="Priority",'Cost model'!N201,'Cost model'!M201)</f>
        <v>12.5</v>
      </c>
      <c r="K4133" s="14" t="n">
        <f aca="false">J4133-H4133</f>
        <v>5.48</v>
      </c>
      <c r="L4133" s="14" t="n">
        <f aca="false">G4133-H4133</f>
        <v>5.48</v>
      </c>
    </row>
    <row r="4134" customFormat="false" ht="15" hidden="false" customHeight="false" outlineLevel="0" collapsed="false">
      <c r="A4134" s="2" t="s">
        <v>184</v>
      </c>
      <c r="B4134" s="2" t="s">
        <v>184</v>
      </c>
      <c r="C4134" s="2" t="s">
        <v>50</v>
      </c>
      <c r="D4134" s="2" t="s">
        <v>12</v>
      </c>
      <c r="E4134" s="2" t="s">
        <v>76</v>
      </c>
      <c r="F4134" s="2" t="s">
        <v>1145</v>
      </c>
      <c r="G4134" s="14" t="n">
        <v>19.5</v>
      </c>
      <c r="H4134" s="14" t="n">
        <v>52.61</v>
      </c>
      <c r="I4134" s="14" t="n">
        <v>19.5</v>
      </c>
      <c r="J4134" s="22" t="n">
        <f aca="false">IF(E4134="Priority",'Cost model'!N205,'Cost model'!M205)</f>
        <v>50</v>
      </c>
      <c r="K4134" s="14" t="n">
        <f aca="false">J4134-H4134</f>
        <v>-2.61</v>
      </c>
      <c r="L4134" s="14" t="n">
        <f aca="false">G4134-H4134</f>
        <v>-33.11</v>
      </c>
    </row>
    <row r="4135" customFormat="false" ht="15" hidden="false" customHeight="false" outlineLevel="0" collapsed="false">
      <c r="A4135" s="2" t="s">
        <v>146</v>
      </c>
      <c r="B4135" s="2" t="s">
        <v>146</v>
      </c>
      <c r="C4135" s="2" t="s">
        <v>48</v>
      </c>
      <c r="D4135" s="2" t="s">
        <v>12</v>
      </c>
      <c r="E4135" s="2" t="s">
        <v>76</v>
      </c>
      <c r="F4135" s="2" t="s">
        <v>1145</v>
      </c>
      <c r="G4135" s="14" t="n">
        <v>9.5</v>
      </c>
      <c r="H4135" s="14" t="n">
        <v>26.17</v>
      </c>
      <c r="I4135" s="14" t="n">
        <v>9.5</v>
      </c>
      <c r="J4135" s="22" t="n">
        <f aca="false">IF(E4135="Priority",'Cost model'!N761,'Cost model'!M761)</f>
        <v>35</v>
      </c>
      <c r="K4135" s="14" t="n">
        <f aca="false">J4135-H4135</f>
        <v>8.83</v>
      </c>
      <c r="L4135" s="14" t="n">
        <f aca="false">G4135-H4135</f>
        <v>-16.67</v>
      </c>
    </row>
    <row r="4136" customFormat="false" ht="15" hidden="false" customHeight="false" outlineLevel="0" collapsed="false">
      <c r="A4136" s="2" t="s">
        <v>240</v>
      </c>
      <c r="B4136" s="2" t="s">
        <v>240</v>
      </c>
      <c r="C4136" s="2" t="s">
        <v>48</v>
      </c>
      <c r="D4136" s="2" t="s">
        <v>10</v>
      </c>
      <c r="E4136" s="2" t="s">
        <v>76</v>
      </c>
      <c r="F4136" s="2" t="s">
        <v>1145</v>
      </c>
      <c r="G4136" s="14" t="n">
        <v>9.5</v>
      </c>
      <c r="H4136" s="14" t="n">
        <v>8.27</v>
      </c>
      <c r="I4136" s="14" t="n">
        <v>9.5</v>
      </c>
      <c r="J4136" s="22" t="n">
        <f aca="false">IF(E4136="Priority",'Cost model'!N884,'Cost model'!M884)</f>
        <v>7.5</v>
      </c>
      <c r="K4136" s="14" t="n">
        <f aca="false">J4136-H4136</f>
        <v>-0.77</v>
      </c>
      <c r="L4136" s="14" t="n">
        <f aca="false">G4136-H4136</f>
        <v>1.23</v>
      </c>
    </row>
    <row r="4137" customFormat="false" ht="15" hidden="false" customHeight="false" outlineLevel="0" collapsed="false">
      <c r="A4137" s="2" t="s">
        <v>126</v>
      </c>
      <c r="B4137" s="2" t="s">
        <v>126</v>
      </c>
      <c r="C4137" s="2" t="s">
        <v>48</v>
      </c>
      <c r="D4137" s="2" t="s">
        <v>10</v>
      </c>
      <c r="E4137" s="2" t="s">
        <v>76</v>
      </c>
      <c r="F4137" s="2" t="s">
        <v>1145</v>
      </c>
      <c r="G4137" s="14" t="n">
        <v>19.5</v>
      </c>
      <c r="H4137" s="14" t="n">
        <v>43.77</v>
      </c>
      <c r="I4137" s="14" t="n">
        <v>9.5</v>
      </c>
      <c r="J4137" s="22" t="n">
        <f aca="false">IF(E4137="Priority",'Cost model'!N380,'Cost model'!M380)</f>
        <v>8.5</v>
      </c>
      <c r="K4137" s="14" t="n">
        <f aca="false">J4137-H4137</f>
        <v>-35.27</v>
      </c>
      <c r="L4137" s="14" t="n">
        <f aca="false">G4137-H4137</f>
        <v>-24.27</v>
      </c>
    </row>
    <row r="4138" customFormat="false" ht="15" hidden="false" customHeight="false" outlineLevel="0" collapsed="false">
      <c r="A4138" s="2" t="s">
        <v>184</v>
      </c>
      <c r="B4138" s="2" t="s">
        <v>126</v>
      </c>
      <c r="C4138" s="2" t="s">
        <v>49</v>
      </c>
      <c r="D4138" s="2" t="s">
        <v>12</v>
      </c>
      <c r="E4138" s="2" t="s">
        <v>76</v>
      </c>
      <c r="F4138" s="2" t="s">
        <v>1146</v>
      </c>
      <c r="G4138" s="14" t="n">
        <v>12.5</v>
      </c>
      <c r="H4138" s="14" t="n">
        <v>59.91</v>
      </c>
      <c r="I4138" s="14"/>
      <c r="J4138" s="22" t="n">
        <f aca="false">IF(E4138="Priority",'Cost model'!N132,'Cost model'!M132)</f>
        <v>50</v>
      </c>
      <c r="K4138" s="14" t="n">
        <f aca="false">J4138-H4138</f>
        <v>-9.91</v>
      </c>
      <c r="L4138" s="14" t="n">
        <f aca="false">G4138-H4138</f>
        <v>-47.41</v>
      </c>
    </row>
    <row r="4139" customFormat="false" ht="15" hidden="false" customHeight="false" outlineLevel="0" collapsed="false">
      <c r="A4139" s="2" t="s">
        <v>146</v>
      </c>
      <c r="B4139" s="2" t="s">
        <v>146</v>
      </c>
      <c r="C4139" s="2" t="s">
        <v>48</v>
      </c>
      <c r="D4139" s="2" t="s">
        <v>12</v>
      </c>
      <c r="E4139" s="2" t="s">
        <v>76</v>
      </c>
      <c r="F4139" s="2" t="s">
        <v>1145</v>
      </c>
      <c r="G4139" s="14" t="n">
        <v>9.5</v>
      </c>
      <c r="H4139" s="14" t="n">
        <v>24.48</v>
      </c>
      <c r="I4139" s="14" t="n">
        <v>9.5</v>
      </c>
      <c r="J4139" s="22" t="n">
        <f aca="false">IF(E4139="Priority",'Cost model'!N761,'Cost model'!M761)</f>
        <v>35</v>
      </c>
      <c r="K4139" s="14" t="n">
        <f aca="false">J4139-H4139</f>
        <v>10.52</v>
      </c>
      <c r="L4139" s="14" t="n">
        <f aca="false">G4139-H4139</f>
        <v>-14.98</v>
      </c>
    </row>
    <row r="4140" customFormat="false" ht="15" hidden="false" customHeight="false" outlineLevel="0" collapsed="false">
      <c r="A4140" s="2" t="s">
        <v>240</v>
      </c>
      <c r="B4140" s="2" t="s">
        <v>126</v>
      </c>
      <c r="C4140" s="2" t="s">
        <v>48</v>
      </c>
      <c r="D4140" s="2" t="s">
        <v>12</v>
      </c>
      <c r="E4140" s="2" t="s">
        <v>76</v>
      </c>
      <c r="F4140" s="2" t="s">
        <v>1146</v>
      </c>
      <c r="G4140" s="14" t="n">
        <v>24.5</v>
      </c>
      <c r="H4140" s="14" t="n">
        <v>80.51</v>
      </c>
      <c r="I4140" s="14" t="n">
        <v>24.5</v>
      </c>
      <c r="J4140" s="22" t="n">
        <f aca="false">IF(E4140="Priority",'Cost model'!N959,'Cost model'!M959)</f>
        <v>55</v>
      </c>
      <c r="K4140" s="14" t="n">
        <f aca="false">J4140-H4140</f>
        <v>-25.51</v>
      </c>
      <c r="L4140" s="14" t="n">
        <f aca="false">G4140-H4140</f>
        <v>-56.01</v>
      </c>
    </row>
    <row r="4141" customFormat="false" ht="15" hidden="false" customHeight="false" outlineLevel="0" collapsed="false">
      <c r="A4141" s="2" t="s">
        <v>146</v>
      </c>
      <c r="B4141" s="2" t="s">
        <v>146</v>
      </c>
      <c r="C4141" s="2" t="s">
        <v>49</v>
      </c>
      <c r="D4141" s="2" t="s">
        <v>12</v>
      </c>
      <c r="E4141" s="2" t="s">
        <v>76</v>
      </c>
      <c r="F4141" s="2" t="s">
        <v>1145</v>
      </c>
      <c r="G4141" s="14" t="n">
        <v>12.5</v>
      </c>
      <c r="H4141" s="14" t="n">
        <v>29.18</v>
      </c>
      <c r="I4141" s="14" t="n">
        <v>12.5</v>
      </c>
      <c r="J4141" s="22" t="n">
        <f aca="false">IF(E4141="Priority",'Cost model'!N762,'Cost model'!M762)</f>
        <v>45</v>
      </c>
      <c r="K4141" s="14" t="n">
        <f aca="false">J4141-H4141</f>
        <v>15.82</v>
      </c>
      <c r="L4141" s="14" t="n">
        <f aca="false">G4141-H4141</f>
        <v>-16.68</v>
      </c>
    </row>
    <row r="4142" customFormat="false" ht="15" hidden="false" customHeight="false" outlineLevel="0" collapsed="false">
      <c r="A4142" s="2" t="s">
        <v>126</v>
      </c>
      <c r="B4142" s="2" t="s">
        <v>126</v>
      </c>
      <c r="C4142" s="2" t="s">
        <v>49</v>
      </c>
      <c r="D4142" s="2" t="s">
        <v>10</v>
      </c>
      <c r="E4142" s="2" t="s">
        <v>76</v>
      </c>
      <c r="F4142" s="2" t="s">
        <v>1145</v>
      </c>
      <c r="G4142" s="14" t="n">
        <v>12.5</v>
      </c>
      <c r="H4142" s="14" t="n">
        <v>11.58</v>
      </c>
      <c r="I4142" s="14" t="n">
        <v>12.5</v>
      </c>
      <c r="J4142" s="22" t="n">
        <f aca="false">IF(E4142="Priority",'Cost model'!N381,'Cost model'!M381)</f>
        <v>14.5</v>
      </c>
      <c r="K4142" s="14" t="n">
        <f aca="false">J4142-H4142</f>
        <v>2.92</v>
      </c>
      <c r="L4142" s="14" t="n">
        <f aca="false">G4142-H4142</f>
        <v>0.92</v>
      </c>
    </row>
    <row r="4143" customFormat="false" ht="15" hidden="false" customHeight="false" outlineLevel="0" collapsed="false">
      <c r="A4143" s="2" t="s">
        <v>184</v>
      </c>
      <c r="B4143" s="2" t="s">
        <v>184</v>
      </c>
      <c r="C4143" s="2" t="s">
        <v>49</v>
      </c>
      <c r="D4143" s="2" t="s">
        <v>12</v>
      </c>
      <c r="E4143" s="2" t="s">
        <v>76</v>
      </c>
      <c r="F4143" s="2" t="s">
        <v>1145</v>
      </c>
      <c r="G4143" s="14" t="n">
        <v>19.5</v>
      </c>
      <c r="H4143" s="14" t="n">
        <v>48.8</v>
      </c>
      <c r="I4143" s="14"/>
      <c r="J4143" s="22" t="n">
        <f aca="false">IF(E4143="Priority",'Cost model'!N204,'Cost model'!M204)</f>
        <v>45</v>
      </c>
      <c r="K4143" s="14" t="n">
        <f aca="false">J4143-H4143</f>
        <v>-3.8</v>
      </c>
      <c r="L4143" s="14" t="n">
        <f aca="false">G4143-H4143</f>
        <v>-29.3</v>
      </c>
    </row>
    <row r="4144" customFormat="false" ht="15" hidden="false" customHeight="false" outlineLevel="0" collapsed="false">
      <c r="A4144" s="2" t="s">
        <v>146</v>
      </c>
      <c r="B4144" s="2" t="s">
        <v>146</v>
      </c>
      <c r="C4144" s="2" t="s">
        <v>50</v>
      </c>
      <c r="D4144" s="2" t="s">
        <v>12</v>
      </c>
      <c r="E4144" s="2" t="s">
        <v>76</v>
      </c>
      <c r="F4144" s="2" t="s">
        <v>1145</v>
      </c>
      <c r="G4144" s="14" t="n">
        <v>19.5</v>
      </c>
      <c r="H4144" s="14" t="n">
        <v>43.69</v>
      </c>
      <c r="I4144" s="14" t="n">
        <v>19.5</v>
      </c>
      <c r="J4144" s="22" t="n">
        <f aca="false">IF(E4144="Priority",'Cost model'!N763,'Cost model'!M763)</f>
        <v>50</v>
      </c>
      <c r="K4144" s="14" t="n">
        <f aca="false">J4144-H4144</f>
        <v>6.31</v>
      </c>
      <c r="L4144" s="14" t="n">
        <f aca="false">G4144-H4144</f>
        <v>-24.19</v>
      </c>
    </row>
    <row r="4145" customFormat="false" ht="15" hidden="false" customHeight="false" outlineLevel="0" collapsed="false">
      <c r="A4145" s="2" t="s">
        <v>184</v>
      </c>
      <c r="B4145" s="2" t="s">
        <v>184</v>
      </c>
      <c r="C4145" s="2" t="s">
        <v>48</v>
      </c>
      <c r="D4145" s="2" t="s">
        <v>12</v>
      </c>
      <c r="E4145" s="2" t="s">
        <v>76</v>
      </c>
      <c r="F4145" s="2" t="s">
        <v>1145</v>
      </c>
      <c r="G4145" s="14" t="n">
        <v>9.5</v>
      </c>
      <c r="H4145" s="14" t="n">
        <v>27.76</v>
      </c>
      <c r="I4145" s="14" t="n">
        <v>9.5</v>
      </c>
      <c r="J4145" s="22" t="n">
        <f aca="false">IF(E4145="Priority",'Cost model'!N203,'Cost model'!M203)</f>
        <v>26.5</v>
      </c>
      <c r="K4145" s="14" t="n">
        <f aca="false">J4145-H4145</f>
        <v>-1.26</v>
      </c>
      <c r="L4145" s="14" t="n">
        <f aca="false">G4145-H4145</f>
        <v>-18.26</v>
      </c>
    </row>
    <row r="4146" customFormat="false" ht="15" hidden="false" customHeight="false" outlineLevel="0" collapsed="false">
      <c r="A4146" s="2" t="s">
        <v>184</v>
      </c>
      <c r="B4146" s="2" t="s">
        <v>184</v>
      </c>
      <c r="C4146" s="2" t="s">
        <v>49</v>
      </c>
      <c r="D4146" s="2" t="s">
        <v>12</v>
      </c>
      <c r="E4146" s="2" t="s">
        <v>76</v>
      </c>
      <c r="F4146" s="2" t="s">
        <v>1145</v>
      </c>
      <c r="G4146" s="14" t="n">
        <v>12.5</v>
      </c>
      <c r="H4146" s="14" t="n">
        <v>43.46</v>
      </c>
      <c r="I4146" s="14"/>
      <c r="J4146" s="22" t="n">
        <f aca="false">IF(E4146="Priority",'Cost model'!N204,'Cost model'!M204)</f>
        <v>45</v>
      </c>
      <c r="K4146" s="14" t="n">
        <f aca="false">J4146-H4146</f>
        <v>1.54</v>
      </c>
      <c r="L4146" s="14" t="n">
        <f aca="false">G4146-H4146</f>
        <v>-30.96</v>
      </c>
    </row>
    <row r="4147" customFormat="false" ht="15" hidden="false" customHeight="false" outlineLevel="0" collapsed="false">
      <c r="A4147" s="2" t="s">
        <v>126</v>
      </c>
      <c r="B4147" s="2" t="s">
        <v>126</v>
      </c>
      <c r="C4147" s="2" t="s">
        <v>49</v>
      </c>
      <c r="D4147" s="2" t="s">
        <v>12</v>
      </c>
      <c r="E4147" s="2" t="s">
        <v>85</v>
      </c>
      <c r="F4147" s="2" t="s">
        <v>1145</v>
      </c>
      <c r="G4147" s="14" t="n">
        <v>19.5</v>
      </c>
      <c r="H4147" s="14" t="n">
        <v>53.01</v>
      </c>
      <c r="I4147" s="14" t="n">
        <v>19.5</v>
      </c>
      <c r="J4147" s="22" t="n">
        <f aca="false">IF(E4147="Priority",'Cost model'!N384,'Cost model'!M384)</f>
        <v>60</v>
      </c>
      <c r="K4147" s="14" t="n">
        <f aca="false">J4147-H4147</f>
        <v>6.99</v>
      </c>
      <c r="L4147" s="14" t="n">
        <f aca="false">G4147-H4147</f>
        <v>-33.51</v>
      </c>
    </row>
    <row r="4148" customFormat="false" ht="15" hidden="false" customHeight="false" outlineLevel="0" collapsed="false">
      <c r="A4148" s="2" t="s">
        <v>126</v>
      </c>
      <c r="B4148" s="2" t="s">
        <v>126</v>
      </c>
      <c r="C4148" s="2" t="s">
        <v>50</v>
      </c>
      <c r="D4148" s="2" t="s">
        <v>12</v>
      </c>
      <c r="E4148" s="2" t="s">
        <v>76</v>
      </c>
      <c r="F4148" s="2" t="s">
        <v>1145</v>
      </c>
      <c r="G4148" s="14" t="n">
        <v>19.5</v>
      </c>
      <c r="H4148" s="14" t="n">
        <v>57.17</v>
      </c>
      <c r="I4148" s="14" t="n">
        <v>19.5</v>
      </c>
      <c r="J4148" s="22" t="n">
        <f aca="false">IF(E4148="Priority",'Cost model'!N385,'Cost model'!M385)</f>
        <v>55</v>
      </c>
      <c r="K4148" s="14" t="n">
        <f aca="false">J4148-H4148</f>
        <v>-2.17</v>
      </c>
      <c r="L4148" s="14" t="n">
        <f aca="false">G4148-H4148</f>
        <v>-37.67</v>
      </c>
    </row>
    <row r="4149" customFormat="false" ht="15" hidden="false" customHeight="false" outlineLevel="0" collapsed="false">
      <c r="A4149" s="2" t="s">
        <v>240</v>
      </c>
      <c r="B4149" s="2" t="s">
        <v>240</v>
      </c>
      <c r="C4149" s="2" t="s">
        <v>48</v>
      </c>
      <c r="D4149" s="2" t="s">
        <v>12</v>
      </c>
      <c r="E4149" s="2" t="s">
        <v>76</v>
      </c>
      <c r="F4149" s="2" t="s">
        <v>1145</v>
      </c>
      <c r="G4149" s="14" t="n">
        <v>9.5</v>
      </c>
      <c r="H4149" s="14" t="n">
        <v>16.2</v>
      </c>
      <c r="I4149" s="14" t="n">
        <v>9.5</v>
      </c>
      <c r="J4149" s="22" t="n">
        <f aca="false">IF(E4149="Priority",'Cost model'!N887,'Cost model'!M887)</f>
        <v>21.5</v>
      </c>
      <c r="K4149" s="14" t="n">
        <f aca="false">J4149-H4149</f>
        <v>5.3</v>
      </c>
      <c r="L4149" s="14" t="n">
        <f aca="false">G4149-H4149</f>
        <v>-6.7</v>
      </c>
    </row>
    <row r="4150" customFormat="false" ht="15" hidden="false" customHeight="false" outlineLevel="0" collapsed="false">
      <c r="A4150" s="2" t="s">
        <v>126</v>
      </c>
      <c r="B4150" s="2" t="s">
        <v>126</v>
      </c>
      <c r="C4150" s="2" t="s">
        <v>49</v>
      </c>
      <c r="D4150" s="2" t="s">
        <v>10</v>
      </c>
      <c r="E4150" s="2" t="s">
        <v>76</v>
      </c>
      <c r="F4150" s="2" t="s">
        <v>1145</v>
      </c>
      <c r="G4150" s="14" t="n">
        <v>12.5</v>
      </c>
      <c r="H4150" s="14" t="n">
        <v>10.48</v>
      </c>
      <c r="I4150" s="14" t="n">
        <v>12.5</v>
      </c>
      <c r="J4150" s="22" t="n">
        <f aca="false">IF(E4150="Priority",'Cost model'!N381,'Cost model'!M381)</f>
        <v>14.5</v>
      </c>
      <c r="K4150" s="14" t="n">
        <f aca="false">J4150-H4150</f>
        <v>4.02</v>
      </c>
      <c r="L4150" s="14" t="n">
        <f aca="false">G4150-H4150</f>
        <v>2.02</v>
      </c>
    </row>
    <row r="4151" customFormat="false" ht="15" hidden="false" customHeight="false" outlineLevel="0" collapsed="false">
      <c r="A4151" s="2" t="s">
        <v>184</v>
      </c>
      <c r="B4151" s="2" t="s">
        <v>184</v>
      </c>
      <c r="C4151" s="2" t="s">
        <v>48</v>
      </c>
      <c r="D4151" s="2" t="s">
        <v>10</v>
      </c>
      <c r="E4151" s="2" t="s">
        <v>76</v>
      </c>
      <c r="F4151" s="2" t="s">
        <v>1145</v>
      </c>
      <c r="G4151" s="14" t="n">
        <v>9.5</v>
      </c>
      <c r="H4151" s="14" t="n">
        <v>7.46</v>
      </c>
      <c r="I4151" s="14" t="n">
        <v>9.5</v>
      </c>
      <c r="J4151" s="22" t="n">
        <f aca="false">IF(E4151="Priority",'Cost model'!N200,'Cost model'!M200)</f>
        <v>7.5</v>
      </c>
      <c r="K4151" s="14" t="n">
        <f aca="false">J4151-H4151</f>
        <v>0.04</v>
      </c>
      <c r="L4151" s="14" t="n">
        <f aca="false">G4151-H4151</f>
        <v>2.04</v>
      </c>
    </row>
    <row r="4152" customFormat="false" ht="15" hidden="false" customHeight="false" outlineLevel="0" collapsed="false">
      <c r="A4152" s="2" t="s">
        <v>184</v>
      </c>
      <c r="B4152" s="2" t="s">
        <v>184</v>
      </c>
      <c r="C4152" s="2" t="s">
        <v>48</v>
      </c>
      <c r="D4152" s="2" t="s">
        <v>10</v>
      </c>
      <c r="E4152" s="2" t="s">
        <v>76</v>
      </c>
      <c r="F4152" s="2" t="s">
        <v>1145</v>
      </c>
      <c r="G4152" s="14" t="n">
        <v>9.5</v>
      </c>
      <c r="H4152" s="14" t="n">
        <v>6.19</v>
      </c>
      <c r="I4152" s="14" t="n">
        <v>9.5</v>
      </c>
      <c r="J4152" s="22" t="n">
        <f aca="false">IF(E4152="Priority",'Cost model'!N200,'Cost model'!M200)</f>
        <v>7.5</v>
      </c>
      <c r="K4152" s="14" t="n">
        <f aca="false">J4152-H4152</f>
        <v>1.31</v>
      </c>
      <c r="L4152" s="14" t="n">
        <f aca="false">G4152-H4152</f>
        <v>3.31</v>
      </c>
    </row>
    <row r="4153" customFormat="false" ht="15" hidden="false" customHeight="false" outlineLevel="0" collapsed="false">
      <c r="A4153" s="2" t="s">
        <v>165</v>
      </c>
      <c r="B4153" s="2" t="s">
        <v>165</v>
      </c>
      <c r="C4153" s="2" t="s">
        <v>49</v>
      </c>
      <c r="D4153" s="2" t="s">
        <v>10</v>
      </c>
      <c r="E4153" s="2" t="s">
        <v>85</v>
      </c>
      <c r="F4153" s="2" t="s">
        <v>1145</v>
      </c>
      <c r="G4153" s="14" t="n">
        <v>17.5</v>
      </c>
      <c r="H4153" s="14" t="n">
        <v>10.51</v>
      </c>
      <c r="I4153" s="14" t="n">
        <v>17.5</v>
      </c>
      <c r="J4153" s="22" t="n">
        <f aca="false">IF(E4153="Priority",'Cost model'!N507,'Cost model'!M507)</f>
        <v>16.5</v>
      </c>
      <c r="K4153" s="14" t="n">
        <f aca="false">J4153-H4153</f>
        <v>5.99</v>
      </c>
      <c r="L4153" s="14" t="n">
        <f aca="false">G4153-H4153</f>
        <v>6.99</v>
      </c>
    </row>
    <row r="4154" customFormat="false" ht="15" hidden="false" customHeight="false" outlineLevel="0" collapsed="false">
      <c r="A4154" s="2" t="s">
        <v>240</v>
      </c>
      <c r="B4154" s="2" t="s">
        <v>126</v>
      </c>
      <c r="C4154" s="2" t="s">
        <v>50</v>
      </c>
      <c r="D4154" s="2" t="s">
        <v>10</v>
      </c>
      <c r="E4154" s="2" t="s">
        <v>76</v>
      </c>
      <c r="F4154" s="2" t="s">
        <v>1146</v>
      </c>
      <c r="G4154" s="14" t="n">
        <v>17.5</v>
      </c>
      <c r="H4154" s="14" t="n">
        <v>19.05</v>
      </c>
      <c r="I4154" s="14" t="n">
        <v>19.5</v>
      </c>
      <c r="J4154" s="22" t="n">
        <f aca="false">IF(E4154="Priority",'Cost model'!N958,'Cost model'!M958)</f>
        <v>24.5</v>
      </c>
      <c r="K4154" s="14" t="n">
        <f aca="false">J4154-H4154</f>
        <v>5.45</v>
      </c>
      <c r="L4154" s="14" t="n">
        <f aca="false">G4154-H4154</f>
        <v>-1.55</v>
      </c>
    </row>
    <row r="4155" customFormat="false" ht="15" hidden="false" customHeight="false" outlineLevel="0" collapsed="false">
      <c r="A4155" s="2" t="s">
        <v>146</v>
      </c>
      <c r="B4155" s="2" t="s">
        <v>146</v>
      </c>
      <c r="C4155" s="2" t="s">
        <v>48</v>
      </c>
      <c r="D4155" s="2" t="s">
        <v>12</v>
      </c>
      <c r="E4155" s="2" t="s">
        <v>76</v>
      </c>
      <c r="F4155" s="2" t="s">
        <v>1145</v>
      </c>
      <c r="G4155" s="14" t="n">
        <v>9.5</v>
      </c>
      <c r="H4155" s="14" t="n">
        <v>25.06</v>
      </c>
      <c r="I4155" s="14" t="n">
        <v>9.5</v>
      </c>
      <c r="J4155" s="22" t="n">
        <f aca="false">IF(E4155="Priority",'Cost model'!N761,'Cost model'!M761)</f>
        <v>35</v>
      </c>
      <c r="K4155" s="14" t="n">
        <f aca="false">J4155-H4155</f>
        <v>9.94</v>
      </c>
      <c r="L4155" s="14" t="n">
        <f aca="false">G4155-H4155</f>
        <v>-15.56</v>
      </c>
    </row>
    <row r="4156" customFormat="false" ht="15" hidden="false" customHeight="false" outlineLevel="0" collapsed="false">
      <c r="A4156" s="2" t="s">
        <v>146</v>
      </c>
      <c r="B4156" s="2" t="s">
        <v>146</v>
      </c>
      <c r="C4156" s="2" t="s">
        <v>48</v>
      </c>
      <c r="D4156" s="2" t="s">
        <v>12</v>
      </c>
      <c r="E4156" s="2" t="s">
        <v>76</v>
      </c>
      <c r="F4156" s="2" t="s">
        <v>1145</v>
      </c>
      <c r="G4156" s="14" t="n">
        <v>9.5</v>
      </c>
      <c r="H4156" s="14" t="n">
        <v>28.16</v>
      </c>
      <c r="I4156" s="14" t="n">
        <v>9.5</v>
      </c>
      <c r="J4156" s="22" t="n">
        <f aca="false">IF(E4156="Priority",'Cost model'!N761,'Cost model'!M761)</f>
        <v>35</v>
      </c>
      <c r="K4156" s="14" t="n">
        <f aca="false">J4156-H4156</f>
        <v>6.84</v>
      </c>
      <c r="L4156" s="14" t="n">
        <f aca="false">G4156-H4156</f>
        <v>-18.66</v>
      </c>
    </row>
    <row r="4157" customFormat="false" ht="15" hidden="false" customHeight="false" outlineLevel="0" collapsed="false">
      <c r="A4157" s="2" t="s">
        <v>126</v>
      </c>
      <c r="B4157" s="2" t="s">
        <v>184</v>
      </c>
      <c r="C4157" s="2" t="s">
        <v>48</v>
      </c>
      <c r="D4157" s="2" t="s">
        <v>12</v>
      </c>
      <c r="E4157" s="2" t="s">
        <v>85</v>
      </c>
      <c r="F4157" s="2" t="s">
        <v>1146</v>
      </c>
      <c r="G4157" s="14" t="n">
        <v>24.5</v>
      </c>
      <c r="H4157" s="14" t="n">
        <v>58.77</v>
      </c>
      <c r="I4157" s="14" t="n">
        <v>24.5</v>
      </c>
      <c r="J4157" s="22" t="n">
        <f aca="false">IF(E4157="Priority",'Cost model'!N437,'Cost model'!M437)</f>
        <v>65</v>
      </c>
      <c r="K4157" s="14" t="n">
        <f aca="false">J4157-H4157</f>
        <v>6.23</v>
      </c>
      <c r="L4157" s="14" t="n">
        <f aca="false">G4157-H4157</f>
        <v>-34.27</v>
      </c>
    </row>
    <row r="4158" customFormat="false" ht="15" hidden="false" customHeight="false" outlineLevel="0" collapsed="false">
      <c r="A4158" s="2" t="s">
        <v>184</v>
      </c>
      <c r="B4158" s="2" t="s">
        <v>146</v>
      </c>
      <c r="C4158" s="2" t="s">
        <v>49</v>
      </c>
      <c r="D4158" s="2" t="s">
        <v>12</v>
      </c>
      <c r="E4158" s="2" t="s">
        <v>76</v>
      </c>
      <c r="F4158" s="2" t="s">
        <v>1146</v>
      </c>
      <c r="G4158" s="14" t="n">
        <v>12.5</v>
      </c>
      <c r="H4158" s="14" t="n">
        <v>63.16</v>
      </c>
      <c r="I4158" s="14"/>
      <c r="J4158" s="22" t="n">
        <f aca="false">IF(E4158="Priority",'Cost model'!N150,'Cost model'!M150)</f>
        <v>55</v>
      </c>
      <c r="K4158" s="14" t="n">
        <f aca="false">J4158-H4158</f>
        <v>-8.16</v>
      </c>
      <c r="L4158" s="14" t="n">
        <f aca="false">G4158-H4158</f>
        <v>-50.66</v>
      </c>
    </row>
    <row r="4159" customFormat="false" ht="15" hidden="false" customHeight="false" outlineLevel="0" collapsed="false">
      <c r="A4159" s="2" t="s">
        <v>240</v>
      </c>
      <c r="B4159" s="2" t="s">
        <v>240</v>
      </c>
      <c r="C4159" s="2" t="s">
        <v>50</v>
      </c>
      <c r="D4159" s="2" t="s">
        <v>10</v>
      </c>
      <c r="E4159" s="2" t="s">
        <v>85</v>
      </c>
      <c r="F4159" s="2" t="s">
        <v>1145</v>
      </c>
      <c r="G4159" s="14" t="n">
        <v>24.5</v>
      </c>
      <c r="H4159" s="14" t="n">
        <v>23.58</v>
      </c>
      <c r="I4159" s="14" t="n">
        <v>24.5</v>
      </c>
      <c r="J4159" s="22" t="n">
        <f aca="false">IF(E4159="Priority",'Cost model'!N886,'Cost model'!M886)</f>
        <v>23.5</v>
      </c>
      <c r="K4159" s="14" t="n">
        <f aca="false">J4159-H4159</f>
        <v>-0.0799999999999983</v>
      </c>
      <c r="L4159" s="14" t="n">
        <f aca="false">G4159-H4159</f>
        <v>0.920000000000002</v>
      </c>
    </row>
    <row r="4160" customFormat="false" ht="15" hidden="false" customHeight="false" outlineLevel="0" collapsed="false">
      <c r="A4160" s="2" t="s">
        <v>184</v>
      </c>
      <c r="B4160" s="2" t="s">
        <v>184</v>
      </c>
      <c r="C4160" s="2" t="s">
        <v>48</v>
      </c>
      <c r="D4160" s="2" t="s">
        <v>10</v>
      </c>
      <c r="E4160" s="2" t="s">
        <v>76</v>
      </c>
      <c r="F4160" s="2" t="s">
        <v>1145</v>
      </c>
      <c r="G4160" s="14" t="n">
        <v>9.5</v>
      </c>
      <c r="H4160" s="14" t="n">
        <v>7.46</v>
      </c>
      <c r="I4160" s="14" t="n">
        <v>9.5</v>
      </c>
      <c r="J4160" s="22" t="n">
        <f aca="false">IF(E4160="Priority",'Cost model'!N200,'Cost model'!M200)</f>
        <v>7.5</v>
      </c>
      <c r="K4160" s="14" t="n">
        <f aca="false">J4160-H4160</f>
        <v>0.04</v>
      </c>
      <c r="L4160" s="14" t="n">
        <f aca="false">G4160-H4160</f>
        <v>2.04</v>
      </c>
    </row>
    <row r="4161" customFormat="false" ht="15" hidden="false" customHeight="false" outlineLevel="0" collapsed="false">
      <c r="A4161" s="2" t="s">
        <v>184</v>
      </c>
      <c r="B4161" s="2" t="s">
        <v>184</v>
      </c>
      <c r="C4161" s="2" t="s">
        <v>48</v>
      </c>
      <c r="D4161" s="2" t="s">
        <v>12</v>
      </c>
      <c r="E4161" s="2" t="s">
        <v>76</v>
      </c>
      <c r="F4161" s="2" t="s">
        <v>1145</v>
      </c>
      <c r="G4161" s="14" t="n">
        <v>9.5</v>
      </c>
      <c r="H4161" s="14" t="n">
        <v>31.85</v>
      </c>
      <c r="I4161" s="14" t="n">
        <v>9.5</v>
      </c>
      <c r="J4161" s="22" t="n">
        <f aca="false">IF(E4161="Priority",'Cost model'!N203,'Cost model'!M203)</f>
        <v>26.5</v>
      </c>
      <c r="K4161" s="14" t="n">
        <f aca="false">J4161-H4161</f>
        <v>-5.35</v>
      </c>
      <c r="L4161" s="14" t="n">
        <f aca="false">G4161-H4161</f>
        <v>-22.35</v>
      </c>
    </row>
    <row r="4162" customFormat="false" ht="15" hidden="false" customHeight="false" outlineLevel="0" collapsed="false">
      <c r="A4162" s="2" t="s">
        <v>221</v>
      </c>
      <c r="B4162" s="2" t="s">
        <v>146</v>
      </c>
      <c r="C4162" s="2" t="s">
        <v>49</v>
      </c>
      <c r="D4162" s="2" t="s">
        <v>14</v>
      </c>
      <c r="E4162" s="2" t="s">
        <v>76</v>
      </c>
      <c r="F4162" s="2" t="s">
        <v>1146</v>
      </c>
      <c r="G4162" s="14" t="n">
        <v>125</v>
      </c>
      <c r="H4162" s="14" t="n">
        <v>191.86</v>
      </c>
      <c r="I4162" s="14" t="n">
        <v>125</v>
      </c>
      <c r="J4162" s="22" t="n">
        <f aca="false">IF(E4162="Priority",'Cost model'!N660,'Cost model'!M660)</f>
        <v>210</v>
      </c>
      <c r="K4162" s="14" t="n">
        <f aca="false">J4162-H4162</f>
        <v>18.14</v>
      </c>
      <c r="L4162" s="14" t="n">
        <f aca="false">G4162-H4162</f>
        <v>-66.86</v>
      </c>
    </row>
    <row r="4163" customFormat="false" ht="15" hidden="false" customHeight="false" outlineLevel="0" collapsed="false">
      <c r="A4163" s="2" t="s">
        <v>146</v>
      </c>
      <c r="B4163" s="2" t="s">
        <v>146</v>
      </c>
      <c r="C4163" s="2" t="s">
        <v>49</v>
      </c>
      <c r="D4163" s="2" t="s">
        <v>12</v>
      </c>
      <c r="E4163" s="2" t="s">
        <v>76</v>
      </c>
      <c r="F4163" s="2" t="s">
        <v>1145</v>
      </c>
      <c r="G4163" s="14" t="n">
        <v>12.5</v>
      </c>
      <c r="H4163" s="14" t="n">
        <v>51.32</v>
      </c>
      <c r="I4163" s="14" t="n">
        <v>12.5</v>
      </c>
      <c r="J4163" s="22" t="n">
        <f aca="false">IF(E4163="Priority",'Cost model'!N762,'Cost model'!M762)</f>
        <v>45</v>
      </c>
      <c r="K4163" s="14" t="n">
        <f aca="false">J4163-H4163</f>
        <v>-6.32</v>
      </c>
      <c r="L4163" s="14" t="n">
        <f aca="false">G4163-H4163</f>
        <v>-38.82</v>
      </c>
    </row>
    <row r="4164" customFormat="false" ht="15" hidden="false" customHeight="false" outlineLevel="0" collapsed="false">
      <c r="A4164" s="2" t="s">
        <v>126</v>
      </c>
      <c r="B4164" s="2" t="s">
        <v>126</v>
      </c>
      <c r="C4164" s="2" t="s">
        <v>50</v>
      </c>
      <c r="D4164" s="2" t="s">
        <v>12</v>
      </c>
      <c r="E4164" s="2" t="s">
        <v>76</v>
      </c>
      <c r="F4164" s="2" t="s">
        <v>1145</v>
      </c>
      <c r="G4164" s="14" t="n">
        <v>19.5</v>
      </c>
      <c r="H4164" s="14" t="n">
        <v>21.6</v>
      </c>
      <c r="I4164" s="14" t="n">
        <v>19.5</v>
      </c>
      <c r="J4164" s="22" t="n">
        <f aca="false">IF(E4164="Priority",'Cost model'!N385,'Cost model'!M385)</f>
        <v>55</v>
      </c>
      <c r="K4164" s="14" t="n">
        <f aca="false">J4164-H4164</f>
        <v>33.4</v>
      </c>
      <c r="L4164" s="14" t="n">
        <f aca="false">G4164-H4164</f>
        <v>-2.1</v>
      </c>
    </row>
    <row r="4165" customFormat="false" ht="15" hidden="false" customHeight="false" outlineLevel="0" collapsed="false">
      <c r="A4165" s="2" t="s">
        <v>126</v>
      </c>
      <c r="B4165" s="2" t="s">
        <v>126</v>
      </c>
      <c r="C4165" s="2" t="s">
        <v>48</v>
      </c>
      <c r="D4165" s="2" t="s">
        <v>10</v>
      </c>
      <c r="E4165" s="2" t="s">
        <v>76</v>
      </c>
      <c r="F4165" s="2" t="s">
        <v>1145</v>
      </c>
      <c r="G4165" s="14" t="n">
        <v>9.5</v>
      </c>
      <c r="H4165" s="14" t="n">
        <v>6.74</v>
      </c>
      <c r="I4165" s="14" t="n">
        <v>9.5</v>
      </c>
      <c r="J4165" s="22" t="n">
        <f aca="false">IF(E4165="Priority",'Cost model'!N380,'Cost model'!M380)</f>
        <v>8.5</v>
      </c>
      <c r="K4165" s="14" t="n">
        <f aca="false">J4165-H4165</f>
        <v>1.76</v>
      </c>
      <c r="L4165" s="14" t="n">
        <f aca="false">G4165-H4165</f>
        <v>2.76</v>
      </c>
    </row>
    <row r="4166" customFormat="false" ht="15" hidden="false" customHeight="false" outlineLevel="0" collapsed="false">
      <c r="A4166" s="2" t="s">
        <v>184</v>
      </c>
      <c r="B4166" s="2" t="s">
        <v>184</v>
      </c>
      <c r="C4166" s="2" t="s">
        <v>48</v>
      </c>
      <c r="D4166" s="2" t="s">
        <v>12</v>
      </c>
      <c r="E4166" s="2" t="s">
        <v>76</v>
      </c>
      <c r="F4166" s="2" t="s">
        <v>1145</v>
      </c>
      <c r="G4166" s="14" t="n">
        <v>9.5</v>
      </c>
      <c r="H4166" s="14" t="n">
        <v>27.53</v>
      </c>
      <c r="I4166" s="14" t="n">
        <v>9.5</v>
      </c>
      <c r="J4166" s="22" t="n">
        <f aca="false">IF(E4166="Priority",'Cost model'!N203,'Cost model'!M203)</f>
        <v>26.5</v>
      </c>
      <c r="K4166" s="14" t="n">
        <f aca="false">J4166-H4166</f>
        <v>-1.03</v>
      </c>
      <c r="L4166" s="14" t="n">
        <f aca="false">G4166-H4166</f>
        <v>-18.03</v>
      </c>
    </row>
    <row r="4167" customFormat="false" ht="15" hidden="false" customHeight="false" outlineLevel="0" collapsed="false">
      <c r="A4167" s="2" t="s">
        <v>146</v>
      </c>
      <c r="B4167" s="2" t="s">
        <v>184</v>
      </c>
      <c r="C4167" s="2" t="s">
        <v>49</v>
      </c>
      <c r="D4167" s="2" t="s">
        <v>10</v>
      </c>
      <c r="E4167" s="2" t="s">
        <v>76</v>
      </c>
      <c r="F4167" s="2" t="s">
        <v>1146</v>
      </c>
      <c r="G4167" s="14" t="n">
        <v>12.5</v>
      </c>
      <c r="H4167" s="14" t="n">
        <v>7.93</v>
      </c>
      <c r="I4167" s="14" t="n">
        <v>14.5</v>
      </c>
      <c r="J4167" s="22" t="n">
        <f aca="false">IF(E4167="Priority",'Cost model'!N831,'Cost model'!M831)</f>
        <v>10.5</v>
      </c>
      <c r="K4167" s="14" t="n">
        <f aca="false">J4167-H4167</f>
        <v>2.57</v>
      </c>
      <c r="L4167" s="14" t="n">
        <f aca="false">G4167-H4167</f>
        <v>4.57</v>
      </c>
    </row>
    <row r="4168" customFormat="false" ht="15" hidden="false" customHeight="false" outlineLevel="0" collapsed="false">
      <c r="A4168" s="2" t="s">
        <v>221</v>
      </c>
      <c r="B4168" s="2" t="s">
        <v>126</v>
      </c>
      <c r="C4168" s="2" t="s">
        <v>49</v>
      </c>
      <c r="D4168" s="2" t="s">
        <v>10</v>
      </c>
      <c r="E4168" s="2" t="s">
        <v>76</v>
      </c>
      <c r="F4168" s="2" t="s">
        <v>1146</v>
      </c>
      <c r="G4168" s="14" t="n">
        <v>14.5</v>
      </c>
      <c r="H4168" s="14" t="n">
        <v>18.44</v>
      </c>
      <c r="I4168" s="14" t="n">
        <v>19.5</v>
      </c>
      <c r="J4168" s="22" t="n">
        <f aca="false">IF(E4168="Priority",'Cost model'!N687,'Cost model'!M687)</f>
        <v>17.5</v>
      </c>
      <c r="K4168" s="14" t="n">
        <f aca="false">J4168-H4168</f>
        <v>-0.940000000000001</v>
      </c>
      <c r="L4168" s="14" t="n">
        <f aca="false">G4168-H4168</f>
        <v>-3.94</v>
      </c>
    </row>
    <row r="4169" customFormat="false" ht="15" hidden="false" customHeight="false" outlineLevel="0" collapsed="false">
      <c r="A4169" s="2" t="s">
        <v>184</v>
      </c>
      <c r="B4169" s="2" t="s">
        <v>184</v>
      </c>
      <c r="C4169" s="2" t="s">
        <v>48</v>
      </c>
      <c r="D4169" s="2" t="s">
        <v>13</v>
      </c>
      <c r="E4169" s="2" t="s">
        <v>76</v>
      </c>
      <c r="F4169" s="2" t="s">
        <v>1145</v>
      </c>
      <c r="G4169" s="14" t="n">
        <v>19</v>
      </c>
      <c r="H4169" s="14" t="n">
        <v>72.7</v>
      </c>
      <c r="I4169" s="14" t="n">
        <v>19</v>
      </c>
      <c r="J4169" s="22" t="n">
        <f aca="false">IF(E4169="Priority",'Cost model'!N206,'Cost model'!M206)</f>
        <v>55</v>
      </c>
      <c r="K4169" s="14" t="n">
        <f aca="false">J4169-H4169</f>
        <v>-17.7</v>
      </c>
      <c r="L4169" s="14" t="n">
        <f aca="false">G4169-H4169</f>
        <v>-53.7</v>
      </c>
    </row>
    <row r="4170" customFormat="false" ht="15" hidden="false" customHeight="false" outlineLevel="0" collapsed="false">
      <c r="A4170" s="2" t="s">
        <v>126</v>
      </c>
      <c r="B4170" s="2" t="s">
        <v>126</v>
      </c>
      <c r="C4170" s="2" t="s">
        <v>50</v>
      </c>
      <c r="D4170" s="2" t="s">
        <v>10</v>
      </c>
      <c r="E4170" s="2" t="s">
        <v>85</v>
      </c>
      <c r="F4170" s="2" t="s">
        <v>1145</v>
      </c>
      <c r="G4170" s="14" t="n">
        <v>24.5</v>
      </c>
      <c r="H4170" s="14" t="n">
        <v>21.76</v>
      </c>
      <c r="I4170" s="14" t="n">
        <v>24.5</v>
      </c>
      <c r="J4170" s="22" t="n">
        <f aca="false">IF(E4170="Priority",'Cost model'!N382,'Cost model'!M382)</f>
        <v>25.5</v>
      </c>
      <c r="K4170" s="14" t="n">
        <f aca="false">J4170-H4170</f>
        <v>3.74</v>
      </c>
      <c r="L4170" s="14" t="n">
        <f aca="false">G4170-H4170</f>
        <v>2.74</v>
      </c>
    </row>
    <row r="4171" customFormat="false" ht="15" hidden="false" customHeight="false" outlineLevel="0" collapsed="false">
      <c r="A4171" s="2" t="s">
        <v>184</v>
      </c>
      <c r="B4171" s="2" t="s">
        <v>184</v>
      </c>
      <c r="C4171" s="2" t="s">
        <v>48</v>
      </c>
      <c r="D4171" s="2" t="s">
        <v>12</v>
      </c>
      <c r="E4171" s="2" t="s">
        <v>76</v>
      </c>
      <c r="F4171" s="2" t="s">
        <v>1145</v>
      </c>
      <c r="G4171" s="14" t="n">
        <v>9.5</v>
      </c>
      <c r="H4171" s="14" t="n">
        <v>48.79</v>
      </c>
      <c r="I4171" s="14" t="n">
        <v>9.5</v>
      </c>
      <c r="J4171" s="22" t="n">
        <f aca="false">IF(E4171="Priority",'Cost model'!N203,'Cost model'!M203)</f>
        <v>26.5</v>
      </c>
      <c r="K4171" s="14" t="n">
        <f aca="false">J4171-H4171</f>
        <v>-22.29</v>
      </c>
      <c r="L4171" s="14" t="n">
        <f aca="false">G4171-H4171</f>
        <v>-39.29</v>
      </c>
    </row>
    <row r="4172" customFormat="false" ht="15" hidden="false" customHeight="false" outlineLevel="0" collapsed="false">
      <c r="A4172" s="2" t="s">
        <v>184</v>
      </c>
      <c r="B4172" s="2" t="s">
        <v>184</v>
      </c>
      <c r="C4172" s="2" t="s">
        <v>50</v>
      </c>
      <c r="D4172" s="2" t="s">
        <v>10</v>
      </c>
      <c r="E4172" s="2" t="s">
        <v>76</v>
      </c>
      <c r="F4172" s="2" t="s">
        <v>1145</v>
      </c>
      <c r="G4172" s="14" t="n">
        <v>17.5</v>
      </c>
      <c r="H4172" s="14" t="n">
        <v>11.03</v>
      </c>
      <c r="I4172" s="14" t="n">
        <v>17.5</v>
      </c>
      <c r="J4172" s="22" t="n">
        <f aca="false">IF(E4172="Priority",'Cost model'!N202,'Cost model'!M202)</f>
        <v>17.5</v>
      </c>
      <c r="K4172" s="14" t="n">
        <f aca="false">J4172-H4172</f>
        <v>6.47</v>
      </c>
      <c r="L4172" s="14" t="n">
        <f aca="false">G4172-H4172</f>
        <v>6.47</v>
      </c>
    </row>
    <row r="4173" customFormat="false" ht="15" hidden="false" customHeight="false" outlineLevel="0" collapsed="false">
      <c r="A4173" s="2" t="s">
        <v>184</v>
      </c>
      <c r="B4173" s="2" t="s">
        <v>126</v>
      </c>
      <c r="C4173" s="2" t="s">
        <v>48</v>
      </c>
      <c r="D4173" s="2" t="s">
        <v>12</v>
      </c>
      <c r="E4173" s="2" t="s">
        <v>76</v>
      </c>
      <c r="F4173" s="2" t="s">
        <v>1146</v>
      </c>
      <c r="G4173" s="14" t="n">
        <v>9.5</v>
      </c>
      <c r="H4173" s="14" t="n">
        <v>14.47</v>
      </c>
      <c r="I4173" s="14" t="n">
        <v>9.5</v>
      </c>
      <c r="J4173" s="22" t="n">
        <f aca="false">IF(E4173="Priority",'Cost model'!N131,'Cost model'!M131)</f>
        <v>40</v>
      </c>
      <c r="K4173" s="14" t="n">
        <f aca="false">J4173-H4173</f>
        <v>25.53</v>
      </c>
      <c r="L4173" s="14" t="n">
        <f aca="false">G4173-H4173</f>
        <v>-4.97</v>
      </c>
    </row>
    <row r="4174" customFormat="false" ht="15" hidden="false" customHeight="false" outlineLevel="0" collapsed="false">
      <c r="A4174" s="2" t="s">
        <v>184</v>
      </c>
      <c r="B4174" s="2" t="s">
        <v>184</v>
      </c>
      <c r="C4174" s="2" t="s">
        <v>48</v>
      </c>
      <c r="D4174" s="2" t="s">
        <v>12</v>
      </c>
      <c r="E4174" s="2" t="s">
        <v>76</v>
      </c>
      <c r="F4174" s="2" t="s">
        <v>1145</v>
      </c>
      <c r="G4174" s="14" t="n">
        <v>9.5</v>
      </c>
      <c r="H4174" s="14" t="n">
        <v>28.68</v>
      </c>
      <c r="I4174" s="14" t="n">
        <v>9.5</v>
      </c>
      <c r="J4174" s="22" t="n">
        <f aca="false">IF(E4174="Priority",'Cost model'!N203,'Cost model'!M203)</f>
        <v>26.5</v>
      </c>
      <c r="K4174" s="14" t="n">
        <f aca="false">J4174-H4174</f>
        <v>-2.18</v>
      </c>
      <c r="L4174" s="14" t="n">
        <f aca="false">G4174-H4174</f>
        <v>-19.18</v>
      </c>
    </row>
    <row r="4175" customFormat="false" ht="15" hidden="false" customHeight="false" outlineLevel="0" collapsed="false">
      <c r="A4175" s="2" t="s">
        <v>240</v>
      </c>
      <c r="B4175" s="2" t="s">
        <v>240</v>
      </c>
      <c r="C4175" s="2" t="s">
        <v>48</v>
      </c>
      <c r="D4175" s="2" t="s">
        <v>13</v>
      </c>
      <c r="E4175" s="2" t="s">
        <v>76</v>
      </c>
      <c r="F4175" s="2" t="s">
        <v>1145</v>
      </c>
      <c r="G4175" s="14" t="n">
        <v>34.5</v>
      </c>
      <c r="H4175" s="14" t="n">
        <v>14.67</v>
      </c>
      <c r="I4175" s="14" t="n">
        <v>19.5</v>
      </c>
      <c r="J4175" s="22" t="n">
        <f aca="false">IF(E4175="Priority",'Cost model'!N890,'Cost model'!M890)</f>
        <v>45</v>
      </c>
      <c r="K4175" s="14" t="n">
        <f aca="false">J4175-H4175</f>
        <v>30.33</v>
      </c>
      <c r="L4175" s="14" t="n">
        <f aca="false">G4175-H4175</f>
        <v>19.83</v>
      </c>
    </row>
    <row r="4176" customFormat="false" ht="15" hidden="false" customHeight="false" outlineLevel="0" collapsed="false">
      <c r="A4176" s="2" t="s">
        <v>184</v>
      </c>
      <c r="B4176" s="2" t="s">
        <v>184</v>
      </c>
      <c r="C4176" s="2" t="s">
        <v>49</v>
      </c>
      <c r="D4176" s="2" t="s">
        <v>10</v>
      </c>
      <c r="E4176" s="2" t="s">
        <v>76</v>
      </c>
      <c r="F4176" s="2" t="s">
        <v>1145</v>
      </c>
      <c r="G4176" s="14" t="n">
        <v>12.5</v>
      </c>
      <c r="H4176" s="14" t="n">
        <v>11.94</v>
      </c>
      <c r="I4176" s="14"/>
      <c r="J4176" s="22" t="n">
        <f aca="false">IF(E4176="Priority",'Cost model'!N201,'Cost model'!M201)</f>
        <v>12.5</v>
      </c>
      <c r="K4176" s="14" t="n">
        <f aca="false">J4176-H4176</f>
        <v>0.560000000000001</v>
      </c>
      <c r="L4176" s="14" t="n">
        <f aca="false">G4176-H4176</f>
        <v>0.560000000000001</v>
      </c>
    </row>
    <row r="4177" customFormat="false" ht="15" hidden="false" customHeight="false" outlineLevel="0" collapsed="false">
      <c r="A4177" s="2" t="s">
        <v>184</v>
      </c>
      <c r="B4177" s="2" t="s">
        <v>146</v>
      </c>
      <c r="C4177" s="2" t="s">
        <v>48</v>
      </c>
      <c r="D4177" s="2" t="s">
        <v>10</v>
      </c>
      <c r="E4177" s="2" t="s">
        <v>76</v>
      </c>
      <c r="F4177" s="2" t="s">
        <v>1146</v>
      </c>
      <c r="G4177" s="14" t="n">
        <v>9.5</v>
      </c>
      <c r="H4177" s="14" t="n">
        <v>8.53</v>
      </c>
      <c r="I4177" s="14" t="n">
        <v>9.5</v>
      </c>
      <c r="J4177" s="22" t="n">
        <f aca="false">IF(E4177="Priority",'Cost model'!N146,'Cost model'!M146)</f>
        <v>12.5</v>
      </c>
      <c r="K4177" s="14" t="n">
        <f aca="false">J4177-H4177</f>
        <v>3.97</v>
      </c>
      <c r="L4177" s="14" t="n">
        <f aca="false">G4177-H4177</f>
        <v>0.970000000000001</v>
      </c>
    </row>
    <row r="4178" customFormat="false" ht="15" hidden="false" customHeight="false" outlineLevel="0" collapsed="false">
      <c r="A4178" s="2" t="s">
        <v>184</v>
      </c>
      <c r="B4178" s="2" t="s">
        <v>184</v>
      </c>
      <c r="C4178" s="2" t="s">
        <v>50</v>
      </c>
      <c r="D4178" s="2" t="s">
        <v>12</v>
      </c>
      <c r="E4178" s="2" t="s">
        <v>85</v>
      </c>
      <c r="F4178" s="2" t="s">
        <v>1145</v>
      </c>
      <c r="G4178" s="14" t="n">
        <v>29.5</v>
      </c>
      <c r="H4178" s="14" t="n">
        <v>67.13</v>
      </c>
      <c r="I4178" s="14" t="n">
        <v>29.5</v>
      </c>
      <c r="J4178" s="22" t="n">
        <f aca="false">IF(E4178="Priority",'Cost model'!N205,'Cost model'!M205)</f>
        <v>65</v>
      </c>
      <c r="K4178" s="14" t="n">
        <f aca="false">J4178-H4178</f>
        <v>-2.13</v>
      </c>
      <c r="L4178" s="14" t="n">
        <f aca="false">G4178-H4178</f>
        <v>-37.63</v>
      </c>
    </row>
    <row r="4179" customFormat="false" ht="15" hidden="false" customHeight="false" outlineLevel="0" collapsed="false">
      <c r="A4179" s="2" t="s">
        <v>184</v>
      </c>
      <c r="B4179" s="2" t="s">
        <v>184</v>
      </c>
      <c r="C4179" s="2" t="s">
        <v>48</v>
      </c>
      <c r="D4179" s="2" t="s">
        <v>14</v>
      </c>
      <c r="E4179" s="2" t="s">
        <v>85</v>
      </c>
      <c r="F4179" s="2" t="s">
        <v>1145</v>
      </c>
      <c r="G4179" s="14" t="n">
        <v>85</v>
      </c>
      <c r="H4179" s="14" t="n">
        <v>70.37</v>
      </c>
      <c r="I4179" s="14" t="n">
        <v>85</v>
      </c>
      <c r="J4179" s="22" t="n">
        <f aca="false">IF(E4179="Priority",'Cost model'!N209,'Cost model'!M209)</f>
        <v>130</v>
      </c>
      <c r="K4179" s="14" t="n">
        <f aca="false">J4179-H4179</f>
        <v>59.63</v>
      </c>
      <c r="L4179" s="14" t="n">
        <f aca="false">G4179-H4179</f>
        <v>14.63</v>
      </c>
    </row>
    <row r="4180" customFormat="false" ht="15" hidden="false" customHeight="false" outlineLevel="0" collapsed="false">
      <c r="A4180" s="2" t="s">
        <v>184</v>
      </c>
      <c r="B4180" s="2" t="s">
        <v>146</v>
      </c>
      <c r="C4180" s="2" t="s">
        <v>48</v>
      </c>
      <c r="D4180" s="2" t="s">
        <v>10</v>
      </c>
      <c r="E4180" s="2" t="s">
        <v>76</v>
      </c>
      <c r="F4180" s="2" t="s">
        <v>1146</v>
      </c>
      <c r="G4180" s="14" t="n">
        <v>9.5</v>
      </c>
      <c r="H4180" s="14" t="n">
        <v>9.64</v>
      </c>
      <c r="I4180" s="14" t="n">
        <v>9.5</v>
      </c>
      <c r="J4180" s="22" t="n">
        <f aca="false">IF(E4180="Priority",'Cost model'!N146,'Cost model'!M146)</f>
        <v>12.5</v>
      </c>
      <c r="K4180" s="14" t="n">
        <f aca="false">J4180-H4180</f>
        <v>2.86</v>
      </c>
      <c r="L4180" s="14" t="n">
        <f aca="false">G4180-H4180</f>
        <v>-0.140000000000001</v>
      </c>
    </row>
    <row r="4181" customFormat="false" ht="15" hidden="false" customHeight="false" outlineLevel="0" collapsed="false">
      <c r="A4181" s="2" t="s">
        <v>165</v>
      </c>
      <c r="B4181" s="2" t="s">
        <v>165</v>
      </c>
      <c r="C4181" s="2" t="s">
        <v>48</v>
      </c>
      <c r="D4181" s="2" t="s">
        <v>10</v>
      </c>
      <c r="E4181" s="2" t="s">
        <v>85</v>
      </c>
      <c r="F4181" s="2" t="s">
        <v>1145</v>
      </c>
      <c r="G4181" s="14" t="n">
        <v>14.5</v>
      </c>
      <c r="H4181" s="14" t="n">
        <v>6.14</v>
      </c>
      <c r="I4181" s="14" t="n">
        <v>14.5</v>
      </c>
      <c r="J4181" s="22" t="n">
        <f aca="false">IF(E4181="Priority",'Cost model'!N506,'Cost model'!M506)</f>
        <v>12.5</v>
      </c>
      <c r="K4181" s="14" t="n">
        <f aca="false">J4181-H4181</f>
        <v>6.36</v>
      </c>
      <c r="L4181" s="14" t="n">
        <f aca="false">G4181-H4181</f>
        <v>8.36</v>
      </c>
    </row>
    <row r="4182" customFormat="false" ht="15" hidden="false" customHeight="false" outlineLevel="0" collapsed="false">
      <c r="A4182" s="2" t="s">
        <v>240</v>
      </c>
      <c r="B4182" s="2" t="s">
        <v>146</v>
      </c>
      <c r="C4182" s="2" t="s">
        <v>48</v>
      </c>
      <c r="D4182" s="2" t="s">
        <v>10</v>
      </c>
      <c r="E4182" s="2" t="s">
        <v>76</v>
      </c>
      <c r="F4182" s="2" t="s">
        <v>1146</v>
      </c>
      <c r="G4182" s="14" t="n">
        <v>19.5</v>
      </c>
      <c r="H4182" s="14" t="n">
        <v>15.39</v>
      </c>
      <c r="I4182" s="14" t="n">
        <v>19.5</v>
      </c>
      <c r="J4182" s="22" t="n">
        <f aca="false">IF(E4182="Priority",'Cost model'!N920,'Cost model'!M920)</f>
        <v>16.5</v>
      </c>
      <c r="K4182" s="14" t="n">
        <f aca="false">J4182-H4182</f>
        <v>1.11</v>
      </c>
      <c r="L4182" s="14" t="n">
        <f aca="false">G4182-H4182</f>
        <v>4.11</v>
      </c>
    </row>
    <row r="4183" customFormat="false" ht="15" hidden="false" customHeight="false" outlineLevel="0" collapsed="false">
      <c r="A4183" s="2" t="s">
        <v>126</v>
      </c>
      <c r="B4183" s="2" t="s">
        <v>126</v>
      </c>
      <c r="C4183" s="2" t="s">
        <v>48</v>
      </c>
      <c r="D4183" s="2" t="s">
        <v>12</v>
      </c>
      <c r="E4183" s="2" t="s">
        <v>76</v>
      </c>
      <c r="F4183" s="2" t="s">
        <v>1145</v>
      </c>
      <c r="G4183" s="14" t="n">
        <v>9.5</v>
      </c>
      <c r="H4183" s="14" t="n">
        <v>12.61</v>
      </c>
      <c r="I4183" s="14" t="n">
        <v>9.5</v>
      </c>
      <c r="J4183" s="22" t="n">
        <f aca="false">IF(E4183="Priority",'Cost model'!N383,'Cost model'!M383)</f>
        <v>27.5</v>
      </c>
      <c r="K4183" s="14" t="n">
        <f aca="false">J4183-H4183</f>
        <v>14.89</v>
      </c>
      <c r="L4183" s="14" t="n">
        <f aca="false">G4183-H4183</f>
        <v>-3.11</v>
      </c>
    </row>
    <row r="4184" customFormat="false" ht="15" hidden="false" customHeight="false" outlineLevel="0" collapsed="false">
      <c r="A4184" s="2" t="s">
        <v>240</v>
      </c>
      <c r="B4184" s="2" t="s">
        <v>240</v>
      </c>
      <c r="C4184" s="2" t="s">
        <v>48</v>
      </c>
      <c r="D4184" s="2" t="s">
        <v>12</v>
      </c>
      <c r="E4184" s="2" t="s">
        <v>85</v>
      </c>
      <c r="F4184" s="2" t="s">
        <v>1145</v>
      </c>
      <c r="G4184" s="14" t="n">
        <v>19.5</v>
      </c>
      <c r="H4184" s="14" t="n">
        <v>16.64</v>
      </c>
      <c r="I4184" s="14" t="n">
        <v>19.5</v>
      </c>
      <c r="J4184" s="22" t="n">
        <f aca="false">IF(E4184="Priority",'Cost model'!N887,'Cost model'!M887)</f>
        <v>27.5</v>
      </c>
      <c r="K4184" s="14" t="n">
        <f aca="false">J4184-H4184</f>
        <v>10.86</v>
      </c>
      <c r="L4184" s="14" t="n">
        <f aca="false">G4184-H4184</f>
        <v>2.86</v>
      </c>
    </row>
    <row r="4185" customFormat="false" ht="15" hidden="false" customHeight="false" outlineLevel="0" collapsed="false">
      <c r="A4185" s="2" t="s">
        <v>184</v>
      </c>
      <c r="B4185" s="2" t="s">
        <v>126</v>
      </c>
      <c r="C4185" s="2" t="s">
        <v>49</v>
      </c>
      <c r="D4185" s="2" t="s">
        <v>10</v>
      </c>
      <c r="E4185" s="2" t="s">
        <v>76</v>
      </c>
      <c r="F4185" s="2" t="s">
        <v>1146</v>
      </c>
      <c r="G4185" s="14" t="n">
        <v>12.5</v>
      </c>
      <c r="H4185" s="14" t="n">
        <v>10.91</v>
      </c>
      <c r="I4185" s="14"/>
      <c r="J4185" s="22" t="n">
        <f aca="false">IF(E4185="Priority",'Cost model'!N129,'Cost model'!M129)</f>
        <v>13.5</v>
      </c>
      <c r="K4185" s="14" t="n">
        <f aca="false">J4185-H4185</f>
        <v>2.59</v>
      </c>
      <c r="L4185" s="14" t="n">
        <f aca="false">G4185-H4185</f>
        <v>1.59</v>
      </c>
    </row>
    <row r="4186" customFormat="false" ht="15" hidden="false" customHeight="false" outlineLevel="0" collapsed="false">
      <c r="A4186" s="2" t="s">
        <v>126</v>
      </c>
      <c r="B4186" s="2" t="s">
        <v>184</v>
      </c>
      <c r="C4186" s="2" t="s">
        <v>49</v>
      </c>
      <c r="D4186" s="2" t="s">
        <v>13</v>
      </c>
      <c r="E4186" s="2" t="s">
        <v>76</v>
      </c>
      <c r="F4186" s="2" t="s">
        <v>1146</v>
      </c>
      <c r="G4186" s="14" t="n">
        <v>24.5</v>
      </c>
      <c r="H4186" s="14" t="n">
        <v>59.35</v>
      </c>
      <c r="I4186" s="14" t="n">
        <v>24.5</v>
      </c>
      <c r="J4186" s="22" t="n">
        <f aca="false">IF(E4186="Priority",'Cost model'!N441,'Cost model'!M441)</f>
        <v>95</v>
      </c>
      <c r="K4186" s="14" t="n">
        <f aca="false">J4186-H4186</f>
        <v>35.65</v>
      </c>
      <c r="L4186" s="14" t="n">
        <f aca="false">G4186-H4186</f>
        <v>-34.85</v>
      </c>
    </row>
    <row r="4187" customFormat="false" ht="15" hidden="false" customHeight="false" outlineLevel="0" collapsed="false">
      <c r="A4187" s="2" t="s">
        <v>184</v>
      </c>
      <c r="B4187" s="2" t="s">
        <v>184</v>
      </c>
      <c r="C4187" s="2" t="s">
        <v>49</v>
      </c>
      <c r="D4187" s="2" t="s">
        <v>10</v>
      </c>
      <c r="E4187" s="2" t="s">
        <v>76</v>
      </c>
      <c r="F4187" s="2" t="s">
        <v>1145</v>
      </c>
      <c r="G4187" s="14" t="n">
        <v>12.5</v>
      </c>
      <c r="H4187" s="14" t="n">
        <v>11.22</v>
      </c>
      <c r="I4187" s="14"/>
      <c r="J4187" s="22" t="n">
        <f aca="false">IF(E4187="Priority",'Cost model'!N201,'Cost model'!M201)</f>
        <v>12.5</v>
      </c>
      <c r="K4187" s="14" t="n">
        <f aca="false">J4187-H4187</f>
        <v>1.28</v>
      </c>
      <c r="L4187" s="14" t="n">
        <f aca="false">G4187-H4187</f>
        <v>1.28</v>
      </c>
    </row>
    <row r="4188" customFormat="false" ht="15" hidden="false" customHeight="false" outlineLevel="0" collapsed="false">
      <c r="A4188" s="2" t="s">
        <v>184</v>
      </c>
      <c r="B4188" s="2" t="s">
        <v>184</v>
      </c>
      <c r="C4188" s="2" t="s">
        <v>48</v>
      </c>
      <c r="D4188" s="2" t="s">
        <v>12</v>
      </c>
      <c r="E4188" s="2" t="s">
        <v>76</v>
      </c>
      <c r="F4188" s="2" t="s">
        <v>1145</v>
      </c>
      <c r="G4188" s="14" t="n">
        <v>9.5</v>
      </c>
      <c r="H4188" s="14" t="n">
        <v>7.72</v>
      </c>
      <c r="I4188" s="14" t="n">
        <v>9.5</v>
      </c>
      <c r="J4188" s="22" t="n">
        <f aca="false">IF(E4188="Priority",'Cost model'!N203,'Cost model'!M203)</f>
        <v>26.5</v>
      </c>
      <c r="K4188" s="14" t="n">
        <f aca="false">J4188-H4188</f>
        <v>18.78</v>
      </c>
      <c r="L4188" s="14" t="n">
        <f aca="false">G4188-H4188</f>
        <v>1.78</v>
      </c>
    </row>
    <row r="4189" customFormat="false" ht="15" hidden="false" customHeight="false" outlineLevel="0" collapsed="false">
      <c r="A4189" s="2" t="s">
        <v>184</v>
      </c>
      <c r="B4189" s="2" t="s">
        <v>240</v>
      </c>
      <c r="C4189" s="2" t="s">
        <v>50</v>
      </c>
      <c r="D4189" s="2" t="s">
        <v>10</v>
      </c>
      <c r="E4189" s="2" t="s">
        <v>85</v>
      </c>
      <c r="F4189" s="2" t="s">
        <v>1146</v>
      </c>
      <c r="G4189" s="14" t="n">
        <v>34.5</v>
      </c>
      <c r="H4189" s="14" t="n">
        <v>20.83</v>
      </c>
      <c r="I4189" s="14" t="n">
        <v>34.5</v>
      </c>
      <c r="J4189" s="22" t="n">
        <f aca="false">IF(E4189="Priority",'Cost model'!N184,'Cost model'!M184)</f>
        <v>35</v>
      </c>
      <c r="K4189" s="14" t="n">
        <f aca="false">J4189-H4189</f>
        <v>14.17</v>
      </c>
      <c r="L4189" s="14" t="n">
        <f aca="false">G4189-H4189</f>
        <v>13.67</v>
      </c>
    </row>
    <row r="4190" customFormat="false" ht="15" hidden="false" customHeight="false" outlineLevel="0" collapsed="false">
      <c r="A4190" s="2" t="s">
        <v>184</v>
      </c>
      <c r="B4190" s="2" t="s">
        <v>184</v>
      </c>
      <c r="C4190" s="2" t="s">
        <v>48</v>
      </c>
      <c r="D4190" s="2" t="s">
        <v>10</v>
      </c>
      <c r="E4190" s="2" t="s">
        <v>76</v>
      </c>
      <c r="F4190" s="2" t="s">
        <v>1145</v>
      </c>
      <c r="G4190" s="14" t="n">
        <v>9.5</v>
      </c>
      <c r="H4190" s="14" t="n">
        <v>5.94</v>
      </c>
      <c r="I4190" s="14" t="n">
        <v>9.5</v>
      </c>
      <c r="J4190" s="22" t="n">
        <f aca="false">IF(E4190="Priority",'Cost model'!N200,'Cost model'!M200)</f>
        <v>7.5</v>
      </c>
      <c r="K4190" s="14" t="n">
        <f aca="false">J4190-H4190</f>
        <v>1.56</v>
      </c>
      <c r="L4190" s="14" t="n">
        <f aca="false">G4190-H4190</f>
        <v>3.56</v>
      </c>
    </row>
    <row r="4191" customFormat="false" ht="15" hidden="false" customHeight="false" outlineLevel="0" collapsed="false">
      <c r="A4191" s="2" t="s">
        <v>184</v>
      </c>
      <c r="B4191" s="2" t="s">
        <v>184</v>
      </c>
      <c r="C4191" s="2" t="s">
        <v>48</v>
      </c>
      <c r="D4191" s="2" t="s">
        <v>10</v>
      </c>
      <c r="E4191" s="2" t="s">
        <v>76</v>
      </c>
      <c r="F4191" s="2" t="s">
        <v>1145</v>
      </c>
      <c r="G4191" s="14" t="n">
        <v>9.5</v>
      </c>
      <c r="H4191" s="14" t="n">
        <v>7.72</v>
      </c>
      <c r="I4191" s="14" t="n">
        <v>9.5</v>
      </c>
      <c r="J4191" s="22" t="n">
        <f aca="false">IF(E4191="Priority",'Cost model'!N200,'Cost model'!M200)</f>
        <v>7.5</v>
      </c>
      <c r="K4191" s="14" t="n">
        <f aca="false">J4191-H4191</f>
        <v>-0.22</v>
      </c>
      <c r="L4191" s="14" t="n">
        <f aca="false">G4191-H4191</f>
        <v>1.78</v>
      </c>
    </row>
    <row r="4192" customFormat="false" ht="15" hidden="false" customHeight="false" outlineLevel="0" collapsed="false">
      <c r="A4192" s="2" t="s">
        <v>125</v>
      </c>
      <c r="B4192" s="2" t="s">
        <v>125</v>
      </c>
      <c r="C4192" s="2" t="s">
        <v>48</v>
      </c>
      <c r="D4192" s="2" t="s">
        <v>14</v>
      </c>
      <c r="E4192" s="2" t="s">
        <v>76</v>
      </c>
      <c r="F4192" s="2" t="s">
        <v>1145</v>
      </c>
      <c r="G4192" s="14" t="n">
        <v>85.5</v>
      </c>
      <c r="H4192" s="14" t="n">
        <v>122.56</v>
      </c>
      <c r="I4192" s="14" t="n">
        <v>25</v>
      </c>
      <c r="J4192" s="22" t="n">
        <f aca="false">IF(E4192="Priority",'Cost model'!N83,'Cost model'!M83)</f>
        <v>210</v>
      </c>
      <c r="K4192" s="14" t="n">
        <f aca="false">J4192-H4192</f>
        <v>87.44</v>
      </c>
      <c r="L4192" s="14" t="n">
        <f aca="false">G4192-H4192</f>
        <v>-37.06</v>
      </c>
    </row>
    <row r="4193" customFormat="false" ht="15" hidden="false" customHeight="false" outlineLevel="0" collapsed="false">
      <c r="A4193" s="2" t="s">
        <v>184</v>
      </c>
      <c r="B4193" s="2" t="s">
        <v>184</v>
      </c>
      <c r="C4193" s="2" t="s">
        <v>48</v>
      </c>
      <c r="D4193" s="2" t="s">
        <v>12</v>
      </c>
      <c r="E4193" s="2" t="s">
        <v>76</v>
      </c>
      <c r="F4193" s="2" t="s">
        <v>1145</v>
      </c>
      <c r="G4193" s="14" t="n">
        <v>9.5</v>
      </c>
      <c r="H4193" s="14" t="n">
        <v>30.26</v>
      </c>
      <c r="I4193" s="14" t="n">
        <v>9.5</v>
      </c>
      <c r="J4193" s="22" t="n">
        <f aca="false">IF(E4193="Priority",'Cost model'!N203,'Cost model'!M203)</f>
        <v>26.5</v>
      </c>
      <c r="K4193" s="14" t="n">
        <f aca="false">J4193-H4193</f>
        <v>-3.76</v>
      </c>
      <c r="L4193" s="14" t="n">
        <f aca="false">G4193-H4193</f>
        <v>-20.76</v>
      </c>
    </row>
    <row r="4194" customFormat="false" ht="15" hidden="false" customHeight="false" outlineLevel="0" collapsed="false">
      <c r="A4194" s="2" t="s">
        <v>184</v>
      </c>
      <c r="B4194" s="2" t="s">
        <v>184</v>
      </c>
      <c r="C4194" s="2" t="s">
        <v>48</v>
      </c>
      <c r="D4194" s="2" t="s">
        <v>10</v>
      </c>
      <c r="E4194" s="2" t="s">
        <v>76</v>
      </c>
      <c r="F4194" s="2" t="s">
        <v>1145</v>
      </c>
      <c r="G4194" s="14" t="n">
        <v>9.5</v>
      </c>
      <c r="H4194" s="14" t="n">
        <v>5.94</v>
      </c>
      <c r="I4194" s="14" t="n">
        <v>9.5</v>
      </c>
      <c r="J4194" s="22" t="n">
        <f aca="false">IF(E4194="Priority",'Cost model'!N200,'Cost model'!M200)</f>
        <v>7.5</v>
      </c>
      <c r="K4194" s="14" t="n">
        <f aca="false">J4194-H4194</f>
        <v>1.56</v>
      </c>
      <c r="L4194" s="14" t="n">
        <f aca="false">G4194-H4194</f>
        <v>3.56</v>
      </c>
    </row>
    <row r="4195" customFormat="false" ht="15" hidden="false" customHeight="false" outlineLevel="0" collapsed="false">
      <c r="A4195" s="2" t="s">
        <v>126</v>
      </c>
      <c r="B4195" s="2" t="s">
        <v>126</v>
      </c>
      <c r="C4195" s="2" t="s">
        <v>48</v>
      </c>
      <c r="D4195" s="2" t="s">
        <v>15</v>
      </c>
      <c r="E4195" s="2" t="s">
        <v>76</v>
      </c>
      <c r="F4195" s="2" t="s">
        <v>1145</v>
      </c>
      <c r="G4195" s="14" t="n">
        <v>45</v>
      </c>
      <c r="H4195" s="14" t="n">
        <v>118.78</v>
      </c>
      <c r="I4195" s="14" t="n">
        <v>45</v>
      </c>
      <c r="J4195" s="22" t="n">
        <f aca="false">IF(E4195="Priority",'Cost model'!N392,'Cost model'!M392)</f>
        <v>115</v>
      </c>
      <c r="K4195" s="14" t="n">
        <f aca="false">J4195-H4195</f>
        <v>-3.78</v>
      </c>
      <c r="L4195" s="14" t="n">
        <f aca="false">G4195-H4195</f>
        <v>-73.78</v>
      </c>
    </row>
    <row r="4196" customFormat="false" ht="15" hidden="false" customHeight="false" outlineLevel="0" collapsed="false">
      <c r="A4196" s="2" t="s">
        <v>126</v>
      </c>
      <c r="B4196" s="2" t="s">
        <v>126</v>
      </c>
      <c r="C4196" s="2" t="s">
        <v>49</v>
      </c>
      <c r="D4196" s="2" t="s">
        <v>12</v>
      </c>
      <c r="E4196" s="2" t="s">
        <v>76</v>
      </c>
      <c r="F4196" s="2" t="s">
        <v>1145</v>
      </c>
      <c r="G4196" s="14" t="n">
        <v>12.5</v>
      </c>
      <c r="H4196" s="14" t="n">
        <v>33.08</v>
      </c>
      <c r="I4196" s="14" t="n">
        <v>12.5</v>
      </c>
      <c r="J4196" s="22" t="n">
        <f aca="false">IF(E4196="Priority",'Cost model'!N384,'Cost model'!M384)</f>
        <v>45</v>
      </c>
      <c r="K4196" s="14" t="n">
        <f aca="false">J4196-H4196</f>
        <v>11.92</v>
      </c>
      <c r="L4196" s="14" t="n">
        <f aca="false">G4196-H4196</f>
        <v>-20.58</v>
      </c>
    </row>
    <row r="4197" customFormat="false" ht="15" hidden="false" customHeight="false" outlineLevel="0" collapsed="false">
      <c r="A4197" s="2" t="s">
        <v>184</v>
      </c>
      <c r="B4197" s="2" t="s">
        <v>184</v>
      </c>
      <c r="C4197" s="2" t="s">
        <v>48</v>
      </c>
      <c r="D4197" s="2" t="s">
        <v>10</v>
      </c>
      <c r="E4197" s="2" t="s">
        <v>76</v>
      </c>
      <c r="F4197" s="2" t="s">
        <v>1145</v>
      </c>
      <c r="G4197" s="14" t="n">
        <v>9.5</v>
      </c>
      <c r="H4197" s="14" t="n">
        <v>6.24</v>
      </c>
      <c r="I4197" s="14" t="n">
        <v>9.5</v>
      </c>
      <c r="J4197" s="22" t="n">
        <f aca="false">IF(E4197="Priority",'Cost model'!N200,'Cost model'!M200)</f>
        <v>7.5</v>
      </c>
      <c r="K4197" s="14" t="n">
        <f aca="false">J4197-H4197</f>
        <v>1.26</v>
      </c>
      <c r="L4197" s="14" t="n">
        <f aca="false">G4197-H4197</f>
        <v>3.26</v>
      </c>
    </row>
    <row r="4198" customFormat="false" ht="15" hidden="false" customHeight="false" outlineLevel="0" collapsed="false">
      <c r="A4198" s="2" t="s">
        <v>240</v>
      </c>
      <c r="B4198" s="2" t="s">
        <v>240</v>
      </c>
      <c r="C4198" s="2" t="s">
        <v>48</v>
      </c>
      <c r="D4198" s="2" t="s">
        <v>13</v>
      </c>
      <c r="E4198" s="2" t="s">
        <v>76</v>
      </c>
      <c r="F4198" s="2" t="s">
        <v>1145</v>
      </c>
      <c r="G4198" s="14" t="n">
        <v>19.5</v>
      </c>
      <c r="H4198" s="14" t="n">
        <v>13.9</v>
      </c>
      <c r="I4198" s="14" t="n">
        <v>19.5</v>
      </c>
      <c r="J4198" s="22" t="n">
        <f aca="false">IF(E4198="Priority",'Cost model'!N890,'Cost model'!M890)</f>
        <v>45</v>
      </c>
      <c r="K4198" s="14" t="n">
        <f aca="false">J4198-H4198</f>
        <v>31.1</v>
      </c>
      <c r="L4198" s="14" t="n">
        <f aca="false">G4198-H4198</f>
        <v>5.6</v>
      </c>
    </row>
    <row r="4199" customFormat="false" ht="15" hidden="false" customHeight="false" outlineLevel="0" collapsed="false">
      <c r="A4199" s="2" t="s">
        <v>184</v>
      </c>
      <c r="B4199" s="2" t="s">
        <v>184</v>
      </c>
      <c r="C4199" s="2" t="s">
        <v>50</v>
      </c>
      <c r="D4199" s="2" t="s">
        <v>13</v>
      </c>
      <c r="E4199" s="2" t="s">
        <v>76</v>
      </c>
      <c r="F4199" s="2" t="s">
        <v>1145</v>
      </c>
      <c r="G4199" s="14" t="n">
        <v>50</v>
      </c>
      <c r="H4199" s="14" t="n">
        <v>69.34</v>
      </c>
      <c r="I4199" s="14" t="n">
        <v>50</v>
      </c>
      <c r="J4199" s="22" t="n">
        <f aca="false">IF(E4199="Priority",'Cost model'!N208,'Cost model'!M208)</f>
        <v>80</v>
      </c>
      <c r="K4199" s="14" t="n">
        <f aca="false">J4199-H4199</f>
        <v>10.66</v>
      </c>
      <c r="L4199" s="14" t="n">
        <f aca="false">G4199-H4199</f>
        <v>-19.34</v>
      </c>
    </row>
    <row r="4200" customFormat="false" ht="15" hidden="false" customHeight="false" outlineLevel="0" collapsed="false">
      <c r="A4200" s="2" t="s">
        <v>126</v>
      </c>
      <c r="B4200" s="2" t="s">
        <v>126</v>
      </c>
      <c r="C4200" s="2" t="s">
        <v>48</v>
      </c>
      <c r="D4200" s="2" t="s">
        <v>10</v>
      </c>
      <c r="E4200" s="2" t="s">
        <v>76</v>
      </c>
      <c r="F4200" s="2" t="s">
        <v>1145</v>
      </c>
      <c r="G4200" s="14" t="n">
        <v>9.5</v>
      </c>
      <c r="H4200" s="14" t="n">
        <v>8.01</v>
      </c>
      <c r="I4200" s="14" t="n">
        <v>9.5</v>
      </c>
      <c r="J4200" s="22" t="n">
        <f aca="false">IF(E4200="Priority",'Cost model'!N380,'Cost model'!M380)</f>
        <v>8.5</v>
      </c>
      <c r="K4200" s="14" t="n">
        <f aca="false">J4200-H4200</f>
        <v>0.49</v>
      </c>
      <c r="L4200" s="14" t="n">
        <f aca="false">G4200-H4200</f>
        <v>1.49</v>
      </c>
    </row>
    <row r="4201" customFormat="false" ht="15" hidden="false" customHeight="false" outlineLevel="0" collapsed="false">
      <c r="A4201" s="2" t="s">
        <v>126</v>
      </c>
      <c r="B4201" s="2" t="s">
        <v>126</v>
      </c>
      <c r="C4201" s="2" t="s">
        <v>48</v>
      </c>
      <c r="D4201" s="2" t="s">
        <v>10</v>
      </c>
      <c r="E4201" s="2" t="s">
        <v>76</v>
      </c>
      <c r="F4201" s="2" t="s">
        <v>1145</v>
      </c>
      <c r="G4201" s="14" t="n">
        <v>9.5</v>
      </c>
      <c r="H4201" s="14" t="n">
        <v>5.25</v>
      </c>
      <c r="I4201" s="14" t="n">
        <v>9.5</v>
      </c>
      <c r="J4201" s="22" t="n">
        <f aca="false">IF(E4201="Priority",'Cost model'!N380,'Cost model'!M380)</f>
        <v>8.5</v>
      </c>
      <c r="K4201" s="14" t="n">
        <f aca="false">J4201-H4201</f>
        <v>3.25</v>
      </c>
      <c r="L4201" s="14" t="n">
        <f aca="false">G4201-H4201</f>
        <v>4.25</v>
      </c>
    </row>
    <row r="4202" customFormat="false" ht="15" hidden="false" customHeight="false" outlineLevel="0" collapsed="false">
      <c r="A4202" s="2" t="s">
        <v>184</v>
      </c>
      <c r="B4202" s="2" t="s">
        <v>184</v>
      </c>
      <c r="C4202" s="2" t="s">
        <v>48</v>
      </c>
      <c r="D4202" s="2" t="s">
        <v>12</v>
      </c>
      <c r="E4202" s="2" t="s">
        <v>76</v>
      </c>
      <c r="F4202" s="2" t="s">
        <v>1145</v>
      </c>
      <c r="G4202" s="14" t="n">
        <v>9.5</v>
      </c>
      <c r="H4202" s="14" t="n">
        <v>7.72</v>
      </c>
      <c r="I4202" s="14" t="n">
        <v>9.5</v>
      </c>
      <c r="J4202" s="22" t="n">
        <f aca="false">IF(E4202="Priority",'Cost model'!N203,'Cost model'!M203)</f>
        <v>26.5</v>
      </c>
      <c r="K4202" s="14" t="n">
        <f aca="false">J4202-H4202</f>
        <v>18.78</v>
      </c>
      <c r="L4202" s="14" t="n">
        <f aca="false">G4202-H4202</f>
        <v>1.78</v>
      </c>
    </row>
    <row r="4203" customFormat="false" ht="15" hidden="false" customHeight="false" outlineLevel="0" collapsed="false">
      <c r="A4203" s="2" t="s">
        <v>146</v>
      </c>
      <c r="B4203" s="2" t="s">
        <v>165</v>
      </c>
      <c r="C4203" s="2" t="s">
        <v>48</v>
      </c>
      <c r="D4203" s="2" t="s">
        <v>10</v>
      </c>
      <c r="E4203" s="2" t="s">
        <v>76</v>
      </c>
      <c r="F4203" s="2" t="s">
        <v>1146</v>
      </c>
      <c r="G4203" s="14" t="n">
        <v>14.5</v>
      </c>
      <c r="H4203" s="14" t="n">
        <v>12.98</v>
      </c>
      <c r="I4203" s="14" t="n">
        <v>14.5</v>
      </c>
      <c r="J4203" s="22" t="n">
        <f aca="false">IF(E4203="Priority",'Cost model'!N776,'Cost model'!M776)</f>
        <v>13.5</v>
      </c>
      <c r="K4203" s="14" t="n">
        <f aca="false">J4203-H4203</f>
        <v>0.52</v>
      </c>
      <c r="L4203" s="14" t="n">
        <f aca="false">G4203-H4203</f>
        <v>1.52</v>
      </c>
    </row>
    <row r="4204" customFormat="false" ht="15" hidden="false" customHeight="false" outlineLevel="0" collapsed="false">
      <c r="A4204" s="2" t="s">
        <v>184</v>
      </c>
      <c r="B4204" s="2" t="s">
        <v>184</v>
      </c>
      <c r="C4204" s="2" t="s">
        <v>48</v>
      </c>
      <c r="D4204" s="2" t="s">
        <v>12</v>
      </c>
      <c r="E4204" s="2" t="s">
        <v>76</v>
      </c>
      <c r="F4204" s="2" t="s">
        <v>1145</v>
      </c>
      <c r="G4204" s="14" t="n">
        <v>9.5</v>
      </c>
      <c r="H4204" s="14" t="n">
        <v>7.69</v>
      </c>
      <c r="I4204" s="14" t="n">
        <v>9.5</v>
      </c>
      <c r="J4204" s="22" t="n">
        <f aca="false">IF(E4204="Priority",'Cost model'!N203,'Cost model'!M203)</f>
        <v>26.5</v>
      </c>
      <c r="K4204" s="14" t="n">
        <f aca="false">J4204-H4204</f>
        <v>18.81</v>
      </c>
      <c r="L4204" s="14" t="n">
        <f aca="false">G4204-H4204</f>
        <v>1.81</v>
      </c>
    </row>
    <row r="4205" customFormat="false" ht="15" hidden="false" customHeight="false" outlineLevel="0" collapsed="false">
      <c r="A4205" s="2" t="s">
        <v>146</v>
      </c>
      <c r="B4205" s="2" t="s">
        <v>146</v>
      </c>
      <c r="C4205" s="2" t="s">
        <v>48</v>
      </c>
      <c r="D4205" s="2" t="s">
        <v>12</v>
      </c>
      <c r="E4205" s="2" t="s">
        <v>85</v>
      </c>
      <c r="F4205" s="2" t="s">
        <v>1145</v>
      </c>
      <c r="G4205" s="14" t="n">
        <v>19.5</v>
      </c>
      <c r="H4205" s="14" t="n">
        <v>45.93</v>
      </c>
      <c r="I4205" s="14" t="n">
        <v>19.5</v>
      </c>
      <c r="J4205" s="22" t="n">
        <f aca="false">IF(E4205="Priority",'Cost model'!N761,'Cost model'!M761)</f>
        <v>45</v>
      </c>
      <c r="K4205" s="14" t="n">
        <f aca="false">J4205-H4205</f>
        <v>-0.93</v>
      </c>
      <c r="L4205" s="14" t="n">
        <f aca="false">G4205-H4205</f>
        <v>-26.43</v>
      </c>
    </row>
    <row r="4206" customFormat="false" ht="15" hidden="false" customHeight="false" outlineLevel="0" collapsed="false">
      <c r="A4206" s="2" t="s">
        <v>240</v>
      </c>
      <c r="B4206" s="2" t="s">
        <v>240</v>
      </c>
      <c r="C4206" s="2" t="s">
        <v>48</v>
      </c>
      <c r="D4206" s="2" t="s">
        <v>10</v>
      </c>
      <c r="E4206" s="2" t="s">
        <v>76</v>
      </c>
      <c r="F4206" s="2" t="s">
        <v>1145</v>
      </c>
      <c r="G4206" s="14" t="n">
        <v>9.5</v>
      </c>
      <c r="H4206" s="14" t="n">
        <v>7.12</v>
      </c>
      <c r="I4206" s="14" t="n">
        <v>9.5</v>
      </c>
      <c r="J4206" s="22" t="n">
        <f aca="false">IF(E4206="Priority",'Cost model'!N884,'Cost model'!M884)</f>
        <v>7.5</v>
      </c>
      <c r="K4206" s="14" t="n">
        <f aca="false">J4206-H4206</f>
        <v>0.38</v>
      </c>
      <c r="L4206" s="14" t="n">
        <f aca="false">G4206-H4206</f>
        <v>2.38</v>
      </c>
    </row>
    <row r="4207" customFormat="false" ht="15" hidden="false" customHeight="false" outlineLevel="0" collapsed="false">
      <c r="A4207" s="2" t="s">
        <v>126</v>
      </c>
      <c r="B4207" s="2" t="s">
        <v>126</v>
      </c>
      <c r="C4207" s="2" t="s">
        <v>49</v>
      </c>
      <c r="D4207" s="2" t="s">
        <v>12</v>
      </c>
      <c r="E4207" s="2" t="s">
        <v>76</v>
      </c>
      <c r="F4207" s="2" t="s">
        <v>1145</v>
      </c>
      <c r="G4207" s="14" t="n">
        <v>12.5</v>
      </c>
      <c r="H4207" s="14" t="n">
        <v>43.25</v>
      </c>
      <c r="I4207" s="14" t="n">
        <v>12.5</v>
      </c>
      <c r="J4207" s="22" t="n">
        <f aca="false">IF(E4207="Priority",'Cost model'!N384,'Cost model'!M384)</f>
        <v>45</v>
      </c>
      <c r="K4207" s="14" t="n">
        <f aca="false">J4207-H4207</f>
        <v>1.75</v>
      </c>
      <c r="L4207" s="14" t="n">
        <f aca="false">G4207-H4207</f>
        <v>-30.75</v>
      </c>
    </row>
    <row r="4208" customFormat="false" ht="15" hidden="false" customHeight="false" outlineLevel="0" collapsed="false">
      <c r="A4208" s="2" t="s">
        <v>240</v>
      </c>
      <c r="B4208" s="2" t="s">
        <v>240</v>
      </c>
      <c r="C4208" s="2" t="s">
        <v>50</v>
      </c>
      <c r="D4208" s="2" t="s">
        <v>10</v>
      </c>
      <c r="E4208" s="2" t="s">
        <v>76</v>
      </c>
      <c r="F4208" s="2" t="s">
        <v>1145</v>
      </c>
      <c r="G4208" s="14" t="n">
        <v>17.5</v>
      </c>
      <c r="H4208" s="14" t="n">
        <v>11.34</v>
      </c>
      <c r="I4208" s="14" t="n">
        <v>17.5</v>
      </c>
      <c r="J4208" s="22" t="n">
        <f aca="false">IF(E4208="Priority",'Cost model'!N886,'Cost model'!M886)</f>
        <v>17.5</v>
      </c>
      <c r="K4208" s="14" t="n">
        <f aca="false">J4208-H4208</f>
        <v>6.16</v>
      </c>
      <c r="L4208" s="14" t="n">
        <f aca="false">G4208-H4208</f>
        <v>6.16</v>
      </c>
    </row>
    <row r="4209" customFormat="false" ht="15" hidden="false" customHeight="false" outlineLevel="0" collapsed="false">
      <c r="A4209" s="2" t="s">
        <v>146</v>
      </c>
      <c r="B4209" s="2" t="s">
        <v>146</v>
      </c>
      <c r="C4209" s="2" t="s">
        <v>49</v>
      </c>
      <c r="D4209" s="2" t="s">
        <v>12</v>
      </c>
      <c r="E4209" s="2" t="s">
        <v>76</v>
      </c>
      <c r="F4209" s="2" t="s">
        <v>1145</v>
      </c>
      <c r="G4209" s="14" t="n">
        <v>12.5</v>
      </c>
      <c r="H4209" s="14" t="n">
        <v>43.59</v>
      </c>
      <c r="I4209" s="14" t="n">
        <v>12.5</v>
      </c>
      <c r="J4209" s="22" t="n">
        <f aca="false">IF(E4209="Priority",'Cost model'!N762,'Cost model'!M762)</f>
        <v>45</v>
      </c>
      <c r="K4209" s="14" t="n">
        <f aca="false">J4209-H4209</f>
        <v>1.41</v>
      </c>
      <c r="L4209" s="14" t="n">
        <f aca="false">G4209-H4209</f>
        <v>-31.09</v>
      </c>
    </row>
    <row r="4210" customFormat="false" ht="15" hidden="false" customHeight="false" outlineLevel="0" collapsed="false">
      <c r="A4210" s="2" t="s">
        <v>184</v>
      </c>
      <c r="B4210" s="2" t="s">
        <v>146</v>
      </c>
      <c r="C4210" s="2" t="s">
        <v>48</v>
      </c>
      <c r="D4210" s="2" t="s">
        <v>12</v>
      </c>
      <c r="E4210" s="2" t="s">
        <v>76</v>
      </c>
      <c r="F4210" s="2" t="s">
        <v>1146</v>
      </c>
      <c r="G4210" s="14" t="n">
        <v>9.5</v>
      </c>
      <c r="H4210" s="14" t="n">
        <v>49.12</v>
      </c>
      <c r="I4210" s="14" t="n">
        <v>9.5</v>
      </c>
      <c r="J4210" s="22" t="n">
        <f aca="false">IF(E4210="Priority",'Cost model'!N149,'Cost model'!M149)</f>
        <v>45</v>
      </c>
      <c r="K4210" s="14" t="n">
        <f aca="false">J4210-H4210</f>
        <v>-4.12</v>
      </c>
      <c r="L4210" s="14" t="n">
        <f aca="false">G4210-H4210</f>
        <v>-39.62</v>
      </c>
    </row>
    <row r="4211" customFormat="false" ht="15" hidden="false" customHeight="false" outlineLevel="0" collapsed="false">
      <c r="A4211" s="2" t="s">
        <v>240</v>
      </c>
      <c r="B4211" s="2" t="s">
        <v>240</v>
      </c>
      <c r="C4211" s="2" t="s">
        <v>48</v>
      </c>
      <c r="D4211" s="2" t="s">
        <v>10</v>
      </c>
      <c r="E4211" s="2" t="s">
        <v>76</v>
      </c>
      <c r="F4211" s="2" t="s">
        <v>1145</v>
      </c>
      <c r="G4211" s="14" t="n">
        <v>9.5</v>
      </c>
      <c r="H4211" s="14" t="n">
        <v>5.95</v>
      </c>
      <c r="I4211" s="14" t="n">
        <v>9.5</v>
      </c>
      <c r="J4211" s="22" t="n">
        <f aca="false">IF(E4211="Priority",'Cost model'!N884,'Cost model'!M884)</f>
        <v>7.5</v>
      </c>
      <c r="K4211" s="14" t="n">
        <f aca="false">J4211-H4211</f>
        <v>1.55</v>
      </c>
      <c r="L4211" s="14" t="n">
        <f aca="false">G4211-H4211</f>
        <v>3.55</v>
      </c>
    </row>
    <row r="4212" customFormat="false" ht="15" hidden="false" customHeight="false" outlineLevel="0" collapsed="false">
      <c r="A4212" s="2" t="s">
        <v>126</v>
      </c>
      <c r="B4212" s="2" t="s">
        <v>184</v>
      </c>
      <c r="C4212" s="2" t="s">
        <v>49</v>
      </c>
      <c r="D4212" s="2" t="s">
        <v>12</v>
      </c>
      <c r="E4212" s="2" t="s">
        <v>76</v>
      </c>
      <c r="F4212" s="2" t="s">
        <v>1146</v>
      </c>
      <c r="G4212" s="14" t="n">
        <v>19.5</v>
      </c>
      <c r="H4212" s="14" t="n">
        <v>54.29</v>
      </c>
      <c r="I4212" s="14" t="n">
        <v>19.5</v>
      </c>
      <c r="J4212" s="22" t="n">
        <f aca="false">IF(E4212="Priority",'Cost model'!N438,'Cost model'!M438)</f>
        <v>55</v>
      </c>
      <c r="K4212" s="14" t="n">
        <f aca="false">J4212-H4212</f>
        <v>0.710000000000001</v>
      </c>
      <c r="L4212" s="14" t="n">
        <f aca="false">G4212-H4212</f>
        <v>-34.79</v>
      </c>
    </row>
    <row r="4213" customFormat="false" ht="15" hidden="false" customHeight="false" outlineLevel="0" collapsed="false">
      <c r="A4213" s="2" t="s">
        <v>146</v>
      </c>
      <c r="B4213" s="2" t="s">
        <v>146</v>
      </c>
      <c r="C4213" s="2" t="s">
        <v>50</v>
      </c>
      <c r="D4213" s="2" t="s">
        <v>10</v>
      </c>
      <c r="E4213" s="2" t="s">
        <v>76</v>
      </c>
      <c r="F4213" s="2" t="s">
        <v>1145</v>
      </c>
      <c r="G4213" s="14" t="n">
        <v>17.5</v>
      </c>
      <c r="H4213" s="14" t="n">
        <v>21.34</v>
      </c>
      <c r="I4213" s="14" t="n">
        <v>17.5</v>
      </c>
      <c r="J4213" s="22" t="n">
        <f aca="false">IF(E4213="Priority",'Cost model'!N760,'Cost model'!M760)</f>
        <v>18.5</v>
      </c>
      <c r="K4213" s="14" t="n">
        <f aca="false">J4213-H4213</f>
        <v>-2.84</v>
      </c>
      <c r="L4213" s="14" t="n">
        <f aca="false">G4213-H4213</f>
        <v>-3.84</v>
      </c>
    </row>
    <row r="4214" customFormat="false" ht="15" hidden="false" customHeight="false" outlineLevel="0" collapsed="false">
      <c r="A4214" s="2" t="s">
        <v>184</v>
      </c>
      <c r="B4214" s="2" t="s">
        <v>184</v>
      </c>
      <c r="C4214" s="2" t="s">
        <v>48</v>
      </c>
      <c r="D4214" s="2" t="s">
        <v>12</v>
      </c>
      <c r="E4214" s="2" t="s">
        <v>76</v>
      </c>
      <c r="F4214" s="2" t="s">
        <v>1145</v>
      </c>
      <c r="G4214" s="14" t="n">
        <v>9.5</v>
      </c>
      <c r="H4214" s="14" t="n">
        <v>7.69</v>
      </c>
      <c r="I4214" s="14" t="n">
        <v>9.5</v>
      </c>
      <c r="J4214" s="22" t="n">
        <f aca="false">IF(E4214="Priority",'Cost model'!N203,'Cost model'!M203)</f>
        <v>26.5</v>
      </c>
      <c r="K4214" s="14" t="n">
        <f aca="false">J4214-H4214</f>
        <v>18.81</v>
      </c>
      <c r="L4214" s="14" t="n">
        <f aca="false">G4214-H4214</f>
        <v>1.81</v>
      </c>
    </row>
    <row r="4215" customFormat="false" ht="15" hidden="false" customHeight="false" outlineLevel="0" collapsed="false">
      <c r="A4215" s="2" t="s">
        <v>184</v>
      </c>
      <c r="B4215" s="2" t="s">
        <v>184</v>
      </c>
      <c r="C4215" s="2" t="s">
        <v>48</v>
      </c>
      <c r="D4215" s="2" t="s">
        <v>12</v>
      </c>
      <c r="E4215" s="2" t="s">
        <v>76</v>
      </c>
      <c r="F4215" s="2" t="s">
        <v>1145</v>
      </c>
      <c r="G4215" s="14" t="n">
        <v>9.5</v>
      </c>
      <c r="H4215" s="14" t="n">
        <v>7.45</v>
      </c>
      <c r="I4215" s="14" t="n">
        <v>9.5</v>
      </c>
      <c r="J4215" s="22" t="n">
        <f aca="false">IF(E4215="Priority",'Cost model'!N203,'Cost model'!M203)</f>
        <v>26.5</v>
      </c>
      <c r="K4215" s="14" t="n">
        <f aca="false">J4215-H4215</f>
        <v>19.05</v>
      </c>
      <c r="L4215" s="14" t="n">
        <f aca="false">G4215-H4215</f>
        <v>2.05</v>
      </c>
    </row>
    <row r="4216" customFormat="false" ht="15" hidden="false" customHeight="false" outlineLevel="0" collapsed="false">
      <c r="A4216" s="2" t="s">
        <v>184</v>
      </c>
      <c r="B4216" s="2" t="s">
        <v>184</v>
      </c>
      <c r="C4216" s="2" t="s">
        <v>49</v>
      </c>
      <c r="D4216" s="2" t="s">
        <v>12</v>
      </c>
      <c r="E4216" s="2" t="s">
        <v>76</v>
      </c>
      <c r="F4216" s="2" t="s">
        <v>1145</v>
      </c>
      <c r="G4216" s="14" t="n">
        <v>12.5</v>
      </c>
      <c r="H4216" s="14" t="n">
        <v>41.77</v>
      </c>
      <c r="I4216" s="14"/>
      <c r="J4216" s="22" t="n">
        <f aca="false">IF(E4216="Priority",'Cost model'!N204,'Cost model'!M204)</f>
        <v>45</v>
      </c>
      <c r="K4216" s="14" t="n">
        <f aca="false">J4216-H4216</f>
        <v>3.23</v>
      </c>
      <c r="L4216" s="14" t="n">
        <f aca="false">G4216-H4216</f>
        <v>-29.27</v>
      </c>
    </row>
    <row r="4217" customFormat="false" ht="15" hidden="false" customHeight="false" outlineLevel="0" collapsed="false">
      <c r="A4217" s="2" t="s">
        <v>126</v>
      </c>
      <c r="B4217" s="2" t="s">
        <v>126</v>
      </c>
      <c r="C4217" s="2" t="s">
        <v>50</v>
      </c>
      <c r="D4217" s="2" t="s">
        <v>10</v>
      </c>
      <c r="E4217" s="2" t="s">
        <v>76</v>
      </c>
      <c r="F4217" s="2" t="s">
        <v>1145</v>
      </c>
      <c r="G4217" s="14" t="n">
        <v>17.5</v>
      </c>
      <c r="H4217" s="14" t="n">
        <v>24.17</v>
      </c>
      <c r="I4217" s="14" t="n">
        <v>17.5</v>
      </c>
      <c r="J4217" s="22" t="n">
        <f aca="false">IF(E4217="Priority",'Cost model'!N382,'Cost model'!M382)</f>
        <v>18.5</v>
      </c>
      <c r="K4217" s="14" t="n">
        <f aca="false">J4217-H4217</f>
        <v>-5.67</v>
      </c>
      <c r="L4217" s="14" t="n">
        <f aca="false">G4217-H4217</f>
        <v>-6.67</v>
      </c>
    </row>
    <row r="4218" customFormat="false" ht="15" hidden="false" customHeight="false" outlineLevel="0" collapsed="false">
      <c r="A4218" s="2" t="s">
        <v>184</v>
      </c>
      <c r="B4218" s="2" t="s">
        <v>184</v>
      </c>
      <c r="C4218" s="2" t="s">
        <v>49</v>
      </c>
      <c r="D4218" s="2" t="s">
        <v>14</v>
      </c>
      <c r="E4218" s="2" t="s">
        <v>76</v>
      </c>
      <c r="F4218" s="2" t="s">
        <v>1145</v>
      </c>
      <c r="G4218" s="14" t="n">
        <v>45</v>
      </c>
      <c r="H4218" s="14" t="n">
        <v>91.38</v>
      </c>
      <c r="I4218" s="14"/>
      <c r="J4218" s="22" t="n">
        <f aca="false">IF(E4218="Priority",'Cost model'!N210,'Cost model'!M210)</f>
        <v>135</v>
      </c>
      <c r="K4218" s="14" t="n">
        <f aca="false">J4218-H4218</f>
        <v>43.62</v>
      </c>
      <c r="L4218" s="14" t="n">
        <f aca="false">G4218-H4218</f>
        <v>-46.38</v>
      </c>
    </row>
    <row r="4219" customFormat="false" ht="15" hidden="false" customHeight="false" outlineLevel="0" collapsed="false">
      <c r="A4219" s="2" t="s">
        <v>146</v>
      </c>
      <c r="B4219" s="2" t="s">
        <v>146</v>
      </c>
      <c r="C4219" s="2" t="s">
        <v>48</v>
      </c>
      <c r="D4219" s="2" t="s">
        <v>12</v>
      </c>
      <c r="E4219" s="2" t="s">
        <v>76</v>
      </c>
      <c r="F4219" s="2" t="s">
        <v>1145</v>
      </c>
      <c r="G4219" s="14" t="n">
        <v>9.5</v>
      </c>
      <c r="H4219" s="14" t="n">
        <v>28.59</v>
      </c>
      <c r="I4219" s="14" t="n">
        <v>9.5</v>
      </c>
      <c r="J4219" s="22" t="n">
        <f aca="false">IF(E4219="Priority",'Cost model'!N761,'Cost model'!M761)</f>
        <v>35</v>
      </c>
      <c r="K4219" s="14" t="n">
        <f aca="false">J4219-H4219</f>
        <v>6.41</v>
      </c>
      <c r="L4219" s="14" t="n">
        <f aca="false">G4219-H4219</f>
        <v>-19.09</v>
      </c>
    </row>
    <row r="4220" customFormat="false" ht="15" hidden="false" customHeight="false" outlineLevel="0" collapsed="false">
      <c r="A4220" s="2" t="s">
        <v>125</v>
      </c>
      <c r="B4220" s="2" t="s">
        <v>184</v>
      </c>
      <c r="C4220" s="2" t="s">
        <v>48</v>
      </c>
      <c r="D4220" s="2" t="s">
        <v>12</v>
      </c>
      <c r="E4220" s="2" t="s">
        <v>76</v>
      </c>
      <c r="F4220" s="2" t="s">
        <v>1146</v>
      </c>
      <c r="G4220" s="14" t="n">
        <v>9.5</v>
      </c>
      <c r="H4220" s="14" t="n">
        <v>26.79</v>
      </c>
      <c r="I4220" s="14" t="n">
        <v>19.5</v>
      </c>
      <c r="J4220" s="22" t="n">
        <f aca="false">IF(E4220="Priority",'Cost model'!N59,'Cost model'!M59)</f>
        <v>45</v>
      </c>
      <c r="K4220" s="14" t="n">
        <f aca="false">J4220-H4220</f>
        <v>18.21</v>
      </c>
      <c r="L4220" s="14" t="n">
        <f aca="false">G4220-H4220</f>
        <v>-17.29</v>
      </c>
    </row>
    <row r="4221" customFormat="false" ht="15" hidden="false" customHeight="false" outlineLevel="0" collapsed="false">
      <c r="A4221" s="2" t="s">
        <v>184</v>
      </c>
      <c r="B4221" s="2" t="s">
        <v>126</v>
      </c>
      <c r="C4221" s="2" t="s">
        <v>48</v>
      </c>
      <c r="D4221" s="2" t="s">
        <v>12</v>
      </c>
      <c r="E4221" s="2" t="s">
        <v>76</v>
      </c>
      <c r="F4221" s="2" t="s">
        <v>1146</v>
      </c>
      <c r="G4221" s="14" t="n">
        <v>9.5</v>
      </c>
      <c r="H4221" s="14" t="n">
        <v>14.86</v>
      </c>
      <c r="I4221" s="14" t="n">
        <v>9.5</v>
      </c>
      <c r="J4221" s="22" t="n">
        <f aca="false">IF(E4221="Priority",'Cost model'!N131,'Cost model'!M131)</f>
        <v>40</v>
      </c>
      <c r="K4221" s="14" t="n">
        <f aca="false">J4221-H4221</f>
        <v>25.14</v>
      </c>
      <c r="L4221" s="14" t="n">
        <f aca="false">G4221-H4221</f>
        <v>-5.36</v>
      </c>
    </row>
    <row r="4222" customFormat="false" ht="15" hidden="false" customHeight="false" outlineLevel="0" collapsed="false">
      <c r="A4222" s="2" t="s">
        <v>221</v>
      </c>
      <c r="B4222" s="2" t="s">
        <v>221</v>
      </c>
      <c r="C4222" s="2" t="s">
        <v>49</v>
      </c>
      <c r="D4222" s="2" t="s">
        <v>10</v>
      </c>
      <c r="E4222" s="2" t="s">
        <v>76</v>
      </c>
      <c r="F4222" s="2" t="s">
        <v>1145</v>
      </c>
      <c r="G4222" s="14" t="n">
        <v>12.5</v>
      </c>
      <c r="H4222" s="14" t="n">
        <v>10.95</v>
      </c>
      <c r="I4222" s="14" t="n">
        <v>12.5</v>
      </c>
      <c r="J4222" s="22" t="n">
        <f aca="false">IF(E4222="Priority",'Cost model'!N633,'Cost model'!M633)</f>
        <v>13.5</v>
      </c>
      <c r="K4222" s="14" t="n">
        <f aca="false">J4222-H4222</f>
        <v>2.55</v>
      </c>
      <c r="L4222" s="14" t="n">
        <f aca="false">G4222-H4222</f>
        <v>1.55</v>
      </c>
    </row>
    <row r="4223" customFormat="false" ht="15" hidden="false" customHeight="false" outlineLevel="0" collapsed="false">
      <c r="A4223" s="2" t="s">
        <v>146</v>
      </c>
      <c r="B4223" s="2" t="s">
        <v>126</v>
      </c>
      <c r="C4223" s="2" t="s">
        <v>48</v>
      </c>
      <c r="D4223" s="2" t="s">
        <v>10</v>
      </c>
      <c r="E4223" s="2" t="s">
        <v>76</v>
      </c>
      <c r="F4223" s="2" t="s">
        <v>1146</v>
      </c>
      <c r="G4223" s="14" t="n">
        <v>14.5</v>
      </c>
      <c r="H4223" s="14" t="n">
        <v>21.76</v>
      </c>
      <c r="I4223" s="14" t="n">
        <v>14.5</v>
      </c>
      <c r="J4223" s="22" t="n">
        <f aca="false">IF(E4223="Priority",'Cost model'!N794,'Cost model'!M794)</f>
        <v>12.5</v>
      </c>
      <c r="K4223" s="14" t="n">
        <f aca="false">J4223-H4223</f>
        <v>-9.26</v>
      </c>
      <c r="L4223" s="14" t="n">
        <f aca="false">G4223-H4223</f>
        <v>-7.26</v>
      </c>
    </row>
    <row r="4224" customFormat="false" ht="15" hidden="false" customHeight="false" outlineLevel="0" collapsed="false">
      <c r="A4224" s="2" t="s">
        <v>184</v>
      </c>
      <c r="B4224" s="2" t="s">
        <v>184</v>
      </c>
      <c r="C4224" s="2" t="s">
        <v>49</v>
      </c>
      <c r="D4224" s="2" t="s">
        <v>12</v>
      </c>
      <c r="E4224" s="2" t="s">
        <v>76</v>
      </c>
      <c r="F4224" s="2" t="s">
        <v>1145</v>
      </c>
      <c r="G4224" s="14" t="n">
        <v>12.5</v>
      </c>
      <c r="H4224" s="14" t="n">
        <v>27.95</v>
      </c>
      <c r="I4224" s="14"/>
      <c r="J4224" s="22" t="n">
        <f aca="false">IF(E4224="Priority",'Cost model'!N204,'Cost model'!M204)</f>
        <v>45</v>
      </c>
      <c r="K4224" s="14" t="n">
        <f aca="false">J4224-H4224</f>
        <v>17.05</v>
      </c>
      <c r="L4224" s="14" t="n">
        <f aca="false">G4224-H4224</f>
        <v>-15.45</v>
      </c>
    </row>
    <row r="4225" customFormat="false" ht="15" hidden="false" customHeight="false" outlineLevel="0" collapsed="false">
      <c r="A4225" s="2" t="s">
        <v>126</v>
      </c>
      <c r="B4225" s="2" t="s">
        <v>126</v>
      </c>
      <c r="C4225" s="2" t="s">
        <v>50</v>
      </c>
      <c r="D4225" s="2" t="s">
        <v>10</v>
      </c>
      <c r="E4225" s="2" t="s">
        <v>76</v>
      </c>
      <c r="F4225" s="2" t="s">
        <v>1145</v>
      </c>
      <c r="G4225" s="14" t="n">
        <v>17.5</v>
      </c>
      <c r="H4225" s="14" t="n">
        <v>21.76</v>
      </c>
      <c r="I4225" s="14" t="n">
        <v>17.5</v>
      </c>
      <c r="J4225" s="22" t="n">
        <f aca="false">IF(E4225="Priority",'Cost model'!N382,'Cost model'!M382)</f>
        <v>18.5</v>
      </c>
      <c r="K4225" s="14" t="n">
        <f aca="false">J4225-H4225</f>
        <v>-3.26</v>
      </c>
      <c r="L4225" s="14" t="n">
        <f aca="false">G4225-H4225</f>
        <v>-4.26</v>
      </c>
    </row>
    <row r="4226" customFormat="false" ht="15" hidden="false" customHeight="false" outlineLevel="0" collapsed="false">
      <c r="A4226" s="2" t="s">
        <v>126</v>
      </c>
      <c r="B4226" s="2" t="s">
        <v>126</v>
      </c>
      <c r="C4226" s="2" t="s">
        <v>48</v>
      </c>
      <c r="D4226" s="2" t="s">
        <v>10</v>
      </c>
      <c r="E4226" s="2" t="s">
        <v>76</v>
      </c>
      <c r="F4226" s="2" t="s">
        <v>1145</v>
      </c>
      <c r="G4226" s="14" t="n">
        <v>9.5</v>
      </c>
      <c r="H4226" s="14" t="n">
        <v>47.08</v>
      </c>
      <c r="I4226" s="14" t="n">
        <v>9.5</v>
      </c>
      <c r="J4226" s="22" t="n">
        <f aca="false">IF(E4226="Priority",'Cost model'!N380,'Cost model'!M380)</f>
        <v>8.5</v>
      </c>
      <c r="K4226" s="14" t="n">
        <f aca="false">J4226-H4226</f>
        <v>-38.58</v>
      </c>
      <c r="L4226" s="14" t="n">
        <f aca="false">G4226-H4226</f>
        <v>-37.58</v>
      </c>
    </row>
    <row r="4227" customFormat="false" ht="15" hidden="false" customHeight="false" outlineLevel="0" collapsed="false">
      <c r="A4227" s="2" t="s">
        <v>184</v>
      </c>
      <c r="B4227" s="2" t="s">
        <v>184</v>
      </c>
      <c r="C4227" s="2" t="s">
        <v>50</v>
      </c>
      <c r="D4227" s="2" t="s">
        <v>12</v>
      </c>
      <c r="E4227" s="2" t="s">
        <v>76</v>
      </c>
      <c r="F4227" s="2" t="s">
        <v>1145</v>
      </c>
      <c r="G4227" s="14" t="n">
        <v>19.5</v>
      </c>
      <c r="H4227" s="14" t="n">
        <v>45.65</v>
      </c>
      <c r="I4227" s="14" t="n">
        <v>19.5</v>
      </c>
      <c r="J4227" s="22" t="n">
        <f aca="false">IF(E4227="Priority",'Cost model'!N205,'Cost model'!M205)</f>
        <v>50</v>
      </c>
      <c r="K4227" s="14" t="n">
        <f aca="false">J4227-H4227</f>
        <v>4.35</v>
      </c>
      <c r="L4227" s="14" t="n">
        <f aca="false">G4227-H4227</f>
        <v>-26.15</v>
      </c>
    </row>
    <row r="4228" customFormat="false" ht="15" hidden="false" customHeight="false" outlineLevel="0" collapsed="false">
      <c r="A4228" s="2" t="s">
        <v>221</v>
      </c>
      <c r="B4228" s="2" t="s">
        <v>221</v>
      </c>
      <c r="C4228" s="2" t="s">
        <v>49</v>
      </c>
      <c r="D4228" s="2" t="s">
        <v>10</v>
      </c>
      <c r="E4228" s="2" t="s">
        <v>76</v>
      </c>
      <c r="F4228" s="2" t="s">
        <v>1145</v>
      </c>
      <c r="G4228" s="14" t="n">
        <v>24.5</v>
      </c>
      <c r="H4228" s="14" t="n">
        <v>14.74</v>
      </c>
      <c r="I4228" s="14" t="n">
        <v>12.5</v>
      </c>
      <c r="J4228" s="22" t="n">
        <f aca="false">IF(E4228="Priority",'Cost model'!N633,'Cost model'!M633)</f>
        <v>13.5</v>
      </c>
      <c r="K4228" s="14" t="n">
        <f aca="false">J4228-H4228</f>
        <v>-1.24</v>
      </c>
      <c r="L4228" s="14" t="n">
        <f aca="false">G4228-H4228</f>
        <v>9.76</v>
      </c>
    </row>
    <row r="4229" customFormat="false" ht="15" hidden="false" customHeight="false" outlineLevel="0" collapsed="false">
      <c r="A4229" s="2" t="s">
        <v>126</v>
      </c>
      <c r="B4229" s="2" t="s">
        <v>126</v>
      </c>
      <c r="C4229" s="2" t="s">
        <v>48</v>
      </c>
      <c r="D4229" s="2" t="s">
        <v>12</v>
      </c>
      <c r="E4229" s="2" t="s">
        <v>76</v>
      </c>
      <c r="F4229" s="2" t="s">
        <v>1145</v>
      </c>
      <c r="G4229" s="14" t="n">
        <v>9.5</v>
      </c>
      <c r="H4229" s="14" t="n">
        <v>28.15</v>
      </c>
      <c r="I4229" s="14" t="n">
        <v>9.5</v>
      </c>
      <c r="J4229" s="22" t="n">
        <f aca="false">IF(E4229="Priority",'Cost model'!N383,'Cost model'!M383)</f>
        <v>27.5</v>
      </c>
      <c r="K4229" s="14" t="n">
        <f aca="false">J4229-H4229</f>
        <v>-0.649999999999999</v>
      </c>
      <c r="L4229" s="14" t="n">
        <f aca="false">G4229-H4229</f>
        <v>-18.65</v>
      </c>
    </row>
    <row r="4230" customFormat="false" ht="15" hidden="false" customHeight="false" outlineLevel="0" collapsed="false">
      <c r="A4230" s="2" t="s">
        <v>240</v>
      </c>
      <c r="B4230" s="2" t="s">
        <v>240</v>
      </c>
      <c r="C4230" s="2" t="s">
        <v>48</v>
      </c>
      <c r="D4230" s="2" t="s">
        <v>10</v>
      </c>
      <c r="E4230" s="2" t="s">
        <v>76</v>
      </c>
      <c r="F4230" s="2" t="s">
        <v>1145</v>
      </c>
      <c r="G4230" s="14" t="n">
        <v>9.5</v>
      </c>
      <c r="H4230" s="14" t="n">
        <v>6.23</v>
      </c>
      <c r="I4230" s="14" t="n">
        <v>9.5</v>
      </c>
      <c r="J4230" s="22" t="n">
        <f aca="false">IF(E4230="Priority",'Cost model'!N884,'Cost model'!M884)</f>
        <v>7.5</v>
      </c>
      <c r="K4230" s="14" t="n">
        <f aca="false">J4230-H4230</f>
        <v>1.27</v>
      </c>
      <c r="L4230" s="14" t="n">
        <f aca="false">G4230-H4230</f>
        <v>3.27</v>
      </c>
    </row>
    <row r="4231" customFormat="false" ht="15" hidden="false" customHeight="false" outlineLevel="0" collapsed="false">
      <c r="A4231" s="2" t="s">
        <v>184</v>
      </c>
      <c r="B4231" s="2" t="s">
        <v>184</v>
      </c>
      <c r="C4231" s="2" t="s">
        <v>49</v>
      </c>
      <c r="D4231" s="2" t="s">
        <v>10</v>
      </c>
      <c r="E4231" s="2" t="s">
        <v>76</v>
      </c>
      <c r="F4231" s="2" t="s">
        <v>1145</v>
      </c>
      <c r="G4231" s="14" t="n">
        <v>17.5</v>
      </c>
      <c r="H4231" s="14" t="n">
        <v>21.34</v>
      </c>
      <c r="I4231" s="14"/>
      <c r="J4231" s="22" t="n">
        <f aca="false">IF(E4231="Priority",'Cost model'!N201,'Cost model'!M201)</f>
        <v>12.5</v>
      </c>
      <c r="K4231" s="14" t="n">
        <f aca="false">J4231-H4231</f>
        <v>-8.84</v>
      </c>
      <c r="L4231" s="14" t="n">
        <f aca="false">G4231-H4231</f>
        <v>-3.84</v>
      </c>
    </row>
    <row r="4232" customFormat="false" ht="15" hidden="false" customHeight="false" outlineLevel="0" collapsed="false">
      <c r="A4232" s="2" t="s">
        <v>184</v>
      </c>
      <c r="B4232" s="2" t="s">
        <v>184</v>
      </c>
      <c r="C4232" s="2" t="s">
        <v>49</v>
      </c>
      <c r="D4232" s="2" t="s">
        <v>12</v>
      </c>
      <c r="E4232" s="2" t="s">
        <v>85</v>
      </c>
      <c r="F4232" s="2" t="s">
        <v>1145</v>
      </c>
      <c r="G4232" s="14" t="n">
        <v>19.5</v>
      </c>
      <c r="H4232" s="14" t="n">
        <v>28.08</v>
      </c>
      <c r="I4232" s="14" t="n">
        <v>19.5</v>
      </c>
      <c r="J4232" s="22" t="n">
        <f aca="false">IF(E4232="Priority",'Cost model'!N204,'Cost model'!M204)</f>
        <v>60</v>
      </c>
      <c r="K4232" s="14" t="n">
        <f aca="false">J4232-H4232</f>
        <v>31.92</v>
      </c>
      <c r="L4232" s="14" t="n">
        <f aca="false">G4232-H4232</f>
        <v>-8.58</v>
      </c>
    </row>
    <row r="4233" customFormat="false" ht="15" hidden="false" customHeight="false" outlineLevel="0" collapsed="false">
      <c r="A4233" s="2" t="s">
        <v>146</v>
      </c>
      <c r="B4233" s="2" t="s">
        <v>184</v>
      </c>
      <c r="C4233" s="2" t="s">
        <v>48</v>
      </c>
      <c r="D4233" s="2" t="s">
        <v>13</v>
      </c>
      <c r="E4233" s="2" t="s">
        <v>76</v>
      </c>
      <c r="F4233" s="2" t="s">
        <v>1146</v>
      </c>
      <c r="G4233" s="14" t="n">
        <v>45</v>
      </c>
      <c r="H4233" s="14" t="n">
        <v>139.03</v>
      </c>
      <c r="I4233" s="14" t="n">
        <v>24.5</v>
      </c>
      <c r="J4233" s="22" t="n">
        <f aca="false">IF(E4233="Priority",'Cost model'!N836,'Cost model'!M836)</f>
        <v>75</v>
      </c>
      <c r="K4233" s="14" t="n">
        <f aca="false">J4233-H4233</f>
        <v>-64.03</v>
      </c>
      <c r="L4233" s="14" t="n">
        <f aca="false">G4233-H4233</f>
        <v>-94.03</v>
      </c>
    </row>
    <row r="4234" customFormat="false" ht="15" hidden="false" customHeight="false" outlineLevel="0" collapsed="false">
      <c r="A4234" s="2" t="s">
        <v>126</v>
      </c>
      <c r="B4234" s="2" t="s">
        <v>126</v>
      </c>
      <c r="C4234" s="2" t="s">
        <v>48</v>
      </c>
      <c r="D4234" s="2" t="s">
        <v>12</v>
      </c>
      <c r="E4234" s="2" t="s">
        <v>85</v>
      </c>
      <c r="F4234" s="2" t="s">
        <v>1145</v>
      </c>
      <c r="G4234" s="14" t="n">
        <v>19.5</v>
      </c>
      <c r="H4234" s="14" t="n">
        <v>12.08</v>
      </c>
      <c r="I4234" s="14" t="n">
        <v>19.5</v>
      </c>
      <c r="J4234" s="22" t="n">
        <f aca="false">IF(E4234="Priority",'Cost model'!N383,'Cost model'!M383)</f>
        <v>35</v>
      </c>
      <c r="K4234" s="14" t="n">
        <f aca="false">J4234-H4234</f>
        <v>22.92</v>
      </c>
      <c r="L4234" s="14" t="n">
        <f aca="false">G4234-H4234</f>
        <v>7.42</v>
      </c>
    </row>
    <row r="4235" customFormat="false" ht="15" hidden="false" customHeight="false" outlineLevel="0" collapsed="false">
      <c r="A4235" s="2" t="s">
        <v>184</v>
      </c>
      <c r="B4235" s="2" t="s">
        <v>165</v>
      </c>
      <c r="C4235" s="2" t="s">
        <v>49</v>
      </c>
      <c r="D4235" s="2" t="s">
        <v>12</v>
      </c>
      <c r="E4235" s="2" t="s">
        <v>76</v>
      </c>
      <c r="F4235" s="2" t="s">
        <v>1146</v>
      </c>
      <c r="G4235" s="14" t="n">
        <v>19.5</v>
      </c>
      <c r="H4235" s="14" t="n">
        <v>91.1</v>
      </c>
      <c r="I4235" s="14"/>
      <c r="J4235" s="22" t="n">
        <f aca="false">IF(E4235="Priority",'Cost model'!N168,'Cost model'!M168)</f>
        <v>60</v>
      </c>
      <c r="K4235" s="14" t="n">
        <f aca="false">J4235-H4235</f>
        <v>-31.1</v>
      </c>
      <c r="L4235" s="14" t="n">
        <f aca="false">G4235-H4235</f>
        <v>-71.6</v>
      </c>
    </row>
    <row r="4236" customFormat="false" ht="15" hidden="false" customHeight="false" outlineLevel="0" collapsed="false">
      <c r="A4236" s="2" t="s">
        <v>126</v>
      </c>
      <c r="B4236" s="2" t="s">
        <v>126</v>
      </c>
      <c r="C4236" s="2" t="s">
        <v>49</v>
      </c>
      <c r="D4236" s="2" t="s">
        <v>12</v>
      </c>
      <c r="E4236" s="2" t="s">
        <v>76</v>
      </c>
      <c r="F4236" s="2" t="s">
        <v>1145</v>
      </c>
      <c r="G4236" s="14" t="n">
        <v>12.5</v>
      </c>
      <c r="H4236" s="14" t="n">
        <v>44.96</v>
      </c>
      <c r="I4236" s="14" t="n">
        <v>12.5</v>
      </c>
      <c r="J4236" s="22" t="n">
        <f aca="false">IF(E4236="Priority",'Cost model'!N384,'Cost model'!M384)</f>
        <v>45</v>
      </c>
      <c r="K4236" s="14" t="n">
        <f aca="false">J4236-H4236</f>
        <v>0.0399999999999992</v>
      </c>
      <c r="L4236" s="14" t="n">
        <f aca="false">G4236-H4236</f>
        <v>-32.46</v>
      </c>
    </row>
    <row r="4237" customFormat="false" ht="15" hidden="false" customHeight="false" outlineLevel="0" collapsed="false">
      <c r="A4237" s="2" t="s">
        <v>240</v>
      </c>
      <c r="B4237" s="2" t="s">
        <v>184</v>
      </c>
      <c r="C4237" s="2" t="s">
        <v>48</v>
      </c>
      <c r="D4237" s="2" t="s">
        <v>10</v>
      </c>
      <c r="E4237" s="2" t="s">
        <v>76</v>
      </c>
      <c r="F4237" s="2" t="s">
        <v>1146</v>
      </c>
      <c r="G4237" s="14" t="n">
        <v>9.5</v>
      </c>
      <c r="H4237" s="14" t="n">
        <v>5.27</v>
      </c>
      <c r="I4237" s="14" t="n">
        <v>19.5</v>
      </c>
      <c r="J4237" s="22" t="n">
        <f aca="false">IF(E4237="Priority",'Cost model'!N938,'Cost model'!M938)</f>
        <v>16.5</v>
      </c>
      <c r="K4237" s="14" t="n">
        <f aca="false">J4237-H4237</f>
        <v>11.23</v>
      </c>
      <c r="L4237" s="14" t="n">
        <f aca="false">G4237-H4237</f>
        <v>4.23</v>
      </c>
    </row>
    <row r="4238" customFormat="false" ht="15" hidden="false" customHeight="false" outlineLevel="0" collapsed="false">
      <c r="A4238" s="2" t="s">
        <v>126</v>
      </c>
      <c r="B4238" s="2" t="s">
        <v>126</v>
      </c>
      <c r="C4238" s="2" t="s">
        <v>49</v>
      </c>
      <c r="D4238" s="2" t="s">
        <v>12</v>
      </c>
      <c r="E4238" s="2" t="s">
        <v>76</v>
      </c>
      <c r="F4238" s="2" t="s">
        <v>1145</v>
      </c>
      <c r="G4238" s="14" t="n">
        <v>12.5</v>
      </c>
      <c r="H4238" s="14" t="n">
        <v>57.15</v>
      </c>
      <c r="I4238" s="14" t="n">
        <v>12.5</v>
      </c>
      <c r="J4238" s="22" t="n">
        <f aca="false">IF(E4238="Priority",'Cost model'!N384,'Cost model'!M384)</f>
        <v>45</v>
      </c>
      <c r="K4238" s="14" t="n">
        <f aca="false">J4238-H4238</f>
        <v>-12.15</v>
      </c>
      <c r="L4238" s="14" t="n">
        <f aca="false">G4238-H4238</f>
        <v>-44.65</v>
      </c>
    </row>
    <row r="4239" customFormat="false" ht="15" hidden="false" customHeight="false" outlineLevel="0" collapsed="false">
      <c r="A4239" s="2" t="s">
        <v>146</v>
      </c>
      <c r="B4239" s="2" t="s">
        <v>146</v>
      </c>
      <c r="C4239" s="2" t="s">
        <v>48</v>
      </c>
      <c r="D4239" s="2" t="s">
        <v>10</v>
      </c>
      <c r="E4239" s="2" t="s">
        <v>76</v>
      </c>
      <c r="F4239" s="2" t="s">
        <v>1145</v>
      </c>
      <c r="G4239" s="14" t="n">
        <v>9.5</v>
      </c>
      <c r="H4239" s="14" t="n">
        <v>7.12</v>
      </c>
      <c r="I4239" s="14" t="n">
        <v>9.5</v>
      </c>
      <c r="J4239" s="22" t="n">
        <f aca="false">IF(E4239="Priority",'Cost model'!N758,'Cost model'!M758)</f>
        <v>9.5</v>
      </c>
      <c r="K4239" s="14" t="n">
        <f aca="false">J4239-H4239</f>
        <v>2.38</v>
      </c>
      <c r="L4239" s="14" t="n">
        <f aca="false">G4239-H4239</f>
        <v>2.38</v>
      </c>
    </row>
    <row r="4240" customFormat="false" ht="15" hidden="false" customHeight="false" outlineLevel="0" collapsed="false">
      <c r="A4240" s="2" t="s">
        <v>184</v>
      </c>
      <c r="B4240" s="2" t="s">
        <v>184</v>
      </c>
      <c r="C4240" s="2" t="s">
        <v>49</v>
      </c>
      <c r="D4240" s="2" t="s">
        <v>10</v>
      </c>
      <c r="E4240" s="2" t="s">
        <v>76</v>
      </c>
      <c r="F4240" s="2" t="s">
        <v>1145</v>
      </c>
      <c r="G4240" s="14" t="n">
        <v>12.5</v>
      </c>
      <c r="H4240" s="14" t="n">
        <v>12.54</v>
      </c>
      <c r="I4240" s="14"/>
      <c r="J4240" s="22" t="n">
        <f aca="false">IF(E4240="Priority",'Cost model'!N201,'Cost model'!M201)</f>
        <v>12.5</v>
      </c>
      <c r="K4240" s="14" t="n">
        <f aca="false">J4240-H4240</f>
        <v>-0.0399999999999992</v>
      </c>
      <c r="L4240" s="14" t="n">
        <f aca="false">G4240-H4240</f>
        <v>-0.0399999999999992</v>
      </c>
    </row>
    <row r="4241" customFormat="false" ht="15" hidden="false" customHeight="false" outlineLevel="0" collapsed="false">
      <c r="A4241" s="2" t="s">
        <v>184</v>
      </c>
      <c r="B4241" s="2" t="s">
        <v>184</v>
      </c>
      <c r="C4241" s="2" t="s">
        <v>48</v>
      </c>
      <c r="D4241" s="2" t="s">
        <v>10</v>
      </c>
      <c r="E4241" s="2" t="s">
        <v>76</v>
      </c>
      <c r="F4241" s="2" t="s">
        <v>1145</v>
      </c>
      <c r="G4241" s="14" t="n">
        <v>9.5</v>
      </c>
      <c r="H4241" s="14" t="n">
        <v>6.19</v>
      </c>
      <c r="I4241" s="14" t="n">
        <v>9.5</v>
      </c>
      <c r="J4241" s="22" t="n">
        <f aca="false">IF(E4241="Priority",'Cost model'!N200,'Cost model'!M200)</f>
        <v>7.5</v>
      </c>
      <c r="K4241" s="14" t="n">
        <f aca="false">J4241-H4241</f>
        <v>1.31</v>
      </c>
      <c r="L4241" s="14" t="n">
        <f aca="false">G4241-H4241</f>
        <v>3.31</v>
      </c>
    </row>
    <row r="4242" customFormat="false" ht="15" hidden="false" customHeight="false" outlineLevel="0" collapsed="false">
      <c r="A4242" s="2" t="s">
        <v>240</v>
      </c>
      <c r="B4242" s="2" t="s">
        <v>146</v>
      </c>
      <c r="C4242" s="2" t="s">
        <v>50</v>
      </c>
      <c r="D4242" s="2" t="s">
        <v>10</v>
      </c>
      <c r="E4242" s="2" t="s">
        <v>76</v>
      </c>
      <c r="F4242" s="2" t="s">
        <v>1146</v>
      </c>
      <c r="G4242" s="14" t="n">
        <v>17.5</v>
      </c>
      <c r="H4242" s="14" t="n">
        <v>20.83</v>
      </c>
      <c r="I4242" s="14" t="n">
        <v>19.5</v>
      </c>
      <c r="J4242" s="22" t="n">
        <f aca="false">IF(E4242="Priority",'Cost model'!N922,'Cost model'!M922)</f>
        <v>35</v>
      </c>
      <c r="K4242" s="14" t="n">
        <f aca="false">J4242-H4242</f>
        <v>14.17</v>
      </c>
      <c r="L4242" s="14" t="n">
        <f aca="false">G4242-H4242</f>
        <v>-3.33</v>
      </c>
    </row>
    <row r="4243" customFormat="false" ht="15" hidden="false" customHeight="false" outlineLevel="0" collapsed="false">
      <c r="A4243" s="2" t="s">
        <v>184</v>
      </c>
      <c r="B4243" s="2" t="s">
        <v>184</v>
      </c>
      <c r="C4243" s="2" t="s">
        <v>50</v>
      </c>
      <c r="D4243" s="2" t="s">
        <v>12</v>
      </c>
      <c r="E4243" s="2" t="s">
        <v>76</v>
      </c>
      <c r="F4243" s="2" t="s">
        <v>1145</v>
      </c>
      <c r="G4243" s="14" t="n">
        <v>19.5</v>
      </c>
      <c r="H4243" s="14" t="n">
        <v>25.41</v>
      </c>
      <c r="I4243" s="14" t="n">
        <v>19.5</v>
      </c>
      <c r="J4243" s="22" t="n">
        <f aca="false">IF(E4243="Priority",'Cost model'!N205,'Cost model'!M205)</f>
        <v>50</v>
      </c>
      <c r="K4243" s="14" t="n">
        <f aca="false">J4243-H4243</f>
        <v>24.59</v>
      </c>
      <c r="L4243" s="14" t="n">
        <f aca="false">G4243-H4243</f>
        <v>-5.91</v>
      </c>
    </row>
    <row r="4244" customFormat="false" ht="15" hidden="false" customHeight="false" outlineLevel="0" collapsed="false">
      <c r="A4244" s="2" t="s">
        <v>146</v>
      </c>
      <c r="B4244" s="2" t="s">
        <v>126</v>
      </c>
      <c r="C4244" s="2" t="s">
        <v>48</v>
      </c>
      <c r="D4244" s="2" t="s">
        <v>10</v>
      </c>
      <c r="E4244" s="2" t="s">
        <v>85</v>
      </c>
      <c r="F4244" s="2" t="s">
        <v>1146</v>
      </c>
      <c r="G4244" s="14" t="n">
        <v>19.5</v>
      </c>
      <c r="H4244" s="14" t="n">
        <v>21.34</v>
      </c>
      <c r="I4244" s="14" t="n">
        <v>19.5</v>
      </c>
      <c r="J4244" s="22" t="n">
        <f aca="false">IF(E4244="Priority",'Cost model'!N794,'Cost model'!M794)</f>
        <v>17.5</v>
      </c>
      <c r="K4244" s="14" t="n">
        <f aca="false">J4244-H4244</f>
        <v>-3.84</v>
      </c>
      <c r="L4244" s="14" t="n">
        <f aca="false">G4244-H4244</f>
        <v>-1.84</v>
      </c>
    </row>
    <row r="4245" customFormat="false" ht="15" hidden="false" customHeight="false" outlineLevel="0" collapsed="false">
      <c r="A4245" s="2" t="s">
        <v>146</v>
      </c>
      <c r="B4245" s="2" t="s">
        <v>240</v>
      </c>
      <c r="C4245" s="2" t="s">
        <v>48</v>
      </c>
      <c r="D4245" s="2" t="s">
        <v>12</v>
      </c>
      <c r="E4245" s="2" t="s">
        <v>76</v>
      </c>
      <c r="F4245" s="2" t="s">
        <v>1146</v>
      </c>
      <c r="G4245" s="14" t="n">
        <v>14.5</v>
      </c>
      <c r="H4245" s="14" t="n">
        <v>54.12</v>
      </c>
      <c r="I4245" s="14" t="n">
        <v>24.5</v>
      </c>
      <c r="J4245" s="22" t="n">
        <f aca="false">IF(E4245="Priority",'Cost model'!N815,'Cost model'!M815)</f>
        <v>50</v>
      </c>
      <c r="K4245" s="14" t="n">
        <f aca="false">J4245-H4245</f>
        <v>-4.12</v>
      </c>
      <c r="L4245" s="14" t="n">
        <f aca="false">G4245-H4245</f>
        <v>-39.62</v>
      </c>
    </row>
    <row r="4246" customFormat="false" ht="15" hidden="false" customHeight="false" outlineLevel="0" collapsed="false">
      <c r="A4246" s="2" t="s">
        <v>125</v>
      </c>
      <c r="B4246" s="2" t="s">
        <v>126</v>
      </c>
      <c r="C4246" s="2" t="s">
        <v>48</v>
      </c>
      <c r="D4246" s="2" t="s">
        <v>12</v>
      </c>
      <c r="E4246" s="2" t="s">
        <v>85</v>
      </c>
      <c r="F4246" s="2" t="s">
        <v>1146</v>
      </c>
      <c r="G4246" s="14" t="n">
        <v>24.5</v>
      </c>
      <c r="H4246" s="14" t="n">
        <v>47.64</v>
      </c>
      <c r="I4246" s="14" t="n">
        <v>24.5</v>
      </c>
      <c r="J4246" s="22" t="n">
        <f aca="false">IF(E4246="Priority",'Cost model'!N5,'Cost model'!M5)</f>
        <v>65</v>
      </c>
      <c r="K4246" s="14" t="n">
        <f aca="false">J4246-H4246</f>
        <v>17.36</v>
      </c>
      <c r="L4246" s="14" t="n">
        <f aca="false">G4246-H4246</f>
        <v>-23.14</v>
      </c>
    </row>
    <row r="4247" customFormat="false" ht="15" hidden="false" customHeight="false" outlineLevel="0" collapsed="false">
      <c r="A4247" s="2" t="s">
        <v>126</v>
      </c>
      <c r="B4247" s="2" t="s">
        <v>126</v>
      </c>
      <c r="C4247" s="2" t="s">
        <v>49</v>
      </c>
      <c r="D4247" s="2" t="s">
        <v>12</v>
      </c>
      <c r="E4247" s="2" t="s">
        <v>85</v>
      </c>
      <c r="F4247" s="2" t="s">
        <v>1145</v>
      </c>
      <c r="G4247" s="14" t="n">
        <v>19.5</v>
      </c>
      <c r="H4247" s="14" t="n">
        <v>23.58</v>
      </c>
      <c r="I4247" s="14" t="n">
        <v>19.5</v>
      </c>
      <c r="J4247" s="22" t="n">
        <f aca="false">IF(E4247="Priority",'Cost model'!N384,'Cost model'!M384)</f>
        <v>60</v>
      </c>
      <c r="K4247" s="14" t="n">
        <f aca="false">J4247-H4247</f>
        <v>36.42</v>
      </c>
      <c r="L4247" s="14" t="n">
        <f aca="false">G4247-H4247</f>
        <v>-4.08</v>
      </c>
    </row>
    <row r="4248" customFormat="false" ht="15" hidden="false" customHeight="false" outlineLevel="0" collapsed="false">
      <c r="A4248" s="2" t="s">
        <v>184</v>
      </c>
      <c r="B4248" s="2" t="s">
        <v>184</v>
      </c>
      <c r="C4248" s="2" t="s">
        <v>49</v>
      </c>
      <c r="D4248" s="2" t="s">
        <v>12</v>
      </c>
      <c r="E4248" s="2" t="s">
        <v>76</v>
      </c>
      <c r="F4248" s="2" t="s">
        <v>1145</v>
      </c>
      <c r="G4248" s="14" t="n">
        <v>12.5</v>
      </c>
      <c r="H4248" s="14" t="n">
        <v>41.77</v>
      </c>
      <c r="I4248" s="14"/>
      <c r="J4248" s="22" t="n">
        <f aca="false">IF(E4248="Priority",'Cost model'!N204,'Cost model'!M204)</f>
        <v>45</v>
      </c>
      <c r="K4248" s="14" t="n">
        <f aca="false">J4248-H4248</f>
        <v>3.23</v>
      </c>
      <c r="L4248" s="14" t="n">
        <f aca="false">G4248-H4248</f>
        <v>-29.27</v>
      </c>
    </row>
    <row r="4249" customFormat="false" ht="15" hidden="false" customHeight="false" outlineLevel="0" collapsed="false">
      <c r="A4249" s="2" t="s">
        <v>184</v>
      </c>
      <c r="B4249" s="2" t="s">
        <v>184</v>
      </c>
      <c r="C4249" s="2" t="s">
        <v>49</v>
      </c>
      <c r="D4249" s="2" t="s">
        <v>10</v>
      </c>
      <c r="E4249" s="2" t="s">
        <v>76</v>
      </c>
      <c r="F4249" s="2" t="s">
        <v>1145</v>
      </c>
      <c r="G4249" s="14" t="n">
        <v>19.5</v>
      </c>
      <c r="H4249" s="14" t="n">
        <v>16.38</v>
      </c>
      <c r="I4249" s="14"/>
      <c r="J4249" s="22" t="n">
        <f aca="false">IF(E4249="Priority",'Cost model'!N201,'Cost model'!M201)</f>
        <v>12.5</v>
      </c>
      <c r="K4249" s="14" t="n">
        <f aca="false">J4249-H4249</f>
        <v>-3.88</v>
      </c>
      <c r="L4249" s="14" t="n">
        <f aca="false">G4249-H4249</f>
        <v>3.12</v>
      </c>
    </row>
    <row r="4250" customFormat="false" ht="15" hidden="false" customHeight="false" outlineLevel="0" collapsed="false">
      <c r="A4250" s="2" t="s">
        <v>126</v>
      </c>
      <c r="B4250" s="2" t="s">
        <v>126</v>
      </c>
      <c r="C4250" s="2" t="s">
        <v>49</v>
      </c>
      <c r="D4250" s="2" t="s">
        <v>12</v>
      </c>
      <c r="E4250" s="2" t="s">
        <v>76</v>
      </c>
      <c r="F4250" s="2" t="s">
        <v>1145</v>
      </c>
      <c r="G4250" s="14" t="n">
        <v>12.5</v>
      </c>
      <c r="H4250" s="14" t="n">
        <v>46.61</v>
      </c>
      <c r="I4250" s="14" t="n">
        <v>12.5</v>
      </c>
      <c r="J4250" s="22" t="n">
        <f aca="false">IF(E4250="Priority",'Cost model'!N384,'Cost model'!M384)</f>
        <v>45</v>
      </c>
      <c r="K4250" s="14" t="n">
        <f aca="false">J4250-H4250</f>
        <v>-1.61</v>
      </c>
      <c r="L4250" s="14" t="n">
        <f aca="false">G4250-H4250</f>
        <v>-34.11</v>
      </c>
    </row>
    <row r="4251" customFormat="false" ht="15" hidden="false" customHeight="false" outlineLevel="0" collapsed="false">
      <c r="A4251" s="2" t="s">
        <v>184</v>
      </c>
      <c r="B4251" s="2" t="s">
        <v>184</v>
      </c>
      <c r="C4251" s="2" t="s">
        <v>49</v>
      </c>
      <c r="D4251" s="2" t="s">
        <v>10</v>
      </c>
      <c r="E4251" s="2" t="s">
        <v>76</v>
      </c>
      <c r="F4251" s="2" t="s">
        <v>1145</v>
      </c>
      <c r="G4251" s="14" t="n">
        <v>24.5</v>
      </c>
      <c r="H4251" s="14" t="n">
        <v>15.22</v>
      </c>
      <c r="I4251" s="14" t="n">
        <v>12.5</v>
      </c>
      <c r="J4251" s="22" t="n">
        <f aca="false">IF(E4251="Priority",'Cost model'!N201,'Cost model'!M201)</f>
        <v>12.5</v>
      </c>
      <c r="K4251" s="14" t="n">
        <f aca="false">J4251-H4251</f>
        <v>-2.72</v>
      </c>
      <c r="L4251" s="14" t="n">
        <f aca="false">G4251-H4251</f>
        <v>9.28</v>
      </c>
    </row>
    <row r="4252" customFormat="false" ht="15" hidden="false" customHeight="false" outlineLevel="0" collapsed="false">
      <c r="A4252" s="2" t="s">
        <v>126</v>
      </c>
      <c r="B4252" s="2" t="s">
        <v>126</v>
      </c>
      <c r="C4252" s="2" t="s">
        <v>48</v>
      </c>
      <c r="D4252" s="2" t="s">
        <v>12</v>
      </c>
      <c r="E4252" s="2" t="s">
        <v>76</v>
      </c>
      <c r="F4252" s="2" t="s">
        <v>1145</v>
      </c>
      <c r="G4252" s="14" t="n">
        <v>9.5</v>
      </c>
      <c r="H4252" s="14" t="n">
        <v>28.34</v>
      </c>
      <c r="I4252" s="14" t="n">
        <v>9.5</v>
      </c>
      <c r="J4252" s="22" t="n">
        <f aca="false">IF(E4252="Priority",'Cost model'!N383,'Cost model'!M383)</f>
        <v>27.5</v>
      </c>
      <c r="K4252" s="14" t="n">
        <f aca="false">J4252-H4252</f>
        <v>-0.84</v>
      </c>
      <c r="L4252" s="14" t="n">
        <f aca="false">G4252-H4252</f>
        <v>-18.84</v>
      </c>
    </row>
    <row r="4253" customFormat="false" ht="15" hidden="false" customHeight="false" outlineLevel="0" collapsed="false">
      <c r="A4253" s="2" t="s">
        <v>184</v>
      </c>
      <c r="B4253" s="2" t="s">
        <v>184</v>
      </c>
      <c r="C4253" s="2" t="s">
        <v>50</v>
      </c>
      <c r="D4253" s="2" t="s">
        <v>12</v>
      </c>
      <c r="E4253" s="2" t="s">
        <v>85</v>
      </c>
      <c r="F4253" s="2" t="s">
        <v>1145</v>
      </c>
      <c r="G4253" s="14" t="n">
        <v>29.5</v>
      </c>
      <c r="H4253" s="14" t="n">
        <v>48.36</v>
      </c>
      <c r="I4253" s="14" t="n">
        <v>29.5</v>
      </c>
      <c r="J4253" s="22" t="n">
        <f aca="false">IF(E4253="Priority",'Cost model'!N205,'Cost model'!M205)</f>
        <v>65</v>
      </c>
      <c r="K4253" s="14" t="n">
        <f aca="false">J4253-H4253</f>
        <v>16.64</v>
      </c>
      <c r="L4253" s="14" t="n">
        <f aca="false">G4253-H4253</f>
        <v>-18.86</v>
      </c>
    </row>
    <row r="4254" customFormat="false" ht="15" hidden="false" customHeight="false" outlineLevel="0" collapsed="false">
      <c r="A4254" s="2" t="s">
        <v>184</v>
      </c>
      <c r="B4254" s="2" t="s">
        <v>184</v>
      </c>
      <c r="C4254" s="2" t="s">
        <v>50</v>
      </c>
      <c r="D4254" s="2" t="s">
        <v>10</v>
      </c>
      <c r="E4254" s="2" t="s">
        <v>76</v>
      </c>
      <c r="F4254" s="2" t="s">
        <v>1145</v>
      </c>
      <c r="G4254" s="14" t="n">
        <v>17.5</v>
      </c>
      <c r="H4254" s="14" t="n">
        <v>20.11</v>
      </c>
      <c r="I4254" s="14" t="n">
        <v>17.5</v>
      </c>
      <c r="J4254" s="22" t="n">
        <f aca="false">IF(E4254="Priority",'Cost model'!N202,'Cost model'!M202)</f>
        <v>17.5</v>
      </c>
      <c r="K4254" s="14" t="n">
        <f aca="false">J4254-H4254</f>
        <v>-2.61</v>
      </c>
      <c r="L4254" s="14" t="n">
        <f aca="false">G4254-H4254</f>
        <v>-2.61</v>
      </c>
    </row>
    <row r="4255" customFormat="false" ht="15" hidden="false" customHeight="false" outlineLevel="0" collapsed="false">
      <c r="A4255" s="2" t="s">
        <v>146</v>
      </c>
      <c r="B4255" s="2" t="s">
        <v>146</v>
      </c>
      <c r="C4255" s="2" t="s">
        <v>50</v>
      </c>
      <c r="D4255" s="2" t="s">
        <v>12</v>
      </c>
      <c r="E4255" s="2" t="s">
        <v>76</v>
      </c>
      <c r="F4255" s="2" t="s">
        <v>1145</v>
      </c>
      <c r="G4255" s="14" t="n">
        <v>19.5</v>
      </c>
      <c r="H4255" s="14" t="n">
        <v>47.16</v>
      </c>
      <c r="I4255" s="14" t="n">
        <v>19.5</v>
      </c>
      <c r="J4255" s="22" t="n">
        <f aca="false">IF(E4255="Priority",'Cost model'!N763,'Cost model'!M763)</f>
        <v>50</v>
      </c>
      <c r="K4255" s="14" t="n">
        <f aca="false">J4255-H4255</f>
        <v>2.84</v>
      </c>
      <c r="L4255" s="14" t="n">
        <f aca="false">G4255-H4255</f>
        <v>-27.66</v>
      </c>
    </row>
    <row r="4256" customFormat="false" ht="15" hidden="false" customHeight="false" outlineLevel="0" collapsed="false">
      <c r="A4256" s="2" t="s">
        <v>184</v>
      </c>
      <c r="B4256" s="2" t="s">
        <v>184</v>
      </c>
      <c r="C4256" s="2" t="s">
        <v>48</v>
      </c>
      <c r="D4256" s="2" t="s">
        <v>12</v>
      </c>
      <c r="E4256" s="2" t="s">
        <v>76</v>
      </c>
      <c r="F4256" s="2" t="s">
        <v>1145</v>
      </c>
      <c r="G4256" s="14" t="n">
        <v>9.5</v>
      </c>
      <c r="H4256" s="14" t="n">
        <v>25.84</v>
      </c>
      <c r="I4256" s="14" t="n">
        <v>9.5</v>
      </c>
      <c r="J4256" s="22" t="n">
        <f aca="false">IF(E4256="Priority",'Cost model'!N203,'Cost model'!M203)</f>
        <v>26.5</v>
      </c>
      <c r="K4256" s="14" t="n">
        <f aca="false">J4256-H4256</f>
        <v>0.66</v>
      </c>
      <c r="L4256" s="14" t="n">
        <f aca="false">G4256-H4256</f>
        <v>-16.34</v>
      </c>
    </row>
    <row r="4257" customFormat="false" ht="15" hidden="false" customHeight="false" outlineLevel="0" collapsed="false">
      <c r="A4257" s="2" t="s">
        <v>240</v>
      </c>
      <c r="B4257" s="2" t="s">
        <v>240</v>
      </c>
      <c r="C4257" s="2" t="s">
        <v>48</v>
      </c>
      <c r="D4257" s="2" t="s">
        <v>14</v>
      </c>
      <c r="E4257" s="2" t="s">
        <v>76</v>
      </c>
      <c r="F4257" s="2" t="s">
        <v>1145</v>
      </c>
      <c r="G4257" s="14" t="n">
        <v>25</v>
      </c>
      <c r="H4257" s="14" t="n">
        <v>68.29</v>
      </c>
      <c r="I4257" s="14" t="n">
        <v>25</v>
      </c>
      <c r="J4257" s="22" t="n">
        <f aca="false">IF(E4257="Priority",'Cost model'!N893,'Cost model'!M893)</f>
        <v>135</v>
      </c>
      <c r="K4257" s="14" t="n">
        <f aca="false">J4257-H4257</f>
        <v>66.71</v>
      </c>
      <c r="L4257" s="14" t="n">
        <f aca="false">G4257-H4257</f>
        <v>-43.29</v>
      </c>
    </row>
    <row r="4258" customFormat="false" ht="15" hidden="false" customHeight="false" outlineLevel="0" collapsed="false">
      <c r="A4258" s="2" t="s">
        <v>184</v>
      </c>
      <c r="B4258" s="2" t="s">
        <v>184</v>
      </c>
      <c r="C4258" s="2" t="s">
        <v>48</v>
      </c>
      <c r="D4258" s="2" t="s">
        <v>13</v>
      </c>
      <c r="E4258" s="2" t="s">
        <v>76</v>
      </c>
      <c r="F4258" s="2" t="s">
        <v>1145</v>
      </c>
      <c r="G4258" s="14" t="n">
        <v>19</v>
      </c>
      <c r="H4258" s="14" t="n">
        <v>81.92</v>
      </c>
      <c r="I4258" s="14" t="n">
        <v>19</v>
      </c>
      <c r="J4258" s="22" t="n">
        <f aca="false">IF(E4258="Priority",'Cost model'!N206,'Cost model'!M206)</f>
        <v>55</v>
      </c>
      <c r="K4258" s="14" t="n">
        <f aca="false">J4258-H4258</f>
        <v>-26.92</v>
      </c>
      <c r="L4258" s="14" t="n">
        <f aca="false">G4258-H4258</f>
        <v>-62.92</v>
      </c>
    </row>
    <row r="4259" customFormat="false" ht="15" hidden="false" customHeight="false" outlineLevel="0" collapsed="false">
      <c r="A4259" s="2" t="s">
        <v>221</v>
      </c>
      <c r="B4259" s="2" t="s">
        <v>221</v>
      </c>
      <c r="C4259" s="2" t="s">
        <v>49</v>
      </c>
      <c r="D4259" s="2" t="s">
        <v>14</v>
      </c>
      <c r="E4259" s="2" t="s">
        <v>76</v>
      </c>
      <c r="F4259" s="2" t="s">
        <v>1145</v>
      </c>
      <c r="G4259" s="14" t="n">
        <v>45</v>
      </c>
      <c r="H4259" s="14" t="n">
        <v>174.17</v>
      </c>
      <c r="I4259" s="14" t="n">
        <v>45</v>
      </c>
      <c r="J4259" s="22" t="n">
        <f aca="false">IF(E4259="Priority",'Cost model'!N642,'Cost model'!M642)</f>
        <v>150</v>
      </c>
      <c r="K4259" s="14" t="n">
        <f aca="false">J4259-H4259</f>
        <v>-24.17</v>
      </c>
      <c r="L4259" s="14" t="n">
        <f aca="false">G4259-H4259</f>
        <v>-129.17</v>
      </c>
    </row>
    <row r="4260" customFormat="false" ht="15" hidden="false" customHeight="false" outlineLevel="0" collapsed="false">
      <c r="A4260" s="2" t="s">
        <v>165</v>
      </c>
      <c r="B4260" s="2" t="s">
        <v>146</v>
      </c>
      <c r="C4260" s="2" t="s">
        <v>48</v>
      </c>
      <c r="D4260" s="2" t="s">
        <v>10</v>
      </c>
      <c r="E4260" s="2" t="s">
        <v>76</v>
      </c>
      <c r="F4260" s="2" t="s">
        <v>1146</v>
      </c>
      <c r="G4260" s="14" t="n">
        <v>24.5</v>
      </c>
      <c r="H4260" s="14" t="n">
        <v>43.25</v>
      </c>
      <c r="I4260" s="14" t="n">
        <v>14.5</v>
      </c>
      <c r="J4260" s="22" t="n">
        <f aca="false">IF(E4260="Priority",'Cost model'!N524,'Cost model'!M524)</f>
        <v>14.5</v>
      </c>
      <c r="K4260" s="14" t="n">
        <f aca="false">J4260-H4260</f>
        <v>-28.75</v>
      </c>
      <c r="L4260" s="14" t="n">
        <f aca="false">G4260-H4260</f>
        <v>-18.75</v>
      </c>
    </row>
    <row r="4261" customFormat="false" ht="15" hidden="false" customHeight="false" outlineLevel="0" collapsed="false">
      <c r="A4261" s="2" t="s">
        <v>240</v>
      </c>
      <c r="B4261" s="2" t="s">
        <v>240</v>
      </c>
      <c r="C4261" s="2" t="s">
        <v>48</v>
      </c>
      <c r="D4261" s="2" t="s">
        <v>12</v>
      </c>
      <c r="E4261" s="2" t="s">
        <v>76</v>
      </c>
      <c r="F4261" s="2" t="s">
        <v>1145</v>
      </c>
      <c r="G4261" s="14" t="n">
        <v>9.5</v>
      </c>
      <c r="H4261" s="14" t="n">
        <v>14.67</v>
      </c>
      <c r="I4261" s="14" t="n">
        <v>9.5</v>
      </c>
      <c r="J4261" s="22" t="n">
        <f aca="false">IF(E4261="Priority",'Cost model'!N887,'Cost model'!M887)</f>
        <v>21.5</v>
      </c>
      <c r="K4261" s="14" t="n">
        <f aca="false">J4261-H4261</f>
        <v>6.83</v>
      </c>
      <c r="L4261" s="14" t="n">
        <f aca="false">G4261-H4261</f>
        <v>-5.17</v>
      </c>
    </row>
    <row r="4262" customFormat="false" ht="15" hidden="false" customHeight="false" outlineLevel="0" collapsed="false">
      <c r="A4262" s="2" t="s">
        <v>184</v>
      </c>
      <c r="B4262" s="2" t="s">
        <v>184</v>
      </c>
      <c r="C4262" s="2" t="s">
        <v>49</v>
      </c>
      <c r="D4262" s="2" t="s">
        <v>12</v>
      </c>
      <c r="E4262" s="2" t="s">
        <v>76</v>
      </c>
      <c r="F4262" s="2" t="s">
        <v>1145</v>
      </c>
      <c r="G4262" s="14" t="n">
        <v>19.5</v>
      </c>
      <c r="H4262" s="14" t="n">
        <v>97.78</v>
      </c>
      <c r="I4262" s="14"/>
      <c r="J4262" s="22" t="n">
        <f aca="false">IF(E4262="Priority",'Cost model'!N204,'Cost model'!M204)</f>
        <v>45</v>
      </c>
      <c r="K4262" s="14" t="n">
        <f aca="false">J4262-H4262</f>
        <v>-52.78</v>
      </c>
      <c r="L4262" s="14" t="n">
        <f aca="false">G4262-H4262</f>
        <v>-78.28</v>
      </c>
    </row>
    <row r="4263" customFormat="false" ht="15" hidden="false" customHeight="false" outlineLevel="0" collapsed="false">
      <c r="A4263" s="2" t="s">
        <v>184</v>
      </c>
      <c r="B4263" s="2" t="s">
        <v>184</v>
      </c>
      <c r="C4263" s="2" t="s">
        <v>48</v>
      </c>
      <c r="D4263" s="2" t="s">
        <v>12</v>
      </c>
      <c r="E4263" s="2" t="s">
        <v>76</v>
      </c>
      <c r="F4263" s="2" t="s">
        <v>1145</v>
      </c>
      <c r="G4263" s="14" t="n">
        <v>9.5</v>
      </c>
      <c r="H4263" s="14" t="n">
        <v>29.04</v>
      </c>
      <c r="I4263" s="14" t="n">
        <v>9.5</v>
      </c>
      <c r="J4263" s="22" t="n">
        <f aca="false">IF(E4263="Priority",'Cost model'!N203,'Cost model'!M203)</f>
        <v>26.5</v>
      </c>
      <c r="K4263" s="14" t="n">
        <f aca="false">J4263-H4263</f>
        <v>-2.54</v>
      </c>
      <c r="L4263" s="14" t="n">
        <f aca="false">G4263-H4263</f>
        <v>-19.54</v>
      </c>
    </row>
    <row r="4264" customFormat="false" ht="15" hidden="false" customHeight="false" outlineLevel="0" collapsed="false">
      <c r="A4264" s="2" t="s">
        <v>126</v>
      </c>
      <c r="B4264" s="2" t="s">
        <v>165</v>
      </c>
      <c r="C4264" s="2" t="s">
        <v>48</v>
      </c>
      <c r="D4264" s="2" t="s">
        <v>12</v>
      </c>
      <c r="E4264" s="2" t="s">
        <v>76</v>
      </c>
      <c r="F4264" s="2" t="s">
        <v>1146</v>
      </c>
      <c r="G4264" s="14" t="n">
        <v>9.5</v>
      </c>
      <c r="H4264" s="14" t="n">
        <v>60.81</v>
      </c>
      <c r="I4264" s="14" t="n">
        <v>19.5</v>
      </c>
      <c r="J4264" s="22" t="n">
        <f aca="false">IF(E4264="Priority",'Cost model'!N419,'Cost model'!M419)</f>
        <v>55</v>
      </c>
      <c r="K4264" s="14" t="n">
        <f aca="false">J4264-H4264</f>
        <v>-5.81</v>
      </c>
      <c r="L4264" s="14" t="n">
        <f aca="false">G4264-H4264</f>
        <v>-51.31</v>
      </c>
    </row>
    <row r="4265" customFormat="false" ht="15" hidden="false" customHeight="false" outlineLevel="0" collapsed="false">
      <c r="A4265" s="2" t="s">
        <v>184</v>
      </c>
      <c r="B4265" s="2" t="s">
        <v>184</v>
      </c>
      <c r="C4265" s="2" t="s">
        <v>49</v>
      </c>
      <c r="D4265" s="2" t="s">
        <v>12</v>
      </c>
      <c r="E4265" s="2" t="s">
        <v>76</v>
      </c>
      <c r="F4265" s="2" t="s">
        <v>1145</v>
      </c>
      <c r="G4265" s="14" t="n">
        <v>24.5</v>
      </c>
      <c r="H4265" s="14" t="n">
        <v>76.19</v>
      </c>
      <c r="I4265" s="14"/>
      <c r="J4265" s="22" t="n">
        <f aca="false">IF(E4265="Priority",'Cost model'!N204,'Cost model'!M204)</f>
        <v>45</v>
      </c>
      <c r="K4265" s="14" t="n">
        <f aca="false">J4265-H4265</f>
        <v>-31.19</v>
      </c>
      <c r="L4265" s="14" t="n">
        <f aca="false">G4265-H4265</f>
        <v>-51.69</v>
      </c>
    </row>
    <row r="4266" customFormat="false" ht="15" hidden="false" customHeight="false" outlineLevel="0" collapsed="false">
      <c r="A4266" s="2" t="s">
        <v>126</v>
      </c>
      <c r="B4266" s="2" t="s">
        <v>126</v>
      </c>
      <c r="C4266" s="2" t="s">
        <v>50</v>
      </c>
      <c r="D4266" s="2" t="s">
        <v>12</v>
      </c>
      <c r="E4266" s="2" t="s">
        <v>76</v>
      </c>
      <c r="F4266" s="2" t="s">
        <v>1145</v>
      </c>
      <c r="G4266" s="14" t="n">
        <v>19.5</v>
      </c>
      <c r="H4266" s="14" t="n">
        <v>43.77</v>
      </c>
      <c r="I4266" s="14" t="n">
        <v>19.5</v>
      </c>
      <c r="J4266" s="22" t="n">
        <f aca="false">IF(E4266="Priority",'Cost model'!N385,'Cost model'!M385)</f>
        <v>55</v>
      </c>
      <c r="K4266" s="14" t="n">
        <f aca="false">J4266-H4266</f>
        <v>11.23</v>
      </c>
      <c r="L4266" s="14" t="n">
        <f aca="false">G4266-H4266</f>
        <v>-24.27</v>
      </c>
    </row>
    <row r="4267" customFormat="false" ht="15" hidden="false" customHeight="false" outlineLevel="0" collapsed="false">
      <c r="A4267" s="2" t="s">
        <v>184</v>
      </c>
      <c r="B4267" s="2" t="s">
        <v>240</v>
      </c>
      <c r="C4267" s="2" t="s">
        <v>48</v>
      </c>
      <c r="D4267" s="2" t="s">
        <v>12</v>
      </c>
      <c r="E4267" s="2" t="s">
        <v>76</v>
      </c>
      <c r="F4267" s="2" t="s">
        <v>1146</v>
      </c>
      <c r="G4267" s="14" t="n">
        <v>24.5</v>
      </c>
      <c r="H4267" s="14" t="n">
        <v>97.78</v>
      </c>
      <c r="I4267" s="14" t="n">
        <v>24.5</v>
      </c>
      <c r="J4267" s="22" t="n">
        <f aca="false">IF(E4267="Priority",'Cost model'!N185,'Cost model'!M185)</f>
        <v>55</v>
      </c>
      <c r="K4267" s="14" t="n">
        <f aca="false">J4267-H4267</f>
        <v>-42.78</v>
      </c>
      <c r="L4267" s="14" t="n">
        <f aca="false">G4267-H4267</f>
        <v>-73.28</v>
      </c>
    </row>
    <row r="4268" customFormat="false" ht="15" hidden="false" customHeight="false" outlineLevel="0" collapsed="false">
      <c r="A4268" s="2" t="s">
        <v>184</v>
      </c>
      <c r="B4268" s="2" t="s">
        <v>126</v>
      </c>
      <c r="C4268" s="2" t="s">
        <v>48</v>
      </c>
      <c r="D4268" s="2" t="s">
        <v>10</v>
      </c>
      <c r="E4268" s="2" t="s">
        <v>76</v>
      </c>
      <c r="F4268" s="2" t="s">
        <v>1146</v>
      </c>
      <c r="G4268" s="14" t="n">
        <v>9.5</v>
      </c>
      <c r="H4268" s="14" t="n">
        <v>10.68</v>
      </c>
      <c r="I4268" s="14" t="n">
        <v>9.5</v>
      </c>
      <c r="J4268" s="22" t="n">
        <f aca="false">IF(E4268="Priority",'Cost model'!N128,'Cost model'!M128)</f>
        <v>10.5</v>
      </c>
      <c r="K4268" s="14" t="n">
        <f aca="false">J4268-H4268</f>
        <v>-0.18</v>
      </c>
      <c r="L4268" s="14" t="n">
        <f aca="false">G4268-H4268</f>
        <v>-1.18</v>
      </c>
    </row>
    <row r="4269" customFormat="false" ht="15" hidden="false" customHeight="false" outlineLevel="0" collapsed="false">
      <c r="A4269" s="2" t="s">
        <v>146</v>
      </c>
      <c r="B4269" s="2" t="s">
        <v>146</v>
      </c>
      <c r="C4269" s="2" t="s">
        <v>48</v>
      </c>
      <c r="D4269" s="2" t="s">
        <v>10</v>
      </c>
      <c r="E4269" s="2" t="s">
        <v>76</v>
      </c>
      <c r="F4269" s="2" t="s">
        <v>1145</v>
      </c>
      <c r="G4269" s="14" t="n">
        <v>9.5</v>
      </c>
      <c r="H4269" s="14" t="n">
        <v>6.27</v>
      </c>
      <c r="I4269" s="14" t="n">
        <v>9.5</v>
      </c>
      <c r="J4269" s="22" t="n">
        <f aca="false">IF(E4269="Priority",'Cost model'!N758,'Cost model'!M758)</f>
        <v>9.5</v>
      </c>
      <c r="K4269" s="14" t="n">
        <f aca="false">J4269-H4269</f>
        <v>3.23</v>
      </c>
      <c r="L4269" s="14" t="n">
        <f aca="false">G4269-H4269</f>
        <v>3.23</v>
      </c>
    </row>
    <row r="4270" customFormat="false" ht="15" hidden="false" customHeight="false" outlineLevel="0" collapsed="false">
      <c r="A4270" s="2" t="s">
        <v>240</v>
      </c>
      <c r="B4270" s="2" t="s">
        <v>240</v>
      </c>
      <c r="C4270" s="2" t="s">
        <v>49</v>
      </c>
      <c r="D4270" s="2" t="s">
        <v>12</v>
      </c>
      <c r="E4270" s="2" t="s">
        <v>76</v>
      </c>
      <c r="F4270" s="2" t="s">
        <v>1145</v>
      </c>
      <c r="G4270" s="14" t="n">
        <v>12.5</v>
      </c>
      <c r="H4270" s="14" t="n">
        <v>32.66</v>
      </c>
      <c r="I4270" s="14" t="n">
        <v>12.5</v>
      </c>
      <c r="J4270" s="22" t="n">
        <f aca="false">IF(E4270="Priority",'Cost model'!N888,'Cost model'!M888)</f>
        <v>50</v>
      </c>
      <c r="K4270" s="14" t="n">
        <f aca="false">J4270-H4270</f>
        <v>17.34</v>
      </c>
      <c r="L4270" s="14" t="n">
        <f aca="false">G4270-H4270</f>
        <v>-20.16</v>
      </c>
    </row>
    <row r="4271" customFormat="false" ht="15" hidden="false" customHeight="false" outlineLevel="0" collapsed="false">
      <c r="A4271" s="2" t="s">
        <v>146</v>
      </c>
      <c r="B4271" s="2" t="s">
        <v>146</v>
      </c>
      <c r="C4271" s="2" t="s">
        <v>48</v>
      </c>
      <c r="D4271" s="2" t="s">
        <v>10</v>
      </c>
      <c r="E4271" s="2" t="s">
        <v>85</v>
      </c>
      <c r="F4271" s="2" t="s">
        <v>1145</v>
      </c>
      <c r="G4271" s="14" t="n">
        <v>14.5</v>
      </c>
      <c r="H4271" s="14" t="n">
        <v>5.27</v>
      </c>
      <c r="I4271" s="14" t="n">
        <v>14.5</v>
      </c>
      <c r="J4271" s="22" t="n">
        <f aca="false">IF(E4271="Priority",'Cost model'!N758,'Cost model'!M758)</f>
        <v>14.5</v>
      </c>
      <c r="K4271" s="14" t="n">
        <f aca="false">J4271-H4271</f>
        <v>9.23</v>
      </c>
      <c r="L4271" s="14" t="n">
        <f aca="false">G4271-H4271</f>
        <v>9.23</v>
      </c>
    </row>
    <row r="4272" customFormat="false" ht="15" hidden="false" customHeight="false" outlineLevel="0" collapsed="false">
      <c r="A4272" s="2" t="s">
        <v>240</v>
      </c>
      <c r="B4272" s="2" t="s">
        <v>240</v>
      </c>
      <c r="C4272" s="2" t="s">
        <v>48</v>
      </c>
      <c r="D4272" s="2" t="s">
        <v>12</v>
      </c>
      <c r="E4272" s="2" t="s">
        <v>76</v>
      </c>
      <c r="F4272" s="2" t="s">
        <v>1145</v>
      </c>
      <c r="G4272" s="14" t="n">
        <v>9.5</v>
      </c>
      <c r="H4272" s="14" t="n">
        <v>9.72</v>
      </c>
      <c r="I4272" s="14" t="n">
        <v>9.5</v>
      </c>
      <c r="J4272" s="22" t="n">
        <f aca="false">IF(E4272="Priority",'Cost model'!N887,'Cost model'!M887)</f>
        <v>21.5</v>
      </c>
      <c r="K4272" s="14" t="n">
        <f aca="false">J4272-H4272</f>
        <v>11.78</v>
      </c>
      <c r="L4272" s="14" t="n">
        <f aca="false">G4272-H4272</f>
        <v>-0.220000000000001</v>
      </c>
    </row>
    <row r="4273" customFormat="false" ht="15" hidden="false" customHeight="false" outlineLevel="0" collapsed="false">
      <c r="A4273" s="2" t="s">
        <v>184</v>
      </c>
      <c r="B4273" s="2" t="s">
        <v>126</v>
      </c>
      <c r="C4273" s="2" t="s">
        <v>48</v>
      </c>
      <c r="D4273" s="2" t="s">
        <v>12</v>
      </c>
      <c r="E4273" s="2" t="s">
        <v>76</v>
      </c>
      <c r="F4273" s="2" t="s">
        <v>1146</v>
      </c>
      <c r="G4273" s="14" t="n">
        <v>9.5</v>
      </c>
      <c r="H4273" s="14" t="n">
        <v>62.02</v>
      </c>
      <c r="I4273" s="14" t="n">
        <v>9.5</v>
      </c>
      <c r="J4273" s="22" t="n">
        <f aca="false">IF(E4273="Priority",'Cost model'!N131,'Cost model'!M131)</f>
        <v>40</v>
      </c>
      <c r="K4273" s="14" t="n">
        <f aca="false">J4273-H4273</f>
        <v>-22.02</v>
      </c>
      <c r="L4273" s="14" t="n">
        <f aca="false">G4273-H4273</f>
        <v>-52.52</v>
      </c>
    </row>
    <row r="4274" customFormat="false" ht="15" hidden="false" customHeight="false" outlineLevel="0" collapsed="false">
      <c r="A4274" s="2" t="s">
        <v>385</v>
      </c>
      <c r="B4274" s="2" t="s">
        <v>165</v>
      </c>
      <c r="C4274" s="2" t="s">
        <v>48</v>
      </c>
      <c r="D4274" s="2" t="s">
        <v>10</v>
      </c>
      <c r="E4274" s="2" t="s">
        <v>76</v>
      </c>
      <c r="F4274" s="2" t="s">
        <v>1146</v>
      </c>
      <c r="G4274" s="14" t="n">
        <v>19.5</v>
      </c>
      <c r="H4274" s="14" t="n">
        <v>21.76</v>
      </c>
      <c r="I4274" s="14" t="n">
        <v>19.5</v>
      </c>
      <c r="J4274" s="22" t="n">
        <f aca="false">IF(E4274="Priority",'Cost model'!N254,'Cost model'!M254)</f>
        <v>20.5</v>
      </c>
      <c r="K4274" s="14" t="n">
        <f aca="false">J4274-H4274</f>
        <v>-1.26</v>
      </c>
      <c r="L4274" s="14" t="n">
        <f aca="false">G4274-H4274</f>
        <v>-2.26</v>
      </c>
    </row>
    <row r="4275" customFormat="false" ht="15" hidden="false" customHeight="false" outlineLevel="0" collapsed="false">
      <c r="A4275" s="2" t="s">
        <v>184</v>
      </c>
      <c r="B4275" s="2" t="s">
        <v>184</v>
      </c>
      <c r="C4275" s="2" t="s">
        <v>48</v>
      </c>
      <c r="D4275" s="2" t="s">
        <v>10</v>
      </c>
      <c r="E4275" s="2" t="s">
        <v>85</v>
      </c>
      <c r="F4275" s="2" t="s">
        <v>1145</v>
      </c>
      <c r="G4275" s="14" t="n">
        <v>14.5</v>
      </c>
      <c r="H4275" s="14" t="n">
        <v>24.48</v>
      </c>
      <c r="I4275" s="14" t="n">
        <v>14.5</v>
      </c>
      <c r="J4275" s="22" t="n">
        <f aca="false">IF(E4275="Priority",'Cost model'!N200,'Cost model'!M200)</f>
        <v>12.5</v>
      </c>
      <c r="K4275" s="14" t="n">
        <f aca="false">J4275-H4275</f>
        <v>-11.98</v>
      </c>
      <c r="L4275" s="14" t="n">
        <f aca="false">G4275-H4275</f>
        <v>-9.98</v>
      </c>
    </row>
    <row r="4276" customFormat="false" ht="15" hidden="false" customHeight="false" outlineLevel="0" collapsed="false">
      <c r="A4276" s="2" t="s">
        <v>146</v>
      </c>
      <c r="B4276" s="2" t="s">
        <v>146</v>
      </c>
      <c r="C4276" s="2" t="s">
        <v>49</v>
      </c>
      <c r="D4276" s="2" t="s">
        <v>12</v>
      </c>
      <c r="E4276" s="2" t="s">
        <v>76</v>
      </c>
      <c r="F4276" s="2" t="s">
        <v>1145</v>
      </c>
      <c r="G4276" s="14" t="n">
        <v>12.5</v>
      </c>
      <c r="H4276" s="14" t="n">
        <v>27.12</v>
      </c>
      <c r="I4276" s="14" t="n">
        <v>12.5</v>
      </c>
      <c r="J4276" s="22" t="n">
        <f aca="false">IF(E4276="Priority",'Cost model'!N762,'Cost model'!M762)</f>
        <v>45</v>
      </c>
      <c r="K4276" s="14" t="n">
        <f aca="false">J4276-H4276</f>
        <v>17.88</v>
      </c>
      <c r="L4276" s="14" t="n">
        <f aca="false">G4276-H4276</f>
        <v>-14.62</v>
      </c>
    </row>
    <row r="4277" customFormat="false" ht="15" hidden="false" customHeight="false" outlineLevel="0" collapsed="false">
      <c r="A4277" s="2" t="s">
        <v>240</v>
      </c>
      <c r="B4277" s="2" t="s">
        <v>240</v>
      </c>
      <c r="C4277" s="2" t="s">
        <v>48</v>
      </c>
      <c r="D4277" s="2" t="s">
        <v>12</v>
      </c>
      <c r="E4277" s="2" t="s">
        <v>76</v>
      </c>
      <c r="F4277" s="2" t="s">
        <v>1145</v>
      </c>
      <c r="G4277" s="14" t="n">
        <v>9.5</v>
      </c>
      <c r="H4277" s="14" t="n">
        <v>28.06</v>
      </c>
      <c r="I4277" s="14" t="n">
        <v>9.5</v>
      </c>
      <c r="J4277" s="22" t="n">
        <f aca="false">IF(E4277="Priority",'Cost model'!N887,'Cost model'!M887)</f>
        <v>21.5</v>
      </c>
      <c r="K4277" s="14" t="n">
        <f aca="false">J4277-H4277</f>
        <v>-6.56</v>
      </c>
      <c r="L4277" s="14" t="n">
        <f aca="false">G4277-H4277</f>
        <v>-18.56</v>
      </c>
    </row>
    <row r="4278" customFormat="false" ht="15" hidden="false" customHeight="false" outlineLevel="0" collapsed="false">
      <c r="A4278" s="2" t="s">
        <v>126</v>
      </c>
      <c r="B4278" s="2" t="s">
        <v>126</v>
      </c>
      <c r="C4278" s="2" t="s">
        <v>49</v>
      </c>
      <c r="D4278" s="2" t="s">
        <v>10</v>
      </c>
      <c r="E4278" s="2" t="s">
        <v>76</v>
      </c>
      <c r="F4278" s="2" t="s">
        <v>1145</v>
      </c>
      <c r="G4278" s="14" t="n">
        <v>12.5</v>
      </c>
      <c r="H4278" s="14" t="n">
        <v>6.74</v>
      </c>
      <c r="I4278" s="14" t="n">
        <v>12.5</v>
      </c>
      <c r="J4278" s="22" t="n">
        <f aca="false">IF(E4278="Priority",'Cost model'!N381,'Cost model'!M381)</f>
        <v>14.5</v>
      </c>
      <c r="K4278" s="14" t="n">
        <f aca="false">J4278-H4278</f>
        <v>7.76</v>
      </c>
      <c r="L4278" s="14" t="n">
        <f aca="false">G4278-H4278</f>
        <v>5.76</v>
      </c>
    </row>
    <row r="4279" customFormat="false" ht="15" hidden="false" customHeight="false" outlineLevel="0" collapsed="false">
      <c r="A4279" s="2" t="s">
        <v>126</v>
      </c>
      <c r="B4279" s="2" t="s">
        <v>126</v>
      </c>
      <c r="C4279" s="2" t="s">
        <v>49</v>
      </c>
      <c r="D4279" s="2" t="s">
        <v>12</v>
      </c>
      <c r="E4279" s="2" t="s">
        <v>76</v>
      </c>
      <c r="F4279" s="2" t="s">
        <v>1145</v>
      </c>
      <c r="G4279" s="14" t="n">
        <v>12.5</v>
      </c>
      <c r="H4279" s="14" t="n">
        <v>42.61</v>
      </c>
      <c r="I4279" s="14" t="n">
        <v>12.5</v>
      </c>
      <c r="J4279" s="22" t="n">
        <f aca="false">IF(E4279="Priority",'Cost model'!N384,'Cost model'!M384)</f>
        <v>45</v>
      </c>
      <c r="K4279" s="14" t="n">
        <f aca="false">J4279-H4279</f>
        <v>2.39</v>
      </c>
      <c r="L4279" s="14" t="n">
        <f aca="false">G4279-H4279</f>
        <v>-30.11</v>
      </c>
    </row>
    <row r="4280" customFormat="false" ht="15" hidden="false" customHeight="false" outlineLevel="0" collapsed="false">
      <c r="A4280" s="2" t="s">
        <v>240</v>
      </c>
      <c r="B4280" s="2" t="s">
        <v>240</v>
      </c>
      <c r="C4280" s="2" t="s">
        <v>48</v>
      </c>
      <c r="D4280" s="2" t="s">
        <v>12</v>
      </c>
      <c r="E4280" s="2" t="s">
        <v>76</v>
      </c>
      <c r="F4280" s="2" t="s">
        <v>1145</v>
      </c>
      <c r="G4280" s="14" t="n">
        <v>9.5</v>
      </c>
      <c r="H4280" s="14" t="n">
        <v>16.07</v>
      </c>
      <c r="I4280" s="14" t="n">
        <v>9.5</v>
      </c>
      <c r="J4280" s="22" t="n">
        <f aca="false">IF(E4280="Priority",'Cost model'!N887,'Cost model'!M887)</f>
        <v>21.5</v>
      </c>
      <c r="K4280" s="14" t="n">
        <f aca="false">J4280-H4280</f>
        <v>5.43</v>
      </c>
      <c r="L4280" s="14" t="n">
        <f aca="false">G4280-H4280</f>
        <v>-6.57</v>
      </c>
    </row>
    <row r="4281" customFormat="false" ht="15" hidden="false" customHeight="false" outlineLevel="0" collapsed="false">
      <c r="A4281" s="2" t="s">
        <v>126</v>
      </c>
      <c r="B4281" s="2" t="s">
        <v>240</v>
      </c>
      <c r="C4281" s="2" t="s">
        <v>49</v>
      </c>
      <c r="D4281" s="2" t="s">
        <v>12</v>
      </c>
      <c r="E4281" s="2" t="s">
        <v>76</v>
      </c>
      <c r="F4281" s="2" t="s">
        <v>1146</v>
      </c>
      <c r="G4281" s="14" t="n">
        <v>19.5</v>
      </c>
      <c r="H4281" s="14" t="n">
        <v>23.58</v>
      </c>
      <c r="I4281" s="14" t="n">
        <v>24.5</v>
      </c>
      <c r="J4281" s="22" t="n">
        <f aca="false">IF(E4281="Priority",'Cost model'!N492,'Cost model'!M492)</f>
        <v>60</v>
      </c>
      <c r="K4281" s="14" t="n">
        <f aca="false">J4281-H4281</f>
        <v>36.42</v>
      </c>
      <c r="L4281" s="14" t="n">
        <f aca="false">G4281-H4281</f>
        <v>-4.08</v>
      </c>
    </row>
    <row r="4282" customFormat="false" ht="15" hidden="false" customHeight="false" outlineLevel="0" collapsed="false">
      <c r="A4282" s="2" t="s">
        <v>184</v>
      </c>
      <c r="B4282" s="2" t="s">
        <v>184</v>
      </c>
      <c r="C4282" s="2" t="s">
        <v>48</v>
      </c>
      <c r="D4282" s="2" t="s">
        <v>10</v>
      </c>
      <c r="E4282" s="2" t="s">
        <v>76</v>
      </c>
      <c r="F4282" s="2" t="s">
        <v>1145</v>
      </c>
      <c r="G4282" s="14" t="n">
        <v>9.5</v>
      </c>
      <c r="H4282" s="14" t="n">
        <v>10.57</v>
      </c>
      <c r="I4282" s="14" t="n">
        <v>9.5</v>
      </c>
      <c r="J4282" s="22" t="n">
        <f aca="false">IF(E4282="Priority",'Cost model'!N200,'Cost model'!M200)</f>
        <v>7.5</v>
      </c>
      <c r="K4282" s="14" t="n">
        <f aca="false">J4282-H4282</f>
        <v>-3.07</v>
      </c>
      <c r="L4282" s="14" t="n">
        <f aca="false">G4282-H4282</f>
        <v>-1.07</v>
      </c>
    </row>
    <row r="4283" customFormat="false" ht="15" hidden="false" customHeight="false" outlineLevel="0" collapsed="false">
      <c r="A4283" s="2" t="s">
        <v>184</v>
      </c>
      <c r="B4283" s="2" t="s">
        <v>184</v>
      </c>
      <c r="C4283" s="2" t="s">
        <v>48</v>
      </c>
      <c r="D4283" s="2" t="s">
        <v>12</v>
      </c>
      <c r="E4283" s="2" t="s">
        <v>76</v>
      </c>
      <c r="F4283" s="2" t="s">
        <v>1145</v>
      </c>
      <c r="G4283" s="14" t="n">
        <v>9.5</v>
      </c>
      <c r="H4283" s="14" t="n">
        <v>7.45</v>
      </c>
      <c r="I4283" s="14" t="n">
        <v>9.5</v>
      </c>
      <c r="J4283" s="22" t="n">
        <f aca="false">IF(E4283="Priority",'Cost model'!N203,'Cost model'!M203)</f>
        <v>26.5</v>
      </c>
      <c r="K4283" s="14" t="n">
        <f aca="false">J4283-H4283</f>
        <v>19.05</v>
      </c>
      <c r="L4283" s="14" t="n">
        <f aca="false">G4283-H4283</f>
        <v>2.05</v>
      </c>
    </row>
    <row r="4284" customFormat="false" ht="15" hidden="false" customHeight="false" outlineLevel="0" collapsed="false">
      <c r="A4284" s="2" t="s">
        <v>146</v>
      </c>
      <c r="B4284" s="2" t="s">
        <v>146</v>
      </c>
      <c r="C4284" s="2" t="s">
        <v>48</v>
      </c>
      <c r="D4284" s="2" t="s">
        <v>12</v>
      </c>
      <c r="E4284" s="2" t="s">
        <v>85</v>
      </c>
      <c r="F4284" s="2" t="s">
        <v>1145</v>
      </c>
      <c r="G4284" s="14" t="n">
        <v>19.5</v>
      </c>
      <c r="H4284" s="14" t="n">
        <v>43.25</v>
      </c>
      <c r="I4284" s="14" t="n">
        <v>19.5</v>
      </c>
      <c r="J4284" s="22" t="n">
        <f aca="false">IF(E4284="Priority",'Cost model'!N761,'Cost model'!M761)</f>
        <v>45</v>
      </c>
      <c r="K4284" s="14" t="n">
        <f aca="false">J4284-H4284</f>
        <v>1.75</v>
      </c>
      <c r="L4284" s="14" t="n">
        <f aca="false">G4284-H4284</f>
        <v>-23.75</v>
      </c>
    </row>
    <row r="4285" customFormat="false" ht="15" hidden="false" customHeight="false" outlineLevel="0" collapsed="false">
      <c r="A4285" s="2" t="s">
        <v>184</v>
      </c>
      <c r="B4285" s="2" t="s">
        <v>184</v>
      </c>
      <c r="C4285" s="2" t="s">
        <v>50</v>
      </c>
      <c r="D4285" s="2" t="s">
        <v>12</v>
      </c>
      <c r="E4285" s="2" t="s">
        <v>76</v>
      </c>
      <c r="F4285" s="2" t="s">
        <v>1145</v>
      </c>
      <c r="G4285" s="14" t="n">
        <v>19.5</v>
      </c>
      <c r="H4285" s="14" t="n">
        <v>44.66</v>
      </c>
      <c r="I4285" s="14" t="n">
        <v>19.5</v>
      </c>
      <c r="J4285" s="22" t="n">
        <f aca="false">IF(E4285="Priority",'Cost model'!N205,'Cost model'!M205)</f>
        <v>50</v>
      </c>
      <c r="K4285" s="14" t="n">
        <f aca="false">J4285-H4285</f>
        <v>5.34</v>
      </c>
      <c r="L4285" s="14" t="n">
        <f aca="false">G4285-H4285</f>
        <v>-25.16</v>
      </c>
    </row>
    <row r="4286" customFormat="false" ht="15" hidden="false" customHeight="false" outlineLevel="0" collapsed="false">
      <c r="A4286" s="2" t="s">
        <v>126</v>
      </c>
      <c r="B4286" s="2" t="s">
        <v>126</v>
      </c>
      <c r="C4286" s="2" t="s">
        <v>48</v>
      </c>
      <c r="D4286" s="2" t="s">
        <v>10</v>
      </c>
      <c r="E4286" s="2" t="s">
        <v>76</v>
      </c>
      <c r="F4286" s="2" t="s">
        <v>1145</v>
      </c>
      <c r="G4286" s="14" t="n">
        <v>9.5</v>
      </c>
      <c r="H4286" s="14" t="n">
        <v>6.8</v>
      </c>
      <c r="I4286" s="14" t="n">
        <v>9.5</v>
      </c>
      <c r="J4286" s="22" t="n">
        <f aca="false">IF(E4286="Priority",'Cost model'!N380,'Cost model'!M380)</f>
        <v>8.5</v>
      </c>
      <c r="K4286" s="14" t="n">
        <f aca="false">J4286-H4286</f>
        <v>1.7</v>
      </c>
      <c r="L4286" s="14" t="n">
        <f aca="false">G4286-H4286</f>
        <v>2.7</v>
      </c>
    </row>
    <row r="4287" customFormat="false" ht="15" hidden="false" customHeight="false" outlineLevel="0" collapsed="false">
      <c r="A4287" s="2" t="s">
        <v>184</v>
      </c>
      <c r="B4287" s="2" t="s">
        <v>126</v>
      </c>
      <c r="C4287" s="2" t="s">
        <v>50</v>
      </c>
      <c r="D4287" s="2" t="s">
        <v>10</v>
      </c>
      <c r="E4287" s="2" t="s">
        <v>76</v>
      </c>
      <c r="F4287" s="2" t="s">
        <v>1146</v>
      </c>
      <c r="G4287" s="14" t="n">
        <v>17.5</v>
      </c>
      <c r="H4287" s="14" t="n">
        <v>11.03</v>
      </c>
      <c r="I4287" s="14" t="n">
        <v>17.5</v>
      </c>
      <c r="J4287" s="22" t="n">
        <f aca="false">IF(E4287="Priority",'Cost model'!N130,'Cost model'!M130)</f>
        <v>18.5</v>
      </c>
      <c r="K4287" s="14" t="n">
        <f aca="false">J4287-H4287</f>
        <v>7.47</v>
      </c>
      <c r="L4287" s="14" t="n">
        <f aca="false">G4287-H4287</f>
        <v>6.47</v>
      </c>
    </row>
    <row r="4288" customFormat="false" ht="15" hidden="false" customHeight="false" outlineLevel="0" collapsed="false">
      <c r="A4288" s="2" t="s">
        <v>221</v>
      </c>
      <c r="B4288" s="2" t="s">
        <v>126</v>
      </c>
      <c r="C4288" s="2" t="s">
        <v>49</v>
      </c>
      <c r="D4288" s="2" t="s">
        <v>12</v>
      </c>
      <c r="E4288" s="2" t="s">
        <v>85</v>
      </c>
      <c r="F4288" s="2" t="s">
        <v>1146</v>
      </c>
      <c r="G4288" s="14" t="n">
        <v>29.5</v>
      </c>
      <c r="H4288" s="14" t="n">
        <v>60.93</v>
      </c>
      <c r="I4288" s="14" t="n">
        <v>29.5</v>
      </c>
      <c r="J4288" s="22" t="n">
        <f aca="false">IF(E4288="Priority",'Cost model'!N690,'Cost model'!M690)</f>
        <v>80</v>
      </c>
      <c r="K4288" s="14" t="n">
        <f aca="false">J4288-H4288</f>
        <v>19.07</v>
      </c>
      <c r="L4288" s="14" t="n">
        <f aca="false">G4288-H4288</f>
        <v>-31.43</v>
      </c>
    </row>
    <row r="4289" customFormat="false" ht="15" hidden="false" customHeight="false" outlineLevel="0" collapsed="false">
      <c r="A4289" s="2" t="s">
        <v>184</v>
      </c>
      <c r="B4289" s="2" t="s">
        <v>184</v>
      </c>
      <c r="C4289" s="2" t="s">
        <v>48</v>
      </c>
      <c r="D4289" s="2" t="s">
        <v>12</v>
      </c>
      <c r="E4289" s="2" t="s">
        <v>76</v>
      </c>
      <c r="F4289" s="2" t="s">
        <v>1145</v>
      </c>
      <c r="G4289" s="14" t="n">
        <v>9.5</v>
      </c>
      <c r="H4289" s="14" t="n">
        <v>7.72</v>
      </c>
      <c r="I4289" s="14" t="n">
        <v>9.5</v>
      </c>
      <c r="J4289" s="22" t="n">
        <f aca="false">IF(E4289="Priority",'Cost model'!N203,'Cost model'!M203)</f>
        <v>26.5</v>
      </c>
      <c r="K4289" s="14" t="n">
        <f aca="false">J4289-H4289</f>
        <v>18.78</v>
      </c>
      <c r="L4289" s="14" t="n">
        <f aca="false">G4289-H4289</f>
        <v>1.78</v>
      </c>
    </row>
    <row r="4290" customFormat="false" ht="15" hidden="false" customHeight="false" outlineLevel="0" collapsed="false">
      <c r="A4290" s="2" t="s">
        <v>184</v>
      </c>
      <c r="B4290" s="2" t="s">
        <v>184</v>
      </c>
      <c r="C4290" s="2" t="s">
        <v>50</v>
      </c>
      <c r="D4290" s="2" t="s">
        <v>10</v>
      </c>
      <c r="E4290" s="2" t="s">
        <v>76</v>
      </c>
      <c r="F4290" s="2" t="s">
        <v>1145</v>
      </c>
      <c r="G4290" s="14" t="n">
        <v>17.5</v>
      </c>
      <c r="H4290" s="14" t="n">
        <v>15.65</v>
      </c>
      <c r="I4290" s="14" t="n">
        <v>17.5</v>
      </c>
      <c r="J4290" s="22" t="n">
        <f aca="false">IF(E4290="Priority",'Cost model'!N202,'Cost model'!M202)</f>
        <v>17.5</v>
      </c>
      <c r="K4290" s="14" t="n">
        <f aca="false">J4290-H4290</f>
        <v>1.85</v>
      </c>
      <c r="L4290" s="14" t="n">
        <f aca="false">G4290-H4290</f>
        <v>1.85</v>
      </c>
    </row>
    <row r="4291" customFormat="false" ht="15" hidden="false" customHeight="false" outlineLevel="0" collapsed="false">
      <c r="A4291" s="2" t="s">
        <v>126</v>
      </c>
      <c r="B4291" s="2" t="s">
        <v>126</v>
      </c>
      <c r="C4291" s="2" t="s">
        <v>49</v>
      </c>
      <c r="D4291" s="2" t="s">
        <v>12</v>
      </c>
      <c r="E4291" s="2" t="s">
        <v>76</v>
      </c>
      <c r="F4291" s="2" t="s">
        <v>1145</v>
      </c>
      <c r="G4291" s="14" t="n">
        <v>12.5</v>
      </c>
      <c r="H4291" s="14" t="n">
        <v>59.17</v>
      </c>
      <c r="I4291" s="14" t="n">
        <v>12.5</v>
      </c>
      <c r="J4291" s="22" t="n">
        <f aca="false">IF(E4291="Priority",'Cost model'!N384,'Cost model'!M384)</f>
        <v>45</v>
      </c>
      <c r="K4291" s="14" t="n">
        <f aca="false">J4291-H4291</f>
        <v>-14.17</v>
      </c>
      <c r="L4291" s="14" t="n">
        <f aca="false">G4291-H4291</f>
        <v>-46.67</v>
      </c>
    </row>
    <row r="4292" customFormat="false" ht="15" hidden="false" customHeight="false" outlineLevel="0" collapsed="false">
      <c r="A4292" s="2" t="s">
        <v>165</v>
      </c>
      <c r="B4292" s="2" t="s">
        <v>165</v>
      </c>
      <c r="C4292" s="2" t="s">
        <v>48</v>
      </c>
      <c r="D4292" s="2" t="s">
        <v>12</v>
      </c>
      <c r="E4292" s="2" t="s">
        <v>85</v>
      </c>
      <c r="F4292" s="2" t="s">
        <v>1145</v>
      </c>
      <c r="G4292" s="14" t="n">
        <v>19.5</v>
      </c>
      <c r="H4292" s="14" t="n">
        <v>45.94</v>
      </c>
      <c r="I4292" s="14" t="n">
        <v>19.5</v>
      </c>
      <c r="J4292" s="22" t="n">
        <f aca="false">IF(E4292="Priority",'Cost model'!N509,'Cost model'!M509)</f>
        <v>22.5</v>
      </c>
      <c r="K4292" s="14" t="n">
        <f aca="false">J4292-H4292</f>
        <v>-23.44</v>
      </c>
      <c r="L4292" s="14" t="n">
        <f aca="false">G4292-H4292</f>
        <v>-26.44</v>
      </c>
    </row>
    <row r="4293" customFormat="false" ht="15" hidden="false" customHeight="false" outlineLevel="0" collapsed="false">
      <c r="A4293" s="2" t="s">
        <v>184</v>
      </c>
      <c r="B4293" s="2" t="s">
        <v>184</v>
      </c>
      <c r="C4293" s="2" t="s">
        <v>49</v>
      </c>
      <c r="D4293" s="2" t="s">
        <v>10</v>
      </c>
      <c r="E4293" s="2" t="s">
        <v>76</v>
      </c>
      <c r="F4293" s="2" t="s">
        <v>1145</v>
      </c>
      <c r="G4293" s="14" t="n">
        <v>12.5</v>
      </c>
      <c r="H4293" s="14" t="n">
        <v>11.03</v>
      </c>
      <c r="I4293" s="14" t="n">
        <v>12.5</v>
      </c>
      <c r="J4293" s="22" t="n">
        <f aca="false">IF(E4293="Priority",'Cost model'!N201,'Cost model'!M201)</f>
        <v>12.5</v>
      </c>
      <c r="K4293" s="14" t="n">
        <f aca="false">J4293-H4293</f>
        <v>1.47</v>
      </c>
      <c r="L4293" s="14" t="n">
        <f aca="false">G4293-H4293</f>
        <v>1.47</v>
      </c>
    </row>
    <row r="4294" customFormat="false" ht="15" hidden="false" customHeight="false" outlineLevel="0" collapsed="false">
      <c r="A4294" s="2" t="s">
        <v>184</v>
      </c>
      <c r="B4294" s="2" t="s">
        <v>126</v>
      </c>
      <c r="C4294" s="2" t="s">
        <v>50</v>
      </c>
      <c r="D4294" s="2" t="s">
        <v>12</v>
      </c>
      <c r="E4294" s="2" t="s">
        <v>76</v>
      </c>
      <c r="F4294" s="2" t="s">
        <v>1146</v>
      </c>
      <c r="G4294" s="14" t="n">
        <v>19.5</v>
      </c>
      <c r="H4294" s="14" t="n">
        <v>50.53</v>
      </c>
      <c r="I4294" s="14" t="n">
        <v>19.5</v>
      </c>
      <c r="J4294" s="22" t="n">
        <f aca="false">IF(E4294="Priority",'Cost model'!N133,'Cost model'!M133)</f>
        <v>55</v>
      </c>
      <c r="K4294" s="14" t="n">
        <f aca="false">J4294-H4294</f>
        <v>4.47</v>
      </c>
      <c r="L4294" s="14" t="n">
        <f aca="false">G4294-H4294</f>
        <v>-31.03</v>
      </c>
    </row>
    <row r="4295" customFormat="false" ht="15" hidden="false" customHeight="false" outlineLevel="0" collapsed="false">
      <c r="A4295" s="2" t="s">
        <v>184</v>
      </c>
      <c r="B4295" s="2" t="s">
        <v>184</v>
      </c>
      <c r="C4295" s="2" t="s">
        <v>48</v>
      </c>
      <c r="D4295" s="2" t="s">
        <v>15</v>
      </c>
      <c r="E4295" s="2" t="s">
        <v>76</v>
      </c>
      <c r="F4295" s="2" t="s">
        <v>1145</v>
      </c>
      <c r="G4295" s="14" t="n">
        <v>45</v>
      </c>
      <c r="H4295" s="14" t="n">
        <v>151.99</v>
      </c>
      <c r="I4295" s="14" t="n">
        <v>45</v>
      </c>
      <c r="J4295" s="22" t="n">
        <f aca="false">IF(E4295="Priority",'Cost model'!N212,'Cost model'!M212)</f>
        <v>120</v>
      </c>
      <c r="K4295" s="14" t="n">
        <f aca="false">J4295-H4295</f>
        <v>-31.99</v>
      </c>
      <c r="L4295" s="14" t="n">
        <f aca="false">G4295-H4295</f>
        <v>-106.99</v>
      </c>
    </row>
    <row r="4296" customFormat="false" ht="15" hidden="false" customHeight="false" outlineLevel="0" collapsed="false">
      <c r="A4296" s="2" t="s">
        <v>184</v>
      </c>
      <c r="B4296" s="2" t="s">
        <v>184</v>
      </c>
      <c r="C4296" s="2" t="s">
        <v>49</v>
      </c>
      <c r="D4296" s="2" t="s">
        <v>10</v>
      </c>
      <c r="E4296" s="2" t="s">
        <v>76</v>
      </c>
      <c r="F4296" s="2" t="s">
        <v>1145</v>
      </c>
      <c r="G4296" s="14" t="n">
        <v>12.5</v>
      </c>
      <c r="H4296" s="14" t="n">
        <v>11.94</v>
      </c>
      <c r="I4296" s="14"/>
      <c r="J4296" s="22" t="n">
        <f aca="false">IF(E4296="Priority",'Cost model'!N201,'Cost model'!M201)</f>
        <v>12.5</v>
      </c>
      <c r="K4296" s="14" t="n">
        <f aca="false">J4296-H4296</f>
        <v>0.560000000000001</v>
      </c>
      <c r="L4296" s="14" t="n">
        <f aca="false">G4296-H4296</f>
        <v>0.560000000000001</v>
      </c>
    </row>
    <row r="4297" customFormat="false" ht="15" hidden="false" customHeight="false" outlineLevel="0" collapsed="false">
      <c r="A4297" s="2" t="s">
        <v>184</v>
      </c>
      <c r="B4297" s="2" t="s">
        <v>184</v>
      </c>
      <c r="C4297" s="2" t="s">
        <v>49</v>
      </c>
      <c r="D4297" s="2" t="s">
        <v>12</v>
      </c>
      <c r="E4297" s="2" t="s">
        <v>76</v>
      </c>
      <c r="F4297" s="2" t="s">
        <v>1145</v>
      </c>
      <c r="G4297" s="14" t="n">
        <v>12.5</v>
      </c>
      <c r="H4297" s="14" t="n">
        <v>48.25</v>
      </c>
      <c r="I4297" s="14"/>
      <c r="J4297" s="22" t="n">
        <f aca="false">IF(E4297="Priority",'Cost model'!N204,'Cost model'!M204)</f>
        <v>45</v>
      </c>
      <c r="K4297" s="14" t="n">
        <f aca="false">J4297-H4297</f>
        <v>-3.25</v>
      </c>
      <c r="L4297" s="14" t="n">
        <f aca="false">G4297-H4297</f>
        <v>-35.75</v>
      </c>
    </row>
    <row r="4298" customFormat="false" ht="15" hidden="false" customHeight="false" outlineLevel="0" collapsed="false">
      <c r="A4298" s="2" t="s">
        <v>240</v>
      </c>
      <c r="B4298" s="2" t="s">
        <v>240</v>
      </c>
      <c r="C4298" s="2" t="s">
        <v>48</v>
      </c>
      <c r="D4298" s="2" t="s">
        <v>12</v>
      </c>
      <c r="E4298" s="2" t="s">
        <v>76</v>
      </c>
      <c r="F4298" s="2" t="s">
        <v>1145</v>
      </c>
      <c r="G4298" s="14" t="n">
        <v>9.5</v>
      </c>
      <c r="H4298" s="14" t="n">
        <v>35.53</v>
      </c>
      <c r="I4298" s="14" t="n">
        <v>9.5</v>
      </c>
      <c r="J4298" s="22" t="n">
        <f aca="false">IF(E4298="Priority",'Cost model'!N887,'Cost model'!M887)</f>
        <v>21.5</v>
      </c>
      <c r="K4298" s="14" t="n">
        <f aca="false">J4298-H4298</f>
        <v>-14.03</v>
      </c>
      <c r="L4298" s="14" t="n">
        <f aca="false">G4298-H4298</f>
        <v>-26.03</v>
      </c>
    </row>
    <row r="4299" customFormat="false" ht="15" hidden="false" customHeight="false" outlineLevel="0" collapsed="false">
      <c r="A4299" s="2" t="s">
        <v>184</v>
      </c>
      <c r="B4299" s="2" t="s">
        <v>165</v>
      </c>
      <c r="C4299" s="2" t="s">
        <v>49</v>
      </c>
      <c r="D4299" s="2" t="s">
        <v>12</v>
      </c>
      <c r="E4299" s="2" t="s">
        <v>76</v>
      </c>
      <c r="F4299" s="2" t="s">
        <v>1146</v>
      </c>
      <c r="G4299" s="14" t="n">
        <v>12.5</v>
      </c>
      <c r="H4299" s="14" t="n">
        <v>10.91</v>
      </c>
      <c r="I4299" s="14"/>
      <c r="J4299" s="22" t="n">
        <f aca="false">IF(E4299="Priority",'Cost model'!N168,'Cost model'!M168)</f>
        <v>60</v>
      </c>
      <c r="K4299" s="14" t="n">
        <f aca="false">J4299-H4299</f>
        <v>49.09</v>
      </c>
      <c r="L4299" s="14" t="n">
        <f aca="false">G4299-H4299</f>
        <v>1.59</v>
      </c>
    </row>
    <row r="4300" customFormat="false" ht="15" hidden="false" customHeight="false" outlineLevel="0" collapsed="false">
      <c r="A4300" s="2" t="s">
        <v>165</v>
      </c>
      <c r="B4300" s="2" t="s">
        <v>165</v>
      </c>
      <c r="C4300" s="2" t="s">
        <v>50</v>
      </c>
      <c r="D4300" s="2" t="s">
        <v>12</v>
      </c>
      <c r="E4300" s="2" t="s">
        <v>76</v>
      </c>
      <c r="F4300" s="2" t="s">
        <v>1145</v>
      </c>
      <c r="G4300" s="14" t="n">
        <v>19.5</v>
      </c>
      <c r="H4300" s="14" t="n">
        <v>18.83</v>
      </c>
      <c r="I4300" s="14" t="n">
        <v>19.5</v>
      </c>
      <c r="J4300" s="22" t="n">
        <f aca="false">IF(E4300="Priority",'Cost model'!N511,'Cost model'!M511)</f>
        <v>35</v>
      </c>
      <c r="K4300" s="14" t="n">
        <f aca="false">J4300-H4300</f>
        <v>16.17</v>
      </c>
      <c r="L4300" s="14" t="n">
        <f aca="false">G4300-H4300</f>
        <v>0.670000000000002</v>
      </c>
    </row>
    <row r="4301" customFormat="false" ht="15" hidden="false" customHeight="false" outlineLevel="0" collapsed="false">
      <c r="A4301" s="2" t="s">
        <v>165</v>
      </c>
      <c r="B4301" s="2" t="s">
        <v>240</v>
      </c>
      <c r="C4301" s="2" t="s">
        <v>48</v>
      </c>
      <c r="D4301" s="2" t="s">
        <v>10</v>
      </c>
      <c r="E4301" s="2" t="s">
        <v>76</v>
      </c>
      <c r="F4301" s="2" t="s">
        <v>1146</v>
      </c>
      <c r="G4301" s="14" t="n">
        <v>14.5</v>
      </c>
      <c r="H4301" s="14" t="n">
        <v>11.37</v>
      </c>
      <c r="I4301" s="14" t="n">
        <v>19.5</v>
      </c>
      <c r="J4301" s="22" t="n">
        <f aca="false">IF(E4301="Priority",'Cost model'!N560,'Cost model'!M560)</f>
        <v>13.5</v>
      </c>
      <c r="K4301" s="14" t="n">
        <f aca="false">J4301-H4301</f>
        <v>2.13</v>
      </c>
      <c r="L4301" s="14" t="n">
        <f aca="false">G4301-H4301</f>
        <v>3.13</v>
      </c>
    </row>
    <row r="4302" customFormat="false" ht="15" hidden="false" customHeight="false" outlineLevel="0" collapsed="false">
      <c r="A4302" s="2" t="s">
        <v>184</v>
      </c>
      <c r="B4302" s="2" t="s">
        <v>165</v>
      </c>
      <c r="C4302" s="2" t="s">
        <v>48</v>
      </c>
      <c r="D4302" s="2" t="s">
        <v>14</v>
      </c>
      <c r="E4302" s="2" t="s">
        <v>76</v>
      </c>
      <c r="F4302" s="2" t="s">
        <v>1146</v>
      </c>
      <c r="G4302" s="14" t="n">
        <v>25</v>
      </c>
      <c r="H4302" s="14" t="n">
        <v>82.27</v>
      </c>
      <c r="I4302" s="14" t="n">
        <v>85</v>
      </c>
      <c r="J4302" s="22" t="n">
        <f aca="false">IF(E4302="Priority",'Cost model'!N173,'Cost model'!M173)</f>
        <v>125</v>
      </c>
      <c r="K4302" s="14" t="n">
        <f aca="false">J4302-H4302</f>
        <v>42.73</v>
      </c>
      <c r="L4302" s="14" t="n">
        <f aca="false">G4302-H4302</f>
        <v>-57.27</v>
      </c>
    </row>
    <row r="4303" customFormat="false" ht="15" hidden="false" customHeight="false" outlineLevel="0" collapsed="false">
      <c r="A4303" s="2" t="s">
        <v>240</v>
      </c>
      <c r="B4303" s="2" t="s">
        <v>240</v>
      </c>
      <c r="C4303" s="2" t="s">
        <v>48</v>
      </c>
      <c r="D4303" s="2" t="s">
        <v>10</v>
      </c>
      <c r="E4303" s="2" t="s">
        <v>76</v>
      </c>
      <c r="F4303" s="2" t="s">
        <v>1145</v>
      </c>
      <c r="G4303" s="14" t="n">
        <v>9.5</v>
      </c>
      <c r="H4303" s="14" t="n">
        <v>7.43</v>
      </c>
      <c r="I4303" s="14" t="n">
        <v>9.5</v>
      </c>
      <c r="J4303" s="22" t="n">
        <f aca="false">IF(E4303="Priority",'Cost model'!N884,'Cost model'!M884)</f>
        <v>7.5</v>
      </c>
      <c r="K4303" s="14" t="n">
        <f aca="false">J4303-H4303</f>
        <v>0.0700000000000003</v>
      </c>
      <c r="L4303" s="14" t="n">
        <f aca="false">G4303-H4303</f>
        <v>2.07</v>
      </c>
    </row>
    <row r="4304" customFormat="false" ht="15" hidden="false" customHeight="false" outlineLevel="0" collapsed="false">
      <c r="A4304" s="2" t="s">
        <v>126</v>
      </c>
      <c r="B4304" s="2" t="s">
        <v>126</v>
      </c>
      <c r="C4304" s="2" t="s">
        <v>50</v>
      </c>
      <c r="D4304" s="2" t="s">
        <v>13</v>
      </c>
      <c r="E4304" s="2" t="s">
        <v>76</v>
      </c>
      <c r="F4304" s="2" t="s">
        <v>1145</v>
      </c>
      <c r="G4304" s="14" t="n">
        <v>50</v>
      </c>
      <c r="H4304" s="14" t="n">
        <v>139.23</v>
      </c>
      <c r="I4304" s="14" t="n">
        <v>50</v>
      </c>
      <c r="J4304" s="22" t="n">
        <f aca="false">IF(E4304="Priority",'Cost model'!N388,'Cost model'!M388)</f>
        <v>110</v>
      </c>
      <c r="K4304" s="14" t="n">
        <f aca="false">J4304-H4304</f>
        <v>-29.23</v>
      </c>
      <c r="L4304" s="14" t="n">
        <f aca="false">G4304-H4304</f>
        <v>-89.23</v>
      </c>
    </row>
    <row r="4305" customFormat="false" ht="15" hidden="false" customHeight="false" outlineLevel="0" collapsed="false">
      <c r="A4305" s="2" t="s">
        <v>184</v>
      </c>
      <c r="B4305" s="2" t="s">
        <v>146</v>
      </c>
      <c r="C4305" s="2" t="s">
        <v>50</v>
      </c>
      <c r="D4305" s="2" t="s">
        <v>13</v>
      </c>
      <c r="E4305" s="2" t="s">
        <v>76</v>
      </c>
      <c r="F4305" s="2" t="s">
        <v>1146</v>
      </c>
      <c r="G4305" s="14" t="n">
        <v>50</v>
      </c>
      <c r="H4305" s="14" t="n">
        <v>197</v>
      </c>
      <c r="I4305" s="14" t="n">
        <v>50</v>
      </c>
      <c r="J4305" s="22" t="n">
        <f aca="false">IF(E4305="Priority",'Cost model'!N154,'Cost model'!M154)</f>
        <v>130</v>
      </c>
      <c r="K4305" s="14" t="n">
        <f aca="false">J4305-H4305</f>
        <v>-67</v>
      </c>
      <c r="L4305" s="14" t="n">
        <f aca="false">G4305-H4305</f>
        <v>-147</v>
      </c>
    </row>
    <row r="4306" customFormat="false" ht="15" hidden="false" customHeight="false" outlineLevel="0" collapsed="false">
      <c r="A4306" s="2" t="s">
        <v>184</v>
      </c>
      <c r="B4306" s="2" t="s">
        <v>184</v>
      </c>
      <c r="C4306" s="2" t="s">
        <v>48</v>
      </c>
      <c r="D4306" s="2" t="s">
        <v>10</v>
      </c>
      <c r="E4306" s="2" t="s">
        <v>76</v>
      </c>
      <c r="F4306" s="2" t="s">
        <v>1145</v>
      </c>
      <c r="G4306" s="14" t="n">
        <v>9.5</v>
      </c>
      <c r="H4306" s="14" t="n">
        <v>7.45</v>
      </c>
      <c r="I4306" s="14" t="n">
        <v>9.5</v>
      </c>
      <c r="J4306" s="22" t="n">
        <f aca="false">IF(E4306="Priority",'Cost model'!N200,'Cost model'!M200)</f>
        <v>7.5</v>
      </c>
      <c r="K4306" s="14" t="n">
        <f aca="false">J4306-H4306</f>
        <v>0.0499999999999998</v>
      </c>
      <c r="L4306" s="14" t="n">
        <f aca="false">G4306-H4306</f>
        <v>2.05</v>
      </c>
    </row>
    <row r="4307" customFormat="false" ht="15" hidden="false" customHeight="false" outlineLevel="0" collapsed="false">
      <c r="A4307" s="2" t="s">
        <v>126</v>
      </c>
      <c r="B4307" s="2" t="s">
        <v>126</v>
      </c>
      <c r="C4307" s="2" t="s">
        <v>49</v>
      </c>
      <c r="D4307" s="2" t="s">
        <v>10</v>
      </c>
      <c r="E4307" s="2" t="s">
        <v>76</v>
      </c>
      <c r="F4307" s="2" t="s">
        <v>1145</v>
      </c>
      <c r="G4307" s="14" t="n">
        <v>12.5</v>
      </c>
      <c r="H4307" s="14" t="n">
        <v>11.25</v>
      </c>
      <c r="I4307" s="14" t="n">
        <v>12.5</v>
      </c>
      <c r="J4307" s="22" t="n">
        <f aca="false">IF(E4307="Priority",'Cost model'!N381,'Cost model'!M381)</f>
        <v>14.5</v>
      </c>
      <c r="K4307" s="14" t="n">
        <f aca="false">J4307-H4307</f>
        <v>3.25</v>
      </c>
      <c r="L4307" s="14" t="n">
        <f aca="false">G4307-H4307</f>
        <v>1.25</v>
      </c>
    </row>
    <row r="4308" customFormat="false" ht="15" hidden="false" customHeight="false" outlineLevel="0" collapsed="false">
      <c r="A4308" s="2" t="s">
        <v>184</v>
      </c>
      <c r="B4308" s="2" t="s">
        <v>126</v>
      </c>
      <c r="C4308" s="2" t="s">
        <v>50</v>
      </c>
      <c r="D4308" s="2" t="s">
        <v>12</v>
      </c>
      <c r="E4308" s="2" t="s">
        <v>76</v>
      </c>
      <c r="F4308" s="2" t="s">
        <v>1146</v>
      </c>
      <c r="G4308" s="14" t="n">
        <v>19.5</v>
      </c>
      <c r="H4308" s="14" t="n">
        <v>58.12</v>
      </c>
      <c r="I4308" s="14" t="n">
        <v>19.5</v>
      </c>
      <c r="J4308" s="22" t="n">
        <f aca="false">IF(E4308="Priority",'Cost model'!N133,'Cost model'!M133)</f>
        <v>55</v>
      </c>
      <c r="K4308" s="14" t="n">
        <f aca="false">J4308-H4308</f>
        <v>-3.12</v>
      </c>
      <c r="L4308" s="14" t="n">
        <f aca="false">G4308-H4308</f>
        <v>-38.62</v>
      </c>
    </row>
    <row r="4309" customFormat="false" ht="15" hidden="false" customHeight="false" outlineLevel="0" collapsed="false">
      <c r="A4309" s="2" t="s">
        <v>146</v>
      </c>
      <c r="B4309" s="2" t="s">
        <v>184</v>
      </c>
      <c r="C4309" s="2" t="s">
        <v>48</v>
      </c>
      <c r="D4309" s="2" t="s">
        <v>10</v>
      </c>
      <c r="E4309" s="2" t="s">
        <v>76</v>
      </c>
      <c r="F4309" s="2" t="s">
        <v>1146</v>
      </c>
      <c r="G4309" s="14" t="n">
        <v>14.5</v>
      </c>
      <c r="H4309" s="14" t="n">
        <v>5.97</v>
      </c>
      <c r="I4309" s="14" t="n">
        <v>14.5</v>
      </c>
      <c r="J4309" s="22" t="n">
        <f aca="false">IF(E4309="Priority",'Cost model'!N830,'Cost model'!M830)</f>
        <v>9.5</v>
      </c>
      <c r="K4309" s="14" t="n">
        <f aca="false">J4309-H4309</f>
        <v>3.53</v>
      </c>
      <c r="L4309" s="14" t="n">
        <f aca="false">G4309-H4309</f>
        <v>8.53</v>
      </c>
    </row>
    <row r="4310" customFormat="false" ht="15" hidden="false" customHeight="false" outlineLevel="0" collapsed="false">
      <c r="A4310" s="2" t="s">
        <v>126</v>
      </c>
      <c r="B4310" s="2" t="s">
        <v>126</v>
      </c>
      <c r="C4310" s="2" t="s">
        <v>49</v>
      </c>
      <c r="D4310" s="2" t="s">
        <v>12</v>
      </c>
      <c r="E4310" s="2" t="s">
        <v>76</v>
      </c>
      <c r="F4310" s="2" t="s">
        <v>1145</v>
      </c>
      <c r="G4310" s="14" t="n">
        <v>12.5</v>
      </c>
      <c r="H4310" s="14" t="n">
        <v>43.59</v>
      </c>
      <c r="I4310" s="14" t="n">
        <v>12.5</v>
      </c>
      <c r="J4310" s="22" t="n">
        <f aca="false">IF(E4310="Priority",'Cost model'!N384,'Cost model'!M384)</f>
        <v>45</v>
      </c>
      <c r="K4310" s="14" t="n">
        <f aca="false">J4310-H4310</f>
        <v>1.41</v>
      </c>
      <c r="L4310" s="14" t="n">
        <f aca="false">G4310-H4310</f>
        <v>-31.09</v>
      </c>
    </row>
    <row r="4311" customFormat="false" ht="15" hidden="false" customHeight="false" outlineLevel="0" collapsed="false">
      <c r="A4311" s="2" t="s">
        <v>126</v>
      </c>
      <c r="B4311" s="2" t="s">
        <v>126</v>
      </c>
      <c r="C4311" s="2" t="s">
        <v>49</v>
      </c>
      <c r="D4311" s="2" t="s">
        <v>14</v>
      </c>
      <c r="E4311" s="2" t="s">
        <v>76</v>
      </c>
      <c r="F4311" s="2" t="s">
        <v>1145</v>
      </c>
      <c r="G4311" s="14" t="n">
        <v>45</v>
      </c>
      <c r="H4311" s="14" t="n">
        <v>73.65</v>
      </c>
      <c r="I4311" s="14" t="n">
        <v>45</v>
      </c>
      <c r="J4311" s="22" t="n">
        <f aca="false">IF(E4311="Priority",'Cost model'!N390,'Cost model'!M390)</f>
        <v>115</v>
      </c>
      <c r="K4311" s="14" t="n">
        <f aca="false">J4311-H4311</f>
        <v>41.35</v>
      </c>
      <c r="L4311" s="14" t="n">
        <f aca="false">G4311-H4311</f>
        <v>-28.65</v>
      </c>
    </row>
    <row r="4312" customFormat="false" ht="15" hidden="false" customHeight="false" outlineLevel="0" collapsed="false">
      <c r="A4312" s="2" t="s">
        <v>184</v>
      </c>
      <c r="B4312" s="2" t="s">
        <v>126</v>
      </c>
      <c r="C4312" s="2" t="s">
        <v>48</v>
      </c>
      <c r="D4312" s="2" t="s">
        <v>12</v>
      </c>
      <c r="E4312" s="2" t="s">
        <v>76</v>
      </c>
      <c r="F4312" s="2" t="s">
        <v>1146</v>
      </c>
      <c r="G4312" s="14" t="n">
        <v>9.5</v>
      </c>
      <c r="H4312" s="14" t="n">
        <v>63.88</v>
      </c>
      <c r="I4312" s="14" t="n">
        <v>9.5</v>
      </c>
      <c r="J4312" s="22" t="n">
        <f aca="false">IF(E4312="Priority",'Cost model'!N131,'Cost model'!M131)</f>
        <v>40</v>
      </c>
      <c r="K4312" s="14" t="n">
        <f aca="false">J4312-H4312</f>
        <v>-23.88</v>
      </c>
      <c r="L4312" s="14" t="n">
        <f aca="false">G4312-H4312</f>
        <v>-54.38</v>
      </c>
    </row>
    <row r="4313" customFormat="false" ht="15" hidden="false" customHeight="false" outlineLevel="0" collapsed="false">
      <c r="A4313" s="2" t="s">
        <v>184</v>
      </c>
      <c r="B4313" s="2" t="s">
        <v>146</v>
      </c>
      <c r="C4313" s="2" t="s">
        <v>50</v>
      </c>
      <c r="D4313" s="2" t="s">
        <v>12</v>
      </c>
      <c r="E4313" s="2" t="s">
        <v>85</v>
      </c>
      <c r="F4313" s="2" t="s">
        <v>1146</v>
      </c>
      <c r="G4313" s="14" t="n">
        <v>29.5</v>
      </c>
      <c r="H4313" s="14" t="n">
        <v>82.48</v>
      </c>
      <c r="I4313" s="14" t="n">
        <v>29.5</v>
      </c>
      <c r="J4313" s="22" t="n">
        <f aca="false">IF(E4313="Priority",'Cost model'!N151,'Cost model'!M151)</f>
        <v>70</v>
      </c>
      <c r="K4313" s="14" t="n">
        <f aca="false">J4313-H4313</f>
        <v>-12.48</v>
      </c>
      <c r="L4313" s="14" t="n">
        <f aca="false">G4313-H4313</f>
        <v>-52.98</v>
      </c>
    </row>
    <row r="4314" customFormat="false" ht="15" hidden="false" customHeight="false" outlineLevel="0" collapsed="false">
      <c r="A4314" s="2" t="s">
        <v>126</v>
      </c>
      <c r="B4314" s="2" t="s">
        <v>126</v>
      </c>
      <c r="C4314" s="2" t="s">
        <v>49</v>
      </c>
      <c r="D4314" s="2" t="s">
        <v>14</v>
      </c>
      <c r="E4314" s="2" t="s">
        <v>76</v>
      </c>
      <c r="F4314" s="2" t="s">
        <v>1145</v>
      </c>
      <c r="G4314" s="14" t="n">
        <v>45</v>
      </c>
      <c r="H4314" s="14" t="n">
        <v>126.58</v>
      </c>
      <c r="I4314" s="14" t="n">
        <v>45</v>
      </c>
      <c r="J4314" s="22" t="n">
        <f aca="false">IF(E4314="Priority",'Cost model'!N390,'Cost model'!M390)</f>
        <v>115</v>
      </c>
      <c r="K4314" s="14" t="n">
        <f aca="false">J4314-H4314</f>
        <v>-11.58</v>
      </c>
      <c r="L4314" s="14" t="n">
        <f aca="false">G4314-H4314</f>
        <v>-81.58</v>
      </c>
    </row>
    <row r="4315" customFormat="false" ht="15" hidden="false" customHeight="false" outlineLevel="0" collapsed="false">
      <c r="A4315" s="2" t="s">
        <v>146</v>
      </c>
      <c r="B4315" s="2" t="s">
        <v>146</v>
      </c>
      <c r="C4315" s="2" t="s">
        <v>48</v>
      </c>
      <c r="D4315" s="2" t="s">
        <v>10</v>
      </c>
      <c r="E4315" s="2" t="s">
        <v>85</v>
      </c>
      <c r="F4315" s="2" t="s">
        <v>1145</v>
      </c>
      <c r="G4315" s="14" t="n">
        <v>14.5</v>
      </c>
      <c r="H4315" s="14" t="n">
        <v>6.14</v>
      </c>
      <c r="I4315" s="14" t="n">
        <v>14.5</v>
      </c>
      <c r="J4315" s="22" t="n">
        <f aca="false">IF(E4315="Priority",'Cost model'!N758,'Cost model'!M758)</f>
        <v>14.5</v>
      </c>
      <c r="K4315" s="14" t="n">
        <f aca="false">J4315-H4315</f>
        <v>8.36</v>
      </c>
      <c r="L4315" s="14" t="n">
        <f aca="false">G4315-H4315</f>
        <v>8.36</v>
      </c>
    </row>
    <row r="4316" customFormat="false" ht="15" hidden="false" customHeight="false" outlineLevel="0" collapsed="false">
      <c r="A4316" s="2" t="s">
        <v>146</v>
      </c>
      <c r="B4316" s="2" t="s">
        <v>146</v>
      </c>
      <c r="C4316" s="2" t="s">
        <v>50</v>
      </c>
      <c r="D4316" s="2" t="s">
        <v>12</v>
      </c>
      <c r="E4316" s="2" t="s">
        <v>76</v>
      </c>
      <c r="F4316" s="2" t="s">
        <v>1145</v>
      </c>
      <c r="G4316" s="14" t="n">
        <v>19.5</v>
      </c>
      <c r="H4316" s="14" t="n">
        <v>73.91</v>
      </c>
      <c r="I4316" s="14" t="n">
        <v>19.5</v>
      </c>
      <c r="J4316" s="22" t="n">
        <f aca="false">IF(E4316="Priority",'Cost model'!N763,'Cost model'!M763)</f>
        <v>50</v>
      </c>
      <c r="K4316" s="14" t="n">
        <f aca="false">J4316-H4316</f>
        <v>-23.91</v>
      </c>
      <c r="L4316" s="14" t="n">
        <f aca="false">G4316-H4316</f>
        <v>-54.41</v>
      </c>
    </row>
    <row r="4317" customFormat="false" ht="15" hidden="false" customHeight="false" outlineLevel="0" collapsed="false">
      <c r="A4317" s="2" t="s">
        <v>126</v>
      </c>
      <c r="B4317" s="2" t="s">
        <v>126</v>
      </c>
      <c r="C4317" s="2" t="s">
        <v>48</v>
      </c>
      <c r="D4317" s="2" t="s">
        <v>12</v>
      </c>
      <c r="E4317" s="2" t="s">
        <v>76</v>
      </c>
      <c r="F4317" s="2" t="s">
        <v>1145</v>
      </c>
      <c r="G4317" s="14" t="n">
        <v>9.5</v>
      </c>
      <c r="H4317" s="14" t="n">
        <v>7.46</v>
      </c>
      <c r="I4317" s="14" t="n">
        <v>9.5</v>
      </c>
      <c r="J4317" s="22" t="n">
        <f aca="false">IF(E4317="Priority",'Cost model'!N383,'Cost model'!M383)</f>
        <v>27.5</v>
      </c>
      <c r="K4317" s="14" t="n">
        <f aca="false">J4317-H4317</f>
        <v>20.04</v>
      </c>
      <c r="L4317" s="14" t="n">
        <f aca="false">G4317-H4317</f>
        <v>2.04</v>
      </c>
    </row>
    <row r="4318" customFormat="false" ht="15" hidden="false" customHeight="false" outlineLevel="0" collapsed="false">
      <c r="A4318" s="2" t="s">
        <v>126</v>
      </c>
      <c r="B4318" s="2" t="s">
        <v>126</v>
      </c>
      <c r="C4318" s="2" t="s">
        <v>49</v>
      </c>
      <c r="D4318" s="2" t="s">
        <v>12</v>
      </c>
      <c r="E4318" s="2" t="s">
        <v>76</v>
      </c>
      <c r="F4318" s="2" t="s">
        <v>1145</v>
      </c>
      <c r="G4318" s="14" t="n">
        <v>12.5</v>
      </c>
      <c r="H4318" s="14" t="n">
        <v>45.06</v>
      </c>
      <c r="I4318" s="14" t="n">
        <v>12.5</v>
      </c>
      <c r="J4318" s="22" t="n">
        <f aca="false">IF(E4318="Priority",'Cost model'!N384,'Cost model'!M384)</f>
        <v>45</v>
      </c>
      <c r="K4318" s="14" t="n">
        <f aca="false">J4318-H4318</f>
        <v>-0.0600000000000023</v>
      </c>
      <c r="L4318" s="14" t="n">
        <f aca="false">G4318-H4318</f>
        <v>-32.56</v>
      </c>
    </row>
    <row r="4319" customFormat="false" ht="15" hidden="false" customHeight="false" outlineLevel="0" collapsed="false">
      <c r="A4319" s="2" t="s">
        <v>125</v>
      </c>
      <c r="B4319" s="2" t="s">
        <v>126</v>
      </c>
      <c r="C4319" s="2" t="s">
        <v>48</v>
      </c>
      <c r="D4319" s="2" t="s">
        <v>10</v>
      </c>
      <c r="E4319" s="2" t="s">
        <v>76</v>
      </c>
      <c r="F4319" s="2" t="s">
        <v>1146</v>
      </c>
      <c r="G4319" s="14" t="n">
        <v>14.5</v>
      </c>
      <c r="H4319" s="14" t="n">
        <v>8.92</v>
      </c>
      <c r="I4319" s="14" t="n">
        <v>14.5</v>
      </c>
      <c r="J4319" s="22" t="n">
        <f aca="false">IF(E4319="Priority",'Cost model'!N2,'Cost model'!M2)</f>
        <v>14.5</v>
      </c>
      <c r="K4319" s="14" t="n">
        <f aca="false">J4319-H4319</f>
        <v>5.58</v>
      </c>
      <c r="L4319" s="14" t="n">
        <f aca="false">G4319-H4319</f>
        <v>5.58</v>
      </c>
    </row>
    <row r="4320" customFormat="false" ht="15" hidden="false" customHeight="false" outlineLevel="0" collapsed="false">
      <c r="A4320" s="2" t="s">
        <v>184</v>
      </c>
      <c r="B4320" s="2" t="s">
        <v>126</v>
      </c>
      <c r="C4320" s="2" t="s">
        <v>48</v>
      </c>
      <c r="D4320" s="2" t="s">
        <v>10</v>
      </c>
      <c r="E4320" s="2" t="s">
        <v>76</v>
      </c>
      <c r="F4320" s="2" t="s">
        <v>1146</v>
      </c>
      <c r="G4320" s="14" t="n">
        <v>9.5</v>
      </c>
      <c r="H4320" s="14" t="n">
        <v>7.58</v>
      </c>
      <c r="I4320" s="14" t="n">
        <v>9.5</v>
      </c>
      <c r="J4320" s="22" t="n">
        <f aca="false">IF(E4320="Priority",'Cost model'!N128,'Cost model'!M128)</f>
        <v>10.5</v>
      </c>
      <c r="K4320" s="14" t="n">
        <f aca="false">J4320-H4320</f>
        <v>2.92</v>
      </c>
      <c r="L4320" s="14" t="n">
        <f aca="false">G4320-H4320</f>
        <v>1.92</v>
      </c>
    </row>
    <row r="4321" customFormat="false" ht="15" hidden="false" customHeight="false" outlineLevel="0" collapsed="false">
      <c r="A4321" s="2" t="s">
        <v>126</v>
      </c>
      <c r="B4321" s="2" t="s">
        <v>126</v>
      </c>
      <c r="C4321" s="2" t="s">
        <v>48</v>
      </c>
      <c r="D4321" s="2" t="s">
        <v>12</v>
      </c>
      <c r="E4321" s="2" t="s">
        <v>76</v>
      </c>
      <c r="F4321" s="2" t="s">
        <v>1145</v>
      </c>
      <c r="G4321" s="14" t="n">
        <v>9.5</v>
      </c>
      <c r="H4321" s="14" t="n">
        <v>27.49</v>
      </c>
      <c r="I4321" s="14" t="n">
        <v>9.5</v>
      </c>
      <c r="J4321" s="22" t="n">
        <f aca="false">IF(E4321="Priority",'Cost model'!N383,'Cost model'!M383)</f>
        <v>27.5</v>
      </c>
      <c r="K4321" s="14" t="n">
        <f aca="false">J4321-H4321</f>
        <v>0.0100000000000016</v>
      </c>
      <c r="L4321" s="14" t="n">
        <f aca="false">G4321-H4321</f>
        <v>-17.99</v>
      </c>
    </row>
    <row r="4322" customFormat="false" ht="15" hidden="false" customHeight="false" outlineLevel="0" collapsed="false">
      <c r="A4322" s="2" t="s">
        <v>126</v>
      </c>
      <c r="B4322" s="2" t="s">
        <v>126</v>
      </c>
      <c r="C4322" s="2" t="s">
        <v>49</v>
      </c>
      <c r="D4322" s="2" t="s">
        <v>10</v>
      </c>
      <c r="E4322" s="2" t="s">
        <v>76</v>
      </c>
      <c r="F4322" s="2" t="s">
        <v>1145</v>
      </c>
      <c r="G4322" s="14" t="n">
        <v>12.5</v>
      </c>
      <c r="H4322" s="14" t="n">
        <v>8.11</v>
      </c>
      <c r="I4322" s="14" t="n">
        <v>12.5</v>
      </c>
      <c r="J4322" s="22" t="n">
        <f aca="false">IF(E4322="Priority",'Cost model'!N381,'Cost model'!M381)</f>
        <v>14.5</v>
      </c>
      <c r="K4322" s="14" t="n">
        <f aca="false">J4322-H4322</f>
        <v>6.39</v>
      </c>
      <c r="L4322" s="14" t="n">
        <f aca="false">G4322-H4322</f>
        <v>4.39</v>
      </c>
    </row>
    <row r="4323" customFormat="false" ht="15" hidden="false" customHeight="false" outlineLevel="0" collapsed="false">
      <c r="A4323" s="2" t="s">
        <v>240</v>
      </c>
      <c r="B4323" s="2" t="s">
        <v>165</v>
      </c>
      <c r="C4323" s="2" t="s">
        <v>48</v>
      </c>
      <c r="D4323" s="2" t="s">
        <v>10</v>
      </c>
      <c r="E4323" s="2" t="s">
        <v>76</v>
      </c>
      <c r="F4323" s="2" t="s">
        <v>1146</v>
      </c>
      <c r="G4323" s="14" t="n">
        <v>9.5</v>
      </c>
      <c r="H4323" s="14" t="n">
        <v>8.58</v>
      </c>
      <c r="I4323" s="14" t="n">
        <v>14.5</v>
      </c>
      <c r="J4323" s="22" t="n">
        <f aca="false">IF(E4323="Priority",'Cost model'!N902,'Cost model'!M902)</f>
        <v>13.5</v>
      </c>
      <c r="K4323" s="14" t="n">
        <f aca="false">J4323-H4323</f>
        <v>4.92</v>
      </c>
      <c r="L4323" s="14" t="n">
        <f aca="false">G4323-H4323</f>
        <v>0.92</v>
      </c>
    </row>
    <row r="4324" customFormat="false" ht="15" hidden="false" customHeight="false" outlineLevel="0" collapsed="false">
      <c r="A4324" s="2" t="s">
        <v>184</v>
      </c>
      <c r="B4324" s="2" t="s">
        <v>184</v>
      </c>
      <c r="C4324" s="2" t="s">
        <v>48</v>
      </c>
      <c r="D4324" s="2" t="s">
        <v>10</v>
      </c>
      <c r="E4324" s="2" t="s">
        <v>85</v>
      </c>
      <c r="F4324" s="2" t="s">
        <v>1145</v>
      </c>
      <c r="G4324" s="14" t="n">
        <v>14.5</v>
      </c>
      <c r="H4324" s="14" t="n">
        <v>7.45</v>
      </c>
      <c r="I4324" s="14" t="n">
        <v>14.5</v>
      </c>
      <c r="J4324" s="22" t="n">
        <f aca="false">IF(E4324="Priority",'Cost model'!N200,'Cost model'!M200)</f>
        <v>12.5</v>
      </c>
      <c r="K4324" s="14" t="n">
        <f aca="false">J4324-H4324</f>
        <v>5.05</v>
      </c>
      <c r="L4324" s="14" t="n">
        <f aca="false">G4324-H4324</f>
        <v>7.05</v>
      </c>
    </row>
    <row r="4325" customFormat="false" ht="15" hidden="false" customHeight="false" outlineLevel="0" collapsed="false">
      <c r="A4325" s="2" t="s">
        <v>184</v>
      </c>
      <c r="B4325" s="2" t="s">
        <v>184</v>
      </c>
      <c r="C4325" s="2" t="s">
        <v>50</v>
      </c>
      <c r="D4325" s="2" t="s">
        <v>13</v>
      </c>
      <c r="E4325" s="2" t="s">
        <v>76</v>
      </c>
      <c r="F4325" s="2" t="s">
        <v>1145</v>
      </c>
      <c r="G4325" s="14" t="n">
        <v>50</v>
      </c>
      <c r="H4325" s="14" t="n">
        <v>77.91</v>
      </c>
      <c r="I4325" s="14" t="n">
        <v>50</v>
      </c>
      <c r="J4325" s="22" t="n">
        <f aca="false">IF(E4325="Priority",'Cost model'!N208,'Cost model'!M208)</f>
        <v>80</v>
      </c>
      <c r="K4325" s="14" t="n">
        <f aca="false">J4325-H4325</f>
        <v>2.09</v>
      </c>
      <c r="L4325" s="14" t="n">
        <f aca="false">G4325-H4325</f>
        <v>-27.91</v>
      </c>
    </row>
    <row r="4326" customFormat="false" ht="15" hidden="false" customHeight="false" outlineLevel="0" collapsed="false">
      <c r="A4326" s="2" t="s">
        <v>165</v>
      </c>
      <c r="B4326" s="2" t="s">
        <v>184</v>
      </c>
      <c r="C4326" s="2" t="s">
        <v>50</v>
      </c>
      <c r="D4326" s="2" t="s">
        <v>12</v>
      </c>
      <c r="E4326" s="2" t="s">
        <v>76</v>
      </c>
      <c r="F4326" s="2" t="s">
        <v>1146</v>
      </c>
      <c r="G4326" s="14" t="n">
        <v>19.5</v>
      </c>
      <c r="H4326" s="14" t="n">
        <v>34.33</v>
      </c>
      <c r="I4326" s="14" t="n">
        <v>19.5</v>
      </c>
      <c r="J4326" s="22" t="n">
        <f aca="false">IF(E4326="Priority",'Cost model'!N583,'Cost model'!M583)</f>
        <v>55</v>
      </c>
      <c r="K4326" s="14" t="n">
        <f aca="false">J4326-H4326</f>
        <v>20.67</v>
      </c>
      <c r="L4326" s="14" t="n">
        <f aca="false">G4326-H4326</f>
        <v>-14.83</v>
      </c>
    </row>
    <row r="4327" customFormat="false" ht="15" hidden="false" customHeight="false" outlineLevel="0" collapsed="false">
      <c r="A4327" s="2" t="s">
        <v>146</v>
      </c>
      <c r="B4327" s="2" t="s">
        <v>146</v>
      </c>
      <c r="C4327" s="2" t="s">
        <v>48</v>
      </c>
      <c r="D4327" s="2" t="s">
        <v>12</v>
      </c>
      <c r="E4327" s="2" t="s">
        <v>76</v>
      </c>
      <c r="F4327" s="2" t="s">
        <v>1145</v>
      </c>
      <c r="G4327" s="14" t="n">
        <v>9.5</v>
      </c>
      <c r="H4327" s="14" t="n">
        <v>24.63</v>
      </c>
      <c r="I4327" s="14" t="n">
        <v>9.5</v>
      </c>
      <c r="J4327" s="22" t="n">
        <f aca="false">IF(E4327="Priority",'Cost model'!N761,'Cost model'!M761)</f>
        <v>35</v>
      </c>
      <c r="K4327" s="14" t="n">
        <f aca="false">J4327-H4327</f>
        <v>10.37</v>
      </c>
      <c r="L4327" s="14" t="n">
        <f aca="false">G4327-H4327</f>
        <v>-15.13</v>
      </c>
    </row>
    <row r="4328" customFormat="false" ht="15" hidden="false" customHeight="false" outlineLevel="0" collapsed="false">
      <c r="A4328" s="2" t="s">
        <v>184</v>
      </c>
      <c r="B4328" s="2" t="s">
        <v>184</v>
      </c>
      <c r="C4328" s="2" t="s">
        <v>48</v>
      </c>
      <c r="D4328" s="2" t="s">
        <v>12</v>
      </c>
      <c r="E4328" s="2" t="s">
        <v>76</v>
      </c>
      <c r="F4328" s="2" t="s">
        <v>1145</v>
      </c>
      <c r="G4328" s="14" t="n">
        <v>9.5</v>
      </c>
      <c r="H4328" s="14" t="n">
        <v>8.55</v>
      </c>
      <c r="I4328" s="14" t="n">
        <v>9.5</v>
      </c>
      <c r="J4328" s="22" t="n">
        <f aca="false">IF(E4328="Priority",'Cost model'!N203,'Cost model'!M203)</f>
        <v>26.5</v>
      </c>
      <c r="K4328" s="14" t="n">
        <f aca="false">J4328-H4328</f>
        <v>17.95</v>
      </c>
      <c r="L4328" s="14" t="n">
        <f aca="false">G4328-H4328</f>
        <v>0.949999999999999</v>
      </c>
    </row>
    <row r="4329" customFormat="false" ht="15" hidden="false" customHeight="false" outlineLevel="0" collapsed="false">
      <c r="A4329" s="2" t="s">
        <v>184</v>
      </c>
      <c r="B4329" s="2" t="s">
        <v>184</v>
      </c>
      <c r="C4329" s="2" t="s">
        <v>48</v>
      </c>
      <c r="D4329" s="2" t="s">
        <v>12</v>
      </c>
      <c r="E4329" s="2" t="s">
        <v>76</v>
      </c>
      <c r="F4329" s="2" t="s">
        <v>1145</v>
      </c>
      <c r="G4329" s="14" t="n">
        <v>9.5</v>
      </c>
      <c r="H4329" s="14" t="n">
        <v>9.9</v>
      </c>
      <c r="I4329" s="14" t="n">
        <v>9.5</v>
      </c>
      <c r="J4329" s="22" t="n">
        <f aca="false">IF(E4329="Priority",'Cost model'!N203,'Cost model'!M203)</f>
        <v>26.5</v>
      </c>
      <c r="K4329" s="14" t="n">
        <f aca="false">J4329-H4329</f>
        <v>16.6</v>
      </c>
      <c r="L4329" s="14" t="n">
        <f aca="false">G4329-H4329</f>
        <v>-0.4</v>
      </c>
    </row>
    <row r="4330" customFormat="false" ht="15" hidden="false" customHeight="false" outlineLevel="0" collapsed="false">
      <c r="A4330" s="2" t="s">
        <v>126</v>
      </c>
      <c r="B4330" s="2" t="s">
        <v>126</v>
      </c>
      <c r="C4330" s="2" t="s">
        <v>48</v>
      </c>
      <c r="D4330" s="2" t="s">
        <v>10</v>
      </c>
      <c r="E4330" s="2" t="s">
        <v>76</v>
      </c>
      <c r="F4330" s="2" t="s">
        <v>1145</v>
      </c>
      <c r="G4330" s="14" t="n">
        <v>9.5</v>
      </c>
      <c r="H4330" s="14" t="n">
        <v>7.68</v>
      </c>
      <c r="I4330" s="14" t="n">
        <v>9.5</v>
      </c>
      <c r="J4330" s="22" t="n">
        <f aca="false">IF(E4330="Priority",'Cost model'!N380,'Cost model'!M380)</f>
        <v>8.5</v>
      </c>
      <c r="K4330" s="14" t="n">
        <f aca="false">J4330-H4330</f>
        <v>0.82</v>
      </c>
      <c r="L4330" s="14" t="n">
        <f aca="false">G4330-H4330</f>
        <v>1.82</v>
      </c>
    </row>
    <row r="4331" customFormat="false" ht="15" hidden="false" customHeight="false" outlineLevel="0" collapsed="false">
      <c r="A4331" s="2" t="s">
        <v>240</v>
      </c>
      <c r="B4331" s="2" t="s">
        <v>240</v>
      </c>
      <c r="C4331" s="2" t="s">
        <v>48</v>
      </c>
      <c r="D4331" s="2" t="s">
        <v>12</v>
      </c>
      <c r="E4331" s="2" t="s">
        <v>76</v>
      </c>
      <c r="F4331" s="2" t="s">
        <v>1145</v>
      </c>
      <c r="G4331" s="14" t="n">
        <v>9.5</v>
      </c>
      <c r="H4331" s="14" t="n">
        <v>42.23</v>
      </c>
      <c r="I4331" s="14" t="n">
        <v>9.5</v>
      </c>
      <c r="J4331" s="22" t="n">
        <f aca="false">IF(E4331="Priority",'Cost model'!N887,'Cost model'!M887)</f>
        <v>21.5</v>
      </c>
      <c r="K4331" s="14" t="n">
        <f aca="false">J4331-H4331</f>
        <v>-20.73</v>
      </c>
      <c r="L4331" s="14" t="n">
        <f aca="false">G4331-H4331</f>
        <v>-32.73</v>
      </c>
    </row>
    <row r="4332" customFormat="false" ht="15" hidden="false" customHeight="false" outlineLevel="0" collapsed="false">
      <c r="A4332" s="2" t="s">
        <v>146</v>
      </c>
      <c r="B4332" s="2" t="s">
        <v>240</v>
      </c>
      <c r="C4332" s="2" t="s">
        <v>48</v>
      </c>
      <c r="D4332" s="2" t="s">
        <v>12</v>
      </c>
      <c r="E4332" s="2" t="s">
        <v>85</v>
      </c>
      <c r="F4332" s="2" t="s">
        <v>1146</v>
      </c>
      <c r="G4332" s="14" t="n">
        <v>29.5</v>
      </c>
      <c r="H4332" s="14" t="n">
        <v>37.28</v>
      </c>
      <c r="I4332" s="14" t="n">
        <v>29.5</v>
      </c>
      <c r="J4332" s="22" t="n">
        <f aca="false">IF(E4332="Priority",'Cost model'!N815,'Cost model'!M815)</f>
        <v>65</v>
      </c>
      <c r="K4332" s="14" t="n">
        <f aca="false">J4332-H4332</f>
        <v>27.72</v>
      </c>
      <c r="L4332" s="14" t="n">
        <f aca="false">G4332-H4332</f>
        <v>-7.78</v>
      </c>
    </row>
    <row r="4333" customFormat="false" ht="15" hidden="false" customHeight="false" outlineLevel="0" collapsed="false">
      <c r="A4333" s="2" t="s">
        <v>146</v>
      </c>
      <c r="B4333" s="2" t="s">
        <v>146</v>
      </c>
      <c r="C4333" s="2" t="s">
        <v>48</v>
      </c>
      <c r="D4333" s="2" t="s">
        <v>12</v>
      </c>
      <c r="E4333" s="2" t="s">
        <v>76</v>
      </c>
      <c r="F4333" s="2" t="s">
        <v>1145</v>
      </c>
      <c r="G4333" s="14" t="n">
        <v>9.5</v>
      </c>
      <c r="H4333" s="14" t="n">
        <v>28.7</v>
      </c>
      <c r="I4333" s="14" t="n">
        <v>9.5</v>
      </c>
      <c r="J4333" s="22" t="n">
        <f aca="false">IF(E4333="Priority",'Cost model'!N761,'Cost model'!M761)</f>
        <v>35</v>
      </c>
      <c r="K4333" s="14" t="n">
        <f aca="false">J4333-H4333</f>
        <v>6.3</v>
      </c>
      <c r="L4333" s="14" t="n">
        <f aca="false">G4333-H4333</f>
        <v>-19.2</v>
      </c>
    </row>
    <row r="4334" customFormat="false" ht="15" hidden="false" customHeight="false" outlineLevel="0" collapsed="false">
      <c r="A4334" s="2" t="s">
        <v>126</v>
      </c>
      <c r="B4334" s="2" t="s">
        <v>126</v>
      </c>
      <c r="C4334" s="2" t="s">
        <v>49</v>
      </c>
      <c r="D4334" s="2" t="s">
        <v>12</v>
      </c>
      <c r="E4334" s="2" t="s">
        <v>76</v>
      </c>
      <c r="F4334" s="2" t="s">
        <v>1145</v>
      </c>
      <c r="G4334" s="14" t="n">
        <v>12.5</v>
      </c>
      <c r="H4334" s="14" t="n">
        <v>10.95</v>
      </c>
      <c r="I4334" s="14" t="n">
        <v>12.5</v>
      </c>
      <c r="J4334" s="22" t="n">
        <f aca="false">IF(E4334="Priority",'Cost model'!N384,'Cost model'!M384)</f>
        <v>45</v>
      </c>
      <c r="K4334" s="14" t="n">
        <f aca="false">J4334-H4334</f>
        <v>34.05</v>
      </c>
      <c r="L4334" s="14" t="n">
        <f aca="false">G4334-H4334</f>
        <v>1.55</v>
      </c>
    </row>
    <row r="4335" customFormat="false" ht="15" hidden="false" customHeight="false" outlineLevel="0" collapsed="false">
      <c r="A4335" s="2" t="s">
        <v>184</v>
      </c>
      <c r="B4335" s="2" t="s">
        <v>184</v>
      </c>
      <c r="C4335" s="2" t="s">
        <v>48</v>
      </c>
      <c r="D4335" s="2" t="s">
        <v>12</v>
      </c>
      <c r="E4335" s="2" t="s">
        <v>76</v>
      </c>
      <c r="F4335" s="2" t="s">
        <v>1145</v>
      </c>
      <c r="G4335" s="14" t="n">
        <v>9.5</v>
      </c>
      <c r="H4335" s="14" t="n">
        <v>28.61</v>
      </c>
      <c r="I4335" s="14" t="n">
        <v>9.5</v>
      </c>
      <c r="J4335" s="22" t="n">
        <f aca="false">IF(E4335="Priority",'Cost model'!N203,'Cost model'!M203)</f>
        <v>26.5</v>
      </c>
      <c r="K4335" s="14" t="n">
        <f aca="false">J4335-H4335</f>
        <v>-2.11</v>
      </c>
      <c r="L4335" s="14" t="n">
        <f aca="false">G4335-H4335</f>
        <v>-19.11</v>
      </c>
    </row>
    <row r="4336" customFormat="false" ht="15" hidden="false" customHeight="false" outlineLevel="0" collapsed="false">
      <c r="A4336" s="2" t="s">
        <v>126</v>
      </c>
      <c r="B4336" s="2" t="s">
        <v>126</v>
      </c>
      <c r="C4336" s="2" t="s">
        <v>50</v>
      </c>
      <c r="D4336" s="2" t="s">
        <v>10</v>
      </c>
      <c r="E4336" s="2" t="s">
        <v>76</v>
      </c>
      <c r="F4336" s="2" t="s">
        <v>1145</v>
      </c>
      <c r="G4336" s="14" t="n">
        <v>17.5</v>
      </c>
      <c r="H4336" s="14" t="n">
        <v>10.42</v>
      </c>
      <c r="I4336" s="14" t="n">
        <v>17.5</v>
      </c>
      <c r="J4336" s="22" t="n">
        <f aca="false">IF(E4336="Priority",'Cost model'!N382,'Cost model'!M382)</f>
        <v>18.5</v>
      </c>
      <c r="K4336" s="14" t="n">
        <f aca="false">J4336-H4336</f>
        <v>8.08</v>
      </c>
      <c r="L4336" s="14" t="n">
        <f aca="false">G4336-H4336</f>
        <v>7.08</v>
      </c>
    </row>
    <row r="4337" customFormat="false" ht="15" hidden="false" customHeight="false" outlineLevel="0" collapsed="false">
      <c r="A4337" s="2" t="s">
        <v>184</v>
      </c>
      <c r="B4337" s="2" t="s">
        <v>184</v>
      </c>
      <c r="C4337" s="2" t="s">
        <v>50</v>
      </c>
      <c r="D4337" s="2" t="s">
        <v>12</v>
      </c>
      <c r="E4337" s="2" t="s">
        <v>76</v>
      </c>
      <c r="F4337" s="2" t="s">
        <v>1145</v>
      </c>
      <c r="G4337" s="14" t="n">
        <v>19.5</v>
      </c>
      <c r="H4337" s="14" t="n">
        <v>60.18</v>
      </c>
      <c r="I4337" s="14" t="n">
        <v>19.5</v>
      </c>
      <c r="J4337" s="22" t="n">
        <f aca="false">IF(E4337="Priority",'Cost model'!N205,'Cost model'!M205)</f>
        <v>50</v>
      </c>
      <c r="K4337" s="14" t="n">
        <f aca="false">J4337-H4337</f>
        <v>-10.18</v>
      </c>
      <c r="L4337" s="14" t="n">
        <f aca="false">G4337-H4337</f>
        <v>-40.68</v>
      </c>
    </row>
    <row r="4338" customFormat="false" ht="15" hidden="false" customHeight="false" outlineLevel="0" collapsed="false">
      <c r="A4338" s="2" t="s">
        <v>146</v>
      </c>
      <c r="B4338" s="2" t="s">
        <v>146</v>
      </c>
      <c r="C4338" s="2" t="s">
        <v>48</v>
      </c>
      <c r="D4338" s="2" t="s">
        <v>12</v>
      </c>
      <c r="E4338" s="2" t="s">
        <v>85</v>
      </c>
      <c r="F4338" s="2" t="s">
        <v>1145</v>
      </c>
      <c r="G4338" s="14" t="n">
        <v>19.5</v>
      </c>
      <c r="H4338" s="14" t="n">
        <v>44.21</v>
      </c>
      <c r="I4338" s="14" t="n">
        <v>19.5</v>
      </c>
      <c r="J4338" s="22" t="n">
        <f aca="false">IF(E4338="Priority",'Cost model'!N761,'Cost model'!M761)</f>
        <v>45</v>
      </c>
      <c r="K4338" s="14" t="n">
        <f aca="false">J4338-H4338</f>
        <v>0.789999999999999</v>
      </c>
      <c r="L4338" s="14" t="n">
        <f aca="false">G4338-H4338</f>
        <v>-24.71</v>
      </c>
    </row>
    <row r="4339" customFormat="false" ht="15" hidden="false" customHeight="false" outlineLevel="0" collapsed="false">
      <c r="A4339" s="2" t="s">
        <v>184</v>
      </c>
      <c r="B4339" s="2" t="s">
        <v>184</v>
      </c>
      <c r="C4339" s="2" t="s">
        <v>49</v>
      </c>
      <c r="D4339" s="2" t="s">
        <v>10</v>
      </c>
      <c r="E4339" s="2" t="s">
        <v>76</v>
      </c>
      <c r="F4339" s="2" t="s">
        <v>1145</v>
      </c>
      <c r="G4339" s="14" t="n">
        <v>12.5</v>
      </c>
      <c r="H4339" s="14" t="n">
        <v>7.33</v>
      </c>
      <c r="I4339" s="14"/>
      <c r="J4339" s="22" t="n">
        <f aca="false">IF(E4339="Priority",'Cost model'!N201,'Cost model'!M201)</f>
        <v>12.5</v>
      </c>
      <c r="K4339" s="14" t="n">
        <f aca="false">J4339-H4339</f>
        <v>5.17</v>
      </c>
      <c r="L4339" s="14" t="n">
        <f aca="false">G4339-H4339</f>
        <v>5.17</v>
      </c>
    </row>
    <row r="4340" customFormat="false" ht="15" hidden="false" customHeight="false" outlineLevel="0" collapsed="false">
      <c r="A4340" s="2" t="s">
        <v>184</v>
      </c>
      <c r="B4340" s="2" t="s">
        <v>184</v>
      </c>
      <c r="C4340" s="2" t="s">
        <v>50</v>
      </c>
      <c r="D4340" s="2" t="s">
        <v>14</v>
      </c>
      <c r="E4340" s="2" t="s">
        <v>76</v>
      </c>
      <c r="F4340" s="2" t="s">
        <v>1145</v>
      </c>
      <c r="G4340" s="14" t="n">
        <v>85</v>
      </c>
      <c r="H4340" s="14" t="n">
        <v>373.21</v>
      </c>
      <c r="I4340" s="14" t="n">
        <v>85</v>
      </c>
      <c r="J4340" s="22" t="n">
        <f aca="false">IF(E4340="Priority",'Cost model'!N211,'Cost model'!M211)</f>
        <v>175</v>
      </c>
      <c r="K4340" s="14" t="n">
        <f aca="false">J4340-H4340</f>
        <v>-198.21</v>
      </c>
      <c r="L4340" s="14" t="n">
        <f aca="false">G4340-H4340</f>
        <v>-288.21</v>
      </c>
    </row>
    <row r="4341" customFormat="false" ht="15" hidden="false" customHeight="false" outlineLevel="0" collapsed="false">
      <c r="A4341" s="2" t="s">
        <v>146</v>
      </c>
      <c r="B4341" s="2" t="s">
        <v>146</v>
      </c>
      <c r="C4341" s="2" t="s">
        <v>50</v>
      </c>
      <c r="D4341" s="2" t="s">
        <v>10</v>
      </c>
      <c r="E4341" s="2" t="s">
        <v>76</v>
      </c>
      <c r="F4341" s="2" t="s">
        <v>1145</v>
      </c>
      <c r="G4341" s="14" t="n">
        <v>19.5</v>
      </c>
      <c r="H4341" s="14" t="n">
        <v>44.18</v>
      </c>
      <c r="I4341" s="14" t="n">
        <v>17.5</v>
      </c>
      <c r="J4341" s="22" t="n">
        <f aca="false">IF(E4341="Priority",'Cost model'!N760,'Cost model'!M760)</f>
        <v>18.5</v>
      </c>
      <c r="K4341" s="14" t="n">
        <f aca="false">J4341-H4341</f>
        <v>-25.68</v>
      </c>
      <c r="L4341" s="14" t="n">
        <f aca="false">G4341-H4341</f>
        <v>-24.68</v>
      </c>
    </row>
    <row r="4342" customFormat="false" ht="15" hidden="false" customHeight="false" outlineLevel="0" collapsed="false">
      <c r="A4342" s="2" t="s">
        <v>126</v>
      </c>
      <c r="B4342" s="2" t="s">
        <v>126</v>
      </c>
      <c r="C4342" s="2" t="s">
        <v>49</v>
      </c>
      <c r="D4342" s="2" t="s">
        <v>10</v>
      </c>
      <c r="E4342" s="2" t="s">
        <v>76</v>
      </c>
      <c r="F4342" s="2" t="s">
        <v>1145</v>
      </c>
      <c r="G4342" s="14" t="n">
        <v>12.5</v>
      </c>
      <c r="H4342" s="14" t="n">
        <v>6.8</v>
      </c>
      <c r="I4342" s="14" t="n">
        <v>12.5</v>
      </c>
      <c r="J4342" s="22" t="n">
        <f aca="false">IF(E4342="Priority",'Cost model'!N381,'Cost model'!M381)</f>
        <v>14.5</v>
      </c>
      <c r="K4342" s="14" t="n">
        <f aca="false">J4342-H4342</f>
        <v>7.7</v>
      </c>
      <c r="L4342" s="14" t="n">
        <f aca="false">G4342-H4342</f>
        <v>5.7</v>
      </c>
    </row>
    <row r="4343" customFormat="false" ht="15" hidden="false" customHeight="false" outlineLevel="0" collapsed="false">
      <c r="A4343" s="2" t="s">
        <v>126</v>
      </c>
      <c r="B4343" s="2" t="s">
        <v>126</v>
      </c>
      <c r="C4343" s="2" t="s">
        <v>49</v>
      </c>
      <c r="D4343" s="2" t="s">
        <v>12</v>
      </c>
      <c r="E4343" s="2" t="s">
        <v>76</v>
      </c>
      <c r="F4343" s="2" t="s">
        <v>1145</v>
      </c>
      <c r="G4343" s="14" t="n">
        <v>12.5</v>
      </c>
      <c r="H4343" s="14" t="n">
        <v>47.67</v>
      </c>
      <c r="I4343" s="14" t="n">
        <v>12.5</v>
      </c>
      <c r="J4343" s="22" t="n">
        <f aca="false">IF(E4343="Priority",'Cost model'!N384,'Cost model'!M384)</f>
        <v>45</v>
      </c>
      <c r="K4343" s="14" t="n">
        <f aca="false">J4343-H4343</f>
        <v>-2.67</v>
      </c>
      <c r="L4343" s="14" t="n">
        <f aca="false">G4343-H4343</f>
        <v>-35.17</v>
      </c>
    </row>
    <row r="4344" customFormat="false" ht="15" hidden="false" customHeight="false" outlineLevel="0" collapsed="false">
      <c r="A4344" s="2" t="s">
        <v>385</v>
      </c>
      <c r="B4344" s="2" t="s">
        <v>240</v>
      </c>
      <c r="C4344" s="2" t="s">
        <v>48</v>
      </c>
      <c r="D4344" s="2" t="s">
        <v>13</v>
      </c>
      <c r="E4344" s="2" t="s">
        <v>76</v>
      </c>
      <c r="F4344" s="2" t="s">
        <v>1146</v>
      </c>
      <c r="G4344" s="14" t="n">
        <v>45</v>
      </c>
      <c r="H4344" s="14" t="n">
        <v>114.41</v>
      </c>
      <c r="I4344" s="14" t="n">
        <v>95</v>
      </c>
      <c r="J4344" s="22" t="n">
        <f aca="false">IF(E4344="Priority",'Cost model'!N296,'Cost model'!M296)</f>
        <v>105</v>
      </c>
      <c r="K4344" s="14" t="n">
        <f aca="false">J4344-H4344</f>
        <v>-9.41</v>
      </c>
      <c r="L4344" s="14" t="n">
        <f aca="false">G4344-H4344</f>
        <v>-69.41</v>
      </c>
    </row>
    <row r="4345" customFormat="false" ht="15" hidden="false" customHeight="false" outlineLevel="0" collapsed="false">
      <c r="A4345" s="2" t="s">
        <v>184</v>
      </c>
      <c r="B4345" s="2" t="s">
        <v>184</v>
      </c>
      <c r="C4345" s="2" t="s">
        <v>48</v>
      </c>
      <c r="D4345" s="2" t="s">
        <v>12</v>
      </c>
      <c r="E4345" s="2" t="s">
        <v>76</v>
      </c>
      <c r="F4345" s="2" t="s">
        <v>1145</v>
      </c>
      <c r="G4345" s="14" t="n">
        <v>9.5</v>
      </c>
      <c r="H4345" s="14" t="n">
        <v>25.85</v>
      </c>
      <c r="I4345" s="14" t="n">
        <v>9.5</v>
      </c>
      <c r="J4345" s="22" t="n">
        <f aca="false">IF(E4345="Priority",'Cost model'!N203,'Cost model'!M203)</f>
        <v>26.5</v>
      </c>
      <c r="K4345" s="14" t="n">
        <f aca="false">J4345-H4345</f>
        <v>0.649999999999999</v>
      </c>
      <c r="L4345" s="14" t="n">
        <f aca="false">G4345-H4345</f>
        <v>-16.35</v>
      </c>
    </row>
    <row r="4346" customFormat="false" ht="15" hidden="false" customHeight="false" outlineLevel="0" collapsed="false">
      <c r="A4346" s="2" t="s">
        <v>184</v>
      </c>
      <c r="B4346" s="2" t="s">
        <v>184</v>
      </c>
      <c r="C4346" s="2" t="s">
        <v>48</v>
      </c>
      <c r="D4346" s="2" t="s">
        <v>12</v>
      </c>
      <c r="E4346" s="2" t="s">
        <v>76</v>
      </c>
      <c r="F4346" s="2" t="s">
        <v>1145</v>
      </c>
      <c r="G4346" s="14" t="n">
        <v>9.5</v>
      </c>
      <c r="H4346" s="14" t="n">
        <v>27.41</v>
      </c>
      <c r="I4346" s="14" t="n">
        <v>9.5</v>
      </c>
      <c r="J4346" s="22" t="n">
        <f aca="false">IF(E4346="Priority",'Cost model'!N203,'Cost model'!M203)</f>
        <v>26.5</v>
      </c>
      <c r="K4346" s="14" t="n">
        <f aca="false">J4346-H4346</f>
        <v>-0.91</v>
      </c>
      <c r="L4346" s="14" t="n">
        <f aca="false">G4346-H4346</f>
        <v>-17.91</v>
      </c>
    </row>
    <row r="4347" customFormat="false" ht="15" hidden="false" customHeight="false" outlineLevel="0" collapsed="false">
      <c r="A4347" s="2" t="s">
        <v>184</v>
      </c>
      <c r="B4347" s="2" t="s">
        <v>184</v>
      </c>
      <c r="C4347" s="2" t="s">
        <v>50</v>
      </c>
      <c r="D4347" s="2" t="s">
        <v>12</v>
      </c>
      <c r="E4347" s="2" t="s">
        <v>76</v>
      </c>
      <c r="F4347" s="2" t="s">
        <v>1145</v>
      </c>
      <c r="G4347" s="14" t="n">
        <v>19.5</v>
      </c>
      <c r="H4347" s="14" t="n">
        <v>46.62</v>
      </c>
      <c r="I4347" s="14" t="n">
        <v>19.5</v>
      </c>
      <c r="J4347" s="22" t="n">
        <f aca="false">IF(E4347="Priority",'Cost model'!N205,'Cost model'!M205)</f>
        <v>50</v>
      </c>
      <c r="K4347" s="14" t="n">
        <f aca="false">J4347-H4347</f>
        <v>3.38</v>
      </c>
      <c r="L4347" s="14" t="n">
        <f aca="false">G4347-H4347</f>
        <v>-27.12</v>
      </c>
    </row>
    <row r="4348" customFormat="false" ht="15" hidden="false" customHeight="false" outlineLevel="0" collapsed="false">
      <c r="A4348" s="2" t="s">
        <v>184</v>
      </c>
      <c r="B4348" s="2" t="s">
        <v>146</v>
      </c>
      <c r="C4348" s="2" t="s">
        <v>49</v>
      </c>
      <c r="D4348" s="2" t="s">
        <v>10</v>
      </c>
      <c r="E4348" s="2" t="s">
        <v>76</v>
      </c>
      <c r="F4348" s="2" t="s">
        <v>1146</v>
      </c>
      <c r="G4348" s="14" t="n">
        <v>12.5</v>
      </c>
      <c r="H4348" s="14" t="n">
        <v>16.63</v>
      </c>
      <c r="I4348" s="14" t="n">
        <v>12.5</v>
      </c>
      <c r="J4348" s="22" t="n">
        <f aca="false">IF(E4348="Priority",'Cost model'!N147,'Cost model'!M147)</f>
        <v>14.5</v>
      </c>
      <c r="K4348" s="14" t="n">
        <f aca="false">J4348-H4348</f>
        <v>-2.13</v>
      </c>
      <c r="L4348" s="14" t="n">
        <f aca="false">G4348-H4348</f>
        <v>-4.13</v>
      </c>
    </row>
    <row r="4349" customFormat="false" ht="15" hidden="false" customHeight="false" outlineLevel="0" collapsed="false">
      <c r="A4349" s="2" t="s">
        <v>126</v>
      </c>
      <c r="B4349" s="2" t="s">
        <v>221</v>
      </c>
      <c r="C4349" s="2" t="s">
        <v>48</v>
      </c>
      <c r="D4349" s="2" t="s">
        <v>12</v>
      </c>
      <c r="E4349" s="2" t="s">
        <v>76</v>
      </c>
      <c r="F4349" s="2" t="s">
        <v>1146</v>
      </c>
      <c r="G4349" s="14" t="n">
        <v>9.5</v>
      </c>
      <c r="H4349" s="14" t="n">
        <v>112.12</v>
      </c>
      <c r="I4349" s="14" t="n">
        <v>24.5</v>
      </c>
      <c r="J4349" s="22" t="n">
        <f aca="false">IF(E4349="Priority",'Cost model'!N455,'Cost model'!M455)</f>
        <v>60</v>
      </c>
      <c r="K4349" s="14" t="n">
        <f aca="false">J4349-H4349</f>
        <v>-52.12</v>
      </c>
      <c r="L4349" s="14" t="n">
        <f aca="false">G4349-H4349</f>
        <v>-102.62</v>
      </c>
    </row>
    <row r="4350" customFormat="false" ht="15" hidden="false" customHeight="false" outlineLevel="0" collapsed="false">
      <c r="A4350" s="2" t="s">
        <v>126</v>
      </c>
      <c r="B4350" s="2" t="s">
        <v>146</v>
      </c>
      <c r="C4350" s="2" t="s">
        <v>49</v>
      </c>
      <c r="D4350" s="2" t="s">
        <v>12</v>
      </c>
      <c r="E4350" s="2" t="s">
        <v>76</v>
      </c>
      <c r="F4350" s="2" t="s">
        <v>1146</v>
      </c>
      <c r="G4350" s="14" t="n">
        <v>12.5</v>
      </c>
      <c r="H4350" s="14" t="n">
        <v>72.3</v>
      </c>
      <c r="I4350" s="14" t="n">
        <v>19.5</v>
      </c>
      <c r="J4350" s="22" t="n">
        <f aca="false">IF(E4350="Priority",'Cost model'!N402,'Cost model'!M402)</f>
        <v>60</v>
      </c>
      <c r="K4350" s="14" t="n">
        <f aca="false">J4350-H4350</f>
        <v>-12.3</v>
      </c>
      <c r="L4350" s="14" t="n">
        <f aca="false">G4350-H4350</f>
        <v>-59.8</v>
      </c>
    </row>
    <row r="4351" customFormat="false" ht="15" hidden="false" customHeight="false" outlineLevel="0" collapsed="false">
      <c r="A4351" s="2" t="s">
        <v>126</v>
      </c>
      <c r="B4351" s="2" t="s">
        <v>126</v>
      </c>
      <c r="C4351" s="2" t="s">
        <v>50</v>
      </c>
      <c r="D4351" s="2" t="s">
        <v>10</v>
      </c>
      <c r="E4351" s="2" t="s">
        <v>76</v>
      </c>
      <c r="F4351" s="2" t="s">
        <v>1145</v>
      </c>
      <c r="G4351" s="14" t="n">
        <v>17.5</v>
      </c>
      <c r="H4351" s="14" t="n">
        <v>20.83</v>
      </c>
      <c r="I4351" s="14" t="n">
        <v>17.5</v>
      </c>
      <c r="J4351" s="22" t="n">
        <f aca="false">IF(E4351="Priority",'Cost model'!N382,'Cost model'!M382)</f>
        <v>18.5</v>
      </c>
      <c r="K4351" s="14" t="n">
        <f aca="false">J4351-H4351</f>
        <v>-2.33</v>
      </c>
      <c r="L4351" s="14" t="n">
        <f aca="false">G4351-H4351</f>
        <v>-3.33</v>
      </c>
    </row>
    <row r="4352" customFormat="false" ht="15" hidden="false" customHeight="false" outlineLevel="0" collapsed="false">
      <c r="A4352" s="2" t="s">
        <v>240</v>
      </c>
      <c r="B4352" s="2" t="s">
        <v>146</v>
      </c>
      <c r="C4352" s="2" t="s">
        <v>50</v>
      </c>
      <c r="D4352" s="2" t="s">
        <v>12</v>
      </c>
      <c r="E4352" s="2" t="s">
        <v>76</v>
      </c>
      <c r="F4352" s="2" t="s">
        <v>1146</v>
      </c>
      <c r="G4352" s="14" t="n">
        <v>19.5</v>
      </c>
      <c r="H4352" s="14" t="n">
        <v>101.33</v>
      </c>
      <c r="I4352" s="14" t="n">
        <v>29.5</v>
      </c>
      <c r="J4352" s="22" t="n">
        <f aca="false">IF(E4352="Priority",'Cost model'!N925,'Cost model'!M925)</f>
        <v>80</v>
      </c>
      <c r="K4352" s="14" t="n">
        <f aca="false">J4352-H4352</f>
        <v>-21.33</v>
      </c>
      <c r="L4352" s="14" t="n">
        <f aca="false">G4352-H4352</f>
        <v>-81.83</v>
      </c>
    </row>
    <row r="4353" customFormat="false" ht="15" hidden="false" customHeight="false" outlineLevel="0" collapsed="false">
      <c r="A4353" s="2" t="s">
        <v>126</v>
      </c>
      <c r="B4353" s="2" t="s">
        <v>126</v>
      </c>
      <c r="C4353" s="2" t="s">
        <v>49</v>
      </c>
      <c r="D4353" s="2" t="s">
        <v>14</v>
      </c>
      <c r="E4353" s="2" t="s">
        <v>76</v>
      </c>
      <c r="F4353" s="2" t="s">
        <v>1145</v>
      </c>
      <c r="G4353" s="14" t="n">
        <v>45</v>
      </c>
      <c r="H4353" s="14" t="n">
        <v>100.19</v>
      </c>
      <c r="I4353" s="14" t="n">
        <v>45</v>
      </c>
      <c r="J4353" s="22" t="n">
        <f aca="false">IF(E4353="Priority",'Cost model'!N390,'Cost model'!M390)</f>
        <v>115</v>
      </c>
      <c r="K4353" s="14" t="n">
        <f aca="false">J4353-H4353</f>
        <v>14.81</v>
      </c>
      <c r="L4353" s="14" t="n">
        <f aca="false">G4353-H4353</f>
        <v>-55.19</v>
      </c>
    </row>
    <row r="4354" customFormat="false" ht="15" hidden="false" customHeight="false" outlineLevel="0" collapsed="false">
      <c r="A4354" s="2" t="s">
        <v>184</v>
      </c>
      <c r="B4354" s="2" t="s">
        <v>146</v>
      </c>
      <c r="C4354" s="2" t="s">
        <v>48</v>
      </c>
      <c r="D4354" s="2" t="s">
        <v>12</v>
      </c>
      <c r="E4354" s="2" t="s">
        <v>76</v>
      </c>
      <c r="F4354" s="2" t="s">
        <v>1146</v>
      </c>
      <c r="G4354" s="14" t="n">
        <v>9.5</v>
      </c>
      <c r="H4354" s="14" t="n">
        <v>26.8</v>
      </c>
      <c r="I4354" s="14" t="n">
        <v>9.5</v>
      </c>
      <c r="J4354" s="22" t="n">
        <f aca="false">IF(E4354="Priority",'Cost model'!N149,'Cost model'!M149)</f>
        <v>45</v>
      </c>
      <c r="K4354" s="14" t="n">
        <f aca="false">J4354-H4354</f>
        <v>18.2</v>
      </c>
      <c r="L4354" s="14" t="n">
        <f aca="false">G4354-H4354</f>
        <v>-17.3</v>
      </c>
    </row>
    <row r="4355" customFormat="false" ht="15" hidden="false" customHeight="false" outlineLevel="0" collapsed="false">
      <c r="A4355" s="2" t="s">
        <v>165</v>
      </c>
      <c r="B4355" s="2" t="s">
        <v>184</v>
      </c>
      <c r="C4355" s="2" t="s">
        <v>48</v>
      </c>
      <c r="D4355" s="2" t="s">
        <v>10</v>
      </c>
      <c r="E4355" s="2" t="s">
        <v>76</v>
      </c>
      <c r="F4355" s="2" t="s">
        <v>1146</v>
      </c>
      <c r="G4355" s="14" t="n">
        <v>9.5</v>
      </c>
      <c r="H4355" s="14" t="n">
        <v>5.16</v>
      </c>
      <c r="I4355" s="14" t="n">
        <v>14.5</v>
      </c>
      <c r="J4355" s="22" t="n">
        <f aca="false">IF(E4355="Priority",'Cost model'!N578,'Cost model'!M578)</f>
        <v>10.5</v>
      </c>
      <c r="K4355" s="14" t="n">
        <f aca="false">J4355-H4355</f>
        <v>5.34</v>
      </c>
      <c r="L4355" s="14" t="n">
        <f aca="false">G4355-H4355</f>
        <v>4.34</v>
      </c>
    </row>
    <row r="4356" customFormat="false" ht="15" hidden="false" customHeight="false" outlineLevel="0" collapsed="false">
      <c r="A4356" s="2" t="s">
        <v>184</v>
      </c>
      <c r="B4356" s="2" t="s">
        <v>184</v>
      </c>
      <c r="C4356" s="2" t="s">
        <v>48</v>
      </c>
      <c r="D4356" s="2" t="s">
        <v>10</v>
      </c>
      <c r="E4356" s="2" t="s">
        <v>76</v>
      </c>
      <c r="F4356" s="2" t="s">
        <v>1145</v>
      </c>
      <c r="G4356" s="14" t="n">
        <v>9.5</v>
      </c>
      <c r="H4356" s="14" t="n">
        <v>7.72</v>
      </c>
      <c r="I4356" s="14" t="n">
        <v>9.5</v>
      </c>
      <c r="J4356" s="22" t="n">
        <f aca="false">IF(E4356="Priority",'Cost model'!N200,'Cost model'!M200)</f>
        <v>7.5</v>
      </c>
      <c r="K4356" s="14" t="n">
        <f aca="false">J4356-H4356</f>
        <v>-0.22</v>
      </c>
      <c r="L4356" s="14" t="n">
        <f aca="false">G4356-H4356</f>
        <v>1.78</v>
      </c>
    </row>
    <row r="4357" customFormat="false" ht="15" hidden="false" customHeight="false" outlineLevel="0" collapsed="false">
      <c r="A4357" s="2" t="s">
        <v>125</v>
      </c>
      <c r="B4357" s="2" t="s">
        <v>184</v>
      </c>
      <c r="C4357" s="2" t="s">
        <v>48</v>
      </c>
      <c r="D4357" s="2" t="s">
        <v>12</v>
      </c>
      <c r="E4357" s="2" t="s">
        <v>85</v>
      </c>
      <c r="F4357" s="2" t="s">
        <v>1146</v>
      </c>
      <c r="G4357" s="14" t="n">
        <v>24.5</v>
      </c>
      <c r="H4357" s="14" t="n">
        <v>24.48</v>
      </c>
      <c r="I4357" s="14" t="n">
        <v>24.5</v>
      </c>
      <c r="J4357" s="22" t="n">
        <f aca="false">IF(E4357="Priority",'Cost model'!N59,'Cost model'!M59)</f>
        <v>60</v>
      </c>
      <c r="K4357" s="14" t="n">
        <f aca="false">J4357-H4357</f>
        <v>35.52</v>
      </c>
      <c r="L4357" s="14" t="n">
        <f aca="false">G4357-H4357</f>
        <v>0.0199999999999996</v>
      </c>
    </row>
    <row r="4358" customFormat="false" ht="15" hidden="false" customHeight="false" outlineLevel="0" collapsed="false">
      <c r="A4358" s="2" t="s">
        <v>184</v>
      </c>
      <c r="B4358" s="2" t="s">
        <v>126</v>
      </c>
      <c r="C4358" s="2" t="s">
        <v>49</v>
      </c>
      <c r="D4358" s="2" t="s">
        <v>10</v>
      </c>
      <c r="E4358" s="2" t="s">
        <v>76</v>
      </c>
      <c r="F4358" s="2" t="s">
        <v>1146</v>
      </c>
      <c r="G4358" s="14" t="n">
        <v>12.5</v>
      </c>
      <c r="H4358" s="14" t="n">
        <v>21.86</v>
      </c>
      <c r="I4358" s="14" t="n">
        <v>12.5</v>
      </c>
      <c r="J4358" s="22" t="n">
        <f aca="false">IF(E4358="Priority",'Cost model'!N129,'Cost model'!M129)</f>
        <v>13.5</v>
      </c>
      <c r="K4358" s="14" t="n">
        <f aca="false">J4358-H4358</f>
        <v>-8.36</v>
      </c>
      <c r="L4358" s="14" t="n">
        <f aca="false">G4358-H4358</f>
        <v>-9.36</v>
      </c>
    </row>
    <row r="4359" customFormat="false" ht="15" hidden="false" customHeight="false" outlineLevel="0" collapsed="false">
      <c r="A4359" s="2" t="s">
        <v>240</v>
      </c>
      <c r="B4359" s="2" t="s">
        <v>240</v>
      </c>
      <c r="C4359" s="2" t="s">
        <v>49</v>
      </c>
      <c r="D4359" s="2" t="s">
        <v>10</v>
      </c>
      <c r="E4359" s="2" t="s">
        <v>76</v>
      </c>
      <c r="F4359" s="2" t="s">
        <v>1145</v>
      </c>
      <c r="G4359" s="14" t="n">
        <v>12.5</v>
      </c>
      <c r="H4359" s="14" t="n">
        <v>26.9</v>
      </c>
      <c r="I4359" s="14" t="n">
        <v>12.5</v>
      </c>
      <c r="J4359" s="22" t="n">
        <f aca="false">IF(E4359="Priority",'Cost model'!N885,'Cost model'!M885)</f>
        <v>13.5</v>
      </c>
      <c r="K4359" s="14" t="n">
        <f aca="false">J4359-H4359</f>
        <v>-13.4</v>
      </c>
      <c r="L4359" s="14" t="n">
        <f aca="false">G4359-H4359</f>
        <v>-14.4</v>
      </c>
    </row>
    <row r="4360" customFormat="false" ht="15" hidden="false" customHeight="false" outlineLevel="0" collapsed="false">
      <c r="A4360" s="2" t="s">
        <v>126</v>
      </c>
      <c r="B4360" s="2" t="s">
        <v>126</v>
      </c>
      <c r="C4360" s="2" t="s">
        <v>49</v>
      </c>
      <c r="D4360" s="2" t="s">
        <v>10</v>
      </c>
      <c r="E4360" s="2" t="s">
        <v>76</v>
      </c>
      <c r="F4360" s="2" t="s">
        <v>1145</v>
      </c>
      <c r="G4360" s="14" t="n">
        <v>12.5</v>
      </c>
      <c r="H4360" s="14" t="n">
        <v>8.11</v>
      </c>
      <c r="I4360" s="14" t="n">
        <v>12.5</v>
      </c>
      <c r="J4360" s="22" t="n">
        <f aca="false">IF(E4360="Priority",'Cost model'!N381,'Cost model'!M381)</f>
        <v>14.5</v>
      </c>
      <c r="K4360" s="14" t="n">
        <f aca="false">J4360-H4360</f>
        <v>6.39</v>
      </c>
      <c r="L4360" s="14" t="n">
        <f aca="false">G4360-H4360</f>
        <v>4.39</v>
      </c>
    </row>
    <row r="4361" customFormat="false" ht="15" hidden="false" customHeight="false" outlineLevel="0" collapsed="false">
      <c r="A4361" s="2" t="s">
        <v>126</v>
      </c>
      <c r="B4361" s="2" t="s">
        <v>126</v>
      </c>
      <c r="C4361" s="2" t="s">
        <v>49</v>
      </c>
      <c r="D4361" s="2" t="s">
        <v>10</v>
      </c>
      <c r="E4361" s="2" t="s">
        <v>76</v>
      </c>
      <c r="F4361" s="2" t="s">
        <v>1145</v>
      </c>
      <c r="G4361" s="14" t="n">
        <v>12.5</v>
      </c>
      <c r="H4361" s="14" t="n">
        <v>12.14</v>
      </c>
      <c r="I4361" s="14" t="n">
        <v>12.5</v>
      </c>
      <c r="J4361" s="22" t="n">
        <f aca="false">IF(E4361="Priority",'Cost model'!N381,'Cost model'!M381)</f>
        <v>14.5</v>
      </c>
      <c r="K4361" s="14" t="n">
        <f aca="false">J4361-H4361</f>
        <v>2.36</v>
      </c>
      <c r="L4361" s="14" t="n">
        <f aca="false">G4361-H4361</f>
        <v>0.359999999999999</v>
      </c>
    </row>
    <row r="4362" customFormat="false" ht="15" hidden="false" customHeight="false" outlineLevel="0" collapsed="false">
      <c r="A4362" s="2" t="s">
        <v>240</v>
      </c>
      <c r="B4362" s="2" t="s">
        <v>165</v>
      </c>
      <c r="C4362" s="2" t="s">
        <v>50</v>
      </c>
      <c r="D4362" s="2" t="s">
        <v>10</v>
      </c>
      <c r="E4362" s="2" t="s">
        <v>76</v>
      </c>
      <c r="F4362" s="2" t="s">
        <v>1146</v>
      </c>
      <c r="G4362" s="14" t="n">
        <v>17.5</v>
      </c>
      <c r="H4362" s="14" t="n">
        <v>25.42</v>
      </c>
      <c r="I4362" s="14" t="n">
        <v>17.5</v>
      </c>
      <c r="J4362" s="22" t="n">
        <f aca="false">IF(E4362="Priority",'Cost model'!N904,'Cost model'!M904)</f>
        <v>24.5</v>
      </c>
      <c r="K4362" s="14" t="n">
        <f aca="false">J4362-H4362</f>
        <v>-0.920000000000002</v>
      </c>
      <c r="L4362" s="14" t="n">
        <f aca="false">G4362-H4362</f>
        <v>-7.92</v>
      </c>
    </row>
    <row r="4363" customFormat="false" ht="15" hidden="false" customHeight="false" outlineLevel="0" collapsed="false">
      <c r="A4363" s="2" t="s">
        <v>184</v>
      </c>
      <c r="B4363" s="2" t="s">
        <v>184</v>
      </c>
      <c r="C4363" s="2" t="s">
        <v>48</v>
      </c>
      <c r="D4363" s="2" t="s">
        <v>10</v>
      </c>
      <c r="E4363" s="2" t="s">
        <v>76</v>
      </c>
      <c r="F4363" s="2" t="s">
        <v>1145</v>
      </c>
      <c r="G4363" s="14" t="n">
        <v>9.5</v>
      </c>
      <c r="H4363" s="14" t="n">
        <v>7.46</v>
      </c>
      <c r="I4363" s="14" t="n">
        <v>9.5</v>
      </c>
      <c r="J4363" s="22" t="n">
        <f aca="false">IF(E4363="Priority",'Cost model'!N200,'Cost model'!M200)</f>
        <v>7.5</v>
      </c>
      <c r="K4363" s="14" t="n">
        <f aca="false">J4363-H4363</f>
        <v>0.04</v>
      </c>
      <c r="L4363" s="14" t="n">
        <f aca="false">G4363-H4363</f>
        <v>2.04</v>
      </c>
    </row>
    <row r="4364" customFormat="false" ht="15" hidden="false" customHeight="false" outlineLevel="0" collapsed="false">
      <c r="A4364" s="2" t="s">
        <v>184</v>
      </c>
      <c r="B4364" s="2" t="s">
        <v>184</v>
      </c>
      <c r="C4364" s="2" t="s">
        <v>49</v>
      </c>
      <c r="D4364" s="2" t="s">
        <v>12</v>
      </c>
      <c r="E4364" s="2" t="s">
        <v>85</v>
      </c>
      <c r="F4364" s="2" t="s">
        <v>1145</v>
      </c>
      <c r="G4364" s="14" t="n">
        <v>19.5</v>
      </c>
      <c r="H4364" s="14" t="n">
        <v>68.07</v>
      </c>
      <c r="I4364" s="14" t="n">
        <v>19.5</v>
      </c>
      <c r="J4364" s="22" t="n">
        <f aca="false">IF(E4364="Priority",'Cost model'!N204,'Cost model'!M204)</f>
        <v>60</v>
      </c>
      <c r="K4364" s="14" t="n">
        <f aca="false">J4364-H4364</f>
        <v>-8.06999999999999</v>
      </c>
      <c r="L4364" s="14" t="n">
        <f aca="false">G4364-H4364</f>
        <v>-48.57</v>
      </c>
    </row>
    <row r="4365" customFormat="false" ht="15" hidden="false" customHeight="false" outlineLevel="0" collapsed="false">
      <c r="A4365" s="2" t="s">
        <v>184</v>
      </c>
      <c r="B4365" s="2" t="s">
        <v>184</v>
      </c>
      <c r="C4365" s="2" t="s">
        <v>49</v>
      </c>
      <c r="D4365" s="2" t="s">
        <v>12</v>
      </c>
      <c r="E4365" s="2" t="s">
        <v>76</v>
      </c>
      <c r="F4365" s="2" t="s">
        <v>1145</v>
      </c>
      <c r="G4365" s="14" t="n">
        <v>24.5</v>
      </c>
      <c r="H4365" s="14" t="n">
        <v>47.01</v>
      </c>
      <c r="I4365" s="14"/>
      <c r="J4365" s="22" t="n">
        <f aca="false">IF(E4365="Priority",'Cost model'!N204,'Cost model'!M204)</f>
        <v>45</v>
      </c>
      <c r="K4365" s="14" t="n">
        <f aca="false">J4365-H4365</f>
        <v>-2.01</v>
      </c>
      <c r="L4365" s="14" t="n">
        <f aca="false">G4365-H4365</f>
        <v>-22.51</v>
      </c>
    </row>
    <row r="4366" customFormat="false" ht="15" hidden="false" customHeight="false" outlineLevel="0" collapsed="false">
      <c r="A4366" s="2" t="s">
        <v>126</v>
      </c>
      <c r="B4366" s="2" t="s">
        <v>126</v>
      </c>
      <c r="C4366" s="2" t="s">
        <v>48</v>
      </c>
      <c r="D4366" s="2" t="s">
        <v>10</v>
      </c>
      <c r="E4366" s="2" t="s">
        <v>76</v>
      </c>
      <c r="F4366" s="2" t="s">
        <v>1145</v>
      </c>
      <c r="G4366" s="14" t="n">
        <v>9.5</v>
      </c>
      <c r="H4366" s="14" t="n">
        <v>7.46</v>
      </c>
      <c r="I4366" s="14" t="n">
        <v>9.5</v>
      </c>
      <c r="J4366" s="22" t="n">
        <f aca="false">IF(E4366="Priority",'Cost model'!N380,'Cost model'!M380)</f>
        <v>8.5</v>
      </c>
      <c r="K4366" s="14" t="n">
        <f aca="false">J4366-H4366</f>
        <v>1.04</v>
      </c>
      <c r="L4366" s="14" t="n">
        <f aca="false">G4366-H4366</f>
        <v>2.04</v>
      </c>
    </row>
    <row r="4367" customFormat="false" ht="15" hidden="false" customHeight="false" outlineLevel="0" collapsed="false">
      <c r="A4367" s="2" t="s">
        <v>126</v>
      </c>
      <c r="B4367" s="2" t="s">
        <v>126</v>
      </c>
      <c r="C4367" s="2" t="s">
        <v>48</v>
      </c>
      <c r="D4367" s="2" t="s">
        <v>10</v>
      </c>
      <c r="E4367" s="2" t="s">
        <v>76</v>
      </c>
      <c r="F4367" s="2" t="s">
        <v>1145</v>
      </c>
      <c r="G4367" s="14" t="n">
        <v>19.5</v>
      </c>
      <c r="H4367" s="14" t="n">
        <v>24.17</v>
      </c>
      <c r="I4367" s="14" t="n">
        <v>9.5</v>
      </c>
      <c r="J4367" s="22" t="n">
        <f aca="false">IF(E4367="Priority",'Cost model'!N380,'Cost model'!M380)</f>
        <v>8.5</v>
      </c>
      <c r="K4367" s="14" t="n">
        <f aca="false">J4367-H4367</f>
        <v>-15.67</v>
      </c>
      <c r="L4367" s="14" t="n">
        <f aca="false">G4367-H4367</f>
        <v>-4.67</v>
      </c>
    </row>
    <row r="4368" customFormat="false" ht="15" hidden="false" customHeight="false" outlineLevel="0" collapsed="false">
      <c r="A4368" s="2" t="s">
        <v>126</v>
      </c>
      <c r="B4368" s="2" t="s">
        <v>126</v>
      </c>
      <c r="C4368" s="2" t="s">
        <v>48</v>
      </c>
      <c r="D4368" s="2" t="s">
        <v>12</v>
      </c>
      <c r="E4368" s="2" t="s">
        <v>76</v>
      </c>
      <c r="F4368" s="2" t="s">
        <v>1145</v>
      </c>
      <c r="G4368" s="14" t="n">
        <v>9.5</v>
      </c>
      <c r="H4368" s="14" t="n">
        <v>7.46</v>
      </c>
      <c r="I4368" s="14" t="n">
        <v>9.5</v>
      </c>
      <c r="J4368" s="22" t="n">
        <f aca="false">IF(E4368="Priority",'Cost model'!N383,'Cost model'!M383)</f>
        <v>27.5</v>
      </c>
      <c r="K4368" s="14" t="n">
        <f aca="false">J4368-H4368</f>
        <v>20.04</v>
      </c>
      <c r="L4368" s="14" t="n">
        <f aca="false">G4368-H4368</f>
        <v>2.04</v>
      </c>
    </row>
    <row r="4369" customFormat="false" ht="15" hidden="false" customHeight="false" outlineLevel="0" collapsed="false">
      <c r="A4369" s="2" t="s">
        <v>240</v>
      </c>
      <c r="B4369" s="2" t="s">
        <v>240</v>
      </c>
      <c r="C4369" s="2" t="s">
        <v>50</v>
      </c>
      <c r="D4369" s="2" t="s">
        <v>12</v>
      </c>
      <c r="E4369" s="2" t="s">
        <v>76</v>
      </c>
      <c r="F4369" s="2" t="s">
        <v>1145</v>
      </c>
      <c r="G4369" s="14" t="n">
        <v>19.5</v>
      </c>
      <c r="H4369" s="14" t="n">
        <v>39.29</v>
      </c>
      <c r="I4369" s="14" t="n">
        <v>19.5</v>
      </c>
      <c r="J4369" s="22" t="n">
        <f aca="false">IF(E4369="Priority",'Cost model'!N889,'Cost model'!M889)</f>
        <v>60</v>
      </c>
      <c r="K4369" s="14" t="n">
        <f aca="false">J4369-H4369</f>
        <v>20.71</v>
      </c>
      <c r="L4369" s="14" t="n">
        <f aca="false">G4369-H4369</f>
        <v>-19.79</v>
      </c>
    </row>
    <row r="4370" customFormat="false" ht="15" hidden="false" customHeight="false" outlineLevel="0" collapsed="false">
      <c r="A4370" s="2" t="s">
        <v>184</v>
      </c>
      <c r="B4370" s="2" t="s">
        <v>184</v>
      </c>
      <c r="C4370" s="2" t="s">
        <v>49</v>
      </c>
      <c r="D4370" s="2" t="s">
        <v>13</v>
      </c>
      <c r="E4370" s="2" t="s">
        <v>76</v>
      </c>
      <c r="F4370" s="2" t="s">
        <v>1145</v>
      </c>
      <c r="G4370" s="14" t="n">
        <v>24.5</v>
      </c>
      <c r="H4370" s="14" t="n">
        <v>113.87</v>
      </c>
      <c r="I4370" s="14" t="n">
        <v>24.5</v>
      </c>
      <c r="J4370" s="22" t="n">
        <f aca="false">IF(E4370="Priority",'Cost model'!N207,'Cost model'!M207)</f>
        <v>75</v>
      </c>
      <c r="K4370" s="14" t="n">
        <f aca="false">J4370-H4370</f>
        <v>-38.87</v>
      </c>
      <c r="L4370" s="14" t="n">
        <f aca="false">G4370-H4370</f>
        <v>-89.37</v>
      </c>
    </row>
    <row r="4371" customFormat="false" ht="15" hidden="false" customHeight="false" outlineLevel="0" collapsed="false">
      <c r="A4371" s="2" t="s">
        <v>165</v>
      </c>
      <c r="B4371" s="2" t="s">
        <v>165</v>
      </c>
      <c r="C4371" s="2" t="s">
        <v>48</v>
      </c>
      <c r="D4371" s="2" t="s">
        <v>10</v>
      </c>
      <c r="E4371" s="2" t="s">
        <v>76</v>
      </c>
      <c r="F4371" s="2" t="s">
        <v>1145</v>
      </c>
      <c r="G4371" s="14" t="n">
        <v>9.5</v>
      </c>
      <c r="H4371" s="14" t="n">
        <v>6.27</v>
      </c>
      <c r="I4371" s="14" t="n">
        <v>9.5</v>
      </c>
      <c r="J4371" s="22" t="n">
        <f aca="false">IF(E4371="Priority",'Cost model'!N506,'Cost model'!M506)</f>
        <v>7.5</v>
      </c>
      <c r="K4371" s="14" t="n">
        <f aca="false">J4371-H4371</f>
        <v>1.23</v>
      </c>
      <c r="L4371" s="14" t="n">
        <f aca="false">G4371-H4371</f>
        <v>3.23</v>
      </c>
    </row>
    <row r="4372" customFormat="false" ht="15" hidden="false" customHeight="false" outlineLevel="0" collapsed="false">
      <c r="A4372" s="2" t="s">
        <v>146</v>
      </c>
      <c r="B4372" s="2" t="s">
        <v>146</v>
      </c>
      <c r="C4372" s="2" t="s">
        <v>50</v>
      </c>
      <c r="D4372" s="2" t="s">
        <v>16</v>
      </c>
      <c r="E4372" s="2" t="s">
        <v>76</v>
      </c>
      <c r="F4372" s="2" t="s">
        <v>1145</v>
      </c>
      <c r="G4372" s="14" t="n">
        <v>175</v>
      </c>
      <c r="H4372" s="14" t="n">
        <v>142.26</v>
      </c>
      <c r="I4372" s="14" t="n">
        <v>85</v>
      </c>
      <c r="J4372" s="22" t="n">
        <f aca="false">IF(E4372="Priority",'Cost model'!N775,'Cost model'!M775)</f>
        <v>285</v>
      </c>
      <c r="K4372" s="14" t="n">
        <f aca="false">J4372-H4372</f>
        <v>142.74</v>
      </c>
      <c r="L4372" s="14" t="n">
        <f aca="false">G4372-H4372</f>
        <v>32.74</v>
      </c>
    </row>
    <row r="4373" customFormat="false" ht="15" hidden="false" customHeight="false" outlineLevel="0" collapsed="false">
      <c r="A4373" s="2" t="s">
        <v>126</v>
      </c>
      <c r="B4373" s="2" t="s">
        <v>146</v>
      </c>
      <c r="C4373" s="2" t="s">
        <v>50</v>
      </c>
      <c r="D4373" s="2" t="s">
        <v>10</v>
      </c>
      <c r="E4373" s="2" t="s">
        <v>76</v>
      </c>
      <c r="F4373" s="2" t="s">
        <v>1146</v>
      </c>
      <c r="G4373" s="14" t="n">
        <v>17.5</v>
      </c>
      <c r="H4373" s="14" t="n">
        <v>15.99</v>
      </c>
      <c r="I4373" s="14" t="n">
        <v>17.5</v>
      </c>
      <c r="J4373" s="22" t="n">
        <f aca="false">IF(E4373="Priority",'Cost model'!N400,'Cost model'!M400)</f>
        <v>20.5</v>
      </c>
      <c r="K4373" s="14" t="n">
        <f aca="false">J4373-H4373</f>
        <v>4.51</v>
      </c>
      <c r="L4373" s="14" t="n">
        <f aca="false">G4373-H4373</f>
        <v>1.51</v>
      </c>
    </row>
    <row r="4374" customFormat="false" ht="15" hidden="false" customHeight="false" outlineLevel="0" collapsed="false">
      <c r="A4374" s="2" t="s">
        <v>146</v>
      </c>
      <c r="B4374" s="2" t="s">
        <v>221</v>
      </c>
      <c r="C4374" s="2" t="s">
        <v>48</v>
      </c>
      <c r="D4374" s="2" t="s">
        <v>16</v>
      </c>
      <c r="E4374" s="2" t="s">
        <v>76</v>
      </c>
      <c r="F4374" s="2" t="s">
        <v>1146</v>
      </c>
      <c r="G4374" s="14" t="n">
        <v>45</v>
      </c>
      <c r="H4374" s="14" t="n">
        <v>283.42</v>
      </c>
      <c r="I4374" s="14" t="n">
        <v>300</v>
      </c>
      <c r="J4374" s="22" t="n">
        <f aca="false">IF(E4374="Priority",'Cost model'!N863,'Cost model'!M863)</f>
        <v>205</v>
      </c>
      <c r="K4374" s="14" t="n">
        <f aca="false">J4374-H4374</f>
        <v>-78.42</v>
      </c>
      <c r="L4374" s="14" t="n">
        <f aca="false">G4374-H4374</f>
        <v>-238.42</v>
      </c>
    </row>
    <row r="4375" customFormat="false" ht="15" hidden="false" customHeight="false" outlineLevel="0" collapsed="false">
      <c r="A4375" s="2" t="s">
        <v>126</v>
      </c>
      <c r="B4375" s="2" t="s">
        <v>146</v>
      </c>
      <c r="C4375" s="2" t="s">
        <v>48</v>
      </c>
      <c r="D4375" s="2" t="s">
        <v>10</v>
      </c>
      <c r="E4375" s="2" t="s">
        <v>76</v>
      </c>
      <c r="F4375" s="2" t="s">
        <v>1146</v>
      </c>
      <c r="G4375" s="14" t="n">
        <v>14.5</v>
      </c>
      <c r="H4375" s="14" t="n">
        <v>24.17</v>
      </c>
      <c r="I4375" s="14" t="n">
        <v>14.5</v>
      </c>
      <c r="J4375" s="22" t="n">
        <f aca="false">IF(E4375="Priority",'Cost model'!N398,'Cost model'!M398)</f>
        <v>15.5</v>
      </c>
      <c r="K4375" s="14" t="n">
        <f aca="false">J4375-H4375</f>
        <v>-8.67</v>
      </c>
      <c r="L4375" s="14" t="n">
        <f aca="false">G4375-H4375</f>
        <v>-9.67</v>
      </c>
    </row>
    <row r="4376" customFormat="false" ht="15" hidden="false" customHeight="false" outlineLevel="0" collapsed="false">
      <c r="A4376" s="2" t="s">
        <v>126</v>
      </c>
      <c r="B4376" s="2" t="s">
        <v>126</v>
      </c>
      <c r="C4376" s="2" t="s">
        <v>48</v>
      </c>
      <c r="D4376" s="2" t="s">
        <v>13</v>
      </c>
      <c r="E4376" s="2" t="s">
        <v>76</v>
      </c>
      <c r="F4376" s="2" t="s">
        <v>1145</v>
      </c>
      <c r="G4376" s="14" t="n">
        <v>19</v>
      </c>
      <c r="H4376" s="14" t="n">
        <v>51.77</v>
      </c>
      <c r="I4376" s="14" t="n">
        <v>19</v>
      </c>
      <c r="J4376" s="22" t="n">
        <f aca="false">IF(E4376="Priority",'Cost model'!N386,'Cost model'!M386)</f>
        <v>55</v>
      </c>
      <c r="K4376" s="14" t="n">
        <f aca="false">J4376-H4376</f>
        <v>3.23</v>
      </c>
      <c r="L4376" s="14" t="n">
        <f aca="false">G4376-H4376</f>
        <v>-32.77</v>
      </c>
    </row>
    <row r="4377" customFormat="false" ht="15" hidden="false" customHeight="false" outlineLevel="0" collapsed="false">
      <c r="A4377" s="2" t="s">
        <v>184</v>
      </c>
      <c r="B4377" s="2" t="s">
        <v>184</v>
      </c>
      <c r="C4377" s="2" t="s">
        <v>49</v>
      </c>
      <c r="D4377" s="2" t="s">
        <v>12</v>
      </c>
      <c r="E4377" s="2" t="s">
        <v>76</v>
      </c>
      <c r="F4377" s="2" t="s">
        <v>1145</v>
      </c>
      <c r="G4377" s="14" t="n">
        <v>12.5</v>
      </c>
      <c r="H4377" s="14" t="n">
        <v>50.49</v>
      </c>
      <c r="I4377" s="14"/>
      <c r="J4377" s="22" t="n">
        <f aca="false">IF(E4377="Priority",'Cost model'!N204,'Cost model'!M204)</f>
        <v>45</v>
      </c>
      <c r="K4377" s="14" t="n">
        <f aca="false">J4377-H4377</f>
        <v>-5.49</v>
      </c>
      <c r="L4377" s="14" t="n">
        <f aca="false">G4377-H4377</f>
        <v>-37.99</v>
      </c>
    </row>
    <row r="4378" customFormat="false" ht="15" hidden="false" customHeight="false" outlineLevel="0" collapsed="false">
      <c r="A4378" s="2" t="s">
        <v>126</v>
      </c>
      <c r="B4378" s="2" t="s">
        <v>126</v>
      </c>
      <c r="C4378" s="2" t="s">
        <v>48</v>
      </c>
      <c r="D4378" s="2" t="s">
        <v>12</v>
      </c>
      <c r="E4378" s="2" t="s">
        <v>85</v>
      </c>
      <c r="F4378" s="2" t="s">
        <v>1145</v>
      </c>
      <c r="G4378" s="14" t="n">
        <v>19.5</v>
      </c>
      <c r="H4378" s="14" t="n">
        <v>42.61</v>
      </c>
      <c r="I4378" s="14" t="n">
        <v>19.5</v>
      </c>
      <c r="J4378" s="22" t="n">
        <f aca="false">IF(E4378="Priority",'Cost model'!N383,'Cost model'!M383)</f>
        <v>35</v>
      </c>
      <c r="K4378" s="14" t="n">
        <f aca="false">J4378-H4378</f>
        <v>-7.61</v>
      </c>
      <c r="L4378" s="14" t="n">
        <f aca="false">G4378-H4378</f>
        <v>-23.11</v>
      </c>
    </row>
    <row r="4379" customFormat="false" ht="15" hidden="false" customHeight="false" outlineLevel="0" collapsed="false">
      <c r="A4379" s="2" t="s">
        <v>146</v>
      </c>
      <c r="B4379" s="2" t="s">
        <v>146</v>
      </c>
      <c r="C4379" s="2" t="s">
        <v>48</v>
      </c>
      <c r="D4379" s="2" t="s">
        <v>12</v>
      </c>
      <c r="E4379" s="2" t="s">
        <v>76</v>
      </c>
      <c r="F4379" s="2" t="s">
        <v>1145</v>
      </c>
      <c r="G4379" s="14" t="n">
        <v>9.5</v>
      </c>
      <c r="H4379" s="14" t="n">
        <v>32.32</v>
      </c>
      <c r="I4379" s="14" t="n">
        <v>9.5</v>
      </c>
      <c r="J4379" s="22" t="n">
        <f aca="false">IF(E4379="Priority",'Cost model'!N761,'Cost model'!M761)</f>
        <v>35</v>
      </c>
      <c r="K4379" s="14" t="n">
        <f aca="false">J4379-H4379</f>
        <v>2.68</v>
      </c>
      <c r="L4379" s="14" t="n">
        <f aca="false">G4379-H4379</f>
        <v>-22.82</v>
      </c>
    </row>
    <row r="4380" customFormat="false" ht="15" hidden="false" customHeight="false" outlineLevel="0" collapsed="false">
      <c r="A4380" s="2" t="s">
        <v>240</v>
      </c>
      <c r="B4380" s="2" t="s">
        <v>126</v>
      </c>
      <c r="C4380" s="2" t="s">
        <v>48</v>
      </c>
      <c r="D4380" s="2" t="s">
        <v>12</v>
      </c>
      <c r="E4380" s="2" t="s">
        <v>76</v>
      </c>
      <c r="F4380" s="2" t="s">
        <v>1146</v>
      </c>
      <c r="G4380" s="14" t="n">
        <v>9.5</v>
      </c>
      <c r="H4380" s="14" t="n">
        <v>13.2</v>
      </c>
      <c r="I4380" s="14" t="n">
        <v>24.5</v>
      </c>
      <c r="J4380" s="22" t="n">
        <f aca="false">IF(E4380="Priority",'Cost model'!N959,'Cost model'!M959)</f>
        <v>55</v>
      </c>
      <c r="K4380" s="14" t="n">
        <f aca="false">J4380-H4380</f>
        <v>41.8</v>
      </c>
      <c r="L4380" s="14" t="n">
        <f aca="false">G4380-H4380</f>
        <v>-3.7</v>
      </c>
    </row>
    <row r="4381" customFormat="false" ht="15" hidden="false" customHeight="false" outlineLevel="0" collapsed="false">
      <c r="A4381" s="2" t="s">
        <v>184</v>
      </c>
      <c r="B4381" s="2" t="s">
        <v>184</v>
      </c>
      <c r="C4381" s="2" t="s">
        <v>48</v>
      </c>
      <c r="D4381" s="2" t="s">
        <v>10</v>
      </c>
      <c r="E4381" s="2" t="s">
        <v>76</v>
      </c>
      <c r="F4381" s="2" t="s">
        <v>1145</v>
      </c>
      <c r="G4381" s="14" t="n">
        <v>9.5</v>
      </c>
      <c r="H4381" s="14" t="n">
        <v>7.72</v>
      </c>
      <c r="I4381" s="14" t="n">
        <v>9.5</v>
      </c>
      <c r="J4381" s="22" t="n">
        <f aca="false">IF(E4381="Priority",'Cost model'!N200,'Cost model'!M200)</f>
        <v>7.5</v>
      </c>
      <c r="K4381" s="14" t="n">
        <f aca="false">J4381-H4381</f>
        <v>-0.22</v>
      </c>
      <c r="L4381" s="14" t="n">
        <f aca="false">G4381-H4381</f>
        <v>1.78</v>
      </c>
    </row>
    <row r="4382" customFormat="false" ht="15" hidden="false" customHeight="false" outlineLevel="0" collapsed="false">
      <c r="A4382" s="2" t="s">
        <v>126</v>
      </c>
      <c r="B4382" s="2" t="s">
        <v>126</v>
      </c>
      <c r="C4382" s="2" t="s">
        <v>50</v>
      </c>
      <c r="D4382" s="2" t="s">
        <v>10</v>
      </c>
      <c r="E4382" s="2" t="s">
        <v>76</v>
      </c>
      <c r="F4382" s="2" t="s">
        <v>1145</v>
      </c>
      <c r="G4382" s="14" t="n">
        <v>17.5</v>
      </c>
      <c r="H4382" s="14" t="n">
        <v>21.6</v>
      </c>
      <c r="I4382" s="14" t="n">
        <v>17.5</v>
      </c>
      <c r="J4382" s="22" t="n">
        <f aca="false">IF(E4382="Priority",'Cost model'!N382,'Cost model'!M382)</f>
        <v>18.5</v>
      </c>
      <c r="K4382" s="14" t="n">
        <f aca="false">J4382-H4382</f>
        <v>-3.1</v>
      </c>
      <c r="L4382" s="14" t="n">
        <f aca="false">G4382-H4382</f>
        <v>-4.1</v>
      </c>
    </row>
    <row r="4383" customFormat="false" ht="15" hidden="false" customHeight="false" outlineLevel="0" collapsed="false">
      <c r="A4383" s="2" t="s">
        <v>184</v>
      </c>
      <c r="B4383" s="2" t="s">
        <v>184</v>
      </c>
      <c r="C4383" s="2" t="s">
        <v>48</v>
      </c>
      <c r="D4383" s="2" t="s">
        <v>12</v>
      </c>
      <c r="E4383" s="2" t="s">
        <v>76</v>
      </c>
      <c r="F4383" s="2" t="s">
        <v>1145</v>
      </c>
      <c r="G4383" s="14" t="n">
        <v>9.5</v>
      </c>
      <c r="H4383" s="14" t="n">
        <v>28.4</v>
      </c>
      <c r="I4383" s="14" t="n">
        <v>9.5</v>
      </c>
      <c r="J4383" s="22" t="n">
        <f aca="false">IF(E4383="Priority",'Cost model'!N203,'Cost model'!M203)</f>
        <v>26.5</v>
      </c>
      <c r="K4383" s="14" t="n">
        <f aca="false">J4383-H4383</f>
        <v>-1.9</v>
      </c>
      <c r="L4383" s="14" t="n">
        <f aca="false">G4383-H4383</f>
        <v>-18.9</v>
      </c>
    </row>
    <row r="4384" customFormat="false" ht="15" hidden="false" customHeight="false" outlineLevel="0" collapsed="false">
      <c r="A4384" s="2" t="s">
        <v>184</v>
      </c>
      <c r="B4384" s="2" t="s">
        <v>184</v>
      </c>
      <c r="C4384" s="2" t="s">
        <v>48</v>
      </c>
      <c r="D4384" s="2" t="s">
        <v>10</v>
      </c>
      <c r="E4384" s="2" t="s">
        <v>76</v>
      </c>
      <c r="F4384" s="2" t="s">
        <v>1145</v>
      </c>
      <c r="G4384" s="14" t="n">
        <v>9.5</v>
      </c>
      <c r="H4384" s="14" t="n">
        <v>7.45</v>
      </c>
      <c r="I4384" s="14" t="n">
        <v>9.5</v>
      </c>
      <c r="J4384" s="22" t="n">
        <f aca="false">IF(E4384="Priority",'Cost model'!N200,'Cost model'!M200)</f>
        <v>7.5</v>
      </c>
      <c r="K4384" s="14" t="n">
        <f aca="false">J4384-H4384</f>
        <v>0.0499999999999998</v>
      </c>
      <c r="L4384" s="14" t="n">
        <f aca="false">G4384-H4384</f>
        <v>2.05</v>
      </c>
    </row>
    <row r="4385" customFormat="false" ht="15" hidden="false" customHeight="false" outlineLevel="0" collapsed="false">
      <c r="A4385" s="2" t="s">
        <v>184</v>
      </c>
      <c r="B4385" s="2" t="s">
        <v>184</v>
      </c>
      <c r="C4385" s="2" t="s">
        <v>50</v>
      </c>
      <c r="D4385" s="2" t="s">
        <v>12</v>
      </c>
      <c r="E4385" s="2" t="s">
        <v>76</v>
      </c>
      <c r="F4385" s="2" t="s">
        <v>1145</v>
      </c>
      <c r="G4385" s="14" t="n">
        <v>19.5</v>
      </c>
      <c r="H4385" s="14" t="n">
        <v>46.26</v>
      </c>
      <c r="I4385" s="14" t="n">
        <v>19.5</v>
      </c>
      <c r="J4385" s="22" t="n">
        <f aca="false">IF(E4385="Priority",'Cost model'!N205,'Cost model'!M205)</f>
        <v>50</v>
      </c>
      <c r="K4385" s="14" t="n">
        <f aca="false">J4385-H4385</f>
        <v>3.74</v>
      </c>
      <c r="L4385" s="14" t="n">
        <f aca="false">G4385-H4385</f>
        <v>-26.76</v>
      </c>
    </row>
    <row r="4386" customFormat="false" ht="15" hidden="false" customHeight="false" outlineLevel="0" collapsed="false">
      <c r="A4386" s="2" t="s">
        <v>146</v>
      </c>
      <c r="B4386" s="2" t="s">
        <v>146</v>
      </c>
      <c r="C4386" s="2" t="s">
        <v>50</v>
      </c>
      <c r="D4386" s="2" t="s">
        <v>12</v>
      </c>
      <c r="E4386" s="2" t="s">
        <v>76</v>
      </c>
      <c r="F4386" s="2" t="s">
        <v>1145</v>
      </c>
      <c r="G4386" s="14" t="n">
        <v>19.5</v>
      </c>
      <c r="H4386" s="14" t="n">
        <v>45.07</v>
      </c>
      <c r="I4386" s="14" t="n">
        <v>19.5</v>
      </c>
      <c r="J4386" s="22" t="n">
        <f aca="false">IF(E4386="Priority",'Cost model'!N763,'Cost model'!M763)</f>
        <v>50</v>
      </c>
      <c r="K4386" s="14" t="n">
        <f aca="false">J4386-H4386</f>
        <v>4.93</v>
      </c>
      <c r="L4386" s="14" t="n">
        <f aca="false">G4386-H4386</f>
        <v>-25.57</v>
      </c>
    </row>
    <row r="4387" customFormat="false" ht="15" hidden="false" customHeight="false" outlineLevel="0" collapsed="false">
      <c r="A4387" s="2" t="s">
        <v>184</v>
      </c>
      <c r="B4387" s="2" t="s">
        <v>126</v>
      </c>
      <c r="C4387" s="2" t="s">
        <v>49</v>
      </c>
      <c r="D4387" s="2" t="s">
        <v>10</v>
      </c>
      <c r="E4387" s="2" t="s">
        <v>76</v>
      </c>
      <c r="F4387" s="2" t="s">
        <v>1146</v>
      </c>
      <c r="G4387" s="14" t="n">
        <v>12.5</v>
      </c>
      <c r="H4387" s="14" t="n">
        <v>11.92</v>
      </c>
      <c r="I4387" s="14"/>
      <c r="J4387" s="22" t="n">
        <f aca="false">IF(E4387="Priority",'Cost model'!N129,'Cost model'!M129)</f>
        <v>13.5</v>
      </c>
      <c r="K4387" s="14" t="n">
        <f aca="false">J4387-H4387</f>
        <v>1.58</v>
      </c>
      <c r="L4387" s="14" t="n">
        <f aca="false">G4387-H4387</f>
        <v>0.58</v>
      </c>
    </row>
    <row r="4388" customFormat="false" ht="15" hidden="false" customHeight="false" outlineLevel="0" collapsed="false">
      <c r="A4388" s="2" t="s">
        <v>184</v>
      </c>
      <c r="B4388" s="2" t="s">
        <v>165</v>
      </c>
      <c r="C4388" s="2" t="s">
        <v>48</v>
      </c>
      <c r="D4388" s="2" t="s">
        <v>10</v>
      </c>
      <c r="E4388" s="2" t="s">
        <v>76</v>
      </c>
      <c r="F4388" s="2" t="s">
        <v>1146</v>
      </c>
      <c r="G4388" s="14" t="n">
        <v>9.5</v>
      </c>
      <c r="H4388" s="14" t="n">
        <v>7.37</v>
      </c>
      <c r="I4388" s="14" t="n">
        <v>14.5</v>
      </c>
      <c r="J4388" s="22" t="n">
        <f aca="false">IF(E4388="Priority",'Cost model'!N164,'Cost model'!M164)</f>
        <v>11.5</v>
      </c>
      <c r="K4388" s="14" t="n">
        <f aca="false">J4388-H4388</f>
        <v>4.13</v>
      </c>
      <c r="L4388" s="14" t="n">
        <f aca="false">G4388-H4388</f>
        <v>2.13</v>
      </c>
    </row>
    <row r="4389" customFormat="false" ht="15" hidden="false" customHeight="false" outlineLevel="0" collapsed="false">
      <c r="A4389" s="2" t="s">
        <v>165</v>
      </c>
      <c r="B4389" s="2" t="s">
        <v>184</v>
      </c>
      <c r="C4389" s="2" t="s">
        <v>48</v>
      </c>
      <c r="D4389" s="2" t="s">
        <v>12</v>
      </c>
      <c r="E4389" s="2" t="s">
        <v>85</v>
      </c>
      <c r="F4389" s="2" t="s">
        <v>1146</v>
      </c>
      <c r="G4389" s="14" t="n">
        <v>24.5</v>
      </c>
      <c r="H4389" s="14" t="n">
        <v>24.48</v>
      </c>
      <c r="I4389" s="14" t="n">
        <v>24.5</v>
      </c>
      <c r="J4389" s="22" t="n">
        <f aca="false">IF(E4389="Priority",'Cost model'!N581,'Cost model'!M581)</f>
        <v>60</v>
      </c>
      <c r="K4389" s="14" t="n">
        <f aca="false">J4389-H4389</f>
        <v>35.52</v>
      </c>
      <c r="L4389" s="14" t="n">
        <f aca="false">G4389-H4389</f>
        <v>0.0199999999999996</v>
      </c>
    </row>
    <row r="4390" customFormat="false" ht="15" hidden="false" customHeight="false" outlineLevel="0" collapsed="false">
      <c r="A4390" s="2" t="s">
        <v>126</v>
      </c>
      <c r="B4390" s="2" t="s">
        <v>240</v>
      </c>
      <c r="C4390" s="2" t="s">
        <v>48</v>
      </c>
      <c r="D4390" s="2" t="s">
        <v>12</v>
      </c>
      <c r="E4390" s="2" t="s">
        <v>76</v>
      </c>
      <c r="F4390" s="2" t="s">
        <v>1146</v>
      </c>
      <c r="G4390" s="14" t="n">
        <v>9.5</v>
      </c>
      <c r="H4390" s="14" t="n">
        <v>66.25</v>
      </c>
      <c r="I4390" s="14" t="n">
        <v>24.5</v>
      </c>
      <c r="J4390" s="22" t="n">
        <f aca="false">IF(E4390="Priority",'Cost model'!N491,'Cost model'!M491)</f>
        <v>55</v>
      </c>
      <c r="K4390" s="14" t="n">
        <f aca="false">J4390-H4390</f>
        <v>-11.25</v>
      </c>
      <c r="L4390" s="14" t="n">
        <f aca="false">G4390-H4390</f>
        <v>-56.75</v>
      </c>
    </row>
    <row r="4391" customFormat="false" ht="15" hidden="false" customHeight="false" outlineLevel="0" collapsed="false">
      <c r="A4391" s="2" t="s">
        <v>126</v>
      </c>
      <c r="B4391" s="2" t="s">
        <v>165</v>
      </c>
      <c r="C4391" s="2" t="s">
        <v>49</v>
      </c>
      <c r="D4391" s="2" t="s">
        <v>12</v>
      </c>
      <c r="E4391" s="2" t="s">
        <v>76</v>
      </c>
      <c r="F4391" s="2" t="s">
        <v>1146</v>
      </c>
      <c r="G4391" s="14" t="n">
        <v>19.5</v>
      </c>
      <c r="H4391" s="14" t="n">
        <v>17.93</v>
      </c>
      <c r="I4391" s="14" t="n">
        <v>19.5</v>
      </c>
      <c r="J4391" s="22" t="n">
        <f aca="false">IF(E4391="Priority",'Cost model'!N420,'Cost model'!M420)</f>
        <v>60</v>
      </c>
      <c r="K4391" s="14" t="n">
        <f aca="false">J4391-H4391</f>
        <v>42.07</v>
      </c>
      <c r="L4391" s="14" t="n">
        <f aca="false">G4391-H4391</f>
        <v>1.57</v>
      </c>
    </row>
    <row r="4392" customFormat="false" ht="15" hidden="false" customHeight="false" outlineLevel="0" collapsed="false">
      <c r="A4392" s="2" t="s">
        <v>146</v>
      </c>
      <c r="B4392" s="2" t="s">
        <v>146</v>
      </c>
      <c r="C4392" s="2" t="s">
        <v>48</v>
      </c>
      <c r="D4392" s="2" t="s">
        <v>12</v>
      </c>
      <c r="E4392" s="2" t="s">
        <v>76</v>
      </c>
      <c r="F4392" s="2" t="s">
        <v>1145</v>
      </c>
      <c r="G4392" s="14" t="n">
        <v>9.5</v>
      </c>
      <c r="H4392" s="14" t="n">
        <v>5.27</v>
      </c>
      <c r="I4392" s="14" t="n">
        <v>9.5</v>
      </c>
      <c r="J4392" s="22" t="n">
        <f aca="false">IF(E4392="Priority",'Cost model'!N761,'Cost model'!M761)</f>
        <v>35</v>
      </c>
      <c r="K4392" s="14" t="n">
        <f aca="false">J4392-H4392</f>
        <v>29.73</v>
      </c>
      <c r="L4392" s="14" t="n">
        <f aca="false">G4392-H4392</f>
        <v>4.23</v>
      </c>
    </row>
    <row r="4393" customFormat="false" ht="15" hidden="false" customHeight="false" outlineLevel="0" collapsed="false">
      <c r="A4393" s="2" t="s">
        <v>126</v>
      </c>
      <c r="B4393" s="2" t="s">
        <v>126</v>
      </c>
      <c r="C4393" s="2" t="s">
        <v>49</v>
      </c>
      <c r="D4393" s="2" t="s">
        <v>12</v>
      </c>
      <c r="E4393" s="2" t="s">
        <v>76</v>
      </c>
      <c r="F4393" s="2" t="s">
        <v>1145</v>
      </c>
      <c r="G4393" s="14" t="n">
        <v>12.5</v>
      </c>
      <c r="H4393" s="14" t="n">
        <v>56.07</v>
      </c>
      <c r="I4393" s="14" t="n">
        <v>12.5</v>
      </c>
      <c r="J4393" s="22" t="n">
        <f aca="false">IF(E4393="Priority",'Cost model'!N384,'Cost model'!M384)</f>
        <v>45</v>
      </c>
      <c r="K4393" s="14" t="n">
        <f aca="false">J4393-H4393</f>
        <v>-11.07</v>
      </c>
      <c r="L4393" s="14" t="n">
        <f aca="false">G4393-H4393</f>
        <v>-43.57</v>
      </c>
    </row>
    <row r="4394" customFormat="false" ht="15" hidden="false" customHeight="false" outlineLevel="0" collapsed="false">
      <c r="A4394" s="2" t="s">
        <v>184</v>
      </c>
      <c r="B4394" s="2" t="s">
        <v>184</v>
      </c>
      <c r="C4394" s="2" t="s">
        <v>48</v>
      </c>
      <c r="D4394" s="2" t="s">
        <v>12</v>
      </c>
      <c r="E4394" s="2" t="s">
        <v>76</v>
      </c>
      <c r="F4394" s="2" t="s">
        <v>1145</v>
      </c>
      <c r="G4394" s="14" t="n">
        <v>9.5</v>
      </c>
      <c r="H4394" s="14" t="n">
        <v>30.21</v>
      </c>
      <c r="I4394" s="14" t="n">
        <v>9.5</v>
      </c>
      <c r="J4394" s="22" t="n">
        <f aca="false">IF(E4394="Priority",'Cost model'!N203,'Cost model'!M203)</f>
        <v>26.5</v>
      </c>
      <c r="K4394" s="14" t="n">
        <f aca="false">J4394-H4394</f>
        <v>-3.71</v>
      </c>
      <c r="L4394" s="14" t="n">
        <f aca="false">G4394-H4394</f>
        <v>-20.71</v>
      </c>
    </row>
    <row r="4395" customFormat="false" ht="15" hidden="false" customHeight="false" outlineLevel="0" collapsed="false">
      <c r="A4395" s="2" t="s">
        <v>184</v>
      </c>
      <c r="B4395" s="2" t="s">
        <v>126</v>
      </c>
      <c r="C4395" s="2" t="s">
        <v>49</v>
      </c>
      <c r="D4395" s="2" t="s">
        <v>12</v>
      </c>
      <c r="E4395" s="2" t="s">
        <v>76</v>
      </c>
      <c r="F4395" s="2" t="s">
        <v>1146</v>
      </c>
      <c r="G4395" s="14" t="n">
        <v>12.5</v>
      </c>
      <c r="H4395" s="14" t="n">
        <v>12.54</v>
      </c>
      <c r="I4395" s="14"/>
      <c r="J4395" s="22" t="n">
        <f aca="false">IF(E4395="Priority",'Cost model'!N132,'Cost model'!M132)</f>
        <v>50</v>
      </c>
      <c r="K4395" s="14" t="n">
        <f aca="false">J4395-H4395</f>
        <v>37.46</v>
      </c>
      <c r="L4395" s="14" t="n">
        <f aca="false">G4395-H4395</f>
        <v>-0.0399999999999992</v>
      </c>
    </row>
    <row r="4396" customFormat="false" ht="15" hidden="false" customHeight="false" outlineLevel="0" collapsed="false">
      <c r="A4396" s="2" t="s">
        <v>184</v>
      </c>
      <c r="B4396" s="2" t="s">
        <v>184</v>
      </c>
      <c r="C4396" s="2" t="s">
        <v>50</v>
      </c>
      <c r="D4396" s="2" t="s">
        <v>12</v>
      </c>
      <c r="E4396" s="2" t="s">
        <v>76</v>
      </c>
      <c r="F4396" s="2" t="s">
        <v>1145</v>
      </c>
      <c r="G4396" s="14" t="n">
        <v>19.5</v>
      </c>
      <c r="H4396" s="14" t="n">
        <v>45.73</v>
      </c>
      <c r="I4396" s="14" t="n">
        <v>19.5</v>
      </c>
      <c r="J4396" s="22" t="n">
        <f aca="false">IF(E4396="Priority",'Cost model'!N205,'Cost model'!M205)</f>
        <v>50</v>
      </c>
      <c r="K4396" s="14" t="n">
        <f aca="false">J4396-H4396</f>
        <v>4.27</v>
      </c>
      <c r="L4396" s="14" t="n">
        <f aca="false">G4396-H4396</f>
        <v>-26.23</v>
      </c>
    </row>
    <row r="4397" customFormat="false" ht="15" hidden="false" customHeight="false" outlineLevel="0" collapsed="false">
      <c r="A4397" s="2" t="s">
        <v>146</v>
      </c>
      <c r="B4397" s="2" t="s">
        <v>146</v>
      </c>
      <c r="C4397" s="2" t="s">
        <v>49</v>
      </c>
      <c r="D4397" s="2" t="s">
        <v>14</v>
      </c>
      <c r="E4397" s="2" t="s">
        <v>76</v>
      </c>
      <c r="F4397" s="2" t="s">
        <v>1145</v>
      </c>
      <c r="G4397" s="14" t="n">
        <v>45</v>
      </c>
      <c r="H4397" s="14" t="n">
        <v>356.24</v>
      </c>
      <c r="I4397" s="14" t="n">
        <v>45</v>
      </c>
      <c r="J4397" s="22" t="n">
        <f aca="false">IF(E4397="Priority",'Cost model'!N768,'Cost model'!M768)</f>
        <v>145</v>
      </c>
      <c r="K4397" s="14" t="n">
        <f aca="false">J4397-H4397</f>
        <v>-211.24</v>
      </c>
      <c r="L4397" s="14" t="n">
        <f aca="false">G4397-H4397</f>
        <v>-311.24</v>
      </c>
    </row>
    <row r="4398" customFormat="false" ht="15" hidden="false" customHeight="false" outlineLevel="0" collapsed="false">
      <c r="A4398" s="2" t="s">
        <v>125</v>
      </c>
      <c r="B4398" s="2" t="s">
        <v>184</v>
      </c>
      <c r="C4398" s="2" t="s">
        <v>48</v>
      </c>
      <c r="D4398" s="2" t="s">
        <v>10</v>
      </c>
      <c r="E4398" s="2" t="s">
        <v>76</v>
      </c>
      <c r="F4398" s="2" t="s">
        <v>1146</v>
      </c>
      <c r="G4398" s="14" t="n">
        <v>14.5</v>
      </c>
      <c r="H4398" s="14" t="n">
        <v>7.02</v>
      </c>
      <c r="I4398" s="14" t="n">
        <v>14.5</v>
      </c>
      <c r="J4398" s="22" t="n">
        <f aca="false">IF(E4398="Priority",'Cost model'!N56,'Cost model'!M56)</f>
        <v>11.5</v>
      </c>
      <c r="K4398" s="14" t="n">
        <f aca="false">J4398-H4398</f>
        <v>4.48</v>
      </c>
      <c r="L4398" s="14" t="n">
        <f aca="false">G4398-H4398</f>
        <v>7.48</v>
      </c>
    </row>
    <row r="4399" customFormat="false" ht="15" hidden="false" customHeight="false" outlineLevel="0" collapsed="false">
      <c r="A4399" s="2" t="s">
        <v>125</v>
      </c>
      <c r="B4399" s="2" t="s">
        <v>125</v>
      </c>
      <c r="C4399" s="2" t="s">
        <v>48</v>
      </c>
      <c r="D4399" s="2" t="s">
        <v>13</v>
      </c>
      <c r="E4399" s="2" t="s">
        <v>76</v>
      </c>
      <c r="F4399" s="2" t="s">
        <v>1145</v>
      </c>
      <c r="G4399" s="14" t="n">
        <v>19</v>
      </c>
      <c r="H4399" s="14" t="n">
        <v>130.58</v>
      </c>
      <c r="I4399" s="14" t="n">
        <v>19</v>
      </c>
      <c r="J4399" s="22" t="n">
        <f aca="false">IF(E4399="Priority",'Cost model'!N80,'Cost model'!M80)</f>
        <v>115</v>
      </c>
      <c r="K4399" s="14" t="n">
        <f aca="false">J4399-H4399</f>
        <v>-15.58</v>
      </c>
      <c r="L4399" s="14" t="n">
        <f aca="false">G4399-H4399</f>
        <v>-111.58</v>
      </c>
    </row>
    <row r="4400" customFormat="false" ht="15" hidden="false" customHeight="false" outlineLevel="0" collapsed="false">
      <c r="A4400" s="2" t="s">
        <v>125</v>
      </c>
      <c r="B4400" s="2" t="s">
        <v>125</v>
      </c>
      <c r="C4400" s="2" t="s">
        <v>48</v>
      </c>
      <c r="D4400" s="2" t="s">
        <v>10</v>
      </c>
      <c r="E4400" s="2" t="s">
        <v>76</v>
      </c>
      <c r="F4400" s="2" t="s">
        <v>1145</v>
      </c>
      <c r="G4400" s="14" t="n">
        <v>9.5</v>
      </c>
      <c r="H4400" s="14" t="n">
        <v>21.61</v>
      </c>
      <c r="I4400" s="14" t="n">
        <v>9.5</v>
      </c>
      <c r="J4400" s="22" t="n">
        <f aca="false">IF(E4400="Priority",'Cost model'!N74,'Cost model'!M74)</f>
        <v>21.5</v>
      </c>
      <c r="K4400" s="14" t="n">
        <f aca="false">J4400-H4400</f>
        <v>-0.109999999999999</v>
      </c>
      <c r="L4400" s="14" t="n">
        <f aca="false">G4400-H4400</f>
        <v>-12.11</v>
      </c>
    </row>
    <row r="4401" customFormat="false" ht="15" hidden="false" customHeight="false" outlineLevel="0" collapsed="false">
      <c r="A4401" s="2" t="s">
        <v>385</v>
      </c>
      <c r="B4401" s="2" t="s">
        <v>165</v>
      </c>
      <c r="C4401" s="2" t="s">
        <v>48</v>
      </c>
      <c r="D4401" s="2" t="s">
        <v>12</v>
      </c>
      <c r="E4401" s="2" t="s">
        <v>85</v>
      </c>
      <c r="F4401" s="2" t="s">
        <v>1146</v>
      </c>
      <c r="G4401" s="14" t="n">
        <v>29.5</v>
      </c>
      <c r="H4401" s="14" t="n">
        <v>69.18</v>
      </c>
      <c r="I4401" s="14" t="n">
        <v>29.5</v>
      </c>
      <c r="J4401" s="22" t="n">
        <f aca="false">IF(E4401="Priority",'Cost model'!N257,'Cost model'!M257)</f>
        <v>80</v>
      </c>
      <c r="K4401" s="14" t="n">
        <f aca="false">J4401-H4401</f>
        <v>10.82</v>
      </c>
      <c r="L4401" s="14" t="n">
        <f aca="false">G4401-H4401</f>
        <v>-39.68</v>
      </c>
    </row>
    <row r="4402" customFormat="false" ht="15" hidden="false" customHeight="false" outlineLevel="0" collapsed="false">
      <c r="A4402" s="2" t="s">
        <v>165</v>
      </c>
      <c r="B4402" s="2" t="s">
        <v>165</v>
      </c>
      <c r="C4402" s="2" t="s">
        <v>48</v>
      </c>
      <c r="D4402" s="2" t="s">
        <v>10</v>
      </c>
      <c r="E4402" s="2" t="s">
        <v>76</v>
      </c>
      <c r="F4402" s="2" t="s">
        <v>1145</v>
      </c>
      <c r="G4402" s="14" t="n">
        <v>9.5</v>
      </c>
      <c r="H4402" s="14" t="n">
        <v>7.45</v>
      </c>
      <c r="I4402" s="14" t="n">
        <v>9.5</v>
      </c>
      <c r="J4402" s="22" t="n">
        <f aca="false">IF(E4402="Priority",'Cost model'!N506,'Cost model'!M506)</f>
        <v>7.5</v>
      </c>
      <c r="K4402" s="14" t="n">
        <f aca="false">J4402-H4402</f>
        <v>0.0499999999999998</v>
      </c>
      <c r="L4402" s="14" t="n">
        <f aca="false">G4402-H4402</f>
        <v>2.05</v>
      </c>
    </row>
    <row r="4403" customFormat="false" ht="15" hidden="false" customHeight="false" outlineLevel="0" collapsed="false">
      <c r="A4403" s="2" t="s">
        <v>126</v>
      </c>
      <c r="B4403" s="2" t="s">
        <v>126</v>
      </c>
      <c r="C4403" s="2" t="s">
        <v>50</v>
      </c>
      <c r="D4403" s="2" t="s">
        <v>10</v>
      </c>
      <c r="E4403" s="2" t="s">
        <v>76</v>
      </c>
      <c r="F4403" s="2" t="s">
        <v>1145</v>
      </c>
      <c r="G4403" s="14" t="n">
        <v>17.5</v>
      </c>
      <c r="H4403" s="14" t="n">
        <v>21.6</v>
      </c>
      <c r="I4403" s="14" t="n">
        <v>17.5</v>
      </c>
      <c r="J4403" s="22" t="n">
        <f aca="false">IF(E4403="Priority",'Cost model'!N382,'Cost model'!M382)</f>
        <v>18.5</v>
      </c>
      <c r="K4403" s="14" t="n">
        <f aca="false">J4403-H4403</f>
        <v>-3.1</v>
      </c>
      <c r="L4403" s="14" t="n">
        <f aca="false">G4403-H4403</f>
        <v>-4.1</v>
      </c>
    </row>
    <row r="4404" customFormat="false" ht="15" hidden="false" customHeight="false" outlineLevel="0" collapsed="false">
      <c r="A4404" s="2" t="s">
        <v>184</v>
      </c>
      <c r="B4404" s="2" t="s">
        <v>184</v>
      </c>
      <c r="C4404" s="2" t="s">
        <v>48</v>
      </c>
      <c r="D4404" s="2" t="s">
        <v>10</v>
      </c>
      <c r="E4404" s="2" t="s">
        <v>76</v>
      </c>
      <c r="F4404" s="2" t="s">
        <v>1145</v>
      </c>
      <c r="G4404" s="14" t="n">
        <v>9.5</v>
      </c>
      <c r="H4404" s="14" t="n">
        <v>7.45</v>
      </c>
      <c r="I4404" s="14" t="n">
        <v>9.5</v>
      </c>
      <c r="J4404" s="22" t="n">
        <f aca="false">IF(E4404="Priority",'Cost model'!N200,'Cost model'!M200)</f>
        <v>7.5</v>
      </c>
      <c r="K4404" s="14" t="n">
        <f aca="false">J4404-H4404</f>
        <v>0.0499999999999998</v>
      </c>
      <c r="L4404" s="14" t="n">
        <f aca="false">G4404-H4404</f>
        <v>2.05</v>
      </c>
    </row>
    <row r="4405" customFormat="false" ht="15" hidden="false" customHeight="false" outlineLevel="0" collapsed="false">
      <c r="A4405" s="2" t="s">
        <v>184</v>
      </c>
      <c r="B4405" s="2" t="s">
        <v>146</v>
      </c>
      <c r="C4405" s="2" t="s">
        <v>48</v>
      </c>
      <c r="D4405" s="2" t="s">
        <v>14</v>
      </c>
      <c r="E4405" s="2" t="s">
        <v>76</v>
      </c>
      <c r="F4405" s="2" t="s">
        <v>1146</v>
      </c>
      <c r="G4405" s="14" t="n">
        <v>25</v>
      </c>
      <c r="H4405" s="14" t="n">
        <v>97.22</v>
      </c>
      <c r="I4405" s="14" t="n">
        <v>25</v>
      </c>
      <c r="J4405" s="22" t="n">
        <f aca="false">IF(E4405="Priority",'Cost model'!N155,'Cost model'!M155)</f>
        <v>125</v>
      </c>
      <c r="K4405" s="14" t="n">
        <f aca="false">J4405-H4405</f>
        <v>27.78</v>
      </c>
      <c r="L4405" s="14" t="n">
        <f aca="false">G4405-H4405</f>
        <v>-72.22</v>
      </c>
    </row>
    <row r="4406" customFormat="false" ht="15" hidden="false" customHeight="false" outlineLevel="0" collapsed="false">
      <c r="A4406" s="2" t="s">
        <v>184</v>
      </c>
      <c r="B4406" s="2" t="s">
        <v>184</v>
      </c>
      <c r="C4406" s="2" t="s">
        <v>48</v>
      </c>
      <c r="D4406" s="2" t="s">
        <v>10</v>
      </c>
      <c r="E4406" s="2" t="s">
        <v>76</v>
      </c>
      <c r="F4406" s="2" t="s">
        <v>1145</v>
      </c>
      <c r="G4406" s="14" t="n">
        <v>9.5</v>
      </c>
      <c r="H4406" s="14" t="n">
        <v>23.58</v>
      </c>
      <c r="I4406" s="14" t="n">
        <v>9.5</v>
      </c>
      <c r="J4406" s="22" t="n">
        <f aca="false">IF(E4406="Priority",'Cost model'!N200,'Cost model'!M200)</f>
        <v>7.5</v>
      </c>
      <c r="K4406" s="14" t="n">
        <f aca="false">J4406-H4406</f>
        <v>-16.08</v>
      </c>
      <c r="L4406" s="14" t="n">
        <f aca="false">G4406-H4406</f>
        <v>-14.08</v>
      </c>
    </row>
    <row r="4407" customFormat="false" ht="15" hidden="false" customHeight="false" outlineLevel="0" collapsed="false">
      <c r="A4407" s="2" t="s">
        <v>165</v>
      </c>
      <c r="B4407" s="2" t="s">
        <v>165</v>
      </c>
      <c r="C4407" s="2" t="s">
        <v>48</v>
      </c>
      <c r="D4407" s="2" t="s">
        <v>10</v>
      </c>
      <c r="E4407" s="2" t="s">
        <v>76</v>
      </c>
      <c r="F4407" s="2" t="s">
        <v>1145</v>
      </c>
      <c r="G4407" s="14" t="n">
        <v>9.5</v>
      </c>
      <c r="H4407" s="14" t="n">
        <v>5</v>
      </c>
      <c r="I4407" s="14" t="n">
        <v>9.5</v>
      </c>
      <c r="J4407" s="22" t="n">
        <f aca="false">IF(E4407="Priority",'Cost model'!N506,'Cost model'!M506)</f>
        <v>7.5</v>
      </c>
      <c r="K4407" s="14" t="n">
        <f aca="false">J4407-H4407</f>
        <v>2.5</v>
      </c>
      <c r="L4407" s="14" t="n">
        <f aca="false">G4407-H4407</f>
        <v>4.5</v>
      </c>
    </row>
    <row r="4408" customFormat="false" ht="15" hidden="false" customHeight="false" outlineLevel="0" collapsed="false">
      <c r="A4408" s="2" t="s">
        <v>165</v>
      </c>
      <c r="B4408" s="2" t="s">
        <v>165</v>
      </c>
      <c r="C4408" s="2" t="s">
        <v>50</v>
      </c>
      <c r="D4408" s="2" t="s">
        <v>10</v>
      </c>
      <c r="E4408" s="2" t="s">
        <v>76</v>
      </c>
      <c r="F4408" s="2" t="s">
        <v>1145</v>
      </c>
      <c r="G4408" s="14" t="n">
        <v>17.5</v>
      </c>
      <c r="H4408" s="14" t="n">
        <v>14.08</v>
      </c>
      <c r="I4408" s="14" t="n">
        <v>17.5</v>
      </c>
      <c r="J4408" s="22" t="n">
        <f aca="false">IF(E4408="Priority",'Cost model'!N508,'Cost model'!M508)</f>
        <v>17.5</v>
      </c>
      <c r="K4408" s="14" t="n">
        <f aca="false">J4408-H4408</f>
        <v>3.42</v>
      </c>
      <c r="L4408" s="14" t="n">
        <f aca="false">G4408-H4408</f>
        <v>3.42</v>
      </c>
    </row>
    <row r="4409" customFormat="false" ht="15" hidden="false" customHeight="false" outlineLevel="0" collapsed="false">
      <c r="A4409" s="2" t="s">
        <v>146</v>
      </c>
      <c r="B4409" s="2" t="s">
        <v>146</v>
      </c>
      <c r="C4409" s="2" t="s">
        <v>48</v>
      </c>
      <c r="D4409" s="2" t="s">
        <v>12</v>
      </c>
      <c r="E4409" s="2" t="s">
        <v>76</v>
      </c>
      <c r="F4409" s="2" t="s">
        <v>1145</v>
      </c>
      <c r="G4409" s="14" t="n">
        <v>9.5</v>
      </c>
      <c r="H4409" s="14" t="n">
        <v>27.75</v>
      </c>
      <c r="I4409" s="14" t="n">
        <v>9.5</v>
      </c>
      <c r="J4409" s="22" t="n">
        <f aca="false">IF(E4409="Priority",'Cost model'!N761,'Cost model'!M761)</f>
        <v>35</v>
      </c>
      <c r="K4409" s="14" t="n">
        <f aca="false">J4409-H4409</f>
        <v>7.25</v>
      </c>
      <c r="L4409" s="14" t="n">
        <f aca="false">G4409-H4409</f>
        <v>-18.25</v>
      </c>
    </row>
    <row r="4410" customFormat="false" ht="15" hidden="false" customHeight="false" outlineLevel="0" collapsed="false">
      <c r="A4410" s="2" t="s">
        <v>126</v>
      </c>
      <c r="B4410" s="2" t="s">
        <v>126</v>
      </c>
      <c r="C4410" s="2" t="s">
        <v>48</v>
      </c>
      <c r="D4410" s="2" t="s">
        <v>14</v>
      </c>
      <c r="E4410" s="2" t="s">
        <v>76</v>
      </c>
      <c r="F4410" s="2" t="s">
        <v>1145</v>
      </c>
      <c r="G4410" s="14" t="n">
        <v>25</v>
      </c>
      <c r="H4410" s="14" t="n">
        <v>93.45</v>
      </c>
      <c r="I4410" s="14" t="n">
        <v>25</v>
      </c>
      <c r="J4410" s="22" t="n">
        <f aca="false">IF(E4410="Priority",'Cost model'!N389,'Cost model'!M389)</f>
        <v>95</v>
      </c>
      <c r="K4410" s="14" t="n">
        <f aca="false">J4410-H4410</f>
        <v>1.55</v>
      </c>
      <c r="L4410" s="14" t="n">
        <f aca="false">G4410-H4410</f>
        <v>-68.45</v>
      </c>
    </row>
    <row r="4411" customFormat="false" ht="15" hidden="false" customHeight="false" outlineLevel="0" collapsed="false">
      <c r="A4411" s="2" t="s">
        <v>184</v>
      </c>
      <c r="B4411" s="2" t="s">
        <v>184</v>
      </c>
      <c r="C4411" s="2" t="s">
        <v>50</v>
      </c>
      <c r="D4411" s="2" t="s">
        <v>12</v>
      </c>
      <c r="E4411" s="2" t="s">
        <v>76</v>
      </c>
      <c r="F4411" s="2" t="s">
        <v>1145</v>
      </c>
      <c r="G4411" s="14" t="n">
        <v>19.5</v>
      </c>
      <c r="H4411" s="14" t="n">
        <v>47.75</v>
      </c>
      <c r="I4411" s="14" t="n">
        <v>19.5</v>
      </c>
      <c r="J4411" s="22" t="n">
        <f aca="false">IF(E4411="Priority",'Cost model'!N205,'Cost model'!M205)</f>
        <v>50</v>
      </c>
      <c r="K4411" s="14" t="n">
        <f aca="false">J4411-H4411</f>
        <v>2.25</v>
      </c>
      <c r="L4411" s="14" t="n">
        <f aca="false">G4411-H4411</f>
        <v>-28.25</v>
      </c>
    </row>
    <row r="4412" customFormat="false" ht="15" hidden="false" customHeight="false" outlineLevel="0" collapsed="false">
      <c r="A4412" s="2" t="s">
        <v>184</v>
      </c>
      <c r="B4412" s="2" t="s">
        <v>184</v>
      </c>
      <c r="C4412" s="2" t="s">
        <v>49</v>
      </c>
      <c r="D4412" s="2" t="s">
        <v>12</v>
      </c>
      <c r="E4412" s="2" t="s">
        <v>76</v>
      </c>
      <c r="F4412" s="2" t="s">
        <v>1145</v>
      </c>
      <c r="G4412" s="14" t="n">
        <v>19.5</v>
      </c>
      <c r="H4412" s="14" t="n">
        <v>43.59</v>
      </c>
      <c r="I4412" s="14"/>
      <c r="J4412" s="22" t="n">
        <f aca="false">IF(E4412="Priority",'Cost model'!N204,'Cost model'!M204)</f>
        <v>45</v>
      </c>
      <c r="K4412" s="14" t="n">
        <f aca="false">J4412-H4412</f>
        <v>1.41</v>
      </c>
      <c r="L4412" s="14" t="n">
        <f aca="false">G4412-H4412</f>
        <v>-24.09</v>
      </c>
    </row>
    <row r="4413" customFormat="false" ht="15" hidden="false" customHeight="false" outlineLevel="0" collapsed="false">
      <c r="A4413" s="2" t="s">
        <v>240</v>
      </c>
      <c r="B4413" s="2" t="s">
        <v>240</v>
      </c>
      <c r="C4413" s="2" t="s">
        <v>48</v>
      </c>
      <c r="D4413" s="2" t="s">
        <v>10</v>
      </c>
      <c r="E4413" s="2" t="s">
        <v>85</v>
      </c>
      <c r="F4413" s="2" t="s">
        <v>1145</v>
      </c>
      <c r="G4413" s="14" t="n">
        <v>14.5</v>
      </c>
      <c r="H4413" s="14" t="n">
        <v>7.14</v>
      </c>
      <c r="I4413" s="14" t="n">
        <v>14.5</v>
      </c>
      <c r="J4413" s="22" t="n">
        <f aca="false">IF(E4413="Priority",'Cost model'!N884,'Cost model'!M884)</f>
        <v>12.5</v>
      </c>
      <c r="K4413" s="14" t="n">
        <f aca="false">J4413-H4413</f>
        <v>5.36</v>
      </c>
      <c r="L4413" s="14" t="n">
        <f aca="false">G4413-H4413</f>
        <v>7.36</v>
      </c>
    </row>
    <row r="4414" customFormat="false" ht="15" hidden="false" customHeight="false" outlineLevel="0" collapsed="false">
      <c r="A4414" s="2" t="s">
        <v>146</v>
      </c>
      <c r="B4414" s="2" t="s">
        <v>240</v>
      </c>
      <c r="C4414" s="2" t="s">
        <v>48</v>
      </c>
      <c r="D4414" s="2" t="s">
        <v>12</v>
      </c>
      <c r="E4414" s="2" t="s">
        <v>76</v>
      </c>
      <c r="F4414" s="2" t="s">
        <v>1146</v>
      </c>
      <c r="G4414" s="14" t="n">
        <v>24.5</v>
      </c>
      <c r="H4414" s="14" t="n">
        <v>37.28</v>
      </c>
      <c r="I4414" s="14" t="n">
        <v>24.5</v>
      </c>
      <c r="J4414" s="22" t="n">
        <f aca="false">IF(E4414="Priority",'Cost model'!N815,'Cost model'!M815)</f>
        <v>50</v>
      </c>
      <c r="K4414" s="14" t="n">
        <f aca="false">J4414-H4414</f>
        <v>12.72</v>
      </c>
      <c r="L4414" s="14" t="n">
        <f aca="false">G4414-H4414</f>
        <v>-12.78</v>
      </c>
    </row>
    <row r="4415" customFormat="false" ht="15" hidden="false" customHeight="false" outlineLevel="0" collapsed="false">
      <c r="A4415" s="2" t="s">
        <v>126</v>
      </c>
      <c r="B4415" s="2" t="s">
        <v>126</v>
      </c>
      <c r="C4415" s="2" t="s">
        <v>49</v>
      </c>
      <c r="D4415" s="2" t="s">
        <v>12</v>
      </c>
      <c r="E4415" s="2" t="s">
        <v>76</v>
      </c>
      <c r="F4415" s="2" t="s">
        <v>1145</v>
      </c>
      <c r="G4415" s="14" t="n">
        <v>12.5</v>
      </c>
      <c r="H4415" s="14" t="n">
        <v>56.97</v>
      </c>
      <c r="I4415" s="14" t="n">
        <v>12.5</v>
      </c>
      <c r="J4415" s="22" t="n">
        <f aca="false">IF(E4415="Priority",'Cost model'!N384,'Cost model'!M384)</f>
        <v>45</v>
      </c>
      <c r="K4415" s="14" t="n">
        <f aca="false">J4415-H4415</f>
        <v>-11.97</v>
      </c>
      <c r="L4415" s="14" t="n">
        <f aca="false">G4415-H4415</f>
        <v>-44.47</v>
      </c>
    </row>
    <row r="4416" customFormat="false" ht="15" hidden="false" customHeight="false" outlineLevel="0" collapsed="false">
      <c r="A4416" s="2" t="s">
        <v>126</v>
      </c>
      <c r="B4416" s="2" t="s">
        <v>126</v>
      </c>
      <c r="C4416" s="2" t="s">
        <v>49</v>
      </c>
      <c r="D4416" s="2" t="s">
        <v>10</v>
      </c>
      <c r="E4416" s="2" t="s">
        <v>76</v>
      </c>
      <c r="F4416" s="2" t="s">
        <v>1145</v>
      </c>
      <c r="G4416" s="14" t="n">
        <v>12.5</v>
      </c>
      <c r="H4416" s="14" t="n">
        <v>16.84</v>
      </c>
      <c r="I4416" s="14" t="n">
        <v>12.5</v>
      </c>
      <c r="J4416" s="22" t="n">
        <f aca="false">IF(E4416="Priority",'Cost model'!N381,'Cost model'!M381)</f>
        <v>14.5</v>
      </c>
      <c r="K4416" s="14" t="n">
        <f aca="false">J4416-H4416</f>
        <v>-2.34</v>
      </c>
      <c r="L4416" s="14" t="n">
        <f aca="false">G4416-H4416</f>
        <v>-4.34</v>
      </c>
    </row>
    <row r="4417" customFormat="false" ht="15" hidden="false" customHeight="false" outlineLevel="0" collapsed="false">
      <c r="A4417" s="2" t="s">
        <v>146</v>
      </c>
      <c r="B4417" s="2" t="s">
        <v>126</v>
      </c>
      <c r="C4417" s="2" t="s">
        <v>48</v>
      </c>
      <c r="D4417" s="2" t="s">
        <v>12</v>
      </c>
      <c r="E4417" s="2" t="s">
        <v>85</v>
      </c>
      <c r="F4417" s="2" t="s">
        <v>1146</v>
      </c>
      <c r="G4417" s="14" t="n">
        <v>24.5</v>
      </c>
      <c r="H4417" s="14" t="n">
        <v>46.95</v>
      </c>
      <c r="I4417" s="14" t="n">
        <v>24.5</v>
      </c>
      <c r="J4417" s="22" t="n">
        <f aca="false">IF(E4417="Priority",'Cost model'!N797,'Cost model'!M797)</f>
        <v>55</v>
      </c>
      <c r="K4417" s="14" t="n">
        <f aca="false">J4417-H4417</f>
        <v>8.05</v>
      </c>
      <c r="L4417" s="14" t="n">
        <f aca="false">G4417-H4417</f>
        <v>-22.45</v>
      </c>
    </row>
    <row r="4418" customFormat="false" ht="15" hidden="false" customHeight="false" outlineLevel="0" collapsed="false">
      <c r="A4418" s="2" t="s">
        <v>184</v>
      </c>
      <c r="B4418" s="2" t="s">
        <v>146</v>
      </c>
      <c r="C4418" s="2" t="s">
        <v>50</v>
      </c>
      <c r="D4418" s="2" t="s">
        <v>10</v>
      </c>
      <c r="E4418" s="2" t="s">
        <v>76</v>
      </c>
      <c r="F4418" s="2" t="s">
        <v>1146</v>
      </c>
      <c r="G4418" s="14" t="n">
        <v>17.5</v>
      </c>
      <c r="H4418" s="14" t="n">
        <v>24.17</v>
      </c>
      <c r="I4418" s="14" t="n">
        <v>17.5</v>
      </c>
      <c r="J4418" s="22" t="n">
        <f aca="false">IF(E4418="Priority",'Cost model'!N148,'Cost model'!M148)</f>
        <v>21.5</v>
      </c>
      <c r="K4418" s="14" t="n">
        <f aca="false">J4418-H4418</f>
        <v>-2.67</v>
      </c>
      <c r="L4418" s="14" t="n">
        <f aca="false">G4418-H4418</f>
        <v>-6.67</v>
      </c>
    </row>
    <row r="4419" customFormat="false" ht="15" hidden="false" customHeight="false" outlineLevel="0" collapsed="false">
      <c r="A4419" s="2" t="s">
        <v>126</v>
      </c>
      <c r="B4419" s="2" t="s">
        <v>126</v>
      </c>
      <c r="C4419" s="2" t="s">
        <v>50</v>
      </c>
      <c r="D4419" s="2" t="s">
        <v>12</v>
      </c>
      <c r="E4419" s="2" t="s">
        <v>76</v>
      </c>
      <c r="F4419" s="2" t="s">
        <v>1145</v>
      </c>
      <c r="G4419" s="14" t="n">
        <v>19.5</v>
      </c>
      <c r="H4419" s="14" t="n">
        <v>57.41</v>
      </c>
      <c r="I4419" s="14" t="n">
        <v>19.5</v>
      </c>
      <c r="J4419" s="22" t="n">
        <f aca="false">IF(E4419="Priority",'Cost model'!N385,'Cost model'!M385)</f>
        <v>55</v>
      </c>
      <c r="K4419" s="14" t="n">
        <f aca="false">J4419-H4419</f>
        <v>-2.41</v>
      </c>
      <c r="L4419" s="14" t="n">
        <f aca="false">G4419-H4419</f>
        <v>-37.91</v>
      </c>
    </row>
    <row r="4420" customFormat="false" ht="15" hidden="false" customHeight="false" outlineLevel="0" collapsed="false">
      <c r="A4420" s="2" t="s">
        <v>126</v>
      </c>
      <c r="B4420" s="2" t="s">
        <v>126</v>
      </c>
      <c r="C4420" s="2" t="s">
        <v>49</v>
      </c>
      <c r="D4420" s="2" t="s">
        <v>10</v>
      </c>
      <c r="E4420" s="2" t="s">
        <v>76</v>
      </c>
      <c r="F4420" s="2" t="s">
        <v>1145</v>
      </c>
      <c r="G4420" s="14" t="n">
        <v>12.5</v>
      </c>
      <c r="H4420" s="14" t="n">
        <v>20.57</v>
      </c>
      <c r="I4420" s="14" t="n">
        <v>12.5</v>
      </c>
      <c r="J4420" s="22" t="n">
        <f aca="false">IF(E4420="Priority",'Cost model'!N381,'Cost model'!M381)</f>
        <v>14.5</v>
      </c>
      <c r="K4420" s="14" t="n">
        <f aca="false">J4420-H4420</f>
        <v>-6.07</v>
      </c>
      <c r="L4420" s="14" t="n">
        <f aca="false">G4420-H4420</f>
        <v>-8.07</v>
      </c>
    </row>
    <row r="4421" customFormat="false" ht="15" hidden="false" customHeight="false" outlineLevel="0" collapsed="false">
      <c r="A4421" s="2" t="s">
        <v>126</v>
      </c>
      <c r="B4421" s="2" t="s">
        <v>126</v>
      </c>
      <c r="C4421" s="2" t="s">
        <v>48</v>
      </c>
      <c r="D4421" s="2" t="s">
        <v>10</v>
      </c>
      <c r="E4421" s="2" t="s">
        <v>76</v>
      </c>
      <c r="F4421" s="2" t="s">
        <v>1145</v>
      </c>
      <c r="G4421" s="14" t="n">
        <v>9.5</v>
      </c>
      <c r="H4421" s="14" t="n">
        <v>6.12</v>
      </c>
      <c r="I4421" s="14" t="n">
        <v>9.5</v>
      </c>
      <c r="J4421" s="22" t="n">
        <f aca="false">IF(E4421="Priority",'Cost model'!N380,'Cost model'!M380)</f>
        <v>8.5</v>
      </c>
      <c r="K4421" s="14" t="n">
        <f aca="false">J4421-H4421</f>
        <v>2.38</v>
      </c>
      <c r="L4421" s="14" t="n">
        <f aca="false">G4421-H4421</f>
        <v>3.38</v>
      </c>
    </row>
    <row r="4422" customFormat="false" ht="15" hidden="false" customHeight="false" outlineLevel="0" collapsed="false">
      <c r="A4422" s="2" t="s">
        <v>184</v>
      </c>
      <c r="B4422" s="2" t="s">
        <v>126</v>
      </c>
      <c r="C4422" s="2" t="s">
        <v>48</v>
      </c>
      <c r="D4422" s="2" t="s">
        <v>12</v>
      </c>
      <c r="E4422" s="2" t="s">
        <v>76</v>
      </c>
      <c r="F4422" s="2" t="s">
        <v>1146</v>
      </c>
      <c r="G4422" s="14" t="n">
        <v>14.5</v>
      </c>
      <c r="H4422" s="14" t="n">
        <v>49.49</v>
      </c>
      <c r="I4422" s="14" t="n">
        <v>9.5</v>
      </c>
      <c r="J4422" s="22" t="n">
        <f aca="false">IF(E4422="Priority",'Cost model'!N131,'Cost model'!M131)</f>
        <v>40</v>
      </c>
      <c r="K4422" s="14" t="n">
        <f aca="false">J4422-H4422</f>
        <v>-9.49</v>
      </c>
      <c r="L4422" s="14" t="n">
        <f aca="false">G4422-H4422</f>
        <v>-34.99</v>
      </c>
    </row>
    <row r="4423" customFormat="false" ht="15" hidden="false" customHeight="false" outlineLevel="0" collapsed="false">
      <c r="A4423" s="2" t="s">
        <v>125</v>
      </c>
      <c r="B4423" s="2" t="s">
        <v>126</v>
      </c>
      <c r="C4423" s="2" t="s">
        <v>48</v>
      </c>
      <c r="D4423" s="2" t="s">
        <v>12</v>
      </c>
      <c r="E4423" s="2" t="s">
        <v>85</v>
      </c>
      <c r="F4423" s="2" t="s">
        <v>1146</v>
      </c>
      <c r="G4423" s="14" t="n">
        <v>24.5</v>
      </c>
      <c r="H4423" s="14" t="n">
        <v>28.02</v>
      </c>
      <c r="I4423" s="14" t="n">
        <v>24.5</v>
      </c>
      <c r="J4423" s="22" t="n">
        <f aca="false">IF(E4423="Priority",'Cost model'!N5,'Cost model'!M5)</f>
        <v>65</v>
      </c>
      <c r="K4423" s="14" t="n">
        <f aca="false">J4423-H4423</f>
        <v>36.98</v>
      </c>
      <c r="L4423" s="14" t="n">
        <f aca="false">G4423-H4423</f>
        <v>-3.52</v>
      </c>
    </row>
    <row r="4424" customFormat="false" ht="15" hidden="false" customHeight="false" outlineLevel="0" collapsed="false">
      <c r="A4424" s="2" t="s">
        <v>165</v>
      </c>
      <c r="B4424" s="2" t="s">
        <v>165</v>
      </c>
      <c r="C4424" s="2" t="s">
        <v>48</v>
      </c>
      <c r="D4424" s="2" t="s">
        <v>10</v>
      </c>
      <c r="E4424" s="2" t="s">
        <v>76</v>
      </c>
      <c r="F4424" s="2" t="s">
        <v>1145</v>
      </c>
      <c r="G4424" s="14" t="n">
        <v>9.5</v>
      </c>
      <c r="H4424" s="14" t="n">
        <v>9.05</v>
      </c>
      <c r="I4424" s="14" t="n">
        <v>9.5</v>
      </c>
      <c r="J4424" s="22" t="n">
        <f aca="false">IF(E4424="Priority",'Cost model'!N506,'Cost model'!M506)</f>
        <v>7.5</v>
      </c>
      <c r="K4424" s="14" t="n">
        <f aca="false">J4424-H4424</f>
        <v>-1.55</v>
      </c>
      <c r="L4424" s="14" t="n">
        <f aca="false">G4424-H4424</f>
        <v>0.449999999999999</v>
      </c>
    </row>
    <row r="4425" customFormat="false" ht="15" hidden="false" customHeight="false" outlineLevel="0" collapsed="false">
      <c r="A4425" s="2" t="s">
        <v>240</v>
      </c>
      <c r="B4425" s="2" t="s">
        <v>240</v>
      </c>
      <c r="C4425" s="2" t="s">
        <v>48</v>
      </c>
      <c r="D4425" s="2" t="s">
        <v>10</v>
      </c>
      <c r="E4425" s="2" t="s">
        <v>76</v>
      </c>
      <c r="F4425" s="2" t="s">
        <v>1145</v>
      </c>
      <c r="G4425" s="14" t="n">
        <v>9.5</v>
      </c>
      <c r="H4425" s="14" t="n">
        <v>7.12</v>
      </c>
      <c r="I4425" s="14" t="n">
        <v>9.5</v>
      </c>
      <c r="J4425" s="22" t="n">
        <f aca="false">IF(E4425="Priority",'Cost model'!N884,'Cost model'!M884)</f>
        <v>7.5</v>
      </c>
      <c r="K4425" s="14" t="n">
        <f aca="false">J4425-H4425</f>
        <v>0.38</v>
      </c>
      <c r="L4425" s="14" t="n">
        <f aca="false">G4425-H4425</f>
        <v>2.38</v>
      </c>
    </row>
    <row r="4426" customFormat="false" ht="15" hidden="false" customHeight="false" outlineLevel="0" collapsed="false">
      <c r="A4426" s="2" t="s">
        <v>184</v>
      </c>
      <c r="B4426" s="2" t="s">
        <v>221</v>
      </c>
      <c r="C4426" s="2" t="s">
        <v>50</v>
      </c>
      <c r="D4426" s="2" t="s">
        <v>10</v>
      </c>
      <c r="E4426" s="2" t="s">
        <v>76</v>
      </c>
      <c r="F4426" s="2" t="s">
        <v>1146</v>
      </c>
      <c r="G4426" s="14" t="n">
        <v>17.5</v>
      </c>
      <c r="H4426" s="14" t="n">
        <v>10.51</v>
      </c>
      <c r="I4426" s="14" t="n">
        <v>19.5</v>
      </c>
      <c r="J4426" s="22" t="n">
        <f aca="false">IF(E4426="Priority",'Cost model'!N220,'Cost model'!M220)</f>
        <v>25.5</v>
      </c>
      <c r="K4426" s="14" t="n">
        <f aca="false">J4426-H4426</f>
        <v>14.99</v>
      </c>
      <c r="L4426" s="14" t="n">
        <f aca="false">G4426-H4426</f>
        <v>6.99</v>
      </c>
    </row>
    <row r="4427" customFormat="false" ht="15" hidden="false" customHeight="false" outlineLevel="0" collapsed="false">
      <c r="A4427" s="2" t="s">
        <v>184</v>
      </c>
      <c r="B4427" s="2" t="s">
        <v>184</v>
      </c>
      <c r="C4427" s="2" t="s">
        <v>48</v>
      </c>
      <c r="D4427" s="2" t="s">
        <v>12</v>
      </c>
      <c r="E4427" s="2" t="s">
        <v>76</v>
      </c>
      <c r="F4427" s="2" t="s">
        <v>1145</v>
      </c>
      <c r="G4427" s="14" t="n">
        <v>9.5</v>
      </c>
      <c r="H4427" s="14" t="n">
        <v>43.64</v>
      </c>
      <c r="I4427" s="14" t="n">
        <v>9.5</v>
      </c>
      <c r="J4427" s="22" t="n">
        <f aca="false">IF(E4427="Priority",'Cost model'!N203,'Cost model'!M203)</f>
        <v>26.5</v>
      </c>
      <c r="K4427" s="14" t="n">
        <f aca="false">J4427-H4427</f>
        <v>-17.14</v>
      </c>
      <c r="L4427" s="14" t="n">
        <f aca="false">G4427-H4427</f>
        <v>-34.14</v>
      </c>
    </row>
    <row r="4428" customFormat="false" ht="15" hidden="false" customHeight="false" outlineLevel="0" collapsed="false">
      <c r="A4428" s="2" t="s">
        <v>146</v>
      </c>
      <c r="B4428" s="2" t="s">
        <v>146</v>
      </c>
      <c r="C4428" s="2" t="s">
        <v>48</v>
      </c>
      <c r="D4428" s="2" t="s">
        <v>10</v>
      </c>
      <c r="E4428" s="2" t="s">
        <v>76</v>
      </c>
      <c r="F4428" s="2" t="s">
        <v>1145</v>
      </c>
      <c r="G4428" s="14" t="n">
        <v>9.5</v>
      </c>
      <c r="H4428" s="14" t="n">
        <v>6.14</v>
      </c>
      <c r="I4428" s="14" t="n">
        <v>9.5</v>
      </c>
      <c r="J4428" s="22" t="n">
        <f aca="false">IF(E4428="Priority",'Cost model'!N758,'Cost model'!M758)</f>
        <v>9.5</v>
      </c>
      <c r="K4428" s="14" t="n">
        <f aca="false">J4428-H4428</f>
        <v>3.36</v>
      </c>
      <c r="L4428" s="14" t="n">
        <f aca="false">G4428-H4428</f>
        <v>3.36</v>
      </c>
    </row>
    <row r="4429" customFormat="false" ht="15" hidden="false" customHeight="false" outlineLevel="0" collapsed="false">
      <c r="A4429" s="2" t="s">
        <v>146</v>
      </c>
      <c r="B4429" s="2" t="s">
        <v>146</v>
      </c>
      <c r="C4429" s="2" t="s">
        <v>48</v>
      </c>
      <c r="D4429" s="2" t="s">
        <v>10</v>
      </c>
      <c r="E4429" s="2" t="s">
        <v>76</v>
      </c>
      <c r="F4429" s="2" t="s">
        <v>1145</v>
      </c>
      <c r="G4429" s="14" t="n">
        <v>9.5</v>
      </c>
      <c r="H4429" s="14" t="n">
        <v>21.61</v>
      </c>
      <c r="I4429" s="14" t="n">
        <v>9.5</v>
      </c>
      <c r="J4429" s="22" t="n">
        <f aca="false">IF(E4429="Priority",'Cost model'!N758,'Cost model'!M758)</f>
        <v>9.5</v>
      </c>
      <c r="K4429" s="14" t="n">
        <f aca="false">J4429-H4429</f>
        <v>-12.11</v>
      </c>
      <c r="L4429" s="14" t="n">
        <f aca="false">G4429-H4429</f>
        <v>-12.11</v>
      </c>
    </row>
    <row r="4430" customFormat="false" ht="15" hidden="false" customHeight="false" outlineLevel="0" collapsed="false">
      <c r="A4430" s="2" t="s">
        <v>184</v>
      </c>
      <c r="B4430" s="2" t="s">
        <v>184</v>
      </c>
      <c r="C4430" s="2" t="s">
        <v>50</v>
      </c>
      <c r="D4430" s="2" t="s">
        <v>12</v>
      </c>
      <c r="E4430" s="2" t="s">
        <v>85</v>
      </c>
      <c r="F4430" s="2" t="s">
        <v>1145</v>
      </c>
      <c r="G4430" s="14" t="n">
        <v>29.5</v>
      </c>
      <c r="H4430" s="14" t="n">
        <v>45.65</v>
      </c>
      <c r="I4430" s="14" t="n">
        <v>29.5</v>
      </c>
      <c r="J4430" s="22" t="n">
        <f aca="false">IF(E4430="Priority",'Cost model'!N205,'Cost model'!M205)</f>
        <v>65</v>
      </c>
      <c r="K4430" s="14" t="n">
        <f aca="false">J4430-H4430</f>
        <v>19.35</v>
      </c>
      <c r="L4430" s="14" t="n">
        <f aca="false">G4430-H4430</f>
        <v>-16.15</v>
      </c>
    </row>
    <row r="4431" customFormat="false" ht="15" hidden="false" customHeight="false" outlineLevel="0" collapsed="false">
      <c r="A4431" s="2" t="s">
        <v>146</v>
      </c>
      <c r="B4431" s="2" t="s">
        <v>165</v>
      </c>
      <c r="C4431" s="2" t="s">
        <v>48</v>
      </c>
      <c r="D4431" s="2" t="s">
        <v>12</v>
      </c>
      <c r="E4431" s="2" t="s">
        <v>76</v>
      </c>
      <c r="F4431" s="2" t="s">
        <v>1146</v>
      </c>
      <c r="G4431" s="14" t="n">
        <v>19.5</v>
      </c>
      <c r="H4431" s="14" t="n">
        <v>47.5</v>
      </c>
      <c r="I4431" s="14" t="n">
        <v>19.5</v>
      </c>
      <c r="J4431" s="22" t="n">
        <f aca="false">IF(E4431="Priority",'Cost model'!N779,'Cost model'!M779)</f>
        <v>50</v>
      </c>
      <c r="K4431" s="14" t="n">
        <f aca="false">J4431-H4431</f>
        <v>2.5</v>
      </c>
      <c r="L4431" s="14" t="n">
        <f aca="false">G4431-H4431</f>
        <v>-28</v>
      </c>
    </row>
    <row r="4432" customFormat="false" ht="15" hidden="false" customHeight="false" outlineLevel="0" collapsed="false">
      <c r="A4432" s="2" t="s">
        <v>184</v>
      </c>
      <c r="B4432" s="2" t="s">
        <v>184</v>
      </c>
      <c r="C4432" s="2" t="s">
        <v>50</v>
      </c>
      <c r="D4432" s="2" t="s">
        <v>12</v>
      </c>
      <c r="E4432" s="2" t="s">
        <v>76</v>
      </c>
      <c r="F4432" s="2" t="s">
        <v>1145</v>
      </c>
      <c r="G4432" s="14" t="n">
        <v>19.5</v>
      </c>
      <c r="H4432" s="14" t="n">
        <v>42.61</v>
      </c>
      <c r="I4432" s="14" t="n">
        <v>19.5</v>
      </c>
      <c r="J4432" s="22" t="n">
        <f aca="false">IF(E4432="Priority",'Cost model'!N205,'Cost model'!M205)</f>
        <v>50</v>
      </c>
      <c r="K4432" s="14" t="n">
        <f aca="false">J4432-H4432</f>
        <v>7.39</v>
      </c>
      <c r="L4432" s="14" t="n">
        <f aca="false">G4432-H4432</f>
        <v>-23.11</v>
      </c>
    </row>
    <row r="4433" customFormat="false" ht="15" hidden="false" customHeight="false" outlineLevel="0" collapsed="false">
      <c r="A4433" s="2" t="s">
        <v>165</v>
      </c>
      <c r="B4433" s="2" t="s">
        <v>165</v>
      </c>
      <c r="C4433" s="2" t="s">
        <v>50</v>
      </c>
      <c r="D4433" s="2" t="s">
        <v>12</v>
      </c>
      <c r="E4433" s="2" t="s">
        <v>76</v>
      </c>
      <c r="F4433" s="2" t="s">
        <v>1145</v>
      </c>
      <c r="G4433" s="14" t="n">
        <v>19.5</v>
      </c>
      <c r="H4433" s="14" t="n">
        <v>23.55</v>
      </c>
      <c r="I4433" s="14" t="n">
        <v>19.5</v>
      </c>
      <c r="J4433" s="22" t="n">
        <f aca="false">IF(E4433="Priority",'Cost model'!N511,'Cost model'!M511)</f>
        <v>35</v>
      </c>
      <c r="K4433" s="14" t="n">
        <f aca="false">J4433-H4433</f>
        <v>11.45</v>
      </c>
      <c r="L4433" s="14" t="n">
        <f aca="false">G4433-H4433</f>
        <v>-4.05</v>
      </c>
    </row>
    <row r="4434" customFormat="false" ht="15" hidden="false" customHeight="false" outlineLevel="0" collapsed="false">
      <c r="A4434" s="2" t="s">
        <v>165</v>
      </c>
      <c r="B4434" s="2" t="s">
        <v>146</v>
      </c>
      <c r="C4434" s="2" t="s">
        <v>48</v>
      </c>
      <c r="D4434" s="2" t="s">
        <v>13</v>
      </c>
      <c r="E4434" s="2" t="s">
        <v>76</v>
      </c>
      <c r="F4434" s="2" t="s">
        <v>1146</v>
      </c>
      <c r="G4434" s="14" t="n">
        <v>24.5</v>
      </c>
      <c r="H4434" s="14" t="n">
        <v>85.84</v>
      </c>
      <c r="I4434" s="14" t="n">
        <v>24.5</v>
      </c>
      <c r="J4434" s="22" t="n">
        <f aca="false">IF(E4434="Priority",'Cost model'!N530,'Cost model'!M530)</f>
        <v>80</v>
      </c>
      <c r="K4434" s="14" t="n">
        <f aca="false">J4434-H4434</f>
        <v>-5.84</v>
      </c>
      <c r="L4434" s="14" t="n">
        <f aca="false">G4434-H4434</f>
        <v>-61.34</v>
      </c>
    </row>
    <row r="4435" customFormat="false" ht="15" hidden="false" customHeight="false" outlineLevel="0" collapsed="false">
      <c r="A4435" s="2" t="s">
        <v>146</v>
      </c>
      <c r="B4435" s="2" t="s">
        <v>146</v>
      </c>
      <c r="C4435" s="2" t="s">
        <v>50</v>
      </c>
      <c r="D4435" s="2" t="s">
        <v>10</v>
      </c>
      <c r="E4435" s="2" t="s">
        <v>76</v>
      </c>
      <c r="F4435" s="2" t="s">
        <v>1145</v>
      </c>
      <c r="G4435" s="14" t="n">
        <v>17.5</v>
      </c>
      <c r="H4435" s="14" t="n">
        <v>22.98</v>
      </c>
      <c r="I4435" s="14" t="n">
        <v>17.5</v>
      </c>
      <c r="J4435" s="22" t="n">
        <f aca="false">IF(E4435="Priority",'Cost model'!N760,'Cost model'!M760)</f>
        <v>18.5</v>
      </c>
      <c r="K4435" s="14" t="n">
        <f aca="false">J4435-H4435</f>
        <v>-4.48</v>
      </c>
      <c r="L4435" s="14" t="n">
        <f aca="false">G4435-H4435</f>
        <v>-5.48</v>
      </c>
    </row>
    <row r="4436" customFormat="false" ht="15" hidden="false" customHeight="false" outlineLevel="0" collapsed="false">
      <c r="A4436" s="2" t="s">
        <v>184</v>
      </c>
      <c r="B4436" s="2" t="s">
        <v>184</v>
      </c>
      <c r="C4436" s="2" t="s">
        <v>50</v>
      </c>
      <c r="D4436" s="2" t="s">
        <v>12</v>
      </c>
      <c r="E4436" s="2" t="s">
        <v>76</v>
      </c>
      <c r="F4436" s="2" t="s">
        <v>1145</v>
      </c>
      <c r="G4436" s="14" t="n">
        <v>19.5</v>
      </c>
      <c r="H4436" s="14" t="n">
        <v>44.78</v>
      </c>
      <c r="I4436" s="14" t="n">
        <v>19.5</v>
      </c>
      <c r="J4436" s="22" t="n">
        <f aca="false">IF(E4436="Priority",'Cost model'!N205,'Cost model'!M205)</f>
        <v>50</v>
      </c>
      <c r="K4436" s="14" t="n">
        <f aca="false">J4436-H4436</f>
        <v>5.22</v>
      </c>
      <c r="L4436" s="14" t="n">
        <f aca="false">G4436-H4436</f>
        <v>-25.28</v>
      </c>
    </row>
    <row r="4437" customFormat="false" ht="15" hidden="false" customHeight="false" outlineLevel="0" collapsed="false">
      <c r="A4437" s="2" t="s">
        <v>184</v>
      </c>
      <c r="B4437" s="2" t="s">
        <v>184</v>
      </c>
      <c r="C4437" s="2" t="s">
        <v>48</v>
      </c>
      <c r="D4437" s="2" t="s">
        <v>10</v>
      </c>
      <c r="E4437" s="2" t="s">
        <v>76</v>
      </c>
      <c r="F4437" s="2" t="s">
        <v>1145</v>
      </c>
      <c r="G4437" s="14" t="n">
        <v>9.5</v>
      </c>
      <c r="H4437" s="14" t="n">
        <v>7.46</v>
      </c>
      <c r="I4437" s="14" t="n">
        <v>9.5</v>
      </c>
      <c r="J4437" s="22" t="n">
        <f aca="false">IF(E4437="Priority",'Cost model'!N200,'Cost model'!M200)</f>
        <v>7.5</v>
      </c>
      <c r="K4437" s="14" t="n">
        <f aca="false">J4437-H4437</f>
        <v>0.04</v>
      </c>
      <c r="L4437" s="14" t="n">
        <f aca="false">G4437-H4437</f>
        <v>2.04</v>
      </c>
    </row>
    <row r="4438" customFormat="false" ht="15" hidden="false" customHeight="false" outlineLevel="0" collapsed="false">
      <c r="A4438" s="2" t="s">
        <v>240</v>
      </c>
      <c r="B4438" s="2" t="s">
        <v>240</v>
      </c>
      <c r="C4438" s="2" t="s">
        <v>50</v>
      </c>
      <c r="D4438" s="2" t="s">
        <v>12</v>
      </c>
      <c r="E4438" s="2" t="s">
        <v>76</v>
      </c>
      <c r="F4438" s="2" t="s">
        <v>1145</v>
      </c>
      <c r="G4438" s="14" t="n">
        <v>19.5</v>
      </c>
      <c r="H4438" s="14" t="n">
        <v>99.75</v>
      </c>
      <c r="I4438" s="14" t="n">
        <v>19.5</v>
      </c>
      <c r="J4438" s="22" t="n">
        <f aca="false">IF(E4438="Priority",'Cost model'!N889,'Cost model'!M889)</f>
        <v>60</v>
      </c>
      <c r="K4438" s="14" t="n">
        <f aca="false">J4438-H4438</f>
        <v>-39.75</v>
      </c>
      <c r="L4438" s="14" t="n">
        <f aca="false">G4438-H4438</f>
        <v>-80.25</v>
      </c>
    </row>
    <row r="4439" customFormat="false" ht="15" hidden="false" customHeight="false" outlineLevel="0" collapsed="false">
      <c r="A4439" s="2" t="s">
        <v>146</v>
      </c>
      <c r="B4439" s="2" t="s">
        <v>146</v>
      </c>
      <c r="C4439" s="2" t="s">
        <v>48</v>
      </c>
      <c r="D4439" s="2" t="s">
        <v>10</v>
      </c>
      <c r="E4439" s="2" t="s">
        <v>76</v>
      </c>
      <c r="F4439" s="2" t="s">
        <v>1145</v>
      </c>
      <c r="G4439" s="14" t="n">
        <v>9.5</v>
      </c>
      <c r="H4439" s="14" t="n">
        <v>10.16</v>
      </c>
      <c r="I4439" s="14" t="n">
        <v>9.5</v>
      </c>
      <c r="J4439" s="22" t="n">
        <f aca="false">IF(E4439="Priority",'Cost model'!N758,'Cost model'!M758)</f>
        <v>9.5</v>
      </c>
      <c r="K4439" s="14" t="n">
        <f aca="false">J4439-H4439</f>
        <v>-0.66</v>
      </c>
      <c r="L4439" s="14" t="n">
        <f aca="false">G4439-H4439</f>
        <v>-0.66</v>
      </c>
    </row>
    <row r="4440" customFormat="false" ht="15" hidden="false" customHeight="false" outlineLevel="0" collapsed="false">
      <c r="A4440" s="2" t="s">
        <v>165</v>
      </c>
      <c r="B4440" s="2" t="s">
        <v>165</v>
      </c>
      <c r="C4440" s="2" t="s">
        <v>48</v>
      </c>
      <c r="D4440" s="2" t="s">
        <v>10</v>
      </c>
      <c r="E4440" s="2" t="s">
        <v>76</v>
      </c>
      <c r="F4440" s="2" t="s">
        <v>1145</v>
      </c>
      <c r="G4440" s="14" t="n">
        <v>9.5</v>
      </c>
      <c r="H4440" s="14" t="n">
        <v>5</v>
      </c>
      <c r="I4440" s="14" t="n">
        <v>9.5</v>
      </c>
      <c r="J4440" s="22" t="n">
        <f aca="false">IF(E4440="Priority",'Cost model'!N506,'Cost model'!M506)</f>
        <v>7.5</v>
      </c>
      <c r="K4440" s="14" t="n">
        <f aca="false">J4440-H4440</f>
        <v>2.5</v>
      </c>
      <c r="L4440" s="14" t="n">
        <f aca="false">G4440-H4440</f>
        <v>4.5</v>
      </c>
    </row>
    <row r="4441" customFormat="false" ht="15" hidden="false" customHeight="false" outlineLevel="0" collapsed="false">
      <c r="A4441" s="2" t="s">
        <v>125</v>
      </c>
      <c r="B4441" s="2" t="s">
        <v>125</v>
      </c>
      <c r="C4441" s="2" t="s">
        <v>48</v>
      </c>
      <c r="D4441" s="2" t="s">
        <v>12</v>
      </c>
      <c r="E4441" s="2" t="s">
        <v>85</v>
      </c>
      <c r="F4441" s="2" t="s">
        <v>1145</v>
      </c>
      <c r="G4441" s="14" t="n">
        <v>19.5</v>
      </c>
      <c r="H4441" s="14" t="n">
        <v>12.2</v>
      </c>
      <c r="I4441" s="14" t="n">
        <v>19.5</v>
      </c>
      <c r="J4441" s="22" t="n">
        <f aca="false">IF(E4441="Priority",'Cost model'!N77,'Cost model'!M77)</f>
        <v>65</v>
      </c>
      <c r="K4441" s="14" t="n">
        <f aca="false">J4441-H4441</f>
        <v>52.8</v>
      </c>
      <c r="L4441" s="14" t="n">
        <f aca="false">G4441-H4441</f>
        <v>7.3</v>
      </c>
    </row>
    <row r="4442" customFormat="false" ht="15" hidden="false" customHeight="false" outlineLevel="0" collapsed="false">
      <c r="A4442" s="2" t="s">
        <v>184</v>
      </c>
      <c r="B4442" s="2" t="s">
        <v>126</v>
      </c>
      <c r="C4442" s="2" t="s">
        <v>48</v>
      </c>
      <c r="D4442" s="2" t="s">
        <v>16</v>
      </c>
      <c r="E4442" s="2" t="s">
        <v>76</v>
      </c>
      <c r="F4442" s="2" t="s">
        <v>1146</v>
      </c>
      <c r="G4442" s="14" t="n">
        <v>45</v>
      </c>
      <c r="H4442" s="14" t="n">
        <v>208.34</v>
      </c>
      <c r="I4442" s="14" t="n">
        <v>45</v>
      </c>
      <c r="J4442" s="22" t="n">
        <f aca="false">IF(E4442="Priority",'Cost model'!N143,'Cost model'!M143)</f>
        <v>235</v>
      </c>
      <c r="K4442" s="14" t="n">
        <f aca="false">J4442-H4442</f>
        <v>26.66</v>
      </c>
      <c r="L4442" s="14" t="n">
        <f aca="false">G4442-H4442</f>
        <v>-163.34</v>
      </c>
    </row>
    <row r="4443" customFormat="false" ht="15" hidden="false" customHeight="false" outlineLevel="0" collapsed="false">
      <c r="A4443" s="2" t="s">
        <v>184</v>
      </c>
      <c r="B4443" s="2" t="s">
        <v>146</v>
      </c>
      <c r="C4443" s="2" t="s">
        <v>48</v>
      </c>
      <c r="D4443" s="2" t="s">
        <v>13</v>
      </c>
      <c r="E4443" s="2" t="s">
        <v>76</v>
      </c>
      <c r="F4443" s="2" t="s">
        <v>1146</v>
      </c>
      <c r="G4443" s="14" t="n">
        <v>19</v>
      </c>
      <c r="H4443" s="14" t="n">
        <v>51.38</v>
      </c>
      <c r="I4443" s="14" t="n">
        <v>19</v>
      </c>
      <c r="J4443" s="22" t="n">
        <f aca="false">IF(E4443="Priority",'Cost model'!N152,'Cost model'!M152)</f>
        <v>65</v>
      </c>
      <c r="K4443" s="14" t="n">
        <f aca="false">J4443-H4443</f>
        <v>13.62</v>
      </c>
      <c r="L4443" s="14" t="n">
        <f aca="false">G4443-H4443</f>
        <v>-32.38</v>
      </c>
    </row>
    <row r="4444" customFormat="false" ht="15" hidden="false" customHeight="false" outlineLevel="0" collapsed="false">
      <c r="A4444" s="2" t="s">
        <v>126</v>
      </c>
      <c r="B4444" s="2" t="s">
        <v>126</v>
      </c>
      <c r="C4444" s="2" t="s">
        <v>49</v>
      </c>
      <c r="D4444" s="2" t="s">
        <v>10</v>
      </c>
      <c r="E4444" s="2" t="s">
        <v>85</v>
      </c>
      <c r="F4444" s="2" t="s">
        <v>1145</v>
      </c>
      <c r="G4444" s="14" t="n">
        <v>17.5</v>
      </c>
      <c r="H4444" s="14" t="n">
        <v>14.15</v>
      </c>
      <c r="I4444" s="14" t="n">
        <v>17.5</v>
      </c>
      <c r="J4444" s="22" t="n">
        <f aca="false">IF(E4444="Priority",'Cost model'!N381,'Cost model'!M381)</f>
        <v>19.5</v>
      </c>
      <c r="K4444" s="14" t="n">
        <f aca="false">J4444-H4444</f>
        <v>5.35</v>
      </c>
      <c r="L4444" s="14" t="n">
        <f aca="false">G4444-H4444</f>
        <v>3.35</v>
      </c>
    </row>
    <row r="4445" customFormat="false" ht="15" hidden="false" customHeight="false" outlineLevel="0" collapsed="false">
      <c r="A4445" s="2" t="s">
        <v>126</v>
      </c>
      <c r="B4445" s="2" t="s">
        <v>165</v>
      </c>
      <c r="C4445" s="2" t="s">
        <v>48</v>
      </c>
      <c r="D4445" s="2" t="s">
        <v>10</v>
      </c>
      <c r="E4445" s="2" t="s">
        <v>76</v>
      </c>
      <c r="F4445" s="2" t="s">
        <v>1146</v>
      </c>
      <c r="G4445" s="14" t="n">
        <v>14.5</v>
      </c>
      <c r="H4445" s="14" t="n">
        <v>12.93</v>
      </c>
      <c r="I4445" s="14" t="n">
        <v>14.5</v>
      </c>
      <c r="J4445" s="22" t="n">
        <f aca="false">IF(E4445="Priority",'Cost model'!N416,'Cost model'!M416)</f>
        <v>16.5</v>
      </c>
      <c r="K4445" s="14" t="n">
        <f aca="false">J4445-H4445</f>
        <v>3.57</v>
      </c>
      <c r="L4445" s="14" t="n">
        <f aca="false">G4445-H4445</f>
        <v>1.57</v>
      </c>
    </row>
    <row r="4446" customFormat="false" ht="15" hidden="false" customHeight="false" outlineLevel="0" collapsed="false">
      <c r="A4446" s="2" t="s">
        <v>184</v>
      </c>
      <c r="B4446" s="2" t="s">
        <v>184</v>
      </c>
      <c r="C4446" s="2" t="s">
        <v>50</v>
      </c>
      <c r="D4446" s="2" t="s">
        <v>12</v>
      </c>
      <c r="E4446" s="2" t="s">
        <v>76</v>
      </c>
      <c r="F4446" s="2" t="s">
        <v>1145</v>
      </c>
      <c r="G4446" s="14" t="n">
        <v>19.5</v>
      </c>
      <c r="H4446" s="14" t="n">
        <v>97.27</v>
      </c>
      <c r="I4446" s="14" t="n">
        <v>19.5</v>
      </c>
      <c r="J4446" s="22" t="n">
        <f aca="false">IF(E4446="Priority",'Cost model'!N205,'Cost model'!M205)</f>
        <v>50</v>
      </c>
      <c r="K4446" s="14" t="n">
        <f aca="false">J4446-H4446</f>
        <v>-47.27</v>
      </c>
      <c r="L4446" s="14" t="n">
        <f aca="false">G4446-H4446</f>
        <v>-77.77</v>
      </c>
    </row>
    <row r="4447" customFormat="false" ht="15" hidden="false" customHeight="false" outlineLevel="0" collapsed="false">
      <c r="A4447" s="2" t="s">
        <v>184</v>
      </c>
      <c r="B4447" s="2" t="s">
        <v>184</v>
      </c>
      <c r="C4447" s="2" t="s">
        <v>50</v>
      </c>
      <c r="D4447" s="2" t="s">
        <v>10</v>
      </c>
      <c r="E4447" s="2" t="s">
        <v>76</v>
      </c>
      <c r="F4447" s="2" t="s">
        <v>1145</v>
      </c>
      <c r="G4447" s="14" t="n">
        <v>17.5</v>
      </c>
      <c r="H4447" s="14" t="n">
        <v>10.79</v>
      </c>
      <c r="I4447" s="14" t="n">
        <v>17.5</v>
      </c>
      <c r="J4447" s="22" t="n">
        <f aca="false">IF(E4447="Priority",'Cost model'!N202,'Cost model'!M202)</f>
        <v>17.5</v>
      </c>
      <c r="K4447" s="14" t="n">
        <f aca="false">J4447-H4447</f>
        <v>6.71</v>
      </c>
      <c r="L4447" s="14" t="n">
        <f aca="false">G4447-H4447</f>
        <v>6.71</v>
      </c>
    </row>
    <row r="4448" customFormat="false" ht="15" hidden="false" customHeight="false" outlineLevel="0" collapsed="false">
      <c r="A4448" s="2" t="s">
        <v>240</v>
      </c>
      <c r="B4448" s="2" t="s">
        <v>240</v>
      </c>
      <c r="C4448" s="2" t="s">
        <v>48</v>
      </c>
      <c r="D4448" s="2" t="s">
        <v>10</v>
      </c>
      <c r="E4448" s="2" t="s">
        <v>85</v>
      </c>
      <c r="F4448" s="2" t="s">
        <v>1145</v>
      </c>
      <c r="G4448" s="14" t="n">
        <v>14.5</v>
      </c>
      <c r="H4448" s="14" t="n">
        <v>7.15</v>
      </c>
      <c r="I4448" s="14" t="n">
        <v>14.5</v>
      </c>
      <c r="J4448" s="22" t="n">
        <f aca="false">IF(E4448="Priority",'Cost model'!N884,'Cost model'!M884)</f>
        <v>12.5</v>
      </c>
      <c r="K4448" s="14" t="n">
        <f aca="false">J4448-H4448</f>
        <v>5.35</v>
      </c>
      <c r="L4448" s="14" t="n">
        <f aca="false">G4448-H4448</f>
        <v>7.35</v>
      </c>
    </row>
    <row r="4449" customFormat="false" ht="15" hidden="false" customHeight="false" outlineLevel="0" collapsed="false">
      <c r="A4449" s="2" t="s">
        <v>126</v>
      </c>
      <c r="B4449" s="2" t="s">
        <v>126</v>
      </c>
      <c r="C4449" s="2" t="s">
        <v>49</v>
      </c>
      <c r="D4449" s="2" t="s">
        <v>10</v>
      </c>
      <c r="E4449" s="2" t="s">
        <v>76</v>
      </c>
      <c r="F4449" s="2" t="s">
        <v>1145</v>
      </c>
      <c r="G4449" s="14" t="n">
        <v>12.5</v>
      </c>
      <c r="H4449" s="14" t="n">
        <v>7.93</v>
      </c>
      <c r="I4449" s="14" t="n">
        <v>12.5</v>
      </c>
      <c r="J4449" s="22" t="n">
        <f aca="false">IF(E4449="Priority",'Cost model'!N381,'Cost model'!M381)</f>
        <v>14.5</v>
      </c>
      <c r="K4449" s="14" t="n">
        <f aca="false">J4449-H4449</f>
        <v>6.57</v>
      </c>
      <c r="L4449" s="14" t="n">
        <f aca="false">G4449-H4449</f>
        <v>4.57</v>
      </c>
    </row>
    <row r="4450" customFormat="false" ht="15" hidden="false" customHeight="false" outlineLevel="0" collapsed="false">
      <c r="A4450" s="2" t="s">
        <v>125</v>
      </c>
      <c r="B4450" s="2" t="s">
        <v>126</v>
      </c>
      <c r="C4450" s="2" t="s">
        <v>48</v>
      </c>
      <c r="D4450" s="2" t="s">
        <v>10</v>
      </c>
      <c r="E4450" s="2" t="s">
        <v>85</v>
      </c>
      <c r="F4450" s="2" t="s">
        <v>1146</v>
      </c>
      <c r="G4450" s="14" t="n">
        <v>19.5</v>
      </c>
      <c r="H4450" s="14" t="n">
        <v>24.63</v>
      </c>
      <c r="I4450" s="14" t="n">
        <v>19.5</v>
      </c>
      <c r="J4450" s="22" t="n">
        <f aca="false">IF(E4450="Priority",'Cost model'!N2,'Cost model'!M2)</f>
        <v>19.5</v>
      </c>
      <c r="K4450" s="14" t="n">
        <f aca="false">J4450-H4450</f>
        <v>-5.13</v>
      </c>
      <c r="L4450" s="14" t="n">
        <f aca="false">G4450-H4450</f>
        <v>-5.13</v>
      </c>
    </row>
    <row r="4451" customFormat="false" ht="15" hidden="false" customHeight="false" outlineLevel="0" collapsed="false">
      <c r="A4451" s="2" t="s">
        <v>184</v>
      </c>
      <c r="B4451" s="2" t="s">
        <v>184</v>
      </c>
      <c r="C4451" s="2" t="s">
        <v>49</v>
      </c>
      <c r="D4451" s="2" t="s">
        <v>10</v>
      </c>
      <c r="E4451" s="2" t="s">
        <v>76</v>
      </c>
      <c r="F4451" s="2" t="s">
        <v>1145</v>
      </c>
      <c r="G4451" s="14" t="n">
        <v>14.5</v>
      </c>
      <c r="H4451" s="14" t="n">
        <v>11.03</v>
      </c>
      <c r="I4451" s="14" t="n">
        <v>12.5</v>
      </c>
      <c r="J4451" s="22" t="n">
        <f aca="false">IF(E4451="Priority",'Cost model'!N201,'Cost model'!M201)</f>
        <v>12.5</v>
      </c>
      <c r="K4451" s="14" t="n">
        <f aca="false">J4451-H4451</f>
        <v>1.47</v>
      </c>
      <c r="L4451" s="14" t="n">
        <f aca="false">G4451-H4451</f>
        <v>3.47</v>
      </c>
    </row>
    <row r="4452" customFormat="false" ht="15" hidden="false" customHeight="false" outlineLevel="0" collapsed="false">
      <c r="A4452" s="2" t="s">
        <v>146</v>
      </c>
      <c r="B4452" s="2" t="s">
        <v>146</v>
      </c>
      <c r="C4452" s="2" t="s">
        <v>49</v>
      </c>
      <c r="D4452" s="2" t="s">
        <v>10</v>
      </c>
      <c r="E4452" s="2" t="s">
        <v>76</v>
      </c>
      <c r="F4452" s="2" t="s">
        <v>1145</v>
      </c>
      <c r="G4452" s="14" t="n">
        <v>12.5</v>
      </c>
      <c r="H4452" s="14" t="n">
        <v>7.71</v>
      </c>
      <c r="I4452" s="14" t="n">
        <v>12.5</v>
      </c>
      <c r="J4452" s="22" t="n">
        <f aca="false">IF(E4452="Priority",'Cost model'!N759,'Cost model'!M759)</f>
        <v>15.5</v>
      </c>
      <c r="K4452" s="14" t="n">
        <f aca="false">J4452-H4452</f>
        <v>7.79</v>
      </c>
      <c r="L4452" s="14" t="n">
        <f aca="false">G4452-H4452</f>
        <v>4.79</v>
      </c>
    </row>
    <row r="4453" customFormat="false" ht="15" hidden="false" customHeight="false" outlineLevel="0" collapsed="false">
      <c r="A4453" s="2" t="s">
        <v>184</v>
      </c>
      <c r="B4453" s="2" t="s">
        <v>146</v>
      </c>
      <c r="C4453" s="2" t="s">
        <v>50</v>
      </c>
      <c r="D4453" s="2" t="s">
        <v>10</v>
      </c>
      <c r="E4453" s="2" t="s">
        <v>85</v>
      </c>
      <c r="F4453" s="2" t="s">
        <v>1146</v>
      </c>
      <c r="G4453" s="14" t="n">
        <v>24.5</v>
      </c>
      <c r="H4453" s="14" t="n">
        <v>20.83</v>
      </c>
      <c r="I4453" s="14" t="n">
        <v>24.5</v>
      </c>
      <c r="J4453" s="22" t="n">
        <f aca="false">IF(E4453="Priority",'Cost model'!N148,'Cost model'!M148)</f>
        <v>29.5</v>
      </c>
      <c r="K4453" s="14" t="n">
        <f aca="false">J4453-H4453</f>
        <v>8.67</v>
      </c>
      <c r="L4453" s="14" t="n">
        <f aca="false">G4453-H4453</f>
        <v>3.67</v>
      </c>
    </row>
    <row r="4454" customFormat="false" ht="15" hidden="false" customHeight="false" outlineLevel="0" collapsed="false">
      <c r="A4454" s="2" t="s">
        <v>184</v>
      </c>
      <c r="B4454" s="2" t="s">
        <v>184</v>
      </c>
      <c r="C4454" s="2" t="s">
        <v>48</v>
      </c>
      <c r="D4454" s="2" t="s">
        <v>10</v>
      </c>
      <c r="E4454" s="2" t="s">
        <v>76</v>
      </c>
      <c r="F4454" s="2" t="s">
        <v>1145</v>
      </c>
      <c r="G4454" s="14" t="n">
        <v>9.5</v>
      </c>
      <c r="H4454" s="14" t="n">
        <v>6.24</v>
      </c>
      <c r="I4454" s="14" t="n">
        <v>9.5</v>
      </c>
      <c r="J4454" s="22" t="n">
        <f aca="false">IF(E4454="Priority",'Cost model'!N200,'Cost model'!M200)</f>
        <v>7.5</v>
      </c>
      <c r="K4454" s="14" t="n">
        <f aca="false">J4454-H4454</f>
        <v>1.26</v>
      </c>
      <c r="L4454" s="14" t="n">
        <f aca="false">G4454-H4454</f>
        <v>3.26</v>
      </c>
    </row>
    <row r="4455" customFormat="false" ht="15" hidden="false" customHeight="false" outlineLevel="0" collapsed="false">
      <c r="A4455" s="2" t="s">
        <v>146</v>
      </c>
      <c r="B4455" s="2" t="s">
        <v>146</v>
      </c>
      <c r="C4455" s="2" t="s">
        <v>48</v>
      </c>
      <c r="D4455" s="2" t="s">
        <v>12</v>
      </c>
      <c r="E4455" s="2" t="s">
        <v>76</v>
      </c>
      <c r="F4455" s="2" t="s">
        <v>1145</v>
      </c>
      <c r="G4455" s="14" t="n">
        <v>9.5</v>
      </c>
      <c r="H4455" s="14" t="n">
        <v>25.99</v>
      </c>
      <c r="I4455" s="14" t="n">
        <v>9.5</v>
      </c>
      <c r="J4455" s="22" t="n">
        <f aca="false">IF(E4455="Priority",'Cost model'!N761,'Cost model'!M761)</f>
        <v>35</v>
      </c>
      <c r="K4455" s="14" t="n">
        <f aca="false">J4455-H4455</f>
        <v>9.01</v>
      </c>
      <c r="L4455" s="14" t="n">
        <f aca="false">G4455-H4455</f>
        <v>-16.49</v>
      </c>
    </row>
    <row r="4456" customFormat="false" ht="15" hidden="false" customHeight="false" outlineLevel="0" collapsed="false">
      <c r="A4456" s="2" t="s">
        <v>146</v>
      </c>
      <c r="B4456" s="2" t="s">
        <v>146</v>
      </c>
      <c r="C4456" s="2" t="s">
        <v>50</v>
      </c>
      <c r="D4456" s="2" t="s">
        <v>12</v>
      </c>
      <c r="E4456" s="2" t="s">
        <v>76</v>
      </c>
      <c r="F4456" s="2" t="s">
        <v>1145</v>
      </c>
      <c r="G4456" s="14" t="n">
        <v>19.5</v>
      </c>
      <c r="H4456" s="14" t="n">
        <v>42.61</v>
      </c>
      <c r="I4456" s="14" t="n">
        <v>19.5</v>
      </c>
      <c r="J4456" s="22" t="n">
        <f aca="false">IF(E4456="Priority",'Cost model'!N763,'Cost model'!M763)</f>
        <v>50</v>
      </c>
      <c r="K4456" s="14" t="n">
        <f aca="false">J4456-H4456</f>
        <v>7.39</v>
      </c>
      <c r="L4456" s="14" t="n">
        <f aca="false">G4456-H4456</f>
        <v>-23.11</v>
      </c>
    </row>
    <row r="4457" customFormat="false" ht="15" hidden="false" customHeight="false" outlineLevel="0" collapsed="false">
      <c r="A4457" s="2" t="s">
        <v>184</v>
      </c>
      <c r="B4457" s="2" t="s">
        <v>184</v>
      </c>
      <c r="C4457" s="2" t="s">
        <v>49</v>
      </c>
      <c r="D4457" s="2" t="s">
        <v>12</v>
      </c>
      <c r="E4457" s="2" t="s">
        <v>76</v>
      </c>
      <c r="F4457" s="2" t="s">
        <v>1145</v>
      </c>
      <c r="G4457" s="14" t="n">
        <v>12.5</v>
      </c>
      <c r="H4457" s="14" t="n">
        <v>45.25</v>
      </c>
      <c r="I4457" s="14"/>
      <c r="J4457" s="22" t="n">
        <f aca="false">IF(E4457="Priority",'Cost model'!N204,'Cost model'!M204)</f>
        <v>45</v>
      </c>
      <c r="K4457" s="14" t="n">
        <f aca="false">J4457-H4457</f>
        <v>-0.25</v>
      </c>
      <c r="L4457" s="14" t="n">
        <f aca="false">G4457-H4457</f>
        <v>-32.75</v>
      </c>
    </row>
    <row r="4458" customFormat="false" ht="15" hidden="false" customHeight="false" outlineLevel="0" collapsed="false">
      <c r="A4458" s="2" t="s">
        <v>184</v>
      </c>
      <c r="B4458" s="2" t="s">
        <v>126</v>
      </c>
      <c r="C4458" s="2" t="s">
        <v>50</v>
      </c>
      <c r="D4458" s="2" t="s">
        <v>10</v>
      </c>
      <c r="E4458" s="2" t="s">
        <v>76</v>
      </c>
      <c r="F4458" s="2" t="s">
        <v>1146</v>
      </c>
      <c r="G4458" s="14" t="n">
        <v>17.5</v>
      </c>
      <c r="H4458" s="14" t="n">
        <v>11.03</v>
      </c>
      <c r="I4458" s="14" t="n">
        <v>17.5</v>
      </c>
      <c r="J4458" s="22" t="n">
        <f aca="false">IF(E4458="Priority",'Cost model'!N130,'Cost model'!M130)</f>
        <v>18.5</v>
      </c>
      <c r="K4458" s="14" t="n">
        <f aca="false">J4458-H4458</f>
        <v>7.47</v>
      </c>
      <c r="L4458" s="14" t="n">
        <f aca="false">G4458-H4458</f>
        <v>6.47</v>
      </c>
    </row>
    <row r="4459" customFormat="false" ht="15" hidden="false" customHeight="false" outlineLevel="0" collapsed="false">
      <c r="A4459" s="2" t="s">
        <v>146</v>
      </c>
      <c r="B4459" s="2" t="s">
        <v>125</v>
      </c>
      <c r="C4459" s="2" t="s">
        <v>48</v>
      </c>
      <c r="D4459" s="2" t="s">
        <v>13</v>
      </c>
      <c r="E4459" s="2" t="s">
        <v>76</v>
      </c>
      <c r="F4459" s="2" t="s">
        <v>1146</v>
      </c>
      <c r="G4459" s="14" t="n">
        <v>19</v>
      </c>
      <c r="H4459" s="14" t="n">
        <v>56.69</v>
      </c>
      <c r="I4459" s="14" t="n">
        <v>45</v>
      </c>
      <c r="J4459" s="22" t="n">
        <f aca="false">IF(E4459="Priority",'Cost model'!N872,'Cost model'!M872)</f>
        <v>75</v>
      </c>
      <c r="K4459" s="14" t="n">
        <f aca="false">J4459-H4459</f>
        <v>18.31</v>
      </c>
      <c r="L4459" s="14" t="n">
        <f aca="false">G4459-H4459</f>
        <v>-37.69</v>
      </c>
    </row>
    <row r="4460" customFormat="false" ht="15" hidden="false" customHeight="false" outlineLevel="0" collapsed="false">
      <c r="A4460" s="2" t="s">
        <v>240</v>
      </c>
      <c r="B4460" s="2" t="s">
        <v>240</v>
      </c>
      <c r="C4460" s="2" t="s">
        <v>50</v>
      </c>
      <c r="D4460" s="2" t="s">
        <v>12</v>
      </c>
      <c r="E4460" s="2" t="s">
        <v>85</v>
      </c>
      <c r="F4460" s="2" t="s">
        <v>1145</v>
      </c>
      <c r="G4460" s="14" t="n">
        <v>29.5</v>
      </c>
      <c r="H4460" s="14" t="n">
        <v>286.13</v>
      </c>
      <c r="I4460" s="14" t="n">
        <v>29.5</v>
      </c>
      <c r="J4460" s="22" t="n">
        <f aca="false">IF(E4460="Priority",'Cost model'!N889,'Cost model'!M889)</f>
        <v>80</v>
      </c>
      <c r="K4460" s="14" t="n">
        <f aca="false">J4460-H4460</f>
        <v>-206.13</v>
      </c>
      <c r="L4460" s="14" t="n">
        <f aca="false">G4460-H4460</f>
        <v>-256.63</v>
      </c>
    </row>
    <row r="4461" customFormat="false" ht="15" hidden="false" customHeight="false" outlineLevel="0" collapsed="false">
      <c r="A4461" s="2" t="s">
        <v>126</v>
      </c>
      <c r="B4461" s="2" t="s">
        <v>126</v>
      </c>
      <c r="C4461" s="2" t="s">
        <v>49</v>
      </c>
      <c r="D4461" s="2" t="s">
        <v>12</v>
      </c>
      <c r="E4461" s="2" t="s">
        <v>85</v>
      </c>
      <c r="F4461" s="2" t="s">
        <v>1145</v>
      </c>
      <c r="G4461" s="14" t="n">
        <v>19.5</v>
      </c>
      <c r="H4461" s="14" t="n">
        <v>61.58</v>
      </c>
      <c r="I4461" s="14" t="n">
        <v>19.5</v>
      </c>
      <c r="J4461" s="22" t="n">
        <f aca="false">IF(E4461="Priority",'Cost model'!N384,'Cost model'!M384)</f>
        <v>60</v>
      </c>
      <c r="K4461" s="14" t="n">
        <f aca="false">J4461-H4461</f>
        <v>-1.58</v>
      </c>
      <c r="L4461" s="14" t="n">
        <f aca="false">G4461-H4461</f>
        <v>-42.08</v>
      </c>
    </row>
    <row r="4462" customFormat="false" ht="15" hidden="false" customHeight="false" outlineLevel="0" collapsed="false">
      <c r="A4462" s="2" t="s">
        <v>146</v>
      </c>
      <c r="B4462" s="2" t="s">
        <v>146</v>
      </c>
      <c r="C4462" s="2" t="s">
        <v>48</v>
      </c>
      <c r="D4462" s="2" t="s">
        <v>10</v>
      </c>
      <c r="E4462" s="2" t="s">
        <v>76</v>
      </c>
      <c r="F4462" s="2" t="s">
        <v>1145</v>
      </c>
      <c r="G4462" s="14" t="n">
        <v>9.5</v>
      </c>
      <c r="H4462" s="14" t="n">
        <v>6.89</v>
      </c>
      <c r="I4462" s="14" t="n">
        <v>9.5</v>
      </c>
      <c r="J4462" s="22" t="n">
        <f aca="false">IF(E4462="Priority",'Cost model'!N758,'Cost model'!M758)</f>
        <v>9.5</v>
      </c>
      <c r="K4462" s="14" t="n">
        <f aca="false">J4462-H4462</f>
        <v>2.61</v>
      </c>
      <c r="L4462" s="14" t="n">
        <f aca="false">G4462-H4462</f>
        <v>2.61</v>
      </c>
    </row>
    <row r="4463" customFormat="false" ht="15" hidden="false" customHeight="false" outlineLevel="0" collapsed="false">
      <c r="A4463" s="2" t="s">
        <v>184</v>
      </c>
      <c r="B4463" s="2" t="s">
        <v>126</v>
      </c>
      <c r="C4463" s="2" t="s">
        <v>50</v>
      </c>
      <c r="D4463" s="2" t="s">
        <v>10</v>
      </c>
      <c r="E4463" s="2" t="s">
        <v>76</v>
      </c>
      <c r="F4463" s="2" t="s">
        <v>1146</v>
      </c>
      <c r="G4463" s="14" t="n">
        <v>17.5</v>
      </c>
      <c r="H4463" s="14" t="n">
        <v>19.56</v>
      </c>
      <c r="I4463" s="14" t="n">
        <v>17.5</v>
      </c>
      <c r="J4463" s="22" t="n">
        <f aca="false">IF(E4463="Priority",'Cost model'!N130,'Cost model'!M130)</f>
        <v>18.5</v>
      </c>
      <c r="K4463" s="14" t="n">
        <f aca="false">J4463-H4463</f>
        <v>-1.06</v>
      </c>
      <c r="L4463" s="14" t="n">
        <f aca="false">G4463-H4463</f>
        <v>-2.06</v>
      </c>
    </row>
    <row r="4464" customFormat="false" ht="15" hidden="false" customHeight="false" outlineLevel="0" collapsed="false">
      <c r="A4464" s="2" t="s">
        <v>126</v>
      </c>
      <c r="B4464" s="2" t="s">
        <v>126</v>
      </c>
      <c r="C4464" s="2" t="s">
        <v>49</v>
      </c>
      <c r="D4464" s="2" t="s">
        <v>12</v>
      </c>
      <c r="E4464" s="2" t="s">
        <v>76</v>
      </c>
      <c r="F4464" s="2" t="s">
        <v>1145</v>
      </c>
      <c r="G4464" s="14" t="n">
        <v>12.5</v>
      </c>
      <c r="H4464" s="14" t="n">
        <v>29.34</v>
      </c>
      <c r="I4464" s="14" t="n">
        <v>12.5</v>
      </c>
      <c r="J4464" s="22" t="n">
        <f aca="false">IF(E4464="Priority",'Cost model'!N384,'Cost model'!M384)</f>
        <v>45</v>
      </c>
      <c r="K4464" s="14" t="n">
        <f aca="false">J4464-H4464</f>
        <v>15.66</v>
      </c>
      <c r="L4464" s="14" t="n">
        <f aca="false">G4464-H4464</f>
        <v>-16.84</v>
      </c>
    </row>
    <row r="4465" customFormat="false" ht="15" hidden="false" customHeight="false" outlineLevel="0" collapsed="false">
      <c r="A4465" s="2" t="s">
        <v>126</v>
      </c>
      <c r="B4465" s="2" t="s">
        <v>126</v>
      </c>
      <c r="C4465" s="2" t="s">
        <v>48</v>
      </c>
      <c r="D4465" s="2" t="s">
        <v>10</v>
      </c>
      <c r="E4465" s="2" t="s">
        <v>76</v>
      </c>
      <c r="F4465" s="2" t="s">
        <v>1145</v>
      </c>
      <c r="G4465" s="14" t="n">
        <v>9.5</v>
      </c>
      <c r="H4465" s="14" t="n">
        <v>8.55</v>
      </c>
      <c r="I4465" s="14" t="n">
        <v>9.5</v>
      </c>
      <c r="J4465" s="22" t="n">
        <f aca="false">IF(E4465="Priority",'Cost model'!N380,'Cost model'!M380)</f>
        <v>8.5</v>
      </c>
      <c r="K4465" s="14" t="n">
        <f aca="false">J4465-H4465</f>
        <v>-0.0500000000000007</v>
      </c>
      <c r="L4465" s="14" t="n">
        <f aca="false">G4465-H4465</f>
        <v>0.949999999999999</v>
      </c>
    </row>
    <row r="4466" customFormat="false" ht="15" hidden="false" customHeight="false" outlineLevel="0" collapsed="false">
      <c r="A4466" s="2" t="s">
        <v>125</v>
      </c>
      <c r="B4466" s="2" t="s">
        <v>146</v>
      </c>
      <c r="C4466" s="2" t="s">
        <v>48</v>
      </c>
      <c r="D4466" s="2" t="s">
        <v>10</v>
      </c>
      <c r="E4466" s="2" t="s">
        <v>76</v>
      </c>
      <c r="F4466" s="2" t="s">
        <v>1146</v>
      </c>
      <c r="G4466" s="14" t="n">
        <v>14.5</v>
      </c>
      <c r="H4466" s="14" t="n">
        <v>16.84</v>
      </c>
      <c r="I4466" s="14" t="n">
        <v>14.5</v>
      </c>
      <c r="J4466" s="22" t="n">
        <f aca="false">IF(E4466="Priority",'Cost model'!N20,'Cost model'!M20)</f>
        <v>13.5</v>
      </c>
      <c r="K4466" s="14" t="n">
        <f aca="false">J4466-H4466</f>
        <v>-3.34</v>
      </c>
      <c r="L4466" s="14" t="n">
        <f aca="false">G4466-H4466</f>
        <v>-2.34</v>
      </c>
    </row>
    <row r="4467" customFormat="false" ht="15" hidden="false" customHeight="false" outlineLevel="0" collapsed="false">
      <c r="A4467" s="2" t="s">
        <v>165</v>
      </c>
      <c r="B4467" s="2" t="s">
        <v>165</v>
      </c>
      <c r="C4467" s="2" t="s">
        <v>50</v>
      </c>
      <c r="D4467" s="2" t="s">
        <v>12</v>
      </c>
      <c r="E4467" s="2" t="s">
        <v>76</v>
      </c>
      <c r="F4467" s="2" t="s">
        <v>1145</v>
      </c>
      <c r="G4467" s="14" t="n">
        <v>19.5</v>
      </c>
      <c r="H4467" s="14" t="n">
        <v>21.14</v>
      </c>
      <c r="I4467" s="14" t="n">
        <v>19.5</v>
      </c>
      <c r="J4467" s="22" t="n">
        <f aca="false">IF(E4467="Priority",'Cost model'!N511,'Cost model'!M511)</f>
        <v>35</v>
      </c>
      <c r="K4467" s="14" t="n">
        <f aca="false">J4467-H4467</f>
        <v>13.86</v>
      </c>
      <c r="L4467" s="14" t="n">
        <f aca="false">G4467-H4467</f>
        <v>-1.64</v>
      </c>
    </row>
    <row r="4468" customFormat="false" ht="15" hidden="false" customHeight="false" outlineLevel="0" collapsed="false">
      <c r="A4468" s="2" t="s">
        <v>146</v>
      </c>
      <c r="B4468" s="2" t="s">
        <v>146</v>
      </c>
      <c r="C4468" s="2" t="s">
        <v>50</v>
      </c>
      <c r="D4468" s="2" t="s">
        <v>13</v>
      </c>
      <c r="E4468" s="2" t="s">
        <v>76</v>
      </c>
      <c r="F4468" s="2" t="s">
        <v>1145</v>
      </c>
      <c r="G4468" s="14" t="n">
        <v>50</v>
      </c>
      <c r="H4468" s="14" t="n">
        <v>83.82</v>
      </c>
      <c r="I4468" s="14" t="n">
        <v>50</v>
      </c>
      <c r="J4468" s="22" t="n">
        <f aca="false">IF(E4468="Priority",'Cost model'!N766,'Cost model'!M766)</f>
        <v>90</v>
      </c>
      <c r="K4468" s="14" t="n">
        <f aca="false">J4468-H4468</f>
        <v>6.18000000000001</v>
      </c>
      <c r="L4468" s="14" t="n">
        <f aca="false">G4468-H4468</f>
        <v>-33.82</v>
      </c>
    </row>
    <row r="4469" customFormat="false" ht="15" hidden="false" customHeight="false" outlineLevel="0" collapsed="false">
      <c r="A4469" s="2" t="s">
        <v>146</v>
      </c>
      <c r="B4469" s="2" t="s">
        <v>146</v>
      </c>
      <c r="C4469" s="2" t="s">
        <v>48</v>
      </c>
      <c r="D4469" s="2" t="s">
        <v>10</v>
      </c>
      <c r="E4469" s="2" t="s">
        <v>76</v>
      </c>
      <c r="F4469" s="2" t="s">
        <v>1145</v>
      </c>
      <c r="G4469" s="14" t="n">
        <v>9.5</v>
      </c>
      <c r="H4469" s="14" t="n">
        <v>7.98</v>
      </c>
      <c r="I4469" s="14" t="n">
        <v>9.5</v>
      </c>
      <c r="J4469" s="22" t="n">
        <f aca="false">IF(E4469="Priority",'Cost model'!N758,'Cost model'!M758)</f>
        <v>9.5</v>
      </c>
      <c r="K4469" s="14" t="n">
        <f aca="false">J4469-H4469</f>
        <v>1.52</v>
      </c>
      <c r="L4469" s="14" t="n">
        <f aca="false">G4469-H4469</f>
        <v>1.52</v>
      </c>
    </row>
    <row r="4470" customFormat="false" ht="15" hidden="false" customHeight="false" outlineLevel="0" collapsed="false">
      <c r="A4470" s="2" t="s">
        <v>184</v>
      </c>
      <c r="B4470" s="2" t="s">
        <v>184</v>
      </c>
      <c r="C4470" s="2" t="s">
        <v>50</v>
      </c>
      <c r="D4470" s="2" t="s">
        <v>13</v>
      </c>
      <c r="E4470" s="2" t="s">
        <v>76</v>
      </c>
      <c r="F4470" s="2" t="s">
        <v>1145</v>
      </c>
      <c r="G4470" s="14" t="n">
        <v>50</v>
      </c>
      <c r="H4470" s="14" t="n">
        <v>45.74</v>
      </c>
      <c r="I4470" s="14" t="n">
        <v>50</v>
      </c>
      <c r="J4470" s="22" t="n">
        <f aca="false">IF(E4470="Priority",'Cost model'!N208,'Cost model'!M208)</f>
        <v>80</v>
      </c>
      <c r="K4470" s="14" t="n">
        <f aca="false">J4470-H4470</f>
        <v>34.26</v>
      </c>
      <c r="L4470" s="14" t="n">
        <f aca="false">G4470-H4470</f>
        <v>4.26</v>
      </c>
    </row>
    <row r="4471" customFormat="false" ht="15" hidden="false" customHeight="false" outlineLevel="0" collapsed="false">
      <c r="A4471" s="2" t="s">
        <v>184</v>
      </c>
      <c r="B4471" s="2" t="s">
        <v>184</v>
      </c>
      <c r="C4471" s="2" t="s">
        <v>48</v>
      </c>
      <c r="D4471" s="2" t="s">
        <v>10</v>
      </c>
      <c r="E4471" s="2" t="s">
        <v>76</v>
      </c>
      <c r="F4471" s="2" t="s">
        <v>1145</v>
      </c>
      <c r="G4471" s="14" t="n">
        <v>9.5</v>
      </c>
      <c r="H4471" s="14" t="n">
        <v>7.72</v>
      </c>
      <c r="I4471" s="14" t="n">
        <v>9.5</v>
      </c>
      <c r="J4471" s="22" t="n">
        <f aca="false">IF(E4471="Priority",'Cost model'!N200,'Cost model'!M200)</f>
        <v>7.5</v>
      </c>
      <c r="K4471" s="14" t="n">
        <f aca="false">J4471-H4471</f>
        <v>-0.22</v>
      </c>
      <c r="L4471" s="14" t="n">
        <f aca="false">G4471-H4471</f>
        <v>1.78</v>
      </c>
    </row>
    <row r="4472" customFormat="false" ht="15" hidden="false" customHeight="false" outlineLevel="0" collapsed="false">
      <c r="A4472" s="2" t="s">
        <v>146</v>
      </c>
      <c r="B4472" s="2" t="s">
        <v>146</v>
      </c>
      <c r="C4472" s="2" t="s">
        <v>49</v>
      </c>
      <c r="D4472" s="2" t="s">
        <v>12</v>
      </c>
      <c r="E4472" s="2" t="s">
        <v>76</v>
      </c>
      <c r="F4472" s="2" t="s">
        <v>1145</v>
      </c>
      <c r="G4472" s="14" t="n">
        <v>12.5</v>
      </c>
      <c r="H4472" s="14" t="n">
        <v>14.39</v>
      </c>
      <c r="I4472" s="14" t="n">
        <v>12.5</v>
      </c>
      <c r="J4472" s="22" t="n">
        <f aca="false">IF(E4472="Priority",'Cost model'!N762,'Cost model'!M762)</f>
        <v>45</v>
      </c>
      <c r="K4472" s="14" t="n">
        <f aca="false">J4472-H4472</f>
        <v>30.61</v>
      </c>
      <c r="L4472" s="14" t="n">
        <f aca="false">G4472-H4472</f>
        <v>-1.89</v>
      </c>
    </row>
    <row r="4473" customFormat="false" ht="15" hidden="false" customHeight="false" outlineLevel="0" collapsed="false">
      <c r="A4473" s="2" t="s">
        <v>146</v>
      </c>
      <c r="B4473" s="2" t="s">
        <v>146</v>
      </c>
      <c r="C4473" s="2" t="s">
        <v>49</v>
      </c>
      <c r="D4473" s="2" t="s">
        <v>10</v>
      </c>
      <c r="E4473" s="2" t="s">
        <v>76</v>
      </c>
      <c r="F4473" s="2" t="s">
        <v>1145</v>
      </c>
      <c r="G4473" s="14" t="n">
        <v>12.5</v>
      </c>
      <c r="H4473" s="14" t="n">
        <v>15.39</v>
      </c>
      <c r="I4473" s="14" t="n">
        <v>12.5</v>
      </c>
      <c r="J4473" s="22" t="n">
        <f aca="false">IF(E4473="Priority",'Cost model'!N759,'Cost model'!M759)</f>
        <v>15.5</v>
      </c>
      <c r="K4473" s="14" t="n">
        <f aca="false">J4473-H4473</f>
        <v>0.109999999999999</v>
      </c>
      <c r="L4473" s="14" t="n">
        <f aca="false">G4473-H4473</f>
        <v>-2.89</v>
      </c>
    </row>
    <row r="4474" customFormat="false" ht="15" hidden="false" customHeight="false" outlineLevel="0" collapsed="false">
      <c r="A4474" s="2" t="s">
        <v>146</v>
      </c>
      <c r="B4474" s="2" t="s">
        <v>146</v>
      </c>
      <c r="C4474" s="2" t="s">
        <v>48</v>
      </c>
      <c r="D4474" s="2" t="s">
        <v>12</v>
      </c>
      <c r="E4474" s="2" t="s">
        <v>76</v>
      </c>
      <c r="F4474" s="2" t="s">
        <v>1145</v>
      </c>
      <c r="G4474" s="14" t="n">
        <v>9.5</v>
      </c>
      <c r="H4474" s="14" t="n">
        <v>43.77</v>
      </c>
      <c r="I4474" s="14" t="n">
        <v>9.5</v>
      </c>
      <c r="J4474" s="22" t="n">
        <f aca="false">IF(E4474="Priority",'Cost model'!N761,'Cost model'!M761)</f>
        <v>35</v>
      </c>
      <c r="K4474" s="14" t="n">
        <f aca="false">J4474-H4474</f>
        <v>-8.77</v>
      </c>
      <c r="L4474" s="14" t="n">
        <f aca="false">G4474-H4474</f>
        <v>-34.27</v>
      </c>
    </row>
    <row r="4475" customFormat="false" ht="15" hidden="false" customHeight="false" outlineLevel="0" collapsed="false">
      <c r="A4475" s="2" t="s">
        <v>184</v>
      </c>
      <c r="B4475" s="2" t="s">
        <v>221</v>
      </c>
      <c r="C4475" s="2" t="s">
        <v>49</v>
      </c>
      <c r="D4475" s="2" t="s">
        <v>12</v>
      </c>
      <c r="E4475" s="2" t="s">
        <v>76</v>
      </c>
      <c r="F4475" s="2" t="s">
        <v>1146</v>
      </c>
      <c r="G4475" s="14" t="n">
        <v>12.5</v>
      </c>
      <c r="H4475" s="14" t="n">
        <v>83.2</v>
      </c>
      <c r="I4475" s="14" t="n">
        <v>24.5</v>
      </c>
      <c r="J4475" s="22" t="n">
        <f aca="false">IF(E4475="Priority",'Cost model'!N222,'Cost model'!M222)</f>
        <v>60</v>
      </c>
      <c r="K4475" s="14" t="n">
        <f aca="false">J4475-H4475</f>
        <v>-23.2</v>
      </c>
      <c r="L4475" s="14" t="n">
        <f aca="false">G4475-H4475</f>
        <v>-70.7</v>
      </c>
    </row>
    <row r="4476" customFormat="false" ht="15" hidden="false" customHeight="false" outlineLevel="0" collapsed="false">
      <c r="A4476" s="2" t="s">
        <v>165</v>
      </c>
      <c r="B4476" s="2" t="s">
        <v>165</v>
      </c>
      <c r="C4476" s="2" t="s">
        <v>48</v>
      </c>
      <c r="D4476" s="2" t="s">
        <v>10</v>
      </c>
      <c r="E4476" s="2" t="s">
        <v>85</v>
      </c>
      <c r="F4476" s="2" t="s">
        <v>1145</v>
      </c>
      <c r="G4476" s="14" t="n">
        <v>14.5</v>
      </c>
      <c r="H4476" s="14" t="n">
        <v>7.34</v>
      </c>
      <c r="I4476" s="14" t="n">
        <v>14.5</v>
      </c>
      <c r="J4476" s="22" t="n">
        <f aca="false">IF(E4476="Priority",'Cost model'!N506,'Cost model'!M506)</f>
        <v>12.5</v>
      </c>
      <c r="K4476" s="14" t="n">
        <f aca="false">J4476-H4476</f>
        <v>5.16</v>
      </c>
      <c r="L4476" s="14" t="n">
        <f aca="false">G4476-H4476</f>
        <v>7.16</v>
      </c>
    </row>
    <row r="4477" customFormat="false" ht="15" hidden="false" customHeight="false" outlineLevel="0" collapsed="false">
      <c r="A4477" s="2" t="s">
        <v>240</v>
      </c>
      <c r="B4477" s="2" t="s">
        <v>165</v>
      </c>
      <c r="C4477" s="2" t="s">
        <v>48</v>
      </c>
      <c r="D4477" s="2" t="s">
        <v>10</v>
      </c>
      <c r="E4477" s="2" t="s">
        <v>85</v>
      </c>
      <c r="F4477" s="2" t="s">
        <v>1146</v>
      </c>
      <c r="G4477" s="14" t="n">
        <v>19.5</v>
      </c>
      <c r="H4477" s="14" t="n">
        <v>15.17</v>
      </c>
      <c r="I4477" s="14" t="n">
        <v>19.5</v>
      </c>
      <c r="J4477" s="22" t="n">
        <f aca="false">IF(E4477="Priority",'Cost model'!N902,'Cost model'!M902)</f>
        <v>18.5</v>
      </c>
      <c r="K4477" s="14" t="n">
        <f aca="false">J4477-H4477</f>
        <v>3.33</v>
      </c>
      <c r="L4477" s="14" t="n">
        <f aca="false">G4477-H4477</f>
        <v>4.33</v>
      </c>
    </row>
    <row r="4478" customFormat="false" ht="15" hidden="false" customHeight="false" outlineLevel="0" collapsed="false">
      <c r="A4478" s="2" t="s">
        <v>240</v>
      </c>
      <c r="B4478" s="2" t="s">
        <v>240</v>
      </c>
      <c r="C4478" s="2" t="s">
        <v>48</v>
      </c>
      <c r="D4478" s="2" t="s">
        <v>10</v>
      </c>
      <c r="E4478" s="2" t="s">
        <v>76</v>
      </c>
      <c r="F4478" s="2" t="s">
        <v>1145</v>
      </c>
      <c r="G4478" s="14" t="n">
        <v>9.5</v>
      </c>
      <c r="H4478" s="14" t="n">
        <v>26.04</v>
      </c>
      <c r="I4478" s="14" t="n">
        <v>9.5</v>
      </c>
      <c r="J4478" s="22" t="n">
        <f aca="false">IF(E4478="Priority",'Cost model'!N884,'Cost model'!M884)</f>
        <v>7.5</v>
      </c>
      <c r="K4478" s="14" t="n">
        <f aca="false">J4478-H4478</f>
        <v>-18.54</v>
      </c>
      <c r="L4478" s="14" t="n">
        <f aca="false">G4478-H4478</f>
        <v>-16.54</v>
      </c>
    </row>
    <row r="4479" customFormat="false" ht="15" hidden="false" customHeight="false" outlineLevel="0" collapsed="false">
      <c r="A4479" s="2" t="s">
        <v>184</v>
      </c>
      <c r="B4479" s="2" t="s">
        <v>184</v>
      </c>
      <c r="C4479" s="2" t="s">
        <v>49</v>
      </c>
      <c r="D4479" s="2" t="s">
        <v>12</v>
      </c>
      <c r="E4479" s="2" t="s">
        <v>76</v>
      </c>
      <c r="F4479" s="2" t="s">
        <v>1145</v>
      </c>
      <c r="G4479" s="14" t="n">
        <v>12.5</v>
      </c>
      <c r="H4479" s="14" t="n">
        <v>63.2</v>
      </c>
      <c r="I4479" s="14"/>
      <c r="J4479" s="22" t="n">
        <f aca="false">IF(E4479="Priority",'Cost model'!N204,'Cost model'!M204)</f>
        <v>45</v>
      </c>
      <c r="K4479" s="14" t="n">
        <f aca="false">J4479-H4479</f>
        <v>-18.2</v>
      </c>
      <c r="L4479" s="14" t="n">
        <f aca="false">G4479-H4479</f>
        <v>-50.7</v>
      </c>
    </row>
    <row r="4480" customFormat="false" ht="15" hidden="false" customHeight="false" outlineLevel="0" collapsed="false">
      <c r="A4480" s="2" t="s">
        <v>126</v>
      </c>
      <c r="B4480" s="2" t="s">
        <v>126</v>
      </c>
      <c r="C4480" s="2" t="s">
        <v>50</v>
      </c>
      <c r="D4480" s="2" t="s">
        <v>12</v>
      </c>
      <c r="E4480" s="2" t="s">
        <v>76</v>
      </c>
      <c r="F4480" s="2" t="s">
        <v>1145</v>
      </c>
      <c r="G4480" s="14" t="n">
        <v>19.5</v>
      </c>
      <c r="H4480" s="14" t="n">
        <v>41.77</v>
      </c>
      <c r="I4480" s="14" t="n">
        <v>19.5</v>
      </c>
      <c r="J4480" s="22" t="n">
        <f aca="false">IF(E4480="Priority",'Cost model'!N385,'Cost model'!M385)</f>
        <v>55</v>
      </c>
      <c r="K4480" s="14" t="n">
        <f aca="false">J4480-H4480</f>
        <v>13.23</v>
      </c>
      <c r="L4480" s="14" t="n">
        <f aca="false">G4480-H4480</f>
        <v>-22.27</v>
      </c>
    </row>
    <row r="4481" customFormat="false" ht="15" hidden="false" customHeight="false" outlineLevel="0" collapsed="false">
      <c r="A4481" s="2" t="s">
        <v>184</v>
      </c>
      <c r="B4481" s="2" t="s">
        <v>184</v>
      </c>
      <c r="C4481" s="2" t="s">
        <v>50</v>
      </c>
      <c r="D4481" s="2" t="s">
        <v>12</v>
      </c>
      <c r="E4481" s="2" t="s">
        <v>76</v>
      </c>
      <c r="F4481" s="2" t="s">
        <v>1145</v>
      </c>
      <c r="G4481" s="14" t="n">
        <v>19.5</v>
      </c>
      <c r="H4481" s="14" t="n">
        <v>47.53</v>
      </c>
      <c r="I4481" s="14" t="n">
        <v>19.5</v>
      </c>
      <c r="J4481" s="22" t="n">
        <f aca="false">IF(E4481="Priority",'Cost model'!N205,'Cost model'!M205)</f>
        <v>50</v>
      </c>
      <c r="K4481" s="14" t="n">
        <f aca="false">J4481-H4481</f>
        <v>2.47</v>
      </c>
      <c r="L4481" s="14" t="n">
        <f aca="false">G4481-H4481</f>
        <v>-28.03</v>
      </c>
    </row>
    <row r="4482" customFormat="false" ht="15" hidden="false" customHeight="false" outlineLevel="0" collapsed="false">
      <c r="A4482" s="2" t="s">
        <v>146</v>
      </c>
      <c r="B4482" s="2" t="s">
        <v>146</v>
      </c>
      <c r="C4482" s="2" t="s">
        <v>49</v>
      </c>
      <c r="D4482" s="2" t="s">
        <v>12</v>
      </c>
      <c r="E4482" s="2" t="s">
        <v>76</v>
      </c>
      <c r="F4482" s="2" t="s">
        <v>1145</v>
      </c>
      <c r="G4482" s="14" t="n">
        <v>12.5</v>
      </c>
      <c r="H4482" s="14" t="n">
        <v>51.54</v>
      </c>
      <c r="I4482" s="14" t="n">
        <v>12.5</v>
      </c>
      <c r="J4482" s="22" t="n">
        <f aca="false">IF(E4482="Priority",'Cost model'!N762,'Cost model'!M762)</f>
        <v>45</v>
      </c>
      <c r="K4482" s="14" t="n">
        <f aca="false">J4482-H4482</f>
        <v>-6.54</v>
      </c>
      <c r="L4482" s="14" t="n">
        <f aca="false">G4482-H4482</f>
        <v>-39.04</v>
      </c>
    </row>
    <row r="4483" customFormat="false" ht="15" hidden="false" customHeight="false" outlineLevel="0" collapsed="false">
      <c r="A4483" s="2" t="s">
        <v>240</v>
      </c>
      <c r="B4483" s="2" t="s">
        <v>240</v>
      </c>
      <c r="C4483" s="2" t="s">
        <v>48</v>
      </c>
      <c r="D4483" s="2" t="s">
        <v>10</v>
      </c>
      <c r="E4483" s="2" t="s">
        <v>76</v>
      </c>
      <c r="F4483" s="2" t="s">
        <v>1145</v>
      </c>
      <c r="G4483" s="14" t="n">
        <v>9.5</v>
      </c>
      <c r="H4483" s="14" t="n">
        <v>5.21</v>
      </c>
      <c r="I4483" s="14" t="n">
        <v>9.5</v>
      </c>
      <c r="J4483" s="22" t="n">
        <f aca="false">IF(E4483="Priority",'Cost model'!N884,'Cost model'!M884)</f>
        <v>7.5</v>
      </c>
      <c r="K4483" s="14" t="n">
        <f aca="false">J4483-H4483</f>
        <v>2.29</v>
      </c>
      <c r="L4483" s="14" t="n">
        <f aca="false">G4483-H4483</f>
        <v>4.29</v>
      </c>
    </row>
    <row r="4484" customFormat="false" ht="15" hidden="false" customHeight="false" outlineLevel="0" collapsed="false">
      <c r="A4484" s="2" t="s">
        <v>221</v>
      </c>
      <c r="B4484" s="2" t="s">
        <v>146</v>
      </c>
      <c r="C4484" s="2" t="s">
        <v>48</v>
      </c>
      <c r="D4484" s="2" t="s">
        <v>10</v>
      </c>
      <c r="E4484" s="2" t="s">
        <v>76</v>
      </c>
      <c r="F4484" s="2" t="s">
        <v>1146</v>
      </c>
      <c r="G4484" s="14" t="n">
        <v>14.5</v>
      </c>
      <c r="H4484" s="14" t="n">
        <v>9.71</v>
      </c>
      <c r="I4484" s="14" t="n">
        <v>14.5</v>
      </c>
      <c r="J4484" s="22" t="n">
        <f aca="false">IF(E4484="Priority",'Cost model'!N650,'Cost model'!M650)</f>
        <v>16.5</v>
      </c>
      <c r="K4484" s="14" t="n">
        <f aca="false">J4484-H4484</f>
        <v>6.79</v>
      </c>
      <c r="L4484" s="14" t="n">
        <f aca="false">G4484-H4484</f>
        <v>4.79</v>
      </c>
    </row>
    <row r="4485" customFormat="false" ht="15" hidden="false" customHeight="false" outlineLevel="0" collapsed="false">
      <c r="A4485" s="2" t="s">
        <v>184</v>
      </c>
      <c r="B4485" s="2" t="s">
        <v>146</v>
      </c>
      <c r="C4485" s="2" t="s">
        <v>49</v>
      </c>
      <c r="D4485" s="2" t="s">
        <v>12</v>
      </c>
      <c r="E4485" s="2" t="s">
        <v>76</v>
      </c>
      <c r="F4485" s="2" t="s">
        <v>1146</v>
      </c>
      <c r="G4485" s="14" t="n">
        <v>12.5</v>
      </c>
      <c r="H4485" s="14" t="n">
        <v>47.7</v>
      </c>
      <c r="I4485" s="14"/>
      <c r="J4485" s="22" t="n">
        <f aca="false">IF(E4485="Priority",'Cost model'!N150,'Cost model'!M150)</f>
        <v>55</v>
      </c>
      <c r="K4485" s="14" t="n">
        <f aca="false">J4485-H4485</f>
        <v>7.3</v>
      </c>
      <c r="L4485" s="14" t="n">
        <f aca="false">G4485-H4485</f>
        <v>-35.2</v>
      </c>
    </row>
    <row r="4486" customFormat="false" ht="15" hidden="false" customHeight="false" outlineLevel="0" collapsed="false">
      <c r="A4486" s="2" t="s">
        <v>184</v>
      </c>
      <c r="B4486" s="2" t="s">
        <v>240</v>
      </c>
      <c r="C4486" s="2" t="s">
        <v>48</v>
      </c>
      <c r="D4486" s="2" t="s">
        <v>10</v>
      </c>
      <c r="E4486" s="2" t="s">
        <v>76</v>
      </c>
      <c r="F4486" s="2" t="s">
        <v>1146</v>
      </c>
      <c r="G4486" s="14" t="n">
        <v>19.5</v>
      </c>
      <c r="H4486" s="14" t="n">
        <v>13.11</v>
      </c>
      <c r="I4486" s="14" t="n">
        <v>19.5</v>
      </c>
      <c r="J4486" s="22" t="n">
        <f aca="false">IF(E4486="Priority",'Cost model'!N182,'Cost model'!M182)</f>
        <v>15.5</v>
      </c>
      <c r="K4486" s="14" t="n">
        <f aca="false">J4486-H4486</f>
        <v>2.39</v>
      </c>
      <c r="L4486" s="14" t="n">
        <f aca="false">G4486-H4486</f>
        <v>6.39</v>
      </c>
    </row>
    <row r="4487" customFormat="false" ht="15" hidden="false" customHeight="false" outlineLevel="0" collapsed="false">
      <c r="A4487" s="2" t="s">
        <v>184</v>
      </c>
      <c r="B4487" s="2" t="s">
        <v>184</v>
      </c>
      <c r="C4487" s="2" t="s">
        <v>50</v>
      </c>
      <c r="D4487" s="2" t="s">
        <v>10</v>
      </c>
      <c r="E4487" s="2" t="s">
        <v>76</v>
      </c>
      <c r="F4487" s="2" t="s">
        <v>1145</v>
      </c>
      <c r="G4487" s="14" t="n">
        <v>17.5</v>
      </c>
      <c r="H4487" s="14" t="n">
        <v>24.72</v>
      </c>
      <c r="I4487" s="14" t="n">
        <v>17.5</v>
      </c>
      <c r="J4487" s="22" t="n">
        <f aca="false">IF(E4487="Priority",'Cost model'!N202,'Cost model'!M202)</f>
        <v>17.5</v>
      </c>
      <c r="K4487" s="14" t="n">
        <f aca="false">J4487-H4487</f>
        <v>-7.22</v>
      </c>
      <c r="L4487" s="14" t="n">
        <f aca="false">G4487-H4487</f>
        <v>-7.22</v>
      </c>
    </row>
    <row r="4488" customFormat="false" ht="15" hidden="false" customHeight="false" outlineLevel="0" collapsed="false">
      <c r="A4488" s="2" t="s">
        <v>126</v>
      </c>
      <c r="B4488" s="2" t="s">
        <v>126</v>
      </c>
      <c r="C4488" s="2" t="s">
        <v>48</v>
      </c>
      <c r="D4488" s="2" t="s">
        <v>10</v>
      </c>
      <c r="E4488" s="2" t="s">
        <v>76</v>
      </c>
      <c r="F4488" s="2" t="s">
        <v>1145</v>
      </c>
      <c r="G4488" s="14" t="n">
        <v>9.5</v>
      </c>
      <c r="H4488" s="14" t="n">
        <v>5.95</v>
      </c>
      <c r="I4488" s="14" t="n">
        <v>9.5</v>
      </c>
      <c r="J4488" s="22" t="n">
        <f aca="false">IF(E4488="Priority",'Cost model'!N380,'Cost model'!M380)</f>
        <v>8.5</v>
      </c>
      <c r="K4488" s="14" t="n">
        <f aca="false">J4488-H4488</f>
        <v>2.55</v>
      </c>
      <c r="L4488" s="14" t="n">
        <f aca="false">G4488-H4488</f>
        <v>3.55</v>
      </c>
    </row>
    <row r="4489" customFormat="false" ht="15" hidden="false" customHeight="false" outlineLevel="0" collapsed="false">
      <c r="A4489" s="2" t="s">
        <v>126</v>
      </c>
      <c r="B4489" s="2" t="s">
        <v>126</v>
      </c>
      <c r="C4489" s="2" t="s">
        <v>48</v>
      </c>
      <c r="D4489" s="2" t="s">
        <v>12</v>
      </c>
      <c r="E4489" s="2" t="s">
        <v>76</v>
      </c>
      <c r="F4489" s="2" t="s">
        <v>1145</v>
      </c>
      <c r="G4489" s="14" t="n">
        <v>9.5</v>
      </c>
      <c r="H4489" s="14" t="n">
        <v>25.65</v>
      </c>
      <c r="I4489" s="14" t="n">
        <v>9.5</v>
      </c>
      <c r="J4489" s="22" t="n">
        <f aca="false">IF(E4489="Priority",'Cost model'!N383,'Cost model'!M383)</f>
        <v>27.5</v>
      </c>
      <c r="K4489" s="14" t="n">
        <f aca="false">J4489-H4489</f>
        <v>1.85</v>
      </c>
      <c r="L4489" s="14" t="n">
        <f aca="false">G4489-H4489</f>
        <v>-16.15</v>
      </c>
    </row>
    <row r="4490" customFormat="false" ht="15" hidden="false" customHeight="false" outlineLevel="0" collapsed="false">
      <c r="A4490" s="2" t="s">
        <v>184</v>
      </c>
      <c r="B4490" s="2" t="s">
        <v>125</v>
      </c>
      <c r="C4490" s="2" t="s">
        <v>50</v>
      </c>
      <c r="D4490" s="2" t="s">
        <v>10</v>
      </c>
      <c r="E4490" s="2" t="s">
        <v>76</v>
      </c>
      <c r="F4490" s="2" t="s">
        <v>1146</v>
      </c>
      <c r="G4490" s="14" t="n">
        <v>24.5</v>
      </c>
      <c r="H4490" s="14" t="n">
        <v>11.03</v>
      </c>
      <c r="I4490" s="14" t="n">
        <v>19.5</v>
      </c>
      <c r="J4490" s="22" t="n">
        <f aca="false">IF(E4490="Priority",'Cost model'!N238,'Cost model'!M238)</f>
        <v>22.5</v>
      </c>
      <c r="K4490" s="14" t="n">
        <f aca="false">J4490-H4490</f>
        <v>11.47</v>
      </c>
      <c r="L4490" s="14" t="n">
        <f aca="false">G4490-H4490</f>
        <v>13.47</v>
      </c>
    </row>
    <row r="4491" customFormat="false" ht="15" hidden="false" customHeight="false" outlineLevel="0" collapsed="false">
      <c r="A4491" s="2" t="s">
        <v>240</v>
      </c>
      <c r="B4491" s="2" t="s">
        <v>240</v>
      </c>
      <c r="C4491" s="2" t="s">
        <v>50</v>
      </c>
      <c r="D4491" s="2" t="s">
        <v>12</v>
      </c>
      <c r="E4491" s="2" t="s">
        <v>76</v>
      </c>
      <c r="F4491" s="2" t="s">
        <v>1145</v>
      </c>
      <c r="G4491" s="14" t="n">
        <v>19.5</v>
      </c>
      <c r="H4491" s="14" t="n">
        <v>36.33</v>
      </c>
      <c r="I4491" s="14" t="n">
        <v>19.5</v>
      </c>
      <c r="J4491" s="22" t="n">
        <f aca="false">IF(E4491="Priority",'Cost model'!N889,'Cost model'!M889)</f>
        <v>60</v>
      </c>
      <c r="K4491" s="14" t="n">
        <f aca="false">J4491-H4491</f>
        <v>23.67</v>
      </c>
      <c r="L4491" s="14" t="n">
        <f aca="false">G4491-H4491</f>
        <v>-16.83</v>
      </c>
    </row>
    <row r="4492" customFormat="false" ht="15" hidden="false" customHeight="false" outlineLevel="0" collapsed="false">
      <c r="A4492" s="2" t="s">
        <v>184</v>
      </c>
      <c r="B4492" s="2" t="s">
        <v>184</v>
      </c>
      <c r="C4492" s="2" t="s">
        <v>48</v>
      </c>
      <c r="D4492" s="2" t="s">
        <v>12</v>
      </c>
      <c r="E4492" s="2" t="s">
        <v>76</v>
      </c>
      <c r="F4492" s="2" t="s">
        <v>1145</v>
      </c>
      <c r="G4492" s="14" t="n">
        <v>9.5</v>
      </c>
      <c r="H4492" s="14" t="n">
        <v>29.85</v>
      </c>
      <c r="I4492" s="14" t="n">
        <v>9.5</v>
      </c>
      <c r="J4492" s="22" t="n">
        <f aca="false">IF(E4492="Priority",'Cost model'!N203,'Cost model'!M203)</f>
        <v>26.5</v>
      </c>
      <c r="K4492" s="14" t="n">
        <f aca="false">J4492-H4492</f>
        <v>-3.35</v>
      </c>
      <c r="L4492" s="14" t="n">
        <f aca="false">G4492-H4492</f>
        <v>-20.35</v>
      </c>
    </row>
    <row r="4493" customFormat="false" ht="15" hidden="false" customHeight="false" outlineLevel="0" collapsed="false">
      <c r="A4493" s="2" t="s">
        <v>146</v>
      </c>
      <c r="B4493" s="2" t="s">
        <v>240</v>
      </c>
      <c r="C4493" s="2" t="s">
        <v>48</v>
      </c>
      <c r="D4493" s="2" t="s">
        <v>10</v>
      </c>
      <c r="E4493" s="2" t="s">
        <v>76</v>
      </c>
      <c r="F4493" s="2" t="s">
        <v>1146</v>
      </c>
      <c r="G4493" s="14" t="n">
        <v>14.5</v>
      </c>
      <c r="H4493" s="14" t="n">
        <v>11.41</v>
      </c>
      <c r="I4493" s="14" t="n">
        <v>19.5</v>
      </c>
      <c r="J4493" s="22" t="n">
        <f aca="false">IF(E4493="Priority",'Cost model'!N812,'Cost model'!M812)</f>
        <v>12.5</v>
      </c>
      <c r="K4493" s="14" t="n">
        <f aca="false">J4493-H4493</f>
        <v>1.09</v>
      </c>
      <c r="L4493" s="14" t="n">
        <f aca="false">G4493-H4493</f>
        <v>3.09</v>
      </c>
    </row>
    <row r="4494" customFormat="false" ht="15" hidden="false" customHeight="false" outlineLevel="0" collapsed="false">
      <c r="A4494" s="2" t="s">
        <v>221</v>
      </c>
      <c r="B4494" s="2" t="s">
        <v>221</v>
      </c>
      <c r="C4494" s="2" t="s">
        <v>49</v>
      </c>
      <c r="D4494" s="2" t="s">
        <v>12</v>
      </c>
      <c r="E4494" s="2" t="s">
        <v>85</v>
      </c>
      <c r="F4494" s="2" t="s">
        <v>1145</v>
      </c>
      <c r="G4494" s="14" t="n">
        <v>19.5</v>
      </c>
      <c r="H4494" s="14" t="n">
        <v>69.51</v>
      </c>
      <c r="I4494" s="14" t="n">
        <v>19.5</v>
      </c>
      <c r="J4494" s="22" t="n">
        <f aca="false">IF(E4494="Priority",'Cost model'!N636,'Cost model'!M636)</f>
        <v>70</v>
      </c>
      <c r="K4494" s="14" t="n">
        <f aca="false">J4494-H4494</f>
        <v>0.489999999999995</v>
      </c>
      <c r="L4494" s="14" t="n">
        <f aca="false">G4494-H4494</f>
        <v>-50.01</v>
      </c>
    </row>
    <row r="4495" customFormat="false" ht="15" hidden="false" customHeight="false" outlineLevel="0" collapsed="false">
      <c r="A4495" s="2" t="s">
        <v>146</v>
      </c>
      <c r="B4495" s="2" t="s">
        <v>165</v>
      </c>
      <c r="C4495" s="2" t="s">
        <v>48</v>
      </c>
      <c r="D4495" s="2" t="s">
        <v>12</v>
      </c>
      <c r="E4495" s="2" t="s">
        <v>76</v>
      </c>
      <c r="F4495" s="2" t="s">
        <v>1146</v>
      </c>
      <c r="G4495" s="14" t="n">
        <v>19.5</v>
      </c>
      <c r="H4495" s="14" t="n">
        <v>18.85</v>
      </c>
      <c r="I4495" s="14" t="n">
        <v>19.5</v>
      </c>
      <c r="J4495" s="22" t="n">
        <f aca="false">IF(E4495="Priority",'Cost model'!N779,'Cost model'!M779)</f>
        <v>50</v>
      </c>
      <c r="K4495" s="14" t="n">
        <f aca="false">J4495-H4495</f>
        <v>31.15</v>
      </c>
      <c r="L4495" s="14" t="n">
        <f aca="false">G4495-H4495</f>
        <v>0.649999999999999</v>
      </c>
    </row>
    <row r="4496" customFormat="false" ht="15" hidden="false" customHeight="false" outlineLevel="0" collapsed="false">
      <c r="A4496" s="2" t="s">
        <v>184</v>
      </c>
      <c r="B4496" s="2" t="s">
        <v>126</v>
      </c>
      <c r="C4496" s="2" t="s">
        <v>50</v>
      </c>
      <c r="D4496" s="2" t="s">
        <v>12</v>
      </c>
      <c r="E4496" s="2" t="s">
        <v>76</v>
      </c>
      <c r="F4496" s="2" t="s">
        <v>1146</v>
      </c>
      <c r="G4496" s="14" t="n">
        <v>19.5</v>
      </c>
      <c r="H4496" s="14" t="n">
        <v>41.18</v>
      </c>
      <c r="I4496" s="14" t="n">
        <v>19.5</v>
      </c>
      <c r="J4496" s="22" t="n">
        <f aca="false">IF(E4496="Priority",'Cost model'!N133,'Cost model'!M133)</f>
        <v>55</v>
      </c>
      <c r="K4496" s="14" t="n">
        <f aca="false">J4496-H4496</f>
        <v>13.82</v>
      </c>
      <c r="L4496" s="14" t="n">
        <f aca="false">G4496-H4496</f>
        <v>-21.68</v>
      </c>
    </row>
    <row r="4497" customFormat="false" ht="15" hidden="false" customHeight="false" outlineLevel="0" collapsed="false">
      <c r="A4497" s="2" t="s">
        <v>126</v>
      </c>
      <c r="B4497" s="2" t="s">
        <v>126</v>
      </c>
      <c r="C4497" s="2" t="s">
        <v>48</v>
      </c>
      <c r="D4497" s="2" t="s">
        <v>12</v>
      </c>
      <c r="E4497" s="2" t="s">
        <v>85</v>
      </c>
      <c r="F4497" s="2" t="s">
        <v>1145</v>
      </c>
      <c r="G4497" s="14" t="n">
        <v>19.5</v>
      </c>
      <c r="H4497" s="14" t="n">
        <v>44.21</v>
      </c>
      <c r="I4497" s="14" t="n">
        <v>19.5</v>
      </c>
      <c r="J4497" s="22" t="n">
        <f aca="false">IF(E4497="Priority",'Cost model'!N383,'Cost model'!M383)</f>
        <v>35</v>
      </c>
      <c r="K4497" s="14" t="n">
        <f aca="false">J4497-H4497</f>
        <v>-9.21</v>
      </c>
      <c r="L4497" s="14" t="n">
        <f aca="false">G4497-H4497</f>
        <v>-24.71</v>
      </c>
    </row>
    <row r="4498" customFormat="false" ht="15" hidden="false" customHeight="false" outlineLevel="0" collapsed="false">
      <c r="A4498" s="2" t="s">
        <v>125</v>
      </c>
      <c r="B4498" s="2" t="s">
        <v>125</v>
      </c>
      <c r="C4498" s="2" t="s">
        <v>48</v>
      </c>
      <c r="D4498" s="2" t="s">
        <v>12</v>
      </c>
      <c r="E4498" s="2" t="s">
        <v>76</v>
      </c>
      <c r="F4498" s="2" t="s">
        <v>1145</v>
      </c>
      <c r="G4498" s="14" t="n">
        <v>9.5</v>
      </c>
      <c r="H4498" s="14" t="n">
        <v>36.51</v>
      </c>
      <c r="I4498" s="14" t="n">
        <v>9.5</v>
      </c>
      <c r="J4498" s="22" t="n">
        <f aca="false">IF(E4498="Priority",'Cost model'!N77,'Cost model'!M77)</f>
        <v>50</v>
      </c>
      <c r="K4498" s="14" t="n">
        <f aca="false">J4498-H4498</f>
        <v>13.49</v>
      </c>
      <c r="L4498" s="14" t="n">
        <f aca="false">G4498-H4498</f>
        <v>-27.01</v>
      </c>
    </row>
    <row r="4499" customFormat="false" ht="15" hidden="false" customHeight="false" outlineLevel="0" collapsed="false">
      <c r="A4499" s="2" t="s">
        <v>126</v>
      </c>
      <c r="B4499" s="2" t="s">
        <v>126</v>
      </c>
      <c r="C4499" s="2" t="s">
        <v>49</v>
      </c>
      <c r="D4499" s="2" t="s">
        <v>10</v>
      </c>
      <c r="E4499" s="2" t="s">
        <v>76</v>
      </c>
      <c r="F4499" s="2" t="s">
        <v>1145</v>
      </c>
      <c r="G4499" s="14" t="n">
        <v>12.5</v>
      </c>
      <c r="H4499" s="14" t="n">
        <v>10.95</v>
      </c>
      <c r="I4499" s="14" t="n">
        <v>12.5</v>
      </c>
      <c r="J4499" s="22" t="n">
        <f aca="false">IF(E4499="Priority",'Cost model'!N381,'Cost model'!M381)</f>
        <v>14.5</v>
      </c>
      <c r="K4499" s="14" t="n">
        <f aca="false">J4499-H4499</f>
        <v>3.55</v>
      </c>
      <c r="L4499" s="14" t="n">
        <f aca="false">G4499-H4499</f>
        <v>1.55</v>
      </c>
    </row>
    <row r="4500" customFormat="false" ht="15" hidden="false" customHeight="false" outlineLevel="0" collapsed="false">
      <c r="A4500" s="2" t="s">
        <v>126</v>
      </c>
      <c r="B4500" s="2" t="s">
        <v>184</v>
      </c>
      <c r="C4500" s="2" t="s">
        <v>49</v>
      </c>
      <c r="D4500" s="2" t="s">
        <v>12</v>
      </c>
      <c r="E4500" s="2" t="s">
        <v>85</v>
      </c>
      <c r="F4500" s="2" t="s">
        <v>1146</v>
      </c>
      <c r="G4500" s="14" t="n">
        <v>24.5</v>
      </c>
      <c r="H4500" s="14" t="n">
        <v>50.13</v>
      </c>
      <c r="I4500" s="14" t="n">
        <v>24.5</v>
      </c>
      <c r="J4500" s="22" t="n">
        <f aca="false">IF(E4500="Priority",'Cost model'!N438,'Cost model'!M438)</f>
        <v>70</v>
      </c>
      <c r="K4500" s="14" t="n">
        <f aca="false">J4500-H4500</f>
        <v>19.87</v>
      </c>
      <c r="L4500" s="14" t="n">
        <f aca="false">G4500-H4500</f>
        <v>-25.63</v>
      </c>
    </row>
    <row r="4501" customFormat="false" ht="15" hidden="false" customHeight="false" outlineLevel="0" collapsed="false">
      <c r="A4501" s="2" t="s">
        <v>165</v>
      </c>
      <c r="B4501" s="2" t="s">
        <v>165</v>
      </c>
      <c r="C4501" s="2" t="s">
        <v>50</v>
      </c>
      <c r="D4501" s="2" t="s">
        <v>12</v>
      </c>
      <c r="E4501" s="2" t="s">
        <v>76</v>
      </c>
      <c r="F4501" s="2" t="s">
        <v>1145</v>
      </c>
      <c r="G4501" s="14" t="n">
        <v>19.5</v>
      </c>
      <c r="H4501" s="14" t="n">
        <v>30.4</v>
      </c>
      <c r="I4501" s="14" t="n">
        <v>19.5</v>
      </c>
      <c r="J4501" s="22" t="n">
        <f aca="false">IF(E4501="Priority",'Cost model'!N511,'Cost model'!M511)</f>
        <v>35</v>
      </c>
      <c r="K4501" s="14" t="n">
        <f aca="false">J4501-H4501</f>
        <v>4.6</v>
      </c>
      <c r="L4501" s="14" t="n">
        <f aca="false">G4501-H4501</f>
        <v>-10.9</v>
      </c>
    </row>
    <row r="4502" customFormat="false" ht="15" hidden="false" customHeight="false" outlineLevel="0" collapsed="false">
      <c r="A4502" s="2" t="s">
        <v>184</v>
      </c>
      <c r="B4502" s="2" t="s">
        <v>126</v>
      </c>
      <c r="C4502" s="2" t="s">
        <v>50</v>
      </c>
      <c r="D4502" s="2" t="s">
        <v>10</v>
      </c>
      <c r="E4502" s="2" t="s">
        <v>76</v>
      </c>
      <c r="F4502" s="2" t="s">
        <v>1146</v>
      </c>
      <c r="G4502" s="14" t="n">
        <v>17.5</v>
      </c>
      <c r="H4502" s="14" t="n">
        <v>15.99</v>
      </c>
      <c r="I4502" s="14" t="n">
        <v>17.5</v>
      </c>
      <c r="J4502" s="22" t="n">
        <f aca="false">IF(E4502="Priority",'Cost model'!N130,'Cost model'!M130)</f>
        <v>18.5</v>
      </c>
      <c r="K4502" s="14" t="n">
        <f aca="false">J4502-H4502</f>
        <v>2.51</v>
      </c>
      <c r="L4502" s="14" t="n">
        <f aca="false">G4502-H4502</f>
        <v>1.51</v>
      </c>
    </row>
    <row r="4503" customFormat="false" ht="15" hidden="false" customHeight="false" outlineLevel="0" collapsed="false">
      <c r="A4503" s="2" t="s">
        <v>184</v>
      </c>
      <c r="B4503" s="2" t="s">
        <v>165</v>
      </c>
      <c r="C4503" s="2" t="s">
        <v>49</v>
      </c>
      <c r="D4503" s="2" t="s">
        <v>10</v>
      </c>
      <c r="E4503" s="2" t="s">
        <v>76</v>
      </c>
      <c r="F4503" s="2" t="s">
        <v>1146</v>
      </c>
      <c r="G4503" s="14" t="n">
        <v>12.5</v>
      </c>
      <c r="H4503" s="14" t="n">
        <v>15.66</v>
      </c>
      <c r="I4503" s="14"/>
      <c r="J4503" s="22" t="n">
        <f aca="false">IF(E4503="Priority",'Cost model'!N165,'Cost model'!M165)</f>
        <v>15.5</v>
      </c>
      <c r="K4503" s="14" t="n">
        <f aca="false">J4503-H4503</f>
        <v>-0.16</v>
      </c>
      <c r="L4503" s="14" t="n">
        <f aca="false">G4503-H4503</f>
        <v>-3.16</v>
      </c>
    </row>
    <row r="4504" customFormat="false" ht="15" hidden="false" customHeight="false" outlineLevel="0" collapsed="false">
      <c r="A4504" s="2" t="s">
        <v>184</v>
      </c>
      <c r="B4504" s="2" t="s">
        <v>184</v>
      </c>
      <c r="C4504" s="2" t="s">
        <v>49</v>
      </c>
      <c r="D4504" s="2" t="s">
        <v>12</v>
      </c>
      <c r="E4504" s="2" t="s">
        <v>76</v>
      </c>
      <c r="F4504" s="2" t="s">
        <v>1145</v>
      </c>
      <c r="G4504" s="14" t="n">
        <v>12.5</v>
      </c>
      <c r="H4504" s="14" t="n">
        <v>42.61</v>
      </c>
      <c r="I4504" s="14"/>
      <c r="J4504" s="22" t="n">
        <f aca="false">IF(E4504="Priority",'Cost model'!N204,'Cost model'!M204)</f>
        <v>45</v>
      </c>
      <c r="K4504" s="14" t="n">
        <f aca="false">J4504-H4504</f>
        <v>2.39</v>
      </c>
      <c r="L4504" s="14" t="n">
        <f aca="false">G4504-H4504</f>
        <v>-30.11</v>
      </c>
    </row>
    <row r="4505" customFormat="false" ht="15" hidden="false" customHeight="false" outlineLevel="0" collapsed="false">
      <c r="A4505" s="2" t="s">
        <v>184</v>
      </c>
      <c r="B4505" s="2" t="s">
        <v>184</v>
      </c>
      <c r="C4505" s="2" t="s">
        <v>50</v>
      </c>
      <c r="D4505" s="2" t="s">
        <v>10</v>
      </c>
      <c r="E4505" s="2" t="s">
        <v>76</v>
      </c>
      <c r="F4505" s="2" t="s">
        <v>1145</v>
      </c>
      <c r="G4505" s="14" t="n">
        <v>17.5</v>
      </c>
      <c r="H4505" s="14" t="n">
        <v>15.65</v>
      </c>
      <c r="I4505" s="14" t="n">
        <v>17.5</v>
      </c>
      <c r="J4505" s="22" t="n">
        <f aca="false">IF(E4505="Priority",'Cost model'!N202,'Cost model'!M202)</f>
        <v>17.5</v>
      </c>
      <c r="K4505" s="14" t="n">
        <f aca="false">J4505-H4505</f>
        <v>1.85</v>
      </c>
      <c r="L4505" s="14" t="n">
        <f aca="false">G4505-H4505</f>
        <v>1.85</v>
      </c>
    </row>
    <row r="4506" customFormat="false" ht="15" hidden="false" customHeight="false" outlineLevel="0" collapsed="false">
      <c r="A4506" s="2" t="s">
        <v>146</v>
      </c>
      <c r="B4506" s="2" t="s">
        <v>146</v>
      </c>
      <c r="C4506" s="2" t="s">
        <v>49</v>
      </c>
      <c r="D4506" s="2" t="s">
        <v>12</v>
      </c>
      <c r="E4506" s="2" t="s">
        <v>76</v>
      </c>
      <c r="F4506" s="2" t="s">
        <v>1145</v>
      </c>
      <c r="G4506" s="14" t="n">
        <v>12.5</v>
      </c>
      <c r="H4506" s="14" t="n">
        <v>29.98</v>
      </c>
      <c r="I4506" s="14" t="n">
        <v>12.5</v>
      </c>
      <c r="J4506" s="22" t="n">
        <f aca="false">IF(E4506="Priority",'Cost model'!N762,'Cost model'!M762)</f>
        <v>45</v>
      </c>
      <c r="K4506" s="14" t="n">
        <f aca="false">J4506-H4506</f>
        <v>15.02</v>
      </c>
      <c r="L4506" s="14" t="n">
        <f aca="false">G4506-H4506</f>
        <v>-17.48</v>
      </c>
    </row>
    <row r="4507" customFormat="false" ht="15" hidden="false" customHeight="false" outlineLevel="0" collapsed="false">
      <c r="A4507" s="2" t="s">
        <v>184</v>
      </c>
      <c r="B4507" s="2" t="s">
        <v>184</v>
      </c>
      <c r="C4507" s="2" t="s">
        <v>50</v>
      </c>
      <c r="D4507" s="2" t="s">
        <v>10</v>
      </c>
      <c r="E4507" s="2" t="s">
        <v>76</v>
      </c>
      <c r="F4507" s="2" t="s">
        <v>1145</v>
      </c>
      <c r="G4507" s="14" t="n">
        <v>17.5</v>
      </c>
      <c r="H4507" s="14" t="n">
        <v>11.03</v>
      </c>
      <c r="I4507" s="14" t="n">
        <v>17.5</v>
      </c>
      <c r="J4507" s="22" t="n">
        <f aca="false">IF(E4507="Priority",'Cost model'!N202,'Cost model'!M202)</f>
        <v>17.5</v>
      </c>
      <c r="K4507" s="14" t="n">
        <f aca="false">J4507-H4507</f>
        <v>6.47</v>
      </c>
      <c r="L4507" s="14" t="n">
        <f aca="false">G4507-H4507</f>
        <v>6.47</v>
      </c>
    </row>
    <row r="4508" customFormat="false" ht="15" hidden="false" customHeight="false" outlineLevel="0" collapsed="false">
      <c r="A4508" s="2" t="s">
        <v>126</v>
      </c>
      <c r="B4508" s="2" t="s">
        <v>126</v>
      </c>
      <c r="C4508" s="2" t="s">
        <v>49</v>
      </c>
      <c r="D4508" s="2" t="s">
        <v>10</v>
      </c>
      <c r="E4508" s="2" t="s">
        <v>76</v>
      </c>
      <c r="F4508" s="2" t="s">
        <v>1145</v>
      </c>
      <c r="G4508" s="14" t="n">
        <v>12.5</v>
      </c>
      <c r="H4508" s="14" t="n">
        <v>21.34</v>
      </c>
      <c r="I4508" s="14" t="n">
        <v>12.5</v>
      </c>
      <c r="J4508" s="22" t="n">
        <f aca="false">IF(E4508="Priority",'Cost model'!N381,'Cost model'!M381)</f>
        <v>14.5</v>
      </c>
      <c r="K4508" s="14" t="n">
        <f aca="false">J4508-H4508</f>
        <v>-6.84</v>
      </c>
      <c r="L4508" s="14" t="n">
        <f aca="false">G4508-H4508</f>
        <v>-8.84</v>
      </c>
    </row>
    <row r="4509" customFormat="false" ht="15" hidden="false" customHeight="false" outlineLevel="0" collapsed="false">
      <c r="A4509" s="2" t="s">
        <v>184</v>
      </c>
      <c r="B4509" s="2" t="s">
        <v>184</v>
      </c>
      <c r="C4509" s="2" t="s">
        <v>48</v>
      </c>
      <c r="D4509" s="2" t="s">
        <v>10</v>
      </c>
      <c r="E4509" s="2" t="s">
        <v>76</v>
      </c>
      <c r="F4509" s="2" t="s">
        <v>1145</v>
      </c>
      <c r="G4509" s="14" t="n">
        <v>9.5</v>
      </c>
      <c r="H4509" s="14" t="n">
        <v>5.94</v>
      </c>
      <c r="I4509" s="14" t="n">
        <v>9.5</v>
      </c>
      <c r="J4509" s="22" t="n">
        <f aca="false">IF(E4509="Priority",'Cost model'!N200,'Cost model'!M200)</f>
        <v>7.5</v>
      </c>
      <c r="K4509" s="14" t="n">
        <f aca="false">J4509-H4509</f>
        <v>1.56</v>
      </c>
      <c r="L4509" s="14" t="n">
        <f aca="false">G4509-H4509</f>
        <v>3.56</v>
      </c>
    </row>
    <row r="4510" customFormat="false" ht="15" hidden="false" customHeight="false" outlineLevel="0" collapsed="false">
      <c r="A4510" s="2" t="s">
        <v>184</v>
      </c>
      <c r="B4510" s="2" t="s">
        <v>126</v>
      </c>
      <c r="C4510" s="2" t="s">
        <v>50</v>
      </c>
      <c r="D4510" s="2" t="s">
        <v>12</v>
      </c>
      <c r="E4510" s="2" t="s">
        <v>76</v>
      </c>
      <c r="F4510" s="2" t="s">
        <v>1146</v>
      </c>
      <c r="G4510" s="14" t="n">
        <v>45</v>
      </c>
      <c r="H4510" s="14" t="n">
        <v>49.26</v>
      </c>
      <c r="I4510" s="14" t="n">
        <v>19.5</v>
      </c>
      <c r="J4510" s="22" t="n">
        <f aca="false">IF(E4510="Priority",'Cost model'!N133,'Cost model'!M133)</f>
        <v>55</v>
      </c>
      <c r="K4510" s="14" t="n">
        <f aca="false">J4510-H4510</f>
        <v>5.74</v>
      </c>
      <c r="L4510" s="14" t="n">
        <f aca="false">G4510-H4510</f>
        <v>-4.26</v>
      </c>
    </row>
    <row r="4511" customFormat="false" ht="15" hidden="false" customHeight="false" outlineLevel="0" collapsed="false">
      <c r="A4511" s="2" t="s">
        <v>126</v>
      </c>
      <c r="B4511" s="2" t="s">
        <v>146</v>
      </c>
      <c r="C4511" s="2" t="s">
        <v>50</v>
      </c>
      <c r="D4511" s="2" t="s">
        <v>10</v>
      </c>
      <c r="E4511" s="2" t="s">
        <v>76</v>
      </c>
      <c r="F4511" s="2" t="s">
        <v>1146</v>
      </c>
      <c r="G4511" s="14" t="n">
        <v>17.5</v>
      </c>
      <c r="H4511" s="14" t="n">
        <v>16.84</v>
      </c>
      <c r="I4511" s="14" t="n">
        <v>17.5</v>
      </c>
      <c r="J4511" s="22" t="n">
        <f aca="false">IF(E4511="Priority",'Cost model'!N400,'Cost model'!M400)</f>
        <v>20.5</v>
      </c>
      <c r="K4511" s="14" t="n">
        <f aca="false">J4511-H4511</f>
        <v>3.66</v>
      </c>
      <c r="L4511" s="14" t="n">
        <f aca="false">G4511-H4511</f>
        <v>0.66</v>
      </c>
    </row>
    <row r="4512" customFormat="false" ht="15" hidden="false" customHeight="false" outlineLevel="0" collapsed="false">
      <c r="A4512" s="2" t="s">
        <v>184</v>
      </c>
      <c r="B4512" s="2" t="s">
        <v>126</v>
      </c>
      <c r="C4512" s="2" t="s">
        <v>49</v>
      </c>
      <c r="D4512" s="2" t="s">
        <v>12</v>
      </c>
      <c r="E4512" s="2" t="s">
        <v>76</v>
      </c>
      <c r="F4512" s="2" t="s">
        <v>1146</v>
      </c>
      <c r="G4512" s="14" t="n">
        <v>12.5</v>
      </c>
      <c r="H4512" s="14" t="n">
        <v>15.24</v>
      </c>
      <c r="I4512" s="14"/>
      <c r="J4512" s="22" t="n">
        <f aca="false">IF(E4512="Priority",'Cost model'!N132,'Cost model'!M132)</f>
        <v>50</v>
      </c>
      <c r="K4512" s="14" t="n">
        <f aca="false">J4512-H4512</f>
        <v>34.76</v>
      </c>
      <c r="L4512" s="14" t="n">
        <f aca="false">G4512-H4512</f>
        <v>-2.74</v>
      </c>
    </row>
    <row r="4513" customFormat="false" ht="15" hidden="false" customHeight="false" outlineLevel="0" collapsed="false">
      <c r="A4513" s="2" t="s">
        <v>240</v>
      </c>
      <c r="B4513" s="2" t="s">
        <v>240</v>
      </c>
      <c r="C4513" s="2" t="s">
        <v>48</v>
      </c>
      <c r="D4513" s="2" t="s">
        <v>10</v>
      </c>
      <c r="E4513" s="2" t="s">
        <v>85</v>
      </c>
      <c r="F4513" s="2" t="s">
        <v>1145</v>
      </c>
      <c r="G4513" s="14" t="n">
        <v>14.5</v>
      </c>
      <c r="H4513" s="14" t="n">
        <v>7.68</v>
      </c>
      <c r="I4513" s="14" t="n">
        <v>14.5</v>
      </c>
      <c r="J4513" s="22" t="n">
        <f aca="false">IF(E4513="Priority",'Cost model'!N884,'Cost model'!M884)</f>
        <v>12.5</v>
      </c>
      <c r="K4513" s="14" t="n">
        <f aca="false">J4513-H4513</f>
        <v>4.82</v>
      </c>
      <c r="L4513" s="14" t="n">
        <f aca="false">G4513-H4513</f>
        <v>6.82</v>
      </c>
    </row>
    <row r="4514" customFormat="false" ht="15" hidden="false" customHeight="false" outlineLevel="0" collapsed="false">
      <c r="A4514" s="2" t="s">
        <v>126</v>
      </c>
      <c r="B4514" s="2" t="s">
        <v>126</v>
      </c>
      <c r="C4514" s="2" t="s">
        <v>50</v>
      </c>
      <c r="D4514" s="2" t="s">
        <v>14</v>
      </c>
      <c r="E4514" s="2" t="s">
        <v>85</v>
      </c>
      <c r="F4514" s="2" t="s">
        <v>1145</v>
      </c>
      <c r="G4514" s="14" t="n">
        <v>150</v>
      </c>
      <c r="H4514" s="14" t="n">
        <v>386.94</v>
      </c>
      <c r="I4514" s="14" t="n">
        <v>150</v>
      </c>
      <c r="J4514" s="22" t="n">
        <f aca="false">IF(E4514="Priority",'Cost model'!N391,'Cost model'!M391)</f>
        <v>205</v>
      </c>
      <c r="K4514" s="14" t="n">
        <f aca="false">J4514-H4514</f>
        <v>-181.94</v>
      </c>
      <c r="L4514" s="14" t="n">
        <f aca="false">G4514-H4514</f>
        <v>-236.94</v>
      </c>
    </row>
    <row r="4515" customFormat="false" ht="15" hidden="false" customHeight="false" outlineLevel="0" collapsed="false">
      <c r="A4515" s="2" t="s">
        <v>184</v>
      </c>
      <c r="B4515" s="2" t="s">
        <v>184</v>
      </c>
      <c r="C4515" s="2" t="s">
        <v>49</v>
      </c>
      <c r="D4515" s="2" t="s">
        <v>12</v>
      </c>
      <c r="E4515" s="2" t="s">
        <v>76</v>
      </c>
      <c r="F4515" s="2" t="s">
        <v>1145</v>
      </c>
      <c r="G4515" s="14" t="n">
        <v>19.5</v>
      </c>
      <c r="H4515" s="14" t="n">
        <v>43.91</v>
      </c>
      <c r="I4515" s="14"/>
      <c r="J4515" s="22" t="n">
        <f aca="false">IF(E4515="Priority",'Cost model'!N204,'Cost model'!M204)</f>
        <v>45</v>
      </c>
      <c r="K4515" s="14" t="n">
        <f aca="false">J4515-H4515</f>
        <v>1.09</v>
      </c>
      <c r="L4515" s="14" t="n">
        <f aca="false">G4515-H4515</f>
        <v>-24.41</v>
      </c>
    </row>
    <row r="4516" customFormat="false" ht="15" hidden="false" customHeight="false" outlineLevel="0" collapsed="false">
      <c r="A4516" s="2" t="s">
        <v>146</v>
      </c>
      <c r="B4516" s="2" t="s">
        <v>184</v>
      </c>
      <c r="C4516" s="2" t="s">
        <v>49</v>
      </c>
      <c r="D4516" s="2" t="s">
        <v>12</v>
      </c>
      <c r="E4516" s="2" t="s">
        <v>76</v>
      </c>
      <c r="F4516" s="2" t="s">
        <v>1146</v>
      </c>
      <c r="G4516" s="14" t="n">
        <v>12.5</v>
      </c>
      <c r="H4516" s="14" t="n">
        <v>11.97</v>
      </c>
      <c r="I4516" s="14" t="n">
        <v>19.5</v>
      </c>
      <c r="J4516" s="22" t="n">
        <f aca="false">IF(E4516="Priority",'Cost model'!N834,'Cost model'!M834)</f>
        <v>45</v>
      </c>
      <c r="K4516" s="14" t="n">
        <f aca="false">J4516-H4516</f>
        <v>33.03</v>
      </c>
      <c r="L4516" s="14" t="n">
        <f aca="false">G4516-H4516</f>
        <v>0.529999999999999</v>
      </c>
    </row>
    <row r="4517" customFormat="false" ht="15" hidden="false" customHeight="false" outlineLevel="0" collapsed="false">
      <c r="A4517" s="2" t="s">
        <v>240</v>
      </c>
      <c r="B4517" s="2" t="s">
        <v>146</v>
      </c>
      <c r="C4517" s="2" t="s">
        <v>50</v>
      </c>
      <c r="D4517" s="2" t="s">
        <v>12</v>
      </c>
      <c r="E4517" s="2" t="s">
        <v>76</v>
      </c>
      <c r="F4517" s="2" t="s">
        <v>1146</v>
      </c>
      <c r="G4517" s="14" t="n">
        <v>19.5</v>
      </c>
      <c r="H4517" s="14" t="n">
        <v>72.15</v>
      </c>
      <c r="I4517" s="14" t="n">
        <v>29.5</v>
      </c>
      <c r="J4517" s="22" t="n">
        <f aca="false">IF(E4517="Priority",'Cost model'!N925,'Cost model'!M925)</f>
        <v>80</v>
      </c>
      <c r="K4517" s="14" t="n">
        <f aca="false">J4517-H4517</f>
        <v>7.84999999999999</v>
      </c>
      <c r="L4517" s="14" t="n">
        <f aca="false">G4517-H4517</f>
        <v>-52.65</v>
      </c>
    </row>
    <row r="4518" customFormat="false" ht="15" hidden="false" customHeight="false" outlineLevel="0" collapsed="false">
      <c r="A4518" s="2" t="s">
        <v>165</v>
      </c>
      <c r="B4518" s="2" t="s">
        <v>165</v>
      </c>
      <c r="C4518" s="2" t="s">
        <v>50</v>
      </c>
      <c r="D4518" s="2" t="s">
        <v>12</v>
      </c>
      <c r="E4518" s="2" t="s">
        <v>76</v>
      </c>
      <c r="F4518" s="2" t="s">
        <v>1145</v>
      </c>
      <c r="G4518" s="14" t="n">
        <v>19.5</v>
      </c>
      <c r="H4518" s="14" t="n">
        <v>33.51</v>
      </c>
      <c r="I4518" s="14" t="n">
        <v>19.5</v>
      </c>
      <c r="J4518" s="22" t="n">
        <f aca="false">IF(E4518="Priority",'Cost model'!N511,'Cost model'!M511)</f>
        <v>35</v>
      </c>
      <c r="K4518" s="14" t="n">
        <f aca="false">J4518-H4518</f>
        <v>1.49</v>
      </c>
      <c r="L4518" s="14" t="n">
        <f aca="false">G4518-H4518</f>
        <v>-14.01</v>
      </c>
    </row>
    <row r="4519" customFormat="false" ht="15" hidden="false" customHeight="false" outlineLevel="0" collapsed="false">
      <c r="A4519" s="2" t="s">
        <v>184</v>
      </c>
      <c r="B4519" s="2" t="s">
        <v>184</v>
      </c>
      <c r="C4519" s="2" t="s">
        <v>48</v>
      </c>
      <c r="D4519" s="2" t="s">
        <v>12</v>
      </c>
      <c r="E4519" s="2" t="s">
        <v>76</v>
      </c>
      <c r="F4519" s="2" t="s">
        <v>1145</v>
      </c>
      <c r="G4519" s="14" t="n">
        <v>9.5</v>
      </c>
      <c r="H4519" s="14" t="n">
        <v>13.52</v>
      </c>
      <c r="I4519" s="14" t="n">
        <v>9.5</v>
      </c>
      <c r="J4519" s="22" t="n">
        <f aca="false">IF(E4519="Priority",'Cost model'!N203,'Cost model'!M203)</f>
        <v>26.5</v>
      </c>
      <c r="K4519" s="14" t="n">
        <f aca="false">J4519-H4519</f>
        <v>12.98</v>
      </c>
      <c r="L4519" s="14" t="n">
        <f aca="false">G4519-H4519</f>
        <v>-4.02</v>
      </c>
    </row>
    <row r="4520" customFormat="false" ht="15" hidden="false" customHeight="false" outlineLevel="0" collapsed="false">
      <c r="A4520" s="2" t="s">
        <v>146</v>
      </c>
      <c r="B4520" s="2" t="s">
        <v>165</v>
      </c>
      <c r="C4520" s="2" t="s">
        <v>48</v>
      </c>
      <c r="D4520" s="2" t="s">
        <v>10</v>
      </c>
      <c r="E4520" s="2" t="s">
        <v>76</v>
      </c>
      <c r="F4520" s="2" t="s">
        <v>1146</v>
      </c>
      <c r="G4520" s="14" t="n">
        <v>14.5</v>
      </c>
      <c r="H4520" s="14" t="n">
        <v>14.47</v>
      </c>
      <c r="I4520" s="14" t="n">
        <v>14.5</v>
      </c>
      <c r="J4520" s="22" t="n">
        <f aca="false">IF(E4520="Priority",'Cost model'!N776,'Cost model'!M776)</f>
        <v>13.5</v>
      </c>
      <c r="K4520" s="14" t="n">
        <f aca="false">J4520-H4520</f>
        <v>-0.970000000000001</v>
      </c>
      <c r="L4520" s="14" t="n">
        <f aca="false">G4520-H4520</f>
        <v>0.0299999999999994</v>
      </c>
    </row>
    <row r="4521" customFormat="false" ht="15" hidden="false" customHeight="false" outlineLevel="0" collapsed="false">
      <c r="A4521" s="2" t="s">
        <v>240</v>
      </c>
      <c r="B4521" s="2" t="s">
        <v>146</v>
      </c>
      <c r="C4521" s="2" t="s">
        <v>48</v>
      </c>
      <c r="D4521" s="2" t="s">
        <v>12</v>
      </c>
      <c r="E4521" s="2" t="s">
        <v>76</v>
      </c>
      <c r="F4521" s="2" t="s">
        <v>1146</v>
      </c>
      <c r="G4521" s="14" t="n">
        <v>24.5</v>
      </c>
      <c r="H4521" s="14" t="n">
        <v>60.48</v>
      </c>
      <c r="I4521" s="14" t="n">
        <v>24.5</v>
      </c>
      <c r="J4521" s="22" t="n">
        <f aca="false">IF(E4521="Priority",'Cost model'!N923,'Cost model'!M923)</f>
        <v>65</v>
      </c>
      <c r="K4521" s="14" t="n">
        <f aca="false">J4521-H4521</f>
        <v>4.52</v>
      </c>
      <c r="L4521" s="14" t="n">
        <f aca="false">G4521-H4521</f>
        <v>-35.98</v>
      </c>
    </row>
    <row r="4522" customFormat="false" ht="15" hidden="false" customHeight="false" outlineLevel="0" collapsed="false">
      <c r="A4522" s="2" t="s">
        <v>184</v>
      </c>
      <c r="B4522" s="2" t="s">
        <v>184</v>
      </c>
      <c r="C4522" s="2" t="s">
        <v>49</v>
      </c>
      <c r="D4522" s="2" t="s">
        <v>12</v>
      </c>
      <c r="E4522" s="2" t="s">
        <v>76</v>
      </c>
      <c r="F4522" s="2" t="s">
        <v>1145</v>
      </c>
      <c r="G4522" s="14" t="n">
        <v>12.5</v>
      </c>
      <c r="H4522" s="14" t="n">
        <v>32.89</v>
      </c>
      <c r="I4522" s="14"/>
      <c r="J4522" s="22" t="n">
        <f aca="false">IF(E4522="Priority",'Cost model'!N204,'Cost model'!M204)</f>
        <v>45</v>
      </c>
      <c r="K4522" s="14" t="n">
        <f aca="false">J4522-H4522</f>
        <v>12.11</v>
      </c>
      <c r="L4522" s="14" t="n">
        <f aca="false">G4522-H4522</f>
        <v>-20.39</v>
      </c>
    </row>
    <row r="4523" customFormat="false" ht="15" hidden="false" customHeight="false" outlineLevel="0" collapsed="false">
      <c r="A4523" s="2" t="s">
        <v>126</v>
      </c>
      <c r="B4523" s="2" t="s">
        <v>165</v>
      </c>
      <c r="C4523" s="2" t="s">
        <v>50</v>
      </c>
      <c r="D4523" s="2" t="s">
        <v>12</v>
      </c>
      <c r="E4523" s="2" t="s">
        <v>76</v>
      </c>
      <c r="F4523" s="2" t="s">
        <v>1146</v>
      </c>
      <c r="G4523" s="14" t="n">
        <v>19.5</v>
      </c>
      <c r="H4523" s="14" t="n">
        <v>97.78</v>
      </c>
      <c r="I4523" s="14" t="n">
        <v>19.5</v>
      </c>
      <c r="J4523" s="22" t="n">
        <f aca="false">IF(E4523="Priority",'Cost model'!N421,'Cost model'!M421)</f>
        <v>70</v>
      </c>
      <c r="K4523" s="14" t="n">
        <f aca="false">J4523-H4523</f>
        <v>-27.78</v>
      </c>
      <c r="L4523" s="14" t="n">
        <f aca="false">G4523-H4523</f>
        <v>-78.28</v>
      </c>
    </row>
    <row r="4524" customFormat="false" ht="15" hidden="false" customHeight="false" outlineLevel="0" collapsed="false">
      <c r="A4524" s="2" t="s">
        <v>184</v>
      </c>
      <c r="B4524" s="2" t="s">
        <v>184</v>
      </c>
      <c r="C4524" s="2" t="s">
        <v>49</v>
      </c>
      <c r="D4524" s="2" t="s">
        <v>12</v>
      </c>
      <c r="E4524" s="2" t="s">
        <v>76</v>
      </c>
      <c r="F4524" s="2" t="s">
        <v>1145</v>
      </c>
      <c r="G4524" s="14" t="n">
        <v>29.5</v>
      </c>
      <c r="H4524" s="14" t="n">
        <v>44.4</v>
      </c>
      <c r="I4524" s="14" t="n">
        <v>12.5</v>
      </c>
      <c r="J4524" s="22" t="n">
        <f aca="false">IF(E4524="Priority",'Cost model'!N204,'Cost model'!M204)</f>
        <v>45</v>
      </c>
      <c r="K4524" s="14" t="n">
        <f aca="false">J4524-H4524</f>
        <v>0.600000000000001</v>
      </c>
      <c r="L4524" s="14" t="n">
        <f aca="false">G4524-H4524</f>
        <v>-14.9</v>
      </c>
    </row>
    <row r="4525" customFormat="false" ht="15" hidden="false" customHeight="false" outlineLevel="0" collapsed="false">
      <c r="A4525" s="2" t="s">
        <v>184</v>
      </c>
      <c r="B4525" s="2" t="s">
        <v>240</v>
      </c>
      <c r="C4525" s="2" t="s">
        <v>50</v>
      </c>
      <c r="D4525" s="2" t="s">
        <v>12</v>
      </c>
      <c r="E4525" s="2" t="s">
        <v>85</v>
      </c>
      <c r="F4525" s="2" t="s">
        <v>1146</v>
      </c>
      <c r="G4525" s="14" t="n">
        <v>45</v>
      </c>
      <c r="H4525" s="14" t="n">
        <v>67.75</v>
      </c>
      <c r="I4525" s="14" t="n">
        <v>45</v>
      </c>
      <c r="J4525" s="22" t="n">
        <f aca="false">IF(E4525="Priority",'Cost model'!N187,'Cost model'!M187)</f>
        <v>95</v>
      </c>
      <c r="K4525" s="14" t="n">
        <f aca="false">J4525-H4525</f>
        <v>27.25</v>
      </c>
      <c r="L4525" s="14" t="n">
        <f aca="false">G4525-H4525</f>
        <v>-22.75</v>
      </c>
    </row>
    <row r="4526" customFormat="false" ht="15" hidden="false" customHeight="false" outlineLevel="0" collapsed="false">
      <c r="A4526" s="2" t="s">
        <v>126</v>
      </c>
      <c r="B4526" s="2" t="s">
        <v>126</v>
      </c>
      <c r="C4526" s="2" t="s">
        <v>48</v>
      </c>
      <c r="D4526" s="2" t="s">
        <v>10</v>
      </c>
      <c r="E4526" s="2" t="s">
        <v>76</v>
      </c>
      <c r="F4526" s="2" t="s">
        <v>1145</v>
      </c>
      <c r="G4526" s="14" t="n">
        <v>9.5</v>
      </c>
      <c r="H4526" s="14" t="n">
        <v>7.72</v>
      </c>
      <c r="I4526" s="14" t="n">
        <v>9.5</v>
      </c>
      <c r="J4526" s="22" t="n">
        <f aca="false">IF(E4526="Priority",'Cost model'!N380,'Cost model'!M380)</f>
        <v>8.5</v>
      </c>
      <c r="K4526" s="14" t="n">
        <f aca="false">J4526-H4526</f>
        <v>0.78</v>
      </c>
      <c r="L4526" s="14" t="n">
        <f aca="false">G4526-H4526</f>
        <v>1.78</v>
      </c>
    </row>
    <row r="4527" customFormat="false" ht="15" hidden="false" customHeight="false" outlineLevel="0" collapsed="false">
      <c r="A4527" s="2" t="s">
        <v>240</v>
      </c>
      <c r="B4527" s="2" t="s">
        <v>240</v>
      </c>
      <c r="C4527" s="2" t="s">
        <v>48</v>
      </c>
      <c r="D4527" s="2" t="s">
        <v>10</v>
      </c>
      <c r="E4527" s="2" t="s">
        <v>76</v>
      </c>
      <c r="F4527" s="2" t="s">
        <v>1145</v>
      </c>
      <c r="G4527" s="14" t="n">
        <v>9.5</v>
      </c>
      <c r="H4527" s="14" t="n">
        <v>7.9</v>
      </c>
      <c r="I4527" s="14" t="n">
        <v>9.5</v>
      </c>
      <c r="J4527" s="22" t="n">
        <f aca="false">IF(E4527="Priority",'Cost model'!N884,'Cost model'!M884)</f>
        <v>7.5</v>
      </c>
      <c r="K4527" s="14" t="n">
        <f aca="false">J4527-H4527</f>
        <v>-0.4</v>
      </c>
      <c r="L4527" s="14" t="n">
        <f aca="false">G4527-H4527</f>
        <v>1.6</v>
      </c>
    </row>
    <row r="4528" customFormat="false" ht="15" hidden="false" customHeight="false" outlineLevel="0" collapsed="false">
      <c r="A4528" s="2" t="s">
        <v>240</v>
      </c>
      <c r="B4528" s="2" t="s">
        <v>240</v>
      </c>
      <c r="C4528" s="2" t="s">
        <v>50</v>
      </c>
      <c r="D4528" s="2" t="s">
        <v>12</v>
      </c>
      <c r="E4528" s="2" t="s">
        <v>76</v>
      </c>
      <c r="F4528" s="2" t="s">
        <v>1145</v>
      </c>
      <c r="G4528" s="14" t="n">
        <v>19.5</v>
      </c>
      <c r="H4528" s="14" t="n">
        <v>32.66</v>
      </c>
      <c r="I4528" s="14" t="n">
        <v>19.5</v>
      </c>
      <c r="J4528" s="22" t="n">
        <f aca="false">IF(E4528="Priority",'Cost model'!N889,'Cost model'!M889)</f>
        <v>60</v>
      </c>
      <c r="K4528" s="14" t="n">
        <f aca="false">J4528-H4528</f>
        <v>27.34</v>
      </c>
      <c r="L4528" s="14" t="n">
        <f aca="false">G4528-H4528</f>
        <v>-13.16</v>
      </c>
    </row>
    <row r="4529" customFormat="false" ht="15" hidden="false" customHeight="false" outlineLevel="0" collapsed="false">
      <c r="A4529" s="2" t="s">
        <v>240</v>
      </c>
      <c r="B4529" s="2" t="s">
        <v>240</v>
      </c>
      <c r="C4529" s="2" t="s">
        <v>48</v>
      </c>
      <c r="D4529" s="2" t="s">
        <v>12</v>
      </c>
      <c r="E4529" s="2" t="s">
        <v>76</v>
      </c>
      <c r="F4529" s="2" t="s">
        <v>1145</v>
      </c>
      <c r="G4529" s="14" t="n">
        <v>9.5</v>
      </c>
      <c r="H4529" s="14" t="n">
        <v>27.84</v>
      </c>
      <c r="I4529" s="14" t="n">
        <v>9.5</v>
      </c>
      <c r="J4529" s="22" t="n">
        <f aca="false">IF(E4529="Priority",'Cost model'!N887,'Cost model'!M887)</f>
        <v>21.5</v>
      </c>
      <c r="K4529" s="14" t="n">
        <f aca="false">J4529-H4529</f>
        <v>-6.34</v>
      </c>
      <c r="L4529" s="14" t="n">
        <f aca="false">G4529-H4529</f>
        <v>-18.34</v>
      </c>
    </row>
    <row r="4530" customFormat="false" ht="15" hidden="false" customHeight="false" outlineLevel="0" collapsed="false">
      <c r="A4530" s="2" t="s">
        <v>184</v>
      </c>
      <c r="B4530" s="2" t="s">
        <v>184</v>
      </c>
      <c r="C4530" s="2" t="s">
        <v>49</v>
      </c>
      <c r="D4530" s="2" t="s">
        <v>12</v>
      </c>
      <c r="E4530" s="2" t="s">
        <v>76</v>
      </c>
      <c r="F4530" s="2" t="s">
        <v>1145</v>
      </c>
      <c r="G4530" s="14" t="n">
        <v>12.5</v>
      </c>
      <c r="H4530" s="14" t="n">
        <v>58.86</v>
      </c>
      <c r="I4530" s="14"/>
      <c r="J4530" s="22" t="n">
        <f aca="false">IF(E4530="Priority",'Cost model'!N204,'Cost model'!M204)</f>
        <v>45</v>
      </c>
      <c r="K4530" s="14" t="n">
        <f aca="false">J4530-H4530</f>
        <v>-13.86</v>
      </c>
      <c r="L4530" s="14" t="n">
        <f aca="false">G4530-H4530</f>
        <v>-46.36</v>
      </c>
    </row>
    <row r="4531" customFormat="false" ht="15" hidden="false" customHeight="false" outlineLevel="0" collapsed="false">
      <c r="A4531" s="2" t="s">
        <v>184</v>
      </c>
      <c r="B4531" s="2" t="s">
        <v>126</v>
      </c>
      <c r="C4531" s="2" t="s">
        <v>48</v>
      </c>
      <c r="D4531" s="2" t="s">
        <v>10</v>
      </c>
      <c r="E4531" s="2" t="s">
        <v>76</v>
      </c>
      <c r="F4531" s="2" t="s">
        <v>1146</v>
      </c>
      <c r="G4531" s="14" t="n">
        <v>9.5</v>
      </c>
      <c r="H4531" s="14" t="n">
        <v>21.76</v>
      </c>
      <c r="I4531" s="14" t="n">
        <v>9.5</v>
      </c>
      <c r="J4531" s="22" t="n">
        <f aca="false">IF(E4531="Priority",'Cost model'!N128,'Cost model'!M128)</f>
        <v>10.5</v>
      </c>
      <c r="K4531" s="14" t="n">
        <f aca="false">J4531-H4531</f>
        <v>-11.26</v>
      </c>
      <c r="L4531" s="14" t="n">
        <f aca="false">G4531-H4531</f>
        <v>-12.26</v>
      </c>
    </row>
    <row r="4532" customFormat="false" ht="15" hidden="false" customHeight="false" outlineLevel="0" collapsed="false">
      <c r="A4532" s="2" t="s">
        <v>126</v>
      </c>
      <c r="B4532" s="2" t="s">
        <v>126</v>
      </c>
      <c r="C4532" s="2" t="s">
        <v>48</v>
      </c>
      <c r="D4532" s="2" t="s">
        <v>12</v>
      </c>
      <c r="E4532" s="2" t="s">
        <v>76</v>
      </c>
      <c r="F4532" s="2" t="s">
        <v>1145</v>
      </c>
      <c r="G4532" s="14" t="n">
        <v>9.5</v>
      </c>
      <c r="H4532" s="14" t="n">
        <v>27.79</v>
      </c>
      <c r="I4532" s="14" t="n">
        <v>9.5</v>
      </c>
      <c r="J4532" s="22" t="n">
        <f aca="false">IF(E4532="Priority",'Cost model'!N383,'Cost model'!M383)</f>
        <v>27.5</v>
      </c>
      <c r="K4532" s="14" t="n">
        <f aca="false">J4532-H4532</f>
        <v>-0.289999999999999</v>
      </c>
      <c r="L4532" s="14" t="n">
        <f aca="false">G4532-H4532</f>
        <v>-18.29</v>
      </c>
    </row>
    <row r="4533" customFormat="false" ht="15" hidden="false" customHeight="false" outlineLevel="0" collapsed="false">
      <c r="A4533" s="2" t="s">
        <v>240</v>
      </c>
      <c r="B4533" s="2" t="s">
        <v>240</v>
      </c>
      <c r="C4533" s="2" t="s">
        <v>48</v>
      </c>
      <c r="D4533" s="2" t="s">
        <v>12</v>
      </c>
      <c r="E4533" s="2" t="s">
        <v>76</v>
      </c>
      <c r="F4533" s="2" t="s">
        <v>1145</v>
      </c>
      <c r="G4533" s="14" t="n">
        <v>24.5</v>
      </c>
      <c r="H4533" s="14" t="n">
        <v>8.86</v>
      </c>
      <c r="I4533" s="14" t="n">
        <v>9.5</v>
      </c>
      <c r="J4533" s="22" t="n">
        <f aca="false">IF(E4533="Priority",'Cost model'!N887,'Cost model'!M887)</f>
        <v>21.5</v>
      </c>
      <c r="K4533" s="14" t="n">
        <f aca="false">J4533-H4533</f>
        <v>12.64</v>
      </c>
      <c r="L4533" s="14" t="n">
        <f aca="false">G4533-H4533</f>
        <v>15.64</v>
      </c>
    </row>
    <row r="4534" customFormat="false" ht="15" hidden="false" customHeight="false" outlineLevel="0" collapsed="false">
      <c r="A4534" s="2" t="s">
        <v>184</v>
      </c>
      <c r="B4534" s="2" t="s">
        <v>184</v>
      </c>
      <c r="C4534" s="2" t="s">
        <v>48</v>
      </c>
      <c r="D4534" s="2" t="s">
        <v>12</v>
      </c>
      <c r="E4534" s="2" t="s">
        <v>76</v>
      </c>
      <c r="F4534" s="2" t="s">
        <v>1145</v>
      </c>
      <c r="G4534" s="14" t="n">
        <v>9.5</v>
      </c>
      <c r="H4534" s="14" t="n">
        <v>32.62</v>
      </c>
      <c r="I4534" s="14" t="n">
        <v>9.5</v>
      </c>
      <c r="J4534" s="22" t="n">
        <f aca="false">IF(E4534="Priority",'Cost model'!N203,'Cost model'!M203)</f>
        <v>26.5</v>
      </c>
      <c r="K4534" s="14" t="n">
        <f aca="false">J4534-H4534</f>
        <v>-6.12</v>
      </c>
      <c r="L4534" s="14" t="n">
        <f aca="false">G4534-H4534</f>
        <v>-23.12</v>
      </c>
    </row>
    <row r="4535" customFormat="false" ht="15" hidden="false" customHeight="false" outlineLevel="0" collapsed="false">
      <c r="A4535" s="2" t="s">
        <v>184</v>
      </c>
      <c r="B4535" s="2" t="s">
        <v>184</v>
      </c>
      <c r="C4535" s="2" t="s">
        <v>48</v>
      </c>
      <c r="D4535" s="2" t="s">
        <v>12</v>
      </c>
      <c r="E4535" s="2" t="s">
        <v>76</v>
      </c>
      <c r="F4535" s="2" t="s">
        <v>1145</v>
      </c>
      <c r="G4535" s="14" t="n">
        <v>9.5</v>
      </c>
      <c r="H4535" s="14" t="n">
        <v>28.49</v>
      </c>
      <c r="I4535" s="14" t="n">
        <v>9.5</v>
      </c>
      <c r="J4535" s="22" t="n">
        <f aca="false">IF(E4535="Priority",'Cost model'!N203,'Cost model'!M203)</f>
        <v>26.5</v>
      </c>
      <c r="K4535" s="14" t="n">
        <f aca="false">J4535-H4535</f>
        <v>-1.99</v>
      </c>
      <c r="L4535" s="14" t="n">
        <f aca="false">G4535-H4535</f>
        <v>-18.99</v>
      </c>
    </row>
    <row r="4536" customFormat="false" ht="15" hidden="false" customHeight="false" outlineLevel="0" collapsed="false">
      <c r="A4536" s="2" t="s">
        <v>146</v>
      </c>
      <c r="B4536" s="2" t="s">
        <v>146</v>
      </c>
      <c r="C4536" s="2" t="s">
        <v>49</v>
      </c>
      <c r="D4536" s="2" t="s">
        <v>12</v>
      </c>
      <c r="E4536" s="2" t="s">
        <v>85</v>
      </c>
      <c r="F4536" s="2" t="s">
        <v>1145</v>
      </c>
      <c r="G4536" s="14" t="n">
        <v>19.5</v>
      </c>
      <c r="H4536" s="14" t="n">
        <v>66</v>
      </c>
      <c r="I4536" s="14" t="n">
        <v>19.5</v>
      </c>
      <c r="J4536" s="22" t="n">
        <f aca="false">IF(E4536="Priority",'Cost model'!N762,'Cost model'!M762)</f>
        <v>60</v>
      </c>
      <c r="K4536" s="14" t="n">
        <f aca="false">J4536-H4536</f>
        <v>-6</v>
      </c>
      <c r="L4536" s="14" t="n">
        <f aca="false">G4536-H4536</f>
        <v>-46.5</v>
      </c>
    </row>
    <row r="4537" customFormat="false" ht="15" hidden="false" customHeight="false" outlineLevel="0" collapsed="false">
      <c r="A4537" s="2" t="s">
        <v>146</v>
      </c>
      <c r="B4537" s="2" t="s">
        <v>146</v>
      </c>
      <c r="C4537" s="2" t="s">
        <v>48</v>
      </c>
      <c r="D4537" s="2" t="s">
        <v>10</v>
      </c>
      <c r="E4537" s="2" t="s">
        <v>76</v>
      </c>
      <c r="F4537" s="2" t="s">
        <v>1145</v>
      </c>
      <c r="G4537" s="14" t="n">
        <v>9.5</v>
      </c>
      <c r="H4537" s="14" t="n">
        <v>5</v>
      </c>
      <c r="I4537" s="14" t="n">
        <v>9.5</v>
      </c>
      <c r="J4537" s="22" t="n">
        <f aca="false">IF(E4537="Priority",'Cost model'!N758,'Cost model'!M758)</f>
        <v>9.5</v>
      </c>
      <c r="K4537" s="14" t="n">
        <f aca="false">J4537-H4537</f>
        <v>4.5</v>
      </c>
      <c r="L4537" s="14" t="n">
        <f aca="false">G4537-H4537</f>
        <v>4.5</v>
      </c>
    </row>
    <row r="4538" customFormat="false" ht="15" hidden="false" customHeight="false" outlineLevel="0" collapsed="false">
      <c r="A4538" s="2" t="s">
        <v>184</v>
      </c>
      <c r="B4538" s="2" t="s">
        <v>184</v>
      </c>
      <c r="C4538" s="2" t="s">
        <v>48</v>
      </c>
      <c r="D4538" s="2" t="s">
        <v>10</v>
      </c>
      <c r="E4538" s="2" t="s">
        <v>76</v>
      </c>
      <c r="F4538" s="2" t="s">
        <v>1145</v>
      </c>
      <c r="G4538" s="14" t="n">
        <v>19.5</v>
      </c>
      <c r="H4538" s="14" t="n">
        <v>21.34</v>
      </c>
      <c r="I4538" s="14" t="n">
        <v>9.5</v>
      </c>
      <c r="J4538" s="22" t="n">
        <f aca="false">IF(E4538="Priority",'Cost model'!N200,'Cost model'!M200)</f>
        <v>7.5</v>
      </c>
      <c r="K4538" s="14" t="n">
        <f aca="false">J4538-H4538</f>
        <v>-13.84</v>
      </c>
      <c r="L4538" s="14" t="n">
        <f aca="false">G4538-H4538</f>
        <v>-1.84</v>
      </c>
    </row>
    <row r="4539" customFormat="false" ht="15" hidden="false" customHeight="false" outlineLevel="0" collapsed="false">
      <c r="A4539" s="2" t="s">
        <v>146</v>
      </c>
      <c r="B4539" s="2" t="s">
        <v>146</v>
      </c>
      <c r="C4539" s="2" t="s">
        <v>48</v>
      </c>
      <c r="D4539" s="2" t="s">
        <v>12</v>
      </c>
      <c r="E4539" s="2" t="s">
        <v>85</v>
      </c>
      <c r="F4539" s="2" t="s">
        <v>1145</v>
      </c>
      <c r="G4539" s="14" t="n">
        <v>19.5</v>
      </c>
      <c r="H4539" s="14" t="n">
        <v>28.83</v>
      </c>
      <c r="I4539" s="14" t="n">
        <v>19.5</v>
      </c>
      <c r="J4539" s="22" t="n">
        <f aca="false">IF(E4539="Priority",'Cost model'!N761,'Cost model'!M761)</f>
        <v>45</v>
      </c>
      <c r="K4539" s="14" t="n">
        <f aca="false">J4539-H4539</f>
        <v>16.17</v>
      </c>
      <c r="L4539" s="14" t="n">
        <f aca="false">G4539-H4539</f>
        <v>-9.33</v>
      </c>
    </row>
    <row r="4540" customFormat="false" ht="15" hidden="false" customHeight="false" outlineLevel="0" collapsed="false">
      <c r="A4540" s="2" t="s">
        <v>126</v>
      </c>
      <c r="B4540" s="2" t="s">
        <v>126</v>
      </c>
      <c r="C4540" s="2" t="s">
        <v>50</v>
      </c>
      <c r="D4540" s="2" t="s">
        <v>12</v>
      </c>
      <c r="E4540" s="2" t="s">
        <v>76</v>
      </c>
      <c r="F4540" s="2" t="s">
        <v>1145</v>
      </c>
      <c r="G4540" s="14" t="n">
        <v>19.5</v>
      </c>
      <c r="H4540" s="14" t="n">
        <v>34.72</v>
      </c>
      <c r="I4540" s="14" t="n">
        <v>19.5</v>
      </c>
      <c r="J4540" s="22" t="n">
        <f aca="false">IF(E4540="Priority",'Cost model'!N385,'Cost model'!M385)</f>
        <v>55</v>
      </c>
      <c r="K4540" s="14" t="n">
        <f aca="false">J4540-H4540</f>
        <v>20.28</v>
      </c>
      <c r="L4540" s="14" t="n">
        <f aca="false">G4540-H4540</f>
        <v>-15.22</v>
      </c>
    </row>
    <row r="4541" customFormat="false" ht="15" hidden="false" customHeight="false" outlineLevel="0" collapsed="false">
      <c r="A4541" s="2" t="s">
        <v>146</v>
      </c>
      <c r="B4541" s="2" t="s">
        <v>184</v>
      </c>
      <c r="C4541" s="2" t="s">
        <v>50</v>
      </c>
      <c r="D4541" s="2" t="s">
        <v>12</v>
      </c>
      <c r="E4541" s="2" t="s">
        <v>76</v>
      </c>
      <c r="F4541" s="2" t="s">
        <v>1146</v>
      </c>
      <c r="G4541" s="14" t="n">
        <v>29.5</v>
      </c>
      <c r="H4541" s="14" t="n">
        <v>53.42</v>
      </c>
      <c r="I4541" s="14" t="n">
        <v>19.5</v>
      </c>
      <c r="J4541" s="22" t="n">
        <f aca="false">IF(E4541="Priority",'Cost model'!N835,'Cost model'!M835)</f>
        <v>50</v>
      </c>
      <c r="K4541" s="14" t="n">
        <f aca="false">J4541-H4541</f>
        <v>-3.42</v>
      </c>
      <c r="L4541" s="14" t="n">
        <f aca="false">G4541-H4541</f>
        <v>-23.92</v>
      </c>
    </row>
    <row r="4542" customFormat="false" ht="15" hidden="false" customHeight="false" outlineLevel="0" collapsed="false">
      <c r="A4542" s="2" t="s">
        <v>221</v>
      </c>
      <c r="B4542" s="2" t="s">
        <v>221</v>
      </c>
      <c r="C4542" s="2" t="s">
        <v>49</v>
      </c>
      <c r="D4542" s="2" t="s">
        <v>12</v>
      </c>
      <c r="E4542" s="2" t="s">
        <v>76</v>
      </c>
      <c r="F4542" s="2" t="s">
        <v>1145</v>
      </c>
      <c r="G4542" s="14" t="n">
        <v>24.5</v>
      </c>
      <c r="H4542" s="14" t="n">
        <v>25.41</v>
      </c>
      <c r="I4542" s="14" t="n">
        <v>12.5</v>
      </c>
      <c r="J4542" s="22" t="n">
        <f aca="false">IF(E4542="Priority",'Cost model'!N636,'Cost model'!M636)</f>
        <v>55</v>
      </c>
      <c r="K4542" s="14" t="n">
        <f aca="false">J4542-H4542</f>
        <v>29.59</v>
      </c>
      <c r="L4542" s="14" t="n">
        <f aca="false">G4542-H4542</f>
        <v>-0.91</v>
      </c>
    </row>
    <row r="4543" customFormat="false" ht="15" hidden="false" customHeight="false" outlineLevel="0" collapsed="false">
      <c r="A4543" s="2" t="s">
        <v>184</v>
      </c>
      <c r="B4543" s="2" t="s">
        <v>146</v>
      </c>
      <c r="C4543" s="2" t="s">
        <v>50</v>
      </c>
      <c r="D4543" s="2" t="s">
        <v>12</v>
      </c>
      <c r="E4543" s="2" t="s">
        <v>76</v>
      </c>
      <c r="F4543" s="2" t="s">
        <v>1146</v>
      </c>
      <c r="G4543" s="14" t="n">
        <v>19.5</v>
      </c>
      <c r="H4543" s="14" t="n">
        <v>58.72</v>
      </c>
      <c r="I4543" s="14" t="n">
        <v>19.5</v>
      </c>
      <c r="J4543" s="22" t="n">
        <f aca="false">IF(E4543="Priority",'Cost model'!N151,'Cost model'!M151)</f>
        <v>55</v>
      </c>
      <c r="K4543" s="14" t="n">
        <f aca="false">J4543-H4543</f>
        <v>-3.72</v>
      </c>
      <c r="L4543" s="14" t="n">
        <f aca="false">G4543-H4543</f>
        <v>-39.22</v>
      </c>
    </row>
    <row r="4544" customFormat="false" ht="15" hidden="false" customHeight="false" outlineLevel="0" collapsed="false">
      <c r="A4544" s="2" t="s">
        <v>184</v>
      </c>
      <c r="B4544" s="2" t="s">
        <v>184</v>
      </c>
      <c r="C4544" s="2" t="s">
        <v>49</v>
      </c>
      <c r="D4544" s="2" t="s">
        <v>10</v>
      </c>
      <c r="E4544" s="2" t="s">
        <v>76</v>
      </c>
      <c r="F4544" s="2" t="s">
        <v>1145</v>
      </c>
      <c r="G4544" s="14" t="n">
        <v>12.5</v>
      </c>
      <c r="H4544" s="14" t="n">
        <v>7.37</v>
      </c>
      <c r="I4544" s="14"/>
      <c r="J4544" s="22" t="n">
        <f aca="false">IF(E4544="Priority",'Cost model'!N201,'Cost model'!M201)</f>
        <v>12.5</v>
      </c>
      <c r="K4544" s="14" t="n">
        <f aca="false">J4544-H4544</f>
        <v>5.13</v>
      </c>
      <c r="L4544" s="14" t="n">
        <f aca="false">G4544-H4544</f>
        <v>5.13</v>
      </c>
    </row>
    <row r="4545" customFormat="false" ht="15" hidden="false" customHeight="false" outlineLevel="0" collapsed="false">
      <c r="A4545" s="2" t="s">
        <v>126</v>
      </c>
      <c r="B4545" s="2" t="s">
        <v>146</v>
      </c>
      <c r="C4545" s="2" t="s">
        <v>48</v>
      </c>
      <c r="D4545" s="2" t="s">
        <v>12</v>
      </c>
      <c r="E4545" s="2" t="s">
        <v>76</v>
      </c>
      <c r="F4545" s="2" t="s">
        <v>1146</v>
      </c>
      <c r="G4545" s="14" t="n">
        <v>9.5</v>
      </c>
      <c r="H4545" s="14" t="n">
        <v>53.88</v>
      </c>
      <c r="I4545" s="14" t="n">
        <v>19.5</v>
      </c>
      <c r="J4545" s="22" t="n">
        <f aca="false">IF(E4545="Priority",'Cost model'!N401,'Cost model'!M401)</f>
        <v>60</v>
      </c>
      <c r="K4545" s="14" t="n">
        <f aca="false">J4545-H4545</f>
        <v>6.12</v>
      </c>
      <c r="L4545" s="14" t="n">
        <f aca="false">G4545-H4545</f>
        <v>-44.38</v>
      </c>
    </row>
    <row r="4546" customFormat="false" ht="15" hidden="false" customHeight="false" outlineLevel="0" collapsed="false">
      <c r="A4546" s="2" t="s">
        <v>184</v>
      </c>
      <c r="B4546" s="2" t="s">
        <v>184</v>
      </c>
      <c r="C4546" s="2" t="s">
        <v>50</v>
      </c>
      <c r="D4546" s="2" t="s">
        <v>10</v>
      </c>
      <c r="E4546" s="2" t="s">
        <v>76</v>
      </c>
      <c r="F4546" s="2" t="s">
        <v>1145</v>
      </c>
      <c r="G4546" s="14" t="n">
        <v>17.5</v>
      </c>
      <c r="H4546" s="14" t="n">
        <v>10.51</v>
      </c>
      <c r="I4546" s="14" t="n">
        <v>17.5</v>
      </c>
      <c r="J4546" s="22" t="n">
        <f aca="false">IF(E4546="Priority",'Cost model'!N202,'Cost model'!M202)</f>
        <v>17.5</v>
      </c>
      <c r="K4546" s="14" t="n">
        <f aca="false">J4546-H4546</f>
        <v>6.99</v>
      </c>
      <c r="L4546" s="14" t="n">
        <f aca="false">G4546-H4546</f>
        <v>6.99</v>
      </c>
    </row>
    <row r="4547" customFormat="false" ht="15" hidden="false" customHeight="false" outlineLevel="0" collapsed="false">
      <c r="A4547" s="2" t="s">
        <v>184</v>
      </c>
      <c r="B4547" s="2" t="s">
        <v>184</v>
      </c>
      <c r="C4547" s="2" t="s">
        <v>49</v>
      </c>
      <c r="D4547" s="2" t="s">
        <v>10</v>
      </c>
      <c r="E4547" s="2" t="s">
        <v>76</v>
      </c>
      <c r="F4547" s="2" t="s">
        <v>1145</v>
      </c>
      <c r="G4547" s="14" t="n">
        <v>12.5</v>
      </c>
      <c r="H4547" s="14" t="n">
        <v>10.79</v>
      </c>
      <c r="I4547" s="14" t="n">
        <v>12.5</v>
      </c>
      <c r="J4547" s="22" t="n">
        <f aca="false">IF(E4547="Priority",'Cost model'!N201,'Cost model'!M201)</f>
        <v>12.5</v>
      </c>
      <c r="K4547" s="14" t="n">
        <f aca="false">J4547-H4547</f>
        <v>1.71</v>
      </c>
      <c r="L4547" s="14" t="n">
        <f aca="false">G4547-H4547</f>
        <v>1.71</v>
      </c>
    </row>
    <row r="4548" customFormat="false" ht="15" hidden="false" customHeight="false" outlineLevel="0" collapsed="false">
      <c r="A4548" s="2" t="s">
        <v>184</v>
      </c>
      <c r="B4548" s="2" t="s">
        <v>146</v>
      </c>
      <c r="C4548" s="2" t="s">
        <v>48</v>
      </c>
      <c r="D4548" s="2" t="s">
        <v>12</v>
      </c>
      <c r="E4548" s="2" t="s">
        <v>76</v>
      </c>
      <c r="F4548" s="2" t="s">
        <v>1146</v>
      </c>
      <c r="G4548" s="14" t="n">
        <v>9.5</v>
      </c>
      <c r="H4548" s="14" t="n">
        <v>47</v>
      </c>
      <c r="I4548" s="14" t="n">
        <v>9.5</v>
      </c>
      <c r="J4548" s="22" t="n">
        <f aca="false">IF(E4548="Priority",'Cost model'!N149,'Cost model'!M149)</f>
        <v>45</v>
      </c>
      <c r="K4548" s="14" t="n">
        <f aca="false">J4548-H4548</f>
        <v>-2</v>
      </c>
      <c r="L4548" s="14" t="n">
        <f aca="false">G4548-H4548</f>
        <v>-37.5</v>
      </c>
    </row>
    <row r="4549" customFormat="false" ht="15" hidden="false" customHeight="false" outlineLevel="0" collapsed="false">
      <c r="A4549" s="2" t="s">
        <v>184</v>
      </c>
      <c r="B4549" s="2" t="s">
        <v>184</v>
      </c>
      <c r="C4549" s="2" t="s">
        <v>48</v>
      </c>
      <c r="D4549" s="2" t="s">
        <v>10</v>
      </c>
      <c r="E4549" s="2" t="s">
        <v>76</v>
      </c>
      <c r="F4549" s="2" t="s">
        <v>1145</v>
      </c>
      <c r="G4549" s="14" t="n">
        <v>9.5</v>
      </c>
      <c r="H4549" s="14" t="n">
        <v>7.46</v>
      </c>
      <c r="I4549" s="14" t="n">
        <v>9.5</v>
      </c>
      <c r="J4549" s="22" t="n">
        <f aca="false">IF(E4549="Priority",'Cost model'!N200,'Cost model'!M200)</f>
        <v>7.5</v>
      </c>
      <c r="K4549" s="14" t="n">
        <f aca="false">J4549-H4549</f>
        <v>0.04</v>
      </c>
      <c r="L4549" s="14" t="n">
        <f aca="false">G4549-H4549</f>
        <v>2.04</v>
      </c>
    </row>
    <row r="4550" customFormat="false" ht="15" hidden="false" customHeight="false" outlineLevel="0" collapsed="false">
      <c r="A4550" s="2" t="s">
        <v>126</v>
      </c>
      <c r="B4550" s="2" t="s">
        <v>126</v>
      </c>
      <c r="C4550" s="2" t="s">
        <v>49</v>
      </c>
      <c r="D4550" s="2" t="s">
        <v>10</v>
      </c>
      <c r="E4550" s="2" t="s">
        <v>76</v>
      </c>
      <c r="F4550" s="2" t="s">
        <v>1145</v>
      </c>
      <c r="G4550" s="14" t="n">
        <v>12.5</v>
      </c>
      <c r="H4550" s="14" t="n">
        <v>13.7</v>
      </c>
      <c r="I4550" s="14" t="n">
        <v>12.5</v>
      </c>
      <c r="J4550" s="22" t="n">
        <f aca="false">IF(E4550="Priority",'Cost model'!N381,'Cost model'!M381)</f>
        <v>14.5</v>
      </c>
      <c r="K4550" s="14" t="n">
        <f aca="false">J4550-H4550</f>
        <v>0.800000000000001</v>
      </c>
      <c r="L4550" s="14" t="n">
        <f aca="false">G4550-H4550</f>
        <v>-1.2</v>
      </c>
    </row>
    <row r="4551" customFormat="false" ht="15" hidden="false" customHeight="false" outlineLevel="0" collapsed="false">
      <c r="A4551" s="2" t="s">
        <v>184</v>
      </c>
      <c r="B4551" s="2" t="s">
        <v>221</v>
      </c>
      <c r="C4551" s="2" t="s">
        <v>50</v>
      </c>
      <c r="D4551" s="2" t="s">
        <v>10</v>
      </c>
      <c r="E4551" s="2" t="s">
        <v>76</v>
      </c>
      <c r="F4551" s="2" t="s">
        <v>1146</v>
      </c>
      <c r="G4551" s="14" t="n">
        <v>17.5</v>
      </c>
      <c r="H4551" s="14" t="n">
        <v>20.11</v>
      </c>
      <c r="I4551" s="14" t="n">
        <v>19.5</v>
      </c>
      <c r="J4551" s="22" t="n">
        <f aca="false">IF(E4551="Priority",'Cost model'!N220,'Cost model'!M220)</f>
        <v>25.5</v>
      </c>
      <c r="K4551" s="14" t="n">
        <f aca="false">J4551-H4551</f>
        <v>5.39</v>
      </c>
      <c r="L4551" s="14" t="n">
        <f aca="false">G4551-H4551</f>
        <v>-2.61</v>
      </c>
    </row>
    <row r="4552" customFormat="false" ht="15" hidden="false" customHeight="false" outlineLevel="0" collapsed="false">
      <c r="A4552" s="2" t="s">
        <v>146</v>
      </c>
      <c r="B4552" s="2" t="s">
        <v>146</v>
      </c>
      <c r="C4552" s="2" t="s">
        <v>50</v>
      </c>
      <c r="D4552" s="2" t="s">
        <v>12</v>
      </c>
      <c r="E4552" s="2" t="s">
        <v>76</v>
      </c>
      <c r="F4552" s="2" t="s">
        <v>1145</v>
      </c>
      <c r="G4552" s="14" t="n">
        <v>19.5</v>
      </c>
      <c r="H4552" s="14" t="n">
        <v>41.77</v>
      </c>
      <c r="I4552" s="14" t="n">
        <v>19.5</v>
      </c>
      <c r="J4552" s="22" t="n">
        <f aca="false">IF(E4552="Priority",'Cost model'!N763,'Cost model'!M763)</f>
        <v>50</v>
      </c>
      <c r="K4552" s="14" t="n">
        <f aca="false">J4552-H4552</f>
        <v>8.23</v>
      </c>
      <c r="L4552" s="14" t="n">
        <f aca="false">G4552-H4552</f>
        <v>-22.27</v>
      </c>
    </row>
    <row r="4553" customFormat="false" ht="15" hidden="false" customHeight="false" outlineLevel="0" collapsed="false">
      <c r="A4553" s="2" t="s">
        <v>240</v>
      </c>
      <c r="B4553" s="2" t="s">
        <v>240</v>
      </c>
      <c r="C4553" s="2" t="s">
        <v>48</v>
      </c>
      <c r="D4553" s="2" t="s">
        <v>13</v>
      </c>
      <c r="E4553" s="2" t="s">
        <v>76</v>
      </c>
      <c r="F4553" s="2" t="s">
        <v>1145</v>
      </c>
      <c r="G4553" s="14" t="n">
        <v>19.5</v>
      </c>
      <c r="H4553" s="14" t="n">
        <v>15.95</v>
      </c>
      <c r="I4553" s="14" t="n">
        <v>19.5</v>
      </c>
      <c r="J4553" s="22" t="n">
        <f aca="false">IF(E4553="Priority",'Cost model'!N890,'Cost model'!M890)</f>
        <v>45</v>
      </c>
      <c r="K4553" s="14" t="n">
        <f aca="false">J4553-H4553</f>
        <v>29.05</v>
      </c>
      <c r="L4553" s="14" t="n">
        <f aca="false">G4553-H4553</f>
        <v>3.55</v>
      </c>
    </row>
    <row r="4554" customFormat="false" ht="15" hidden="false" customHeight="false" outlineLevel="0" collapsed="false">
      <c r="A4554" s="2" t="s">
        <v>184</v>
      </c>
      <c r="B4554" s="2" t="s">
        <v>165</v>
      </c>
      <c r="C4554" s="2" t="s">
        <v>48</v>
      </c>
      <c r="D4554" s="2" t="s">
        <v>12</v>
      </c>
      <c r="E4554" s="2" t="s">
        <v>76</v>
      </c>
      <c r="F4554" s="2" t="s">
        <v>1146</v>
      </c>
      <c r="G4554" s="14" t="n">
        <v>9.5</v>
      </c>
      <c r="H4554" s="14" t="n">
        <v>129.11</v>
      </c>
      <c r="I4554" s="14" t="n">
        <v>19.5</v>
      </c>
      <c r="J4554" s="22" t="n">
        <f aca="false">IF(E4554="Priority",'Cost model'!N167,'Cost model'!M167)</f>
        <v>60</v>
      </c>
      <c r="K4554" s="14" t="n">
        <f aca="false">J4554-H4554</f>
        <v>-69.11</v>
      </c>
      <c r="L4554" s="14" t="n">
        <f aca="false">G4554-H4554</f>
        <v>-119.61</v>
      </c>
    </row>
    <row r="4555" customFormat="false" ht="15" hidden="false" customHeight="false" outlineLevel="0" collapsed="false">
      <c r="A4555" s="2" t="s">
        <v>240</v>
      </c>
      <c r="B4555" s="2" t="s">
        <v>240</v>
      </c>
      <c r="C4555" s="2" t="s">
        <v>50</v>
      </c>
      <c r="D4555" s="2" t="s">
        <v>14</v>
      </c>
      <c r="E4555" s="2" t="s">
        <v>85</v>
      </c>
      <c r="F4555" s="2" t="s">
        <v>1145</v>
      </c>
      <c r="G4555" s="14" t="n">
        <v>150</v>
      </c>
      <c r="H4555" s="14" t="n">
        <v>570.57</v>
      </c>
      <c r="I4555" s="14" t="n">
        <v>150</v>
      </c>
      <c r="J4555" s="22" t="n">
        <f aca="false">IF(E4555="Priority",'Cost model'!N895,'Cost model'!M895)</f>
        <v>385</v>
      </c>
      <c r="K4555" s="14" t="n">
        <f aca="false">J4555-H4555</f>
        <v>-185.57</v>
      </c>
      <c r="L4555" s="14" t="n">
        <f aca="false">G4555-H4555</f>
        <v>-420.57</v>
      </c>
    </row>
    <row r="4556" customFormat="false" ht="15" hidden="false" customHeight="false" outlineLevel="0" collapsed="false">
      <c r="A4556" s="2" t="s">
        <v>240</v>
      </c>
      <c r="B4556" s="2" t="s">
        <v>240</v>
      </c>
      <c r="C4556" s="2" t="s">
        <v>48</v>
      </c>
      <c r="D4556" s="2" t="s">
        <v>12</v>
      </c>
      <c r="E4556" s="2" t="s">
        <v>76</v>
      </c>
      <c r="F4556" s="2" t="s">
        <v>1145</v>
      </c>
      <c r="G4556" s="14" t="n">
        <v>9.5</v>
      </c>
      <c r="H4556" s="14" t="n">
        <v>41.18</v>
      </c>
      <c r="I4556" s="14" t="n">
        <v>9.5</v>
      </c>
      <c r="J4556" s="22" t="n">
        <f aca="false">IF(E4556="Priority",'Cost model'!N887,'Cost model'!M887)</f>
        <v>21.5</v>
      </c>
      <c r="K4556" s="14" t="n">
        <f aca="false">J4556-H4556</f>
        <v>-19.68</v>
      </c>
      <c r="L4556" s="14" t="n">
        <f aca="false">G4556-H4556</f>
        <v>-31.68</v>
      </c>
    </row>
    <row r="4557" customFormat="false" ht="15" hidden="false" customHeight="false" outlineLevel="0" collapsed="false">
      <c r="A4557" s="2" t="s">
        <v>126</v>
      </c>
      <c r="B4557" s="2" t="s">
        <v>126</v>
      </c>
      <c r="C4557" s="2" t="s">
        <v>48</v>
      </c>
      <c r="D4557" s="2" t="s">
        <v>10</v>
      </c>
      <c r="E4557" s="2" t="s">
        <v>76</v>
      </c>
      <c r="F4557" s="2" t="s">
        <v>1145</v>
      </c>
      <c r="G4557" s="14" t="n">
        <v>9.5</v>
      </c>
      <c r="H4557" s="14" t="n">
        <v>7.45</v>
      </c>
      <c r="I4557" s="14" t="n">
        <v>9.5</v>
      </c>
      <c r="J4557" s="22" t="n">
        <f aca="false">IF(E4557="Priority",'Cost model'!N380,'Cost model'!M380)</f>
        <v>8.5</v>
      </c>
      <c r="K4557" s="14" t="n">
        <f aca="false">J4557-H4557</f>
        <v>1.05</v>
      </c>
      <c r="L4557" s="14" t="n">
        <f aca="false">G4557-H4557</f>
        <v>2.05</v>
      </c>
    </row>
    <row r="4558" customFormat="false" ht="15" hidden="false" customHeight="false" outlineLevel="0" collapsed="false">
      <c r="A4558" s="2" t="s">
        <v>240</v>
      </c>
      <c r="B4558" s="2" t="s">
        <v>240</v>
      </c>
      <c r="C4558" s="2" t="s">
        <v>50</v>
      </c>
      <c r="D4558" s="2" t="s">
        <v>12</v>
      </c>
      <c r="E4558" s="2" t="s">
        <v>76</v>
      </c>
      <c r="F4558" s="2" t="s">
        <v>1145</v>
      </c>
      <c r="G4558" s="14" t="n">
        <v>19.5</v>
      </c>
      <c r="H4558" s="14" t="n">
        <v>25.6</v>
      </c>
      <c r="I4558" s="14" t="n">
        <v>19.5</v>
      </c>
      <c r="J4558" s="22" t="n">
        <f aca="false">IF(E4558="Priority",'Cost model'!N889,'Cost model'!M889)</f>
        <v>60</v>
      </c>
      <c r="K4558" s="14" t="n">
        <f aca="false">J4558-H4558</f>
        <v>34.4</v>
      </c>
      <c r="L4558" s="14" t="n">
        <f aca="false">G4558-H4558</f>
        <v>-6.1</v>
      </c>
    </row>
    <row r="4559" customFormat="false" ht="15" hidden="false" customHeight="false" outlineLevel="0" collapsed="false">
      <c r="A4559" s="2" t="s">
        <v>184</v>
      </c>
      <c r="B4559" s="2" t="s">
        <v>184</v>
      </c>
      <c r="C4559" s="2" t="s">
        <v>48</v>
      </c>
      <c r="D4559" s="2" t="s">
        <v>10</v>
      </c>
      <c r="E4559" s="2" t="s">
        <v>76</v>
      </c>
      <c r="F4559" s="2" t="s">
        <v>1145</v>
      </c>
      <c r="G4559" s="14" t="n">
        <v>9.5</v>
      </c>
      <c r="H4559" s="14" t="n">
        <v>8.38</v>
      </c>
      <c r="I4559" s="14" t="n">
        <v>9.5</v>
      </c>
      <c r="J4559" s="22" t="n">
        <f aca="false">IF(E4559="Priority",'Cost model'!N200,'Cost model'!M200)</f>
        <v>7.5</v>
      </c>
      <c r="K4559" s="14" t="n">
        <f aca="false">J4559-H4559</f>
        <v>-0.880000000000001</v>
      </c>
      <c r="L4559" s="14" t="n">
        <f aca="false">G4559-H4559</f>
        <v>1.12</v>
      </c>
    </row>
    <row r="4560" customFormat="false" ht="15" hidden="false" customHeight="false" outlineLevel="0" collapsed="false">
      <c r="A4560" s="2" t="s">
        <v>385</v>
      </c>
      <c r="B4560" s="2" t="s">
        <v>165</v>
      </c>
      <c r="C4560" s="2" t="s">
        <v>48</v>
      </c>
      <c r="D4560" s="2" t="s">
        <v>10</v>
      </c>
      <c r="E4560" s="2" t="s">
        <v>76</v>
      </c>
      <c r="F4560" s="2" t="s">
        <v>1146</v>
      </c>
      <c r="G4560" s="14" t="n">
        <v>19.5</v>
      </c>
      <c r="H4560" s="14" t="n">
        <v>21.61</v>
      </c>
      <c r="I4560" s="14" t="n">
        <v>19.5</v>
      </c>
      <c r="J4560" s="22" t="n">
        <f aca="false">IF(E4560="Priority",'Cost model'!N254,'Cost model'!M254)</f>
        <v>20.5</v>
      </c>
      <c r="K4560" s="14" t="n">
        <f aca="false">J4560-H4560</f>
        <v>-1.11</v>
      </c>
      <c r="L4560" s="14" t="n">
        <f aca="false">G4560-H4560</f>
        <v>-2.11</v>
      </c>
    </row>
    <row r="4561" customFormat="false" ht="15" hidden="false" customHeight="false" outlineLevel="0" collapsed="false">
      <c r="A4561" s="2" t="s">
        <v>184</v>
      </c>
      <c r="B4561" s="2" t="s">
        <v>146</v>
      </c>
      <c r="C4561" s="2" t="s">
        <v>49</v>
      </c>
      <c r="D4561" s="2" t="s">
        <v>12</v>
      </c>
      <c r="E4561" s="2" t="s">
        <v>76</v>
      </c>
      <c r="F4561" s="2" t="s">
        <v>1146</v>
      </c>
      <c r="G4561" s="14" t="n">
        <v>12.5</v>
      </c>
      <c r="H4561" s="14" t="n">
        <v>52.98</v>
      </c>
      <c r="I4561" s="14" t="n">
        <v>12.5</v>
      </c>
      <c r="J4561" s="22" t="n">
        <f aca="false">IF(E4561="Priority",'Cost model'!N150,'Cost model'!M150)</f>
        <v>55</v>
      </c>
      <c r="K4561" s="14" t="n">
        <f aca="false">J4561-H4561</f>
        <v>2.02</v>
      </c>
      <c r="L4561" s="14" t="n">
        <f aca="false">G4561-H4561</f>
        <v>-40.48</v>
      </c>
    </row>
    <row r="4562" customFormat="false" ht="15" hidden="false" customHeight="false" outlineLevel="0" collapsed="false">
      <c r="A4562" s="2" t="s">
        <v>184</v>
      </c>
      <c r="B4562" s="2" t="s">
        <v>184</v>
      </c>
      <c r="C4562" s="2" t="s">
        <v>49</v>
      </c>
      <c r="D4562" s="2" t="s">
        <v>12</v>
      </c>
      <c r="E4562" s="2" t="s">
        <v>76</v>
      </c>
      <c r="F4562" s="2" t="s">
        <v>1145</v>
      </c>
      <c r="G4562" s="14" t="n">
        <v>12.5</v>
      </c>
      <c r="H4562" s="14" t="n">
        <v>47.53</v>
      </c>
      <c r="I4562" s="14"/>
      <c r="J4562" s="22" t="n">
        <f aca="false">IF(E4562="Priority",'Cost model'!N204,'Cost model'!M204)</f>
        <v>45</v>
      </c>
      <c r="K4562" s="14" t="n">
        <f aca="false">J4562-H4562</f>
        <v>-2.53</v>
      </c>
      <c r="L4562" s="14" t="n">
        <f aca="false">G4562-H4562</f>
        <v>-35.03</v>
      </c>
    </row>
    <row r="4563" customFormat="false" ht="15" hidden="false" customHeight="false" outlineLevel="0" collapsed="false">
      <c r="A4563" s="2" t="s">
        <v>146</v>
      </c>
      <c r="B4563" s="2" t="s">
        <v>146</v>
      </c>
      <c r="C4563" s="2" t="s">
        <v>50</v>
      </c>
      <c r="D4563" s="2" t="s">
        <v>13</v>
      </c>
      <c r="E4563" s="2" t="s">
        <v>76</v>
      </c>
      <c r="F4563" s="2" t="s">
        <v>1145</v>
      </c>
      <c r="G4563" s="14" t="n">
        <v>50</v>
      </c>
      <c r="H4563" s="14" t="n">
        <v>65.52</v>
      </c>
      <c r="I4563" s="14" t="n">
        <v>50</v>
      </c>
      <c r="J4563" s="22" t="n">
        <f aca="false">IF(E4563="Priority",'Cost model'!N766,'Cost model'!M766)</f>
        <v>90</v>
      </c>
      <c r="K4563" s="14" t="n">
        <f aca="false">J4563-H4563</f>
        <v>24.48</v>
      </c>
      <c r="L4563" s="14" t="n">
        <f aca="false">G4563-H4563</f>
        <v>-15.52</v>
      </c>
    </row>
    <row r="4564" customFormat="false" ht="15" hidden="false" customHeight="false" outlineLevel="0" collapsed="false">
      <c r="A4564" s="2" t="s">
        <v>184</v>
      </c>
      <c r="B4564" s="2" t="s">
        <v>184</v>
      </c>
      <c r="C4564" s="2" t="s">
        <v>48</v>
      </c>
      <c r="D4564" s="2" t="s">
        <v>12</v>
      </c>
      <c r="E4564" s="2" t="s">
        <v>76</v>
      </c>
      <c r="F4564" s="2" t="s">
        <v>1145</v>
      </c>
      <c r="G4564" s="14" t="n">
        <v>9.5</v>
      </c>
      <c r="H4564" s="14" t="n">
        <v>30.46</v>
      </c>
      <c r="I4564" s="14" t="n">
        <v>9.5</v>
      </c>
      <c r="J4564" s="22" t="n">
        <f aca="false">IF(E4564="Priority",'Cost model'!N203,'Cost model'!M203)</f>
        <v>26.5</v>
      </c>
      <c r="K4564" s="14" t="n">
        <f aca="false">J4564-H4564</f>
        <v>-3.96</v>
      </c>
      <c r="L4564" s="14" t="n">
        <f aca="false">G4564-H4564</f>
        <v>-20.96</v>
      </c>
    </row>
    <row r="4565" customFormat="false" ht="15" hidden="false" customHeight="false" outlineLevel="0" collapsed="false">
      <c r="A4565" s="2" t="s">
        <v>165</v>
      </c>
      <c r="B4565" s="2" t="s">
        <v>165</v>
      </c>
      <c r="C4565" s="2" t="s">
        <v>50</v>
      </c>
      <c r="D4565" s="2" t="s">
        <v>10</v>
      </c>
      <c r="E4565" s="2" t="s">
        <v>85</v>
      </c>
      <c r="F4565" s="2" t="s">
        <v>1145</v>
      </c>
      <c r="G4565" s="14" t="n">
        <v>24.5</v>
      </c>
      <c r="H4565" s="14" t="n">
        <v>16.05</v>
      </c>
      <c r="I4565" s="14" t="n">
        <v>24.5</v>
      </c>
      <c r="J4565" s="22" t="n">
        <f aca="false">IF(E4565="Priority",'Cost model'!N508,'Cost model'!M508)</f>
        <v>23.5</v>
      </c>
      <c r="K4565" s="14" t="n">
        <f aca="false">J4565-H4565</f>
        <v>7.45</v>
      </c>
      <c r="L4565" s="14" t="n">
        <f aca="false">G4565-H4565</f>
        <v>8.45</v>
      </c>
    </row>
    <row r="4566" customFormat="false" ht="15" hidden="false" customHeight="false" outlineLevel="0" collapsed="false">
      <c r="A4566" s="2" t="s">
        <v>126</v>
      </c>
      <c r="B4566" s="2" t="s">
        <v>126</v>
      </c>
      <c r="C4566" s="2" t="s">
        <v>49</v>
      </c>
      <c r="D4566" s="2" t="s">
        <v>12</v>
      </c>
      <c r="E4566" s="2" t="s">
        <v>85</v>
      </c>
      <c r="F4566" s="2" t="s">
        <v>1145</v>
      </c>
      <c r="G4566" s="14" t="n">
        <v>19.5</v>
      </c>
      <c r="H4566" s="14" t="n">
        <v>51.15</v>
      </c>
      <c r="I4566" s="14" t="n">
        <v>19.5</v>
      </c>
      <c r="J4566" s="22" t="n">
        <f aca="false">IF(E4566="Priority",'Cost model'!N384,'Cost model'!M384)</f>
        <v>60</v>
      </c>
      <c r="K4566" s="14" t="n">
        <f aca="false">J4566-H4566</f>
        <v>8.85</v>
      </c>
      <c r="L4566" s="14" t="n">
        <f aca="false">G4566-H4566</f>
        <v>-31.65</v>
      </c>
    </row>
    <row r="4567" customFormat="false" ht="15" hidden="false" customHeight="false" outlineLevel="0" collapsed="false">
      <c r="A4567" s="2" t="s">
        <v>146</v>
      </c>
      <c r="B4567" s="2" t="s">
        <v>146</v>
      </c>
      <c r="C4567" s="2" t="s">
        <v>49</v>
      </c>
      <c r="D4567" s="2" t="s">
        <v>10</v>
      </c>
      <c r="E4567" s="2" t="s">
        <v>76</v>
      </c>
      <c r="F4567" s="2" t="s">
        <v>1145</v>
      </c>
      <c r="G4567" s="14" t="n">
        <v>12.5</v>
      </c>
      <c r="H4567" s="14" t="n">
        <v>8.8</v>
      </c>
      <c r="I4567" s="14" t="n">
        <v>12.5</v>
      </c>
      <c r="J4567" s="22" t="n">
        <f aca="false">IF(E4567="Priority",'Cost model'!N759,'Cost model'!M759)</f>
        <v>15.5</v>
      </c>
      <c r="K4567" s="14" t="n">
        <f aca="false">J4567-H4567</f>
        <v>6.7</v>
      </c>
      <c r="L4567" s="14" t="n">
        <f aca="false">G4567-H4567</f>
        <v>3.7</v>
      </c>
    </row>
    <row r="4568" customFormat="false" ht="15" hidden="false" customHeight="false" outlineLevel="0" collapsed="false">
      <c r="A4568" s="2" t="s">
        <v>184</v>
      </c>
      <c r="B4568" s="2" t="s">
        <v>126</v>
      </c>
      <c r="C4568" s="2" t="s">
        <v>48</v>
      </c>
      <c r="D4568" s="2" t="s">
        <v>10</v>
      </c>
      <c r="E4568" s="2" t="s">
        <v>76</v>
      </c>
      <c r="F4568" s="2" t="s">
        <v>1146</v>
      </c>
      <c r="G4568" s="14" t="n">
        <v>9.5</v>
      </c>
      <c r="H4568" s="14" t="n">
        <v>9.37</v>
      </c>
      <c r="I4568" s="14" t="n">
        <v>9.5</v>
      </c>
      <c r="J4568" s="22" t="n">
        <f aca="false">IF(E4568="Priority",'Cost model'!N128,'Cost model'!M128)</f>
        <v>10.5</v>
      </c>
      <c r="K4568" s="14" t="n">
        <f aca="false">J4568-H4568</f>
        <v>1.13</v>
      </c>
      <c r="L4568" s="14" t="n">
        <f aca="false">G4568-H4568</f>
        <v>0.130000000000001</v>
      </c>
    </row>
    <row r="4569" customFormat="false" ht="15" hidden="false" customHeight="false" outlineLevel="0" collapsed="false">
      <c r="A4569" s="2" t="s">
        <v>184</v>
      </c>
      <c r="B4569" s="2" t="s">
        <v>146</v>
      </c>
      <c r="C4569" s="2" t="s">
        <v>48</v>
      </c>
      <c r="D4569" s="2" t="s">
        <v>13</v>
      </c>
      <c r="E4569" s="2" t="s">
        <v>76</v>
      </c>
      <c r="F4569" s="2" t="s">
        <v>1146</v>
      </c>
      <c r="G4569" s="14" t="n">
        <v>19</v>
      </c>
      <c r="H4569" s="14" t="n">
        <v>40.99</v>
      </c>
      <c r="I4569" s="14" t="n">
        <v>19</v>
      </c>
      <c r="J4569" s="22" t="n">
        <f aca="false">IF(E4569="Priority",'Cost model'!N152,'Cost model'!M152)</f>
        <v>65</v>
      </c>
      <c r="K4569" s="14" t="n">
        <f aca="false">J4569-H4569</f>
        <v>24.01</v>
      </c>
      <c r="L4569" s="14" t="n">
        <f aca="false">G4569-H4569</f>
        <v>-21.99</v>
      </c>
    </row>
    <row r="4570" customFormat="false" ht="15" hidden="false" customHeight="false" outlineLevel="0" collapsed="false">
      <c r="A4570" s="2" t="s">
        <v>125</v>
      </c>
      <c r="B4570" s="2" t="s">
        <v>221</v>
      </c>
      <c r="C4570" s="2" t="s">
        <v>48</v>
      </c>
      <c r="D4570" s="2" t="s">
        <v>10</v>
      </c>
      <c r="E4570" s="2" t="s">
        <v>76</v>
      </c>
      <c r="F4570" s="2" t="s">
        <v>1146</v>
      </c>
      <c r="G4570" s="14" t="n">
        <v>19.5</v>
      </c>
      <c r="H4570" s="14" t="n">
        <v>21.76</v>
      </c>
      <c r="I4570" s="14" t="n">
        <v>19.5</v>
      </c>
      <c r="J4570" s="22" t="n">
        <f aca="false">IF(E4570="Priority",'Cost model'!N92,'Cost model'!M92)</f>
        <v>13.5</v>
      </c>
      <c r="K4570" s="14" t="n">
        <f aca="false">J4570-H4570</f>
        <v>-8.26</v>
      </c>
      <c r="L4570" s="14" t="n">
        <f aca="false">G4570-H4570</f>
        <v>-2.26</v>
      </c>
    </row>
    <row r="4571" customFormat="false" ht="15" hidden="false" customHeight="false" outlineLevel="0" collapsed="false">
      <c r="A4571" s="2" t="s">
        <v>126</v>
      </c>
      <c r="B4571" s="2" t="s">
        <v>240</v>
      </c>
      <c r="C4571" s="2" t="s">
        <v>49</v>
      </c>
      <c r="D4571" s="2" t="s">
        <v>13</v>
      </c>
      <c r="E4571" s="2" t="s">
        <v>76</v>
      </c>
      <c r="F4571" s="2" t="s">
        <v>1146</v>
      </c>
      <c r="G4571" s="14" t="n">
        <v>24.5</v>
      </c>
      <c r="H4571" s="14" t="n">
        <v>82.58</v>
      </c>
      <c r="I4571" s="14" t="n">
        <v>45</v>
      </c>
      <c r="J4571" s="22" t="n">
        <f aca="false">IF(E4571="Priority",'Cost model'!N495,'Cost model'!M495)</f>
        <v>105</v>
      </c>
      <c r="K4571" s="14" t="n">
        <f aca="false">J4571-H4571</f>
        <v>22.42</v>
      </c>
      <c r="L4571" s="14" t="n">
        <f aca="false">G4571-H4571</f>
        <v>-58.08</v>
      </c>
    </row>
    <row r="4572" customFormat="false" ht="15" hidden="false" customHeight="false" outlineLevel="0" collapsed="false">
      <c r="A4572" s="2" t="s">
        <v>184</v>
      </c>
      <c r="B4572" s="2" t="s">
        <v>184</v>
      </c>
      <c r="C4572" s="2" t="s">
        <v>49</v>
      </c>
      <c r="D4572" s="2" t="s">
        <v>10</v>
      </c>
      <c r="E4572" s="2" t="s">
        <v>76</v>
      </c>
      <c r="F4572" s="2" t="s">
        <v>1145</v>
      </c>
      <c r="G4572" s="14" t="n">
        <v>17.5</v>
      </c>
      <c r="H4572" s="14" t="n">
        <v>15.66</v>
      </c>
      <c r="I4572" s="14"/>
      <c r="J4572" s="22" t="n">
        <f aca="false">IF(E4572="Priority",'Cost model'!N201,'Cost model'!M201)</f>
        <v>12.5</v>
      </c>
      <c r="K4572" s="14" t="n">
        <f aca="false">J4572-H4572</f>
        <v>-3.16</v>
      </c>
      <c r="L4572" s="14" t="n">
        <f aca="false">G4572-H4572</f>
        <v>1.84</v>
      </c>
    </row>
    <row r="4573" customFormat="false" ht="15" hidden="false" customHeight="false" outlineLevel="0" collapsed="false">
      <c r="A4573" s="2" t="s">
        <v>184</v>
      </c>
      <c r="B4573" s="2" t="s">
        <v>126</v>
      </c>
      <c r="C4573" s="2" t="s">
        <v>48</v>
      </c>
      <c r="D4573" s="2" t="s">
        <v>16</v>
      </c>
      <c r="E4573" s="2" t="s">
        <v>76</v>
      </c>
      <c r="F4573" s="2" t="s">
        <v>1146</v>
      </c>
      <c r="G4573" s="14" t="n">
        <v>45</v>
      </c>
      <c r="H4573" s="14" t="n">
        <v>505.68</v>
      </c>
      <c r="I4573" s="14" t="n">
        <v>45</v>
      </c>
      <c r="J4573" s="22" t="n">
        <f aca="false">IF(E4573="Priority",'Cost model'!N143,'Cost model'!M143)</f>
        <v>235</v>
      </c>
      <c r="K4573" s="14" t="n">
        <f aca="false">J4573-H4573</f>
        <v>-270.68</v>
      </c>
      <c r="L4573" s="14" t="n">
        <f aca="false">G4573-H4573</f>
        <v>-460.68</v>
      </c>
    </row>
    <row r="4574" customFormat="false" ht="15" hidden="false" customHeight="false" outlineLevel="0" collapsed="false">
      <c r="A4574" s="2" t="s">
        <v>184</v>
      </c>
      <c r="B4574" s="2" t="s">
        <v>184</v>
      </c>
      <c r="C4574" s="2" t="s">
        <v>48</v>
      </c>
      <c r="D4574" s="2" t="s">
        <v>12</v>
      </c>
      <c r="E4574" s="2" t="s">
        <v>76</v>
      </c>
      <c r="F4574" s="2" t="s">
        <v>1145</v>
      </c>
      <c r="G4574" s="14" t="n">
        <v>9.5</v>
      </c>
      <c r="H4574" s="14" t="n">
        <v>7.72</v>
      </c>
      <c r="I4574" s="14" t="n">
        <v>9.5</v>
      </c>
      <c r="J4574" s="22" t="n">
        <f aca="false">IF(E4574="Priority",'Cost model'!N203,'Cost model'!M203)</f>
        <v>26.5</v>
      </c>
      <c r="K4574" s="14" t="n">
        <f aca="false">J4574-H4574</f>
        <v>18.78</v>
      </c>
      <c r="L4574" s="14" t="n">
        <f aca="false">G4574-H4574</f>
        <v>1.78</v>
      </c>
    </row>
    <row r="4575" customFormat="false" ht="15" hidden="false" customHeight="false" outlineLevel="0" collapsed="false">
      <c r="A4575" s="2" t="s">
        <v>146</v>
      </c>
      <c r="B4575" s="2" t="s">
        <v>126</v>
      </c>
      <c r="C4575" s="2" t="s">
        <v>48</v>
      </c>
      <c r="D4575" s="2" t="s">
        <v>10</v>
      </c>
      <c r="E4575" s="2" t="s">
        <v>76</v>
      </c>
      <c r="F4575" s="2" t="s">
        <v>1146</v>
      </c>
      <c r="G4575" s="14" t="n">
        <v>14.5</v>
      </c>
      <c r="H4575" s="14" t="n">
        <v>21.76</v>
      </c>
      <c r="I4575" s="14" t="n">
        <v>14.5</v>
      </c>
      <c r="J4575" s="22" t="n">
        <f aca="false">IF(E4575="Priority",'Cost model'!N794,'Cost model'!M794)</f>
        <v>12.5</v>
      </c>
      <c r="K4575" s="14" t="n">
        <f aca="false">J4575-H4575</f>
        <v>-9.26</v>
      </c>
      <c r="L4575" s="14" t="n">
        <f aca="false">G4575-H4575</f>
        <v>-7.26</v>
      </c>
    </row>
    <row r="4576" customFormat="false" ht="15" hidden="false" customHeight="false" outlineLevel="0" collapsed="false">
      <c r="A4576" s="2" t="s">
        <v>184</v>
      </c>
      <c r="B4576" s="2" t="s">
        <v>184</v>
      </c>
      <c r="C4576" s="2" t="s">
        <v>48</v>
      </c>
      <c r="D4576" s="2" t="s">
        <v>12</v>
      </c>
      <c r="E4576" s="2" t="s">
        <v>76</v>
      </c>
      <c r="F4576" s="2" t="s">
        <v>1145</v>
      </c>
      <c r="G4576" s="14" t="n">
        <v>9.5</v>
      </c>
      <c r="H4576" s="14" t="n">
        <v>27.41</v>
      </c>
      <c r="I4576" s="14" t="n">
        <v>9.5</v>
      </c>
      <c r="J4576" s="22" t="n">
        <f aca="false">IF(E4576="Priority",'Cost model'!N203,'Cost model'!M203)</f>
        <v>26.5</v>
      </c>
      <c r="K4576" s="14" t="n">
        <f aca="false">J4576-H4576</f>
        <v>-0.91</v>
      </c>
      <c r="L4576" s="14" t="n">
        <f aca="false">G4576-H4576</f>
        <v>-17.91</v>
      </c>
    </row>
    <row r="4577" customFormat="false" ht="15" hidden="false" customHeight="false" outlineLevel="0" collapsed="false">
      <c r="A4577" s="2" t="s">
        <v>184</v>
      </c>
      <c r="B4577" s="2" t="s">
        <v>126</v>
      </c>
      <c r="C4577" s="2" t="s">
        <v>50</v>
      </c>
      <c r="D4577" s="2" t="s">
        <v>10</v>
      </c>
      <c r="E4577" s="2" t="s">
        <v>85</v>
      </c>
      <c r="F4577" s="2" t="s">
        <v>1146</v>
      </c>
      <c r="G4577" s="14" t="n">
        <v>24.5</v>
      </c>
      <c r="H4577" s="14" t="n">
        <v>23.58</v>
      </c>
      <c r="I4577" s="14" t="n">
        <v>24.5</v>
      </c>
      <c r="J4577" s="22" t="n">
        <f aca="false">IF(E4577="Priority",'Cost model'!N130,'Cost model'!M130)</f>
        <v>25.5</v>
      </c>
      <c r="K4577" s="14" t="n">
        <f aca="false">J4577-H4577</f>
        <v>1.92</v>
      </c>
      <c r="L4577" s="14" t="n">
        <f aca="false">G4577-H4577</f>
        <v>0.920000000000002</v>
      </c>
    </row>
    <row r="4578" customFormat="false" ht="15" hidden="false" customHeight="false" outlineLevel="0" collapsed="false">
      <c r="A4578" s="2" t="s">
        <v>240</v>
      </c>
      <c r="B4578" s="2" t="s">
        <v>240</v>
      </c>
      <c r="C4578" s="2" t="s">
        <v>48</v>
      </c>
      <c r="D4578" s="2" t="s">
        <v>12</v>
      </c>
      <c r="E4578" s="2" t="s">
        <v>76</v>
      </c>
      <c r="F4578" s="2" t="s">
        <v>1145</v>
      </c>
      <c r="G4578" s="14" t="n">
        <v>9.5</v>
      </c>
      <c r="H4578" s="14" t="n">
        <v>13.9</v>
      </c>
      <c r="I4578" s="14" t="n">
        <v>9.5</v>
      </c>
      <c r="J4578" s="22" t="n">
        <f aca="false">IF(E4578="Priority",'Cost model'!N887,'Cost model'!M887)</f>
        <v>21.5</v>
      </c>
      <c r="K4578" s="14" t="n">
        <f aca="false">J4578-H4578</f>
        <v>7.6</v>
      </c>
      <c r="L4578" s="14" t="n">
        <f aca="false">G4578-H4578</f>
        <v>-4.4</v>
      </c>
    </row>
    <row r="4579" customFormat="false" ht="15" hidden="false" customHeight="false" outlineLevel="0" collapsed="false">
      <c r="A4579" s="2" t="s">
        <v>184</v>
      </c>
      <c r="B4579" s="2" t="s">
        <v>126</v>
      </c>
      <c r="C4579" s="2" t="s">
        <v>49</v>
      </c>
      <c r="D4579" s="2" t="s">
        <v>10</v>
      </c>
      <c r="E4579" s="2" t="s">
        <v>76</v>
      </c>
      <c r="F4579" s="2" t="s">
        <v>1146</v>
      </c>
      <c r="G4579" s="14" t="n">
        <v>17.5</v>
      </c>
      <c r="H4579" s="14" t="n">
        <v>21.34</v>
      </c>
      <c r="I4579" s="14"/>
      <c r="J4579" s="22" t="n">
        <f aca="false">IF(E4579="Priority",'Cost model'!N129,'Cost model'!M129)</f>
        <v>13.5</v>
      </c>
      <c r="K4579" s="14" t="n">
        <f aca="false">J4579-H4579</f>
        <v>-7.84</v>
      </c>
      <c r="L4579" s="14" t="n">
        <f aca="false">G4579-H4579</f>
        <v>-3.84</v>
      </c>
    </row>
    <row r="4580" customFormat="false" ht="15" hidden="false" customHeight="false" outlineLevel="0" collapsed="false">
      <c r="A4580" s="2" t="s">
        <v>146</v>
      </c>
      <c r="B4580" s="2" t="s">
        <v>146</v>
      </c>
      <c r="C4580" s="2" t="s">
        <v>50</v>
      </c>
      <c r="D4580" s="2" t="s">
        <v>12</v>
      </c>
      <c r="E4580" s="2" t="s">
        <v>85</v>
      </c>
      <c r="F4580" s="2" t="s">
        <v>1145</v>
      </c>
      <c r="G4580" s="14" t="n">
        <v>29.5</v>
      </c>
      <c r="H4580" s="14" t="n">
        <v>47.1</v>
      </c>
      <c r="I4580" s="14" t="n">
        <v>29.5</v>
      </c>
      <c r="J4580" s="22" t="n">
        <f aca="false">IF(E4580="Priority",'Cost model'!N763,'Cost model'!M763)</f>
        <v>65</v>
      </c>
      <c r="K4580" s="14" t="n">
        <f aca="false">J4580-H4580</f>
        <v>17.9</v>
      </c>
      <c r="L4580" s="14" t="n">
        <f aca="false">G4580-H4580</f>
        <v>-17.6</v>
      </c>
    </row>
    <row r="4581" customFormat="false" ht="15" hidden="false" customHeight="false" outlineLevel="0" collapsed="false">
      <c r="A4581" s="2" t="s">
        <v>146</v>
      </c>
      <c r="B4581" s="2" t="s">
        <v>126</v>
      </c>
      <c r="C4581" s="2" t="s">
        <v>48</v>
      </c>
      <c r="D4581" s="2" t="s">
        <v>12</v>
      </c>
      <c r="E4581" s="2" t="s">
        <v>76</v>
      </c>
      <c r="F4581" s="2" t="s">
        <v>1146</v>
      </c>
      <c r="G4581" s="14" t="n">
        <v>14.5</v>
      </c>
      <c r="H4581" s="14" t="n">
        <v>43.46</v>
      </c>
      <c r="I4581" s="14" t="n">
        <v>19.5</v>
      </c>
      <c r="J4581" s="22" t="n">
        <f aca="false">IF(E4581="Priority",'Cost model'!N797,'Cost model'!M797)</f>
        <v>40</v>
      </c>
      <c r="K4581" s="14" t="n">
        <f aca="false">J4581-H4581</f>
        <v>-3.46</v>
      </c>
      <c r="L4581" s="14" t="n">
        <f aca="false">G4581-H4581</f>
        <v>-28.96</v>
      </c>
    </row>
    <row r="4582" customFormat="false" ht="15" hidden="false" customHeight="false" outlineLevel="0" collapsed="false">
      <c r="A4582" s="2" t="s">
        <v>240</v>
      </c>
      <c r="B4582" s="2" t="s">
        <v>126</v>
      </c>
      <c r="C4582" s="2" t="s">
        <v>50</v>
      </c>
      <c r="D4582" s="2" t="s">
        <v>12</v>
      </c>
      <c r="E4582" s="2" t="s">
        <v>76</v>
      </c>
      <c r="F4582" s="2" t="s">
        <v>1146</v>
      </c>
      <c r="G4582" s="14" t="n">
        <v>34.5</v>
      </c>
      <c r="H4582" s="14" t="n">
        <v>97.78</v>
      </c>
      <c r="I4582" s="14" t="n">
        <v>24.5</v>
      </c>
      <c r="J4582" s="22" t="n">
        <f aca="false">IF(E4582="Priority",'Cost model'!N961,'Cost model'!M961)</f>
        <v>75</v>
      </c>
      <c r="K4582" s="14" t="n">
        <f aca="false">J4582-H4582</f>
        <v>-22.78</v>
      </c>
      <c r="L4582" s="14" t="n">
        <f aca="false">G4582-H4582</f>
        <v>-63.28</v>
      </c>
    </row>
    <row r="4583" customFormat="false" ht="15" hidden="false" customHeight="false" outlineLevel="0" collapsed="false">
      <c r="A4583" s="2" t="s">
        <v>184</v>
      </c>
      <c r="B4583" s="2" t="s">
        <v>184</v>
      </c>
      <c r="C4583" s="2" t="s">
        <v>49</v>
      </c>
      <c r="D4583" s="2" t="s">
        <v>10</v>
      </c>
      <c r="E4583" s="2" t="s">
        <v>76</v>
      </c>
      <c r="F4583" s="2" t="s">
        <v>1145</v>
      </c>
      <c r="G4583" s="14" t="n">
        <v>17.5</v>
      </c>
      <c r="H4583" s="14" t="n">
        <v>15.38</v>
      </c>
      <c r="I4583" s="14"/>
      <c r="J4583" s="22" t="n">
        <f aca="false">IF(E4583="Priority",'Cost model'!N201,'Cost model'!M201)</f>
        <v>12.5</v>
      </c>
      <c r="K4583" s="14" t="n">
        <f aca="false">J4583-H4583</f>
        <v>-2.88</v>
      </c>
      <c r="L4583" s="14" t="n">
        <f aca="false">G4583-H4583</f>
        <v>2.12</v>
      </c>
    </row>
    <row r="4584" customFormat="false" ht="15" hidden="false" customHeight="false" outlineLevel="0" collapsed="false">
      <c r="A4584" s="2" t="s">
        <v>126</v>
      </c>
      <c r="B4584" s="2" t="s">
        <v>126</v>
      </c>
      <c r="C4584" s="2" t="s">
        <v>50</v>
      </c>
      <c r="D4584" s="2" t="s">
        <v>12</v>
      </c>
      <c r="E4584" s="2" t="s">
        <v>76</v>
      </c>
      <c r="F4584" s="2" t="s">
        <v>1145</v>
      </c>
      <c r="G4584" s="14" t="n">
        <v>19.5</v>
      </c>
      <c r="H4584" s="14" t="n">
        <v>43.77</v>
      </c>
      <c r="I4584" s="14" t="n">
        <v>19.5</v>
      </c>
      <c r="J4584" s="22" t="n">
        <f aca="false">IF(E4584="Priority",'Cost model'!N385,'Cost model'!M385)</f>
        <v>55</v>
      </c>
      <c r="K4584" s="14" t="n">
        <f aca="false">J4584-H4584</f>
        <v>11.23</v>
      </c>
      <c r="L4584" s="14" t="n">
        <f aca="false">G4584-H4584</f>
        <v>-24.27</v>
      </c>
    </row>
    <row r="4585" customFormat="false" ht="15" hidden="false" customHeight="false" outlineLevel="0" collapsed="false">
      <c r="A4585" s="2" t="s">
        <v>184</v>
      </c>
      <c r="B4585" s="2" t="s">
        <v>184</v>
      </c>
      <c r="C4585" s="2" t="s">
        <v>50</v>
      </c>
      <c r="D4585" s="2" t="s">
        <v>12</v>
      </c>
      <c r="E4585" s="2" t="s">
        <v>76</v>
      </c>
      <c r="F4585" s="2" t="s">
        <v>1145</v>
      </c>
      <c r="G4585" s="14" t="n">
        <v>19.5</v>
      </c>
      <c r="H4585" s="14" t="n">
        <v>46.37</v>
      </c>
      <c r="I4585" s="14" t="n">
        <v>19.5</v>
      </c>
      <c r="J4585" s="22" t="n">
        <f aca="false">IF(E4585="Priority",'Cost model'!N205,'Cost model'!M205)</f>
        <v>50</v>
      </c>
      <c r="K4585" s="14" t="n">
        <f aca="false">J4585-H4585</f>
        <v>3.63</v>
      </c>
      <c r="L4585" s="14" t="n">
        <f aca="false">G4585-H4585</f>
        <v>-26.87</v>
      </c>
    </row>
    <row r="4586" customFormat="false" ht="15" hidden="false" customHeight="false" outlineLevel="0" collapsed="false">
      <c r="A4586" s="2" t="s">
        <v>240</v>
      </c>
      <c r="B4586" s="2" t="s">
        <v>240</v>
      </c>
      <c r="C4586" s="2" t="s">
        <v>50</v>
      </c>
      <c r="D4586" s="2" t="s">
        <v>10</v>
      </c>
      <c r="E4586" s="2" t="s">
        <v>76</v>
      </c>
      <c r="F4586" s="2" t="s">
        <v>1145</v>
      </c>
      <c r="G4586" s="14" t="n">
        <v>17.5</v>
      </c>
      <c r="H4586" s="14" t="n">
        <v>11.58</v>
      </c>
      <c r="I4586" s="14" t="n">
        <v>17.5</v>
      </c>
      <c r="J4586" s="22" t="n">
        <f aca="false">IF(E4586="Priority",'Cost model'!N886,'Cost model'!M886)</f>
        <v>17.5</v>
      </c>
      <c r="K4586" s="14" t="n">
        <f aca="false">J4586-H4586</f>
        <v>5.92</v>
      </c>
      <c r="L4586" s="14" t="n">
        <f aca="false">G4586-H4586</f>
        <v>5.92</v>
      </c>
    </row>
    <row r="4587" customFormat="false" ht="15" hidden="false" customHeight="false" outlineLevel="0" collapsed="false">
      <c r="A4587" s="2" t="s">
        <v>126</v>
      </c>
      <c r="B4587" s="2" t="s">
        <v>126</v>
      </c>
      <c r="C4587" s="2" t="s">
        <v>48</v>
      </c>
      <c r="D4587" s="2" t="s">
        <v>14</v>
      </c>
      <c r="E4587" s="2" t="s">
        <v>76</v>
      </c>
      <c r="F4587" s="2" t="s">
        <v>1145</v>
      </c>
      <c r="G4587" s="14" t="n">
        <v>25</v>
      </c>
      <c r="H4587" s="14" t="n">
        <v>151.44</v>
      </c>
      <c r="I4587" s="14" t="n">
        <v>25</v>
      </c>
      <c r="J4587" s="22" t="n">
        <f aca="false">IF(E4587="Priority",'Cost model'!N389,'Cost model'!M389)</f>
        <v>95</v>
      </c>
      <c r="K4587" s="14" t="n">
        <f aca="false">J4587-H4587</f>
        <v>-56.44</v>
      </c>
      <c r="L4587" s="14" t="n">
        <f aca="false">G4587-H4587</f>
        <v>-126.44</v>
      </c>
    </row>
    <row r="4588" customFormat="false" ht="15" hidden="false" customHeight="false" outlineLevel="0" collapsed="false">
      <c r="A4588" s="2" t="s">
        <v>126</v>
      </c>
      <c r="B4588" s="2" t="s">
        <v>126</v>
      </c>
      <c r="C4588" s="2" t="s">
        <v>48</v>
      </c>
      <c r="D4588" s="2" t="s">
        <v>10</v>
      </c>
      <c r="E4588" s="2" t="s">
        <v>76</v>
      </c>
      <c r="F4588" s="2" t="s">
        <v>1145</v>
      </c>
      <c r="G4588" s="14" t="n">
        <v>9.5</v>
      </c>
      <c r="H4588" s="14" t="n">
        <v>7.72</v>
      </c>
      <c r="I4588" s="14" t="n">
        <v>9.5</v>
      </c>
      <c r="J4588" s="22" t="n">
        <f aca="false">IF(E4588="Priority",'Cost model'!N380,'Cost model'!M380)</f>
        <v>8.5</v>
      </c>
      <c r="K4588" s="14" t="n">
        <f aca="false">J4588-H4588</f>
        <v>0.78</v>
      </c>
      <c r="L4588" s="14" t="n">
        <f aca="false">G4588-H4588</f>
        <v>1.78</v>
      </c>
    </row>
    <row r="4589" customFormat="false" ht="15" hidden="false" customHeight="false" outlineLevel="0" collapsed="false">
      <c r="A4589" s="2" t="s">
        <v>240</v>
      </c>
      <c r="B4589" s="2" t="s">
        <v>240</v>
      </c>
      <c r="C4589" s="2" t="s">
        <v>50</v>
      </c>
      <c r="D4589" s="2" t="s">
        <v>13</v>
      </c>
      <c r="E4589" s="2" t="s">
        <v>76</v>
      </c>
      <c r="F4589" s="2" t="s">
        <v>1145</v>
      </c>
      <c r="G4589" s="14" t="n">
        <v>50</v>
      </c>
      <c r="H4589" s="14" t="n">
        <v>137.15</v>
      </c>
      <c r="I4589" s="14" t="n">
        <v>50</v>
      </c>
      <c r="J4589" s="22" t="n">
        <f aca="false">IF(E4589="Priority",'Cost model'!N892,'Cost model'!M892)</f>
        <v>130</v>
      </c>
      <c r="K4589" s="14" t="n">
        <f aca="false">J4589-H4589</f>
        <v>-7.15000000000001</v>
      </c>
      <c r="L4589" s="14" t="n">
        <f aca="false">G4589-H4589</f>
        <v>-87.15</v>
      </c>
    </row>
    <row r="4590" customFormat="false" ht="15" hidden="false" customHeight="false" outlineLevel="0" collapsed="false">
      <c r="A4590" s="2" t="s">
        <v>184</v>
      </c>
      <c r="B4590" s="2" t="s">
        <v>184</v>
      </c>
      <c r="C4590" s="2" t="s">
        <v>49</v>
      </c>
      <c r="D4590" s="2" t="s">
        <v>10</v>
      </c>
      <c r="E4590" s="2" t="s">
        <v>76</v>
      </c>
      <c r="F4590" s="2" t="s">
        <v>1145</v>
      </c>
      <c r="G4590" s="14" t="n">
        <v>17.5</v>
      </c>
      <c r="H4590" s="14" t="n">
        <v>7.02</v>
      </c>
      <c r="I4590" s="14"/>
      <c r="J4590" s="22" t="n">
        <f aca="false">IF(E4590="Priority",'Cost model'!N201,'Cost model'!M201)</f>
        <v>12.5</v>
      </c>
      <c r="K4590" s="14" t="n">
        <f aca="false">J4590-H4590</f>
        <v>5.48</v>
      </c>
      <c r="L4590" s="14" t="n">
        <f aca="false">G4590-H4590</f>
        <v>10.48</v>
      </c>
    </row>
    <row r="4591" customFormat="false" ht="15" hidden="false" customHeight="false" outlineLevel="0" collapsed="false">
      <c r="A4591" s="2" t="s">
        <v>146</v>
      </c>
      <c r="B4591" s="2" t="s">
        <v>146</v>
      </c>
      <c r="C4591" s="2" t="s">
        <v>50</v>
      </c>
      <c r="D4591" s="2" t="s">
        <v>10</v>
      </c>
      <c r="E4591" s="2" t="s">
        <v>85</v>
      </c>
      <c r="F4591" s="2" t="s">
        <v>1145</v>
      </c>
      <c r="G4591" s="14" t="n">
        <v>24.5</v>
      </c>
      <c r="H4591" s="14" t="n">
        <v>14.63</v>
      </c>
      <c r="I4591" s="14" t="n">
        <v>24.5</v>
      </c>
      <c r="J4591" s="22" t="n">
        <f aca="false">IF(E4591="Priority",'Cost model'!N760,'Cost model'!M760)</f>
        <v>25.5</v>
      </c>
      <c r="K4591" s="14" t="n">
        <f aca="false">J4591-H4591</f>
        <v>10.87</v>
      </c>
      <c r="L4591" s="14" t="n">
        <f aca="false">G4591-H4591</f>
        <v>9.87</v>
      </c>
    </row>
    <row r="4592" customFormat="false" ht="15" hidden="false" customHeight="false" outlineLevel="0" collapsed="false">
      <c r="A4592" s="2" t="s">
        <v>184</v>
      </c>
      <c r="B4592" s="2" t="s">
        <v>126</v>
      </c>
      <c r="C4592" s="2" t="s">
        <v>50</v>
      </c>
      <c r="D4592" s="2" t="s">
        <v>10</v>
      </c>
      <c r="E4592" s="2" t="s">
        <v>76</v>
      </c>
      <c r="F4592" s="2" t="s">
        <v>1146</v>
      </c>
      <c r="G4592" s="14" t="n">
        <v>17.5</v>
      </c>
      <c r="H4592" s="14" t="n">
        <v>11.92</v>
      </c>
      <c r="I4592" s="14" t="n">
        <v>17.5</v>
      </c>
      <c r="J4592" s="22" t="n">
        <f aca="false">IF(E4592="Priority",'Cost model'!N130,'Cost model'!M130)</f>
        <v>18.5</v>
      </c>
      <c r="K4592" s="14" t="n">
        <f aca="false">J4592-H4592</f>
        <v>6.58</v>
      </c>
      <c r="L4592" s="14" t="n">
        <f aca="false">G4592-H4592</f>
        <v>5.58</v>
      </c>
    </row>
    <row r="4593" customFormat="false" ht="15" hidden="false" customHeight="false" outlineLevel="0" collapsed="false">
      <c r="A4593" s="2" t="s">
        <v>126</v>
      </c>
      <c r="B4593" s="2" t="s">
        <v>126</v>
      </c>
      <c r="C4593" s="2" t="s">
        <v>50</v>
      </c>
      <c r="D4593" s="2" t="s">
        <v>10</v>
      </c>
      <c r="E4593" s="2" t="s">
        <v>76</v>
      </c>
      <c r="F4593" s="2" t="s">
        <v>1145</v>
      </c>
      <c r="G4593" s="14" t="n">
        <v>17.5</v>
      </c>
      <c r="H4593" s="14" t="n">
        <v>16.84</v>
      </c>
      <c r="I4593" s="14" t="n">
        <v>17.5</v>
      </c>
      <c r="J4593" s="22" t="n">
        <f aca="false">IF(E4593="Priority",'Cost model'!N382,'Cost model'!M382)</f>
        <v>18.5</v>
      </c>
      <c r="K4593" s="14" t="n">
        <f aca="false">J4593-H4593</f>
        <v>1.66</v>
      </c>
      <c r="L4593" s="14" t="n">
        <f aca="false">G4593-H4593</f>
        <v>0.66</v>
      </c>
    </row>
    <row r="4594" customFormat="false" ht="15" hidden="false" customHeight="false" outlineLevel="0" collapsed="false">
      <c r="A4594" s="2" t="s">
        <v>184</v>
      </c>
      <c r="B4594" s="2" t="s">
        <v>184</v>
      </c>
      <c r="C4594" s="2" t="s">
        <v>48</v>
      </c>
      <c r="D4594" s="2" t="s">
        <v>12</v>
      </c>
      <c r="E4594" s="2" t="s">
        <v>76</v>
      </c>
      <c r="F4594" s="2" t="s">
        <v>1145</v>
      </c>
      <c r="G4594" s="14" t="n">
        <v>9.5</v>
      </c>
      <c r="H4594" s="14" t="n">
        <v>10.8</v>
      </c>
      <c r="I4594" s="14" t="n">
        <v>9.5</v>
      </c>
      <c r="J4594" s="22" t="n">
        <f aca="false">IF(E4594="Priority",'Cost model'!N203,'Cost model'!M203)</f>
        <v>26.5</v>
      </c>
      <c r="K4594" s="14" t="n">
        <f aca="false">J4594-H4594</f>
        <v>15.7</v>
      </c>
      <c r="L4594" s="14" t="n">
        <f aca="false">G4594-H4594</f>
        <v>-1.3</v>
      </c>
    </row>
    <row r="4595" customFormat="false" ht="15" hidden="false" customHeight="false" outlineLevel="0" collapsed="false">
      <c r="A4595" s="2" t="s">
        <v>126</v>
      </c>
      <c r="B4595" s="2" t="s">
        <v>126</v>
      </c>
      <c r="C4595" s="2" t="s">
        <v>48</v>
      </c>
      <c r="D4595" s="2" t="s">
        <v>10</v>
      </c>
      <c r="E4595" s="2" t="s">
        <v>76</v>
      </c>
      <c r="F4595" s="2" t="s">
        <v>1145</v>
      </c>
      <c r="G4595" s="14" t="n">
        <v>9.5</v>
      </c>
      <c r="H4595" s="14" t="n">
        <v>7.5</v>
      </c>
      <c r="I4595" s="14" t="n">
        <v>9.5</v>
      </c>
      <c r="J4595" s="22" t="n">
        <f aca="false">IF(E4595="Priority",'Cost model'!N380,'Cost model'!M380)</f>
        <v>8.5</v>
      </c>
      <c r="K4595" s="14" t="n">
        <f aca="false">J4595-H4595</f>
        <v>1</v>
      </c>
      <c r="L4595" s="14" t="n">
        <f aca="false">G4595-H4595</f>
        <v>2</v>
      </c>
    </row>
    <row r="4596" customFormat="false" ht="15" hidden="false" customHeight="false" outlineLevel="0" collapsed="false">
      <c r="A4596" s="2" t="s">
        <v>184</v>
      </c>
      <c r="B4596" s="2" t="s">
        <v>184</v>
      </c>
      <c r="C4596" s="2" t="s">
        <v>48</v>
      </c>
      <c r="D4596" s="2" t="s">
        <v>10</v>
      </c>
      <c r="E4596" s="2" t="s">
        <v>76</v>
      </c>
      <c r="F4596" s="2" t="s">
        <v>1145</v>
      </c>
      <c r="G4596" s="14" t="n">
        <v>9.5</v>
      </c>
      <c r="H4596" s="14" t="n">
        <v>8.26</v>
      </c>
      <c r="I4596" s="14" t="n">
        <v>9.5</v>
      </c>
      <c r="J4596" s="22" t="n">
        <f aca="false">IF(E4596="Priority",'Cost model'!N200,'Cost model'!M200)</f>
        <v>7.5</v>
      </c>
      <c r="K4596" s="14" t="n">
        <f aca="false">J4596-H4596</f>
        <v>-0.76</v>
      </c>
      <c r="L4596" s="14" t="n">
        <f aca="false">G4596-H4596</f>
        <v>1.24</v>
      </c>
    </row>
    <row r="4597" customFormat="false" ht="15" hidden="false" customHeight="false" outlineLevel="0" collapsed="false">
      <c r="A4597" s="2" t="s">
        <v>126</v>
      </c>
      <c r="B4597" s="2" t="s">
        <v>126</v>
      </c>
      <c r="C4597" s="2" t="s">
        <v>48</v>
      </c>
      <c r="D4597" s="2" t="s">
        <v>12</v>
      </c>
      <c r="E4597" s="2" t="s">
        <v>76</v>
      </c>
      <c r="F4597" s="2" t="s">
        <v>1145</v>
      </c>
      <c r="G4597" s="14" t="n">
        <v>9.5</v>
      </c>
      <c r="H4597" s="14" t="n">
        <v>29.71</v>
      </c>
      <c r="I4597" s="14" t="n">
        <v>9.5</v>
      </c>
      <c r="J4597" s="22" t="n">
        <f aca="false">IF(E4597="Priority",'Cost model'!N383,'Cost model'!M383)</f>
        <v>27.5</v>
      </c>
      <c r="K4597" s="14" t="n">
        <f aca="false">J4597-H4597</f>
        <v>-2.21</v>
      </c>
      <c r="L4597" s="14" t="n">
        <f aca="false">G4597-H4597</f>
        <v>-20.21</v>
      </c>
    </row>
    <row r="4598" customFormat="false" ht="15" hidden="false" customHeight="false" outlineLevel="0" collapsed="false">
      <c r="A4598" s="2" t="s">
        <v>126</v>
      </c>
      <c r="B4598" s="2" t="s">
        <v>126</v>
      </c>
      <c r="C4598" s="2" t="s">
        <v>48</v>
      </c>
      <c r="D4598" s="2" t="s">
        <v>12</v>
      </c>
      <c r="E4598" s="2" t="s">
        <v>85</v>
      </c>
      <c r="F4598" s="2" t="s">
        <v>1145</v>
      </c>
      <c r="G4598" s="14" t="n">
        <v>19.5</v>
      </c>
      <c r="H4598" s="14" t="n">
        <v>44.23</v>
      </c>
      <c r="I4598" s="14" t="n">
        <v>19.5</v>
      </c>
      <c r="J4598" s="22" t="n">
        <f aca="false">IF(E4598="Priority",'Cost model'!N383,'Cost model'!M383)</f>
        <v>35</v>
      </c>
      <c r="K4598" s="14" t="n">
        <f aca="false">J4598-H4598</f>
        <v>-9.23</v>
      </c>
      <c r="L4598" s="14" t="n">
        <f aca="false">G4598-H4598</f>
        <v>-24.73</v>
      </c>
    </row>
    <row r="4599" customFormat="false" ht="15" hidden="false" customHeight="false" outlineLevel="0" collapsed="false">
      <c r="A4599" s="2" t="s">
        <v>240</v>
      </c>
      <c r="B4599" s="2" t="s">
        <v>126</v>
      </c>
      <c r="C4599" s="2" t="s">
        <v>50</v>
      </c>
      <c r="D4599" s="2" t="s">
        <v>10</v>
      </c>
      <c r="E4599" s="2" t="s">
        <v>76</v>
      </c>
      <c r="F4599" s="2" t="s">
        <v>1146</v>
      </c>
      <c r="G4599" s="14" t="n">
        <v>17.5</v>
      </c>
      <c r="H4599" s="14" t="n">
        <v>21.76</v>
      </c>
      <c r="I4599" s="14" t="n">
        <v>19.5</v>
      </c>
      <c r="J4599" s="22" t="n">
        <f aca="false">IF(E4599="Priority",'Cost model'!N958,'Cost model'!M958)</f>
        <v>24.5</v>
      </c>
      <c r="K4599" s="14" t="n">
        <f aca="false">J4599-H4599</f>
        <v>2.74</v>
      </c>
      <c r="L4599" s="14" t="n">
        <f aca="false">G4599-H4599</f>
        <v>-4.26</v>
      </c>
    </row>
    <row r="4600" customFormat="false" ht="15" hidden="false" customHeight="false" outlineLevel="0" collapsed="false">
      <c r="A4600" s="2" t="s">
        <v>146</v>
      </c>
      <c r="B4600" s="2" t="s">
        <v>146</v>
      </c>
      <c r="C4600" s="2" t="s">
        <v>48</v>
      </c>
      <c r="D4600" s="2" t="s">
        <v>16</v>
      </c>
      <c r="E4600" s="2" t="s">
        <v>76</v>
      </c>
      <c r="F4600" s="2" t="s">
        <v>1145</v>
      </c>
      <c r="G4600" s="14" t="n">
        <v>45</v>
      </c>
      <c r="H4600" s="14" t="n">
        <v>366.6</v>
      </c>
      <c r="I4600" s="14" t="n">
        <v>45</v>
      </c>
      <c r="J4600" s="22" t="n">
        <f aca="false">IF(E4600="Priority",'Cost model'!N773,'Cost model'!M773)</f>
        <v>125</v>
      </c>
      <c r="K4600" s="14" t="n">
        <f aca="false">J4600-H4600</f>
        <v>-241.6</v>
      </c>
      <c r="L4600" s="14" t="n">
        <f aca="false">G4600-H4600</f>
        <v>-321.6</v>
      </c>
    </row>
    <row r="4601" customFormat="false" ht="15" hidden="false" customHeight="false" outlineLevel="0" collapsed="false">
      <c r="A4601" s="2" t="s">
        <v>184</v>
      </c>
      <c r="B4601" s="2" t="s">
        <v>184</v>
      </c>
      <c r="C4601" s="2" t="s">
        <v>49</v>
      </c>
      <c r="D4601" s="2" t="s">
        <v>10</v>
      </c>
      <c r="E4601" s="2" t="s">
        <v>76</v>
      </c>
      <c r="F4601" s="2" t="s">
        <v>1145</v>
      </c>
      <c r="G4601" s="14" t="n">
        <v>12.5</v>
      </c>
      <c r="H4601" s="14" t="n">
        <v>15.66</v>
      </c>
      <c r="I4601" s="14"/>
      <c r="J4601" s="22" t="n">
        <f aca="false">IF(E4601="Priority",'Cost model'!N201,'Cost model'!M201)</f>
        <v>12.5</v>
      </c>
      <c r="K4601" s="14" t="n">
        <f aca="false">J4601-H4601</f>
        <v>-3.16</v>
      </c>
      <c r="L4601" s="14" t="n">
        <f aca="false">G4601-H4601</f>
        <v>-3.16</v>
      </c>
    </row>
    <row r="4602" customFormat="false" ht="15" hidden="false" customHeight="false" outlineLevel="0" collapsed="false">
      <c r="A4602" s="2" t="s">
        <v>126</v>
      </c>
      <c r="B4602" s="2" t="s">
        <v>126</v>
      </c>
      <c r="C4602" s="2" t="s">
        <v>48</v>
      </c>
      <c r="D4602" s="2" t="s">
        <v>12</v>
      </c>
      <c r="E4602" s="2" t="s">
        <v>76</v>
      </c>
      <c r="F4602" s="2" t="s">
        <v>1145</v>
      </c>
      <c r="G4602" s="14" t="n">
        <v>9.5</v>
      </c>
      <c r="H4602" s="14" t="n">
        <v>29.12</v>
      </c>
      <c r="I4602" s="14" t="n">
        <v>9.5</v>
      </c>
      <c r="J4602" s="22" t="n">
        <f aca="false">IF(E4602="Priority",'Cost model'!N383,'Cost model'!M383)</f>
        <v>27.5</v>
      </c>
      <c r="K4602" s="14" t="n">
        <f aca="false">J4602-H4602</f>
        <v>-1.62</v>
      </c>
      <c r="L4602" s="14" t="n">
        <f aca="false">G4602-H4602</f>
        <v>-19.62</v>
      </c>
    </row>
    <row r="4603" customFormat="false" ht="15" hidden="false" customHeight="false" outlineLevel="0" collapsed="false">
      <c r="A4603" s="2" t="s">
        <v>240</v>
      </c>
      <c r="B4603" s="2" t="s">
        <v>240</v>
      </c>
      <c r="C4603" s="2" t="s">
        <v>48</v>
      </c>
      <c r="D4603" s="2" t="s">
        <v>12</v>
      </c>
      <c r="E4603" s="2" t="s">
        <v>76</v>
      </c>
      <c r="F4603" s="2" t="s">
        <v>1145</v>
      </c>
      <c r="G4603" s="14" t="n">
        <v>9.5</v>
      </c>
      <c r="H4603" s="14" t="n">
        <v>27.72</v>
      </c>
      <c r="I4603" s="14" t="n">
        <v>9.5</v>
      </c>
      <c r="J4603" s="22" t="n">
        <f aca="false">IF(E4603="Priority",'Cost model'!N887,'Cost model'!M887)</f>
        <v>21.5</v>
      </c>
      <c r="K4603" s="14" t="n">
        <f aca="false">J4603-H4603</f>
        <v>-6.22</v>
      </c>
      <c r="L4603" s="14" t="n">
        <f aca="false">G4603-H4603</f>
        <v>-18.22</v>
      </c>
    </row>
    <row r="4604" customFormat="false" ht="15" hidden="false" customHeight="false" outlineLevel="0" collapsed="false">
      <c r="A4604" s="2" t="s">
        <v>126</v>
      </c>
      <c r="B4604" s="2" t="s">
        <v>165</v>
      </c>
      <c r="C4604" s="2" t="s">
        <v>49</v>
      </c>
      <c r="D4604" s="2" t="s">
        <v>10</v>
      </c>
      <c r="E4604" s="2" t="s">
        <v>76</v>
      </c>
      <c r="F4604" s="2" t="s">
        <v>1146</v>
      </c>
      <c r="G4604" s="14" t="n">
        <v>14.5</v>
      </c>
      <c r="H4604" s="14" t="n">
        <v>24.63</v>
      </c>
      <c r="I4604" s="14" t="n">
        <v>14.5</v>
      </c>
      <c r="J4604" s="22" t="n">
        <f aca="false">IF(E4604="Priority",'Cost model'!N417,'Cost model'!M417)</f>
        <v>18.5</v>
      </c>
      <c r="K4604" s="14" t="n">
        <f aca="false">J4604-H4604</f>
        <v>-6.13</v>
      </c>
      <c r="L4604" s="14" t="n">
        <f aca="false">G4604-H4604</f>
        <v>-10.13</v>
      </c>
    </row>
    <row r="4605" customFormat="false" ht="15" hidden="false" customHeight="false" outlineLevel="0" collapsed="false">
      <c r="A4605" s="2" t="s">
        <v>184</v>
      </c>
      <c r="B4605" s="2" t="s">
        <v>184</v>
      </c>
      <c r="C4605" s="2" t="s">
        <v>49</v>
      </c>
      <c r="D4605" s="2" t="s">
        <v>16</v>
      </c>
      <c r="E4605" s="2" t="s">
        <v>76</v>
      </c>
      <c r="F4605" s="2" t="s">
        <v>1145</v>
      </c>
      <c r="G4605" s="14" t="n">
        <v>85</v>
      </c>
      <c r="H4605" s="14" t="n">
        <v>117.22</v>
      </c>
      <c r="I4605" s="14"/>
      <c r="J4605" s="22" t="n">
        <f aca="false">IF(E4605="Priority",'Cost model'!N216,'Cost model'!M216)</f>
        <v>215</v>
      </c>
      <c r="K4605" s="14" t="n">
        <f aca="false">J4605-H4605</f>
        <v>97.78</v>
      </c>
      <c r="L4605" s="14" t="n">
        <f aca="false">G4605-H4605</f>
        <v>-32.22</v>
      </c>
    </row>
    <row r="4606" customFormat="false" ht="15" hidden="false" customHeight="false" outlineLevel="0" collapsed="false">
      <c r="A4606" s="2" t="s">
        <v>184</v>
      </c>
      <c r="B4606" s="2" t="s">
        <v>184</v>
      </c>
      <c r="C4606" s="2" t="s">
        <v>50</v>
      </c>
      <c r="D4606" s="2" t="s">
        <v>10</v>
      </c>
      <c r="E4606" s="2" t="s">
        <v>76</v>
      </c>
      <c r="F4606" s="2" t="s">
        <v>1145</v>
      </c>
      <c r="G4606" s="14" t="n">
        <v>17.5</v>
      </c>
      <c r="H4606" s="14" t="n">
        <v>19.56</v>
      </c>
      <c r="I4606" s="14" t="n">
        <v>17.5</v>
      </c>
      <c r="J4606" s="22" t="n">
        <f aca="false">IF(E4606="Priority",'Cost model'!N202,'Cost model'!M202)</f>
        <v>17.5</v>
      </c>
      <c r="K4606" s="14" t="n">
        <f aca="false">J4606-H4606</f>
        <v>-2.06</v>
      </c>
      <c r="L4606" s="14" t="n">
        <f aca="false">G4606-H4606</f>
        <v>-2.06</v>
      </c>
    </row>
    <row r="4607" customFormat="false" ht="15" hidden="false" customHeight="false" outlineLevel="0" collapsed="false">
      <c r="A4607" s="2" t="s">
        <v>184</v>
      </c>
      <c r="B4607" s="2" t="s">
        <v>165</v>
      </c>
      <c r="C4607" s="2" t="s">
        <v>49</v>
      </c>
      <c r="D4607" s="2" t="s">
        <v>12</v>
      </c>
      <c r="E4607" s="2" t="s">
        <v>76</v>
      </c>
      <c r="F4607" s="2" t="s">
        <v>1146</v>
      </c>
      <c r="G4607" s="14" t="n">
        <v>12.5</v>
      </c>
      <c r="H4607" s="14" t="n">
        <v>67.1</v>
      </c>
      <c r="I4607" s="14"/>
      <c r="J4607" s="22" t="n">
        <f aca="false">IF(E4607="Priority",'Cost model'!N168,'Cost model'!M168)</f>
        <v>60</v>
      </c>
      <c r="K4607" s="14" t="n">
        <f aca="false">J4607-H4607</f>
        <v>-7.09999999999999</v>
      </c>
      <c r="L4607" s="14" t="n">
        <f aca="false">G4607-H4607</f>
        <v>-54.6</v>
      </c>
    </row>
    <row r="4608" customFormat="false" ht="15" hidden="false" customHeight="false" outlineLevel="0" collapsed="false">
      <c r="A4608" s="2" t="s">
        <v>126</v>
      </c>
      <c r="B4608" s="2" t="s">
        <v>126</v>
      </c>
      <c r="C4608" s="2" t="s">
        <v>49</v>
      </c>
      <c r="D4608" s="2" t="s">
        <v>12</v>
      </c>
      <c r="E4608" s="2" t="s">
        <v>76</v>
      </c>
      <c r="F4608" s="2" t="s">
        <v>1145</v>
      </c>
      <c r="G4608" s="14" t="n">
        <v>12.5</v>
      </c>
      <c r="H4608" s="14" t="n">
        <v>66.67</v>
      </c>
      <c r="I4608" s="14" t="n">
        <v>12.5</v>
      </c>
      <c r="J4608" s="22" t="n">
        <f aca="false">IF(E4608="Priority",'Cost model'!N384,'Cost model'!M384)</f>
        <v>45</v>
      </c>
      <c r="K4608" s="14" t="n">
        <f aca="false">J4608-H4608</f>
        <v>-21.67</v>
      </c>
      <c r="L4608" s="14" t="n">
        <f aca="false">G4608-H4608</f>
        <v>-54.17</v>
      </c>
    </row>
    <row r="4609" customFormat="false" ht="15" hidden="false" customHeight="false" outlineLevel="0" collapsed="false">
      <c r="A4609" s="2" t="s">
        <v>146</v>
      </c>
      <c r="B4609" s="2" t="s">
        <v>146</v>
      </c>
      <c r="C4609" s="2" t="s">
        <v>48</v>
      </c>
      <c r="D4609" s="2" t="s">
        <v>14</v>
      </c>
      <c r="E4609" s="2" t="s">
        <v>76</v>
      </c>
      <c r="F4609" s="2" t="s">
        <v>1145</v>
      </c>
      <c r="G4609" s="14" t="n">
        <v>25</v>
      </c>
      <c r="H4609" s="14" t="n">
        <v>118.25</v>
      </c>
      <c r="I4609" s="14" t="n">
        <v>25</v>
      </c>
      <c r="J4609" s="22" t="n">
        <f aca="false">IF(E4609="Priority",'Cost model'!N767,'Cost model'!M767)</f>
        <v>100</v>
      </c>
      <c r="K4609" s="14" t="n">
        <f aca="false">J4609-H4609</f>
        <v>-18.25</v>
      </c>
      <c r="L4609" s="14" t="n">
        <f aca="false">G4609-H4609</f>
        <v>-93.25</v>
      </c>
    </row>
    <row r="4610" customFormat="false" ht="15" hidden="false" customHeight="false" outlineLevel="0" collapsed="false">
      <c r="A4610" s="2" t="s">
        <v>184</v>
      </c>
      <c r="B4610" s="2" t="s">
        <v>184</v>
      </c>
      <c r="C4610" s="2" t="s">
        <v>48</v>
      </c>
      <c r="D4610" s="2" t="s">
        <v>12</v>
      </c>
      <c r="E4610" s="2" t="s">
        <v>76</v>
      </c>
      <c r="F4610" s="2" t="s">
        <v>1145</v>
      </c>
      <c r="G4610" s="14" t="n">
        <v>9.5</v>
      </c>
      <c r="H4610" s="14" t="n">
        <v>28.36</v>
      </c>
      <c r="I4610" s="14" t="n">
        <v>9.5</v>
      </c>
      <c r="J4610" s="22" t="n">
        <f aca="false">IF(E4610="Priority",'Cost model'!N203,'Cost model'!M203)</f>
        <v>26.5</v>
      </c>
      <c r="K4610" s="14" t="n">
        <f aca="false">J4610-H4610</f>
        <v>-1.86</v>
      </c>
      <c r="L4610" s="14" t="n">
        <f aca="false">G4610-H4610</f>
        <v>-18.86</v>
      </c>
    </row>
    <row r="4611" customFormat="false" ht="15" hidden="false" customHeight="false" outlineLevel="0" collapsed="false">
      <c r="A4611" s="2" t="s">
        <v>240</v>
      </c>
      <c r="B4611" s="2" t="s">
        <v>240</v>
      </c>
      <c r="C4611" s="2" t="s">
        <v>48</v>
      </c>
      <c r="D4611" s="2" t="s">
        <v>10</v>
      </c>
      <c r="E4611" s="2" t="s">
        <v>76</v>
      </c>
      <c r="F4611" s="2" t="s">
        <v>1145</v>
      </c>
      <c r="G4611" s="14" t="n">
        <v>9.5</v>
      </c>
      <c r="H4611" s="14" t="n">
        <v>7.93</v>
      </c>
      <c r="I4611" s="14" t="n">
        <v>9.5</v>
      </c>
      <c r="J4611" s="22" t="n">
        <f aca="false">IF(E4611="Priority",'Cost model'!N884,'Cost model'!M884)</f>
        <v>7.5</v>
      </c>
      <c r="K4611" s="14" t="n">
        <f aca="false">J4611-H4611</f>
        <v>-0.43</v>
      </c>
      <c r="L4611" s="14" t="n">
        <f aca="false">G4611-H4611</f>
        <v>1.57</v>
      </c>
    </row>
    <row r="4612" customFormat="false" ht="15" hidden="false" customHeight="false" outlineLevel="0" collapsed="false">
      <c r="A4612" s="2" t="s">
        <v>126</v>
      </c>
      <c r="B4612" s="2" t="s">
        <v>126</v>
      </c>
      <c r="C4612" s="2" t="s">
        <v>50</v>
      </c>
      <c r="D4612" s="2" t="s">
        <v>10</v>
      </c>
      <c r="E4612" s="2" t="s">
        <v>85</v>
      </c>
      <c r="F4612" s="2" t="s">
        <v>1145</v>
      </c>
      <c r="G4612" s="14" t="n">
        <v>24.5</v>
      </c>
      <c r="H4612" s="14" t="n">
        <v>23.58</v>
      </c>
      <c r="I4612" s="14" t="n">
        <v>24.5</v>
      </c>
      <c r="J4612" s="22" t="n">
        <f aca="false">IF(E4612="Priority",'Cost model'!N382,'Cost model'!M382)</f>
        <v>25.5</v>
      </c>
      <c r="K4612" s="14" t="n">
        <f aca="false">J4612-H4612</f>
        <v>1.92</v>
      </c>
      <c r="L4612" s="14" t="n">
        <f aca="false">G4612-H4612</f>
        <v>0.920000000000002</v>
      </c>
    </row>
    <row r="4613" customFormat="false" ht="15" hidden="false" customHeight="false" outlineLevel="0" collapsed="false">
      <c r="A4613" s="2" t="s">
        <v>126</v>
      </c>
      <c r="B4613" s="2" t="s">
        <v>126</v>
      </c>
      <c r="C4613" s="2" t="s">
        <v>49</v>
      </c>
      <c r="D4613" s="2" t="s">
        <v>12</v>
      </c>
      <c r="E4613" s="2" t="s">
        <v>76</v>
      </c>
      <c r="F4613" s="2" t="s">
        <v>1145</v>
      </c>
      <c r="G4613" s="14" t="n">
        <v>12.5</v>
      </c>
      <c r="H4613" s="14" t="n">
        <v>8.35</v>
      </c>
      <c r="I4613" s="14" t="n">
        <v>12.5</v>
      </c>
      <c r="J4613" s="22" t="n">
        <f aca="false">IF(E4613="Priority",'Cost model'!N384,'Cost model'!M384)</f>
        <v>45</v>
      </c>
      <c r="K4613" s="14" t="n">
        <f aca="false">J4613-H4613</f>
        <v>36.65</v>
      </c>
      <c r="L4613" s="14" t="n">
        <f aca="false">G4613-H4613</f>
        <v>4.15</v>
      </c>
    </row>
    <row r="4614" customFormat="false" ht="15" hidden="false" customHeight="false" outlineLevel="0" collapsed="false">
      <c r="A4614" s="2" t="s">
        <v>146</v>
      </c>
      <c r="B4614" s="2" t="s">
        <v>146</v>
      </c>
      <c r="C4614" s="2" t="s">
        <v>50</v>
      </c>
      <c r="D4614" s="2" t="s">
        <v>10</v>
      </c>
      <c r="E4614" s="2" t="s">
        <v>76</v>
      </c>
      <c r="F4614" s="2" t="s">
        <v>1145</v>
      </c>
      <c r="G4614" s="14" t="n">
        <v>17.5</v>
      </c>
      <c r="H4614" s="14" t="n">
        <v>10.26</v>
      </c>
      <c r="I4614" s="14" t="n">
        <v>17.5</v>
      </c>
      <c r="J4614" s="22" t="n">
        <f aca="false">IF(E4614="Priority",'Cost model'!N760,'Cost model'!M760)</f>
        <v>18.5</v>
      </c>
      <c r="K4614" s="14" t="n">
        <f aca="false">J4614-H4614</f>
        <v>8.24</v>
      </c>
      <c r="L4614" s="14" t="n">
        <f aca="false">G4614-H4614</f>
        <v>7.24</v>
      </c>
    </row>
    <row r="4615" customFormat="false" ht="15" hidden="false" customHeight="false" outlineLevel="0" collapsed="false">
      <c r="A4615" s="2" t="s">
        <v>184</v>
      </c>
      <c r="B4615" s="2" t="s">
        <v>184</v>
      </c>
      <c r="C4615" s="2" t="s">
        <v>50</v>
      </c>
      <c r="D4615" s="2" t="s">
        <v>12</v>
      </c>
      <c r="E4615" s="2" t="s">
        <v>76</v>
      </c>
      <c r="F4615" s="2" t="s">
        <v>1145</v>
      </c>
      <c r="G4615" s="14" t="n">
        <v>19.5</v>
      </c>
      <c r="H4615" s="14" t="n">
        <v>40.27</v>
      </c>
      <c r="I4615" s="14" t="n">
        <v>19.5</v>
      </c>
      <c r="J4615" s="22" t="n">
        <f aca="false">IF(E4615="Priority",'Cost model'!N205,'Cost model'!M205)</f>
        <v>50</v>
      </c>
      <c r="K4615" s="14" t="n">
        <f aca="false">J4615-H4615</f>
        <v>9.73</v>
      </c>
      <c r="L4615" s="14" t="n">
        <f aca="false">G4615-H4615</f>
        <v>-20.77</v>
      </c>
    </row>
    <row r="4616" customFormat="false" ht="15" hidden="false" customHeight="false" outlineLevel="0" collapsed="false">
      <c r="A4616" s="2" t="s">
        <v>126</v>
      </c>
      <c r="B4616" s="2" t="s">
        <v>126</v>
      </c>
      <c r="C4616" s="2" t="s">
        <v>50</v>
      </c>
      <c r="D4616" s="2" t="s">
        <v>10</v>
      </c>
      <c r="E4616" s="2" t="s">
        <v>76</v>
      </c>
      <c r="F4616" s="2" t="s">
        <v>1145</v>
      </c>
      <c r="G4616" s="14" t="n">
        <v>17.5</v>
      </c>
      <c r="H4616" s="14" t="n">
        <v>17.69</v>
      </c>
      <c r="I4616" s="14" t="n">
        <v>17.5</v>
      </c>
      <c r="J4616" s="22" t="n">
        <f aca="false">IF(E4616="Priority",'Cost model'!N382,'Cost model'!M382)</f>
        <v>18.5</v>
      </c>
      <c r="K4616" s="14" t="n">
        <f aca="false">J4616-H4616</f>
        <v>0.809999999999999</v>
      </c>
      <c r="L4616" s="14" t="n">
        <f aca="false">G4616-H4616</f>
        <v>-0.190000000000001</v>
      </c>
    </row>
    <row r="4617" customFormat="false" ht="15" hidden="false" customHeight="false" outlineLevel="0" collapsed="false">
      <c r="A4617" s="2" t="s">
        <v>146</v>
      </c>
      <c r="B4617" s="2" t="s">
        <v>146</v>
      </c>
      <c r="C4617" s="2" t="s">
        <v>49</v>
      </c>
      <c r="D4617" s="2" t="s">
        <v>12</v>
      </c>
      <c r="E4617" s="2" t="s">
        <v>76</v>
      </c>
      <c r="F4617" s="2" t="s">
        <v>1145</v>
      </c>
      <c r="G4617" s="14" t="n">
        <v>12.5</v>
      </c>
      <c r="H4617" s="14" t="n">
        <v>43.77</v>
      </c>
      <c r="I4617" s="14" t="n">
        <v>12.5</v>
      </c>
      <c r="J4617" s="22" t="n">
        <f aca="false">IF(E4617="Priority",'Cost model'!N762,'Cost model'!M762)</f>
        <v>45</v>
      </c>
      <c r="K4617" s="14" t="n">
        <f aca="false">J4617-H4617</f>
        <v>1.23</v>
      </c>
      <c r="L4617" s="14" t="n">
        <f aca="false">G4617-H4617</f>
        <v>-31.27</v>
      </c>
    </row>
    <row r="4618" customFormat="false" ht="15" hidden="false" customHeight="false" outlineLevel="0" collapsed="false">
      <c r="A4618" s="2" t="s">
        <v>240</v>
      </c>
      <c r="B4618" s="2" t="s">
        <v>240</v>
      </c>
      <c r="C4618" s="2" t="s">
        <v>48</v>
      </c>
      <c r="D4618" s="2" t="s">
        <v>10</v>
      </c>
      <c r="E4618" s="2" t="s">
        <v>76</v>
      </c>
      <c r="F4618" s="2" t="s">
        <v>1145</v>
      </c>
      <c r="G4618" s="14" t="n">
        <v>9.5</v>
      </c>
      <c r="H4618" s="14" t="n">
        <v>7.15</v>
      </c>
      <c r="I4618" s="14" t="n">
        <v>9.5</v>
      </c>
      <c r="J4618" s="22" t="n">
        <f aca="false">IF(E4618="Priority",'Cost model'!N884,'Cost model'!M884)</f>
        <v>7.5</v>
      </c>
      <c r="K4618" s="14" t="n">
        <f aca="false">J4618-H4618</f>
        <v>0.35</v>
      </c>
      <c r="L4618" s="14" t="n">
        <f aca="false">G4618-H4618</f>
        <v>2.35</v>
      </c>
    </row>
    <row r="4619" customFormat="false" ht="15" hidden="false" customHeight="false" outlineLevel="0" collapsed="false">
      <c r="A4619" s="2" t="s">
        <v>184</v>
      </c>
      <c r="B4619" s="2" t="s">
        <v>125</v>
      </c>
      <c r="C4619" s="2" t="s">
        <v>48</v>
      </c>
      <c r="D4619" s="2" t="s">
        <v>12</v>
      </c>
      <c r="E4619" s="2" t="s">
        <v>76</v>
      </c>
      <c r="F4619" s="2" t="s">
        <v>1146</v>
      </c>
      <c r="G4619" s="14" t="n">
        <v>19.5</v>
      </c>
      <c r="H4619" s="14" t="n">
        <v>33.81</v>
      </c>
      <c r="I4619" s="14" t="n">
        <v>24.5</v>
      </c>
      <c r="J4619" s="22" t="n">
        <f aca="false">IF(E4619="Priority",'Cost model'!N239,'Cost model'!M239)</f>
        <v>55</v>
      </c>
      <c r="K4619" s="14" t="n">
        <f aca="false">J4619-H4619</f>
        <v>21.19</v>
      </c>
      <c r="L4619" s="14" t="n">
        <f aca="false">G4619-H4619</f>
        <v>-14.31</v>
      </c>
    </row>
    <row r="4620" customFormat="false" ht="15" hidden="false" customHeight="false" outlineLevel="0" collapsed="false">
      <c r="A4620" s="2" t="s">
        <v>146</v>
      </c>
      <c r="B4620" s="2" t="s">
        <v>126</v>
      </c>
      <c r="C4620" s="2" t="s">
        <v>49</v>
      </c>
      <c r="D4620" s="2" t="s">
        <v>12</v>
      </c>
      <c r="E4620" s="2" t="s">
        <v>76</v>
      </c>
      <c r="F4620" s="2" t="s">
        <v>1146</v>
      </c>
      <c r="G4620" s="14" t="n">
        <v>12.5</v>
      </c>
      <c r="H4620" s="14" t="n">
        <v>28.39</v>
      </c>
      <c r="I4620" s="14" t="n">
        <v>19.5</v>
      </c>
      <c r="J4620" s="22" t="n">
        <f aca="false">IF(E4620="Priority",'Cost model'!N798,'Cost model'!M798)</f>
        <v>45</v>
      </c>
      <c r="K4620" s="14" t="n">
        <f aca="false">J4620-H4620</f>
        <v>16.61</v>
      </c>
      <c r="L4620" s="14" t="n">
        <f aca="false">G4620-H4620</f>
        <v>-15.89</v>
      </c>
    </row>
    <row r="4621" customFormat="false" ht="15" hidden="false" customHeight="false" outlineLevel="0" collapsed="false">
      <c r="A4621" s="2" t="s">
        <v>184</v>
      </c>
      <c r="B4621" s="2" t="s">
        <v>184</v>
      </c>
      <c r="C4621" s="2" t="s">
        <v>50</v>
      </c>
      <c r="D4621" s="2" t="s">
        <v>14</v>
      </c>
      <c r="E4621" s="2" t="s">
        <v>76</v>
      </c>
      <c r="F4621" s="2" t="s">
        <v>1145</v>
      </c>
      <c r="G4621" s="14" t="n">
        <v>85</v>
      </c>
      <c r="H4621" s="14" t="n">
        <v>81.54</v>
      </c>
      <c r="I4621" s="14" t="n">
        <v>85</v>
      </c>
      <c r="J4621" s="22" t="n">
        <f aca="false">IF(E4621="Priority",'Cost model'!N211,'Cost model'!M211)</f>
        <v>175</v>
      </c>
      <c r="K4621" s="14" t="n">
        <f aca="false">J4621-H4621</f>
        <v>93.46</v>
      </c>
      <c r="L4621" s="14" t="n">
        <f aca="false">G4621-H4621</f>
        <v>3.45999999999999</v>
      </c>
    </row>
    <row r="4622" customFormat="false" ht="15" hidden="false" customHeight="false" outlineLevel="0" collapsed="false">
      <c r="A4622" s="2" t="s">
        <v>240</v>
      </c>
      <c r="B4622" s="2" t="s">
        <v>240</v>
      </c>
      <c r="C4622" s="2" t="s">
        <v>49</v>
      </c>
      <c r="D4622" s="2" t="s">
        <v>12</v>
      </c>
      <c r="E4622" s="2" t="s">
        <v>85</v>
      </c>
      <c r="F4622" s="2" t="s">
        <v>1145</v>
      </c>
      <c r="G4622" s="14" t="n">
        <v>19.5</v>
      </c>
      <c r="H4622" s="14" t="n">
        <v>89.9</v>
      </c>
      <c r="I4622" s="14" t="n">
        <v>19.5</v>
      </c>
      <c r="J4622" s="22" t="n">
        <f aca="false">IF(E4622="Priority",'Cost model'!N888,'Cost model'!M888)</f>
        <v>65</v>
      </c>
      <c r="K4622" s="14" t="n">
        <f aca="false">J4622-H4622</f>
        <v>-24.9</v>
      </c>
      <c r="L4622" s="14" t="n">
        <f aca="false">G4622-H4622</f>
        <v>-70.4</v>
      </c>
    </row>
    <row r="4623" customFormat="false" ht="15" hidden="false" customHeight="false" outlineLevel="0" collapsed="false">
      <c r="A4623" s="2" t="s">
        <v>146</v>
      </c>
      <c r="B4623" s="2" t="s">
        <v>146</v>
      </c>
      <c r="C4623" s="2" t="s">
        <v>48</v>
      </c>
      <c r="D4623" s="2" t="s">
        <v>12</v>
      </c>
      <c r="E4623" s="2" t="s">
        <v>85</v>
      </c>
      <c r="F4623" s="2" t="s">
        <v>1145</v>
      </c>
      <c r="G4623" s="14" t="n">
        <v>19.5</v>
      </c>
      <c r="H4623" s="14" t="n">
        <v>99.47</v>
      </c>
      <c r="I4623" s="14" t="n">
        <v>19.5</v>
      </c>
      <c r="J4623" s="22" t="n">
        <f aca="false">IF(E4623="Priority",'Cost model'!N761,'Cost model'!M761)</f>
        <v>45</v>
      </c>
      <c r="K4623" s="14" t="n">
        <f aca="false">J4623-H4623</f>
        <v>-54.47</v>
      </c>
      <c r="L4623" s="14" t="n">
        <f aca="false">G4623-H4623</f>
        <v>-79.97</v>
      </c>
    </row>
    <row r="4624" customFormat="false" ht="15" hidden="false" customHeight="false" outlineLevel="0" collapsed="false">
      <c r="A4624" s="2" t="s">
        <v>146</v>
      </c>
      <c r="B4624" s="2" t="s">
        <v>125</v>
      </c>
      <c r="C4624" s="2" t="s">
        <v>48</v>
      </c>
      <c r="D4624" s="2" t="s">
        <v>10</v>
      </c>
      <c r="E4624" s="2" t="s">
        <v>76</v>
      </c>
      <c r="F4624" s="2" t="s">
        <v>1146</v>
      </c>
      <c r="G4624" s="14" t="n">
        <v>19.5</v>
      </c>
      <c r="H4624" s="14" t="n">
        <v>24.17</v>
      </c>
      <c r="I4624" s="14" t="n">
        <v>19.5</v>
      </c>
      <c r="J4624" s="22" t="n">
        <f aca="false">IF(E4624="Priority",'Cost model'!N866,'Cost model'!M866)</f>
        <v>15.5</v>
      </c>
      <c r="K4624" s="14" t="n">
        <f aca="false">J4624-H4624</f>
        <v>-8.67</v>
      </c>
      <c r="L4624" s="14" t="n">
        <f aca="false">G4624-H4624</f>
        <v>-4.67</v>
      </c>
    </row>
    <row r="4625" customFormat="false" ht="15" hidden="false" customHeight="false" outlineLevel="0" collapsed="false">
      <c r="A4625" s="2" t="s">
        <v>184</v>
      </c>
      <c r="B4625" s="2" t="s">
        <v>184</v>
      </c>
      <c r="C4625" s="2" t="s">
        <v>49</v>
      </c>
      <c r="D4625" s="2" t="s">
        <v>10</v>
      </c>
      <c r="E4625" s="2" t="s">
        <v>76</v>
      </c>
      <c r="F4625" s="2" t="s">
        <v>1145</v>
      </c>
      <c r="G4625" s="14" t="n">
        <v>12.5</v>
      </c>
      <c r="H4625" s="14" t="n">
        <v>8.68</v>
      </c>
      <c r="I4625" s="14"/>
      <c r="J4625" s="22" t="n">
        <f aca="false">IF(E4625="Priority",'Cost model'!N201,'Cost model'!M201)</f>
        <v>12.5</v>
      </c>
      <c r="K4625" s="14" t="n">
        <f aca="false">J4625-H4625</f>
        <v>3.82</v>
      </c>
      <c r="L4625" s="14" t="n">
        <f aca="false">G4625-H4625</f>
        <v>3.82</v>
      </c>
    </row>
    <row r="4626" customFormat="false" ht="15" hidden="false" customHeight="false" outlineLevel="0" collapsed="false">
      <c r="A4626" s="2" t="s">
        <v>184</v>
      </c>
      <c r="B4626" s="2" t="s">
        <v>184</v>
      </c>
      <c r="C4626" s="2" t="s">
        <v>50</v>
      </c>
      <c r="D4626" s="2" t="s">
        <v>12</v>
      </c>
      <c r="E4626" s="2" t="s">
        <v>76</v>
      </c>
      <c r="F4626" s="2" t="s">
        <v>1145</v>
      </c>
      <c r="G4626" s="14" t="n">
        <v>17.5</v>
      </c>
      <c r="H4626" s="14" t="n">
        <v>34.78</v>
      </c>
      <c r="I4626" s="14" t="n">
        <v>19.5</v>
      </c>
      <c r="J4626" s="22" t="n">
        <f aca="false">IF(E4626="Priority",'Cost model'!N205,'Cost model'!M205)</f>
        <v>50</v>
      </c>
      <c r="K4626" s="14" t="n">
        <f aca="false">J4626-H4626</f>
        <v>15.22</v>
      </c>
      <c r="L4626" s="14" t="n">
        <f aca="false">G4626-H4626</f>
        <v>-17.28</v>
      </c>
    </row>
    <row r="4627" customFormat="false" ht="15" hidden="false" customHeight="false" outlineLevel="0" collapsed="false">
      <c r="A4627" s="2" t="s">
        <v>385</v>
      </c>
      <c r="B4627" s="2" t="s">
        <v>165</v>
      </c>
      <c r="C4627" s="2" t="s">
        <v>50</v>
      </c>
      <c r="D4627" s="2" t="s">
        <v>10</v>
      </c>
      <c r="E4627" s="2" t="s">
        <v>85</v>
      </c>
      <c r="F4627" s="2" t="s">
        <v>1146</v>
      </c>
      <c r="G4627" s="14" t="n">
        <v>34.5</v>
      </c>
      <c r="H4627" s="14" t="n">
        <v>24.17</v>
      </c>
      <c r="I4627" s="14" t="n">
        <v>34.5</v>
      </c>
      <c r="J4627" s="22" t="n">
        <f aca="false">IF(E4627="Priority",'Cost model'!N256,'Cost model'!M256)</f>
        <v>35</v>
      </c>
      <c r="K4627" s="14" t="n">
        <f aca="false">J4627-H4627</f>
        <v>10.83</v>
      </c>
      <c r="L4627" s="14" t="n">
        <f aca="false">G4627-H4627</f>
        <v>10.33</v>
      </c>
    </row>
    <row r="4628" customFormat="false" ht="15" hidden="false" customHeight="false" outlineLevel="0" collapsed="false">
      <c r="A4628" s="2" t="s">
        <v>146</v>
      </c>
      <c r="B4628" s="2" t="s">
        <v>146</v>
      </c>
      <c r="C4628" s="2" t="s">
        <v>50</v>
      </c>
      <c r="D4628" s="2" t="s">
        <v>12</v>
      </c>
      <c r="E4628" s="2" t="s">
        <v>76</v>
      </c>
      <c r="F4628" s="2" t="s">
        <v>1145</v>
      </c>
      <c r="G4628" s="14" t="n">
        <v>19.5</v>
      </c>
      <c r="H4628" s="14" t="n">
        <v>20.57</v>
      </c>
      <c r="I4628" s="14" t="n">
        <v>19.5</v>
      </c>
      <c r="J4628" s="22" t="n">
        <f aca="false">IF(E4628="Priority",'Cost model'!N763,'Cost model'!M763)</f>
        <v>50</v>
      </c>
      <c r="K4628" s="14" t="n">
        <f aca="false">J4628-H4628</f>
        <v>29.43</v>
      </c>
      <c r="L4628" s="14" t="n">
        <f aca="false">G4628-H4628</f>
        <v>-1.07</v>
      </c>
    </row>
    <row r="4629" customFormat="false" ht="15" hidden="false" customHeight="false" outlineLevel="0" collapsed="false">
      <c r="A4629" s="2" t="s">
        <v>146</v>
      </c>
      <c r="B4629" s="2" t="s">
        <v>146</v>
      </c>
      <c r="C4629" s="2" t="s">
        <v>50</v>
      </c>
      <c r="D4629" s="2" t="s">
        <v>10</v>
      </c>
      <c r="E4629" s="2" t="s">
        <v>76</v>
      </c>
      <c r="F4629" s="2" t="s">
        <v>1145</v>
      </c>
      <c r="G4629" s="14" t="n">
        <v>17.5</v>
      </c>
      <c r="H4629" s="14" t="n">
        <v>21.76</v>
      </c>
      <c r="I4629" s="14" t="n">
        <v>17.5</v>
      </c>
      <c r="J4629" s="22" t="n">
        <f aca="false">IF(E4629="Priority",'Cost model'!N760,'Cost model'!M760)</f>
        <v>18.5</v>
      </c>
      <c r="K4629" s="14" t="n">
        <f aca="false">J4629-H4629</f>
        <v>-3.26</v>
      </c>
      <c r="L4629" s="14" t="n">
        <f aca="false">G4629-H4629</f>
        <v>-4.26</v>
      </c>
    </row>
    <row r="4630" customFormat="false" ht="15" hidden="false" customHeight="false" outlineLevel="0" collapsed="false">
      <c r="A4630" s="2" t="s">
        <v>126</v>
      </c>
      <c r="B4630" s="2" t="s">
        <v>125</v>
      </c>
      <c r="C4630" s="2" t="s">
        <v>48</v>
      </c>
      <c r="D4630" s="2" t="s">
        <v>10</v>
      </c>
      <c r="E4630" s="2" t="s">
        <v>76</v>
      </c>
      <c r="F4630" s="2" t="s">
        <v>1146</v>
      </c>
      <c r="G4630" s="14" t="n">
        <v>9.5</v>
      </c>
      <c r="H4630" s="14" t="n">
        <v>24.63</v>
      </c>
      <c r="I4630" s="14" t="n">
        <v>19.5</v>
      </c>
      <c r="J4630" s="22" t="n">
        <f aca="false">IF(E4630="Priority",'Cost model'!N470,'Cost model'!M470)</f>
        <v>19.5</v>
      </c>
      <c r="K4630" s="14" t="n">
        <f aca="false">J4630-H4630</f>
        <v>-5.13</v>
      </c>
      <c r="L4630" s="14" t="n">
        <f aca="false">G4630-H4630</f>
        <v>-15.13</v>
      </c>
    </row>
    <row r="4631" customFormat="false" ht="15" hidden="false" customHeight="false" outlineLevel="0" collapsed="false">
      <c r="A4631" s="2" t="s">
        <v>184</v>
      </c>
      <c r="B4631" s="2" t="s">
        <v>126</v>
      </c>
      <c r="C4631" s="2" t="s">
        <v>48</v>
      </c>
      <c r="D4631" s="2" t="s">
        <v>12</v>
      </c>
      <c r="E4631" s="2" t="s">
        <v>76</v>
      </c>
      <c r="F4631" s="2" t="s">
        <v>1146</v>
      </c>
      <c r="G4631" s="14" t="n">
        <v>9.5</v>
      </c>
      <c r="H4631" s="14" t="n">
        <v>48.02</v>
      </c>
      <c r="I4631" s="14" t="n">
        <v>9.5</v>
      </c>
      <c r="J4631" s="22" t="n">
        <f aca="false">IF(E4631="Priority",'Cost model'!N131,'Cost model'!M131)</f>
        <v>40</v>
      </c>
      <c r="K4631" s="14" t="n">
        <f aca="false">J4631-H4631</f>
        <v>-8.02</v>
      </c>
      <c r="L4631" s="14" t="n">
        <f aca="false">G4631-H4631</f>
        <v>-38.52</v>
      </c>
    </row>
    <row r="4632" customFormat="false" ht="15" hidden="false" customHeight="false" outlineLevel="0" collapsed="false">
      <c r="A4632" s="2" t="s">
        <v>240</v>
      </c>
      <c r="B4632" s="2" t="s">
        <v>240</v>
      </c>
      <c r="C4632" s="2" t="s">
        <v>49</v>
      </c>
      <c r="D4632" s="2" t="s">
        <v>12</v>
      </c>
      <c r="E4632" s="2" t="s">
        <v>76</v>
      </c>
      <c r="F4632" s="2" t="s">
        <v>1145</v>
      </c>
      <c r="G4632" s="14" t="n">
        <v>12.5</v>
      </c>
      <c r="H4632" s="14" t="n">
        <v>14.39</v>
      </c>
      <c r="I4632" s="14" t="n">
        <v>12.5</v>
      </c>
      <c r="J4632" s="22" t="n">
        <f aca="false">IF(E4632="Priority",'Cost model'!N888,'Cost model'!M888)</f>
        <v>50</v>
      </c>
      <c r="K4632" s="14" t="n">
        <f aca="false">J4632-H4632</f>
        <v>35.61</v>
      </c>
      <c r="L4632" s="14" t="n">
        <f aca="false">G4632-H4632</f>
        <v>-1.89</v>
      </c>
    </row>
    <row r="4633" customFormat="false" ht="15" hidden="false" customHeight="false" outlineLevel="0" collapsed="false">
      <c r="A4633" s="2" t="s">
        <v>240</v>
      </c>
      <c r="B4633" s="2" t="s">
        <v>240</v>
      </c>
      <c r="C4633" s="2" t="s">
        <v>50</v>
      </c>
      <c r="D4633" s="2" t="s">
        <v>12</v>
      </c>
      <c r="E4633" s="2" t="s">
        <v>76</v>
      </c>
      <c r="F4633" s="2" t="s">
        <v>1145</v>
      </c>
      <c r="G4633" s="14" t="n">
        <v>19.5</v>
      </c>
      <c r="H4633" s="14" t="n">
        <v>21.14</v>
      </c>
      <c r="I4633" s="14" t="n">
        <v>19.5</v>
      </c>
      <c r="J4633" s="22" t="n">
        <f aca="false">IF(E4633="Priority",'Cost model'!N889,'Cost model'!M889)</f>
        <v>60</v>
      </c>
      <c r="K4633" s="14" t="n">
        <f aca="false">J4633-H4633</f>
        <v>38.86</v>
      </c>
      <c r="L4633" s="14" t="n">
        <f aca="false">G4633-H4633</f>
        <v>-1.64</v>
      </c>
    </row>
    <row r="4634" customFormat="false" ht="15" hidden="false" customHeight="false" outlineLevel="0" collapsed="false">
      <c r="A4634" s="2" t="s">
        <v>184</v>
      </c>
      <c r="B4634" s="2" t="s">
        <v>184</v>
      </c>
      <c r="C4634" s="2" t="s">
        <v>50</v>
      </c>
      <c r="D4634" s="2" t="s">
        <v>10</v>
      </c>
      <c r="E4634" s="2" t="s">
        <v>76</v>
      </c>
      <c r="F4634" s="2" t="s">
        <v>1145</v>
      </c>
      <c r="G4634" s="14" t="n">
        <v>17.5</v>
      </c>
      <c r="H4634" s="14" t="n">
        <v>20.39</v>
      </c>
      <c r="I4634" s="14" t="n">
        <v>17.5</v>
      </c>
      <c r="J4634" s="22" t="n">
        <f aca="false">IF(E4634="Priority",'Cost model'!N202,'Cost model'!M202)</f>
        <v>17.5</v>
      </c>
      <c r="K4634" s="14" t="n">
        <f aca="false">J4634-H4634</f>
        <v>-2.89</v>
      </c>
      <c r="L4634" s="14" t="n">
        <f aca="false">G4634-H4634</f>
        <v>-2.89</v>
      </c>
    </row>
    <row r="4635" customFormat="false" ht="15" hidden="false" customHeight="false" outlineLevel="0" collapsed="false">
      <c r="A4635" s="2" t="s">
        <v>184</v>
      </c>
      <c r="B4635" s="2" t="s">
        <v>184</v>
      </c>
      <c r="C4635" s="2" t="s">
        <v>49</v>
      </c>
      <c r="D4635" s="2" t="s">
        <v>13</v>
      </c>
      <c r="E4635" s="2" t="s">
        <v>76</v>
      </c>
      <c r="F4635" s="2" t="s">
        <v>1145</v>
      </c>
      <c r="G4635" s="14" t="n">
        <v>24.5</v>
      </c>
      <c r="H4635" s="14" t="n">
        <v>100.07</v>
      </c>
      <c r="I4635" s="14" t="n">
        <v>24.5</v>
      </c>
      <c r="J4635" s="22" t="n">
        <f aca="false">IF(E4635="Priority",'Cost model'!N207,'Cost model'!M207)</f>
        <v>75</v>
      </c>
      <c r="K4635" s="14" t="n">
        <f aca="false">J4635-H4635</f>
        <v>-25.07</v>
      </c>
      <c r="L4635" s="14" t="n">
        <f aca="false">G4635-H4635</f>
        <v>-75.57</v>
      </c>
    </row>
    <row r="4636" customFormat="false" ht="15" hidden="false" customHeight="false" outlineLevel="0" collapsed="false">
      <c r="A4636" s="2" t="s">
        <v>184</v>
      </c>
      <c r="B4636" s="2" t="s">
        <v>146</v>
      </c>
      <c r="C4636" s="2" t="s">
        <v>49</v>
      </c>
      <c r="D4636" s="2" t="s">
        <v>12</v>
      </c>
      <c r="E4636" s="2" t="s">
        <v>76</v>
      </c>
      <c r="F4636" s="2" t="s">
        <v>1146</v>
      </c>
      <c r="G4636" s="14" t="n">
        <v>12.5</v>
      </c>
      <c r="H4636" s="14" t="n">
        <v>54.88</v>
      </c>
      <c r="I4636" s="14"/>
      <c r="J4636" s="22" t="n">
        <f aca="false">IF(E4636="Priority",'Cost model'!N150,'Cost model'!M150)</f>
        <v>55</v>
      </c>
      <c r="K4636" s="14" t="n">
        <f aca="false">J4636-H4636</f>
        <v>0.119999999999997</v>
      </c>
      <c r="L4636" s="14" t="n">
        <f aca="false">G4636-H4636</f>
        <v>-42.38</v>
      </c>
    </row>
    <row r="4637" customFormat="false" ht="15" hidden="false" customHeight="false" outlineLevel="0" collapsed="false">
      <c r="A4637" s="2" t="s">
        <v>146</v>
      </c>
      <c r="B4637" s="2" t="s">
        <v>126</v>
      </c>
      <c r="C4637" s="2" t="s">
        <v>48</v>
      </c>
      <c r="D4637" s="2" t="s">
        <v>13</v>
      </c>
      <c r="E4637" s="2" t="s">
        <v>76</v>
      </c>
      <c r="F4637" s="2" t="s">
        <v>1146</v>
      </c>
      <c r="G4637" s="14" t="n">
        <v>24.5</v>
      </c>
      <c r="H4637" s="14" t="n">
        <v>45.58</v>
      </c>
      <c r="I4637" s="14" t="n">
        <v>24.5</v>
      </c>
      <c r="J4637" s="22" t="n">
        <f aca="false">IF(E4637="Priority",'Cost model'!N800,'Cost model'!M800)</f>
        <v>70</v>
      </c>
      <c r="K4637" s="14" t="n">
        <f aca="false">J4637-H4637</f>
        <v>24.42</v>
      </c>
      <c r="L4637" s="14" t="n">
        <f aca="false">G4637-H4637</f>
        <v>-21.08</v>
      </c>
    </row>
    <row r="4638" customFormat="false" ht="15" hidden="false" customHeight="false" outlineLevel="0" collapsed="false">
      <c r="A4638" s="2" t="s">
        <v>146</v>
      </c>
      <c r="B4638" s="2" t="s">
        <v>146</v>
      </c>
      <c r="C4638" s="2" t="s">
        <v>48</v>
      </c>
      <c r="D4638" s="2" t="s">
        <v>10</v>
      </c>
      <c r="E4638" s="2" t="s">
        <v>76</v>
      </c>
      <c r="F4638" s="2" t="s">
        <v>1145</v>
      </c>
      <c r="G4638" s="14" t="n">
        <v>9.5</v>
      </c>
      <c r="H4638" s="14" t="n">
        <v>5.97</v>
      </c>
      <c r="I4638" s="14" t="n">
        <v>9.5</v>
      </c>
      <c r="J4638" s="22" t="n">
        <f aca="false">IF(E4638="Priority",'Cost model'!N758,'Cost model'!M758)</f>
        <v>9.5</v>
      </c>
      <c r="K4638" s="14" t="n">
        <f aca="false">J4638-H4638</f>
        <v>3.53</v>
      </c>
      <c r="L4638" s="14" t="n">
        <f aca="false">G4638-H4638</f>
        <v>3.53</v>
      </c>
    </row>
    <row r="4639" customFormat="false" ht="15" hidden="false" customHeight="false" outlineLevel="0" collapsed="false">
      <c r="A4639" s="2" t="s">
        <v>165</v>
      </c>
      <c r="B4639" s="2" t="s">
        <v>184</v>
      </c>
      <c r="C4639" s="2" t="s">
        <v>50</v>
      </c>
      <c r="D4639" s="2" t="s">
        <v>10</v>
      </c>
      <c r="E4639" s="2" t="s">
        <v>76</v>
      </c>
      <c r="F4639" s="2" t="s">
        <v>1146</v>
      </c>
      <c r="G4639" s="14" t="n">
        <v>17.5</v>
      </c>
      <c r="H4639" s="14" t="n">
        <v>16.84</v>
      </c>
      <c r="I4639" s="14" t="n">
        <v>17.5</v>
      </c>
      <c r="J4639" s="22" t="n">
        <f aca="false">IF(E4639="Priority",'Cost model'!N580,'Cost model'!M580)</f>
        <v>18.5</v>
      </c>
      <c r="K4639" s="14" t="n">
        <f aca="false">J4639-H4639</f>
        <v>1.66</v>
      </c>
      <c r="L4639" s="14" t="n">
        <f aca="false">G4639-H4639</f>
        <v>0.66</v>
      </c>
    </row>
    <row r="4640" customFormat="false" ht="15" hidden="false" customHeight="false" outlineLevel="0" collapsed="false">
      <c r="A4640" s="2" t="s">
        <v>125</v>
      </c>
      <c r="B4640" s="2" t="s">
        <v>184</v>
      </c>
      <c r="C4640" s="2" t="s">
        <v>48</v>
      </c>
      <c r="D4640" s="2" t="s">
        <v>12</v>
      </c>
      <c r="E4640" s="2" t="s">
        <v>76</v>
      </c>
      <c r="F4640" s="2" t="s">
        <v>1146</v>
      </c>
      <c r="G4640" s="14" t="n">
        <v>19.5</v>
      </c>
      <c r="H4640" s="14" t="n">
        <v>42.61</v>
      </c>
      <c r="I4640" s="14" t="n">
        <v>19.5</v>
      </c>
      <c r="J4640" s="22" t="n">
        <f aca="false">IF(E4640="Priority",'Cost model'!N59,'Cost model'!M59)</f>
        <v>45</v>
      </c>
      <c r="K4640" s="14" t="n">
        <f aca="false">J4640-H4640</f>
        <v>2.39</v>
      </c>
      <c r="L4640" s="14" t="n">
        <f aca="false">G4640-H4640</f>
        <v>-23.11</v>
      </c>
    </row>
    <row r="4641" customFormat="false" ht="15" hidden="false" customHeight="false" outlineLevel="0" collapsed="false">
      <c r="A4641" s="2" t="s">
        <v>184</v>
      </c>
      <c r="B4641" s="2" t="s">
        <v>184</v>
      </c>
      <c r="C4641" s="2" t="s">
        <v>50</v>
      </c>
      <c r="D4641" s="2" t="s">
        <v>10</v>
      </c>
      <c r="E4641" s="2" t="s">
        <v>76</v>
      </c>
      <c r="F4641" s="2" t="s">
        <v>1145</v>
      </c>
      <c r="G4641" s="14" t="n">
        <v>17.5</v>
      </c>
      <c r="H4641" s="14" t="n">
        <v>10.79</v>
      </c>
      <c r="I4641" s="14" t="n">
        <v>17.5</v>
      </c>
      <c r="J4641" s="22" t="n">
        <f aca="false">IF(E4641="Priority",'Cost model'!N202,'Cost model'!M202)</f>
        <v>17.5</v>
      </c>
      <c r="K4641" s="14" t="n">
        <f aca="false">J4641-H4641</f>
        <v>6.71</v>
      </c>
      <c r="L4641" s="14" t="n">
        <f aca="false">G4641-H4641</f>
        <v>6.71</v>
      </c>
    </row>
    <row r="4642" customFormat="false" ht="15" hidden="false" customHeight="false" outlineLevel="0" collapsed="false">
      <c r="A4642" s="2" t="s">
        <v>240</v>
      </c>
      <c r="B4642" s="2" t="s">
        <v>240</v>
      </c>
      <c r="C4642" s="2" t="s">
        <v>50</v>
      </c>
      <c r="D4642" s="2" t="s">
        <v>12</v>
      </c>
      <c r="E4642" s="2" t="s">
        <v>76</v>
      </c>
      <c r="F4642" s="2" t="s">
        <v>1145</v>
      </c>
      <c r="G4642" s="14" t="n">
        <v>19.5</v>
      </c>
      <c r="H4642" s="14" t="n">
        <v>83.2</v>
      </c>
      <c r="I4642" s="14" t="n">
        <v>19.5</v>
      </c>
      <c r="J4642" s="22" t="n">
        <f aca="false">IF(E4642="Priority",'Cost model'!N889,'Cost model'!M889)</f>
        <v>60</v>
      </c>
      <c r="K4642" s="14" t="n">
        <f aca="false">J4642-H4642</f>
        <v>-23.2</v>
      </c>
      <c r="L4642" s="14" t="n">
        <f aca="false">G4642-H4642</f>
        <v>-63.7</v>
      </c>
    </row>
    <row r="4643" customFormat="false" ht="15" hidden="false" customHeight="false" outlineLevel="0" collapsed="false">
      <c r="A4643" s="2" t="s">
        <v>146</v>
      </c>
      <c r="B4643" s="2" t="s">
        <v>146</v>
      </c>
      <c r="C4643" s="2" t="s">
        <v>48</v>
      </c>
      <c r="D4643" s="2" t="s">
        <v>10</v>
      </c>
      <c r="E4643" s="2" t="s">
        <v>76</v>
      </c>
      <c r="F4643" s="2" t="s">
        <v>1145</v>
      </c>
      <c r="G4643" s="14" t="n">
        <v>9.5</v>
      </c>
      <c r="H4643" s="14" t="n">
        <v>6.23</v>
      </c>
      <c r="I4643" s="14" t="n">
        <v>9.5</v>
      </c>
      <c r="J4643" s="22" t="n">
        <f aca="false">IF(E4643="Priority",'Cost model'!N758,'Cost model'!M758)</f>
        <v>9.5</v>
      </c>
      <c r="K4643" s="14" t="n">
        <f aca="false">J4643-H4643</f>
        <v>3.27</v>
      </c>
      <c r="L4643" s="14" t="n">
        <f aca="false">G4643-H4643</f>
        <v>3.27</v>
      </c>
    </row>
    <row r="4644" customFormat="false" ht="15" hidden="false" customHeight="false" outlineLevel="0" collapsed="false">
      <c r="A4644" s="2" t="s">
        <v>240</v>
      </c>
      <c r="B4644" s="2" t="s">
        <v>125</v>
      </c>
      <c r="C4644" s="2" t="s">
        <v>48</v>
      </c>
      <c r="D4644" s="2" t="s">
        <v>12</v>
      </c>
      <c r="E4644" s="2" t="s">
        <v>76</v>
      </c>
      <c r="F4644" s="2" t="s">
        <v>1146</v>
      </c>
      <c r="G4644" s="14" t="n">
        <v>9.5</v>
      </c>
      <c r="H4644" s="14" t="n">
        <v>133.49</v>
      </c>
      <c r="I4644" s="14" t="n">
        <v>24.5</v>
      </c>
      <c r="J4644" s="22" t="n">
        <f aca="false">IF(E4644="Priority",'Cost model'!N977,'Cost model'!M977)</f>
        <v>85</v>
      </c>
      <c r="K4644" s="14" t="n">
        <f aca="false">J4644-H4644</f>
        <v>-48.49</v>
      </c>
      <c r="L4644" s="14" t="n">
        <f aca="false">G4644-H4644</f>
        <v>-123.99</v>
      </c>
    </row>
    <row r="4645" customFormat="false" ht="15" hidden="false" customHeight="false" outlineLevel="0" collapsed="false">
      <c r="A4645" s="2" t="s">
        <v>146</v>
      </c>
      <c r="B4645" s="2" t="s">
        <v>165</v>
      </c>
      <c r="C4645" s="2" t="s">
        <v>50</v>
      </c>
      <c r="D4645" s="2" t="s">
        <v>10</v>
      </c>
      <c r="E4645" s="2" t="s">
        <v>76</v>
      </c>
      <c r="F4645" s="2" t="s">
        <v>1146</v>
      </c>
      <c r="G4645" s="14" t="n">
        <v>17.5</v>
      </c>
      <c r="H4645" s="14" t="n">
        <v>20.11</v>
      </c>
      <c r="I4645" s="14" t="n">
        <v>17.5</v>
      </c>
      <c r="J4645" s="22" t="n">
        <f aca="false">IF(E4645="Priority",'Cost model'!N778,'Cost model'!M778)</f>
        <v>19.5</v>
      </c>
      <c r="K4645" s="14" t="n">
        <f aca="false">J4645-H4645</f>
        <v>-0.609999999999999</v>
      </c>
      <c r="L4645" s="14" t="n">
        <f aca="false">G4645-H4645</f>
        <v>-2.61</v>
      </c>
    </row>
    <row r="4646" customFormat="false" ht="15" hidden="false" customHeight="false" outlineLevel="0" collapsed="false">
      <c r="A4646" s="2" t="s">
        <v>184</v>
      </c>
      <c r="B4646" s="2" t="s">
        <v>184</v>
      </c>
      <c r="C4646" s="2" t="s">
        <v>50</v>
      </c>
      <c r="D4646" s="2" t="s">
        <v>10</v>
      </c>
      <c r="E4646" s="2" t="s">
        <v>85</v>
      </c>
      <c r="F4646" s="2" t="s">
        <v>1145</v>
      </c>
      <c r="G4646" s="14" t="n">
        <v>24.5</v>
      </c>
      <c r="H4646" s="14" t="n">
        <v>21.76</v>
      </c>
      <c r="I4646" s="14" t="n">
        <v>24.5</v>
      </c>
      <c r="J4646" s="22" t="n">
        <f aca="false">IF(E4646="Priority",'Cost model'!N202,'Cost model'!M202)</f>
        <v>23.5</v>
      </c>
      <c r="K4646" s="14" t="n">
        <f aca="false">J4646-H4646</f>
        <v>1.74</v>
      </c>
      <c r="L4646" s="14" t="n">
        <f aca="false">G4646-H4646</f>
        <v>2.74</v>
      </c>
    </row>
    <row r="4647" customFormat="false" ht="15" hidden="false" customHeight="false" outlineLevel="0" collapsed="false">
      <c r="A4647" s="2" t="s">
        <v>184</v>
      </c>
      <c r="B4647" s="2" t="s">
        <v>184</v>
      </c>
      <c r="C4647" s="2" t="s">
        <v>49</v>
      </c>
      <c r="D4647" s="2" t="s">
        <v>10</v>
      </c>
      <c r="E4647" s="2" t="s">
        <v>76</v>
      </c>
      <c r="F4647" s="2" t="s">
        <v>1145</v>
      </c>
      <c r="G4647" s="14" t="n">
        <v>12.5</v>
      </c>
      <c r="H4647" s="14" t="n">
        <v>7.02</v>
      </c>
      <c r="I4647" s="14"/>
      <c r="J4647" s="22" t="n">
        <f aca="false">IF(E4647="Priority",'Cost model'!N201,'Cost model'!M201)</f>
        <v>12.5</v>
      </c>
      <c r="K4647" s="14" t="n">
        <f aca="false">J4647-H4647</f>
        <v>5.48</v>
      </c>
      <c r="L4647" s="14" t="n">
        <f aca="false">G4647-H4647</f>
        <v>5.48</v>
      </c>
    </row>
    <row r="4648" customFormat="false" ht="15" hidden="false" customHeight="false" outlineLevel="0" collapsed="false">
      <c r="A4648" s="2" t="s">
        <v>165</v>
      </c>
      <c r="B4648" s="2" t="s">
        <v>146</v>
      </c>
      <c r="C4648" s="2" t="s">
        <v>48</v>
      </c>
      <c r="D4648" s="2" t="s">
        <v>13</v>
      </c>
      <c r="E4648" s="2" t="s">
        <v>76</v>
      </c>
      <c r="F4648" s="2" t="s">
        <v>1146</v>
      </c>
      <c r="G4648" s="14" t="n">
        <v>19</v>
      </c>
      <c r="H4648" s="14" t="n">
        <v>54.4</v>
      </c>
      <c r="I4648" s="14" t="n">
        <v>24.5</v>
      </c>
      <c r="J4648" s="22" t="n">
        <f aca="false">IF(E4648="Priority",'Cost model'!N530,'Cost model'!M530)</f>
        <v>80</v>
      </c>
      <c r="K4648" s="14" t="n">
        <f aca="false">J4648-H4648</f>
        <v>25.6</v>
      </c>
      <c r="L4648" s="14" t="n">
        <f aca="false">G4648-H4648</f>
        <v>-35.4</v>
      </c>
    </row>
    <row r="4649" customFormat="false" ht="15" hidden="false" customHeight="false" outlineLevel="0" collapsed="false">
      <c r="A4649" s="2" t="s">
        <v>240</v>
      </c>
      <c r="B4649" s="2" t="s">
        <v>240</v>
      </c>
      <c r="C4649" s="2" t="s">
        <v>48</v>
      </c>
      <c r="D4649" s="2" t="s">
        <v>12</v>
      </c>
      <c r="E4649" s="2" t="s">
        <v>76</v>
      </c>
      <c r="F4649" s="2" t="s">
        <v>1145</v>
      </c>
      <c r="G4649" s="14" t="n">
        <v>9.5</v>
      </c>
      <c r="H4649" s="14" t="n">
        <v>7.9</v>
      </c>
      <c r="I4649" s="14" t="n">
        <v>9.5</v>
      </c>
      <c r="J4649" s="22" t="n">
        <f aca="false">IF(E4649="Priority",'Cost model'!N887,'Cost model'!M887)</f>
        <v>21.5</v>
      </c>
      <c r="K4649" s="14" t="n">
        <f aca="false">J4649-H4649</f>
        <v>13.6</v>
      </c>
      <c r="L4649" s="14" t="n">
        <f aca="false">G4649-H4649</f>
        <v>1.6</v>
      </c>
    </row>
    <row r="4650" customFormat="false" ht="15" hidden="false" customHeight="false" outlineLevel="0" collapsed="false">
      <c r="A4650" s="2" t="s">
        <v>146</v>
      </c>
      <c r="B4650" s="2" t="s">
        <v>126</v>
      </c>
      <c r="C4650" s="2" t="s">
        <v>48</v>
      </c>
      <c r="D4650" s="2" t="s">
        <v>16</v>
      </c>
      <c r="E4650" s="2" t="s">
        <v>76</v>
      </c>
      <c r="F4650" s="2" t="s">
        <v>1146</v>
      </c>
      <c r="G4650" s="14" t="n">
        <v>25</v>
      </c>
      <c r="H4650" s="14" t="n">
        <v>192.37</v>
      </c>
      <c r="I4650" s="14" t="n">
        <v>85</v>
      </c>
      <c r="J4650" s="22" t="n">
        <f aca="false">IF(E4650="Priority",'Cost model'!N809,'Cost model'!M809)</f>
        <v>225</v>
      </c>
      <c r="K4650" s="14" t="n">
        <f aca="false">J4650-H4650</f>
        <v>32.63</v>
      </c>
      <c r="L4650" s="14" t="n">
        <f aca="false">G4650-H4650</f>
        <v>-167.37</v>
      </c>
    </row>
    <row r="4651" customFormat="false" ht="15" hidden="false" customHeight="false" outlineLevel="0" collapsed="false">
      <c r="A4651" s="2" t="s">
        <v>126</v>
      </c>
      <c r="B4651" s="2" t="s">
        <v>126</v>
      </c>
      <c r="C4651" s="2" t="s">
        <v>48</v>
      </c>
      <c r="D4651" s="2" t="s">
        <v>12</v>
      </c>
      <c r="E4651" s="2" t="s">
        <v>76</v>
      </c>
      <c r="F4651" s="2" t="s">
        <v>1145</v>
      </c>
      <c r="G4651" s="14" t="n">
        <v>24.5</v>
      </c>
      <c r="H4651" s="14" t="n">
        <v>25.65</v>
      </c>
      <c r="I4651" s="14" t="n">
        <v>9.5</v>
      </c>
      <c r="J4651" s="22" t="n">
        <f aca="false">IF(E4651="Priority",'Cost model'!N383,'Cost model'!M383)</f>
        <v>27.5</v>
      </c>
      <c r="K4651" s="14" t="n">
        <f aca="false">J4651-H4651</f>
        <v>1.85</v>
      </c>
      <c r="L4651" s="14" t="n">
        <f aca="false">G4651-H4651</f>
        <v>-1.15</v>
      </c>
    </row>
    <row r="4652" customFormat="false" ht="15" hidden="false" customHeight="false" outlineLevel="0" collapsed="false">
      <c r="A4652" s="2" t="s">
        <v>184</v>
      </c>
      <c r="B4652" s="2" t="s">
        <v>184</v>
      </c>
      <c r="C4652" s="2" t="s">
        <v>49</v>
      </c>
      <c r="D4652" s="2" t="s">
        <v>10</v>
      </c>
      <c r="E4652" s="2" t="s">
        <v>76</v>
      </c>
      <c r="F4652" s="2" t="s">
        <v>1145</v>
      </c>
      <c r="G4652" s="14" t="n">
        <v>12.5</v>
      </c>
      <c r="H4652" s="14" t="n">
        <v>7.37</v>
      </c>
      <c r="I4652" s="14"/>
      <c r="J4652" s="22" t="n">
        <f aca="false">IF(E4652="Priority",'Cost model'!N201,'Cost model'!M201)</f>
        <v>12.5</v>
      </c>
      <c r="K4652" s="14" t="n">
        <f aca="false">J4652-H4652</f>
        <v>5.13</v>
      </c>
      <c r="L4652" s="14" t="n">
        <f aca="false">G4652-H4652</f>
        <v>5.13</v>
      </c>
    </row>
    <row r="4653" customFormat="false" ht="15" hidden="false" customHeight="false" outlineLevel="0" collapsed="false">
      <c r="A4653" s="2" t="s">
        <v>184</v>
      </c>
      <c r="B4653" s="2" t="s">
        <v>184</v>
      </c>
      <c r="C4653" s="2" t="s">
        <v>49</v>
      </c>
      <c r="D4653" s="2" t="s">
        <v>14</v>
      </c>
      <c r="E4653" s="2" t="s">
        <v>76</v>
      </c>
      <c r="F4653" s="2" t="s">
        <v>1145</v>
      </c>
      <c r="G4653" s="14" t="n">
        <v>45</v>
      </c>
      <c r="H4653" s="14" t="n">
        <v>71.56</v>
      </c>
      <c r="I4653" s="14"/>
      <c r="J4653" s="22" t="n">
        <f aca="false">IF(E4653="Priority",'Cost model'!N210,'Cost model'!M210)</f>
        <v>135</v>
      </c>
      <c r="K4653" s="14" t="n">
        <f aca="false">J4653-H4653</f>
        <v>63.44</v>
      </c>
      <c r="L4653" s="14" t="n">
        <f aca="false">G4653-H4653</f>
        <v>-26.56</v>
      </c>
    </row>
    <row r="4654" customFormat="false" ht="15" hidden="false" customHeight="false" outlineLevel="0" collapsed="false">
      <c r="A4654" s="2" t="s">
        <v>240</v>
      </c>
      <c r="B4654" s="2" t="s">
        <v>240</v>
      </c>
      <c r="C4654" s="2" t="s">
        <v>48</v>
      </c>
      <c r="D4654" s="2" t="s">
        <v>10</v>
      </c>
      <c r="E4654" s="2" t="s">
        <v>76</v>
      </c>
      <c r="F4654" s="2" t="s">
        <v>1145</v>
      </c>
      <c r="G4654" s="14" t="n">
        <v>9.5</v>
      </c>
      <c r="H4654" s="14" t="n">
        <v>7.68</v>
      </c>
      <c r="I4654" s="14" t="n">
        <v>9.5</v>
      </c>
      <c r="J4654" s="22" t="n">
        <f aca="false">IF(E4654="Priority",'Cost model'!N884,'Cost model'!M884)</f>
        <v>7.5</v>
      </c>
      <c r="K4654" s="14" t="n">
        <f aca="false">J4654-H4654</f>
        <v>-0.18</v>
      </c>
      <c r="L4654" s="14" t="n">
        <f aca="false">G4654-H4654</f>
        <v>1.82</v>
      </c>
    </row>
    <row r="4655" customFormat="false" ht="15" hidden="false" customHeight="false" outlineLevel="0" collapsed="false">
      <c r="A4655" s="2" t="s">
        <v>146</v>
      </c>
      <c r="B4655" s="2" t="s">
        <v>126</v>
      </c>
      <c r="C4655" s="2" t="s">
        <v>48</v>
      </c>
      <c r="D4655" s="2" t="s">
        <v>13</v>
      </c>
      <c r="E4655" s="2" t="s">
        <v>76</v>
      </c>
      <c r="F4655" s="2" t="s">
        <v>1146</v>
      </c>
      <c r="G4655" s="14" t="n">
        <v>24.5</v>
      </c>
      <c r="H4655" s="14" t="n">
        <v>77.92</v>
      </c>
      <c r="I4655" s="14" t="n">
        <v>24.5</v>
      </c>
      <c r="J4655" s="22" t="n">
        <f aca="false">IF(E4655="Priority",'Cost model'!N800,'Cost model'!M800)</f>
        <v>70</v>
      </c>
      <c r="K4655" s="14" t="n">
        <f aca="false">J4655-H4655</f>
        <v>-7.92</v>
      </c>
      <c r="L4655" s="14" t="n">
        <f aca="false">G4655-H4655</f>
        <v>-53.42</v>
      </c>
    </row>
    <row r="4656" customFormat="false" ht="15" hidden="false" customHeight="false" outlineLevel="0" collapsed="false">
      <c r="A4656" s="2" t="s">
        <v>184</v>
      </c>
      <c r="B4656" s="2" t="s">
        <v>146</v>
      </c>
      <c r="C4656" s="2" t="s">
        <v>48</v>
      </c>
      <c r="D4656" s="2" t="s">
        <v>12</v>
      </c>
      <c r="E4656" s="2" t="s">
        <v>76</v>
      </c>
      <c r="F4656" s="2" t="s">
        <v>1146</v>
      </c>
      <c r="G4656" s="14" t="n">
        <v>9.5</v>
      </c>
      <c r="H4656" s="14" t="n">
        <v>42.61</v>
      </c>
      <c r="I4656" s="14" t="n">
        <v>9.5</v>
      </c>
      <c r="J4656" s="22" t="n">
        <f aca="false">IF(E4656="Priority",'Cost model'!N149,'Cost model'!M149)</f>
        <v>45</v>
      </c>
      <c r="K4656" s="14" t="n">
        <f aca="false">J4656-H4656</f>
        <v>2.39</v>
      </c>
      <c r="L4656" s="14" t="n">
        <f aca="false">G4656-H4656</f>
        <v>-33.11</v>
      </c>
    </row>
    <row r="4657" customFormat="false" ht="15" hidden="false" customHeight="false" outlineLevel="0" collapsed="false">
      <c r="A4657" s="2" t="s">
        <v>184</v>
      </c>
      <c r="B4657" s="2" t="s">
        <v>184</v>
      </c>
      <c r="C4657" s="2" t="s">
        <v>50</v>
      </c>
      <c r="D4657" s="2" t="s">
        <v>12</v>
      </c>
      <c r="E4657" s="2" t="s">
        <v>76</v>
      </c>
      <c r="F4657" s="2" t="s">
        <v>1145</v>
      </c>
      <c r="G4657" s="14" t="n">
        <v>19.5</v>
      </c>
      <c r="H4657" s="14" t="n">
        <v>46.83</v>
      </c>
      <c r="I4657" s="14" t="n">
        <v>19.5</v>
      </c>
      <c r="J4657" s="22" t="n">
        <f aca="false">IF(E4657="Priority",'Cost model'!N205,'Cost model'!M205)</f>
        <v>50</v>
      </c>
      <c r="K4657" s="14" t="n">
        <f aca="false">J4657-H4657</f>
        <v>3.17</v>
      </c>
      <c r="L4657" s="14" t="n">
        <f aca="false">G4657-H4657</f>
        <v>-27.33</v>
      </c>
    </row>
    <row r="4658" customFormat="false" ht="15" hidden="false" customHeight="false" outlineLevel="0" collapsed="false">
      <c r="A4658" s="2" t="s">
        <v>184</v>
      </c>
      <c r="B4658" s="2" t="s">
        <v>184</v>
      </c>
      <c r="C4658" s="2" t="s">
        <v>48</v>
      </c>
      <c r="D4658" s="2" t="s">
        <v>12</v>
      </c>
      <c r="E4658" s="2" t="s">
        <v>76</v>
      </c>
      <c r="F4658" s="2" t="s">
        <v>1145</v>
      </c>
      <c r="G4658" s="14" t="n">
        <v>9.5</v>
      </c>
      <c r="H4658" s="14" t="n">
        <v>29.57</v>
      </c>
      <c r="I4658" s="14" t="n">
        <v>9.5</v>
      </c>
      <c r="J4658" s="22" t="n">
        <f aca="false">IF(E4658="Priority",'Cost model'!N203,'Cost model'!M203)</f>
        <v>26.5</v>
      </c>
      <c r="K4658" s="14" t="n">
        <f aca="false">J4658-H4658</f>
        <v>-3.07</v>
      </c>
      <c r="L4658" s="14" t="n">
        <f aca="false">G4658-H4658</f>
        <v>-20.07</v>
      </c>
    </row>
    <row r="4659" customFormat="false" ht="15" hidden="false" customHeight="false" outlineLevel="0" collapsed="false">
      <c r="A4659" s="2" t="s">
        <v>240</v>
      </c>
      <c r="B4659" s="2" t="s">
        <v>165</v>
      </c>
      <c r="C4659" s="2" t="s">
        <v>48</v>
      </c>
      <c r="D4659" s="2" t="s">
        <v>10</v>
      </c>
      <c r="E4659" s="2" t="s">
        <v>76</v>
      </c>
      <c r="F4659" s="2" t="s">
        <v>1146</v>
      </c>
      <c r="G4659" s="14" t="n">
        <v>14.5</v>
      </c>
      <c r="H4659" s="14" t="n">
        <v>14.83</v>
      </c>
      <c r="I4659" s="14" t="n">
        <v>14.5</v>
      </c>
      <c r="J4659" s="22" t="n">
        <f aca="false">IF(E4659="Priority",'Cost model'!N902,'Cost model'!M902)</f>
        <v>13.5</v>
      </c>
      <c r="K4659" s="14" t="n">
        <f aca="false">J4659-H4659</f>
        <v>-1.33</v>
      </c>
      <c r="L4659" s="14" t="n">
        <f aca="false">G4659-H4659</f>
        <v>-0.33</v>
      </c>
    </row>
    <row r="4660" customFormat="false" ht="15" hidden="false" customHeight="false" outlineLevel="0" collapsed="false">
      <c r="A4660" s="2" t="s">
        <v>184</v>
      </c>
      <c r="B4660" s="2" t="s">
        <v>184</v>
      </c>
      <c r="C4660" s="2" t="s">
        <v>48</v>
      </c>
      <c r="D4660" s="2" t="s">
        <v>10</v>
      </c>
      <c r="E4660" s="2" t="s">
        <v>76</v>
      </c>
      <c r="F4660" s="2" t="s">
        <v>1145</v>
      </c>
      <c r="G4660" s="14" t="n">
        <v>19.5</v>
      </c>
      <c r="H4660" s="14" t="n">
        <v>7.46</v>
      </c>
      <c r="I4660" s="14" t="n">
        <v>9.5</v>
      </c>
      <c r="J4660" s="22" t="n">
        <f aca="false">IF(E4660="Priority",'Cost model'!N200,'Cost model'!M200)</f>
        <v>7.5</v>
      </c>
      <c r="K4660" s="14" t="n">
        <f aca="false">J4660-H4660</f>
        <v>0.04</v>
      </c>
      <c r="L4660" s="14" t="n">
        <f aca="false">G4660-H4660</f>
        <v>12.04</v>
      </c>
    </row>
    <row r="4661" customFormat="false" ht="15" hidden="false" customHeight="false" outlineLevel="0" collapsed="false">
      <c r="A4661" s="2" t="s">
        <v>184</v>
      </c>
      <c r="B4661" s="2" t="s">
        <v>184</v>
      </c>
      <c r="C4661" s="2" t="s">
        <v>49</v>
      </c>
      <c r="D4661" s="2" t="s">
        <v>12</v>
      </c>
      <c r="E4661" s="2" t="s">
        <v>76</v>
      </c>
      <c r="F4661" s="2" t="s">
        <v>1145</v>
      </c>
      <c r="G4661" s="14" t="n">
        <v>12.5</v>
      </c>
      <c r="H4661" s="14" t="n">
        <v>44.05</v>
      </c>
      <c r="I4661" s="14"/>
      <c r="J4661" s="22" t="n">
        <f aca="false">IF(E4661="Priority",'Cost model'!N204,'Cost model'!M204)</f>
        <v>45</v>
      </c>
      <c r="K4661" s="14" t="n">
        <f aca="false">J4661-H4661</f>
        <v>0.950000000000003</v>
      </c>
      <c r="L4661" s="14" t="n">
        <f aca="false">G4661-H4661</f>
        <v>-31.55</v>
      </c>
    </row>
    <row r="4662" customFormat="false" ht="15" hidden="false" customHeight="false" outlineLevel="0" collapsed="false">
      <c r="A4662" s="2" t="s">
        <v>126</v>
      </c>
      <c r="B4662" s="2" t="s">
        <v>126</v>
      </c>
      <c r="C4662" s="2" t="s">
        <v>48</v>
      </c>
      <c r="D4662" s="2" t="s">
        <v>12</v>
      </c>
      <c r="E4662" s="2" t="s">
        <v>76</v>
      </c>
      <c r="F4662" s="2" t="s">
        <v>1145</v>
      </c>
      <c r="G4662" s="14" t="n">
        <v>9.5</v>
      </c>
      <c r="H4662" s="14" t="n">
        <v>55</v>
      </c>
      <c r="I4662" s="14" t="n">
        <v>9.5</v>
      </c>
      <c r="J4662" s="22" t="n">
        <f aca="false">IF(E4662="Priority",'Cost model'!N383,'Cost model'!M383)</f>
        <v>27.5</v>
      </c>
      <c r="K4662" s="14" t="n">
        <f aca="false">J4662-H4662</f>
        <v>-27.5</v>
      </c>
      <c r="L4662" s="14" t="n">
        <f aca="false">G4662-H4662</f>
        <v>-45.5</v>
      </c>
    </row>
    <row r="4663" customFormat="false" ht="15" hidden="false" customHeight="false" outlineLevel="0" collapsed="false">
      <c r="A4663" s="2" t="s">
        <v>126</v>
      </c>
      <c r="B4663" s="2" t="s">
        <v>126</v>
      </c>
      <c r="C4663" s="2" t="s">
        <v>48</v>
      </c>
      <c r="D4663" s="2" t="s">
        <v>10</v>
      </c>
      <c r="E4663" s="2" t="s">
        <v>85</v>
      </c>
      <c r="F4663" s="2" t="s">
        <v>1145</v>
      </c>
      <c r="G4663" s="14" t="n">
        <v>14.5</v>
      </c>
      <c r="H4663" s="14" t="n">
        <v>21.76</v>
      </c>
      <c r="I4663" s="14" t="n">
        <v>14.5</v>
      </c>
      <c r="J4663" s="22" t="n">
        <f aca="false">IF(E4663="Priority",'Cost model'!N380,'Cost model'!M380)</f>
        <v>13.5</v>
      </c>
      <c r="K4663" s="14" t="n">
        <f aca="false">J4663-H4663</f>
        <v>-8.26</v>
      </c>
      <c r="L4663" s="14" t="n">
        <f aca="false">G4663-H4663</f>
        <v>-7.26</v>
      </c>
    </row>
    <row r="4664" customFormat="false" ht="15" hidden="false" customHeight="false" outlineLevel="0" collapsed="false">
      <c r="A4664" s="2" t="s">
        <v>385</v>
      </c>
      <c r="B4664" s="2" t="s">
        <v>165</v>
      </c>
      <c r="C4664" s="2" t="s">
        <v>48</v>
      </c>
      <c r="D4664" s="2" t="s">
        <v>12</v>
      </c>
      <c r="E4664" s="2" t="s">
        <v>76</v>
      </c>
      <c r="F4664" s="2" t="s">
        <v>1146</v>
      </c>
      <c r="G4664" s="14" t="n">
        <v>24.5</v>
      </c>
      <c r="H4664" s="14" t="n">
        <v>167.39</v>
      </c>
      <c r="I4664" s="14" t="n">
        <v>24.5</v>
      </c>
      <c r="J4664" s="22" t="n">
        <f aca="false">IF(E4664="Priority",'Cost model'!N257,'Cost model'!M257)</f>
        <v>60</v>
      </c>
      <c r="K4664" s="14" t="n">
        <f aca="false">J4664-H4664</f>
        <v>-107.39</v>
      </c>
      <c r="L4664" s="14" t="n">
        <f aca="false">G4664-H4664</f>
        <v>-142.89</v>
      </c>
    </row>
    <row r="4665" customFormat="false" ht="15" hidden="false" customHeight="false" outlineLevel="0" collapsed="false">
      <c r="A4665" s="2" t="s">
        <v>126</v>
      </c>
      <c r="B4665" s="2" t="s">
        <v>126</v>
      </c>
      <c r="C4665" s="2" t="s">
        <v>50</v>
      </c>
      <c r="D4665" s="2" t="s">
        <v>12</v>
      </c>
      <c r="E4665" s="2" t="s">
        <v>76</v>
      </c>
      <c r="F4665" s="2" t="s">
        <v>1145</v>
      </c>
      <c r="G4665" s="14" t="n">
        <v>19.5</v>
      </c>
      <c r="H4665" s="14" t="n">
        <v>43.77</v>
      </c>
      <c r="I4665" s="14" t="n">
        <v>19.5</v>
      </c>
      <c r="J4665" s="22" t="n">
        <f aca="false">IF(E4665="Priority",'Cost model'!N385,'Cost model'!M385)</f>
        <v>55</v>
      </c>
      <c r="K4665" s="14" t="n">
        <f aca="false">J4665-H4665</f>
        <v>11.23</v>
      </c>
      <c r="L4665" s="14" t="n">
        <f aca="false">G4665-H4665</f>
        <v>-24.27</v>
      </c>
    </row>
    <row r="4666" customFormat="false" ht="15" hidden="false" customHeight="false" outlineLevel="0" collapsed="false">
      <c r="A4666" s="2" t="s">
        <v>126</v>
      </c>
      <c r="B4666" s="2" t="s">
        <v>126</v>
      </c>
      <c r="C4666" s="2" t="s">
        <v>49</v>
      </c>
      <c r="D4666" s="2" t="s">
        <v>12</v>
      </c>
      <c r="E4666" s="2" t="s">
        <v>76</v>
      </c>
      <c r="F4666" s="2" t="s">
        <v>1145</v>
      </c>
      <c r="G4666" s="14" t="n">
        <v>12.5</v>
      </c>
      <c r="H4666" s="14" t="n">
        <v>46.06</v>
      </c>
      <c r="I4666" s="14" t="n">
        <v>12.5</v>
      </c>
      <c r="J4666" s="22" t="n">
        <f aca="false">IF(E4666="Priority",'Cost model'!N384,'Cost model'!M384)</f>
        <v>45</v>
      </c>
      <c r="K4666" s="14" t="n">
        <f aca="false">J4666-H4666</f>
        <v>-1.06</v>
      </c>
      <c r="L4666" s="14" t="n">
        <f aca="false">G4666-H4666</f>
        <v>-33.56</v>
      </c>
    </row>
    <row r="4667" customFormat="false" ht="15" hidden="false" customHeight="false" outlineLevel="0" collapsed="false">
      <c r="A4667" s="2" t="s">
        <v>146</v>
      </c>
      <c r="B4667" s="2" t="s">
        <v>146</v>
      </c>
      <c r="C4667" s="2" t="s">
        <v>49</v>
      </c>
      <c r="D4667" s="2" t="s">
        <v>12</v>
      </c>
      <c r="E4667" s="2" t="s">
        <v>76</v>
      </c>
      <c r="F4667" s="2" t="s">
        <v>1145</v>
      </c>
      <c r="G4667" s="14" t="n">
        <v>14.5</v>
      </c>
      <c r="H4667" s="14" t="n">
        <v>21.34</v>
      </c>
      <c r="I4667" s="14" t="n">
        <v>12.5</v>
      </c>
      <c r="J4667" s="22" t="n">
        <f aca="false">IF(E4667="Priority",'Cost model'!N762,'Cost model'!M762)</f>
        <v>45</v>
      </c>
      <c r="K4667" s="14" t="n">
        <f aca="false">J4667-H4667</f>
        <v>23.66</v>
      </c>
      <c r="L4667" s="14" t="n">
        <f aca="false">G4667-H4667</f>
        <v>-6.84</v>
      </c>
    </row>
    <row r="4668" customFormat="false" ht="15" hidden="false" customHeight="false" outlineLevel="0" collapsed="false">
      <c r="A4668" s="2" t="s">
        <v>184</v>
      </c>
      <c r="B4668" s="2" t="s">
        <v>184</v>
      </c>
      <c r="C4668" s="2" t="s">
        <v>48</v>
      </c>
      <c r="D4668" s="2" t="s">
        <v>10</v>
      </c>
      <c r="E4668" s="2" t="s">
        <v>85</v>
      </c>
      <c r="F4668" s="2" t="s">
        <v>1145</v>
      </c>
      <c r="G4668" s="14" t="n">
        <v>14.5</v>
      </c>
      <c r="H4668" s="14" t="n">
        <v>7.46</v>
      </c>
      <c r="I4668" s="14" t="n">
        <v>14.5</v>
      </c>
      <c r="J4668" s="22" t="n">
        <f aca="false">IF(E4668="Priority",'Cost model'!N200,'Cost model'!M200)</f>
        <v>12.5</v>
      </c>
      <c r="K4668" s="14" t="n">
        <f aca="false">J4668-H4668</f>
        <v>5.04</v>
      </c>
      <c r="L4668" s="14" t="n">
        <f aca="false">G4668-H4668</f>
        <v>7.04</v>
      </c>
    </row>
    <row r="4669" customFormat="false" ht="15" hidden="false" customHeight="false" outlineLevel="0" collapsed="false">
      <c r="A4669" s="2" t="s">
        <v>240</v>
      </c>
      <c r="B4669" s="2" t="s">
        <v>240</v>
      </c>
      <c r="C4669" s="2" t="s">
        <v>48</v>
      </c>
      <c r="D4669" s="2" t="s">
        <v>10</v>
      </c>
      <c r="E4669" s="2" t="s">
        <v>76</v>
      </c>
      <c r="F4669" s="2" t="s">
        <v>1145</v>
      </c>
      <c r="G4669" s="14" t="n">
        <v>9.5</v>
      </c>
      <c r="H4669" s="14" t="n">
        <v>11.51</v>
      </c>
      <c r="I4669" s="14" t="n">
        <v>9.5</v>
      </c>
      <c r="J4669" s="22" t="n">
        <f aca="false">IF(E4669="Priority",'Cost model'!N884,'Cost model'!M884)</f>
        <v>7.5</v>
      </c>
      <c r="K4669" s="14" t="n">
        <f aca="false">J4669-H4669</f>
        <v>-4.01</v>
      </c>
      <c r="L4669" s="14" t="n">
        <f aca="false">G4669-H4669</f>
        <v>-2.01</v>
      </c>
    </row>
    <row r="4670" customFormat="false" ht="15" hidden="false" customHeight="false" outlineLevel="0" collapsed="false">
      <c r="A4670" s="2" t="s">
        <v>240</v>
      </c>
      <c r="B4670" s="2" t="s">
        <v>126</v>
      </c>
      <c r="C4670" s="2" t="s">
        <v>48</v>
      </c>
      <c r="D4670" s="2" t="s">
        <v>10</v>
      </c>
      <c r="E4670" s="2" t="s">
        <v>76</v>
      </c>
      <c r="F4670" s="2" t="s">
        <v>1146</v>
      </c>
      <c r="G4670" s="14" t="n">
        <v>9.5</v>
      </c>
      <c r="H4670" s="14" t="n">
        <v>17.05</v>
      </c>
      <c r="I4670" s="14" t="n">
        <v>19.5</v>
      </c>
      <c r="J4670" s="22" t="n">
        <f aca="false">IF(E4670="Priority",'Cost model'!N956,'Cost model'!M956)</f>
        <v>15.5</v>
      </c>
      <c r="K4670" s="14" t="n">
        <f aca="false">J4670-H4670</f>
        <v>-1.55</v>
      </c>
      <c r="L4670" s="14" t="n">
        <f aca="false">G4670-H4670</f>
        <v>-7.55</v>
      </c>
    </row>
    <row r="4671" customFormat="false" ht="15" hidden="false" customHeight="false" outlineLevel="0" collapsed="false">
      <c r="A4671" s="2" t="s">
        <v>184</v>
      </c>
      <c r="B4671" s="2" t="s">
        <v>184</v>
      </c>
      <c r="C4671" s="2" t="s">
        <v>48</v>
      </c>
      <c r="D4671" s="2" t="s">
        <v>10</v>
      </c>
      <c r="E4671" s="2" t="s">
        <v>76</v>
      </c>
      <c r="F4671" s="2" t="s">
        <v>1145</v>
      </c>
      <c r="G4671" s="14" t="n">
        <v>9.5</v>
      </c>
      <c r="H4671" s="14" t="n">
        <v>7.72</v>
      </c>
      <c r="I4671" s="14" t="n">
        <v>9.5</v>
      </c>
      <c r="J4671" s="22" t="n">
        <f aca="false">IF(E4671="Priority",'Cost model'!N200,'Cost model'!M200)</f>
        <v>7.5</v>
      </c>
      <c r="K4671" s="14" t="n">
        <f aca="false">J4671-H4671</f>
        <v>-0.22</v>
      </c>
      <c r="L4671" s="14" t="n">
        <f aca="false">G4671-H4671</f>
        <v>1.78</v>
      </c>
    </row>
    <row r="4672" customFormat="false" ht="15" hidden="false" customHeight="false" outlineLevel="0" collapsed="false">
      <c r="A4672" s="2" t="s">
        <v>184</v>
      </c>
      <c r="B4672" s="2" t="s">
        <v>184</v>
      </c>
      <c r="C4672" s="2" t="s">
        <v>48</v>
      </c>
      <c r="D4672" s="2" t="s">
        <v>10</v>
      </c>
      <c r="E4672" s="2" t="s">
        <v>76</v>
      </c>
      <c r="F4672" s="2" t="s">
        <v>1145</v>
      </c>
      <c r="G4672" s="14" t="n">
        <v>9.5</v>
      </c>
      <c r="H4672" s="14" t="n">
        <v>7.72</v>
      </c>
      <c r="I4672" s="14" t="n">
        <v>9.5</v>
      </c>
      <c r="J4672" s="22" t="n">
        <f aca="false">IF(E4672="Priority",'Cost model'!N200,'Cost model'!M200)</f>
        <v>7.5</v>
      </c>
      <c r="K4672" s="14" t="n">
        <f aca="false">J4672-H4672</f>
        <v>-0.22</v>
      </c>
      <c r="L4672" s="14" t="n">
        <f aca="false">G4672-H4672</f>
        <v>1.78</v>
      </c>
    </row>
    <row r="4673" customFormat="false" ht="15" hidden="false" customHeight="false" outlineLevel="0" collapsed="false">
      <c r="A4673" s="2" t="s">
        <v>126</v>
      </c>
      <c r="B4673" s="2" t="s">
        <v>126</v>
      </c>
      <c r="C4673" s="2" t="s">
        <v>48</v>
      </c>
      <c r="D4673" s="2" t="s">
        <v>10</v>
      </c>
      <c r="E4673" s="2" t="s">
        <v>76</v>
      </c>
      <c r="F4673" s="2" t="s">
        <v>1145</v>
      </c>
      <c r="G4673" s="14" t="n">
        <v>9.5</v>
      </c>
      <c r="H4673" s="14" t="n">
        <v>6.2</v>
      </c>
      <c r="I4673" s="14" t="n">
        <v>9.5</v>
      </c>
      <c r="J4673" s="22" t="n">
        <f aca="false">IF(E4673="Priority",'Cost model'!N380,'Cost model'!M380)</f>
        <v>8.5</v>
      </c>
      <c r="K4673" s="14" t="n">
        <f aca="false">J4673-H4673</f>
        <v>2.3</v>
      </c>
      <c r="L4673" s="14" t="n">
        <f aca="false">G4673-H4673</f>
        <v>3.3</v>
      </c>
    </row>
    <row r="4674" customFormat="false" ht="15" hidden="false" customHeight="false" outlineLevel="0" collapsed="false">
      <c r="A4674" s="2" t="s">
        <v>126</v>
      </c>
      <c r="B4674" s="2" t="s">
        <v>126</v>
      </c>
      <c r="C4674" s="2" t="s">
        <v>49</v>
      </c>
      <c r="D4674" s="2" t="s">
        <v>12</v>
      </c>
      <c r="E4674" s="2" t="s">
        <v>76</v>
      </c>
      <c r="F4674" s="2" t="s">
        <v>1145</v>
      </c>
      <c r="G4674" s="14" t="n">
        <v>12.5</v>
      </c>
      <c r="H4674" s="14" t="n">
        <v>29.34</v>
      </c>
      <c r="I4674" s="14" t="n">
        <v>12.5</v>
      </c>
      <c r="J4674" s="22" t="n">
        <f aca="false">IF(E4674="Priority",'Cost model'!N384,'Cost model'!M384)</f>
        <v>45</v>
      </c>
      <c r="K4674" s="14" t="n">
        <f aca="false">J4674-H4674</f>
        <v>15.66</v>
      </c>
      <c r="L4674" s="14" t="n">
        <f aca="false">G4674-H4674</f>
        <v>-16.84</v>
      </c>
    </row>
    <row r="4675" customFormat="false" ht="15" hidden="false" customHeight="false" outlineLevel="0" collapsed="false">
      <c r="A4675" s="2" t="s">
        <v>184</v>
      </c>
      <c r="B4675" s="2" t="s">
        <v>146</v>
      </c>
      <c r="C4675" s="2" t="s">
        <v>50</v>
      </c>
      <c r="D4675" s="2" t="s">
        <v>10</v>
      </c>
      <c r="E4675" s="2" t="s">
        <v>76</v>
      </c>
      <c r="F4675" s="2" t="s">
        <v>1146</v>
      </c>
      <c r="G4675" s="14" t="n">
        <v>17.5</v>
      </c>
      <c r="H4675" s="14" t="n">
        <v>11.03</v>
      </c>
      <c r="I4675" s="14" t="n">
        <v>17.5</v>
      </c>
      <c r="J4675" s="22" t="n">
        <f aca="false">IF(E4675="Priority",'Cost model'!N148,'Cost model'!M148)</f>
        <v>21.5</v>
      </c>
      <c r="K4675" s="14" t="n">
        <f aca="false">J4675-H4675</f>
        <v>10.47</v>
      </c>
      <c r="L4675" s="14" t="n">
        <f aca="false">G4675-H4675</f>
        <v>6.47</v>
      </c>
    </row>
    <row r="4676" customFormat="false" ht="15" hidden="false" customHeight="false" outlineLevel="0" collapsed="false">
      <c r="A4676" s="2" t="s">
        <v>146</v>
      </c>
      <c r="B4676" s="2" t="s">
        <v>146</v>
      </c>
      <c r="C4676" s="2" t="s">
        <v>48</v>
      </c>
      <c r="D4676" s="2" t="s">
        <v>12</v>
      </c>
      <c r="E4676" s="2" t="s">
        <v>76</v>
      </c>
      <c r="F4676" s="2" t="s">
        <v>1145</v>
      </c>
      <c r="G4676" s="14" t="n">
        <v>9.5</v>
      </c>
      <c r="H4676" s="14" t="n">
        <v>43.77</v>
      </c>
      <c r="I4676" s="14" t="n">
        <v>9.5</v>
      </c>
      <c r="J4676" s="22" t="n">
        <f aca="false">IF(E4676="Priority",'Cost model'!N761,'Cost model'!M761)</f>
        <v>35</v>
      </c>
      <c r="K4676" s="14" t="n">
        <f aca="false">J4676-H4676</f>
        <v>-8.77</v>
      </c>
      <c r="L4676" s="14" t="n">
        <f aca="false">G4676-H4676</f>
        <v>-34.27</v>
      </c>
    </row>
    <row r="4677" customFormat="false" ht="15" hidden="false" customHeight="false" outlineLevel="0" collapsed="false">
      <c r="A4677" s="2" t="s">
        <v>126</v>
      </c>
      <c r="B4677" s="2" t="s">
        <v>126</v>
      </c>
      <c r="C4677" s="2" t="s">
        <v>50</v>
      </c>
      <c r="D4677" s="2" t="s">
        <v>10</v>
      </c>
      <c r="E4677" s="2" t="s">
        <v>76</v>
      </c>
      <c r="F4677" s="2" t="s">
        <v>1145</v>
      </c>
      <c r="G4677" s="14" t="n">
        <v>17.5</v>
      </c>
      <c r="H4677" s="14" t="n">
        <v>11.58</v>
      </c>
      <c r="I4677" s="14" t="n">
        <v>17.5</v>
      </c>
      <c r="J4677" s="22" t="n">
        <f aca="false">IF(E4677="Priority",'Cost model'!N382,'Cost model'!M382)</f>
        <v>18.5</v>
      </c>
      <c r="K4677" s="14" t="n">
        <f aca="false">J4677-H4677</f>
        <v>6.92</v>
      </c>
      <c r="L4677" s="14" t="n">
        <f aca="false">G4677-H4677</f>
        <v>5.92</v>
      </c>
    </row>
    <row r="4678" customFormat="false" ht="15" hidden="false" customHeight="false" outlineLevel="0" collapsed="false">
      <c r="A4678" s="2" t="s">
        <v>385</v>
      </c>
      <c r="B4678" s="2" t="s">
        <v>165</v>
      </c>
      <c r="C4678" s="2" t="s">
        <v>48</v>
      </c>
      <c r="D4678" s="2" t="s">
        <v>10</v>
      </c>
      <c r="E4678" s="2" t="s">
        <v>76</v>
      </c>
      <c r="F4678" s="2" t="s">
        <v>1146</v>
      </c>
      <c r="G4678" s="14" t="n">
        <v>19.5</v>
      </c>
      <c r="H4678" s="14" t="n">
        <v>20.83</v>
      </c>
      <c r="I4678" s="14" t="n">
        <v>19.5</v>
      </c>
      <c r="J4678" s="22" t="n">
        <f aca="false">IF(E4678="Priority",'Cost model'!N254,'Cost model'!M254)</f>
        <v>20.5</v>
      </c>
      <c r="K4678" s="14" t="n">
        <f aca="false">J4678-H4678</f>
        <v>-0.329999999999998</v>
      </c>
      <c r="L4678" s="14" t="n">
        <f aca="false">G4678-H4678</f>
        <v>-1.33</v>
      </c>
    </row>
    <row r="4679" customFormat="false" ht="15" hidden="false" customHeight="false" outlineLevel="0" collapsed="false">
      <c r="A4679" s="2" t="s">
        <v>165</v>
      </c>
      <c r="B4679" s="2" t="s">
        <v>240</v>
      </c>
      <c r="C4679" s="2" t="s">
        <v>48</v>
      </c>
      <c r="D4679" s="2" t="s">
        <v>12</v>
      </c>
      <c r="E4679" s="2" t="s">
        <v>76</v>
      </c>
      <c r="F4679" s="2" t="s">
        <v>1146</v>
      </c>
      <c r="G4679" s="14" t="n">
        <v>9.5</v>
      </c>
      <c r="H4679" s="14" t="n">
        <v>41.99</v>
      </c>
      <c r="I4679" s="14" t="n">
        <v>24.5</v>
      </c>
      <c r="J4679" s="22" t="n">
        <f aca="false">IF(E4679="Priority",'Cost model'!N563,'Cost model'!M563)</f>
        <v>55</v>
      </c>
      <c r="K4679" s="14" t="n">
        <f aca="false">J4679-H4679</f>
        <v>13.01</v>
      </c>
      <c r="L4679" s="14" t="n">
        <f aca="false">G4679-H4679</f>
        <v>-32.49</v>
      </c>
    </row>
    <row r="4680" customFormat="false" ht="15" hidden="false" customHeight="false" outlineLevel="0" collapsed="false">
      <c r="A4680" s="2" t="s">
        <v>240</v>
      </c>
      <c r="B4680" s="2" t="s">
        <v>184</v>
      </c>
      <c r="C4680" s="2" t="s">
        <v>48</v>
      </c>
      <c r="D4680" s="2" t="s">
        <v>12</v>
      </c>
      <c r="E4680" s="2" t="s">
        <v>76</v>
      </c>
      <c r="F4680" s="2" t="s">
        <v>1146</v>
      </c>
      <c r="G4680" s="14" t="n">
        <v>19.5</v>
      </c>
      <c r="H4680" s="14" t="n">
        <v>166.25</v>
      </c>
      <c r="I4680" s="14" t="n">
        <v>24.5</v>
      </c>
      <c r="J4680" s="22" t="n">
        <f aca="false">IF(E4680="Priority",'Cost model'!N941,'Cost model'!M941)</f>
        <v>70</v>
      </c>
      <c r="K4680" s="14" t="n">
        <f aca="false">J4680-H4680</f>
        <v>-96.25</v>
      </c>
      <c r="L4680" s="14" t="n">
        <f aca="false">G4680-H4680</f>
        <v>-146.75</v>
      </c>
    </row>
    <row r="4681" customFormat="false" ht="15" hidden="false" customHeight="false" outlineLevel="0" collapsed="false">
      <c r="A4681" s="2" t="s">
        <v>184</v>
      </c>
      <c r="B4681" s="2" t="s">
        <v>184</v>
      </c>
      <c r="C4681" s="2" t="s">
        <v>48</v>
      </c>
      <c r="D4681" s="2" t="s">
        <v>10</v>
      </c>
      <c r="E4681" s="2" t="s">
        <v>85</v>
      </c>
      <c r="F4681" s="2" t="s">
        <v>1145</v>
      </c>
      <c r="G4681" s="14" t="n">
        <v>14.5</v>
      </c>
      <c r="H4681" s="14" t="n">
        <v>43.77</v>
      </c>
      <c r="I4681" s="14" t="n">
        <v>14.5</v>
      </c>
      <c r="J4681" s="22" t="n">
        <f aca="false">IF(E4681="Priority",'Cost model'!N200,'Cost model'!M200)</f>
        <v>12.5</v>
      </c>
      <c r="K4681" s="14" t="n">
        <f aca="false">J4681-H4681</f>
        <v>-31.27</v>
      </c>
      <c r="L4681" s="14" t="n">
        <f aca="false">G4681-H4681</f>
        <v>-29.27</v>
      </c>
    </row>
    <row r="4682" customFormat="false" ht="15" hidden="false" customHeight="false" outlineLevel="0" collapsed="false">
      <c r="A4682" s="2" t="s">
        <v>184</v>
      </c>
      <c r="B4682" s="2" t="s">
        <v>184</v>
      </c>
      <c r="C4682" s="2" t="s">
        <v>49</v>
      </c>
      <c r="D4682" s="2" t="s">
        <v>10</v>
      </c>
      <c r="E4682" s="2" t="s">
        <v>76</v>
      </c>
      <c r="F4682" s="2" t="s">
        <v>1145</v>
      </c>
      <c r="G4682" s="14" t="n">
        <v>12.5</v>
      </c>
      <c r="H4682" s="14" t="n">
        <v>7.37</v>
      </c>
      <c r="I4682" s="14"/>
      <c r="J4682" s="22" t="n">
        <f aca="false">IF(E4682="Priority",'Cost model'!N201,'Cost model'!M201)</f>
        <v>12.5</v>
      </c>
      <c r="K4682" s="14" t="n">
        <f aca="false">J4682-H4682</f>
        <v>5.13</v>
      </c>
      <c r="L4682" s="14" t="n">
        <f aca="false">G4682-H4682</f>
        <v>5.13</v>
      </c>
    </row>
    <row r="4683" customFormat="false" ht="15" hidden="false" customHeight="false" outlineLevel="0" collapsed="false">
      <c r="A4683" s="2" t="s">
        <v>184</v>
      </c>
      <c r="B4683" s="2" t="s">
        <v>184</v>
      </c>
      <c r="C4683" s="2" t="s">
        <v>49</v>
      </c>
      <c r="D4683" s="2" t="s">
        <v>10</v>
      </c>
      <c r="E4683" s="2" t="s">
        <v>76</v>
      </c>
      <c r="F4683" s="2" t="s">
        <v>1145</v>
      </c>
      <c r="G4683" s="14" t="n">
        <v>12.5</v>
      </c>
      <c r="H4683" s="14" t="n">
        <v>10.79</v>
      </c>
      <c r="I4683" s="14" t="n">
        <v>12.5</v>
      </c>
      <c r="J4683" s="22" t="n">
        <f aca="false">IF(E4683="Priority",'Cost model'!N201,'Cost model'!M201)</f>
        <v>12.5</v>
      </c>
      <c r="K4683" s="14" t="n">
        <f aca="false">J4683-H4683</f>
        <v>1.71</v>
      </c>
      <c r="L4683" s="14" t="n">
        <f aca="false">G4683-H4683</f>
        <v>1.71</v>
      </c>
    </row>
    <row r="4684" customFormat="false" ht="15" hidden="false" customHeight="false" outlineLevel="0" collapsed="false">
      <c r="A4684" s="2" t="s">
        <v>126</v>
      </c>
      <c r="B4684" s="2" t="s">
        <v>126</v>
      </c>
      <c r="C4684" s="2" t="s">
        <v>48</v>
      </c>
      <c r="D4684" s="2" t="s">
        <v>13</v>
      </c>
      <c r="E4684" s="2" t="s">
        <v>76</v>
      </c>
      <c r="F4684" s="2" t="s">
        <v>1145</v>
      </c>
      <c r="G4684" s="14" t="n">
        <v>19</v>
      </c>
      <c r="H4684" s="14" t="n">
        <v>86.15</v>
      </c>
      <c r="I4684" s="14" t="n">
        <v>19</v>
      </c>
      <c r="J4684" s="22" t="n">
        <f aca="false">IF(E4684="Priority",'Cost model'!N386,'Cost model'!M386)</f>
        <v>55</v>
      </c>
      <c r="K4684" s="14" t="n">
        <f aca="false">J4684-H4684</f>
        <v>-31.15</v>
      </c>
      <c r="L4684" s="14" t="n">
        <f aca="false">G4684-H4684</f>
        <v>-67.15</v>
      </c>
    </row>
    <row r="4685" customFormat="false" ht="15" hidden="false" customHeight="false" outlineLevel="0" collapsed="false">
      <c r="A4685" s="2" t="s">
        <v>184</v>
      </c>
      <c r="B4685" s="2" t="s">
        <v>184</v>
      </c>
      <c r="C4685" s="2" t="s">
        <v>49</v>
      </c>
      <c r="D4685" s="2" t="s">
        <v>13</v>
      </c>
      <c r="E4685" s="2" t="s">
        <v>76</v>
      </c>
      <c r="F4685" s="2" t="s">
        <v>1145</v>
      </c>
      <c r="G4685" s="14" t="n">
        <v>24.5</v>
      </c>
      <c r="H4685" s="14" t="n">
        <v>61.97</v>
      </c>
      <c r="I4685" s="14"/>
      <c r="J4685" s="22" t="n">
        <f aca="false">IF(E4685="Priority",'Cost model'!N207,'Cost model'!M207)</f>
        <v>75</v>
      </c>
      <c r="K4685" s="14" t="n">
        <f aca="false">J4685-H4685</f>
        <v>13.03</v>
      </c>
      <c r="L4685" s="14" t="n">
        <f aca="false">G4685-H4685</f>
        <v>-37.47</v>
      </c>
    </row>
    <row r="4686" customFormat="false" ht="15" hidden="false" customHeight="false" outlineLevel="0" collapsed="false">
      <c r="A4686" s="2" t="s">
        <v>126</v>
      </c>
      <c r="B4686" s="2" t="s">
        <v>126</v>
      </c>
      <c r="C4686" s="2" t="s">
        <v>49</v>
      </c>
      <c r="D4686" s="2" t="s">
        <v>10</v>
      </c>
      <c r="E4686" s="2" t="s">
        <v>76</v>
      </c>
      <c r="F4686" s="2" t="s">
        <v>1145</v>
      </c>
      <c r="G4686" s="14" t="n">
        <v>14.5</v>
      </c>
      <c r="H4686" s="14" t="n">
        <v>21.14</v>
      </c>
      <c r="I4686" s="14" t="n">
        <v>12.5</v>
      </c>
      <c r="J4686" s="22" t="n">
        <f aca="false">IF(E4686="Priority",'Cost model'!N381,'Cost model'!M381)</f>
        <v>14.5</v>
      </c>
      <c r="K4686" s="14" t="n">
        <f aca="false">J4686-H4686</f>
        <v>-6.64</v>
      </c>
      <c r="L4686" s="14" t="n">
        <f aca="false">G4686-H4686</f>
        <v>-6.64</v>
      </c>
    </row>
    <row r="4687" customFormat="false" ht="15" hidden="false" customHeight="false" outlineLevel="0" collapsed="false">
      <c r="A4687" s="2" t="s">
        <v>126</v>
      </c>
      <c r="B4687" s="2" t="s">
        <v>126</v>
      </c>
      <c r="C4687" s="2" t="s">
        <v>50</v>
      </c>
      <c r="D4687" s="2" t="s">
        <v>12</v>
      </c>
      <c r="E4687" s="2" t="s">
        <v>85</v>
      </c>
      <c r="F4687" s="2" t="s">
        <v>1145</v>
      </c>
      <c r="G4687" s="14" t="n">
        <v>29.5</v>
      </c>
      <c r="H4687" s="14" t="n">
        <v>101.33</v>
      </c>
      <c r="I4687" s="14" t="n">
        <v>29.5</v>
      </c>
      <c r="J4687" s="22" t="n">
        <f aca="false">IF(E4687="Priority",'Cost model'!N385,'Cost model'!M385)</f>
        <v>70</v>
      </c>
      <c r="K4687" s="14" t="n">
        <f aca="false">J4687-H4687</f>
        <v>-31.33</v>
      </c>
      <c r="L4687" s="14" t="n">
        <f aca="false">G4687-H4687</f>
        <v>-71.83</v>
      </c>
    </row>
    <row r="4688" customFormat="false" ht="15" hidden="false" customHeight="false" outlineLevel="0" collapsed="false">
      <c r="A4688" s="2" t="s">
        <v>240</v>
      </c>
      <c r="B4688" s="2" t="s">
        <v>240</v>
      </c>
      <c r="C4688" s="2" t="s">
        <v>48</v>
      </c>
      <c r="D4688" s="2" t="s">
        <v>10</v>
      </c>
      <c r="E4688" s="2" t="s">
        <v>85</v>
      </c>
      <c r="F4688" s="2" t="s">
        <v>1145</v>
      </c>
      <c r="G4688" s="14" t="n">
        <v>14.5</v>
      </c>
      <c r="H4688" s="14" t="n">
        <v>7.12</v>
      </c>
      <c r="I4688" s="14" t="n">
        <v>14.5</v>
      </c>
      <c r="J4688" s="22" t="n">
        <f aca="false">IF(E4688="Priority",'Cost model'!N884,'Cost model'!M884)</f>
        <v>12.5</v>
      </c>
      <c r="K4688" s="14" t="n">
        <f aca="false">J4688-H4688</f>
        <v>5.38</v>
      </c>
      <c r="L4688" s="14" t="n">
        <f aca="false">G4688-H4688</f>
        <v>7.38</v>
      </c>
    </row>
    <row r="4689" customFormat="false" ht="15" hidden="false" customHeight="false" outlineLevel="0" collapsed="false">
      <c r="A4689" s="2" t="s">
        <v>221</v>
      </c>
      <c r="B4689" s="2" t="s">
        <v>221</v>
      </c>
      <c r="C4689" s="2" t="s">
        <v>49</v>
      </c>
      <c r="D4689" s="2" t="s">
        <v>12</v>
      </c>
      <c r="E4689" s="2" t="s">
        <v>85</v>
      </c>
      <c r="F4689" s="2" t="s">
        <v>1145</v>
      </c>
      <c r="G4689" s="14" t="n">
        <v>19.5</v>
      </c>
      <c r="H4689" s="14" t="n">
        <v>49.64</v>
      </c>
      <c r="I4689" s="14" t="n">
        <v>19.5</v>
      </c>
      <c r="J4689" s="22" t="n">
        <f aca="false">IF(E4689="Priority",'Cost model'!N636,'Cost model'!M636)</f>
        <v>70</v>
      </c>
      <c r="K4689" s="14" t="n">
        <f aca="false">J4689-H4689</f>
        <v>20.36</v>
      </c>
      <c r="L4689" s="14" t="n">
        <f aca="false">G4689-H4689</f>
        <v>-30.14</v>
      </c>
    </row>
    <row r="4690" customFormat="false" ht="15" hidden="false" customHeight="false" outlineLevel="0" collapsed="false">
      <c r="A4690" s="2" t="s">
        <v>240</v>
      </c>
      <c r="B4690" s="2" t="s">
        <v>240</v>
      </c>
      <c r="C4690" s="2" t="s">
        <v>50</v>
      </c>
      <c r="D4690" s="2" t="s">
        <v>10</v>
      </c>
      <c r="E4690" s="2" t="s">
        <v>76</v>
      </c>
      <c r="F4690" s="2" t="s">
        <v>1145</v>
      </c>
      <c r="G4690" s="14" t="n">
        <v>17.5</v>
      </c>
      <c r="H4690" s="14" t="n">
        <v>23.73</v>
      </c>
      <c r="I4690" s="14" t="n">
        <v>17.5</v>
      </c>
      <c r="J4690" s="22" t="n">
        <f aca="false">IF(E4690="Priority",'Cost model'!N886,'Cost model'!M886)</f>
        <v>17.5</v>
      </c>
      <c r="K4690" s="14" t="n">
        <f aca="false">J4690-H4690</f>
        <v>-6.23</v>
      </c>
      <c r="L4690" s="14" t="n">
        <f aca="false">G4690-H4690</f>
        <v>-6.23</v>
      </c>
    </row>
    <row r="4691" customFormat="false" ht="15" hidden="false" customHeight="false" outlineLevel="0" collapsed="false">
      <c r="A4691" s="2" t="s">
        <v>184</v>
      </c>
      <c r="B4691" s="2" t="s">
        <v>184</v>
      </c>
      <c r="C4691" s="2" t="s">
        <v>50</v>
      </c>
      <c r="D4691" s="2" t="s">
        <v>10</v>
      </c>
      <c r="E4691" s="2" t="s">
        <v>85</v>
      </c>
      <c r="F4691" s="2" t="s">
        <v>1145</v>
      </c>
      <c r="G4691" s="14" t="n">
        <v>24.5</v>
      </c>
      <c r="H4691" s="14" t="n">
        <v>27.17</v>
      </c>
      <c r="I4691" s="14" t="n">
        <v>24.5</v>
      </c>
      <c r="J4691" s="22" t="n">
        <f aca="false">IF(E4691="Priority",'Cost model'!N202,'Cost model'!M202)</f>
        <v>23.5</v>
      </c>
      <c r="K4691" s="14" t="n">
        <f aca="false">J4691-H4691</f>
        <v>-3.67</v>
      </c>
      <c r="L4691" s="14" t="n">
        <f aca="false">G4691-H4691</f>
        <v>-2.67</v>
      </c>
    </row>
    <row r="4692" customFormat="false" ht="15" hidden="false" customHeight="false" outlineLevel="0" collapsed="false">
      <c r="A4692" s="2" t="s">
        <v>126</v>
      </c>
      <c r="B4692" s="2" t="s">
        <v>126</v>
      </c>
      <c r="C4692" s="2" t="s">
        <v>50</v>
      </c>
      <c r="D4692" s="2" t="s">
        <v>14</v>
      </c>
      <c r="E4692" s="2" t="s">
        <v>76</v>
      </c>
      <c r="F4692" s="2" t="s">
        <v>1145</v>
      </c>
      <c r="G4692" s="14" t="n">
        <v>85</v>
      </c>
      <c r="H4692" s="14" t="n">
        <v>165.74</v>
      </c>
      <c r="I4692" s="14" t="n">
        <v>85</v>
      </c>
      <c r="J4692" s="22" t="n">
        <f aca="false">IF(E4692="Priority",'Cost model'!N391,'Cost model'!M391)</f>
        <v>170</v>
      </c>
      <c r="K4692" s="14" t="n">
        <f aca="false">J4692-H4692</f>
        <v>4.25999999999999</v>
      </c>
      <c r="L4692" s="14" t="n">
        <f aca="false">G4692-H4692</f>
        <v>-80.74</v>
      </c>
    </row>
    <row r="4693" customFormat="false" ht="15" hidden="false" customHeight="false" outlineLevel="0" collapsed="false">
      <c r="A4693" s="2" t="s">
        <v>184</v>
      </c>
      <c r="B4693" s="2" t="s">
        <v>184</v>
      </c>
      <c r="C4693" s="2" t="s">
        <v>48</v>
      </c>
      <c r="D4693" s="2" t="s">
        <v>12</v>
      </c>
      <c r="E4693" s="2" t="s">
        <v>85</v>
      </c>
      <c r="F4693" s="2" t="s">
        <v>1145</v>
      </c>
      <c r="G4693" s="14" t="n">
        <v>19.5</v>
      </c>
      <c r="H4693" s="14" t="n">
        <v>8.25</v>
      </c>
      <c r="I4693" s="14" t="n">
        <v>19.5</v>
      </c>
      <c r="J4693" s="22" t="n">
        <f aca="false">IF(E4693="Priority",'Cost model'!N203,'Cost model'!M203)</f>
        <v>35</v>
      </c>
      <c r="K4693" s="14" t="n">
        <f aca="false">J4693-H4693</f>
        <v>26.75</v>
      </c>
      <c r="L4693" s="14" t="n">
        <f aca="false">G4693-H4693</f>
        <v>11.25</v>
      </c>
    </row>
    <row r="4694" customFormat="false" ht="15" hidden="false" customHeight="false" outlineLevel="0" collapsed="false">
      <c r="A4694" s="2" t="s">
        <v>146</v>
      </c>
      <c r="B4694" s="2" t="s">
        <v>184</v>
      </c>
      <c r="C4694" s="2" t="s">
        <v>48</v>
      </c>
      <c r="D4694" s="2" t="s">
        <v>12</v>
      </c>
      <c r="E4694" s="2" t="s">
        <v>85</v>
      </c>
      <c r="F4694" s="2" t="s">
        <v>1146</v>
      </c>
      <c r="G4694" s="14" t="n">
        <v>24.5</v>
      </c>
      <c r="H4694" s="14" t="n">
        <v>47.78</v>
      </c>
      <c r="I4694" s="14" t="n">
        <v>24.5</v>
      </c>
      <c r="J4694" s="22" t="n">
        <f aca="false">IF(E4694="Priority",'Cost model'!N833,'Cost model'!M833)</f>
        <v>60</v>
      </c>
      <c r="K4694" s="14" t="n">
        <f aca="false">J4694-H4694</f>
        <v>12.22</v>
      </c>
      <c r="L4694" s="14" t="n">
        <f aca="false">G4694-H4694</f>
        <v>-23.28</v>
      </c>
    </row>
    <row r="4695" customFormat="false" ht="15" hidden="false" customHeight="false" outlineLevel="0" collapsed="false">
      <c r="A4695" s="2" t="s">
        <v>240</v>
      </c>
      <c r="B4695" s="2" t="s">
        <v>126</v>
      </c>
      <c r="C4695" s="2" t="s">
        <v>50</v>
      </c>
      <c r="D4695" s="2" t="s">
        <v>10</v>
      </c>
      <c r="E4695" s="2" t="s">
        <v>76</v>
      </c>
      <c r="F4695" s="2" t="s">
        <v>1146</v>
      </c>
      <c r="G4695" s="14" t="n">
        <v>17.5</v>
      </c>
      <c r="H4695" s="14" t="n">
        <v>21.76</v>
      </c>
      <c r="I4695" s="14" t="n">
        <v>19.5</v>
      </c>
      <c r="J4695" s="22" t="n">
        <f aca="false">IF(E4695="Priority",'Cost model'!N958,'Cost model'!M958)</f>
        <v>24.5</v>
      </c>
      <c r="K4695" s="14" t="n">
        <f aca="false">J4695-H4695</f>
        <v>2.74</v>
      </c>
      <c r="L4695" s="14" t="n">
        <f aca="false">G4695-H4695</f>
        <v>-4.26</v>
      </c>
    </row>
    <row r="4696" customFormat="false" ht="15" hidden="false" customHeight="false" outlineLevel="0" collapsed="false">
      <c r="A4696" s="2" t="s">
        <v>146</v>
      </c>
      <c r="B4696" s="2" t="s">
        <v>146</v>
      </c>
      <c r="C4696" s="2" t="s">
        <v>49</v>
      </c>
      <c r="D4696" s="2" t="s">
        <v>12</v>
      </c>
      <c r="E4696" s="2" t="s">
        <v>85</v>
      </c>
      <c r="F4696" s="2" t="s">
        <v>1145</v>
      </c>
      <c r="G4696" s="14" t="n">
        <v>19.5</v>
      </c>
      <c r="H4696" s="14" t="n">
        <v>47.59</v>
      </c>
      <c r="I4696" s="14" t="n">
        <v>19.5</v>
      </c>
      <c r="J4696" s="22" t="n">
        <f aca="false">IF(E4696="Priority",'Cost model'!N762,'Cost model'!M762)</f>
        <v>60</v>
      </c>
      <c r="K4696" s="14" t="n">
        <f aca="false">J4696-H4696</f>
        <v>12.41</v>
      </c>
      <c r="L4696" s="14" t="n">
        <f aca="false">G4696-H4696</f>
        <v>-28.09</v>
      </c>
    </row>
    <row r="4697" customFormat="false" ht="15" hidden="false" customHeight="false" outlineLevel="0" collapsed="false">
      <c r="A4697" s="2" t="s">
        <v>165</v>
      </c>
      <c r="B4697" s="2" t="s">
        <v>165</v>
      </c>
      <c r="C4697" s="2" t="s">
        <v>48</v>
      </c>
      <c r="D4697" s="2" t="s">
        <v>10</v>
      </c>
      <c r="E4697" s="2" t="s">
        <v>76</v>
      </c>
      <c r="F4697" s="2" t="s">
        <v>1145</v>
      </c>
      <c r="G4697" s="14" t="n">
        <v>9.5</v>
      </c>
      <c r="H4697" s="14" t="n">
        <v>6.14</v>
      </c>
      <c r="I4697" s="14" t="n">
        <v>9.5</v>
      </c>
      <c r="J4697" s="22" t="n">
        <f aca="false">IF(E4697="Priority",'Cost model'!N506,'Cost model'!M506)</f>
        <v>7.5</v>
      </c>
      <c r="K4697" s="14" t="n">
        <f aca="false">J4697-H4697</f>
        <v>1.36</v>
      </c>
      <c r="L4697" s="14" t="n">
        <f aca="false">G4697-H4697</f>
        <v>3.36</v>
      </c>
    </row>
    <row r="4698" customFormat="false" ht="15" hidden="false" customHeight="false" outlineLevel="0" collapsed="false">
      <c r="A4698" s="2" t="s">
        <v>126</v>
      </c>
      <c r="B4698" s="2" t="s">
        <v>165</v>
      </c>
      <c r="C4698" s="2" t="s">
        <v>49</v>
      </c>
      <c r="D4698" s="2" t="s">
        <v>12</v>
      </c>
      <c r="E4698" s="2" t="s">
        <v>76</v>
      </c>
      <c r="F4698" s="2" t="s">
        <v>1146</v>
      </c>
      <c r="G4698" s="14" t="n">
        <v>19.5</v>
      </c>
      <c r="H4698" s="14" t="n">
        <v>107.93</v>
      </c>
      <c r="I4698" s="14" t="n">
        <v>19.5</v>
      </c>
      <c r="J4698" s="22" t="n">
        <f aca="false">IF(E4698="Priority",'Cost model'!N420,'Cost model'!M420)</f>
        <v>60</v>
      </c>
      <c r="K4698" s="14" t="n">
        <f aca="false">J4698-H4698</f>
        <v>-47.93</v>
      </c>
      <c r="L4698" s="14" t="n">
        <f aca="false">G4698-H4698</f>
        <v>-88.43</v>
      </c>
    </row>
    <row r="4699" customFormat="false" ht="15" hidden="false" customHeight="false" outlineLevel="0" collapsed="false">
      <c r="A4699" s="2" t="s">
        <v>165</v>
      </c>
      <c r="B4699" s="2" t="s">
        <v>165</v>
      </c>
      <c r="C4699" s="2" t="s">
        <v>48</v>
      </c>
      <c r="D4699" s="2" t="s">
        <v>10</v>
      </c>
      <c r="E4699" s="2" t="s">
        <v>76</v>
      </c>
      <c r="F4699" s="2" t="s">
        <v>1145</v>
      </c>
      <c r="G4699" s="14" t="n">
        <v>9.5</v>
      </c>
      <c r="H4699" s="14" t="n">
        <v>10.16</v>
      </c>
      <c r="I4699" s="14" t="n">
        <v>9.5</v>
      </c>
      <c r="J4699" s="22" t="n">
        <f aca="false">IF(E4699="Priority",'Cost model'!N506,'Cost model'!M506)</f>
        <v>7.5</v>
      </c>
      <c r="K4699" s="14" t="n">
        <f aca="false">J4699-H4699</f>
        <v>-2.66</v>
      </c>
      <c r="L4699" s="14" t="n">
        <f aca="false">G4699-H4699</f>
        <v>-0.66</v>
      </c>
    </row>
    <row r="4700" customFormat="false" ht="15" hidden="false" customHeight="false" outlineLevel="0" collapsed="false">
      <c r="A4700" s="2" t="s">
        <v>126</v>
      </c>
      <c r="B4700" s="2" t="s">
        <v>126</v>
      </c>
      <c r="C4700" s="2" t="s">
        <v>49</v>
      </c>
      <c r="D4700" s="2" t="s">
        <v>10</v>
      </c>
      <c r="E4700" s="2" t="s">
        <v>85</v>
      </c>
      <c r="F4700" s="2" t="s">
        <v>1145</v>
      </c>
      <c r="G4700" s="14" t="n">
        <v>17.5</v>
      </c>
      <c r="H4700" s="14" t="n">
        <v>20.83</v>
      </c>
      <c r="I4700" s="14" t="n">
        <v>17.5</v>
      </c>
      <c r="J4700" s="22" t="n">
        <f aca="false">IF(E4700="Priority",'Cost model'!N381,'Cost model'!M381)</f>
        <v>19.5</v>
      </c>
      <c r="K4700" s="14" t="n">
        <f aca="false">J4700-H4700</f>
        <v>-1.33</v>
      </c>
      <c r="L4700" s="14" t="n">
        <f aca="false">G4700-H4700</f>
        <v>-3.33</v>
      </c>
    </row>
    <row r="4701" customFormat="false" ht="15" hidden="false" customHeight="false" outlineLevel="0" collapsed="false">
      <c r="A4701" s="2" t="s">
        <v>184</v>
      </c>
      <c r="B4701" s="2" t="s">
        <v>184</v>
      </c>
      <c r="C4701" s="2" t="s">
        <v>50</v>
      </c>
      <c r="D4701" s="2" t="s">
        <v>12</v>
      </c>
      <c r="E4701" s="2" t="s">
        <v>76</v>
      </c>
      <c r="F4701" s="2" t="s">
        <v>1145</v>
      </c>
      <c r="G4701" s="14" t="n">
        <v>19.5</v>
      </c>
      <c r="H4701" s="14" t="n">
        <v>43.3</v>
      </c>
      <c r="I4701" s="14" t="n">
        <v>19.5</v>
      </c>
      <c r="J4701" s="22" t="n">
        <f aca="false">IF(E4701="Priority",'Cost model'!N205,'Cost model'!M205)</f>
        <v>50</v>
      </c>
      <c r="K4701" s="14" t="n">
        <f aca="false">J4701-H4701</f>
        <v>6.7</v>
      </c>
      <c r="L4701" s="14" t="n">
        <f aca="false">G4701-H4701</f>
        <v>-23.8</v>
      </c>
    </row>
    <row r="4702" customFormat="false" ht="15" hidden="false" customHeight="false" outlineLevel="0" collapsed="false">
      <c r="A4702" s="2" t="s">
        <v>126</v>
      </c>
      <c r="B4702" s="2" t="s">
        <v>165</v>
      </c>
      <c r="C4702" s="2" t="s">
        <v>48</v>
      </c>
      <c r="D4702" s="2" t="s">
        <v>12</v>
      </c>
      <c r="E4702" s="2" t="s">
        <v>76</v>
      </c>
      <c r="F4702" s="2" t="s">
        <v>1146</v>
      </c>
      <c r="G4702" s="14" t="n">
        <v>9.5</v>
      </c>
      <c r="H4702" s="14" t="n">
        <v>13.2</v>
      </c>
      <c r="I4702" s="14" t="n">
        <v>19.5</v>
      </c>
      <c r="J4702" s="22" t="n">
        <f aca="false">IF(E4702="Priority",'Cost model'!N419,'Cost model'!M419)</f>
        <v>55</v>
      </c>
      <c r="K4702" s="14" t="n">
        <f aca="false">J4702-H4702</f>
        <v>41.8</v>
      </c>
      <c r="L4702" s="14" t="n">
        <f aca="false">G4702-H4702</f>
        <v>-3.7</v>
      </c>
    </row>
    <row r="4703" customFormat="false" ht="15" hidden="false" customHeight="false" outlineLevel="0" collapsed="false">
      <c r="A4703" s="2" t="s">
        <v>184</v>
      </c>
      <c r="B4703" s="2" t="s">
        <v>221</v>
      </c>
      <c r="C4703" s="2" t="s">
        <v>49</v>
      </c>
      <c r="D4703" s="2" t="s">
        <v>10</v>
      </c>
      <c r="E4703" s="2" t="s">
        <v>76</v>
      </c>
      <c r="F4703" s="2" t="s">
        <v>1146</v>
      </c>
      <c r="G4703" s="14" t="n">
        <v>12.5</v>
      </c>
      <c r="H4703" s="14" t="n">
        <v>17.03</v>
      </c>
      <c r="I4703" s="14" t="n">
        <v>19.5</v>
      </c>
      <c r="J4703" s="22" t="n">
        <f aca="false">IF(E4703="Priority",'Cost model'!N219,'Cost model'!M219)</f>
        <v>14.5</v>
      </c>
      <c r="K4703" s="14" t="n">
        <f aca="false">J4703-H4703</f>
        <v>-2.53</v>
      </c>
      <c r="L4703" s="14" t="n">
        <f aca="false">G4703-H4703</f>
        <v>-4.53</v>
      </c>
    </row>
    <row r="4704" customFormat="false" ht="15" hidden="false" customHeight="false" outlineLevel="0" collapsed="false">
      <c r="A4704" s="2" t="s">
        <v>165</v>
      </c>
      <c r="B4704" s="2" t="s">
        <v>165</v>
      </c>
      <c r="C4704" s="2" t="s">
        <v>48</v>
      </c>
      <c r="D4704" s="2" t="s">
        <v>12</v>
      </c>
      <c r="E4704" s="2" t="s">
        <v>85</v>
      </c>
      <c r="F4704" s="2" t="s">
        <v>1145</v>
      </c>
      <c r="G4704" s="14" t="n">
        <v>19.5</v>
      </c>
      <c r="H4704" s="14" t="n">
        <v>15.9</v>
      </c>
      <c r="I4704" s="14" t="n">
        <v>19.5</v>
      </c>
      <c r="J4704" s="22" t="n">
        <f aca="false">IF(E4704="Priority",'Cost model'!N509,'Cost model'!M509)</f>
        <v>22.5</v>
      </c>
      <c r="K4704" s="14" t="n">
        <f aca="false">J4704-H4704</f>
        <v>6.6</v>
      </c>
      <c r="L4704" s="14" t="n">
        <f aca="false">G4704-H4704</f>
        <v>3.6</v>
      </c>
    </row>
    <row r="4705" customFormat="false" ht="15" hidden="false" customHeight="false" outlineLevel="0" collapsed="false">
      <c r="A4705" s="2" t="s">
        <v>126</v>
      </c>
      <c r="B4705" s="2" t="s">
        <v>126</v>
      </c>
      <c r="C4705" s="2" t="s">
        <v>48</v>
      </c>
      <c r="D4705" s="2" t="s">
        <v>10</v>
      </c>
      <c r="E4705" s="2" t="s">
        <v>76</v>
      </c>
      <c r="F4705" s="2" t="s">
        <v>1145</v>
      </c>
      <c r="G4705" s="14" t="n">
        <v>9.5</v>
      </c>
      <c r="H4705" s="14" t="n">
        <v>7.46</v>
      </c>
      <c r="I4705" s="14" t="n">
        <v>9.5</v>
      </c>
      <c r="J4705" s="22" t="n">
        <f aca="false">IF(E4705="Priority",'Cost model'!N380,'Cost model'!M380)</f>
        <v>8.5</v>
      </c>
      <c r="K4705" s="14" t="n">
        <f aca="false">J4705-H4705</f>
        <v>1.04</v>
      </c>
      <c r="L4705" s="14" t="n">
        <f aca="false">G4705-H4705</f>
        <v>2.04</v>
      </c>
    </row>
    <row r="4706" customFormat="false" ht="15" hidden="false" customHeight="false" outlineLevel="0" collapsed="false">
      <c r="A4706" s="2" t="s">
        <v>184</v>
      </c>
      <c r="B4706" s="2" t="s">
        <v>146</v>
      </c>
      <c r="C4706" s="2" t="s">
        <v>50</v>
      </c>
      <c r="D4706" s="2" t="s">
        <v>12</v>
      </c>
      <c r="E4706" s="2" t="s">
        <v>85</v>
      </c>
      <c r="F4706" s="2" t="s">
        <v>1146</v>
      </c>
      <c r="G4706" s="14" t="n">
        <v>29.5</v>
      </c>
      <c r="H4706" s="14" t="n">
        <v>86.57</v>
      </c>
      <c r="I4706" s="14" t="n">
        <v>29.5</v>
      </c>
      <c r="J4706" s="22" t="n">
        <f aca="false">IF(E4706="Priority",'Cost model'!N151,'Cost model'!M151)</f>
        <v>70</v>
      </c>
      <c r="K4706" s="14" t="n">
        <f aca="false">J4706-H4706</f>
        <v>-16.57</v>
      </c>
      <c r="L4706" s="14" t="n">
        <f aca="false">G4706-H4706</f>
        <v>-57.07</v>
      </c>
    </row>
    <row r="4707" customFormat="false" ht="15" hidden="false" customHeight="false" outlineLevel="0" collapsed="false">
      <c r="A4707" s="2" t="s">
        <v>126</v>
      </c>
      <c r="B4707" s="2" t="s">
        <v>165</v>
      </c>
      <c r="C4707" s="2" t="s">
        <v>48</v>
      </c>
      <c r="D4707" s="2" t="s">
        <v>13</v>
      </c>
      <c r="E4707" s="2" t="s">
        <v>76</v>
      </c>
      <c r="F4707" s="2" t="s">
        <v>1146</v>
      </c>
      <c r="G4707" s="14" t="n">
        <v>24.5</v>
      </c>
      <c r="H4707" s="14" t="n">
        <v>41.18</v>
      </c>
      <c r="I4707" s="14" t="n">
        <v>24.5</v>
      </c>
      <c r="J4707" s="22" t="n">
        <f aca="false">IF(E4707="Priority",'Cost model'!N422,'Cost model'!M422)</f>
        <v>100</v>
      </c>
      <c r="K4707" s="14" t="n">
        <f aca="false">J4707-H4707</f>
        <v>58.82</v>
      </c>
      <c r="L4707" s="14" t="n">
        <f aca="false">G4707-H4707</f>
        <v>-16.68</v>
      </c>
    </row>
    <row r="4708" customFormat="false" ht="15" hidden="false" customHeight="false" outlineLevel="0" collapsed="false">
      <c r="A4708" s="2" t="s">
        <v>126</v>
      </c>
      <c r="B4708" s="2" t="s">
        <v>126</v>
      </c>
      <c r="C4708" s="2" t="s">
        <v>48</v>
      </c>
      <c r="D4708" s="2" t="s">
        <v>10</v>
      </c>
      <c r="E4708" s="2" t="s">
        <v>76</v>
      </c>
      <c r="F4708" s="2" t="s">
        <v>1145</v>
      </c>
      <c r="G4708" s="14" t="n">
        <v>9.5</v>
      </c>
      <c r="H4708" s="14" t="n">
        <v>7.14</v>
      </c>
      <c r="I4708" s="14" t="n">
        <v>9.5</v>
      </c>
      <c r="J4708" s="22" t="n">
        <f aca="false">IF(E4708="Priority",'Cost model'!N380,'Cost model'!M380)</f>
        <v>8.5</v>
      </c>
      <c r="K4708" s="14" t="n">
        <f aca="false">J4708-H4708</f>
        <v>1.36</v>
      </c>
      <c r="L4708" s="14" t="n">
        <f aca="false">G4708-H4708</f>
        <v>2.36</v>
      </c>
    </row>
    <row r="4709" customFormat="false" ht="15" hidden="false" customHeight="false" outlineLevel="0" collapsed="false">
      <c r="A4709" s="2" t="s">
        <v>126</v>
      </c>
      <c r="B4709" s="2" t="s">
        <v>126</v>
      </c>
      <c r="C4709" s="2" t="s">
        <v>48</v>
      </c>
      <c r="D4709" s="2" t="s">
        <v>10</v>
      </c>
      <c r="E4709" s="2" t="s">
        <v>76</v>
      </c>
      <c r="F4709" s="2" t="s">
        <v>1145</v>
      </c>
      <c r="G4709" s="14" t="n">
        <v>9.5</v>
      </c>
      <c r="H4709" s="14" t="n">
        <v>7.46</v>
      </c>
      <c r="I4709" s="14" t="n">
        <v>9.5</v>
      </c>
      <c r="J4709" s="22" t="n">
        <f aca="false">IF(E4709="Priority",'Cost model'!N380,'Cost model'!M380)</f>
        <v>8.5</v>
      </c>
      <c r="K4709" s="14" t="n">
        <f aca="false">J4709-H4709</f>
        <v>1.04</v>
      </c>
      <c r="L4709" s="14" t="n">
        <f aca="false">G4709-H4709</f>
        <v>2.04</v>
      </c>
    </row>
    <row r="4710" customFormat="false" ht="15" hidden="false" customHeight="false" outlineLevel="0" collapsed="false">
      <c r="A4710" s="2" t="s">
        <v>184</v>
      </c>
      <c r="B4710" s="2" t="s">
        <v>184</v>
      </c>
      <c r="C4710" s="2" t="s">
        <v>48</v>
      </c>
      <c r="D4710" s="2" t="s">
        <v>10</v>
      </c>
      <c r="E4710" s="2" t="s">
        <v>76</v>
      </c>
      <c r="F4710" s="2" t="s">
        <v>1145</v>
      </c>
      <c r="G4710" s="14" t="n">
        <v>9.5</v>
      </c>
      <c r="H4710" s="14" t="n">
        <v>7.72</v>
      </c>
      <c r="I4710" s="14" t="n">
        <v>9.5</v>
      </c>
      <c r="J4710" s="22" t="n">
        <f aca="false">IF(E4710="Priority",'Cost model'!N200,'Cost model'!M200)</f>
        <v>7.5</v>
      </c>
      <c r="K4710" s="14" t="n">
        <f aca="false">J4710-H4710</f>
        <v>-0.22</v>
      </c>
      <c r="L4710" s="14" t="n">
        <f aca="false">G4710-H4710</f>
        <v>1.78</v>
      </c>
    </row>
    <row r="4711" customFormat="false" ht="15" hidden="false" customHeight="false" outlineLevel="0" collapsed="false">
      <c r="A4711" s="2" t="s">
        <v>184</v>
      </c>
      <c r="B4711" s="2" t="s">
        <v>126</v>
      </c>
      <c r="C4711" s="2" t="s">
        <v>48</v>
      </c>
      <c r="D4711" s="2" t="s">
        <v>10</v>
      </c>
      <c r="E4711" s="2" t="s">
        <v>76</v>
      </c>
      <c r="F4711" s="2" t="s">
        <v>1146</v>
      </c>
      <c r="G4711" s="14" t="n">
        <v>9.5</v>
      </c>
      <c r="H4711" s="14" t="n">
        <v>7.33</v>
      </c>
      <c r="I4711" s="14" t="n">
        <v>9.5</v>
      </c>
      <c r="J4711" s="22" t="n">
        <f aca="false">IF(E4711="Priority",'Cost model'!N128,'Cost model'!M128)</f>
        <v>10.5</v>
      </c>
      <c r="K4711" s="14" t="n">
        <f aca="false">J4711-H4711</f>
        <v>3.17</v>
      </c>
      <c r="L4711" s="14" t="n">
        <f aca="false">G4711-H4711</f>
        <v>2.17</v>
      </c>
    </row>
    <row r="4712" customFormat="false" ht="15" hidden="false" customHeight="false" outlineLevel="0" collapsed="false">
      <c r="A4712" s="2" t="s">
        <v>146</v>
      </c>
      <c r="B4712" s="2" t="s">
        <v>146</v>
      </c>
      <c r="C4712" s="2" t="s">
        <v>50</v>
      </c>
      <c r="D4712" s="2" t="s">
        <v>12</v>
      </c>
      <c r="E4712" s="2" t="s">
        <v>76</v>
      </c>
      <c r="F4712" s="2" t="s">
        <v>1145</v>
      </c>
      <c r="G4712" s="14" t="n">
        <v>19.5</v>
      </c>
      <c r="H4712" s="14" t="n">
        <v>42.87</v>
      </c>
      <c r="I4712" s="14" t="n">
        <v>19.5</v>
      </c>
      <c r="J4712" s="22" t="n">
        <f aca="false">IF(E4712="Priority",'Cost model'!N763,'Cost model'!M763)</f>
        <v>50</v>
      </c>
      <c r="K4712" s="14" t="n">
        <f aca="false">J4712-H4712</f>
        <v>7.13</v>
      </c>
      <c r="L4712" s="14" t="n">
        <f aca="false">G4712-H4712</f>
        <v>-23.37</v>
      </c>
    </row>
    <row r="4713" customFormat="false" ht="15" hidden="false" customHeight="false" outlineLevel="0" collapsed="false">
      <c r="A4713" s="2" t="s">
        <v>184</v>
      </c>
      <c r="B4713" s="2" t="s">
        <v>184</v>
      </c>
      <c r="C4713" s="2" t="s">
        <v>48</v>
      </c>
      <c r="D4713" s="2" t="s">
        <v>10</v>
      </c>
      <c r="E4713" s="2" t="s">
        <v>76</v>
      </c>
      <c r="F4713" s="2" t="s">
        <v>1145</v>
      </c>
      <c r="G4713" s="14" t="n">
        <v>9.5</v>
      </c>
      <c r="H4713" s="14" t="n">
        <v>7.45</v>
      </c>
      <c r="I4713" s="14" t="n">
        <v>9.5</v>
      </c>
      <c r="J4713" s="22" t="n">
        <f aca="false">IF(E4713="Priority",'Cost model'!N200,'Cost model'!M200)</f>
        <v>7.5</v>
      </c>
      <c r="K4713" s="14" t="n">
        <f aca="false">J4713-H4713</f>
        <v>0.0499999999999998</v>
      </c>
      <c r="L4713" s="14" t="n">
        <f aca="false">G4713-H4713</f>
        <v>2.05</v>
      </c>
    </row>
    <row r="4714" customFormat="false" ht="15" hidden="false" customHeight="false" outlineLevel="0" collapsed="false">
      <c r="A4714" s="2" t="s">
        <v>126</v>
      </c>
      <c r="B4714" s="2" t="s">
        <v>126</v>
      </c>
      <c r="C4714" s="2" t="s">
        <v>50</v>
      </c>
      <c r="D4714" s="2" t="s">
        <v>12</v>
      </c>
      <c r="E4714" s="2" t="s">
        <v>76</v>
      </c>
      <c r="F4714" s="2" t="s">
        <v>1145</v>
      </c>
      <c r="G4714" s="14" t="n">
        <v>19.5</v>
      </c>
      <c r="H4714" s="14" t="n">
        <v>60.75</v>
      </c>
      <c r="I4714" s="14" t="n">
        <v>19.5</v>
      </c>
      <c r="J4714" s="22" t="n">
        <f aca="false">IF(E4714="Priority",'Cost model'!N385,'Cost model'!M385)</f>
        <v>55</v>
      </c>
      <c r="K4714" s="14" t="n">
        <f aca="false">J4714-H4714</f>
        <v>-5.75</v>
      </c>
      <c r="L4714" s="14" t="n">
        <f aca="false">G4714-H4714</f>
        <v>-41.25</v>
      </c>
    </row>
    <row r="4715" customFormat="false" ht="15" hidden="false" customHeight="false" outlineLevel="0" collapsed="false">
      <c r="A4715" s="2" t="s">
        <v>221</v>
      </c>
      <c r="B4715" s="2" t="s">
        <v>221</v>
      </c>
      <c r="C4715" s="2" t="s">
        <v>49</v>
      </c>
      <c r="D4715" s="2" t="s">
        <v>12</v>
      </c>
      <c r="E4715" s="2" t="s">
        <v>76</v>
      </c>
      <c r="F4715" s="2" t="s">
        <v>1145</v>
      </c>
      <c r="G4715" s="14" t="n">
        <v>24.5</v>
      </c>
      <c r="H4715" s="14" t="n">
        <v>28.64</v>
      </c>
      <c r="I4715" s="14" t="n">
        <v>12.5</v>
      </c>
      <c r="J4715" s="22" t="n">
        <f aca="false">IF(E4715="Priority",'Cost model'!N636,'Cost model'!M636)</f>
        <v>55</v>
      </c>
      <c r="K4715" s="14" t="n">
        <f aca="false">J4715-H4715</f>
        <v>26.36</v>
      </c>
      <c r="L4715" s="14" t="n">
        <f aca="false">G4715-H4715</f>
        <v>-4.14</v>
      </c>
    </row>
    <row r="4716" customFormat="false" ht="15" hidden="false" customHeight="false" outlineLevel="0" collapsed="false">
      <c r="A4716" s="2" t="s">
        <v>184</v>
      </c>
      <c r="B4716" s="2" t="s">
        <v>146</v>
      </c>
      <c r="C4716" s="2" t="s">
        <v>50</v>
      </c>
      <c r="D4716" s="2" t="s">
        <v>12</v>
      </c>
      <c r="E4716" s="2" t="s">
        <v>76</v>
      </c>
      <c r="F4716" s="2" t="s">
        <v>1146</v>
      </c>
      <c r="G4716" s="14" t="n">
        <v>19.5</v>
      </c>
      <c r="H4716" s="14" t="n">
        <v>81.66</v>
      </c>
      <c r="I4716" s="14" t="n">
        <v>19.5</v>
      </c>
      <c r="J4716" s="22" t="n">
        <f aca="false">IF(E4716="Priority",'Cost model'!N151,'Cost model'!M151)</f>
        <v>55</v>
      </c>
      <c r="K4716" s="14" t="n">
        <f aca="false">J4716-H4716</f>
        <v>-26.66</v>
      </c>
      <c r="L4716" s="14" t="n">
        <f aca="false">G4716-H4716</f>
        <v>-62.16</v>
      </c>
    </row>
    <row r="4717" customFormat="false" ht="15" hidden="false" customHeight="false" outlineLevel="0" collapsed="false">
      <c r="A4717" s="2" t="s">
        <v>146</v>
      </c>
      <c r="B4717" s="2" t="s">
        <v>146</v>
      </c>
      <c r="C4717" s="2" t="s">
        <v>48</v>
      </c>
      <c r="D4717" s="2" t="s">
        <v>10</v>
      </c>
      <c r="E4717" s="2" t="s">
        <v>76</v>
      </c>
      <c r="F4717" s="2" t="s">
        <v>1145</v>
      </c>
      <c r="G4717" s="14" t="n">
        <v>9.5</v>
      </c>
      <c r="H4717" s="14" t="n">
        <v>6.14</v>
      </c>
      <c r="I4717" s="14" t="n">
        <v>9.5</v>
      </c>
      <c r="J4717" s="22" t="n">
        <f aca="false">IF(E4717="Priority",'Cost model'!N758,'Cost model'!M758)</f>
        <v>9.5</v>
      </c>
      <c r="K4717" s="14" t="n">
        <f aca="false">J4717-H4717</f>
        <v>3.36</v>
      </c>
      <c r="L4717" s="14" t="n">
        <f aca="false">G4717-H4717</f>
        <v>3.36</v>
      </c>
    </row>
    <row r="4718" customFormat="false" ht="15" hidden="false" customHeight="false" outlineLevel="0" collapsed="false">
      <c r="A4718" s="2" t="s">
        <v>125</v>
      </c>
      <c r="B4718" s="2" t="s">
        <v>125</v>
      </c>
      <c r="C4718" s="2" t="s">
        <v>48</v>
      </c>
      <c r="D4718" s="2" t="s">
        <v>12</v>
      </c>
      <c r="E4718" s="2" t="s">
        <v>76</v>
      </c>
      <c r="F4718" s="2" t="s">
        <v>1145</v>
      </c>
      <c r="G4718" s="14" t="n">
        <v>9.5</v>
      </c>
      <c r="H4718" s="14" t="n">
        <v>37.63</v>
      </c>
      <c r="I4718" s="14" t="n">
        <v>9.5</v>
      </c>
      <c r="J4718" s="22" t="n">
        <f aca="false">IF(E4718="Priority",'Cost model'!N77,'Cost model'!M77)</f>
        <v>50</v>
      </c>
      <c r="K4718" s="14" t="n">
        <f aca="false">J4718-H4718</f>
        <v>12.37</v>
      </c>
      <c r="L4718" s="14" t="n">
        <f aca="false">G4718-H4718</f>
        <v>-28.13</v>
      </c>
    </row>
    <row r="4719" customFormat="false" ht="15" hidden="false" customHeight="false" outlineLevel="0" collapsed="false">
      <c r="A4719" s="2" t="s">
        <v>146</v>
      </c>
      <c r="B4719" s="2" t="s">
        <v>146</v>
      </c>
      <c r="C4719" s="2" t="s">
        <v>48</v>
      </c>
      <c r="D4719" s="2" t="s">
        <v>10</v>
      </c>
      <c r="E4719" s="2" t="s">
        <v>76</v>
      </c>
      <c r="F4719" s="2" t="s">
        <v>1145</v>
      </c>
      <c r="G4719" s="14" t="n">
        <v>9.5</v>
      </c>
      <c r="H4719" s="14" t="n">
        <v>7.45</v>
      </c>
      <c r="I4719" s="14" t="n">
        <v>9.5</v>
      </c>
      <c r="J4719" s="22" t="n">
        <f aca="false">IF(E4719="Priority",'Cost model'!N758,'Cost model'!M758)</f>
        <v>9.5</v>
      </c>
      <c r="K4719" s="14" t="n">
        <f aca="false">J4719-H4719</f>
        <v>2.05</v>
      </c>
      <c r="L4719" s="14" t="n">
        <f aca="false">G4719-H4719</f>
        <v>2.05</v>
      </c>
    </row>
    <row r="4720" customFormat="false" ht="15" hidden="false" customHeight="false" outlineLevel="0" collapsed="false">
      <c r="A4720" s="2" t="s">
        <v>146</v>
      </c>
      <c r="B4720" s="2" t="s">
        <v>146</v>
      </c>
      <c r="C4720" s="2" t="s">
        <v>48</v>
      </c>
      <c r="D4720" s="2" t="s">
        <v>10</v>
      </c>
      <c r="E4720" s="2" t="s">
        <v>76</v>
      </c>
      <c r="F4720" s="2" t="s">
        <v>1145</v>
      </c>
      <c r="G4720" s="14" t="n">
        <v>9.5</v>
      </c>
      <c r="H4720" s="14" t="n">
        <v>6.89</v>
      </c>
      <c r="I4720" s="14" t="n">
        <v>9.5</v>
      </c>
      <c r="J4720" s="22" t="n">
        <f aca="false">IF(E4720="Priority",'Cost model'!N758,'Cost model'!M758)</f>
        <v>9.5</v>
      </c>
      <c r="K4720" s="14" t="n">
        <f aca="false">J4720-H4720</f>
        <v>2.61</v>
      </c>
      <c r="L4720" s="14" t="n">
        <f aca="false">G4720-H4720</f>
        <v>2.61</v>
      </c>
    </row>
    <row r="4721" customFormat="false" ht="15" hidden="false" customHeight="false" outlineLevel="0" collapsed="false">
      <c r="A4721" s="2" t="s">
        <v>184</v>
      </c>
      <c r="B4721" s="2" t="s">
        <v>184</v>
      </c>
      <c r="C4721" s="2" t="s">
        <v>50</v>
      </c>
      <c r="D4721" s="2" t="s">
        <v>12</v>
      </c>
      <c r="E4721" s="2" t="s">
        <v>76</v>
      </c>
      <c r="F4721" s="2" t="s">
        <v>1145</v>
      </c>
      <c r="G4721" s="14" t="n">
        <v>19.5</v>
      </c>
      <c r="H4721" s="14" t="n">
        <v>59.17</v>
      </c>
      <c r="I4721" s="14" t="n">
        <v>19.5</v>
      </c>
      <c r="J4721" s="22" t="n">
        <f aca="false">IF(E4721="Priority",'Cost model'!N205,'Cost model'!M205)</f>
        <v>50</v>
      </c>
      <c r="K4721" s="14" t="n">
        <f aca="false">J4721-H4721</f>
        <v>-9.17</v>
      </c>
      <c r="L4721" s="14" t="n">
        <f aca="false">G4721-H4721</f>
        <v>-39.67</v>
      </c>
    </row>
    <row r="4722" customFormat="false" ht="15" hidden="false" customHeight="false" outlineLevel="0" collapsed="false">
      <c r="A4722" s="2" t="s">
        <v>146</v>
      </c>
      <c r="B4722" s="2" t="s">
        <v>146</v>
      </c>
      <c r="C4722" s="2" t="s">
        <v>48</v>
      </c>
      <c r="D4722" s="2" t="s">
        <v>12</v>
      </c>
      <c r="E4722" s="2" t="s">
        <v>76</v>
      </c>
      <c r="F4722" s="2" t="s">
        <v>1145</v>
      </c>
      <c r="G4722" s="14" t="n">
        <v>9.5</v>
      </c>
      <c r="H4722" s="14" t="n">
        <v>34.16</v>
      </c>
      <c r="I4722" s="14" t="n">
        <v>9.5</v>
      </c>
      <c r="J4722" s="22" t="n">
        <f aca="false">IF(E4722="Priority",'Cost model'!N761,'Cost model'!M761)</f>
        <v>35</v>
      </c>
      <c r="K4722" s="14" t="n">
        <f aca="false">J4722-H4722</f>
        <v>0.840000000000003</v>
      </c>
      <c r="L4722" s="14" t="n">
        <f aca="false">G4722-H4722</f>
        <v>-24.66</v>
      </c>
    </row>
    <row r="4723" customFormat="false" ht="15" hidden="false" customHeight="false" outlineLevel="0" collapsed="false">
      <c r="A4723" s="2" t="s">
        <v>146</v>
      </c>
      <c r="B4723" s="2" t="s">
        <v>146</v>
      </c>
      <c r="C4723" s="2" t="s">
        <v>49</v>
      </c>
      <c r="D4723" s="2" t="s">
        <v>10</v>
      </c>
      <c r="E4723" s="2" t="s">
        <v>76</v>
      </c>
      <c r="F4723" s="2" t="s">
        <v>1145</v>
      </c>
      <c r="G4723" s="14" t="n">
        <v>12.5</v>
      </c>
      <c r="H4723" s="14" t="n">
        <v>11.25</v>
      </c>
      <c r="I4723" s="14" t="n">
        <v>12.5</v>
      </c>
      <c r="J4723" s="22" t="n">
        <f aca="false">IF(E4723="Priority",'Cost model'!N759,'Cost model'!M759)</f>
        <v>15.5</v>
      </c>
      <c r="K4723" s="14" t="n">
        <f aca="false">J4723-H4723</f>
        <v>4.25</v>
      </c>
      <c r="L4723" s="14" t="n">
        <f aca="false">G4723-H4723</f>
        <v>1.25</v>
      </c>
    </row>
    <row r="4724" customFormat="false" ht="15" hidden="false" customHeight="false" outlineLevel="0" collapsed="false">
      <c r="A4724" s="2" t="s">
        <v>146</v>
      </c>
      <c r="B4724" s="2" t="s">
        <v>146</v>
      </c>
      <c r="C4724" s="2" t="s">
        <v>49</v>
      </c>
      <c r="D4724" s="2" t="s">
        <v>10</v>
      </c>
      <c r="E4724" s="2" t="s">
        <v>76</v>
      </c>
      <c r="F4724" s="2" t="s">
        <v>1145</v>
      </c>
      <c r="G4724" s="14" t="n">
        <v>12.5</v>
      </c>
      <c r="H4724" s="14" t="n">
        <v>16.16</v>
      </c>
      <c r="I4724" s="14" t="n">
        <v>12.5</v>
      </c>
      <c r="J4724" s="22" t="n">
        <f aca="false">IF(E4724="Priority",'Cost model'!N759,'Cost model'!M759)</f>
        <v>15.5</v>
      </c>
      <c r="K4724" s="14" t="n">
        <f aca="false">J4724-H4724</f>
        <v>-0.66</v>
      </c>
      <c r="L4724" s="14" t="n">
        <f aca="false">G4724-H4724</f>
        <v>-3.66</v>
      </c>
    </row>
    <row r="4725" customFormat="false" ht="15" hidden="false" customHeight="false" outlineLevel="0" collapsed="false">
      <c r="A4725" s="2" t="s">
        <v>184</v>
      </c>
      <c r="B4725" s="2" t="s">
        <v>184</v>
      </c>
      <c r="C4725" s="2" t="s">
        <v>49</v>
      </c>
      <c r="D4725" s="2" t="s">
        <v>12</v>
      </c>
      <c r="E4725" s="2" t="s">
        <v>76</v>
      </c>
      <c r="F4725" s="2" t="s">
        <v>1145</v>
      </c>
      <c r="G4725" s="14" t="n">
        <v>19.5</v>
      </c>
      <c r="H4725" s="14" t="n">
        <v>45.34</v>
      </c>
      <c r="I4725" s="14"/>
      <c r="J4725" s="22" t="n">
        <f aca="false">IF(E4725="Priority",'Cost model'!N204,'Cost model'!M204)</f>
        <v>45</v>
      </c>
      <c r="K4725" s="14" t="n">
        <f aca="false">J4725-H4725</f>
        <v>-0.340000000000003</v>
      </c>
      <c r="L4725" s="14" t="n">
        <f aca="false">G4725-H4725</f>
        <v>-25.84</v>
      </c>
    </row>
    <row r="4726" customFormat="false" ht="15" hidden="false" customHeight="false" outlineLevel="0" collapsed="false">
      <c r="A4726" s="2" t="s">
        <v>126</v>
      </c>
      <c r="B4726" s="2" t="s">
        <v>126</v>
      </c>
      <c r="C4726" s="2" t="s">
        <v>50</v>
      </c>
      <c r="D4726" s="2" t="s">
        <v>12</v>
      </c>
      <c r="E4726" s="2" t="s">
        <v>85</v>
      </c>
      <c r="F4726" s="2" t="s">
        <v>1145</v>
      </c>
      <c r="G4726" s="14" t="n">
        <v>29.5</v>
      </c>
      <c r="H4726" s="14" t="n">
        <v>69.33</v>
      </c>
      <c r="I4726" s="14" t="n">
        <v>29.5</v>
      </c>
      <c r="J4726" s="22" t="n">
        <f aca="false">IF(E4726="Priority",'Cost model'!N385,'Cost model'!M385)</f>
        <v>70</v>
      </c>
      <c r="K4726" s="14" t="n">
        <f aca="false">J4726-H4726</f>
        <v>0.670000000000002</v>
      </c>
      <c r="L4726" s="14" t="n">
        <f aca="false">G4726-H4726</f>
        <v>-39.83</v>
      </c>
    </row>
    <row r="4727" customFormat="false" ht="15" hidden="false" customHeight="false" outlineLevel="0" collapsed="false">
      <c r="A4727" s="2" t="s">
        <v>184</v>
      </c>
      <c r="B4727" s="2" t="s">
        <v>125</v>
      </c>
      <c r="C4727" s="2" t="s">
        <v>49</v>
      </c>
      <c r="D4727" s="2" t="s">
        <v>10</v>
      </c>
      <c r="E4727" s="2" t="s">
        <v>76</v>
      </c>
      <c r="F4727" s="2" t="s">
        <v>1146</v>
      </c>
      <c r="G4727" s="14" t="n">
        <v>12.5</v>
      </c>
      <c r="H4727" s="14" t="n">
        <v>24.63</v>
      </c>
      <c r="I4727" s="14"/>
      <c r="J4727" s="22" t="n">
        <f aca="false">IF(E4727="Priority",'Cost model'!N237,'Cost model'!M237)</f>
        <v>18.5</v>
      </c>
      <c r="K4727" s="14" t="n">
        <f aca="false">J4727-H4727</f>
        <v>-6.13</v>
      </c>
      <c r="L4727" s="14" t="n">
        <f aca="false">G4727-H4727</f>
        <v>-12.13</v>
      </c>
    </row>
    <row r="4728" customFormat="false" ht="15" hidden="false" customHeight="false" outlineLevel="0" collapsed="false">
      <c r="A4728" s="2" t="s">
        <v>184</v>
      </c>
      <c r="B4728" s="2" t="s">
        <v>184</v>
      </c>
      <c r="C4728" s="2" t="s">
        <v>50</v>
      </c>
      <c r="D4728" s="2" t="s">
        <v>12</v>
      </c>
      <c r="E4728" s="2" t="s">
        <v>76</v>
      </c>
      <c r="F4728" s="2" t="s">
        <v>1145</v>
      </c>
      <c r="G4728" s="14" t="n">
        <v>19.5</v>
      </c>
      <c r="H4728" s="14" t="n">
        <v>44.3</v>
      </c>
      <c r="I4728" s="14" t="n">
        <v>19.5</v>
      </c>
      <c r="J4728" s="22" t="n">
        <f aca="false">IF(E4728="Priority",'Cost model'!N205,'Cost model'!M205)</f>
        <v>50</v>
      </c>
      <c r="K4728" s="14" t="n">
        <f aca="false">J4728-H4728</f>
        <v>5.7</v>
      </c>
      <c r="L4728" s="14" t="n">
        <f aca="false">G4728-H4728</f>
        <v>-24.8</v>
      </c>
    </row>
    <row r="4729" customFormat="false" ht="15" hidden="false" customHeight="false" outlineLevel="0" collapsed="false">
      <c r="A4729" s="2" t="s">
        <v>126</v>
      </c>
      <c r="B4729" s="2" t="s">
        <v>126</v>
      </c>
      <c r="C4729" s="2" t="s">
        <v>48</v>
      </c>
      <c r="D4729" s="2" t="s">
        <v>10</v>
      </c>
      <c r="E4729" s="2" t="s">
        <v>76</v>
      </c>
      <c r="F4729" s="2" t="s">
        <v>1145</v>
      </c>
      <c r="G4729" s="14" t="n">
        <v>9.5</v>
      </c>
      <c r="H4729" s="14" t="n">
        <v>7.45</v>
      </c>
      <c r="I4729" s="14" t="n">
        <v>9.5</v>
      </c>
      <c r="J4729" s="22" t="n">
        <f aca="false">IF(E4729="Priority",'Cost model'!N380,'Cost model'!M380)</f>
        <v>8.5</v>
      </c>
      <c r="K4729" s="14" t="n">
        <f aca="false">J4729-H4729</f>
        <v>1.05</v>
      </c>
      <c r="L4729" s="14" t="n">
        <f aca="false">G4729-H4729</f>
        <v>2.05</v>
      </c>
    </row>
    <row r="4730" customFormat="false" ht="15" hidden="false" customHeight="false" outlineLevel="0" collapsed="false">
      <c r="A4730" s="2" t="s">
        <v>184</v>
      </c>
      <c r="B4730" s="2" t="s">
        <v>146</v>
      </c>
      <c r="C4730" s="2" t="s">
        <v>49</v>
      </c>
      <c r="D4730" s="2" t="s">
        <v>10</v>
      </c>
      <c r="E4730" s="2" t="s">
        <v>76</v>
      </c>
      <c r="F4730" s="2" t="s">
        <v>1146</v>
      </c>
      <c r="G4730" s="14" t="n">
        <v>12.5</v>
      </c>
      <c r="H4730" s="14" t="n">
        <v>9.52</v>
      </c>
      <c r="I4730" s="14"/>
      <c r="J4730" s="22" t="n">
        <f aca="false">IF(E4730="Priority",'Cost model'!N147,'Cost model'!M147)</f>
        <v>14.5</v>
      </c>
      <c r="K4730" s="14" t="n">
        <f aca="false">J4730-H4730</f>
        <v>4.98</v>
      </c>
      <c r="L4730" s="14" t="n">
        <f aca="false">G4730-H4730</f>
        <v>2.98</v>
      </c>
    </row>
    <row r="4731" customFormat="false" ht="15" hidden="false" customHeight="false" outlineLevel="0" collapsed="false">
      <c r="A4731" s="2" t="s">
        <v>126</v>
      </c>
      <c r="B4731" s="2" t="s">
        <v>126</v>
      </c>
      <c r="C4731" s="2" t="s">
        <v>49</v>
      </c>
      <c r="D4731" s="2" t="s">
        <v>12</v>
      </c>
      <c r="E4731" s="2" t="s">
        <v>76</v>
      </c>
      <c r="F4731" s="2" t="s">
        <v>1145</v>
      </c>
      <c r="G4731" s="14" t="n">
        <v>12.5</v>
      </c>
      <c r="H4731" s="14" t="n">
        <v>27.54</v>
      </c>
      <c r="I4731" s="14" t="n">
        <v>12.5</v>
      </c>
      <c r="J4731" s="22" t="n">
        <f aca="false">IF(E4731="Priority",'Cost model'!N384,'Cost model'!M384)</f>
        <v>45</v>
      </c>
      <c r="K4731" s="14" t="n">
        <f aca="false">J4731-H4731</f>
        <v>17.46</v>
      </c>
      <c r="L4731" s="14" t="n">
        <f aca="false">G4731-H4731</f>
        <v>-15.04</v>
      </c>
    </row>
    <row r="4732" customFormat="false" ht="15" hidden="false" customHeight="false" outlineLevel="0" collapsed="false">
      <c r="A4732" s="2" t="s">
        <v>184</v>
      </c>
      <c r="B4732" s="2" t="s">
        <v>184</v>
      </c>
      <c r="C4732" s="2" t="s">
        <v>48</v>
      </c>
      <c r="D4732" s="2" t="s">
        <v>10</v>
      </c>
      <c r="E4732" s="2" t="s">
        <v>76</v>
      </c>
      <c r="F4732" s="2" t="s">
        <v>1145</v>
      </c>
      <c r="G4732" s="14" t="n">
        <v>9.5</v>
      </c>
      <c r="H4732" s="14" t="n">
        <v>6.24</v>
      </c>
      <c r="I4732" s="14" t="n">
        <v>9.5</v>
      </c>
      <c r="J4732" s="22" t="n">
        <f aca="false">IF(E4732="Priority",'Cost model'!N200,'Cost model'!M200)</f>
        <v>7.5</v>
      </c>
      <c r="K4732" s="14" t="n">
        <f aca="false">J4732-H4732</f>
        <v>1.26</v>
      </c>
      <c r="L4732" s="14" t="n">
        <f aca="false">G4732-H4732</f>
        <v>3.26</v>
      </c>
    </row>
    <row r="4733" customFormat="false" ht="15" hidden="false" customHeight="false" outlineLevel="0" collapsed="false">
      <c r="A4733" s="2" t="s">
        <v>184</v>
      </c>
      <c r="B4733" s="2" t="s">
        <v>184</v>
      </c>
      <c r="C4733" s="2" t="s">
        <v>49</v>
      </c>
      <c r="D4733" s="2" t="s">
        <v>10</v>
      </c>
      <c r="E4733" s="2" t="s">
        <v>76</v>
      </c>
      <c r="F4733" s="2" t="s">
        <v>1145</v>
      </c>
      <c r="G4733" s="14" t="n">
        <v>12.5</v>
      </c>
      <c r="H4733" s="14" t="n">
        <v>10.91</v>
      </c>
      <c r="I4733" s="14"/>
      <c r="J4733" s="22" t="n">
        <f aca="false">IF(E4733="Priority",'Cost model'!N201,'Cost model'!M201)</f>
        <v>12.5</v>
      </c>
      <c r="K4733" s="14" t="n">
        <f aca="false">J4733-H4733</f>
        <v>1.59</v>
      </c>
      <c r="L4733" s="14" t="n">
        <f aca="false">G4733-H4733</f>
        <v>1.59</v>
      </c>
    </row>
    <row r="4734" customFormat="false" ht="15" hidden="false" customHeight="false" outlineLevel="0" collapsed="false">
      <c r="A4734" s="2" t="s">
        <v>126</v>
      </c>
      <c r="B4734" s="2" t="s">
        <v>126</v>
      </c>
      <c r="C4734" s="2" t="s">
        <v>50</v>
      </c>
      <c r="D4734" s="2" t="s">
        <v>10</v>
      </c>
      <c r="E4734" s="2" t="s">
        <v>85</v>
      </c>
      <c r="F4734" s="2" t="s">
        <v>1145</v>
      </c>
      <c r="G4734" s="14" t="n">
        <v>24.5</v>
      </c>
      <c r="H4734" s="14" t="n">
        <v>20.83</v>
      </c>
      <c r="I4734" s="14" t="n">
        <v>24.5</v>
      </c>
      <c r="J4734" s="22" t="n">
        <f aca="false">IF(E4734="Priority",'Cost model'!N382,'Cost model'!M382)</f>
        <v>25.5</v>
      </c>
      <c r="K4734" s="14" t="n">
        <f aca="false">J4734-H4734</f>
        <v>4.67</v>
      </c>
      <c r="L4734" s="14" t="n">
        <f aca="false">G4734-H4734</f>
        <v>3.67</v>
      </c>
    </row>
    <row r="4735" customFormat="false" ht="15" hidden="false" customHeight="false" outlineLevel="0" collapsed="false">
      <c r="A4735" s="2" t="s">
        <v>240</v>
      </c>
      <c r="B4735" s="2" t="s">
        <v>240</v>
      </c>
      <c r="C4735" s="2" t="s">
        <v>48</v>
      </c>
      <c r="D4735" s="2" t="s">
        <v>10</v>
      </c>
      <c r="E4735" s="2" t="s">
        <v>85</v>
      </c>
      <c r="F4735" s="2" t="s">
        <v>1145</v>
      </c>
      <c r="G4735" s="14" t="n">
        <v>14.5</v>
      </c>
      <c r="H4735" s="14" t="n">
        <v>23.58</v>
      </c>
      <c r="I4735" s="14" t="n">
        <v>14.5</v>
      </c>
      <c r="J4735" s="22" t="n">
        <f aca="false">IF(E4735="Priority",'Cost model'!N884,'Cost model'!M884)</f>
        <v>12.5</v>
      </c>
      <c r="K4735" s="14" t="n">
        <f aca="false">J4735-H4735</f>
        <v>-11.08</v>
      </c>
      <c r="L4735" s="14" t="n">
        <f aca="false">G4735-H4735</f>
        <v>-9.08</v>
      </c>
    </row>
    <row r="4736" customFormat="false" ht="15" hidden="false" customHeight="false" outlineLevel="0" collapsed="false">
      <c r="A4736" s="2" t="s">
        <v>126</v>
      </c>
      <c r="B4736" s="2" t="s">
        <v>126</v>
      </c>
      <c r="C4736" s="2" t="s">
        <v>49</v>
      </c>
      <c r="D4736" s="2" t="s">
        <v>10</v>
      </c>
      <c r="E4736" s="2" t="s">
        <v>85</v>
      </c>
      <c r="F4736" s="2" t="s">
        <v>1145</v>
      </c>
      <c r="G4736" s="14" t="n">
        <v>17.5</v>
      </c>
      <c r="H4736" s="14" t="n">
        <v>11.58</v>
      </c>
      <c r="I4736" s="14" t="n">
        <v>17.5</v>
      </c>
      <c r="J4736" s="22" t="n">
        <f aca="false">IF(E4736="Priority",'Cost model'!N381,'Cost model'!M381)</f>
        <v>19.5</v>
      </c>
      <c r="K4736" s="14" t="n">
        <f aca="false">J4736-H4736</f>
        <v>7.92</v>
      </c>
      <c r="L4736" s="14" t="n">
        <f aca="false">G4736-H4736</f>
        <v>5.92</v>
      </c>
    </row>
    <row r="4737" customFormat="false" ht="15" hidden="false" customHeight="false" outlineLevel="0" collapsed="false">
      <c r="A4737" s="2" t="s">
        <v>184</v>
      </c>
      <c r="B4737" s="2" t="s">
        <v>184</v>
      </c>
      <c r="C4737" s="2" t="s">
        <v>48</v>
      </c>
      <c r="D4737" s="2" t="s">
        <v>12</v>
      </c>
      <c r="E4737" s="2" t="s">
        <v>76</v>
      </c>
      <c r="F4737" s="2" t="s">
        <v>1145</v>
      </c>
      <c r="G4737" s="14" t="n">
        <v>9.5</v>
      </c>
      <c r="H4737" s="14" t="n">
        <v>25.05</v>
      </c>
      <c r="I4737" s="14" t="n">
        <v>9.5</v>
      </c>
      <c r="J4737" s="22" t="n">
        <f aca="false">IF(E4737="Priority",'Cost model'!N203,'Cost model'!M203)</f>
        <v>26.5</v>
      </c>
      <c r="K4737" s="14" t="n">
        <f aca="false">J4737-H4737</f>
        <v>1.45</v>
      </c>
      <c r="L4737" s="14" t="n">
        <f aca="false">G4737-H4737</f>
        <v>-15.55</v>
      </c>
    </row>
    <row r="4738" customFormat="false" ht="15" hidden="false" customHeight="false" outlineLevel="0" collapsed="false">
      <c r="A4738" s="2" t="s">
        <v>184</v>
      </c>
      <c r="B4738" s="2" t="s">
        <v>146</v>
      </c>
      <c r="C4738" s="2" t="s">
        <v>48</v>
      </c>
      <c r="D4738" s="2" t="s">
        <v>10</v>
      </c>
      <c r="E4738" s="2" t="s">
        <v>76</v>
      </c>
      <c r="F4738" s="2" t="s">
        <v>1146</v>
      </c>
      <c r="G4738" s="14" t="n">
        <v>9.5</v>
      </c>
      <c r="H4738" s="14" t="n">
        <v>6.24</v>
      </c>
      <c r="I4738" s="14" t="n">
        <v>9.5</v>
      </c>
      <c r="J4738" s="22" t="n">
        <f aca="false">IF(E4738="Priority",'Cost model'!N146,'Cost model'!M146)</f>
        <v>12.5</v>
      </c>
      <c r="K4738" s="14" t="n">
        <f aca="false">J4738-H4738</f>
        <v>6.26</v>
      </c>
      <c r="L4738" s="14" t="n">
        <f aca="false">G4738-H4738</f>
        <v>3.26</v>
      </c>
    </row>
    <row r="4739" customFormat="false" ht="15" hidden="false" customHeight="false" outlineLevel="0" collapsed="false">
      <c r="A4739" s="2" t="s">
        <v>165</v>
      </c>
      <c r="B4739" s="2" t="s">
        <v>165</v>
      </c>
      <c r="C4739" s="2" t="s">
        <v>48</v>
      </c>
      <c r="D4739" s="2" t="s">
        <v>14</v>
      </c>
      <c r="E4739" s="2" t="s">
        <v>76</v>
      </c>
      <c r="F4739" s="2" t="s">
        <v>1145</v>
      </c>
      <c r="G4739" s="14" t="n">
        <v>25</v>
      </c>
      <c r="H4739" s="14" t="n">
        <v>38.35</v>
      </c>
      <c r="I4739" s="14" t="n">
        <v>25</v>
      </c>
      <c r="J4739" s="22" t="n">
        <f aca="false">IF(E4739="Priority",'Cost model'!N515,'Cost model'!M515)</f>
        <v>75</v>
      </c>
      <c r="K4739" s="14" t="n">
        <f aca="false">J4739-H4739</f>
        <v>36.65</v>
      </c>
      <c r="L4739" s="14" t="n">
        <f aca="false">G4739-H4739</f>
        <v>-13.35</v>
      </c>
    </row>
    <row r="4740" customFormat="false" ht="15" hidden="false" customHeight="false" outlineLevel="0" collapsed="false">
      <c r="A4740" s="2" t="s">
        <v>165</v>
      </c>
      <c r="B4740" s="2" t="s">
        <v>165</v>
      </c>
      <c r="C4740" s="2" t="s">
        <v>48</v>
      </c>
      <c r="D4740" s="2" t="s">
        <v>12</v>
      </c>
      <c r="E4740" s="2" t="s">
        <v>76</v>
      </c>
      <c r="F4740" s="2" t="s">
        <v>1145</v>
      </c>
      <c r="G4740" s="14" t="n">
        <v>9.5</v>
      </c>
      <c r="H4740" s="14" t="n">
        <v>14.39</v>
      </c>
      <c r="I4740" s="14" t="n">
        <v>9.5</v>
      </c>
      <c r="J4740" s="22" t="n">
        <f aca="false">IF(E4740="Priority",'Cost model'!N509,'Cost model'!M509)</f>
        <v>17.5</v>
      </c>
      <c r="K4740" s="14" t="n">
        <f aca="false">J4740-H4740</f>
        <v>3.11</v>
      </c>
      <c r="L4740" s="14" t="n">
        <f aca="false">G4740-H4740</f>
        <v>-4.89</v>
      </c>
    </row>
    <row r="4741" customFormat="false" ht="15" hidden="false" customHeight="false" outlineLevel="0" collapsed="false">
      <c r="A4741" s="2" t="s">
        <v>240</v>
      </c>
      <c r="B4741" s="2" t="s">
        <v>240</v>
      </c>
      <c r="C4741" s="2" t="s">
        <v>48</v>
      </c>
      <c r="D4741" s="2" t="s">
        <v>10</v>
      </c>
      <c r="E4741" s="2" t="s">
        <v>76</v>
      </c>
      <c r="F4741" s="2" t="s">
        <v>1145</v>
      </c>
      <c r="G4741" s="14" t="n">
        <v>9.5</v>
      </c>
      <c r="H4741" s="14" t="n">
        <v>6.2</v>
      </c>
      <c r="I4741" s="14" t="n">
        <v>9.5</v>
      </c>
      <c r="J4741" s="22" t="n">
        <f aca="false">IF(E4741="Priority",'Cost model'!N884,'Cost model'!M884)</f>
        <v>7.5</v>
      </c>
      <c r="K4741" s="14" t="n">
        <f aca="false">J4741-H4741</f>
        <v>1.3</v>
      </c>
      <c r="L4741" s="14" t="n">
        <f aca="false">G4741-H4741</f>
        <v>3.3</v>
      </c>
    </row>
    <row r="4742" customFormat="false" ht="15" hidden="false" customHeight="false" outlineLevel="0" collapsed="false">
      <c r="A4742" s="2" t="s">
        <v>146</v>
      </c>
      <c r="B4742" s="2" t="s">
        <v>146</v>
      </c>
      <c r="C4742" s="2" t="s">
        <v>49</v>
      </c>
      <c r="D4742" s="2" t="s">
        <v>10</v>
      </c>
      <c r="E4742" s="2" t="s">
        <v>76</v>
      </c>
      <c r="F4742" s="2" t="s">
        <v>1145</v>
      </c>
      <c r="G4742" s="14" t="n">
        <v>12.5</v>
      </c>
      <c r="H4742" s="14" t="n">
        <v>21.34</v>
      </c>
      <c r="I4742" s="14" t="n">
        <v>12.5</v>
      </c>
      <c r="J4742" s="22" t="n">
        <f aca="false">IF(E4742="Priority",'Cost model'!N759,'Cost model'!M759)</f>
        <v>15.5</v>
      </c>
      <c r="K4742" s="14" t="n">
        <f aca="false">J4742-H4742</f>
        <v>-5.84</v>
      </c>
      <c r="L4742" s="14" t="n">
        <f aca="false">G4742-H4742</f>
        <v>-8.84</v>
      </c>
    </row>
    <row r="4743" customFormat="false" ht="15" hidden="false" customHeight="false" outlineLevel="0" collapsed="false">
      <c r="A4743" s="2" t="s">
        <v>240</v>
      </c>
      <c r="B4743" s="2" t="s">
        <v>165</v>
      </c>
      <c r="C4743" s="2" t="s">
        <v>48</v>
      </c>
      <c r="D4743" s="2" t="s">
        <v>10</v>
      </c>
      <c r="E4743" s="2" t="s">
        <v>76</v>
      </c>
      <c r="F4743" s="2" t="s">
        <v>1146</v>
      </c>
      <c r="G4743" s="14" t="n">
        <v>9.5</v>
      </c>
      <c r="H4743" s="14" t="n">
        <v>9.09</v>
      </c>
      <c r="I4743" s="14" t="n">
        <v>14.5</v>
      </c>
      <c r="J4743" s="22" t="n">
        <f aca="false">IF(E4743="Priority",'Cost model'!N902,'Cost model'!M902)</f>
        <v>13.5</v>
      </c>
      <c r="K4743" s="14" t="n">
        <f aca="false">J4743-H4743</f>
        <v>4.41</v>
      </c>
      <c r="L4743" s="14" t="n">
        <f aca="false">G4743-H4743</f>
        <v>0.41</v>
      </c>
    </row>
    <row r="4744" customFormat="false" ht="15" hidden="false" customHeight="false" outlineLevel="0" collapsed="false">
      <c r="A4744" s="2" t="s">
        <v>184</v>
      </c>
      <c r="B4744" s="2" t="s">
        <v>184</v>
      </c>
      <c r="C4744" s="2" t="s">
        <v>50</v>
      </c>
      <c r="D4744" s="2" t="s">
        <v>12</v>
      </c>
      <c r="E4744" s="2" t="s">
        <v>85</v>
      </c>
      <c r="F4744" s="2" t="s">
        <v>1145</v>
      </c>
      <c r="G4744" s="14" t="n">
        <v>29.5</v>
      </c>
      <c r="H4744" s="14" t="n">
        <v>42.66</v>
      </c>
      <c r="I4744" s="14" t="n">
        <v>29.5</v>
      </c>
      <c r="J4744" s="22" t="n">
        <f aca="false">IF(E4744="Priority",'Cost model'!N205,'Cost model'!M205)</f>
        <v>65</v>
      </c>
      <c r="K4744" s="14" t="n">
        <f aca="false">J4744-H4744</f>
        <v>22.34</v>
      </c>
      <c r="L4744" s="14" t="n">
        <f aca="false">G4744-H4744</f>
        <v>-13.16</v>
      </c>
    </row>
    <row r="4745" customFormat="false" ht="15" hidden="false" customHeight="false" outlineLevel="0" collapsed="false">
      <c r="A4745" s="2" t="s">
        <v>184</v>
      </c>
      <c r="B4745" s="2" t="s">
        <v>125</v>
      </c>
      <c r="C4745" s="2" t="s">
        <v>49</v>
      </c>
      <c r="D4745" s="2" t="s">
        <v>12</v>
      </c>
      <c r="E4745" s="2" t="s">
        <v>76</v>
      </c>
      <c r="F4745" s="2" t="s">
        <v>1146</v>
      </c>
      <c r="G4745" s="14" t="n">
        <v>12.5</v>
      </c>
      <c r="H4745" s="14" t="n">
        <v>21.61</v>
      </c>
      <c r="I4745" s="14"/>
      <c r="J4745" s="22" t="n">
        <f aca="false">IF(E4745="Priority",'Cost model'!N240,'Cost model'!M240)</f>
        <v>55</v>
      </c>
      <c r="K4745" s="14" t="n">
        <f aca="false">J4745-H4745</f>
        <v>33.39</v>
      </c>
      <c r="L4745" s="14" t="n">
        <f aca="false">G4745-H4745</f>
        <v>-9.11</v>
      </c>
    </row>
    <row r="4746" customFormat="false" ht="15" hidden="false" customHeight="false" outlineLevel="0" collapsed="false">
      <c r="A4746" s="2" t="s">
        <v>221</v>
      </c>
      <c r="B4746" s="2" t="s">
        <v>221</v>
      </c>
      <c r="C4746" s="2" t="s">
        <v>49</v>
      </c>
      <c r="D4746" s="2" t="s">
        <v>10</v>
      </c>
      <c r="E4746" s="2" t="s">
        <v>76</v>
      </c>
      <c r="F4746" s="2" t="s">
        <v>1145</v>
      </c>
      <c r="G4746" s="14" t="n">
        <v>12.5</v>
      </c>
      <c r="H4746" s="14" t="n">
        <v>15.88</v>
      </c>
      <c r="I4746" s="14" t="n">
        <v>12.5</v>
      </c>
      <c r="J4746" s="22" t="n">
        <f aca="false">IF(E4746="Priority",'Cost model'!N633,'Cost model'!M633)</f>
        <v>13.5</v>
      </c>
      <c r="K4746" s="14" t="n">
        <f aca="false">J4746-H4746</f>
        <v>-2.38</v>
      </c>
      <c r="L4746" s="14" t="n">
        <f aca="false">G4746-H4746</f>
        <v>-3.38</v>
      </c>
    </row>
    <row r="4747" customFormat="false" ht="15" hidden="false" customHeight="false" outlineLevel="0" collapsed="false">
      <c r="A4747" s="2" t="s">
        <v>240</v>
      </c>
      <c r="B4747" s="2" t="s">
        <v>240</v>
      </c>
      <c r="C4747" s="2" t="s">
        <v>48</v>
      </c>
      <c r="D4747" s="2" t="s">
        <v>12</v>
      </c>
      <c r="E4747" s="2" t="s">
        <v>76</v>
      </c>
      <c r="F4747" s="2" t="s">
        <v>1145</v>
      </c>
      <c r="G4747" s="14" t="n">
        <v>9.5</v>
      </c>
      <c r="H4747" s="14" t="n">
        <v>24.63</v>
      </c>
      <c r="I4747" s="14" t="n">
        <v>9.5</v>
      </c>
      <c r="J4747" s="22" t="n">
        <f aca="false">IF(E4747="Priority",'Cost model'!N887,'Cost model'!M887)</f>
        <v>21.5</v>
      </c>
      <c r="K4747" s="14" t="n">
        <f aca="false">J4747-H4747</f>
        <v>-3.13</v>
      </c>
      <c r="L4747" s="14" t="n">
        <f aca="false">G4747-H4747</f>
        <v>-15.13</v>
      </c>
    </row>
    <row r="4748" customFormat="false" ht="15" hidden="false" customHeight="false" outlineLevel="0" collapsed="false">
      <c r="A4748" s="2" t="s">
        <v>126</v>
      </c>
      <c r="B4748" s="2" t="s">
        <v>126</v>
      </c>
      <c r="C4748" s="2" t="s">
        <v>48</v>
      </c>
      <c r="D4748" s="2" t="s">
        <v>10</v>
      </c>
      <c r="E4748" s="2" t="s">
        <v>76</v>
      </c>
      <c r="F4748" s="2" t="s">
        <v>1145</v>
      </c>
      <c r="G4748" s="14" t="n">
        <v>9.5</v>
      </c>
      <c r="H4748" s="14" t="n">
        <v>7.43</v>
      </c>
      <c r="I4748" s="14" t="n">
        <v>9.5</v>
      </c>
      <c r="J4748" s="22" t="n">
        <f aca="false">IF(E4748="Priority",'Cost model'!N380,'Cost model'!M380)</f>
        <v>8.5</v>
      </c>
      <c r="K4748" s="14" t="n">
        <f aca="false">J4748-H4748</f>
        <v>1.07</v>
      </c>
      <c r="L4748" s="14" t="n">
        <f aca="false">G4748-H4748</f>
        <v>2.07</v>
      </c>
    </row>
    <row r="4749" customFormat="false" ht="15" hidden="false" customHeight="false" outlineLevel="0" collapsed="false">
      <c r="A4749" s="2" t="s">
        <v>146</v>
      </c>
      <c r="B4749" s="2" t="s">
        <v>146</v>
      </c>
      <c r="C4749" s="2" t="s">
        <v>50</v>
      </c>
      <c r="D4749" s="2" t="s">
        <v>10</v>
      </c>
      <c r="E4749" s="2" t="s">
        <v>76</v>
      </c>
      <c r="F4749" s="2" t="s">
        <v>1145</v>
      </c>
      <c r="G4749" s="14" t="n">
        <v>17.5</v>
      </c>
      <c r="H4749" s="14" t="n">
        <v>21.76</v>
      </c>
      <c r="I4749" s="14" t="n">
        <v>17.5</v>
      </c>
      <c r="J4749" s="22" t="n">
        <f aca="false">IF(E4749="Priority",'Cost model'!N760,'Cost model'!M760)</f>
        <v>18.5</v>
      </c>
      <c r="K4749" s="14" t="n">
        <f aca="false">J4749-H4749</f>
        <v>-3.26</v>
      </c>
      <c r="L4749" s="14" t="n">
        <f aca="false">G4749-H4749</f>
        <v>-4.26</v>
      </c>
    </row>
    <row r="4750" customFormat="false" ht="15" hidden="false" customHeight="false" outlineLevel="0" collapsed="false">
      <c r="A4750" s="2" t="s">
        <v>126</v>
      </c>
      <c r="B4750" s="2" t="s">
        <v>126</v>
      </c>
      <c r="C4750" s="2" t="s">
        <v>48</v>
      </c>
      <c r="D4750" s="2" t="s">
        <v>10</v>
      </c>
      <c r="E4750" s="2" t="s">
        <v>76</v>
      </c>
      <c r="F4750" s="2" t="s">
        <v>1145</v>
      </c>
      <c r="G4750" s="14" t="n">
        <v>9.5</v>
      </c>
      <c r="H4750" s="14" t="n">
        <v>7.45</v>
      </c>
      <c r="I4750" s="14" t="n">
        <v>9.5</v>
      </c>
      <c r="J4750" s="22" t="n">
        <f aca="false">IF(E4750="Priority",'Cost model'!N380,'Cost model'!M380)</f>
        <v>8.5</v>
      </c>
      <c r="K4750" s="14" t="n">
        <f aca="false">J4750-H4750</f>
        <v>1.05</v>
      </c>
      <c r="L4750" s="14" t="n">
        <f aca="false">G4750-H4750</f>
        <v>2.05</v>
      </c>
    </row>
    <row r="4751" customFormat="false" ht="15" hidden="false" customHeight="false" outlineLevel="0" collapsed="false">
      <c r="A4751" s="2" t="s">
        <v>126</v>
      </c>
      <c r="B4751" s="2" t="s">
        <v>126</v>
      </c>
      <c r="C4751" s="2" t="s">
        <v>49</v>
      </c>
      <c r="D4751" s="2" t="s">
        <v>12</v>
      </c>
      <c r="E4751" s="2" t="s">
        <v>85</v>
      </c>
      <c r="F4751" s="2" t="s">
        <v>1145</v>
      </c>
      <c r="G4751" s="14" t="n">
        <v>19.5</v>
      </c>
      <c r="H4751" s="14" t="n">
        <v>25.85</v>
      </c>
      <c r="I4751" s="14" t="n">
        <v>19.5</v>
      </c>
      <c r="J4751" s="22" t="n">
        <f aca="false">IF(E4751="Priority",'Cost model'!N384,'Cost model'!M384)</f>
        <v>60</v>
      </c>
      <c r="K4751" s="14" t="n">
        <f aca="false">J4751-H4751</f>
        <v>34.15</v>
      </c>
      <c r="L4751" s="14" t="n">
        <f aca="false">G4751-H4751</f>
        <v>-6.35</v>
      </c>
    </row>
    <row r="4752" customFormat="false" ht="15" hidden="false" customHeight="false" outlineLevel="0" collapsed="false">
      <c r="A4752" s="2" t="s">
        <v>184</v>
      </c>
      <c r="B4752" s="2" t="s">
        <v>184</v>
      </c>
      <c r="C4752" s="2" t="s">
        <v>48</v>
      </c>
      <c r="D4752" s="2" t="s">
        <v>12</v>
      </c>
      <c r="E4752" s="2" t="s">
        <v>76</v>
      </c>
      <c r="F4752" s="2" t="s">
        <v>1145</v>
      </c>
      <c r="G4752" s="14" t="n">
        <v>9.5</v>
      </c>
      <c r="H4752" s="14" t="n">
        <v>7.69</v>
      </c>
      <c r="I4752" s="14" t="n">
        <v>9.5</v>
      </c>
      <c r="J4752" s="22" t="n">
        <f aca="false">IF(E4752="Priority",'Cost model'!N203,'Cost model'!M203)</f>
        <v>26.5</v>
      </c>
      <c r="K4752" s="14" t="n">
        <f aca="false">J4752-H4752</f>
        <v>18.81</v>
      </c>
      <c r="L4752" s="14" t="n">
        <f aca="false">G4752-H4752</f>
        <v>1.81</v>
      </c>
    </row>
    <row r="4753" customFormat="false" ht="15" hidden="false" customHeight="false" outlineLevel="0" collapsed="false">
      <c r="A4753" s="2" t="s">
        <v>240</v>
      </c>
      <c r="B4753" s="2" t="s">
        <v>240</v>
      </c>
      <c r="C4753" s="2" t="s">
        <v>48</v>
      </c>
      <c r="D4753" s="2" t="s">
        <v>12</v>
      </c>
      <c r="E4753" s="2" t="s">
        <v>76</v>
      </c>
      <c r="F4753" s="2" t="s">
        <v>1145</v>
      </c>
      <c r="G4753" s="14" t="n">
        <v>9.5</v>
      </c>
      <c r="H4753" s="14" t="n">
        <v>8.13</v>
      </c>
      <c r="I4753" s="14" t="n">
        <v>9.5</v>
      </c>
      <c r="J4753" s="22" t="n">
        <f aca="false">IF(E4753="Priority",'Cost model'!N887,'Cost model'!M887)</f>
        <v>21.5</v>
      </c>
      <c r="K4753" s="14" t="n">
        <f aca="false">J4753-H4753</f>
        <v>13.37</v>
      </c>
      <c r="L4753" s="14" t="n">
        <f aca="false">G4753-H4753</f>
        <v>1.37</v>
      </c>
    </row>
    <row r="4754" customFormat="false" ht="15" hidden="false" customHeight="false" outlineLevel="0" collapsed="false">
      <c r="A4754" s="2" t="s">
        <v>184</v>
      </c>
      <c r="B4754" s="2" t="s">
        <v>184</v>
      </c>
      <c r="C4754" s="2" t="s">
        <v>49</v>
      </c>
      <c r="D4754" s="2" t="s">
        <v>12</v>
      </c>
      <c r="E4754" s="2" t="s">
        <v>85</v>
      </c>
      <c r="F4754" s="2" t="s">
        <v>1145</v>
      </c>
      <c r="G4754" s="14" t="n">
        <v>19.5</v>
      </c>
      <c r="H4754" s="14" t="n">
        <v>45.53</v>
      </c>
      <c r="I4754" s="14" t="n">
        <v>19.5</v>
      </c>
      <c r="J4754" s="22" t="n">
        <f aca="false">IF(E4754="Priority",'Cost model'!N204,'Cost model'!M204)</f>
        <v>60</v>
      </c>
      <c r="K4754" s="14" t="n">
        <f aca="false">J4754-H4754</f>
        <v>14.47</v>
      </c>
      <c r="L4754" s="14" t="n">
        <f aca="false">G4754-H4754</f>
        <v>-26.03</v>
      </c>
    </row>
    <row r="4755" customFormat="false" ht="15" hidden="false" customHeight="false" outlineLevel="0" collapsed="false">
      <c r="A4755" s="2" t="s">
        <v>146</v>
      </c>
      <c r="B4755" s="2" t="s">
        <v>126</v>
      </c>
      <c r="C4755" s="2" t="s">
        <v>48</v>
      </c>
      <c r="D4755" s="2" t="s">
        <v>12</v>
      </c>
      <c r="E4755" s="2" t="s">
        <v>76</v>
      </c>
      <c r="F4755" s="2" t="s">
        <v>1146</v>
      </c>
      <c r="G4755" s="14" t="n">
        <v>19.5</v>
      </c>
      <c r="H4755" s="14" t="n">
        <v>21.76</v>
      </c>
      <c r="I4755" s="14" t="n">
        <v>19.5</v>
      </c>
      <c r="J4755" s="22" t="n">
        <f aca="false">IF(E4755="Priority",'Cost model'!N797,'Cost model'!M797)</f>
        <v>40</v>
      </c>
      <c r="K4755" s="14" t="n">
        <f aca="false">J4755-H4755</f>
        <v>18.24</v>
      </c>
      <c r="L4755" s="14" t="n">
        <f aca="false">G4755-H4755</f>
        <v>-2.26</v>
      </c>
    </row>
    <row r="4756" customFormat="false" ht="15" hidden="false" customHeight="false" outlineLevel="0" collapsed="false">
      <c r="A4756" s="2" t="s">
        <v>126</v>
      </c>
      <c r="B4756" s="2" t="s">
        <v>126</v>
      </c>
      <c r="C4756" s="2" t="s">
        <v>49</v>
      </c>
      <c r="D4756" s="2" t="s">
        <v>12</v>
      </c>
      <c r="E4756" s="2" t="s">
        <v>76</v>
      </c>
      <c r="F4756" s="2" t="s">
        <v>1145</v>
      </c>
      <c r="G4756" s="14" t="n">
        <v>12.5</v>
      </c>
      <c r="H4756" s="14" t="n">
        <v>59.28</v>
      </c>
      <c r="I4756" s="14" t="n">
        <v>12.5</v>
      </c>
      <c r="J4756" s="22" t="n">
        <f aca="false">IF(E4756="Priority",'Cost model'!N384,'Cost model'!M384)</f>
        <v>45</v>
      </c>
      <c r="K4756" s="14" t="n">
        <f aca="false">J4756-H4756</f>
        <v>-14.28</v>
      </c>
      <c r="L4756" s="14" t="n">
        <f aca="false">G4756-H4756</f>
        <v>-46.78</v>
      </c>
    </row>
    <row r="4757" customFormat="false" ht="15" hidden="false" customHeight="false" outlineLevel="0" collapsed="false">
      <c r="A4757" s="2" t="s">
        <v>184</v>
      </c>
      <c r="B4757" s="2" t="s">
        <v>184</v>
      </c>
      <c r="C4757" s="2" t="s">
        <v>48</v>
      </c>
      <c r="D4757" s="2" t="s">
        <v>13</v>
      </c>
      <c r="E4757" s="2" t="s">
        <v>76</v>
      </c>
      <c r="F4757" s="2" t="s">
        <v>1145</v>
      </c>
      <c r="G4757" s="14" t="n">
        <v>19</v>
      </c>
      <c r="H4757" s="14" t="n">
        <v>121.67</v>
      </c>
      <c r="I4757" s="14" t="n">
        <v>19</v>
      </c>
      <c r="J4757" s="22" t="n">
        <f aca="false">IF(E4757="Priority",'Cost model'!N206,'Cost model'!M206)</f>
        <v>55</v>
      </c>
      <c r="K4757" s="14" t="n">
        <f aca="false">J4757-H4757</f>
        <v>-66.67</v>
      </c>
      <c r="L4757" s="14" t="n">
        <f aca="false">G4757-H4757</f>
        <v>-102.67</v>
      </c>
    </row>
    <row r="4758" customFormat="false" ht="15" hidden="false" customHeight="false" outlineLevel="0" collapsed="false">
      <c r="A4758" s="2" t="s">
        <v>184</v>
      </c>
      <c r="B4758" s="2" t="s">
        <v>184</v>
      </c>
      <c r="C4758" s="2" t="s">
        <v>48</v>
      </c>
      <c r="D4758" s="2" t="s">
        <v>12</v>
      </c>
      <c r="E4758" s="2" t="s">
        <v>76</v>
      </c>
      <c r="F4758" s="2" t="s">
        <v>1145</v>
      </c>
      <c r="G4758" s="14" t="n">
        <v>9.5</v>
      </c>
      <c r="H4758" s="14" t="n">
        <v>27.86</v>
      </c>
      <c r="I4758" s="14" t="n">
        <v>9.5</v>
      </c>
      <c r="J4758" s="22" t="n">
        <f aca="false">IF(E4758="Priority",'Cost model'!N203,'Cost model'!M203)</f>
        <v>26.5</v>
      </c>
      <c r="K4758" s="14" t="n">
        <f aca="false">J4758-H4758</f>
        <v>-1.36</v>
      </c>
      <c r="L4758" s="14" t="n">
        <f aca="false">G4758-H4758</f>
        <v>-18.36</v>
      </c>
    </row>
    <row r="4759" customFormat="false" ht="15" hidden="false" customHeight="false" outlineLevel="0" collapsed="false">
      <c r="A4759" s="2" t="s">
        <v>184</v>
      </c>
      <c r="B4759" s="2" t="s">
        <v>126</v>
      </c>
      <c r="C4759" s="2" t="s">
        <v>48</v>
      </c>
      <c r="D4759" s="2" t="s">
        <v>10</v>
      </c>
      <c r="E4759" s="2" t="s">
        <v>76</v>
      </c>
      <c r="F4759" s="2" t="s">
        <v>1146</v>
      </c>
      <c r="G4759" s="14" t="n">
        <v>9.5</v>
      </c>
      <c r="H4759" s="14" t="n">
        <v>7.58</v>
      </c>
      <c r="I4759" s="14" t="n">
        <v>9.5</v>
      </c>
      <c r="J4759" s="22" t="n">
        <f aca="false">IF(E4759="Priority",'Cost model'!N128,'Cost model'!M128)</f>
        <v>10.5</v>
      </c>
      <c r="K4759" s="14" t="n">
        <f aca="false">J4759-H4759</f>
        <v>2.92</v>
      </c>
      <c r="L4759" s="14" t="n">
        <f aca="false">G4759-H4759</f>
        <v>1.92</v>
      </c>
    </row>
    <row r="4760" customFormat="false" ht="15" hidden="false" customHeight="false" outlineLevel="0" collapsed="false">
      <c r="A4760" s="2" t="s">
        <v>240</v>
      </c>
      <c r="B4760" s="2" t="s">
        <v>240</v>
      </c>
      <c r="C4760" s="2" t="s">
        <v>50</v>
      </c>
      <c r="D4760" s="2" t="s">
        <v>14</v>
      </c>
      <c r="E4760" s="2" t="s">
        <v>85</v>
      </c>
      <c r="F4760" s="2" t="s">
        <v>1145</v>
      </c>
      <c r="G4760" s="14" t="n">
        <v>150</v>
      </c>
      <c r="H4760" s="14" t="n">
        <v>532.4</v>
      </c>
      <c r="I4760" s="14" t="n">
        <v>150</v>
      </c>
      <c r="J4760" s="22" t="n">
        <f aca="false">IF(E4760="Priority",'Cost model'!N895,'Cost model'!M895)</f>
        <v>385</v>
      </c>
      <c r="K4760" s="14" t="n">
        <f aca="false">J4760-H4760</f>
        <v>-147.4</v>
      </c>
      <c r="L4760" s="14" t="n">
        <f aca="false">G4760-H4760</f>
        <v>-382.4</v>
      </c>
    </row>
    <row r="4761" customFormat="false" ht="15" hidden="false" customHeight="false" outlineLevel="0" collapsed="false">
      <c r="A4761" s="2" t="s">
        <v>146</v>
      </c>
      <c r="B4761" s="2" t="s">
        <v>146</v>
      </c>
      <c r="C4761" s="2" t="s">
        <v>50</v>
      </c>
      <c r="D4761" s="2" t="s">
        <v>12</v>
      </c>
      <c r="E4761" s="2" t="s">
        <v>76</v>
      </c>
      <c r="F4761" s="2" t="s">
        <v>1145</v>
      </c>
      <c r="G4761" s="14" t="n">
        <v>19.5</v>
      </c>
      <c r="H4761" s="14" t="n">
        <v>42.61</v>
      </c>
      <c r="I4761" s="14" t="n">
        <v>19.5</v>
      </c>
      <c r="J4761" s="22" t="n">
        <f aca="false">IF(E4761="Priority",'Cost model'!N763,'Cost model'!M763)</f>
        <v>50</v>
      </c>
      <c r="K4761" s="14" t="n">
        <f aca="false">J4761-H4761</f>
        <v>7.39</v>
      </c>
      <c r="L4761" s="14" t="n">
        <f aca="false">G4761-H4761</f>
        <v>-23.11</v>
      </c>
    </row>
    <row r="4762" customFormat="false" ht="15" hidden="false" customHeight="false" outlineLevel="0" collapsed="false">
      <c r="A4762" s="2" t="s">
        <v>146</v>
      </c>
      <c r="B4762" s="2" t="s">
        <v>146</v>
      </c>
      <c r="C4762" s="2" t="s">
        <v>49</v>
      </c>
      <c r="D4762" s="2" t="s">
        <v>10</v>
      </c>
      <c r="E4762" s="2" t="s">
        <v>76</v>
      </c>
      <c r="F4762" s="2" t="s">
        <v>1145</v>
      </c>
      <c r="G4762" s="14" t="n">
        <v>12.5</v>
      </c>
      <c r="H4762" s="14" t="n">
        <v>10.8</v>
      </c>
      <c r="I4762" s="14" t="n">
        <v>12.5</v>
      </c>
      <c r="J4762" s="22" t="n">
        <f aca="false">IF(E4762="Priority",'Cost model'!N759,'Cost model'!M759)</f>
        <v>15.5</v>
      </c>
      <c r="K4762" s="14" t="n">
        <f aca="false">J4762-H4762</f>
        <v>4.7</v>
      </c>
      <c r="L4762" s="14" t="n">
        <f aca="false">G4762-H4762</f>
        <v>1.7</v>
      </c>
    </row>
    <row r="4763" customFormat="false" ht="15" hidden="false" customHeight="false" outlineLevel="0" collapsed="false">
      <c r="A4763" s="2" t="s">
        <v>146</v>
      </c>
      <c r="B4763" s="2" t="s">
        <v>146</v>
      </c>
      <c r="C4763" s="2" t="s">
        <v>48</v>
      </c>
      <c r="D4763" s="2" t="s">
        <v>10</v>
      </c>
      <c r="E4763" s="2" t="s">
        <v>76</v>
      </c>
      <c r="F4763" s="2" t="s">
        <v>1145</v>
      </c>
      <c r="G4763" s="14" t="n">
        <v>9.5</v>
      </c>
      <c r="H4763" s="14" t="n">
        <v>15.39</v>
      </c>
      <c r="I4763" s="14" t="n">
        <v>9.5</v>
      </c>
      <c r="J4763" s="22" t="n">
        <f aca="false">IF(E4763="Priority",'Cost model'!N758,'Cost model'!M758)</f>
        <v>9.5</v>
      </c>
      <c r="K4763" s="14" t="n">
        <f aca="false">J4763-H4763</f>
        <v>-5.89</v>
      </c>
      <c r="L4763" s="14" t="n">
        <f aca="false">G4763-H4763</f>
        <v>-5.89</v>
      </c>
    </row>
    <row r="4764" customFormat="false" ht="15" hidden="false" customHeight="false" outlineLevel="0" collapsed="false">
      <c r="A4764" s="2" t="s">
        <v>126</v>
      </c>
      <c r="B4764" s="2" t="s">
        <v>126</v>
      </c>
      <c r="C4764" s="2" t="s">
        <v>50</v>
      </c>
      <c r="D4764" s="2" t="s">
        <v>10</v>
      </c>
      <c r="E4764" s="2" t="s">
        <v>76</v>
      </c>
      <c r="F4764" s="2" t="s">
        <v>1145</v>
      </c>
      <c r="G4764" s="14" t="n">
        <v>17.5</v>
      </c>
      <c r="H4764" s="14" t="n">
        <v>16.84</v>
      </c>
      <c r="I4764" s="14" t="n">
        <v>17.5</v>
      </c>
      <c r="J4764" s="22" t="n">
        <f aca="false">IF(E4764="Priority",'Cost model'!N382,'Cost model'!M382)</f>
        <v>18.5</v>
      </c>
      <c r="K4764" s="14" t="n">
        <f aca="false">J4764-H4764</f>
        <v>1.66</v>
      </c>
      <c r="L4764" s="14" t="n">
        <f aca="false">G4764-H4764</f>
        <v>0.66</v>
      </c>
    </row>
    <row r="4765" customFormat="false" ht="15" hidden="false" customHeight="false" outlineLevel="0" collapsed="false">
      <c r="A4765" s="2" t="s">
        <v>240</v>
      </c>
      <c r="B4765" s="2" t="s">
        <v>240</v>
      </c>
      <c r="C4765" s="2" t="s">
        <v>48</v>
      </c>
      <c r="D4765" s="2" t="s">
        <v>12</v>
      </c>
      <c r="E4765" s="2" t="s">
        <v>85</v>
      </c>
      <c r="F4765" s="2" t="s">
        <v>1145</v>
      </c>
      <c r="G4765" s="14" t="n">
        <v>19.5</v>
      </c>
      <c r="H4765" s="14" t="n">
        <v>17.02</v>
      </c>
      <c r="I4765" s="14" t="n">
        <v>19.5</v>
      </c>
      <c r="J4765" s="22" t="n">
        <f aca="false">IF(E4765="Priority",'Cost model'!N887,'Cost model'!M887)</f>
        <v>27.5</v>
      </c>
      <c r="K4765" s="14" t="n">
        <f aca="false">J4765-H4765</f>
        <v>10.48</v>
      </c>
      <c r="L4765" s="14" t="n">
        <f aca="false">G4765-H4765</f>
        <v>2.48</v>
      </c>
    </row>
    <row r="4766" customFormat="false" ht="15" hidden="false" customHeight="false" outlineLevel="0" collapsed="false">
      <c r="A4766" s="2" t="s">
        <v>165</v>
      </c>
      <c r="B4766" s="2" t="s">
        <v>165</v>
      </c>
      <c r="C4766" s="2" t="s">
        <v>48</v>
      </c>
      <c r="D4766" s="2" t="s">
        <v>12</v>
      </c>
      <c r="E4766" s="2" t="s">
        <v>76</v>
      </c>
      <c r="F4766" s="2" t="s">
        <v>1145</v>
      </c>
      <c r="G4766" s="14" t="n">
        <v>9.5</v>
      </c>
      <c r="H4766" s="14" t="n">
        <v>13.45</v>
      </c>
      <c r="I4766" s="14" t="n">
        <v>9.5</v>
      </c>
      <c r="J4766" s="22" t="n">
        <f aca="false">IF(E4766="Priority",'Cost model'!N509,'Cost model'!M509)</f>
        <v>17.5</v>
      </c>
      <c r="K4766" s="14" t="n">
        <f aca="false">J4766-H4766</f>
        <v>4.05</v>
      </c>
      <c r="L4766" s="14" t="n">
        <f aca="false">G4766-H4766</f>
        <v>-3.95</v>
      </c>
    </row>
    <row r="4767" customFormat="false" ht="15" hidden="false" customHeight="false" outlineLevel="0" collapsed="false">
      <c r="A4767" s="2" t="s">
        <v>126</v>
      </c>
      <c r="B4767" s="2" t="s">
        <v>126</v>
      </c>
      <c r="C4767" s="2" t="s">
        <v>50</v>
      </c>
      <c r="D4767" s="2" t="s">
        <v>12</v>
      </c>
      <c r="E4767" s="2" t="s">
        <v>85</v>
      </c>
      <c r="F4767" s="2" t="s">
        <v>1145</v>
      </c>
      <c r="G4767" s="14" t="n">
        <v>29.5</v>
      </c>
      <c r="H4767" s="14" t="n">
        <v>60.89</v>
      </c>
      <c r="I4767" s="14" t="n">
        <v>29.5</v>
      </c>
      <c r="J4767" s="22" t="n">
        <f aca="false">IF(E4767="Priority",'Cost model'!N385,'Cost model'!M385)</f>
        <v>70</v>
      </c>
      <c r="K4767" s="14" t="n">
        <f aca="false">J4767-H4767</f>
        <v>9.11</v>
      </c>
      <c r="L4767" s="14" t="n">
        <f aca="false">G4767-H4767</f>
        <v>-31.39</v>
      </c>
    </row>
    <row r="4768" customFormat="false" ht="15" hidden="false" customHeight="false" outlineLevel="0" collapsed="false">
      <c r="A4768" s="2" t="s">
        <v>126</v>
      </c>
      <c r="B4768" s="2" t="s">
        <v>126</v>
      </c>
      <c r="C4768" s="2" t="s">
        <v>49</v>
      </c>
      <c r="D4768" s="2" t="s">
        <v>10</v>
      </c>
      <c r="E4768" s="2" t="s">
        <v>76</v>
      </c>
      <c r="F4768" s="2" t="s">
        <v>1145</v>
      </c>
      <c r="G4768" s="14" t="n">
        <v>12.5</v>
      </c>
      <c r="H4768" s="14" t="n">
        <v>10.1</v>
      </c>
      <c r="I4768" s="14" t="n">
        <v>12.5</v>
      </c>
      <c r="J4768" s="22" t="n">
        <f aca="false">IF(E4768="Priority",'Cost model'!N381,'Cost model'!M381)</f>
        <v>14.5</v>
      </c>
      <c r="K4768" s="14" t="n">
        <f aca="false">J4768-H4768</f>
        <v>4.4</v>
      </c>
      <c r="L4768" s="14" t="n">
        <f aca="false">G4768-H4768</f>
        <v>2.4</v>
      </c>
    </row>
    <row r="4769" customFormat="false" ht="15" hidden="false" customHeight="false" outlineLevel="0" collapsed="false">
      <c r="A4769" s="2" t="s">
        <v>126</v>
      </c>
      <c r="B4769" s="2" t="s">
        <v>126</v>
      </c>
      <c r="C4769" s="2" t="s">
        <v>48</v>
      </c>
      <c r="D4769" s="2" t="s">
        <v>10</v>
      </c>
      <c r="E4769" s="2" t="s">
        <v>76</v>
      </c>
      <c r="F4769" s="2" t="s">
        <v>1145</v>
      </c>
      <c r="G4769" s="14" t="n">
        <v>9.5</v>
      </c>
      <c r="H4769" s="14" t="n">
        <v>7.46</v>
      </c>
      <c r="I4769" s="14" t="n">
        <v>9.5</v>
      </c>
      <c r="J4769" s="22" t="n">
        <f aca="false">IF(E4769="Priority",'Cost model'!N380,'Cost model'!M380)</f>
        <v>8.5</v>
      </c>
      <c r="K4769" s="14" t="n">
        <f aca="false">J4769-H4769</f>
        <v>1.04</v>
      </c>
      <c r="L4769" s="14" t="n">
        <f aca="false">G4769-H4769</f>
        <v>2.04</v>
      </c>
    </row>
    <row r="4770" customFormat="false" ht="15" hidden="false" customHeight="false" outlineLevel="0" collapsed="false">
      <c r="A4770" s="2" t="s">
        <v>184</v>
      </c>
      <c r="B4770" s="2" t="s">
        <v>146</v>
      </c>
      <c r="C4770" s="2" t="s">
        <v>49</v>
      </c>
      <c r="D4770" s="2" t="s">
        <v>10</v>
      </c>
      <c r="E4770" s="2" t="s">
        <v>76</v>
      </c>
      <c r="F4770" s="2" t="s">
        <v>1146</v>
      </c>
      <c r="G4770" s="14" t="n">
        <v>12.5</v>
      </c>
      <c r="H4770" s="14" t="n">
        <v>11.22</v>
      </c>
      <c r="I4770" s="14"/>
      <c r="J4770" s="22" t="n">
        <f aca="false">IF(E4770="Priority",'Cost model'!N147,'Cost model'!M147)</f>
        <v>14.5</v>
      </c>
      <c r="K4770" s="14" t="n">
        <f aca="false">J4770-H4770</f>
        <v>3.28</v>
      </c>
      <c r="L4770" s="14" t="n">
        <f aca="false">G4770-H4770</f>
        <v>1.28</v>
      </c>
    </row>
    <row r="4771" customFormat="false" ht="15" hidden="false" customHeight="false" outlineLevel="0" collapsed="false">
      <c r="A4771" s="2" t="s">
        <v>184</v>
      </c>
      <c r="B4771" s="2" t="s">
        <v>184</v>
      </c>
      <c r="C4771" s="2" t="s">
        <v>48</v>
      </c>
      <c r="D4771" s="2" t="s">
        <v>12</v>
      </c>
      <c r="E4771" s="2" t="s">
        <v>76</v>
      </c>
      <c r="F4771" s="2" t="s">
        <v>1145</v>
      </c>
      <c r="G4771" s="14" t="n">
        <v>9.5</v>
      </c>
      <c r="H4771" s="14" t="n">
        <v>47.45</v>
      </c>
      <c r="I4771" s="14" t="n">
        <v>9.5</v>
      </c>
      <c r="J4771" s="22" t="n">
        <f aca="false">IF(E4771="Priority",'Cost model'!N203,'Cost model'!M203)</f>
        <v>26.5</v>
      </c>
      <c r="K4771" s="14" t="n">
        <f aca="false">J4771-H4771</f>
        <v>-20.95</v>
      </c>
      <c r="L4771" s="14" t="n">
        <f aca="false">G4771-H4771</f>
        <v>-37.95</v>
      </c>
    </row>
    <row r="4772" customFormat="false" ht="15" hidden="false" customHeight="false" outlineLevel="0" collapsed="false">
      <c r="A4772" s="2" t="s">
        <v>126</v>
      </c>
      <c r="B4772" s="2" t="s">
        <v>165</v>
      </c>
      <c r="C4772" s="2" t="s">
        <v>50</v>
      </c>
      <c r="D4772" s="2" t="s">
        <v>14</v>
      </c>
      <c r="E4772" s="2" t="s">
        <v>76</v>
      </c>
      <c r="F4772" s="2" t="s">
        <v>1146</v>
      </c>
      <c r="G4772" s="14" t="n">
        <v>99.99</v>
      </c>
      <c r="H4772" s="14" t="n">
        <v>226.3</v>
      </c>
      <c r="I4772" s="14" t="n">
        <v>199</v>
      </c>
      <c r="J4772" s="22" t="n">
        <f aca="false">IF(E4772="Priority",'Cost model'!N427,'Cost model'!M427)</f>
        <v>235</v>
      </c>
      <c r="K4772" s="14" t="n">
        <f aca="false">J4772-H4772</f>
        <v>8.69999999999999</v>
      </c>
      <c r="L4772" s="14" t="n">
        <f aca="false">G4772-H4772</f>
        <v>-126.31</v>
      </c>
    </row>
    <row r="4773" customFormat="false" ht="15" hidden="false" customHeight="false" outlineLevel="0" collapsed="false">
      <c r="A4773" s="2" t="s">
        <v>146</v>
      </c>
      <c r="B4773" s="2" t="s">
        <v>146</v>
      </c>
      <c r="C4773" s="2" t="s">
        <v>48</v>
      </c>
      <c r="D4773" s="2" t="s">
        <v>10</v>
      </c>
      <c r="E4773" s="2" t="s">
        <v>76</v>
      </c>
      <c r="F4773" s="2" t="s">
        <v>1145</v>
      </c>
      <c r="G4773" s="14" t="n">
        <v>9.5</v>
      </c>
      <c r="H4773" s="14" t="n">
        <v>6.89</v>
      </c>
      <c r="I4773" s="14" t="n">
        <v>9.5</v>
      </c>
      <c r="J4773" s="22" t="n">
        <f aca="false">IF(E4773="Priority",'Cost model'!N758,'Cost model'!M758)</f>
        <v>9.5</v>
      </c>
      <c r="K4773" s="14" t="n">
        <f aca="false">J4773-H4773</f>
        <v>2.61</v>
      </c>
      <c r="L4773" s="14" t="n">
        <f aca="false">G4773-H4773</f>
        <v>2.61</v>
      </c>
    </row>
    <row r="4774" customFormat="false" ht="15" hidden="false" customHeight="false" outlineLevel="0" collapsed="false">
      <c r="A4774" s="2" t="s">
        <v>184</v>
      </c>
      <c r="B4774" s="2" t="s">
        <v>184</v>
      </c>
      <c r="C4774" s="2" t="s">
        <v>50</v>
      </c>
      <c r="D4774" s="2" t="s">
        <v>12</v>
      </c>
      <c r="E4774" s="2" t="s">
        <v>85</v>
      </c>
      <c r="F4774" s="2" t="s">
        <v>1145</v>
      </c>
      <c r="G4774" s="14" t="n">
        <v>29.5</v>
      </c>
      <c r="H4774" s="14" t="n">
        <v>73.89</v>
      </c>
      <c r="I4774" s="14" t="n">
        <v>29.5</v>
      </c>
      <c r="J4774" s="22" t="n">
        <f aca="false">IF(E4774="Priority",'Cost model'!N205,'Cost model'!M205)</f>
        <v>65</v>
      </c>
      <c r="K4774" s="14" t="n">
        <f aca="false">J4774-H4774</f>
        <v>-8.89</v>
      </c>
      <c r="L4774" s="14" t="n">
        <f aca="false">G4774-H4774</f>
        <v>-44.39</v>
      </c>
    </row>
    <row r="4775" customFormat="false" ht="15" hidden="false" customHeight="false" outlineLevel="0" collapsed="false">
      <c r="A4775" s="2" t="s">
        <v>126</v>
      </c>
      <c r="B4775" s="2" t="s">
        <v>126</v>
      </c>
      <c r="C4775" s="2" t="s">
        <v>50</v>
      </c>
      <c r="D4775" s="2" t="s">
        <v>12</v>
      </c>
      <c r="E4775" s="2" t="s">
        <v>76</v>
      </c>
      <c r="F4775" s="2" t="s">
        <v>1145</v>
      </c>
      <c r="G4775" s="14" t="n">
        <v>19.5</v>
      </c>
      <c r="H4775" s="14" t="n">
        <v>90.37</v>
      </c>
      <c r="I4775" s="14" t="n">
        <v>19.5</v>
      </c>
      <c r="J4775" s="22" t="n">
        <f aca="false">IF(E4775="Priority",'Cost model'!N385,'Cost model'!M385)</f>
        <v>55</v>
      </c>
      <c r="K4775" s="14" t="n">
        <f aca="false">J4775-H4775</f>
        <v>-35.37</v>
      </c>
      <c r="L4775" s="14" t="n">
        <f aca="false">G4775-H4775</f>
        <v>-70.87</v>
      </c>
    </row>
    <row r="4776" customFormat="false" ht="15" hidden="false" customHeight="false" outlineLevel="0" collapsed="false">
      <c r="A4776" s="2" t="s">
        <v>184</v>
      </c>
      <c r="B4776" s="2" t="s">
        <v>184</v>
      </c>
      <c r="C4776" s="2" t="s">
        <v>48</v>
      </c>
      <c r="D4776" s="2" t="s">
        <v>10</v>
      </c>
      <c r="E4776" s="2" t="s">
        <v>76</v>
      </c>
      <c r="F4776" s="2" t="s">
        <v>1145</v>
      </c>
      <c r="G4776" s="14" t="n">
        <v>9.5</v>
      </c>
      <c r="H4776" s="14" t="n">
        <v>6.24</v>
      </c>
      <c r="I4776" s="14" t="n">
        <v>9.5</v>
      </c>
      <c r="J4776" s="22" t="n">
        <f aca="false">IF(E4776="Priority",'Cost model'!N200,'Cost model'!M200)</f>
        <v>7.5</v>
      </c>
      <c r="K4776" s="14" t="n">
        <f aca="false">J4776-H4776</f>
        <v>1.26</v>
      </c>
      <c r="L4776" s="14" t="n">
        <f aca="false">G4776-H4776</f>
        <v>3.26</v>
      </c>
    </row>
    <row r="4777" customFormat="false" ht="15" hidden="false" customHeight="false" outlineLevel="0" collapsed="false">
      <c r="A4777" s="2" t="s">
        <v>126</v>
      </c>
      <c r="B4777" s="2" t="s">
        <v>126</v>
      </c>
      <c r="C4777" s="2" t="s">
        <v>49</v>
      </c>
      <c r="D4777" s="2" t="s">
        <v>10</v>
      </c>
      <c r="E4777" s="2" t="s">
        <v>76</v>
      </c>
      <c r="F4777" s="2" t="s">
        <v>1145</v>
      </c>
      <c r="G4777" s="14" t="n">
        <v>12.5</v>
      </c>
      <c r="H4777" s="14" t="n">
        <v>9.68</v>
      </c>
      <c r="I4777" s="14" t="n">
        <v>12.5</v>
      </c>
      <c r="J4777" s="22" t="n">
        <f aca="false">IF(E4777="Priority",'Cost model'!N381,'Cost model'!M381)</f>
        <v>14.5</v>
      </c>
      <c r="K4777" s="14" t="n">
        <f aca="false">J4777-H4777</f>
        <v>4.82</v>
      </c>
      <c r="L4777" s="14" t="n">
        <f aca="false">G4777-H4777</f>
        <v>2.82</v>
      </c>
    </row>
    <row r="4778" customFormat="false" ht="15" hidden="false" customHeight="false" outlineLevel="0" collapsed="false">
      <c r="A4778" s="2" t="s">
        <v>126</v>
      </c>
      <c r="B4778" s="2" t="s">
        <v>126</v>
      </c>
      <c r="C4778" s="2" t="s">
        <v>49</v>
      </c>
      <c r="D4778" s="2" t="s">
        <v>13</v>
      </c>
      <c r="E4778" s="2" t="s">
        <v>76</v>
      </c>
      <c r="F4778" s="2" t="s">
        <v>1145</v>
      </c>
      <c r="G4778" s="14" t="n">
        <v>24.5</v>
      </c>
      <c r="H4778" s="14" t="n">
        <v>89.13</v>
      </c>
      <c r="I4778" s="14" t="n">
        <v>24.5</v>
      </c>
      <c r="J4778" s="22" t="n">
        <f aca="false">IF(E4778="Priority",'Cost model'!N387,'Cost model'!M387)</f>
        <v>95</v>
      </c>
      <c r="K4778" s="14" t="n">
        <f aca="false">J4778-H4778</f>
        <v>5.87</v>
      </c>
      <c r="L4778" s="14" t="n">
        <f aca="false">G4778-H4778</f>
        <v>-64.63</v>
      </c>
    </row>
    <row r="4779" customFormat="false" ht="15" hidden="false" customHeight="false" outlineLevel="0" collapsed="false">
      <c r="A4779" s="2" t="s">
        <v>385</v>
      </c>
      <c r="B4779" s="2" t="s">
        <v>240</v>
      </c>
      <c r="C4779" s="2" t="s">
        <v>50</v>
      </c>
      <c r="D4779" s="2" t="s">
        <v>14</v>
      </c>
      <c r="E4779" s="2" t="s">
        <v>76</v>
      </c>
      <c r="F4779" s="2" t="s">
        <v>1146</v>
      </c>
      <c r="G4779" s="14" t="n">
        <v>250</v>
      </c>
      <c r="H4779" s="14" t="n">
        <v>117.29</v>
      </c>
      <c r="I4779" s="14" t="n">
        <v>195</v>
      </c>
      <c r="J4779" s="22" t="n">
        <f aca="false">IF(E4779="Priority",'Cost model'!N301,'Cost model'!M301)</f>
        <v>245</v>
      </c>
      <c r="K4779" s="14" t="n">
        <f aca="false">J4779-H4779</f>
        <v>127.71</v>
      </c>
      <c r="L4779" s="14" t="n">
        <f aca="false">G4779-H4779</f>
        <v>132.71</v>
      </c>
    </row>
    <row r="4780" customFormat="false" ht="15" hidden="false" customHeight="false" outlineLevel="0" collapsed="false">
      <c r="A4780" s="2" t="s">
        <v>165</v>
      </c>
      <c r="B4780" s="2" t="s">
        <v>165</v>
      </c>
      <c r="C4780" s="2" t="s">
        <v>48</v>
      </c>
      <c r="D4780" s="2" t="s">
        <v>12</v>
      </c>
      <c r="E4780" s="2" t="s">
        <v>76</v>
      </c>
      <c r="F4780" s="2" t="s">
        <v>1145</v>
      </c>
      <c r="G4780" s="14" t="n">
        <v>9.5</v>
      </c>
      <c r="H4780" s="14" t="n">
        <v>16.69</v>
      </c>
      <c r="I4780" s="14" t="n">
        <v>9.5</v>
      </c>
      <c r="J4780" s="22" t="n">
        <f aca="false">IF(E4780="Priority",'Cost model'!N509,'Cost model'!M509)</f>
        <v>17.5</v>
      </c>
      <c r="K4780" s="14" t="n">
        <f aca="false">J4780-H4780</f>
        <v>0.809999999999999</v>
      </c>
      <c r="L4780" s="14" t="n">
        <f aca="false">G4780-H4780</f>
        <v>-7.19</v>
      </c>
    </row>
    <row r="4781" customFormat="false" ht="15" hidden="false" customHeight="false" outlineLevel="0" collapsed="false">
      <c r="A4781" s="2" t="s">
        <v>184</v>
      </c>
      <c r="B4781" s="2" t="s">
        <v>184</v>
      </c>
      <c r="C4781" s="2" t="s">
        <v>49</v>
      </c>
      <c r="D4781" s="2" t="s">
        <v>12</v>
      </c>
      <c r="E4781" s="2" t="s">
        <v>76</v>
      </c>
      <c r="F4781" s="2" t="s">
        <v>1145</v>
      </c>
      <c r="G4781" s="14" t="n">
        <v>19.5</v>
      </c>
      <c r="H4781" s="14" t="n">
        <v>22.14</v>
      </c>
      <c r="I4781" s="14"/>
      <c r="J4781" s="22" t="n">
        <f aca="false">IF(E4781="Priority",'Cost model'!N204,'Cost model'!M204)</f>
        <v>45</v>
      </c>
      <c r="K4781" s="14" t="n">
        <f aca="false">J4781-H4781</f>
        <v>22.86</v>
      </c>
      <c r="L4781" s="14" t="n">
        <f aca="false">G4781-H4781</f>
        <v>-2.64</v>
      </c>
    </row>
    <row r="4782" customFormat="false" ht="15" hidden="false" customHeight="false" outlineLevel="0" collapsed="false">
      <c r="A4782" s="2" t="s">
        <v>184</v>
      </c>
      <c r="B4782" s="2" t="s">
        <v>184</v>
      </c>
      <c r="C4782" s="2" t="s">
        <v>48</v>
      </c>
      <c r="D4782" s="2" t="s">
        <v>12</v>
      </c>
      <c r="E4782" s="2" t="s">
        <v>76</v>
      </c>
      <c r="F4782" s="2" t="s">
        <v>1145</v>
      </c>
      <c r="G4782" s="14" t="n">
        <v>9.5</v>
      </c>
      <c r="H4782" s="14" t="n">
        <v>25.32</v>
      </c>
      <c r="I4782" s="14" t="n">
        <v>9.5</v>
      </c>
      <c r="J4782" s="22" t="n">
        <f aca="false">IF(E4782="Priority",'Cost model'!N203,'Cost model'!M203)</f>
        <v>26.5</v>
      </c>
      <c r="K4782" s="14" t="n">
        <f aca="false">J4782-H4782</f>
        <v>1.18</v>
      </c>
      <c r="L4782" s="14" t="n">
        <f aca="false">G4782-H4782</f>
        <v>-15.82</v>
      </c>
    </row>
    <row r="4783" customFormat="false" ht="15" hidden="false" customHeight="false" outlineLevel="0" collapsed="false">
      <c r="A4783" s="2" t="s">
        <v>146</v>
      </c>
      <c r="B4783" s="2" t="s">
        <v>126</v>
      </c>
      <c r="C4783" s="2" t="s">
        <v>49</v>
      </c>
      <c r="D4783" s="2" t="s">
        <v>10</v>
      </c>
      <c r="E4783" s="2" t="s">
        <v>76</v>
      </c>
      <c r="F4783" s="2" t="s">
        <v>1146</v>
      </c>
      <c r="G4783" s="14" t="n">
        <v>12.5</v>
      </c>
      <c r="H4783" s="14" t="n">
        <v>8.68</v>
      </c>
      <c r="I4783" s="14" t="n">
        <v>14.5</v>
      </c>
      <c r="J4783" s="22" t="n">
        <f aca="false">IF(E4783="Priority",'Cost model'!N795,'Cost model'!M795)</f>
        <v>13.5</v>
      </c>
      <c r="K4783" s="14" t="n">
        <f aca="false">J4783-H4783</f>
        <v>4.82</v>
      </c>
      <c r="L4783" s="14" t="n">
        <f aca="false">G4783-H4783</f>
        <v>3.82</v>
      </c>
    </row>
    <row r="4784" customFormat="false" ht="15" hidden="false" customHeight="false" outlineLevel="0" collapsed="false">
      <c r="A4784" s="2" t="s">
        <v>146</v>
      </c>
      <c r="B4784" s="2" t="s">
        <v>146</v>
      </c>
      <c r="C4784" s="2" t="s">
        <v>50</v>
      </c>
      <c r="D4784" s="2" t="s">
        <v>10</v>
      </c>
      <c r="E4784" s="2" t="s">
        <v>76</v>
      </c>
      <c r="F4784" s="2" t="s">
        <v>1145</v>
      </c>
      <c r="G4784" s="14" t="n">
        <v>17.5</v>
      </c>
      <c r="H4784" s="14" t="n">
        <v>20.08</v>
      </c>
      <c r="I4784" s="14" t="n">
        <v>17.5</v>
      </c>
      <c r="J4784" s="22" t="n">
        <f aca="false">IF(E4784="Priority",'Cost model'!N760,'Cost model'!M760)</f>
        <v>18.5</v>
      </c>
      <c r="K4784" s="14" t="n">
        <f aca="false">J4784-H4784</f>
        <v>-1.58</v>
      </c>
      <c r="L4784" s="14" t="n">
        <f aca="false">G4784-H4784</f>
        <v>-2.58</v>
      </c>
    </row>
    <row r="4785" customFormat="false" ht="15" hidden="false" customHeight="false" outlineLevel="0" collapsed="false">
      <c r="A4785" s="2" t="s">
        <v>126</v>
      </c>
      <c r="B4785" s="2" t="s">
        <v>126</v>
      </c>
      <c r="C4785" s="2" t="s">
        <v>49</v>
      </c>
      <c r="D4785" s="2" t="s">
        <v>10</v>
      </c>
      <c r="E4785" s="2" t="s">
        <v>76</v>
      </c>
      <c r="F4785" s="2" t="s">
        <v>1145</v>
      </c>
      <c r="G4785" s="14" t="n">
        <v>12.5</v>
      </c>
      <c r="H4785" s="14" t="n">
        <v>11.51</v>
      </c>
      <c r="I4785" s="14" t="n">
        <v>12.5</v>
      </c>
      <c r="J4785" s="22" t="n">
        <f aca="false">IF(E4785="Priority",'Cost model'!N381,'Cost model'!M381)</f>
        <v>14.5</v>
      </c>
      <c r="K4785" s="14" t="n">
        <f aca="false">J4785-H4785</f>
        <v>2.99</v>
      </c>
      <c r="L4785" s="14" t="n">
        <f aca="false">G4785-H4785</f>
        <v>0.99</v>
      </c>
    </row>
    <row r="4786" customFormat="false" ht="15" hidden="false" customHeight="false" outlineLevel="0" collapsed="false">
      <c r="A4786" s="2" t="s">
        <v>221</v>
      </c>
      <c r="B4786" s="2" t="s">
        <v>221</v>
      </c>
      <c r="C4786" s="2" t="s">
        <v>49</v>
      </c>
      <c r="D4786" s="2" t="s">
        <v>10</v>
      </c>
      <c r="E4786" s="2" t="s">
        <v>76</v>
      </c>
      <c r="F4786" s="2" t="s">
        <v>1145</v>
      </c>
      <c r="G4786" s="14" t="n">
        <v>14.5</v>
      </c>
      <c r="H4786" s="14" t="n">
        <v>11.17</v>
      </c>
      <c r="I4786" s="14" t="n">
        <v>12.5</v>
      </c>
      <c r="J4786" s="22" t="n">
        <f aca="false">IF(E4786="Priority",'Cost model'!N633,'Cost model'!M633)</f>
        <v>13.5</v>
      </c>
      <c r="K4786" s="14" t="n">
        <f aca="false">J4786-H4786</f>
        <v>2.33</v>
      </c>
      <c r="L4786" s="14" t="n">
        <f aca="false">G4786-H4786</f>
        <v>3.33</v>
      </c>
    </row>
    <row r="4787" customFormat="false" ht="15" hidden="false" customHeight="false" outlineLevel="0" collapsed="false">
      <c r="A4787" s="2" t="s">
        <v>146</v>
      </c>
      <c r="B4787" s="2" t="s">
        <v>146</v>
      </c>
      <c r="C4787" s="2" t="s">
        <v>48</v>
      </c>
      <c r="D4787" s="2" t="s">
        <v>13</v>
      </c>
      <c r="E4787" s="2" t="s">
        <v>76</v>
      </c>
      <c r="F4787" s="2" t="s">
        <v>1145</v>
      </c>
      <c r="G4787" s="14" t="n">
        <v>75</v>
      </c>
      <c r="H4787" s="14" t="n">
        <v>60.83</v>
      </c>
      <c r="I4787" s="14" t="n">
        <v>19</v>
      </c>
      <c r="J4787" s="22" t="n">
        <f aca="false">IF(E4787="Priority",'Cost model'!N764,'Cost model'!M764)</f>
        <v>55</v>
      </c>
      <c r="K4787" s="14" t="n">
        <f aca="false">J4787-H4787</f>
        <v>-5.83</v>
      </c>
      <c r="L4787" s="14" t="n">
        <f aca="false">G4787-H4787</f>
        <v>14.17</v>
      </c>
    </row>
    <row r="4788" customFormat="false" ht="15" hidden="false" customHeight="false" outlineLevel="0" collapsed="false">
      <c r="A4788" s="2" t="s">
        <v>221</v>
      </c>
      <c r="B4788" s="2" t="s">
        <v>221</v>
      </c>
      <c r="C4788" s="2" t="s">
        <v>49</v>
      </c>
      <c r="D4788" s="2" t="s">
        <v>12</v>
      </c>
      <c r="E4788" s="2" t="s">
        <v>76</v>
      </c>
      <c r="F4788" s="2" t="s">
        <v>1145</v>
      </c>
      <c r="G4788" s="14" t="n">
        <v>12.5</v>
      </c>
      <c r="H4788" s="14" t="n">
        <v>46.48</v>
      </c>
      <c r="I4788" s="14" t="n">
        <v>12.5</v>
      </c>
      <c r="J4788" s="22" t="n">
        <f aca="false">IF(E4788="Priority",'Cost model'!N636,'Cost model'!M636)</f>
        <v>55</v>
      </c>
      <c r="K4788" s="14" t="n">
        <f aca="false">J4788-H4788</f>
        <v>8.52</v>
      </c>
      <c r="L4788" s="14" t="n">
        <f aca="false">G4788-H4788</f>
        <v>-33.98</v>
      </c>
    </row>
    <row r="4789" customFormat="false" ht="15" hidden="false" customHeight="false" outlineLevel="0" collapsed="false">
      <c r="A4789" s="2" t="s">
        <v>126</v>
      </c>
      <c r="B4789" s="2" t="s">
        <v>126</v>
      </c>
      <c r="C4789" s="2" t="s">
        <v>50</v>
      </c>
      <c r="D4789" s="2" t="s">
        <v>10</v>
      </c>
      <c r="E4789" s="2" t="s">
        <v>85</v>
      </c>
      <c r="F4789" s="2" t="s">
        <v>1145</v>
      </c>
      <c r="G4789" s="14" t="n">
        <v>24.5</v>
      </c>
      <c r="H4789" s="14" t="n">
        <v>21.61</v>
      </c>
      <c r="I4789" s="14" t="n">
        <v>24.5</v>
      </c>
      <c r="J4789" s="22" t="n">
        <f aca="false">IF(E4789="Priority",'Cost model'!N382,'Cost model'!M382)</f>
        <v>25.5</v>
      </c>
      <c r="K4789" s="14" t="n">
        <f aca="false">J4789-H4789</f>
        <v>3.89</v>
      </c>
      <c r="L4789" s="14" t="n">
        <f aca="false">G4789-H4789</f>
        <v>2.89</v>
      </c>
    </row>
    <row r="4790" customFormat="false" ht="15" hidden="false" customHeight="false" outlineLevel="0" collapsed="false">
      <c r="A4790" s="2" t="s">
        <v>184</v>
      </c>
      <c r="B4790" s="2" t="s">
        <v>184</v>
      </c>
      <c r="C4790" s="2" t="s">
        <v>49</v>
      </c>
      <c r="D4790" s="2" t="s">
        <v>12</v>
      </c>
      <c r="E4790" s="2" t="s">
        <v>76</v>
      </c>
      <c r="F4790" s="2" t="s">
        <v>1145</v>
      </c>
      <c r="G4790" s="14" t="n">
        <v>12.5</v>
      </c>
      <c r="H4790" s="14" t="n">
        <v>42.61</v>
      </c>
      <c r="I4790" s="14"/>
      <c r="J4790" s="22" t="n">
        <f aca="false">IF(E4790="Priority",'Cost model'!N204,'Cost model'!M204)</f>
        <v>45</v>
      </c>
      <c r="K4790" s="14" t="n">
        <f aca="false">J4790-H4790</f>
        <v>2.39</v>
      </c>
      <c r="L4790" s="14" t="n">
        <f aca="false">G4790-H4790</f>
        <v>-30.11</v>
      </c>
    </row>
    <row r="4791" customFormat="false" ht="15" hidden="false" customHeight="false" outlineLevel="0" collapsed="false">
      <c r="A4791" s="2" t="s">
        <v>240</v>
      </c>
      <c r="B4791" s="2" t="s">
        <v>165</v>
      </c>
      <c r="C4791" s="2" t="s">
        <v>48</v>
      </c>
      <c r="D4791" s="2" t="s">
        <v>14</v>
      </c>
      <c r="E4791" s="2" t="s">
        <v>76</v>
      </c>
      <c r="F4791" s="2" t="s">
        <v>1146</v>
      </c>
      <c r="G4791" s="14" t="n">
        <v>25</v>
      </c>
      <c r="H4791" s="14" t="n">
        <v>130.97</v>
      </c>
      <c r="I4791" s="14" t="n">
        <v>85</v>
      </c>
      <c r="J4791" s="22" t="n">
        <f aca="false">IF(E4791="Priority",'Cost model'!N911,'Cost model'!M911)</f>
        <v>155</v>
      </c>
      <c r="K4791" s="14" t="n">
        <f aca="false">J4791-H4791</f>
        <v>24.03</v>
      </c>
      <c r="L4791" s="14" t="n">
        <f aca="false">G4791-H4791</f>
        <v>-105.97</v>
      </c>
    </row>
    <row r="4792" customFormat="false" ht="15" hidden="false" customHeight="false" outlineLevel="0" collapsed="false">
      <c r="A4792" s="2" t="s">
        <v>184</v>
      </c>
      <c r="B4792" s="2" t="s">
        <v>184</v>
      </c>
      <c r="C4792" s="2" t="s">
        <v>48</v>
      </c>
      <c r="D4792" s="2" t="s">
        <v>10</v>
      </c>
      <c r="E4792" s="2" t="s">
        <v>76</v>
      </c>
      <c r="F4792" s="2" t="s">
        <v>1145</v>
      </c>
      <c r="G4792" s="14" t="n">
        <v>9.5</v>
      </c>
      <c r="H4792" s="14" t="n">
        <v>6.19</v>
      </c>
      <c r="I4792" s="14" t="n">
        <v>9.5</v>
      </c>
      <c r="J4792" s="22" t="n">
        <f aca="false">IF(E4792="Priority",'Cost model'!N200,'Cost model'!M200)</f>
        <v>7.5</v>
      </c>
      <c r="K4792" s="14" t="n">
        <f aca="false">J4792-H4792</f>
        <v>1.31</v>
      </c>
      <c r="L4792" s="14" t="n">
        <f aca="false">G4792-H4792</f>
        <v>3.31</v>
      </c>
    </row>
    <row r="4793" customFormat="false" ht="15" hidden="false" customHeight="false" outlineLevel="0" collapsed="false">
      <c r="A4793" s="2" t="s">
        <v>184</v>
      </c>
      <c r="B4793" s="2" t="s">
        <v>184</v>
      </c>
      <c r="C4793" s="2" t="s">
        <v>49</v>
      </c>
      <c r="D4793" s="2" t="s">
        <v>10</v>
      </c>
      <c r="E4793" s="2" t="s">
        <v>76</v>
      </c>
      <c r="F4793" s="2" t="s">
        <v>1145</v>
      </c>
      <c r="G4793" s="14" t="n">
        <v>12.5</v>
      </c>
      <c r="H4793" s="14" t="n">
        <v>8.92</v>
      </c>
      <c r="I4793" s="14"/>
      <c r="J4793" s="22" t="n">
        <f aca="false">IF(E4793="Priority",'Cost model'!N201,'Cost model'!M201)</f>
        <v>12.5</v>
      </c>
      <c r="K4793" s="14" t="n">
        <f aca="false">J4793-H4793</f>
        <v>3.58</v>
      </c>
      <c r="L4793" s="14" t="n">
        <f aca="false">G4793-H4793</f>
        <v>3.58</v>
      </c>
    </row>
    <row r="4794" customFormat="false" ht="15" hidden="false" customHeight="false" outlineLevel="0" collapsed="false">
      <c r="A4794" s="2" t="s">
        <v>126</v>
      </c>
      <c r="B4794" s="2" t="s">
        <v>126</v>
      </c>
      <c r="C4794" s="2" t="s">
        <v>49</v>
      </c>
      <c r="D4794" s="2" t="s">
        <v>12</v>
      </c>
      <c r="E4794" s="2" t="s">
        <v>76</v>
      </c>
      <c r="F4794" s="2" t="s">
        <v>1145</v>
      </c>
      <c r="G4794" s="14" t="n">
        <v>12.5</v>
      </c>
      <c r="H4794" s="14" t="n">
        <v>14.91</v>
      </c>
      <c r="I4794" s="14" t="n">
        <v>12.5</v>
      </c>
      <c r="J4794" s="22" t="n">
        <f aca="false">IF(E4794="Priority",'Cost model'!N384,'Cost model'!M384)</f>
        <v>45</v>
      </c>
      <c r="K4794" s="14" t="n">
        <f aca="false">J4794-H4794</f>
        <v>30.09</v>
      </c>
      <c r="L4794" s="14" t="n">
        <f aca="false">G4794-H4794</f>
        <v>-2.41</v>
      </c>
    </row>
    <row r="4795" customFormat="false" ht="15" hidden="false" customHeight="false" outlineLevel="0" collapsed="false">
      <c r="A4795" s="2" t="s">
        <v>184</v>
      </c>
      <c r="B4795" s="2" t="s">
        <v>126</v>
      </c>
      <c r="C4795" s="2" t="s">
        <v>48</v>
      </c>
      <c r="D4795" s="2" t="s">
        <v>12</v>
      </c>
      <c r="E4795" s="2" t="s">
        <v>76</v>
      </c>
      <c r="F4795" s="2" t="s">
        <v>1146</v>
      </c>
      <c r="G4795" s="14" t="n">
        <v>9.5</v>
      </c>
      <c r="H4795" s="14" t="n">
        <v>71.79</v>
      </c>
      <c r="I4795" s="14" t="n">
        <v>9.5</v>
      </c>
      <c r="J4795" s="22" t="n">
        <f aca="false">IF(E4795="Priority",'Cost model'!N131,'Cost model'!M131)</f>
        <v>40</v>
      </c>
      <c r="K4795" s="14" t="n">
        <f aca="false">J4795-H4795</f>
        <v>-31.79</v>
      </c>
      <c r="L4795" s="14" t="n">
        <f aca="false">G4795-H4795</f>
        <v>-62.29</v>
      </c>
    </row>
    <row r="4796" customFormat="false" ht="15" hidden="false" customHeight="false" outlineLevel="0" collapsed="false">
      <c r="A4796" s="2" t="s">
        <v>165</v>
      </c>
      <c r="B4796" s="2" t="s">
        <v>126</v>
      </c>
      <c r="C4796" s="2" t="s">
        <v>50</v>
      </c>
      <c r="D4796" s="2" t="s">
        <v>12</v>
      </c>
      <c r="E4796" s="2" t="s">
        <v>76</v>
      </c>
      <c r="F4796" s="2" t="s">
        <v>1146</v>
      </c>
      <c r="G4796" s="14" t="n">
        <v>19.5</v>
      </c>
      <c r="H4796" s="14" t="n">
        <v>23.58</v>
      </c>
      <c r="I4796" s="14" t="n">
        <v>19.5</v>
      </c>
      <c r="J4796" s="22" t="n">
        <f aca="false">IF(E4796="Priority",'Cost model'!N547,'Cost model'!M547)</f>
        <v>60</v>
      </c>
      <c r="K4796" s="14" t="n">
        <f aca="false">J4796-H4796</f>
        <v>36.42</v>
      </c>
      <c r="L4796" s="14" t="n">
        <f aca="false">G4796-H4796</f>
        <v>-4.08</v>
      </c>
    </row>
    <row r="4797" customFormat="false" ht="15" hidden="false" customHeight="false" outlineLevel="0" collapsed="false">
      <c r="A4797" s="2" t="s">
        <v>240</v>
      </c>
      <c r="B4797" s="2" t="s">
        <v>240</v>
      </c>
      <c r="C4797" s="2" t="s">
        <v>48</v>
      </c>
      <c r="D4797" s="2" t="s">
        <v>10</v>
      </c>
      <c r="E4797" s="2" t="s">
        <v>76</v>
      </c>
      <c r="F4797" s="2" t="s">
        <v>1145</v>
      </c>
      <c r="G4797" s="14" t="n">
        <v>9.5</v>
      </c>
      <c r="H4797" s="14" t="n">
        <v>7.4</v>
      </c>
      <c r="I4797" s="14" t="n">
        <v>9.5</v>
      </c>
      <c r="J4797" s="22" t="n">
        <f aca="false">IF(E4797="Priority",'Cost model'!N884,'Cost model'!M884)</f>
        <v>7.5</v>
      </c>
      <c r="K4797" s="14" t="n">
        <f aca="false">J4797-H4797</f>
        <v>0.0999999999999996</v>
      </c>
      <c r="L4797" s="14" t="n">
        <f aca="false">G4797-H4797</f>
        <v>2.1</v>
      </c>
    </row>
    <row r="4798" customFormat="false" ht="15" hidden="false" customHeight="false" outlineLevel="0" collapsed="false">
      <c r="A4798" s="2" t="s">
        <v>165</v>
      </c>
      <c r="B4798" s="2" t="s">
        <v>126</v>
      </c>
      <c r="C4798" s="2" t="s">
        <v>48</v>
      </c>
      <c r="D4798" s="2" t="s">
        <v>10</v>
      </c>
      <c r="E4798" s="2" t="s">
        <v>76</v>
      </c>
      <c r="F4798" s="2" t="s">
        <v>1146</v>
      </c>
      <c r="G4798" s="14" t="n">
        <v>14.5</v>
      </c>
      <c r="H4798" s="14" t="n">
        <v>13.11</v>
      </c>
      <c r="I4798" s="14" t="n">
        <v>14.5</v>
      </c>
      <c r="J4798" s="22" t="n">
        <f aca="false">IF(E4798="Priority",'Cost model'!N542,'Cost model'!M542)</f>
        <v>14.5</v>
      </c>
      <c r="K4798" s="14" t="n">
        <f aca="false">J4798-H4798</f>
        <v>1.39</v>
      </c>
      <c r="L4798" s="14" t="n">
        <f aca="false">G4798-H4798</f>
        <v>1.39</v>
      </c>
    </row>
    <row r="4799" customFormat="false" ht="15" hidden="false" customHeight="false" outlineLevel="0" collapsed="false">
      <c r="A4799" s="2" t="s">
        <v>146</v>
      </c>
      <c r="B4799" s="2" t="s">
        <v>165</v>
      </c>
      <c r="C4799" s="2" t="s">
        <v>48</v>
      </c>
      <c r="D4799" s="2" t="s">
        <v>10</v>
      </c>
      <c r="E4799" s="2" t="s">
        <v>76</v>
      </c>
      <c r="F4799" s="2" t="s">
        <v>1146</v>
      </c>
      <c r="G4799" s="14" t="n">
        <v>14.5</v>
      </c>
      <c r="H4799" s="14" t="n">
        <v>13.35</v>
      </c>
      <c r="I4799" s="14" t="n">
        <v>14.5</v>
      </c>
      <c r="J4799" s="22" t="n">
        <f aca="false">IF(E4799="Priority",'Cost model'!N776,'Cost model'!M776)</f>
        <v>13.5</v>
      </c>
      <c r="K4799" s="14" t="n">
        <f aca="false">J4799-H4799</f>
        <v>0.15</v>
      </c>
      <c r="L4799" s="14" t="n">
        <f aca="false">G4799-H4799</f>
        <v>1.15</v>
      </c>
    </row>
    <row r="4800" customFormat="false" ht="15" hidden="false" customHeight="false" outlineLevel="0" collapsed="false">
      <c r="A4800" s="2" t="s">
        <v>184</v>
      </c>
      <c r="B4800" s="2" t="s">
        <v>184</v>
      </c>
      <c r="C4800" s="2" t="s">
        <v>49</v>
      </c>
      <c r="D4800" s="2" t="s">
        <v>10</v>
      </c>
      <c r="E4800" s="2" t="s">
        <v>76</v>
      </c>
      <c r="F4800" s="2" t="s">
        <v>1145</v>
      </c>
      <c r="G4800" s="14" t="n">
        <v>12.5</v>
      </c>
      <c r="H4800" s="14" t="n">
        <v>8.68</v>
      </c>
      <c r="I4800" s="14"/>
      <c r="J4800" s="22" t="n">
        <f aca="false">IF(E4800="Priority",'Cost model'!N201,'Cost model'!M201)</f>
        <v>12.5</v>
      </c>
      <c r="K4800" s="14" t="n">
        <f aca="false">J4800-H4800</f>
        <v>3.82</v>
      </c>
      <c r="L4800" s="14" t="n">
        <f aca="false">G4800-H4800</f>
        <v>3.82</v>
      </c>
    </row>
    <row r="4801" customFormat="false" ht="15" hidden="false" customHeight="false" outlineLevel="0" collapsed="false">
      <c r="A4801" s="2" t="s">
        <v>240</v>
      </c>
      <c r="B4801" s="2" t="s">
        <v>165</v>
      </c>
      <c r="C4801" s="2" t="s">
        <v>48</v>
      </c>
      <c r="D4801" s="2" t="s">
        <v>10</v>
      </c>
      <c r="E4801" s="2" t="s">
        <v>76</v>
      </c>
      <c r="F4801" s="2" t="s">
        <v>1146</v>
      </c>
      <c r="G4801" s="14" t="n">
        <v>9.5</v>
      </c>
      <c r="H4801" s="14" t="n">
        <v>18.84</v>
      </c>
      <c r="I4801" s="14" t="n">
        <v>14.5</v>
      </c>
      <c r="J4801" s="22" t="n">
        <f aca="false">IF(E4801="Priority",'Cost model'!N902,'Cost model'!M902)</f>
        <v>13.5</v>
      </c>
      <c r="K4801" s="14" t="n">
        <f aca="false">J4801-H4801</f>
        <v>-5.34</v>
      </c>
      <c r="L4801" s="14" t="n">
        <f aca="false">G4801-H4801</f>
        <v>-9.34</v>
      </c>
    </row>
    <row r="4802" customFormat="false" ht="15" hidden="false" customHeight="false" outlineLevel="0" collapsed="false">
      <c r="A4802" s="2" t="s">
        <v>184</v>
      </c>
      <c r="B4802" s="2" t="s">
        <v>126</v>
      </c>
      <c r="C4802" s="2" t="s">
        <v>50</v>
      </c>
      <c r="D4802" s="2" t="s">
        <v>10</v>
      </c>
      <c r="E4802" s="2" t="s">
        <v>76</v>
      </c>
      <c r="F4802" s="2" t="s">
        <v>1146</v>
      </c>
      <c r="G4802" s="14" t="n">
        <v>17.5</v>
      </c>
      <c r="H4802" s="14" t="n">
        <v>15.99</v>
      </c>
      <c r="I4802" s="14" t="n">
        <v>17.5</v>
      </c>
      <c r="J4802" s="22" t="n">
        <f aca="false">IF(E4802="Priority",'Cost model'!N130,'Cost model'!M130)</f>
        <v>18.5</v>
      </c>
      <c r="K4802" s="14" t="n">
        <f aca="false">J4802-H4802</f>
        <v>2.51</v>
      </c>
      <c r="L4802" s="14" t="n">
        <f aca="false">G4802-H4802</f>
        <v>1.51</v>
      </c>
    </row>
    <row r="4803" customFormat="false" ht="15" hidden="false" customHeight="false" outlineLevel="0" collapsed="false">
      <c r="A4803" s="2" t="s">
        <v>146</v>
      </c>
      <c r="B4803" s="2" t="s">
        <v>146</v>
      </c>
      <c r="C4803" s="2" t="s">
        <v>48</v>
      </c>
      <c r="D4803" s="2" t="s">
        <v>12</v>
      </c>
      <c r="E4803" s="2" t="s">
        <v>76</v>
      </c>
      <c r="F4803" s="2" t="s">
        <v>1145</v>
      </c>
      <c r="G4803" s="14" t="n">
        <v>9.5</v>
      </c>
      <c r="H4803" s="14" t="n">
        <v>43.77</v>
      </c>
      <c r="I4803" s="14" t="n">
        <v>9.5</v>
      </c>
      <c r="J4803" s="22" t="n">
        <f aca="false">IF(E4803="Priority",'Cost model'!N761,'Cost model'!M761)</f>
        <v>35</v>
      </c>
      <c r="K4803" s="14" t="n">
        <f aca="false">J4803-H4803</f>
        <v>-8.77</v>
      </c>
      <c r="L4803" s="14" t="n">
        <f aca="false">G4803-H4803</f>
        <v>-34.27</v>
      </c>
    </row>
    <row r="4804" customFormat="false" ht="15" hidden="false" customHeight="false" outlineLevel="0" collapsed="false">
      <c r="A4804" s="2" t="s">
        <v>126</v>
      </c>
      <c r="B4804" s="2" t="s">
        <v>126</v>
      </c>
      <c r="C4804" s="2" t="s">
        <v>49</v>
      </c>
      <c r="D4804" s="2" t="s">
        <v>12</v>
      </c>
      <c r="E4804" s="2" t="s">
        <v>76</v>
      </c>
      <c r="F4804" s="2" t="s">
        <v>1145</v>
      </c>
      <c r="G4804" s="14" t="n">
        <v>12.5</v>
      </c>
      <c r="H4804" s="14" t="n">
        <v>43.77</v>
      </c>
      <c r="I4804" s="14" t="n">
        <v>12.5</v>
      </c>
      <c r="J4804" s="22" t="n">
        <f aca="false">IF(E4804="Priority",'Cost model'!N384,'Cost model'!M384)</f>
        <v>45</v>
      </c>
      <c r="K4804" s="14" t="n">
        <f aca="false">J4804-H4804</f>
        <v>1.23</v>
      </c>
      <c r="L4804" s="14" t="n">
        <f aca="false">G4804-H4804</f>
        <v>-31.27</v>
      </c>
    </row>
    <row r="4805" customFormat="false" ht="15" hidden="false" customHeight="false" outlineLevel="0" collapsed="false">
      <c r="A4805" s="2" t="s">
        <v>165</v>
      </c>
      <c r="B4805" s="2" t="s">
        <v>146</v>
      </c>
      <c r="C4805" s="2" t="s">
        <v>50</v>
      </c>
      <c r="D4805" s="2" t="s">
        <v>10</v>
      </c>
      <c r="E4805" s="2" t="s">
        <v>76</v>
      </c>
      <c r="F4805" s="2" t="s">
        <v>1146</v>
      </c>
      <c r="G4805" s="14" t="n">
        <v>17.5</v>
      </c>
      <c r="H4805" s="14" t="n">
        <v>20.55</v>
      </c>
      <c r="I4805" s="14" t="n">
        <v>17.5</v>
      </c>
      <c r="J4805" s="22" t="n">
        <f aca="false">IF(E4805="Priority",'Cost model'!N526,'Cost model'!M526)</f>
        <v>20.5</v>
      </c>
      <c r="K4805" s="14" t="n">
        <f aca="false">J4805-H4805</f>
        <v>-0.0500000000000007</v>
      </c>
      <c r="L4805" s="14" t="n">
        <f aca="false">G4805-H4805</f>
        <v>-3.05</v>
      </c>
    </row>
    <row r="4806" customFormat="false" ht="15" hidden="false" customHeight="false" outlineLevel="0" collapsed="false">
      <c r="A4806" s="2" t="s">
        <v>184</v>
      </c>
      <c r="B4806" s="2" t="s">
        <v>184</v>
      </c>
      <c r="C4806" s="2" t="s">
        <v>48</v>
      </c>
      <c r="D4806" s="2" t="s">
        <v>13</v>
      </c>
      <c r="E4806" s="2" t="s">
        <v>76</v>
      </c>
      <c r="F4806" s="2" t="s">
        <v>1145</v>
      </c>
      <c r="G4806" s="14" t="n">
        <v>19</v>
      </c>
      <c r="H4806" s="14" t="n">
        <v>42.65</v>
      </c>
      <c r="I4806" s="14" t="n">
        <v>19</v>
      </c>
      <c r="J4806" s="22" t="n">
        <f aca="false">IF(E4806="Priority",'Cost model'!N206,'Cost model'!M206)</f>
        <v>55</v>
      </c>
      <c r="K4806" s="14" t="n">
        <f aca="false">J4806-H4806</f>
        <v>12.35</v>
      </c>
      <c r="L4806" s="14" t="n">
        <f aca="false">G4806-H4806</f>
        <v>-23.65</v>
      </c>
    </row>
    <row r="4807" customFormat="false" ht="15" hidden="false" customHeight="false" outlineLevel="0" collapsed="false">
      <c r="A4807" s="2" t="s">
        <v>240</v>
      </c>
      <c r="B4807" s="2" t="s">
        <v>165</v>
      </c>
      <c r="C4807" s="2" t="s">
        <v>48</v>
      </c>
      <c r="D4807" s="2" t="s">
        <v>10</v>
      </c>
      <c r="E4807" s="2" t="s">
        <v>76</v>
      </c>
      <c r="F4807" s="2" t="s">
        <v>1146</v>
      </c>
      <c r="G4807" s="14" t="n">
        <v>9.5</v>
      </c>
      <c r="H4807" s="14" t="n">
        <v>8.58</v>
      </c>
      <c r="I4807" s="14" t="n">
        <v>14.5</v>
      </c>
      <c r="J4807" s="22" t="n">
        <f aca="false">IF(E4807="Priority",'Cost model'!N902,'Cost model'!M902)</f>
        <v>13.5</v>
      </c>
      <c r="K4807" s="14" t="n">
        <f aca="false">J4807-H4807</f>
        <v>4.92</v>
      </c>
      <c r="L4807" s="14" t="n">
        <f aca="false">G4807-H4807</f>
        <v>0.92</v>
      </c>
    </row>
    <row r="4808" customFormat="false" ht="15" hidden="false" customHeight="false" outlineLevel="0" collapsed="false">
      <c r="A4808" s="2" t="s">
        <v>184</v>
      </c>
      <c r="B4808" s="2" t="s">
        <v>184</v>
      </c>
      <c r="C4808" s="2" t="s">
        <v>50</v>
      </c>
      <c r="D4808" s="2" t="s">
        <v>10</v>
      </c>
      <c r="E4808" s="2" t="s">
        <v>76</v>
      </c>
      <c r="F4808" s="2" t="s">
        <v>1145</v>
      </c>
      <c r="G4808" s="14" t="n">
        <v>17.5</v>
      </c>
      <c r="H4808" s="14" t="n">
        <v>24.72</v>
      </c>
      <c r="I4808" s="14" t="n">
        <v>17.5</v>
      </c>
      <c r="J4808" s="22" t="n">
        <f aca="false">IF(E4808="Priority",'Cost model'!N202,'Cost model'!M202)</f>
        <v>17.5</v>
      </c>
      <c r="K4808" s="14" t="n">
        <f aca="false">J4808-H4808</f>
        <v>-7.22</v>
      </c>
      <c r="L4808" s="14" t="n">
        <f aca="false">G4808-H4808</f>
        <v>-7.22</v>
      </c>
    </row>
    <row r="4809" customFormat="false" ht="15" hidden="false" customHeight="false" outlineLevel="0" collapsed="false">
      <c r="A4809" s="2" t="s">
        <v>146</v>
      </c>
      <c r="B4809" s="2" t="s">
        <v>146</v>
      </c>
      <c r="C4809" s="2" t="s">
        <v>48</v>
      </c>
      <c r="D4809" s="2" t="s">
        <v>13</v>
      </c>
      <c r="E4809" s="2" t="s">
        <v>76</v>
      </c>
      <c r="F4809" s="2" t="s">
        <v>1145</v>
      </c>
      <c r="G4809" s="14" t="n">
        <v>19</v>
      </c>
      <c r="H4809" s="14" t="n">
        <v>30.46</v>
      </c>
      <c r="I4809" s="14" t="n">
        <v>19</v>
      </c>
      <c r="J4809" s="22" t="n">
        <f aca="false">IF(E4809="Priority",'Cost model'!N764,'Cost model'!M764)</f>
        <v>55</v>
      </c>
      <c r="K4809" s="14" t="n">
        <f aca="false">J4809-H4809</f>
        <v>24.54</v>
      </c>
      <c r="L4809" s="14" t="n">
        <f aca="false">G4809-H4809</f>
        <v>-11.46</v>
      </c>
    </row>
    <row r="4810" customFormat="false" ht="15" hidden="false" customHeight="false" outlineLevel="0" collapsed="false">
      <c r="A4810" s="2" t="s">
        <v>385</v>
      </c>
      <c r="B4810" s="2" t="s">
        <v>165</v>
      </c>
      <c r="C4810" s="2" t="s">
        <v>48</v>
      </c>
      <c r="D4810" s="2" t="s">
        <v>10</v>
      </c>
      <c r="E4810" s="2" t="s">
        <v>76</v>
      </c>
      <c r="F4810" s="2" t="s">
        <v>1146</v>
      </c>
      <c r="G4810" s="14" t="n">
        <v>19.5</v>
      </c>
      <c r="H4810" s="14" t="n">
        <v>17.26</v>
      </c>
      <c r="I4810" s="14" t="n">
        <v>19.5</v>
      </c>
      <c r="J4810" s="22" t="n">
        <f aca="false">IF(E4810="Priority",'Cost model'!N254,'Cost model'!M254)</f>
        <v>20.5</v>
      </c>
      <c r="K4810" s="14" t="n">
        <f aca="false">J4810-H4810</f>
        <v>3.24</v>
      </c>
      <c r="L4810" s="14" t="n">
        <f aca="false">G4810-H4810</f>
        <v>2.24</v>
      </c>
    </row>
    <row r="4811" customFormat="false" ht="15" hidden="false" customHeight="false" outlineLevel="0" collapsed="false">
      <c r="A4811" s="2" t="s">
        <v>126</v>
      </c>
      <c r="B4811" s="2" t="s">
        <v>126</v>
      </c>
      <c r="C4811" s="2" t="s">
        <v>48</v>
      </c>
      <c r="D4811" s="2" t="s">
        <v>10</v>
      </c>
      <c r="E4811" s="2" t="s">
        <v>76</v>
      </c>
      <c r="F4811" s="2" t="s">
        <v>1145</v>
      </c>
      <c r="G4811" s="14" t="n">
        <v>9.5</v>
      </c>
      <c r="H4811" s="14" t="n">
        <v>8.04</v>
      </c>
      <c r="I4811" s="14" t="n">
        <v>9.5</v>
      </c>
      <c r="J4811" s="22" t="n">
        <f aca="false">IF(E4811="Priority",'Cost model'!N380,'Cost model'!M380)</f>
        <v>8.5</v>
      </c>
      <c r="K4811" s="14" t="n">
        <f aca="false">J4811-H4811</f>
        <v>0.460000000000001</v>
      </c>
      <c r="L4811" s="14" t="n">
        <f aca="false">G4811-H4811</f>
        <v>1.46</v>
      </c>
    </row>
    <row r="4812" customFormat="false" ht="15" hidden="false" customHeight="false" outlineLevel="0" collapsed="false">
      <c r="A4812" s="2" t="s">
        <v>165</v>
      </c>
      <c r="B4812" s="2" t="s">
        <v>165</v>
      </c>
      <c r="C4812" s="2" t="s">
        <v>48</v>
      </c>
      <c r="D4812" s="2" t="s">
        <v>12</v>
      </c>
      <c r="E4812" s="2" t="s">
        <v>76</v>
      </c>
      <c r="F4812" s="2" t="s">
        <v>1145</v>
      </c>
      <c r="G4812" s="14" t="n">
        <v>9.5</v>
      </c>
      <c r="H4812" s="14" t="n">
        <v>20.99</v>
      </c>
      <c r="I4812" s="14" t="n">
        <v>9.5</v>
      </c>
      <c r="J4812" s="22" t="n">
        <f aca="false">IF(E4812="Priority",'Cost model'!N509,'Cost model'!M509)</f>
        <v>17.5</v>
      </c>
      <c r="K4812" s="14" t="n">
        <f aca="false">J4812-H4812</f>
        <v>-3.49</v>
      </c>
      <c r="L4812" s="14" t="n">
        <f aca="false">G4812-H4812</f>
        <v>-11.49</v>
      </c>
    </row>
    <row r="4813" customFormat="false" ht="15" hidden="false" customHeight="false" outlineLevel="0" collapsed="false">
      <c r="A4813" s="2" t="s">
        <v>146</v>
      </c>
      <c r="B4813" s="2" t="s">
        <v>146</v>
      </c>
      <c r="C4813" s="2" t="s">
        <v>49</v>
      </c>
      <c r="D4813" s="2" t="s">
        <v>14</v>
      </c>
      <c r="E4813" s="2" t="s">
        <v>76</v>
      </c>
      <c r="F4813" s="2" t="s">
        <v>1145</v>
      </c>
      <c r="G4813" s="14" t="n">
        <v>45</v>
      </c>
      <c r="H4813" s="14" t="n">
        <v>84.03</v>
      </c>
      <c r="I4813" s="14" t="n">
        <v>45</v>
      </c>
      <c r="J4813" s="22" t="n">
        <f aca="false">IF(E4813="Priority",'Cost model'!N768,'Cost model'!M768)</f>
        <v>145</v>
      </c>
      <c r="K4813" s="14" t="n">
        <f aca="false">J4813-H4813</f>
        <v>60.97</v>
      </c>
      <c r="L4813" s="14" t="n">
        <f aca="false">G4813-H4813</f>
        <v>-39.03</v>
      </c>
    </row>
    <row r="4814" customFormat="false" ht="15" hidden="false" customHeight="false" outlineLevel="0" collapsed="false">
      <c r="A4814" s="2" t="s">
        <v>184</v>
      </c>
      <c r="B4814" s="2" t="s">
        <v>146</v>
      </c>
      <c r="C4814" s="2" t="s">
        <v>49</v>
      </c>
      <c r="D4814" s="2" t="s">
        <v>10</v>
      </c>
      <c r="E4814" s="2" t="s">
        <v>76</v>
      </c>
      <c r="F4814" s="2" t="s">
        <v>1146</v>
      </c>
      <c r="G4814" s="14" t="n">
        <v>12.5</v>
      </c>
      <c r="H4814" s="14" t="n">
        <v>20.11</v>
      </c>
      <c r="I4814" s="14"/>
      <c r="J4814" s="22" t="n">
        <f aca="false">IF(E4814="Priority",'Cost model'!N147,'Cost model'!M147)</f>
        <v>14.5</v>
      </c>
      <c r="K4814" s="14" t="n">
        <f aca="false">J4814-H4814</f>
        <v>-5.61</v>
      </c>
      <c r="L4814" s="14" t="n">
        <f aca="false">G4814-H4814</f>
        <v>-7.61</v>
      </c>
    </row>
    <row r="4815" customFormat="false" ht="15" hidden="false" customHeight="false" outlineLevel="0" collapsed="false">
      <c r="A4815" s="2" t="s">
        <v>126</v>
      </c>
      <c r="B4815" s="2" t="s">
        <v>126</v>
      </c>
      <c r="C4815" s="2" t="s">
        <v>50</v>
      </c>
      <c r="D4815" s="2" t="s">
        <v>10</v>
      </c>
      <c r="E4815" s="2" t="s">
        <v>76</v>
      </c>
      <c r="F4815" s="2" t="s">
        <v>1145</v>
      </c>
      <c r="G4815" s="14" t="n">
        <v>17.5</v>
      </c>
      <c r="H4815" s="14" t="n">
        <v>20.83</v>
      </c>
      <c r="I4815" s="14" t="n">
        <v>17.5</v>
      </c>
      <c r="J4815" s="22" t="n">
        <f aca="false">IF(E4815="Priority",'Cost model'!N382,'Cost model'!M382)</f>
        <v>18.5</v>
      </c>
      <c r="K4815" s="14" t="n">
        <f aca="false">J4815-H4815</f>
        <v>-2.33</v>
      </c>
      <c r="L4815" s="14" t="n">
        <f aca="false">G4815-H4815</f>
        <v>-3.33</v>
      </c>
    </row>
    <row r="4816" customFormat="false" ht="15" hidden="false" customHeight="false" outlineLevel="0" collapsed="false">
      <c r="A4816" s="2" t="s">
        <v>146</v>
      </c>
      <c r="B4816" s="2" t="s">
        <v>165</v>
      </c>
      <c r="C4816" s="2" t="s">
        <v>50</v>
      </c>
      <c r="D4816" s="2" t="s">
        <v>12</v>
      </c>
      <c r="E4816" s="2" t="s">
        <v>76</v>
      </c>
      <c r="F4816" s="2" t="s">
        <v>1146</v>
      </c>
      <c r="G4816" s="14" t="n">
        <v>19.5</v>
      </c>
      <c r="H4816" s="14" t="n">
        <v>41.18</v>
      </c>
      <c r="I4816" s="14" t="n">
        <v>19.5</v>
      </c>
      <c r="J4816" s="22" t="n">
        <f aca="false">IF(E4816="Priority",'Cost model'!N781,'Cost model'!M781)</f>
        <v>60</v>
      </c>
      <c r="K4816" s="14" t="n">
        <f aca="false">J4816-H4816</f>
        <v>18.82</v>
      </c>
      <c r="L4816" s="14" t="n">
        <f aca="false">G4816-H4816</f>
        <v>-21.68</v>
      </c>
    </row>
    <row r="4817" customFormat="false" ht="15" hidden="false" customHeight="false" outlineLevel="0" collapsed="false">
      <c r="A4817" s="2" t="s">
        <v>165</v>
      </c>
      <c r="B4817" s="2" t="s">
        <v>165</v>
      </c>
      <c r="C4817" s="2" t="s">
        <v>50</v>
      </c>
      <c r="D4817" s="2" t="s">
        <v>12</v>
      </c>
      <c r="E4817" s="2" t="s">
        <v>76</v>
      </c>
      <c r="F4817" s="2" t="s">
        <v>1145</v>
      </c>
      <c r="G4817" s="14" t="n">
        <v>19.5</v>
      </c>
      <c r="H4817" s="14" t="n">
        <v>29.45</v>
      </c>
      <c r="I4817" s="14" t="n">
        <v>19.5</v>
      </c>
      <c r="J4817" s="22" t="n">
        <f aca="false">IF(E4817="Priority",'Cost model'!N511,'Cost model'!M511)</f>
        <v>35</v>
      </c>
      <c r="K4817" s="14" t="n">
        <f aca="false">J4817-H4817</f>
        <v>5.55</v>
      </c>
      <c r="L4817" s="14" t="n">
        <f aca="false">G4817-H4817</f>
        <v>-9.95</v>
      </c>
    </row>
    <row r="4818" customFormat="false" ht="15" hidden="false" customHeight="false" outlineLevel="0" collapsed="false">
      <c r="A4818" s="2" t="s">
        <v>184</v>
      </c>
      <c r="B4818" s="2" t="s">
        <v>184</v>
      </c>
      <c r="C4818" s="2" t="s">
        <v>48</v>
      </c>
      <c r="D4818" s="2" t="s">
        <v>14</v>
      </c>
      <c r="E4818" s="2" t="s">
        <v>76</v>
      </c>
      <c r="F4818" s="2" t="s">
        <v>1145</v>
      </c>
      <c r="G4818" s="14" t="n">
        <v>25</v>
      </c>
      <c r="H4818" s="14" t="n">
        <v>31.36</v>
      </c>
      <c r="I4818" s="14" t="n">
        <v>25</v>
      </c>
      <c r="J4818" s="22" t="n">
        <f aca="false">IF(E4818="Priority",'Cost model'!N209,'Cost model'!M209)</f>
        <v>105</v>
      </c>
      <c r="K4818" s="14" t="n">
        <f aca="false">J4818-H4818</f>
        <v>73.64</v>
      </c>
      <c r="L4818" s="14" t="n">
        <f aca="false">G4818-H4818</f>
        <v>-6.36</v>
      </c>
    </row>
    <row r="4819" customFormat="false" ht="15" hidden="false" customHeight="false" outlineLevel="0" collapsed="false">
      <c r="A4819" s="2" t="s">
        <v>146</v>
      </c>
      <c r="B4819" s="2" t="s">
        <v>146</v>
      </c>
      <c r="C4819" s="2" t="s">
        <v>50</v>
      </c>
      <c r="D4819" s="2" t="s">
        <v>10</v>
      </c>
      <c r="E4819" s="2" t="s">
        <v>76</v>
      </c>
      <c r="F4819" s="2" t="s">
        <v>1145</v>
      </c>
      <c r="G4819" s="14" t="n">
        <v>17.5</v>
      </c>
      <c r="H4819" s="14" t="n">
        <v>21.14</v>
      </c>
      <c r="I4819" s="14" t="n">
        <v>17.5</v>
      </c>
      <c r="J4819" s="22" t="n">
        <f aca="false">IF(E4819="Priority",'Cost model'!N760,'Cost model'!M760)</f>
        <v>18.5</v>
      </c>
      <c r="K4819" s="14" t="n">
        <f aca="false">J4819-H4819</f>
        <v>-2.64</v>
      </c>
      <c r="L4819" s="14" t="n">
        <f aca="false">G4819-H4819</f>
        <v>-3.64</v>
      </c>
    </row>
    <row r="4820" customFormat="false" ht="15" hidden="false" customHeight="false" outlineLevel="0" collapsed="false">
      <c r="A4820" s="2" t="s">
        <v>146</v>
      </c>
      <c r="B4820" s="2" t="s">
        <v>146</v>
      </c>
      <c r="C4820" s="2" t="s">
        <v>48</v>
      </c>
      <c r="D4820" s="2" t="s">
        <v>12</v>
      </c>
      <c r="E4820" s="2" t="s">
        <v>85</v>
      </c>
      <c r="F4820" s="2" t="s">
        <v>1145</v>
      </c>
      <c r="G4820" s="14" t="n">
        <v>19.5</v>
      </c>
      <c r="H4820" s="14" t="n">
        <v>43.77</v>
      </c>
      <c r="I4820" s="14" t="n">
        <v>19.5</v>
      </c>
      <c r="J4820" s="22" t="n">
        <f aca="false">IF(E4820="Priority",'Cost model'!N761,'Cost model'!M761)</f>
        <v>45</v>
      </c>
      <c r="K4820" s="14" t="n">
        <f aca="false">J4820-H4820</f>
        <v>1.23</v>
      </c>
      <c r="L4820" s="14" t="n">
        <f aca="false">G4820-H4820</f>
        <v>-24.27</v>
      </c>
    </row>
    <row r="4821" customFormat="false" ht="15" hidden="false" customHeight="false" outlineLevel="0" collapsed="false">
      <c r="A4821" s="2" t="s">
        <v>184</v>
      </c>
      <c r="B4821" s="2" t="s">
        <v>184</v>
      </c>
      <c r="C4821" s="2" t="s">
        <v>48</v>
      </c>
      <c r="D4821" s="2" t="s">
        <v>10</v>
      </c>
      <c r="E4821" s="2" t="s">
        <v>85</v>
      </c>
      <c r="F4821" s="2" t="s">
        <v>1145</v>
      </c>
      <c r="G4821" s="14" t="n">
        <v>14.5</v>
      </c>
      <c r="H4821" s="14" t="n">
        <v>7.46</v>
      </c>
      <c r="I4821" s="14" t="n">
        <v>14.5</v>
      </c>
      <c r="J4821" s="22" t="n">
        <f aca="false">IF(E4821="Priority",'Cost model'!N200,'Cost model'!M200)</f>
        <v>12.5</v>
      </c>
      <c r="K4821" s="14" t="n">
        <f aca="false">J4821-H4821</f>
        <v>5.04</v>
      </c>
      <c r="L4821" s="14" t="n">
        <f aca="false">G4821-H4821</f>
        <v>7.04</v>
      </c>
    </row>
    <row r="4822" customFormat="false" ht="15" hidden="false" customHeight="false" outlineLevel="0" collapsed="false">
      <c r="A4822" s="2" t="s">
        <v>126</v>
      </c>
      <c r="B4822" s="2" t="s">
        <v>184</v>
      </c>
      <c r="C4822" s="2" t="s">
        <v>48</v>
      </c>
      <c r="D4822" s="2" t="s">
        <v>10</v>
      </c>
      <c r="E4822" s="2" t="s">
        <v>76</v>
      </c>
      <c r="F4822" s="2" t="s">
        <v>1146</v>
      </c>
      <c r="G4822" s="14" t="n">
        <v>9.5</v>
      </c>
      <c r="H4822" s="14" t="n">
        <v>6.14</v>
      </c>
      <c r="I4822" s="14" t="n">
        <v>14.5</v>
      </c>
      <c r="J4822" s="22" t="n">
        <f aca="false">IF(E4822="Priority",'Cost model'!N434,'Cost model'!M434)</f>
        <v>13.5</v>
      </c>
      <c r="K4822" s="14" t="n">
        <f aca="false">J4822-H4822</f>
        <v>7.36</v>
      </c>
      <c r="L4822" s="14" t="n">
        <f aca="false">G4822-H4822</f>
        <v>3.36</v>
      </c>
    </row>
    <row r="4823" customFormat="false" ht="15" hidden="false" customHeight="false" outlineLevel="0" collapsed="false">
      <c r="A4823" s="2" t="s">
        <v>126</v>
      </c>
      <c r="B4823" s="2" t="s">
        <v>126</v>
      </c>
      <c r="C4823" s="2" t="s">
        <v>49</v>
      </c>
      <c r="D4823" s="2" t="s">
        <v>10</v>
      </c>
      <c r="E4823" s="2" t="s">
        <v>76</v>
      </c>
      <c r="F4823" s="2" t="s">
        <v>1145</v>
      </c>
      <c r="G4823" s="14" t="n">
        <v>12.5</v>
      </c>
      <c r="H4823" s="14" t="n">
        <v>10.51</v>
      </c>
      <c r="I4823" s="14" t="n">
        <v>12.5</v>
      </c>
      <c r="J4823" s="22" t="n">
        <f aca="false">IF(E4823="Priority",'Cost model'!N381,'Cost model'!M381)</f>
        <v>14.5</v>
      </c>
      <c r="K4823" s="14" t="n">
        <f aca="false">J4823-H4823</f>
        <v>3.99</v>
      </c>
      <c r="L4823" s="14" t="n">
        <f aca="false">G4823-H4823</f>
        <v>1.99</v>
      </c>
    </row>
    <row r="4824" customFormat="false" ht="15" hidden="false" customHeight="false" outlineLevel="0" collapsed="false">
      <c r="A4824" s="2" t="s">
        <v>146</v>
      </c>
      <c r="B4824" s="2" t="s">
        <v>146</v>
      </c>
      <c r="C4824" s="2" t="s">
        <v>48</v>
      </c>
      <c r="D4824" s="2" t="s">
        <v>12</v>
      </c>
      <c r="E4824" s="2" t="s">
        <v>76</v>
      </c>
      <c r="F4824" s="2" t="s">
        <v>1145</v>
      </c>
      <c r="G4824" s="14" t="n">
        <v>9.5</v>
      </c>
      <c r="H4824" s="14" t="n">
        <v>69.97</v>
      </c>
      <c r="I4824" s="14" t="n">
        <v>9.5</v>
      </c>
      <c r="J4824" s="22" t="n">
        <f aca="false">IF(E4824="Priority",'Cost model'!N761,'Cost model'!M761)</f>
        <v>35</v>
      </c>
      <c r="K4824" s="14" t="n">
        <f aca="false">J4824-H4824</f>
        <v>-34.97</v>
      </c>
      <c r="L4824" s="14" t="n">
        <f aca="false">G4824-H4824</f>
        <v>-60.47</v>
      </c>
    </row>
    <row r="4825" customFormat="false" ht="15" hidden="false" customHeight="false" outlineLevel="0" collapsed="false">
      <c r="A4825" s="2" t="s">
        <v>165</v>
      </c>
      <c r="B4825" s="2" t="s">
        <v>165</v>
      </c>
      <c r="C4825" s="2" t="s">
        <v>48</v>
      </c>
      <c r="D4825" s="2" t="s">
        <v>10</v>
      </c>
      <c r="E4825" s="2" t="s">
        <v>76</v>
      </c>
      <c r="F4825" s="2" t="s">
        <v>1145</v>
      </c>
      <c r="G4825" s="14" t="n">
        <v>9.5</v>
      </c>
      <c r="H4825" s="14" t="n">
        <v>5.97</v>
      </c>
      <c r="I4825" s="14" t="n">
        <v>9.5</v>
      </c>
      <c r="J4825" s="22" t="n">
        <f aca="false">IF(E4825="Priority",'Cost model'!N506,'Cost model'!M506)</f>
        <v>7.5</v>
      </c>
      <c r="K4825" s="14" t="n">
        <f aca="false">J4825-H4825</f>
        <v>1.53</v>
      </c>
      <c r="L4825" s="14" t="n">
        <f aca="false">G4825-H4825</f>
        <v>3.53</v>
      </c>
    </row>
    <row r="4826" customFormat="false" ht="15" hidden="false" customHeight="false" outlineLevel="0" collapsed="false">
      <c r="A4826" s="2" t="s">
        <v>240</v>
      </c>
      <c r="B4826" s="2" t="s">
        <v>165</v>
      </c>
      <c r="C4826" s="2" t="s">
        <v>48</v>
      </c>
      <c r="D4826" s="2" t="s">
        <v>12</v>
      </c>
      <c r="E4826" s="2" t="s">
        <v>76</v>
      </c>
      <c r="F4826" s="2" t="s">
        <v>1146</v>
      </c>
      <c r="G4826" s="14" t="n">
        <v>19.5</v>
      </c>
      <c r="H4826" s="14" t="n">
        <v>56.64</v>
      </c>
      <c r="I4826" s="14" t="n">
        <v>19.5</v>
      </c>
      <c r="J4826" s="22" t="n">
        <f aca="false">IF(E4826="Priority",'Cost model'!N905,'Cost model'!M905)</f>
        <v>50</v>
      </c>
      <c r="K4826" s="14" t="n">
        <f aca="false">J4826-H4826</f>
        <v>-6.64</v>
      </c>
      <c r="L4826" s="14" t="n">
        <f aca="false">G4826-H4826</f>
        <v>-37.14</v>
      </c>
    </row>
    <row r="4827" customFormat="false" ht="15" hidden="false" customHeight="false" outlineLevel="0" collapsed="false">
      <c r="A4827" s="2" t="s">
        <v>126</v>
      </c>
      <c r="B4827" s="2" t="s">
        <v>126</v>
      </c>
      <c r="C4827" s="2" t="s">
        <v>48</v>
      </c>
      <c r="D4827" s="2" t="s">
        <v>10</v>
      </c>
      <c r="E4827" s="2" t="s">
        <v>76</v>
      </c>
      <c r="F4827" s="2" t="s">
        <v>1145</v>
      </c>
      <c r="G4827" s="14" t="n">
        <v>9.5</v>
      </c>
      <c r="H4827" s="14" t="n">
        <v>7.45</v>
      </c>
      <c r="I4827" s="14" t="n">
        <v>9.5</v>
      </c>
      <c r="J4827" s="22" t="n">
        <f aca="false">IF(E4827="Priority",'Cost model'!N380,'Cost model'!M380)</f>
        <v>8.5</v>
      </c>
      <c r="K4827" s="14" t="n">
        <f aca="false">J4827-H4827</f>
        <v>1.05</v>
      </c>
      <c r="L4827" s="14" t="n">
        <f aca="false">G4827-H4827</f>
        <v>2.05</v>
      </c>
    </row>
    <row r="4828" customFormat="false" ht="15" hidden="false" customHeight="false" outlineLevel="0" collapsed="false">
      <c r="A4828" s="2" t="s">
        <v>184</v>
      </c>
      <c r="B4828" s="2" t="s">
        <v>126</v>
      </c>
      <c r="C4828" s="2" t="s">
        <v>48</v>
      </c>
      <c r="D4828" s="2" t="s">
        <v>10</v>
      </c>
      <c r="E4828" s="2" t="s">
        <v>76</v>
      </c>
      <c r="F4828" s="2" t="s">
        <v>1146</v>
      </c>
      <c r="G4828" s="14" t="n">
        <v>9.5</v>
      </c>
      <c r="H4828" s="14" t="n">
        <v>9.78</v>
      </c>
      <c r="I4828" s="14" t="n">
        <v>9.5</v>
      </c>
      <c r="J4828" s="22" t="n">
        <f aca="false">IF(E4828="Priority",'Cost model'!N128,'Cost model'!M128)</f>
        <v>10.5</v>
      </c>
      <c r="K4828" s="14" t="n">
        <f aca="false">J4828-H4828</f>
        <v>0.720000000000001</v>
      </c>
      <c r="L4828" s="14" t="n">
        <f aca="false">G4828-H4828</f>
        <v>-0.279999999999999</v>
      </c>
    </row>
    <row r="4829" customFormat="false" ht="15" hidden="false" customHeight="false" outlineLevel="0" collapsed="false">
      <c r="A4829" s="2" t="s">
        <v>184</v>
      </c>
      <c r="B4829" s="2" t="s">
        <v>184</v>
      </c>
      <c r="C4829" s="2" t="s">
        <v>49</v>
      </c>
      <c r="D4829" s="2" t="s">
        <v>12</v>
      </c>
      <c r="E4829" s="2" t="s">
        <v>76</v>
      </c>
      <c r="F4829" s="2" t="s">
        <v>1145</v>
      </c>
      <c r="G4829" s="14" t="n">
        <v>24.5</v>
      </c>
      <c r="H4829" s="14" t="n">
        <v>15.65</v>
      </c>
      <c r="I4829" s="14" t="n">
        <v>12.5</v>
      </c>
      <c r="J4829" s="22" t="n">
        <f aca="false">IF(E4829="Priority",'Cost model'!N204,'Cost model'!M204)</f>
        <v>45</v>
      </c>
      <c r="K4829" s="14" t="n">
        <f aca="false">J4829-H4829</f>
        <v>29.35</v>
      </c>
      <c r="L4829" s="14" t="n">
        <f aca="false">G4829-H4829</f>
        <v>8.85</v>
      </c>
    </row>
    <row r="4830" customFormat="false" ht="15" hidden="false" customHeight="false" outlineLevel="0" collapsed="false">
      <c r="A4830" s="2" t="s">
        <v>126</v>
      </c>
      <c r="B4830" s="2" t="s">
        <v>126</v>
      </c>
      <c r="C4830" s="2" t="s">
        <v>50</v>
      </c>
      <c r="D4830" s="2" t="s">
        <v>12</v>
      </c>
      <c r="E4830" s="2" t="s">
        <v>76</v>
      </c>
      <c r="F4830" s="2" t="s">
        <v>1145</v>
      </c>
      <c r="G4830" s="14" t="n">
        <v>19.5</v>
      </c>
      <c r="H4830" s="14" t="n">
        <v>42.23</v>
      </c>
      <c r="I4830" s="14" t="n">
        <v>19.5</v>
      </c>
      <c r="J4830" s="22" t="n">
        <f aca="false">IF(E4830="Priority",'Cost model'!N385,'Cost model'!M385)</f>
        <v>55</v>
      </c>
      <c r="K4830" s="14" t="n">
        <f aca="false">J4830-H4830</f>
        <v>12.77</v>
      </c>
      <c r="L4830" s="14" t="n">
        <f aca="false">G4830-H4830</f>
        <v>-22.73</v>
      </c>
    </row>
    <row r="4831" customFormat="false" ht="15" hidden="false" customHeight="false" outlineLevel="0" collapsed="false">
      <c r="A4831" s="2" t="s">
        <v>184</v>
      </c>
      <c r="B4831" s="2" t="s">
        <v>184</v>
      </c>
      <c r="C4831" s="2" t="s">
        <v>49</v>
      </c>
      <c r="D4831" s="2" t="s">
        <v>10</v>
      </c>
      <c r="E4831" s="2" t="s">
        <v>76</v>
      </c>
      <c r="F4831" s="2" t="s">
        <v>1145</v>
      </c>
      <c r="G4831" s="14" t="n">
        <v>12.5</v>
      </c>
      <c r="H4831" s="14" t="n">
        <v>7.02</v>
      </c>
      <c r="I4831" s="14"/>
      <c r="J4831" s="22" t="n">
        <f aca="false">IF(E4831="Priority",'Cost model'!N201,'Cost model'!M201)</f>
        <v>12.5</v>
      </c>
      <c r="K4831" s="14" t="n">
        <f aca="false">J4831-H4831</f>
        <v>5.48</v>
      </c>
      <c r="L4831" s="14" t="n">
        <f aca="false">G4831-H4831</f>
        <v>5.48</v>
      </c>
    </row>
    <row r="4832" customFormat="false" ht="15" hidden="false" customHeight="false" outlineLevel="0" collapsed="false">
      <c r="A4832" s="2" t="s">
        <v>146</v>
      </c>
      <c r="B4832" s="2" t="s">
        <v>146</v>
      </c>
      <c r="C4832" s="2" t="s">
        <v>48</v>
      </c>
      <c r="D4832" s="2" t="s">
        <v>12</v>
      </c>
      <c r="E4832" s="2" t="s">
        <v>76</v>
      </c>
      <c r="F4832" s="2" t="s">
        <v>1145</v>
      </c>
      <c r="G4832" s="14" t="n">
        <v>9.5</v>
      </c>
      <c r="H4832" s="14" t="n">
        <v>42.61</v>
      </c>
      <c r="I4832" s="14" t="n">
        <v>9.5</v>
      </c>
      <c r="J4832" s="22" t="n">
        <f aca="false">IF(E4832="Priority",'Cost model'!N761,'Cost model'!M761)</f>
        <v>35</v>
      </c>
      <c r="K4832" s="14" t="n">
        <f aca="false">J4832-H4832</f>
        <v>-7.61</v>
      </c>
      <c r="L4832" s="14" t="n">
        <f aca="false">G4832-H4832</f>
        <v>-33.11</v>
      </c>
    </row>
    <row r="4833" customFormat="false" ht="15" hidden="false" customHeight="false" outlineLevel="0" collapsed="false">
      <c r="A4833" s="2" t="s">
        <v>184</v>
      </c>
      <c r="B4833" s="2" t="s">
        <v>221</v>
      </c>
      <c r="C4833" s="2" t="s">
        <v>48</v>
      </c>
      <c r="D4833" s="2" t="s">
        <v>10</v>
      </c>
      <c r="E4833" s="2" t="s">
        <v>76</v>
      </c>
      <c r="F4833" s="2" t="s">
        <v>1146</v>
      </c>
      <c r="G4833" s="14" t="n">
        <v>14.5</v>
      </c>
      <c r="H4833" s="14" t="n">
        <v>6.19</v>
      </c>
      <c r="I4833" s="14" t="n">
        <v>19.5</v>
      </c>
      <c r="J4833" s="22" t="n">
        <f aca="false">IF(E4833="Priority",'Cost model'!N218,'Cost model'!M218)</f>
        <v>12.5</v>
      </c>
      <c r="K4833" s="14" t="n">
        <f aca="false">J4833-H4833</f>
        <v>6.31</v>
      </c>
      <c r="L4833" s="14" t="n">
        <f aca="false">G4833-H4833</f>
        <v>8.31</v>
      </c>
    </row>
    <row r="4834" customFormat="false" ht="15" hidden="false" customHeight="false" outlineLevel="0" collapsed="false">
      <c r="A4834" s="2" t="s">
        <v>240</v>
      </c>
      <c r="B4834" s="2" t="s">
        <v>126</v>
      </c>
      <c r="C4834" s="2" t="s">
        <v>48</v>
      </c>
      <c r="D4834" s="2" t="s">
        <v>12</v>
      </c>
      <c r="E4834" s="2" t="s">
        <v>76</v>
      </c>
      <c r="F4834" s="2" t="s">
        <v>1146</v>
      </c>
      <c r="G4834" s="14" t="n">
        <v>9.5</v>
      </c>
      <c r="H4834" s="14" t="n">
        <v>12.93</v>
      </c>
      <c r="I4834" s="14" t="n">
        <v>24.5</v>
      </c>
      <c r="J4834" s="22" t="n">
        <f aca="false">IF(E4834="Priority",'Cost model'!N959,'Cost model'!M959)</f>
        <v>55</v>
      </c>
      <c r="K4834" s="14" t="n">
        <f aca="false">J4834-H4834</f>
        <v>42.07</v>
      </c>
      <c r="L4834" s="14" t="n">
        <f aca="false">G4834-H4834</f>
        <v>-3.43</v>
      </c>
    </row>
    <row r="4835" customFormat="false" ht="15" hidden="false" customHeight="false" outlineLevel="0" collapsed="false">
      <c r="A4835" s="2" t="s">
        <v>146</v>
      </c>
      <c r="B4835" s="2" t="s">
        <v>165</v>
      </c>
      <c r="C4835" s="2" t="s">
        <v>48</v>
      </c>
      <c r="D4835" s="2" t="s">
        <v>16</v>
      </c>
      <c r="E4835" s="2" t="s">
        <v>76</v>
      </c>
      <c r="F4835" s="2" t="s">
        <v>1146</v>
      </c>
      <c r="G4835" s="14" t="n">
        <v>45</v>
      </c>
      <c r="H4835" s="14" t="n">
        <v>230.29</v>
      </c>
      <c r="I4835" s="14" t="n">
        <v>250</v>
      </c>
      <c r="J4835" s="22" t="n">
        <f aca="false">IF(E4835="Priority",'Cost model'!N791,'Cost model'!M791)</f>
        <v>260</v>
      </c>
      <c r="K4835" s="14" t="n">
        <f aca="false">J4835-H4835</f>
        <v>29.71</v>
      </c>
      <c r="L4835" s="14" t="n">
        <f aca="false">G4835-H4835</f>
        <v>-185.29</v>
      </c>
    </row>
    <row r="4836" customFormat="false" ht="15" hidden="false" customHeight="false" outlineLevel="0" collapsed="false">
      <c r="A4836" s="2" t="s">
        <v>126</v>
      </c>
      <c r="B4836" s="2" t="s">
        <v>126</v>
      </c>
      <c r="C4836" s="2" t="s">
        <v>49</v>
      </c>
      <c r="D4836" s="2" t="s">
        <v>16</v>
      </c>
      <c r="E4836" s="2" t="s">
        <v>76</v>
      </c>
      <c r="F4836" s="2" t="s">
        <v>1145</v>
      </c>
      <c r="G4836" s="14" t="n">
        <v>85</v>
      </c>
      <c r="H4836" s="14" t="n">
        <v>192.41</v>
      </c>
      <c r="I4836" s="14" t="n">
        <v>85</v>
      </c>
      <c r="J4836" s="22" t="n">
        <f aca="false">IF(E4836="Priority",'Cost model'!N396,'Cost model'!M396)</f>
        <v>245</v>
      </c>
      <c r="K4836" s="14" t="n">
        <f aca="false">J4836-H4836</f>
        <v>52.59</v>
      </c>
      <c r="L4836" s="14" t="n">
        <f aca="false">G4836-H4836</f>
        <v>-107.41</v>
      </c>
    </row>
    <row r="4837" customFormat="false" ht="15" hidden="false" customHeight="false" outlineLevel="0" collapsed="false">
      <c r="A4837" s="2" t="s">
        <v>184</v>
      </c>
      <c r="B4837" s="2" t="s">
        <v>184</v>
      </c>
      <c r="C4837" s="2" t="s">
        <v>50</v>
      </c>
      <c r="D4837" s="2" t="s">
        <v>12</v>
      </c>
      <c r="E4837" s="2" t="s">
        <v>76</v>
      </c>
      <c r="F4837" s="2" t="s">
        <v>1145</v>
      </c>
      <c r="G4837" s="14" t="n">
        <v>19.5</v>
      </c>
      <c r="H4837" s="14" t="n">
        <v>52.9</v>
      </c>
      <c r="I4837" s="14" t="n">
        <v>19.5</v>
      </c>
      <c r="J4837" s="22" t="n">
        <f aca="false">IF(E4837="Priority",'Cost model'!N205,'Cost model'!M205)</f>
        <v>50</v>
      </c>
      <c r="K4837" s="14" t="n">
        <f aca="false">J4837-H4837</f>
        <v>-2.9</v>
      </c>
      <c r="L4837" s="14" t="n">
        <f aca="false">G4837-H4837</f>
        <v>-33.4</v>
      </c>
    </row>
    <row r="4838" customFormat="false" ht="15" hidden="false" customHeight="false" outlineLevel="0" collapsed="false">
      <c r="A4838" s="2" t="s">
        <v>146</v>
      </c>
      <c r="B4838" s="2" t="s">
        <v>184</v>
      </c>
      <c r="C4838" s="2" t="s">
        <v>48</v>
      </c>
      <c r="D4838" s="2" t="s">
        <v>10</v>
      </c>
      <c r="E4838" s="2" t="s">
        <v>76</v>
      </c>
      <c r="F4838" s="2" t="s">
        <v>1146</v>
      </c>
      <c r="G4838" s="14" t="n">
        <v>14.5</v>
      </c>
      <c r="H4838" s="14" t="n">
        <v>5</v>
      </c>
      <c r="I4838" s="14" t="n">
        <v>14.5</v>
      </c>
      <c r="J4838" s="22" t="n">
        <f aca="false">IF(E4838="Priority",'Cost model'!N830,'Cost model'!M830)</f>
        <v>9.5</v>
      </c>
      <c r="K4838" s="14" t="n">
        <f aca="false">J4838-H4838</f>
        <v>4.5</v>
      </c>
      <c r="L4838" s="14" t="n">
        <f aca="false">G4838-H4838</f>
        <v>9.5</v>
      </c>
    </row>
    <row r="4839" customFormat="false" ht="15" hidden="false" customHeight="false" outlineLevel="0" collapsed="false">
      <c r="A4839" s="2" t="s">
        <v>146</v>
      </c>
      <c r="B4839" s="2" t="s">
        <v>146</v>
      </c>
      <c r="C4839" s="2" t="s">
        <v>50</v>
      </c>
      <c r="D4839" s="2" t="s">
        <v>12</v>
      </c>
      <c r="E4839" s="2" t="s">
        <v>76</v>
      </c>
      <c r="F4839" s="2" t="s">
        <v>1145</v>
      </c>
      <c r="G4839" s="14" t="n">
        <v>19.5</v>
      </c>
      <c r="H4839" s="14" t="n">
        <v>58.01</v>
      </c>
      <c r="I4839" s="14" t="n">
        <v>19.5</v>
      </c>
      <c r="J4839" s="22" t="n">
        <f aca="false">IF(E4839="Priority",'Cost model'!N763,'Cost model'!M763)</f>
        <v>50</v>
      </c>
      <c r="K4839" s="14" t="n">
        <f aca="false">J4839-H4839</f>
        <v>-8.01</v>
      </c>
      <c r="L4839" s="14" t="n">
        <f aca="false">G4839-H4839</f>
        <v>-38.51</v>
      </c>
    </row>
    <row r="4840" customFormat="false" ht="15" hidden="false" customHeight="false" outlineLevel="0" collapsed="false">
      <c r="A4840" s="2" t="s">
        <v>146</v>
      </c>
      <c r="B4840" s="2" t="s">
        <v>146</v>
      </c>
      <c r="C4840" s="2" t="s">
        <v>49</v>
      </c>
      <c r="D4840" s="2" t="s">
        <v>12</v>
      </c>
      <c r="E4840" s="2" t="s">
        <v>76</v>
      </c>
      <c r="F4840" s="2" t="s">
        <v>1145</v>
      </c>
      <c r="G4840" s="14" t="n">
        <v>12.5</v>
      </c>
      <c r="H4840" s="14" t="n">
        <v>44.72</v>
      </c>
      <c r="I4840" s="14" t="n">
        <v>12.5</v>
      </c>
      <c r="J4840" s="22" t="n">
        <f aca="false">IF(E4840="Priority",'Cost model'!N762,'Cost model'!M762)</f>
        <v>45</v>
      </c>
      <c r="K4840" s="14" t="n">
        <f aca="false">J4840-H4840</f>
        <v>0.280000000000001</v>
      </c>
      <c r="L4840" s="14" t="n">
        <f aca="false">G4840-H4840</f>
        <v>-32.22</v>
      </c>
    </row>
    <row r="4841" customFormat="false" ht="15" hidden="false" customHeight="false" outlineLevel="0" collapsed="false">
      <c r="A4841" s="2" t="s">
        <v>146</v>
      </c>
      <c r="B4841" s="2" t="s">
        <v>146</v>
      </c>
      <c r="C4841" s="2" t="s">
        <v>49</v>
      </c>
      <c r="D4841" s="2" t="s">
        <v>10</v>
      </c>
      <c r="E4841" s="2" t="s">
        <v>76</v>
      </c>
      <c r="F4841" s="2" t="s">
        <v>1145</v>
      </c>
      <c r="G4841" s="14" t="n">
        <v>12.5</v>
      </c>
      <c r="H4841" s="14" t="n">
        <v>10.16</v>
      </c>
      <c r="I4841" s="14" t="n">
        <v>12.5</v>
      </c>
      <c r="J4841" s="22" t="n">
        <f aca="false">IF(E4841="Priority",'Cost model'!N759,'Cost model'!M759)</f>
        <v>15.5</v>
      </c>
      <c r="K4841" s="14" t="n">
        <f aca="false">J4841-H4841</f>
        <v>5.34</v>
      </c>
      <c r="L4841" s="14" t="n">
        <f aca="false">G4841-H4841</f>
        <v>2.34</v>
      </c>
    </row>
    <row r="4842" customFormat="false" ht="15" hidden="false" customHeight="false" outlineLevel="0" collapsed="false">
      <c r="A4842" s="2" t="s">
        <v>126</v>
      </c>
      <c r="B4842" s="2" t="s">
        <v>126</v>
      </c>
      <c r="C4842" s="2" t="s">
        <v>50</v>
      </c>
      <c r="D4842" s="2" t="s">
        <v>10</v>
      </c>
      <c r="E4842" s="2" t="s">
        <v>76</v>
      </c>
      <c r="F4842" s="2" t="s">
        <v>1145</v>
      </c>
      <c r="G4842" s="14" t="n">
        <v>17.5</v>
      </c>
      <c r="H4842" s="14" t="n">
        <v>21.6</v>
      </c>
      <c r="I4842" s="14" t="n">
        <v>17.5</v>
      </c>
      <c r="J4842" s="22" t="n">
        <f aca="false">IF(E4842="Priority",'Cost model'!N382,'Cost model'!M382)</f>
        <v>18.5</v>
      </c>
      <c r="K4842" s="14" t="n">
        <f aca="false">J4842-H4842</f>
        <v>-3.1</v>
      </c>
      <c r="L4842" s="14" t="n">
        <f aca="false">G4842-H4842</f>
        <v>-4.1</v>
      </c>
    </row>
    <row r="4843" customFormat="false" ht="15" hidden="false" customHeight="false" outlineLevel="0" collapsed="false">
      <c r="A4843" s="2" t="s">
        <v>184</v>
      </c>
      <c r="B4843" s="2" t="s">
        <v>184</v>
      </c>
      <c r="C4843" s="2" t="s">
        <v>48</v>
      </c>
      <c r="D4843" s="2" t="s">
        <v>12</v>
      </c>
      <c r="E4843" s="2" t="s">
        <v>76</v>
      </c>
      <c r="F4843" s="2" t="s">
        <v>1145</v>
      </c>
      <c r="G4843" s="14" t="n">
        <v>9.5</v>
      </c>
      <c r="H4843" s="14" t="n">
        <v>28.57</v>
      </c>
      <c r="I4843" s="14" t="n">
        <v>9.5</v>
      </c>
      <c r="J4843" s="22" t="n">
        <f aca="false">IF(E4843="Priority",'Cost model'!N203,'Cost model'!M203)</f>
        <v>26.5</v>
      </c>
      <c r="K4843" s="14" t="n">
        <f aca="false">J4843-H4843</f>
        <v>-2.07</v>
      </c>
      <c r="L4843" s="14" t="n">
        <f aca="false">G4843-H4843</f>
        <v>-19.07</v>
      </c>
    </row>
    <row r="4844" customFormat="false" ht="15" hidden="false" customHeight="false" outlineLevel="0" collapsed="false">
      <c r="A4844" s="2" t="s">
        <v>240</v>
      </c>
      <c r="B4844" s="2" t="s">
        <v>165</v>
      </c>
      <c r="C4844" s="2" t="s">
        <v>48</v>
      </c>
      <c r="D4844" s="2" t="s">
        <v>12</v>
      </c>
      <c r="E4844" s="2" t="s">
        <v>76</v>
      </c>
      <c r="F4844" s="2" t="s">
        <v>1146</v>
      </c>
      <c r="G4844" s="14" t="n">
        <v>9.5</v>
      </c>
      <c r="H4844" s="14" t="n">
        <v>75.66</v>
      </c>
      <c r="I4844" s="14" t="n">
        <v>19.5</v>
      </c>
      <c r="J4844" s="22" t="n">
        <f aca="false">IF(E4844="Priority",'Cost model'!N905,'Cost model'!M905)</f>
        <v>50</v>
      </c>
      <c r="K4844" s="14" t="n">
        <f aca="false">J4844-H4844</f>
        <v>-25.66</v>
      </c>
      <c r="L4844" s="14" t="n">
        <f aca="false">G4844-H4844</f>
        <v>-66.16</v>
      </c>
    </row>
    <row r="4845" customFormat="false" ht="15" hidden="false" customHeight="false" outlineLevel="0" collapsed="false">
      <c r="A4845" s="2" t="s">
        <v>126</v>
      </c>
      <c r="B4845" s="2" t="s">
        <v>126</v>
      </c>
      <c r="C4845" s="2" t="s">
        <v>50</v>
      </c>
      <c r="D4845" s="2" t="s">
        <v>12</v>
      </c>
      <c r="E4845" s="2" t="s">
        <v>85</v>
      </c>
      <c r="F4845" s="2" t="s">
        <v>1145</v>
      </c>
      <c r="G4845" s="14" t="n">
        <v>29.5</v>
      </c>
      <c r="H4845" s="14" t="n">
        <v>69.18</v>
      </c>
      <c r="I4845" s="14" t="n">
        <v>29.5</v>
      </c>
      <c r="J4845" s="22" t="n">
        <f aca="false">IF(E4845="Priority",'Cost model'!N385,'Cost model'!M385)</f>
        <v>70</v>
      </c>
      <c r="K4845" s="14" t="n">
        <f aca="false">J4845-H4845</f>
        <v>0.819999999999993</v>
      </c>
      <c r="L4845" s="14" t="n">
        <f aca="false">G4845-H4845</f>
        <v>-39.68</v>
      </c>
    </row>
    <row r="4846" customFormat="false" ht="15" hidden="false" customHeight="false" outlineLevel="0" collapsed="false">
      <c r="A4846" s="2" t="s">
        <v>146</v>
      </c>
      <c r="B4846" s="2" t="s">
        <v>146</v>
      </c>
      <c r="C4846" s="2" t="s">
        <v>50</v>
      </c>
      <c r="D4846" s="2" t="s">
        <v>10</v>
      </c>
      <c r="E4846" s="2" t="s">
        <v>76</v>
      </c>
      <c r="F4846" s="2" t="s">
        <v>1145</v>
      </c>
      <c r="G4846" s="14" t="n">
        <v>17.5</v>
      </c>
      <c r="H4846" s="14" t="n">
        <v>20.83</v>
      </c>
      <c r="I4846" s="14" t="n">
        <v>17.5</v>
      </c>
      <c r="J4846" s="22" t="n">
        <f aca="false">IF(E4846="Priority",'Cost model'!N760,'Cost model'!M760)</f>
        <v>18.5</v>
      </c>
      <c r="K4846" s="14" t="n">
        <f aca="false">J4846-H4846</f>
        <v>-2.33</v>
      </c>
      <c r="L4846" s="14" t="n">
        <f aca="false">G4846-H4846</f>
        <v>-3.33</v>
      </c>
    </row>
    <row r="4847" customFormat="false" ht="15" hidden="false" customHeight="false" outlineLevel="0" collapsed="false">
      <c r="A4847" s="2" t="s">
        <v>126</v>
      </c>
      <c r="B4847" s="2" t="s">
        <v>126</v>
      </c>
      <c r="C4847" s="2" t="s">
        <v>49</v>
      </c>
      <c r="D4847" s="2" t="s">
        <v>12</v>
      </c>
      <c r="E4847" s="2" t="s">
        <v>76</v>
      </c>
      <c r="F4847" s="2" t="s">
        <v>1145</v>
      </c>
      <c r="G4847" s="14" t="n">
        <v>12.5</v>
      </c>
      <c r="H4847" s="14" t="n">
        <v>10.16</v>
      </c>
      <c r="I4847" s="14" t="n">
        <v>12.5</v>
      </c>
      <c r="J4847" s="22" t="n">
        <f aca="false">IF(E4847="Priority",'Cost model'!N384,'Cost model'!M384)</f>
        <v>45</v>
      </c>
      <c r="K4847" s="14" t="n">
        <f aca="false">J4847-H4847</f>
        <v>34.84</v>
      </c>
      <c r="L4847" s="14" t="n">
        <f aca="false">G4847-H4847</f>
        <v>2.34</v>
      </c>
    </row>
    <row r="4848" customFormat="false" ht="15" hidden="false" customHeight="false" outlineLevel="0" collapsed="false">
      <c r="A4848" s="2" t="s">
        <v>126</v>
      </c>
      <c r="B4848" s="2" t="s">
        <v>126</v>
      </c>
      <c r="C4848" s="2" t="s">
        <v>48</v>
      </c>
      <c r="D4848" s="2" t="s">
        <v>12</v>
      </c>
      <c r="E4848" s="2" t="s">
        <v>76</v>
      </c>
      <c r="F4848" s="2" t="s">
        <v>1145</v>
      </c>
      <c r="G4848" s="14" t="n">
        <v>9.5</v>
      </c>
      <c r="H4848" s="14" t="n">
        <v>28.03</v>
      </c>
      <c r="I4848" s="14" t="n">
        <v>9.5</v>
      </c>
      <c r="J4848" s="22" t="n">
        <f aca="false">IF(E4848="Priority",'Cost model'!N383,'Cost model'!M383)</f>
        <v>27.5</v>
      </c>
      <c r="K4848" s="14" t="n">
        <f aca="false">J4848-H4848</f>
        <v>-0.530000000000001</v>
      </c>
      <c r="L4848" s="14" t="n">
        <f aca="false">G4848-H4848</f>
        <v>-18.53</v>
      </c>
    </row>
    <row r="4849" customFormat="false" ht="15" hidden="false" customHeight="false" outlineLevel="0" collapsed="false">
      <c r="A4849" s="2" t="s">
        <v>126</v>
      </c>
      <c r="B4849" s="2" t="s">
        <v>126</v>
      </c>
      <c r="C4849" s="2" t="s">
        <v>50</v>
      </c>
      <c r="D4849" s="2" t="s">
        <v>12</v>
      </c>
      <c r="E4849" s="2" t="s">
        <v>76</v>
      </c>
      <c r="F4849" s="2" t="s">
        <v>1145</v>
      </c>
      <c r="G4849" s="14" t="n">
        <v>19.5</v>
      </c>
      <c r="H4849" s="14" t="n">
        <v>100.8</v>
      </c>
      <c r="I4849" s="14" t="n">
        <v>19.5</v>
      </c>
      <c r="J4849" s="22" t="n">
        <f aca="false">IF(E4849="Priority",'Cost model'!N385,'Cost model'!M385)</f>
        <v>55</v>
      </c>
      <c r="K4849" s="14" t="n">
        <f aca="false">J4849-H4849</f>
        <v>-45.8</v>
      </c>
      <c r="L4849" s="14" t="n">
        <f aca="false">G4849-H4849</f>
        <v>-81.3</v>
      </c>
    </row>
    <row r="4850" customFormat="false" ht="15" hidden="false" customHeight="false" outlineLevel="0" collapsed="false">
      <c r="A4850" s="2" t="s">
        <v>184</v>
      </c>
      <c r="B4850" s="2" t="s">
        <v>126</v>
      </c>
      <c r="C4850" s="2" t="s">
        <v>48</v>
      </c>
      <c r="D4850" s="2" t="s">
        <v>10</v>
      </c>
      <c r="E4850" s="2" t="s">
        <v>85</v>
      </c>
      <c r="F4850" s="2" t="s">
        <v>1146</v>
      </c>
      <c r="G4850" s="14" t="n">
        <v>14.5</v>
      </c>
      <c r="H4850" s="14" t="n">
        <v>7.37</v>
      </c>
      <c r="I4850" s="14" t="n">
        <v>14.5</v>
      </c>
      <c r="J4850" s="22" t="n">
        <f aca="false">IF(E4850="Priority",'Cost model'!N128,'Cost model'!M128)</f>
        <v>15.5</v>
      </c>
      <c r="K4850" s="14" t="n">
        <f aca="false">J4850-H4850</f>
        <v>8.13</v>
      </c>
      <c r="L4850" s="14" t="n">
        <f aca="false">G4850-H4850</f>
        <v>7.13</v>
      </c>
    </row>
    <row r="4851" customFormat="false" ht="15" hidden="false" customHeight="false" outlineLevel="0" collapsed="false">
      <c r="A4851" s="2" t="s">
        <v>146</v>
      </c>
      <c r="B4851" s="2" t="s">
        <v>165</v>
      </c>
      <c r="C4851" s="2" t="s">
        <v>49</v>
      </c>
      <c r="D4851" s="2" t="s">
        <v>12</v>
      </c>
      <c r="E4851" s="2" t="s">
        <v>76</v>
      </c>
      <c r="F4851" s="2" t="s">
        <v>1146</v>
      </c>
      <c r="G4851" s="14" t="n">
        <v>12.5</v>
      </c>
      <c r="H4851" s="14" t="n">
        <v>53.34</v>
      </c>
      <c r="I4851" s="14" t="n">
        <v>19.5</v>
      </c>
      <c r="J4851" s="22" t="n">
        <f aca="false">IF(E4851="Priority",'Cost model'!N780,'Cost model'!M780)</f>
        <v>60</v>
      </c>
      <c r="K4851" s="14" t="n">
        <f aca="false">J4851-H4851</f>
        <v>6.66</v>
      </c>
      <c r="L4851" s="14" t="n">
        <f aca="false">G4851-H4851</f>
        <v>-40.84</v>
      </c>
    </row>
    <row r="4852" customFormat="false" ht="15" hidden="false" customHeight="false" outlineLevel="0" collapsed="false">
      <c r="A4852" s="2" t="s">
        <v>184</v>
      </c>
      <c r="B4852" s="2" t="s">
        <v>126</v>
      </c>
      <c r="C4852" s="2" t="s">
        <v>49</v>
      </c>
      <c r="D4852" s="2" t="s">
        <v>12</v>
      </c>
      <c r="E4852" s="2" t="s">
        <v>76</v>
      </c>
      <c r="F4852" s="2" t="s">
        <v>1146</v>
      </c>
      <c r="G4852" s="14" t="n">
        <v>24.5</v>
      </c>
      <c r="H4852" s="14" t="n">
        <v>33.47</v>
      </c>
      <c r="I4852" s="14"/>
      <c r="J4852" s="22" t="n">
        <f aca="false">IF(E4852="Priority",'Cost model'!N132,'Cost model'!M132)</f>
        <v>50</v>
      </c>
      <c r="K4852" s="14" t="n">
        <f aca="false">J4852-H4852</f>
        <v>16.53</v>
      </c>
      <c r="L4852" s="14" t="n">
        <f aca="false">G4852-H4852</f>
        <v>-8.97</v>
      </c>
    </row>
    <row r="4853" customFormat="false" ht="15" hidden="false" customHeight="false" outlineLevel="0" collapsed="false">
      <c r="A4853" s="2" t="s">
        <v>126</v>
      </c>
      <c r="B4853" s="2" t="s">
        <v>126</v>
      </c>
      <c r="C4853" s="2" t="s">
        <v>49</v>
      </c>
      <c r="D4853" s="2" t="s">
        <v>10</v>
      </c>
      <c r="E4853" s="2" t="s">
        <v>76</v>
      </c>
      <c r="F4853" s="2" t="s">
        <v>1145</v>
      </c>
      <c r="G4853" s="14" t="n">
        <v>12.5</v>
      </c>
      <c r="H4853" s="14" t="n">
        <v>10.1</v>
      </c>
      <c r="I4853" s="14" t="n">
        <v>12.5</v>
      </c>
      <c r="J4853" s="22" t="n">
        <f aca="false">IF(E4853="Priority",'Cost model'!N381,'Cost model'!M381)</f>
        <v>14.5</v>
      </c>
      <c r="K4853" s="14" t="n">
        <f aca="false">J4853-H4853</f>
        <v>4.4</v>
      </c>
      <c r="L4853" s="14" t="n">
        <f aca="false">G4853-H4853</f>
        <v>2.4</v>
      </c>
    </row>
    <row r="4854" customFormat="false" ht="15" hidden="false" customHeight="false" outlineLevel="0" collapsed="false">
      <c r="A4854" s="2" t="s">
        <v>221</v>
      </c>
      <c r="B4854" s="2" t="s">
        <v>221</v>
      </c>
      <c r="C4854" s="2" t="s">
        <v>49</v>
      </c>
      <c r="D4854" s="2" t="s">
        <v>12</v>
      </c>
      <c r="E4854" s="2" t="s">
        <v>85</v>
      </c>
      <c r="F4854" s="2" t="s">
        <v>1145</v>
      </c>
      <c r="G4854" s="14" t="n">
        <v>19.5</v>
      </c>
      <c r="H4854" s="14" t="n">
        <v>40.9</v>
      </c>
      <c r="I4854" s="14" t="n">
        <v>19.5</v>
      </c>
      <c r="J4854" s="22" t="n">
        <f aca="false">IF(E4854="Priority",'Cost model'!N636,'Cost model'!M636)</f>
        <v>70</v>
      </c>
      <c r="K4854" s="14" t="n">
        <f aca="false">J4854-H4854</f>
        <v>29.1</v>
      </c>
      <c r="L4854" s="14" t="n">
        <f aca="false">G4854-H4854</f>
        <v>-21.4</v>
      </c>
    </row>
    <row r="4855" customFormat="false" ht="15" hidden="false" customHeight="false" outlineLevel="0" collapsed="false">
      <c r="A4855" s="2" t="s">
        <v>221</v>
      </c>
      <c r="B4855" s="2" t="s">
        <v>221</v>
      </c>
      <c r="C4855" s="2" t="s">
        <v>49</v>
      </c>
      <c r="D4855" s="2" t="s">
        <v>10</v>
      </c>
      <c r="E4855" s="2" t="s">
        <v>76</v>
      </c>
      <c r="F4855" s="2" t="s">
        <v>1145</v>
      </c>
      <c r="G4855" s="14" t="n">
        <v>14.5</v>
      </c>
      <c r="H4855" s="14" t="n">
        <v>21.84</v>
      </c>
      <c r="I4855" s="14" t="n">
        <v>12.5</v>
      </c>
      <c r="J4855" s="22" t="n">
        <f aca="false">IF(E4855="Priority",'Cost model'!N633,'Cost model'!M633)</f>
        <v>13.5</v>
      </c>
      <c r="K4855" s="14" t="n">
        <f aca="false">J4855-H4855</f>
        <v>-8.34</v>
      </c>
      <c r="L4855" s="14" t="n">
        <f aca="false">G4855-H4855</f>
        <v>-7.34</v>
      </c>
    </row>
    <row r="4856" customFormat="false" ht="15" hidden="false" customHeight="false" outlineLevel="0" collapsed="false">
      <c r="A4856" s="2" t="s">
        <v>221</v>
      </c>
      <c r="B4856" s="2" t="s">
        <v>221</v>
      </c>
      <c r="C4856" s="2" t="s">
        <v>49</v>
      </c>
      <c r="D4856" s="2" t="s">
        <v>12</v>
      </c>
      <c r="E4856" s="2" t="s">
        <v>76</v>
      </c>
      <c r="F4856" s="2" t="s">
        <v>1145</v>
      </c>
      <c r="G4856" s="14" t="n">
        <v>12.5</v>
      </c>
      <c r="H4856" s="14" t="n">
        <v>90.99</v>
      </c>
      <c r="I4856" s="14" t="n">
        <v>12.5</v>
      </c>
      <c r="J4856" s="22" t="n">
        <f aca="false">IF(E4856="Priority",'Cost model'!N636,'Cost model'!M636)</f>
        <v>55</v>
      </c>
      <c r="K4856" s="14" t="n">
        <f aca="false">J4856-H4856</f>
        <v>-35.99</v>
      </c>
      <c r="L4856" s="14" t="n">
        <f aca="false">G4856-H4856</f>
        <v>-78.49</v>
      </c>
    </row>
    <row r="4857" customFormat="false" ht="15" hidden="false" customHeight="false" outlineLevel="0" collapsed="false">
      <c r="A4857" s="2" t="s">
        <v>146</v>
      </c>
      <c r="B4857" s="2" t="s">
        <v>126</v>
      </c>
      <c r="C4857" s="2" t="s">
        <v>48</v>
      </c>
      <c r="D4857" s="2" t="s">
        <v>10</v>
      </c>
      <c r="E4857" s="2" t="s">
        <v>85</v>
      </c>
      <c r="F4857" s="2" t="s">
        <v>1146</v>
      </c>
      <c r="G4857" s="14" t="n">
        <v>19.5</v>
      </c>
      <c r="H4857" s="14" t="n">
        <v>21.34</v>
      </c>
      <c r="I4857" s="14" t="n">
        <v>19.5</v>
      </c>
      <c r="J4857" s="22" t="n">
        <f aca="false">IF(E4857="Priority",'Cost model'!N794,'Cost model'!M794)</f>
        <v>17.5</v>
      </c>
      <c r="K4857" s="14" t="n">
        <f aca="false">J4857-H4857</f>
        <v>-3.84</v>
      </c>
      <c r="L4857" s="14" t="n">
        <f aca="false">G4857-H4857</f>
        <v>-1.84</v>
      </c>
    </row>
    <row r="4858" customFormat="false" ht="15" hidden="false" customHeight="false" outlineLevel="0" collapsed="false">
      <c r="A4858" s="2" t="s">
        <v>126</v>
      </c>
      <c r="B4858" s="2" t="s">
        <v>126</v>
      </c>
      <c r="C4858" s="2" t="s">
        <v>49</v>
      </c>
      <c r="D4858" s="2" t="s">
        <v>12</v>
      </c>
      <c r="E4858" s="2" t="s">
        <v>85</v>
      </c>
      <c r="F4858" s="2" t="s">
        <v>1145</v>
      </c>
      <c r="G4858" s="14" t="n">
        <v>19.5</v>
      </c>
      <c r="H4858" s="14" t="n">
        <v>25.01</v>
      </c>
      <c r="I4858" s="14" t="n">
        <v>19.5</v>
      </c>
      <c r="J4858" s="22" t="n">
        <f aca="false">IF(E4858="Priority",'Cost model'!N384,'Cost model'!M384)</f>
        <v>60</v>
      </c>
      <c r="K4858" s="14" t="n">
        <f aca="false">J4858-H4858</f>
        <v>34.99</v>
      </c>
      <c r="L4858" s="14" t="n">
        <f aca="false">G4858-H4858</f>
        <v>-5.51</v>
      </c>
    </row>
    <row r="4859" customFormat="false" ht="15" hidden="false" customHeight="false" outlineLevel="0" collapsed="false">
      <c r="A4859" s="2" t="s">
        <v>240</v>
      </c>
      <c r="B4859" s="2" t="s">
        <v>240</v>
      </c>
      <c r="C4859" s="2" t="s">
        <v>48</v>
      </c>
      <c r="D4859" s="2" t="s">
        <v>12</v>
      </c>
      <c r="E4859" s="2" t="s">
        <v>76</v>
      </c>
      <c r="F4859" s="2" t="s">
        <v>1145</v>
      </c>
      <c r="G4859" s="14" t="n">
        <v>9.5</v>
      </c>
      <c r="H4859" s="14" t="n">
        <v>27.74</v>
      </c>
      <c r="I4859" s="14" t="n">
        <v>9.5</v>
      </c>
      <c r="J4859" s="22" t="n">
        <f aca="false">IF(E4859="Priority",'Cost model'!N887,'Cost model'!M887)</f>
        <v>21.5</v>
      </c>
      <c r="K4859" s="14" t="n">
        <f aca="false">J4859-H4859</f>
        <v>-6.24</v>
      </c>
      <c r="L4859" s="14" t="n">
        <f aca="false">G4859-H4859</f>
        <v>-18.24</v>
      </c>
    </row>
    <row r="4860" customFormat="false" ht="15" hidden="false" customHeight="false" outlineLevel="0" collapsed="false">
      <c r="A4860" s="2" t="s">
        <v>126</v>
      </c>
      <c r="B4860" s="2" t="s">
        <v>126</v>
      </c>
      <c r="C4860" s="2" t="s">
        <v>49</v>
      </c>
      <c r="D4860" s="2" t="s">
        <v>10</v>
      </c>
      <c r="E4860" s="2" t="s">
        <v>76</v>
      </c>
      <c r="F4860" s="2" t="s">
        <v>1145</v>
      </c>
      <c r="G4860" s="14" t="n">
        <v>12.5</v>
      </c>
      <c r="H4860" s="14" t="n">
        <v>11.25</v>
      </c>
      <c r="I4860" s="14" t="n">
        <v>12.5</v>
      </c>
      <c r="J4860" s="22" t="n">
        <f aca="false">IF(E4860="Priority",'Cost model'!N381,'Cost model'!M381)</f>
        <v>14.5</v>
      </c>
      <c r="K4860" s="14" t="n">
        <f aca="false">J4860-H4860</f>
        <v>3.25</v>
      </c>
      <c r="L4860" s="14" t="n">
        <f aca="false">G4860-H4860</f>
        <v>1.25</v>
      </c>
    </row>
    <row r="4861" customFormat="false" ht="15" hidden="false" customHeight="false" outlineLevel="0" collapsed="false">
      <c r="A4861" s="2" t="s">
        <v>126</v>
      </c>
      <c r="B4861" s="2" t="s">
        <v>126</v>
      </c>
      <c r="C4861" s="2" t="s">
        <v>48</v>
      </c>
      <c r="D4861" s="2" t="s">
        <v>10</v>
      </c>
      <c r="E4861" s="2" t="s">
        <v>76</v>
      </c>
      <c r="F4861" s="2" t="s">
        <v>1145</v>
      </c>
      <c r="G4861" s="14" t="n">
        <v>9.5</v>
      </c>
      <c r="H4861" s="14" t="n">
        <v>24.17</v>
      </c>
      <c r="I4861" s="14" t="n">
        <v>9.5</v>
      </c>
      <c r="J4861" s="22" t="n">
        <f aca="false">IF(E4861="Priority",'Cost model'!N380,'Cost model'!M380)</f>
        <v>8.5</v>
      </c>
      <c r="K4861" s="14" t="n">
        <f aca="false">J4861-H4861</f>
        <v>-15.67</v>
      </c>
      <c r="L4861" s="14" t="n">
        <f aca="false">G4861-H4861</f>
        <v>-14.67</v>
      </c>
    </row>
    <row r="4862" customFormat="false" ht="15" hidden="false" customHeight="false" outlineLevel="0" collapsed="false">
      <c r="A4862" s="2" t="s">
        <v>146</v>
      </c>
      <c r="B4862" s="2" t="s">
        <v>146</v>
      </c>
      <c r="C4862" s="2" t="s">
        <v>50</v>
      </c>
      <c r="D4862" s="2" t="s">
        <v>10</v>
      </c>
      <c r="E4862" s="2" t="s">
        <v>85</v>
      </c>
      <c r="F4862" s="2" t="s">
        <v>1145</v>
      </c>
      <c r="G4862" s="14" t="n">
        <v>24.5</v>
      </c>
      <c r="H4862" s="14" t="n">
        <v>20.83</v>
      </c>
      <c r="I4862" s="14" t="n">
        <v>24.5</v>
      </c>
      <c r="J4862" s="22" t="n">
        <f aca="false">IF(E4862="Priority",'Cost model'!N760,'Cost model'!M760)</f>
        <v>25.5</v>
      </c>
      <c r="K4862" s="14" t="n">
        <f aca="false">J4862-H4862</f>
        <v>4.67</v>
      </c>
      <c r="L4862" s="14" t="n">
        <f aca="false">G4862-H4862</f>
        <v>3.67</v>
      </c>
    </row>
    <row r="4863" customFormat="false" ht="15" hidden="false" customHeight="false" outlineLevel="0" collapsed="false">
      <c r="A4863" s="2" t="s">
        <v>184</v>
      </c>
      <c r="B4863" s="2" t="s">
        <v>184</v>
      </c>
      <c r="C4863" s="2" t="s">
        <v>48</v>
      </c>
      <c r="D4863" s="2" t="s">
        <v>12</v>
      </c>
      <c r="E4863" s="2" t="s">
        <v>85</v>
      </c>
      <c r="F4863" s="2" t="s">
        <v>1145</v>
      </c>
      <c r="G4863" s="14" t="n">
        <v>19.5</v>
      </c>
      <c r="H4863" s="14" t="n">
        <v>27.84</v>
      </c>
      <c r="I4863" s="14" t="n">
        <v>19.5</v>
      </c>
      <c r="J4863" s="22" t="n">
        <f aca="false">IF(E4863="Priority",'Cost model'!N203,'Cost model'!M203)</f>
        <v>35</v>
      </c>
      <c r="K4863" s="14" t="n">
        <f aca="false">J4863-H4863</f>
        <v>7.16</v>
      </c>
      <c r="L4863" s="14" t="n">
        <f aca="false">G4863-H4863</f>
        <v>-8.34</v>
      </c>
    </row>
    <row r="4864" customFormat="false" ht="15" hidden="false" customHeight="false" outlineLevel="0" collapsed="false">
      <c r="A4864" s="2" t="s">
        <v>146</v>
      </c>
      <c r="B4864" s="2" t="s">
        <v>146</v>
      </c>
      <c r="C4864" s="2" t="s">
        <v>49</v>
      </c>
      <c r="D4864" s="2" t="s">
        <v>12</v>
      </c>
      <c r="E4864" s="2" t="s">
        <v>76</v>
      </c>
      <c r="F4864" s="2" t="s">
        <v>1145</v>
      </c>
      <c r="G4864" s="14" t="n">
        <v>12.5</v>
      </c>
      <c r="H4864" s="14" t="n">
        <v>58.65</v>
      </c>
      <c r="I4864" s="14" t="n">
        <v>12.5</v>
      </c>
      <c r="J4864" s="22" t="n">
        <f aca="false">IF(E4864="Priority",'Cost model'!N762,'Cost model'!M762)</f>
        <v>45</v>
      </c>
      <c r="K4864" s="14" t="n">
        <f aca="false">J4864-H4864</f>
        <v>-13.65</v>
      </c>
      <c r="L4864" s="14" t="n">
        <f aca="false">G4864-H4864</f>
        <v>-46.15</v>
      </c>
    </row>
    <row r="4865" customFormat="false" ht="15" hidden="false" customHeight="false" outlineLevel="0" collapsed="false">
      <c r="A4865" s="2" t="s">
        <v>221</v>
      </c>
      <c r="B4865" s="2" t="s">
        <v>146</v>
      </c>
      <c r="C4865" s="2" t="s">
        <v>49</v>
      </c>
      <c r="D4865" s="2" t="s">
        <v>10</v>
      </c>
      <c r="E4865" s="2" t="s">
        <v>85</v>
      </c>
      <c r="F4865" s="2" t="s">
        <v>1146</v>
      </c>
      <c r="G4865" s="14" t="n">
        <v>19.5</v>
      </c>
      <c r="H4865" s="14" t="n">
        <v>20.83</v>
      </c>
      <c r="I4865" s="14" t="n">
        <v>19.5</v>
      </c>
      <c r="J4865" s="22" t="n">
        <f aca="false">IF(E4865="Priority",'Cost model'!N651,'Cost model'!M651)</f>
        <v>27.5</v>
      </c>
      <c r="K4865" s="14" t="n">
        <f aca="false">J4865-H4865</f>
        <v>6.67</v>
      </c>
      <c r="L4865" s="14" t="n">
        <f aca="false">G4865-H4865</f>
        <v>-1.33</v>
      </c>
    </row>
    <row r="4866" customFormat="false" ht="15" hidden="false" customHeight="false" outlineLevel="0" collapsed="false">
      <c r="A4866" s="2" t="s">
        <v>184</v>
      </c>
      <c r="B4866" s="2" t="s">
        <v>146</v>
      </c>
      <c r="C4866" s="2" t="s">
        <v>49</v>
      </c>
      <c r="D4866" s="2" t="s">
        <v>10</v>
      </c>
      <c r="E4866" s="2" t="s">
        <v>76</v>
      </c>
      <c r="F4866" s="2" t="s">
        <v>1146</v>
      </c>
      <c r="G4866" s="14" t="n">
        <v>17.5</v>
      </c>
      <c r="H4866" s="14" t="n">
        <v>11.46</v>
      </c>
      <c r="I4866" s="14"/>
      <c r="J4866" s="22" t="n">
        <f aca="false">IF(E4866="Priority",'Cost model'!N147,'Cost model'!M147)</f>
        <v>14.5</v>
      </c>
      <c r="K4866" s="14" t="n">
        <f aca="false">J4866-H4866</f>
        <v>3.04</v>
      </c>
      <c r="L4866" s="14" t="n">
        <f aca="false">G4866-H4866</f>
        <v>6.04</v>
      </c>
    </row>
    <row r="4867" customFormat="false" ht="15" hidden="false" customHeight="false" outlineLevel="0" collapsed="false">
      <c r="A4867" s="2" t="s">
        <v>184</v>
      </c>
      <c r="B4867" s="2" t="s">
        <v>126</v>
      </c>
      <c r="C4867" s="2" t="s">
        <v>49</v>
      </c>
      <c r="D4867" s="2" t="s">
        <v>10</v>
      </c>
      <c r="E4867" s="2" t="s">
        <v>76</v>
      </c>
      <c r="F4867" s="2" t="s">
        <v>1146</v>
      </c>
      <c r="G4867" s="14" t="n">
        <v>8.5</v>
      </c>
      <c r="H4867" s="14" t="n">
        <v>8.92</v>
      </c>
      <c r="I4867" s="14"/>
      <c r="J4867" s="22" t="n">
        <f aca="false">IF(E4867="Priority",'Cost model'!N129,'Cost model'!M129)</f>
        <v>13.5</v>
      </c>
      <c r="K4867" s="14" t="n">
        <f aca="false">J4867-H4867</f>
        <v>4.58</v>
      </c>
      <c r="L4867" s="14" t="n">
        <f aca="false">G4867-H4867</f>
        <v>-0.42</v>
      </c>
    </row>
    <row r="4868" customFormat="false" ht="15" hidden="false" customHeight="false" outlineLevel="0" collapsed="false">
      <c r="A4868" s="2" t="s">
        <v>184</v>
      </c>
      <c r="B4868" s="2" t="s">
        <v>184</v>
      </c>
      <c r="C4868" s="2" t="s">
        <v>48</v>
      </c>
      <c r="D4868" s="2" t="s">
        <v>12</v>
      </c>
      <c r="E4868" s="2" t="s">
        <v>85</v>
      </c>
      <c r="F4868" s="2" t="s">
        <v>1145</v>
      </c>
      <c r="G4868" s="14" t="n">
        <v>19.5</v>
      </c>
      <c r="H4868" s="14" t="n">
        <v>63.06</v>
      </c>
      <c r="I4868" s="14" t="n">
        <v>19.5</v>
      </c>
      <c r="J4868" s="22" t="n">
        <f aca="false">IF(E4868="Priority",'Cost model'!N203,'Cost model'!M203)</f>
        <v>35</v>
      </c>
      <c r="K4868" s="14" t="n">
        <f aca="false">J4868-H4868</f>
        <v>-28.06</v>
      </c>
      <c r="L4868" s="14" t="n">
        <f aca="false">G4868-H4868</f>
        <v>-43.56</v>
      </c>
    </row>
    <row r="4869" customFormat="false" ht="15" hidden="false" customHeight="false" outlineLevel="0" collapsed="false">
      <c r="A4869" s="2" t="s">
        <v>126</v>
      </c>
      <c r="B4869" s="2" t="s">
        <v>126</v>
      </c>
      <c r="C4869" s="2" t="s">
        <v>49</v>
      </c>
      <c r="D4869" s="2" t="s">
        <v>14</v>
      </c>
      <c r="E4869" s="2" t="s">
        <v>76</v>
      </c>
      <c r="F4869" s="2" t="s">
        <v>1145</v>
      </c>
      <c r="G4869" s="14" t="n">
        <v>45</v>
      </c>
      <c r="H4869" s="14" t="n">
        <v>121.21</v>
      </c>
      <c r="I4869" s="14" t="n">
        <v>45</v>
      </c>
      <c r="J4869" s="22" t="n">
        <f aca="false">IF(E4869="Priority",'Cost model'!N390,'Cost model'!M390)</f>
        <v>115</v>
      </c>
      <c r="K4869" s="14" t="n">
        <f aca="false">J4869-H4869</f>
        <v>-6.20999999999999</v>
      </c>
      <c r="L4869" s="14" t="n">
        <f aca="false">G4869-H4869</f>
        <v>-76.21</v>
      </c>
    </row>
    <row r="4870" customFormat="false" ht="15" hidden="false" customHeight="false" outlineLevel="0" collapsed="false">
      <c r="A4870" s="2" t="s">
        <v>240</v>
      </c>
      <c r="B4870" s="2" t="s">
        <v>146</v>
      </c>
      <c r="C4870" s="2" t="s">
        <v>50</v>
      </c>
      <c r="D4870" s="2" t="s">
        <v>12</v>
      </c>
      <c r="E4870" s="2" t="s">
        <v>76</v>
      </c>
      <c r="F4870" s="2" t="s">
        <v>1146</v>
      </c>
      <c r="G4870" s="14" t="n">
        <v>29.5</v>
      </c>
      <c r="H4870" s="14" t="n">
        <v>66.86</v>
      </c>
      <c r="I4870" s="14" t="n">
        <v>29.5</v>
      </c>
      <c r="J4870" s="22" t="n">
        <f aca="false">IF(E4870="Priority",'Cost model'!N925,'Cost model'!M925)</f>
        <v>80</v>
      </c>
      <c r="K4870" s="14" t="n">
        <f aca="false">J4870-H4870</f>
        <v>13.14</v>
      </c>
      <c r="L4870" s="14" t="n">
        <f aca="false">G4870-H4870</f>
        <v>-37.36</v>
      </c>
    </row>
    <row r="4871" customFormat="false" ht="15" hidden="false" customHeight="false" outlineLevel="0" collapsed="false">
      <c r="A4871" s="2" t="s">
        <v>184</v>
      </c>
      <c r="B4871" s="2" t="s">
        <v>184</v>
      </c>
      <c r="C4871" s="2" t="s">
        <v>48</v>
      </c>
      <c r="D4871" s="2" t="s">
        <v>12</v>
      </c>
      <c r="E4871" s="2" t="s">
        <v>76</v>
      </c>
      <c r="F4871" s="2" t="s">
        <v>1145</v>
      </c>
      <c r="G4871" s="14" t="n">
        <v>9.5</v>
      </c>
      <c r="H4871" s="14" t="n">
        <v>7.72</v>
      </c>
      <c r="I4871" s="14" t="n">
        <v>9.5</v>
      </c>
      <c r="J4871" s="22" t="n">
        <f aca="false">IF(E4871="Priority",'Cost model'!N203,'Cost model'!M203)</f>
        <v>26.5</v>
      </c>
      <c r="K4871" s="14" t="n">
        <f aca="false">J4871-H4871</f>
        <v>18.78</v>
      </c>
      <c r="L4871" s="14" t="n">
        <f aca="false">G4871-H4871</f>
        <v>1.78</v>
      </c>
    </row>
    <row r="4872" customFormat="false" ht="15" hidden="false" customHeight="false" outlineLevel="0" collapsed="false">
      <c r="A4872" s="2" t="s">
        <v>184</v>
      </c>
      <c r="B4872" s="2" t="s">
        <v>184</v>
      </c>
      <c r="C4872" s="2" t="s">
        <v>50</v>
      </c>
      <c r="D4872" s="2" t="s">
        <v>10</v>
      </c>
      <c r="E4872" s="2" t="s">
        <v>76</v>
      </c>
      <c r="F4872" s="2" t="s">
        <v>1145</v>
      </c>
      <c r="G4872" s="14" t="n">
        <v>17.5</v>
      </c>
      <c r="H4872" s="14" t="n">
        <v>11.92</v>
      </c>
      <c r="I4872" s="14" t="n">
        <v>17.5</v>
      </c>
      <c r="J4872" s="22" t="n">
        <f aca="false">IF(E4872="Priority",'Cost model'!N202,'Cost model'!M202)</f>
        <v>17.5</v>
      </c>
      <c r="K4872" s="14" t="n">
        <f aca="false">J4872-H4872</f>
        <v>5.58</v>
      </c>
      <c r="L4872" s="14" t="n">
        <f aca="false">G4872-H4872</f>
        <v>5.58</v>
      </c>
    </row>
    <row r="4873" customFormat="false" ht="15" hidden="false" customHeight="false" outlineLevel="0" collapsed="false">
      <c r="A4873" s="2" t="s">
        <v>126</v>
      </c>
      <c r="B4873" s="2" t="s">
        <v>126</v>
      </c>
      <c r="C4873" s="2" t="s">
        <v>50</v>
      </c>
      <c r="D4873" s="2" t="s">
        <v>12</v>
      </c>
      <c r="E4873" s="2" t="s">
        <v>76</v>
      </c>
      <c r="F4873" s="2" t="s">
        <v>1145</v>
      </c>
      <c r="G4873" s="14" t="n">
        <v>19.5</v>
      </c>
      <c r="H4873" s="14" t="n">
        <v>62.18</v>
      </c>
      <c r="I4873" s="14" t="n">
        <v>19.5</v>
      </c>
      <c r="J4873" s="22" t="n">
        <f aca="false">IF(E4873="Priority",'Cost model'!N385,'Cost model'!M385)</f>
        <v>55</v>
      </c>
      <c r="K4873" s="14" t="n">
        <f aca="false">J4873-H4873</f>
        <v>-7.18</v>
      </c>
      <c r="L4873" s="14" t="n">
        <f aca="false">G4873-H4873</f>
        <v>-42.68</v>
      </c>
    </row>
    <row r="4874" customFormat="false" ht="15" hidden="false" customHeight="false" outlineLevel="0" collapsed="false">
      <c r="A4874" s="2" t="s">
        <v>184</v>
      </c>
      <c r="B4874" s="2" t="s">
        <v>184</v>
      </c>
      <c r="C4874" s="2" t="s">
        <v>48</v>
      </c>
      <c r="D4874" s="2" t="s">
        <v>10</v>
      </c>
      <c r="E4874" s="2" t="s">
        <v>76</v>
      </c>
      <c r="F4874" s="2" t="s">
        <v>1145</v>
      </c>
      <c r="G4874" s="14" t="n">
        <v>9.5</v>
      </c>
      <c r="H4874" s="14" t="n">
        <v>9.78</v>
      </c>
      <c r="I4874" s="14" t="n">
        <v>9.5</v>
      </c>
      <c r="J4874" s="22" t="n">
        <f aca="false">IF(E4874="Priority",'Cost model'!N200,'Cost model'!M200)</f>
        <v>7.5</v>
      </c>
      <c r="K4874" s="14" t="n">
        <f aca="false">J4874-H4874</f>
        <v>-2.28</v>
      </c>
      <c r="L4874" s="14" t="n">
        <f aca="false">G4874-H4874</f>
        <v>-0.279999999999999</v>
      </c>
    </row>
    <row r="4875" customFormat="false" ht="15" hidden="false" customHeight="false" outlineLevel="0" collapsed="false">
      <c r="A4875" s="2" t="s">
        <v>184</v>
      </c>
      <c r="B4875" s="2" t="s">
        <v>184</v>
      </c>
      <c r="C4875" s="2" t="s">
        <v>49</v>
      </c>
      <c r="D4875" s="2" t="s">
        <v>10</v>
      </c>
      <c r="E4875" s="2" t="s">
        <v>76</v>
      </c>
      <c r="F4875" s="2" t="s">
        <v>1145</v>
      </c>
      <c r="G4875" s="14" t="n">
        <v>17.5</v>
      </c>
      <c r="H4875" s="14" t="n">
        <v>14.74</v>
      </c>
      <c r="I4875" s="14"/>
      <c r="J4875" s="22" t="n">
        <f aca="false">IF(E4875="Priority",'Cost model'!N201,'Cost model'!M201)</f>
        <v>12.5</v>
      </c>
      <c r="K4875" s="14" t="n">
        <f aca="false">J4875-H4875</f>
        <v>-2.24</v>
      </c>
      <c r="L4875" s="14" t="n">
        <f aca="false">G4875-H4875</f>
        <v>2.76</v>
      </c>
    </row>
    <row r="4876" customFormat="false" ht="15" hidden="false" customHeight="false" outlineLevel="0" collapsed="false">
      <c r="A4876" s="2" t="s">
        <v>184</v>
      </c>
      <c r="B4876" s="2" t="s">
        <v>146</v>
      </c>
      <c r="C4876" s="2" t="s">
        <v>49</v>
      </c>
      <c r="D4876" s="2" t="s">
        <v>12</v>
      </c>
      <c r="E4876" s="2" t="s">
        <v>76</v>
      </c>
      <c r="F4876" s="2" t="s">
        <v>1146</v>
      </c>
      <c r="G4876" s="14" t="n">
        <v>12.5</v>
      </c>
      <c r="H4876" s="14" t="n">
        <v>51.4</v>
      </c>
      <c r="I4876" s="14"/>
      <c r="J4876" s="22" t="n">
        <f aca="false">IF(E4876="Priority",'Cost model'!N150,'Cost model'!M150)</f>
        <v>55</v>
      </c>
      <c r="K4876" s="14" t="n">
        <f aca="false">J4876-H4876</f>
        <v>3.6</v>
      </c>
      <c r="L4876" s="14" t="n">
        <f aca="false">G4876-H4876</f>
        <v>-38.9</v>
      </c>
    </row>
    <row r="4877" customFormat="false" ht="15" hidden="false" customHeight="false" outlineLevel="0" collapsed="false">
      <c r="A4877" s="2" t="s">
        <v>184</v>
      </c>
      <c r="B4877" s="2" t="s">
        <v>184</v>
      </c>
      <c r="C4877" s="2" t="s">
        <v>50</v>
      </c>
      <c r="D4877" s="2" t="s">
        <v>12</v>
      </c>
      <c r="E4877" s="2" t="s">
        <v>76</v>
      </c>
      <c r="F4877" s="2" t="s">
        <v>1145</v>
      </c>
      <c r="G4877" s="14" t="n">
        <v>19.5</v>
      </c>
      <c r="H4877" s="14" t="n">
        <v>44.11</v>
      </c>
      <c r="I4877" s="14" t="n">
        <v>19.5</v>
      </c>
      <c r="J4877" s="22" t="n">
        <f aca="false">IF(E4877="Priority",'Cost model'!N205,'Cost model'!M205)</f>
        <v>50</v>
      </c>
      <c r="K4877" s="14" t="n">
        <f aca="false">J4877-H4877</f>
        <v>5.89</v>
      </c>
      <c r="L4877" s="14" t="n">
        <f aca="false">G4877-H4877</f>
        <v>-24.61</v>
      </c>
    </row>
    <row r="4878" customFormat="false" ht="15" hidden="false" customHeight="false" outlineLevel="0" collapsed="false">
      <c r="A4878" s="2" t="s">
        <v>184</v>
      </c>
      <c r="B4878" s="2" t="s">
        <v>184</v>
      </c>
      <c r="C4878" s="2" t="s">
        <v>48</v>
      </c>
      <c r="D4878" s="2" t="s">
        <v>10</v>
      </c>
      <c r="E4878" s="2" t="s">
        <v>76</v>
      </c>
      <c r="F4878" s="2" t="s">
        <v>1145</v>
      </c>
      <c r="G4878" s="14" t="n">
        <v>9.5</v>
      </c>
      <c r="H4878" s="14" t="n">
        <v>7.45</v>
      </c>
      <c r="I4878" s="14" t="n">
        <v>9.5</v>
      </c>
      <c r="J4878" s="22" t="n">
        <f aca="false">IF(E4878="Priority",'Cost model'!N200,'Cost model'!M200)</f>
        <v>7.5</v>
      </c>
      <c r="K4878" s="14" t="n">
        <f aca="false">J4878-H4878</f>
        <v>0.0499999999999998</v>
      </c>
      <c r="L4878" s="14" t="n">
        <f aca="false">G4878-H4878</f>
        <v>2.05</v>
      </c>
    </row>
    <row r="4879" customFormat="false" ht="15" hidden="false" customHeight="false" outlineLevel="0" collapsed="false">
      <c r="A4879" s="2" t="s">
        <v>126</v>
      </c>
      <c r="B4879" s="2" t="s">
        <v>184</v>
      </c>
      <c r="C4879" s="2" t="s">
        <v>50</v>
      </c>
      <c r="D4879" s="2" t="s">
        <v>13</v>
      </c>
      <c r="E4879" s="2" t="s">
        <v>76</v>
      </c>
      <c r="F4879" s="2" t="s">
        <v>1146</v>
      </c>
      <c r="G4879" s="14" t="n">
        <v>50</v>
      </c>
      <c r="H4879" s="14" t="n">
        <v>176.52</v>
      </c>
      <c r="I4879" s="14" t="n">
        <v>85</v>
      </c>
      <c r="J4879" s="22" t="n">
        <f aca="false">IF(E4879="Priority",'Cost model'!N442,'Cost model'!M442)</f>
        <v>140</v>
      </c>
      <c r="K4879" s="14" t="n">
        <f aca="false">J4879-H4879</f>
        <v>-36.52</v>
      </c>
      <c r="L4879" s="14" t="n">
        <f aca="false">G4879-H4879</f>
        <v>-126.52</v>
      </c>
    </row>
    <row r="4880" customFormat="false" ht="15" hidden="false" customHeight="false" outlineLevel="0" collapsed="false">
      <c r="A4880" s="2" t="s">
        <v>184</v>
      </c>
      <c r="B4880" s="2" t="s">
        <v>184</v>
      </c>
      <c r="C4880" s="2" t="s">
        <v>48</v>
      </c>
      <c r="D4880" s="2" t="s">
        <v>10</v>
      </c>
      <c r="E4880" s="2" t="s">
        <v>76</v>
      </c>
      <c r="F4880" s="2" t="s">
        <v>1145</v>
      </c>
      <c r="G4880" s="14" t="n">
        <v>9.5</v>
      </c>
      <c r="H4880" s="14" t="n">
        <v>6.24</v>
      </c>
      <c r="I4880" s="14" t="n">
        <v>9.5</v>
      </c>
      <c r="J4880" s="22" t="n">
        <f aca="false">IF(E4880="Priority",'Cost model'!N200,'Cost model'!M200)</f>
        <v>7.5</v>
      </c>
      <c r="K4880" s="14" t="n">
        <f aca="false">J4880-H4880</f>
        <v>1.26</v>
      </c>
      <c r="L4880" s="14" t="n">
        <f aca="false">G4880-H4880</f>
        <v>3.26</v>
      </c>
    </row>
    <row r="4881" customFormat="false" ht="15" hidden="false" customHeight="false" outlineLevel="0" collapsed="false">
      <c r="A4881" s="2" t="s">
        <v>184</v>
      </c>
      <c r="B4881" s="2" t="s">
        <v>184</v>
      </c>
      <c r="C4881" s="2" t="s">
        <v>48</v>
      </c>
      <c r="D4881" s="2" t="s">
        <v>13</v>
      </c>
      <c r="E4881" s="2" t="s">
        <v>76</v>
      </c>
      <c r="F4881" s="2" t="s">
        <v>1145</v>
      </c>
      <c r="G4881" s="14" t="n">
        <v>19</v>
      </c>
      <c r="H4881" s="14" t="n">
        <v>56.35</v>
      </c>
      <c r="I4881" s="14" t="n">
        <v>19</v>
      </c>
      <c r="J4881" s="22" t="n">
        <f aca="false">IF(E4881="Priority",'Cost model'!N206,'Cost model'!M206)</f>
        <v>55</v>
      </c>
      <c r="K4881" s="14" t="n">
        <f aca="false">J4881-H4881</f>
        <v>-1.35</v>
      </c>
      <c r="L4881" s="14" t="n">
        <f aca="false">G4881-H4881</f>
        <v>-37.35</v>
      </c>
    </row>
    <row r="4882" customFormat="false" ht="15" hidden="false" customHeight="false" outlineLevel="0" collapsed="false">
      <c r="A4882" s="2" t="s">
        <v>184</v>
      </c>
      <c r="B4882" s="2" t="s">
        <v>184</v>
      </c>
      <c r="C4882" s="2" t="s">
        <v>48</v>
      </c>
      <c r="D4882" s="2" t="s">
        <v>10</v>
      </c>
      <c r="E4882" s="2" t="s">
        <v>76</v>
      </c>
      <c r="F4882" s="2" t="s">
        <v>1145</v>
      </c>
      <c r="G4882" s="14" t="n">
        <v>9.5</v>
      </c>
      <c r="H4882" s="14" t="n">
        <v>7.46</v>
      </c>
      <c r="I4882" s="14" t="n">
        <v>9.5</v>
      </c>
      <c r="J4882" s="22" t="n">
        <f aca="false">IF(E4882="Priority",'Cost model'!N200,'Cost model'!M200)</f>
        <v>7.5</v>
      </c>
      <c r="K4882" s="14" t="n">
        <f aca="false">J4882-H4882</f>
        <v>0.04</v>
      </c>
      <c r="L4882" s="14" t="n">
        <f aca="false">G4882-H4882</f>
        <v>2.04</v>
      </c>
    </row>
    <row r="4883" customFormat="false" ht="15" hidden="false" customHeight="false" outlineLevel="0" collapsed="false">
      <c r="A4883" s="2" t="s">
        <v>126</v>
      </c>
      <c r="B4883" s="2" t="s">
        <v>146</v>
      </c>
      <c r="C4883" s="2" t="s">
        <v>49</v>
      </c>
      <c r="D4883" s="2" t="s">
        <v>12</v>
      </c>
      <c r="E4883" s="2" t="s">
        <v>76</v>
      </c>
      <c r="F4883" s="2" t="s">
        <v>1146</v>
      </c>
      <c r="G4883" s="14" t="n">
        <v>19.5</v>
      </c>
      <c r="H4883" s="14" t="n">
        <v>28.64</v>
      </c>
      <c r="I4883" s="14" t="n">
        <v>19.5</v>
      </c>
      <c r="J4883" s="22" t="n">
        <f aca="false">IF(E4883="Priority",'Cost model'!N402,'Cost model'!M402)</f>
        <v>60</v>
      </c>
      <c r="K4883" s="14" t="n">
        <f aca="false">J4883-H4883</f>
        <v>31.36</v>
      </c>
      <c r="L4883" s="14" t="n">
        <f aca="false">G4883-H4883</f>
        <v>-9.14</v>
      </c>
    </row>
    <row r="4884" customFormat="false" ht="15" hidden="false" customHeight="false" outlineLevel="0" collapsed="false">
      <c r="A4884" s="2" t="s">
        <v>240</v>
      </c>
      <c r="B4884" s="2" t="s">
        <v>240</v>
      </c>
      <c r="C4884" s="2" t="s">
        <v>50</v>
      </c>
      <c r="D4884" s="2" t="s">
        <v>10</v>
      </c>
      <c r="E4884" s="2" t="s">
        <v>76</v>
      </c>
      <c r="F4884" s="2" t="s">
        <v>1145</v>
      </c>
      <c r="G4884" s="14" t="n">
        <v>17.5</v>
      </c>
      <c r="H4884" s="14" t="n">
        <v>13.7</v>
      </c>
      <c r="I4884" s="14" t="n">
        <v>17.5</v>
      </c>
      <c r="J4884" s="22" t="n">
        <f aca="false">IF(E4884="Priority",'Cost model'!N886,'Cost model'!M886)</f>
        <v>17.5</v>
      </c>
      <c r="K4884" s="14" t="n">
        <f aca="false">J4884-H4884</f>
        <v>3.8</v>
      </c>
      <c r="L4884" s="14" t="n">
        <f aca="false">G4884-H4884</f>
        <v>3.8</v>
      </c>
    </row>
    <row r="4885" customFormat="false" ht="15" hidden="false" customHeight="false" outlineLevel="0" collapsed="false">
      <c r="A4885" s="2" t="s">
        <v>126</v>
      </c>
      <c r="B4885" s="2" t="s">
        <v>126</v>
      </c>
      <c r="C4885" s="2" t="s">
        <v>49</v>
      </c>
      <c r="D4885" s="2" t="s">
        <v>12</v>
      </c>
      <c r="E4885" s="2" t="s">
        <v>76</v>
      </c>
      <c r="F4885" s="2" t="s">
        <v>1145</v>
      </c>
      <c r="G4885" s="14" t="n">
        <v>12.5</v>
      </c>
      <c r="H4885" s="14" t="n">
        <v>49.07</v>
      </c>
      <c r="I4885" s="14" t="n">
        <v>12.5</v>
      </c>
      <c r="J4885" s="22" t="n">
        <f aca="false">IF(E4885="Priority",'Cost model'!N384,'Cost model'!M384)</f>
        <v>45</v>
      </c>
      <c r="K4885" s="14" t="n">
        <f aca="false">J4885-H4885</f>
        <v>-4.07</v>
      </c>
      <c r="L4885" s="14" t="n">
        <f aca="false">G4885-H4885</f>
        <v>-36.57</v>
      </c>
    </row>
    <row r="4886" customFormat="false" ht="15" hidden="false" customHeight="false" outlineLevel="0" collapsed="false">
      <c r="A4886" s="2" t="s">
        <v>126</v>
      </c>
      <c r="B4886" s="2" t="s">
        <v>125</v>
      </c>
      <c r="C4886" s="2" t="s">
        <v>48</v>
      </c>
      <c r="D4886" s="2" t="s">
        <v>10</v>
      </c>
      <c r="E4886" s="2" t="s">
        <v>76</v>
      </c>
      <c r="F4886" s="2" t="s">
        <v>1146</v>
      </c>
      <c r="G4886" s="14" t="n">
        <v>9.5</v>
      </c>
      <c r="H4886" s="14" t="n">
        <v>24.48</v>
      </c>
      <c r="I4886" s="14" t="n">
        <v>19.5</v>
      </c>
      <c r="J4886" s="22" t="n">
        <f aca="false">IF(E4886="Priority",'Cost model'!N470,'Cost model'!M470)</f>
        <v>19.5</v>
      </c>
      <c r="K4886" s="14" t="n">
        <f aca="false">J4886-H4886</f>
        <v>-4.98</v>
      </c>
      <c r="L4886" s="14" t="n">
        <f aca="false">G4886-H4886</f>
        <v>-14.98</v>
      </c>
    </row>
    <row r="4887" customFormat="false" ht="15" hidden="false" customHeight="false" outlineLevel="0" collapsed="false">
      <c r="A4887" s="2" t="s">
        <v>126</v>
      </c>
      <c r="B4887" s="2" t="s">
        <v>126</v>
      </c>
      <c r="C4887" s="2" t="s">
        <v>48</v>
      </c>
      <c r="D4887" s="2" t="s">
        <v>10</v>
      </c>
      <c r="E4887" s="2" t="s">
        <v>76</v>
      </c>
      <c r="F4887" s="2" t="s">
        <v>1145</v>
      </c>
      <c r="G4887" s="14" t="n">
        <v>9.5</v>
      </c>
      <c r="H4887" s="14" t="n">
        <v>7.43</v>
      </c>
      <c r="I4887" s="14" t="n">
        <v>9.5</v>
      </c>
      <c r="J4887" s="22" t="n">
        <f aca="false">IF(E4887="Priority",'Cost model'!N380,'Cost model'!M380)</f>
        <v>8.5</v>
      </c>
      <c r="K4887" s="14" t="n">
        <f aca="false">J4887-H4887</f>
        <v>1.07</v>
      </c>
      <c r="L4887" s="14" t="n">
        <f aca="false">G4887-H4887</f>
        <v>2.07</v>
      </c>
    </row>
    <row r="4888" customFormat="false" ht="15" hidden="false" customHeight="false" outlineLevel="0" collapsed="false">
      <c r="A4888" s="2" t="s">
        <v>184</v>
      </c>
      <c r="B4888" s="2" t="s">
        <v>184</v>
      </c>
      <c r="C4888" s="2" t="s">
        <v>48</v>
      </c>
      <c r="D4888" s="2" t="s">
        <v>10</v>
      </c>
      <c r="E4888" s="2" t="s">
        <v>76</v>
      </c>
      <c r="F4888" s="2" t="s">
        <v>1145</v>
      </c>
      <c r="G4888" s="14" t="n">
        <v>9.5</v>
      </c>
      <c r="H4888" s="14" t="n">
        <v>7.46</v>
      </c>
      <c r="I4888" s="14" t="n">
        <v>9.5</v>
      </c>
      <c r="J4888" s="22" t="n">
        <f aca="false">IF(E4888="Priority",'Cost model'!N200,'Cost model'!M200)</f>
        <v>7.5</v>
      </c>
      <c r="K4888" s="14" t="n">
        <f aca="false">J4888-H4888</f>
        <v>0.04</v>
      </c>
      <c r="L4888" s="14" t="n">
        <f aca="false">G4888-H4888</f>
        <v>2.04</v>
      </c>
    </row>
    <row r="4889" customFormat="false" ht="15" hidden="false" customHeight="false" outlineLevel="0" collapsed="false">
      <c r="A4889" s="2" t="s">
        <v>126</v>
      </c>
      <c r="B4889" s="2" t="s">
        <v>184</v>
      </c>
      <c r="C4889" s="2" t="s">
        <v>48</v>
      </c>
      <c r="D4889" s="2" t="s">
        <v>10</v>
      </c>
      <c r="E4889" s="2" t="s">
        <v>76</v>
      </c>
      <c r="F4889" s="2" t="s">
        <v>1146</v>
      </c>
      <c r="G4889" s="14" t="n">
        <v>50</v>
      </c>
      <c r="H4889" s="14" t="n">
        <v>208.03</v>
      </c>
      <c r="I4889" s="14" t="n">
        <v>14.5</v>
      </c>
      <c r="J4889" s="22" t="n">
        <f aca="false">IF(E4889="Priority",'Cost model'!N434,'Cost model'!M434)</f>
        <v>13.5</v>
      </c>
      <c r="K4889" s="14" t="n">
        <f aca="false">J4889-H4889</f>
        <v>-194.53</v>
      </c>
      <c r="L4889" s="14" t="n">
        <f aca="false">G4889-H4889</f>
        <v>-158.03</v>
      </c>
    </row>
    <row r="4890" customFormat="false" ht="15" hidden="false" customHeight="false" outlineLevel="0" collapsed="false">
      <c r="A4890" s="2" t="s">
        <v>184</v>
      </c>
      <c r="B4890" s="2" t="s">
        <v>184</v>
      </c>
      <c r="C4890" s="2" t="s">
        <v>48</v>
      </c>
      <c r="D4890" s="2" t="s">
        <v>10</v>
      </c>
      <c r="E4890" s="2" t="s">
        <v>76</v>
      </c>
      <c r="F4890" s="2" t="s">
        <v>1145</v>
      </c>
      <c r="G4890" s="14" t="n">
        <v>9.5</v>
      </c>
      <c r="H4890" s="14" t="n">
        <v>6.11</v>
      </c>
      <c r="I4890" s="14" t="n">
        <v>9.5</v>
      </c>
      <c r="J4890" s="22" t="n">
        <f aca="false">IF(E4890="Priority",'Cost model'!N200,'Cost model'!M200)</f>
        <v>7.5</v>
      </c>
      <c r="K4890" s="14" t="n">
        <f aca="false">J4890-H4890</f>
        <v>1.39</v>
      </c>
      <c r="L4890" s="14" t="n">
        <f aca="false">G4890-H4890</f>
        <v>3.39</v>
      </c>
    </row>
    <row r="4891" customFormat="false" ht="15" hidden="false" customHeight="false" outlineLevel="0" collapsed="false">
      <c r="A4891" s="2" t="s">
        <v>146</v>
      </c>
      <c r="B4891" s="2" t="s">
        <v>146</v>
      </c>
      <c r="C4891" s="2" t="s">
        <v>48</v>
      </c>
      <c r="D4891" s="2" t="s">
        <v>10</v>
      </c>
      <c r="E4891" s="2" t="s">
        <v>76</v>
      </c>
      <c r="F4891" s="2" t="s">
        <v>1145</v>
      </c>
      <c r="G4891" s="14" t="n">
        <v>9.5</v>
      </c>
      <c r="H4891" s="14" t="n">
        <v>6.89</v>
      </c>
      <c r="I4891" s="14" t="n">
        <v>9.5</v>
      </c>
      <c r="J4891" s="22" t="n">
        <f aca="false">IF(E4891="Priority",'Cost model'!N758,'Cost model'!M758)</f>
        <v>9.5</v>
      </c>
      <c r="K4891" s="14" t="n">
        <f aca="false">J4891-H4891</f>
        <v>2.61</v>
      </c>
      <c r="L4891" s="14" t="n">
        <f aca="false">G4891-H4891</f>
        <v>2.61</v>
      </c>
    </row>
    <row r="4892" customFormat="false" ht="15" hidden="false" customHeight="false" outlineLevel="0" collapsed="false">
      <c r="A4892" s="2" t="s">
        <v>126</v>
      </c>
      <c r="B4892" s="2" t="s">
        <v>126</v>
      </c>
      <c r="C4892" s="2" t="s">
        <v>50</v>
      </c>
      <c r="D4892" s="2" t="s">
        <v>10</v>
      </c>
      <c r="E4892" s="2" t="s">
        <v>76</v>
      </c>
      <c r="F4892" s="2" t="s">
        <v>1145</v>
      </c>
      <c r="G4892" s="14" t="n">
        <v>17.5</v>
      </c>
      <c r="H4892" s="14" t="n">
        <v>11.34</v>
      </c>
      <c r="I4892" s="14" t="n">
        <v>17.5</v>
      </c>
      <c r="J4892" s="22" t="n">
        <f aca="false">IF(E4892="Priority",'Cost model'!N382,'Cost model'!M382)</f>
        <v>18.5</v>
      </c>
      <c r="K4892" s="14" t="n">
        <f aca="false">J4892-H4892</f>
        <v>7.16</v>
      </c>
      <c r="L4892" s="14" t="n">
        <f aca="false">G4892-H4892</f>
        <v>6.16</v>
      </c>
    </row>
    <row r="4893" customFormat="false" ht="15" hidden="false" customHeight="false" outlineLevel="0" collapsed="false">
      <c r="A4893" s="2" t="s">
        <v>240</v>
      </c>
      <c r="B4893" s="2" t="s">
        <v>240</v>
      </c>
      <c r="C4893" s="2" t="s">
        <v>48</v>
      </c>
      <c r="D4893" s="2" t="s">
        <v>10</v>
      </c>
      <c r="E4893" s="2" t="s">
        <v>76</v>
      </c>
      <c r="F4893" s="2" t="s">
        <v>1145</v>
      </c>
      <c r="G4893" s="14" t="n">
        <v>9.5</v>
      </c>
      <c r="H4893" s="14" t="n">
        <v>6.2</v>
      </c>
      <c r="I4893" s="14" t="n">
        <v>9.5</v>
      </c>
      <c r="J4893" s="22" t="n">
        <f aca="false">IF(E4893="Priority",'Cost model'!N884,'Cost model'!M884)</f>
        <v>7.5</v>
      </c>
      <c r="K4893" s="14" t="n">
        <f aca="false">J4893-H4893</f>
        <v>1.3</v>
      </c>
      <c r="L4893" s="14" t="n">
        <f aca="false">G4893-H4893</f>
        <v>3.3</v>
      </c>
    </row>
    <row r="4894" customFormat="false" ht="15" hidden="false" customHeight="false" outlineLevel="0" collapsed="false">
      <c r="A4894" s="2" t="s">
        <v>184</v>
      </c>
      <c r="B4894" s="2" t="s">
        <v>146</v>
      </c>
      <c r="C4894" s="2" t="s">
        <v>48</v>
      </c>
      <c r="D4894" s="2" t="s">
        <v>12</v>
      </c>
      <c r="E4894" s="2" t="s">
        <v>85</v>
      </c>
      <c r="F4894" s="2" t="s">
        <v>1146</v>
      </c>
      <c r="G4894" s="14" t="n">
        <v>19.5</v>
      </c>
      <c r="H4894" s="14" t="n">
        <v>44.04</v>
      </c>
      <c r="I4894" s="14" t="n">
        <v>19.5</v>
      </c>
      <c r="J4894" s="22" t="n">
        <f aca="false">IF(E4894="Priority",'Cost model'!N149,'Cost model'!M149)</f>
        <v>60</v>
      </c>
      <c r="K4894" s="14" t="n">
        <f aca="false">J4894-H4894</f>
        <v>15.96</v>
      </c>
      <c r="L4894" s="14" t="n">
        <f aca="false">G4894-H4894</f>
        <v>-24.54</v>
      </c>
    </row>
    <row r="4895" customFormat="false" ht="15" hidden="false" customHeight="false" outlineLevel="0" collapsed="false">
      <c r="A4895" s="2" t="s">
        <v>146</v>
      </c>
      <c r="B4895" s="2" t="s">
        <v>126</v>
      </c>
      <c r="C4895" s="2" t="s">
        <v>48</v>
      </c>
      <c r="D4895" s="2" t="s">
        <v>12</v>
      </c>
      <c r="E4895" s="2" t="s">
        <v>76</v>
      </c>
      <c r="F4895" s="2" t="s">
        <v>1146</v>
      </c>
      <c r="G4895" s="14" t="n">
        <v>9.5</v>
      </c>
      <c r="H4895" s="14" t="n">
        <v>45.57</v>
      </c>
      <c r="I4895" s="14" t="n">
        <v>19.5</v>
      </c>
      <c r="J4895" s="22" t="n">
        <f aca="false">IF(E4895="Priority",'Cost model'!N797,'Cost model'!M797)</f>
        <v>40</v>
      </c>
      <c r="K4895" s="14" t="n">
        <f aca="false">J4895-H4895</f>
        <v>-5.57</v>
      </c>
      <c r="L4895" s="14" t="n">
        <f aca="false">G4895-H4895</f>
        <v>-36.07</v>
      </c>
    </row>
    <row r="4896" customFormat="false" ht="15" hidden="false" customHeight="false" outlineLevel="0" collapsed="false">
      <c r="A4896" s="2" t="s">
        <v>240</v>
      </c>
      <c r="B4896" s="2" t="s">
        <v>240</v>
      </c>
      <c r="C4896" s="2" t="s">
        <v>48</v>
      </c>
      <c r="D4896" s="2" t="s">
        <v>10</v>
      </c>
      <c r="E4896" s="2" t="s">
        <v>76</v>
      </c>
      <c r="F4896" s="2" t="s">
        <v>1145</v>
      </c>
      <c r="G4896" s="14" t="n">
        <v>9.5</v>
      </c>
      <c r="H4896" s="14" t="n">
        <v>7.47</v>
      </c>
      <c r="I4896" s="14" t="n">
        <v>9.5</v>
      </c>
      <c r="J4896" s="22" t="n">
        <f aca="false">IF(E4896="Priority",'Cost model'!N884,'Cost model'!M884)</f>
        <v>7.5</v>
      </c>
      <c r="K4896" s="14" t="n">
        <f aca="false">J4896-H4896</f>
        <v>0.0300000000000003</v>
      </c>
      <c r="L4896" s="14" t="n">
        <f aca="false">G4896-H4896</f>
        <v>2.03</v>
      </c>
    </row>
    <row r="4897" customFormat="false" ht="15" hidden="false" customHeight="false" outlineLevel="0" collapsed="false">
      <c r="A4897" s="2" t="s">
        <v>184</v>
      </c>
      <c r="B4897" s="2" t="s">
        <v>184</v>
      </c>
      <c r="C4897" s="2" t="s">
        <v>48</v>
      </c>
      <c r="D4897" s="2" t="s">
        <v>12</v>
      </c>
      <c r="E4897" s="2" t="s">
        <v>76</v>
      </c>
      <c r="F4897" s="2" t="s">
        <v>1145</v>
      </c>
      <c r="G4897" s="14" t="n">
        <v>9.5</v>
      </c>
      <c r="H4897" s="14" t="n">
        <v>27.38</v>
      </c>
      <c r="I4897" s="14" t="n">
        <v>9.5</v>
      </c>
      <c r="J4897" s="22" t="n">
        <f aca="false">IF(E4897="Priority",'Cost model'!N203,'Cost model'!M203)</f>
        <v>26.5</v>
      </c>
      <c r="K4897" s="14" t="n">
        <f aca="false">J4897-H4897</f>
        <v>-0.879999999999999</v>
      </c>
      <c r="L4897" s="14" t="n">
        <f aca="false">G4897-H4897</f>
        <v>-17.88</v>
      </c>
    </row>
    <row r="4898" customFormat="false" ht="15" hidden="false" customHeight="false" outlineLevel="0" collapsed="false">
      <c r="A4898" s="2" t="s">
        <v>126</v>
      </c>
      <c r="B4898" s="2" t="s">
        <v>126</v>
      </c>
      <c r="C4898" s="2" t="s">
        <v>48</v>
      </c>
      <c r="D4898" s="2" t="s">
        <v>12</v>
      </c>
      <c r="E4898" s="2" t="s">
        <v>76</v>
      </c>
      <c r="F4898" s="2" t="s">
        <v>1145</v>
      </c>
      <c r="G4898" s="14" t="n">
        <v>9.5</v>
      </c>
      <c r="H4898" s="14" t="n">
        <v>28.15</v>
      </c>
      <c r="I4898" s="14" t="n">
        <v>9.5</v>
      </c>
      <c r="J4898" s="22" t="n">
        <f aca="false">IF(E4898="Priority",'Cost model'!N383,'Cost model'!M383)</f>
        <v>27.5</v>
      </c>
      <c r="K4898" s="14" t="n">
        <f aca="false">J4898-H4898</f>
        <v>-0.649999999999999</v>
      </c>
      <c r="L4898" s="14" t="n">
        <f aca="false">G4898-H4898</f>
        <v>-18.65</v>
      </c>
    </row>
    <row r="4899" customFormat="false" ht="15" hidden="false" customHeight="false" outlineLevel="0" collapsed="false">
      <c r="A4899" s="2" t="s">
        <v>184</v>
      </c>
      <c r="B4899" s="2" t="s">
        <v>184</v>
      </c>
      <c r="C4899" s="2" t="s">
        <v>48</v>
      </c>
      <c r="D4899" s="2" t="s">
        <v>13</v>
      </c>
      <c r="E4899" s="2" t="s">
        <v>76</v>
      </c>
      <c r="F4899" s="2" t="s">
        <v>1145</v>
      </c>
      <c r="G4899" s="14" t="n">
        <v>19</v>
      </c>
      <c r="H4899" s="14" t="n">
        <v>100.35</v>
      </c>
      <c r="I4899" s="14" t="n">
        <v>19</v>
      </c>
      <c r="J4899" s="22" t="n">
        <f aca="false">IF(E4899="Priority",'Cost model'!N206,'Cost model'!M206)</f>
        <v>55</v>
      </c>
      <c r="K4899" s="14" t="n">
        <f aca="false">J4899-H4899</f>
        <v>-45.35</v>
      </c>
      <c r="L4899" s="14" t="n">
        <f aca="false">G4899-H4899</f>
        <v>-81.35</v>
      </c>
    </row>
    <row r="4900" customFormat="false" ht="15" hidden="false" customHeight="false" outlineLevel="0" collapsed="false">
      <c r="A4900" s="2" t="s">
        <v>146</v>
      </c>
      <c r="B4900" s="2" t="s">
        <v>146</v>
      </c>
      <c r="C4900" s="2" t="s">
        <v>49</v>
      </c>
      <c r="D4900" s="2" t="s">
        <v>12</v>
      </c>
      <c r="E4900" s="2" t="s">
        <v>85</v>
      </c>
      <c r="F4900" s="2" t="s">
        <v>1145</v>
      </c>
      <c r="G4900" s="14" t="n">
        <v>19.5</v>
      </c>
      <c r="H4900" s="14" t="n">
        <v>43.51</v>
      </c>
      <c r="I4900" s="14" t="n">
        <v>19.5</v>
      </c>
      <c r="J4900" s="22" t="n">
        <f aca="false">IF(E4900="Priority",'Cost model'!N762,'Cost model'!M762)</f>
        <v>60</v>
      </c>
      <c r="K4900" s="14" t="n">
        <f aca="false">J4900-H4900</f>
        <v>16.49</v>
      </c>
      <c r="L4900" s="14" t="n">
        <f aca="false">G4900-H4900</f>
        <v>-24.01</v>
      </c>
    </row>
    <row r="4901" customFormat="false" ht="15" hidden="false" customHeight="false" outlineLevel="0" collapsed="false">
      <c r="A4901" s="2" t="s">
        <v>184</v>
      </c>
      <c r="B4901" s="2" t="s">
        <v>240</v>
      </c>
      <c r="C4901" s="2" t="s">
        <v>49</v>
      </c>
      <c r="D4901" s="2" t="s">
        <v>12</v>
      </c>
      <c r="E4901" s="2" t="s">
        <v>76</v>
      </c>
      <c r="F4901" s="2" t="s">
        <v>1146</v>
      </c>
      <c r="G4901" s="14" t="n">
        <v>24.5</v>
      </c>
      <c r="H4901" s="14" t="n">
        <v>23.58</v>
      </c>
      <c r="I4901" s="14"/>
      <c r="J4901" s="22" t="n">
        <f aca="false">IF(E4901="Priority",'Cost model'!N186,'Cost model'!M186)</f>
        <v>55</v>
      </c>
      <c r="K4901" s="14" t="n">
        <f aca="false">J4901-H4901</f>
        <v>31.42</v>
      </c>
      <c r="L4901" s="14" t="n">
        <f aca="false">G4901-H4901</f>
        <v>0.920000000000002</v>
      </c>
    </row>
    <row r="4902" customFormat="false" ht="15" hidden="false" customHeight="false" outlineLevel="0" collapsed="false">
      <c r="A4902" s="2" t="s">
        <v>146</v>
      </c>
      <c r="B4902" s="2" t="s">
        <v>126</v>
      </c>
      <c r="C4902" s="2" t="s">
        <v>50</v>
      </c>
      <c r="D4902" s="2" t="s">
        <v>12</v>
      </c>
      <c r="E4902" s="2" t="s">
        <v>76</v>
      </c>
      <c r="F4902" s="2" t="s">
        <v>1146</v>
      </c>
      <c r="G4902" s="14" t="n">
        <v>19.5</v>
      </c>
      <c r="H4902" s="14" t="n">
        <v>55.51</v>
      </c>
      <c r="I4902" s="14" t="n">
        <v>19.5</v>
      </c>
      <c r="J4902" s="22" t="n">
        <f aca="false">IF(E4902="Priority",'Cost model'!N799,'Cost model'!M799)</f>
        <v>55</v>
      </c>
      <c r="K4902" s="14" t="n">
        <f aca="false">J4902-H4902</f>
        <v>-0.509999999999998</v>
      </c>
      <c r="L4902" s="14" t="n">
        <f aca="false">G4902-H4902</f>
        <v>-36.01</v>
      </c>
    </row>
    <row r="4903" customFormat="false" ht="15" hidden="false" customHeight="false" outlineLevel="0" collapsed="false">
      <c r="A4903" s="2" t="s">
        <v>146</v>
      </c>
      <c r="B4903" s="2" t="s">
        <v>146</v>
      </c>
      <c r="C4903" s="2" t="s">
        <v>50</v>
      </c>
      <c r="D4903" s="2" t="s">
        <v>12</v>
      </c>
      <c r="E4903" s="2" t="s">
        <v>76</v>
      </c>
      <c r="F4903" s="2" t="s">
        <v>1145</v>
      </c>
      <c r="G4903" s="14" t="n">
        <v>19.5</v>
      </c>
      <c r="H4903" s="14" t="n">
        <v>41.77</v>
      </c>
      <c r="I4903" s="14" t="n">
        <v>19.5</v>
      </c>
      <c r="J4903" s="22" t="n">
        <f aca="false">IF(E4903="Priority",'Cost model'!N763,'Cost model'!M763)</f>
        <v>50</v>
      </c>
      <c r="K4903" s="14" t="n">
        <f aca="false">J4903-H4903</f>
        <v>8.23</v>
      </c>
      <c r="L4903" s="14" t="n">
        <f aca="false">G4903-H4903</f>
        <v>-22.27</v>
      </c>
    </row>
    <row r="4904" customFormat="false" ht="15" hidden="false" customHeight="false" outlineLevel="0" collapsed="false">
      <c r="A4904" s="2" t="s">
        <v>221</v>
      </c>
      <c r="B4904" s="2" t="s">
        <v>221</v>
      </c>
      <c r="C4904" s="2" t="s">
        <v>49</v>
      </c>
      <c r="D4904" s="2" t="s">
        <v>10</v>
      </c>
      <c r="E4904" s="2" t="s">
        <v>76</v>
      </c>
      <c r="F4904" s="2" t="s">
        <v>1145</v>
      </c>
      <c r="G4904" s="14" t="n">
        <v>14.5</v>
      </c>
      <c r="H4904" s="14" t="n">
        <v>7.22</v>
      </c>
      <c r="I4904" s="14" t="n">
        <v>12.5</v>
      </c>
      <c r="J4904" s="22" t="n">
        <f aca="false">IF(E4904="Priority",'Cost model'!N633,'Cost model'!M633)</f>
        <v>13.5</v>
      </c>
      <c r="K4904" s="14" t="n">
        <f aca="false">J4904-H4904</f>
        <v>6.28</v>
      </c>
      <c r="L4904" s="14" t="n">
        <f aca="false">G4904-H4904</f>
        <v>7.28</v>
      </c>
    </row>
    <row r="4905" customFormat="false" ht="15" hidden="false" customHeight="false" outlineLevel="0" collapsed="false">
      <c r="A4905" s="2" t="s">
        <v>240</v>
      </c>
      <c r="B4905" s="2" t="s">
        <v>240</v>
      </c>
      <c r="C4905" s="2" t="s">
        <v>48</v>
      </c>
      <c r="D4905" s="2" t="s">
        <v>12</v>
      </c>
      <c r="E4905" s="2" t="s">
        <v>76</v>
      </c>
      <c r="F4905" s="2" t="s">
        <v>1145</v>
      </c>
      <c r="G4905" s="14" t="n">
        <v>9.5</v>
      </c>
      <c r="H4905" s="14" t="n">
        <v>29.23</v>
      </c>
      <c r="I4905" s="14" t="n">
        <v>9.5</v>
      </c>
      <c r="J4905" s="22" t="n">
        <f aca="false">IF(E4905="Priority",'Cost model'!N887,'Cost model'!M887)</f>
        <v>21.5</v>
      </c>
      <c r="K4905" s="14" t="n">
        <f aca="false">J4905-H4905</f>
        <v>-7.73</v>
      </c>
      <c r="L4905" s="14" t="n">
        <f aca="false">G4905-H4905</f>
        <v>-19.73</v>
      </c>
    </row>
    <row r="4906" customFormat="false" ht="15" hidden="false" customHeight="false" outlineLevel="0" collapsed="false">
      <c r="A4906" s="2" t="s">
        <v>126</v>
      </c>
      <c r="B4906" s="2" t="s">
        <v>184</v>
      </c>
      <c r="C4906" s="2" t="s">
        <v>48</v>
      </c>
      <c r="D4906" s="2" t="s">
        <v>10</v>
      </c>
      <c r="E4906" s="2" t="s">
        <v>76</v>
      </c>
      <c r="F4906" s="2" t="s">
        <v>1146</v>
      </c>
      <c r="G4906" s="14" t="n">
        <v>9.5</v>
      </c>
      <c r="H4906" s="14" t="n">
        <v>8.11</v>
      </c>
      <c r="I4906" s="14" t="n">
        <v>14.5</v>
      </c>
      <c r="J4906" s="22" t="n">
        <f aca="false">IF(E4906="Priority",'Cost model'!N434,'Cost model'!M434)</f>
        <v>13.5</v>
      </c>
      <c r="K4906" s="14" t="n">
        <f aca="false">J4906-H4906</f>
        <v>5.39</v>
      </c>
      <c r="L4906" s="14" t="n">
        <f aca="false">G4906-H4906</f>
        <v>1.39</v>
      </c>
    </row>
    <row r="4907" customFormat="false" ht="15" hidden="false" customHeight="false" outlineLevel="0" collapsed="false">
      <c r="A4907" s="2" t="s">
        <v>165</v>
      </c>
      <c r="B4907" s="2" t="s">
        <v>165</v>
      </c>
      <c r="C4907" s="2" t="s">
        <v>50</v>
      </c>
      <c r="D4907" s="2" t="s">
        <v>10</v>
      </c>
      <c r="E4907" s="2" t="s">
        <v>76</v>
      </c>
      <c r="F4907" s="2" t="s">
        <v>1145</v>
      </c>
      <c r="G4907" s="14" t="n">
        <v>17.5</v>
      </c>
      <c r="H4907" s="14" t="n">
        <v>14.08</v>
      </c>
      <c r="I4907" s="14" t="n">
        <v>17.5</v>
      </c>
      <c r="J4907" s="22" t="n">
        <f aca="false">IF(E4907="Priority",'Cost model'!N508,'Cost model'!M508)</f>
        <v>17.5</v>
      </c>
      <c r="K4907" s="14" t="n">
        <f aca="false">J4907-H4907</f>
        <v>3.42</v>
      </c>
      <c r="L4907" s="14" t="n">
        <f aca="false">G4907-H4907</f>
        <v>3.42</v>
      </c>
    </row>
    <row r="4908" customFormat="false" ht="15" hidden="false" customHeight="false" outlineLevel="0" collapsed="false">
      <c r="A4908" s="2" t="s">
        <v>240</v>
      </c>
      <c r="B4908" s="2" t="s">
        <v>240</v>
      </c>
      <c r="C4908" s="2" t="s">
        <v>49</v>
      </c>
      <c r="D4908" s="2" t="s">
        <v>10</v>
      </c>
      <c r="E4908" s="2" t="s">
        <v>76</v>
      </c>
      <c r="F4908" s="2" t="s">
        <v>1145</v>
      </c>
      <c r="G4908" s="14" t="n">
        <v>12.5</v>
      </c>
      <c r="H4908" s="14" t="n">
        <v>11.42</v>
      </c>
      <c r="I4908" s="14" t="n">
        <v>12.5</v>
      </c>
      <c r="J4908" s="22" t="n">
        <f aca="false">IF(E4908="Priority",'Cost model'!N885,'Cost model'!M885)</f>
        <v>13.5</v>
      </c>
      <c r="K4908" s="14" t="n">
        <f aca="false">J4908-H4908</f>
        <v>2.08</v>
      </c>
      <c r="L4908" s="14" t="n">
        <f aca="false">G4908-H4908</f>
        <v>1.08</v>
      </c>
    </row>
    <row r="4909" customFormat="false" ht="15" hidden="false" customHeight="false" outlineLevel="0" collapsed="false">
      <c r="A4909" s="2" t="s">
        <v>126</v>
      </c>
      <c r="B4909" s="2" t="s">
        <v>126</v>
      </c>
      <c r="C4909" s="2" t="s">
        <v>48</v>
      </c>
      <c r="D4909" s="2" t="s">
        <v>10</v>
      </c>
      <c r="E4909" s="2" t="s">
        <v>76</v>
      </c>
      <c r="F4909" s="2" t="s">
        <v>1145</v>
      </c>
      <c r="G4909" s="14" t="n">
        <v>19.5</v>
      </c>
      <c r="H4909" s="14" t="n">
        <v>8.09</v>
      </c>
      <c r="I4909" s="14" t="n">
        <v>9.5</v>
      </c>
      <c r="J4909" s="22" t="n">
        <f aca="false">IF(E4909="Priority",'Cost model'!N380,'Cost model'!M380)</f>
        <v>8.5</v>
      </c>
      <c r="K4909" s="14" t="n">
        <f aca="false">J4909-H4909</f>
        <v>0.41</v>
      </c>
      <c r="L4909" s="14" t="n">
        <f aca="false">G4909-H4909</f>
        <v>11.41</v>
      </c>
    </row>
    <row r="4910" customFormat="false" ht="15" hidden="false" customHeight="false" outlineLevel="0" collapsed="false">
      <c r="A4910" s="2" t="s">
        <v>126</v>
      </c>
      <c r="B4910" s="2" t="s">
        <v>126</v>
      </c>
      <c r="C4910" s="2" t="s">
        <v>48</v>
      </c>
      <c r="D4910" s="2" t="s">
        <v>13</v>
      </c>
      <c r="E4910" s="2" t="s">
        <v>76</v>
      </c>
      <c r="F4910" s="2" t="s">
        <v>1145</v>
      </c>
      <c r="G4910" s="14" t="n">
        <v>19</v>
      </c>
      <c r="H4910" s="14" t="n">
        <v>46.65</v>
      </c>
      <c r="I4910" s="14" t="n">
        <v>19</v>
      </c>
      <c r="J4910" s="22" t="n">
        <f aca="false">IF(E4910="Priority",'Cost model'!N386,'Cost model'!M386)</f>
        <v>55</v>
      </c>
      <c r="K4910" s="14" t="n">
        <f aca="false">J4910-H4910</f>
        <v>8.35</v>
      </c>
      <c r="L4910" s="14" t="n">
        <f aca="false">G4910-H4910</f>
        <v>-27.65</v>
      </c>
    </row>
    <row r="4911" customFormat="false" ht="15" hidden="false" customHeight="false" outlineLevel="0" collapsed="false">
      <c r="A4911" s="2" t="s">
        <v>146</v>
      </c>
      <c r="B4911" s="2" t="s">
        <v>146</v>
      </c>
      <c r="C4911" s="2" t="s">
        <v>48</v>
      </c>
      <c r="D4911" s="2" t="s">
        <v>10</v>
      </c>
      <c r="E4911" s="2" t="s">
        <v>76</v>
      </c>
      <c r="F4911" s="2" t="s">
        <v>1145</v>
      </c>
      <c r="G4911" s="14" t="n">
        <v>9.5</v>
      </c>
      <c r="H4911" s="14" t="n">
        <v>7.71</v>
      </c>
      <c r="I4911" s="14" t="n">
        <v>9.5</v>
      </c>
      <c r="J4911" s="22" t="n">
        <f aca="false">IF(E4911="Priority",'Cost model'!N758,'Cost model'!M758)</f>
        <v>9.5</v>
      </c>
      <c r="K4911" s="14" t="n">
        <f aca="false">J4911-H4911</f>
        <v>1.79</v>
      </c>
      <c r="L4911" s="14" t="n">
        <f aca="false">G4911-H4911</f>
        <v>1.79</v>
      </c>
    </row>
    <row r="4912" customFormat="false" ht="15" hidden="false" customHeight="false" outlineLevel="0" collapsed="false">
      <c r="A4912" s="2" t="s">
        <v>385</v>
      </c>
      <c r="B4912" s="2" t="s">
        <v>165</v>
      </c>
      <c r="C4912" s="2" t="s">
        <v>50</v>
      </c>
      <c r="D4912" s="2" t="s">
        <v>12</v>
      </c>
      <c r="E4912" s="2" t="s">
        <v>76</v>
      </c>
      <c r="F4912" s="2" t="s">
        <v>1146</v>
      </c>
      <c r="G4912" s="14" t="n">
        <v>24.5</v>
      </c>
      <c r="H4912" s="14" t="n">
        <v>61.52</v>
      </c>
      <c r="I4912" s="14" t="n">
        <v>24.5</v>
      </c>
      <c r="J4912" s="22" t="n">
        <f aca="false">IF(E4912="Priority",'Cost model'!N259,'Cost model'!M259)</f>
        <v>75</v>
      </c>
      <c r="K4912" s="14" t="n">
        <f aca="false">J4912-H4912</f>
        <v>13.48</v>
      </c>
      <c r="L4912" s="14" t="n">
        <f aca="false">G4912-H4912</f>
        <v>-37.02</v>
      </c>
    </row>
    <row r="4913" customFormat="false" ht="15" hidden="false" customHeight="false" outlineLevel="0" collapsed="false">
      <c r="A4913" s="2" t="s">
        <v>184</v>
      </c>
      <c r="B4913" s="2" t="s">
        <v>126</v>
      </c>
      <c r="C4913" s="2" t="s">
        <v>48</v>
      </c>
      <c r="D4913" s="2" t="s">
        <v>10</v>
      </c>
      <c r="E4913" s="2" t="s">
        <v>76</v>
      </c>
      <c r="F4913" s="2" t="s">
        <v>1146</v>
      </c>
      <c r="G4913" s="14" t="n">
        <v>9.5</v>
      </c>
      <c r="H4913" s="14" t="n">
        <v>28.14</v>
      </c>
      <c r="I4913" s="14" t="n">
        <v>9.5</v>
      </c>
      <c r="J4913" s="22" t="n">
        <f aca="false">IF(E4913="Priority",'Cost model'!N128,'Cost model'!M128)</f>
        <v>10.5</v>
      </c>
      <c r="K4913" s="14" t="n">
        <f aca="false">J4913-H4913</f>
        <v>-17.64</v>
      </c>
      <c r="L4913" s="14" t="n">
        <f aca="false">G4913-H4913</f>
        <v>-18.64</v>
      </c>
    </row>
    <row r="4914" customFormat="false" ht="15" hidden="false" customHeight="false" outlineLevel="0" collapsed="false">
      <c r="A4914" s="2" t="s">
        <v>184</v>
      </c>
      <c r="B4914" s="2" t="s">
        <v>184</v>
      </c>
      <c r="C4914" s="2" t="s">
        <v>49</v>
      </c>
      <c r="D4914" s="2" t="s">
        <v>10</v>
      </c>
      <c r="E4914" s="2" t="s">
        <v>76</v>
      </c>
      <c r="F4914" s="2" t="s">
        <v>1145</v>
      </c>
      <c r="G4914" s="14" t="n">
        <v>12.5</v>
      </c>
      <c r="H4914" s="14" t="n">
        <v>11.46</v>
      </c>
      <c r="I4914" s="14"/>
      <c r="J4914" s="22" t="n">
        <f aca="false">IF(E4914="Priority",'Cost model'!N201,'Cost model'!M201)</f>
        <v>12.5</v>
      </c>
      <c r="K4914" s="14" t="n">
        <f aca="false">J4914-H4914</f>
        <v>1.04</v>
      </c>
      <c r="L4914" s="14" t="n">
        <f aca="false">G4914-H4914</f>
        <v>1.04</v>
      </c>
    </row>
    <row r="4915" customFormat="false" ht="15" hidden="false" customHeight="false" outlineLevel="0" collapsed="false">
      <c r="A4915" s="2" t="s">
        <v>165</v>
      </c>
      <c r="B4915" s="2" t="s">
        <v>126</v>
      </c>
      <c r="C4915" s="2" t="s">
        <v>50</v>
      </c>
      <c r="D4915" s="2" t="s">
        <v>10</v>
      </c>
      <c r="E4915" s="2" t="s">
        <v>76</v>
      </c>
      <c r="F4915" s="2" t="s">
        <v>1146</v>
      </c>
      <c r="G4915" s="14" t="n">
        <v>17.5</v>
      </c>
      <c r="H4915" s="14" t="n">
        <v>16.9</v>
      </c>
      <c r="I4915" s="14" t="n">
        <v>17.5</v>
      </c>
      <c r="J4915" s="22" t="n">
        <f aca="false">IF(E4915="Priority",'Cost model'!N544,'Cost model'!M544)</f>
        <v>21.5</v>
      </c>
      <c r="K4915" s="14" t="n">
        <f aca="false">J4915-H4915</f>
        <v>4.6</v>
      </c>
      <c r="L4915" s="14" t="n">
        <f aca="false">G4915-H4915</f>
        <v>0.600000000000001</v>
      </c>
    </row>
    <row r="4916" customFormat="false" ht="15" hidden="false" customHeight="false" outlineLevel="0" collapsed="false">
      <c r="A4916" s="2" t="s">
        <v>126</v>
      </c>
      <c r="B4916" s="2" t="s">
        <v>126</v>
      </c>
      <c r="C4916" s="2" t="s">
        <v>48</v>
      </c>
      <c r="D4916" s="2" t="s">
        <v>12</v>
      </c>
      <c r="E4916" s="2" t="s">
        <v>76</v>
      </c>
      <c r="F4916" s="2" t="s">
        <v>1145</v>
      </c>
      <c r="G4916" s="14" t="n">
        <v>9.5</v>
      </c>
      <c r="H4916" s="14" t="n">
        <v>28.06</v>
      </c>
      <c r="I4916" s="14" t="n">
        <v>9.5</v>
      </c>
      <c r="J4916" s="22" t="n">
        <f aca="false">IF(E4916="Priority",'Cost model'!N383,'Cost model'!M383)</f>
        <v>27.5</v>
      </c>
      <c r="K4916" s="14" t="n">
        <f aca="false">J4916-H4916</f>
        <v>-0.559999999999999</v>
      </c>
      <c r="L4916" s="14" t="n">
        <f aca="false">G4916-H4916</f>
        <v>-18.56</v>
      </c>
    </row>
    <row r="4917" customFormat="false" ht="15" hidden="false" customHeight="false" outlineLevel="0" collapsed="false">
      <c r="A4917" s="2" t="s">
        <v>165</v>
      </c>
      <c r="B4917" s="2" t="s">
        <v>165</v>
      </c>
      <c r="C4917" s="2" t="s">
        <v>50</v>
      </c>
      <c r="D4917" s="2" t="s">
        <v>12</v>
      </c>
      <c r="E4917" s="2" t="s">
        <v>76</v>
      </c>
      <c r="F4917" s="2" t="s">
        <v>1145</v>
      </c>
      <c r="G4917" s="14" t="n">
        <v>19.5</v>
      </c>
      <c r="H4917" s="14" t="n">
        <v>14.85</v>
      </c>
      <c r="I4917" s="14" t="n">
        <v>19.5</v>
      </c>
      <c r="J4917" s="22" t="n">
        <f aca="false">IF(E4917="Priority",'Cost model'!N511,'Cost model'!M511)</f>
        <v>35</v>
      </c>
      <c r="K4917" s="14" t="n">
        <f aca="false">J4917-H4917</f>
        <v>20.15</v>
      </c>
      <c r="L4917" s="14" t="n">
        <f aca="false">G4917-H4917</f>
        <v>4.65</v>
      </c>
    </row>
    <row r="4918" customFormat="false" ht="15" hidden="false" customHeight="false" outlineLevel="0" collapsed="false">
      <c r="A4918" s="2" t="s">
        <v>146</v>
      </c>
      <c r="B4918" s="2" t="s">
        <v>221</v>
      </c>
      <c r="C4918" s="2" t="s">
        <v>48</v>
      </c>
      <c r="D4918" s="2" t="s">
        <v>10</v>
      </c>
      <c r="E4918" s="2" t="s">
        <v>76</v>
      </c>
      <c r="F4918" s="2" t="s">
        <v>1146</v>
      </c>
      <c r="G4918" s="14" t="n">
        <v>9.5</v>
      </c>
      <c r="H4918" s="14" t="n">
        <v>7.93</v>
      </c>
      <c r="I4918" s="14" t="n">
        <v>19.5</v>
      </c>
      <c r="J4918" s="22" t="n">
        <f aca="false">IF(E4918="Priority",'Cost model'!N848,'Cost model'!M848)</f>
        <v>9.5</v>
      </c>
      <c r="K4918" s="14" t="n">
        <f aca="false">J4918-H4918</f>
        <v>1.57</v>
      </c>
      <c r="L4918" s="14" t="n">
        <f aca="false">G4918-H4918</f>
        <v>1.57</v>
      </c>
    </row>
    <row r="4919" customFormat="false" ht="15" hidden="false" customHeight="false" outlineLevel="0" collapsed="false">
      <c r="A4919" s="2" t="s">
        <v>165</v>
      </c>
      <c r="B4919" s="2" t="s">
        <v>146</v>
      </c>
      <c r="C4919" s="2" t="s">
        <v>48</v>
      </c>
      <c r="D4919" s="2" t="s">
        <v>10</v>
      </c>
      <c r="E4919" s="2" t="s">
        <v>85</v>
      </c>
      <c r="F4919" s="2" t="s">
        <v>1146</v>
      </c>
      <c r="G4919" s="14" t="n">
        <v>19.5</v>
      </c>
      <c r="H4919" s="14" t="n">
        <v>24.17</v>
      </c>
      <c r="I4919" s="14" t="n">
        <v>19.5</v>
      </c>
      <c r="J4919" s="22" t="n">
        <f aca="false">IF(E4919="Priority",'Cost model'!N524,'Cost model'!M524)</f>
        <v>19.5</v>
      </c>
      <c r="K4919" s="14" t="n">
        <f aca="false">J4919-H4919</f>
        <v>-4.67</v>
      </c>
      <c r="L4919" s="14" t="n">
        <f aca="false">G4919-H4919</f>
        <v>-4.67</v>
      </c>
    </row>
    <row r="4920" customFormat="false" ht="15" hidden="false" customHeight="false" outlineLevel="0" collapsed="false">
      <c r="A4920" s="2" t="s">
        <v>126</v>
      </c>
      <c r="B4920" s="2" t="s">
        <v>126</v>
      </c>
      <c r="C4920" s="2" t="s">
        <v>48</v>
      </c>
      <c r="D4920" s="2" t="s">
        <v>10</v>
      </c>
      <c r="E4920" s="2" t="s">
        <v>76</v>
      </c>
      <c r="F4920" s="2" t="s">
        <v>1145</v>
      </c>
      <c r="G4920" s="14" t="n">
        <v>9.5</v>
      </c>
      <c r="H4920" s="14" t="n">
        <v>27.69</v>
      </c>
      <c r="I4920" s="14" t="n">
        <v>9.5</v>
      </c>
      <c r="J4920" s="22" t="n">
        <f aca="false">IF(E4920="Priority",'Cost model'!N380,'Cost model'!M380)</f>
        <v>8.5</v>
      </c>
      <c r="K4920" s="14" t="n">
        <f aca="false">J4920-H4920</f>
        <v>-19.19</v>
      </c>
      <c r="L4920" s="14" t="n">
        <f aca="false">G4920-H4920</f>
        <v>-18.19</v>
      </c>
    </row>
    <row r="4921" customFormat="false" ht="15" hidden="false" customHeight="false" outlineLevel="0" collapsed="false">
      <c r="A4921" s="2" t="s">
        <v>240</v>
      </c>
      <c r="B4921" s="2" t="s">
        <v>240</v>
      </c>
      <c r="C4921" s="2" t="s">
        <v>48</v>
      </c>
      <c r="D4921" s="2" t="s">
        <v>12</v>
      </c>
      <c r="E4921" s="2" t="s">
        <v>85</v>
      </c>
      <c r="F4921" s="2" t="s">
        <v>1145</v>
      </c>
      <c r="G4921" s="14" t="n">
        <v>19.5</v>
      </c>
      <c r="H4921" s="14" t="n">
        <v>29.3</v>
      </c>
      <c r="I4921" s="14" t="n">
        <v>19.5</v>
      </c>
      <c r="J4921" s="22" t="n">
        <f aca="false">IF(E4921="Priority",'Cost model'!N887,'Cost model'!M887)</f>
        <v>27.5</v>
      </c>
      <c r="K4921" s="14" t="n">
        <f aca="false">J4921-H4921</f>
        <v>-1.8</v>
      </c>
      <c r="L4921" s="14" t="n">
        <f aca="false">G4921-H4921</f>
        <v>-9.8</v>
      </c>
    </row>
    <row r="4922" customFormat="false" ht="15" hidden="false" customHeight="false" outlineLevel="0" collapsed="false">
      <c r="A4922" s="2" t="s">
        <v>240</v>
      </c>
      <c r="B4922" s="2" t="s">
        <v>240</v>
      </c>
      <c r="C4922" s="2" t="s">
        <v>50</v>
      </c>
      <c r="D4922" s="2" t="s">
        <v>12</v>
      </c>
      <c r="E4922" s="2" t="s">
        <v>76</v>
      </c>
      <c r="F4922" s="2" t="s">
        <v>1145</v>
      </c>
      <c r="G4922" s="14" t="n">
        <v>19.5</v>
      </c>
      <c r="H4922" s="14" t="n">
        <v>125.36</v>
      </c>
      <c r="I4922" s="14" t="n">
        <v>19.5</v>
      </c>
      <c r="J4922" s="22" t="n">
        <f aca="false">IF(E4922="Priority",'Cost model'!N889,'Cost model'!M889)</f>
        <v>60</v>
      </c>
      <c r="K4922" s="14" t="n">
        <f aca="false">J4922-H4922</f>
        <v>-65.36</v>
      </c>
      <c r="L4922" s="14" t="n">
        <f aca="false">G4922-H4922</f>
        <v>-105.86</v>
      </c>
    </row>
    <row r="4923" customFormat="false" ht="15" hidden="false" customHeight="false" outlineLevel="0" collapsed="false">
      <c r="A4923" s="2" t="s">
        <v>165</v>
      </c>
      <c r="B4923" s="2" t="s">
        <v>165</v>
      </c>
      <c r="C4923" s="2" t="s">
        <v>50</v>
      </c>
      <c r="D4923" s="2" t="s">
        <v>10</v>
      </c>
      <c r="E4923" s="2" t="s">
        <v>76</v>
      </c>
      <c r="F4923" s="2" t="s">
        <v>1145</v>
      </c>
      <c r="G4923" s="14" t="n">
        <v>17.5</v>
      </c>
      <c r="H4923" s="14" t="n">
        <v>14.08</v>
      </c>
      <c r="I4923" s="14" t="n">
        <v>17.5</v>
      </c>
      <c r="J4923" s="22" t="n">
        <f aca="false">IF(E4923="Priority",'Cost model'!N508,'Cost model'!M508)</f>
        <v>17.5</v>
      </c>
      <c r="K4923" s="14" t="n">
        <f aca="false">J4923-H4923</f>
        <v>3.42</v>
      </c>
      <c r="L4923" s="14" t="n">
        <f aca="false">G4923-H4923</f>
        <v>3.42</v>
      </c>
    </row>
    <row r="4924" customFormat="false" ht="15" hidden="false" customHeight="false" outlineLevel="0" collapsed="false">
      <c r="A4924" s="2" t="s">
        <v>126</v>
      </c>
      <c r="B4924" s="2" t="s">
        <v>126</v>
      </c>
      <c r="C4924" s="2" t="s">
        <v>49</v>
      </c>
      <c r="D4924" s="2" t="s">
        <v>14</v>
      </c>
      <c r="E4924" s="2" t="s">
        <v>76</v>
      </c>
      <c r="F4924" s="2" t="s">
        <v>1145</v>
      </c>
      <c r="G4924" s="14" t="n">
        <v>45</v>
      </c>
      <c r="H4924" s="14" t="n">
        <v>136.41</v>
      </c>
      <c r="I4924" s="14" t="n">
        <v>45</v>
      </c>
      <c r="J4924" s="22" t="n">
        <f aca="false">IF(E4924="Priority",'Cost model'!N390,'Cost model'!M390)</f>
        <v>115</v>
      </c>
      <c r="K4924" s="14" t="n">
        <f aca="false">J4924-H4924</f>
        <v>-21.41</v>
      </c>
      <c r="L4924" s="14" t="n">
        <f aca="false">G4924-H4924</f>
        <v>-91.41</v>
      </c>
    </row>
    <row r="4925" customFormat="false" ht="15" hidden="false" customHeight="false" outlineLevel="0" collapsed="false">
      <c r="A4925" s="2" t="s">
        <v>126</v>
      </c>
      <c r="B4925" s="2" t="s">
        <v>126</v>
      </c>
      <c r="C4925" s="2" t="s">
        <v>49</v>
      </c>
      <c r="D4925" s="2" t="s">
        <v>12</v>
      </c>
      <c r="E4925" s="2" t="s">
        <v>76</v>
      </c>
      <c r="F4925" s="2" t="s">
        <v>1145</v>
      </c>
      <c r="G4925" s="14" t="n">
        <v>12.5</v>
      </c>
      <c r="H4925" s="14" t="n">
        <v>14.01</v>
      </c>
      <c r="I4925" s="14" t="n">
        <v>12.5</v>
      </c>
      <c r="J4925" s="22" t="n">
        <f aca="false">IF(E4925="Priority",'Cost model'!N384,'Cost model'!M384)</f>
        <v>45</v>
      </c>
      <c r="K4925" s="14" t="n">
        <f aca="false">J4925-H4925</f>
        <v>30.99</v>
      </c>
      <c r="L4925" s="14" t="n">
        <f aca="false">G4925-H4925</f>
        <v>-1.51</v>
      </c>
    </row>
    <row r="4926" customFormat="false" ht="15" hidden="false" customHeight="false" outlineLevel="0" collapsed="false">
      <c r="A4926" s="2" t="s">
        <v>146</v>
      </c>
      <c r="B4926" s="2" t="s">
        <v>146</v>
      </c>
      <c r="C4926" s="2" t="s">
        <v>48</v>
      </c>
      <c r="D4926" s="2" t="s">
        <v>12</v>
      </c>
      <c r="E4926" s="2" t="s">
        <v>76</v>
      </c>
      <c r="F4926" s="2" t="s">
        <v>1145</v>
      </c>
      <c r="G4926" s="14" t="n">
        <v>9.5</v>
      </c>
      <c r="H4926" s="14" t="n">
        <v>43.77</v>
      </c>
      <c r="I4926" s="14" t="n">
        <v>9.5</v>
      </c>
      <c r="J4926" s="22" t="n">
        <f aca="false">IF(E4926="Priority",'Cost model'!N761,'Cost model'!M761)</f>
        <v>35</v>
      </c>
      <c r="K4926" s="14" t="n">
        <f aca="false">J4926-H4926</f>
        <v>-8.77</v>
      </c>
      <c r="L4926" s="14" t="n">
        <f aca="false">G4926-H4926</f>
        <v>-34.27</v>
      </c>
    </row>
    <row r="4927" customFormat="false" ht="15" hidden="false" customHeight="false" outlineLevel="0" collapsed="false">
      <c r="A4927" s="2" t="s">
        <v>126</v>
      </c>
      <c r="B4927" s="2" t="s">
        <v>126</v>
      </c>
      <c r="C4927" s="2" t="s">
        <v>48</v>
      </c>
      <c r="D4927" s="2" t="s">
        <v>10</v>
      </c>
      <c r="E4927" s="2" t="s">
        <v>76</v>
      </c>
      <c r="F4927" s="2" t="s">
        <v>1145</v>
      </c>
      <c r="G4927" s="14" t="n">
        <v>9.5</v>
      </c>
      <c r="H4927" s="14" t="n">
        <v>5.14</v>
      </c>
      <c r="I4927" s="14" t="n">
        <v>9.5</v>
      </c>
      <c r="J4927" s="22" t="n">
        <f aca="false">IF(E4927="Priority",'Cost model'!N380,'Cost model'!M380)</f>
        <v>8.5</v>
      </c>
      <c r="K4927" s="14" t="n">
        <f aca="false">J4927-H4927</f>
        <v>3.36</v>
      </c>
      <c r="L4927" s="14" t="n">
        <f aca="false">G4927-H4927</f>
        <v>4.36</v>
      </c>
    </row>
    <row r="4928" customFormat="false" ht="15" hidden="false" customHeight="false" outlineLevel="0" collapsed="false">
      <c r="A4928" s="2" t="s">
        <v>221</v>
      </c>
      <c r="B4928" s="2" t="s">
        <v>221</v>
      </c>
      <c r="C4928" s="2" t="s">
        <v>49</v>
      </c>
      <c r="D4928" s="2" t="s">
        <v>12</v>
      </c>
      <c r="E4928" s="2" t="s">
        <v>76</v>
      </c>
      <c r="F4928" s="2" t="s">
        <v>1145</v>
      </c>
      <c r="G4928" s="14" t="n">
        <v>12.5</v>
      </c>
      <c r="H4928" s="14" t="n">
        <v>37.42</v>
      </c>
      <c r="I4928" s="14" t="n">
        <v>12.5</v>
      </c>
      <c r="J4928" s="22" t="n">
        <f aca="false">IF(E4928="Priority",'Cost model'!N636,'Cost model'!M636)</f>
        <v>55</v>
      </c>
      <c r="K4928" s="14" t="n">
        <f aca="false">J4928-H4928</f>
        <v>17.58</v>
      </c>
      <c r="L4928" s="14" t="n">
        <f aca="false">G4928-H4928</f>
        <v>-24.92</v>
      </c>
    </row>
    <row r="4929" customFormat="false" ht="15" hidden="false" customHeight="false" outlineLevel="0" collapsed="false">
      <c r="A4929" s="2" t="s">
        <v>184</v>
      </c>
      <c r="B4929" s="2" t="s">
        <v>146</v>
      </c>
      <c r="C4929" s="2" t="s">
        <v>49</v>
      </c>
      <c r="D4929" s="2" t="s">
        <v>13</v>
      </c>
      <c r="E4929" s="2" t="s">
        <v>76</v>
      </c>
      <c r="F4929" s="2" t="s">
        <v>1146</v>
      </c>
      <c r="G4929" s="14" t="n">
        <v>24.5</v>
      </c>
      <c r="H4929" s="14" t="n">
        <v>99.39</v>
      </c>
      <c r="I4929" s="14"/>
      <c r="J4929" s="22" t="n">
        <f aca="false">IF(E4929="Priority",'Cost model'!N153,'Cost model'!M153)</f>
        <v>100</v>
      </c>
      <c r="K4929" s="14" t="n">
        <f aca="false">J4929-H4929</f>
        <v>0.609999999999999</v>
      </c>
      <c r="L4929" s="14" t="n">
        <f aca="false">G4929-H4929</f>
        <v>-74.89</v>
      </c>
    </row>
    <row r="4930" customFormat="false" ht="15" hidden="false" customHeight="false" outlineLevel="0" collapsed="false">
      <c r="A4930" s="2" t="s">
        <v>184</v>
      </c>
      <c r="B4930" s="2" t="s">
        <v>146</v>
      </c>
      <c r="C4930" s="2" t="s">
        <v>50</v>
      </c>
      <c r="D4930" s="2" t="s">
        <v>12</v>
      </c>
      <c r="E4930" s="2" t="s">
        <v>85</v>
      </c>
      <c r="F4930" s="2" t="s">
        <v>1146</v>
      </c>
      <c r="G4930" s="14" t="n">
        <v>29.5</v>
      </c>
      <c r="H4930" s="14" t="n">
        <v>59.54</v>
      </c>
      <c r="I4930" s="14" t="n">
        <v>29.5</v>
      </c>
      <c r="J4930" s="22" t="n">
        <f aca="false">IF(E4930="Priority",'Cost model'!N151,'Cost model'!M151)</f>
        <v>70</v>
      </c>
      <c r="K4930" s="14" t="n">
        <f aca="false">J4930-H4930</f>
        <v>10.46</v>
      </c>
      <c r="L4930" s="14" t="n">
        <f aca="false">G4930-H4930</f>
        <v>-30.04</v>
      </c>
    </row>
    <row r="4931" customFormat="false" ht="15" hidden="false" customHeight="false" outlineLevel="0" collapsed="false">
      <c r="A4931" s="2" t="s">
        <v>126</v>
      </c>
      <c r="B4931" s="2" t="s">
        <v>146</v>
      </c>
      <c r="C4931" s="2" t="s">
        <v>48</v>
      </c>
      <c r="D4931" s="2" t="s">
        <v>13</v>
      </c>
      <c r="E4931" s="2" t="s">
        <v>76</v>
      </c>
      <c r="F4931" s="2" t="s">
        <v>1146</v>
      </c>
      <c r="G4931" s="14" t="n">
        <v>45</v>
      </c>
      <c r="H4931" s="14" t="n">
        <v>158.26</v>
      </c>
      <c r="I4931" s="14" t="n">
        <v>24.5</v>
      </c>
      <c r="J4931" s="22" t="n">
        <f aca="false">IF(E4931="Priority",'Cost model'!N404,'Cost model'!M404)</f>
        <v>120</v>
      </c>
      <c r="K4931" s="14" t="n">
        <f aca="false">J4931-H4931</f>
        <v>-38.26</v>
      </c>
      <c r="L4931" s="14" t="n">
        <f aca="false">G4931-H4931</f>
        <v>-113.26</v>
      </c>
    </row>
    <row r="4932" customFormat="false" ht="15" hidden="false" customHeight="false" outlineLevel="0" collapsed="false">
      <c r="A4932" s="2" t="s">
        <v>126</v>
      </c>
      <c r="B4932" s="2" t="s">
        <v>126</v>
      </c>
      <c r="C4932" s="2" t="s">
        <v>49</v>
      </c>
      <c r="D4932" s="2" t="s">
        <v>12</v>
      </c>
      <c r="E4932" s="2" t="s">
        <v>85</v>
      </c>
      <c r="F4932" s="2" t="s">
        <v>1145</v>
      </c>
      <c r="G4932" s="14" t="n">
        <v>19.5</v>
      </c>
      <c r="H4932" s="14" t="n">
        <v>80.08</v>
      </c>
      <c r="I4932" s="14" t="n">
        <v>19.5</v>
      </c>
      <c r="J4932" s="22" t="n">
        <f aca="false">IF(E4932="Priority",'Cost model'!N384,'Cost model'!M384)</f>
        <v>60</v>
      </c>
      <c r="K4932" s="14" t="n">
        <f aca="false">J4932-H4932</f>
        <v>-20.08</v>
      </c>
      <c r="L4932" s="14" t="n">
        <f aca="false">G4932-H4932</f>
        <v>-60.58</v>
      </c>
    </row>
    <row r="4933" customFormat="false" ht="15" hidden="false" customHeight="false" outlineLevel="0" collapsed="false">
      <c r="A4933" s="2" t="s">
        <v>240</v>
      </c>
      <c r="B4933" s="2" t="s">
        <v>126</v>
      </c>
      <c r="C4933" s="2" t="s">
        <v>48</v>
      </c>
      <c r="D4933" s="2" t="s">
        <v>10</v>
      </c>
      <c r="E4933" s="2" t="s">
        <v>76</v>
      </c>
      <c r="F4933" s="2" t="s">
        <v>1146</v>
      </c>
      <c r="G4933" s="14" t="n">
        <v>9.5</v>
      </c>
      <c r="H4933" s="14" t="n">
        <v>17.41</v>
      </c>
      <c r="I4933" s="14" t="n">
        <v>19.5</v>
      </c>
      <c r="J4933" s="22" t="n">
        <f aca="false">IF(E4933="Priority",'Cost model'!N956,'Cost model'!M956)</f>
        <v>15.5</v>
      </c>
      <c r="K4933" s="14" t="n">
        <f aca="false">J4933-H4933</f>
        <v>-1.91</v>
      </c>
      <c r="L4933" s="14" t="n">
        <f aca="false">G4933-H4933</f>
        <v>-7.91</v>
      </c>
    </row>
    <row r="4934" customFormat="false" ht="15" hidden="false" customHeight="false" outlineLevel="0" collapsed="false">
      <c r="A4934" s="2" t="s">
        <v>184</v>
      </c>
      <c r="B4934" s="2" t="s">
        <v>126</v>
      </c>
      <c r="C4934" s="2" t="s">
        <v>49</v>
      </c>
      <c r="D4934" s="2" t="s">
        <v>10</v>
      </c>
      <c r="E4934" s="2" t="s">
        <v>76</v>
      </c>
      <c r="F4934" s="2" t="s">
        <v>1146</v>
      </c>
      <c r="G4934" s="14" t="n">
        <v>12.5</v>
      </c>
      <c r="H4934" s="14" t="n">
        <v>20.55</v>
      </c>
      <c r="I4934" s="14"/>
      <c r="J4934" s="22" t="n">
        <f aca="false">IF(E4934="Priority",'Cost model'!N129,'Cost model'!M129)</f>
        <v>13.5</v>
      </c>
      <c r="K4934" s="14" t="n">
        <f aca="false">J4934-H4934</f>
        <v>-7.05</v>
      </c>
      <c r="L4934" s="14" t="n">
        <f aca="false">G4934-H4934</f>
        <v>-8.05</v>
      </c>
    </row>
    <row r="4935" customFormat="false" ht="15" hidden="false" customHeight="false" outlineLevel="0" collapsed="false">
      <c r="A4935" s="2" t="s">
        <v>165</v>
      </c>
      <c r="B4935" s="2" t="s">
        <v>165</v>
      </c>
      <c r="C4935" s="2" t="s">
        <v>49</v>
      </c>
      <c r="D4935" s="2" t="s">
        <v>10</v>
      </c>
      <c r="E4935" s="2" t="s">
        <v>76</v>
      </c>
      <c r="F4935" s="2" t="s">
        <v>1145</v>
      </c>
      <c r="G4935" s="14" t="n">
        <v>12.5</v>
      </c>
      <c r="H4935" s="14" t="n">
        <v>11.03</v>
      </c>
      <c r="I4935" s="14" t="n">
        <v>12.5</v>
      </c>
      <c r="J4935" s="22" t="n">
        <f aca="false">IF(E4935="Priority",'Cost model'!N507,'Cost model'!M507)</f>
        <v>11.5</v>
      </c>
      <c r="K4935" s="14" t="n">
        <f aca="false">J4935-H4935</f>
        <v>0.470000000000001</v>
      </c>
      <c r="L4935" s="14" t="n">
        <f aca="false">G4935-H4935</f>
        <v>1.47</v>
      </c>
    </row>
    <row r="4936" customFormat="false" ht="15" hidden="false" customHeight="false" outlineLevel="0" collapsed="false">
      <c r="A4936" s="2" t="s">
        <v>221</v>
      </c>
      <c r="B4936" s="2" t="s">
        <v>165</v>
      </c>
      <c r="C4936" s="2" t="s">
        <v>49</v>
      </c>
      <c r="D4936" s="2" t="s">
        <v>12</v>
      </c>
      <c r="E4936" s="2" t="s">
        <v>76</v>
      </c>
      <c r="F4936" s="2" t="s">
        <v>1146</v>
      </c>
      <c r="G4936" s="14" t="n">
        <v>24.5</v>
      </c>
      <c r="H4936" s="14" t="n">
        <v>61.61</v>
      </c>
      <c r="I4936" s="14"/>
      <c r="J4936" s="22" t="n">
        <f aca="false">IF(E4936="Priority",'Cost model'!N744,'Cost model'!M744)</f>
        <v>55</v>
      </c>
      <c r="K4936" s="14" t="n">
        <f aca="false">J4936-H4936</f>
        <v>-6.61</v>
      </c>
      <c r="L4936" s="14" t="n">
        <f aca="false">G4936-H4936</f>
        <v>-37.11</v>
      </c>
    </row>
    <row r="4937" customFormat="false" ht="15" hidden="false" customHeight="false" outlineLevel="0" collapsed="false">
      <c r="A4937" s="2" t="s">
        <v>184</v>
      </c>
      <c r="B4937" s="2" t="s">
        <v>165</v>
      </c>
      <c r="C4937" s="2" t="s">
        <v>49</v>
      </c>
      <c r="D4937" s="2" t="s">
        <v>10</v>
      </c>
      <c r="E4937" s="2" t="s">
        <v>76</v>
      </c>
      <c r="F4937" s="2" t="s">
        <v>1146</v>
      </c>
      <c r="G4937" s="14" t="n">
        <v>19.5</v>
      </c>
      <c r="H4937" s="14" t="n">
        <v>21.34</v>
      </c>
      <c r="I4937" s="14"/>
      <c r="J4937" s="22" t="n">
        <f aca="false">IF(E4937="Priority",'Cost model'!N165,'Cost model'!M165)</f>
        <v>15.5</v>
      </c>
      <c r="K4937" s="14" t="n">
        <f aca="false">J4937-H4937</f>
        <v>-5.84</v>
      </c>
      <c r="L4937" s="14" t="n">
        <f aca="false">G4937-H4937</f>
        <v>-1.84</v>
      </c>
    </row>
    <row r="4938" customFormat="false" ht="15" hidden="false" customHeight="false" outlineLevel="0" collapsed="false">
      <c r="A4938" s="2" t="s">
        <v>126</v>
      </c>
      <c r="B4938" s="2" t="s">
        <v>126</v>
      </c>
      <c r="C4938" s="2" t="s">
        <v>49</v>
      </c>
      <c r="D4938" s="2" t="s">
        <v>12</v>
      </c>
      <c r="E4938" s="2" t="s">
        <v>85</v>
      </c>
      <c r="F4938" s="2" t="s">
        <v>1145</v>
      </c>
      <c r="G4938" s="14" t="n">
        <v>19.5</v>
      </c>
      <c r="H4938" s="14" t="n">
        <v>42.61</v>
      </c>
      <c r="I4938" s="14" t="n">
        <v>19.5</v>
      </c>
      <c r="J4938" s="22" t="n">
        <f aca="false">IF(E4938="Priority",'Cost model'!N384,'Cost model'!M384)</f>
        <v>60</v>
      </c>
      <c r="K4938" s="14" t="n">
        <f aca="false">J4938-H4938</f>
        <v>17.39</v>
      </c>
      <c r="L4938" s="14" t="n">
        <f aca="false">G4938-H4938</f>
        <v>-23.11</v>
      </c>
    </row>
    <row r="4939" customFormat="false" ht="15" hidden="false" customHeight="false" outlineLevel="0" collapsed="false">
      <c r="A4939" s="2" t="s">
        <v>184</v>
      </c>
      <c r="B4939" s="2" t="s">
        <v>184</v>
      </c>
      <c r="C4939" s="2" t="s">
        <v>48</v>
      </c>
      <c r="D4939" s="2" t="s">
        <v>12</v>
      </c>
      <c r="E4939" s="2" t="s">
        <v>76</v>
      </c>
      <c r="F4939" s="2" t="s">
        <v>1145</v>
      </c>
      <c r="G4939" s="14" t="n">
        <v>9.5</v>
      </c>
      <c r="H4939" s="14" t="n">
        <v>7.45</v>
      </c>
      <c r="I4939" s="14" t="n">
        <v>9.5</v>
      </c>
      <c r="J4939" s="22" t="n">
        <f aca="false">IF(E4939="Priority",'Cost model'!N203,'Cost model'!M203)</f>
        <v>26.5</v>
      </c>
      <c r="K4939" s="14" t="n">
        <f aca="false">J4939-H4939</f>
        <v>19.05</v>
      </c>
      <c r="L4939" s="14" t="n">
        <f aca="false">G4939-H4939</f>
        <v>2.05</v>
      </c>
    </row>
    <row r="4940" customFormat="false" ht="15" hidden="false" customHeight="false" outlineLevel="0" collapsed="false">
      <c r="A4940" s="2" t="s">
        <v>126</v>
      </c>
      <c r="B4940" s="2" t="s">
        <v>126</v>
      </c>
      <c r="C4940" s="2" t="s">
        <v>50</v>
      </c>
      <c r="D4940" s="2" t="s">
        <v>12</v>
      </c>
      <c r="E4940" s="2" t="s">
        <v>76</v>
      </c>
      <c r="F4940" s="2" t="s">
        <v>1145</v>
      </c>
      <c r="G4940" s="14" t="n">
        <v>19.5</v>
      </c>
      <c r="H4940" s="14" t="n">
        <v>64.75</v>
      </c>
      <c r="I4940" s="14" t="n">
        <v>19.5</v>
      </c>
      <c r="J4940" s="22" t="n">
        <f aca="false">IF(E4940="Priority",'Cost model'!N385,'Cost model'!M385)</f>
        <v>55</v>
      </c>
      <c r="K4940" s="14" t="n">
        <f aca="false">J4940-H4940</f>
        <v>-9.75</v>
      </c>
      <c r="L4940" s="14" t="n">
        <f aca="false">G4940-H4940</f>
        <v>-45.25</v>
      </c>
    </row>
    <row r="4941" customFormat="false" ht="15" hidden="false" customHeight="false" outlineLevel="0" collapsed="false">
      <c r="A4941" s="2" t="s">
        <v>184</v>
      </c>
      <c r="B4941" s="2" t="s">
        <v>184</v>
      </c>
      <c r="C4941" s="2" t="s">
        <v>50</v>
      </c>
      <c r="D4941" s="2" t="s">
        <v>10</v>
      </c>
      <c r="E4941" s="2" t="s">
        <v>76</v>
      </c>
      <c r="F4941" s="2" t="s">
        <v>1145</v>
      </c>
      <c r="G4941" s="14" t="n">
        <v>17.5</v>
      </c>
      <c r="H4941" s="14" t="n">
        <v>20.39</v>
      </c>
      <c r="I4941" s="14" t="n">
        <v>17.5</v>
      </c>
      <c r="J4941" s="22" t="n">
        <f aca="false">IF(E4941="Priority",'Cost model'!N202,'Cost model'!M202)</f>
        <v>17.5</v>
      </c>
      <c r="K4941" s="14" t="n">
        <f aca="false">J4941-H4941</f>
        <v>-2.89</v>
      </c>
      <c r="L4941" s="14" t="n">
        <f aca="false">G4941-H4941</f>
        <v>-2.89</v>
      </c>
    </row>
    <row r="4942" customFormat="false" ht="15" hidden="false" customHeight="false" outlineLevel="0" collapsed="false">
      <c r="A4942" s="2" t="s">
        <v>126</v>
      </c>
      <c r="B4942" s="2" t="s">
        <v>146</v>
      </c>
      <c r="C4942" s="2" t="s">
        <v>50</v>
      </c>
      <c r="D4942" s="2" t="s">
        <v>12</v>
      </c>
      <c r="E4942" s="2" t="s">
        <v>76</v>
      </c>
      <c r="F4942" s="2" t="s">
        <v>1146</v>
      </c>
      <c r="G4942" s="14" t="n">
        <v>9.5</v>
      </c>
      <c r="H4942" s="14" t="n">
        <v>66.03</v>
      </c>
      <c r="I4942" s="14" t="n">
        <v>19.5</v>
      </c>
      <c r="J4942" s="22" t="n">
        <f aca="false">IF(E4942="Priority",'Cost model'!N403,'Cost model'!M403)</f>
        <v>75</v>
      </c>
      <c r="K4942" s="14" t="n">
        <f aca="false">J4942-H4942</f>
        <v>8.97</v>
      </c>
      <c r="L4942" s="14" t="n">
        <f aca="false">G4942-H4942</f>
        <v>-56.53</v>
      </c>
    </row>
    <row r="4943" customFormat="false" ht="15" hidden="false" customHeight="false" outlineLevel="0" collapsed="false">
      <c r="A4943" s="2" t="s">
        <v>184</v>
      </c>
      <c r="B4943" s="2" t="s">
        <v>184</v>
      </c>
      <c r="C4943" s="2" t="s">
        <v>49</v>
      </c>
      <c r="D4943" s="2" t="s">
        <v>10</v>
      </c>
      <c r="E4943" s="2" t="s">
        <v>76</v>
      </c>
      <c r="F4943" s="2" t="s">
        <v>1145</v>
      </c>
      <c r="G4943" s="14" t="n">
        <v>12.5</v>
      </c>
      <c r="H4943" s="14" t="n">
        <v>11.22</v>
      </c>
      <c r="I4943" s="14"/>
      <c r="J4943" s="22" t="n">
        <f aca="false">IF(E4943="Priority",'Cost model'!N201,'Cost model'!M201)</f>
        <v>12.5</v>
      </c>
      <c r="K4943" s="14" t="n">
        <f aca="false">J4943-H4943</f>
        <v>1.28</v>
      </c>
      <c r="L4943" s="14" t="n">
        <f aca="false">G4943-H4943</f>
        <v>1.28</v>
      </c>
    </row>
    <row r="4944" customFormat="false" ht="15" hidden="false" customHeight="false" outlineLevel="0" collapsed="false">
      <c r="A4944" s="2" t="s">
        <v>126</v>
      </c>
      <c r="B4944" s="2" t="s">
        <v>126</v>
      </c>
      <c r="C4944" s="2" t="s">
        <v>50</v>
      </c>
      <c r="D4944" s="2" t="s">
        <v>14</v>
      </c>
      <c r="E4944" s="2" t="s">
        <v>76</v>
      </c>
      <c r="F4944" s="2" t="s">
        <v>1145</v>
      </c>
      <c r="G4944" s="14" t="n">
        <v>85</v>
      </c>
      <c r="H4944" s="14" t="n">
        <v>95.07</v>
      </c>
      <c r="I4944" s="14" t="n">
        <v>85</v>
      </c>
      <c r="J4944" s="22" t="n">
        <f aca="false">IF(E4944="Priority",'Cost model'!N391,'Cost model'!M391)</f>
        <v>170</v>
      </c>
      <c r="K4944" s="14" t="n">
        <f aca="false">J4944-H4944</f>
        <v>74.93</v>
      </c>
      <c r="L4944" s="14" t="n">
        <f aca="false">G4944-H4944</f>
        <v>-10.07</v>
      </c>
    </row>
    <row r="4945" customFormat="false" ht="15" hidden="false" customHeight="false" outlineLevel="0" collapsed="false">
      <c r="A4945" s="2" t="s">
        <v>385</v>
      </c>
      <c r="B4945" s="2" t="s">
        <v>165</v>
      </c>
      <c r="C4945" s="2" t="s">
        <v>48</v>
      </c>
      <c r="D4945" s="2" t="s">
        <v>10</v>
      </c>
      <c r="E4945" s="2" t="s">
        <v>76</v>
      </c>
      <c r="F4945" s="2" t="s">
        <v>1146</v>
      </c>
      <c r="G4945" s="14" t="n">
        <v>19.5</v>
      </c>
      <c r="H4945" s="14" t="n">
        <v>39.74</v>
      </c>
      <c r="I4945" s="14" t="n">
        <v>19.5</v>
      </c>
      <c r="J4945" s="22" t="n">
        <f aca="false">IF(E4945="Priority",'Cost model'!N254,'Cost model'!M254)</f>
        <v>20.5</v>
      </c>
      <c r="K4945" s="14" t="n">
        <f aca="false">J4945-H4945</f>
        <v>-19.24</v>
      </c>
      <c r="L4945" s="14" t="n">
        <f aca="false">G4945-H4945</f>
        <v>-20.24</v>
      </c>
    </row>
    <row r="4946" customFormat="false" ht="15" hidden="false" customHeight="false" outlineLevel="0" collapsed="false">
      <c r="A4946" s="2" t="s">
        <v>126</v>
      </c>
      <c r="B4946" s="2" t="s">
        <v>126</v>
      </c>
      <c r="C4946" s="2" t="s">
        <v>49</v>
      </c>
      <c r="D4946" s="2" t="s">
        <v>12</v>
      </c>
      <c r="E4946" s="2" t="s">
        <v>76</v>
      </c>
      <c r="F4946" s="2" t="s">
        <v>1145</v>
      </c>
      <c r="G4946" s="14" t="n">
        <v>12.5</v>
      </c>
      <c r="H4946" s="14" t="n">
        <v>14.91</v>
      </c>
      <c r="I4946" s="14" t="n">
        <v>12.5</v>
      </c>
      <c r="J4946" s="22" t="n">
        <f aca="false">IF(E4946="Priority",'Cost model'!N384,'Cost model'!M384)</f>
        <v>45</v>
      </c>
      <c r="K4946" s="14" t="n">
        <f aca="false">J4946-H4946</f>
        <v>30.09</v>
      </c>
      <c r="L4946" s="14" t="n">
        <f aca="false">G4946-H4946</f>
        <v>-2.41</v>
      </c>
    </row>
    <row r="4947" customFormat="false" ht="15" hidden="false" customHeight="false" outlineLevel="0" collapsed="false">
      <c r="A4947" s="2" t="s">
        <v>126</v>
      </c>
      <c r="B4947" s="2" t="s">
        <v>126</v>
      </c>
      <c r="C4947" s="2" t="s">
        <v>49</v>
      </c>
      <c r="D4947" s="2" t="s">
        <v>10</v>
      </c>
      <c r="E4947" s="2" t="s">
        <v>76</v>
      </c>
      <c r="F4947" s="2" t="s">
        <v>1145</v>
      </c>
      <c r="G4947" s="14" t="n">
        <v>14.5</v>
      </c>
      <c r="H4947" s="14" t="n">
        <v>11.25</v>
      </c>
      <c r="I4947" s="14" t="n">
        <v>12.5</v>
      </c>
      <c r="J4947" s="22" t="n">
        <f aca="false">IF(E4947="Priority",'Cost model'!N381,'Cost model'!M381)</f>
        <v>14.5</v>
      </c>
      <c r="K4947" s="14" t="n">
        <f aca="false">J4947-H4947</f>
        <v>3.25</v>
      </c>
      <c r="L4947" s="14" t="n">
        <f aca="false">G4947-H4947</f>
        <v>3.25</v>
      </c>
    </row>
    <row r="4948" customFormat="false" ht="15" hidden="false" customHeight="false" outlineLevel="0" collapsed="false">
      <c r="A4948" s="2" t="s">
        <v>165</v>
      </c>
      <c r="B4948" s="2" t="s">
        <v>165</v>
      </c>
      <c r="C4948" s="2" t="s">
        <v>48</v>
      </c>
      <c r="D4948" s="2" t="s">
        <v>10</v>
      </c>
      <c r="E4948" s="2" t="s">
        <v>76</v>
      </c>
      <c r="F4948" s="2" t="s">
        <v>1145</v>
      </c>
      <c r="G4948" s="14" t="n">
        <v>9.5</v>
      </c>
      <c r="H4948" s="14" t="n">
        <v>6.14</v>
      </c>
      <c r="I4948" s="14" t="n">
        <v>9.5</v>
      </c>
      <c r="J4948" s="22" t="n">
        <f aca="false">IF(E4948="Priority",'Cost model'!N506,'Cost model'!M506)</f>
        <v>7.5</v>
      </c>
      <c r="K4948" s="14" t="n">
        <f aca="false">J4948-H4948</f>
        <v>1.36</v>
      </c>
      <c r="L4948" s="14" t="n">
        <f aca="false">G4948-H4948</f>
        <v>3.36</v>
      </c>
    </row>
    <row r="4949" customFormat="false" ht="15" hidden="false" customHeight="false" outlineLevel="0" collapsed="false">
      <c r="A4949" s="2" t="s">
        <v>126</v>
      </c>
      <c r="B4949" s="2" t="s">
        <v>126</v>
      </c>
      <c r="C4949" s="2" t="s">
        <v>48</v>
      </c>
      <c r="D4949" s="2" t="s">
        <v>12</v>
      </c>
      <c r="E4949" s="2" t="s">
        <v>76</v>
      </c>
      <c r="F4949" s="2" t="s">
        <v>1145</v>
      </c>
      <c r="G4949" s="14" t="n">
        <v>24.5</v>
      </c>
      <c r="H4949" s="14" t="n">
        <v>27.52</v>
      </c>
      <c r="I4949" s="14" t="n">
        <v>9.5</v>
      </c>
      <c r="J4949" s="22" t="n">
        <f aca="false">IF(E4949="Priority",'Cost model'!N383,'Cost model'!M383)</f>
        <v>27.5</v>
      </c>
      <c r="K4949" s="14" t="n">
        <f aca="false">J4949-H4949</f>
        <v>-0.0199999999999996</v>
      </c>
      <c r="L4949" s="14" t="n">
        <f aca="false">G4949-H4949</f>
        <v>-3.02</v>
      </c>
    </row>
    <row r="4950" customFormat="false" ht="15" hidden="false" customHeight="false" outlineLevel="0" collapsed="false">
      <c r="A4950" s="2" t="s">
        <v>126</v>
      </c>
      <c r="B4950" s="2" t="s">
        <v>126</v>
      </c>
      <c r="C4950" s="2" t="s">
        <v>50</v>
      </c>
      <c r="D4950" s="2" t="s">
        <v>10</v>
      </c>
      <c r="E4950" s="2" t="s">
        <v>85</v>
      </c>
      <c r="F4950" s="2" t="s">
        <v>1145</v>
      </c>
      <c r="G4950" s="14" t="n">
        <v>24.5</v>
      </c>
      <c r="H4950" s="14" t="n">
        <v>21.34</v>
      </c>
      <c r="I4950" s="14" t="n">
        <v>24.5</v>
      </c>
      <c r="J4950" s="22" t="n">
        <f aca="false">IF(E4950="Priority",'Cost model'!N382,'Cost model'!M382)</f>
        <v>25.5</v>
      </c>
      <c r="K4950" s="14" t="n">
        <f aca="false">J4950-H4950</f>
        <v>4.16</v>
      </c>
      <c r="L4950" s="14" t="n">
        <f aca="false">G4950-H4950</f>
        <v>3.16</v>
      </c>
    </row>
    <row r="4951" customFormat="false" ht="15" hidden="false" customHeight="false" outlineLevel="0" collapsed="false">
      <c r="A4951" s="2" t="s">
        <v>126</v>
      </c>
      <c r="B4951" s="2" t="s">
        <v>126</v>
      </c>
      <c r="C4951" s="2" t="s">
        <v>49</v>
      </c>
      <c r="D4951" s="2" t="s">
        <v>10</v>
      </c>
      <c r="E4951" s="2" t="s">
        <v>76</v>
      </c>
      <c r="F4951" s="2" t="s">
        <v>1145</v>
      </c>
      <c r="G4951" s="14" t="n">
        <v>12.5</v>
      </c>
      <c r="H4951" s="14" t="n">
        <v>16.84</v>
      </c>
      <c r="I4951" s="14" t="n">
        <v>12.5</v>
      </c>
      <c r="J4951" s="22" t="n">
        <f aca="false">IF(E4951="Priority",'Cost model'!N381,'Cost model'!M381)</f>
        <v>14.5</v>
      </c>
      <c r="K4951" s="14" t="n">
        <f aca="false">J4951-H4951</f>
        <v>-2.34</v>
      </c>
      <c r="L4951" s="14" t="n">
        <f aca="false">G4951-H4951</f>
        <v>-4.34</v>
      </c>
    </row>
    <row r="4952" customFormat="false" ht="15" hidden="false" customHeight="false" outlineLevel="0" collapsed="false">
      <c r="A4952" s="2" t="s">
        <v>184</v>
      </c>
      <c r="B4952" s="2" t="s">
        <v>146</v>
      </c>
      <c r="C4952" s="2" t="s">
        <v>50</v>
      </c>
      <c r="D4952" s="2" t="s">
        <v>10</v>
      </c>
      <c r="E4952" s="2" t="s">
        <v>76</v>
      </c>
      <c r="F4952" s="2" t="s">
        <v>1146</v>
      </c>
      <c r="G4952" s="14" t="n">
        <v>19.5</v>
      </c>
      <c r="H4952" s="14" t="n">
        <v>73.12</v>
      </c>
      <c r="I4952" s="14" t="n">
        <v>17.5</v>
      </c>
      <c r="J4952" s="22" t="n">
        <f aca="false">IF(E4952="Priority",'Cost model'!N148,'Cost model'!M148)</f>
        <v>21.5</v>
      </c>
      <c r="K4952" s="14" t="n">
        <f aca="false">J4952-H4952</f>
        <v>-51.62</v>
      </c>
      <c r="L4952" s="14" t="n">
        <f aca="false">G4952-H4952</f>
        <v>-53.62</v>
      </c>
    </row>
    <row r="4953" customFormat="false" ht="15" hidden="false" customHeight="false" outlineLevel="0" collapsed="false">
      <c r="A4953" s="2" t="s">
        <v>184</v>
      </c>
      <c r="B4953" s="2" t="s">
        <v>184</v>
      </c>
      <c r="C4953" s="2" t="s">
        <v>49</v>
      </c>
      <c r="D4953" s="2" t="s">
        <v>12</v>
      </c>
      <c r="E4953" s="2" t="s">
        <v>76</v>
      </c>
      <c r="F4953" s="2" t="s">
        <v>1145</v>
      </c>
      <c r="G4953" s="14" t="n">
        <v>12.5</v>
      </c>
      <c r="H4953" s="14" t="n">
        <v>71.08</v>
      </c>
      <c r="I4953" s="14"/>
      <c r="J4953" s="22" t="n">
        <f aca="false">IF(E4953="Priority",'Cost model'!N204,'Cost model'!M204)</f>
        <v>45</v>
      </c>
      <c r="K4953" s="14" t="n">
        <f aca="false">J4953-H4953</f>
        <v>-26.08</v>
      </c>
      <c r="L4953" s="14" t="n">
        <f aca="false">G4953-H4953</f>
        <v>-58.58</v>
      </c>
    </row>
    <row r="4954" customFormat="false" ht="15" hidden="false" customHeight="false" outlineLevel="0" collapsed="false">
      <c r="A4954" s="2" t="s">
        <v>240</v>
      </c>
      <c r="B4954" s="2" t="s">
        <v>146</v>
      </c>
      <c r="C4954" s="2" t="s">
        <v>48</v>
      </c>
      <c r="D4954" s="2" t="s">
        <v>12</v>
      </c>
      <c r="E4954" s="2" t="s">
        <v>76</v>
      </c>
      <c r="F4954" s="2" t="s">
        <v>1146</v>
      </c>
      <c r="G4954" s="14" t="n">
        <v>19.5</v>
      </c>
      <c r="H4954" s="14" t="n">
        <v>97.78</v>
      </c>
      <c r="I4954" s="14" t="n">
        <v>24.5</v>
      </c>
      <c r="J4954" s="22" t="n">
        <f aca="false">IF(E4954="Priority",'Cost model'!N923,'Cost model'!M923)</f>
        <v>65</v>
      </c>
      <c r="K4954" s="14" t="n">
        <f aca="false">J4954-H4954</f>
        <v>-32.78</v>
      </c>
      <c r="L4954" s="14" t="n">
        <f aca="false">G4954-H4954</f>
        <v>-78.28</v>
      </c>
    </row>
    <row r="4955" customFormat="false" ht="15" hidden="false" customHeight="false" outlineLevel="0" collapsed="false">
      <c r="A4955" s="2" t="s">
        <v>146</v>
      </c>
      <c r="B4955" s="2" t="s">
        <v>146</v>
      </c>
      <c r="C4955" s="2" t="s">
        <v>49</v>
      </c>
      <c r="D4955" s="2" t="s">
        <v>10</v>
      </c>
      <c r="E4955" s="2" t="s">
        <v>76</v>
      </c>
      <c r="F4955" s="2" t="s">
        <v>1145</v>
      </c>
      <c r="G4955" s="14" t="n">
        <v>12.5</v>
      </c>
      <c r="H4955" s="14" t="n">
        <v>16.84</v>
      </c>
      <c r="I4955" s="14" t="n">
        <v>12.5</v>
      </c>
      <c r="J4955" s="22" t="n">
        <f aca="false">IF(E4955="Priority",'Cost model'!N759,'Cost model'!M759)</f>
        <v>15.5</v>
      </c>
      <c r="K4955" s="14" t="n">
        <f aca="false">J4955-H4955</f>
        <v>-1.34</v>
      </c>
      <c r="L4955" s="14" t="n">
        <f aca="false">G4955-H4955</f>
        <v>-4.34</v>
      </c>
    </row>
    <row r="4956" customFormat="false" ht="15" hidden="false" customHeight="false" outlineLevel="0" collapsed="false">
      <c r="A4956" s="2" t="s">
        <v>146</v>
      </c>
      <c r="B4956" s="2" t="s">
        <v>146</v>
      </c>
      <c r="C4956" s="2" t="s">
        <v>49</v>
      </c>
      <c r="D4956" s="2" t="s">
        <v>12</v>
      </c>
      <c r="E4956" s="2" t="s">
        <v>76</v>
      </c>
      <c r="F4956" s="2" t="s">
        <v>1145</v>
      </c>
      <c r="G4956" s="14" t="n">
        <v>12.5</v>
      </c>
      <c r="H4956" s="14" t="n">
        <v>11.51</v>
      </c>
      <c r="I4956" s="14" t="n">
        <v>12.5</v>
      </c>
      <c r="J4956" s="22" t="n">
        <f aca="false">IF(E4956="Priority",'Cost model'!N762,'Cost model'!M762)</f>
        <v>45</v>
      </c>
      <c r="K4956" s="14" t="n">
        <f aca="false">J4956-H4956</f>
        <v>33.49</v>
      </c>
      <c r="L4956" s="14" t="n">
        <f aca="false">G4956-H4956</f>
        <v>0.99</v>
      </c>
    </row>
    <row r="4957" customFormat="false" ht="15" hidden="false" customHeight="false" outlineLevel="0" collapsed="false">
      <c r="A4957" s="2" t="s">
        <v>184</v>
      </c>
      <c r="B4957" s="2" t="s">
        <v>146</v>
      </c>
      <c r="C4957" s="2" t="s">
        <v>49</v>
      </c>
      <c r="D4957" s="2" t="s">
        <v>12</v>
      </c>
      <c r="E4957" s="2" t="s">
        <v>76</v>
      </c>
      <c r="F4957" s="2" t="s">
        <v>1146</v>
      </c>
      <c r="G4957" s="14" t="n">
        <v>12.5</v>
      </c>
      <c r="H4957" s="14" t="n">
        <v>75.95</v>
      </c>
      <c r="I4957" s="14"/>
      <c r="J4957" s="22" t="n">
        <f aca="false">IF(E4957="Priority",'Cost model'!N150,'Cost model'!M150)</f>
        <v>55</v>
      </c>
      <c r="K4957" s="14" t="n">
        <f aca="false">J4957-H4957</f>
        <v>-20.95</v>
      </c>
      <c r="L4957" s="14" t="n">
        <f aca="false">G4957-H4957</f>
        <v>-63.45</v>
      </c>
    </row>
    <row r="4958" customFormat="false" ht="15" hidden="false" customHeight="false" outlineLevel="0" collapsed="false">
      <c r="A4958" s="2" t="s">
        <v>184</v>
      </c>
      <c r="B4958" s="2" t="s">
        <v>146</v>
      </c>
      <c r="C4958" s="2" t="s">
        <v>49</v>
      </c>
      <c r="D4958" s="2" t="s">
        <v>12</v>
      </c>
      <c r="E4958" s="2" t="s">
        <v>76</v>
      </c>
      <c r="F4958" s="2" t="s">
        <v>1146</v>
      </c>
      <c r="G4958" s="14" t="n">
        <v>29.5</v>
      </c>
      <c r="H4958" s="14" t="n">
        <v>52.26</v>
      </c>
      <c r="I4958" s="14"/>
      <c r="J4958" s="22" t="n">
        <f aca="false">IF(E4958="Priority",'Cost model'!N150,'Cost model'!M150)</f>
        <v>55</v>
      </c>
      <c r="K4958" s="14" t="n">
        <f aca="false">J4958-H4958</f>
        <v>2.74</v>
      </c>
      <c r="L4958" s="14" t="n">
        <f aca="false">G4958-H4958</f>
        <v>-22.76</v>
      </c>
    </row>
    <row r="4959" customFormat="false" ht="15" hidden="false" customHeight="false" outlineLevel="0" collapsed="false">
      <c r="A4959" s="2" t="s">
        <v>184</v>
      </c>
      <c r="B4959" s="2" t="s">
        <v>146</v>
      </c>
      <c r="C4959" s="2" t="s">
        <v>49</v>
      </c>
      <c r="D4959" s="2" t="s">
        <v>10</v>
      </c>
      <c r="E4959" s="2" t="s">
        <v>76</v>
      </c>
      <c r="F4959" s="2" t="s">
        <v>1146</v>
      </c>
      <c r="G4959" s="14" t="n">
        <v>12.5</v>
      </c>
      <c r="H4959" s="14" t="n">
        <v>21.61</v>
      </c>
      <c r="I4959" s="14"/>
      <c r="J4959" s="22" t="n">
        <f aca="false">IF(E4959="Priority",'Cost model'!N147,'Cost model'!M147)</f>
        <v>14.5</v>
      </c>
      <c r="K4959" s="14" t="n">
        <f aca="false">J4959-H4959</f>
        <v>-7.11</v>
      </c>
      <c r="L4959" s="14" t="n">
        <f aca="false">G4959-H4959</f>
        <v>-9.11</v>
      </c>
    </row>
    <row r="4960" customFormat="false" ht="15" hidden="false" customHeight="false" outlineLevel="0" collapsed="false">
      <c r="A4960" s="2" t="s">
        <v>184</v>
      </c>
      <c r="B4960" s="2" t="s">
        <v>184</v>
      </c>
      <c r="C4960" s="2" t="s">
        <v>48</v>
      </c>
      <c r="D4960" s="2" t="s">
        <v>10</v>
      </c>
      <c r="E4960" s="2" t="s">
        <v>76</v>
      </c>
      <c r="F4960" s="2" t="s">
        <v>1145</v>
      </c>
      <c r="G4960" s="14" t="n">
        <v>9.5</v>
      </c>
      <c r="H4960" s="14" t="n">
        <v>5.94</v>
      </c>
      <c r="I4960" s="14" t="n">
        <v>9.5</v>
      </c>
      <c r="J4960" s="22" t="n">
        <f aca="false">IF(E4960="Priority",'Cost model'!N200,'Cost model'!M200)</f>
        <v>7.5</v>
      </c>
      <c r="K4960" s="14" t="n">
        <f aca="false">J4960-H4960</f>
        <v>1.56</v>
      </c>
      <c r="L4960" s="14" t="n">
        <f aca="false">G4960-H4960</f>
        <v>3.56</v>
      </c>
    </row>
    <row r="4961" customFormat="false" ht="15" hidden="false" customHeight="false" outlineLevel="0" collapsed="false">
      <c r="A4961" s="2" t="s">
        <v>126</v>
      </c>
      <c r="B4961" s="2" t="s">
        <v>126</v>
      </c>
      <c r="C4961" s="2" t="s">
        <v>50</v>
      </c>
      <c r="D4961" s="2" t="s">
        <v>10</v>
      </c>
      <c r="E4961" s="2" t="s">
        <v>76</v>
      </c>
      <c r="F4961" s="2" t="s">
        <v>1145</v>
      </c>
      <c r="G4961" s="14" t="n">
        <v>17.5</v>
      </c>
      <c r="H4961" s="14" t="n">
        <v>14.39</v>
      </c>
      <c r="I4961" s="14" t="n">
        <v>17.5</v>
      </c>
      <c r="J4961" s="22" t="n">
        <f aca="false">IF(E4961="Priority",'Cost model'!N382,'Cost model'!M382)</f>
        <v>18.5</v>
      </c>
      <c r="K4961" s="14" t="n">
        <f aca="false">J4961-H4961</f>
        <v>4.11</v>
      </c>
      <c r="L4961" s="14" t="n">
        <f aca="false">G4961-H4961</f>
        <v>3.11</v>
      </c>
    </row>
    <row r="4962" customFormat="false" ht="15" hidden="false" customHeight="false" outlineLevel="0" collapsed="false">
      <c r="A4962" s="2" t="s">
        <v>126</v>
      </c>
      <c r="B4962" s="2" t="s">
        <v>126</v>
      </c>
      <c r="C4962" s="2" t="s">
        <v>48</v>
      </c>
      <c r="D4962" s="2" t="s">
        <v>12</v>
      </c>
      <c r="E4962" s="2" t="s">
        <v>76</v>
      </c>
      <c r="F4962" s="2" t="s">
        <v>1145</v>
      </c>
      <c r="G4962" s="14" t="n">
        <v>14.5</v>
      </c>
      <c r="H4962" s="14" t="n">
        <v>27.82</v>
      </c>
      <c r="I4962" s="14" t="n">
        <v>9.5</v>
      </c>
      <c r="J4962" s="22" t="n">
        <f aca="false">IF(E4962="Priority",'Cost model'!N383,'Cost model'!M383)</f>
        <v>27.5</v>
      </c>
      <c r="K4962" s="14" t="n">
        <f aca="false">J4962-H4962</f>
        <v>-0.32</v>
      </c>
      <c r="L4962" s="14" t="n">
        <f aca="false">G4962-H4962</f>
        <v>-13.32</v>
      </c>
    </row>
    <row r="4963" customFormat="false" ht="15" hidden="false" customHeight="false" outlineLevel="0" collapsed="false">
      <c r="A4963" s="2" t="s">
        <v>184</v>
      </c>
      <c r="B4963" s="2" t="s">
        <v>126</v>
      </c>
      <c r="C4963" s="2" t="s">
        <v>48</v>
      </c>
      <c r="D4963" s="2" t="s">
        <v>10</v>
      </c>
      <c r="E4963" s="2" t="s">
        <v>76</v>
      </c>
      <c r="F4963" s="2" t="s">
        <v>1146</v>
      </c>
      <c r="G4963" s="14" t="n">
        <v>9.5</v>
      </c>
      <c r="H4963" s="14" t="n">
        <v>7.58</v>
      </c>
      <c r="I4963" s="14" t="n">
        <v>9.5</v>
      </c>
      <c r="J4963" s="22" t="n">
        <f aca="false">IF(E4963="Priority",'Cost model'!N128,'Cost model'!M128)</f>
        <v>10.5</v>
      </c>
      <c r="K4963" s="14" t="n">
        <f aca="false">J4963-H4963</f>
        <v>2.92</v>
      </c>
      <c r="L4963" s="14" t="n">
        <f aca="false">G4963-H4963</f>
        <v>1.92</v>
      </c>
    </row>
    <row r="4964" customFormat="false" ht="15" hidden="false" customHeight="false" outlineLevel="0" collapsed="false">
      <c r="A4964" s="2" t="s">
        <v>126</v>
      </c>
      <c r="B4964" s="2" t="s">
        <v>126</v>
      </c>
      <c r="C4964" s="2" t="s">
        <v>50</v>
      </c>
      <c r="D4964" s="2" t="s">
        <v>10</v>
      </c>
      <c r="E4964" s="2" t="s">
        <v>85</v>
      </c>
      <c r="F4964" s="2" t="s">
        <v>1145</v>
      </c>
      <c r="G4964" s="14" t="n">
        <v>24.5</v>
      </c>
      <c r="H4964" s="14" t="n">
        <v>21.76</v>
      </c>
      <c r="I4964" s="14" t="n">
        <v>24.5</v>
      </c>
      <c r="J4964" s="22" t="n">
        <f aca="false">IF(E4964="Priority",'Cost model'!N382,'Cost model'!M382)</f>
        <v>25.5</v>
      </c>
      <c r="K4964" s="14" t="n">
        <f aca="false">J4964-H4964</f>
        <v>3.74</v>
      </c>
      <c r="L4964" s="14" t="n">
        <f aca="false">G4964-H4964</f>
        <v>2.74</v>
      </c>
    </row>
    <row r="4965" customFormat="false" ht="15" hidden="false" customHeight="false" outlineLevel="0" collapsed="false">
      <c r="A4965" s="2" t="s">
        <v>146</v>
      </c>
      <c r="B4965" s="2" t="s">
        <v>146</v>
      </c>
      <c r="C4965" s="2" t="s">
        <v>48</v>
      </c>
      <c r="D4965" s="2" t="s">
        <v>10</v>
      </c>
      <c r="E4965" s="2" t="s">
        <v>76</v>
      </c>
      <c r="F4965" s="2" t="s">
        <v>1145</v>
      </c>
      <c r="G4965" s="14" t="n">
        <v>9.5</v>
      </c>
      <c r="H4965" s="14" t="n">
        <v>7.72</v>
      </c>
      <c r="I4965" s="14" t="n">
        <v>9.5</v>
      </c>
      <c r="J4965" s="22" t="n">
        <f aca="false">IF(E4965="Priority",'Cost model'!N758,'Cost model'!M758)</f>
        <v>9.5</v>
      </c>
      <c r="K4965" s="14" t="n">
        <f aca="false">J4965-H4965</f>
        <v>1.78</v>
      </c>
      <c r="L4965" s="14" t="n">
        <f aca="false">G4965-H4965</f>
        <v>1.78</v>
      </c>
    </row>
    <row r="4966" customFormat="false" ht="15" hidden="false" customHeight="false" outlineLevel="0" collapsed="false">
      <c r="A4966" s="2" t="s">
        <v>184</v>
      </c>
      <c r="B4966" s="2" t="s">
        <v>146</v>
      </c>
      <c r="C4966" s="2" t="s">
        <v>48</v>
      </c>
      <c r="D4966" s="2" t="s">
        <v>12</v>
      </c>
      <c r="E4966" s="2" t="s">
        <v>76</v>
      </c>
      <c r="F4966" s="2" t="s">
        <v>1146</v>
      </c>
      <c r="G4966" s="14" t="n">
        <v>9.5</v>
      </c>
      <c r="H4966" s="14" t="n">
        <v>71.31</v>
      </c>
      <c r="I4966" s="14" t="n">
        <v>9.5</v>
      </c>
      <c r="J4966" s="22" t="n">
        <f aca="false">IF(E4966="Priority",'Cost model'!N149,'Cost model'!M149)</f>
        <v>45</v>
      </c>
      <c r="K4966" s="14" t="n">
        <f aca="false">J4966-H4966</f>
        <v>-26.31</v>
      </c>
      <c r="L4966" s="14" t="n">
        <f aca="false">G4966-H4966</f>
        <v>-61.81</v>
      </c>
    </row>
    <row r="4967" customFormat="false" ht="15" hidden="false" customHeight="false" outlineLevel="0" collapsed="false">
      <c r="A4967" s="2" t="s">
        <v>240</v>
      </c>
      <c r="B4967" s="2" t="s">
        <v>240</v>
      </c>
      <c r="C4967" s="2" t="s">
        <v>48</v>
      </c>
      <c r="D4967" s="2" t="s">
        <v>12</v>
      </c>
      <c r="E4967" s="2" t="s">
        <v>76</v>
      </c>
      <c r="F4967" s="2" t="s">
        <v>1145</v>
      </c>
      <c r="G4967" s="14" t="n">
        <v>9.5</v>
      </c>
      <c r="H4967" s="14" t="n">
        <v>7.4</v>
      </c>
      <c r="I4967" s="14" t="n">
        <v>9.5</v>
      </c>
      <c r="J4967" s="22" t="n">
        <f aca="false">IF(E4967="Priority",'Cost model'!N887,'Cost model'!M887)</f>
        <v>21.5</v>
      </c>
      <c r="K4967" s="14" t="n">
        <f aca="false">J4967-H4967</f>
        <v>14.1</v>
      </c>
      <c r="L4967" s="14" t="n">
        <f aca="false">G4967-H4967</f>
        <v>2.1</v>
      </c>
    </row>
    <row r="4968" customFormat="false" ht="15" hidden="false" customHeight="false" outlineLevel="0" collapsed="false">
      <c r="A4968" s="2" t="s">
        <v>126</v>
      </c>
      <c r="B4968" s="2" t="s">
        <v>126</v>
      </c>
      <c r="C4968" s="2" t="s">
        <v>49</v>
      </c>
      <c r="D4968" s="2" t="s">
        <v>10</v>
      </c>
      <c r="E4968" s="2" t="s">
        <v>76</v>
      </c>
      <c r="F4968" s="2" t="s">
        <v>1145</v>
      </c>
      <c r="G4968" s="14" t="n">
        <v>12.5</v>
      </c>
      <c r="H4968" s="14" t="n">
        <v>17.31</v>
      </c>
      <c r="I4968" s="14" t="n">
        <v>12.5</v>
      </c>
      <c r="J4968" s="22" t="n">
        <f aca="false">IF(E4968="Priority",'Cost model'!N381,'Cost model'!M381)</f>
        <v>14.5</v>
      </c>
      <c r="K4968" s="14" t="n">
        <f aca="false">J4968-H4968</f>
        <v>-2.81</v>
      </c>
      <c r="L4968" s="14" t="n">
        <f aca="false">G4968-H4968</f>
        <v>-4.81</v>
      </c>
    </row>
    <row r="4969" customFormat="false" ht="15" hidden="false" customHeight="false" outlineLevel="0" collapsed="false">
      <c r="A4969" s="2" t="s">
        <v>125</v>
      </c>
      <c r="B4969" s="2" t="s">
        <v>165</v>
      </c>
      <c r="C4969" s="2" t="s">
        <v>48</v>
      </c>
      <c r="D4969" s="2" t="s">
        <v>10</v>
      </c>
      <c r="E4969" s="2" t="s">
        <v>76</v>
      </c>
      <c r="F4969" s="2" t="s">
        <v>1146</v>
      </c>
      <c r="G4969" s="14" t="n">
        <v>14.5</v>
      </c>
      <c r="H4969" s="14" t="n">
        <v>11.94</v>
      </c>
      <c r="I4969" s="14" t="n">
        <v>19.5</v>
      </c>
      <c r="J4969" s="22" t="n">
        <f aca="false">IF(E4969="Priority",'Cost model'!N38,'Cost model'!M38)</f>
        <v>13.5</v>
      </c>
      <c r="K4969" s="14" t="n">
        <f aca="false">J4969-H4969</f>
        <v>1.56</v>
      </c>
      <c r="L4969" s="14" t="n">
        <f aca="false">G4969-H4969</f>
        <v>2.56</v>
      </c>
    </row>
    <row r="4970" customFormat="false" ht="15" hidden="false" customHeight="false" outlineLevel="0" collapsed="false">
      <c r="A4970" s="2" t="s">
        <v>184</v>
      </c>
      <c r="B4970" s="2" t="s">
        <v>184</v>
      </c>
      <c r="C4970" s="2" t="s">
        <v>48</v>
      </c>
      <c r="D4970" s="2" t="s">
        <v>12</v>
      </c>
      <c r="E4970" s="2" t="s">
        <v>76</v>
      </c>
      <c r="F4970" s="2" t="s">
        <v>1145</v>
      </c>
      <c r="G4970" s="14" t="n">
        <v>9.5</v>
      </c>
      <c r="H4970" s="14" t="n">
        <v>44.21</v>
      </c>
      <c r="I4970" s="14" t="n">
        <v>9.5</v>
      </c>
      <c r="J4970" s="22" t="n">
        <f aca="false">IF(E4970="Priority",'Cost model'!N203,'Cost model'!M203)</f>
        <v>26.5</v>
      </c>
      <c r="K4970" s="14" t="n">
        <f aca="false">J4970-H4970</f>
        <v>-17.71</v>
      </c>
      <c r="L4970" s="14" t="n">
        <f aca="false">G4970-H4970</f>
        <v>-34.71</v>
      </c>
    </row>
    <row r="4971" customFormat="false" ht="15" hidden="false" customHeight="false" outlineLevel="0" collapsed="false">
      <c r="A4971" s="2" t="s">
        <v>240</v>
      </c>
      <c r="B4971" s="2" t="s">
        <v>146</v>
      </c>
      <c r="C4971" s="2" t="s">
        <v>48</v>
      </c>
      <c r="D4971" s="2" t="s">
        <v>12</v>
      </c>
      <c r="E4971" s="2" t="s">
        <v>76</v>
      </c>
      <c r="F4971" s="2" t="s">
        <v>1146</v>
      </c>
      <c r="G4971" s="14" t="n">
        <v>24.5</v>
      </c>
      <c r="H4971" s="14" t="n">
        <v>65.05</v>
      </c>
      <c r="I4971" s="14" t="n">
        <v>24.5</v>
      </c>
      <c r="J4971" s="22" t="n">
        <f aca="false">IF(E4971="Priority",'Cost model'!N923,'Cost model'!M923)</f>
        <v>65</v>
      </c>
      <c r="K4971" s="14" t="n">
        <f aca="false">J4971-H4971</f>
        <v>-0.0499999999999972</v>
      </c>
      <c r="L4971" s="14" t="n">
        <f aca="false">G4971-H4971</f>
        <v>-40.55</v>
      </c>
    </row>
    <row r="4972" customFormat="false" ht="15" hidden="false" customHeight="false" outlineLevel="0" collapsed="false">
      <c r="A4972" s="2" t="s">
        <v>165</v>
      </c>
      <c r="B4972" s="2" t="s">
        <v>126</v>
      </c>
      <c r="C4972" s="2" t="s">
        <v>48</v>
      </c>
      <c r="D4972" s="2" t="s">
        <v>10</v>
      </c>
      <c r="E4972" s="2" t="s">
        <v>76</v>
      </c>
      <c r="F4972" s="2" t="s">
        <v>1146</v>
      </c>
      <c r="G4972" s="14" t="n">
        <v>9.5</v>
      </c>
      <c r="H4972" s="14" t="n">
        <v>13.2</v>
      </c>
      <c r="I4972" s="14" t="n">
        <v>14.5</v>
      </c>
      <c r="J4972" s="22" t="n">
        <f aca="false">IF(E4972="Priority",'Cost model'!N542,'Cost model'!M542)</f>
        <v>14.5</v>
      </c>
      <c r="K4972" s="14" t="n">
        <f aca="false">J4972-H4972</f>
        <v>1.3</v>
      </c>
      <c r="L4972" s="14" t="n">
        <f aca="false">G4972-H4972</f>
        <v>-3.7</v>
      </c>
    </row>
    <row r="4973" customFormat="false" ht="15" hidden="false" customHeight="false" outlineLevel="0" collapsed="false">
      <c r="A4973" s="2" t="s">
        <v>184</v>
      </c>
      <c r="B4973" s="2" t="s">
        <v>125</v>
      </c>
      <c r="C4973" s="2" t="s">
        <v>48</v>
      </c>
      <c r="D4973" s="2" t="s">
        <v>12</v>
      </c>
      <c r="E4973" s="2" t="s">
        <v>76</v>
      </c>
      <c r="F4973" s="2" t="s">
        <v>1146</v>
      </c>
      <c r="G4973" s="14" t="n">
        <v>9.5</v>
      </c>
      <c r="H4973" s="14" t="n">
        <v>39.22</v>
      </c>
      <c r="I4973" s="14" t="n">
        <v>24.5</v>
      </c>
      <c r="J4973" s="22" t="n">
        <f aca="false">IF(E4973="Priority",'Cost model'!N239,'Cost model'!M239)</f>
        <v>55</v>
      </c>
      <c r="K4973" s="14" t="n">
        <f aca="false">J4973-H4973</f>
        <v>15.78</v>
      </c>
      <c r="L4973" s="14" t="n">
        <f aca="false">G4973-H4973</f>
        <v>-29.72</v>
      </c>
    </row>
    <row r="4974" customFormat="false" ht="15" hidden="false" customHeight="false" outlineLevel="0" collapsed="false">
      <c r="A4974" s="2" t="s">
        <v>126</v>
      </c>
      <c r="B4974" s="2" t="s">
        <v>126</v>
      </c>
      <c r="C4974" s="2" t="s">
        <v>49</v>
      </c>
      <c r="D4974" s="2" t="s">
        <v>10</v>
      </c>
      <c r="E4974" s="2" t="s">
        <v>76</v>
      </c>
      <c r="F4974" s="2" t="s">
        <v>1145</v>
      </c>
      <c r="G4974" s="14" t="n">
        <v>12.5</v>
      </c>
      <c r="H4974" s="14" t="n">
        <v>10.1</v>
      </c>
      <c r="I4974" s="14" t="n">
        <v>12.5</v>
      </c>
      <c r="J4974" s="22" t="n">
        <f aca="false">IF(E4974="Priority",'Cost model'!N381,'Cost model'!M381)</f>
        <v>14.5</v>
      </c>
      <c r="K4974" s="14" t="n">
        <f aca="false">J4974-H4974</f>
        <v>4.4</v>
      </c>
      <c r="L4974" s="14" t="n">
        <f aca="false">G4974-H4974</f>
        <v>2.4</v>
      </c>
    </row>
    <row r="4975" customFormat="false" ht="15" hidden="false" customHeight="false" outlineLevel="0" collapsed="false">
      <c r="A4975" s="2" t="s">
        <v>126</v>
      </c>
      <c r="B4975" s="2" t="s">
        <v>240</v>
      </c>
      <c r="C4975" s="2" t="s">
        <v>49</v>
      </c>
      <c r="D4975" s="2" t="s">
        <v>12</v>
      </c>
      <c r="E4975" s="2" t="s">
        <v>76</v>
      </c>
      <c r="F4975" s="2" t="s">
        <v>1146</v>
      </c>
      <c r="G4975" s="14" t="n">
        <v>12.5</v>
      </c>
      <c r="H4975" s="14" t="n">
        <v>63.32</v>
      </c>
      <c r="I4975" s="14" t="n">
        <v>24.5</v>
      </c>
      <c r="J4975" s="22" t="n">
        <f aca="false">IF(E4975="Priority",'Cost model'!N492,'Cost model'!M492)</f>
        <v>60</v>
      </c>
      <c r="K4975" s="14" t="n">
        <f aca="false">J4975-H4975</f>
        <v>-3.32</v>
      </c>
      <c r="L4975" s="14" t="n">
        <f aca="false">G4975-H4975</f>
        <v>-50.82</v>
      </c>
    </row>
    <row r="4976" customFormat="false" ht="15" hidden="false" customHeight="false" outlineLevel="0" collapsed="false">
      <c r="A4976" s="2" t="s">
        <v>240</v>
      </c>
      <c r="B4976" s="2" t="s">
        <v>240</v>
      </c>
      <c r="C4976" s="2" t="s">
        <v>48</v>
      </c>
      <c r="D4976" s="2" t="s">
        <v>10</v>
      </c>
      <c r="E4976" s="2" t="s">
        <v>85</v>
      </c>
      <c r="F4976" s="2" t="s">
        <v>1145</v>
      </c>
      <c r="G4976" s="14" t="n">
        <v>14.5</v>
      </c>
      <c r="H4976" s="14" t="n">
        <v>22.71</v>
      </c>
      <c r="I4976" s="14" t="n">
        <v>14.5</v>
      </c>
      <c r="J4976" s="22" t="n">
        <f aca="false">IF(E4976="Priority",'Cost model'!N884,'Cost model'!M884)</f>
        <v>12.5</v>
      </c>
      <c r="K4976" s="14" t="n">
        <f aca="false">J4976-H4976</f>
        <v>-10.21</v>
      </c>
      <c r="L4976" s="14" t="n">
        <f aca="false">G4976-H4976</f>
        <v>-8.21</v>
      </c>
    </row>
    <row r="4977" customFormat="false" ht="15" hidden="false" customHeight="false" outlineLevel="0" collapsed="false">
      <c r="A4977" s="2" t="s">
        <v>240</v>
      </c>
      <c r="B4977" s="2" t="s">
        <v>146</v>
      </c>
      <c r="C4977" s="2" t="s">
        <v>50</v>
      </c>
      <c r="D4977" s="2" t="s">
        <v>12</v>
      </c>
      <c r="E4977" s="2" t="s">
        <v>76</v>
      </c>
      <c r="F4977" s="2" t="s">
        <v>1146</v>
      </c>
      <c r="G4977" s="14" t="n">
        <v>19.5</v>
      </c>
      <c r="H4977" s="14" t="n">
        <v>101.33</v>
      </c>
      <c r="I4977" s="14" t="n">
        <v>29.5</v>
      </c>
      <c r="J4977" s="22" t="n">
        <f aca="false">IF(E4977="Priority",'Cost model'!N925,'Cost model'!M925)</f>
        <v>80</v>
      </c>
      <c r="K4977" s="14" t="n">
        <f aca="false">J4977-H4977</f>
        <v>-21.33</v>
      </c>
      <c r="L4977" s="14" t="n">
        <f aca="false">G4977-H4977</f>
        <v>-81.83</v>
      </c>
    </row>
    <row r="4978" customFormat="false" ht="15" hidden="false" customHeight="false" outlineLevel="0" collapsed="false">
      <c r="A4978" s="2" t="s">
        <v>184</v>
      </c>
      <c r="B4978" s="2" t="s">
        <v>221</v>
      </c>
      <c r="C4978" s="2" t="s">
        <v>49</v>
      </c>
      <c r="D4978" s="2" t="s">
        <v>10</v>
      </c>
      <c r="E4978" s="2" t="s">
        <v>76</v>
      </c>
      <c r="F4978" s="2" t="s">
        <v>1146</v>
      </c>
      <c r="G4978" s="14" t="n">
        <v>12.5</v>
      </c>
      <c r="H4978" s="14" t="n">
        <v>9.12</v>
      </c>
      <c r="I4978" s="14"/>
      <c r="J4978" s="22" t="n">
        <f aca="false">IF(E4978="Priority",'Cost model'!N219,'Cost model'!M219)</f>
        <v>14.5</v>
      </c>
      <c r="K4978" s="14" t="n">
        <f aca="false">J4978-H4978</f>
        <v>5.38</v>
      </c>
      <c r="L4978" s="14" t="n">
        <f aca="false">G4978-H4978</f>
        <v>3.38</v>
      </c>
    </row>
    <row r="4979" customFormat="false" ht="15" hidden="false" customHeight="false" outlineLevel="0" collapsed="false">
      <c r="A4979" s="2" t="s">
        <v>184</v>
      </c>
      <c r="B4979" s="2" t="s">
        <v>184</v>
      </c>
      <c r="C4979" s="2" t="s">
        <v>48</v>
      </c>
      <c r="D4979" s="2" t="s">
        <v>10</v>
      </c>
      <c r="E4979" s="2" t="s">
        <v>85</v>
      </c>
      <c r="F4979" s="2" t="s">
        <v>1145</v>
      </c>
      <c r="G4979" s="14" t="n">
        <v>14.5</v>
      </c>
      <c r="H4979" s="14" t="n">
        <v>7.45</v>
      </c>
      <c r="I4979" s="14" t="n">
        <v>14.5</v>
      </c>
      <c r="J4979" s="22" t="n">
        <f aca="false">IF(E4979="Priority",'Cost model'!N200,'Cost model'!M200)</f>
        <v>12.5</v>
      </c>
      <c r="K4979" s="14" t="n">
        <f aca="false">J4979-H4979</f>
        <v>5.05</v>
      </c>
      <c r="L4979" s="14" t="n">
        <f aca="false">G4979-H4979</f>
        <v>7.05</v>
      </c>
    </row>
    <row r="4980" customFormat="false" ht="15" hidden="false" customHeight="false" outlineLevel="0" collapsed="false">
      <c r="A4980" s="2" t="s">
        <v>240</v>
      </c>
      <c r="B4980" s="2" t="s">
        <v>165</v>
      </c>
      <c r="C4980" s="2" t="s">
        <v>49</v>
      </c>
      <c r="D4980" s="2" t="s">
        <v>13</v>
      </c>
      <c r="E4980" s="2" t="s">
        <v>76</v>
      </c>
      <c r="F4980" s="2" t="s">
        <v>1146</v>
      </c>
      <c r="G4980" s="14" t="n">
        <v>34.5</v>
      </c>
      <c r="H4980" s="14" t="n">
        <v>128.82</v>
      </c>
      <c r="I4980" s="14" t="n">
        <v>34.5</v>
      </c>
      <c r="J4980" s="22" t="n">
        <f aca="false">IF(E4980="Priority",'Cost model'!N909,'Cost model'!M909)</f>
        <v>105</v>
      </c>
      <c r="K4980" s="14" t="n">
        <f aca="false">J4980-H4980</f>
        <v>-23.82</v>
      </c>
      <c r="L4980" s="14" t="n">
        <f aca="false">G4980-H4980</f>
        <v>-94.32</v>
      </c>
    </row>
    <row r="4981" customFormat="false" ht="15" hidden="false" customHeight="false" outlineLevel="0" collapsed="false">
      <c r="A4981" s="2" t="s">
        <v>184</v>
      </c>
      <c r="B4981" s="2" t="s">
        <v>184</v>
      </c>
      <c r="C4981" s="2" t="s">
        <v>50</v>
      </c>
      <c r="D4981" s="2" t="s">
        <v>12</v>
      </c>
      <c r="E4981" s="2" t="s">
        <v>76</v>
      </c>
      <c r="F4981" s="2" t="s">
        <v>1145</v>
      </c>
      <c r="G4981" s="14" t="n">
        <v>19.5</v>
      </c>
      <c r="H4981" s="14" t="n">
        <v>28.05</v>
      </c>
      <c r="I4981" s="14" t="n">
        <v>19.5</v>
      </c>
      <c r="J4981" s="22" t="n">
        <f aca="false">IF(E4981="Priority",'Cost model'!N205,'Cost model'!M205)</f>
        <v>50</v>
      </c>
      <c r="K4981" s="14" t="n">
        <f aca="false">J4981-H4981</f>
        <v>21.95</v>
      </c>
      <c r="L4981" s="14" t="n">
        <f aca="false">G4981-H4981</f>
        <v>-8.55</v>
      </c>
    </row>
    <row r="4982" customFormat="false" ht="15" hidden="false" customHeight="false" outlineLevel="0" collapsed="false">
      <c r="A4982" s="2" t="s">
        <v>146</v>
      </c>
      <c r="B4982" s="2" t="s">
        <v>146</v>
      </c>
      <c r="C4982" s="2" t="s">
        <v>48</v>
      </c>
      <c r="D4982" s="2" t="s">
        <v>12</v>
      </c>
      <c r="E4982" s="2" t="s">
        <v>76</v>
      </c>
      <c r="F4982" s="2" t="s">
        <v>1145</v>
      </c>
      <c r="G4982" s="14" t="n">
        <v>9.5</v>
      </c>
      <c r="H4982" s="14" t="n">
        <v>48.64</v>
      </c>
      <c r="I4982" s="14" t="n">
        <v>9.5</v>
      </c>
      <c r="J4982" s="22" t="n">
        <f aca="false">IF(E4982="Priority",'Cost model'!N761,'Cost model'!M761)</f>
        <v>35</v>
      </c>
      <c r="K4982" s="14" t="n">
        <f aca="false">J4982-H4982</f>
        <v>-13.64</v>
      </c>
      <c r="L4982" s="14" t="n">
        <f aca="false">G4982-H4982</f>
        <v>-39.14</v>
      </c>
    </row>
    <row r="4983" customFormat="false" ht="15" hidden="false" customHeight="false" outlineLevel="0" collapsed="false">
      <c r="A4983" s="2" t="s">
        <v>184</v>
      </c>
      <c r="B4983" s="2" t="s">
        <v>184</v>
      </c>
      <c r="C4983" s="2" t="s">
        <v>49</v>
      </c>
      <c r="D4983" s="2" t="s">
        <v>13</v>
      </c>
      <c r="E4983" s="2" t="s">
        <v>76</v>
      </c>
      <c r="F4983" s="2" t="s">
        <v>1145</v>
      </c>
      <c r="G4983" s="14" t="n">
        <v>24.5</v>
      </c>
      <c r="H4983" s="14" t="n">
        <v>81.88</v>
      </c>
      <c r="I4983" s="14" t="n">
        <v>24.5</v>
      </c>
      <c r="J4983" s="22" t="n">
        <f aca="false">IF(E4983="Priority",'Cost model'!N207,'Cost model'!M207)</f>
        <v>75</v>
      </c>
      <c r="K4983" s="14" t="n">
        <f aca="false">J4983-H4983</f>
        <v>-6.88</v>
      </c>
      <c r="L4983" s="14" t="n">
        <f aca="false">G4983-H4983</f>
        <v>-57.38</v>
      </c>
    </row>
    <row r="4984" customFormat="false" ht="15" hidden="false" customHeight="false" outlineLevel="0" collapsed="false">
      <c r="A4984" s="2" t="s">
        <v>184</v>
      </c>
      <c r="B4984" s="2" t="s">
        <v>184</v>
      </c>
      <c r="C4984" s="2" t="s">
        <v>50</v>
      </c>
      <c r="D4984" s="2" t="s">
        <v>10</v>
      </c>
      <c r="E4984" s="2" t="s">
        <v>76</v>
      </c>
      <c r="F4984" s="2" t="s">
        <v>1145</v>
      </c>
      <c r="G4984" s="14" t="n">
        <v>17.5</v>
      </c>
      <c r="H4984" s="14" t="n">
        <v>15.16</v>
      </c>
      <c r="I4984" s="14" t="n">
        <v>17.5</v>
      </c>
      <c r="J4984" s="22" t="n">
        <f aca="false">IF(E4984="Priority",'Cost model'!N202,'Cost model'!M202)</f>
        <v>17.5</v>
      </c>
      <c r="K4984" s="14" t="n">
        <f aca="false">J4984-H4984</f>
        <v>2.34</v>
      </c>
      <c r="L4984" s="14" t="n">
        <f aca="false">G4984-H4984</f>
        <v>2.34</v>
      </c>
    </row>
    <row r="4985" customFormat="false" ht="15" hidden="false" customHeight="false" outlineLevel="0" collapsed="false">
      <c r="A4985" s="2" t="s">
        <v>184</v>
      </c>
      <c r="B4985" s="2" t="s">
        <v>184</v>
      </c>
      <c r="C4985" s="2" t="s">
        <v>49</v>
      </c>
      <c r="D4985" s="2" t="s">
        <v>10</v>
      </c>
      <c r="E4985" s="2" t="s">
        <v>76</v>
      </c>
      <c r="F4985" s="2" t="s">
        <v>1145</v>
      </c>
      <c r="G4985" s="14" t="n">
        <v>17.5</v>
      </c>
      <c r="H4985" s="14" t="n">
        <v>12.09</v>
      </c>
      <c r="I4985" s="14"/>
      <c r="J4985" s="22" t="n">
        <f aca="false">IF(E4985="Priority",'Cost model'!N201,'Cost model'!M201)</f>
        <v>12.5</v>
      </c>
      <c r="K4985" s="14" t="n">
        <f aca="false">J4985-H4985</f>
        <v>0.41</v>
      </c>
      <c r="L4985" s="14" t="n">
        <f aca="false">G4985-H4985</f>
        <v>5.41</v>
      </c>
    </row>
    <row r="4986" customFormat="false" ht="15" hidden="false" customHeight="false" outlineLevel="0" collapsed="false">
      <c r="A4986" s="2" t="s">
        <v>184</v>
      </c>
      <c r="B4986" s="2" t="s">
        <v>184</v>
      </c>
      <c r="C4986" s="2" t="s">
        <v>49</v>
      </c>
      <c r="D4986" s="2" t="s">
        <v>12</v>
      </c>
      <c r="E4986" s="2" t="s">
        <v>76</v>
      </c>
      <c r="F4986" s="2" t="s">
        <v>1145</v>
      </c>
      <c r="G4986" s="14" t="n">
        <v>19.5</v>
      </c>
      <c r="H4986" s="14" t="n">
        <v>72.95</v>
      </c>
      <c r="I4986" s="14"/>
      <c r="J4986" s="22" t="n">
        <f aca="false">IF(E4986="Priority",'Cost model'!N204,'Cost model'!M204)</f>
        <v>45</v>
      </c>
      <c r="K4986" s="14" t="n">
        <f aca="false">J4986-H4986</f>
        <v>-27.95</v>
      </c>
      <c r="L4986" s="14" t="n">
        <f aca="false">G4986-H4986</f>
        <v>-53.45</v>
      </c>
    </row>
    <row r="4987" customFormat="false" ht="15" hidden="false" customHeight="false" outlineLevel="0" collapsed="false">
      <c r="A4987" s="2" t="s">
        <v>221</v>
      </c>
      <c r="B4987" s="2" t="s">
        <v>221</v>
      </c>
      <c r="C4987" s="2" t="s">
        <v>48</v>
      </c>
      <c r="D4987" s="2" t="s">
        <v>12</v>
      </c>
      <c r="E4987" s="2" t="s">
        <v>85</v>
      </c>
      <c r="F4987" s="2" t="s">
        <v>1145</v>
      </c>
      <c r="G4987" s="14" t="n">
        <v>19.5</v>
      </c>
      <c r="H4987" s="14" t="n">
        <v>29.73</v>
      </c>
      <c r="I4987" s="14" t="n">
        <v>19.5</v>
      </c>
      <c r="J4987" s="22" t="n">
        <f aca="false">IF(E4987="Priority",'Cost model'!N635,'Cost model'!M635)</f>
        <v>40</v>
      </c>
      <c r="K4987" s="14" t="n">
        <f aca="false">J4987-H4987</f>
        <v>10.27</v>
      </c>
      <c r="L4987" s="14" t="n">
        <f aca="false">G4987-H4987</f>
        <v>-10.23</v>
      </c>
    </row>
    <row r="4988" customFormat="false" ht="15" hidden="false" customHeight="false" outlineLevel="0" collapsed="false">
      <c r="A4988" s="2" t="s">
        <v>184</v>
      </c>
      <c r="B4988" s="2" t="s">
        <v>184</v>
      </c>
      <c r="C4988" s="2" t="s">
        <v>48</v>
      </c>
      <c r="D4988" s="2" t="s">
        <v>10</v>
      </c>
      <c r="E4988" s="2" t="s">
        <v>76</v>
      </c>
      <c r="F4988" s="2" t="s">
        <v>1145</v>
      </c>
      <c r="G4988" s="14" t="n">
        <v>9.5</v>
      </c>
      <c r="H4988" s="14" t="n">
        <v>9.85</v>
      </c>
      <c r="I4988" s="14" t="n">
        <v>9.5</v>
      </c>
      <c r="J4988" s="22" t="n">
        <f aca="false">IF(E4988="Priority",'Cost model'!N200,'Cost model'!M200)</f>
        <v>7.5</v>
      </c>
      <c r="K4988" s="14" t="n">
        <f aca="false">J4988-H4988</f>
        <v>-2.35</v>
      </c>
      <c r="L4988" s="14" t="n">
        <f aca="false">G4988-H4988</f>
        <v>-0.35</v>
      </c>
    </row>
    <row r="4989" customFormat="false" ht="15" hidden="false" customHeight="false" outlineLevel="0" collapsed="false">
      <c r="A4989" s="2" t="s">
        <v>221</v>
      </c>
      <c r="B4989" s="2" t="s">
        <v>221</v>
      </c>
      <c r="C4989" s="2" t="s">
        <v>48</v>
      </c>
      <c r="D4989" s="2" t="s">
        <v>10</v>
      </c>
      <c r="E4989" s="2" t="s">
        <v>85</v>
      </c>
      <c r="F4989" s="2" t="s">
        <v>1145</v>
      </c>
      <c r="G4989" s="14" t="n">
        <v>14.5</v>
      </c>
      <c r="H4989" s="14" t="n">
        <v>9.12</v>
      </c>
      <c r="I4989" s="14" t="n">
        <v>14.5</v>
      </c>
      <c r="J4989" s="22" t="n">
        <f aca="false">IF(E4989="Priority",'Cost model'!N632,'Cost model'!M632)</f>
        <v>15.5</v>
      </c>
      <c r="K4989" s="14" t="n">
        <f aca="false">J4989-H4989</f>
        <v>6.38</v>
      </c>
      <c r="L4989" s="14" t="n">
        <f aca="false">G4989-H4989</f>
        <v>5.38</v>
      </c>
    </row>
    <row r="4990" customFormat="false" ht="15" hidden="false" customHeight="false" outlineLevel="0" collapsed="false">
      <c r="A4990" s="2" t="s">
        <v>146</v>
      </c>
      <c r="B4990" s="2" t="s">
        <v>146</v>
      </c>
      <c r="C4990" s="2" t="s">
        <v>49</v>
      </c>
      <c r="D4990" s="2" t="s">
        <v>12</v>
      </c>
      <c r="E4990" s="2" t="s">
        <v>85</v>
      </c>
      <c r="F4990" s="2" t="s">
        <v>1145</v>
      </c>
      <c r="G4990" s="14" t="n">
        <v>19.5</v>
      </c>
      <c r="H4990" s="14" t="n">
        <v>48.47</v>
      </c>
      <c r="I4990" s="14" t="n">
        <v>19.5</v>
      </c>
      <c r="J4990" s="22" t="n">
        <f aca="false">IF(E4990="Priority",'Cost model'!N762,'Cost model'!M762)</f>
        <v>60</v>
      </c>
      <c r="K4990" s="14" t="n">
        <f aca="false">J4990-H4990</f>
        <v>11.53</v>
      </c>
      <c r="L4990" s="14" t="n">
        <f aca="false">G4990-H4990</f>
        <v>-28.97</v>
      </c>
    </row>
    <row r="4991" customFormat="false" ht="15" hidden="false" customHeight="false" outlineLevel="0" collapsed="false">
      <c r="A4991" s="2" t="s">
        <v>126</v>
      </c>
      <c r="B4991" s="2" t="s">
        <v>126</v>
      </c>
      <c r="C4991" s="2" t="s">
        <v>48</v>
      </c>
      <c r="D4991" s="2" t="s">
        <v>10</v>
      </c>
      <c r="E4991" s="2" t="s">
        <v>76</v>
      </c>
      <c r="F4991" s="2" t="s">
        <v>1145</v>
      </c>
      <c r="G4991" s="14" t="n">
        <v>9.5</v>
      </c>
      <c r="H4991" s="14" t="n">
        <v>9.67</v>
      </c>
      <c r="I4991" s="14" t="n">
        <v>9.5</v>
      </c>
      <c r="J4991" s="22" t="n">
        <f aca="false">IF(E4991="Priority",'Cost model'!N380,'Cost model'!M380)</f>
        <v>8.5</v>
      </c>
      <c r="K4991" s="14" t="n">
        <f aca="false">J4991-H4991</f>
        <v>-1.17</v>
      </c>
      <c r="L4991" s="14" t="n">
        <f aca="false">G4991-H4991</f>
        <v>-0.17</v>
      </c>
    </row>
    <row r="4992" customFormat="false" ht="15" hidden="false" customHeight="false" outlineLevel="0" collapsed="false">
      <c r="A4992" s="2" t="s">
        <v>146</v>
      </c>
      <c r="B4992" s="2" t="s">
        <v>146</v>
      </c>
      <c r="C4992" s="2" t="s">
        <v>48</v>
      </c>
      <c r="D4992" s="2" t="s">
        <v>12</v>
      </c>
      <c r="E4992" s="2" t="s">
        <v>76</v>
      </c>
      <c r="F4992" s="2" t="s">
        <v>1145</v>
      </c>
      <c r="G4992" s="14" t="n">
        <v>9.5</v>
      </c>
      <c r="H4992" s="14" t="n">
        <v>28.6</v>
      </c>
      <c r="I4992" s="14" t="n">
        <v>9.5</v>
      </c>
      <c r="J4992" s="22" t="n">
        <f aca="false">IF(E4992="Priority",'Cost model'!N761,'Cost model'!M761)</f>
        <v>35</v>
      </c>
      <c r="K4992" s="14" t="n">
        <f aca="false">J4992-H4992</f>
        <v>6.4</v>
      </c>
      <c r="L4992" s="14" t="n">
        <f aca="false">G4992-H4992</f>
        <v>-19.1</v>
      </c>
    </row>
    <row r="4993" customFormat="false" ht="15" hidden="false" customHeight="false" outlineLevel="0" collapsed="false">
      <c r="A4993" s="2" t="s">
        <v>240</v>
      </c>
      <c r="B4993" s="2" t="s">
        <v>240</v>
      </c>
      <c r="C4993" s="2" t="s">
        <v>50</v>
      </c>
      <c r="D4993" s="2" t="s">
        <v>12</v>
      </c>
      <c r="E4993" s="2" t="s">
        <v>76</v>
      </c>
      <c r="F4993" s="2" t="s">
        <v>1145</v>
      </c>
      <c r="G4993" s="14" t="n">
        <v>19.5</v>
      </c>
      <c r="H4993" s="14" t="n">
        <v>27.47</v>
      </c>
      <c r="I4993" s="14" t="n">
        <v>19.5</v>
      </c>
      <c r="J4993" s="22" t="n">
        <f aca="false">IF(E4993="Priority",'Cost model'!N889,'Cost model'!M889)</f>
        <v>60</v>
      </c>
      <c r="K4993" s="14" t="n">
        <f aca="false">J4993-H4993</f>
        <v>32.53</v>
      </c>
      <c r="L4993" s="14" t="n">
        <f aca="false">G4993-H4993</f>
        <v>-7.97</v>
      </c>
    </row>
    <row r="4994" customFormat="false" ht="15" hidden="false" customHeight="false" outlineLevel="0" collapsed="false">
      <c r="A4994" s="2" t="s">
        <v>240</v>
      </c>
      <c r="B4994" s="2" t="s">
        <v>240</v>
      </c>
      <c r="C4994" s="2" t="s">
        <v>48</v>
      </c>
      <c r="D4994" s="2" t="s">
        <v>12</v>
      </c>
      <c r="E4994" s="2" t="s">
        <v>76</v>
      </c>
      <c r="F4994" s="2" t="s">
        <v>1145</v>
      </c>
      <c r="G4994" s="14" t="n">
        <v>9.5</v>
      </c>
      <c r="H4994" s="14" t="n">
        <v>16.2</v>
      </c>
      <c r="I4994" s="14" t="n">
        <v>9.5</v>
      </c>
      <c r="J4994" s="22" t="n">
        <f aca="false">IF(E4994="Priority",'Cost model'!N887,'Cost model'!M887)</f>
        <v>21.5</v>
      </c>
      <c r="K4994" s="14" t="n">
        <f aca="false">J4994-H4994</f>
        <v>5.3</v>
      </c>
      <c r="L4994" s="14" t="n">
        <f aca="false">G4994-H4994</f>
        <v>-6.7</v>
      </c>
    </row>
    <row r="4995" customFormat="false" ht="15" hidden="false" customHeight="false" outlineLevel="0" collapsed="false">
      <c r="A4995" s="2" t="s">
        <v>146</v>
      </c>
      <c r="B4995" s="2" t="s">
        <v>146</v>
      </c>
      <c r="C4995" s="2" t="s">
        <v>48</v>
      </c>
      <c r="D4995" s="2" t="s">
        <v>13</v>
      </c>
      <c r="E4995" s="2" t="s">
        <v>76</v>
      </c>
      <c r="F4995" s="2" t="s">
        <v>1145</v>
      </c>
      <c r="G4995" s="14" t="n">
        <v>19</v>
      </c>
      <c r="H4995" s="14" t="n">
        <v>82.6</v>
      </c>
      <c r="I4995" s="14" t="n">
        <v>19</v>
      </c>
      <c r="J4995" s="22" t="n">
        <f aca="false">IF(E4995="Priority",'Cost model'!N764,'Cost model'!M764)</f>
        <v>55</v>
      </c>
      <c r="K4995" s="14" t="n">
        <f aca="false">J4995-H4995</f>
        <v>-27.6</v>
      </c>
      <c r="L4995" s="14" t="n">
        <f aca="false">G4995-H4995</f>
        <v>-63.6</v>
      </c>
    </row>
    <row r="4996" customFormat="false" ht="15" hidden="false" customHeight="false" outlineLevel="0" collapsed="false">
      <c r="A4996" s="2" t="s">
        <v>240</v>
      </c>
      <c r="B4996" s="2" t="s">
        <v>240</v>
      </c>
      <c r="C4996" s="2" t="s">
        <v>48</v>
      </c>
      <c r="D4996" s="2" t="s">
        <v>13</v>
      </c>
      <c r="E4996" s="2" t="s">
        <v>76</v>
      </c>
      <c r="F4996" s="2" t="s">
        <v>1145</v>
      </c>
      <c r="G4996" s="14" t="n">
        <v>34.5</v>
      </c>
      <c r="H4996" s="14" t="n">
        <v>15.84</v>
      </c>
      <c r="I4996" s="14" t="n">
        <v>19.5</v>
      </c>
      <c r="J4996" s="22" t="n">
        <f aca="false">IF(E4996="Priority",'Cost model'!N890,'Cost model'!M890)</f>
        <v>45</v>
      </c>
      <c r="K4996" s="14" t="n">
        <f aca="false">J4996-H4996</f>
        <v>29.16</v>
      </c>
      <c r="L4996" s="14" t="n">
        <f aca="false">G4996-H4996</f>
        <v>18.66</v>
      </c>
    </row>
    <row r="4997" customFormat="false" ht="15" hidden="false" customHeight="false" outlineLevel="0" collapsed="false">
      <c r="A4997" s="2" t="s">
        <v>146</v>
      </c>
      <c r="B4997" s="2" t="s">
        <v>184</v>
      </c>
      <c r="C4997" s="2" t="s">
        <v>48</v>
      </c>
      <c r="D4997" s="2" t="s">
        <v>10</v>
      </c>
      <c r="E4997" s="2" t="s">
        <v>85</v>
      </c>
      <c r="F4997" s="2" t="s">
        <v>1146</v>
      </c>
      <c r="G4997" s="14" t="n">
        <v>19.5</v>
      </c>
      <c r="H4997" s="14" t="n">
        <v>5</v>
      </c>
      <c r="I4997" s="14" t="n">
        <v>19.5</v>
      </c>
      <c r="J4997" s="22" t="n">
        <f aca="false">IF(E4997="Priority",'Cost model'!N830,'Cost model'!M830)</f>
        <v>14.5</v>
      </c>
      <c r="K4997" s="14" t="n">
        <f aca="false">J4997-H4997</f>
        <v>9.5</v>
      </c>
      <c r="L4997" s="14" t="n">
        <f aca="false">G4997-H4997</f>
        <v>14.5</v>
      </c>
    </row>
    <row r="4998" customFormat="false" ht="15" hidden="false" customHeight="false" outlineLevel="0" collapsed="false">
      <c r="A4998" s="2" t="s">
        <v>240</v>
      </c>
      <c r="B4998" s="2" t="s">
        <v>146</v>
      </c>
      <c r="C4998" s="2" t="s">
        <v>49</v>
      </c>
      <c r="D4998" s="2" t="s">
        <v>10</v>
      </c>
      <c r="E4998" s="2" t="s">
        <v>76</v>
      </c>
      <c r="F4998" s="2" t="s">
        <v>1146</v>
      </c>
      <c r="G4998" s="14" t="n">
        <v>12.5</v>
      </c>
      <c r="H4998" s="14" t="n">
        <v>72.41</v>
      </c>
      <c r="I4998" s="14" t="n">
        <v>19.5</v>
      </c>
      <c r="J4998" s="22" t="n">
        <f aca="false">IF(E4998="Priority",'Cost model'!N921,'Cost model'!M921)</f>
        <v>24.5</v>
      </c>
      <c r="K4998" s="14" t="n">
        <f aca="false">J4998-H4998</f>
        <v>-47.91</v>
      </c>
      <c r="L4998" s="14" t="n">
        <f aca="false">G4998-H4998</f>
        <v>-59.91</v>
      </c>
    </row>
    <row r="4999" customFormat="false" ht="15" hidden="false" customHeight="false" outlineLevel="0" collapsed="false">
      <c r="A4999" s="2" t="s">
        <v>125</v>
      </c>
      <c r="B4999" s="2" t="s">
        <v>125</v>
      </c>
      <c r="C4999" s="2" t="s">
        <v>48</v>
      </c>
      <c r="D4999" s="2" t="s">
        <v>12</v>
      </c>
      <c r="E4999" s="2" t="s">
        <v>76</v>
      </c>
      <c r="F4999" s="2" t="s">
        <v>1145</v>
      </c>
      <c r="G4999" s="14" t="n">
        <v>9.5</v>
      </c>
      <c r="H4999" s="14" t="n">
        <v>37.42</v>
      </c>
      <c r="I4999" s="14" t="n">
        <v>9.5</v>
      </c>
      <c r="J4999" s="22" t="n">
        <f aca="false">IF(E4999="Priority",'Cost model'!N77,'Cost model'!M77)</f>
        <v>50</v>
      </c>
      <c r="K4999" s="14" t="n">
        <f aca="false">J4999-H4999</f>
        <v>12.58</v>
      </c>
      <c r="L4999" s="14" t="n">
        <f aca="false">G4999-H4999</f>
        <v>-27.92</v>
      </c>
    </row>
    <row r="5000" customFormat="false" ht="15" hidden="false" customHeight="false" outlineLevel="0" collapsed="false">
      <c r="A5000" s="2" t="s">
        <v>184</v>
      </c>
      <c r="B5000" s="2" t="s">
        <v>184</v>
      </c>
      <c r="C5000" s="2" t="s">
        <v>48</v>
      </c>
      <c r="D5000" s="2" t="s">
        <v>13</v>
      </c>
      <c r="E5000" s="2" t="s">
        <v>76</v>
      </c>
      <c r="F5000" s="2" t="s">
        <v>1145</v>
      </c>
      <c r="G5000" s="14" t="n">
        <v>19</v>
      </c>
      <c r="H5000" s="14" t="n">
        <v>7.69</v>
      </c>
      <c r="I5000" s="14" t="n">
        <v>19</v>
      </c>
      <c r="J5000" s="22" t="n">
        <f aca="false">IF(E5000="Priority",'Cost model'!N206,'Cost model'!M206)</f>
        <v>55</v>
      </c>
      <c r="K5000" s="14" t="n">
        <f aca="false">J5000-H5000</f>
        <v>47.31</v>
      </c>
      <c r="L5000" s="14" t="n">
        <f aca="false">G5000-H5000</f>
        <v>11.31</v>
      </c>
    </row>
    <row r="5001" customFormat="false" ht="15" hidden="false" customHeight="false" outlineLevel="0" collapsed="false">
      <c r="A5001" s="2" t="s">
        <v>221</v>
      </c>
      <c r="B5001" s="2" t="s">
        <v>184</v>
      </c>
      <c r="C5001" s="2" t="s">
        <v>49</v>
      </c>
      <c r="D5001" s="2" t="s">
        <v>12</v>
      </c>
      <c r="E5001" s="2" t="s">
        <v>85</v>
      </c>
      <c r="F5001" s="2" t="s">
        <v>1146</v>
      </c>
      <c r="G5001" s="14" t="n">
        <v>24.5</v>
      </c>
      <c r="H5001" s="14" t="n">
        <v>93.68</v>
      </c>
      <c r="I5001" s="14" t="n">
        <v>24.5</v>
      </c>
      <c r="J5001" s="22" t="n">
        <f aca="false">IF(E5001="Priority",'Cost model'!N672,'Cost model'!M672)</f>
        <v>85</v>
      </c>
      <c r="K5001" s="14" t="n">
        <f aca="false">J5001-H5001</f>
        <v>-8.68000000000001</v>
      </c>
      <c r="L5001" s="14" t="n">
        <f aca="false">G5001-H5001</f>
        <v>-69.18</v>
      </c>
    </row>
    <row r="5002" customFormat="false" ht="15" hidden="false" customHeight="false" outlineLevel="0" collapsed="false">
      <c r="A5002" s="2" t="s">
        <v>126</v>
      </c>
      <c r="B5002" s="2" t="s">
        <v>126</v>
      </c>
      <c r="C5002" s="2" t="s">
        <v>49</v>
      </c>
      <c r="D5002" s="2" t="s">
        <v>10</v>
      </c>
      <c r="E5002" s="2" t="s">
        <v>76</v>
      </c>
      <c r="F5002" s="2" t="s">
        <v>1145</v>
      </c>
      <c r="G5002" s="14" t="n">
        <v>12.5</v>
      </c>
      <c r="H5002" s="14" t="n">
        <v>8.11</v>
      </c>
      <c r="I5002" s="14" t="n">
        <v>12.5</v>
      </c>
      <c r="J5002" s="22" t="n">
        <f aca="false">IF(E5002="Priority",'Cost model'!N381,'Cost model'!M381)</f>
        <v>14.5</v>
      </c>
      <c r="K5002" s="14" t="n">
        <f aca="false">J5002-H5002</f>
        <v>6.39</v>
      </c>
      <c r="L5002" s="14" t="n">
        <f aca="false">G5002-H5002</f>
        <v>4.39</v>
      </c>
    </row>
    <row r="5003" customFormat="false" ht="15" hidden="false" customHeight="false" outlineLevel="0" collapsed="false">
      <c r="A5003" s="2" t="s">
        <v>165</v>
      </c>
      <c r="B5003" s="2" t="s">
        <v>165</v>
      </c>
      <c r="C5003" s="2" t="s">
        <v>50</v>
      </c>
      <c r="D5003" s="2" t="s">
        <v>12</v>
      </c>
      <c r="E5003" s="2" t="s">
        <v>76</v>
      </c>
      <c r="F5003" s="2" t="s">
        <v>1145</v>
      </c>
      <c r="G5003" s="14" t="n">
        <v>19.5</v>
      </c>
      <c r="H5003" s="14" t="n">
        <v>26.73</v>
      </c>
      <c r="I5003" s="14" t="n">
        <v>19.5</v>
      </c>
      <c r="J5003" s="22" t="n">
        <f aca="false">IF(E5003="Priority",'Cost model'!N511,'Cost model'!M511)</f>
        <v>35</v>
      </c>
      <c r="K5003" s="14" t="n">
        <f aca="false">J5003-H5003</f>
        <v>8.27</v>
      </c>
      <c r="L5003" s="14" t="n">
        <f aca="false">G5003-H5003</f>
        <v>-7.23</v>
      </c>
    </row>
    <row r="5004" customFormat="false" ht="15" hidden="false" customHeight="false" outlineLevel="0" collapsed="false">
      <c r="A5004" s="2" t="s">
        <v>184</v>
      </c>
      <c r="B5004" s="2" t="s">
        <v>184</v>
      </c>
      <c r="C5004" s="2" t="s">
        <v>49</v>
      </c>
      <c r="D5004" s="2" t="s">
        <v>12</v>
      </c>
      <c r="E5004" s="2" t="s">
        <v>76</v>
      </c>
      <c r="F5004" s="2" t="s">
        <v>1145</v>
      </c>
      <c r="G5004" s="14" t="n">
        <v>12.5</v>
      </c>
      <c r="H5004" s="14" t="n">
        <v>43.85</v>
      </c>
      <c r="I5004" s="14"/>
      <c r="J5004" s="22" t="n">
        <f aca="false">IF(E5004="Priority",'Cost model'!N204,'Cost model'!M204)</f>
        <v>45</v>
      </c>
      <c r="K5004" s="14" t="n">
        <f aca="false">J5004-H5004</f>
        <v>1.15</v>
      </c>
      <c r="L5004" s="14" t="n">
        <f aca="false">G5004-H5004</f>
        <v>-31.35</v>
      </c>
    </row>
    <row r="5005" customFormat="false" ht="15" hidden="false" customHeight="false" outlineLevel="0" collapsed="false">
      <c r="A5005" s="2" t="s">
        <v>146</v>
      </c>
      <c r="B5005" s="2" t="s">
        <v>146</v>
      </c>
      <c r="C5005" s="2" t="s">
        <v>49</v>
      </c>
      <c r="D5005" s="2" t="s">
        <v>10</v>
      </c>
      <c r="E5005" s="2" t="s">
        <v>76</v>
      </c>
      <c r="F5005" s="2" t="s">
        <v>1145</v>
      </c>
      <c r="G5005" s="14" t="n">
        <v>12.5</v>
      </c>
      <c r="H5005" s="14" t="n">
        <v>7.93</v>
      </c>
      <c r="I5005" s="14" t="n">
        <v>12.5</v>
      </c>
      <c r="J5005" s="22" t="n">
        <f aca="false">IF(E5005="Priority",'Cost model'!N759,'Cost model'!M759)</f>
        <v>15.5</v>
      </c>
      <c r="K5005" s="14" t="n">
        <f aca="false">J5005-H5005</f>
        <v>7.57</v>
      </c>
      <c r="L5005" s="14" t="n">
        <f aca="false">G5005-H5005</f>
        <v>4.57</v>
      </c>
    </row>
    <row r="5006" customFormat="false" ht="15" hidden="false" customHeight="false" outlineLevel="0" collapsed="false">
      <c r="A5006" s="2" t="s">
        <v>184</v>
      </c>
      <c r="B5006" s="2" t="s">
        <v>184</v>
      </c>
      <c r="C5006" s="2" t="s">
        <v>49</v>
      </c>
      <c r="D5006" s="2" t="s">
        <v>10</v>
      </c>
      <c r="E5006" s="2" t="s">
        <v>76</v>
      </c>
      <c r="F5006" s="2" t="s">
        <v>1145</v>
      </c>
      <c r="G5006" s="14" t="n">
        <v>12.5</v>
      </c>
      <c r="H5006" s="14" t="n">
        <v>11.03</v>
      </c>
      <c r="I5006" s="14" t="n">
        <v>12.5</v>
      </c>
      <c r="J5006" s="22" t="n">
        <f aca="false">IF(E5006="Priority",'Cost model'!N201,'Cost model'!M201)</f>
        <v>12.5</v>
      </c>
      <c r="K5006" s="14" t="n">
        <f aca="false">J5006-H5006</f>
        <v>1.47</v>
      </c>
      <c r="L5006" s="14" t="n">
        <f aca="false">G5006-H5006</f>
        <v>1.47</v>
      </c>
    </row>
    <row r="5007" customFormat="false" ht="15" hidden="false" customHeight="false" outlineLevel="0" collapsed="false">
      <c r="A5007" s="2" t="s">
        <v>165</v>
      </c>
      <c r="B5007" s="2" t="s">
        <v>126</v>
      </c>
      <c r="C5007" s="2" t="s">
        <v>48</v>
      </c>
      <c r="D5007" s="2" t="s">
        <v>12</v>
      </c>
      <c r="E5007" s="2" t="s">
        <v>76</v>
      </c>
      <c r="F5007" s="2" t="s">
        <v>1146</v>
      </c>
      <c r="G5007" s="14" t="n">
        <v>9.5</v>
      </c>
      <c r="H5007" s="14" t="n">
        <v>51.49</v>
      </c>
      <c r="I5007" s="14" t="n">
        <v>19.5</v>
      </c>
      <c r="J5007" s="22" t="n">
        <f aca="false">IF(E5007="Priority",'Cost model'!N545,'Cost model'!M545)</f>
        <v>50</v>
      </c>
      <c r="K5007" s="14" t="n">
        <f aca="false">J5007-H5007</f>
        <v>-1.49</v>
      </c>
      <c r="L5007" s="14" t="n">
        <f aca="false">G5007-H5007</f>
        <v>-41.99</v>
      </c>
    </row>
    <row r="5008" customFormat="false" ht="15" hidden="false" customHeight="false" outlineLevel="0" collapsed="false">
      <c r="A5008" s="2" t="s">
        <v>125</v>
      </c>
      <c r="B5008" s="2" t="s">
        <v>184</v>
      </c>
      <c r="C5008" s="2" t="s">
        <v>48</v>
      </c>
      <c r="D5008" s="2" t="s">
        <v>13</v>
      </c>
      <c r="E5008" s="2" t="s">
        <v>76</v>
      </c>
      <c r="F5008" s="2" t="s">
        <v>1146</v>
      </c>
      <c r="G5008" s="14" t="n">
        <v>19</v>
      </c>
      <c r="H5008" s="14" t="n">
        <v>68.87</v>
      </c>
      <c r="I5008" s="14" t="n">
        <v>24.5</v>
      </c>
      <c r="J5008" s="22" t="n">
        <f aca="false">IF(E5008="Priority",'Cost model'!N62,'Cost model'!M62)</f>
        <v>80</v>
      </c>
      <c r="K5008" s="14" t="n">
        <f aca="false">J5008-H5008</f>
        <v>11.13</v>
      </c>
      <c r="L5008" s="14" t="n">
        <f aca="false">G5008-H5008</f>
        <v>-49.87</v>
      </c>
    </row>
    <row r="5009" customFormat="false" ht="15" hidden="false" customHeight="false" outlineLevel="0" collapsed="false">
      <c r="A5009" s="2" t="s">
        <v>184</v>
      </c>
      <c r="B5009" s="2" t="s">
        <v>126</v>
      </c>
      <c r="C5009" s="2" t="s">
        <v>48</v>
      </c>
      <c r="D5009" s="2" t="s">
        <v>10</v>
      </c>
      <c r="E5009" s="2" t="s">
        <v>76</v>
      </c>
      <c r="F5009" s="2" t="s">
        <v>1146</v>
      </c>
      <c r="G5009" s="14" t="n">
        <v>9.5</v>
      </c>
      <c r="H5009" s="14" t="n">
        <v>10.76</v>
      </c>
      <c r="I5009" s="14" t="n">
        <v>9.5</v>
      </c>
      <c r="J5009" s="22" t="n">
        <f aca="false">IF(E5009="Priority",'Cost model'!N128,'Cost model'!M128)</f>
        <v>10.5</v>
      </c>
      <c r="K5009" s="14" t="n">
        <f aca="false">J5009-H5009</f>
        <v>-0.26</v>
      </c>
      <c r="L5009" s="14" t="n">
        <f aca="false">G5009-H5009</f>
        <v>-1.26</v>
      </c>
    </row>
    <row r="5010" customFormat="false" ht="15" hidden="false" customHeight="false" outlineLevel="0" collapsed="false">
      <c r="A5010" s="2" t="s">
        <v>126</v>
      </c>
      <c r="B5010" s="2" t="s">
        <v>126</v>
      </c>
      <c r="C5010" s="2" t="s">
        <v>48</v>
      </c>
      <c r="D5010" s="2" t="s">
        <v>10</v>
      </c>
      <c r="E5010" s="2" t="s">
        <v>85</v>
      </c>
      <c r="F5010" s="2" t="s">
        <v>1145</v>
      </c>
      <c r="G5010" s="14" t="n">
        <v>14.5</v>
      </c>
      <c r="H5010" s="14" t="n">
        <v>9.66</v>
      </c>
      <c r="I5010" s="14" t="n">
        <v>14.5</v>
      </c>
      <c r="J5010" s="22" t="n">
        <f aca="false">IF(E5010="Priority",'Cost model'!N380,'Cost model'!M380)</f>
        <v>13.5</v>
      </c>
      <c r="K5010" s="14" t="n">
        <f aca="false">J5010-H5010</f>
        <v>3.84</v>
      </c>
      <c r="L5010" s="14" t="n">
        <f aca="false">G5010-H5010</f>
        <v>4.84</v>
      </c>
    </row>
    <row r="5011" customFormat="false" ht="15" hidden="false" customHeight="false" outlineLevel="0" collapsed="false">
      <c r="A5011" s="2" t="s">
        <v>240</v>
      </c>
      <c r="B5011" s="2" t="s">
        <v>126</v>
      </c>
      <c r="C5011" s="2" t="s">
        <v>48</v>
      </c>
      <c r="D5011" s="2" t="s">
        <v>10</v>
      </c>
      <c r="E5011" s="2" t="s">
        <v>76</v>
      </c>
      <c r="F5011" s="2" t="s">
        <v>1146</v>
      </c>
      <c r="G5011" s="14" t="n">
        <v>9.5</v>
      </c>
      <c r="H5011" s="14" t="n">
        <v>17.05</v>
      </c>
      <c r="I5011" s="14" t="n">
        <v>19.5</v>
      </c>
      <c r="J5011" s="22" t="n">
        <f aca="false">IF(E5011="Priority",'Cost model'!N956,'Cost model'!M956)</f>
        <v>15.5</v>
      </c>
      <c r="K5011" s="14" t="n">
        <f aca="false">J5011-H5011</f>
        <v>-1.55</v>
      </c>
      <c r="L5011" s="14" t="n">
        <f aca="false">G5011-H5011</f>
        <v>-7.55</v>
      </c>
    </row>
    <row r="5012" customFormat="false" ht="15" hidden="false" customHeight="false" outlineLevel="0" collapsed="false">
      <c r="A5012" s="2" t="s">
        <v>184</v>
      </c>
      <c r="B5012" s="2" t="s">
        <v>184</v>
      </c>
      <c r="C5012" s="2" t="s">
        <v>49</v>
      </c>
      <c r="D5012" s="2" t="s">
        <v>12</v>
      </c>
      <c r="E5012" s="2" t="s">
        <v>76</v>
      </c>
      <c r="F5012" s="2" t="s">
        <v>1145</v>
      </c>
      <c r="G5012" s="14" t="n">
        <v>14.5</v>
      </c>
      <c r="H5012" s="14" t="n">
        <v>43.25</v>
      </c>
      <c r="I5012" s="14"/>
      <c r="J5012" s="22" t="n">
        <f aca="false">IF(E5012="Priority",'Cost model'!N204,'Cost model'!M204)</f>
        <v>45</v>
      </c>
      <c r="K5012" s="14" t="n">
        <f aca="false">J5012-H5012</f>
        <v>1.75</v>
      </c>
      <c r="L5012" s="14" t="n">
        <f aca="false">G5012-H5012</f>
        <v>-28.75</v>
      </c>
    </row>
    <row r="5013" customFormat="false" ht="15" hidden="false" customHeight="false" outlineLevel="0" collapsed="false">
      <c r="A5013" s="2" t="s">
        <v>146</v>
      </c>
      <c r="B5013" s="2" t="s">
        <v>146</v>
      </c>
      <c r="C5013" s="2" t="s">
        <v>48</v>
      </c>
      <c r="D5013" s="2" t="s">
        <v>10</v>
      </c>
      <c r="E5013" s="2" t="s">
        <v>85</v>
      </c>
      <c r="F5013" s="2" t="s">
        <v>1145</v>
      </c>
      <c r="G5013" s="14" t="n">
        <v>14.5</v>
      </c>
      <c r="H5013" s="14" t="n">
        <v>20.83</v>
      </c>
      <c r="I5013" s="14" t="n">
        <v>14.5</v>
      </c>
      <c r="J5013" s="22" t="n">
        <f aca="false">IF(E5013="Priority",'Cost model'!N758,'Cost model'!M758)</f>
        <v>14.5</v>
      </c>
      <c r="K5013" s="14" t="n">
        <f aca="false">J5013-H5013</f>
        <v>-6.33</v>
      </c>
      <c r="L5013" s="14" t="n">
        <f aca="false">G5013-H5013</f>
        <v>-6.33</v>
      </c>
    </row>
    <row r="5014" customFormat="false" ht="15" hidden="false" customHeight="false" outlineLevel="0" collapsed="false">
      <c r="A5014" s="2" t="s">
        <v>240</v>
      </c>
      <c r="B5014" s="2" t="s">
        <v>240</v>
      </c>
      <c r="C5014" s="2" t="s">
        <v>48</v>
      </c>
      <c r="D5014" s="2" t="s">
        <v>10</v>
      </c>
      <c r="E5014" s="2" t="s">
        <v>76</v>
      </c>
      <c r="F5014" s="2" t="s">
        <v>1145</v>
      </c>
      <c r="G5014" s="14" t="n">
        <v>9.5</v>
      </c>
      <c r="H5014" s="14" t="n">
        <v>7.15</v>
      </c>
      <c r="I5014" s="14" t="n">
        <v>9.5</v>
      </c>
      <c r="J5014" s="22" t="n">
        <f aca="false">IF(E5014="Priority",'Cost model'!N884,'Cost model'!M884)</f>
        <v>7.5</v>
      </c>
      <c r="K5014" s="14" t="n">
        <f aca="false">J5014-H5014</f>
        <v>0.35</v>
      </c>
      <c r="L5014" s="14" t="n">
        <f aca="false">G5014-H5014</f>
        <v>2.35</v>
      </c>
    </row>
    <row r="5015" customFormat="false" ht="15" hidden="false" customHeight="false" outlineLevel="0" collapsed="false">
      <c r="A5015" s="2" t="s">
        <v>184</v>
      </c>
      <c r="B5015" s="2" t="s">
        <v>146</v>
      </c>
      <c r="C5015" s="2" t="s">
        <v>50</v>
      </c>
      <c r="D5015" s="2" t="s">
        <v>10</v>
      </c>
      <c r="E5015" s="2" t="s">
        <v>76</v>
      </c>
      <c r="F5015" s="2" t="s">
        <v>1146</v>
      </c>
      <c r="G5015" s="14" t="n">
        <v>17.5</v>
      </c>
      <c r="H5015" s="14" t="n">
        <v>24.17</v>
      </c>
      <c r="I5015" s="14" t="n">
        <v>17.5</v>
      </c>
      <c r="J5015" s="22" t="n">
        <f aca="false">IF(E5015="Priority",'Cost model'!N148,'Cost model'!M148)</f>
        <v>21.5</v>
      </c>
      <c r="K5015" s="14" t="n">
        <f aca="false">J5015-H5015</f>
        <v>-2.67</v>
      </c>
      <c r="L5015" s="14" t="n">
        <f aca="false">G5015-H5015</f>
        <v>-6.67</v>
      </c>
    </row>
    <row r="5016" customFormat="false" ht="15" hidden="false" customHeight="false" outlineLevel="0" collapsed="false">
      <c r="A5016" s="2" t="s">
        <v>165</v>
      </c>
      <c r="B5016" s="2" t="s">
        <v>165</v>
      </c>
      <c r="C5016" s="2" t="s">
        <v>50</v>
      </c>
      <c r="D5016" s="2" t="s">
        <v>12</v>
      </c>
      <c r="E5016" s="2" t="s">
        <v>85</v>
      </c>
      <c r="F5016" s="2" t="s">
        <v>1145</v>
      </c>
      <c r="G5016" s="14" t="n">
        <v>29.5</v>
      </c>
      <c r="H5016" s="14" t="n">
        <v>27.47</v>
      </c>
      <c r="I5016" s="14" t="n">
        <v>29.5</v>
      </c>
      <c r="J5016" s="22" t="n">
        <f aca="false">IF(E5016="Priority",'Cost model'!N511,'Cost model'!M511)</f>
        <v>45</v>
      </c>
      <c r="K5016" s="14" t="n">
        <f aca="false">J5016-H5016</f>
        <v>17.53</v>
      </c>
      <c r="L5016" s="14" t="n">
        <f aca="false">G5016-H5016</f>
        <v>2.03</v>
      </c>
    </row>
    <row r="5017" customFormat="false" ht="15" hidden="false" customHeight="false" outlineLevel="0" collapsed="false">
      <c r="A5017" s="2" t="s">
        <v>146</v>
      </c>
      <c r="B5017" s="2" t="s">
        <v>146</v>
      </c>
      <c r="C5017" s="2" t="s">
        <v>49</v>
      </c>
      <c r="D5017" s="2" t="s">
        <v>10</v>
      </c>
      <c r="E5017" s="2" t="s">
        <v>76</v>
      </c>
      <c r="F5017" s="2" t="s">
        <v>1145</v>
      </c>
      <c r="G5017" s="14" t="n">
        <v>12.5</v>
      </c>
      <c r="H5017" s="14" t="n">
        <v>6.47</v>
      </c>
      <c r="I5017" s="14" t="n">
        <v>12.5</v>
      </c>
      <c r="J5017" s="22" t="n">
        <f aca="false">IF(E5017="Priority",'Cost model'!N759,'Cost model'!M759)</f>
        <v>15.5</v>
      </c>
      <c r="K5017" s="14" t="n">
        <f aca="false">J5017-H5017</f>
        <v>9.03</v>
      </c>
      <c r="L5017" s="14" t="n">
        <f aca="false">G5017-H5017</f>
        <v>6.03</v>
      </c>
    </row>
    <row r="5018" customFormat="false" ht="15" hidden="false" customHeight="false" outlineLevel="0" collapsed="false">
      <c r="A5018" s="2" t="s">
        <v>240</v>
      </c>
      <c r="B5018" s="2" t="s">
        <v>240</v>
      </c>
      <c r="C5018" s="2" t="s">
        <v>48</v>
      </c>
      <c r="D5018" s="2" t="s">
        <v>10</v>
      </c>
      <c r="E5018" s="2" t="s">
        <v>76</v>
      </c>
      <c r="F5018" s="2" t="s">
        <v>1145</v>
      </c>
      <c r="G5018" s="14" t="n">
        <v>9.5</v>
      </c>
      <c r="H5018" s="14" t="n">
        <v>7.32</v>
      </c>
      <c r="I5018" s="14" t="n">
        <v>9.5</v>
      </c>
      <c r="J5018" s="22" t="n">
        <f aca="false">IF(E5018="Priority",'Cost model'!N884,'Cost model'!M884)</f>
        <v>7.5</v>
      </c>
      <c r="K5018" s="14" t="n">
        <f aca="false">J5018-H5018</f>
        <v>0.18</v>
      </c>
      <c r="L5018" s="14" t="n">
        <f aca="false">G5018-H5018</f>
        <v>2.18</v>
      </c>
    </row>
    <row r="5019" customFormat="false" ht="15" hidden="false" customHeight="false" outlineLevel="0" collapsed="false">
      <c r="A5019" s="2" t="s">
        <v>221</v>
      </c>
      <c r="B5019" s="2" t="s">
        <v>221</v>
      </c>
      <c r="C5019" s="2" t="s">
        <v>49</v>
      </c>
      <c r="D5019" s="2" t="s">
        <v>12</v>
      </c>
      <c r="E5019" s="2" t="s">
        <v>85</v>
      </c>
      <c r="F5019" s="2" t="s">
        <v>1145</v>
      </c>
      <c r="G5019" s="14" t="n">
        <v>19.5</v>
      </c>
      <c r="H5019" s="14" t="n">
        <v>84.19</v>
      </c>
      <c r="I5019" s="14" t="n">
        <v>19.5</v>
      </c>
      <c r="J5019" s="22" t="n">
        <f aca="false">IF(E5019="Priority",'Cost model'!N636,'Cost model'!M636)</f>
        <v>70</v>
      </c>
      <c r="K5019" s="14" t="n">
        <f aca="false">J5019-H5019</f>
        <v>-14.19</v>
      </c>
      <c r="L5019" s="14" t="n">
        <f aca="false">G5019-H5019</f>
        <v>-64.69</v>
      </c>
    </row>
    <row r="5020" customFormat="false" ht="15" hidden="false" customHeight="false" outlineLevel="0" collapsed="false">
      <c r="A5020" s="2" t="s">
        <v>146</v>
      </c>
      <c r="B5020" s="2" t="s">
        <v>146</v>
      </c>
      <c r="C5020" s="2" t="s">
        <v>50</v>
      </c>
      <c r="D5020" s="2" t="s">
        <v>10</v>
      </c>
      <c r="E5020" s="2" t="s">
        <v>76</v>
      </c>
      <c r="F5020" s="2" t="s">
        <v>1145</v>
      </c>
      <c r="G5020" s="14" t="n">
        <v>17.5</v>
      </c>
      <c r="H5020" s="14" t="n">
        <v>13.7</v>
      </c>
      <c r="I5020" s="14" t="n">
        <v>17.5</v>
      </c>
      <c r="J5020" s="22" t="n">
        <f aca="false">IF(E5020="Priority",'Cost model'!N760,'Cost model'!M760)</f>
        <v>18.5</v>
      </c>
      <c r="K5020" s="14" t="n">
        <f aca="false">J5020-H5020</f>
        <v>4.8</v>
      </c>
      <c r="L5020" s="14" t="n">
        <f aca="false">G5020-H5020</f>
        <v>3.8</v>
      </c>
    </row>
    <row r="5021" customFormat="false" ht="15" hidden="false" customHeight="false" outlineLevel="0" collapsed="false">
      <c r="A5021" s="2" t="s">
        <v>184</v>
      </c>
      <c r="B5021" s="2" t="s">
        <v>146</v>
      </c>
      <c r="C5021" s="2" t="s">
        <v>50</v>
      </c>
      <c r="D5021" s="2" t="s">
        <v>12</v>
      </c>
      <c r="E5021" s="2" t="s">
        <v>76</v>
      </c>
      <c r="F5021" s="2" t="s">
        <v>1146</v>
      </c>
      <c r="G5021" s="14" t="n">
        <v>19.5</v>
      </c>
      <c r="H5021" s="14" t="n">
        <v>55.79</v>
      </c>
      <c r="I5021" s="14" t="n">
        <v>19.5</v>
      </c>
      <c r="J5021" s="22" t="n">
        <f aca="false">IF(E5021="Priority",'Cost model'!N151,'Cost model'!M151)</f>
        <v>55</v>
      </c>
      <c r="K5021" s="14" t="n">
        <f aca="false">J5021-H5021</f>
        <v>-0.789999999999999</v>
      </c>
      <c r="L5021" s="14" t="n">
        <f aca="false">G5021-H5021</f>
        <v>-36.29</v>
      </c>
    </row>
    <row r="5022" customFormat="false" ht="15" hidden="false" customHeight="false" outlineLevel="0" collapsed="false">
      <c r="A5022" s="2" t="s">
        <v>126</v>
      </c>
      <c r="B5022" s="2" t="s">
        <v>165</v>
      </c>
      <c r="C5022" s="2" t="s">
        <v>49</v>
      </c>
      <c r="D5022" s="2" t="s">
        <v>10</v>
      </c>
      <c r="E5022" s="2" t="s">
        <v>76</v>
      </c>
      <c r="F5022" s="2" t="s">
        <v>1146</v>
      </c>
      <c r="G5022" s="14" t="n">
        <v>14.5</v>
      </c>
      <c r="H5022" s="14" t="n">
        <v>29.57</v>
      </c>
      <c r="I5022" s="14" t="n">
        <v>14.5</v>
      </c>
      <c r="J5022" s="22" t="n">
        <f aca="false">IF(E5022="Priority",'Cost model'!N417,'Cost model'!M417)</f>
        <v>18.5</v>
      </c>
      <c r="K5022" s="14" t="n">
        <f aca="false">J5022-H5022</f>
        <v>-11.07</v>
      </c>
      <c r="L5022" s="14" t="n">
        <f aca="false">G5022-H5022</f>
        <v>-15.07</v>
      </c>
    </row>
    <row r="5023" customFormat="false" ht="15" hidden="false" customHeight="false" outlineLevel="0" collapsed="false">
      <c r="A5023" s="2" t="s">
        <v>385</v>
      </c>
      <c r="B5023" s="2" t="s">
        <v>240</v>
      </c>
      <c r="C5023" s="2" t="s">
        <v>48</v>
      </c>
      <c r="D5023" s="2" t="s">
        <v>10</v>
      </c>
      <c r="E5023" s="2" t="s">
        <v>76</v>
      </c>
      <c r="F5023" s="2" t="s">
        <v>1146</v>
      </c>
      <c r="G5023" s="14" t="n">
        <v>24.5</v>
      </c>
      <c r="H5023" s="14" t="n">
        <v>82.15</v>
      </c>
      <c r="I5023" s="14" t="n">
        <v>24.5</v>
      </c>
      <c r="J5023" s="22" t="n">
        <f aca="false">IF(E5023="Priority",'Cost model'!N290,'Cost model'!M290)</f>
        <v>22.5</v>
      </c>
      <c r="K5023" s="14" t="n">
        <f aca="false">J5023-H5023</f>
        <v>-59.65</v>
      </c>
      <c r="L5023" s="14" t="n">
        <f aca="false">G5023-H5023</f>
        <v>-57.65</v>
      </c>
    </row>
    <row r="5024" customFormat="false" ht="15" hidden="false" customHeight="false" outlineLevel="0" collapsed="false">
      <c r="A5024" s="2" t="s">
        <v>184</v>
      </c>
      <c r="B5024" s="2" t="s">
        <v>184</v>
      </c>
      <c r="C5024" s="2" t="s">
        <v>49</v>
      </c>
      <c r="D5024" s="2" t="s">
        <v>10</v>
      </c>
      <c r="E5024" s="2" t="s">
        <v>76</v>
      </c>
      <c r="F5024" s="2" t="s">
        <v>1145</v>
      </c>
      <c r="G5024" s="14" t="n">
        <v>12.5</v>
      </c>
      <c r="H5024" s="14" t="n">
        <v>8.68</v>
      </c>
      <c r="I5024" s="14"/>
      <c r="J5024" s="22" t="n">
        <f aca="false">IF(E5024="Priority",'Cost model'!N201,'Cost model'!M201)</f>
        <v>12.5</v>
      </c>
      <c r="K5024" s="14" t="n">
        <f aca="false">J5024-H5024</f>
        <v>3.82</v>
      </c>
      <c r="L5024" s="14" t="n">
        <f aca="false">G5024-H5024</f>
        <v>3.82</v>
      </c>
    </row>
    <row r="5025" customFormat="false" ht="15" hidden="false" customHeight="false" outlineLevel="0" collapsed="false">
      <c r="A5025" s="2" t="s">
        <v>240</v>
      </c>
      <c r="B5025" s="2" t="s">
        <v>240</v>
      </c>
      <c r="C5025" s="2" t="s">
        <v>50</v>
      </c>
      <c r="D5025" s="2" t="s">
        <v>12</v>
      </c>
      <c r="E5025" s="2" t="s">
        <v>76</v>
      </c>
      <c r="F5025" s="2" t="s">
        <v>1145</v>
      </c>
      <c r="G5025" s="14" t="n">
        <v>19.5</v>
      </c>
      <c r="H5025" s="14" t="n">
        <v>162.09</v>
      </c>
      <c r="I5025" s="14" t="n">
        <v>19.5</v>
      </c>
      <c r="J5025" s="22" t="n">
        <f aca="false">IF(E5025="Priority",'Cost model'!N889,'Cost model'!M889)</f>
        <v>60</v>
      </c>
      <c r="K5025" s="14" t="n">
        <f aca="false">J5025-H5025</f>
        <v>-102.09</v>
      </c>
      <c r="L5025" s="14" t="n">
        <f aca="false">G5025-H5025</f>
        <v>-142.59</v>
      </c>
    </row>
    <row r="5026" customFormat="false" ht="15" hidden="false" customHeight="false" outlineLevel="0" collapsed="false">
      <c r="A5026" s="2" t="s">
        <v>146</v>
      </c>
      <c r="B5026" s="2" t="s">
        <v>184</v>
      </c>
      <c r="C5026" s="2" t="s">
        <v>49</v>
      </c>
      <c r="D5026" s="2" t="s">
        <v>10</v>
      </c>
      <c r="E5026" s="2" t="s">
        <v>76</v>
      </c>
      <c r="F5026" s="2" t="s">
        <v>1146</v>
      </c>
      <c r="G5026" s="14" t="n">
        <v>14.5</v>
      </c>
      <c r="H5026" s="14" t="n">
        <v>6.64</v>
      </c>
      <c r="I5026" s="14" t="n">
        <v>14.5</v>
      </c>
      <c r="J5026" s="22" t="n">
        <f aca="false">IF(E5026="Priority",'Cost model'!N831,'Cost model'!M831)</f>
        <v>10.5</v>
      </c>
      <c r="K5026" s="14" t="n">
        <f aca="false">J5026-H5026</f>
        <v>3.86</v>
      </c>
      <c r="L5026" s="14" t="n">
        <f aca="false">G5026-H5026</f>
        <v>7.86</v>
      </c>
    </row>
    <row r="5027" customFormat="false" ht="15" hidden="false" customHeight="false" outlineLevel="0" collapsed="false">
      <c r="A5027" s="2" t="s">
        <v>126</v>
      </c>
      <c r="B5027" s="2" t="s">
        <v>126</v>
      </c>
      <c r="C5027" s="2" t="s">
        <v>48</v>
      </c>
      <c r="D5027" s="2" t="s">
        <v>10</v>
      </c>
      <c r="E5027" s="2" t="s">
        <v>76</v>
      </c>
      <c r="F5027" s="2" t="s">
        <v>1145</v>
      </c>
      <c r="G5027" s="14" t="n">
        <v>9.5</v>
      </c>
      <c r="H5027" s="14" t="n">
        <v>7.12</v>
      </c>
      <c r="I5027" s="14" t="n">
        <v>9.5</v>
      </c>
      <c r="J5027" s="22" t="n">
        <f aca="false">IF(E5027="Priority",'Cost model'!N380,'Cost model'!M380)</f>
        <v>8.5</v>
      </c>
      <c r="K5027" s="14" t="n">
        <f aca="false">J5027-H5027</f>
        <v>1.38</v>
      </c>
      <c r="L5027" s="14" t="n">
        <f aca="false">G5027-H5027</f>
        <v>2.38</v>
      </c>
    </row>
    <row r="5028" customFormat="false" ht="15" hidden="false" customHeight="false" outlineLevel="0" collapsed="false">
      <c r="A5028" s="2" t="s">
        <v>184</v>
      </c>
      <c r="B5028" s="2" t="s">
        <v>184</v>
      </c>
      <c r="C5028" s="2" t="s">
        <v>50</v>
      </c>
      <c r="D5028" s="2" t="s">
        <v>10</v>
      </c>
      <c r="E5028" s="2" t="s">
        <v>85</v>
      </c>
      <c r="F5028" s="2" t="s">
        <v>1145</v>
      </c>
      <c r="G5028" s="14" t="n">
        <v>24.5</v>
      </c>
      <c r="H5028" s="14" t="n">
        <v>15.99</v>
      </c>
      <c r="I5028" s="14" t="n">
        <v>24.5</v>
      </c>
      <c r="J5028" s="22" t="n">
        <f aca="false">IF(E5028="Priority",'Cost model'!N202,'Cost model'!M202)</f>
        <v>23.5</v>
      </c>
      <c r="K5028" s="14" t="n">
        <f aca="false">J5028-H5028</f>
        <v>7.51</v>
      </c>
      <c r="L5028" s="14" t="n">
        <f aca="false">G5028-H5028</f>
        <v>8.51</v>
      </c>
    </row>
    <row r="5029" customFormat="false" ht="15" hidden="false" customHeight="false" outlineLevel="0" collapsed="false">
      <c r="A5029" s="2" t="s">
        <v>184</v>
      </c>
      <c r="B5029" s="2" t="s">
        <v>184</v>
      </c>
      <c r="C5029" s="2" t="s">
        <v>49</v>
      </c>
      <c r="D5029" s="2" t="s">
        <v>12</v>
      </c>
      <c r="E5029" s="2" t="s">
        <v>76</v>
      </c>
      <c r="F5029" s="2" t="s">
        <v>1145</v>
      </c>
      <c r="G5029" s="14" t="n">
        <v>12.5</v>
      </c>
      <c r="H5029" s="14" t="n">
        <v>42.61</v>
      </c>
      <c r="I5029" s="14"/>
      <c r="J5029" s="22" t="n">
        <f aca="false">IF(E5029="Priority",'Cost model'!N204,'Cost model'!M204)</f>
        <v>45</v>
      </c>
      <c r="K5029" s="14" t="n">
        <f aca="false">J5029-H5029</f>
        <v>2.39</v>
      </c>
      <c r="L5029" s="14" t="n">
        <f aca="false">G5029-H5029</f>
        <v>-30.11</v>
      </c>
    </row>
    <row r="5030" customFormat="false" ht="15" hidden="false" customHeight="false" outlineLevel="0" collapsed="false">
      <c r="A5030" s="2" t="s">
        <v>126</v>
      </c>
      <c r="B5030" s="2" t="s">
        <v>125</v>
      </c>
      <c r="C5030" s="2" t="s">
        <v>49</v>
      </c>
      <c r="D5030" s="2" t="s">
        <v>10</v>
      </c>
      <c r="E5030" s="2" t="s">
        <v>76</v>
      </c>
      <c r="F5030" s="2" t="s">
        <v>1146</v>
      </c>
      <c r="G5030" s="14" t="n">
        <v>12.5</v>
      </c>
      <c r="H5030" s="14" t="n">
        <v>21.76</v>
      </c>
      <c r="I5030" s="14" t="n">
        <v>19.5</v>
      </c>
      <c r="J5030" s="22" t="n">
        <f aca="false">IF(E5030="Priority",'Cost model'!N471,'Cost model'!M471)</f>
        <v>35</v>
      </c>
      <c r="K5030" s="14" t="n">
        <f aca="false">J5030-H5030</f>
        <v>13.24</v>
      </c>
      <c r="L5030" s="14" t="n">
        <f aca="false">G5030-H5030</f>
        <v>-9.26</v>
      </c>
    </row>
    <row r="5031" customFormat="false" ht="15" hidden="false" customHeight="false" outlineLevel="0" collapsed="false">
      <c r="A5031" s="2" t="s">
        <v>184</v>
      </c>
      <c r="B5031" s="2" t="s">
        <v>184</v>
      </c>
      <c r="C5031" s="2" t="s">
        <v>48</v>
      </c>
      <c r="D5031" s="2" t="s">
        <v>10</v>
      </c>
      <c r="E5031" s="2" t="s">
        <v>76</v>
      </c>
      <c r="F5031" s="2" t="s">
        <v>1145</v>
      </c>
      <c r="G5031" s="14" t="n">
        <v>9.5</v>
      </c>
      <c r="H5031" s="14" t="n">
        <v>8.16</v>
      </c>
      <c r="I5031" s="14" t="n">
        <v>9.5</v>
      </c>
      <c r="J5031" s="22" t="n">
        <f aca="false">IF(E5031="Priority",'Cost model'!N200,'Cost model'!M200)</f>
        <v>7.5</v>
      </c>
      <c r="K5031" s="14" t="n">
        <f aca="false">J5031-H5031</f>
        <v>-0.66</v>
      </c>
      <c r="L5031" s="14" t="n">
        <f aca="false">G5031-H5031</f>
        <v>1.34</v>
      </c>
    </row>
    <row r="5032" customFormat="false" ht="15" hidden="false" customHeight="false" outlineLevel="0" collapsed="false">
      <c r="A5032" s="2" t="s">
        <v>165</v>
      </c>
      <c r="B5032" s="2" t="s">
        <v>146</v>
      </c>
      <c r="C5032" s="2" t="s">
        <v>50</v>
      </c>
      <c r="D5032" s="2" t="s">
        <v>10</v>
      </c>
      <c r="E5032" s="2" t="s">
        <v>76</v>
      </c>
      <c r="F5032" s="2" t="s">
        <v>1146</v>
      </c>
      <c r="G5032" s="14" t="n">
        <v>17.5</v>
      </c>
      <c r="H5032" s="14" t="n">
        <v>15.99</v>
      </c>
      <c r="I5032" s="14" t="n">
        <v>17.5</v>
      </c>
      <c r="J5032" s="22" t="n">
        <f aca="false">IF(E5032="Priority",'Cost model'!N526,'Cost model'!M526)</f>
        <v>20.5</v>
      </c>
      <c r="K5032" s="14" t="n">
        <f aca="false">J5032-H5032</f>
        <v>4.51</v>
      </c>
      <c r="L5032" s="14" t="n">
        <f aca="false">G5032-H5032</f>
        <v>1.51</v>
      </c>
    </row>
    <row r="5033" customFormat="false" ht="15" hidden="false" customHeight="false" outlineLevel="0" collapsed="false">
      <c r="A5033" s="2" t="s">
        <v>126</v>
      </c>
      <c r="B5033" s="2" t="s">
        <v>126</v>
      </c>
      <c r="C5033" s="2" t="s">
        <v>48</v>
      </c>
      <c r="D5033" s="2" t="s">
        <v>10</v>
      </c>
      <c r="E5033" s="2" t="s">
        <v>76</v>
      </c>
      <c r="F5033" s="2" t="s">
        <v>1145</v>
      </c>
      <c r="G5033" s="14" t="n">
        <v>9.5</v>
      </c>
      <c r="H5033" s="14" t="n">
        <v>12.23</v>
      </c>
      <c r="I5033" s="14" t="n">
        <v>9.5</v>
      </c>
      <c r="J5033" s="22" t="n">
        <f aca="false">IF(E5033="Priority",'Cost model'!N380,'Cost model'!M380)</f>
        <v>8.5</v>
      </c>
      <c r="K5033" s="14" t="n">
        <f aca="false">J5033-H5033</f>
        <v>-3.73</v>
      </c>
      <c r="L5033" s="14" t="n">
        <f aca="false">G5033-H5033</f>
        <v>-2.73</v>
      </c>
    </row>
    <row r="5034" customFormat="false" ht="15" hidden="false" customHeight="false" outlineLevel="0" collapsed="false">
      <c r="A5034" s="2" t="s">
        <v>184</v>
      </c>
      <c r="B5034" s="2" t="s">
        <v>146</v>
      </c>
      <c r="C5034" s="2" t="s">
        <v>48</v>
      </c>
      <c r="D5034" s="2" t="s">
        <v>12</v>
      </c>
      <c r="E5034" s="2" t="s">
        <v>76</v>
      </c>
      <c r="F5034" s="2" t="s">
        <v>1146</v>
      </c>
      <c r="G5034" s="14" t="n">
        <v>9.5</v>
      </c>
      <c r="H5034" s="14" t="n">
        <v>43.77</v>
      </c>
      <c r="I5034" s="14" t="n">
        <v>9.5</v>
      </c>
      <c r="J5034" s="22" t="n">
        <f aca="false">IF(E5034="Priority",'Cost model'!N149,'Cost model'!M149)</f>
        <v>45</v>
      </c>
      <c r="K5034" s="14" t="n">
        <f aca="false">J5034-H5034</f>
        <v>1.23</v>
      </c>
      <c r="L5034" s="14" t="n">
        <f aca="false">G5034-H5034</f>
        <v>-34.27</v>
      </c>
    </row>
    <row r="5035" customFormat="false" ht="15" hidden="false" customHeight="false" outlineLevel="0" collapsed="false">
      <c r="A5035" s="2" t="s">
        <v>184</v>
      </c>
      <c r="B5035" s="2" t="s">
        <v>184</v>
      </c>
      <c r="C5035" s="2" t="s">
        <v>49</v>
      </c>
      <c r="D5035" s="2" t="s">
        <v>10</v>
      </c>
      <c r="E5035" s="2" t="s">
        <v>76</v>
      </c>
      <c r="F5035" s="2" t="s">
        <v>1145</v>
      </c>
      <c r="G5035" s="14" t="n">
        <v>12.5</v>
      </c>
      <c r="H5035" s="14" t="n">
        <v>7.02</v>
      </c>
      <c r="I5035" s="14"/>
      <c r="J5035" s="22" t="n">
        <f aca="false">IF(E5035="Priority",'Cost model'!N201,'Cost model'!M201)</f>
        <v>12.5</v>
      </c>
      <c r="K5035" s="14" t="n">
        <f aca="false">J5035-H5035</f>
        <v>5.48</v>
      </c>
      <c r="L5035" s="14" t="n">
        <f aca="false">G5035-H5035</f>
        <v>5.48</v>
      </c>
    </row>
    <row r="5036" customFormat="false" ht="15" hidden="false" customHeight="false" outlineLevel="0" collapsed="false">
      <c r="A5036" s="2" t="s">
        <v>146</v>
      </c>
      <c r="B5036" s="2" t="s">
        <v>146</v>
      </c>
      <c r="C5036" s="2" t="s">
        <v>49</v>
      </c>
      <c r="D5036" s="2" t="s">
        <v>12</v>
      </c>
      <c r="E5036" s="2" t="s">
        <v>76</v>
      </c>
      <c r="F5036" s="2" t="s">
        <v>1145</v>
      </c>
      <c r="G5036" s="14" t="n">
        <v>12.5</v>
      </c>
      <c r="H5036" s="14" t="n">
        <v>11.97</v>
      </c>
      <c r="I5036" s="14" t="n">
        <v>12.5</v>
      </c>
      <c r="J5036" s="22" t="n">
        <f aca="false">IF(E5036="Priority",'Cost model'!N762,'Cost model'!M762)</f>
        <v>45</v>
      </c>
      <c r="K5036" s="14" t="n">
        <f aca="false">J5036-H5036</f>
        <v>33.03</v>
      </c>
      <c r="L5036" s="14" t="n">
        <f aca="false">G5036-H5036</f>
        <v>0.529999999999999</v>
      </c>
    </row>
    <row r="5037" customFormat="false" ht="15" hidden="false" customHeight="false" outlineLevel="0" collapsed="false">
      <c r="A5037" s="2" t="s">
        <v>184</v>
      </c>
      <c r="B5037" s="2" t="s">
        <v>184</v>
      </c>
      <c r="C5037" s="2" t="s">
        <v>50</v>
      </c>
      <c r="D5037" s="2" t="s">
        <v>12</v>
      </c>
      <c r="E5037" s="2" t="s">
        <v>85</v>
      </c>
      <c r="F5037" s="2" t="s">
        <v>1145</v>
      </c>
      <c r="G5037" s="14" t="n">
        <v>29.5</v>
      </c>
      <c r="H5037" s="14" t="n">
        <v>48.36</v>
      </c>
      <c r="I5037" s="14" t="n">
        <v>29.5</v>
      </c>
      <c r="J5037" s="22" t="n">
        <f aca="false">IF(E5037="Priority",'Cost model'!N205,'Cost model'!M205)</f>
        <v>65</v>
      </c>
      <c r="K5037" s="14" t="n">
        <f aca="false">J5037-H5037</f>
        <v>16.64</v>
      </c>
      <c r="L5037" s="14" t="n">
        <f aca="false">G5037-H5037</f>
        <v>-18.86</v>
      </c>
    </row>
    <row r="5038" customFormat="false" ht="15" hidden="false" customHeight="false" outlineLevel="0" collapsed="false">
      <c r="A5038" s="2" t="s">
        <v>146</v>
      </c>
      <c r="B5038" s="2" t="s">
        <v>146</v>
      </c>
      <c r="C5038" s="2" t="s">
        <v>49</v>
      </c>
      <c r="D5038" s="2" t="s">
        <v>12</v>
      </c>
      <c r="E5038" s="2" t="s">
        <v>76</v>
      </c>
      <c r="F5038" s="2" t="s">
        <v>1145</v>
      </c>
      <c r="G5038" s="14" t="n">
        <v>24.5</v>
      </c>
      <c r="H5038" s="14" t="n">
        <v>46.45</v>
      </c>
      <c r="I5038" s="14" t="n">
        <v>12.5</v>
      </c>
      <c r="J5038" s="22" t="n">
        <f aca="false">IF(E5038="Priority",'Cost model'!N762,'Cost model'!M762)</f>
        <v>45</v>
      </c>
      <c r="K5038" s="14" t="n">
        <f aca="false">J5038-H5038</f>
        <v>-1.45</v>
      </c>
      <c r="L5038" s="14" t="n">
        <f aca="false">G5038-H5038</f>
        <v>-21.95</v>
      </c>
    </row>
    <row r="5039" customFormat="false" ht="15" hidden="false" customHeight="false" outlineLevel="0" collapsed="false">
      <c r="A5039" s="2" t="s">
        <v>240</v>
      </c>
      <c r="B5039" s="2" t="s">
        <v>240</v>
      </c>
      <c r="C5039" s="2" t="s">
        <v>50</v>
      </c>
      <c r="D5039" s="2" t="s">
        <v>12</v>
      </c>
      <c r="E5039" s="2" t="s">
        <v>76</v>
      </c>
      <c r="F5039" s="2" t="s">
        <v>1145</v>
      </c>
      <c r="G5039" s="14" t="n">
        <v>19.5</v>
      </c>
      <c r="H5039" s="14" t="n">
        <v>38.25</v>
      </c>
      <c r="I5039" s="14" t="n">
        <v>19.5</v>
      </c>
      <c r="J5039" s="22" t="n">
        <f aca="false">IF(E5039="Priority",'Cost model'!N889,'Cost model'!M889)</f>
        <v>60</v>
      </c>
      <c r="K5039" s="14" t="n">
        <f aca="false">J5039-H5039</f>
        <v>21.75</v>
      </c>
      <c r="L5039" s="14" t="n">
        <f aca="false">G5039-H5039</f>
        <v>-18.75</v>
      </c>
    </row>
    <row r="5040" customFormat="false" ht="15" hidden="false" customHeight="false" outlineLevel="0" collapsed="false">
      <c r="A5040" s="2" t="s">
        <v>240</v>
      </c>
      <c r="B5040" s="2" t="s">
        <v>240</v>
      </c>
      <c r="C5040" s="2" t="s">
        <v>50</v>
      </c>
      <c r="D5040" s="2" t="s">
        <v>10</v>
      </c>
      <c r="E5040" s="2" t="s">
        <v>76</v>
      </c>
      <c r="F5040" s="2" t="s">
        <v>1145</v>
      </c>
      <c r="G5040" s="14" t="n">
        <v>17.5</v>
      </c>
      <c r="H5040" s="14" t="n">
        <v>17.69</v>
      </c>
      <c r="I5040" s="14" t="n">
        <v>17.5</v>
      </c>
      <c r="J5040" s="22" t="n">
        <f aca="false">IF(E5040="Priority",'Cost model'!N886,'Cost model'!M886)</f>
        <v>17.5</v>
      </c>
      <c r="K5040" s="14" t="n">
        <f aca="false">J5040-H5040</f>
        <v>-0.190000000000001</v>
      </c>
      <c r="L5040" s="14" t="n">
        <f aca="false">G5040-H5040</f>
        <v>-0.190000000000001</v>
      </c>
    </row>
    <row r="5041" customFormat="false" ht="15" hidden="false" customHeight="false" outlineLevel="0" collapsed="false">
      <c r="A5041" s="2" t="s">
        <v>126</v>
      </c>
      <c r="B5041" s="2" t="s">
        <v>126</v>
      </c>
      <c r="C5041" s="2" t="s">
        <v>49</v>
      </c>
      <c r="D5041" s="2" t="s">
        <v>12</v>
      </c>
      <c r="E5041" s="2" t="s">
        <v>76</v>
      </c>
      <c r="F5041" s="2" t="s">
        <v>1145</v>
      </c>
      <c r="G5041" s="14" t="n">
        <v>12.5</v>
      </c>
      <c r="H5041" s="14" t="n">
        <v>49.2</v>
      </c>
      <c r="I5041" s="14" t="n">
        <v>12.5</v>
      </c>
      <c r="J5041" s="22" t="n">
        <f aca="false">IF(E5041="Priority",'Cost model'!N384,'Cost model'!M384)</f>
        <v>45</v>
      </c>
      <c r="K5041" s="14" t="n">
        <f aca="false">J5041-H5041</f>
        <v>-4.2</v>
      </c>
      <c r="L5041" s="14" t="n">
        <f aca="false">G5041-H5041</f>
        <v>-36.7</v>
      </c>
    </row>
    <row r="5042" customFormat="false" ht="15" hidden="false" customHeight="false" outlineLevel="0" collapsed="false">
      <c r="A5042" s="2" t="s">
        <v>126</v>
      </c>
      <c r="B5042" s="2" t="s">
        <v>126</v>
      </c>
      <c r="C5042" s="2" t="s">
        <v>49</v>
      </c>
      <c r="D5042" s="2" t="s">
        <v>12</v>
      </c>
      <c r="E5042" s="2" t="s">
        <v>85</v>
      </c>
      <c r="F5042" s="2" t="s">
        <v>1145</v>
      </c>
      <c r="G5042" s="14" t="n">
        <v>19.5</v>
      </c>
      <c r="H5042" s="14" t="n">
        <v>44.08</v>
      </c>
      <c r="I5042" s="14" t="n">
        <v>19.5</v>
      </c>
      <c r="J5042" s="22" t="n">
        <f aca="false">IF(E5042="Priority",'Cost model'!N384,'Cost model'!M384)</f>
        <v>60</v>
      </c>
      <c r="K5042" s="14" t="n">
        <f aca="false">J5042-H5042</f>
        <v>15.92</v>
      </c>
      <c r="L5042" s="14" t="n">
        <f aca="false">G5042-H5042</f>
        <v>-24.58</v>
      </c>
    </row>
    <row r="5043" customFormat="false" ht="15" hidden="false" customHeight="false" outlineLevel="0" collapsed="false">
      <c r="A5043" s="2" t="s">
        <v>126</v>
      </c>
      <c r="B5043" s="2" t="s">
        <v>126</v>
      </c>
      <c r="C5043" s="2" t="s">
        <v>50</v>
      </c>
      <c r="D5043" s="2" t="s">
        <v>12</v>
      </c>
      <c r="E5043" s="2" t="s">
        <v>85</v>
      </c>
      <c r="F5043" s="2" t="s">
        <v>1145</v>
      </c>
      <c r="G5043" s="14" t="n">
        <v>29.5</v>
      </c>
      <c r="H5043" s="14" t="n">
        <v>76.96</v>
      </c>
      <c r="I5043" s="14" t="n">
        <v>29.5</v>
      </c>
      <c r="J5043" s="22" t="n">
        <f aca="false">IF(E5043="Priority",'Cost model'!N385,'Cost model'!M385)</f>
        <v>70</v>
      </c>
      <c r="K5043" s="14" t="n">
        <f aca="false">J5043-H5043</f>
        <v>-6.95999999999999</v>
      </c>
      <c r="L5043" s="14" t="n">
        <f aca="false">G5043-H5043</f>
        <v>-47.46</v>
      </c>
    </row>
    <row r="5044" customFormat="false" ht="15" hidden="false" customHeight="false" outlineLevel="0" collapsed="false">
      <c r="A5044" s="2" t="s">
        <v>184</v>
      </c>
      <c r="B5044" s="2" t="s">
        <v>240</v>
      </c>
      <c r="C5044" s="2" t="s">
        <v>48</v>
      </c>
      <c r="D5044" s="2" t="s">
        <v>12</v>
      </c>
      <c r="E5044" s="2" t="s">
        <v>85</v>
      </c>
      <c r="F5044" s="2" t="s">
        <v>1146</v>
      </c>
      <c r="G5044" s="14" t="n">
        <v>29.5</v>
      </c>
      <c r="H5044" s="14" t="n">
        <v>83.2</v>
      </c>
      <c r="I5044" s="14" t="n">
        <v>29.5</v>
      </c>
      <c r="J5044" s="22" t="n">
        <f aca="false">IF(E5044="Priority",'Cost model'!N185,'Cost model'!M185)</f>
        <v>70</v>
      </c>
      <c r="K5044" s="14" t="n">
        <f aca="false">J5044-H5044</f>
        <v>-13.2</v>
      </c>
      <c r="L5044" s="14" t="n">
        <f aca="false">G5044-H5044</f>
        <v>-53.7</v>
      </c>
    </row>
    <row r="5045" customFormat="false" ht="15" hidden="false" customHeight="false" outlineLevel="0" collapsed="false">
      <c r="A5045" s="2" t="s">
        <v>146</v>
      </c>
      <c r="B5045" s="2" t="s">
        <v>146</v>
      </c>
      <c r="C5045" s="2" t="s">
        <v>49</v>
      </c>
      <c r="D5045" s="2" t="s">
        <v>12</v>
      </c>
      <c r="E5045" s="2" t="s">
        <v>85</v>
      </c>
      <c r="F5045" s="2" t="s">
        <v>1145</v>
      </c>
      <c r="G5045" s="14" t="n">
        <v>19.5</v>
      </c>
      <c r="H5045" s="14" t="n">
        <v>43.01</v>
      </c>
      <c r="I5045" s="14" t="n">
        <v>19.5</v>
      </c>
      <c r="J5045" s="22" t="n">
        <f aca="false">IF(E5045="Priority",'Cost model'!N762,'Cost model'!M762)</f>
        <v>60</v>
      </c>
      <c r="K5045" s="14" t="n">
        <f aca="false">J5045-H5045</f>
        <v>16.99</v>
      </c>
      <c r="L5045" s="14" t="n">
        <f aca="false">G5045-H5045</f>
        <v>-23.51</v>
      </c>
    </row>
    <row r="5046" customFormat="false" ht="15" hidden="false" customHeight="false" outlineLevel="0" collapsed="false">
      <c r="A5046" s="2" t="s">
        <v>126</v>
      </c>
      <c r="B5046" s="2" t="s">
        <v>126</v>
      </c>
      <c r="C5046" s="2" t="s">
        <v>48</v>
      </c>
      <c r="D5046" s="2" t="s">
        <v>10</v>
      </c>
      <c r="E5046" s="2" t="s">
        <v>76</v>
      </c>
      <c r="F5046" s="2" t="s">
        <v>1145</v>
      </c>
      <c r="G5046" s="14" t="n">
        <v>9.5</v>
      </c>
      <c r="H5046" s="14" t="n">
        <v>7.72</v>
      </c>
      <c r="I5046" s="14" t="n">
        <v>9.5</v>
      </c>
      <c r="J5046" s="22" t="n">
        <f aca="false">IF(E5046="Priority",'Cost model'!N380,'Cost model'!M380)</f>
        <v>8.5</v>
      </c>
      <c r="K5046" s="14" t="n">
        <f aca="false">J5046-H5046</f>
        <v>0.78</v>
      </c>
      <c r="L5046" s="14" t="n">
        <f aca="false">G5046-H5046</f>
        <v>1.78</v>
      </c>
    </row>
    <row r="5047" customFormat="false" ht="15" hidden="false" customHeight="false" outlineLevel="0" collapsed="false">
      <c r="A5047" s="2" t="s">
        <v>184</v>
      </c>
      <c r="B5047" s="2" t="s">
        <v>184</v>
      </c>
      <c r="C5047" s="2" t="s">
        <v>49</v>
      </c>
      <c r="D5047" s="2" t="s">
        <v>12</v>
      </c>
      <c r="E5047" s="2" t="s">
        <v>76</v>
      </c>
      <c r="F5047" s="2" t="s">
        <v>1145</v>
      </c>
      <c r="G5047" s="14" t="n">
        <v>19.5</v>
      </c>
      <c r="H5047" s="14" t="n">
        <v>46.45</v>
      </c>
      <c r="I5047" s="14"/>
      <c r="J5047" s="22" t="n">
        <f aca="false">IF(E5047="Priority",'Cost model'!N204,'Cost model'!M204)</f>
        <v>45</v>
      </c>
      <c r="K5047" s="14" t="n">
        <f aca="false">J5047-H5047</f>
        <v>-1.45</v>
      </c>
      <c r="L5047" s="14" t="n">
        <f aca="false">G5047-H5047</f>
        <v>-26.95</v>
      </c>
    </row>
    <row r="5048" customFormat="false" ht="15" hidden="false" customHeight="false" outlineLevel="0" collapsed="false">
      <c r="A5048" s="2" t="s">
        <v>126</v>
      </c>
      <c r="B5048" s="2" t="s">
        <v>126</v>
      </c>
      <c r="C5048" s="2" t="s">
        <v>49</v>
      </c>
      <c r="D5048" s="2" t="s">
        <v>10</v>
      </c>
      <c r="E5048" s="2" t="s">
        <v>76</v>
      </c>
      <c r="F5048" s="2" t="s">
        <v>1145</v>
      </c>
      <c r="G5048" s="14" t="n">
        <v>12.5</v>
      </c>
      <c r="H5048" s="14" t="n">
        <v>10.8</v>
      </c>
      <c r="I5048" s="14" t="n">
        <v>12.5</v>
      </c>
      <c r="J5048" s="22" t="n">
        <f aca="false">IF(E5048="Priority",'Cost model'!N381,'Cost model'!M381)</f>
        <v>14.5</v>
      </c>
      <c r="K5048" s="14" t="n">
        <f aca="false">J5048-H5048</f>
        <v>3.7</v>
      </c>
      <c r="L5048" s="14" t="n">
        <f aca="false">G5048-H5048</f>
        <v>1.7</v>
      </c>
    </row>
    <row r="5049" customFormat="false" ht="15" hidden="false" customHeight="false" outlineLevel="0" collapsed="false">
      <c r="A5049" s="2" t="s">
        <v>184</v>
      </c>
      <c r="B5049" s="2" t="s">
        <v>184</v>
      </c>
      <c r="C5049" s="2" t="s">
        <v>49</v>
      </c>
      <c r="D5049" s="2" t="s">
        <v>12</v>
      </c>
      <c r="E5049" s="2" t="s">
        <v>76</v>
      </c>
      <c r="F5049" s="2" t="s">
        <v>1145</v>
      </c>
      <c r="G5049" s="14" t="n">
        <v>12.5</v>
      </c>
      <c r="H5049" s="14" t="n">
        <v>43.77</v>
      </c>
      <c r="I5049" s="14"/>
      <c r="J5049" s="22" t="n">
        <f aca="false">IF(E5049="Priority",'Cost model'!N204,'Cost model'!M204)</f>
        <v>45</v>
      </c>
      <c r="K5049" s="14" t="n">
        <f aca="false">J5049-H5049</f>
        <v>1.23</v>
      </c>
      <c r="L5049" s="14" t="n">
        <f aca="false">G5049-H5049</f>
        <v>-31.27</v>
      </c>
    </row>
    <row r="5050" customFormat="false" ht="15" hidden="false" customHeight="false" outlineLevel="0" collapsed="false">
      <c r="A5050" s="2" t="s">
        <v>126</v>
      </c>
      <c r="B5050" s="2" t="s">
        <v>126</v>
      </c>
      <c r="C5050" s="2" t="s">
        <v>48</v>
      </c>
      <c r="D5050" s="2" t="s">
        <v>10</v>
      </c>
      <c r="E5050" s="2" t="s">
        <v>76</v>
      </c>
      <c r="F5050" s="2" t="s">
        <v>1145</v>
      </c>
      <c r="G5050" s="14" t="n">
        <v>9.5</v>
      </c>
      <c r="H5050" s="14" t="n">
        <v>7.69</v>
      </c>
      <c r="I5050" s="14" t="n">
        <v>9.5</v>
      </c>
      <c r="J5050" s="22" t="n">
        <f aca="false">IF(E5050="Priority",'Cost model'!N380,'Cost model'!M380)</f>
        <v>8.5</v>
      </c>
      <c r="K5050" s="14" t="n">
        <f aca="false">J5050-H5050</f>
        <v>0.81</v>
      </c>
      <c r="L5050" s="14" t="n">
        <f aca="false">G5050-H5050</f>
        <v>1.81</v>
      </c>
    </row>
    <row r="5051" customFormat="false" ht="15" hidden="false" customHeight="false" outlineLevel="0" collapsed="false">
      <c r="A5051" s="2" t="s">
        <v>126</v>
      </c>
      <c r="B5051" s="2" t="s">
        <v>221</v>
      </c>
      <c r="C5051" s="2" t="s">
        <v>48</v>
      </c>
      <c r="D5051" s="2" t="s">
        <v>10</v>
      </c>
      <c r="E5051" s="2" t="s">
        <v>76</v>
      </c>
      <c r="F5051" s="2" t="s">
        <v>1146</v>
      </c>
      <c r="G5051" s="14" t="n">
        <v>9.5</v>
      </c>
      <c r="H5051" s="14" t="n">
        <v>5</v>
      </c>
      <c r="I5051" s="14" t="n">
        <v>19.5</v>
      </c>
      <c r="J5051" s="22" t="n">
        <f aca="false">IF(E5051="Priority",'Cost model'!N452,'Cost model'!M452)</f>
        <v>13.5</v>
      </c>
      <c r="K5051" s="14" t="n">
        <f aca="false">J5051-H5051</f>
        <v>8.5</v>
      </c>
      <c r="L5051" s="14" t="n">
        <f aca="false">G5051-H5051</f>
        <v>4.5</v>
      </c>
    </row>
    <row r="5052" customFormat="false" ht="15" hidden="false" customHeight="false" outlineLevel="0" collapsed="false">
      <c r="A5052" s="2" t="s">
        <v>125</v>
      </c>
      <c r="B5052" s="2" t="s">
        <v>184</v>
      </c>
      <c r="C5052" s="2" t="s">
        <v>48</v>
      </c>
      <c r="D5052" s="2" t="s">
        <v>15</v>
      </c>
      <c r="E5052" s="2" t="s">
        <v>85</v>
      </c>
      <c r="F5052" s="2" t="s">
        <v>1146</v>
      </c>
      <c r="G5052" s="14" t="n">
        <v>300</v>
      </c>
      <c r="H5052" s="14" t="n">
        <v>188.59</v>
      </c>
      <c r="I5052" s="14" t="n">
        <v>300</v>
      </c>
      <c r="J5052" s="22" t="n">
        <f aca="false">IF(E5052="Priority",'Cost model'!N68,'Cost model'!M68)</f>
        <v>200</v>
      </c>
      <c r="K5052" s="14" t="n">
        <f aca="false">J5052-H5052</f>
        <v>11.41</v>
      </c>
      <c r="L5052" s="14" t="n">
        <f aca="false">G5052-H5052</f>
        <v>111.41</v>
      </c>
    </row>
    <row r="5053" customFormat="false" ht="15" hidden="false" customHeight="false" outlineLevel="0" collapsed="false">
      <c r="A5053" s="2" t="s">
        <v>184</v>
      </c>
      <c r="B5053" s="2" t="s">
        <v>184</v>
      </c>
      <c r="C5053" s="2" t="s">
        <v>48</v>
      </c>
      <c r="D5053" s="2" t="s">
        <v>10</v>
      </c>
      <c r="E5053" s="2" t="s">
        <v>76</v>
      </c>
      <c r="F5053" s="2" t="s">
        <v>1145</v>
      </c>
      <c r="G5053" s="14" t="n">
        <v>9.5</v>
      </c>
      <c r="H5053" s="14" t="n">
        <v>5.94</v>
      </c>
      <c r="I5053" s="14" t="n">
        <v>9.5</v>
      </c>
      <c r="J5053" s="22" t="n">
        <f aca="false">IF(E5053="Priority",'Cost model'!N200,'Cost model'!M200)</f>
        <v>7.5</v>
      </c>
      <c r="K5053" s="14" t="n">
        <f aca="false">J5053-H5053</f>
        <v>1.56</v>
      </c>
      <c r="L5053" s="14" t="n">
        <f aca="false">G5053-H5053</f>
        <v>3.56</v>
      </c>
    </row>
    <row r="5054" customFormat="false" ht="15" hidden="false" customHeight="false" outlineLevel="0" collapsed="false">
      <c r="A5054" s="2" t="s">
        <v>184</v>
      </c>
      <c r="B5054" s="2" t="s">
        <v>184</v>
      </c>
      <c r="C5054" s="2" t="s">
        <v>50</v>
      </c>
      <c r="D5054" s="2" t="s">
        <v>10</v>
      </c>
      <c r="E5054" s="2" t="s">
        <v>76</v>
      </c>
      <c r="F5054" s="2" t="s">
        <v>1145</v>
      </c>
      <c r="G5054" s="14" t="n">
        <v>17.5</v>
      </c>
      <c r="H5054" s="14" t="n">
        <v>19.56</v>
      </c>
      <c r="I5054" s="14" t="n">
        <v>17.5</v>
      </c>
      <c r="J5054" s="22" t="n">
        <f aca="false">IF(E5054="Priority",'Cost model'!N202,'Cost model'!M202)</f>
        <v>17.5</v>
      </c>
      <c r="K5054" s="14" t="n">
        <f aca="false">J5054-H5054</f>
        <v>-2.06</v>
      </c>
      <c r="L5054" s="14" t="n">
        <f aca="false">G5054-H5054</f>
        <v>-2.06</v>
      </c>
    </row>
    <row r="5055" customFormat="false" ht="15" hidden="false" customHeight="false" outlineLevel="0" collapsed="false">
      <c r="A5055" s="2" t="s">
        <v>184</v>
      </c>
      <c r="B5055" s="2" t="s">
        <v>184</v>
      </c>
      <c r="C5055" s="2" t="s">
        <v>49</v>
      </c>
      <c r="D5055" s="2" t="s">
        <v>10</v>
      </c>
      <c r="E5055" s="2" t="s">
        <v>76</v>
      </c>
      <c r="F5055" s="2" t="s">
        <v>1145</v>
      </c>
      <c r="G5055" s="14" t="n">
        <v>12.5</v>
      </c>
      <c r="H5055" s="14" t="n">
        <v>12.45</v>
      </c>
      <c r="I5055" s="14"/>
      <c r="J5055" s="22" t="n">
        <f aca="false">IF(E5055="Priority",'Cost model'!N201,'Cost model'!M201)</f>
        <v>12.5</v>
      </c>
      <c r="K5055" s="14" t="n">
        <f aca="false">J5055-H5055</f>
        <v>0.0500000000000007</v>
      </c>
      <c r="L5055" s="14" t="n">
        <f aca="false">G5055-H5055</f>
        <v>0.0500000000000007</v>
      </c>
    </row>
    <row r="5056" customFormat="false" ht="15" hidden="false" customHeight="false" outlineLevel="0" collapsed="false">
      <c r="A5056" s="2" t="s">
        <v>240</v>
      </c>
      <c r="B5056" s="2" t="s">
        <v>240</v>
      </c>
      <c r="C5056" s="2" t="s">
        <v>50</v>
      </c>
      <c r="D5056" s="2" t="s">
        <v>12</v>
      </c>
      <c r="E5056" s="2" t="s">
        <v>85</v>
      </c>
      <c r="F5056" s="2" t="s">
        <v>1145</v>
      </c>
      <c r="G5056" s="14" t="n">
        <v>29.5</v>
      </c>
      <c r="H5056" s="14" t="n">
        <v>39.44</v>
      </c>
      <c r="I5056" s="14" t="n">
        <v>29.5</v>
      </c>
      <c r="J5056" s="22" t="n">
        <f aca="false">IF(E5056="Priority",'Cost model'!N889,'Cost model'!M889)</f>
        <v>80</v>
      </c>
      <c r="K5056" s="14" t="n">
        <f aca="false">J5056-H5056</f>
        <v>40.56</v>
      </c>
      <c r="L5056" s="14" t="n">
        <f aca="false">G5056-H5056</f>
        <v>-9.94</v>
      </c>
    </row>
    <row r="5057" customFormat="false" ht="15" hidden="false" customHeight="false" outlineLevel="0" collapsed="false">
      <c r="A5057" s="2" t="s">
        <v>126</v>
      </c>
      <c r="B5057" s="2" t="s">
        <v>126</v>
      </c>
      <c r="C5057" s="2" t="s">
        <v>48</v>
      </c>
      <c r="D5057" s="2" t="s">
        <v>10</v>
      </c>
      <c r="E5057" s="2" t="s">
        <v>76</v>
      </c>
      <c r="F5057" s="2" t="s">
        <v>1145</v>
      </c>
      <c r="G5057" s="14" t="n">
        <v>9.5</v>
      </c>
      <c r="H5057" s="14" t="n">
        <v>8.01</v>
      </c>
      <c r="I5057" s="14" t="n">
        <v>9.5</v>
      </c>
      <c r="J5057" s="22" t="n">
        <f aca="false">IF(E5057="Priority",'Cost model'!N380,'Cost model'!M380)</f>
        <v>8.5</v>
      </c>
      <c r="K5057" s="14" t="n">
        <f aca="false">J5057-H5057</f>
        <v>0.49</v>
      </c>
      <c r="L5057" s="14" t="n">
        <f aca="false">G5057-H5057</f>
        <v>1.49</v>
      </c>
    </row>
    <row r="5058" customFormat="false" ht="15" hidden="false" customHeight="false" outlineLevel="0" collapsed="false">
      <c r="A5058" s="2" t="s">
        <v>146</v>
      </c>
      <c r="B5058" s="2" t="s">
        <v>146</v>
      </c>
      <c r="C5058" s="2" t="s">
        <v>48</v>
      </c>
      <c r="D5058" s="2" t="s">
        <v>10</v>
      </c>
      <c r="E5058" s="2" t="s">
        <v>76</v>
      </c>
      <c r="F5058" s="2" t="s">
        <v>1145</v>
      </c>
      <c r="G5058" s="14" t="n">
        <v>9.5</v>
      </c>
      <c r="H5058" s="14" t="n">
        <v>24.63</v>
      </c>
      <c r="I5058" s="14" t="n">
        <v>9.5</v>
      </c>
      <c r="J5058" s="22" t="n">
        <f aca="false">IF(E5058="Priority",'Cost model'!N758,'Cost model'!M758)</f>
        <v>9.5</v>
      </c>
      <c r="K5058" s="14" t="n">
        <f aca="false">J5058-H5058</f>
        <v>-15.13</v>
      </c>
      <c r="L5058" s="14" t="n">
        <f aca="false">G5058-H5058</f>
        <v>-15.13</v>
      </c>
    </row>
    <row r="5059" customFormat="false" ht="15" hidden="false" customHeight="false" outlineLevel="0" collapsed="false">
      <c r="A5059" s="2" t="s">
        <v>184</v>
      </c>
      <c r="B5059" s="2" t="s">
        <v>146</v>
      </c>
      <c r="C5059" s="2" t="s">
        <v>50</v>
      </c>
      <c r="D5059" s="2" t="s">
        <v>12</v>
      </c>
      <c r="E5059" s="2" t="s">
        <v>76</v>
      </c>
      <c r="F5059" s="2" t="s">
        <v>1146</v>
      </c>
      <c r="G5059" s="14" t="n">
        <v>19.5</v>
      </c>
      <c r="H5059" s="14" t="n">
        <v>58.45</v>
      </c>
      <c r="I5059" s="14" t="n">
        <v>19.5</v>
      </c>
      <c r="J5059" s="22" t="n">
        <f aca="false">IF(E5059="Priority",'Cost model'!N151,'Cost model'!M151)</f>
        <v>55</v>
      </c>
      <c r="K5059" s="14" t="n">
        <f aca="false">J5059-H5059</f>
        <v>-3.45</v>
      </c>
      <c r="L5059" s="14" t="n">
        <f aca="false">G5059-H5059</f>
        <v>-38.95</v>
      </c>
    </row>
    <row r="5060" customFormat="false" ht="15" hidden="false" customHeight="false" outlineLevel="0" collapsed="false">
      <c r="A5060" s="2" t="s">
        <v>126</v>
      </c>
      <c r="B5060" s="2" t="s">
        <v>126</v>
      </c>
      <c r="C5060" s="2" t="s">
        <v>48</v>
      </c>
      <c r="D5060" s="2" t="s">
        <v>12</v>
      </c>
      <c r="E5060" s="2" t="s">
        <v>76</v>
      </c>
      <c r="F5060" s="2" t="s">
        <v>1145</v>
      </c>
      <c r="G5060" s="14" t="n">
        <v>9.5</v>
      </c>
      <c r="H5060" s="14" t="n">
        <v>31.8</v>
      </c>
      <c r="I5060" s="14" t="n">
        <v>9.5</v>
      </c>
      <c r="J5060" s="22" t="n">
        <f aca="false">IF(E5060="Priority",'Cost model'!N383,'Cost model'!M383)</f>
        <v>27.5</v>
      </c>
      <c r="K5060" s="14" t="n">
        <f aca="false">J5060-H5060</f>
        <v>-4.3</v>
      </c>
      <c r="L5060" s="14" t="n">
        <f aca="false">G5060-H5060</f>
        <v>-22.3</v>
      </c>
    </row>
    <row r="5061" customFormat="false" ht="15" hidden="false" customHeight="false" outlineLevel="0" collapsed="false">
      <c r="A5061" s="2" t="s">
        <v>240</v>
      </c>
      <c r="B5061" s="2" t="s">
        <v>240</v>
      </c>
      <c r="C5061" s="2" t="s">
        <v>50</v>
      </c>
      <c r="D5061" s="2" t="s">
        <v>12</v>
      </c>
      <c r="E5061" s="2" t="s">
        <v>76</v>
      </c>
      <c r="F5061" s="2" t="s">
        <v>1145</v>
      </c>
      <c r="G5061" s="14" t="n">
        <v>19.5</v>
      </c>
      <c r="H5061" s="14" t="n">
        <v>52.35</v>
      </c>
      <c r="I5061" s="14" t="n">
        <v>19.5</v>
      </c>
      <c r="J5061" s="22" t="n">
        <f aca="false">IF(E5061="Priority",'Cost model'!N889,'Cost model'!M889)</f>
        <v>60</v>
      </c>
      <c r="K5061" s="14" t="n">
        <f aca="false">J5061-H5061</f>
        <v>7.65</v>
      </c>
      <c r="L5061" s="14" t="n">
        <f aca="false">G5061-H5061</f>
        <v>-32.85</v>
      </c>
    </row>
    <row r="5062" customFormat="false" ht="15" hidden="false" customHeight="false" outlineLevel="0" collapsed="false">
      <c r="A5062" s="2" t="s">
        <v>165</v>
      </c>
      <c r="B5062" s="2" t="s">
        <v>165</v>
      </c>
      <c r="C5062" s="2" t="s">
        <v>48</v>
      </c>
      <c r="D5062" s="2" t="s">
        <v>12</v>
      </c>
      <c r="E5062" s="2" t="s">
        <v>76</v>
      </c>
      <c r="F5062" s="2" t="s">
        <v>1145</v>
      </c>
      <c r="G5062" s="14" t="n">
        <v>9.5</v>
      </c>
      <c r="H5062" s="14" t="n">
        <v>13.45</v>
      </c>
      <c r="I5062" s="14" t="n">
        <v>9.5</v>
      </c>
      <c r="J5062" s="22" t="n">
        <f aca="false">IF(E5062="Priority",'Cost model'!N509,'Cost model'!M509)</f>
        <v>17.5</v>
      </c>
      <c r="K5062" s="14" t="n">
        <f aca="false">J5062-H5062</f>
        <v>4.05</v>
      </c>
      <c r="L5062" s="14" t="n">
        <f aca="false">G5062-H5062</f>
        <v>-3.95</v>
      </c>
    </row>
    <row r="5063" customFormat="false" ht="15" hidden="false" customHeight="false" outlineLevel="0" collapsed="false">
      <c r="A5063" s="2" t="s">
        <v>165</v>
      </c>
      <c r="B5063" s="2" t="s">
        <v>126</v>
      </c>
      <c r="C5063" s="2" t="s">
        <v>50</v>
      </c>
      <c r="D5063" s="2" t="s">
        <v>10</v>
      </c>
      <c r="E5063" s="2" t="s">
        <v>76</v>
      </c>
      <c r="F5063" s="2" t="s">
        <v>1146</v>
      </c>
      <c r="G5063" s="14" t="n">
        <v>17.5</v>
      </c>
      <c r="H5063" s="14" t="n">
        <v>18.13</v>
      </c>
      <c r="I5063" s="14" t="n">
        <v>17.5</v>
      </c>
      <c r="J5063" s="22" t="n">
        <f aca="false">IF(E5063="Priority",'Cost model'!N544,'Cost model'!M544)</f>
        <v>21.5</v>
      </c>
      <c r="K5063" s="14" t="n">
        <f aca="false">J5063-H5063</f>
        <v>3.37</v>
      </c>
      <c r="L5063" s="14" t="n">
        <f aca="false">G5063-H5063</f>
        <v>-0.629999999999999</v>
      </c>
    </row>
    <row r="5064" customFormat="false" ht="15" hidden="false" customHeight="false" outlineLevel="0" collapsed="false">
      <c r="A5064" s="2" t="s">
        <v>184</v>
      </c>
      <c r="B5064" s="2" t="s">
        <v>184</v>
      </c>
      <c r="C5064" s="2" t="s">
        <v>48</v>
      </c>
      <c r="D5064" s="2" t="s">
        <v>10</v>
      </c>
      <c r="E5064" s="2" t="s">
        <v>76</v>
      </c>
      <c r="F5064" s="2" t="s">
        <v>1145</v>
      </c>
      <c r="G5064" s="14" t="n">
        <v>9.5</v>
      </c>
      <c r="H5064" s="14" t="n">
        <v>7.45</v>
      </c>
      <c r="I5064" s="14" t="n">
        <v>9.5</v>
      </c>
      <c r="J5064" s="22" t="n">
        <f aca="false">IF(E5064="Priority",'Cost model'!N200,'Cost model'!M200)</f>
        <v>7.5</v>
      </c>
      <c r="K5064" s="14" t="n">
        <f aca="false">J5064-H5064</f>
        <v>0.0499999999999998</v>
      </c>
      <c r="L5064" s="14" t="n">
        <f aca="false">G5064-H5064</f>
        <v>2.05</v>
      </c>
    </row>
    <row r="5065" customFormat="false" ht="15" hidden="false" customHeight="false" outlineLevel="0" collapsed="false">
      <c r="A5065" s="2" t="s">
        <v>240</v>
      </c>
      <c r="B5065" s="2" t="s">
        <v>184</v>
      </c>
      <c r="C5065" s="2" t="s">
        <v>48</v>
      </c>
      <c r="D5065" s="2" t="s">
        <v>12</v>
      </c>
      <c r="E5065" s="2" t="s">
        <v>76</v>
      </c>
      <c r="F5065" s="2" t="s">
        <v>1146</v>
      </c>
      <c r="G5065" s="14" t="n">
        <v>9.5</v>
      </c>
      <c r="H5065" s="14" t="n">
        <v>101.39</v>
      </c>
      <c r="I5065" s="14" t="n">
        <v>24.5</v>
      </c>
      <c r="J5065" s="22" t="n">
        <f aca="false">IF(E5065="Priority",'Cost model'!N941,'Cost model'!M941)</f>
        <v>70</v>
      </c>
      <c r="K5065" s="14" t="n">
        <f aca="false">J5065-H5065</f>
        <v>-31.39</v>
      </c>
      <c r="L5065" s="14" t="n">
        <f aca="false">G5065-H5065</f>
        <v>-91.89</v>
      </c>
    </row>
    <row r="5066" customFormat="false" ht="15" hidden="false" customHeight="false" outlineLevel="0" collapsed="false">
      <c r="A5066" s="2" t="s">
        <v>126</v>
      </c>
      <c r="B5066" s="2" t="s">
        <v>126</v>
      </c>
      <c r="C5066" s="2" t="s">
        <v>49</v>
      </c>
      <c r="D5066" s="2" t="s">
        <v>10</v>
      </c>
      <c r="E5066" s="2" t="s">
        <v>76</v>
      </c>
      <c r="F5066" s="2" t="s">
        <v>1145</v>
      </c>
      <c r="G5066" s="14" t="n">
        <v>12.5</v>
      </c>
      <c r="H5066" s="14" t="n">
        <v>11.03</v>
      </c>
      <c r="I5066" s="14" t="n">
        <v>12.5</v>
      </c>
      <c r="J5066" s="22" t="n">
        <f aca="false">IF(E5066="Priority",'Cost model'!N381,'Cost model'!M381)</f>
        <v>14.5</v>
      </c>
      <c r="K5066" s="14" t="n">
        <f aca="false">J5066-H5066</f>
        <v>3.47</v>
      </c>
      <c r="L5066" s="14" t="n">
        <f aca="false">G5066-H5066</f>
        <v>1.47</v>
      </c>
    </row>
    <row r="5067" customFormat="false" ht="15" hidden="false" customHeight="false" outlineLevel="0" collapsed="false">
      <c r="A5067" s="2" t="s">
        <v>126</v>
      </c>
      <c r="B5067" s="2" t="s">
        <v>126</v>
      </c>
      <c r="C5067" s="2" t="s">
        <v>49</v>
      </c>
      <c r="D5067" s="2" t="s">
        <v>12</v>
      </c>
      <c r="E5067" s="2" t="s">
        <v>85</v>
      </c>
      <c r="F5067" s="2" t="s">
        <v>1145</v>
      </c>
      <c r="G5067" s="14" t="n">
        <v>19.5</v>
      </c>
      <c r="H5067" s="14" t="n">
        <v>46.34</v>
      </c>
      <c r="I5067" s="14" t="n">
        <v>19.5</v>
      </c>
      <c r="J5067" s="22" t="n">
        <f aca="false">IF(E5067="Priority",'Cost model'!N384,'Cost model'!M384)</f>
        <v>60</v>
      </c>
      <c r="K5067" s="14" t="n">
        <f aca="false">J5067-H5067</f>
        <v>13.66</v>
      </c>
      <c r="L5067" s="14" t="n">
        <f aca="false">G5067-H5067</f>
        <v>-26.84</v>
      </c>
    </row>
    <row r="5068" customFormat="false" ht="15" hidden="false" customHeight="false" outlineLevel="0" collapsed="false">
      <c r="A5068" s="2" t="s">
        <v>184</v>
      </c>
      <c r="B5068" s="2" t="s">
        <v>184</v>
      </c>
      <c r="C5068" s="2" t="s">
        <v>48</v>
      </c>
      <c r="D5068" s="2" t="s">
        <v>10</v>
      </c>
      <c r="E5068" s="2" t="s">
        <v>76</v>
      </c>
      <c r="F5068" s="2" t="s">
        <v>1145</v>
      </c>
      <c r="G5068" s="14" t="n">
        <v>9.5</v>
      </c>
      <c r="H5068" s="14" t="n">
        <v>10.47</v>
      </c>
      <c r="I5068" s="14" t="n">
        <v>9.5</v>
      </c>
      <c r="J5068" s="22" t="n">
        <f aca="false">IF(E5068="Priority",'Cost model'!N200,'Cost model'!M200)</f>
        <v>7.5</v>
      </c>
      <c r="K5068" s="14" t="n">
        <f aca="false">J5068-H5068</f>
        <v>-2.97</v>
      </c>
      <c r="L5068" s="14" t="n">
        <f aca="false">G5068-H5068</f>
        <v>-0.970000000000001</v>
      </c>
    </row>
    <row r="5069" customFormat="false" ht="15" hidden="false" customHeight="false" outlineLevel="0" collapsed="false">
      <c r="A5069" s="2" t="s">
        <v>126</v>
      </c>
      <c r="B5069" s="2" t="s">
        <v>126</v>
      </c>
      <c r="C5069" s="2" t="s">
        <v>48</v>
      </c>
      <c r="D5069" s="2" t="s">
        <v>12</v>
      </c>
      <c r="E5069" s="2" t="s">
        <v>76</v>
      </c>
      <c r="F5069" s="2" t="s">
        <v>1145</v>
      </c>
      <c r="G5069" s="14" t="n">
        <v>9.5</v>
      </c>
      <c r="H5069" s="14" t="n">
        <v>31.48</v>
      </c>
      <c r="I5069" s="14" t="n">
        <v>9.5</v>
      </c>
      <c r="J5069" s="22" t="n">
        <f aca="false">IF(E5069="Priority",'Cost model'!N383,'Cost model'!M383)</f>
        <v>27.5</v>
      </c>
      <c r="K5069" s="14" t="n">
        <f aca="false">J5069-H5069</f>
        <v>-3.98</v>
      </c>
      <c r="L5069" s="14" t="n">
        <f aca="false">G5069-H5069</f>
        <v>-21.98</v>
      </c>
    </row>
    <row r="5070" customFormat="false" ht="15" hidden="false" customHeight="false" outlineLevel="0" collapsed="false">
      <c r="A5070" s="2" t="s">
        <v>126</v>
      </c>
      <c r="B5070" s="2" t="s">
        <v>126</v>
      </c>
      <c r="C5070" s="2" t="s">
        <v>49</v>
      </c>
      <c r="D5070" s="2" t="s">
        <v>10</v>
      </c>
      <c r="E5070" s="2" t="s">
        <v>76</v>
      </c>
      <c r="F5070" s="2" t="s">
        <v>1145</v>
      </c>
      <c r="G5070" s="14" t="n">
        <v>12.5</v>
      </c>
      <c r="H5070" s="14" t="n">
        <v>7.69</v>
      </c>
      <c r="I5070" s="14" t="n">
        <v>12.5</v>
      </c>
      <c r="J5070" s="22" t="n">
        <f aca="false">IF(E5070="Priority",'Cost model'!N381,'Cost model'!M381)</f>
        <v>14.5</v>
      </c>
      <c r="K5070" s="14" t="n">
        <f aca="false">J5070-H5070</f>
        <v>6.81</v>
      </c>
      <c r="L5070" s="14" t="n">
        <f aca="false">G5070-H5070</f>
        <v>4.81</v>
      </c>
    </row>
    <row r="5071" customFormat="false" ht="15" hidden="false" customHeight="false" outlineLevel="0" collapsed="false">
      <c r="A5071" s="2" t="s">
        <v>240</v>
      </c>
      <c r="B5071" s="2" t="s">
        <v>240</v>
      </c>
      <c r="C5071" s="2" t="s">
        <v>48</v>
      </c>
      <c r="D5071" s="2" t="s">
        <v>10</v>
      </c>
      <c r="E5071" s="2" t="s">
        <v>76</v>
      </c>
      <c r="F5071" s="2" t="s">
        <v>1145</v>
      </c>
      <c r="G5071" s="14" t="n">
        <v>9.5</v>
      </c>
      <c r="H5071" s="14" t="n">
        <v>12.91</v>
      </c>
      <c r="I5071" s="14" t="n">
        <v>9.5</v>
      </c>
      <c r="J5071" s="22" t="n">
        <f aca="false">IF(E5071="Priority",'Cost model'!N884,'Cost model'!M884)</f>
        <v>7.5</v>
      </c>
      <c r="K5071" s="14" t="n">
        <f aca="false">J5071-H5071</f>
        <v>-5.41</v>
      </c>
      <c r="L5071" s="14" t="n">
        <f aca="false">G5071-H5071</f>
        <v>-3.41</v>
      </c>
    </row>
    <row r="5072" customFormat="false" ht="15" hidden="false" customHeight="false" outlineLevel="0" collapsed="false">
      <c r="A5072" s="2" t="s">
        <v>240</v>
      </c>
      <c r="B5072" s="2" t="s">
        <v>240</v>
      </c>
      <c r="C5072" s="2" t="s">
        <v>50</v>
      </c>
      <c r="D5072" s="2" t="s">
        <v>12</v>
      </c>
      <c r="E5072" s="2" t="s">
        <v>76</v>
      </c>
      <c r="F5072" s="2" t="s">
        <v>1145</v>
      </c>
      <c r="G5072" s="14" t="n">
        <v>19.5</v>
      </c>
      <c r="H5072" s="14" t="n">
        <v>97.78</v>
      </c>
      <c r="I5072" s="14" t="n">
        <v>19.5</v>
      </c>
      <c r="J5072" s="22" t="n">
        <f aca="false">IF(E5072="Priority",'Cost model'!N889,'Cost model'!M889)</f>
        <v>60</v>
      </c>
      <c r="K5072" s="14" t="n">
        <f aca="false">J5072-H5072</f>
        <v>-37.78</v>
      </c>
      <c r="L5072" s="14" t="n">
        <f aca="false">G5072-H5072</f>
        <v>-78.28</v>
      </c>
    </row>
    <row r="5073" customFormat="false" ht="15" hidden="false" customHeight="false" outlineLevel="0" collapsed="false">
      <c r="A5073" s="2" t="s">
        <v>126</v>
      </c>
      <c r="B5073" s="2" t="s">
        <v>146</v>
      </c>
      <c r="C5073" s="2" t="s">
        <v>49</v>
      </c>
      <c r="D5073" s="2" t="s">
        <v>14</v>
      </c>
      <c r="E5073" s="2" t="s">
        <v>76</v>
      </c>
      <c r="F5073" s="2" t="s">
        <v>1146</v>
      </c>
      <c r="G5073" s="14" t="n">
        <v>45</v>
      </c>
      <c r="H5073" s="14" t="n">
        <v>99.29</v>
      </c>
      <c r="I5073" s="14" t="n">
        <v>125</v>
      </c>
      <c r="J5073" s="22" t="n">
        <f aca="false">IF(E5073="Priority",'Cost model'!N408,'Cost model'!M408)</f>
        <v>180</v>
      </c>
      <c r="K5073" s="14" t="n">
        <f aca="false">J5073-H5073</f>
        <v>80.71</v>
      </c>
      <c r="L5073" s="14" t="n">
        <f aca="false">G5073-H5073</f>
        <v>-54.29</v>
      </c>
    </row>
    <row r="5074" customFormat="false" ht="15" hidden="false" customHeight="false" outlineLevel="0" collapsed="false">
      <c r="A5074" s="2" t="s">
        <v>240</v>
      </c>
      <c r="B5074" s="2" t="s">
        <v>240</v>
      </c>
      <c r="C5074" s="2" t="s">
        <v>48</v>
      </c>
      <c r="D5074" s="2" t="s">
        <v>12</v>
      </c>
      <c r="E5074" s="2" t="s">
        <v>76</v>
      </c>
      <c r="F5074" s="2" t="s">
        <v>1145</v>
      </c>
      <c r="G5074" s="14" t="n">
        <v>9.5</v>
      </c>
      <c r="H5074" s="14" t="n">
        <v>30.84</v>
      </c>
      <c r="I5074" s="14" t="n">
        <v>9.5</v>
      </c>
      <c r="J5074" s="22" t="n">
        <f aca="false">IF(E5074="Priority",'Cost model'!N887,'Cost model'!M887)</f>
        <v>21.5</v>
      </c>
      <c r="K5074" s="14" t="n">
        <f aca="false">J5074-H5074</f>
        <v>-9.34</v>
      </c>
      <c r="L5074" s="14" t="n">
        <f aca="false">G5074-H5074</f>
        <v>-21.34</v>
      </c>
    </row>
    <row r="5075" customFormat="false" ht="15" hidden="false" customHeight="false" outlineLevel="0" collapsed="false">
      <c r="A5075" s="2" t="s">
        <v>184</v>
      </c>
      <c r="B5075" s="2" t="s">
        <v>184</v>
      </c>
      <c r="C5075" s="2" t="s">
        <v>49</v>
      </c>
      <c r="D5075" s="2" t="s">
        <v>12</v>
      </c>
      <c r="E5075" s="2" t="s">
        <v>76</v>
      </c>
      <c r="F5075" s="2" t="s">
        <v>1145</v>
      </c>
      <c r="G5075" s="14" t="n">
        <v>12.5</v>
      </c>
      <c r="H5075" s="14" t="n">
        <v>12.9</v>
      </c>
      <c r="I5075" s="14" t="n">
        <v>12.5</v>
      </c>
      <c r="J5075" s="22" t="n">
        <f aca="false">IF(E5075="Priority",'Cost model'!N204,'Cost model'!M204)</f>
        <v>45</v>
      </c>
      <c r="K5075" s="14" t="n">
        <f aca="false">J5075-H5075</f>
        <v>32.1</v>
      </c>
      <c r="L5075" s="14" t="n">
        <f aca="false">G5075-H5075</f>
        <v>-0.4</v>
      </c>
    </row>
    <row r="5076" customFormat="false" ht="15" hidden="false" customHeight="false" outlineLevel="0" collapsed="false">
      <c r="A5076" s="2" t="s">
        <v>240</v>
      </c>
      <c r="B5076" s="2" t="s">
        <v>240</v>
      </c>
      <c r="C5076" s="2" t="s">
        <v>48</v>
      </c>
      <c r="D5076" s="2" t="s">
        <v>10</v>
      </c>
      <c r="E5076" s="2" t="s">
        <v>76</v>
      </c>
      <c r="F5076" s="2" t="s">
        <v>1145</v>
      </c>
      <c r="G5076" s="14" t="n">
        <v>9.5</v>
      </c>
      <c r="H5076" s="14" t="n">
        <v>7.4</v>
      </c>
      <c r="I5076" s="14" t="n">
        <v>9.5</v>
      </c>
      <c r="J5076" s="22" t="n">
        <f aca="false">IF(E5076="Priority",'Cost model'!N884,'Cost model'!M884)</f>
        <v>7.5</v>
      </c>
      <c r="K5076" s="14" t="n">
        <f aca="false">J5076-H5076</f>
        <v>0.0999999999999996</v>
      </c>
      <c r="L5076" s="14" t="n">
        <f aca="false">G5076-H5076</f>
        <v>2.1</v>
      </c>
    </row>
    <row r="5077" customFormat="false" ht="15" hidden="false" customHeight="false" outlineLevel="0" collapsed="false">
      <c r="A5077" s="2" t="s">
        <v>184</v>
      </c>
      <c r="B5077" s="2" t="s">
        <v>184</v>
      </c>
      <c r="C5077" s="2" t="s">
        <v>49</v>
      </c>
      <c r="D5077" s="2" t="s">
        <v>14</v>
      </c>
      <c r="E5077" s="2" t="s">
        <v>76</v>
      </c>
      <c r="F5077" s="2" t="s">
        <v>1145</v>
      </c>
      <c r="G5077" s="14" t="n">
        <v>45</v>
      </c>
      <c r="H5077" s="14" t="n">
        <v>102.54</v>
      </c>
      <c r="I5077" s="14"/>
      <c r="J5077" s="22" t="n">
        <f aca="false">IF(E5077="Priority",'Cost model'!N210,'Cost model'!M210)</f>
        <v>135</v>
      </c>
      <c r="K5077" s="14" t="n">
        <f aca="false">J5077-H5077</f>
        <v>32.46</v>
      </c>
      <c r="L5077" s="14" t="n">
        <f aca="false">G5077-H5077</f>
        <v>-57.54</v>
      </c>
    </row>
    <row r="5078" customFormat="false" ht="15" hidden="false" customHeight="false" outlineLevel="0" collapsed="false">
      <c r="A5078" s="2" t="s">
        <v>240</v>
      </c>
      <c r="B5078" s="2" t="s">
        <v>240</v>
      </c>
      <c r="C5078" s="2" t="s">
        <v>48</v>
      </c>
      <c r="D5078" s="2" t="s">
        <v>12</v>
      </c>
      <c r="E5078" s="2" t="s">
        <v>76</v>
      </c>
      <c r="F5078" s="2" t="s">
        <v>1145</v>
      </c>
      <c r="G5078" s="14" t="n">
        <v>24.5</v>
      </c>
      <c r="H5078" s="14" t="n">
        <v>33.55</v>
      </c>
      <c r="I5078" s="14" t="n">
        <v>9.5</v>
      </c>
      <c r="J5078" s="22" t="n">
        <f aca="false">IF(E5078="Priority",'Cost model'!N887,'Cost model'!M887)</f>
        <v>21.5</v>
      </c>
      <c r="K5078" s="14" t="n">
        <f aca="false">J5078-H5078</f>
        <v>-12.05</v>
      </c>
      <c r="L5078" s="14" t="n">
        <f aca="false">G5078-H5078</f>
        <v>-9.05</v>
      </c>
    </row>
    <row r="5079" customFormat="false" ht="15" hidden="false" customHeight="false" outlineLevel="0" collapsed="false">
      <c r="A5079" s="2" t="s">
        <v>184</v>
      </c>
      <c r="B5079" s="2" t="s">
        <v>184</v>
      </c>
      <c r="C5079" s="2" t="s">
        <v>49</v>
      </c>
      <c r="D5079" s="2" t="s">
        <v>12</v>
      </c>
      <c r="E5079" s="2" t="s">
        <v>76</v>
      </c>
      <c r="F5079" s="2" t="s">
        <v>1145</v>
      </c>
      <c r="G5079" s="14" t="n">
        <v>14.5</v>
      </c>
      <c r="H5079" s="14" t="n">
        <v>44.11</v>
      </c>
      <c r="I5079" s="14" t="n">
        <v>12.5</v>
      </c>
      <c r="J5079" s="22" t="n">
        <f aca="false">IF(E5079="Priority",'Cost model'!N204,'Cost model'!M204)</f>
        <v>45</v>
      </c>
      <c r="K5079" s="14" t="n">
        <f aca="false">J5079-H5079</f>
        <v>0.890000000000001</v>
      </c>
      <c r="L5079" s="14" t="n">
        <f aca="false">G5079-H5079</f>
        <v>-29.61</v>
      </c>
    </row>
    <row r="5080" customFormat="false" ht="15" hidden="false" customHeight="false" outlineLevel="0" collapsed="false">
      <c r="A5080" s="2" t="s">
        <v>184</v>
      </c>
      <c r="B5080" s="2" t="s">
        <v>126</v>
      </c>
      <c r="C5080" s="2" t="s">
        <v>48</v>
      </c>
      <c r="D5080" s="2" t="s">
        <v>10</v>
      </c>
      <c r="E5080" s="2" t="s">
        <v>85</v>
      </c>
      <c r="F5080" s="2" t="s">
        <v>1146</v>
      </c>
      <c r="G5080" s="14" t="n">
        <v>14.5</v>
      </c>
      <c r="H5080" s="14" t="n">
        <v>23.58</v>
      </c>
      <c r="I5080" s="14" t="n">
        <v>14.5</v>
      </c>
      <c r="J5080" s="22" t="n">
        <f aca="false">IF(E5080="Priority",'Cost model'!N128,'Cost model'!M128)</f>
        <v>15.5</v>
      </c>
      <c r="K5080" s="14" t="n">
        <f aca="false">J5080-H5080</f>
        <v>-8.08</v>
      </c>
      <c r="L5080" s="14" t="n">
        <f aca="false">G5080-H5080</f>
        <v>-9.08</v>
      </c>
    </row>
    <row r="5081" customFormat="false" ht="15" hidden="false" customHeight="false" outlineLevel="0" collapsed="false">
      <c r="A5081" s="2" t="s">
        <v>184</v>
      </c>
      <c r="B5081" s="2" t="s">
        <v>184</v>
      </c>
      <c r="C5081" s="2" t="s">
        <v>49</v>
      </c>
      <c r="D5081" s="2" t="s">
        <v>10</v>
      </c>
      <c r="E5081" s="2" t="s">
        <v>76</v>
      </c>
      <c r="F5081" s="2" t="s">
        <v>1145</v>
      </c>
      <c r="G5081" s="14" t="n">
        <v>12.5</v>
      </c>
      <c r="H5081" s="14" t="n">
        <v>11.38</v>
      </c>
      <c r="I5081" s="14"/>
      <c r="J5081" s="22" t="n">
        <f aca="false">IF(E5081="Priority",'Cost model'!N201,'Cost model'!M201)</f>
        <v>12.5</v>
      </c>
      <c r="K5081" s="14" t="n">
        <f aca="false">J5081-H5081</f>
        <v>1.12</v>
      </c>
      <c r="L5081" s="14" t="n">
        <f aca="false">G5081-H5081</f>
        <v>1.12</v>
      </c>
    </row>
    <row r="5082" customFormat="false" ht="15" hidden="false" customHeight="false" outlineLevel="0" collapsed="false">
      <c r="A5082" s="2" t="s">
        <v>184</v>
      </c>
      <c r="B5082" s="2" t="s">
        <v>146</v>
      </c>
      <c r="C5082" s="2" t="s">
        <v>48</v>
      </c>
      <c r="D5082" s="2" t="s">
        <v>16</v>
      </c>
      <c r="E5082" s="2" t="s">
        <v>76</v>
      </c>
      <c r="F5082" s="2" t="s">
        <v>1146</v>
      </c>
      <c r="G5082" s="14" t="n">
        <v>19</v>
      </c>
      <c r="H5082" s="14" t="n">
        <v>268.25</v>
      </c>
      <c r="I5082" s="14" t="n">
        <v>25</v>
      </c>
      <c r="J5082" s="22" t="n">
        <f aca="false">IF(E5082="Priority",'Cost model'!N161,'Cost model'!M161)</f>
        <v>230</v>
      </c>
      <c r="K5082" s="14" t="n">
        <f aca="false">J5082-H5082</f>
        <v>-38.25</v>
      </c>
      <c r="L5082" s="14" t="n">
        <f aca="false">G5082-H5082</f>
        <v>-249.25</v>
      </c>
    </row>
    <row r="5083" customFormat="false" ht="15" hidden="false" customHeight="false" outlineLevel="0" collapsed="false">
      <c r="A5083" s="2" t="s">
        <v>184</v>
      </c>
      <c r="B5083" s="2" t="s">
        <v>184</v>
      </c>
      <c r="C5083" s="2" t="s">
        <v>48</v>
      </c>
      <c r="D5083" s="2" t="s">
        <v>10</v>
      </c>
      <c r="E5083" s="2" t="s">
        <v>76</v>
      </c>
      <c r="F5083" s="2" t="s">
        <v>1145</v>
      </c>
      <c r="G5083" s="14" t="n">
        <v>9.5</v>
      </c>
      <c r="H5083" s="14" t="n">
        <v>5.94</v>
      </c>
      <c r="I5083" s="14" t="n">
        <v>9.5</v>
      </c>
      <c r="J5083" s="22" t="n">
        <f aca="false">IF(E5083="Priority",'Cost model'!N200,'Cost model'!M200)</f>
        <v>7.5</v>
      </c>
      <c r="K5083" s="14" t="n">
        <f aca="false">J5083-H5083</f>
        <v>1.56</v>
      </c>
      <c r="L5083" s="14" t="n">
        <f aca="false">G5083-H5083</f>
        <v>3.56</v>
      </c>
    </row>
    <row r="5084" customFormat="false" ht="15" hidden="false" customHeight="false" outlineLevel="0" collapsed="false">
      <c r="A5084" s="2" t="s">
        <v>184</v>
      </c>
      <c r="B5084" s="2" t="s">
        <v>146</v>
      </c>
      <c r="C5084" s="2" t="s">
        <v>49</v>
      </c>
      <c r="D5084" s="2" t="s">
        <v>12</v>
      </c>
      <c r="E5084" s="2" t="s">
        <v>76</v>
      </c>
      <c r="F5084" s="2" t="s">
        <v>1146</v>
      </c>
      <c r="G5084" s="14" t="n">
        <v>12.5</v>
      </c>
      <c r="H5084" s="14" t="n">
        <v>37.96</v>
      </c>
      <c r="I5084" s="14"/>
      <c r="J5084" s="22" t="n">
        <f aca="false">IF(E5084="Priority",'Cost model'!N150,'Cost model'!M150)</f>
        <v>55</v>
      </c>
      <c r="K5084" s="14" t="n">
        <f aca="false">J5084-H5084</f>
        <v>17.04</v>
      </c>
      <c r="L5084" s="14" t="n">
        <f aca="false">G5084-H5084</f>
        <v>-25.46</v>
      </c>
    </row>
    <row r="5085" customFormat="false" ht="15" hidden="false" customHeight="false" outlineLevel="0" collapsed="false">
      <c r="A5085" s="2" t="s">
        <v>184</v>
      </c>
      <c r="B5085" s="2" t="s">
        <v>184</v>
      </c>
      <c r="C5085" s="2" t="s">
        <v>48</v>
      </c>
      <c r="D5085" s="2" t="s">
        <v>12</v>
      </c>
      <c r="E5085" s="2" t="s">
        <v>76</v>
      </c>
      <c r="F5085" s="2" t="s">
        <v>1145</v>
      </c>
      <c r="G5085" s="14" t="n">
        <v>9.5</v>
      </c>
      <c r="H5085" s="14" t="n">
        <v>29.28</v>
      </c>
      <c r="I5085" s="14" t="n">
        <v>9.5</v>
      </c>
      <c r="J5085" s="22" t="n">
        <f aca="false">IF(E5085="Priority",'Cost model'!N203,'Cost model'!M203)</f>
        <v>26.5</v>
      </c>
      <c r="K5085" s="14" t="n">
        <f aca="false">J5085-H5085</f>
        <v>-2.78</v>
      </c>
      <c r="L5085" s="14" t="n">
        <f aca="false">G5085-H5085</f>
        <v>-19.78</v>
      </c>
    </row>
    <row r="5086" customFormat="false" ht="15" hidden="false" customHeight="false" outlineLevel="0" collapsed="false">
      <c r="A5086" s="2" t="s">
        <v>184</v>
      </c>
      <c r="B5086" s="2" t="s">
        <v>184</v>
      </c>
      <c r="C5086" s="2" t="s">
        <v>48</v>
      </c>
      <c r="D5086" s="2" t="s">
        <v>10</v>
      </c>
      <c r="E5086" s="2" t="s">
        <v>76</v>
      </c>
      <c r="F5086" s="2" t="s">
        <v>1145</v>
      </c>
      <c r="G5086" s="14" t="n">
        <v>9.5</v>
      </c>
      <c r="H5086" s="14" t="n">
        <v>5.94</v>
      </c>
      <c r="I5086" s="14" t="n">
        <v>9.5</v>
      </c>
      <c r="J5086" s="22" t="n">
        <f aca="false">IF(E5086="Priority",'Cost model'!N200,'Cost model'!M200)</f>
        <v>7.5</v>
      </c>
      <c r="K5086" s="14" t="n">
        <f aca="false">J5086-H5086</f>
        <v>1.56</v>
      </c>
      <c r="L5086" s="14" t="n">
        <f aca="false">G5086-H5086</f>
        <v>3.56</v>
      </c>
    </row>
    <row r="5087" customFormat="false" ht="15" hidden="false" customHeight="false" outlineLevel="0" collapsed="false">
      <c r="A5087" s="2" t="s">
        <v>146</v>
      </c>
      <c r="B5087" s="2" t="s">
        <v>165</v>
      </c>
      <c r="C5087" s="2" t="s">
        <v>48</v>
      </c>
      <c r="D5087" s="2" t="s">
        <v>10</v>
      </c>
      <c r="E5087" s="2" t="s">
        <v>85</v>
      </c>
      <c r="F5087" s="2" t="s">
        <v>1146</v>
      </c>
      <c r="G5087" s="14" t="n">
        <v>19.5</v>
      </c>
      <c r="H5087" s="14" t="n">
        <v>15.08</v>
      </c>
      <c r="I5087" s="14" t="n">
        <v>19.5</v>
      </c>
      <c r="J5087" s="22" t="n">
        <f aca="false">IF(E5087="Priority",'Cost model'!N776,'Cost model'!M776)</f>
        <v>18.5</v>
      </c>
      <c r="K5087" s="14" t="n">
        <f aca="false">J5087-H5087</f>
        <v>3.42</v>
      </c>
      <c r="L5087" s="14" t="n">
        <f aca="false">G5087-H5087</f>
        <v>4.42</v>
      </c>
    </row>
    <row r="5088" customFormat="false" ht="15" hidden="false" customHeight="false" outlineLevel="0" collapsed="false">
      <c r="A5088" s="2" t="s">
        <v>184</v>
      </c>
      <c r="B5088" s="2" t="s">
        <v>146</v>
      </c>
      <c r="C5088" s="2" t="s">
        <v>50</v>
      </c>
      <c r="D5088" s="2" t="s">
        <v>12</v>
      </c>
      <c r="E5088" s="2" t="s">
        <v>85</v>
      </c>
      <c r="F5088" s="2" t="s">
        <v>1146</v>
      </c>
      <c r="G5088" s="14" t="n">
        <v>29.5</v>
      </c>
      <c r="H5088" s="14" t="n">
        <v>23.58</v>
      </c>
      <c r="I5088" s="14" t="n">
        <v>29.5</v>
      </c>
      <c r="J5088" s="22" t="n">
        <f aca="false">IF(E5088="Priority",'Cost model'!N151,'Cost model'!M151)</f>
        <v>70</v>
      </c>
      <c r="K5088" s="14" t="n">
        <f aca="false">J5088-H5088</f>
        <v>46.42</v>
      </c>
      <c r="L5088" s="14" t="n">
        <f aca="false">G5088-H5088</f>
        <v>5.92</v>
      </c>
    </row>
    <row r="5089" customFormat="false" ht="15" hidden="false" customHeight="false" outlineLevel="0" collapsed="false">
      <c r="A5089" s="2" t="s">
        <v>146</v>
      </c>
      <c r="B5089" s="2" t="s">
        <v>146</v>
      </c>
      <c r="C5089" s="2" t="s">
        <v>50</v>
      </c>
      <c r="D5089" s="2" t="s">
        <v>12</v>
      </c>
      <c r="E5089" s="2" t="s">
        <v>76</v>
      </c>
      <c r="F5089" s="2" t="s">
        <v>1145</v>
      </c>
      <c r="G5089" s="14" t="n">
        <v>19.5</v>
      </c>
      <c r="H5089" s="14" t="n">
        <v>45.74</v>
      </c>
      <c r="I5089" s="14" t="n">
        <v>19.5</v>
      </c>
      <c r="J5089" s="22" t="n">
        <f aca="false">IF(E5089="Priority",'Cost model'!N763,'Cost model'!M763)</f>
        <v>50</v>
      </c>
      <c r="K5089" s="14" t="n">
        <f aca="false">J5089-H5089</f>
        <v>4.26</v>
      </c>
      <c r="L5089" s="14" t="n">
        <f aca="false">G5089-H5089</f>
        <v>-26.24</v>
      </c>
    </row>
    <row r="5090" customFormat="false" ht="15" hidden="false" customHeight="false" outlineLevel="0" collapsed="false">
      <c r="A5090" s="2" t="s">
        <v>184</v>
      </c>
      <c r="B5090" s="2" t="s">
        <v>184</v>
      </c>
      <c r="C5090" s="2" t="s">
        <v>48</v>
      </c>
      <c r="D5090" s="2" t="s">
        <v>12</v>
      </c>
      <c r="E5090" s="2" t="s">
        <v>76</v>
      </c>
      <c r="F5090" s="2" t="s">
        <v>1145</v>
      </c>
      <c r="G5090" s="14" t="n">
        <v>9.5</v>
      </c>
      <c r="H5090" s="14" t="n">
        <v>58.65</v>
      </c>
      <c r="I5090" s="14" t="n">
        <v>9.5</v>
      </c>
      <c r="J5090" s="22" t="n">
        <f aca="false">IF(E5090="Priority",'Cost model'!N203,'Cost model'!M203)</f>
        <v>26.5</v>
      </c>
      <c r="K5090" s="14" t="n">
        <f aca="false">J5090-H5090</f>
        <v>-32.15</v>
      </c>
      <c r="L5090" s="14" t="n">
        <f aca="false">G5090-H5090</f>
        <v>-49.15</v>
      </c>
    </row>
    <row r="5091" customFormat="false" ht="15" hidden="false" customHeight="false" outlineLevel="0" collapsed="false">
      <c r="A5091" s="2" t="s">
        <v>165</v>
      </c>
      <c r="B5091" s="2" t="s">
        <v>165</v>
      </c>
      <c r="C5091" s="2" t="s">
        <v>50</v>
      </c>
      <c r="D5091" s="2" t="s">
        <v>12</v>
      </c>
      <c r="E5091" s="2" t="s">
        <v>85</v>
      </c>
      <c r="F5091" s="2" t="s">
        <v>1145</v>
      </c>
      <c r="G5091" s="14" t="n">
        <v>29.5</v>
      </c>
      <c r="H5091" s="14" t="n">
        <v>28.46</v>
      </c>
      <c r="I5091" s="14" t="n">
        <v>29.5</v>
      </c>
      <c r="J5091" s="22" t="n">
        <f aca="false">IF(E5091="Priority",'Cost model'!N511,'Cost model'!M511)</f>
        <v>45</v>
      </c>
      <c r="K5091" s="14" t="n">
        <f aca="false">J5091-H5091</f>
        <v>16.54</v>
      </c>
      <c r="L5091" s="14" t="n">
        <f aca="false">G5091-H5091</f>
        <v>1.04</v>
      </c>
    </row>
    <row r="5092" customFormat="false" ht="15" hidden="false" customHeight="false" outlineLevel="0" collapsed="false">
      <c r="A5092" s="2" t="s">
        <v>126</v>
      </c>
      <c r="B5092" s="2" t="s">
        <v>126</v>
      </c>
      <c r="C5092" s="2" t="s">
        <v>49</v>
      </c>
      <c r="D5092" s="2" t="s">
        <v>10</v>
      </c>
      <c r="E5092" s="2" t="s">
        <v>76</v>
      </c>
      <c r="F5092" s="2" t="s">
        <v>1145</v>
      </c>
      <c r="G5092" s="14" t="n">
        <v>12.5</v>
      </c>
      <c r="H5092" s="14" t="n">
        <v>6.64</v>
      </c>
      <c r="I5092" s="14" t="n">
        <v>12.5</v>
      </c>
      <c r="J5092" s="22" t="n">
        <f aca="false">IF(E5092="Priority",'Cost model'!N381,'Cost model'!M381)</f>
        <v>14.5</v>
      </c>
      <c r="K5092" s="14" t="n">
        <f aca="false">J5092-H5092</f>
        <v>7.86</v>
      </c>
      <c r="L5092" s="14" t="n">
        <f aca="false">G5092-H5092</f>
        <v>5.86</v>
      </c>
    </row>
    <row r="5093" customFormat="false" ht="15" hidden="false" customHeight="false" outlineLevel="0" collapsed="false">
      <c r="A5093" s="2" t="s">
        <v>184</v>
      </c>
      <c r="B5093" s="2" t="s">
        <v>165</v>
      </c>
      <c r="C5093" s="2" t="s">
        <v>50</v>
      </c>
      <c r="D5093" s="2" t="s">
        <v>12</v>
      </c>
      <c r="E5093" s="2" t="s">
        <v>76</v>
      </c>
      <c r="F5093" s="2" t="s">
        <v>1146</v>
      </c>
      <c r="G5093" s="14" t="n">
        <v>19.5</v>
      </c>
      <c r="H5093" s="14" t="n">
        <v>59.18</v>
      </c>
      <c r="I5093" s="14" t="n">
        <v>19.5</v>
      </c>
      <c r="J5093" s="22" t="n">
        <f aca="false">IF(E5093="Priority",'Cost model'!N169,'Cost model'!M169)</f>
        <v>60</v>
      </c>
      <c r="K5093" s="14" t="n">
        <f aca="false">J5093-H5093</f>
        <v>0.82</v>
      </c>
      <c r="L5093" s="14" t="n">
        <f aca="false">G5093-H5093</f>
        <v>-39.68</v>
      </c>
    </row>
    <row r="5094" customFormat="false" ht="15" hidden="false" customHeight="false" outlineLevel="0" collapsed="false">
      <c r="A5094" s="2" t="s">
        <v>184</v>
      </c>
      <c r="B5094" s="2" t="s">
        <v>126</v>
      </c>
      <c r="C5094" s="2" t="s">
        <v>48</v>
      </c>
      <c r="D5094" s="2" t="s">
        <v>12</v>
      </c>
      <c r="E5094" s="2" t="s">
        <v>76</v>
      </c>
      <c r="F5094" s="2" t="s">
        <v>1146</v>
      </c>
      <c r="G5094" s="14" t="n">
        <v>9.5</v>
      </c>
      <c r="H5094" s="14" t="n">
        <v>26.93</v>
      </c>
      <c r="I5094" s="14" t="n">
        <v>9.5</v>
      </c>
      <c r="J5094" s="22" t="n">
        <f aca="false">IF(E5094="Priority",'Cost model'!N131,'Cost model'!M131)</f>
        <v>40</v>
      </c>
      <c r="K5094" s="14" t="n">
        <f aca="false">J5094-H5094</f>
        <v>13.07</v>
      </c>
      <c r="L5094" s="14" t="n">
        <f aca="false">G5094-H5094</f>
        <v>-17.43</v>
      </c>
    </row>
    <row r="5095" customFormat="false" ht="15" hidden="false" customHeight="false" outlineLevel="0" collapsed="false">
      <c r="A5095" s="2" t="s">
        <v>146</v>
      </c>
      <c r="B5095" s="2" t="s">
        <v>146</v>
      </c>
      <c r="C5095" s="2" t="s">
        <v>48</v>
      </c>
      <c r="D5095" s="2" t="s">
        <v>12</v>
      </c>
      <c r="E5095" s="2" t="s">
        <v>76</v>
      </c>
      <c r="F5095" s="2" t="s">
        <v>1145</v>
      </c>
      <c r="G5095" s="14" t="n">
        <v>9.5</v>
      </c>
      <c r="H5095" s="14" t="n">
        <v>28.15</v>
      </c>
      <c r="I5095" s="14" t="n">
        <v>9.5</v>
      </c>
      <c r="J5095" s="22" t="n">
        <f aca="false">IF(E5095="Priority",'Cost model'!N761,'Cost model'!M761)</f>
        <v>35</v>
      </c>
      <c r="K5095" s="14" t="n">
        <f aca="false">J5095-H5095</f>
        <v>6.85</v>
      </c>
      <c r="L5095" s="14" t="n">
        <f aca="false">G5095-H5095</f>
        <v>-18.65</v>
      </c>
    </row>
    <row r="5096" customFormat="false" ht="15" hidden="false" customHeight="false" outlineLevel="0" collapsed="false">
      <c r="A5096" s="2" t="s">
        <v>126</v>
      </c>
      <c r="B5096" s="2" t="s">
        <v>126</v>
      </c>
      <c r="C5096" s="2" t="s">
        <v>48</v>
      </c>
      <c r="D5096" s="2" t="s">
        <v>10</v>
      </c>
      <c r="E5096" s="2" t="s">
        <v>85</v>
      </c>
      <c r="F5096" s="2" t="s">
        <v>1145</v>
      </c>
      <c r="G5096" s="14" t="n">
        <v>14.5</v>
      </c>
      <c r="H5096" s="14" t="n">
        <v>7.69</v>
      </c>
      <c r="I5096" s="14" t="n">
        <v>14.5</v>
      </c>
      <c r="J5096" s="22" t="n">
        <f aca="false">IF(E5096="Priority",'Cost model'!N380,'Cost model'!M380)</f>
        <v>13.5</v>
      </c>
      <c r="K5096" s="14" t="n">
        <f aca="false">J5096-H5096</f>
        <v>5.81</v>
      </c>
      <c r="L5096" s="14" t="n">
        <f aca="false">G5096-H5096</f>
        <v>6.81</v>
      </c>
    </row>
    <row r="5097" customFormat="false" ht="15" hidden="false" customHeight="false" outlineLevel="0" collapsed="false">
      <c r="A5097" s="2" t="s">
        <v>126</v>
      </c>
      <c r="B5097" s="2" t="s">
        <v>126</v>
      </c>
      <c r="C5097" s="2" t="s">
        <v>49</v>
      </c>
      <c r="D5097" s="2" t="s">
        <v>10</v>
      </c>
      <c r="E5097" s="2" t="s">
        <v>76</v>
      </c>
      <c r="F5097" s="2" t="s">
        <v>1145</v>
      </c>
      <c r="G5097" s="14" t="n">
        <v>12.5</v>
      </c>
      <c r="H5097" s="14" t="n">
        <v>70.83</v>
      </c>
      <c r="I5097" s="14" t="n">
        <v>12.5</v>
      </c>
      <c r="J5097" s="22" t="n">
        <f aca="false">IF(E5097="Priority",'Cost model'!N381,'Cost model'!M381)</f>
        <v>14.5</v>
      </c>
      <c r="K5097" s="14" t="n">
        <f aca="false">J5097-H5097</f>
        <v>-56.33</v>
      </c>
      <c r="L5097" s="14" t="n">
        <f aca="false">G5097-H5097</f>
        <v>-58.33</v>
      </c>
    </row>
    <row r="5098" customFormat="false" ht="15" hidden="false" customHeight="false" outlineLevel="0" collapsed="false">
      <c r="A5098" s="2" t="s">
        <v>240</v>
      </c>
      <c r="B5098" s="2" t="s">
        <v>240</v>
      </c>
      <c r="C5098" s="2" t="s">
        <v>49</v>
      </c>
      <c r="D5098" s="2" t="s">
        <v>12</v>
      </c>
      <c r="E5098" s="2" t="s">
        <v>76</v>
      </c>
      <c r="F5098" s="2" t="s">
        <v>1145</v>
      </c>
      <c r="G5098" s="14" t="n">
        <v>12.5</v>
      </c>
      <c r="H5098" s="14" t="n">
        <v>37.74</v>
      </c>
      <c r="I5098" s="14" t="n">
        <v>12.5</v>
      </c>
      <c r="J5098" s="22" t="n">
        <f aca="false">IF(E5098="Priority",'Cost model'!N888,'Cost model'!M888)</f>
        <v>50</v>
      </c>
      <c r="K5098" s="14" t="n">
        <f aca="false">J5098-H5098</f>
        <v>12.26</v>
      </c>
      <c r="L5098" s="14" t="n">
        <f aca="false">G5098-H5098</f>
        <v>-25.24</v>
      </c>
    </row>
    <row r="5099" customFormat="false" ht="15" hidden="false" customHeight="false" outlineLevel="0" collapsed="false">
      <c r="A5099" s="2" t="s">
        <v>165</v>
      </c>
      <c r="B5099" s="2" t="s">
        <v>165</v>
      </c>
      <c r="C5099" s="2" t="s">
        <v>50</v>
      </c>
      <c r="D5099" s="2" t="s">
        <v>10</v>
      </c>
      <c r="E5099" s="2" t="s">
        <v>76</v>
      </c>
      <c r="F5099" s="2" t="s">
        <v>1145</v>
      </c>
      <c r="G5099" s="14" t="n">
        <v>17.5</v>
      </c>
      <c r="H5099" s="14" t="n">
        <v>14.08</v>
      </c>
      <c r="I5099" s="14" t="n">
        <v>17.5</v>
      </c>
      <c r="J5099" s="22" t="n">
        <f aca="false">IF(E5099="Priority",'Cost model'!N508,'Cost model'!M508)</f>
        <v>17.5</v>
      </c>
      <c r="K5099" s="14" t="n">
        <f aca="false">J5099-H5099</f>
        <v>3.42</v>
      </c>
      <c r="L5099" s="14" t="n">
        <f aca="false">G5099-H5099</f>
        <v>3.42</v>
      </c>
    </row>
    <row r="5100" customFormat="false" ht="15" hidden="false" customHeight="false" outlineLevel="0" collapsed="false">
      <c r="A5100" s="2" t="s">
        <v>184</v>
      </c>
      <c r="B5100" s="2" t="s">
        <v>184</v>
      </c>
      <c r="C5100" s="2" t="s">
        <v>48</v>
      </c>
      <c r="D5100" s="2" t="s">
        <v>10</v>
      </c>
      <c r="E5100" s="2" t="s">
        <v>76</v>
      </c>
      <c r="F5100" s="2" t="s">
        <v>1145</v>
      </c>
      <c r="G5100" s="14" t="n">
        <v>9.5</v>
      </c>
      <c r="H5100" s="14" t="n">
        <v>7.72</v>
      </c>
      <c r="I5100" s="14" t="n">
        <v>9.5</v>
      </c>
      <c r="J5100" s="22" t="n">
        <f aca="false">IF(E5100="Priority",'Cost model'!N200,'Cost model'!M200)</f>
        <v>7.5</v>
      </c>
      <c r="K5100" s="14" t="n">
        <f aca="false">J5100-H5100</f>
        <v>-0.22</v>
      </c>
      <c r="L5100" s="14" t="n">
        <f aca="false">G5100-H5100</f>
        <v>1.78</v>
      </c>
    </row>
    <row r="5101" customFormat="false" ht="15" hidden="false" customHeight="false" outlineLevel="0" collapsed="false">
      <c r="A5101" s="2" t="s">
        <v>184</v>
      </c>
      <c r="B5101" s="2" t="s">
        <v>126</v>
      </c>
      <c r="C5101" s="2" t="s">
        <v>50</v>
      </c>
      <c r="D5101" s="2" t="s">
        <v>10</v>
      </c>
      <c r="E5101" s="2" t="s">
        <v>76</v>
      </c>
      <c r="F5101" s="2" t="s">
        <v>1146</v>
      </c>
      <c r="G5101" s="14" t="n">
        <v>17.5</v>
      </c>
      <c r="H5101" s="14" t="n">
        <v>28.56</v>
      </c>
      <c r="I5101" s="14" t="n">
        <v>17.5</v>
      </c>
      <c r="J5101" s="22" t="n">
        <f aca="false">IF(E5101="Priority",'Cost model'!N130,'Cost model'!M130)</f>
        <v>18.5</v>
      </c>
      <c r="K5101" s="14" t="n">
        <f aca="false">J5101-H5101</f>
        <v>-10.06</v>
      </c>
      <c r="L5101" s="14" t="n">
        <f aca="false">G5101-H5101</f>
        <v>-11.06</v>
      </c>
    </row>
    <row r="5102" customFormat="false" ht="15" hidden="false" customHeight="false" outlineLevel="0" collapsed="false">
      <c r="A5102" s="2" t="s">
        <v>184</v>
      </c>
      <c r="B5102" s="2" t="s">
        <v>184</v>
      </c>
      <c r="C5102" s="2" t="s">
        <v>49</v>
      </c>
      <c r="D5102" s="2" t="s">
        <v>10</v>
      </c>
      <c r="E5102" s="2" t="s">
        <v>76</v>
      </c>
      <c r="F5102" s="2" t="s">
        <v>1145</v>
      </c>
      <c r="G5102" s="14" t="n">
        <v>12.5</v>
      </c>
      <c r="H5102" s="14" t="n">
        <v>12.09</v>
      </c>
      <c r="I5102" s="14" t="n">
        <v>12.5</v>
      </c>
      <c r="J5102" s="22" t="n">
        <f aca="false">IF(E5102="Priority",'Cost model'!N201,'Cost model'!M201)</f>
        <v>12.5</v>
      </c>
      <c r="K5102" s="14" t="n">
        <f aca="false">J5102-H5102</f>
        <v>0.41</v>
      </c>
      <c r="L5102" s="14" t="n">
        <f aca="false">G5102-H5102</f>
        <v>0.41</v>
      </c>
    </row>
    <row r="5103" customFormat="false" ht="15" hidden="false" customHeight="false" outlineLevel="0" collapsed="false">
      <c r="A5103" s="2" t="s">
        <v>184</v>
      </c>
      <c r="B5103" s="2" t="s">
        <v>184</v>
      </c>
      <c r="C5103" s="2" t="s">
        <v>50</v>
      </c>
      <c r="D5103" s="2" t="s">
        <v>12</v>
      </c>
      <c r="E5103" s="2" t="s">
        <v>76</v>
      </c>
      <c r="F5103" s="2" t="s">
        <v>1145</v>
      </c>
      <c r="G5103" s="14" t="n">
        <v>19.5</v>
      </c>
      <c r="H5103" s="14" t="n">
        <v>58.47</v>
      </c>
      <c r="I5103" s="14" t="n">
        <v>19.5</v>
      </c>
      <c r="J5103" s="22" t="n">
        <f aca="false">IF(E5103="Priority",'Cost model'!N205,'Cost model'!M205)</f>
        <v>50</v>
      </c>
      <c r="K5103" s="14" t="n">
        <f aca="false">J5103-H5103</f>
        <v>-8.47</v>
      </c>
      <c r="L5103" s="14" t="n">
        <f aca="false">G5103-H5103</f>
        <v>-38.97</v>
      </c>
    </row>
    <row r="5104" customFormat="false" ht="15" hidden="false" customHeight="false" outlineLevel="0" collapsed="false">
      <c r="A5104" s="2" t="s">
        <v>126</v>
      </c>
      <c r="B5104" s="2" t="s">
        <v>221</v>
      </c>
      <c r="C5104" s="2" t="s">
        <v>49</v>
      </c>
      <c r="D5104" s="2" t="s">
        <v>10</v>
      </c>
      <c r="E5104" s="2" t="s">
        <v>76</v>
      </c>
      <c r="F5104" s="2" t="s">
        <v>1146</v>
      </c>
      <c r="G5104" s="14" t="n">
        <v>12.5</v>
      </c>
      <c r="H5104" s="14" t="n">
        <v>11.58</v>
      </c>
      <c r="I5104" s="14" t="n">
        <v>19.5</v>
      </c>
      <c r="J5104" s="22" t="n">
        <f aca="false">IF(E5104="Priority",'Cost model'!N453,'Cost model'!M453)</f>
        <v>16.5</v>
      </c>
      <c r="K5104" s="14" t="n">
        <f aca="false">J5104-H5104</f>
        <v>4.92</v>
      </c>
      <c r="L5104" s="14" t="n">
        <f aca="false">G5104-H5104</f>
        <v>0.92</v>
      </c>
    </row>
    <row r="5105" customFormat="false" ht="15" hidden="false" customHeight="false" outlineLevel="0" collapsed="false">
      <c r="A5105" s="2" t="s">
        <v>184</v>
      </c>
      <c r="B5105" s="2" t="s">
        <v>184</v>
      </c>
      <c r="C5105" s="2" t="s">
        <v>49</v>
      </c>
      <c r="D5105" s="2" t="s">
        <v>10</v>
      </c>
      <c r="E5105" s="2" t="s">
        <v>76</v>
      </c>
      <c r="F5105" s="2" t="s">
        <v>1145</v>
      </c>
      <c r="G5105" s="14" t="n">
        <v>12.5</v>
      </c>
      <c r="H5105" s="14" t="n">
        <v>20.55</v>
      </c>
      <c r="I5105" s="14"/>
      <c r="J5105" s="22" t="n">
        <f aca="false">IF(E5105="Priority",'Cost model'!N201,'Cost model'!M201)</f>
        <v>12.5</v>
      </c>
      <c r="K5105" s="14" t="n">
        <f aca="false">J5105-H5105</f>
        <v>-8.05</v>
      </c>
      <c r="L5105" s="14" t="n">
        <f aca="false">G5105-H5105</f>
        <v>-8.05</v>
      </c>
    </row>
    <row r="5106" customFormat="false" ht="15" hidden="false" customHeight="false" outlineLevel="0" collapsed="false">
      <c r="A5106" s="2" t="s">
        <v>126</v>
      </c>
      <c r="B5106" s="2" t="s">
        <v>126</v>
      </c>
      <c r="C5106" s="2" t="s">
        <v>50</v>
      </c>
      <c r="D5106" s="2" t="s">
        <v>10</v>
      </c>
      <c r="E5106" s="2" t="s">
        <v>85</v>
      </c>
      <c r="F5106" s="2" t="s">
        <v>1145</v>
      </c>
      <c r="G5106" s="14" t="n">
        <v>24.5</v>
      </c>
      <c r="H5106" s="14" t="n">
        <v>16.84</v>
      </c>
      <c r="I5106" s="14" t="n">
        <v>24.5</v>
      </c>
      <c r="J5106" s="22" t="n">
        <f aca="false">IF(E5106="Priority",'Cost model'!N382,'Cost model'!M382)</f>
        <v>25.5</v>
      </c>
      <c r="K5106" s="14" t="n">
        <f aca="false">J5106-H5106</f>
        <v>8.66</v>
      </c>
      <c r="L5106" s="14" t="n">
        <f aca="false">G5106-H5106</f>
        <v>7.66</v>
      </c>
    </row>
    <row r="5107" customFormat="false" ht="15" hidden="false" customHeight="false" outlineLevel="0" collapsed="false">
      <c r="A5107" s="2" t="s">
        <v>126</v>
      </c>
      <c r="B5107" s="2" t="s">
        <v>146</v>
      </c>
      <c r="C5107" s="2" t="s">
        <v>49</v>
      </c>
      <c r="D5107" s="2" t="s">
        <v>10</v>
      </c>
      <c r="E5107" s="2" t="s">
        <v>76</v>
      </c>
      <c r="F5107" s="2" t="s">
        <v>1146</v>
      </c>
      <c r="G5107" s="14" t="n">
        <v>17.5</v>
      </c>
      <c r="H5107" s="14" t="n">
        <v>22</v>
      </c>
      <c r="I5107" s="14" t="n">
        <v>14.5</v>
      </c>
      <c r="J5107" s="22" t="n">
        <f aca="false">IF(E5107="Priority",'Cost model'!N399,'Cost model'!M399)</f>
        <v>17.5</v>
      </c>
      <c r="K5107" s="14" t="n">
        <f aca="false">J5107-H5107</f>
        <v>-4.5</v>
      </c>
      <c r="L5107" s="14" t="n">
        <f aca="false">G5107-H5107</f>
        <v>-4.5</v>
      </c>
    </row>
    <row r="5108" customFormat="false" ht="15" hidden="false" customHeight="false" outlineLevel="0" collapsed="false">
      <c r="A5108" s="2" t="s">
        <v>184</v>
      </c>
      <c r="B5108" s="2" t="s">
        <v>184</v>
      </c>
      <c r="C5108" s="2" t="s">
        <v>49</v>
      </c>
      <c r="D5108" s="2" t="s">
        <v>12</v>
      </c>
      <c r="E5108" s="2" t="s">
        <v>76</v>
      </c>
      <c r="F5108" s="2" t="s">
        <v>1145</v>
      </c>
      <c r="G5108" s="14" t="n">
        <v>12.5</v>
      </c>
      <c r="H5108" s="14" t="n">
        <v>42.61</v>
      </c>
      <c r="I5108" s="14"/>
      <c r="J5108" s="22" t="n">
        <f aca="false">IF(E5108="Priority",'Cost model'!N204,'Cost model'!M204)</f>
        <v>45</v>
      </c>
      <c r="K5108" s="14" t="n">
        <f aca="false">J5108-H5108</f>
        <v>2.39</v>
      </c>
      <c r="L5108" s="14" t="n">
        <f aca="false">G5108-H5108</f>
        <v>-30.11</v>
      </c>
    </row>
    <row r="5109" customFormat="false" ht="15" hidden="false" customHeight="false" outlineLevel="0" collapsed="false">
      <c r="A5109" s="2" t="s">
        <v>221</v>
      </c>
      <c r="B5109" s="2" t="s">
        <v>165</v>
      </c>
      <c r="C5109" s="2" t="s">
        <v>48</v>
      </c>
      <c r="D5109" s="2" t="s">
        <v>10</v>
      </c>
      <c r="E5109" s="2" t="s">
        <v>76</v>
      </c>
      <c r="F5109" s="2" t="s">
        <v>1146</v>
      </c>
      <c r="G5109" s="14" t="n">
        <v>14.5</v>
      </c>
      <c r="H5109" s="14" t="n">
        <v>25.6</v>
      </c>
      <c r="I5109" s="14"/>
      <c r="J5109" s="22" t="n">
        <f aca="false">IF(E5109="Priority",'Cost model'!N740,'Cost model'!M740)</f>
        <v>14.5</v>
      </c>
      <c r="K5109" s="14" t="n">
        <f aca="false">J5109-H5109</f>
        <v>-11.1</v>
      </c>
      <c r="L5109" s="14" t="n">
        <f aca="false">G5109-H5109</f>
        <v>-11.1</v>
      </c>
    </row>
    <row r="5110" customFormat="false" ht="15" hidden="false" customHeight="false" outlineLevel="0" collapsed="false">
      <c r="A5110" s="2" t="s">
        <v>146</v>
      </c>
      <c r="B5110" s="2" t="s">
        <v>146</v>
      </c>
      <c r="C5110" s="2" t="s">
        <v>49</v>
      </c>
      <c r="D5110" s="2" t="s">
        <v>13</v>
      </c>
      <c r="E5110" s="2" t="s">
        <v>76</v>
      </c>
      <c r="F5110" s="2" t="s">
        <v>1145</v>
      </c>
      <c r="G5110" s="14" t="n">
        <v>24.5</v>
      </c>
      <c r="H5110" s="14" t="n">
        <v>288.64</v>
      </c>
      <c r="I5110" s="14" t="n">
        <v>24.5</v>
      </c>
      <c r="J5110" s="22" t="n">
        <f aca="false">IF(E5110="Priority",'Cost model'!N765,'Cost model'!M765)</f>
        <v>70</v>
      </c>
      <c r="K5110" s="14" t="n">
        <f aca="false">J5110-H5110</f>
        <v>-218.64</v>
      </c>
      <c r="L5110" s="14" t="n">
        <f aca="false">G5110-H5110</f>
        <v>-264.14</v>
      </c>
    </row>
    <row r="5111" customFormat="false" ht="15" hidden="false" customHeight="false" outlineLevel="0" collapsed="false">
      <c r="A5111" s="2" t="s">
        <v>126</v>
      </c>
      <c r="B5111" s="2" t="s">
        <v>126</v>
      </c>
      <c r="C5111" s="2" t="s">
        <v>50</v>
      </c>
      <c r="D5111" s="2" t="s">
        <v>10</v>
      </c>
      <c r="E5111" s="2" t="s">
        <v>76</v>
      </c>
      <c r="F5111" s="2" t="s">
        <v>1145</v>
      </c>
      <c r="G5111" s="14" t="n">
        <v>17.5</v>
      </c>
      <c r="H5111" s="14" t="n">
        <v>17.31</v>
      </c>
      <c r="I5111" s="14" t="n">
        <v>17.5</v>
      </c>
      <c r="J5111" s="22" t="n">
        <f aca="false">IF(E5111="Priority",'Cost model'!N382,'Cost model'!M382)</f>
        <v>18.5</v>
      </c>
      <c r="K5111" s="14" t="n">
        <f aca="false">J5111-H5111</f>
        <v>1.19</v>
      </c>
      <c r="L5111" s="14" t="n">
        <f aca="false">G5111-H5111</f>
        <v>0.190000000000001</v>
      </c>
    </row>
    <row r="5112" customFormat="false" ht="15" hidden="false" customHeight="false" outlineLevel="0" collapsed="false">
      <c r="A5112" s="2" t="s">
        <v>240</v>
      </c>
      <c r="B5112" s="2" t="s">
        <v>165</v>
      </c>
      <c r="C5112" s="2" t="s">
        <v>49</v>
      </c>
      <c r="D5112" s="2" t="s">
        <v>13</v>
      </c>
      <c r="E5112" s="2" t="s">
        <v>76</v>
      </c>
      <c r="F5112" s="2" t="s">
        <v>1146</v>
      </c>
      <c r="G5112" s="14" t="n">
        <v>24.5</v>
      </c>
      <c r="H5112" s="14" t="n">
        <v>133.61</v>
      </c>
      <c r="I5112" s="14" t="n">
        <v>34.5</v>
      </c>
      <c r="J5112" s="22" t="n">
        <f aca="false">IF(E5112="Priority",'Cost model'!N909,'Cost model'!M909)</f>
        <v>105</v>
      </c>
      <c r="K5112" s="14" t="n">
        <f aca="false">J5112-H5112</f>
        <v>-28.61</v>
      </c>
      <c r="L5112" s="14" t="n">
        <f aca="false">G5112-H5112</f>
        <v>-109.11</v>
      </c>
    </row>
    <row r="5113" customFormat="false" ht="15" hidden="false" customHeight="false" outlineLevel="0" collapsed="false">
      <c r="A5113" s="2" t="s">
        <v>126</v>
      </c>
      <c r="B5113" s="2" t="s">
        <v>126</v>
      </c>
      <c r="C5113" s="2" t="s">
        <v>48</v>
      </c>
      <c r="D5113" s="2" t="s">
        <v>10</v>
      </c>
      <c r="E5113" s="2" t="s">
        <v>76</v>
      </c>
      <c r="F5113" s="2" t="s">
        <v>1145</v>
      </c>
      <c r="G5113" s="14" t="n">
        <v>9.5</v>
      </c>
      <c r="H5113" s="14" t="n">
        <v>7.72</v>
      </c>
      <c r="I5113" s="14" t="n">
        <v>9.5</v>
      </c>
      <c r="J5113" s="22" t="n">
        <f aca="false">IF(E5113="Priority",'Cost model'!N380,'Cost model'!M380)</f>
        <v>8.5</v>
      </c>
      <c r="K5113" s="14" t="n">
        <f aca="false">J5113-H5113</f>
        <v>0.78</v>
      </c>
      <c r="L5113" s="14" t="n">
        <f aca="false">G5113-H5113</f>
        <v>1.78</v>
      </c>
    </row>
    <row r="5114" customFormat="false" ht="15" hidden="false" customHeight="false" outlineLevel="0" collapsed="false">
      <c r="A5114" s="2" t="s">
        <v>126</v>
      </c>
      <c r="B5114" s="2" t="s">
        <v>126</v>
      </c>
      <c r="C5114" s="2" t="s">
        <v>49</v>
      </c>
      <c r="D5114" s="2" t="s">
        <v>10</v>
      </c>
      <c r="E5114" s="2" t="s">
        <v>76</v>
      </c>
      <c r="F5114" s="2" t="s">
        <v>1145</v>
      </c>
      <c r="G5114" s="14" t="n">
        <v>12.5</v>
      </c>
      <c r="H5114" s="14" t="n">
        <v>17.69</v>
      </c>
      <c r="I5114" s="14" t="n">
        <v>12.5</v>
      </c>
      <c r="J5114" s="22" t="n">
        <f aca="false">IF(E5114="Priority",'Cost model'!N381,'Cost model'!M381)</f>
        <v>14.5</v>
      </c>
      <c r="K5114" s="14" t="n">
        <f aca="false">J5114-H5114</f>
        <v>-3.19</v>
      </c>
      <c r="L5114" s="14" t="n">
        <f aca="false">G5114-H5114</f>
        <v>-5.19</v>
      </c>
    </row>
    <row r="5115" customFormat="false" ht="15" hidden="false" customHeight="false" outlineLevel="0" collapsed="false">
      <c r="A5115" s="2" t="s">
        <v>126</v>
      </c>
      <c r="B5115" s="2" t="s">
        <v>184</v>
      </c>
      <c r="C5115" s="2" t="s">
        <v>50</v>
      </c>
      <c r="D5115" s="2" t="s">
        <v>12</v>
      </c>
      <c r="E5115" s="2" t="s">
        <v>76</v>
      </c>
      <c r="F5115" s="2" t="s">
        <v>1146</v>
      </c>
      <c r="G5115" s="14" t="n">
        <v>19.5</v>
      </c>
      <c r="H5115" s="14" t="n">
        <v>71.78</v>
      </c>
      <c r="I5115" s="14" t="n">
        <v>19.5</v>
      </c>
      <c r="J5115" s="22" t="n">
        <f aca="false">IF(E5115="Priority",'Cost model'!N439,'Cost model'!M439)</f>
        <v>60</v>
      </c>
      <c r="K5115" s="14" t="n">
        <f aca="false">J5115-H5115</f>
        <v>-11.78</v>
      </c>
      <c r="L5115" s="14" t="n">
        <f aca="false">G5115-H5115</f>
        <v>-52.28</v>
      </c>
    </row>
    <row r="5116" customFormat="false" ht="15" hidden="false" customHeight="false" outlineLevel="0" collapsed="false">
      <c r="A5116" s="2" t="s">
        <v>146</v>
      </c>
      <c r="B5116" s="2" t="s">
        <v>165</v>
      </c>
      <c r="C5116" s="2" t="s">
        <v>48</v>
      </c>
      <c r="D5116" s="2" t="s">
        <v>12</v>
      </c>
      <c r="E5116" s="2" t="s">
        <v>76</v>
      </c>
      <c r="F5116" s="2" t="s">
        <v>1146</v>
      </c>
      <c r="G5116" s="14" t="n">
        <v>9.5</v>
      </c>
      <c r="H5116" s="14" t="n">
        <v>80.86</v>
      </c>
      <c r="I5116" s="14" t="n">
        <v>19.5</v>
      </c>
      <c r="J5116" s="22" t="n">
        <f aca="false">IF(E5116="Priority",'Cost model'!N779,'Cost model'!M779)</f>
        <v>50</v>
      </c>
      <c r="K5116" s="14" t="n">
        <f aca="false">J5116-H5116</f>
        <v>-30.86</v>
      </c>
      <c r="L5116" s="14" t="n">
        <f aca="false">G5116-H5116</f>
        <v>-71.36</v>
      </c>
    </row>
    <row r="5117" customFormat="false" ht="15" hidden="false" customHeight="false" outlineLevel="0" collapsed="false">
      <c r="A5117" s="2" t="s">
        <v>184</v>
      </c>
      <c r="B5117" s="2" t="s">
        <v>184</v>
      </c>
      <c r="C5117" s="2" t="s">
        <v>48</v>
      </c>
      <c r="D5117" s="2" t="s">
        <v>12</v>
      </c>
      <c r="E5117" s="2" t="s">
        <v>76</v>
      </c>
      <c r="F5117" s="2" t="s">
        <v>1145</v>
      </c>
      <c r="G5117" s="14" t="n">
        <v>9.5</v>
      </c>
      <c r="H5117" s="14" t="n">
        <v>60.68</v>
      </c>
      <c r="I5117" s="14" t="n">
        <v>9.5</v>
      </c>
      <c r="J5117" s="22" t="n">
        <f aca="false">IF(E5117="Priority",'Cost model'!N203,'Cost model'!M203)</f>
        <v>26.5</v>
      </c>
      <c r="K5117" s="14" t="n">
        <f aca="false">J5117-H5117</f>
        <v>-34.18</v>
      </c>
      <c r="L5117" s="14" t="n">
        <f aca="false">G5117-H5117</f>
        <v>-51.18</v>
      </c>
    </row>
    <row r="5118" customFormat="false" ht="15" hidden="false" customHeight="false" outlineLevel="0" collapsed="false">
      <c r="A5118" s="2" t="s">
        <v>184</v>
      </c>
      <c r="B5118" s="2" t="s">
        <v>184</v>
      </c>
      <c r="C5118" s="2" t="s">
        <v>49</v>
      </c>
      <c r="D5118" s="2" t="s">
        <v>12</v>
      </c>
      <c r="E5118" s="2" t="s">
        <v>76</v>
      </c>
      <c r="F5118" s="2" t="s">
        <v>1145</v>
      </c>
      <c r="G5118" s="14" t="n">
        <v>12.5</v>
      </c>
      <c r="H5118" s="14" t="n">
        <v>30.43</v>
      </c>
      <c r="I5118" s="14"/>
      <c r="J5118" s="22" t="n">
        <f aca="false">IF(E5118="Priority",'Cost model'!N204,'Cost model'!M204)</f>
        <v>45</v>
      </c>
      <c r="K5118" s="14" t="n">
        <f aca="false">J5118-H5118</f>
        <v>14.57</v>
      </c>
      <c r="L5118" s="14" t="n">
        <f aca="false">G5118-H5118</f>
        <v>-17.93</v>
      </c>
    </row>
    <row r="5119" customFormat="false" ht="15" hidden="false" customHeight="false" outlineLevel="0" collapsed="false">
      <c r="A5119" s="2" t="s">
        <v>126</v>
      </c>
      <c r="B5119" s="2" t="s">
        <v>126</v>
      </c>
      <c r="C5119" s="2" t="s">
        <v>50</v>
      </c>
      <c r="D5119" s="2" t="s">
        <v>12</v>
      </c>
      <c r="E5119" s="2" t="s">
        <v>76</v>
      </c>
      <c r="F5119" s="2" t="s">
        <v>1145</v>
      </c>
      <c r="G5119" s="14" t="n">
        <v>19.5</v>
      </c>
      <c r="H5119" s="14" t="n">
        <v>41.18</v>
      </c>
      <c r="I5119" s="14" t="n">
        <v>19.5</v>
      </c>
      <c r="J5119" s="22" t="n">
        <f aca="false">IF(E5119="Priority",'Cost model'!N385,'Cost model'!M385)</f>
        <v>55</v>
      </c>
      <c r="K5119" s="14" t="n">
        <f aca="false">J5119-H5119</f>
        <v>13.82</v>
      </c>
      <c r="L5119" s="14" t="n">
        <f aca="false">G5119-H5119</f>
        <v>-21.68</v>
      </c>
    </row>
    <row r="5120" customFormat="false" ht="15" hidden="false" customHeight="false" outlineLevel="0" collapsed="false">
      <c r="A5120" s="2" t="s">
        <v>146</v>
      </c>
      <c r="B5120" s="2" t="s">
        <v>146</v>
      </c>
      <c r="C5120" s="2" t="s">
        <v>50</v>
      </c>
      <c r="D5120" s="2" t="s">
        <v>10</v>
      </c>
      <c r="E5120" s="2" t="s">
        <v>76</v>
      </c>
      <c r="F5120" s="2" t="s">
        <v>1145</v>
      </c>
      <c r="G5120" s="14" t="n">
        <v>9.5</v>
      </c>
      <c r="H5120" s="14" t="n">
        <v>11.51</v>
      </c>
      <c r="I5120" s="14" t="n">
        <v>17.5</v>
      </c>
      <c r="J5120" s="22" t="n">
        <f aca="false">IF(E5120="Priority",'Cost model'!N760,'Cost model'!M760)</f>
        <v>18.5</v>
      </c>
      <c r="K5120" s="14" t="n">
        <f aca="false">J5120-H5120</f>
        <v>6.99</v>
      </c>
      <c r="L5120" s="14" t="n">
        <f aca="false">G5120-H5120</f>
        <v>-2.01</v>
      </c>
    </row>
    <row r="5121" customFormat="false" ht="15" hidden="false" customHeight="false" outlineLevel="0" collapsed="false">
      <c r="A5121" s="2" t="s">
        <v>184</v>
      </c>
      <c r="B5121" s="2" t="s">
        <v>184</v>
      </c>
      <c r="C5121" s="2" t="s">
        <v>49</v>
      </c>
      <c r="D5121" s="2" t="s">
        <v>10</v>
      </c>
      <c r="E5121" s="2" t="s">
        <v>76</v>
      </c>
      <c r="F5121" s="2" t="s">
        <v>1145</v>
      </c>
      <c r="G5121" s="14" t="n">
        <v>17.5</v>
      </c>
      <c r="H5121" s="14" t="n">
        <v>21.76</v>
      </c>
      <c r="I5121" s="14"/>
      <c r="J5121" s="22" t="n">
        <f aca="false">IF(E5121="Priority",'Cost model'!N201,'Cost model'!M201)</f>
        <v>12.5</v>
      </c>
      <c r="K5121" s="14" t="n">
        <f aca="false">J5121-H5121</f>
        <v>-9.26</v>
      </c>
      <c r="L5121" s="14" t="n">
        <f aca="false">G5121-H5121</f>
        <v>-4.26</v>
      </c>
    </row>
    <row r="5122" customFormat="false" ht="15" hidden="false" customHeight="false" outlineLevel="0" collapsed="false">
      <c r="A5122" s="2" t="s">
        <v>126</v>
      </c>
      <c r="B5122" s="2" t="s">
        <v>126</v>
      </c>
      <c r="C5122" s="2" t="s">
        <v>49</v>
      </c>
      <c r="D5122" s="2" t="s">
        <v>10</v>
      </c>
      <c r="E5122" s="2" t="s">
        <v>76</v>
      </c>
      <c r="F5122" s="2" t="s">
        <v>1145</v>
      </c>
      <c r="G5122" s="14" t="n">
        <v>12.5</v>
      </c>
      <c r="H5122" s="14" t="n">
        <v>9.68</v>
      </c>
      <c r="I5122" s="14" t="n">
        <v>12.5</v>
      </c>
      <c r="J5122" s="22" t="n">
        <f aca="false">IF(E5122="Priority",'Cost model'!N381,'Cost model'!M381)</f>
        <v>14.5</v>
      </c>
      <c r="K5122" s="14" t="n">
        <f aca="false">J5122-H5122</f>
        <v>4.82</v>
      </c>
      <c r="L5122" s="14" t="n">
        <f aca="false">G5122-H5122</f>
        <v>2.82</v>
      </c>
    </row>
    <row r="5123" customFormat="false" ht="15" hidden="false" customHeight="false" outlineLevel="0" collapsed="false">
      <c r="A5123" s="2" t="s">
        <v>165</v>
      </c>
      <c r="B5123" s="2" t="s">
        <v>165</v>
      </c>
      <c r="C5123" s="2" t="s">
        <v>48</v>
      </c>
      <c r="D5123" s="2" t="s">
        <v>10</v>
      </c>
      <c r="E5123" s="2" t="s">
        <v>76</v>
      </c>
      <c r="F5123" s="2" t="s">
        <v>1145</v>
      </c>
      <c r="G5123" s="14" t="n">
        <v>9.5</v>
      </c>
      <c r="H5123" s="14" t="n">
        <v>8.01</v>
      </c>
      <c r="I5123" s="14" t="n">
        <v>9.5</v>
      </c>
      <c r="J5123" s="22" t="n">
        <f aca="false">IF(E5123="Priority",'Cost model'!N506,'Cost model'!M506)</f>
        <v>7.5</v>
      </c>
      <c r="K5123" s="14" t="n">
        <f aca="false">J5123-H5123</f>
        <v>-0.51</v>
      </c>
      <c r="L5123" s="14" t="n">
        <f aca="false">G5123-H5123</f>
        <v>1.49</v>
      </c>
    </row>
    <row r="5124" customFormat="false" ht="15" hidden="false" customHeight="false" outlineLevel="0" collapsed="false">
      <c r="A5124" s="2" t="s">
        <v>126</v>
      </c>
      <c r="B5124" s="2" t="s">
        <v>126</v>
      </c>
      <c r="C5124" s="2" t="s">
        <v>49</v>
      </c>
      <c r="D5124" s="2" t="s">
        <v>12</v>
      </c>
      <c r="E5124" s="2" t="s">
        <v>76</v>
      </c>
      <c r="F5124" s="2" t="s">
        <v>1145</v>
      </c>
      <c r="G5124" s="14" t="n">
        <v>12.5</v>
      </c>
      <c r="H5124" s="14" t="n">
        <v>12.23</v>
      </c>
      <c r="I5124" s="14" t="n">
        <v>12.5</v>
      </c>
      <c r="J5124" s="22" t="n">
        <f aca="false">IF(E5124="Priority",'Cost model'!N384,'Cost model'!M384)</f>
        <v>45</v>
      </c>
      <c r="K5124" s="14" t="n">
        <f aca="false">J5124-H5124</f>
        <v>32.77</v>
      </c>
      <c r="L5124" s="14" t="n">
        <f aca="false">G5124-H5124</f>
        <v>0.27</v>
      </c>
    </row>
    <row r="5125" customFormat="false" ht="15" hidden="false" customHeight="false" outlineLevel="0" collapsed="false">
      <c r="A5125" s="2" t="s">
        <v>126</v>
      </c>
      <c r="B5125" s="2" t="s">
        <v>126</v>
      </c>
      <c r="C5125" s="2" t="s">
        <v>49</v>
      </c>
      <c r="D5125" s="2" t="s">
        <v>10</v>
      </c>
      <c r="E5125" s="2" t="s">
        <v>76</v>
      </c>
      <c r="F5125" s="2" t="s">
        <v>1145</v>
      </c>
      <c r="G5125" s="14" t="n">
        <v>12.5</v>
      </c>
      <c r="H5125" s="14" t="n">
        <v>10.1</v>
      </c>
      <c r="I5125" s="14" t="n">
        <v>12.5</v>
      </c>
      <c r="J5125" s="22" t="n">
        <f aca="false">IF(E5125="Priority",'Cost model'!N381,'Cost model'!M381)</f>
        <v>14.5</v>
      </c>
      <c r="K5125" s="14" t="n">
        <f aca="false">J5125-H5125</f>
        <v>4.4</v>
      </c>
      <c r="L5125" s="14" t="n">
        <f aca="false">G5125-H5125</f>
        <v>2.4</v>
      </c>
    </row>
    <row r="5126" customFormat="false" ht="15" hidden="false" customHeight="false" outlineLevel="0" collapsed="false">
      <c r="A5126" s="2" t="s">
        <v>184</v>
      </c>
      <c r="B5126" s="2" t="s">
        <v>165</v>
      </c>
      <c r="C5126" s="2" t="s">
        <v>50</v>
      </c>
      <c r="D5126" s="2" t="s">
        <v>10</v>
      </c>
      <c r="E5126" s="2" t="s">
        <v>76</v>
      </c>
      <c r="F5126" s="2" t="s">
        <v>1146</v>
      </c>
      <c r="G5126" s="14" t="n">
        <v>17.5</v>
      </c>
      <c r="H5126" s="14" t="n">
        <v>20.11</v>
      </c>
      <c r="I5126" s="14" t="n">
        <v>17.5</v>
      </c>
      <c r="J5126" s="22" t="n">
        <f aca="false">IF(E5126="Priority",'Cost model'!N166,'Cost model'!M166)</f>
        <v>18.5</v>
      </c>
      <c r="K5126" s="14" t="n">
        <f aca="false">J5126-H5126</f>
        <v>-1.61</v>
      </c>
      <c r="L5126" s="14" t="n">
        <f aca="false">G5126-H5126</f>
        <v>-2.61</v>
      </c>
    </row>
    <row r="5127" customFormat="false" ht="15" hidden="false" customHeight="false" outlineLevel="0" collapsed="false">
      <c r="A5127" s="2" t="s">
        <v>126</v>
      </c>
      <c r="B5127" s="2" t="s">
        <v>126</v>
      </c>
      <c r="C5127" s="2" t="s">
        <v>48</v>
      </c>
      <c r="D5127" s="2" t="s">
        <v>10</v>
      </c>
      <c r="E5127" s="2" t="s">
        <v>76</v>
      </c>
      <c r="F5127" s="2" t="s">
        <v>1145</v>
      </c>
      <c r="G5127" s="14" t="n">
        <v>9.5</v>
      </c>
      <c r="H5127" s="14" t="n">
        <v>6.2</v>
      </c>
      <c r="I5127" s="14" t="n">
        <v>9.5</v>
      </c>
      <c r="J5127" s="22" t="n">
        <f aca="false">IF(E5127="Priority",'Cost model'!N380,'Cost model'!M380)</f>
        <v>8.5</v>
      </c>
      <c r="K5127" s="14" t="n">
        <f aca="false">J5127-H5127</f>
        <v>2.3</v>
      </c>
      <c r="L5127" s="14" t="n">
        <f aca="false">G5127-H5127</f>
        <v>3.3</v>
      </c>
    </row>
    <row r="5128" customFormat="false" ht="15" hidden="false" customHeight="false" outlineLevel="0" collapsed="false">
      <c r="A5128" s="2" t="s">
        <v>146</v>
      </c>
      <c r="B5128" s="2" t="s">
        <v>146</v>
      </c>
      <c r="C5128" s="2" t="s">
        <v>48</v>
      </c>
      <c r="D5128" s="2" t="s">
        <v>12</v>
      </c>
      <c r="E5128" s="2" t="s">
        <v>76</v>
      </c>
      <c r="F5128" s="2" t="s">
        <v>1145</v>
      </c>
      <c r="G5128" s="14" t="n">
        <v>14.5</v>
      </c>
      <c r="H5128" s="14" t="n">
        <v>24.93</v>
      </c>
      <c r="I5128" s="14" t="n">
        <v>9.5</v>
      </c>
      <c r="J5128" s="22" t="n">
        <f aca="false">IF(E5128="Priority",'Cost model'!N761,'Cost model'!M761)</f>
        <v>35</v>
      </c>
      <c r="K5128" s="14" t="n">
        <f aca="false">J5128-H5128</f>
        <v>10.07</v>
      </c>
      <c r="L5128" s="14" t="n">
        <f aca="false">G5128-H5128</f>
        <v>-10.43</v>
      </c>
    </row>
    <row r="5129" customFormat="false" ht="15" hidden="false" customHeight="false" outlineLevel="0" collapsed="false">
      <c r="A5129" s="2" t="s">
        <v>126</v>
      </c>
      <c r="B5129" s="2" t="s">
        <v>146</v>
      </c>
      <c r="C5129" s="2" t="s">
        <v>49</v>
      </c>
      <c r="D5129" s="2" t="s">
        <v>10</v>
      </c>
      <c r="E5129" s="2" t="s">
        <v>76</v>
      </c>
      <c r="F5129" s="2" t="s">
        <v>1146</v>
      </c>
      <c r="G5129" s="14" t="n">
        <v>12.5</v>
      </c>
      <c r="H5129" s="14" t="n">
        <v>15.16</v>
      </c>
      <c r="I5129" s="14" t="n">
        <v>14.5</v>
      </c>
      <c r="J5129" s="22" t="n">
        <f aca="false">IF(E5129="Priority",'Cost model'!N399,'Cost model'!M399)</f>
        <v>17.5</v>
      </c>
      <c r="K5129" s="14" t="n">
        <f aca="false">J5129-H5129</f>
        <v>2.34</v>
      </c>
      <c r="L5129" s="14" t="n">
        <f aca="false">G5129-H5129</f>
        <v>-2.66</v>
      </c>
    </row>
    <row r="5130" customFormat="false" ht="15" hidden="false" customHeight="false" outlineLevel="0" collapsed="false">
      <c r="A5130" s="2" t="s">
        <v>184</v>
      </c>
      <c r="B5130" s="2" t="s">
        <v>184</v>
      </c>
      <c r="C5130" s="2" t="s">
        <v>49</v>
      </c>
      <c r="D5130" s="2" t="s">
        <v>12</v>
      </c>
      <c r="E5130" s="2" t="s">
        <v>76</v>
      </c>
      <c r="F5130" s="2" t="s">
        <v>1145</v>
      </c>
      <c r="G5130" s="14" t="n">
        <v>12.5</v>
      </c>
      <c r="H5130" s="14" t="n">
        <v>43.41</v>
      </c>
      <c r="I5130" s="14"/>
      <c r="J5130" s="22" t="n">
        <f aca="false">IF(E5130="Priority",'Cost model'!N204,'Cost model'!M204)</f>
        <v>45</v>
      </c>
      <c r="K5130" s="14" t="n">
        <f aca="false">J5130-H5130</f>
        <v>1.59</v>
      </c>
      <c r="L5130" s="14" t="n">
        <f aca="false">G5130-H5130</f>
        <v>-30.91</v>
      </c>
    </row>
    <row r="5131" customFormat="false" ht="15" hidden="false" customHeight="false" outlineLevel="0" collapsed="false">
      <c r="A5131" s="2" t="s">
        <v>184</v>
      </c>
      <c r="B5131" s="2" t="s">
        <v>184</v>
      </c>
      <c r="C5131" s="2" t="s">
        <v>50</v>
      </c>
      <c r="D5131" s="2" t="s">
        <v>10</v>
      </c>
      <c r="E5131" s="2" t="s">
        <v>76</v>
      </c>
      <c r="F5131" s="2" t="s">
        <v>1145</v>
      </c>
      <c r="G5131" s="14" t="n">
        <v>17.5</v>
      </c>
      <c r="H5131" s="14" t="n">
        <v>15.65</v>
      </c>
      <c r="I5131" s="14" t="n">
        <v>17.5</v>
      </c>
      <c r="J5131" s="22" t="n">
        <f aca="false">IF(E5131="Priority",'Cost model'!N202,'Cost model'!M202)</f>
        <v>17.5</v>
      </c>
      <c r="K5131" s="14" t="n">
        <f aca="false">J5131-H5131</f>
        <v>1.85</v>
      </c>
      <c r="L5131" s="14" t="n">
        <f aca="false">G5131-H5131</f>
        <v>1.85</v>
      </c>
    </row>
    <row r="5132" customFormat="false" ht="15" hidden="false" customHeight="false" outlineLevel="0" collapsed="false">
      <c r="A5132" s="2" t="s">
        <v>126</v>
      </c>
      <c r="B5132" s="2" t="s">
        <v>126</v>
      </c>
      <c r="C5132" s="2" t="s">
        <v>48</v>
      </c>
      <c r="D5132" s="2" t="s">
        <v>12</v>
      </c>
      <c r="E5132" s="2" t="s">
        <v>85</v>
      </c>
      <c r="F5132" s="2" t="s">
        <v>1145</v>
      </c>
      <c r="G5132" s="14" t="n">
        <v>19.5</v>
      </c>
      <c r="H5132" s="14" t="n">
        <v>12.1</v>
      </c>
      <c r="I5132" s="14" t="n">
        <v>19.5</v>
      </c>
      <c r="J5132" s="22" t="n">
        <f aca="false">IF(E5132="Priority",'Cost model'!N383,'Cost model'!M383)</f>
        <v>35</v>
      </c>
      <c r="K5132" s="14" t="n">
        <f aca="false">J5132-H5132</f>
        <v>22.9</v>
      </c>
      <c r="L5132" s="14" t="n">
        <f aca="false">G5132-H5132</f>
        <v>7.4</v>
      </c>
    </row>
    <row r="5133" customFormat="false" ht="15" hidden="false" customHeight="false" outlineLevel="0" collapsed="false">
      <c r="A5133" s="2" t="s">
        <v>221</v>
      </c>
      <c r="B5133" s="2" t="s">
        <v>221</v>
      </c>
      <c r="C5133" s="2" t="s">
        <v>49</v>
      </c>
      <c r="D5133" s="2" t="s">
        <v>12</v>
      </c>
      <c r="E5133" s="2" t="s">
        <v>85</v>
      </c>
      <c r="F5133" s="2" t="s">
        <v>1145</v>
      </c>
      <c r="G5133" s="14" t="n">
        <v>19.5</v>
      </c>
      <c r="H5133" s="14" t="n">
        <v>51.12</v>
      </c>
      <c r="I5133" s="14" t="n">
        <v>19.5</v>
      </c>
      <c r="J5133" s="22" t="n">
        <f aca="false">IF(E5133="Priority",'Cost model'!N636,'Cost model'!M636)</f>
        <v>70</v>
      </c>
      <c r="K5133" s="14" t="n">
        <f aca="false">J5133-H5133</f>
        <v>18.88</v>
      </c>
      <c r="L5133" s="14" t="n">
        <f aca="false">G5133-H5133</f>
        <v>-31.62</v>
      </c>
    </row>
    <row r="5134" customFormat="false" ht="15" hidden="false" customHeight="false" outlineLevel="0" collapsed="false">
      <c r="A5134" s="2" t="s">
        <v>184</v>
      </c>
      <c r="B5134" s="2" t="s">
        <v>184</v>
      </c>
      <c r="C5134" s="2" t="s">
        <v>49</v>
      </c>
      <c r="D5134" s="2" t="s">
        <v>10</v>
      </c>
      <c r="E5134" s="2" t="s">
        <v>76</v>
      </c>
      <c r="F5134" s="2" t="s">
        <v>1145</v>
      </c>
      <c r="G5134" s="14" t="n">
        <v>12.5</v>
      </c>
      <c r="H5134" s="14" t="n">
        <v>25.97</v>
      </c>
      <c r="I5134" s="14" t="n">
        <v>12.5</v>
      </c>
      <c r="J5134" s="22" t="n">
        <f aca="false">IF(E5134="Priority",'Cost model'!N201,'Cost model'!M201)</f>
        <v>12.5</v>
      </c>
      <c r="K5134" s="14" t="n">
        <f aca="false">J5134-H5134</f>
        <v>-13.47</v>
      </c>
      <c r="L5134" s="14" t="n">
        <f aca="false">G5134-H5134</f>
        <v>-13.47</v>
      </c>
    </row>
    <row r="5135" customFormat="false" ht="15" hidden="false" customHeight="false" outlineLevel="0" collapsed="false">
      <c r="A5135" s="2" t="s">
        <v>184</v>
      </c>
      <c r="B5135" s="2" t="s">
        <v>184</v>
      </c>
      <c r="C5135" s="2" t="s">
        <v>50</v>
      </c>
      <c r="D5135" s="2" t="s">
        <v>10</v>
      </c>
      <c r="E5135" s="2" t="s">
        <v>76</v>
      </c>
      <c r="F5135" s="2" t="s">
        <v>1145</v>
      </c>
      <c r="G5135" s="14" t="n">
        <v>17.5</v>
      </c>
      <c r="H5135" s="14" t="n">
        <v>25.78</v>
      </c>
      <c r="I5135" s="14" t="n">
        <v>17.5</v>
      </c>
      <c r="J5135" s="22" t="n">
        <f aca="false">IF(E5135="Priority",'Cost model'!N202,'Cost model'!M202)</f>
        <v>17.5</v>
      </c>
      <c r="K5135" s="14" t="n">
        <f aca="false">J5135-H5135</f>
        <v>-8.28</v>
      </c>
      <c r="L5135" s="14" t="n">
        <f aca="false">G5135-H5135</f>
        <v>-8.28</v>
      </c>
    </row>
    <row r="5136" customFormat="false" ht="15" hidden="false" customHeight="false" outlineLevel="0" collapsed="false">
      <c r="A5136" s="2" t="s">
        <v>126</v>
      </c>
      <c r="B5136" s="2" t="s">
        <v>126</v>
      </c>
      <c r="C5136" s="2" t="s">
        <v>48</v>
      </c>
      <c r="D5136" s="2" t="s">
        <v>13</v>
      </c>
      <c r="E5136" s="2" t="s">
        <v>76</v>
      </c>
      <c r="F5136" s="2" t="s">
        <v>1145</v>
      </c>
      <c r="G5136" s="14" t="n">
        <v>19</v>
      </c>
      <c r="H5136" s="14" t="n">
        <v>31.76</v>
      </c>
      <c r="I5136" s="14" t="n">
        <v>19</v>
      </c>
      <c r="J5136" s="22" t="n">
        <f aca="false">IF(E5136="Priority",'Cost model'!N386,'Cost model'!M386)</f>
        <v>55</v>
      </c>
      <c r="K5136" s="14" t="n">
        <f aca="false">J5136-H5136</f>
        <v>23.24</v>
      </c>
      <c r="L5136" s="14" t="n">
        <f aca="false">G5136-H5136</f>
        <v>-12.76</v>
      </c>
    </row>
    <row r="5137" customFormat="false" ht="15" hidden="false" customHeight="false" outlineLevel="0" collapsed="false">
      <c r="A5137" s="2" t="s">
        <v>184</v>
      </c>
      <c r="B5137" s="2" t="s">
        <v>184</v>
      </c>
      <c r="C5137" s="2" t="s">
        <v>50</v>
      </c>
      <c r="D5137" s="2" t="s">
        <v>10</v>
      </c>
      <c r="E5137" s="2" t="s">
        <v>76</v>
      </c>
      <c r="F5137" s="2" t="s">
        <v>1145</v>
      </c>
      <c r="G5137" s="14" t="n">
        <v>17.5</v>
      </c>
      <c r="H5137" s="14" t="n">
        <v>10.96</v>
      </c>
      <c r="I5137" s="14" t="n">
        <v>17.5</v>
      </c>
      <c r="J5137" s="22" t="n">
        <f aca="false">IF(E5137="Priority",'Cost model'!N202,'Cost model'!M202)</f>
        <v>17.5</v>
      </c>
      <c r="K5137" s="14" t="n">
        <f aca="false">J5137-H5137</f>
        <v>6.54</v>
      </c>
      <c r="L5137" s="14" t="n">
        <f aca="false">G5137-H5137</f>
        <v>6.54</v>
      </c>
    </row>
    <row r="5138" customFormat="false" ht="15" hidden="false" customHeight="false" outlineLevel="0" collapsed="false">
      <c r="A5138" s="2" t="s">
        <v>126</v>
      </c>
      <c r="B5138" s="2" t="s">
        <v>126</v>
      </c>
      <c r="C5138" s="2" t="s">
        <v>49</v>
      </c>
      <c r="D5138" s="2" t="s">
        <v>12</v>
      </c>
      <c r="E5138" s="2" t="s">
        <v>76</v>
      </c>
      <c r="F5138" s="2" t="s">
        <v>1145</v>
      </c>
      <c r="G5138" s="14" t="n">
        <v>24.5</v>
      </c>
      <c r="H5138" s="14" t="n">
        <v>42.61</v>
      </c>
      <c r="I5138" s="14" t="n">
        <v>12.5</v>
      </c>
      <c r="J5138" s="22" t="n">
        <f aca="false">IF(E5138="Priority",'Cost model'!N384,'Cost model'!M384)</f>
        <v>45</v>
      </c>
      <c r="K5138" s="14" t="n">
        <f aca="false">J5138-H5138</f>
        <v>2.39</v>
      </c>
      <c r="L5138" s="14" t="n">
        <f aca="false">G5138-H5138</f>
        <v>-18.11</v>
      </c>
    </row>
    <row r="5139" customFormat="false" ht="15" hidden="false" customHeight="false" outlineLevel="0" collapsed="false">
      <c r="A5139" s="2" t="s">
        <v>184</v>
      </c>
      <c r="B5139" s="2" t="s">
        <v>146</v>
      </c>
      <c r="C5139" s="2" t="s">
        <v>49</v>
      </c>
      <c r="D5139" s="2" t="s">
        <v>10</v>
      </c>
      <c r="E5139" s="2" t="s">
        <v>76</v>
      </c>
      <c r="F5139" s="2" t="s">
        <v>1146</v>
      </c>
      <c r="G5139" s="14" t="n">
        <v>12.5</v>
      </c>
      <c r="H5139" s="14" t="n">
        <v>16.39</v>
      </c>
      <c r="I5139" s="14"/>
      <c r="J5139" s="22" t="n">
        <f aca="false">IF(E5139="Priority",'Cost model'!N147,'Cost model'!M147)</f>
        <v>14.5</v>
      </c>
      <c r="K5139" s="14" t="n">
        <f aca="false">J5139-H5139</f>
        <v>-1.89</v>
      </c>
      <c r="L5139" s="14" t="n">
        <f aca="false">G5139-H5139</f>
        <v>-3.89</v>
      </c>
    </row>
    <row r="5140" customFormat="false" ht="15" hidden="false" customHeight="false" outlineLevel="0" collapsed="false">
      <c r="A5140" s="2" t="s">
        <v>126</v>
      </c>
      <c r="B5140" s="2" t="s">
        <v>126</v>
      </c>
      <c r="C5140" s="2" t="s">
        <v>50</v>
      </c>
      <c r="D5140" s="2" t="s">
        <v>12</v>
      </c>
      <c r="E5140" s="2" t="s">
        <v>85</v>
      </c>
      <c r="F5140" s="2" t="s">
        <v>1145</v>
      </c>
      <c r="G5140" s="14" t="n">
        <v>29.5</v>
      </c>
      <c r="H5140" s="14" t="n">
        <v>56.17</v>
      </c>
      <c r="I5140" s="14" t="n">
        <v>29.5</v>
      </c>
      <c r="J5140" s="22" t="n">
        <f aca="false">IF(E5140="Priority",'Cost model'!N385,'Cost model'!M385)</f>
        <v>70</v>
      </c>
      <c r="K5140" s="14" t="n">
        <f aca="false">J5140-H5140</f>
        <v>13.83</v>
      </c>
      <c r="L5140" s="14" t="n">
        <f aca="false">G5140-H5140</f>
        <v>-26.67</v>
      </c>
    </row>
    <row r="5141" customFormat="false" ht="15" hidden="false" customHeight="false" outlineLevel="0" collapsed="false">
      <c r="A5141" s="2" t="s">
        <v>146</v>
      </c>
      <c r="B5141" s="2" t="s">
        <v>146</v>
      </c>
      <c r="C5141" s="2" t="s">
        <v>49</v>
      </c>
      <c r="D5141" s="2" t="s">
        <v>10</v>
      </c>
      <c r="E5141" s="2" t="s">
        <v>76</v>
      </c>
      <c r="F5141" s="2" t="s">
        <v>1145</v>
      </c>
      <c r="G5141" s="14" t="n">
        <v>12.5</v>
      </c>
      <c r="H5141" s="14" t="n">
        <v>25.99</v>
      </c>
      <c r="I5141" s="14" t="n">
        <v>12.5</v>
      </c>
      <c r="J5141" s="22" t="n">
        <f aca="false">IF(E5141="Priority",'Cost model'!N759,'Cost model'!M759)</f>
        <v>15.5</v>
      </c>
      <c r="K5141" s="14" t="n">
        <f aca="false">J5141-H5141</f>
        <v>-10.49</v>
      </c>
      <c r="L5141" s="14" t="n">
        <f aca="false">G5141-H5141</f>
        <v>-13.49</v>
      </c>
    </row>
    <row r="5142" customFormat="false" ht="15" hidden="false" customHeight="false" outlineLevel="0" collapsed="false">
      <c r="A5142" s="2" t="s">
        <v>184</v>
      </c>
      <c r="B5142" s="2" t="s">
        <v>184</v>
      </c>
      <c r="C5142" s="2" t="s">
        <v>48</v>
      </c>
      <c r="D5142" s="2" t="s">
        <v>10</v>
      </c>
      <c r="E5142" s="2" t="s">
        <v>76</v>
      </c>
      <c r="F5142" s="2" t="s">
        <v>1145</v>
      </c>
      <c r="G5142" s="14" t="n">
        <v>9.5</v>
      </c>
      <c r="H5142" s="14" t="n">
        <v>7.45</v>
      </c>
      <c r="I5142" s="14" t="n">
        <v>9.5</v>
      </c>
      <c r="J5142" s="22" t="n">
        <f aca="false">IF(E5142="Priority",'Cost model'!N200,'Cost model'!M200)</f>
        <v>7.5</v>
      </c>
      <c r="K5142" s="14" t="n">
        <f aca="false">J5142-H5142</f>
        <v>0.0499999999999998</v>
      </c>
      <c r="L5142" s="14" t="n">
        <f aca="false">G5142-H5142</f>
        <v>2.05</v>
      </c>
    </row>
    <row r="5143" customFormat="false" ht="15" hidden="false" customHeight="false" outlineLevel="0" collapsed="false">
      <c r="A5143" s="2" t="s">
        <v>146</v>
      </c>
      <c r="B5143" s="2" t="s">
        <v>126</v>
      </c>
      <c r="C5143" s="2" t="s">
        <v>48</v>
      </c>
      <c r="D5143" s="2" t="s">
        <v>10</v>
      </c>
      <c r="E5143" s="2" t="s">
        <v>76</v>
      </c>
      <c r="F5143" s="2" t="s">
        <v>1146</v>
      </c>
      <c r="G5143" s="14" t="n">
        <v>9.5</v>
      </c>
      <c r="H5143" s="14" t="n">
        <v>10.91</v>
      </c>
      <c r="I5143" s="14" t="n">
        <v>14.5</v>
      </c>
      <c r="J5143" s="22" t="n">
        <f aca="false">IF(E5143="Priority",'Cost model'!N794,'Cost model'!M794)</f>
        <v>12.5</v>
      </c>
      <c r="K5143" s="14" t="n">
        <f aca="false">J5143-H5143</f>
        <v>1.59</v>
      </c>
      <c r="L5143" s="14" t="n">
        <f aca="false">G5143-H5143</f>
        <v>-1.41</v>
      </c>
    </row>
    <row r="5144" customFormat="false" ht="15" hidden="false" customHeight="false" outlineLevel="0" collapsed="false">
      <c r="A5144" s="2" t="s">
        <v>184</v>
      </c>
      <c r="B5144" s="2" t="s">
        <v>184</v>
      </c>
      <c r="C5144" s="2" t="s">
        <v>50</v>
      </c>
      <c r="D5144" s="2" t="s">
        <v>12</v>
      </c>
      <c r="E5144" s="2" t="s">
        <v>76</v>
      </c>
      <c r="F5144" s="2" t="s">
        <v>1145</v>
      </c>
      <c r="G5144" s="14" t="n">
        <v>19.5</v>
      </c>
      <c r="H5144" s="14" t="n">
        <v>48.8</v>
      </c>
      <c r="I5144" s="14" t="n">
        <v>19.5</v>
      </c>
      <c r="J5144" s="22" t="n">
        <f aca="false">IF(E5144="Priority",'Cost model'!N205,'Cost model'!M205)</f>
        <v>50</v>
      </c>
      <c r="K5144" s="14" t="n">
        <f aca="false">J5144-H5144</f>
        <v>1.2</v>
      </c>
      <c r="L5144" s="14" t="n">
        <f aca="false">G5144-H5144</f>
        <v>-29.3</v>
      </c>
    </row>
    <row r="5145" customFormat="false" ht="15" hidden="false" customHeight="false" outlineLevel="0" collapsed="false">
      <c r="A5145" s="2" t="s">
        <v>240</v>
      </c>
      <c r="B5145" s="2" t="s">
        <v>240</v>
      </c>
      <c r="C5145" s="2" t="s">
        <v>50</v>
      </c>
      <c r="D5145" s="2" t="s">
        <v>10</v>
      </c>
      <c r="E5145" s="2" t="s">
        <v>76</v>
      </c>
      <c r="F5145" s="2" t="s">
        <v>1145</v>
      </c>
      <c r="G5145" s="14" t="n">
        <v>17.5</v>
      </c>
      <c r="H5145" s="14" t="n">
        <v>10.26</v>
      </c>
      <c r="I5145" s="14" t="n">
        <v>17.5</v>
      </c>
      <c r="J5145" s="22" t="n">
        <f aca="false">IF(E5145="Priority",'Cost model'!N886,'Cost model'!M886)</f>
        <v>17.5</v>
      </c>
      <c r="K5145" s="14" t="n">
        <f aca="false">J5145-H5145</f>
        <v>7.24</v>
      </c>
      <c r="L5145" s="14" t="n">
        <f aca="false">G5145-H5145</f>
        <v>7.24</v>
      </c>
    </row>
    <row r="5146" customFormat="false" ht="15" hidden="false" customHeight="false" outlineLevel="0" collapsed="false">
      <c r="A5146" s="2" t="s">
        <v>146</v>
      </c>
      <c r="B5146" s="2" t="s">
        <v>126</v>
      </c>
      <c r="C5146" s="2" t="s">
        <v>50</v>
      </c>
      <c r="D5146" s="2" t="s">
        <v>10</v>
      </c>
      <c r="E5146" s="2" t="s">
        <v>76</v>
      </c>
      <c r="F5146" s="2" t="s">
        <v>1146</v>
      </c>
      <c r="G5146" s="14" t="n">
        <v>17.5</v>
      </c>
      <c r="H5146" s="14" t="n">
        <v>45.06</v>
      </c>
      <c r="I5146" s="14" t="n">
        <v>17.5</v>
      </c>
      <c r="J5146" s="22" t="n">
        <f aca="false">IF(E5146="Priority",'Cost model'!N796,'Cost model'!M796)</f>
        <v>17.5</v>
      </c>
      <c r="K5146" s="14" t="n">
        <f aca="false">J5146-H5146</f>
        <v>-27.56</v>
      </c>
      <c r="L5146" s="14" t="n">
        <f aca="false">G5146-H5146</f>
        <v>-27.56</v>
      </c>
    </row>
    <row r="5147" customFormat="false" ht="15" hidden="false" customHeight="false" outlineLevel="0" collapsed="false">
      <c r="A5147" s="2" t="s">
        <v>184</v>
      </c>
      <c r="B5147" s="2" t="s">
        <v>184</v>
      </c>
      <c r="C5147" s="2" t="s">
        <v>49</v>
      </c>
      <c r="D5147" s="2" t="s">
        <v>14</v>
      </c>
      <c r="E5147" s="2" t="s">
        <v>76</v>
      </c>
      <c r="F5147" s="2" t="s">
        <v>1145</v>
      </c>
      <c r="G5147" s="14" t="n">
        <v>45</v>
      </c>
      <c r="H5147" s="14" t="n">
        <v>70.31</v>
      </c>
      <c r="I5147" s="14"/>
      <c r="J5147" s="22" t="n">
        <f aca="false">IF(E5147="Priority",'Cost model'!N210,'Cost model'!M210)</f>
        <v>135</v>
      </c>
      <c r="K5147" s="14" t="n">
        <f aca="false">J5147-H5147</f>
        <v>64.69</v>
      </c>
      <c r="L5147" s="14" t="n">
        <f aca="false">G5147-H5147</f>
        <v>-25.31</v>
      </c>
    </row>
    <row r="5148" customFormat="false" ht="15" hidden="false" customHeight="false" outlineLevel="0" collapsed="false">
      <c r="A5148" s="2" t="s">
        <v>184</v>
      </c>
      <c r="B5148" s="2" t="s">
        <v>184</v>
      </c>
      <c r="C5148" s="2" t="s">
        <v>48</v>
      </c>
      <c r="D5148" s="2" t="s">
        <v>10</v>
      </c>
      <c r="E5148" s="2" t="s">
        <v>76</v>
      </c>
      <c r="F5148" s="2" t="s">
        <v>1145</v>
      </c>
      <c r="G5148" s="14" t="n">
        <v>9.5</v>
      </c>
      <c r="H5148" s="14" t="n">
        <v>7.45</v>
      </c>
      <c r="I5148" s="14" t="n">
        <v>9.5</v>
      </c>
      <c r="J5148" s="22" t="n">
        <f aca="false">IF(E5148="Priority",'Cost model'!N200,'Cost model'!M200)</f>
        <v>7.5</v>
      </c>
      <c r="K5148" s="14" t="n">
        <f aca="false">J5148-H5148</f>
        <v>0.0499999999999998</v>
      </c>
      <c r="L5148" s="14" t="n">
        <f aca="false">G5148-H5148</f>
        <v>2.05</v>
      </c>
    </row>
    <row r="5149" customFormat="false" ht="15" hidden="false" customHeight="false" outlineLevel="0" collapsed="false">
      <c r="A5149" s="2" t="s">
        <v>184</v>
      </c>
      <c r="B5149" s="2" t="s">
        <v>184</v>
      </c>
      <c r="C5149" s="2" t="s">
        <v>49</v>
      </c>
      <c r="D5149" s="2" t="s">
        <v>10</v>
      </c>
      <c r="E5149" s="2" t="s">
        <v>76</v>
      </c>
      <c r="F5149" s="2" t="s">
        <v>1145</v>
      </c>
      <c r="G5149" s="14" t="n">
        <v>12.5</v>
      </c>
      <c r="H5149" s="14" t="n">
        <v>15.88</v>
      </c>
      <c r="I5149" s="14"/>
      <c r="J5149" s="22" t="n">
        <f aca="false">IF(E5149="Priority",'Cost model'!N201,'Cost model'!M201)</f>
        <v>12.5</v>
      </c>
      <c r="K5149" s="14" t="n">
        <f aca="false">J5149-H5149</f>
        <v>-3.38</v>
      </c>
      <c r="L5149" s="14" t="n">
        <f aca="false">G5149-H5149</f>
        <v>-3.38</v>
      </c>
    </row>
    <row r="5150" customFormat="false" ht="15" hidden="false" customHeight="false" outlineLevel="0" collapsed="false">
      <c r="A5150" s="2" t="s">
        <v>146</v>
      </c>
      <c r="B5150" s="2" t="s">
        <v>146</v>
      </c>
      <c r="C5150" s="2" t="s">
        <v>50</v>
      </c>
      <c r="D5150" s="2" t="s">
        <v>12</v>
      </c>
      <c r="E5150" s="2" t="s">
        <v>76</v>
      </c>
      <c r="F5150" s="2" t="s">
        <v>1145</v>
      </c>
      <c r="G5150" s="14" t="n">
        <v>19.5</v>
      </c>
      <c r="H5150" s="14" t="n">
        <v>43.25</v>
      </c>
      <c r="I5150" s="14" t="n">
        <v>19.5</v>
      </c>
      <c r="J5150" s="22" t="n">
        <f aca="false">IF(E5150="Priority",'Cost model'!N763,'Cost model'!M763)</f>
        <v>50</v>
      </c>
      <c r="K5150" s="14" t="n">
        <f aca="false">J5150-H5150</f>
        <v>6.75</v>
      </c>
      <c r="L5150" s="14" t="n">
        <f aca="false">G5150-H5150</f>
        <v>-23.75</v>
      </c>
    </row>
    <row r="5151" customFormat="false" ht="15" hidden="false" customHeight="false" outlineLevel="0" collapsed="false">
      <c r="A5151" s="2" t="s">
        <v>184</v>
      </c>
      <c r="B5151" s="2" t="s">
        <v>184</v>
      </c>
      <c r="C5151" s="2" t="s">
        <v>48</v>
      </c>
      <c r="D5151" s="2" t="s">
        <v>12</v>
      </c>
      <c r="E5151" s="2" t="s">
        <v>76</v>
      </c>
      <c r="F5151" s="2" t="s">
        <v>1145</v>
      </c>
      <c r="G5151" s="14" t="n">
        <v>9.5</v>
      </c>
      <c r="H5151" s="14" t="n">
        <v>28.91</v>
      </c>
      <c r="I5151" s="14" t="n">
        <v>9.5</v>
      </c>
      <c r="J5151" s="22" t="n">
        <f aca="false">IF(E5151="Priority",'Cost model'!N203,'Cost model'!M203)</f>
        <v>26.5</v>
      </c>
      <c r="K5151" s="14" t="n">
        <f aca="false">J5151-H5151</f>
        <v>-2.41</v>
      </c>
      <c r="L5151" s="14" t="n">
        <f aca="false">G5151-H5151</f>
        <v>-19.41</v>
      </c>
    </row>
    <row r="5152" customFormat="false" ht="15" hidden="false" customHeight="false" outlineLevel="0" collapsed="false">
      <c r="A5152" s="2" t="s">
        <v>184</v>
      </c>
      <c r="B5152" s="2" t="s">
        <v>184</v>
      </c>
      <c r="C5152" s="2" t="s">
        <v>49</v>
      </c>
      <c r="D5152" s="2" t="s">
        <v>10</v>
      </c>
      <c r="E5152" s="2" t="s">
        <v>76</v>
      </c>
      <c r="F5152" s="2" t="s">
        <v>1145</v>
      </c>
      <c r="G5152" s="14" t="n">
        <v>12.5</v>
      </c>
      <c r="H5152" s="14" t="n">
        <v>11.46</v>
      </c>
      <c r="I5152" s="14"/>
      <c r="J5152" s="22" t="n">
        <f aca="false">IF(E5152="Priority",'Cost model'!N201,'Cost model'!M201)</f>
        <v>12.5</v>
      </c>
      <c r="K5152" s="14" t="n">
        <f aca="false">J5152-H5152</f>
        <v>1.04</v>
      </c>
      <c r="L5152" s="14" t="n">
        <f aca="false">G5152-H5152</f>
        <v>1.04</v>
      </c>
    </row>
    <row r="5153" customFormat="false" ht="15" hidden="false" customHeight="false" outlineLevel="0" collapsed="false">
      <c r="A5153" s="2" t="s">
        <v>126</v>
      </c>
      <c r="B5153" s="2" t="s">
        <v>126</v>
      </c>
      <c r="C5153" s="2" t="s">
        <v>50</v>
      </c>
      <c r="D5153" s="2" t="s">
        <v>10</v>
      </c>
      <c r="E5153" s="2" t="s">
        <v>76</v>
      </c>
      <c r="F5153" s="2" t="s">
        <v>1145</v>
      </c>
      <c r="G5153" s="14" t="n">
        <v>17.5</v>
      </c>
      <c r="H5153" s="14" t="n">
        <v>11.51</v>
      </c>
      <c r="I5153" s="14" t="n">
        <v>17.5</v>
      </c>
      <c r="J5153" s="22" t="n">
        <f aca="false">IF(E5153="Priority",'Cost model'!N382,'Cost model'!M382)</f>
        <v>18.5</v>
      </c>
      <c r="K5153" s="14" t="n">
        <f aca="false">J5153-H5153</f>
        <v>6.99</v>
      </c>
      <c r="L5153" s="14" t="n">
        <f aca="false">G5153-H5153</f>
        <v>5.99</v>
      </c>
    </row>
    <row r="5154" customFormat="false" ht="15" hidden="false" customHeight="false" outlineLevel="0" collapsed="false">
      <c r="A5154" s="2" t="s">
        <v>126</v>
      </c>
      <c r="B5154" s="2" t="s">
        <v>126</v>
      </c>
      <c r="C5154" s="2" t="s">
        <v>49</v>
      </c>
      <c r="D5154" s="2" t="s">
        <v>12</v>
      </c>
      <c r="E5154" s="2" t="s">
        <v>85</v>
      </c>
      <c r="F5154" s="2" t="s">
        <v>1145</v>
      </c>
      <c r="G5154" s="14" t="n">
        <v>19.5</v>
      </c>
      <c r="H5154" s="14" t="n">
        <v>59.17</v>
      </c>
      <c r="I5154" s="14" t="n">
        <v>19.5</v>
      </c>
      <c r="J5154" s="22" t="n">
        <f aca="false">IF(E5154="Priority",'Cost model'!N384,'Cost model'!M384)</f>
        <v>60</v>
      </c>
      <c r="K5154" s="14" t="n">
        <f aca="false">J5154-H5154</f>
        <v>0.829999999999998</v>
      </c>
      <c r="L5154" s="14" t="n">
        <f aca="false">G5154-H5154</f>
        <v>-39.67</v>
      </c>
    </row>
    <row r="5155" customFormat="false" ht="15" hidden="false" customHeight="false" outlineLevel="0" collapsed="false">
      <c r="A5155" s="2" t="s">
        <v>126</v>
      </c>
      <c r="B5155" s="2" t="s">
        <v>126</v>
      </c>
      <c r="C5155" s="2" t="s">
        <v>48</v>
      </c>
      <c r="D5155" s="2" t="s">
        <v>13</v>
      </c>
      <c r="E5155" s="2" t="s">
        <v>76</v>
      </c>
      <c r="F5155" s="2" t="s">
        <v>1145</v>
      </c>
      <c r="G5155" s="14" t="n">
        <v>19</v>
      </c>
      <c r="H5155" s="14" t="n">
        <v>70.07</v>
      </c>
      <c r="I5155" s="14" t="n">
        <v>19</v>
      </c>
      <c r="J5155" s="22" t="n">
        <f aca="false">IF(E5155="Priority",'Cost model'!N386,'Cost model'!M386)</f>
        <v>55</v>
      </c>
      <c r="K5155" s="14" t="n">
        <f aca="false">J5155-H5155</f>
        <v>-15.07</v>
      </c>
      <c r="L5155" s="14" t="n">
        <f aca="false">G5155-H5155</f>
        <v>-51.07</v>
      </c>
    </row>
    <row r="5156" customFormat="false" ht="15" hidden="false" customHeight="false" outlineLevel="0" collapsed="false">
      <c r="A5156" s="2" t="s">
        <v>240</v>
      </c>
      <c r="B5156" s="2" t="s">
        <v>240</v>
      </c>
      <c r="C5156" s="2" t="s">
        <v>48</v>
      </c>
      <c r="D5156" s="2" t="s">
        <v>10</v>
      </c>
      <c r="E5156" s="2" t="s">
        <v>76</v>
      </c>
      <c r="F5156" s="2" t="s">
        <v>1145</v>
      </c>
      <c r="G5156" s="14" t="n">
        <v>9.5</v>
      </c>
      <c r="H5156" s="14" t="n">
        <v>7.68</v>
      </c>
      <c r="I5156" s="14" t="n">
        <v>9.5</v>
      </c>
      <c r="J5156" s="22" t="n">
        <f aca="false">IF(E5156="Priority",'Cost model'!N884,'Cost model'!M884)</f>
        <v>7.5</v>
      </c>
      <c r="K5156" s="14" t="n">
        <f aca="false">J5156-H5156</f>
        <v>-0.18</v>
      </c>
      <c r="L5156" s="14" t="n">
        <f aca="false">G5156-H5156</f>
        <v>1.82</v>
      </c>
    </row>
    <row r="5157" customFormat="false" ht="15" hidden="false" customHeight="false" outlineLevel="0" collapsed="false">
      <c r="A5157" s="2" t="s">
        <v>165</v>
      </c>
      <c r="B5157" s="2" t="s">
        <v>165</v>
      </c>
      <c r="C5157" s="2" t="s">
        <v>48</v>
      </c>
      <c r="D5157" s="2" t="s">
        <v>10</v>
      </c>
      <c r="E5157" s="2" t="s">
        <v>85</v>
      </c>
      <c r="F5157" s="2" t="s">
        <v>1145</v>
      </c>
      <c r="G5157" s="14" t="n">
        <v>14.5</v>
      </c>
      <c r="H5157" s="14" t="n">
        <v>8.04</v>
      </c>
      <c r="I5157" s="14" t="n">
        <v>14.5</v>
      </c>
      <c r="J5157" s="22" t="n">
        <f aca="false">IF(E5157="Priority",'Cost model'!N506,'Cost model'!M506)</f>
        <v>12.5</v>
      </c>
      <c r="K5157" s="14" t="n">
        <f aca="false">J5157-H5157</f>
        <v>4.46</v>
      </c>
      <c r="L5157" s="14" t="n">
        <f aca="false">G5157-H5157</f>
        <v>6.46</v>
      </c>
    </row>
    <row r="5158" customFormat="false" ht="15" hidden="false" customHeight="false" outlineLevel="0" collapsed="false">
      <c r="A5158" s="2" t="s">
        <v>126</v>
      </c>
      <c r="B5158" s="2" t="s">
        <v>126</v>
      </c>
      <c r="C5158" s="2" t="s">
        <v>49</v>
      </c>
      <c r="D5158" s="2" t="s">
        <v>14</v>
      </c>
      <c r="E5158" s="2" t="s">
        <v>76</v>
      </c>
      <c r="F5158" s="2" t="s">
        <v>1145</v>
      </c>
      <c r="G5158" s="14" t="n">
        <v>45</v>
      </c>
      <c r="H5158" s="14" t="n">
        <v>120.19</v>
      </c>
      <c r="I5158" s="14" t="n">
        <v>45</v>
      </c>
      <c r="J5158" s="22" t="n">
        <f aca="false">IF(E5158="Priority",'Cost model'!N390,'Cost model'!M390)</f>
        <v>115</v>
      </c>
      <c r="K5158" s="14" t="n">
        <f aca="false">J5158-H5158</f>
        <v>-5.19</v>
      </c>
      <c r="L5158" s="14" t="n">
        <f aca="false">G5158-H5158</f>
        <v>-75.19</v>
      </c>
    </row>
    <row r="5159" customFormat="false" ht="15" hidden="false" customHeight="false" outlineLevel="0" collapsed="false">
      <c r="A5159" s="2" t="s">
        <v>240</v>
      </c>
      <c r="B5159" s="2" t="s">
        <v>165</v>
      </c>
      <c r="C5159" s="2" t="s">
        <v>48</v>
      </c>
      <c r="D5159" s="2" t="s">
        <v>12</v>
      </c>
      <c r="E5159" s="2" t="s">
        <v>76</v>
      </c>
      <c r="F5159" s="2" t="s">
        <v>1146</v>
      </c>
      <c r="G5159" s="14" t="n">
        <v>9.5</v>
      </c>
      <c r="H5159" s="14" t="n">
        <v>17.05</v>
      </c>
      <c r="I5159" s="14" t="n">
        <v>19.5</v>
      </c>
      <c r="J5159" s="22" t="n">
        <f aca="false">IF(E5159="Priority",'Cost model'!N905,'Cost model'!M905)</f>
        <v>50</v>
      </c>
      <c r="K5159" s="14" t="n">
        <f aca="false">J5159-H5159</f>
        <v>32.95</v>
      </c>
      <c r="L5159" s="14" t="n">
        <f aca="false">G5159-H5159</f>
        <v>-7.55</v>
      </c>
    </row>
    <row r="5160" customFormat="false" ht="15" hidden="false" customHeight="false" outlineLevel="0" collapsed="false">
      <c r="A5160" s="2" t="s">
        <v>184</v>
      </c>
      <c r="B5160" s="2" t="s">
        <v>184</v>
      </c>
      <c r="C5160" s="2" t="s">
        <v>49</v>
      </c>
      <c r="D5160" s="2" t="s">
        <v>10</v>
      </c>
      <c r="E5160" s="2" t="s">
        <v>85</v>
      </c>
      <c r="F5160" s="2" t="s">
        <v>1145</v>
      </c>
      <c r="G5160" s="14" t="n">
        <v>17.5</v>
      </c>
      <c r="H5160" s="14" t="n">
        <v>21.61</v>
      </c>
      <c r="I5160" s="14" t="n">
        <v>17.5</v>
      </c>
      <c r="J5160" s="22" t="n">
        <f aca="false">IF(E5160="Priority",'Cost model'!N201,'Cost model'!M201)</f>
        <v>17.5</v>
      </c>
      <c r="K5160" s="14" t="n">
        <f aca="false">J5160-H5160</f>
        <v>-4.11</v>
      </c>
      <c r="L5160" s="14" t="n">
        <f aca="false">G5160-H5160</f>
        <v>-4.11</v>
      </c>
    </row>
    <row r="5161" customFormat="false" ht="15" hidden="false" customHeight="false" outlineLevel="0" collapsed="false">
      <c r="A5161" s="2" t="s">
        <v>184</v>
      </c>
      <c r="B5161" s="2" t="s">
        <v>184</v>
      </c>
      <c r="C5161" s="2" t="s">
        <v>49</v>
      </c>
      <c r="D5161" s="2" t="s">
        <v>10</v>
      </c>
      <c r="E5161" s="2" t="s">
        <v>76</v>
      </c>
      <c r="F5161" s="2" t="s">
        <v>1145</v>
      </c>
      <c r="G5161" s="14" t="n">
        <v>12.5</v>
      </c>
      <c r="H5161" s="14" t="n">
        <v>15.22</v>
      </c>
      <c r="I5161" s="14" t="n">
        <v>12.5</v>
      </c>
      <c r="J5161" s="22" t="n">
        <f aca="false">IF(E5161="Priority",'Cost model'!N201,'Cost model'!M201)</f>
        <v>12.5</v>
      </c>
      <c r="K5161" s="14" t="n">
        <f aca="false">J5161-H5161</f>
        <v>-2.72</v>
      </c>
      <c r="L5161" s="14" t="n">
        <f aca="false">G5161-H5161</f>
        <v>-2.72</v>
      </c>
    </row>
    <row r="5162" customFormat="false" ht="15" hidden="false" customHeight="false" outlineLevel="0" collapsed="false">
      <c r="A5162" s="2" t="s">
        <v>184</v>
      </c>
      <c r="B5162" s="2" t="s">
        <v>184</v>
      </c>
      <c r="C5162" s="2" t="s">
        <v>50</v>
      </c>
      <c r="D5162" s="2" t="s">
        <v>12</v>
      </c>
      <c r="E5162" s="2" t="s">
        <v>85</v>
      </c>
      <c r="F5162" s="2" t="s">
        <v>1145</v>
      </c>
      <c r="G5162" s="14" t="n">
        <v>29.5</v>
      </c>
      <c r="H5162" s="14" t="n">
        <v>50.79</v>
      </c>
      <c r="I5162" s="14" t="n">
        <v>29.5</v>
      </c>
      <c r="J5162" s="22" t="n">
        <f aca="false">IF(E5162="Priority",'Cost model'!N205,'Cost model'!M205)</f>
        <v>65</v>
      </c>
      <c r="K5162" s="14" t="n">
        <f aca="false">J5162-H5162</f>
        <v>14.21</v>
      </c>
      <c r="L5162" s="14" t="n">
        <f aca="false">G5162-H5162</f>
        <v>-21.29</v>
      </c>
    </row>
    <row r="5163" customFormat="false" ht="15" hidden="false" customHeight="false" outlineLevel="0" collapsed="false">
      <c r="A5163" s="2" t="s">
        <v>184</v>
      </c>
      <c r="B5163" s="2" t="s">
        <v>146</v>
      </c>
      <c r="C5163" s="2" t="s">
        <v>50</v>
      </c>
      <c r="D5163" s="2" t="s">
        <v>10</v>
      </c>
      <c r="E5163" s="2" t="s">
        <v>76</v>
      </c>
      <c r="F5163" s="2" t="s">
        <v>1146</v>
      </c>
      <c r="G5163" s="14" t="n">
        <v>17.5</v>
      </c>
      <c r="H5163" s="14" t="n">
        <v>24.48</v>
      </c>
      <c r="I5163" s="14" t="n">
        <v>17.5</v>
      </c>
      <c r="J5163" s="22" t="n">
        <f aca="false">IF(E5163="Priority",'Cost model'!N148,'Cost model'!M148)</f>
        <v>21.5</v>
      </c>
      <c r="K5163" s="14" t="n">
        <f aca="false">J5163-H5163</f>
        <v>-2.98</v>
      </c>
      <c r="L5163" s="14" t="n">
        <f aca="false">G5163-H5163</f>
        <v>-6.98</v>
      </c>
    </row>
    <row r="5164" customFormat="false" ht="15" hidden="false" customHeight="false" outlineLevel="0" collapsed="false">
      <c r="A5164" s="2" t="s">
        <v>240</v>
      </c>
      <c r="B5164" s="2" t="s">
        <v>240</v>
      </c>
      <c r="C5164" s="2" t="s">
        <v>50</v>
      </c>
      <c r="D5164" s="2" t="s">
        <v>12</v>
      </c>
      <c r="E5164" s="2" t="s">
        <v>76</v>
      </c>
      <c r="F5164" s="2" t="s">
        <v>1145</v>
      </c>
      <c r="G5164" s="14" t="n">
        <v>19.5</v>
      </c>
      <c r="H5164" s="14" t="n">
        <v>97.78</v>
      </c>
      <c r="I5164" s="14" t="n">
        <v>19.5</v>
      </c>
      <c r="J5164" s="22" t="n">
        <f aca="false">IF(E5164="Priority",'Cost model'!N889,'Cost model'!M889)</f>
        <v>60</v>
      </c>
      <c r="K5164" s="14" t="n">
        <f aca="false">J5164-H5164</f>
        <v>-37.78</v>
      </c>
      <c r="L5164" s="14" t="n">
        <f aca="false">G5164-H5164</f>
        <v>-78.28</v>
      </c>
    </row>
    <row r="5165" customFormat="false" ht="15" hidden="false" customHeight="false" outlineLevel="0" collapsed="false">
      <c r="A5165" s="2" t="s">
        <v>146</v>
      </c>
      <c r="B5165" s="2" t="s">
        <v>146</v>
      </c>
      <c r="C5165" s="2" t="s">
        <v>49</v>
      </c>
      <c r="D5165" s="2" t="s">
        <v>10</v>
      </c>
      <c r="E5165" s="2" t="s">
        <v>76</v>
      </c>
      <c r="F5165" s="2" t="s">
        <v>1145</v>
      </c>
      <c r="G5165" s="14" t="n">
        <v>12.5</v>
      </c>
      <c r="H5165" s="14" t="n">
        <v>23.58</v>
      </c>
      <c r="I5165" s="14" t="n">
        <v>12.5</v>
      </c>
      <c r="J5165" s="22" t="n">
        <f aca="false">IF(E5165="Priority",'Cost model'!N759,'Cost model'!M759)</f>
        <v>15.5</v>
      </c>
      <c r="K5165" s="14" t="n">
        <f aca="false">J5165-H5165</f>
        <v>-8.08</v>
      </c>
      <c r="L5165" s="14" t="n">
        <f aca="false">G5165-H5165</f>
        <v>-11.08</v>
      </c>
    </row>
    <row r="5166" customFormat="false" ht="15" hidden="false" customHeight="false" outlineLevel="0" collapsed="false">
      <c r="A5166" s="2" t="s">
        <v>184</v>
      </c>
      <c r="B5166" s="2" t="s">
        <v>184</v>
      </c>
      <c r="C5166" s="2" t="s">
        <v>49</v>
      </c>
      <c r="D5166" s="2" t="s">
        <v>10</v>
      </c>
      <c r="E5166" s="2" t="s">
        <v>76</v>
      </c>
      <c r="F5166" s="2" t="s">
        <v>1145</v>
      </c>
      <c r="G5166" s="14" t="n">
        <v>12.5</v>
      </c>
      <c r="H5166" s="14" t="n">
        <v>12.18</v>
      </c>
      <c r="I5166" s="14" t="n">
        <v>12.5</v>
      </c>
      <c r="J5166" s="22" t="n">
        <f aca="false">IF(E5166="Priority",'Cost model'!N201,'Cost model'!M201)</f>
        <v>12.5</v>
      </c>
      <c r="K5166" s="14" t="n">
        <f aca="false">J5166-H5166</f>
        <v>0.32</v>
      </c>
      <c r="L5166" s="14" t="n">
        <f aca="false">G5166-H5166</f>
        <v>0.32</v>
      </c>
    </row>
    <row r="5167" customFormat="false" ht="15" hidden="false" customHeight="false" outlineLevel="0" collapsed="false">
      <c r="A5167" s="2" t="s">
        <v>184</v>
      </c>
      <c r="B5167" s="2" t="s">
        <v>184</v>
      </c>
      <c r="C5167" s="2" t="s">
        <v>49</v>
      </c>
      <c r="D5167" s="2" t="s">
        <v>12</v>
      </c>
      <c r="E5167" s="2" t="s">
        <v>76</v>
      </c>
      <c r="F5167" s="2" t="s">
        <v>1145</v>
      </c>
      <c r="G5167" s="14" t="n">
        <v>12.5</v>
      </c>
      <c r="H5167" s="14" t="n">
        <v>31.82</v>
      </c>
      <c r="I5167" s="14"/>
      <c r="J5167" s="22" t="n">
        <f aca="false">IF(E5167="Priority",'Cost model'!N204,'Cost model'!M204)</f>
        <v>45</v>
      </c>
      <c r="K5167" s="14" t="n">
        <f aca="false">J5167-H5167</f>
        <v>13.18</v>
      </c>
      <c r="L5167" s="14" t="n">
        <f aca="false">G5167-H5167</f>
        <v>-19.32</v>
      </c>
    </row>
    <row r="5168" customFormat="false" ht="15" hidden="false" customHeight="false" outlineLevel="0" collapsed="false">
      <c r="A5168" s="2" t="s">
        <v>240</v>
      </c>
      <c r="B5168" s="2" t="s">
        <v>240</v>
      </c>
      <c r="C5168" s="2" t="s">
        <v>50</v>
      </c>
      <c r="D5168" s="2" t="s">
        <v>13</v>
      </c>
      <c r="E5168" s="2" t="s">
        <v>76</v>
      </c>
      <c r="F5168" s="2" t="s">
        <v>1145</v>
      </c>
      <c r="G5168" s="14" t="n">
        <v>85</v>
      </c>
      <c r="H5168" s="14" t="n">
        <v>63.28</v>
      </c>
      <c r="I5168" s="14" t="n">
        <v>50</v>
      </c>
      <c r="J5168" s="22" t="n">
        <f aca="false">IF(E5168="Priority",'Cost model'!N892,'Cost model'!M892)</f>
        <v>130</v>
      </c>
      <c r="K5168" s="14" t="n">
        <f aca="false">J5168-H5168</f>
        <v>66.72</v>
      </c>
      <c r="L5168" s="14" t="n">
        <f aca="false">G5168-H5168</f>
        <v>21.72</v>
      </c>
    </row>
    <row r="5169" customFormat="false" ht="15" hidden="false" customHeight="false" outlineLevel="0" collapsed="false">
      <c r="A5169" s="2" t="s">
        <v>240</v>
      </c>
      <c r="B5169" s="2" t="s">
        <v>240</v>
      </c>
      <c r="C5169" s="2" t="s">
        <v>48</v>
      </c>
      <c r="D5169" s="2" t="s">
        <v>10</v>
      </c>
      <c r="E5169" s="2" t="s">
        <v>76</v>
      </c>
      <c r="F5169" s="2" t="s">
        <v>1145</v>
      </c>
      <c r="G5169" s="14" t="n">
        <v>9.5</v>
      </c>
      <c r="H5169" s="14" t="n">
        <v>8.14</v>
      </c>
      <c r="I5169" s="14" t="n">
        <v>9.5</v>
      </c>
      <c r="J5169" s="22" t="n">
        <f aca="false">IF(E5169="Priority",'Cost model'!N884,'Cost model'!M884)</f>
        <v>7.5</v>
      </c>
      <c r="K5169" s="14" t="n">
        <f aca="false">J5169-H5169</f>
        <v>-0.640000000000001</v>
      </c>
      <c r="L5169" s="14" t="n">
        <f aca="false">G5169-H5169</f>
        <v>1.36</v>
      </c>
    </row>
    <row r="5170" customFormat="false" ht="15" hidden="false" customHeight="false" outlineLevel="0" collapsed="false">
      <c r="A5170" s="2" t="s">
        <v>184</v>
      </c>
      <c r="B5170" s="2" t="s">
        <v>184</v>
      </c>
      <c r="C5170" s="2" t="s">
        <v>50</v>
      </c>
      <c r="D5170" s="2" t="s">
        <v>10</v>
      </c>
      <c r="E5170" s="2" t="s">
        <v>76</v>
      </c>
      <c r="F5170" s="2" t="s">
        <v>1145</v>
      </c>
      <c r="G5170" s="14" t="n">
        <v>17.5</v>
      </c>
      <c r="H5170" s="14" t="n">
        <v>10.79</v>
      </c>
      <c r="I5170" s="14" t="n">
        <v>17.5</v>
      </c>
      <c r="J5170" s="22" t="n">
        <f aca="false">IF(E5170="Priority",'Cost model'!N202,'Cost model'!M202)</f>
        <v>17.5</v>
      </c>
      <c r="K5170" s="14" t="n">
        <f aca="false">J5170-H5170</f>
        <v>6.71</v>
      </c>
      <c r="L5170" s="14" t="n">
        <f aca="false">G5170-H5170</f>
        <v>6.71</v>
      </c>
    </row>
    <row r="5171" customFormat="false" ht="15" hidden="false" customHeight="false" outlineLevel="0" collapsed="false">
      <c r="A5171" s="2" t="s">
        <v>184</v>
      </c>
      <c r="B5171" s="2" t="s">
        <v>184</v>
      </c>
      <c r="C5171" s="2" t="s">
        <v>50</v>
      </c>
      <c r="D5171" s="2" t="s">
        <v>16</v>
      </c>
      <c r="E5171" s="2" t="s">
        <v>76</v>
      </c>
      <c r="F5171" s="2" t="s">
        <v>1145</v>
      </c>
      <c r="G5171" s="14" t="n">
        <v>85</v>
      </c>
      <c r="H5171" s="14" t="n">
        <v>223.3</v>
      </c>
      <c r="I5171" s="14" t="n">
        <v>85</v>
      </c>
      <c r="J5171" s="22" t="n">
        <f aca="false">IF(E5171="Priority",'Cost model'!N217,'Cost model'!M217)</f>
        <v>285</v>
      </c>
      <c r="K5171" s="14" t="n">
        <f aca="false">J5171-H5171</f>
        <v>61.7</v>
      </c>
      <c r="L5171" s="14" t="n">
        <f aca="false">G5171-H5171</f>
        <v>-138.3</v>
      </c>
    </row>
    <row r="5172" customFormat="false" ht="15" hidden="false" customHeight="false" outlineLevel="0" collapsed="false">
      <c r="A5172" s="2" t="s">
        <v>126</v>
      </c>
      <c r="B5172" s="2" t="s">
        <v>126</v>
      </c>
      <c r="C5172" s="2" t="s">
        <v>48</v>
      </c>
      <c r="D5172" s="2" t="s">
        <v>12</v>
      </c>
      <c r="E5172" s="2" t="s">
        <v>76</v>
      </c>
      <c r="F5172" s="2" t="s">
        <v>1145</v>
      </c>
      <c r="G5172" s="14" t="n">
        <v>9.5</v>
      </c>
      <c r="H5172" s="14" t="n">
        <v>27.91</v>
      </c>
      <c r="I5172" s="14" t="n">
        <v>9.5</v>
      </c>
      <c r="J5172" s="22" t="n">
        <f aca="false">IF(E5172="Priority",'Cost model'!N383,'Cost model'!M383)</f>
        <v>27.5</v>
      </c>
      <c r="K5172" s="14" t="n">
        <f aca="false">J5172-H5172</f>
        <v>-0.41</v>
      </c>
      <c r="L5172" s="14" t="n">
        <f aca="false">G5172-H5172</f>
        <v>-18.41</v>
      </c>
    </row>
    <row r="5173" customFormat="false" ht="15" hidden="false" customHeight="false" outlineLevel="0" collapsed="false">
      <c r="A5173" s="2" t="s">
        <v>184</v>
      </c>
      <c r="B5173" s="2" t="s">
        <v>126</v>
      </c>
      <c r="C5173" s="2" t="s">
        <v>48</v>
      </c>
      <c r="D5173" s="2" t="s">
        <v>12</v>
      </c>
      <c r="E5173" s="2" t="s">
        <v>76</v>
      </c>
      <c r="F5173" s="2" t="s">
        <v>1146</v>
      </c>
      <c r="G5173" s="14" t="n">
        <v>9.5</v>
      </c>
      <c r="H5173" s="14" t="n">
        <v>42.61</v>
      </c>
      <c r="I5173" s="14" t="n">
        <v>9.5</v>
      </c>
      <c r="J5173" s="22" t="n">
        <f aca="false">IF(E5173="Priority",'Cost model'!N131,'Cost model'!M131)</f>
        <v>40</v>
      </c>
      <c r="K5173" s="14" t="n">
        <f aca="false">J5173-H5173</f>
        <v>-2.61</v>
      </c>
      <c r="L5173" s="14" t="n">
        <f aca="false">G5173-H5173</f>
        <v>-33.11</v>
      </c>
    </row>
    <row r="5174" customFormat="false" ht="15" hidden="false" customHeight="false" outlineLevel="0" collapsed="false">
      <c r="A5174" s="2" t="s">
        <v>146</v>
      </c>
      <c r="B5174" s="2" t="s">
        <v>146</v>
      </c>
      <c r="C5174" s="2" t="s">
        <v>48</v>
      </c>
      <c r="D5174" s="2" t="s">
        <v>10</v>
      </c>
      <c r="E5174" s="2" t="s">
        <v>76</v>
      </c>
      <c r="F5174" s="2" t="s">
        <v>1145</v>
      </c>
      <c r="G5174" s="14" t="n">
        <v>9.5</v>
      </c>
      <c r="H5174" s="14" t="n">
        <v>7.34</v>
      </c>
      <c r="I5174" s="14" t="n">
        <v>9.5</v>
      </c>
      <c r="J5174" s="22" t="n">
        <f aca="false">IF(E5174="Priority",'Cost model'!N758,'Cost model'!M758)</f>
        <v>9.5</v>
      </c>
      <c r="K5174" s="14" t="n">
        <f aca="false">J5174-H5174</f>
        <v>2.16</v>
      </c>
      <c r="L5174" s="14" t="n">
        <f aca="false">G5174-H5174</f>
        <v>2.16</v>
      </c>
    </row>
    <row r="5175" customFormat="false" ht="15" hidden="false" customHeight="false" outlineLevel="0" collapsed="false">
      <c r="A5175" s="2" t="s">
        <v>125</v>
      </c>
      <c r="B5175" s="2" t="s">
        <v>126</v>
      </c>
      <c r="C5175" s="2" t="s">
        <v>48</v>
      </c>
      <c r="D5175" s="2" t="s">
        <v>10</v>
      </c>
      <c r="E5175" s="2" t="s">
        <v>76</v>
      </c>
      <c r="F5175" s="2" t="s">
        <v>1146</v>
      </c>
      <c r="G5175" s="14" t="n">
        <v>14.5</v>
      </c>
      <c r="H5175" s="14" t="n">
        <v>12.27</v>
      </c>
      <c r="I5175" s="14" t="n">
        <v>14.5</v>
      </c>
      <c r="J5175" s="22" t="n">
        <f aca="false">IF(E5175="Priority",'Cost model'!N2,'Cost model'!M2)</f>
        <v>14.5</v>
      </c>
      <c r="K5175" s="14" t="n">
        <f aca="false">J5175-H5175</f>
        <v>2.23</v>
      </c>
      <c r="L5175" s="14" t="n">
        <f aca="false">G5175-H5175</f>
        <v>2.23</v>
      </c>
    </row>
    <row r="5176" customFormat="false" ht="15" hidden="false" customHeight="false" outlineLevel="0" collapsed="false">
      <c r="A5176" s="2" t="s">
        <v>240</v>
      </c>
      <c r="B5176" s="2" t="s">
        <v>240</v>
      </c>
      <c r="C5176" s="2" t="s">
        <v>50</v>
      </c>
      <c r="D5176" s="2" t="s">
        <v>10</v>
      </c>
      <c r="E5176" s="2" t="s">
        <v>76</v>
      </c>
      <c r="F5176" s="2" t="s">
        <v>1145</v>
      </c>
      <c r="G5176" s="14" t="n">
        <v>17.5</v>
      </c>
      <c r="H5176" s="14" t="n">
        <v>9.99</v>
      </c>
      <c r="I5176" s="14" t="n">
        <v>17.5</v>
      </c>
      <c r="J5176" s="22" t="n">
        <f aca="false">IF(E5176="Priority",'Cost model'!N886,'Cost model'!M886)</f>
        <v>17.5</v>
      </c>
      <c r="K5176" s="14" t="n">
        <f aca="false">J5176-H5176</f>
        <v>7.51</v>
      </c>
      <c r="L5176" s="14" t="n">
        <f aca="false">G5176-H5176</f>
        <v>7.51</v>
      </c>
    </row>
    <row r="5177" customFormat="false" ht="15" hidden="false" customHeight="false" outlineLevel="0" collapsed="false">
      <c r="A5177" s="2" t="s">
        <v>184</v>
      </c>
      <c r="B5177" s="2" t="s">
        <v>184</v>
      </c>
      <c r="C5177" s="2" t="s">
        <v>48</v>
      </c>
      <c r="D5177" s="2" t="s">
        <v>10</v>
      </c>
      <c r="E5177" s="2" t="s">
        <v>76</v>
      </c>
      <c r="F5177" s="2" t="s">
        <v>1145</v>
      </c>
      <c r="G5177" s="14" t="n">
        <v>9.5</v>
      </c>
      <c r="H5177" s="14" t="n">
        <v>7.46</v>
      </c>
      <c r="I5177" s="14" t="n">
        <v>9.5</v>
      </c>
      <c r="J5177" s="22" t="n">
        <f aca="false">IF(E5177="Priority",'Cost model'!N200,'Cost model'!M200)</f>
        <v>7.5</v>
      </c>
      <c r="K5177" s="14" t="n">
        <f aca="false">J5177-H5177</f>
        <v>0.04</v>
      </c>
      <c r="L5177" s="14" t="n">
        <f aca="false">G5177-H5177</f>
        <v>2.04</v>
      </c>
    </row>
    <row r="5178" customFormat="false" ht="15" hidden="false" customHeight="false" outlineLevel="0" collapsed="false">
      <c r="A5178" s="2" t="s">
        <v>184</v>
      </c>
      <c r="B5178" s="2" t="s">
        <v>184</v>
      </c>
      <c r="C5178" s="2" t="s">
        <v>48</v>
      </c>
      <c r="D5178" s="2" t="s">
        <v>10</v>
      </c>
      <c r="E5178" s="2" t="s">
        <v>76</v>
      </c>
      <c r="F5178" s="2" t="s">
        <v>1145</v>
      </c>
      <c r="G5178" s="14" t="n">
        <v>9.5</v>
      </c>
      <c r="H5178" s="14" t="n">
        <v>7.72</v>
      </c>
      <c r="I5178" s="14" t="n">
        <v>9.5</v>
      </c>
      <c r="J5178" s="22" t="n">
        <f aca="false">IF(E5178="Priority",'Cost model'!N200,'Cost model'!M200)</f>
        <v>7.5</v>
      </c>
      <c r="K5178" s="14" t="n">
        <f aca="false">J5178-H5178</f>
        <v>-0.22</v>
      </c>
      <c r="L5178" s="14" t="n">
        <f aca="false">G5178-H5178</f>
        <v>1.78</v>
      </c>
    </row>
    <row r="5179" customFormat="false" ht="15" hidden="false" customHeight="false" outlineLevel="0" collapsed="false">
      <c r="A5179" s="2" t="s">
        <v>126</v>
      </c>
      <c r="B5179" s="2" t="s">
        <v>146</v>
      </c>
      <c r="C5179" s="2" t="s">
        <v>49</v>
      </c>
      <c r="D5179" s="2" t="s">
        <v>12</v>
      </c>
      <c r="E5179" s="2" t="s">
        <v>76</v>
      </c>
      <c r="F5179" s="2" t="s">
        <v>1146</v>
      </c>
      <c r="G5179" s="14" t="n">
        <v>12.5</v>
      </c>
      <c r="H5179" s="14" t="n">
        <v>50.38</v>
      </c>
      <c r="I5179" s="14" t="n">
        <v>19.5</v>
      </c>
      <c r="J5179" s="22" t="n">
        <f aca="false">IF(E5179="Priority",'Cost model'!N402,'Cost model'!M402)</f>
        <v>60</v>
      </c>
      <c r="K5179" s="14" t="n">
        <f aca="false">J5179-H5179</f>
        <v>9.62</v>
      </c>
      <c r="L5179" s="14" t="n">
        <f aca="false">G5179-H5179</f>
        <v>-37.88</v>
      </c>
    </row>
    <row r="5180" customFormat="false" ht="15" hidden="false" customHeight="false" outlineLevel="0" collapsed="false">
      <c r="A5180" s="2" t="s">
        <v>240</v>
      </c>
      <c r="B5180" s="2" t="s">
        <v>165</v>
      </c>
      <c r="C5180" s="2" t="s">
        <v>48</v>
      </c>
      <c r="D5180" s="2" t="s">
        <v>12</v>
      </c>
      <c r="E5180" s="2" t="s">
        <v>76</v>
      </c>
      <c r="F5180" s="2" t="s">
        <v>1146</v>
      </c>
      <c r="G5180" s="14" t="n">
        <v>9.5</v>
      </c>
      <c r="H5180" s="14" t="n">
        <v>90.94</v>
      </c>
      <c r="I5180" s="14" t="n">
        <v>19.5</v>
      </c>
      <c r="J5180" s="22" t="n">
        <f aca="false">IF(E5180="Priority",'Cost model'!N905,'Cost model'!M905)</f>
        <v>50</v>
      </c>
      <c r="K5180" s="14" t="n">
        <f aca="false">J5180-H5180</f>
        <v>-40.94</v>
      </c>
      <c r="L5180" s="14" t="n">
        <f aca="false">G5180-H5180</f>
        <v>-81.44</v>
      </c>
    </row>
    <row r="5181" customFormat="false" ht="15" hidden="false" customHeight="false" outlineLevel="0" collapsed="false">
      <c r="A5181" s="2" t="s">
        <v>184</v>
      </c>
      <c r="B5181" s="2" t="s">
        <v>126</v>
      </c>
      <c r="C5181" s="2" t="s">
        <v>48</v>
      </c>
      <c r="D5181" s="2" t="s">
        <v>10</v>
      </c>
      <c r="E5181" s="2" t="s">
        <v>76</v>
      </c>
      <c r="F5181" s="2" t="s">
        <v>1146</v>
      </c>
      <c r="G5181" s="14" t="n">
        <v>9.5</v>
      </c>
      <c r="H5181" s="14" t="n">
        <v>10.76</v>
      </c>
      <c r="I5181" s="14" t="n">
        <v>9.5</v>
      </c>
      <c r="J5181" s="22" t="n">
        <f aca="false">IF(E5181="Priority",'Cost model'!N128,'Cost model'!M128)</f>
        <v>10.5</v>
      </c>
      <c r="K5181" s="14" t="n">
        <f aca="false">J5181-H5181</f>
        <v>-0.26</v>
      </c>
      <c r="L5181" s="14" t="n">
        <f aca="false">G5181-H5181</f>
        <v>-1.26</v>
      </c>
    </row>
    <row r="5182" customFormat="false" ht="15" hidden="false" customHeight="false" outlineLevel="0" collapsed="false">
      <c r="A5182" s="2" t="s">
        <v>184</v>
      </c>
      <c r="B5182" s="2" t="s">
        <v>184</v>
      </c>
      <c r="C5182" s="2" t="s">
        <v>48</v>
      </c>
      <c r="D5182" s="2" t="s">
        <v>12</v>
      </c>
      <c r="E5182" s="2" t="s">
        <v>76</v>
      </c>
      <c r="F5182" s="2" t="s">
        <v>1145</v>
      </c>
      <c r="G5182" s="14" t="n">
        <v>9.5</v>
      </c>
      <c r="H5182" s="14" t="n">
        <v>28.59</v>
      </c>
      <c r="I5182" s="14" t="n">
        <v>9.5</v>
      </c>
      <c r="J5182" s="22" t="n">
        <f aca="false">IF(E5182="Priority",'Cost model'!N203,'Cost model'!M203)</f>
        <v>26.5</v>
      </c>
      <c r="K5182" s="14" t="n">
        <f aca="false">J5182-H5182</f>
        <v>-2.09</v>
      </c>
      <c r="L5182" s="14" t="n">
        <f aca="false">G5182-H5182</f>
        <v>-19.09</v>
      </c>
    </row>
    <row r="5183" customFormat="false" ht="15" hidden="false" customHeight="false" outlineLevel="0" collapsed="false">
      <c r="A5183" s="2" t="s">
        <v>126</v>
      </c>
      <c r="B5183" s="2" t="s">
        <v>184</v>
      </c>
      <c r="C5183" s="2" t="s">
        <v>49</v>
      </c>
      <c r="D5183" s="2" t="s">
        <v>13</v>
      </c>
      <c r="E5183" s="2" t="s">
        <v>76</v>
      </c>
      <c r="F5183" s="2" t="s">
        <v>1146</v>
      </c>
      <c r="G5183" s="14" t="n">
        <v>24.5</v>
      </c>
      <c r="H5183" s="14" t="n">
        <v>70.17</v>
      </c>
      <c r="I5183" s="14" t="n">
        <v>24.5</v>
      </c>
      <c r="J5183" s="22" t="n">
        <f aca="false">IF(E5183="Priority",'Cost model'!N441,'Cost model'!M441)</f>
        <v>95</v>
      </c>
      <c r="K5183" s="14" t="n">
        <f aca="false">J5183-H5183</f>
        <v>24.83</v>
      </c>
      <c r="L5183" s="14" t="n">
        <f aca="false">G5183-H5183</f>
        <v>-45.67</v>
      </c>
    </row>
    <row r="5184" customFormat="false" ht="15" hidden="false" customHeight="false" outlineLevel="0" collapsed="false">
      <c r="A5184" s="2" t="s">
        <v>165</v>
      </c>
      <c r="B5184" s="2" t="s">
        <v>126</v>
      </c>
      <c r="C5184" s="2" t="s">
        <v>50</v>
      </c>
      <c r="D5184" s="2" t="s">
        <v>10</v>
      </c>
      <c r="E5184" s="2" t="s">
        <v>76</v>
      </c>
      <c r="F5184" s="2" t="s">
        <v>1146</v>
      </c>
      <c r="G5184" s="14" t="n">
        <v>19.5</v>
      </c>
      <c r="H5184" s="14" t="n">
        <v>40.56</v>
      </c>
      <c r="I5184" s="14" t="n">
        <v>17.5</v>
      </c>
      <c r="J5184" s="22" t="n">
        <f aca="false">IF(E5184="Priority",'Cost model'!N544,'Cost model'!M544)</f>
        <v>21.5</v>
      </c>
      <c r="K5184" s="14" t="n">
        <f aca="false">J5184-H5184</f>
        <v>-19.06</v>
      </c>
      <c r="L5184" s="14" t="n">
        <f aca="false">G5184-H5184</f>
        <v>-21.06</v>
      </c>
    </row>
    <row r="5185" customFormat="false" ht="15" hidden="false" customHeight="false" outlineLevel="0" collapsed="false">
      <c r="A5185" s="2" t="s">
        <v>240</v>
      </c>
      <c r="B5185" s="2" t="s">
        <v>126</v>
      </c>
      <c r="C5185" s="2" t="s">
        <v>48</v>
      </c>
      <c r="D5185" s="2" t="s">
        <v>10</v>
      </c>
      <c r="E5185" s="2" t="s">
        <v>76</v>
      </c>
      <c r="F5185" s="2" t="s">
        <v>1146</v>
      </c>
      <c r="G5185" s="14" t="n">
        <v>9.5</v>
      </c>
      <c r="H5185" s="14" t="n">
        <v>17.29</v>
      </c>
      <c r="I5185" s="14" t="n">
        <v>19.5</v>
      </c>
      <c r="J5185" s="22" t="n">
        <f aca="false">IF(E5185="Priority",'Cost model'!N956,'Cost model'!M956)</f>
        <v>15.5</v>
      </c>
      <c r="K5185" s="14" t="n">
        <f aca="false">J5185-H5185</f>
        <v>-1.79</v>
      </c>
      <c r="L5185" s="14" t="n">
        <f aca="false">G5185-H5185</f>
        <v>-7.79</v>
      </c>
    </row>
    <row r="5186" customFormat="false" ht="15" hidden="false" customHeight="false" outlineLevel="0" collapsed="false">
      <c r="A5186" s="2" t="s">
        <v>184</v>
      </c>
      <c r="B5186" s="2" t="s">
        <v>184</v>
      </c>
      <c r="C5186" s="2" t="s">
        <v>48</v>
      </c>
      <c r="D5186" s="2" t="s">
        <v>10</v>
      </c>
      <c r="E5186" s="2" t="s">
        <v>76</v>
      </c>
      <c r="F5186" s="2" t="s">
        <v>1145</v>
      </c>
      <c r="G5186" s="14" t="n">
        <v>9.5</v>
      </c>
      <c r="H5186" s="14" t="n">
        <v>7.69</v>
      </c>
      <c r="I5186" s="14" t="n">
        <v>9.5</v>
      </c>
      <c r="J5186" s="22" t="n">
        <f aca="false">IF(E5186="Priority",'Cost model'!N200,'Cost model'!M200)</f>
        <v>7.5</v>
      </c>
      <c r="K5186" s="14" t="n">
        <f aca="false">J5186-H5186</f>
        <v>-0.19</v>
      </c>
      <c r="L5186" s="14" t="n">
        <f aca="false">G5186-H5186</f>
        <v>1.81</v>
      </c>
    </row>
    <row r="5187" customFormat="false" ht="15" hidden="false" customHeight="false" outlineLevel="0" collapsed="false">
      <c r="A5187" s="2" t="s">
        <v>184</v>
      </c>
      <c r="B5187" s="2" t="s">
        <v>184</v>
      </c>
      <c r="C5187" s="2" t="s">
        <v>48</v>
      </c>
      <c r="D5187" s="2" t="s">
        <v>10</v>
      </c>
      <c r="E5187" s="2" t="s">
        <v>76</v>
      </c>
      <c r="F5187" s="2" t="s">
        <v>1145</v>
      </c>
      <c r="G5187" s="14" t="n">
        <v>9.5</v>
      </c>
      <c r="H5187" s="14" t="n">
        <v>5.94</v>
      </c>
      <c r="I5187" s="14" t="n">
        <v>9.5</v>
      </c>
      <c r="J5187" s="22" t="n">
        <f aca="false">IF(E5187="Priority",'Cost model'!N200,'Cost model'!M200)</f>
        <v>7.5</v>
      </c>
      <c r="K5187" s="14" t="n">
        <f aca="false">J5187-H5187</f>
        <v>1.56</v>
      </c>
      <c r="L5187" s="14" t="n">
        <f aca="false">G5187-H5187</f>
        <v>3.56</v>
      </c>
    </row>
    <row r="5188" customFormat="false" ht="15" hidden="false" customHeight="false" outlineLevel="0" collapsed="false">
      <c r="A5188" s="2" t="s">
        <v>126</v>
      </c>
      <c r="B5188" s="2" t="s">
        <v>126</v>
      </c>
      <c r="C5188" s="2" t="s">
        <v>49</v>
      </c>
      <c r="D5188" s="2" t="s">
        <v>12</v>
      </c>
      <c r="E5188" s="2" t="s">
        <v>76</v>
      </c>
      <c r="F5188" s="2" t="s">
        <v>1145</v>
      </c>
      <c r="G5188" s="14" t="n">
        <v>12.5</v>
      </c>
      <c r="H5188" s="14" t="n">
        <v>43.99</v>
      </c>
      <c r="I5188" s="14" t="n">
        <v>12.5</v>
      </c>
      <c r="J5188" s="22" t="n">
        <f aca="false">IF(E5188="Priority",'Cost model'!N384,'Cost model'!M384)</f>
        <v>45</v>
      </c>
      <c r="K5188" s="14" t="n">
        <f aca="false">J5188-H5188</f>
        <v>1.01</v>
      </c>
      <c r="L5188" s="14" t="n">
        <f aca="false">G5188-H5188</f>
        <v>-31.49</v>
      </c>
    </row>
    <row r="5189" customFormat="false" ht="15" hidden="false" customHeight="false" outlineLevel="0" collapsed="false">
      <c r="A5189" s="2" t="s">
        <v>146</v>
      </c>
      <c r="B5189" s="2" t="s">
        <v>146</v>
      </c>
      <c r="C5189" s="2" t="s">
        <v>49</v>
      </c>
      <c r="D5189" s="2" t="s">
        <v>10</v>
      </c>
      <c r="E5189" s="2" t="s">
        <v>76</v>
      </c>
      <c r="F5189" s="2" t="s">
        <v>1145</v>
      </c>
      <c r="G5189" s="14" t="n">
        <v>12.5</v>
      </c>
      <c r="H5189" s="14" t="n">
        <v>11.51</v>
      </c>
      <c r="I5189" s="14" t="n">
        <v>12.5</v>
      </c>
      <c r="J5189" s="22" t="n">
        <f aca="false">IF(E5189="Priority",'Cost model'!N759,'Cost model'!M759)</f>
        <v>15.5</v>
      </c>
      <c r="K5189" s="14" t="n">
        <f aca="false">J5189-H5189</f>
        <v>3.99</v>
      </c>
      <c r="L5189" s="14" t="n">
        <f aca="false">G5189-H5189</f>
        <v>0.99</v>
      </c>
    </row>
    <row r="5190" customFormat="false" ht="15" hidden="false" customHeight="false" outlineLevel="0" collapsed="false">
      <c r="A5190" s="2" t="s">
        <v>184</v>
      </c>
      <c r="B5190" s="2" t="s">
        <v>184</v>
      </c>
      <c r="C5190" s="2" t="s">
        <v>48</v>
      </c>
      <c r="D5190" s="2" t="s">
        <v>10</v>
      </c>
      <c r="E5190" s="2" t="s">
        <v>76</v>
      </c>
      <c r="F5190" s="2" t="s">
        <v>1145</v>
      </c>
      <c r="G5190" s="14" t="n">
        <v>9.5</v>
      </c>
      <c r="H5190" s="14" t="n">
        <v>7.69</v>
      </c>
      <c r="I5190" s="14" t="n">
        <v>9.5</v>
      </c>
      <c r="J5190" s="22" t="n">
        <f aca="false">IF(E5190="Priority",'Cost model'!N200,'Cost model'!M200)</f>
        <v>7.5</v>
      </c>
      <c r="K5190" s="14" t="n">
        <f aca="false">J5190-H5190</f>
        <v>-0.19</v>
      </c>
      <c r="L5190" s="14" t="n">
        <f aca="false">G5190-H5190</f>
        <v>1.81</v>
      </c>
    </row>
    <row r="5191" customFormat="false" ht="15" hidden="false" customHeight="false" outlineLevel="0" collapsed="false">
      <c r="A5191" s="2" t="s">
        <v>184</v>
      </c>
      <c r="B5191" s="2" t="s">
        <v>184</v>
      </c>
      <c r="C5191" s="2" t="s">
        <v>48</v>
      </c>
      <c r="D5191" s="2" t="s">
        <v>12</v>
      </c>
      <c r="E5191" s="2" t="s">
        <v>76</v>
      </c>
      <c r="F5191" s="2" t="s">
        <v>1145</v>
      </c>
      <c r="G5191" s="14" t="n">
        <v>9.5</v>
      </c>
      <c r="H5191" s="14" t="n">
        <v>33.76</v>
      </c>
      <c r="I5191" s="14" t="n">
        <v>9.5</v>
      </c>
      <c r="J5191" s="22" t="n">
        <f aca="false">IF(E5191="Priority",'Cost model'!N203,'Cost model'!M203)</f>
        <v>26.5</v>
      </c>
      <c r="K5191" s="14" t="n">
        <f aca="false">J5191-H5191</f>
        <v>-7.26</v>
      </c>
      <c r="L5191" s="14" t="n">
        <f aca="false">G5191-H5191</f>
        <v>-24.26</v>
      </c>
    </row>
    <row r="5192" customFormat="false" ht="15" hidden="false" customHeight="false" outlineLevel="0" collapsed="false">
      <c r="A5192" s="2" t="s">
        <v>240</v>
      </c>
      <c r="B5192" s="2" t="s">
        <v>240</v>
      </c>
      <c r="C5192" s="2" t="s">
        <v>50</v>
      </c>
      <c r="D5192" s="2" t="s">
        <v>12</v>
      </c>
      <c r="E5192" s="2" t="s">
        <v>76</v>
      </c>
      <c r="F5192" s="2" t="s">
        <v>1145</v>
      </c>
      <c r="G5192" s="14" t="n">
        <v>19.5</v>
      </c>
      <c r="H5192" s="14" t="n">
        <v>32.66</v>
      </c>
      <c r="I5192" s="14" t="n">
        <v>19.5</v>
      </c>
      <c r="J5192" s="22" t="n">
        <f aca="false">IF(E5192="Priority",'Cost model'!N889,'Cost model'!M889)</f>
        <v>60</v>
      </c>
      <c r="K5192" s="14" t="n">
        <f aca="false">J5192-H5192</f>
        <v>27.34</v>
      </c>
      <c r="L5192" s="14" t="n">
        <f aca="false">G5192-H5192</f>
        <v>-13.16</v>
      </c>
    </row>
    <row r="5193" customFormat="false" ht="15" hidden="false" customHeight="false" outlineLevel="0" collapsed="false">
      <c r="A5193" s="2" t="s">
        <v>146</v>
      </c>
      <c r="B5193" s="2" t="s">
        <v>146</v>
      </c>
      <c r="C5193" s="2" t="s">
        <v>49</v>
      </c>
      <c r="D5193" s="2" t="s">
        <v>14</v>
      </c>
      <c r="E5193" s="2" t="s">
        <v>76</v>
      </c>
      <c r="F5193" s="2" t="s">
        <v>1145</v>
      </c>
      <c r="G5193" s="14" t="n">
        <v>45</v>
      </c>
      <c r="H5193" s="14" t="n">
        <v>75.61</v>
      </c>
      <c r="I5193" s="14" t="n">
        <v>45</v>
      </c>
      <c r="J5193" s="22" t="n">
        <f aca="false">IF(E5193="Priority",'Cost model'!N768,'Cost model'!M768)</f>
        <v>145</v>
      </c>
      <c r="K5193" s="14" t="n">
        <f aca="false">J5193-H5193</f>
        <v>69.39</v>
      </c>
      <c r="L5193" s="14" t="n">
        <f aca="false">G5193-H5193</f>
        <v>-30.61</v>
      </c>
    </row>
    <row r="5194" customFormat="false" ht="15" hidden="false" customHeight="false" outlineLevel="0" collapsed="false">
      <c r="A5194" s="2" t="s">
        <v>184</v>
      </c>
      <c r="B5194" s="2" t="s">
        <v>184</v>
      </c>
      <c r="C5194" s="2" t="s">
        <v>48</v>
      </c>
      <c r="D5194" s="2" t="s">
        <v>10</v>
      </c>
      <c r="E5194" s="2" t="s">
        <v>76</v>
      </c>
      <c r="F5194" s="2" t="s">
        <v>1145</v>
      </c>
      <c r="G5194" s="14" t="n">
        <v>9.5</v>
      </c>
      <c r="H5194" s="14" t="n">
        <v>9.78</v>
      </c>
      <c r="I5194" s="14" t="n">
        <v>9.5</v>
      </c>
      <c r="J5194" s="22" t="n">
        <f aca="false">IF(E5194="Priority",'Cost model'!N200,'Cost model'!M200)</f>
        <v>7.5</v>
      </c>
      <c r="K5194" s="14" t="n">
        <f aca="false">J5194-H5194</f>
        <v>-2.28</v>
      </c>
      <c r="L5194" s="14" t="n">
        <f aca="false">G5194-H5194</f>
        <v>-0.279999999999999</v>
      </c>
    </row>
    <row r="5195" customFormat="false" ht="15" hidden="false" customHeight="false" outlineLevel="0" collapsed="false">
      <c r="A5195" s="2" t="s">
        <v>240</v>
      </c>
      <c r="B5195" s="2" t="s">
        <v>240</v>
      </c>
      <c r="C5195" s="2" t="s">
        <v>48</v>
      </c>
      <c r="D5195" s="2" t="s">
        <v>14</v>
      </c>
      <c r="E5195" s="2" t="s">
        <v>76</v>
      </c>
      <c r="F5195" s="2" t="s">
        <v>1145</v>
      </c>
      <c r="G5195" s="14" t="n">
        <v>25</v>
      </c>
      <c r="H5195" s="14" t="n">
        <v>330.97</v>
      </c>
      <c r="I5195" s="14" t="n">
        <v>25</v>
      </c>
      <c r="J5195" s="22" t="n">
        <f aca="false">IF(E5195="Priority",'Cost model'!N893,'Cost model'!M893)</f>
        <v>135</v>
      </c>
      <c r="K5195" s="14" t="n">
        <f aca="false">J5195-H5195</f>
        <v>-195.97</v>
      </c>
      <c r="L5195" s="14" t="n">
        <f aca="false">G5195-H5195</f>
        <v>-305.97</v>
      </c>
    </row>
    <row r="5196" customFormat="false" ht="15" hidden="false" customHeight="false" outlineLevel="0" collapsed="false">
      <c r="A5196" s="2" t="s">
        <v>146</v>
      </c>
      <c r="B5196" s="2" t="s">
        <v>184</v>
      </c>
      <c r="C5196" s="2" t="s">
        <v>48</v>
      </c>
      <c r="D5196" s="2" t="s">
        <v>10</v>
      </c>
      <c r="E5196" s="2" t="s">
        <v>76</v>
      </c>
      <c r="F5196" s="2" t="s">
        <v>1146</v>
      </c>
      <c r="G5196" s="14" t="n">
        <v>14.5</v>
      </c>
      <c r="H5196" s="14" t="n">
        <v>5</v>
      </c>
      <c r="I5196" s="14" t="n">
        <v>14.5</v>
      </c>
      <c r="J5196" s="22" t="n">
        <f aca="false">IF(E5196="Priority",'Cost model'!N830,'Cost model'!M830)</f>
        <v>9.5</v>
      </c>
      <c r="K5196" s="14" t="n">
        <f aca="false">J5196-H5196</f>
        <v>4.5</v>
      </c>
      <c r="L5196" s="14" t="n">
        <f aca="false">G5196-H5196</f>
        <v>9.5</v>
      </c>
    </row>
    <row r="5197" customFormat="false" ht="15" hidden="false" customHeight="false" outlineLevel="0" collapsed="false">
      <c r="A5197" s="2" t="s">
        <v>146</v>
      </c>
      <c r="B5197" s="2" t="s">
        <v>146</v>
      </c>
      <c r="C5197" s="2" t="s">
        <v>50</v>
      </c>
      <c r="D5197" s="2" t="s">
        <v>12</v>
      </c>
      <c r="E5197" s="2" t="s">
        <v>76</v>
      </c>
      <c r="F5197" s="2" t="s">
        <v>1145</v>
      </c>
      <c r="G5197" s="14" t="n">
        <v>19.5</v>
      </c>
      <c r="H5197" s="14" t="n">
        <v>43.66</v>
      </c>
      <c r="I5197" s="14" t="n">
        <v>19.5</v>
      </c>
      <c r="J5197" s="22" t="n">
        <f aca="false">IF(E5197="Priority",'Cost model'!N763,'Cost model'!M763)</f>
        <v>50</v>
      </c>
      <c r="K5197" s="14" t="n">
        <f aca="false">J5197-H5197</f>
        <v>6.34</v>
      </c>
      <c r="L5197" s="14" t="n">
        <f aca="false">G5197-H5197</f>
        <v>-24.16</v>
      </c>
    </row>
    <row r="5198" customFormat="false" ht="15" hidden="false" customHeight="false" outlineLevel="0" collapsed="false">
      <c r="A5198" s="2" t="s">
        <v>184</v>
      </c>
      <c r="B5198" s="2" t="s">
        <v>184</v>
      </c>
      <c r="C5198" s="2" t="s">
        <v>49</v>
      </c>
      <c r="D5198" s="2" t="s">
        <v>12</v>
      </c>
      <c r="E5198" s="2" t="s">
        <v>76</v>
      </c>
      <c r="F5198" s="2" t="s">
        <v>1145</v>
      </c>
      <c r="G5198" s="14" t="n">
        <v>12.5</v>
      </c>
      <c r="H5198" s="14" t="n">
        <v>45.25</v>
      </c>
      <c r="I5198" s="14"/>
      <c r="J5198" s="22" t="n">
        <f aca="false">IF(E5198="Priority",'Cost model'!N204,'Cost model'!M204)</f>
        <v>45</v>
      </c>
      <c r="K5198" s="14" t="n">
        <f aca="false">J5198-H5198</f>
        <v>-0.25</v>
      </c>
      <c r="L5198" s="14" t="n">
        <f aca="false">G5198-H5198</f>
        <v>-32.75</v>
      </c>
    </row>
    <row r="5199" customFormat="false" ht="15" hidden="false" customHeight="false" outlineLevel="0" collapsed="false">
      <c r="A5199" s="2" t="s">
        <v>184</v>
      </c>
      <c r="B5199" s="2" t="s">
        <v>184</v>
      </c>
      <c r="C5199" s="2" t="s">
        <v>48</v>
      </c>
      <c r="D5199" s="2" t="s">
        <v>12</v>
      </c>
      <c r="E5199" s="2" t="s">
        <v>76</v>
      </c>
      <c r="F5199" s="2" t="s">
        <v>1145</v>
      </c>
      <c r="G5199" s="14" t="n">
        <v>9.5</v>
      </c>
      <c r="H5199" s="14" t="n">
        <v>25.99</v>
      </c>
      <c r="I5199" s="14" t="n">
        <v>9.5</v>
      </c>
      <c r="J5199" s="22" t="n">
        <f aca="false">IF(E5199="Priority",'Cost model'!N203,'Cost model'!M203)</f>
        <v>26.5</v>
      </c>
      <c r="K5199" s="14" t="n">
        <f aca="false">J5199-H5199</f>
        <v>0.510000000000002</v>
      </c>
      <c r="L5199" s="14" t="n">
        <f aca="false">G5199-H5199</f>
        <v>-16.49</v>
      </c>
    </row>
    <row r="5200" customFormat="false" ht="15" hidden="false" customHeight="false" outlineLevel="0" collapsed="false">
      <c r="A5200" s="2" t="s">
        <v>126</v>
      </c>
      <c r="B5200" s="2" t="s">
        <v>126</v>
      </c>
      <c r="C5200" s="2" t="s">
        <v>48</v>
      </c>
      <c r="D5200" s="2" t="s">
        <v>12</v>
      </c>
      <c r="E5200" s="2" t="s">
        <v>76</v>
      </c>
      <c r="F5200" s="2" t="s">
        <v>1145</v>
      </c>
      <c r="G5200" s="14" t="n">
        <v>9.5</v>
      </c>
      <c r="H5200" s="14" t="n">
        <v>7.46</v>
      </c>
      <c r="I5200" s="14" t="n">
        <v>9.5</v>
      </c>
      <c r="J5200" s="22" t="n">
        <f aca="false">IF(E5200="Priority",'Cost model'!N383,'Cost model'!M383)</f>
        <v>27.5</v>
      </c>
      <c r="K5200" s="14" t="n">
        <f aca="false">J5200-H5200</f>
        <v>20.04</v>
      </c>
      <c r="L5200" s="14" t="n">
        <f aca="false">G5200-H5200</f>
        <v>2.04</v>
      </c>
    </row>
    <row r="5201" customFormat="false" ht="15" hidden="false" customHeight="false" outlineLevel="0" collapsed="false">
      <c r="A5201" s="2" t="s">
        <v>126</v>
      </c>
      <c r="B5201" s="2" t="s">
        <v>126</v>
      </c>
      <c r="C5201" s="2" t="s">
        <v>48</v>
      </c>
      <c r="D5201" s="2" t="s">
        <v>10</v>
      </c>
      <c r="E5201" s="2" t="s">
        <v>76</v>
      </c>
      <c r="F5201" s="2" t="s">
        <v>1145</v>
      </c>
      <c r="G5201" s="14" t="n">
        <v>9.5</v>
      </c>
      <c r="H5201" s="14" t="n">
        <v>7.43</v>
      </c>
      <c r="I5201" s="14" t="n">
        <v>9.5</v>
      </c>
      <c r="J5201" s="22" t="n">
        <f aca="false">IF(E5201="Priority",'Cost model'!N380,'Cost model'!M380)</f>
        <v>8.5</v>
      </c>
      <c r="K5201" s="14" t="n">
        <f aca="false">J5201-H5201</f>
        <v>1.07</v>
      </c>
      <c r="L5201" s="14" t="n">
        <f aca="false">G5201-H5201</f>
        <v>2.07</v>
      </c>
    </row>
    <row r="5202" customFormat="false" ht="15" hidden="false" customHeight="false" outlineLevel="0" collapsed="false">
      <c r="A5202" s="2" t="s">
        <v>126</v>
      </c>
      <c r="B5202" s="2" t="s">
        <v>184</v>
      </c>
      <c r="C5202" s="2" t="s">
        <v>48</v>
      </c>
      <c r="D5202" s="2" t="s">
        <v>12</v>
      </c>
      <c r="E5202" s="2" t="s">
        <v>76</v>
      </c>
      <c r="F5202" s="2" t="s">
        <v>1146</v>
      </c>
      <c r="G5202" s="14" t="n">
        <v>9.5</v>
      </c>
      <c r="H5202" s="14" t="n">
        <v>49.64</v>
      </c>
      <c r="I5202" s="14" t="n">
        <v>19.5</v>
      </c>
      <c r="J5202" s="22" t="n">
        <f aca="false">IF(E5202="Priority",'Cost model'!N437,'Cost model'!M437)</f>
        <v>50</v>
      </c>
      <c r="K5202" s="14" t="n">
        <f aca="false">J5202-H5202</f>
        <v>0.359999999999999</v>
      </c>
      <c r="L5202" s="14" t="n">
        <f aca="false">G5202-H5202</f>
        <v>-40.14</v>
      </c>
    </row>
    <row r="5203" customFormat="false" ht="15" hidden="false" customHeight="false" outlineLevel="0" collapsed="false">
      <c r="A5203" s="2" t="s">
        <v>146</v>
      </c>
      <c r="B5203" s="2" t="s">
        <v>126</v>
      </c>
      <c r="C5203" s="2" t="s">
        <v>50</v>
      </c>
      <c r="D5203" s="2" t="s">
        <v>12</v>
      </c>
      <c r="E5203" s="2" t="s">
        <v>76</v>
      </c>
      <c r="F5203" s="2" t="s">
        <v>1146</v>
      </c>
      <c r="G5203" s="14" t="n">
        <v>19.5</v>
      </c>
      <c r="H5203" s="14" t="n">
        <v>88.4</v>
      </c>
      <c r="I5203" s="14" t="n">
        <v>19.5</v>
      </c>
      <c r="J5203" s="22" t="n">
        <f aca="false">IF(E5203="Priority",'Cost model'!N799,'Cost model'!M799)</f>
        <v>55</v>
      </c>
      <c r="K5203" s="14" t="n">
        <f aca="false">J5203-H5203</f>
        <v>-33.4</v>
      </c>
      <c r="L5203" s="14" t="n">
        <f aca="false">G5203-H5203</f>
        <v>-68.9</v>
      </c>
    </row>
    <row r="5204" customFormat="false" ht="15" hidden="false" customHeight="false" outlineLevel="0" collapsed="false">
      <c r="A5204" s="2" t="s">
        <v>184</v>
      </c>
      <c r="B5204" s="2" t="s">
        <v>184</v>
      </c>
      <c r="C5204" s="2" t="s">
        <v>49</v>
      </c>
      <c r="D5204" s="2" t="s">
        <v>12</v>
      </c>
      <c r="E5204" s="2" t="s">
        <v>76</v>
      </c>
      <c r="F5204" s="2" t="s">
        <v>1145</v>
      </c>
      <c r="G5204" s="14" t="n">
        <v>12.5</v>
      </c>
      <c r="H5204" s="14" t="n">
        <v>7.37</v>
      </c>
      <c r="I5204" s="14"/>
      <c r="J5204" s="22" t="n">
        <f aca="false">IF(E5204="Priority",'Cost model'!N204,'Cost model'!M204)</f>
        <v>45</v>
      </c>
      <c r="K5204" s="14" t="n">
        <f aca="false">J5204-H5204</f>
        <v>37.63</v>
      </c>
      <c r="L5204" s="14" t="n">
        <f aca="false">G5204-H5204</f>
        <v>5.13</v>
      </c>
    </row>
    <row r="5205" customFormat="false" ht="15" hidden="false" customHeight="false" outlineLevel="0" collapsed="false">
      <c r="A5205" s="2" t="s">
        <v>126</v>
      </c>
      <c r="B5205" s="2" t="s">
        <v>126</v>
      </c>
      <c r="C5205" s="2" t="s">
        <v>49</v>
      </c>
      <c r="D5205" s="2" t="s">
        <v>12</v>
      </c>
      <c r="E5205" s="2" t="s">
        <v>76</v>
      </c>
      <c r="F5205" s="2" t="s">
        <v>1145</v>
      </c>
      <c r="G5205" s="14" t="n">
        <v>12.5</v>
      </c>
      <c r="H5205" s="14" t="n">
        <v>43.59</v>
      </c>
      <c r="I5205" s="14" t="n">
        <v>12.5</v>
      </c>
      <c r="J5205" s="22" t="n">
        <f aca="false">IF(E5205="Priority",'Cost model'!N384,'Cost model'!M384)</f>
        <v>45</v>
      </c>
      <c r="K5205" s="14" t="n">
        <f aca="false">J5205-H5205</f>
        <v>1.41</v>
      </c>
      <c r="L5205" s="14" t="n">
        <f aca="false">G5205-H5205</f>
        <v>-31.09</v>
      </c>
    </row>
    <row r="5206" customFormat="false" ht="15" hidden="false" customHeight="false" outlineLevel="0" collapsed="false">
      <c r="A5206" s="2" t="s">
        <v>126</v>
      </c>
      <c r="B5206" s="2" t="s">
        <v>184</v>
      </c>
      <c r="C5206" s="2" t="s">
        <v>49</v>
      </c>
      <c r="D5206" s="2" t="s">
        <v>12</v>
      </c>
      <c r="E5206" s="2" t="s">
        <v>76</v>
      </c>
      <c r="F5206" s="2" t="s">
        <v>1146</v>
      </c>
      <c r="G5206" s="14" t="n">
        <v>19.5</v>
      </c>
      <c r="H5206" s="14" t="n">
        <v>37.17</v>
      </c>
      <c r="I5206" s="14" t="n">
        <v>19.5</v>
      </c>
      <c r="J5206" s="22" t="n">
        <f aca="false">IF(E5206="Priority",'Cost model'!N438,'Cost model'!M438)</f>
        <v>55</v>
      </c>
      <c r="K5206" s="14" t="n">
        <f aca="false">J5206-H5206</f>
        <v>17.83</v>
      </c>
      <c r="L5206" s="14" t="n">
        <f aca="false">G5206-H5206</f>
        <v>-17.67</v>
      </c>
    </row>
    <row r="5207" customFormat="false" ht="15" hidden="false" customHeight="false" outlineLevel="0" collapsed="false">
      <c r="A5207" s="2" t="s">
        <v>146</v>
      </c>
      <c r="B5207" s="2" t="s">
        <v>126</v>
      </c>
      <c r="C5207" s="2" t="s">
        <v>48</v>
      </c>
      <c r="D5207" s="2" t="s">
        <v>15</v>
      </c>
      <c r="E5207" s="2" t="s">
        <v>76</v>
      </c>
      <c r="F5207" s="2" t="s">
        <v>1146</v>
      </c>
      <c r="G5207" s="14" t="n">
        <v>25</v>
      </c>
      <c r="H5207" s="14" t="n">
        <v>80.16</v>
      </c>
      <c r="I5207" s="14" t="n">
        <v>250</v>
      </c>
      <c r="J5207" s="22" t="n">
        <f aca="false">IF(E5207="Priority",'Cost model'!N806,'Cost model'!M806)</f>
        <v>150</v>
      </c>
      <c r="K5207" s="14" t="n">
        <f aca="false">J5207-H5207</f>
        <v>69.84</v>
      </c>
      <c r="L5207" s="14" t="n">
        <f aca="false">G5207-H5207</f>
        <v>-55.16</v>
      </c>
    </row>
    <row r="5208" customFormat="false" ht="15" hidden="false" customHeight="false" outlineLevel="0" collapsed="false">
      <c r="A5208" s="2" t="s">
        <v>184</v>
      </c>
      <c r="B5208" s="2" t="s">
        <v>146</v>
      </c>
      <c r="C5208" s="2" t="s">
        <v>48</v>
      </c>
      <c r="D5208" s="2" t="s">
        <v>12</v>
      </c>
      <c r="E5208" s="2" t="s">
        <v>76</v>
      </c>
      <c r="F5208" s="2" t="s">
        <v>1146</v>
      </c>
      <c r="G5208" s="14" t="n">
        <v>9.5</v>
      </c>
      <c r="H5208" s="14" t="n">
        <v>14.86</v>
      </c>
      <c r="I5208" s="14" t="n">
        <v>9.5</v>
      </c>
      <c r="J5208" s="22" t="n">
        <f aca="false">IF(E5208="Priority",'Cost model'!N149,'Cost model'!M149)</f>
        <v>45</v>
      </c>
      <c r="K5208" s="14" t="n">
        <f aca="false">J5208-H5208</f>
        <v>30.14</v>
      </c>
      <c r="L5208" s="14" t="n">
        <f aca="false">G5208-H5208</f>
        <v>-5.36</v>
      </c>
    </row>
    <row r="5209" customFormat="false" ht="15" hidden="false" customHeight="false" outlineLevel="0" collapsed="false">
      <c r="A5209" s="2" t="s">
        <v>184</v>
      </c>
      <c r="B5209" s="2" t="s">
        <v>184</v>
      </c>
      <c r="C5209" s="2" t="s">
        <v>48</v>
      </c>
      <c r="D5209" s="2" t="s">
        <v>10</v>
      </c>
      <c r="E5209" s="2" t="s">
        <v>76</v>
      </c>
      <c r="F5209" s="2" t="s">
        <v>1145</v>
      </c>
      <c r="G5209" s="14" t="n">
        <v>9.5</v>
      </c>
      <c r="H5209" s="14" t="n">
        <v>7.45</v>
      </c>
      <c r="I5209" s="14" t="n">
        <v>9.5</v>
      </c>
      <c r="J5209" s="22" t="n">
        <f aca="false">IF(E5209="Priority",'Cost model'!N200,'Cost model'!M200)</f>
        <v>7.5</v>
      </c>
      <c r="K5209" s="14" t="n">
        <f aca="false">J5209-H5209</f>
        <v>0.0499999999999998</v>
      </c>
      <c r="L5209" s="14" t="n">
        <f aca="false">G5209-H5209</f>
        <v>2.05</v>
      </c>
    </row>
    <row r="5210" customFormat="false" ht="15" hidden="false" customHeight="false" outlineLevel="0" collapsed="false">
      <c r="A5210" s="2" t="s">
        <v>184</v>
      </c>
      <c r="B5210" s="2" t="s">
        <v>184</v>
      </c>
      <c r="C5210" s="2" t="s">
        <v>48</v>
      </c>
      <c r="D5210" s="2" t="s">
        <v>10</v>
      </c>
      <c r="E5210" s="2" t="s">
        <v>76</v>
      </c>
      <c r="F5210" s="2" t="s">
        <v>1145</v>
      </c>
      <c r="G5210" s="14" t="n">
        <v>9.5</v>
      </c>
      <c r="H5210" s="14" t="n">
        <v>7.72</v>
      </c>
      <c r="I5210" s="14" t="n">
        <v>9.5</v>
      </c>
      <c r="J5210" s="22" t="n">
        <f aca="false">IF(E5210="Priority",'Cost model'!N200,'Cost model'!M200)</f>
        <v>7.5</v>
      </c>
      <c r="K5210" s="14" t="n">
        <f aca="false">J5210-H5210</f>
        <v>-0.22</v>
      </c>
      <c r="L5210" s="14" t="n">
        <f aca="false">G5210-H5210</f>
        <v>1.78</v>
      </c>
    </row>
    <row r="5211" customFormat="false" ht="15" hidden="false" customHeight="false" outlineLevel="0" collapsed="false">
      <c r="A5211" s="2" t="s">
        <v>126</v>
      </c>
      <c r="B5211" s="2" t="s">
        <v>126</v>
      </c>
      <c r="C5211" s="2" t="s">
        <v>48</v>
      </c>
      <c r="D5211" s="2" t="s">
        <v>12</v>
      </c>
      <c r="E5211" s="2" t="s">
        <v>76</v>
      </c>
      <c r="F5211" s="2" t="s">
        <v>1145</v>
      </c>
      <c r="G5211" s="14" t="n">
        <v>9.5</v>
      </c>
      <c r="H5211" s="14" t="n">
        <v>27.87</v>
      </c>
      <c r="I5211" s="14" t="n">
        <v>9.5</v>
      </c>
      <c r="J5211" s="22" t="n">
        <f aca="false">IF(E5211="Priority",'Cost model'!N383,'Cost model'!M383)</f>
        <v>27.5</v>
      </c>
      <c r="K5211" s="14" t="n">
        <f aca="false">J5211-H5211</f>
        <v>-0.370000000000001</v>
      </c>
      <c r="L5211" s="14" t="n">
        <f aca="false">G5211-H5211</f>
        <v>-18.37</v>
      </c>
    </row>
    <row r="5212" customFormat="false" ht="15" hidden="false" customHeight="false" outlineLevel="0" collapsed="false">
      <c r="A5212" s="2" t="s">
        <v>146</v>
      </c>
      <c r="B5212" s="2" t="s">
        <v>126</v>
      </c>
      <c r="C5212" s="2" t="s">
        <v>48</v>
      </c>
      <c r="D5212" s="2" t="s">
        <v>10</v>
      </c>
      <c r="E5212" s="2" t="s">
        <v>76</v>
      </c>
      <c r="F5212" s="2" t="s">
        <v>1146</v>
      </c>
      <c r="G5212" s="14" t="n">
        <v>14.5</v>
      </c>
      <c r="H5212" s="14" t="n">
        <v>14.47</v>
      </c>
      <c r="I5212" s="14" t="n">
        <v>14.5</v>
      </c>
      <c r="J5212" s="22" t="n">
        <f aca="false">IF(E5212="Priority",'Cost model'!N794,'Cost model'!M794)</f>
        <v>12.5</v>
      </c>
      <c r="K5212" s="14" t="n">
        <f aca="false">J5212-H5212</f>
        <v>-1.97</v>
      </c>
      <c r="L5212" s="14" t="n">
        <f aca="false">G5212-H5212</f>
        <v>0.0299999999999994</v>
      </c>
    </row>
    <row r="5213" customFormat="false" ht="15" hidden="false" customHeight="false" outlineLevel="0" collapsed="false">
      <c r="A5213" s="2" t="s">
        <v>146</v>
      </c>
      <c r="B5213" s="2" t="s">
        <v>126</v>
      </c>
      <c r="C5213" s="2" t="s">
        <v>50</v>
      </c>
      <c r="D5213" s="2" t="s">
        <v>12</v>
      </c>
      <c r="E5213" s="2" t="s">
        <v>76</v>
      </c>
      <c r="F5213" s="2" t="s">
        <v>1146</v>
      </c>
      <c r="G5213" s="14" t="n">
        <v>19.5</v>
      </c>
      <c r="H5213" s="14" t="n">
        <v>61.84</v>
      </c>
      <c r="I5213" s="14" t="n">
        <v>19.5</v>
      </c>
      <c r="J5213" s="22" t="n">
        <f aca="false">IF(E5213="Priority",'Cost model'!N799,'Cost model'!M799)</f>
        <v>55</v>
      </c>
      <c r="K5213" s="14" t="n">
        <f aca="false">J5213-H5213</f>
        <v>-6.84</v>
      </c>
      <c r="L5213" s="14" t="n">
        <f aca="false">G5213-H5213</f>
        <v>-42.34</v>
      </c>
    </row>
    <row r="5214" customFormat="false" ht="15" hidden="false" customHeight="false" outlineLevel="0" collapsed="false">
      <c r="A5214" s="2" t="s">
        <v>146</v>
      </c>
      <c r="B5214" s="2" t="s">
        <v>125</v>
      </c>
      <c r="C5214" s="2" t="s">
        <v>48</v>
      </c>
      <c r="D5214" s="2" t="s">
        <v>10</v>
      </c>
      <c r="E5214" s="2" t="s">
        <v>76</v>
      </c>
      <c r="F5214" s="2" t="s">
        <v>1146</v>
      </c>
      <c r="G5214" s="14" t="n">
        <v>9.5</v>
      </c>
      <c r="H5214" s="14" t="n">
        <v>24.48</v>
      </c>
      <c r="I5214" s="14" t="n">
        <v>19.5</v>
      </c>
      <c r="J5214" s="22" t="n">
        <f aca="false">IF(E5214="Priority",'Cost model'!N866,'Cost model'!M866)</f>
        <v>15.5</v>
      </c>
      <c r="K5214" s="14" t="n">
        <f aca="false">J5214-H5214</f>
        <v>-8.98</v>
      </c>
      <c r="L5214" s="14" t="n">
        <f aca="false">G5214-H5214</f>
        <v>-14.98</v>
      </c>
    </row>
    <row r="5215" customFormat="false" ht="15" hidden="false" customHeight="false" outlineLevel="0" collapsed="false">
      <c r="A5215" s="2" t="s">
        <v>146</v>
      </c>
      <c r="B5215" s="2" t="s">
        <v>184</v>
      </c>
      <c r="C5215" s="2" t="s">
        <v>48</v>
      </c>
      <c r="D5215" s="2" t="s">
        <v>12</v>
      </c>
      <c r="E5215" s="2" t="s">
        <v>76</v>
      </c>
      <c r="F5215" s="2" t="s">
        <v>1146</v>
      </c>
      <c r="G5215" s="14" t="n">
        <v>9.5</v>
      </c>
      <c r="H5215" s="14" t="n">
        <v>72.09</v>
      </c>
      <c r="I5215" s="14" t="n">
        <v>19.5</v>
      </c>
      <c r="J5215" s="22" t="n">
        <f aca="false">IF(E5215="Priority",'Cost model'!N833,'Cost model'!M833)</f>
        <v>45</v>
      </c>
      <c r="K5215" s="14" t="n">
        <f aca="false">J5215-H5215</f>
        <v>-27.09</v>
      </c>
      <c r="L5215" s="14" t="n">
        <f aca="false">G5215-H5215</f>
        <v>-62.59</v>
      </c>
    </row>
    <row r="5216" customFormat="false" ht="15" hidden="false" customHeight="false" outlineLevel="0" collapsed="false">
      <c r="A5216" s="2" t="s">
        <v>184</v>
      </c>
      <c r="B5216" s="2" t="s">
        <v>165</v>
      </c>
      <c r="C5216" s="2" t="s">
        <v>48</v>
      </c>
      <c r="D5216" s="2" t="s">
        <v>12</v>
      </c>
      <c r="E5216" s="2" t="s">
        <v>76</v>
      </c>
      <c r="F5216" s="2" t="s">
        <v>1146</v>
      </c>
      <c r="G5216" s="14" t="n">
        <v>19</v>
      </c>
      <c r="H5216" s="14" t="n">
        <v>193.42</v>
      </c>
      <c r="I5216" s="14" t="n">
        <v>19.5</v>
      </c>
      <c r="J5216" s="22" t="n">
        <f aca="false">IF(E5216="Priority",'Cost model'!N167,'Cost model'!M167)</f>
        <v>60</v>
      </c>
      <c r="K5216" s="14" t="n">
        <f aca="false">J5216-H5216</f>
        <v>-133.42</v>
      </c>
      <c r="L5216" s="14" t="n">
        <f aca="false">G5216-H5216</f>
        <v>-174.42</v>
      </c>
    </row>
    <row r="5217" customFormat="false" ht="15" hidden="false" customHeight="false" outlineLevel="0" collapsed="false">
      <c r="A5217" s="2" t="s">
        <v>146</v>
      </c>
      <c r="B5217" s="2" t="s">
        <v>146</v>
      </c>
      <c r="C5217" s="2" t="s">
        <v>48</v>
      </c>
      <c r="D5217" s="2" t="s">
        <v>14</v>
      </c>
      <c r="E5217" s="2" t="s">
        <v>76</v>
      </c>
      <c r="F5217" s="2" t="s">
        <v>1145</v>
      </c>
      <c r="G5217" s="14" t="n">
        <v>25</v>
      </c>
      <c r="H5217" s="14" t="n">
        <v>170.49</v>
      </c>
      <c r="I5217" s="14" t="n">
        <v>25</v>
      </c>
      <c r="J5217" s="22" t="n">
        <f aca="false">IF(E5217="Priority",'Cost model'!N767,'Cost model'!M767)</f>
        <v>100</v>
      </c>
      <c r="K5217" s="14" t="n">
        <f aca="false">J5217-H5217</f>
        <v>-70.49</v>
      </c>
      <c r="L5217" s="14" t="n">
        <f aca="false">G5217-H5217</f>
        <v>-145.49</v>
      </c>
    </row>
    <row r="5218" customFormat="false" ht="15" hidden="false" customHeight="false" outlineLevel="0" collapsed="false">
      <c r="A5218" s="2" t="s">
        <v>184</v>
      </c>
      <c r="B5218" s="2" t="s">
        <v>184</v>
      </c>
      <c r="C5218" s="2" t="s">
        <v>50</v>
      </c>
      <c r="D5218" s="2" t="s">
        <v>12</v>
      </c>
      <c r="E5218" s="2" t="s">
        <v>76</v>
      </c>
      <c r="F5218" s="2" t="s">
        <v>1145</v>
      </c>
      <c r="G5218" s="14" t="n">
        <v>19.5</v>
      </c>
      <c r="H5218" s="14" t="n">
        <v>48.03</v>
      </c>
      <c r="I5218" s="14" t="n">
        <v>19.5</v>
      </c>
      <c r="J5218" s="22" t="n">
        <f aca="false">IF(E5218="Priority",'Cost model'!N205,'Cost model'!M205)</f>
        <v>50</v>
      </c>
      <c r="K5218" s="14" t="n">
        <f aca="false">J5218-H5218</f>
        <v>1.97</v>
      </c>
      <c r="L5218" s="14" t="n">
        <f aca="false">G5218-H5218</f>
        <v>-28.53</v>
      </c>
    </row>
    <row r="5219" customFormat="false" ht="15" hidden="false" customHeight="false" outlineLevel="0" collapsed="false">
      <c r="A5219" s="2" t="s">
        <v>165</v>
      </c>
      <c r="B5219" s="2" t="s">
        <v>165</v>
      </c>
      <c r="C5219" s="2" t="s">
        <v>50</v>
      </c>
      <c r="D5219" s="2" t="s">
        <v>10</v>
      </c>
      <c r="E5219" s="2" t="s">
        <v>85</v>
      </c>
      <c r="F5219" s="2" t="s">
        <v>1145</v>
      </c>
      <c r="G5219" s="14" t="n">
        <v>24.5</v>
      </c>
      <c r="H5219" s="14" t="n">
        <v>24.17</v>
      </c>
      <c r="I5219" s="14" t="n">
        <v>24.5</v>
      </c>
      <c r="J5219" s="22" t="n">
        <f aca="false">IF(E5219="Priority",'Cost model'!N508,'Cost model'!M508)</f>
        <v>23.5</v>
      </c>
      <c r="K5219" s="14" t="n">
        <f aca="false">J5219-H5219</f>
        <v>-0.670000000000002</v>
      </c>
      <c r="L5219" s="14" t="n">
        <f aca="false">G5219-H5219</f>
        <v>0.329999999999998</v>
      </c>
    </row>
    <row r="5220" customFormat="false" ht="15" hidden="false" customHeight="false" outlineLevel="0" collapsed="false">
      <c r="A5220" s="2" t="s">
        <v>184</v>
      </c>
      <c r="B5220" s="2" t="s">
        <v>146</v>
      </c>
      <c r="C5220" s="2" t="s">
        <v>50</v>
      </c>
      <c r="D5220" s="2" t="s">
        <v>12</v>
      </c>
      <c r="E5220" s="2" t="s">
        <v>76</v>
      </c>
      <c r="F5220" s="2" t="s">
        <v>1146</v>
      </c>
      <c r="G5220" s="14" t="n">
        <v>19.5</v>
      </c>
      <c r="H5220" s="14" t="n">
        <v>99.75</v>
      </c>
      <c r="I5220" s="14" t="n">
        <v>19.5</v>
      </c>
      <c r="J5220" s="22" t="n">
        <f aca="false">IF(E5220="Priority",'Cost model'!N151,'Cost model'!M151)</f>
        <v>55</v>
      </c>
      <c r="K5220" s="14" t="n">
        <f aca="false">J5220-H5220</f>
        <v>-44.75</v>
      </c>
      <c r="L5220" s="14" t="n">
        <f aca="false">G5220-H5220</f>
        <v>-80.25</v>
      </c>
    </row>
    <row r="5221" customFormat="false" ht="15" hidden="false" customHeight="false" outlineLevel="0" collapsed="false">
      <c r="A5221" s="2" t="s">
        <v>184</v>
      </c>
      <c r="B5221" s="2" t="s">
        <v>184</v>
      </c>
      <c r="C5221" s="2" t="s">
        <v>50</v>
      </c>
      <c r="D5221" s="2" t="s">
        <v>13</v>
      </c>
      <c r="E5221" s="2" t="s">
        <v>76</v>
      </c>
      <c r="F5221" s="2" t="s">
        <v>1145</v>
      </c>
      <c r="G5221" s="14" t="n">
        <v>85</v>
      </c>
      <c r="H5221" s="14" t="n">
        <v>40.34</v>
      </c>
      <c r="I5221" s="14" t="n">
        <v>50</v>
      </c>
      <c r="J5221" s="22" t="n">
        <f aca="false">IF(E5221="Priority",'Cost model'!N208,'Cost model'!M208)</f>
        <v>80</v>
      </c>
      <c r="K5221" s="14" t="n">
        <f aca="false">J5221-H5221</f>
        <v>39.66</v>
      </c>
      <c r="L5221" s="14" t="n">
        <f aca="false">G5221-H5221</f>
        <v>44.66</v>
      </c>
    </row>
    <row r="5222" customFormat="false" ht="15" hidden="false" customHeight="false" outlineLevel="0" collapsed="false">
      <c r="A5222" s="2" t="s">
        <v>126</v>
      </c>
      <c r="B5222" s="2" t="s">
        <v>126</v>
      </c>
      <c r="C5222" s="2" t="s">
        <v>48</v>
      </c>
      <c r="D5222" s="2" t="s">
        <v>12</v>
      </c>
      <c r="E5222" s="2" t="s">
        <v>76</v>
      </c>
      <c r="F5222" s="2" t="s">
        <v>1145</v>
      </c>
      <c r="G5222" s="14" t="n">
        <v>9.5</v>
      </c>
      <c r="H5222" s="14" t="n">
        <v>42.23</v>
      </c>
      <c r="I5222" s="14" t="n">
        <v>9.5</v>
      </c>
      <c r="J5222" s="22" t="n">
        <f aca="false">IF(E5222="Priority",'Cost model'!N383,'Cost model'!M383)</f>
        <v>27.5</v>
      </c>
      <c r="K5222" s="14" t="n">
        <f aca="false">J5222-H5222</f>
        <v>-14.73</v>
      </c>
      <c r="L5222" s="14" t="n">
        <f aca="false">G5222-H5222</f>
        <v>-32.73</v>
      </c>
    </row>
    <row r="5223" customFormat="false" ht="15" hidden="false" customHeight="false" outlineLevel="0" collapsed="false">
      <c r="A5223" s="2" t="s">
        <v>126</v>
      </c>
      <c r="B5223" s="2" t="s">
        <v>126</v>
      </c>
      <c r="C5223" s="2" t="s">
        <v>49</v>
      </c>
      <c r="D5223" s="2" t="s">
        <v>14</v>
      </c>
      <c r="E5223" s="2" t="s">
        <v>85</v>
      </c>
      <c r="F5223" s="2" t="s">
        <v>1145</v>
      </c>
      <c r="G5223" s="14" t="n">
        <v>125</v>
      </c>
      <c r="H5223" s="14" t="n">
        <v>149.46</v>
      </c>
      <c r="I5223" s="14" t="n">
        <v>125</v>
      </c>
      <c r="J5223" s="22" t="n">
        <f aca="false">IF(E5223="Priority",'Cost model'!N390,'Cost model'!M390)</f>
        <v>140</v>
      </c>
      <c r="K5223" s="14" t="n">
        <f aca="false">J5223-H5223</f>
        <v>-9.46000000000001</v>
      </c>
      <c r="L5223" s="14" t="n">
        <f aca="false">G5223-H5223</f>
        <v>-24.46</v>
      </c>
    </row>
    <row r="5224" customFormat="false" ht="15" hidden="false" customHeight="false" outlineLevel="0" collapsed="false">
      <c r="A5224" s="2" t="s">
        <v>146</v>
      </c>
      <c r="B5224" s="2" t="s">
        <v>126</v>
      </c>
      <c r="C5224" s="2" t="s">
        <v>48</v>
      </c>
      <c r="D5224" s="2" t="s">
        <v>10</v>
      </c>
      <c r="E5224" s="2" t="s">
        <v>76</v>
      </c>
      <c r="F5224" s="2" t="s">
        <v>1146</v>
      </c>
      <c r="G5224" s="14" t="n">
        <v>14.5</v>
      </c>
      <c r="H5224" s="14" t="n">
        <v>10.53</v>
      </c>
      <c r="I5224" s="14" t="n">
        <v>14.5</v>
      </c>
      <c r="J5224" s="22" t="n">
        <f aca="false">IF(E5224="Priority",'Cost model'!N794,'Cost model'!M794)</f>
        <v>12.5</v>
      </c>
      <c r="K5224" s="14" t="n">
        <f aca="false">J5224-H5224</f>
        <v>1.97</v>
      </c>
      <c r="L5224" s="14" t="n">
        <f aca="false">G5224-H5224</f>
        <v>3.97</v>
      </c>
    </row>
    <row r="5225" customFormat="false" ht="15" hidden="false" customHeight="false" outlineLevel="0" collapsed="false">
      <c r="A5225" s="2" t="s">
        <v>146</v>
      </c>
      <c r="B5225" s="2" t="s">
        <v>146</v>
      </c>
      <c r="C5225" s="2" t="s">
        <v>48</v>
      </c>
      <c r="D5225" s="2" t="s">
        <v>12</v>
      </c>
      <c r="E5225" s="2" t="s">
        <v>76</v>
      </c>
      <c r="F5225" s="2" t="s">
        <v>1145</v>
      </c>
      <c r="G5225" s="14" t="n">
        <v>9.5</v>
      </c>
      <c r="H5225" s="14" t="n">
        <v>27.91</v>
      </c>
      <c r="I5225" s="14" t="n">
        <v>9.5</v>
      </c>
      <c r="J5225" s="22" t="n">
        <f aca="false">IF(E5225="Priority",'Cost model'!N761,'Cost model'!M761)</f>
        <v>35</v>
      </c>
      <c r="K5225" s="14" t="n">
        <f aca="false">J5225-H5225</f>
        <v>7.09</v>
      </c>
      <c r="L5225" s="14" t="n">
        <f aca="false">G5225-H5225</f>
        <v>-18.41</v>
      </c>
    </row>
    <row r="5226" customFormat="false" ht="15" hidden="false" customHeight="false" outlineLevel="0" collapsed="false">
      <c r="A5226" s="2" t="s">
        <v>126</v>
      </c>
      <c r="B5226" s="2" t="s">
        <v>126</v>
      </c>
      <c r="C5226" s="2" t="s">
        <v>48</v>
      </c>
      <c r="D5226" s="2" t="s">
        <v>10</v>
      </c>
      <c r="E5226" s="2" t="s">
        <v>76</v>
      </c>
      <c r="F5226" s="2" t="s">
        <v>1145</v>
      </c>
      <c r="G5226" s="14" t="n">
        <v>9.5</v>
      </c>
      <c r="H5226" s="14" t="n">
        <v>7.45</v>
      </c>
      <c r="I5226" s="14" t="n">
        <v>9.5</v>
      </c>
      <c r="J5226" s="22" t="n">
        <f aca="false">IF(E5226="Priority",'Cost model'!N380,'Cost model'!M380)</f>
        <v>8.5</v>
      </c>
      <c r="K5226" s="14" t="n">
        <f aca="false">J5226-H5226</f>
        <v>1.05</v>
      </c>
      <c r="L5226" s="14" t="n">
        <f aca="false">G5226-H5226</f>
        <v>2.05</v>
      </c>
    </row>
    <row r="5227" customFormat="false" ht="15" hidden="false" customHeight="false" outlineLevel="0" collapsed="false">
      <c r="A5227" s="2" t="s">
        <v>240</v>
      </c>
      <c r="B5227" s="2" t="s">
        <v>165</v>
      </c>
      <c r="C5227" s="2" t="s">
        <v>48</v>
      </c>
      <c r="D5227" s="2" t="s">
        <v>10</v>
      </c>
      <c r="E5227" s="2" t="s">
        <v>85</v>
      </c>
      <c r="F5227" s="2" t="s">
        <v>1146</v>
      </c>
      <c r="G5227" s="14" t="n">
        <v>19.5</v>
      </c>
      <c r="H5227" s="14" t="n">
        <v>20.83</v>
      </c>
      <c r="I5227" s="14" t="n">
        <v>19.5</v>
      </c>
      <c r="J5227" s="22" t="n">
        <f aca="false">IF(E5227="Priority",'Cost model'!N902,'Cost model'!M902)</f>
        <v>18.5</v>
      </c>
      <c r="K5227" s="14" t="n">
        <f aca="false">J5227-H5227</f>
        <v>-2.33</v>
      </c>
      <c r="L5227" s="14" t="n">
        <f aca="false">G5227-H5227</f>
        <v>-1.33</v>
      </c>
    </row>
    <row r="5228" customFormat="false" ht="15" hidden="false" customHeight="false" outlineLevel="0" collapsed="false">
      <c r="A5228" s="2" t="s">
        <v>126</v>
      </c>
      <c r="B5228" s="2" t="s">
        <v>126</v>
      </c>
      <c r="C5228" s="2" t="s">
        <v>50</v>
      </c>
      <c r="D5228" s="2" t="s">
        <v>10</v>
      </c>
      <c r="E5228" s="2" t="s">
        <v>76</v>
      </c>
      <c r="F5228" s="2" t="s">
        <v>1145</v>
      </c>
      <c r="G5228" s="14" t="n">
        <v>17.5</v>
      </c>
      <c r="H5228" s="14" t="n">
        <v>11.03</v>
      </c>
      <c r="I5228" s="14" t="n">
        <v>17.5</v>
      </c>
      <c r="J5228" s="22" t="n">
        <f aca="false">IF(E5228="Priority",'Cost model'!N382,'Cost model'!M382)</f>
        <v>18.5</v>
      </c>
      <c r="K5228" s="14" t="n">
        <f aca="false">J5228-H5228</f>
        <v>7.47</v>
      </c>
      <c r="L5228" s="14" t="n">
        <f aca="false">G5228-H5228</f>
        <v>6.47</v>
      </c>
    </row>
    <row r="5229" customFormat="false" ht="15" hidden="false" customHeight="false" outlineLevel="0" collapsed="false">
      <c r="A5229" s="2" t="s">
        <v>240</v>
      </c>
      <c r="B5229" s="2" t="s">
        <v>125</v>
      </c>
      <c r="C5229" s="2" t="s">
        <v>50</v>
      </c>
      <c r="D5229" s="2" t="s">
        <v>12</v>
      </c>
      <c r="E5229" s="2" t="s">
        <v>76</v>
      </c>
      <c r="F5229" s="2" t="s">
        <v>1146</v>
      </c>
      <c r="G5229" s="14" t="n">
        <v>19.5</v>
      </c>
      <c r="H5229" s="14" t="n">
        <v>97.78</v>
      </c>
      <c r="I5229" s="14" t="n">
        <v>24.5</v>
      </c>
      <c r="J5229" s="22" t="n">
        <f aca="false">IF(E5229="Priority",'Cost model'!N979,'Cost model'!M979)</f>
        <v>85</v>
      </c>
      <c r="K5229" s="14" t="n">
        <f aca="false">J5229-H5229</f>
        <v>-12.78</v>
      </c>
      <c r="L5229" s="14" t="n">
        <f aca="false">G5229-H5229</f>
        <v>-78.28</v>
      </c>
    </row>
    <row r="5230" customFormat="false" ht="15" hidden="false" customHeight="false" outlineLevel="0" collapsed="false">
      <c r="A5230" s="2" t="s">
        <v>126</v>
      </c>
      <c r="B5230" s="2" t="s">
        <v>126</v>
      </c>
      <c r="C5230" s="2" t="s">
        <v>48</v>
      </c>
      <c r="D5230" s="2" t="s">
        <v>12</v>
      </c>
      <c r="E5230" s="2" t="s">
        <v>76</v>
      </c>
      <c r="F5230" s="2" t="s">
        <v>1145</v>
      </c>
      <c r="G5230" s="14" t="n">
        <v>9.5</v>
      </c>
      <c r="H5230" s="14" t="n">
        <v>27.4</v>
      </c>
      <c r="I5230" s="14" t="n">
        <v>9.5</v>
      </c>
      <c r="J5230" s="22" t="n">
        <f aca="false">IF(E5230="Priority",'Cost model'!N383,'Cost model'!M383)</f>
        <v>27.5</v>
      </c>
      <c r="K5230" s="14" t="n">
        <f aca="false">J5230-H5230</f>
        <v>0.100000000000001</v>
      </c>
      <c r="L5230" s="14" t="n">
        <f aca="false">G5230-H5230</f>
        <v>-17.9</v>
      </c>
    </row>
    <row r="5231" customFormat="false" ht="15" hidden="false" customHeight="false" outlineLevel="0" collapsed="false">
      <c r="A5231" s="2" t="s">
        <v>126</v>
      </c>
      <c r="B5231" s="2" t="s">
        <v>126</v>
      </c>
      <c r="C5231" s="2" t="s">
        <v>49</v>
      </c>
      <c r="D5231" s="2" t="s">
        <v>12</v>
      </c>
      <c r="E5231" s="2" t="s">
        <v>85</v>
      </c>
      <c r="F5231" s="2" t="s">
        <v>1145</v>
      </c>
      <c r="G5231" s="14" t="n">
        <v>19.5</v>
      </c>
      <c r="H5231" s="14" t="n">
        <v>59.18</v>
      </c>
      <c r="I5231" s="14" t="n">
        <v>19.5</v>
      </c>
      <c r="J5231" s="22" t="n">
        <f aca="false">IF(E5231="Priority",'Cost model'!N384,'Cost model'!M384)</f>
        <v>60</v>
      </c>
      <c r="K5231" s="14" t="n">
        <f aca="false">J5231-H5231</f>
        <v>0.82</v>
      </c>
      <c r="L5231" s="14" t="n">
        <f aca="false">G5231-H5231</f>
        <v>-39.68</v>
      </c>
    </row>
    <row r="5232" customFormat="false" ht="15" hidden="false" customHeight="false" outlineLevel="0" collapsed="false">
      <c r="A5232" s="2" t="s">
        <v>146</v>
      </c>
      <c r="B5232" s="2" t="s">
        <v>146</v>
      </c>
      <c r="C5232" s="2" t="s">
        <v>50</v>
      </c>
      <c r="D5232" s="2" t="s">
        <v>12</v>
      </c>
      <c r="E5232" s="2" t="s">
        <v>85</v>
      </c>
      <c r="F5232" s="2" t="s">
        <v>1145</v>
      </c>
      <c r="G5232" s="14" t="n">
        <v>29.5</v>
      </c>
      <c r="H5232" s="14" t="n">
        <v>26.17</v>
      </c>
      <c r="I5232" s="14" t="n">
        <v>29.5</v>
      </c>
      <c r="J5232" s="22" t="n">
        <f aca="false">IF(E5232="Priority",'Cost model'!N763,'Cost model'!M763)</f>
        <v>65</v>
      </c>
      <c r="K5232" s="14" t="n">
        <f aca="false">J5232-H5232</f>
        <v>38.83</v>
      </c>
      <c r="L5232" s="14" t="n">
        <f aca="false">G5232-H5232</f>
        <v>3.33</v>
      </c>
    </row>
    <row r="5233" customFormat="false" ht="15" hidden="false" customHeight="false" outlineLevel="0" collapsed="false">
      <c r="A5233" s="2" t="s">
        <v>146</v>
      </c>
      <c r="B5233" s="2" t="s">
        <v>221</v>
      </c>
      <c r="C5233" s="2" t="s">
        <v>49</v>
      </c>
      <c r="D5233" s="2" t="s">
        <v>10</v>
      </c>
      <c r="E5233" s="2" t="s">
        <v>76</v>
      </c>
      <c r="F5233" s="2" t="s">
        <v>1146</v>
      </c>
      <c r="G5233" s="14" t="n">
        <v>12.5</v>
      </c>
      <c r="H5233" s="14" t="n">
        <v>11.03</v>
      </c>
      <c r="I5233" s="14" t="n">
        <v>19.5</v>
      </c>
      <c r="J5233" s="22" t="n">
        <f aca="false">IF(E5233="Priority",'Cost model'!N849,'Cost model'!M849)</f>
        <v>12.5</v>
      </c>
      <c r="K5233" s="14" t="n">
        <f aca="false">J5233-H5233</f>
        <v>1.47</v>
      </c>
      <c r="L5233" s="14" t="n">
        <f aca="false">G5233-H5233</f>
        <v>1.47</v>
      </c>
    </row>
    <row r="5234" customFormat="false" ht="15" hidden="false" customHeight="false" outlineLevel="0" collapsed="false">
      <c r="A5234" s="2" t="s">
        <v>165</v>
      </c>
      <c r="B5234" s="2" t="s">
        <v>165</v>
      </c>
      <c r="C5234" s="2" t="s">
        <v>48</v>
      </c>
      <c r="D5234" s="2" t="s">
        <v>10</v>
      </c>
      <c r="E5234" s="2" t="s">
        <v>76</v>
      </c>
      <c r="F5234" s="2" t="s">
        <v>1145</v>
      </c>
      <c r="G5234" s="14" t="n">
        <v>9.5</v>
      </c>
      <c r="H5234" s="14" t="n">
        <v>5.23</v>
      </c>
      <c r="I5234" s="14" t="n">
        <v>9.5</v>
      </c>
      <c r="J5234" s="22" t="n">
        <f aca="false">IF(E5234="Priority",'Cost model'!N506,'Cost model'!M506)</f>
        <v>7.5</v>
      </c>
      <c r="K5234" s="14" t="n">
        <f aca="false">J5234-H5234</f>
        <v>2.27</v>
      </c>
      <c r="L5234" s="14" t="n">
        <f aca="false">G5234-H5234</f>
        <v>4.27</v>
      </c>
    </row>
    <row r="5235" customFormat="false" ht="15" hidden="false" customHeight="false" outlineLevel="0" collapsed="false">
      <c r="A5235" s="2" t="s">
        <v>146</v>
      </c>
      <c r="B5235" s="2" t="s">
        <v>165</v>
      </c>
      <c r="C5235" s="2" t="s">
        <v>48</v>
      </c>
      <c r="D5235" s="2" t="s">
        <v>12</v>
      </c>
      <c r="E5235" s="2" t="s">
        <v>76</v>
      </c>
      <c r="F5235" s="2" t="s">
        <v>1146</v>
      </c>
      <c r="G5235" s="14" t="n">
        <v>9.5</v>
      </c>
      <c r="H5235" s="14" t="n">
        <v>74.75</v>
      </c>
      <c r="I5235" s="14" t="n">
        <v>19.5</v>
      </c>
      <c r="J5235" s="22" t="n">
        <f aca="false">IF(E5235="Priority",'Cost model'!N779,'Cost model'!M779)</f>
        <v>50</v>
      </c>
      <c r="K5235" s="14" t="n">
        <f aca="false">J5235-H5235</f>
        <v>-24.75</v>
      </c>
      <c r="L5235" s="14" t="n">
        <f aca="false">G5235-H5235</f>
        <v>-65.25</v>
      </c>
    </row>
    <row r="5236" customFormat="false" ht="15" hidden="false" customHeight="false" outlineLevel="0" collapsed="false">
      <c r="A5236" s="2" t="s">
        <v>146</v>
      </c>
      <c r="B5236" s="2" t="s">
        <v>184</v>
      </c>
      <c r="C5236" s="2" t="s">
        <v>48</v>
      </c>
      <c r="D5236" s="2" t="s">
        <v>10</v>
      </c>
      <c r="E5236" s="2" t="s">
        <v>76</v>
      </c>
      <c r="F5236" s="2" t="s">
        <v>1146</v>
      </c>
      <c r="G5236" s="14" t="n">
        <v>14.5</v>
      </c>
      <c r="H5236" s="14" t="n">
        <v>6.47</v>
      </c>
      <c r="I5236" s="14" t="n">
        <v>14.5</v>
      </c>
      <c r="J5236" s="22" t="n">
        <f aca="false">IF(E5236="Priority",'Cost model'!N830,'Cost model'!M830)</f>
        <v>9.5</v>
      </c>
      <c r="K5236" s="14" t="n">
        <f aca="false">J5236-H5236</f>
        <v>3.03</v>
      </c>
      <c r="L5236" s="14" t="n">
        <f aca="false">G5236-H5236</f>
        <v>8.03</v>
      </c>
    </row>
    <row r="5237" customFormat="false" ht="15" hidden="false" customHeight="false" outlineLevel="0" collapsed="false">
      <c r="A5237" s="2" t="s">
        <v>184</v>
      </c>
      <c r="B5237" s="2" t="s">
        <v>221</v>
      </c>
      <c r="C5237" s="2" t="s">
        <v>50</v>
      </c>
      <c r="D5237" s="2" t="s">
        <v>10</v>
      </c>
      <c r="E5237" s="2" t="s">
        <v>76</v>
      </c>
      <c r="F5237" s="2" t="s">
        <v>1146</v>
      </c>
      <c r="G5237" s="14" t="n">
        <v>19.5</v>
      </c>
      <c r="H5237" s="14" t="n">
        <v>115.15</v>
      </c>
      <c r="I5237" s="14" t="n">
        <v>19.5</v>
      </c>
      <c r="J5237" s="22" t="n">
        <f aca="false">IF(E5237="Priority",'Cost model'!N220,'Cost model'!M220)</f>
        <v>25.5</v>
      </c>
      <c r="K5237" s="14" t="n">
        <f aca="false">J5237-H5237</f>
        <v>-89.65</v>
      </c>
      <c r="L5237" s="14" t="n">
        <f aca="false">G5237-H5237</f>
        <v>-95.65</v>
      </c>
    </row>
    <row r="5238" customFormat="false" ht="15" hidden="false" customHeight="false" outlineLevel="0" collapsed="false">
      <c r="A5238" s="2" t="s">
        <v>184</v>
      </c>
      <c r="B5238" s="2" t="s">
        <v>184</v>
      </c>
      <c r="C5238" s="2" t="s">
        <v>50</v>
      </c>
      <c r="D5238" s="2" t="s">
        <v>10</v>
      </c>
      <c r="E5238" s="2" t="s">
        <v>76</v>
      </c>
      <c r="F5238" s="2" t="s">
        <v>1145</v>
      </c>
      <c r="G5238" s="14" t="n">
        <v>17.5</v>
      </c>
      <c r="H5238" s="14" t="n">
        <v>12.09</v>
      </c>
      <c r="I5238" s="14" t="n">
        <v>17.5</v>
      </c>
      <c r="J5238" s="22" t="n">
        <f aca="false">IF(E5238="Priority",'Cost model'!N202,'Cost model'!M202)</f>
        <v>17.5</v>
      </c>
      <c r="K5238" s="14" t="n">
        <f aca="false">J5238-H5238</f>
        <v>5.41</v>
      </c>
      <c r="L5238" s="14" t="n">
        <f aca="false">G5238-H5238</f>
        <v>5.41</v>
      </c>
    </row>
    <row r="5239" customFormat="false" ht="15" hidden="false" customHeight="false" outlineLevel="0" collapsed="false">
      <c r="A5239" s="2" t="s">
        <v>146</v>
      </c>
      <c r="B5239" s="2" t="s">
        <v>146</v>
      </c>
      <c r="C5239" s="2" t="s">
        <v>48</v>
      </c>
      <c r="D5239" s="2" t="s">
        <v>10</v>
      </c>
      <c r="E5239" s="2" t="s">
        <v>76</v>
      </c>
      <c r="F5239" s="2" t="s">
        <v>1145</v>
      </c>
      <c r="G5239" s="14" t="n">
        <v>9.5</v>
      </c>
      <c r="H5239" s="14" t="n">
        <v>5.16</v>
      </c>
      <c r="I5239" s="14" t="n">
        <v>9.5</v>
      </c>
      <c r="J5239" s="22" t="n">
        <f aca="false">IF(E5239="Priority",'Cost model'!N758,'Cost model'!M758)</f>
        <v>9.5</v>
      </c>
      <c r="K5239" s="14" t="n">
        <f aca="false">J5239-H5239</f>
        <v>4.34</v>
      </c>
      <c r="L5239" s="14" t="n">
        <f aca="false">G5239-H5239</f>
        <v>4.34</v>
      </c>
    </row>
    <row r="5240" customFormat="false" ht="15" hidden="false" customHeight="false" outlineLevel="0" collapsed="false">
      <c r="A5240" s="2" t="s">
        <v>126</v>
      </c>
      <c r="B5240" s="2" t="s">
        <v>126</v>
      </c>
      <c r="C5240" s="2" t="s">
        <v>49</v>
      </c>
      <c r="D5240" s="2" t="s">
        <v>12</v>
      </c>
      <c r="E5240" s="2" t="s">
        <v>76</v>
      </c>
      <c r="F5240" s="2" t="s">
        <v>1145</v>
      </c>
      <c r="G5240" s="14" t="n">
        <v>19</v>
      </c>
      <c r="H5240" s="14" t="n">
        <v>11.97</v>
      </c>
      <c r="I5240" s="14" t="n">
        <v>12.5</v>
      </c>
      <c r="J5240" s="22" t="n">
        <f aca="false">IF(E5240="Priority",'Cost model'!N384,'Cost model'!M384)</f>
        <v>45</v>
      </c>
      <c r="K5240" s="14" t="n">
        <f aca="false">J5240-H5240</f>
        <v>33.03</v>
      </c>
      <c r="L5240" s="14" t="n">
        <f aca="false">G5240-H5240</f>
        <v>7.03</v>
      </c>
    </row>
    <row r="5241" customFormat="false" ht="15" hidden="false" customHeight="false" outlineLevel="0" collapsed="false">
      <c r="A5241" s="2" t="s">
        <v>125</v>
      </c>
      <c r="B5241" s="2" t="s">
        <v>125</v>
      </c>
      <c r="C5241" s="2" t="s">
        <v>48</v>
      </c>
      <c r="D5241" s="2" t="s">
        <v>10</v>
      </c>
      <c r="E5241" s="2" t="s">
        <v>76</v>
      </c>
      <c r="F5241" s="2" t="s">
        <v>1145</v>
      </c>
      <c r="G5241" s="14" t="n">
        <v>9.5</v>
      </c>
      <c r="H5241" s="14" t="n">
        <v>20.83</v>
      </c>
      <c r="I5241" s="14" t="n">
        <v>9.5</v>
      </c>
      <c r="J5241" s="22" t="n">
        <f aca="false">IF(E5241="Priority",'Cost model'!N74,'Cost model'!M74)</f>
        <v>21.5</v>
      </c>
      <c r="K5241" s="14" t="n">
        <f aca="false">J5241-H5241</f>
        <v>0.670000000000002</v>
      </c>
      <c r="L5241" s="14" t="n">
        <f aca="false">G5241-H5241</f>
        <v>-11.33</v>
      </c>
    </row>
    <row r="5242" customFormat="false" ht="15" hidden="false" customHeight="false" outlineLevel="0" collapsed="false">
      <c r="A5242" s="2" t="s">
        <v>146</v>
      </c>
      <c r="B5242" s="2" t="s">
        <v>146</v>
      </c>
      <c r="C5242" s="2" t="s">
        <v>49</v>
      </c>
      <c r="D5242" s="2" t="s">
        <v>12</v>
      </c>
      <c r="E5242" s="2" t="s">
        <v>76</v>
      </c>
      <c r="F5242" s="2" t="s">
        <v>1145</v>
      </c>
      <c r="G5242" s="14" t="n">
        <v>12.5</v>
      </c>
      <c r="H5242" s="14" t="n">
        <v>43.77</v>
      </c>
      <c r="I5242" s="14" t="n">
        <v>12.5</v>
      </c>
      <c r="J5242" s="22" t="n">
        <f aca="false">IF(E5242="Priority",'Cost model'!N762,'Cost model'!M762)</f>
        <v>45</v>
      </c>
      <c r="K5242" s="14" t="n">
        <f aca="false">J5242-H5242</f>
        <v>1.23</v>
      </c>
      <c r="L5242" s="14" t="n">
        <f aca="false">G5242-H5242</f>
        <v>-31.27</v>
      </c>
    </row>
    <row r="5243" customFormat="false" ht="15" hidden="false" customHeight="false" outlineLevel="0" collapsed="false">
      <c r="A5243" s="2" t="s">
        <v>184</v>
      </c>
      <c r="B5243" s="2" t="s">
        <v>146</v>
      </c>
      <c r="C5243" s="2" t="s">
        <v>48</v>
      </c>
      <c r="D5243" s="2" t="s">
        <v>10</v>
      </c>
      <c r="E5243" s="2" t="s">
        <v>76</v>
      </c>
      <c r="F5243" s="2" t="s">
        <v>1146</v>
      </c>
      <c r="G5243" s="14" t="n">
        <v>9.5</v>
      </c>
      <c r="H5243" s="14" t="n">
        <v>13.14</v>
      </c>
      <c r="I5243" s="14" t="n">
        <v>9.5</v>
      </c>
      <c r="J5243" s="22" t="n">
        <f aca="false">IF(E5243="Priority",'Cost model'!N146,'Cost model'!M146)</f>
        <v>12.5</v>
      </c>
      <c r="K5243" s="14" t="n">
        <f aca="false">J5243-H5243</f>
        <v>-0.640000000000001</v>
      </c>
      <c r="L5243" s="14" t="n">
        <f aca="false">G5243-H5243</f>
        <v>-3.64</v>
      </c>
    </row>
    <row r="5244" customFormat="false" ht="15" hidden="false" customHeight="false" outlineLevel="0" collapsed="false">
      <c r="A5244" s="2" t="s">
        <v>125</v>
      </c>
      <c r="B5244" s="2" t="s">
        <v>184</v>
      </c>
      <c r="C5244" s="2" t="s">
        <v>48</v>
      </c>
      <c r="D5244" s="2" t="s">
        <v>10</v>
      </c>
      <c r="E5244" s="2" t="s">
        <v>76</v>
      </c>
      <c r="F5244" s="2" t="s">
        <v>1146</v>
      </c>
      <c r="G5244" s="14" t="n">
        <v>9.5</v>
      </c>
      <c r="H5244" s="14" t="n">
        <v>11.94</v>
      </c>
      <c r="I5244" s="14" t="n">
        <v>14.5</v>
      </c>
      <c r="J5244" s="22" t="n">
        <f aca="false">IF(E5244="Priority",'Cost model'!N56,'Cost model'!M56)</f>
        <v>11.5</v>
      </c>
      <c r="K5244" s="14" t="n">
        <f aca="false">J5244-H5244</f>
        <v>-0.44</v>
      </c>
      <c r="L5244" s="14" t="n">
        <f aca="false">G5244-H5244</f>
        <v>-2.44</v>
      </c>
    </row>
    <row r="5245" customFormat="false" ht="15" hidden="false" customHeight="false" outlineLevel="0" collapsed="false">
      <c r="A5245" s="2" t="s">
        <v>126</v>
      </c>
      <c r="B5245" s="2" t="s">
        <v>126</v>
      </c>
      <c r="C5245" s="2" t="s">
        <v>49</v>
      </c>
      <c r="D5245" s="2" t="s">
        <v>12</v>
      </c>
      <c r="E5245" s="2" t="s">
        <v>85</v>
      </c>
      <c r="F5245" s="2" t="s">
        <v>1145</v>
      </c>
      <c r="G5245" s="14" t="n">
        <v>19.5</v>
      </c>
      <c r="H5245" s="14" t="n">
        <v>61.15</v>
      </c>
      <c r="I5245" s="14" t="n">
        <v>19.5</v>
      </c>
      <c r="J5245" s="22" t="n">
        <f aca="false">IF(E5245="Priority",'Cost model'!N384,'Cost model'!M384)</f>
        <v>60</v>
      </c>
      <c r="K5245" s="14" t="n">
        <f aca="false">J5245-H5245</f>
        <v>-1.15</v>
      </c>
      <c r="L5245" s="14" t="n">
        <f aca="false">G5245-H5245</f>
        <v>-41.65</v>
      </c>
    </row>
    <row r="5246" customFormat="false" ht="15" hidden="false" customHeight="false" outlineLevel="0" collapsed="false">
      <c r="A5246" s="2" t="s">
        <v>184</v>
      </c>
      <c r="B5246" s="2" t="s">
        <v>146</v>
      </c>
      <c r="C5246" s="2" t="s">
        <v>49</v>
      </c>
      <c r="D5246" s="2" t="s">
        <v>12</v>
      </c>
      <c r="E5246" s="2" t="s">
        <v>76</v>
      </c>
      <c r="F5246" s="2" t="s">
        <v>1146</v>
      </c>
      <c r="G5246" s="14" t="n">
        <v>19.5</v>
      </c>
      <c r="H5246" s="14" t="n">
        <v>21.53</v>
      </c>
      <c r="I5246" s="14"/>
      <c r="J5246" s="22" t="n">
        <f aca="false">IF(E5246="Priority",'Cost model'!N150,'Cost model'!M150)</f>
        <v>55</v>
      </c>
      <c r="K5246" s="14" t="n">
        <f aca="false">J5246-H5246</f>
        <v>33.47</v>
      </c>
      <c r="L5246" s="14" t="n">
        <f aca="false">G5246-H5246</f>
        <v>-2.03</v>
      </c>
    </row>
    <row r="5247" customFormat="false" ht="15" hidden="false" customHeight="false" outlineLevel="0" collapsed="false">
      <c r="A5247" s="2" t="s">
        <v>184</v>
      </c>
      <c r="B5247" s="2" t="s">
        <v>146</v>
      </c>
      <c r="C5247" s="2" t="s">
        <v>48</v>
      </c>
      <c r="D5247" s="2" t="s">
        <v>12</v>
      </c>
      <c r="E5247" s="2" t="s">
        <v>85</v>
      </c>
      <c r="F5247" s="2" t="s">
        <v>1146</v>
      </c>
      <c r="G5247" s="14" t="n">
        <v>19.5</v>
      </c>
      <c r="H5247" s="14" t="n">
        <v>34.69</v>
      </c>
      <c r="I5247" s="14" t="n">
        <v>19.5</v>
      </c>
      <c r="J5247" s="22" t="n">
        <f aca="false">IF(E5247="Priority",'Cost model'!N149,'Cost model'!M149)</f>
        <v>60</v>
      </c>
      <c r="K5247" s="14" t="n">
        <f aca="false">J5247-H5247</f>
        <v>25.31</v>
      </c>
      <c r="L5247" s="14" t="n">
        <f aca="false">G5247-H5247</f>
        <v>-15.19</v>
      </c>
    </row>
    <row r="5248" customFormat="false" ht="15" hidden="false" customHeight="false" outlineLevel="0" collapsed="false">
      <c r="A5248" s="2" t="s">
        <v>126</v>
      </c>
      <c r="B5248" s="2" t="s">
        <v>221</v>
      </c>
      <c r="C5248" s="2" t="s">
        <v>48</v>
      </c>
      <c r="D5248" s="2" t="s">
        <v>10</v>
      </c>
      <c r="E5248" s="2" t="s">
        <v>76</v>
      </c>
      <c r="F5248" s="2" t="s">
        <v>1146</v>
      </c>
      <c r="G5248" s="14" t="n">
        <v>9.5</v>
      </c>
      <c r="H5248" s="14" t="n">
        <v>7.93</v>
      </c>
      <c r="I5248" s="14" t="n">
        <v>19.5</v>
      </c>
      <c r="J5248" s="22" t="n">
        <f aca="false">IF(E5248="Priority",'Cost model'!N452,'Cost model'!M452)</f>
        <v>13.5</v>
      </c>
      <c r="K5248" s="14" t="n">
        <f aca="false">J5248-H5248</f>
        <v>5.57</v>
      </c>
      <c r="L5248" s="14" t="n">
        <f aca="false">G5248-H5248</f>
        <v>1.57</v>
      </c>
    </row>
    <row r="5249" customFormat="false" ht="15" hidden="false" customHeight="false" outlineLevel="0" collapsed="false">
      <c r="A5249" s="2" t="s">
        <v>240</v>
      </c>
      <c r="B5249" s="2" t="s">
        <v>240</v>
      </c>
      <c r="C5249" s="2" t="s">
        <v>48</v>
      </c>
      <c r="D5249" s="2" t="s">
        <v>14</v>
      </c>
      <c r="E5249" s="2" t="s">
        <v>76</v>
      </c>
      <c r="F5249" s="2" t="s">
        <v>1145</v>
      </c>
      <c r="G5249" s="14" t="n">
        <v>25</v>
      </c>
      <c r="H5249" s="14" t="n">
        <v>302.65</v>
      </c>
      <c r="I5249" s="14" t="n">
        <v>25</v>
      </c>
      <c r="J5249" s="22" t="n">
        <f aca="false">IF(E5249="Priority",'Cost model'!N893,'Cost model'!M893)</f>
        <v>135</v>
      </c>
      <c r="K5249" s="14" t="n">
        <f aca="false">J5249-H5249</f>
        <v>-167.65</v>
      </c>
      <c r="L5249" s="14" t="n">
        <f aca="false">G5249-H5249</f>
        <v>-277.65</v>
      </c>
    </row>
    <row r="5250" customFormat="false" ht="15" hidden="false" customHeight="false" outlineLevel="0" collapsed="false">
      <c r="A5250" s="2" t="s">
        <v>240</v>
      </c>
      <c r="B5250" s="2" t="s">
        <v>240</v>
      </c>
      <c r="C5250" s="2" t="s">
        <v>50</v>
      </c>
      <c r="D5250" s="2" t="s">
        <v>12</v>
      </c>
      <c r="E5250" s="2" t="s">
        <v>85</v>
      </c>
      <c r="F5250" s="2" t="s">
        <v>1145</v>
      </c>
      <c r="G5250" s="14" t="n">
        <v>29.5</v>
      </c>
      <c r="H5250" s="14" t="n">
        <v>39.68</v>
      </c>
      <c r="I5250" s="14" t="n">
        <v>29.5</v>
      </c>
      <c r="J5250" s="22" t="n">
        <f aca="false">IF(E5250="Priority",'Cost model'!N889,'Cost model'!M889)</f>
        <v>80</v>
      </c>
      <c r="K5250" s="14" t="n">
        <f aca="false">J5250-H5250</f>
        <v>40.32</v>
      </c>
      <c r="L5250" s="14" t="n">
        <f aca="false">G5250-H5250</f>
        <v>-10.18</v>
      </c>
    </row>
    <row r="5251" customFormat="false" ht="15" hidden="false" customHeight="false" outlineLevel="0" collapsed="false">
      <c r="A5251" s="2" t="s">
        <v>126</v>
      </c>
      <c r="B5251" s="2" t="s">
        <v>126</v>
      </c>
      <c r="C5251" s="2" t="s">
        <v>49</v>
      </c>
      <c r="D5251" s="2" t="s">
        <v>12</v>
      </c>
      <c r="E5251" s="2" t="s">
        <v>76</v>
      </c>
      <c r="F5251" s="2" t="s">
        <v>1145</v>
      </c>
      <c r="G5251" s="14" t="n">
        <v>24.5</v>
      </c>
      <c r="H5251" s="14" t="n">
        <v>45.3</v>
      </c>
      <c r="I5251" s="14" t="n">
        <v>12.5</v>
      </c>
      <c r="J5251" s="22" t="n">
        <f aca="false">IF(E5251="Priority",'Cost model'!N384,'Cost model'!M384)</f>
        <v>45</v>
      </c>
      <c r="K5251" s="14" t="n">
        <f aca="false">J5251-H5251</f>
        <v>-0.299999999999997</v>
      </c>
      <c r="L5251" s="14" t="n">
        <f aca="false">G5251-H5251</f>
        <v>-20.8</v>
      </c>
    </row>
    <row r="5252" customFormat="false" ht="15" hidden="false" customHeight="false" outlineLevel="0" collapsed="false">
      <c r="A5252" s="2" t="s">
        <v>184</v>
      </c>
      <c r="B5252" s="2" t="s">
        <v>184</v>
      </c>
      <c r="C5252" s="2" t="s">
        <v>50</v>
      </c>
      <c r="D5252" s="2" t="s">
        <v>12</v>
      </c>
      <c r="E5252" s="2" t="s">
        <v>76</v>
      </c>
      <c r="F5252" s="2" t="s">
        <v>1145</v>
      </c>
      <c r="G5252" s="14" t="n">
        <v>19.5</v>
      </c>
      <c r="H5252" s="14" t="n">
        <v>49.78</v>
      </c>
      <c r="I5252" s="14" t="n">
        <v>19.5</v>
      </c>
      <c r="J5252" s="22" t="n">
        <f aca="false">IF(E5252="Priority",'Cost model'!N205,'Cost model'!M205)</f>
        <v>50</v>
      </c>
      <c r="K5252" s="14" t="n">
        <f aca="false">J5252-H5252</f>
        <v>0.219999999999999</v>
      </c>
      <c r="L5252" s="14" t="n">
        <f aca="false">G5252-H5252</f>
        <v>-30.28</v>
      </c>
    </row>
    <row r="5253" customFormat="false" ht="15" hidden="false" customHeight="false" outlineLevel="0" collapsed="false">
      <c r="A5253" s="2" t="s">
        <v>184</v>
      </c>
      <c r="B5253" s="2" t="s">
        <v>184</v>
      </c>
      <c r="C5253" s="2" t="s">
        <v>50</v>
      </c>
      <c r="D5253" s="2" t="s">
        <v>12</v>
      </c>
      <c r="E5253" s="2" t="s">
        <v>76</v>
      </c>
      <c r="F5253" s="2" t="s">
        <v>1145</v>
      </c>
      <c r="G5253" s="14" t="n">
        <v>19.5</v>
      </c>
      <c r="H5253" s="14" t="n">
        <v>43.88</v>
      </c>
      <c r="I5253" s="14" t="n">
        <v>19.5</v>
      </c>
      <c r="J5253" s="22" t="n">
        <f aca="false">IF(E5253="Priority",'Cost model'!N205,'Cost model'!M205)</f>
        <v>50</v>
      </c>
      <c r="K5253" s="14" t="n">
        <f aca="false">J5253-H5253</f>
        <v>6.12</v>
      </c>
      <c r="L5253" s="14" t="n">
        <f aca="false">G5253-H5253</f>
        <v>-24.38</v>
      </c>
    </row>
    <row r="5254" customFormat="false" ht="15" hidden="false" customHeight="false" outlineLevel="0" collapsed="false">
      <c r="A5254" s="2" t="s">
        <v>184</v>
      </c>
      <c r="B5254" s="2" t="s">
        <v>146</v>
      </c>
      <c r="C5254" s="2" t="s">
        <v>50</v>
      </c>
      <c r="D5254" s="2" t="s">
        <v>12</v>
      </c>
      <c r="E5254" s="2" t="s">
        <v>76</v>
      </c>
      <c r="F5254" s="2" t="s">
        <v>1146</v>
      </c>
      <c r="G5254" s="14" t="n">
        <v>19.5</v>
      </c>
      <c r="H5254" s="14" t="n">
        <v>50.71</v>
      </c>
      <c r="I5254" s="14" t="n">
        <v>19.5</v>
      </c>
      <c r="J5254" s="22" t="n">
        <f aca="false">IF(E5254="Priority",'Cost model'!N151,'Cost model'!M151)</f>
        <v>55</v>
      </c>
      <c r="K5254" s="14" t="n">
        <f aca="false">J5254-H5254</f>
        <v>4.29</v>
      </c>
      <c r="L5254" s="14" t="n">
        <f aca="false">G5254-H5254</f>
        <v>-31.21</v>
      </c>
    </row>
    <row r="5255" customFormat="false" ht="15" hidden="false" customHeight="false" outlineLevel="0" collapsed="false">
      <c r="A5255" s="2" t="s">
        <v>146</v>
      </c>
      <c r="B5255" s="2" t="s">
        <v>126</v>
      </c>
      <c r="C5255" s="2" t="s">
        <v>48</v>
      </c>
      <c r="D5255" s="2" t="s">
        <v>10</v>
      </c>
      <c r="E5255" s="2" t="s">
        <v>76</v>
      </c>
      <c r="F5255" s="2" t="s">
        <v>1146</v>
      </c>
      <c r="G5255" s="14" t="n">
        <v>9.5</v>
      </c>
      <c r="H5255" s="14" t="n">
        <v>7.74</v>
      </c>
      <c r="I5255" s="14" t="n">
        <v>14.5</v>
      </c>
      <c r="J5255" s="22" t="n">
        <f aca="false">IF(E5255="Priority",'Cost model'!N794,'Cost model'!M794)</f>
        <v>12.5</v>
      </c>
      <c r="K5255" s="14" t="n">
        <f aca="false">J5255-H5255</f>
        <v>4.76</v>
      </c>
      <c r="L5255" s="14" t="n">
        <f aca="false">G5255-H5255</f>
        <v>1.76</v>
      </c>
    </row>
    <row r="5256" customFormat="false" ht="15" hidden="false" customHeight="false" outlineLevel="0" collapsed="false">
      <c r="A5256" s="2" t="s">
        <v>146</v>
      </c>
      <c r="B5256" s="2" t="s">
        <v>146</v>
      </c>
      <c r="C5256" s="2" t="s">
        <v>48</v>
      </c>
      <c r="D5256" s="2" t="s">
        <v>10</v>
      </c>
      <c r="E5256" s="2" t="s">
        <v>76</v>
      </c>
      <c r="F5256" s="2" t="s">
        <v>1145</v>
      </c>
      <c r="G5256" s="14" t="n">
        <v>9.5</v>
      </c>
      <c r="H5256" s="14" t="n">
        <v>26.17</v>
      </c>
      <c r="I5256" s="14" t="n">
        <v>9.5</v>
      </c>
      <c r="J5256" s="22" t="n">
        <f aca="false">IF(E5256="Priority",'Cost model'!N758,'Cost model'!M758)</f>
        <v>9.5</v>
      </c>
      <c r="K5256" s="14" t="n">
        <f aca="false">J5256-H5256</f>
        <v>-16.67</v>
      </c>
      <c r="L5256" s="14" t="n">
        <f aca="false">G5256-H5256</f>
        <v>-16.67</v>
      </c>
    </row>
    <row r="5257" customFormat="false" ht="15" hidden="false" customHeight="false" outlineLevel="0" collapsed="false">
      <c r="A5257" s="2" t="s">
        <v>126</v>
      </c>
      <c r="B5257" s="2" t="s">
        <v>126</v>
      </c>
      <c r="C5257" s="2" t="s">
        <v>49</v>
      </c>
      <c r="D5257" s="2" t="s">
        <v>12</v>
      </c>
      <c r="E5257" s="2" t="s">
        <v>85</v>
      </c>
      <c r="F5257" s="2" t="s">
        <v>1145</v>
      </c>
      <c r="G5257" s="14" t="n">
        <v>19.5</v>
      </c>
      <c r="H5257" s="14" t="n">
        <v>32.4</v>
      </c>
      <c r="I5257" s="14" t="n">
        <v>19.5</v>
      </c>
      <c r="J5257" s="22" t="n">
        <f aca="false">IF(E5257="Priority",'Cost model'!N384,'Cost model'!M384)</f>
        <v>60</v>
      </c>
      <c r="K5257" s="14" t="n">
        <f aca="false">J5257-H5257</f>
        <v>27.6</v>
      </c>
      <c r="L5257" s="14" t="n">
        <f aca="false">G5257-H5257</f>
        <v>-12.9</v>
      </c>
    </row>
    <row r="5258" customFormat="false" ht="15" hidden="false" customHeight="false" outlineLevel="0" collapsed="false">
      <c r="A5258" s="2" t="s">
        <v>184</v>
      </c>
      <c r="B5258" s="2" t="s">
        <v>184</v>
      </c>
      <c r="C5258" s="2" t="s">
        <v>48</v>
      </c>
      <c r="D5258" s="2" t="s">
        <v>10</v>
      </c>
      <c r="E5258" s="2" t="s">
        <v>85</v>
      </c>
      <c r="F5258" s="2" t="s">
        <v>1145</v>
      </c>
      <c r="G5258" s="14" t="n">
        <v>14.5</v>
      </c>
      <c r="H5258" s="14" t="n">
        <v>7.45</v>
      </c>
      <c r="I5258" s="14" t="n">
        <v>14.5</v>
      </c>
      <c r="J5258" s="22" t="n">
        <f aca="false">IF(E5258="Priority",'Cost model'!N200,'Cost model'!M200)</f>
        <v>12.5</v>
      </c>
      <c r="K5258" s="14" t="n">
        <f aca="false">J5258-H5258</f>
        <v>5.05</v>
      </c>
      <c r="L5258" s="14" t="n">
        <f aca="false">G5258-H5258</f>
        <v>7.05</v>
      </c>
    </row>
    <row r="5259" customFormat="false" ht="15" hidden="false" customHeight="false" outlineLevel="0" collapsed="false">
      <c r="A5259" s="2" t="s">
        <v>184</v>
      </c>
      <c r="B5259" s="2" t="s">
        <v>184</v>
      </c>
      <c r="C5259" s="2" t="s">
        <v>48</v>
      </c>
      <c r="D5259" s="2" t="s">
        <v>13</v>
      </c>
      <c r="E5259" s="2" t="s">
        <v>76</v>
      </c>
      <c r="F5259" s="2" t="s">
        <v>1145</v>
      </c>
      <c r="G5259" s="14" t="n">
        <v>19</v>
      </c>
      <c r="H5259" s="14" t="n">
        <v>33.83</v>
      </c>
      <c r="I5259" s="14" t="n">
        <v>19</v>
      </c>
      <c r="J5259" s="22" t="n">
        <f aca="false">IF(E5259="Priority",'Cost model'!N206,'Cost model'!M206)</f>
        <v>55</v>
      </c>
      <c r="K5259" s="14" t="n">
        <f aca="false">J5259-H5259</f>
        <v>21.17</v>
      </c>
      <c r="L5259" s="14" t="n">
        <f aca="false">G5259-H5259</f>
        <v>-14.83</v>
      </c>
    </row>
    <row r="5260" customFormat="false" ht="15" hidden="false" customHeight="false" outlineLevel="0" collapsed="false">
      <c r="A5260" s="2" t="s">
        <v>184</v>
      </c>
      <c r="B5260" s="2" t="s">
        <v>184</v>
      </c>
      <c r="C5260" s="2" t="s">
        <v>48</v>
      </c>
      <c r="D5260" s="2" t="s">
        <v>10</v>
      </c>
      <c r="E5260" s="2" t="s">
        <v>76</v>
      </c>
      <c r="F5260" s="2" t="s">
        <v>1145</v>
      </c>
      <c r="G5260" s="14" t="n">
        <v>9.5</v>
      </c>
      <c r="H5260" s="14" t="n">
        <v>5.94</v>
      </c>
      <c r="I5260" s="14" t="n">
        <v>9.5</v>
      </c>
      <c r="J5260" s="22" t="n">
        <f aca="false">IF(E5260="Priority",'Cost model'!N200,'Cost model'!M200)</f>
        <v>7.5</v>
      </c>
      <c r="K5260" s="14" t="n">
        <f aca="false">J5260-H5260</f>
        <v>1.56</v>
      </c>
      <c r="L5260" s="14" t="n">
        <f aca="false">G5260-H5260</f>
        <v>3.56</v>
      </c>
    </row>
    <row r="5261" customFormat="false" ht="15" hidden="false" customHeight="false" outlineLevel="0" collapsed="false">
      <c r="A5261" s="2" t="s">
        <v>184</v>
      </c>
      <c r="B5261" s="2" t="s">
        <v>165</v>
      </c>
      <c r="C5261" s="2" t="s">
        <v>50</v>
      </c>
      <c r="D5261" s="2" t="s">
        <v>10</v>
      </c>
      <c r="E5261" s="2" t="s">
        <v>76</v>
      </c>
      <c r="F5261" s="2" t="s">
        <v>1146</v>
      </c>
      <c r="G5261" s="14" t="n">
        <v>17.5</v>
      </c>
      <c r="H5261" s="14" t="n">
        <v>15.88</v>
      </c>
      <c r="I5261" s="14" t="n">
        <v>17.5</v>
      </c>
      <c r="J5261" s="22" t="n">
        <f aca="false">IF(E5261="Priority",'Cost model'!N166,'Cost model'!M166)</f>
        <v>18.5</v>
      </c>
      <c r="K5261" s="14" t="n">
        <f aca="false">J5261-H5261</f>
        <v>2.62</v>
      </c>
      <c r="L5261" s="14" t="n">
        <f aca="false">G5261-H5261</f>
        <v>1.62</v>
      </c>
    </row>
    <row r="5262" customFormat="false" ht="15" hidden="false" customHeight="false" outlineLevel="0" collapsed="false">
      <c r="A5262" s="2" t="s">
        <v>165</v>
      </c>
      <c r="B5262" s="2" t="s">
        <v>165</v>
      </c>
      <c r="C5262" s="2" t="s">
        <v>48</v>
      </c>
      <c r="D5262" s="2" t="s">
        <v>10</v>
      </c>
      <c r="E5262" s="2" t="s">
        <v>76</v>
      </c>
      <c r="F5262" s="2" t="s">
        <v>1145</v>
      </c>
      <c r="G5262" s="14" t="n">
        <v>9.5</v>
      </c>
      <c r="H5262" s="14" t="n">
        <v>5.23</v>
      </c>
      <c r="I5262" s="14" t="n">
        <v>9.5</v>
      </c>
      <c r="J5262" s="22" t="n">
        <f aca="false">IF(E5262="Priority",'Cost model'!N506,'Cost model'!M506)</f>
        <v>7.5</v>
      </c>
      <c r="K5262" s="14" t="n">
        <f aca="false">J5262-H5262</f>
        <v>2.27</v>
      </c>
      <c r="L5262" s="14" t="n">
        <f aca="false">G5262-H5262</f>
        <v>4.27</v>
      </c>
    </row>
    <row r="5263" customFormat="false" ht="15" hidden="false" customHeight="false" outlineLevel="0" collapsed="false">
      <c r="A5263" s="2" t="s">
        <v>184</v>
      </c>
      <c r="B5263" s="2" t="s">
        <v>184</v>
      </c>
      <c r="C5263" s="2" t="s">
        <v>48</v>
      </c>
      <c r="D5263" s="2" t="s">
        <v>12</v>
      </c>
      <c r="E5263" s="2" t="s">
        <v>76</v>
      </c>
      <c r="F5263" s="2" t="s">
        <v>1145</v>
      </c>
      <c r="G5263" s="14" t="n">
        <v>9.5</v>
      </c>
      <c r="H5263" s="14" t="n">
        <v>27.63</v>
      </c>
      <c r="I5263" s="14" t="n">
        <v>9.5</v>
      </c>
      <c r="J5263" s="22" t="n">
        <f aca="false">IF(E5263="Priority",'Cost model'!N203,'Cost model'!M203)</f>
        <v>26.5</v>
      </c>
      <c r="K5263" s="14" t="n">
        <f aca="false">J5263-H5263</f>
        <v>-1.13</v>
      </c>
      <c r="L5263" s="14" t="n">
        <f aca="false">G5263-H5263</f>
        <v>-18.13</v>
      </c>
    </row>
    <row r="5264" customFormat="false" ht="15" hidden="false" customHeight="false" outlineLevel="0" collapsed="false">
      <c r="A5264" s="2" t="s">
        <v>184</v>
      </c>
      <c r="B5264" s="2" t="s">
        <v>184</v>
      </c>
      <c r="C5264" s="2" t="s">
        <v>49</v>
      </c>
      <c r="D5264" s="2" t="s">
        <v>12</v>
      </c>
      <c r="E5264" s="2" t="s">
        <v>85</v>
      </c>
      <c r="F5264" s="2" t="s">
        <v>1145</v>
      </c>
      <c r="G5264" s="14" t="n">
        <v>19.5</v>
      </c>
      <c r="H5264" s="14" t="n">
        <v>43.77</v>
      </c>
      <c r="I5264" s="14" t="n">
        <v>19.5</v>
      </c>
      <c r="J5264" s="22" t="n">
        <f aca="false">IF(E5264="Priority",'Cost model'!N204,'Cost model'!M204)</f>
        <v>60</v>
      </c>
      <c r="K5264" s="14" t="n">
        <f aca="false">J5264-H5264</f>
        <v>16.23</v>
      </c>
      <c r="L5264" s="14" t="n">
        <f aca="false">G5264-H5264</f>
        <v>-24.27</v>
      </c>
    </row>
    <row r="5265" customFormat="false" ht="15" hidden="false" customHeight="false" outlineLevel="0" collapsed="false">
      <c r="A5265" s="2" t="s">
        <v>184</v>
      </c>
      <c r="B5265" s="2" t="s">
        <v>184</v>
      </c>
      <c r="C5265" s="2" t="s">
        <v>49</v>
      </c>
      <c r="D5265" s="2" t="s">
        <v>10</v>
      </c>
      <c r="E5265" s="2" t="s">
        <v>76</v>
      </c>
      <c r="F5265" s="2" t="s">
        <v>1145</v>
      </c>
      <c r="G5265" s="14" t="n">
        <v>12.5</v>
      </c>
      <c r="H5265" s="14" t="n">
        <v>15.9</v>
      </c>
      <c r="I5265" s="14"/>
      <c r="J5265" s="22" t="n">
        <f aca="false">IF(E5265="Priority",'Cost model'!N201,'Cost model'!M201)</f>
        <v>12.5</v>
      </c>
      <c r="K5265" s="14" t="n">
        <f aca="false">J5265-H5265</f>
        <v>-3.4</v>
      </c>
      <c r="L5265" s="14" t="n">
        <f aca="false">G5265-H5265</f>
        <v>-3.4</v>
      </c>
    </row>
    <row r="5266" customFormat="false" ht="15" hidden="false" customHeight="false" outlineLevel="0" collapsed="false">
      <c r="A5266" s="2" t="s">
        <v>184</v>
      </c>
      <c r="B5266" s="2" t="s">
        <v>184</v>
      </c>
      <c r="C5266" s="2" t="s">
        <v>50</v>
      </c>
      <c r="D5266" s="2" t="s">
        <v>12</v>
      </c>
      <c r="E5266" s="2" t="s">
        <v>76</v>
      </c>
      <c r="F5266" s="2" t="s">
        <v>1145</v>
      </c>
      <c r="G5266" s="14" t="n">
        <v>19.5</v>
      </c>
      <c r="H5266" s="14" t="n">
        <v>49.78</v>
      </c>
      <c r="I5266" s="14" t="n">
        <v>19.5</v>
      </c>
      <c r="J5266" s="22" t="n">
        <f aca="false">IF(E5266="Priority",'Cost model'!N205,'Cost model'!M205)</f>
        <v>50</v>
      </c>
      <c r="K5266" s="14" t="n">
        <f aca="false">J5266-H5266</f>
        <v>0.219999999999999</v>
      </c>
      <c r="L5266" s="14" t="n">
        <f aca="false">G5266-H5266</f>
        <v>-30.28</v>
      </c>
    </row>
    <row r="5267" customFormat="false" ht="15" hidden="false" customHeight="false" outlineLevel="0" collapsed="false">
      <c r="A5267" s="2" t="s">
        <v>184</v>
      </c>
      <c r="B5267" s="2" t="s">
        <v>184</v>
      </c>
      <c r="C5267" s="2" t="s">
        <v>50</v>
      </c>
      <c r="D5267" s="2" t="s">
        <v>10</v>
      </c>
      <c r="E5267" s="2" t="s">
        <v>76</v>
      </c>
      <c r="F5267" s="2" t="s">
        <v>1145</v>
      </c>
      <c r="G5267" s="14" t="n">
        <v>17.5</v>
      </c>
      <c r="H5267" s="14" t="n">
        <v>24.48</v>
      </c>
      <c r="I5267" s="14" t="n">
        <v>17.5</v>
      </c>
      <c r="J5267" s="22" t="n">
        <f aca="false">IF(E5267="Priority",'Cost model'!N202,'Cost model'!M202)</f>
        <v>17.5</v>
      </c>
      <c r="K5267" s="14" t="n">
        <f aca="false">J5267-H5267</f>
        <v>-6.98</v>
      </c>
      <c r="L5267" s="14" t="n">
        <f aca="false">G5267-H5267</f>
        <v>-6.98</v>
      </c>
    </row>
    <row r="5268" customFormat="false" ht="15" hidden="false" customHeight="false" outlineLevel="0" collapsed="false">
      <c r="A5268" s="2" t="s">
        <v>184</v>
      </c>
      <c r="B5268" s="2" t="s">
        <v>146</v>
      </c>
      <c r="C5268" s="2" t="s">
        <v>50</v>
      </c>
      <c r="D5268" s="2" t="s">
        <v>10</v>
      </c>
      <c r="E5268" s="2" t="s">
        <v>76</v>
      </c>
      <c r="F5268" s="2" t="s">
        <v>1146</v>
      </c>
      <c r="G5268" s="14" t="n">
        <v>17.5</v>
      </c>
      <c r="H5268" s="14" t="n">
        <v>14.43</v>
      </c>
      <c r="I5268" s="14" t="n">
        <v>17.5</v>
      </c>
      <c r="J5268" s="22" t="n">
        <f aca="false">IF(E5268="Priority",'Cost model'!N148,'Cost model'!M148)</f>
        <v>21.5</v>
      </c>
      <c r="K5268" s="14" t="n">
        <f aca="false">J5268-H5268</f>
        <v>7.07</v>
      </c>
      <c r="L5268" s="14" t="n">
        <f aca="false">G5268-H5268</f>
        <v>3.07</v>
      </c>
    </row>
    <row r="5269" customFormat="false" ht="15" hidden="false" customHeight="false" outlineLevel="0" collapsed="false">
      <c r="A5269" s="2" t="s">
        <v>184</v>
      </c>
      <c r="B5269" s="2" t="s">
        <v>184</v>
      </c>
      <c r="C5269" s="2" t="s">
        <v>48</v>
      </c>
      <c r="D5269" s="2" t="s">
        <v>10</v>
      </c>
      <c r="E5269" s="2" t="s">
        <v>76</v>
      </c>
      <c r="F5269" s="2" t="s">
        <v>1145</v>
      </c>
      <c r="G5269" s="14" t="n">
        <v>9.5</v>
      </c>
      <c r="H5269" s="14" t="n">
        <v>7.45</v>
      </c>
      <c r="I5269" s="14" t="n">
        <v>9.5</v>
      </c>
      <c r="J5269" s="22" t="n">
        <f aca="false">IF(E5269="Priority",'Cost model'!N200,'Cost model'!M200)</f>
        <v>7.5</v>
      </c>
      <c r="K5269" s="14" t="n">
        <f aca="false">J5269-H5269</f>
        <v>0.0499999999999998</v>
      </c>
      <c r="L5269" s="14" t="n">
        <f aca="false">G5269-H5269</f>
        <v>2.05</v>
      </c>
    </row>
    <row r="5270" customFormat="false" ht="15" hidden="false" customHeight="false" outlineLevel="0" collapsed="false">
      <c r="A5270" s="2" t="s">
        <v>126</v>
      </c>
      <c r="B5270" s="2" t="s">
        <v>146</v>
      </c>
      <c r="C5270" s="2" t="s">
        <v>50</v>
      </c>
      <c r="D5270" s="2" t="s">
        <v>10</v>
      </c>
      <c r="E5270" s="2" t="s">
        <v>76</v>
      </c>
      <c r="F5270" s="2" t="s">
        <v>1146</v>
      </c>
      <c r="G5270" s="14" t="n">
        <v>17.5</v>
      </c>
      <c r="H5270" s="14" t="n">
        <v>16.39</v>
      </c>
      <c r="I5270" s="14" t="n">
        <v>17.5</v>
      </c>
      <c r="J5270" s="22" t="n">
        <f aca="false">IF(E5270="Priority",'Cost model'!N400,'Cost model'!M400)</f>
        <v>20.5</v>
      </c>
      <c r="K5270" s="14" t="n">
        <f aca="false">J5270-H5270</f>
        <v>4.11</v>
      </c>
      <c r="L5270" s="14" t="n">
        <f aca="false">G5270-H5270</f>
        <v>1.11</v>
      </c>
    </row>
    <row r="5271" customFormat="false" ht="15" hidden="false" customHeight="false" outlineLevel="0" collapsed="false">
      <c r="A5271" s="2" t="s">
        <v>184</v>
      </c>
      <c r="B5271" s="2" t="s">
        <v>165</v>
      </c>
      <c r="C5271" s="2" t="s">
        <v>49</v>
      </c>
      <c r="D5271" s="2" t="s">
        <v>10</v>
      </c>
      <c r="E5271" s="2" t="s">
        <v>76</v>
      </c>
      <c r="F5271" s="2" t="s">
        <v>1146</v>
      </c>
      <c r="G5271" s="14" t="n">
        <v>14.5</v>
      </c>
      <c r="H5271" s="14" t="n">
        <v>12.54</v>
      </c>
      <c r="I5271" s="14"/>
      <c r="J5271" s="22" t="n">
        <f aca="false">IF(E5271="Priority",'Cost model'!N165,'Cost model'!M165)</f>
        <v>15.5</v>
      </c>
      <c r="K5271" s="14" t="n">
        <f aca="false">J5271-H5271</f>
        <v>2.96</v>
      </c>
      <c r="L5271" s="14" t="n">
        <f aca="false">G5271-H5271</f>
        <v>1.96</v>
      </c>
    </row>
    <row r="5272" customFormat="false" ht="15" hidden="false" customHeight="false" outlineLevel="0" collapsed="false">
      <c r="A5272" s="2" t="s">
        <v>184</v>
      </c>
      <c r="B5272" s="2" t="s">
        <v>184</v>
      </c>
      <c r="C5272" s="2" t="s">
        <v>48</v>
      </c>
      <c r="D5272" s="2" t="s">
        <v>12</v>
      </c>
      <c r="E5272" s="2" t="s">
        <v>76</v>
      </c>
      <c r="F5272" s="2" t="s">
        <v>1145</v>
      </c>
      <c r="G5272" s="14" t="n">
        <v>9.5</v>
      </c>
      <c r="H5272" s="14" t="n">
        <v>28.05</v>
      </c>
      <c r="I5272" s="14" t="n">
        <v>9.5</v>
      </c>
      <c r="J5272" s="22" t="n">
        <f aca="false">IF(E5272="Priority",'Cost model'!N203,'Cost model'!M203)</f>
        <v>26.5</v>
      </c>
      <c r="K5272" s="14" t="n">
        <f aca="false">J5272-H5272</f>
        <v>-1.55</v>
      </c>
      <c r="L5272" s="14" t="n">
        <f aca="false">G5272-H5272</f>
        <v>-18.55</v>
      </c>
    </row>
    <row r="5273" customFormat="false" ht="15" hidden="false" customHeight="false" outlineLevel="0" collapsed="false">
      <c r="A5273" s="2" t="s">
        <v>184</v>
      </c>
      <c r="B5273" s="2" t="s">
        <v>184</v>
      </c>
      <c r="C5273" s="2" t="s">
        <v>48</v>
      </c>
      <c r="D5273" s="2" t="s">
        <v>12</v>
      </c>
      <c r="E5273" s="2" t="s">
        <v>76</v>
      </c>
      <c r="F5273" s="2" t="s">
        <v>1145</v>
      </c>
      <c r="G5273" s="14" t="n">
        <v>9.5</v>
      </c>
      <c r="H5273" s="14" t="n">
        <v>7.72</v>
      </c>
      <c r="I5273" s="14" t="n">
        <v>9.5</v>
      </c>
      <c r="J5273" s="22" t="n">
        <f aca="false">IF(E5273="Priority",'Cost model'!N203,'Cost model'!M203)</f>
        <v>26.5</v>
      </c>
      <c r="K5273" s="14" t="n">
        <f aca="false">J5273-H5273</f>
        <v>18.78</v>
      </c>
      <c r="L5273" s="14" t="n">
        <f aca="false">G5273-H5273</f>
        <v>1.78</v>
      </c>
    </row>
    <row r="5274" customFormat="false" ht="15" hidden="false" customHeight="false" outlineLevel="0" collapsed="false">
      <c r="A5274" s="2" t="s">
        <v>184</v>
      </c>
      <c r="B5274" s="2" t="s">
        <v>184</v>
      </c>
      <c r="C5274" s="2" t="s">
        <v>49</v>
      </c>
      <c r="D5274" s="2" t="s">
        <v>10</v>
      </c>
      <c r="E5274" s="2" t="s">
        <v>76</v>
      </c>
      <c r="F5274" s="2" t="s">
        <v>1145</v>
      </c>
      <c r="G5274" s="14" t="n">
        <v>12.5</v>
      </c>
      <c r="H5274" s="14" t="n">
        <v>10.79</v>
      </c>
      <c r="I5274" s="14"/>
      <c r="J5274" s="22" t="n">
        <f aca="false">IF(E5274="Priority",'Cost model'!N201,'Cost model'!M201)</f>
        <v>12.5</v>
      </c>
      <c r="K5274" s="14" t="n">
        <f aca="false">J5274-H5274</f>
        <v>1.71</v>
      </c>
      <c r="L5274" s="14" t="n">
        <f aca="false">G5274-H5274</f>
        <v>1.71</v>
      </c>
    </row>
    <row r="5275" customFormat="false" ht="15" hidden="false" customHeight="false" outlineLevel="0" collapsed="false">
      <c r="A5275" s="2" t="s">
        <v>126</v>
      </c>
      <c r="B5275" s="2" t="s">
        <v>126</v>
      </c>
      <c r="C5275" s="2" t="s">
        <v>50</v>
      </c>
      <c r="D5275" s="2" t="s">
        <v>12</v>
      </c>
      <c r="E5275" s="2" t="s">
        <v>76</v>
      </c>
      <c r="F5275" s="2" t="s">
        <v>1145</v>
      </c>
      <c r="G5275" s="14" t="n">
        <v>19.5</v>
      </c>
      <c r="H5275" s="14" t="n">
        <v>17.69</v>
      </c>
      <c r="I5275" s="14" t="n">
        <v>19.5</v>
      </c>
      <c r="J5275" s="22" t="n">
        <f aca="false">IF(E5275="Priority",'Cost model'!N385,'Cost model'!M385)</f>
        <v>55</v>
      </c>
      <c r="K5275" s="14" t="n">
        <f aca="false">J5275-H5275</f>
        <v>37.31</v>
      </c>
      <c r="L5275" s="14" t="n">
        <f aca="false">G5275-H5275</f>
        <v>1.81</v>
      </c>
    </row>
    <row r="5276" customFormat="false" ht="15" hidden="false" customHeight="false" outlineLevel="0" collapsed="false">
      <c r="A5276" s="2" t="s">
        <v>146</v>
      </c>
      <c r="B5276" s="2" t="s">
        <v>146</v>
      </c>
      <c r="C5276" s="2" t="s">
        <v>48</v>
      </c>
      <c r="D5276" s="2" t="s">
        <v>10</v>
      </c>
      <c r="E5276" s="2" t="s">
        <v>76</v>
      </c>
      <c r="F5276" s="2" t="s">
        <v>1145</v>
      </c>
      <c r="G5276" s="14" t="n">
        <v>9.5</v>
      </c>
      <c r="H5276" s="14" t="n">
        <v>7.72</v>
      </c>
      <c r="I5276" s="14" t="n">
        <v>9.5</v>
      </c>
      <c r="J5276" s="22" t="n">
        <f aca="false">IF(E5276="Priority",'Cost model'!N758,'Cost model'!M758)</f>
        <v>9.5</v>
      </c>
      <c r="K5276" s="14" t="n">
        <f aca="false">J5276-H5276</f>
        <v>1.78</v>
      </c>
      <c r="L5276" s="14" t="n">
        <f aca="false">G5276-H5276</f>
        <v>1.78</v>
      </c>
    </row>
    <row r="5277" customFormat="false" ht="15" hidden="false" customHeight="false" outlineLevel="0" collapsed="false">
      <c r="A5277" s="2" t="s">
        <v>240</v>
      </c>
      <c r="B5277" s="2" t="s">
        <v>165</v>
      </c>
      <c r="C5277" s="2" t="s">
        <v>48</v>
      </c>
      <c r="D5277" s="2" t="s">
        <v>10</v>
      </c>
      <c r="E5277" s="2" t="s">
        <v>85</v>
      </c>
      <c r="F5277" s="2" t="s">
        <v>1146</v>
      </c>
      <c r="G5277" s="14" t="n">
        <v>19.5</v>
      </c>
      <c r="H5277" s="14" t="n">
        <v>25.8</v>
      </c>
      <c r="I5277" s="14" t="n">
        <v>19.5</v>
      </c>
      <c r="J5277" s="22" t="n">
        <f aca="false">IF(E5277="Priority",'Cost model'!N902,'Cost model'!M902)</f>
        <v>18.5</v>
      </c>
      <c r="K5277" s="14" t="n">
        <f aca="false">J5277-H5277</f>
        <v>-7.3</v>
      </c>
      <c r="L5277" s="14" t="n">
        <f aca="false">G5277-H5277</f>
        <v>-6.3</v>
      </c>
    </row>
    <row r="5278" customFormat="false" ht="15" hidden="false" customHeight="false" outlineLevel="0" collapsed="false">
      <c r="A5278" s="2" t="s">
        <v>184</v>
      </c>
      <c r="B5278" s="2" t="s">
        <v>184</v>
      </c>
      <c r="C5278" s="2" t="s">
        <v>48</v>
      </c>
      <c r="D5278" s="2" t="s">
        <v>10</v>
      </c>
      <c r="E5278" s="2" t="s">
        <v>76</v>
      </c>
      <c r="F5278" s="2" t="s">
        <v>1145</v>
      </c>
      <c r="G5278" s="14" t="n">
        <v>9.5</v>
      </c>
      <c r="H5278" s="14" t="n">
        <v>7.46</v>
      </c>
      <c r="I5278" s="14" t="n">
        <v>9.5</v>
      </c>
      <c r="J5278" s="22" t="n">
        <f aca="false">IF(E5278="Priority",'Cost model'!N200,'Cost model'!M200)</f>
        <v>7.5</v>
      </c>
      <c r="K5278" s="14" t="n">
        <f aca="false">J5278-H5278</f>
        <v>0.04</v>
      </c>
      <c r="L5278" s="14" t="n">
        <f aca="false">G5278-H5278</f>
        <v>2.04</v>
      </c>
    </row>
    <row r="5279" customFormat="false" ht="15" hidden="false" customHeight="false" outlineLevel="0" collapsed="false">
      <c r="A5279" s="2" t="s">
        <v>146</v>
      </c>
      <c r="B5279" s="2" t="s">
        <v>126</v>
      </c>
      <c r="C5279" s="2" t="s">
        <v>49</v>
      </c>
      <c r="D5279" s="2" t="s">
        <v>12</v>
      </c>
      <c r="E5279" s="2" t="s">
        <v>85</v>
      </c>
      <c r="F5279" s="2" t="s">
        <v>1146</v>
      </c>
      <c r="G5279" s="14" t="n">
        <v>24.5</v>
      </c>
      <c r="H5279" s="14" t="n">
        <v>51.29</v>
      </c>
      <c r="I5279" s="14" t="n">
        <v>24.5</v>
      </c>
      <c r="J5279" s="22" t="n">
        <f aca="false">IF(E5279="Priority",'Cost model'!N798,'Cost model'!M798)</f>
        <v>60</v>
      </c>
      <c r="K5279" s="14" t="n">
        <f aca="false">J5279-H5279</f>
        <v>8.71</v>
      </c>
      <c r="L5279" s="14" t="n">
        <f aca="false">G5279-H5279</f>
        <v>-26.79</v>
      </c>
    </row>
    <row r="5280" customFormat="false" ht="15" hidden="false" customHeight="false" outlineLevel="0" collapsed="false">
      <c r="A5280" s="2" t="s">
        <v>126</v>
      </c>
      <c r="B5280" s="2" t="s">
        <v>165</v>
      </c>
      <c r="C5280" s="2" t="s">
        <v>48</v>
      </c>
      <c r="D5280" s="2" t="s">
        <v>12</v>
      </c>
      <c r="E5280" s="2" t="s">
        <v>76</v>
      </c>
      <c r="F5280" s="2" t="s">
        <v>1146</v>
      </c>
      <c r="G5280" s="14" t="n">
        <v>19.5</v>
      </c>
      <c r="H5280" s="14" t="n">
        <v>41.11</v>
      </c>
      <c r="I5280" s="14" t="n">
        <v>19.5</v>
      </c>
      <c r="J5280" s="22" t="n">
        <f aca="false">IF(E5280="Priority",'Cost model'!N419,'Cost model'!M419)</f>
        <v>55</v>
      </c>
      <c r="K5280" s="14" t="n">
        <f aca="false">J5280-H5280</f>
        <v>13.89</v>
      </c>
      <c r="L5280" s="14" t="n">
        <f aca="false">G5280-H5280</f>
        <v>-21.61</v>
      </c>
    </row>
    <row r="5281" customFormat="false" ht="15" hidden="false" customHeight="false" outlineLevel="0" collapsed="false">
      <c r="A5281" s="2" t="s">
        <v>165</v>
      </c>
      <c r="B5281" s="2" t="s">
        <v>165</v>
      </c>
      <c r="C5281" s="2" t="s">
        <v>50</v>
      </c>
      <c r="D5281" s="2" t="s">
        <v>10</v>
      </c>
      <c r="E5281" s="2" t="s">
        <v>76</v>
      </c>
      <c r="F5281" s="2" t="s">
        <v>1145</v>
      </c>
      <c r="G5281" s="14" t="n">
        <v>17.5</v>
      </c>
      <c r="H5281" s="14" t="n">
        <v>13.92</v>
      </c>
      <c r="I5281" s="14" t="n">
        <v>17.5</v>
      </c>
      <c r="J5281" s="22" t="n">
        <f aca="false">IF(E5281="Priority",'Cost model'!N508,'Cost model'!M508)</f>
        <v>17.5</v>
      </c>
      <c r="K5281" s="14" t="n">
        <f aca="false">J5281-H5281</f>
        <v>3.58</v>
      </c>
      <c r="L5281" s="14" t="n">
        <f aca="false">G5281-H5281</f>
        <v>3.58</v>
      </c>
    </row>
    <row r="5282" customFormat="false" ht="15" hidden="false" customHeight="false" outlineLevel="0" collapsed="false">
      <c r="A5282" s="2" t="s">
        <v>146</v>
      </c>
      <c r="B5282" s="2" t="s">
        <v>146</v>
      </c>
      <c r="C5282" s="2" t="s">
        <v>48</v>
      </c>
      <c r="D5282" s="2" t="s">
        <v>10</v>
      </c>
      <c r="E5282" s="2" t="s">
        <v>85</v>
      </c>
      <c r="F5282" s="2" t="s">
        <v>1145</v>
      </c>
      <c r="G5282" s="14" t="n">
        <v>14.5</v>
      </c>
      <c r="H5282" s="14" t="n">
        <v>7.45</v>
      </c>
      <c r="I5282" s="14" t="n">
        <v>14.5</v>
      </c>
      <c r="J5282" s="22" t="n">
        <f aca="false">IF(E5282="Priority",'Cost model'!N758,'Cost model'!M758)</f>
        <v>14.5</v>
      </c>
      <c r="K5282" s="14" t="n">
        <f aca="false">J5282-H5282</f>
        <v>7.05</v>
      </c>
      <c r="L5282" s="14" t="n">
        <f aca="false">G5282-H5282</f>
        <v>7.05</v>
      </c>
    </row>
    <row r="5283" customFormat="false" ht="15" hidden="false" customHeight="false" outlineLevel="0" collapsed="false">
      <c r="A5283" s="2" t="s">
        <v>126</v>
      </c>
      <c r="B5283" s="2" t="s">
        <v>126</v>
      </c>
      <c r="C5283" s="2" t="s">
        <v>50</v>
      </c>
      <c r="D5283" s="2" t="s">
        <v>12</v>
      </c>
      <c r="E5283" s="2" t="s">
        <v>76</v>
      </c>
      <c r="F5283" s="2" t="s">
        <v>1145</v>
      </c>
      <c r="G5283" s="14" t="n">
        <v>19.5</v>
      </c>
      <c r="H5283" s="14" t="n">
        <v>57.08</v>
      </c>
      <c r="I5283" s="14" t="n">
        <v>19.5</v>
      </c>
      <c r="J5283" s="22" t="n">
        <f aca="false">IF(E5283="Priority",'Cost model'!N385,'Cost model'!M385)</f>
        <v>55</v>
      </c>
      <c r="K5283" s="14" t="n">
        <f aca="false">J5283-H5283</f>
        <v>-2.08</v>
      </c>
      <c r="L5283" s="14" t="n">
        <f aca="false">G5283-H5283</f>
        <v>-37.58</v>
      </c>
    </row>
    <row r="5284" customFormat="false" ht="15" hidden="false" customHeight="false" outlineLevel="0" collapsed="false">
      <c r="A5284" s="2" t="s">
        <v>184</v>
      </c>
      <c r="B5284" s="2" t="s">
        <v>126</v>
      </c>
      <c r="C5284" s="2" t="s">
        <v>48</v>
      </c>
      <c r="D5284" s="2" t="s">
        <v>12</v>
      </c>
      <c r="E5284" s="2" t="s">
        <v>76</v>
      </c>
      <c r="F5284" s="2" t="s">
        <v>1146</v>
      </c>
      <c r="G5284" s="14" t="n">
        <v>9.5</v>
      </c>
      <c r="H5284" s="14" t="n">
        <v>13.14</v>
      </c>
      <c r="I5284" s="14" t="n">
        <v>9.5</v>
      </c>
      <c r="J5284" s="22" t="n">
        <f aca="false">IF(E5284="Priority",'Cost model'!N131,'Cost model'!M131)</f>
        <v>40</v>
      </c>
      <c r="K5284" s="14" t="n">
        <f aca="false">J5284-H5284</f>
        <v>26.86</v>
      </c>
      <c r="L5284" s="14" t="n">
        <f aca="false">G5284-H5284</f>
        <v>-3.64</v>
      </c>
    </row>
    <row r="5285" customFormat="false" ht="15" hidden="false" customHeight="false" outlineLevel="0" collapsed="false">
      <c r="A5285" s="2" t="s">
        <v>184</v>
      </c>
      <c r="B5285" s="2" t="s">
        <v>184</v>
      </c>
      <c r="C5285" s="2" t="s">
        <v>50</v>
      </c>
      <c r="D5285" s="2" t="s">
        <v>12</v>
      </c>
      <c r="E5285" s="2" t="s">
        <v>76</v>
      </c>
      <c r="F5285" s="2" t="s">
        <v>1145</v>
      </c>
      <c r="G5285" s="14" t="n">
        <v>19.5</v>
      </c>
      <c r="H5285" s="14" t="n">
        <v>47.01</v>
      </c>
      <c r="I5285" s="14" t="n">
        <v>19.5</v>
      </c>
      <c r="J5285" s="22" t="n">
        <f aca="false">IF(E5285="Priority",'Cost model'!N205,'Cost model'!M205)</f>
        <v>50</v>
      </c>
      <c r="K5285" s="14" t="n">
        <f aca="false">J5285-H5285</f>
        <v>2.99</v>
      </c>
      <c r="L5285" s="14" t="n">
        <f aca="false">G5285-H5285</f>
        <v>-27.51</v>
      </c>
    </row>
    <row r="5286" customFormat="false" ht="15" hidden="false" customHeight="false" outlineLevel="0" collapsed="false">
      <c r="A5286" s="2" t="s">
        <v>184</v>
      </c>
      <c r="B5286" s="2" t="s">
        <v>146</v>
      </c>
      <c r="C5286" s="2" t="s">
        <v>48</v>
      </c>
      <c r="D5286" s="2" t="s">
        <v>13</v>
      </c>
      <c r="E5286" s="2" t="s">
        <v>76</v>
      </c>
      <c r="F5286" s="2" t="s">
        <v>1146</v>
      </c>
      <c r="G5286" s="14" t="n">
        <v>19</v>
      </c>
      <c r="H5286" s="14" t="n">
        <v>48.7</v>
      </c>
      <c r="I5286" s="14" t="n">
        <v>19</v>
      </c>
      <c r="J5286" s="22" t="n">
        <f aca="false">IF(E5286="Priority",'Cost model'!N152,'Cost model'!M152)</f>
        <v>65</v>
      </c>
      <c r="K5286" s="14" t="n">
        <f aca="false">J5286-H5286</f>
        <v>16.3</v>
      </c>
      <c r="L5286" s="14" t="n">
        <f aca="false">G5286-H5286</f>
        <v>-29.7</v>
      </c>
    </row>
    <row r="5287" customFormat="false" ht="15" hidden="false" customHeight="false" outlineLevel="0" collapsed="false">
      <c r="A5287" s="2" t="s">
        <v>146</v>
      </c>
      <c r="B5287" s="2" t="s">
        <v>146</v>
      </c>
      <c r="C5287" s="2" t="s">
        <v>49</v>
      </c>
      <c r="D5287" s="2" t="s">
        <v>12</v>
      </c>
      <c r="E5287" s="2" t="s">
        <v>76</v>
      </c>
      <c r="F5287" s="2" t="s">
        <v>1145</v>
      </c>
      <c r="G5287" s="14" t="n">
        <v>12.5</v>
      </c>
      <c r="H5287" s="14" t="n">
        <v>38.93</v>
      </c>
      <c r="I5287" s="14" t="n">
        <v>12.5</v>
      </c>
      <c r="J5287" s="22" t="n">
        <f aca="false">IF(E5287="Priority",'Cost model'!N762,'Cost model'!M762)</f>
        <v>45</v>
      </c>
      <c r="K5287" s="14" t="n">
        <f aca="false">J5287-H5287</f>
        <v>6.07</v>
      </c>
      <c r="L5287" s="14" t="n">
        <f aca="false">G5287-H5287</f>
        <v>-26.43</v>
      </c>
    </row>
    <row r="5288" customFormat="false" ht="15" hidden="false" customHeight="false" outlineLevel="0" collapsed="false">
      <c r="A5288" s="2" t="s">
        <v>184</v>
      </c>
      <c r="B5288" s="2" t="s">
        <v>184</v>
      </c>
      <c r="C5288" s="2" t="s">
        <v>48</v>
      </c>
      <c r="D5288" s="2" t="s">
        <v>12</v>
      </c>
      <c r="E5288" s="2" t="s">
        <v>76</v>
      </c>
      <c r="F5288" s="2" t="s">
        <v>1145</v>
      </c>
      <c r="G5288" s="14" t="n">
        <v>9.5</v>
      </c>
      <c r="H5288" s="14" t="n">
        <v>7.69</v>
      </c>
      <c r="I5288" s="14" t="n">
        <v>9.5</v>
      </c>
      <c r="J5288" s="22" t="n">
        <f aca="false">IF(E5288="Priority",'Cost model'!N203,'Cost model'!M203)</f>
        <v>26.5</v>
      </c>
      <c r="K5288" s="14" t="n">
        <f aca="false">J5288-H5288</f>
        <v>18.81</v>
      </c>
      <c r="L5288" s="14" t="n">
        <f aca="false">G5288-H5288</f>
        <v>1.81</v>
      </c>
    </row>
    <row r="5289" customFormat="false" ht="15" hidden="false" customHeight="false" outlineLevel="0" collapsed="false">
      <c r="A5289" s="2" t="s">
        <v>146</v>
      </c>
      <c r="B5289" s="2" t="s">
        <v>146</v>
      </c>
      <c r="C5289" s="2" t="s">
        <v>48</v>
      </c>
      <c r="D5289" s="2" t="s">
        <v>10</v>
      </c>
      <c r="E5289" s="2" t="s">
        <v>76</v>
      </c>
      <c r="F5289" s="2" t="s">
        <v>1145</v>
      </c>
      <c r="G5289" s="14" t="n">
        <v>9.5</v>
      </c>
      <c r="H5289" s="14" t="n">
        <v>6.27</v>
      </c>
      <c r="I5289" s="14" t="n">
        <v>9.5</v>
      </c>
      <c r="J5289" s="22" t="n">
        <f aca="false">IF(E5289="Priority",'Cost model'!N758,'Cost model'!M758)</f>
        <v>9.5</v>
      </c>
      <c r="K5289" s="14" t="n">
        <f aca="false">J5289-H5289</f>
        <v>3.23</v>
      </c>
      <c r="L5289" s="14" t="n">
        <f aca="false">G5289-H5289</f>
        <v>3.23</v>
      </c>
    </row>
    <row r="5290" customFormat="false" ht="15" hidden="false" customHeight="false" outlineLevel="0" collapsed="false">
      <c r="A5290" s="2" t="s">
        <v>240</v>
      </c>
      <c r="B5290" s="2" t="s">
        <v>240</v>
      </c>
      <c r="C5290" s="2" t="s">
        <v>48</v>
      </c>
      <c r="D5290" s="2" t="s">
        <v>12</v>
      </c>
      <c r="E5290" s="2" t="s">
        <v>76</v>
      </c>
      <c r="F5290" s="2" t="s">
        <v>1145</v>
      </c>
      <c r="G5290" s="14" t="n">
        <v>9.5</v>
      </c>
      <c r="H5290" s="14" t="n">
        <v>33.53</v>
      </c>
      <c r="I5290" s="14" t="n">
        <v>9.5</v>
      </c>
      <c r="J5290" s="22" t="n">
        <f aca="false">IF(E5290="Priority",'Cost model'!N887,'Cost model'!M887)</f>
        <v>21.5</v>
      </c>
      <c r="K5290" s="14" t="n">
        <f aca="false">J5290-H5290</f>
        <v>-12.03</v>
      </c>
      <c r="L5290" s="14" t="n">
        <f aca="false">G5290-H5290</f>
        <v>-24.03</v>
      </c>
    </row>
    <row r="5291" customFormat="false" ht="15" hidden="false" customHeight="false" outlineLevel="0" collapsed="false">
      <c r="A5291" s="2" t="s">
        <v>146</v>
      </c>
      <c r="B5291" s="2" t="s">
        <v>146</v>
      </c>
      <c r="C5291" s="2" t="s">
        <v>48</v>
      </c>
      <c r="D5291" s="2" t="s">
        <v>12</v>
      </c>
      <c r="E5291" s="2" t="s">
        <v>85</v>
      </c>
      <c r="F5291" s="2" t="s">
        <v>1145</v>
      </c>
      <c r="G5291" s="14" t="n">
        <v>19.5</v>
      </c>
      <c r="H5291" s="14" t="n">
        <v>43.77</v>
      </c>
      <c r="I5291" s="14" t="n">
        <v>19.5</v>
      </c>
      <c r="J5291" s="22" t="n">
        <f aca="false">IF(E5291="Priority",'Cost model'!N761,'Cost model'!M761)</f>
        <v>45</v>
      </c>
      <c r="K5291" s="14" t="n">
        <f aca="false">J5291-H5291</f>
        <v>1.23</v>
      </c>
      <c r="L5291" s="14" t="n">
        <f aca="false">G5291-H5291</f>
        <v>-24.27</v>
      </c>
    </row>
    <row r="5292" customFormat="false" ht="15" hidden="false" customHeight="false" outlineLevel="0" collapsed="false">
      <c r="A5292" s="2" t="s">
        <v>184</v>
      </c>
      <c r="B5292" s="2" t="s">
        <v>184</v>
      </c>
      <c r="C5292" s="2" t="s">
        <v>49</v>
      </c>
      <c r="D5292" s="2" t="s">
        <v>12</v>
      </c>
      <c r="E5292" s="2" t="s">
        <v>76</v>
      </c>
      <c r="F5292" s="2" t="s">
        <v>1145</v>
      </c>
      <c r="G5292" s="14" t="n">
        <v>12.5</v>
      </c>
      <c r="H5292" s="14" t="n">
        <v>28.3</v>
      </c>
      <c r="I5292" s="14"/>
      <c r="J5292" s="22" t="n">
        <f aca="false">IF(E5292="Priority",'Cost model'!N204,'Cost model'!M204)</f>
        <v>45</v>
      </c>
      <c r="K5292" s="14" t="n">
        <f aca="false">J5292-H5292</f>
        <v>16.7</v>
      </c>
      <c r="L5292" s="14" t="n">
        <f aca="false">G5292-H5292</f>
        <v>-15.8</v>
      </c>
    </row>
    <row r="5293" customFormat="false" ht="15" hidden="false" customHeight="false" outlineLevel="0" collapsed="false">
      <c r="A5293" s="2" t="s">
        <v>126</v>
      </c>
      <c r="B5293" s="2" t="s">
        <v>126</v>
      </c>
      <c r="C5293" s="2" t="s">
        <v>48</v>
      </c>
      <c r="D5293" s="2" t="s">
        <v>10</v>
      </c>
      <c r="E5293" s="2" t="s">
        <v>76</v>
      </c>
      <c r="F5293" s="2" t="s">
        <v>1145</v>
      </c>
      <c r="G5293" s="14" t="n">
        <v>9.5</v>
      </c>
      <c r="H5293" s="14" t="n">
        <v>6.64</v>
      </c>
      <c r="I5293" s="14" t="n">
        <v>9.5</v>
      </c>
      <c r="J5293" s="22" t="n">
        <f aca="false">IF(E5293="Priority",'Cost model'!N380,'Cost model'!M380)</f>
        <v>8.5</v>
      </c>
      <c r="K5293" s="14" t="n">
        <f aca="false">J5293-H5293</f>
        <v>1.86</v>
      </c>
      <c r="L5293" s="14" t="n">
        <f aca="false">G5293-H5293</f>
        <v>2.86</v>
      </c>
    </row>
    <row r="5294" customFormat="false" ht="15" hidden="false" customHeight="false" outlineLevel="0" collapsed="false">
      <c r="A5294" s="2" t="s">
        <v>126</v>
      </c>
      <c r="B5294" s="2" t="s">
        <v>184</v>
      </c>
      <c r="C5294" s="2" t="s">
        <v>48</v>
      </c>
      <c r="D5294" s="2" t="s">
        <v>10</v>
      </c>
      <c r="E5294" s="2" t="s">
        <v>85</v>
      </c>
      <c r="F5294" s="2" t="s">
        <v>1146</v>
      </c>
      <c r="G5294" s="14" t="n">
        <v>19.5</v>
      </c>
      <c r="H5294" s="14" t="n">
        <v>5.97</v>
      </c>
      <c r="I5294" s="14" t="n">
        <v>19.5</v>
      </c>
      <c r="J5294" s="22" t="n">
        <f aca="false">IF(E5294="Priority",'Cost model'!N434,'Cost model'!M434)</f>
        <v>18.5</v>
      </c>
      <c r="K5294" s="14" t="n">
        <f aca="false">J5294-H5294</f>
        <v>12.53</v>
      </c>
      <c r="L5294" s="14" t="n">
        <f aca="false">G5294-H5294</f>
        <v>13.53</v>
      </c>
    </row>
    <row r="5295" customFormat="false" ht="15" hidden="false" customHeight="false" outlineLevel="0" collapsed="false">
      <c r="A5295" s="2" t="s">
        <v>126</v>
      </c>
      <c r="B5295" s="2" t="s">
        <v>126</v>
      </c>
      <c r="C5295" s="2" t="s">
        <v>48</v>
      </c>
      <c r="D5295" s="2" t="s">
        <v>12</v>
      </c>
      <c r="E5295" s="2" t="s">
        <v>76</v>
      </c>
      <c r="F5295" s="2" t="s">
        <v>1145</v>
      </c>
      <c r="G5295" s="14" t="n">
        <v>9.5</v>
      </c>
      <c r="H5295" s="14" t="n">
        <v>8.33</v>
      </c>
      <c r="I5295" s="14" t="n">
        <v>9.5</v>
      </c>
      <c r="J5295" s="22" t="n">
        <f aca="false">IF(E5295="Priority",'Cost model'!N383,'Cost model'!M383)</f>
        <v>27.5</v>
      </c>
      <c r="K5295" s="14" t="n">
        <f aca="false">J5295-H5295</f>
        <v>19.17</v>
      </c>
      <c r="L5295" s="14" t="n">
        <f aca="false">G5295-H5295</f>
        <v>1.17</v>
      </c>
    </row>
    <row r="5296" customFormat="false" ht="15" hidden="false" customHeight="false" outlineLevel="0" collapsed="false">
      <c r="A5296" s="2" t="s">
        <v>240</v>
      </c>
      <c r="B5296" s="2" t="s">
        <v>240</v>
      </c>
      <c r="C5296" s="2" t="s">
        <v>50</v>
      </c>
      <c r="D5296" s="2" t="s">
        <v>10</v>
      </c>
      <c r="E5296" s="2" t="s">
        <v>76</v>
      </c>
      <c r="F5296" s="2" t="s">
        <v>1145</v>
      </c>
      <c r="G5296" s="14" t="n">
        <v>17.5</v>
      </c>
      <c r="H5296" s="14" t="n">
        <v>17.31</v>
      </c>
      <c r="I5296" s="14" t="n">
        <v>17.5</v>
      </c>
      <c r="J5296" s="22" t="n">
        <f aca="false">IF(E5296="Priority",'Cost model'!N886,'Cost model'!M886)</f>
        <v>17.5</v>
      </c>
      <c r="K5296" s="14" t="n">
        <f aca="false">J5296-H5296</f>
        <v>0.190000000000001</v>
      </c>
      <c r="L5296" s="14" t="n">
        <f aca="false">G5296-H5296</f>
        <v>0.190000000000001</v>
      </c>
    </row>
    <row r="5297" customFormat="false" ht="15" hidden="false" customHeight="false" outlineLevel="0" collapsed="false">
      <c r="A5297" s="2" t="s">
        <v>184</v>
      </c>
      <c r="B5297" s="2" t="s">
        <v>146</v>
      </c>
      <c r="C5297" s="2" t="s">
        <v>50</v>
      </c>
      <c r="D5297" s="2" t="s">
        <v>12</v>
      </c>
      <c r="E5297" s="2" t="s">
        <v>76</v>
      </c>
      <c r="F5297" s="2" t="s">
        <v>1146</v>
      </c>
      <c r="G5297" s="14" t="n">
        <v>19.5</v>
      </c>
      <c r="H5297" s="14" t="n">
        <v>97.97</v>
      </c>
      <c r="I5297" s="14" t="n">
        <v>19.5</v>
      </c>
      <c r="J5297" s="22" t="n">
        <f aca="false">IF(E5297="Priority",'Cost model'!N151,'Cost model'!M151)</f>
        <v>55</v>
      </c>
      <c r="K5297" s="14" t="n">
        <f aca="false">J5297-H5297</f>
        <v>-42.97</v>
      </c>
      <c r="L5297" s="14" t="n">
        <f aca="false">G5297-H5297</f>
        <v>-78.47</v>
      </c>
    </row>
    <row r="5298" customFormat="false" ht="15" hidden="false" customHeight="false" outlineLevel="0" collapsed="false">
      <c r="A5298" s="2" t="s">
        <v>126</v>
      </c>
      <c r="B5298" s="2" t="s">
        <v>126</v>
      </c>
      <c r="C5298" s="2" t="s">
        <v>49</v>
      </c>
      <c r="D5298" s="2" t="s">
        <v>12</v>
      </c>
      <c r="E5298" s="2" t="s">
        <v>76</v>
      </c>
      <c r="F5298" s="2" t="s">
        <v>1145</v>
      </c>
      <c r="G5298" s="14" t="n">
        <v>9.5</v>
      </c>
      <c r="H5298" s="14" t="n">
        <v>65.08</v>
      </c>
      <c r="I5298" s="14" t="n">
        <v>12.5</v>
      </c>
      <c r="J5298" s="22" t="n">
        <f aca="false">IF(E5298="Priority",'Cost model'!N384,'Cost model'!M384)</f>
        <v>45</v>
      </c>
      <c r="K5298" s="14" t="n">
        <f aca="false">J5298-H5298</f>
        <v>-20.08</v>
      </c>
      <c r="L5298" s="14" t="n">
        <f aca="false">G5298-H5298</f>
        <v>-55.58</v>
      </c>
    </row>
    <row r="5299" customFormat="false" ht="15" hidden="false" customHeight="false" outlineLevel="0" collapsed="false">
      <c r="A5299" s="2" t="s">
        <v>126</v>
      </c>
      <c r="B5299" s="2" t="s">
        <v>126</v>
      </c>
      <c r="C5299" s="2" t="s">
        <v>49</v>
      </c>
      <c r="D5299" s="2" t="s">
        <v>12</v>
      </c>
      <c r="E5299" s="2" t="s">
        <v>76</v>
      </c>
      <c r="F5299" s="2" t="s">
        <v>1145</v>
      </c>
      <c r="G5299" s="14" t="n">
        <v>12.5</v>
      </c>
      <c r="H5299" s="14" t="n">
        <v>7.45</v>
      </c>
      <c r="I5299" s="14" t="n">
        <v>12.5</v>
      </c>
      <c r="J5299" s="22" t="n">
        <f aca="false">IF(E5299="Priority",'Cost model'!N384,'Cost model'!M384)</f>
        <v>45</v>
      </c>
      <c r="K5299" s="14" t="n">
        <f aca="false">J5299-H5299</f>
        <v>37.55</v>
      </c>
      <c r="L5299" s="14" t="n">
        <f aca="false">G5299-H5299</f>
        <v>5.05</v>
      </c>
    </row>
    <row r="5300" customFormat="false" ht="15" hidden="false" customHeight="false" outlineLevel="0" collapsed="false">
      <c r="A5300" s="2" t="s">
        <v>126</v>
      </c>
      <c r="B5300" s="2" t="s">
        <v>126</v>
      </c>
      <c r="C5300" s="2" t="s">
        <v>49</v>
      </c>
      <c r="D5300" s="2" t="s">
        <v>13</v>
      </c>
      <c r="E5300" s="2" t="s">
        <v>76</v>
      </c>
      <c r="F5300" s="2" t="s">
        <v>1145</v>
      </c>
      <c r="G5300" s="14" t="n">
        <v>24.5</v>
      </c>
      <c r="H5300" s="14" t="n">
        <v>122.89</v>
      </c>
      <c r="I5300" s="14" t="n">
        <v>24.5</v>
      </c>
      <c r="J5300" s="22" t="n">
        <f aca="false">IF(E5300="Priority",'Cost model'!N387,'Cost model'!M387)</f>
        <v>95</v>
      </c>
      <c r="K5300" s="14" t="n">
        <f aca="false">J5300-H5300</f>
        <v>-27.89</v>
      </c>
      <c r="L5300" s="14" t="n">
        <f aca="false">G5300-H5300</f>
        <v>-98.39</v>
      </c>
    </row>
    <row r="5301" customFormat="false" ht="15" hidden="false" customHeight="false" outlineLevel="0" collapsed="false">
      <c r="A5301" s="2" t="s">
        <v>184</v>
      </c>
      <c r="B5301" s="2" t="s">
        <v>184</v>
      </c>
      <c r="C5301" s="2" t="s">
        <v>50</v>
      </c>
      <c r="D5301" s="2" t="s">
        <v>10</v>
      </c>
      <c r="E5301" s="2" t="s">
        <v>76</v>
      </c>
      <c r="F5301" s="2" t="s">
        <v>1145</v>
      </c>
      <c r="G5301" s="14" t="n">
        <v>17.5</v>
      </c>
      <c r="H5301" s="14" t="n">
        <v>20.11</v>
      </c>
      <c r="I5301" s="14" t="n">
        <v>17.5</v>
      </c>
      <c r="J5301" s="22" t="n">
        <f aca="false">IF(E5301="Priority",'Cost model'!N202,'Cost model'!M202)</f>
        <v>17.5</v>
      </c>
      <c r="K5301" s="14" t="n">
        <f aca="false">J5301-H5301</f>
        <v>-2.61</v>
      </c>
      <c r="L5301" s="14" t="n">
        <f aca="false">G5301-H5301</f>
        <v>-2.61</v>
      </c>
    </row>
    <row r="5302" customFormat="false" ht="15" hidden="false" customHeight="false" outlineLevel="0" collapsed="false">
      <c r="A5302" s="2" t="s">
        <v>125</v>
      </c>
      <c r="B5302" s="2" t="s">
        <v>126</v>
      </c>
      <c r="C5302" s="2" t="s">
        <v>48</v>
      </c>
      <c r="D5302" s="2" t="s">
        <v>10</v>
      </c>
      <c r="E5302" s="2" t="s">
        <v>76</v>
      </c>
      <c r="F5302" s="2" t="s">
        <v>1146</v>
      </c>
      <c r="G5302" s="14" t="n">
        <v>14.5</v>
      </c>
      <c r="H5302" s="14" t="n">
        <v>9.12</v>
      </c>
      <c r="I5302" s="14" t="n">
        <v>14.5</v>
      </c>
      <c r="J5302" s="22" t="n">
        <f aca="false">IF(E5302="Priority",'Cost model'!N2,'Cost model'!M2)</f>
        <v>14.5</v>
      </c>
      <c r="K5302" s="14" t="n">
        <f aca="false">J5302-H5302</f>
        <v>5.38</v>
      </c>
      <c r="L5302" s="14" t="n">
        <f aca="false">G5302-H5302</f>
        <v>5.38</v>
      </c>
    </row>
    <row r="5303" customFormat="false" ht="15" hidden="false" customHeight="false" outlineLevel="0" collapsed="false">
      <c r="A5303" s="2" t="s">
        <v>240</v>
      </c>
      <c r="B5303" s="2" t="s">
        <v>240</v>
      </c>
      <c r="C5303" s="2" t="s">
        <v>48</v>
      </c>
      <c r="D5303" s="2" t="s">
        <v>10</v>
      </c>
      <c r="E5303" s="2" t="s">
        <v>76</v>
      </c>
      <c r="F5303" s="2" t="s">
        <v>1145</v>
      </c>
      <c r="G5303" s="14" t="n">
        <v>9.5</v>
      </c>
      <c r="H5303" s="14" t="n">
        <v>5</v>
      </c>
      <c r="I5303" s="14" t="n">
        <v>9.5</v>
      </c>
      <c r="J5303" s="22" t="n">
        <f aca="false">IF(E5303="Priority",'Cost model'!N884,'Cost model'!M884)</f>
        <v>7.5</v>
      </c>
      <c r="K5303" s="14" t="n">
        <f aca="false">J5303-H5303</f>
        <v>2.5</v>
      </c>
      <c r="L5303" s="14" t="n">
        <f aca="false">G5303-H5303</f>
        <v>4.5</v>
      </c>
    </row>
    <row r="5304" customFormat="false" ht="15" hidden="false" customHeight="false" outlineLevel="0" collapsed="false">
      <c r="A5304" s="2" t="s">
        <v>184</v>
      </c>
      <c r="B5304" s="2" t="s">
        <v>184</v>
      </c>
      <c r="C5304" s="2" t="s">
        <v>50</v>
      </c>
      <c r="D5304" s="2" t="s">
        <v>10</v>
      </c>
      <c r="E5304" s="2" t="s">
        <v>76</v>
      </c>
      <c r="F5304" s="2" t="s">
        <v>1145</v>
      </c>
      <c r="G5304" s="14" t="n">
        <v>17.5</v>
      </c>
      <c r="H5304" s="14" t="n">
        <v>12.18</v>
      </c>
      <c r="I5304" s="14" t="n">
        <v>17.5</v>
      </c>
      <c r="J5304" s="22" t="n">
        <f aca="false">IF(E5304="Priority",'Cost model'!N202,'Cost model'!M202)</f>
        <v>17.5</v>
      </c>
      <c r="K5304" s="14" t="n">
        <f aca="false">J5304-H5304</f>
        <v>5.32</v>
      </c>
      <c r="L5304" s="14" t="n">
        <f aca="false">G5304-H5304</f>
        <v>5.32</v>
      </c>
    </row>
    <row r="5305" customFormat="false" ht="15" hidden="false" customHeight="false" outlineLevel="0" collapsed="false">
      <c r="A5305" s="2" t="s">
        <v>146</v>
      </c>
      <c r="B5305" s="2" t="s">
        <v>146</v>
      </c>
      <c r="C5305" s="2" t="s">
        <v>48</v>
      </c>
      <c r="D5305" s="2" t="s">
        <v>10</v>
      </c>
      <c r="E5305" s="2" t="s">
        <v>76</v>
      </c>
      <c r="F5305" s="2" t="s">
        <v>1145</v>
      </c>
      <c r="G5305" s="14" t="n">
        <v>9.5</v>
      </c>
      <c r="H5305" s="14" t="n">
        <v>5.16</v>
      </c>
      <c r="I5305" s="14" t="n">
        <v>9.5</v>
      </c>
      <c r="J5305" s="22" t="n">
        <f aca="false">IF(E5305="Priority",'Cost model'!N758,'Cost model'!M758)</f>
        <v>9.5</v>
      </c>
      <c r="K5305" s="14" t="n">
        <f aca="false">J5305-H5305</f>
        <v>4.34</v>
      </c>
      <c r="L5305" s="14" t="n">
        <f aca="false">G5305-H5305</f>
        <v>4.34</v>
      </c>
    </row>
    <row r="5306" customFormat="false" ht="15" hidden="false" customHeight="false" outlineLevel="0" collapsed="false">
      <c r="A5306" s="2" t="s">
        <v>184</v>
      </c>
      <c r="B5306" s="2" t="s">
        <v>184</v>
      </c>
      <c r="C5306" s="2" t="s">
        <v>49</v>
      </c>
      <c r="D5306" s="2" t="s">
        <v>12</v>
      </c>
      <c r="E5306" s="2" t="s">
        <v>76</v>
      </c>
      <c r="F5306" s="2" t="s">
        <v>1145</v>
      </c>
      <c r="G5306" s="14" t="n">
        <v>12.5</v>
      </c>
      <c r="H5306" s="14" t="n">
        <v>42.61</v>
      </c>
      <c r="I5306" s="14"/>
      <c r="J5306" s="22" t="n">
        <f aca="false">IF(E5306="Priority",'Cost model'!N204,'Cost model'!M204)</f>
        <v>45</v>
      </c>
      <c r="K5306" s="14" t="n">
        <f aca="false">J5306-H5306</f>
        <v>2.39</v>
      </c>
      <c r="L5306" s="14" t="n">
        <f aca="false">G5306-H5306</f>
        <v>-30.11</v>
      </c>
    </row>
    <row r="5307" customFormat="false" ht="15" hidden="false" customHeight="false" outlineLevel="0" collapsed="false">
      <c r="A5307" s="2" t="s">
        <v>184</v>
      </c>
      <c r="B5307" s="2" t="s">
        <v>184</v>
      </c>
      <c r="C5307" s="2" t="s">
        <v>50</v>
      </c>
      <c r="D5307" s="2" t="s">
        <v>14</v>
      </c>
      <c r="E5307" s="2" t="s">
        <v>76</v>
      </c>
      <c r="F5307" s="2" t="s">
        <v>1145</v>
      </c>
      <c r="G5307" s="14" t="n">
        <v>85</v>
      </c>
      <c r="H5307" s="14" t="n">
        <v>48.84</v>
      </c>
      <c r="I5307" s="14" t="n">
        <v>85</v>
      </c>
      <c r="J5307" s="22" t="n">
        <f aca="false">IF(E5307="Priority",'Cost model'!N211,'Cost model'!M211)</f>
        <v>175</v>
      </c>
      <c r="K5307" s="14" t="n">
        <f aca="false">J5307-H5307</f>
        <v>126.16</v>
      </c>
      <c r="L5307" s="14" t="n">
        <f aca="false">G5307-H5307</f>
        <v>36.16</v>
      </c>
    </row>
    <row r="5308" customFormat="false" ht="15" hidden="false" customHeight="false" outlineLevel="0" collapsed="false">
      <c r="A5308" s="2" t="s">
        <v>184</v>
      </c>
      <c r="B5308" s="2" t="s">
        <v>184</v>
      </c>
      <c r="C5308" s="2" t="s">
        <v>48</v>
      </c>
      <c r="D5308" s="2" t="s">
        <v>10</v>
      </c>
      <c r="E5308" s="2" t="s">
        <v>76</v>
      </c>
      <c r="F5308" s="2" t="s">
        <v>1145</v>
      </c>
      <c r="G5308" s="14" t="n">
        <v>9.5</v>
      </c>
      <c r="H5308" s="14" t="n">
        <v>5.94</v>
      </c>
      <c r="I5308" s="14" t="n">
        <v>9.5</v>
      </c>
      <c r="J5308" s="22" t="n">
        <f aca="false">IF(E5308="Priority",'Cost model'!N200,'Cost model'!M200)</f>
        <v>7.5</v>
      </c>
      <c r="K5308" s="14" t="n">
        <f aca="false">J5308-H5308</f>
        <v>1.56</v>
      </c>
      <c r="L5308" s="14" t="n">
        <f aca="false">G5308-H5308</f>
        <v>3.56</v>
      </c>
    </row>
    <row r="5309" customFormat="false" ht="15" hidden="false" customHeight="false" outlineLevel="0" collapsed="false">
      <c r="A5309" s="2" t="s">
        <v>240</v>
      </c>
      <c r="B5309" s="2" t="s">
        <v>240</v>
      </c>
      <c r="C5309" s="2" t="s">
        <v>50</v>
      </c>
      <c r="D5309" s="2" t="s">
        <v>12</v>
      </c>
      <c r="E5309" s="2" t="s">
        <v>76</v>
      </c>
      <c r="F5309" s="2" t="s">
        <v>1145</v>
      </c>
      <c r="G5309" s="14" t="n">
        <v>19.5</v>
      </c>
      <c r="H5309" s="14" t="n">
        <v>37.92</v>
      </c>
      <c r="I5309" s="14" t="n">
        <v>19.5</v>
      </c>
      <c r="J5309" s="22" t="n">
        <f aca="false">IF(E5309="Priority",'Cost model'!N889,'Cost model'!M889)</f>
        <v>60</v>
      </c>
      <c r="K5309" s="14" t="n">
        <f aca="false">J5309-H5309</f>
        <v>22.08</v>
      </c>
      <c r="L5309" s="14" t="n">
        <f aca="false">G5309-H5309</f>
        <v>-18.42</v>
      </c>
    </row>
    <row r="5310" customFormat="false" ht="15" hidden="false" customHeight="false" outlineLevel="0" collapsed="false">
      <c r="A5310" s="2" t="s">
        <v>146</v>
      </c>
      <c r="B5310" s="2" t="s">
        <v>146</v>
      </c>
      <c r="C5310" s="2" t="s">
        <v>50</v>
      </c>
      <c r="D5310" s="2" t="s">
        <v>12</v>
      </c>
      <c r="E5310" s="2" t="s">
        <v>76</v>
      </c>
      <c r="F5310" s="2" t="s">
        <v>1145</v>
      </c>
      <c r="G5310" s="14" t="n">
        <v>19.5</v>
      </c>
      <c r="H5310" s="14" t="n">
        <v>25.65</v>
      </c>
      <c r="I5310" s="14" t="n">
        <v>19.5</v>
      </c>
      <c r="J5310" s="22" t="n">
        <f aca="false">IF(E5310="Priority",'Cost model'!N763,'Cost model'!M763)</f>
        <v>50</v>
      </c>
      <c r="K5310" s="14" t="n">
        <f aca="false">J5310-H5310</f>
        <v>24.35</v>
      </c>
      <c r="L5310" s="14" t="n">
        <f aca="false">G5310-H5310</f>
        <v>-6.15</v>
      </c>
    </row>
    <row r="5311" customFormat="false" ht="15" hidden="false" customHeight="false" outlineLevel="0" collapsed="false">
      <c r="A5311" s="2" t="s">
        <v>126</v>
      </c>
      <c r="B5311" s="2" t="s">
        <v>126</v>
      </c>
      <c r="C5311" s="2" t="s">
        <v>49</v>
      </c>
      <c r="D5311" s="2" t="s">
        <v>10</v>
      </c>
      <c r="E5311" s="2" t="s">
        <v>76</v>
      </c>
      <c r="F5311" s="2" t="s">
        <v>1145</v>
      </c>
      <c r="G5311" s="14" t="n">
        <v>14.5</v>
      </c>
      <c r="H5311" s="14" t="n">
        <v>7.46</v>
      </c>
      <c r="I5311" s="14" t="n">
        <v>12.5</v>
      </c>
      <c r="J5311" s="22" t="n">
        <f aca="false">IF(E5311="Priority",'Cost model'!N381,'Cost model'!M381)</f>
        <v>14.5</v>
      </c>
      <c r="K5311" s="14" t="n">
        <f aca="false">J5311-H5311</f>
        <v>7.04</v>
      </c>
      <c r="L5311" s="14" t="n">
        <f aca="false">G5311-H5311</f>
        <v>7.04</v>
      </c>
    </row>
    <row r="5312" customFormat="false" ht="15" hidden="false" customHeight="false" outlineLevel="0" collapsed="false">
      <c r="A5312" s="2" t="s">
        <v>126</v>
      </c>
      <c r="B5312" s="2" t="s">
        <v>126</v>
      </c>
      <c r="C5312" s="2" t="s">
        <v>50</v>
      </c>
      <c r="D5312" s="2" t="s">
        <v>10</v>
      </c>
      <c r="E5312" s="2" t="s">
        <v>76</v>
      </c>
      <c r="F5312" s="2" t="s">
        <v>1145</v>
      </c>
      <c r="G5312" s="14" t="n">
        <v>17.5</v>
      </c>
      <c r="H5312" s="14" t="n">
        <v>20.83</v>
      </c>
      <c r="I5312" s="14" t="n">
        <v>17.5</v>
      </c>
      <c r="J5312" s="22" t="n">
        <f aca="false">IF(E5312="Priority",'Cost model'!N382,'Cost model'!M382)</f>
        <v>18.5</v>
      </c>
      <c r="K5312" s="14" t="n">
        <f aca="false">J5312-H5312</f>
        <v>-2.33</v>
      </c>
      <c r="L5312" s="14" t="n">
        <f aca="false">G5312-H5312</f>
        <v>-3.33</v>
      </c>
    </row>
    <row r="5313" customFormat="false" ht="15" hidden="false" customHeight="false" outlineLevel="0" collapsed="false">
      <c r="A5313" s="2" t="s">
        <v>125</v>
      </c>
      <c r="B5313" s="2" t="s">
        <v>125</v>
      </c>
      <c r="C5313" s="2" t="s">
        <v>48</v>
      </c>
      <c r="D5313" s="2" t="s">
        <v>10</v>
      </c>
      <c r="E5313" s="2" t="s">
        <v>85</v>
      </c>
      <c r="F5313" s="2" t="s">
        <v>1145</v>
      </c>
      <c r="G5313" s="14" t="n">
        <v>14.5</v>
      </c>
      <c r="H5313" s="14" t="n">
        <v>20.83</v>
      </c>
      <c r="I5313" s="14" t="n">
        <v>14.5</v>
      </c>
      <c r="J5313" s="22" t="n">
        <f aca="false">IF(E5313="Priority",'Cost model'!N74,'Cost model'!M74)</f>
        <v>29.5</v>
      </c>
      <c r="K5313" s="14" t="n">
        <f aca="false">J5313-H5313</f>
        <v>8.67</v>
      </c>
      <c r="L5313" s="14" t="n">
        <f aca="false">G5313-H5313</f>
        <v>-6.33</v>
      </c>
    </row>
    <row r="5314" customFormat="false" ht="15" hidden="false" customHeight="false" outlineLevel="0" collapsed="false">
      <c r="A5314" s="2" t="s">
        <v>165</v>
      </c>
      <c r="B5314" s="2" t="s">
        <v>184</v>
      </c>
      <c r="C5314" s="2" t="s">
        <v>48</v>
      </c>
      <c r="D5314" s="2" t="s">
        <v>12</v>
      </c>
      <c r="E5314" s="2" t="s">
        <v>76</v>
      </c>
      <c r="F5314" s="2" t="s">
        <v>1146</v>
      </c>
      <c r="G5314" s="14" t="n">
        <v>9.5</v>
      </c>
      <c r="H5314" s="14" t="n">
        <v>42.23</v>
      </c>
      <c r="I5314" s="14" t="n">
        <v>19.5</v>
      </c>
      <c r="J5314" s="22" t="n">
        <f aca="false">IF(E5314="Priority",'Cost model'!N581,'Cost model'!M581)</f>
        <v>45</v>
      </c>
      <c r="K5314" s="14" t="n">
        <f aca="false">J5314-H5314</f>
        <v>2.77</v>
      </c>
      <c r="L5314" s="14" t="n">
        <f aca="false">G5314-H5314</f>
        <v>-32.73</v>
      </c>
    </row>
    <row r="5315" customFormat="false" ht="15" hidden="false" customHeight="false" outlineLevel="0" collapsed="false">
      <c r="A5315" s="2" t="s">
        <v>240</v>
      </c>
      <c r="B5315" s="2" t="s">
        <v>240</v>
      </c>
      <c r="C5315" s="2" t="s">
        <v>49</v>
      </c>
      <c r="D5315" s="2" t="s">
        <v>10</v>
      </c>
      <c r="E5315" s="2" t="s">
        <v>76</v>
      </c>
      <c r="F5315" s="2" t="s">
        <v>1145</v>
      </c>
      <c r="G5315" s="14" t="n">
        <v>12.5</v>
      </c>
      <c r="H5315" s="14" t="n">
        <v>11.25</v>
      </c>
      <c r="I5315" s="14" t="n">
        <v>12.5</v>
      </c>
      <c r="J5315" s="22" t="n">
        <f aca="false">IF(E5315="Priority",'Cost model'!N885,'Cost model'!M885)</f>
        <v>13.5</v>
      </c>
      <c r="K5315" s="14" t="n">
        <f aca="false">J5315-H5315</f>
        <v>2.25</v>
      </c>
      <c r="L5315" s="14" t="n">
        <f aca="false">G5315-H5315</f>
        <v>1.25</v>
      </c>
    </row>
    <row r="5316" customFormat="false" ht="15" hidden="false" customHeight="false" outlineLevel="0" collapsed="false">
      <c r="A5316" s="2" t="s">
        <v>126</v>
      </c>
      <c r="B5316" s="2" t="s">
        <v>165</v>
      </c>
      <c r="C5316" s="2" t="s">
        <v>48</v>
      </c>
      <c r="D5316" s="2" t="s">
        <v>12</v>
      </c>
      <c r="E5316" s="2" t="s">
        <v>76</v>
      </c>
      <c r="F5316" s="2" t="s">
        <v>1146</v>
      </c>
      <c r="G5316" s="14" t="n">
        <v>9.5</v>
      </c>
      <c r="H5316" s="14" t="n">
        <v>70.04</v>
      </c>
      <c r="I5316" s="14" t="n">
        <v>19.5</v>
      </c>
      <c r="J5316" s="22" t="n">
        <f aca="false">IF(E5316="Priority",'Cost model'!N419,'Cost model'!M419)</f>
        <v>55</v>
      </c>
      <c r="K5316" s="14" t="n">
        <f aca="false">J5316-H5316</f>
        <v>-15.04</v>
      </c>
      <c r="L5316" s="14" t="n">
        <f aca="false">G5316-H5316</f>
        <v>-60.54</v>
      </c>
    </row>
    <row r="5317" customFormat="false" ht="15" hidden="false" customHeight="false" outlineLevel="0" collapsed="false">
      <c r="A5317" s="2" t="s">
        <v>240</v>
      </c>
      <c r="B5317" s="2" t="s">
        <v>240</v>
      </c>
      <c r="C5317" s="2" t="s">
        <v>50</v>
      </c>
      <c r="D5317" s="2" t="s">
        <v>10</v>
      </c>
      <c r="E5317" s="2" t="s">
        <v>76</v>
      </c>
      <c r="F5317" s="2" t="s">
        <v>1145</v>
      </c>
      <c r="G5317" s="14" t="n">
        <v>17.5</v>
      </c>
      <c r="H5317" s="14" t="n">
        <v>11.17</v>
      </c>
      <c r="I5317" s="14" t="n">
        <v>17.5</v>
      </c>
      <c r="J5317" s="22" t="n">
        <f aca="false">IF(E5317="Priority",'Cost model'!N886,'Cost model'!M886)</f>
        <v>17.5</v>
      </c>
      <c r="K5317" s="14" t="n">
        <f aca="false">J5317-H5317</f>
        <v>6.33</v>
      </c>
      <c r="L5317" s="14" t="n">
        <f aca="false">G5317-H5317</f>
        <v>6.33</v>
      </c>
    </row>
    <row r="5318" customFormat="false" ht="15" hidden="false" customHeight="false" outlineLevel="0" collapsed="false">
      <c r="A5318" s="2" t="s">
        <v>184</v>
      </c>
      <c r="B5318" s="2" t="s">
        <v>184</v>
      </c>
      <c r="C5318" s="2" t="s">
        <v>48</v>
      </c>
      <c r="D5318" s="2" t="s">
        <v>10</v>
      </c>
      <c r="E5318" s="2" t="s">
        <v>76</v>
      </c>
      <c r="F5318" s="2" t="s">
        <v>1145</v>
      </c>
      <c r="G5318" s="14" t="n">
        <v>9.5</v>
      </c>
      <c r="H5318" s="14" t="n">
        <v>7.69</v>
      </c>
      <c r="I5318" s="14" t="n">
        <v>9.5</v>
      </c>
      <c r="J5318" s="22" t="n">
        <f aca="false">IF(E5318="Priority",'Cost model'!N200,'Cost model'!M200)</f>
        <v>7.5</v>
      </c>
      <c r="K5318" s="14" t="n">
        <f aca="false">J5318-H5318</f>
        <v>-0.19</v>
      </c>
      <c r="L5318" s="14" t="n">
        <f aca="false">G5318-H5318</f>
        <v>1.81</v>
      </c>
    </row>
    <row r="5319" customFormat="false" ht="15" hidden="false" customHeight="false" outlineLevel="0" collapsed="false">
      <c r="A5319" s="2" t="s">
        <v>126</v>
      </c>
      <c r="B5319" s="2" t="s">
        <v>184</v>
      </c>
      <c r="C5319" s="2" t="s">
        <v>49</v>
      </c>
      <c r="D5319" s="2" t="s">
        <v>13</v>
      </c>
      <c r="E5319" s="2" t="s">
        <v>76</v>
      </c>
      <c r="F5319" s="2" t="s">
        <v>1146</v>
      </c>
      <c r="G5319" s="14" t="n">
        <v>24.5</v>
      </c>
      <c r="H5319" s="14" t="n">
        <v>181.41</v>
      </c>
      <c r="I5319" s="14" t="n">
        <v>24.5</v>
      </c>
      <c r="J5319" s="22" t="n">
        <f aca="false">IF(E5319="Priority",'Cost model'!N441,'Cost model'!M441)</f>
        <v>95</v>
      </c>
      <c r="K5319" s="14" t="n">
        <f aca="false">J5319-H5319</f>
        <v>-86.41</v>
      </c>
      <c r="L5319" s="14" t="n">
        <f aca="false">G5319-H5319</f>
        <v>-156.91</v>
      </c>
    </row>
    <row r="5320" customFormat="false" ht="15" hidden="false" customHeight="false" outlineLevel="0" collapsed="false">
      <c r="A5320" s="2" t="s">
        <v>184</v>
      </c>
      <c r="B5320" s="2" t="s">
        <v>184</v>
      </c>
      <c r="C5320" s="2" t="s">
        <v>49</v>
      </c>
      <c r="D5320" s="2" t="s">
        <v>10</v>
      </c>
      <c r="E5320" s="2" t="s">
        <v>76</v>
      </c>
      <c r="F5320" s="2" t="s">
        <v>1145</v>
      </c>
      <c r="G5320" s="14" t="n">
        <v>12.5</v>
      </c>
      <c r="H5320" s="14" t="n">
        <v>10.91</v>
      </c>
      <c r="I5320" s="14"/>
      <c r="J5320" s="22" t="n">
        <f aca="false">IF(E5320="Priority",'Cost model'!N201,'Cost model'!M201)</f>
        <v>12.5</v>
      </c>
      <c r="K5320" s="14" t="n">
        <f aca="false">J5320-H5320</f>
        <v>1.59</v>
      </c>
      <c r="L5320" s="14" t="n">
        <f aca="false">G5320-H5320</f>
        <v>1.59</v>
      </c>
    </row>
    <row r="5321" customFormat="false" ht="15" hidden="false" customHeight="false" outlineLevel="0" collapsed="false">
      <c r="A5321" s="2" t="s">
        <v>126</v>
      </c>
      <c r="B5321" s="2" t="s">
        <v>126</v>
      </c>
      <c r="C5321" s="2" t="s">
        <v>49</v>
      </c>
      <c r="D5321" s="2" t="s">
        <v>16</v>
      </c>
      <c r="E5321" s="2" t="s">
        <v>76</v>
      </c>
      <c r="F5321" s="2" t="s">
        <v>1145</v>
      </c>
      <c r="G5321" s="14" t="n">
        <v>85</v>
      </c>
      <c r="H5321" s="14" t="n">
        <v>283.7</v>
      </c>
      <c r="I5321" s="14" t="n">
        <v>85</v>
      </c>
      <c r="J5321" s="22" t="n">
        <f aca="false">IF(E5321="Priority",'Cost model'!N396,'Cost model'!M396)</f>
        <v>245</v>
      </c>
      <c r="K5321" s="14" t="n">
        <f aca="false">J5321-H5321</f>
        <v>-38.7</v>
      </c>
      <c r="L5321" s="14" t="n">
        <f aca="false">G5321-H5321</f>
        <v>-198.7</v>
      </c>
    </row>
    <row r="5322" customFormat="false" ht="15" hidden="false" customHeight="false" outlineLevel="0" collapsed="false">
      <c r="A5322" s="2" t="s">
        <v>165</v>
      </c>
      <c r="B5322" s="2" t="s">
        <v>184</v>
      </c>
      <c r="C5322" s="2" t="s">
        <v>48</v>
      </c>
      <c r="D5322" s="2" t="s">
        <v>10</v>
      </c>
      <c r="E5322" s="2" t="s">
        <v>76</v>
      </c>
      <c r="F5322" s="2" t="s">
        <v>1146</v>
      </c>
      <c r="G5322" s="14" t="n">
        <v>9.5</v>
      </c>
      <c r="H5322" s="14" t="n">
        <v>6.27</v>
      </c>
      <c r="I5322" s="14" t="n">
        <v>14.5</v>
      </c>
      <c r="J5322" s="22" t="n">
        <f aca="false">IF(E5322="Priority",'Cost model'!N578,'Cost model'!M578)</f>
        <v>10.5</v>
      </c>
      <c r="K5322" s="14" t="n">
        <f aca="false">J5322-H5322</f>
        <v>4.23</v>
      </c>
      <c r="L5322" s="14" t="n">
        <f aca="false">G5322-H5322</f>
        <v>3.23</v>
      </c>
    </row>
    <row r="5323" customFormat="false" ht="15" hidden="false" customHeight="false" outlineLevel="0" collapsed="false">
      <c r="A5323" s="2" t="s">
        <v>126</v>
      </c>
      <c r="B5323" s="2" t="s">
        <v>126</v>
      </c>
      <c r="C5323" s="2" t="s">
        <v>49</v>
      </c>
      <c r="D5323" s="2" t="s">
        <v>12</v>
      </c>
      <c r="E5323" s="2" t="s">
        <v>76</v>
      </c>
      <c r="F5323" s="2" t="s">
        <v>1145</v>
      </c>
      <c r="G5323" s="14" t="n">
        <v>12.5</v>
      </c>
      <c r="H5323" s="14" t="n">
        <v>61.52</v>
      </c>
      <c r="I5323" s="14" t="n">
        <v>12.5</v>
      </c>
      <c r="J5323" s="22" t="n">
        <f aca="false">IF(E5323="Priority",'Cost model'!N384,'Cost model'!M384)</f>
        <v>45</v>
      </c>
      <c r="K5323" s="14" t="n">
        <f aca="false">J5323-H5323</f>
        <v>-16.52</v>
      </c>
      <c r="L5323" s="14" t="n">
        <f aca="false">G5323-H5323</f>
        <v>-49.02</v>
      </c>
    </row>
    <row r="5324" customFormat="false" ht="15" hidden="false" customHeight="false" outlineLevel="0" collapsed="false">
      <c r="A5324" s="2" t="s">
        <v>240</v>
      </c>
      <c r="B5324" s="2" t="s">
        <v>165</v>
      </c>
      <c r="C5324" s="2" t="s">
        <v>48</v>
      </c>
      <c r="D5324" s="2" t="s">
        <v>10</v>
      </c>
      <c r="E5324" s="2" t="s">
        <v>76</v>
      </c>
      <c r="F5324" s="2" t="s">
        <v>1146</v>
      </c>
      <c r="G5324" s="14" t="n">
        <v>14.5</v>
      </c>
      <c r="H5324" s="14" t="n">
        <v>19.26</v>
      </c>
      <c r="I5324" s="14" t="n">
        <v>14.5</v>
      </c>
      <c r="J5324" s="22" t="n">
        <f aca="false">IF(E5324="Priority",'Cost model'!N902,'Cost model'!M902)</f>
        <v>13.5</v>
      </c>
      <c r="K5324" s="14" t="n">
        <f aca="false">J5324-H5324</f>
        <v>-5.76</v>
      </c>
      <c r="L5324" s="14" t="n">
        <f aca="false">G5324-H5324</f>
        <v>-4.76</v>
      </c>
    </row>
    <row r="5325" customFormat="false" ht="15" hidden="false" customHeight="false" outlineLevel="0" collapsed="false">
      <c r="A5325" s="2" t="s">
        <v>240</v>
      </c>
      <c r="B5325" s="2" t="s">
        <v>240</v>
      </c>
      <c r="C5325" s="2" t="s">
        <v>48</v>
      </c>
      <c r="D5325" s="2" t="s">
        <v>12</v>
      </c>
      <c r="E5325" s="2" t="s">
        <v>76</v>
      </c>
      <c r="F5325" s="2" t="s">
        <v>1145</v>
      </c>
      <c r="G5325" s="14" t="n">
        <v>9.5</v>
      </c>
      <c r="H5325" s="14" t="n">
        <v>26.04</v>
      </c>
      <c r="I5325" s="14" t="n">
        <v>9.5</v>
      </c>
      <c r="J5325" s="22" t="n">
        <f aca="false">IF(E5325="Priority",'Cost model'!N887,'Cost model'!M887)</f>
        <v>21.5</v>
      </c>
      <c r="K5325" s="14" t="n">
        <f aca="false">J5325-H5325</f>
        <v>-4.54</v>
      </c>
      <c r="L5325" s="14" t="n">
        <f aca="false">G5325-H5325</f>
        <v>-16.54</v>
      </c>
    </row>
    <row r="5326" customFormat="false" ht="15" hidden="false" customHeight="false" outlineLevel="0" collapsed="false">
      <c r="A5326" s="2" t="s">
        <v>126</v>
      </c>
      <c r="B5326" s="2" t="s">
        <v>184</v>
      </c>
      <c r="C5326" s="2" t="s">
        <v>50</v>
      </c>
      <c r="D5326" s="2" t="s">
        <v>10</v>
      </c>
      <c r="E5326" s="2" t="s">
        <v>76</v>
      </c>
      <c r="F5326" s="2" t="s">
        <v>1146</v>
      </c>
      <c r="G5326" s="14" t="n">
        <v>17.5</v>
      </c>
      <c r="H5326" s="14" t="n">
        <v>11.58</v>
      </c>
      <c r="I5326" s="14" t="n">
        <v>17.5</v>
      </c>
      <c r="J5326" s="22" t="n">
        <f aca="false">IF(E5326="Priority",'Cost model'!N436,'Cost model'!M436)</f>
        <v>19.5</v>
      </c>
      <c r="K5326" s="14" t="n">
        <f aca="false">J5326-H5326</f>
        <v>7.92</v>
      </c>
      <c r="L5326" s="14" t="n">
        <f aca="false">G5326-H5326</f>
        <v>5.92</v>
      </c>
    </row>
    <row r="5327" customFormat="false" ht="15" hidden="false" customHeight="false" outlineLevel="0" collapsed="false">
      <c r="A5327" s="2" t="s">
        <v>184</v>
      </c>
      <c r="B5327" s="2" t="s">
        <v>184</v>
      </c>
      <c r="C5327" s="2" t="s">
        <v>48</v>
      </c>
      <c r="D5327" s="2" t="s">
        <v>12</v>
      </c>
      <c r="E5327" s="2" t="s">
        <v>76</v>
      </c>
      <c r="F5327" s="2" t="s">
        <v>1145</v>
      </c>
      <c r="G5327" s="14" t="n">
        <v>9.5</v>
      </c>
      <c r="H5327" s="14" t="n">
        <v>25.32</v>
      </c>
      <c r="I5327" s="14" t="n">
        <v>9.5</v>
      </c>
      <c r="J5327" s="22" t="n">
        <f aca="false">IF(E5327="Priority",'Cost model'!N203,'Cost model'!M203)</f>
        <v>26.5</v>
      </c>
      <c r="K5327" s="14" t="n">
        <f aca="false">J5327-H5327</f>
        <v>1.18</v>
      </c>
      <c r="L5327" s="14" t="n">
        <f aca="false">G5327-H5327</f>
        <v>-15.82</v>
      </c>
    </row>
    <row r="5328" customFormat="false" ht="15" hidden="false" customHeight="false" outlineLevel="0" collapsed="false">
      <c r="A5328" s="2" t="s">
        <v>184</v>
      </c>
      <c r="B5328" s="2" t="s">
        <v>184</v>
      </c>
      <c r="C5328" s="2" t="s">
        <v>48</v>
      </c>
      <c r="D5328" s="2" t="s">
        <v>12</v>
      </c>
      <c r="E5328" s="2" t="s">
        <v>76</v>
      </c>
      <c r="F5328" s="2" t="s">
        <v>1145</v>
      </c>
      <c r="G5328" s="14" t="n">
        <v>9.5</v>
      </c>
      <c r="H5328" s="14" t="n">
        <v>28.38</v>
      </c>
      <c r="I5328" s="14" t="n">
        <v>9.5</v>
      </c>
      <c r="J5328" s="22" t="n">
        <f aca="false">IF(E5328="Priority",'Cost model'!N203,'Cost model'!M203)</f>
        <v>26.5</v>
      </c>
      <c r="K5328" s="14" t="n">
        <f aca="false">J5328-H5328</f>
        <v>-1.88</v>
      </c>
      <c r="L5328" s="14" t="n">
        <f aca="false">G5328-H5328</f>
        <v>-18.88</v>
      </c>
    </row>
    <row r="5329" customFormat="false" ht="15" hidden="false" customHeight="false" outlineLevel="0" collapsed="false">
      <c r="A5329" s="2" t="s">
        <v>126</v>
      </c>
      <c r="B5329" s="2" t="s">
        <v>126</v>
      </c>
      <c r="C5329" s="2" t="s">
        <v>48</v>
      </c>
      <c r="D5329" s="2" t="s">
        <v>10</v>
      </c>
      <c r="E5329" s="2" t="s">
        <v>76</v>
      </c>
      <c r="F5329" s="2" t="s">
        <v>1145</v>
      </c>
      <c r="G5329" s="14" t="n">
        <v>9.5</v>
      </c>
      <c r="H5329" s="14" t="n">
        <v>8.16</v>
      </c>
      <c r="I5329" s="14" t="n">
        <v>9.5</v>
      </c>
      <c r="J5329" s="22" t="n">
        <f aca="false">IF(E5329="Priority",'Cost model'!N380,'Cost model'!M380)</f>
        <v>8.5</v>
      </c>
      <c r="K5329" s="14" t="n">
        <f aca="false">J5329-H5329</f>
        <v>0.34</v>
      </c>
      <c r="L5329" s="14" t="n">
        <f aca="false">G5329-H5329</f>
        <v>1.34</v>
      </c>
    </row>
    <row r="5330" customFormat="false" ht="15" hidden="false" customHeight="false" outlineLevel="0" collapsed="false">
      <c r="A5330" s="2" t="s">
        <v>165</v>
      </c>
      <c r="B5330" s="2" t="s">
        <v>165</v>
      </c>
      <c r="C5330" s="2" t="s">
        <v>50</v>
      </c>
      <c r="D5330" s="2" t="s">
        <v>10</v>
      </c>
      <c r="E5330" s="2" t="s">
        <v>76</v>
      </c>
      <c r="F5330" s="2" t="s">
        <v>1145</v>
      </c>
      <c r="G5330" s="14" t="n">
        <v>17.5</v>
      </c>
      <c r="H5330" s="14" t="n">
        <v>15.82</v>
      </c>
      <c r="I5330" s="14" t="n">
        <v>17.5</v>
      </c>
      <c r="J5330" s="22" t="n">
        <f aca="false">IF(E5330="Priority",'Cost model'!N508,'Cost model'!M508)</f>
        <v>17.5</v>
      </c>
      <c r="K5330" s="14" t="n">
        <f aca="false">J5330-H5330</f>
        <v>1.68</v>
      </c>
      <c r="L5330" s="14" t="n">
        <f aca="false">G5330-H5330</f>
        <v>1.68</v>
      </c>
    </row>
    <row r="5331" customFormat="false" ht="15" hidden="false" customHeight="false" outlineLevel="0" collapsed="false">
      <c r="A5331" s="2" t="s">
        <v>126</v>
      </c>
      <c r="B5331" s="2" t="s">
        <v>126</v>
      </c>
      <c r="C5331" s="2" t="s">
        <v>48</v>
      </c>
      <c r="D5331" s="2" t="s">
        <v>10</v>
      </c>
      <c r="E5331" s="2" t="s">
        <v>76</v>
      </c>
      <c r="F5331" s="2" t="s">
        <v>1145</v>
      </c>
      <c r="G5331" s="14" t="n">
        <v>9.5</v>
      </c>
      <c r="H5331" s="14" t="n">
        <v>6.25</v>
      </c>
      <c r="I5331" s="14" t="n">
        <v>9.5</v>
      </c>
      <c r="J5331" s="22" t="n">
        <f aca="false">IF(E5331="Priority",'Cost model'!N380,'Cost model'!M380)</f>
        <v>8.5</v>
      </c>
      <c r="K5331" s="14" t="n">
        <f aca="false">J5331-H5331</f>
        <v>2.25</v>
      </c>
      <c r="L5331" s="14" t="n">
        <f aca="false">G5331-H5331</f>
        <v>3.25</v>
      </c>
    </row>
    <row r="5332" customFormat="false" ht="15" hidden="false" customHeight="false" outlineLevel="0" collapsed="false">
      <c r="A5332" s="2" t="s">
        <v>146</v>
      </c>
      <c r="B5332" s="2" t="s">
        <v>146</v>
      </c>
      <c r="C5332" s="2" t="s">
        <v>48</v>
      </c>
      <c r="D5332" s="2" t="s">
        <v>10</v>
      </c>
      <c r="E5332" s="2" t="s">
        <v>85</v>
      </c>
      <c r="F5332" s="2" t="s">
        <v>1145</v>
      </c>
      <c r="G5332" s="14" t="n">
        <v>14.5</v>
      </c>
      <c r="H5332" s="14" t="n">
        <v>11.64</v>
      </c>
      <c r="I5332" s="14" t="n">
        <v>14.5</v>
      </c>
      <c r="J5332" s="22" t="n">
        <f aca="false">IF(E5332="Priority",'Cost model'!N758,'Cost model'!M758)</f>
        <v>14.5</v>
      </c>
      <c r="K5332" s="14" t="n">
        <f aca="false">J5332-H5332</f>
        <v>2.86</v>
      </c>
      <c r="L5332" s="14" t="n">
        <f aca="false">G5332-H5332</f>
        <v>2.86</v>
      </c>
    </row>
    <row r="5333" customFormat="false" ht="15" hidden="false" customHeight="false" outlineLevel="0" collapsed="false">
      <c r="A5333" s="2" t="s">
        <v>126</v>
      </c>
      <c r="B5333" s="2" t="s">
        <v>221</v>
      </c>
      <c r="C5333" s="2" t="s">
        <v>49</v>
      </c>
      <c r="D5333" s="2" t="s">
        <v>10</v>
      </c>
      <c r="E5333" s="2" t="s">
        <v>76</v>
      </c>
      <c r="F5333" s="2" t="s">
        <v>1146</v>
      </c>
      <c r="G5333" s="14" t="n">
        <v>12.5</v>
      </c>
      <c r="H5333" s="14" t="n">
        <v>17.69</v>
      </c>
      <c r="I5333" s="14" t="n">
        <v>19.5</v>
      </c>
      <c r="J5333" s="22" t="n">
        <f aca="false">IF(E5333="Priority",'Cost model'!N453,'Cost model'!M453)</f>
        <v>16.5</v>
      </c>
      <c r="K5333" s="14" t="n">
        <f aca="false">J5333-H5333</f>
        <v>-1.19</v>
      </c>
      <c r="L5333" s="14" t="n">
        <f aca="false">G5333-H5333</f>
        <v>-5.19</v>
      </c>
    </row>
    <row r="5334" customFormat="false" ht="15" hidden="false" customHeight="false" outlineLevel="0" collapsed="false">
      <c r="A5334" s="2" t="s">
        <v>184</v>
      </c>
      <c r="B5334" s="2" t="s">
        <v>184</v>
      </c>
      <c r="C5334" s="2" t="s">
        <v>49</v>
      </c>
      <c r="D5334" s="2" t="s">
        <v>12</v>
      </c>
      <c r="E5334" s="2" t="s">
        <v>76</v>
      </c>
      <c r="F5334" s="2" t="s">
        <v>1145</v>
      </c>
      <c r="G5334" s="14" t="n">
        <v>12.5</v>
      </c>
      <c r="H5334" s="14" t="n">
        <v>42.87</v>
      </c>
      <c r="I5334" s="14"/>
      <c r="J5334" s="22" t="n">
        <f aca="false">IF(E5334="Priority",'Cost model'!N204,'Cost model'!M204)</f>
        <v>45</v>
      </c>
      <c r="K5334" s="14" t="n">
        <f aca="false">J5334-H5334</f>
        <v>2.13</v>
      </c>
      <c r="L5334" s="14" t="n">
        <f aca="false">G5334-H5334</f>
        <v>-30.37</v>
      </c>
    </row>
    <row r="5335" customFormat="false" ht="15" hidden="false" customHeight="false" outlineLevel="0" collapsed="false">
      <c r="A5335" s="2" t="s">
        <v>184</v>
      </c>
      <c r="B5335" s="2" t="s">
        <v>184</v>
      </c>
      <c r="C5335" s="2" t="s">
        <v>49</v>
      </c>
      <c r="D5335" s="2" t="s">
        <v>10</v>
      </c>
      <c r="E5335" s="2" t="s">
        <v>76</v>
      </c>
      <c r="F5335" s="2" t="s">
        <v>1145</v>
      </c>
      <c r="G5335" s="14" t="n">
        <v>12.5</v>
      </c>
      <c r="H5335" s="14" t="n">
        <v>7.22</v>
      </c>
      <c r="I5335" s="14"/>
      <c r="J5335" s="22" t="n">
        <f aca="false">IF(E5335="Priority",'Cost model'!N201,'Cost model'!M201)</f>
        <v>12.5</v>
      </c>
      <c r="K5335" s="14" t="n">
        <f aca="false">J5335-H5335</f>
        <v>5.28</v>
      </c>
      <c r="L5335" s="14" t="n">
        <f aca="false">G5335-H5335</f>
        <v>5.28</v>
      </c>
    </row>
    <row r="5336" customFormat="false" ht="15" hidden="false" customHeight="false" outlineLevel="0" collapsed="false">
      <c r="A5336" s="2" t="s">
        <v>184</v>
      </c>
      <c r="B5336" s="2" t="s">
        <v>146</v>
      </c>
      <c r="C5336" s="2" t="s">
        <v>50</v>
      </c>
      <c r="D5336" s="2" t="s">
        <v>10</v>
      </c>
      <c r="E5336" s="2" t="s">
        <v>76</v>
      </c>
      <c r="F5336" s="2" t="s">
        <v>1146</v>
      </c>
      <c r="G5336" s="14" t="n">
        <v>17.5</v>
      </c>
      <c r="H5336" s="14" t="n">
        <v>25.41</v>
      </c>
      <c r="I5336" s="14" t="n">
        <v>17.5</v>
      </c>
      <c r="J5336" s="22" t="n">
        <f aca="false">IF(E5336="Priority",'Cost model'!N148,'Cost model'!M148)</f>
        <v>21.5</v>
      </c>
      <c r="K5336" s="14" t="n">
        <f aca="false">J5336-H5336</f>
        <v>-3.91</v>
      </c>
      <c r="L5336" s="14" t="n">
        <f aca="false">G5336-H5336</f>
        <v>-7.91</v>
      </c>
    </row>
    <row r="5337" customFormat="false" ht="15" hidden="false" customHeight="false" outlineLevel="0" collapsed="false">
      <c r="A5337" s="2" t="s">
        <v>146</v>
      </c>
      <c r="B5337" s="2" t="s">
        <v>146</v>
      </c>
      <c r="C5337" s="2" t="s">
        <v>49</v>
      </c>
      <c r="D5337" s="2" t="s">
        <v>13</v>
      </c>
      <c r="E5337" s="2" t="s">
        <v>76</v>
      </c>
      <c r="F5337" s="2" t="s">
        <v>1145</v>
      </c>
      <c r="G5337" s="14" t="n">
        <v>24.5</v>
      </c>
      <c r="H5337" s="14" t="n">
        <v>53.98</v>
      </c>
      <c r="I5337" s="14" t="n">
        <v>24.5</v>
      </c>
      <c r="J5337" s="22" t="n">
        <f aca="false">IF(E5337="Priority",'Cost model'!N765,'Cost model'!M765)</f>
        <v>70</v>
      </c>
      <c r="K5337" s="14" t="n">
        <f aca="false">J5337-H5337</f>
        <v>16.02</v>
      </c>
      <c r="L5337" s="14" t="n">
        <f aca="false">G5337-H5337</f>
        <v>-29.48</v>
      </c>
    </row>
    <row r="5338" customFormat="false" ht="15" hidden="false" customHeight="false" outlineLevel="0" collapsed="false">
      <c r="A5338" s="2" t="s">
        <v>126</v>
      </c>
      <c r="B5338" s="2" t="s">
        <v>126</v>
      </c>
      <c r="C5338" s="2" t="s">
        <v>50</v>
      </c>
      <c r="D5338" s="2" t="s">
        <v>10</v>
      </c>
      <c r="E5338" s="2" t="s">
        <v>76</v>
      </c>
      <c r="F5338" s="2" t="s">
        <v>1145</v>
      </c>
      <c r="G5338" s="14" t="n">
        <v>17.5</v>
      </c>
      <c r="H5338" s="14" t="n">
        <v>17.69</v>
      </c>
      <c r="I5338" s="14" t="n">
        <v>17.5</v>
      </c>
      <c r="J5338" s="22" t="n">
        <f aca="false">IF(E5338="Priority",'Cost model'!N382,'Cost model'!M382)</f>
        <v>18.5</v>
      </c>
      <c r="K5338" s="14" t="n">
        <f aca="false">J5338-H5338</f>
        <v>0.809999999999999</v>
      </c>
      <c r="L5338" s="14" t="n">
        <f aca="false">G5338-H5338</f>
        <v>-0.190000000000001</v>
      </c>
    </row>
    <row r="5339" customFormat="false" ht="15" hidden="false" customHeight="false" outlineLevel="0" collapsed="false">
      <c r="A5339" s="2" t="s">
        <v>126</v>
      </c>
      <c r="B5339" s="2" t="s">
        <v>126</v>
      </c>
      <c r="C5339" s="2" t="s">
        <v>49</v>
      </c>
      <c r="D5339" s="2" t="s">
        <v>12</v>
      </c>
      <c r="E5339" s="2" t="s">
        <v>76</v>
      </c>
      <c r="F5339" s="2" t="s">
        <v>1145</v>
      </c>
      <c r="G5339" s="14" t="n">
        <v>12.5</v>
      </c>
      <c r="H5339" s="14" t="n">
        <v>14.39</v>
      </c>
      <c r="I5339" s="14" t="n">
        <v>12.5</v>
      </c>
      <c r="J5339" s="22" t="n">
        <f aca="false">IF(E5339="Priority",'Cost model'!N384,'Cost model'!M384)</f>
        <v>45</v>
      </c>
      <c r="K5339" s="14" t="n">
        <f aca="false">J5339-H5339</f>
        <v>30.61</v>
      </c>
      <c r="L5339" s="14" t="n">
        <f aca="false">G5339-H5339</f>
        <v>-1.89</v>
      </c>
    </row>
    <row r="5340" customFormat="false" ht="15" hidden="false" customHeight="false" outlineLevel="0" collapsed="false">
      <c r="A5340" s="2" t="s">
        <v>146</v>
      </c>
      <c r="B5340" s="2" t="s">
        <v>146</v>
      </c>
      <c r="C5340" s="2" t="s">
        <v>48</v>
      </c>
      <c r="D5340" s="2" t="s">
        <v>12</v>
      </c>
      <c r="E5340" s="2" t="s">
        <v>76</v>
      </c>
      <c r="F5340" s="2" t="s">
        <v>1145</v>
      </c>
      <c r="G5340" s="14" t="n">
        <v>9.5</v>
      </c>
      <c r="H5340" s="14" t="n">
        <v>9.31</v>
      </c>
      <c r="I5340" s="14" t="n">
        <v>9.5</v>
      </c>
      <c r="J5340" s="22" t="n">
        <f aca="false">IF(E5340="Priority",'Cost model'!N761,'Cost model'!M761)</f>
        <v>35</v>
      </c>
      <c r="K5340" s="14" t="n">
        <f aca="false">J5340-H5340</f>
        <v>25.69</v>
      </c>
      <c r="L5340" s="14" t="n">
        <f aca="false">G5340-H5340</f>
        <v>0.19</v>
      </c>
    </row>
    <row r="5341" customFormat="false" ht="15" hidden="false" customHeight="false" outlineLevel="0" collapsed="false">
      <c r="A5341" s="2" t="s">
        <v>221</v>
      </c>
      <c r="B5341" s="2" t="s">
        <v>165</v>
      </c>
      <c r="C5341" s="2" t="s">
        <v>48</v>
      </c>
      <c r="D5341" s="2" t="s">
        <v>10</v>
      </c>
      <c r="E5341" s="2" t="s">
        <v>76</v>
      </c>
      <c r="F5341" s="2" t="s">
        <v>1146</v>
      </c>
      <c r="G5341" s="14" t="n">
        <v>14.5</v>
      </c>
      <c r="H5341" s="14" t="n">
        <v>8.81</v>
      </c>
      <c r="I5341" s="14"/>
      <c r="J5341" s="22" t="n">
        <f aca="false">IF(E5341="Priority",'Cost model'!N740,'Cost model'!M740)</f>
        <v>14.5</v>
      </c>
      <c r="K5341" s="14" t="n">
        <f aca="false">J5341-H5341</f>
        <v>5.69</v>
      </c>
      <c r="L5341" s="14" t="n">
        <f aca="false">G5341-H5341</f>
        <v>5.69</v>
      </c>
    </row>
    <row r="5342" customFormat="false" ht="15" hidden="false" customHeight="false" outlineLevel="0" collapsed="false">
      <c r="A5342" s="2" t="s">
        <v>146</v>
      </c>
      <c r="B5342" s="2" t="s">
        <v>126</v>
      </c>
      <c r="C5342" s="2" t="s">
        <v>48</v>
      </c>
      <c r="D5342" s="2" t="s">
        <v>14</v>
      </c>
      <c r="E5342" s="2" t="s">
        <v>76</v>
      </c>
      <c r="F5342" s="2" t="s">
        <v>1146</v>
      </c>
      <c r="G5342" s="14" t="n">
        <v>25</v>
      </c>
      <c r="H5342" s="14" t="n">
        <v>79.75</v>
      </c>
      <c r="I5342" s="14" t="n">
        <v>85</v>
      </c>
      <c r="J5342" s="22" t="n">
        <f aca="false">IF(E5342="Priority",'Cost model'!N803,'Cost model'!M803)</f>
        <v>120</v>
      </c>
      <c r="K5342" s="14" t="n">
        <f aca="false">J5342-H5342</f>
        <v>40.25</v>
      </c>
      <c r="L5342" s="14" t="n">
        <f aca="false">G5342-H5342</f>
        <v>-54.75</v>
      </c>
    </row>
    <row r="5343" customFormat="false" ht="15" hidden="false" customHeight="false" outlineLevel="0" collapsed="false">
      <c r="A5343" s="2" t="s">
        <v>126</v>
      </c>
      <c r="B5343" s="2" t="s">
        <v>184</v>
      </c>
      <c r="C5343" s="2" t="s">
        <v>48</v>
      </c>
      <c r="D5343" s="2" t="s">
        <v>13</v>
      </c>
      <c r="E5343" s="2" t="s">
        <v>76</v>
      </c>
      <c r="F5343" s="2" t="s">
        <v>1146</v>
      </c>
      <c r="G5343" s="14" t="n">
        <v>19</v>
      </c>
      <c r="H5343" s="14" t="n">
        <v>137.86</v>
      </c>
      <c r="I5343" s="14" t="n">
        <v>24.5</v>
      </c>
      <c r="J5343" s="22" t="n">
        <f aca="false">IF(E5343="Priority",'Cost model'!N440,'Cost model'!M440)</f>
        <v>90</v>
      </c>
      <c r="K5343" s="14" t="n">
        <f aca="false">J5343-H5343</f>
        <v>-47.86</v>
      </c>
      <c r="L5343" s="14" t="n">
        <f aca="false">G5343-H5343</f>
        <v>-118.86</v>
      </c>
    </row>
    <row r="5344" customFormat="false" ht="15" hidden="false" customHeight="false" outlineLevel="0" collapsed="false">
      <c r="A5344" s="2" t="s">
        <v>385</v>
      </c>
      <c r="B5344" s="2" t="s">
        <v>165</v>
      </c>
      <c r="C5344" s="2" t="s">
        <v>50</v>
      </c>
      <c r="D5344" s="2" t="s">
        <v>12</v>
      </c>
      <c r="E5344" s="2" t="s">
        <v>85</v>
      </c>
      <c r="F5344" s="2" t="s">
        <v>1146</v>
      </c>
      <c r="G5344" s="14" t="n">
        <v>45</v>
      </c>
      <c r="H5344" s="14" t="n">
        <v>97.8</v>
      </c>
      <c r="I5344" s="14" t="n">
        <v>45</v>
      </c>
      <c r="J5344" s="22" t="n">
        <f aca="false">IF(E5344="Priority",'Cost model'!N259,'Cost model'!M259)</f>
        <v>95</v>
      </c>
      <c r="K5344" s="14" t="n">
        <f aca="false">J5344-H5344</f>
        <v>-2.8</v>
      </c>
      <c r="L5344" s="14" t="n">
        <f aca="false">G5344-H5344</f>
        <v>-52.8</v>
      </c>
    </row>
    <row r="5345" customFormat="false" ht="15" hidden="false" customHeight="false" outlineLevel="0" collapsed="false">
      <c r="A5345" s="2" t="s">
        <v>221</v>
      </c>
      <c r="B5345" s="2" t="s">
        <v>221</v>
      </c>
      <c r="C5345" s="2" t="s">
        <v>49</v>
      </c>
      <c r="D5345" s="2" t="s">
        <v>16</v>
      </c>
      <c r="E5345" s="2" t="s">
        <v>76</v>
      </c>
      <c r="F5345" s="2" t="s">
        <v>1145</v>
      </c>
      <c r="G5345" s="14" t="n">
        <v>45</v>
      </c>
      <c r="H5345" s="14" t="n">
        <v>337.35</v>
      </c>
      <c r="I5345" s="14" t="n">
        <v>45</v>
      </c>
      <c r="J5345" s="22" t="n">
        <f aca="false">IF(E5345="Priority",'Cost model'!N648,'Cost model'!M648)</f>
        <v>260</v>
      </c>
      <c r="K5345" s="14" t="n">
        <f aca="false">J5345-H5345</f>
        <v>-77.35</v>
      </c>
      <c r="L5345" s="14" t="n">
        <f aca="false">G5345-H5345</f>
        <v>-292.35</v>
      </c>
    </row>
    <row r="5346" customFormat="false" ht="15" hidden="false" customHeight="false" outlineLevel="0" collapsed="false">
      <c r="A5346" s="2" t="s">
        <v>126</v>
      </c>
      <c r="B5346" s="2" t="s">
        <v>184</v>
      </c>
      <c r="C5346" s="2" t="s">
        <v>49</v>
      </c>
      <c r="D5346" s="2" t="s">
        <v>12</v>
      </c>
      <c r="E5346" s="2" t="s">
        <v>76</v>
      </c>
      <c r="F5346" s="2" t="s">
        <v>1146</v>
      </c>
      <c r="G5346" s="14" t="n">
        <v>19.5</v>
      </c>
      <c r="H5346" s="14" t="n">
        <v>17.31</v>
      </c>
      <c r="I5346" s="14" t="n">
        <v>19.5</v>
      </c>
      <c r="J5346" s="22" t="n">
        <f aca="false">IF(E5346="Priority",'Cost model'!N438,'Cost model'!M438)</f>
        <v>55</v>
      </c>
      <c r="K5346" s="14" t="n">
        <f aca="false">J5346-H5346</f>
        <v>37.69</v>
      </c>
      <c r="L5346" s="14" t="n">
        <f aca="false">G5346-H5346</f>
        <v>2.19</v>
      </c>
    </row>
    <row r="5347" customFormat="false" ht="15" hidden="false" customHeight="false" outlineLevel="0" collapsed="false">
      <c r="A5347" s="2" t="s">
        <v>126</v>
      </c>
      <c r="B5347" s="2" t="s">
        <v>126</v>
      </c>
      <c r="C5347" s="2" t="s">
        <v>50</v>
      </c>
      <c r="D5347" s="2" t="s">
        <v>12</v>
      </c>
      <c r="E5347" s="2" t="s">
        <v>76</v>
      </c>
      <c r="F5347" s="2" t="s">
        <v>1145</v>
      </c>
      <c r="G5347" s="14" t="n">
        <v>19.5</v>
      </c>
      <c r="H5347" s="14" t="n">
        <v>67.57</v>
      </c>
      <c r="I5347" s="14" t="n">
        <v>19.5</v>
      </c>
      <c r="J5347" s="22" t="n">
        <f aca="false">IF(E5347="Priority",'Cost model'!N385,'Cost model'!M385)</f>
        <v>55</v>
      </c>
      <c r="K5347" s="14" t="n">
        <f aca="false">J5347-H5347</f>
        <v>-12.57</v>
      </c>
      <c r="L5347" s="14" t="n">
        <f aca="false">G5347-H5347</f>
        <v>-48.07</v>
      </c>
    </row>
    <row r="5348" customFormat="false" ht="15" hidden="false" customHeight="false" outlineLevel="0" collapsed="false">
      <c r="A5348" s="2" t="s">
        <v>184</v>
      </c>
      <c r="B5348" s="2" t="s">
        <v>126</v>
      </c>
      <c r="C5348" s="2" t="s">
        <v>49</v>
      </c>
      <c r="D5348" s="2" t="s">
        <v>14</v>
      </c>
      <c r="E5348" s="2" t="s">
        <v>76</v>
      </c>
      <c r="F5348" s="2" t="s">
        <v>1146</v>
      </c>
      <c r="G5348" s="14" t="n">
        <v>45</v>
      </c>
      <c r="H5348" s="14" t="n">
        <v>231.51</v>
      </c>
      <c r="I5348" s="14"/>
      <c r="J5348" s="22" t="n">
        <f aca="false">IF(E5348="Priority",'Cost model'!N138,'Cost model'!M138)</f>
        <v>150</v>
      </c>
      <c r="K5348" s="14" t="n">
        <f aca="false">J5348-H5348</f>
        <v>-81.51</v>
      </c>
      <c r="L5348" s="14" t="n">
        <f aca="false">G5348-H5348</f>
        <v>-186.51</v>
      </c>
    </row>
    <row r="5349" customFormat="false" ht="15" hidden="false" customHeight="false" outlineLevel="0" collapsed="false">
      <c r="A5349" s="2" t="s">
        <v>184</v>
      </c>
      <c r="B5349" s="2" t="s">
        <v>184</v>
      </c>
      <c r="C5349" s="2" t="s">
        <v>48</v>
      </c>
      <c r="D5349" s="2" t="s">
        <v>12</v>
      </c>
      <c r="E5349" s="2" t="s">
        <v>76</v>
      </c>
      <c r="F5349" s="2" t="s">
        <v>1145</v>
      </c>
      <c r="G5349" s="14" t="n">
        <v>9.5</v>
      </c>
      <c r="H5349" s="14" t="n">
        <v>31.49</v>
      </c>
      <c r="I5349" s="14" t="n">
        <v>9.5</v>
      </c>
      <c r="J5349" s="22" t="n">
        <f aca="false">IF(E5349="Priority",'Cost model'!N203,'Cost model'!M203)</f>
        <v>26.5</v>
      </c>
      <c r="K5349" s="14" t="n">
        <f aca="false">J5349-H5349</f>
        <v>-4.99</v>
      </c>
      <c r="L5349" s="14" t="n">
        <f aca="false">G5349-H5349</f>
        <v>-21.99</v>
      </c>
    </row>
    <row r="5350" customFormat="false" ht="15" hidden="false" customHeight="false" outlineLevel="0" collapsed="false">
      <c r="A5350" s="2" t="s">
        <v>126</v>
      </c>
      <c r="B5350" s="2" t="s">
        <v>126</v>
      </c>
      <c r="C5350" s="2" t="s">
        <v>49</v>
      </c>
      <c r="D5350" s="2" t="s">
        <v>12</v>
      </c>
      <c r="E5350" s="2" t="s">
        <v>76</v>
      </c>
      <c r="F5350" s="2" t="s">
        <v>1145</v>
      </c>
      <c r="G5350" s="14" t="n">
        <v>12.5</v>
      </c>
      <c r="H5350" s="14" t="n">
        <v>71.58</v>
      </c>
      <c r="I5350" s="14" t="n">
        <v>12.5</v>
      </c>
      <c r="J5350" s="22" t="n">
        <f aca="false">IF(E5350="Priority",'Cost model'!N384,'Cost model'!M384)</f>
        <v>45</v>
      </c>
      <c r="K5350" s="14" t="n">
        <f aca="false">J5350-H5350</f>
        <v>-26.58</v>
      </c>
      <c r="L5350" s="14" t="n">
        <f aca="false">G5350-H5350</f>
        <v>-59.08</v>
      </c>
    </row>
    <row r="5351" customFormat="false" ht="15" hidden="false" customHeight="false" outlineLevel="0" collapsed="false">
      <c r="A5351" s="2" t="s">
        <v>126</v>
      </c>
      <c r="B5351" s="2" t="s">
        <v>126</v>
      </c>
      <c r="C5351" s="2" t="s">
        <v>49</v>
      </c>
      <c r="D5351" s="2" t="s">
        <v>10</v>
      </c>
      <c r="E5351" s="2" t="s">
        <v>76</v>
      </c>
      <c r="F5351" s="2" t="s">
        <v>1145</v>
      </c>
      <c r="G5351" s="14" t="n">
        <v>12.5</v>
      </c>
      <c r="H5351" s="14" t="n">
        <v>17.57</v>
      </c>
      <c r="I5351" s="14" t="n">
        <v>12.5</v>
      </c>
      <c r="J5351" s="22" t="n">
        <f aca="false">IF(E5351="Priority",'Cost model'!N381,'Cost model'!M381)</f>
        <v>14.5</v>
      </c>
      <c r="K5351" s="14" t="n">
        <f aca="false">J5351-H5351</f>
        <v>-3.07</v>
      </c>
      <c r="L5351" s="14" t="n">
        <f aca="false">G5351-H5351</f>
        <v>-5.07</v>
      </c>
    </row>
    <row r="5352" customFormat="false" ht="15" hidden="false" customHeight="false" outlineLevel="0" collapsed="false">
      <c r="A5352" s="2" t="s">
        <v>146</v>
      </c>
      <c r="B5352" s="2" t="s">
        <v>146</v>
      </c>
      <c r="C5352" s="2" t="s">
        <v>48</v>
      </c>
      <c r="D5352" s="2" t="s">
        <v>10</v>
      </c>
      <c r="E5352" s="2" t="s">
        <v>76</v>
      </c>
      <c r="F5352" s="2" t="s">
        <v>1145</v>
      </c>
      <c r="G5352" s="14" t="n">
        <v>9.5</v>
      </c>
      <c r="H5352" s="14" t="n">
        <v>20.83</v>
      </c>
      <c r="I5352" s="14" t="n">
        <v>9.5</v>
      </c>
      <c r="J5352" s="22" t="n">
        <f aca="false">IF(E5352="Priority",'Cost model'!N758,'Cost model'!M758)</f>
        <v>9.5</v>
      </c>
      <c r="K5352" s="14" t="n">
        <f aca="false">J5352-H5352</f>
        <v>-11.33</v>
      </c>
      <c r="L5352" s="14" t="n">
        <f aca="false">G5352-H5352</f>
        <v>-11.33</v>
      </c>
    </row>
    <row r="5353" customFormat="false" ht="15" hidden="false" customHeight="false" outlineLevel="0" collapsed="false">
      <c r="A5353" s="2" t="s">
        <v>126</v>
      </c>
      <c r="B5353" s="2" t="s">
        <v>126</v>
      </c>
      <c r="C5353" s="2" t="s">
        <v>49</v>
      </c>
      <c r="D5353" s="2" t="s">
        <v>10</v>
      </c>
      <c r="E5353" s="2" t="s">
        <v>76</v>
      </c>
      <c r="F5353" s="2" t="s">
        <v>1145</v>
      </c>
      <c r="G5353" s="14" t="n">
        <v>14.5</v>
      </c>
      <c r="H5353" s="14" t="n">
        <v>11.25</v>
      </c>
      <c r="I5353" s="14" t="n">
        <v>12.5</v>
      </c>
      <c r="J5353" s="22" t="n">
        <f aca="false">IF(E5353="Priority",'Cost model'!N381,'Cost model'!M381)</f>
        <v>14.5</v>
      </c>
      <c r="K5353" s="14" t="n">
        <f aca="false">J5353-H5353</f>
        <v>3.25</v>
      </c>
      <c r="L5353" s="14" t="n">
        <f aca="false">G5353-H5353</f>
        <v>3.25</v>
      </c>
    </row>
    <row r="5354" customFormat="false" ht="15" hidden="false" customHeight="false" outlineLevel="0" collapsed="false">
      <c r="A5354" s="2" t="s">
        <v>126</v>
      </c>
      <c r="B5354" s="2" t="s">
        <v>126</v>
      </c>
      <c r="C5354" s="2" t="s">
        <v>48</v>
      </c>
      <c r="D5354" s="2" t="s">
        <v>12</v>
      </c>
      <c r="E5354" s="2" t="s">
        <v>76</v>
      </c>
      <c r="F5354" s="2" t="s">
        <v>1145</v>
      </c>
      <c r="G5354" s="14" t="n">
        <v>9.5</v>
      </c>
      <c r="H5354" s="14" t="n">
        <v>10.09</v>
      </c>
      <c r="I5354" s="14" t="n">
        <v>9.5</v>
      </c>
      <c r="J5354" s="22" t="n">
        <f aca="false">IF(E5354="Priority",'Cost model'!N383,'Cost model'!M383)</f>
        <v>27.5</v>
      </c>
      <c r="K5354" s="14" t="n">
        <f aca="false">J5354-H5354</f>
        <v>17.41</v>
      </c>
      <c r="L5354" s="14" t="n">
        <f aca="false">G5354-H5354</f>
        <v>-0.59</v>
      </c>
    </row>
    <row r="5355" customFormat="false" ht="15" hidden="false" customHeight="false" outlineLevel="0" collapsed="false">
      <c r="A5355" s="2" t="s">
        <v>146</v>
      </c>
      <c r="B5355" s="2" t="s">
        <v>240</v>
      </c>
      <c r="C5355" s="2" t="s">
        <v>48</v>
      </c>
      <c r="D5355" s="2" t="s">
        <v>10</v>
      </c>
      <c r="E5355" s="2" t="s">
        <v>76</v>
      </c>
      <c r="F5355" s="2" t="s">
        <v>1146</v>
      </c>
      <c r="G5355" s="14" t="n">
        <v>9.5</v>
      </c>
      <c r="H5355" s="14" t="n">
        <v>11.48</v>
      </c>
      <c r="I5355" s="14" t="n">
        <v>19.5</v>
      </c>
      <c r="J5355" s="22" t="n">
        <f aca="false">IF(E5355="Priority",'Cost model'!N812,'Cost model'!M812)</f>
        <v>12.5</v>
      </c>
      <c r="K5355" s="14" t="n">
        <f aca="false">J5355-H5355</f>
        <v>1.02</v>
      </c>
      <c r="L5355" s="14" t="n">
        <f aca="false">G5355-H5355</f>
        <v>-1.98</v>
      </c>
    </row>
    <row r="5356" customFormat="false" ht="15" hidden="false" customHeight="false" outlineLevel="0" collapsed="false">
      <c r="A5356" s="2" t="s">
        <v>184</v>
      </c>
      <c r="B5356" s="2" t="s">
        <v>184</v>
      </c>
      <c r="C5356" s="2" t="s">
        <v>49</v>
      </c>
      <c r="D5356" s="2" t="s">
        <v>12</v>
      </c>
      <c r="E5356" s="2" t="s">
        <v>76</v>
      </c>
      <c r="F5356" s="2" t="s">
        <v>1145</v>
      </c>
      <c r="G5356" s="14" t="n">
        <v>12.5</v>
      </c>
      <c r="H5356" s="14" t="n">
        <v>33.19</v>
      </c>
      <c r="I5356" s="14"/>
      <c r="J5356" s="22" t="n">
        <f aca="false">IF(E5356="Priority",'Cost model'!N204,'Cost model'!M204)</f>
        <v>45</v>
      </c>
      <c r="K5356" s="14" t="n">
        <f aca="false">J5356-H5356</f>
        <v>11.81</v>
      </c>
      <c r="L5356" s="14" t="n">
        <f aca="false">G5356-H5356</f>
        <v>-20.69</v>
      </c>
    </row>
    <row r="5357" customFormat="false" ht="15" hidden="false" customHeight="false" outlineLevel="0" collapsed="false">
      <c r="A5357" s="2" t="s">
        <v>385</v>
      </c>
      <c r="B5357" s="2" t="s">
        <v>165</v>
      </c>
      <c r="C5357" s="2" t="s">
        <v>48</v>
      </c>
      <c r="D5357" s="2" t="s">
        <v>12</v>
      </c>
      <c r="E5357" s="2" t="s">
        <v>76</v>
      </c>
      <c r="F5357" s="2" t="s">
        <v>1146</v>
      </c>
      <c r="G5357" s="14" t="n">
        <v>24.5</v>
      </c>
      <c r="H5357" s="14" t="n">
        <v>62.02</v>
      </c>
      <c r="I5357" s="14" t="n">
        <v>24.5</v>
      </c>
      <c r="J5357" s="22" t="n">
        <f aca="false">IF(E5357="Priority",'Cost model'!N257,'Cost model'!M257)</f>
        <v>60</v>
      </c>
      <c r="K5357" s="14" t="n">
        <f aca="false">J5357-H5357</f>
        <v>-2.02</v>
      </c>
      <c r="L5357" s="14" t="n">
        <f aca="false">G5357-H5357</f>
        <v>-37.52</v>
      </c>
    </row>
    <row r="5358" customFormat="false" ht="15" hidden="false" customHeight="false" outlineLevel="0" collapsed="false">
      <c r="A5358" s="2" t="s">
        <v>146</v>
      </c>
      <c r="B5358" s="2" t="s">
        <v>146</v>
      </c>
      <c r="C5358" s="2" t="s">
        <v>49</v>
      </c>
      <c r="D5358" s="2" t="s">
        <v>10</v>
      </c>
      <c r="E5358" s="2" t="s">
        <v>76</v>
      </c>
      <c r="F5358" s="2" t="s">
        <v>1145</v>
      </c>
      <c r="G5358" s="14" t="n">
        <v>12.5</v>
      </c>
      <c r="H5358" s="14" t="n">
        <v>11.64</v>
      </c>
      <c r="I5358" s="14" t="n">
        <v>12.5</v>
      </c>
      <c r="J5358" s="22" t="n">
        <f aca="false">IF(E5358="Priority",'Cost model'!N759,'Cost model'!M759)</f>
        <v>15.5</v>
      </c>
      <c r="K5358" s="14" t="n">
        <f aca="false">J5358-H5358</f>
        <v>3.86</v>
      </c>
      <c r="L5358" s="14" t="n">
        <f aca="false">G5358-H5358</f>
        <v>0.859999999999999</v>
      </c>
    </row>
    <row r="5359" customFormat="false" ht="15" hidden="false" customHeight="false" outlineLevel="0" collapsed="false">
      <c r="A5359" s="2" t="s">
        <v>240</v>
      </c>
      <c r="B5359" s="2" t="s">
        <v>126</v>
      </c>
      <c r="C5359" s="2" t="s">
        <v>48</v>
      </c>
      <c r="D5359" s="2" t="s">
        <v>10</v>
      </c>
      <c r="E5359" s="2" t="s">
        <v>76</v>
      </c>
      <c r="F5359" s="2" t="s">
        <v>1146</v>
      </c>
      <c r="G5359" s="14" t="n">
        <v>9.5</v>
      </c>
      <c r="H5359" s="14" t="n">
        <v>16.58</v>
      </c>
      <c r="I5359" s="14" t="n">
        <v>19.5</v>
      </c>
      <c r="J5359" s="22" t="n">
        <f aca="false">IF(E5359="Priority",'Cost model'!N956,'Cost model'!M956)</f>
        <v>15.5</v>
      </c>
      <c r="K5359" s="14" t="n">
        <f aca="false">J5359-H5359</f>
        <v>-1.08</v>
      </c>
      <c r="L5359" s="14" t="n">
        <f aca="false">G5359-H5359</f>
        <v>-7.08</v>
      </c>
    </row>
    <row r="5360" customFormat="false" ht="15" hidden="false" customHeight="false" outlineLevel="0" collapsed="false">
      <c r="A5360" s="2" t="s">
        <v>146</v>
      </c>
      <c r="B5360" s="2" t="s">
        <v>146</v>
      </c>
      <c r="C5360" s="2" t="s">
        <v>48</v>
      </c>
      <c r="D5360" s="2" t="s">
        <v>10</v>
      </c>
      <c r="E5360" s="2" t="s">
        <v>76</v>
      </c>
      <c r="F5360" s="2" t="s">
        <v>1145</v>
      </c>
      <c r="G5360" s="14" t="n">
        <v>9.5</v>
      </c>
      <c r="H5360" s="14" t="n">
        <v>6.23</v>
      </c>
      <c r="I5360" s="14" t="n">
        <v>9.5</v>
      </c>
      <c r="J5360" s="22" t="n">
        <f aca="false">IF(E5360="Priority",'Cost model'!N758,'Cost model'!M758)</f>
        <v>9.5</v>
      </c>
      <c r="K5360" s="14" t="n">
        <f aca="false">J5360-H5360</f>
        <v>3.27</v>
      </c>
      <c r="L5360" s="14" t="n">
        <f aca="false">G5360-H5360</f>
        <v>3.27</v>
      </c>
    </row>
    <row r="5361" customFormat="false" ht="15" hidden="false" customHeight="false" outlineLevel="0" collapsed="false">
      <c r="A5361" s="2" t="s">
        <v>184</v>
      </c>
      <c r="B5361" s="2" t="s">
        <v>184</v>
      </c>
      <c r="C5361" s="2" t="s">
        <v>49</v>
      </c>
      <c r="D5361" s="2" t="s">
        <v>10</v>
      </c>
      <c r="E5361" s="2" t="s">
        <v>85</v>
      </c>
      <c r="F5361" s="2" t="s">
        <v>1145</v>
      </c>
      <c r="G5361" s="14" t="n">
        <v>17.5</v>
      </c>
      <c r="H5361" s="14" t="n">
        <v>43.25</v>
      </c>
      <c r="I5361" s="14" t="n">
        <v>17.5</v>
      </c>
      <c r="J5361" s="22" t="n">
        <f aca="false">IF(E5361="Priority",'Cost model'!N201,'Cost model'!M201)</f>
        <v>17.5</v>
      </c>
      <c r="K5361" s="14" t="n">
        <f aca="false">J5361-H5361</f>
        <v>-25.75</v>
      </c>
      <c r="L5361" s="14" t="n">
        <f aca="false">G5361-H5361</f>
        <v>-25.75</v>
      </c>
    </row>
    <row r="5362" customFormat="false" ht="15" hidden="false" customHeight="false" outlineLevel="0" collapsed="false">
      <c r="A5362" s="2" t="s">
        <v>184</v>
      </c>
      <c r="B5362" s="2" t="s">
        <v>184</v>
      </c>
      <c r="C5362" s="2" t="s">
        <v>49</v>
      </c>
      <c r="D5362" s="2" t="s">
        <v>10</v>
      </c>
      <c r="E5362" s="2" t="s">
        <v>76</v>
      </c>
      <c r="F5362" s="2" t="s">
        <v>1145</v>
      </c>
      <c r="G5362" s="14" t="n">
        <v>12.5</v>
      </c>
      <c r="H5362" s="14" t="n">
        <v>15.88</v>
      </c>
      <c r="I5362" s="14"/>
      <c r="J5362" s="22" t="n">
        <f aca="false">IF(E5362="Priority",'Cost model'!N201,'Cost model'!M201)</f>
        <v>12.5</v>
      </c>
      <c r="K5362" s="14" t="n">
        <f aca="false">J5362-H5362</f>
        <v>-3.38</v>
      </c>
      <c r="L5362" s="14" t="n">
        <f aca="false">G5362-H5362</f>
        <v>-3.38</v>
      </c>
    </row>
    <row r="5363" customFormat="false" ht="15" hidden="false" customHeight="false" outlineLevel="0" collapsed="false">
      <c r="A5363" s="2" t="s">
        <v>184</v>
      </c>
      <c r="B5363" s="2" t="s">
        <v>184</v>
      </c>
      <c r="C5363" s="2" t="s">
        <v>49</v>
      </c>
      <c r="D5363" s="2" t="s">
        <v>10</v>
      </c>
      <c r="E5363" s="2" t="s">
        <v>76</v>
      </c>
      <c r="F5363" s="2" t="s">
        <v>1145</v>
      </c>
      <c r="G5363" s="14" t="n">
        <v>12.5</v>
      </c>
      <c r="H5363" s="14" t="n">
        <v>20.11</v>
      </c>
      <c r="I5363" s="14"/>
      <c r="J5363" s="22" t="n">
        <f aca="false">IF(E5363="Priority",'Cost model'!N201,'Cost model'!M201)</f>
        <v>12.5</v>
      </c>
      <c r="K5363" s="14" t="n">
        <f aca="false">J5363-H5363</f>
        <v>-7.61</v>
      </c>
      <c r="L5363" s="14" t="n">
        <f aca="false">G5363-H5363</f>
        <v>-7.61</v>
      </c>
    </row>
    <row r="5364" customFormat="false" ht="15" hidden="false" customHeight="false" outlineLevel="0" collapsed="false">
      <c r="A5364" s="2" t="s">
        <v>221</v>
      </c>
      <c r="B5364" s="2" t="s">
        <v>146</v>
      </c>
      <c r="C5364" s="2" t="s">
        <v>49</v>
      </c>
      <c r="D5364" s="2" t="s">
        <v>10</v>
      </c>
      <c r="E5364" s="2" t="s">
        <v>76</v>
      </c>
      <c r="F5364" s="2" t="s">
        <v>1146</v>
      </c>
      <c r="G5364" s="14" t="n">
        <v>14.5</v>
      </c>
      <c r="H5364" s="14" t="n">
        <v>24.63</v>
      </c>
      <c r="I5364" s="14" t="n">
        <v>14.5</v>
      </c>
      <c r="J5364" s="22" t="n">
        <f aca="false">IF(E5364="Priority",'Cost model'!N651,'Cost model'!M651)</f>
        <v>20.5</v>
      </c>
      <c r="K5364" s="14" t="n">
        <f aca="false">J5364-H5364</f>
        <v>-4.13</v>
      </c>
      <c r="L5364" s="14" t="n">
        <f aca="false">G5364-H5364</f>
        <v>-10.13</v>
      </c>
    </row>
    <row r="5365" customFormat="false" ht="15" hidden="false" customHeight="false" outlineLevel="0" collapsed="false">
      <c r="A5365" s="2" t="s">
        <v>146</v>
      </c>
      <c r="B5365" s="2" t="s">
        <v>146</v>
      </c>
      <c r="C5365" s="2" t="s">
        <v>50</v>
      </c>
      <c r="D5365" s="2" t="s">
        <v>12</v>
      </c>
      <c r="E5365" s="2" t="s">
        <v>76</v>
      </c>
      <c r="F5365" s="2" t="s">
        <v>1145</v>
      </c>
      <c r="G5365" s="14" t="n">
        <v>19.5</v>
      </c>
      <c r="H5365" s="14" t="n">
        <v>43.25</v>
      </c>
      <c r="I5365" s="14" t="n">
        <v>19.5</v>
      </c>
      <c r="J5365" s="22" t="n">
        <f aca="false">IF(E5365="Priority",'Cost model'!N763,'Cost model'!M763)</f>
        <v>50</v>
      </c>
      <c r="K5365" s="14" t="n">
        <f aca="false">J5365-H5365</f>
        <v>6.75</v>
      </c>
      <c r="L5365" s="14" t="n">
        <f aca="false">G5365-H5365</f>
        <v>-23.75</v>
      </c>
    </row>
    <row r="5366" customFormat="false" ht="15" hidden="false" customHeight="false" outlineLevel="0" collapsed="false">
      <c r="A5366" s="2" t="s">
        <v>184</v>
      </c>
      <c r="B5366" s="2" t="s">
        <v>165</v>
      </c>
      <c r="C5366" s="2" t="s">
        <v>50</v>
      </c>
      <c r="D5366" s="2" t="s">
        <v>16</v>
      </c>
      <c r="E5366" s="2" t="s">
        <v>76</v>
      </c>
      <c r="F5366" s="2" t="s">
        <v>1146</v>
      </c>
      <c r="G5366" s="14" t="n">
        <v>250</v>
      </c>
      <c r="H5366" s="14" t="n">
        <v>584.01</v>
      </c>
      <c r="I5366" s="14" t="n">
        <v>300</v>
      </c>
      <c r="J5366" s="22" t="n">
        <f aca="false">IF(E5366="Priority",'Cost model'!N181,'Cost model'!M181)</f>
        <v>460</v>
      </c>
      <c r="K5366" s="14" t="n">
        <f aca="false">J5366-H5366</f>
        <v>-124.01</v>
      </c>
      <c r="L5366" s="14" t="n">
        <f aca="false">G5366-H5366</f>
        <v>-334.01</v>
      </c>
    </row>
    <row r="5367" customFormat="false" ht="15" hidden="false" customHeight="false" outlineLevel="0" collapsed="false">
      <c r="A5367" s="2" t="s">
        <v>184</v>
      </c>
      <c r="B5367" s="2" t="s">
        <v>184</v>
      </c>
      <c r="C5367" s="2" t="s">
        <v>48</v>
      </c>
      <c r="D5367" s="2" t="s">
        <v>12</v>
      </c>
      <c r="E5367" s="2" t="s">
        <v>76</v>
      </c>
      <c r="F5367" s="2" t="s">
        <v>1145</v>
      </c>
      <c r="G5367" s="14" t="n">
        <v>9.5</v>
      </c>
      <c r="H5367" s="14" t="n">
        <v>41.18</v>
      </c>
      <c r="I5367" s="14" t="n">
        <v>9.5</v>
      </c>
      <c r="J5367" s="22" t="n">
        <f aca="false">IF(E5367="Priority",'Cost model'!N203,'Cost model'!M203)</f>
        <v>26.5</v>
      </c>
      <c r="K5367" s="14" t="n">
        <f aca="false">J5367-H5367</f>
        <v>-14.68</v>
      </c>
      <c r="L5367" s="14" t="n">
        <f aca="false">G5367-H5367</f>
        <v>-31.68</v>
      </c>
    </row>
    <row r="5368" customFormat="false" ht="15" hidden="false" customHeight="false" outlineLevel="0" collapsed="false">
      <c r="A5368" s="2" t="s">
        <v>184</v>
      </c>
      <c r="B5368" s="2" t="s">
        <v>146</v>
      </c>
      <c r="C5368" s="2" t="s">
        <v>48</v>
      </c>
      <c r="D5368" s="2" t="s">
        <v>12</v>
      </c>
      <c r="E5368" s="2" t="s">
        <v>76</v>
      </c>
      <c r="F5368" s="2" t="s">
        <v>1146</v>
      </c>
      <c r="G5368" s="14" t="n">
        <v>9.5</v>
      </c>
      <c r="H5368" s="14" t="n">
        <v>70.57</v>
      </c>
      <c r="I5368" s="14" t="n">
        <v>9.5</v>
      </c>
      <c r="J5368" s="22" t="n">
        <f aca="false">IF(E5368="Priority",'Cost model'!N149,'Cost model'!M149)</f>
        <v>45</v>
      </c>
      <c r="K5368" s="14" t="n">
        <f aca="false">J5368-H5368</f>
        <v>-25.57</v>
      </c>
      <c r="L5368" s="14" t="n">
        <f aca="false">G5368-H5368</f>
        <v>-61.07</v>
      </c>
    </row>
    <row r="5369" customFormat="false" ht="15" hidden="false" customHeight="false" outlineLevel="0" collapsed="false">
      <c r="A5369" s="2" t="s">
        <v>184</v>
      </c>
      <c r="B5369" s="2" t="s">
        <v>184</v>
      </c>
      <c r="C5369" s="2" t="s">
        <v>49</v>
      </c>
      <c r="D5369" s="2" t="s">
        <v>12</v>
      </c>
      <c r="E5369" s="2" t="s">
        <v>76</v>
      </c>
      <c r="F5369" s="2" t="s">
        <v>1145</v>
      </c>
      <c r="G5369" s="14" t="n">
        <v>12.5</v>
      </c>
      <c r="H5369" s="14" t="n">
        <v>29.65</v>
      </c>
      <c r="I5369" s="14"/>
      <c r="J5369" s="22" t="n">
        <f aca="false">IF(E5369="Priority",'Cost model'!N204,'Cost model'!M204)</f>
        <v>45</v>
      </c>
      <c r="K5369" s="14" t="n">
        <f aca="false">J5369-H5369</f>
        <v>15.35</v>
      </c>
      <c r="L5369" s="14" t="n">
        <f aca="false">G5369-H5369</f>
        <v>-17.15</v>
      </c>
    </row>
    <row r="5370" customFormat="false" ht="15" hidden="false" customHeight="false" outlineLevel="0" collapsed="false">
      <c r="A5370" s="2" t="s">
        <v>125</v>
      </c>
      <c r="B5370" s="2" t="s">
        <v>146</v>
      </c>
      <c r="C5370" s="2" t="s">
        <v>48</v>
      </c>
      <c r="D5370" s="2" t="s">
        <v>10</v>
      </c>
      <c r="E5370" s="2" t="s">
        <v>85</v>
      </c>
      <c r="F5370" s="2" t="s">
        <v>1146</v>
      </c>
      <c r="G5370" s="14" t="n">
        <v>19.5</v>
      </c>
      <c r="H5370" s="14" t="n">
        <v>7.02</v>
      </c>
      <c r="I5370" s="14" t="n">
        <v>19.5</v>
      </c>
      <c r="J5370" s="22" t="n">
        <f aca="false">IF(E5370="Priority",'Cost model'!N20,'Cost model'!M20)</f>
        <v>18.5</v>
      </c>
      <c r="K5370" s="14" t="n">
        <f aca="false">J5370-H5370</f>
        <v>11.48</v>
      </c>
      <c r="L5370" s="14" t="n">
        <f aca="false">G5370-H5370</f>
        <v>12.48</v>
      </c>
    </row>
    <row r="5371" customFormat="false" ht="15" hidden="false" customHeight="false" outlineLevel="0" collapsed="false">
      <c r="A5371" s="2" t="s">
        <v>240</v>
      </c>
      <c r="B5371" s="2" t="s">
        <v>240</v>
      </c>
      <c r="C5371" s="2" t="s">
        <v>48</v>
      </c>
      <c r="D5371" s="2" t="s">
        <v>12</v>
      </c>
      <c r="E5371" s="2" t="s">
        <v>85</v>
      </c>
      <c r="F5371" s="2" t="s">
        <v>1145</v>
      </c>
      <c r="G5371" s="14" t="n">
        <v>19.5</v>
      </c>
      <c r="H5371" s="14" t="n">
        <v>17.02</v>
      </c>
      <c r="I5371" s="14" t="n">
        <v>19.5</v>
      </c>
      <c r="J5371" s="22" t="n">
        <f aca="false">IF(E5371="Priority",'Cost model'!N887,'Cost model'!M887)</f>
        <v>27.5</v>
      </c>
      <c r="K5371" s="14" t="n">
        <f aca="false">J5371-H5371</f>
        <v>10.48</v>
      </c>
      <c r="L5371" s="14" t="n">
        <f aca="false">G5371-H5371</f>
        <v>2.48</v>
      </c>
    </row>
    <row r="5372" customFormat="false" ht="15" hidden="false" customHeight="false" outlineLevel="0" collapsed="false">
      <c r="A5372" s="2" t="s">
        <v>146</v>
      </c>
      <c r="B5372" s="2" t="s">
        <v>146</v>
      </c>
      <c r="C5372" s="2" t="s">
        <v>49</v>
      </c>
      <c r="D5372" s="2" t="s">
        <v>12</v>
      </c>
      <c r="E5372" s="2" t="s">
        <v>76</v>
      </c>
      <c r="F5372" s="2" t="s">
        <v>1145</v>
      </c>
      <c r="G5372" s="14" t="n">
        <v>12.5</v>
      </c>
      <c r="H5372" s="14" t="n">
        <v>54.16</v>
      </c>
      <c r="I5372" s="14" t="n">
        <v>12.5</v>
      </c>
      <c r="J5372" s="22" t="n">
        <f aca="false">IF(E5372="Priority",'Cost model'!N762,'Cost model'!M762)</f>
        <v>45</v>
      </c>
      <c r="K5372" s="14" t="n">
        <f aca="false">J5372-H5372</f>
        <v>-9.16</v>
      </c>
      <c r="L5372" s="14" t="n">
        <f aca="false">G5372-H5372</f>
        <v>-41.66</v>
      </c>
    </row>
    <row r="5373" customFormat="false" ht="15" hidden="false" customHeight="false" outlineLevel="0" collapsed="false">
      <c r="A5373" s="2" t="s">
        <v>146</v>
      </c>
      <c r="B5373" s="2" t="s">
        <v>146</v>
      </c>
      <c r="C5373" s="2" t="s">
        <v>49</v>
      </c>
      <c r="D5373" s="2" t="s">
        <v>10</v>
      </c>
      <c r="E5373" s="2" t="s">
        <v>76</v>
      </c>
      <c r="F5373" s="2" t="s">
        <v>1145</v>
      </c>
      <c r="G5373" s="14" t="n">
        <v>12.5</v>
      </c>
      <c r="H5373" s="14" t="n">
        <v>14.15</v>
      </c>
      <c r="I5373" s="14" t="n">
        <v>12.5</v>
      </c>
      <c r="J5373" s="22" t="n">
        <f aca="false">IF(E5373="Priority",'Cost model'!N759,'Cost model'!M759)</f>
        <v>15.5</v>
      </c>
      <c r="K5373" s="14" t="n">
        <f aca="false">J5373-H5373</f>
        <v>1.35</v>
      </c>
      <c r="L5373" s="14" t="n">
        <f aca="false">G5373-H5373</f>
        <v>-1.65</v>
      </c>
    </row>
    <row r="5374" customFormat="false" ht="15" hidden="false" customHeight="false" outlineLevel="0" collapsed="false">
      <c r="A5374" s="2" t="s">
        <v>126</v>
      </c>
      <c r="B5374" s="2" t="s">
        <v>126</v>
      </c>
      <c r="C5374" s="2" t="s">
        <v>50</v>
      </c>
      <c r="D5374" s="2" t="s">
        <v>10</v>
      </c>
      <c r="E5374" s="2" t="s">
        <v>85</v>
      </c>
      <c r="F5374" s="2" t="s">
        <v>1145</v>
      </c>
      <c r="G5374" s="14" t="n">
        <v>24.5</v>
      </c>
      <c r="H5374" s="14" t="n">
        <v>14.63</v>
      </c>
      <c r="I5374" s="14" t="n">
        <v>24.5</v>
      </c>
      <c r="J5374" s="22" t="n">
        <f aca="false">IF(E5374="Priority",'Cost model'!N382,'Cost model'!M382)</f>
        <v>25.5</v>
      </c>
      <c r="K5374" s="14" t="n">
        <f aca="false">J5374-H5374</f>
        <v>10.87</v>
      </c>
      <c r="L5374" s="14" t="n">
        <f aca="false">G5374-H5374</f>
        <v>9.87</v>
      </c>
    </row>
    <row r="5375" customFormat="false" ht="15" hidden="false" customHeight="false" outlineLevel="0" collapsed="false">
      <c r="A5375" s="2" t="s">
        <v>184</v>
      </c>
      <c r="B5375" s="2" t="s">
        <v>184</v>
      </c>
      <c r="C5375" s="2" t="s">
        <v>50</v>
      </c>
      <c r="D5375" s="2" t="s">
        <v>10</v>
      </c>
      <c r="E5375" s="2" t="s">
        <v>76</v>
      </c>
      <c r="F5375" s="2" t="s">
        <v>1145</v>
      </c>
      <c r="G5375" s="14" t="n">
        <v>17.5</v>
      </c>
      <c r="H5375" s="14" t="n">
        <v>10.51</v>
      </c>
      <c r="I5375" s="14" t="n">
        <v>17.5</v>
      </c>
      <c r="J5375" s="22" t="n">
        <f aca="false">IF(E5375="Priority",'Cost model'!N202,'Cost model'!M202)</f>
        <v>17.5</v>
      </c>
      <c r="K5375" s="14" t="n">
        <f aca="false">J5375-H5375</f>
        <v>6.99</v>
      </c>
      <c r="L5375" s="14" t="n">
        <f aca="false">G5375-H5375</f>
        <v>6.99</v>
      </c>
    </row>
    <row r="5376" customFormat="false" ht="15" hidden="false" customHeight="false" outlineLevel="0" collapsed="false">
      <c r="A5376" s="2" t="s">
        <v>184</v>
      </c>
      <c r="B5376" s="2" t="s">
        <v>165</v>
      </c>
      <c r="C5376" s="2" t="s">
        <v>48</v>
      </c>
      <c r="D5376" s="2" t="s">
        <v>12</v>
      </c>
      <c r="E5376" s="2" t="s">
        <v>76</v>
      </c>
      <c r="F5376" s="2" t="s">
        <v>1146</v>
      </c>
      <c r="G5376" s="14" t="n">
        <v>9.5</v>
      </c>
      <c r="H5376" s="14" t="n">
        <v>65.62</v>
      </c>
      <c r="I5376" s="14" t="n">
        <v>19.5</v>
      </c>
      <c r="J5376" s="22" t="n">
        <f aca="false">IF(E5376="Priority",'Cost model'!N167,'Cost model'!M167)</f>
        <v>60</v>
      </c>
      <c r="K5376" s="14" t="n">
        <f aca="false">J5376-H5376</f>
        <v>-5.62</v>
      </c>
      <c r="L5376" s="14" t="n">
        <f aca="false">G5376-H5376</f>
        <v>-56.12</v>
      </c>
    </row>
    <row r="5377" customFormat="false" ht="15" hidden="false" customHeight="false" outlineLevel="0" collapsed="false">
      <c r="A5377" s="2" t="s">
        <v>221</v>
      </c>
      <c r="B5377" s="2" t="s">
        <v>221</v>
      </c>
      <c r="C5377" s="2" t="s">
        <v>49</v>
      </c>
      <c r="D5377" s="2" t="s">
        <v>12</v>
      </c>
      <c r="E5377" s="2" t="s">
        <v>85</v>
      </c>
      <c r="F5377" s="2" t="s">
        <v>1145</v>
      </c>
      <c r="G5377" s="14" t="n">
        <v>19.5</v>
      </c>
      <c r="H5377" s="14" t="n">
        <v>187.23</v>
      </c>
      <c r="I5377" s="14" t="n">
        <v>19.5</v>
      </c>
      <c r="J5377" s="22" t="n">
        <f aca="false">IF(E5377="Priority",'Cost model'!N636,'Cost model'!M636)</f>
        <v>70</v>
      </c>
      <c r="K5377" s="14" t="n">
        <f aca="false">J5377-H5377</f>
        <v>-117.23</v>
      </c>
      <c r="L5377" s="14" t="n">
        <f aca="false">G5377-H5377</f>
        <v>-167.73</v>
      </c>
    </row>
    <row r="5378" customFormat="false" ht="15" hidden="false" customHeight="false" outlineLevel="0" collapsed="false">
      <c r="A5378" s="2" t="s">
        <v>126</v>
      </c>
      <c r="B5378" s="2" t="s">
        <v>165</v>
      </c>
      <c r="C5378" s="2" t="s">
        <v>49</v>
      </c>
      <c r="D5378" s="2" t="s">
        <v>12</v>
      </c>
      <c r="E5378" s="2" t="s">
        <v>76</v>
      </c>
      <c r="F5378" s="2" t="s">
        <v>1146</v>
      </c>
      <c r="G5378" s="14" t="n">
        <v>12.5</v>
      </c>
      <c r="H5378" s="14" t="n">
        <v>81.2</v>
      </c>
      <c r="I5378" s="14" t="n">
        <v>19.5</v>
      </c>
      <c r="J5378" s="22" t="n">
        <f aca="false">IF(E5378="Priority",'Cost model'!N420,'Cost model'!M420)</f>
        <v>60</v>
      </c>
      <c r="K5378" s="14" t="n">
        <f aca="false">J5378-H5378</f>
        <v>-21.2</v>
      </c>
      <c r="L5378" s="14" t="n">
        <f aca="false">G5378-H5378</f>
        <v>-68.7</v>
      </c>
    </row>
    <row r="5379" customFormat="false" ht="15" hidden="false" customHeight="false" outlineLevel="0" collapsed="false">
      <c r="A5379" s="2" t="s">
        <v>146</v>
      </c>
      <c r="B5379" s="2" t="s">
        <v>146</v>
      </c>
      <c r="C5379" s="2" t="s">
        <v>48</v>
      </c>
      <c r="D5379" s="2" t="s">
        <v>10</v>
      </c>
      <c r="E5379" s="2" t="s">
        <v>76</v>
      </c>
      <c r="F5379" s="2" t="s">
        <v>1145</v>
      </c>
      <c r="G5379" s="14" t="n">
        <v>9.5</v>
      </c>
      <c r="H5379" s="14" t="n">
        <v>7.72</v>
      </c>
      <c r="I5379" s="14" t="n">
        <v>9.5</v>
      </c>
      <c r="J5379" s="22" t="n">
        <f aca="false">IF(E5379="Priority",'Cost model'!N758,'Cost model'!M758)</f>
        <v>9.5</v>
      </c>
      <c r="K5379" s="14" t="n">
        <f aca="false">J5379-H5379</f>
        <v>1.78</v>
      </c>
      <c r="L5379" s="14" t="n">
        <f aca="false">G5379-H5379</f>
        <v>1.78</v>
      </c>
    </row>
    <row r="5380" customFormat="false" ht="15" hidden="false" customHeight="false" outlineLevel="0" collapsed="false">
      <c r="A5380" s="2" t="s">
        <v>126</v>
      </c>
      <c r="B5380" s="2" t="s">
        <v>126</v>
      </c>
      <c r="C5380" s="2" t="s">
        <v>50</v>
      </c>
      <c r="D5380" s="2" t="s">
        <v>10</v>
      </c>
      <c r="E5380" s="2" t="s">
        <v>76</v>
      </c>
      <c r="F5380" s="2" t="s">
        <v>1145</v>
      </c>
      <c r="G5380" s="14" t="n">
        <v>17.5</v>
      </c>
      <c r="H5380" s="14" t="n">
        <v>44.74</v>
      </c>
      <c r="I5380" s="14" t="n">
        <v>17.5</v>
      </c>
      <c r="J5380" s="22" t="n">
        <f aca="false">IF(E5380="Priority",'Cost model'!N382,'Cost model'!M382)</f>
        <v>18.5</v>
      </c>
      <c r="K5380" s="14" t="n">
        <f aca="false">J5380-H5380</f>
        <v>-26.24</v>
      </c>
      <c r="L5380" s="14" t="n">
        <f aca="false">G5380-H5380</f>
        <v>-27.24</v>
      </c>
    </row>
    <row r="5381" customFormat="false" ht="15" hidden="false" customHeight="false" outlineLevel="0" collapsed="false">
      <c r="A5381" s="2" t="s">
        <v>146</v>
      </c>
      <c r="B5381" s="2" t="s">
        <v>146</v>
      </c>
      <c r="C5381" s="2" t="s">
        <v>49</v>
      </c>
      <c r="D5381" s="2" t="s">
        <v>10</v>
      </c>
      <c r="E5381" s="2" t="s">
        <v>85</v>
      </c>
      <c r="F5381" s="2" t="s">
        <v>1145</v>
      </c>
      <c r="G5381" s="14" t="n">
        <v>17.5</v>
      </c>
      <c r="H5381" s="14" t="n">
        <v>21.34</v>
      </c>
      <c r="I5381" s="14" t="n">
        <v>17.5</v>
      </c>
      <c r="J5381" s="22" t="n">
        <f aca="false">IF(E5381="Priority",'Cost model'!N759,'Cost model'!M759)</f>
        <v>21.5</v>
      </c>
      <c r="K5381" s="14" t="n">
        <f aca="false">J5381-H5381</f>
        <v>0.16</v>
      </c>
      <c r="L5381" s="14" t="n">
        <f aca="false">G5381-H5381</f>
        <v>-3.84</v>
      </c>
    </row>
    <row r="5382" customFormat="false" ht="15" hidden="false" customHeight="false" outlineLevel="0" collapsed="false">
      <c r="A5382" s="2" t="s">
        <v>146</v>
      </c>
      <c r="B5382" s="2" t="s">
        <v>146</v>
      </c>
      <c r="C5382" s="2" t="s">
        <v>48</v>
      </c>
      <c r="D5382" s="2" t="s">
        <v>10</v>
      </c>
      <c r="E5382" s="2" t="s">
        <v>85</v>
      </c>
      <c r="F5382" s="2" t="s">
        <v>1145</v>
      </c>
      <c r="G5382" s="14" t="n">
        <v>14.5</v>
      </c>
      <c r="H5382" s="14" t="n">
        <v>6.12</v>
      </c>
      <c r="I5382" s="14" t="n">
        <v>14.5</v>
      </c>
      <c r="J5382" s="22" t="n">
        <f aca="false">IF(E5382="Priority",'Cost model'!N758,'Cost model'!M758)</f>
        <v>14.5</v>
      </c>
      <c r="K5382" s="14" t="n">
        <f aca="false">J5382-H5382</f>
        <v>8.38</v>
      </c>
      <c r="L5382" s="14" t="n">
        <f aca="false">G5382-H5382</f>
        <v>8.38</v>
      </c>
    </row>
    <row r="5383" customFormat="false" ht="15" hidden="false" customHeight="false" outlineLevel="0" collapsed="false">
      <c r="A5383" s="2" t="s">
        <v>385</v>
      </c>
      <c r="B5383" s="2" t="s">
        <v>126</v>
      </c>
      <c r="C5383" s="2" t="s">
        <v>48</v>
      </c>
      <c r="D5383" s="2" t="s">
        <v>10</v>
      </c>
      <c r="E5383" s="2" t="s">
        <v>76</v>
      </c>
      <c r="F5383" s="2" t="s">
        <v>1146</v>
      </c>
      <c r="G5383" s="14" t="n">
        <v>19.5</v>
      </c>
      <c r="H5383" s="14" t="n">
        <v>24.63</v>
      </c>
      <c r="I5383" s="14" t="n">
        <v>24.5</v>
      </c>
      <c r="J5383" s="22" t="n">
        <f aca="false">IF(E5383="Priority",'Cost model'!N308,'Cost model'!M308)</f>
        <v>15.5</v>
      </c>
      <c r="K5383" s="14" t="n">
        <f aca="false">J5383-H5383</f>
        <v>-9.13</v>
      </c>
      <c r="L5383" s="14" t="n">
        <f aca="false">G5383-H5383</f>
        <v>-5.13</v>
      </c>
    </row>
    <row r="5384" customFormat="false" ht="15" hidden="false" customHeight="false" outlineLevel="0" collapsed="false">
      <c r="A5384" s="2" t="s">
        <v>126</v>
      </c>
      <c r="B5384" s="2" t="s">
        <v>126</v>
      </c>
      <c r="C5384" s="2" t="s">
        <v>48</v>
      </c>
      <c r="D5384" s="2" t="s">
        <v>12</v>
      </c>
      <c r="E5384" s="2" t="s">
        <v>76</v>
      </c>
      <c r="F5384" s="2" t="s">
        <v>1145</v>
      </c>
      <c r="G5384" s="14" t="n">
        <v>24.5</v>
      </c>
      <c r="H5384" s="14" t="n">
        <v>58.65</v>
      </c>
      <c r="I5384" s="14" t="n">
        <v>9.5</v>
      </c>
      <c r="J5384" s="22" t="n">
        <f aca="false">IF(E5384="Priority",'Cost model'!N383,'Cost model'!M383)</f>
        <v>27.5</v>
      </c>
      <c r="K5384" s="14" t="n">
        <f aca="false">J5384-H5384</f>
        <v>-31.15</v>
      </c>
      <c r="L5384" s="14" t="n">
        <f aca="false">G5384-H5384</f>
        <v>-34.15</v>
      </c>
    </row>
    <row r="5385" customFormat="false" ht="15" hidden="false" customHeight="false" outlineLevel="0" collapsed="false">
      <c r="A5385" s="2" t="s">
        <v>221</v>
      </c>
      <c r="B5385" s="2" t="s">
        <v>146</v>
      </c>
      <c r="C5385" s="2" t="s">
        <v>48</v>
      </c>
      <c r="D5385" s="2" t="s">
        <v>12</v>
      </c>
      <c r="E5385" s="2" t="s">
        <v>76</v>
      </c>
      <c r="F5385" s="2" t="s">
        <v>1146</v>
      </c>
      <c r="G5385" s="14" t="n">
        <v>19.5</v>
      </c>
      <c r="H5385" s="14" t="n">
        <v>69.72</v>
      </c>
      <c r="I5385" s="14" t="n">
        <v>19.5</v>
      </c>
      <c r="J5385" s="22" t="n">
        <f aca="false">IF(E5385="Priority",'Cost model'!N653,'Cost model'!M653)</f>
        <v>65</v>
      </c>
      <c r="K5385" s="14" t="n">
        <f aca="false">J5385-H5385</f>
        <v>-4.72</v>
      </c>
      <c r="L5385" s="14" t="n">
        <f aca="false">G5385-H5385</f>
        <v>-50.22</v>
      </c>
    </row>
    <row r="5386" customFormat="false" ht="15" hidden="false" customHeight="false" outlineLevel="0" collapsed="false">
      <c r="A5386" s="2" t="s">
        <v>126</v>
      </c>
      <c r="B5386" s="2" t="s">
        <v>126</v>
      </c>
      <c r="C5386" s="2" t="s">
        <v>48</v>
      </c>
      <c r="D5386" s="2" t="s">
        <v>10</v>
      </c>
      <c r="E5386" s="2" t="s">
        <v>76</v>
      </c>
      <c r="F5386" s="2" t="s">
        <v>1145</v>
      </c>
      <c r="G5386" s="14" t="n">
        <v>9.5</v>
      </c>
      <c r="H5386" s="14" t="n">
        <v>7.47</v>
      </c>
      <c r="I5386" s="14" t="n">
        <v>9.5</v>
      </c>
      <c r="J5386" s="22" t="n">
        <f aca="false">IF(E5386="Priority",'Cost model'!N380,'Cost model'!M380)</f>
        <v>8.5</v>
      </c>
      <c r="K5386" s="14" t="n">
        <f aca="false">J5386-H5386</f>
        <v>1.03</v>
      </c>
      <c r="L5386" s="14" t="n">
        <f aca="false">G5386-H5386</f>
        <v>2.03</v>
      </c>
    </row>
    <row r="5387" customFormat="false" ht="15" hidden="false" customHeight="false" outlineLevel="0" collapsed="false">
      <c r="A5387" s="2" t="s">
        <v>126</v>
      </c>
      <c r="B5387" s="2" t="s">
        <v>240</v>
      </c>
      <c r="C5387" s="2" t="s">
        <v>50</v>
      </c>
      <c r="D5387" s="2" t="s">
        <v>10</v>
      </c>
      <c r="E5387" s="2" t="s">
        <v>76</v>
      </c>
      <c r="F5387" s="2" t="s">
        <v>1146</v>
      </c>
      <c r="G5387" s="14" t="n">
        <v>19.5</v>
      </c>
      <c r="H5387" s="14" t="n">
        <v>18.13</v>
      </c>
      <c r="I5387" s="14" t="n">
        <v>19.5</v>
      </c>
      <c r="J5387" s="22" t="n">
        <f aca="false">IF(E5387="Priority",'Cost model'!N490,'Cost model'!M490)</f>
        <v>26.5</v>
      </c>
      <c r="K5387" s="14" t="n">
        <f aca="false">J5387-H5387</f>
        <v>8.37</v>
      </c>
      <c r="L5387" s="14" t="n">
        <f aca="false">G5387-H5387</f>
        <v>1.37</v>
      </c>
    </row>
    <row r="5388" customFormat="false" ht="15" hidden="false" customHeight="false" outlineLevel="0" collapsed="false">
      <c r="A5388" s="2" t="s">
        <v>126</v>
      </c>
      <c r="B5388" s="2" t="s">
        <v>184</v>
      </c>
      <c r="C5388" s="2" t="s">
        <v>49</v>
      </c>
      <c r="D5388" s="2" t="s">
        <v>12</v>
      </c>
      <c r="E5388" s="2" t="s">
        <v>76</v>
      </c>
      <c r="F5388" s="2" t="s">
        <v>1146</v>
      </c>
      <c r="G5388" s="14" t="n">
        <v>12.5</v>
      </c>
      <c r="H5388" s="14" t="n">
        <v>63.73</v>
      </c>
      <c r="I5388" s="14" t="n">
        <v>19.5</v>
      </c>
      <c r="J5388" s="22" t="n">
        <f aca="false">IF(E5388="Priority",'Cost model'!N438,'Cost model'!M438)</f>
        <v>55</v>
      </c>
      <c r="K5388" s="14" t="n">
        <f aca="false">J5388-H5388</f>
        <v>-8.73</v>
      </c>
      <c r="L5388" s="14" t="n">
        <f aca="false">G5388-H5388</f>
        <v>-51.23</v>
      </c>
    </row>
    <row r="5389" customFormat="false" ht="15" hidden="false" customHeight="false" outlineLevel="0" collapsed="false">
      <c r="A5389" s="2" t="s">
        <v>165</v>
      </c>
      <c r="B5389" s="2" t="s">
        <v>165</v>
      </c>
      <c r="C5389" s="2" t="s">
        <v>48</v>
      </c>
      <c r="D5389" s="2" t="s">
        <v>12</v>
      </c>
      <c r="E5389" s="2" t="s">
        <v>76</v>
      </c>
      <c r="F5389" s="2" t="s">
        <v>1145</v>
      </c>
      <c r="G5389" s="14" t="n">
        <v>9.5</v>
      </c>
      <c r="H5389" s="14" t="n">
        <v>18.4</v>
      </c>
      <c r="I5389" s="14" t="n">
        <v>9.5</v>
      </c>
      <c r="J5389" s="22" t="n">
        <f aca="false">IF(E5389="Priority",'Cost model'!N509,'Cost model'!M509)</f>
        <v>17.5</v>
      </c>
      <c r="K5389" s="14" t="n">
        <f aca="false">J5389-H5389</f>
        <v>-0.899999999999999</v>
      </c>
      <c r="L5389" s="14" t="n">
        <f aca="false">G5389-H5389</f>
        <v>-8.9</v>
      </c>
    </row>
    <row r="5390" customFormat="false" ht="15" hidden="false" customHeight="false" outlineLevel="0" collapsed="false">
      <c r="A5390" s="2" t="s">
        <v>240</v>
      </c>
      <c r="B5390" s="2" t="s">
        <v>240</v>
      </c>
      <c r="C5390" s="2" t="s">
        <v>48</v>
      </c>
      <c r="D5390" s="2" t="s">
        <v>10</v>
      </c>
      <c r="E5390" s="2" t="s">
        <v>76</v>
      </c>
      <c r="F5390" s="2" t="s">
        <v>1145</v>
      </c>
      <c r="G5390" s="14" t="n">
        <v>9.5</v>
      </c>
      <c r="H5390" s="14" t="n">
        <v>7.68</v>
      </c>
      <c r="I5390" s="14" t="n">
        <v>9.5</v>
      </c>
      <c r="J5390" s="22" t="n">
        <f aca="false">IF(E5390="Priority",'Cost model'!N884,'Cost model'!M884)</f>
        <v>7.5</v>
      </c>
      <c r="K5390" s="14" t="n">
        <f aca="false">J5390-H5390</f>
        <v>-0.18</v>
      </c>
      <c r="L5390" s="14" t="n">
        <f aca="false">G5390-H5390</f>
        <v>1.82</v>
      </c>
    </row>
    <row r="5391" customFormat="false" ht="15" hidden="false" customHeight="false" outlineLevel="0" collapsed="false">
      <c r="A5391" s="2" t="s">
        <v>126</v>
      </c>
      <c r="B5391" s="2" t="s">
        <v>126</v>
      </c>
      <c r="C5391" s="2" t="s">
        <v>49</v>
      </c>
      <c r="D5391" s="2" t="s">
        <v>12</v>
      </c>
      <c r="E5391" s="2" t="s">
        <v>76</v>
      </c>
      <c r="F5391" s="2" t="s">
        <v>1145</v>
      </c>
      <c r="G5391" s="14" t="n">
        <v>12.5</v>
      </c>
      <c r="H5391" s="14" t="n">
        <v>48.45</v>
      </c>
      <c r="I5391" s="14" t="n">
        <v>12.5</v>
      </c>
      <c r="J5391" s="22" t="n">
        <f aca="false">IF(E5391="Priority",'Cost model'!N384,'Cost model'!M384)</f>
        <v>45</v>
      </c>
      <c r="K5391" s="14" t="n">
        <f aca="false">J5391-H5391</f>
        <v>-3.45</v>
      </c>
      <c r="L5391" s="14" t="n">
        <f aca="false">G5391-H5391</f>
        <v>-35.95</v>
      </c>
    </row>
    <row r="5392" customFormat="false" ht="15" hidden="false" customHeight="false" outlineLevel="0" collapsed="false">
      <c r="A5392" s="2" t="s">
        <v>146</v>
      </c>
      <c r="B5392" s="2" t="s">
        <v>165</v>
      </c>
      <c r="C5392" s="2" t="s">
        <v>48</v>
      </c>
      <c r="D5392" s="2" t="s">
        <v>10</v>
      </c>
      <c r="E5392" s="2" t="s">
        <v>85</v>
      </c>
      <c r="F5392" s="2" t="s">
        <v>1146</v>
      </c>
      <c r="G5392" s="14" t="n">
        <v>19.5</v>
      </c>
      <c r="H5392" s="14" t="n">
        <v>20.83</v>
      </c>
      <c r="I5392" s="14" t="n">
        <v>19.5</v>
      </c>
      <c r="J5392" s="22" t="n">
        <f aca="false">IF(E5392="Priority",'Cost model'!N776,'Cost model'!M776)</f>
        <v>18.5</v>
      </c>
      <c r="K5392" s="14" t="n">
        <f aca="false">J5392-H5392</f>
        <v>-2.33</v>
      </c>
      <c r="L5392" s="14" t="n">
        <f aca="false">G5392-H5392</f>
        <v>-1.33</v>
      </c>
    </row>
    <row r="5393" customFormat="false" ht="15" hidden="false" customHeight="false" outlineLevel="0" collapsed="false">
      <c r="A5393" s="2" t="s">
        <v>184</v>
      </c>
      <c r="B5393" s="2" t="s">
        <v>126</v>
      </c>
      <c r="C5393" s="2" t="s">
        <v>49</v>
      </c>
      <c r="D5393" s="2" t="s">
        <v>10</v>
      </c>
      <c r="E5393" s="2" t="s">
        <v>76</v>
      </c>
      <c r="F5393" s="2" t="s">
        <v>1146</v>
      </c>
      <c r="G5393" s="14" t="n">
        <v>17.5</v>
      </c>
      <c r="H5393" s="14" t="n">
        <v>20.83</v>
      </c>
      <c r="I5393" s="14"/>
      <c r="J5393" s="22" t="n">
        <f aca="false">IF(E5393="Priority",'Cost model'!N129,'Cost model'!M129)</f>
        <v>13.5</v>
      </c>
      <c r="K5393" s="14" t="n">
        <f aca="false">J5393-H5393</f>
        <v>-7.33</v>
      </c>
      <c r="L5393" s="14" t="n">
        <f aca="false">G5393-H5393</f>
        <v>-3.33</v>
      </c>
    </row>
    <row r="5394" customFormat="false" ht="15" hidden="false" customHeight="false" outlineLevel="0" collapsed="false">
      <c r="A5394" s="2" t="s">
        <v>184</v>
      </c>
      <c r="B5394" s="2" t="s">
        <v>125</v>
      </c>
      <c r="C5394" s="2" t="s">
        <v>50</v>
      </c>
      <c r="D5394" s="2" t="s">
        <v>10</v>
      </c>
      <c r="E5394" s="2" t="s">
        <v>76</v>
      </c>
      <c r="F5394" s="2" t="s">
        <v>1146</v>
      </c>
      <c r="G5394" s="14" t="n">
        <v>17.5</v>
      </c>
      <c r="H5394" s="14" t="n">
        <v>24.48</v>
      </c>
      <c r="I5394" s="14" t="n">
        <v>19.5</v>
      </c>
      <c r="J5394" s="22" t="n">
        <f aca="false">IF(E5394="Priority",'Cost model'!N238,'Cost model'!M238)</f>
        <v>22.5</v>
      </c>
      <c r="K5394" s="14" t="n">
        <f aca="false">J5394-H5394</f>
        <v>-1.98</v>
      </c>
      <c r="L5394" s="14" t="n">
        <f aca="false">G5394-H5394</f>
        <v>-6.98</v>
      </c>
    </row>
    <row r="5395" customFormat="false" ht="15" hidden="false" customHeight="false" outlineLevel="0" collapsed="false">
      <c r="A5395" s="2" t="s">
        <v>126</v>
      </c>
      <c r="B5395" s="2" t="s">
        <v>126</v>
      </c>
      <c r="C5395" s="2" t="s">
        <v>48</v>
      </c>
      <c r="D5395" s="2" t="s">
        <v>10</v>
      </c>
      <c r="E5395" s="2" t="s">
        <v>85</v>
      </c>
      <c r="F5395" s="2" t="s">
        <v>1145</v>
      </c>
      <c r="G5395" s="14" t="n">
        <v>14.5</v>
      </c>
      <c r="H5395" s="14" t="n">
        <v>9.09</v>
      </c>
      <c r="I5395" s="14" t="n">
        <v>14.5</v>
      </c>
      <c r="J5395" s="22" t="n">
        <f aca="false">IF(E5395="Priority",'Cost model'!N380,'Cost model'!M380)</f>
        <v>13.5</v>
      </c>
      <c r="K5395" s="14" t="n">
        <f aca="false">J5395-H5395</f>
        <v>4.41</v>
      </c>
      <c r="L5395" s="14" t="n">
        <f aca="false">G5395-H5395</f>
        <v>5.41</v>
      </c>
    </row>
    <row r="5396" customFormat="false" ht="15" hidden="false" customHeight="false" outlineLevel="0" collapsed="false">
      <c r="A5396" s="2" t="s">
        <v>146</v>
      </c>
      <c r="B5396" s="2" t="s">
        <v>146</v>
      </c>
      <c r="C5396" s="2" t="s">
        <v>48</v>
      </c>
      <c r="D5396" s="2" t="s">
        <v>12</v>
      </c>
      <c r="E5396" s="2" t="s">
        <v>76</v>
      </c>
      <c r="F5396" s="2" t="s">
        <v>1145</v>
      </c>
      <c r="G5396" s="14" t="n">
        <v>9.5</v>
      </c>
      <c r="H5396" s="14" t="n">
        <v>28.12</v>
      </c>
      <c r="I5396" s="14" t="n">
        <v>9.5</v>
      </c>
      <c r="J5396" s="22" t="n">
        <f aca="false">IF(E5396="Priority",'Cost model'!N761,'Cost model'!M761)</f>
        <v>35</v>
      </c>
      <c r="K5396" s="14" t="n">
        <f aca="false">J5396-H5396</f>
        <v>6.88</v>
      </c>
      <c r="L5396" s="14" t="n">
        <f aca="false">G5396-H5396</f>
        <v>-18.62</v>
      </c>
    </row>
    <row r="5397" customFormat="false" ht="15" hidden="false" customHeight="false" outlineLevel="0" collapsed="false">
      <c r="A5397" s="2" t="s">
        <v>126</v>
      </c>
      <c r="B5397" s="2" t="s">
        <v>126</v>
      </c>
      <c r="C5397" s="2" t="s">
        <v>49</v>
      </c>
      <c r="D5397" s="2" t="s">
        <v>12</v>
      </c>
      <c r="E5397" s="2" t="s">
        <v>76</v>
      </c>
      <c r="F5397" s="2" t="s">
        <v>1145</v>
      </c>
      <c r="G5397" s="14" t="n">
        <v>12.5</v>
      </c>
      <c r="H5397" s="14" t="n">
        <v>38.7</v>
      </c>
      <c r="I5397" s="14" t="n">
        <v>12.5</v>
      </c>
      <c r="J5397" s="22" t="n">
        <f aca="false">IF(E5397="Priority",'Cost model'!N384,'Cost model'!M384)</f>
        <v>45</v>
      </c>
      <c r="K5397" s="14" t="n">
        <f aca="false">J5397-H5397</f>
        <v>6.3</v>
      </c>
      <c r="L5397" s="14" t="n">
        <f aca="false">G5397-H5397</f>
        <v>-26.2</v>
      </c>
    </row>
    <row r="5398" customFormat="false" ht="15" hidden="false" customHeight="false" outlineLevel="0" collapsed="false">
      <c r="A5398" s="2" t="s">
        <v>165</v>
      </c>
      <c r="B5398" s="2" t="s">
        <v>126</v>
      </c>
      <c r="C5398" s="2" t="s">
        <v>48</v>
      </c>
      <c r="D5398" s="2" t="s">
        <v>12</v>
      </c>
      <c r="E5398" s="2" t="s">
        <v>85</v>
      </c>
      <c r="F5398" s="2" t="s">
        <v>1146</v>
      </c>
      <c r="G5398" s="14" t="n">
        <v>24.5</v>
      </c>
      <c r="H5398" s="14" t="n">
        <v>46.31</v>
      </c>
      <c r="I5398" s="14" t="n">
        <v>24.5</v>
      </c>
      <c r="J5398" s="22" t="n">
        <f aca="false">IF(E5398="Priority",'Cost model'!N545,'Cost model'!M545)</f>
        <v>65</v>
      </c>
      <c r="K5398" s="14" t="n">
        <f aca="false">J5398-H5398</f>
        <v>18.69</v>
      </c>
      <c r="L5398" s="14" t="n">
        <f aca="false">G5398-H5398</f>
        <v>-21.81</v>
      </c>
    </row>
    <row r="5399" customFormat="false" ht="15" hidden="false" customHeight="false" outlineLevel="0" collapsed="false">
      <c r="A5399" s="2" t="s">
        <v>240</v>
      </c>
      <c r="B5399" s="2" t="s">
        <v>240</v>
      </c>
      <c r="C5399" s="2" t="s">
        <v>48</v>
      </c>
      <c r="D5399" s="2" t="s">
        <v>12</v>
      </c>
      <c r="E5399" s="2" t="s">
        <v>76</v>
      </c>
      <c r="F5399" s="2" t="s">
        <v>1145</v>
      </c>
      <c r="G5399" s="14" t="n">
        <v>14.5</v>
      </c>
      <c r="H5399" s="14" t="n">
        <v>15.93</v>
      </c>
      <c r="I5399" s="14" t="n">
        <v>9.5</v>
      </c>
      <c r="J5399" s="22" t="n">
        <f aca="false">IF(E5399="Priority",'Cost model'!N887,'Cost model'!M887)</f>
        <v>21.5</v>
      </c>
      <c r="K5399" s="14" t="n">
        <f aca="false">J5399-H5399</f>
        <v>5.57</v>
      </c>
      <c r="L5399" s="14" t="n">
        <f aca="false">G5399-H5399</f>
        <v>-1.43</v>
      </c>
    </row>
    <row r="5400" customFormat="false" ht="15" hidden="false" customHeight="false" outlineLevel="0" collapsed="false">
      <c r="A5400" s="2" t="s">
        <v>184</v>
      </c>
      <c r="B5400" s="2" t="s">
        <v>184</v>
      </c>
      <c r="C5400" s="2" t="s">
        <v>49</v>
      </c>
      <c r="D5400" s="2" t="s">
        <v>12</v>
      </c>
      <c r="E5400" s="2" t="s">
        <v>76</v>
      </c>
      <c r="F5400" s="2" t="s">
        <v>1145</v>
      </c>
      <c r="G5400" s="14" t="n">
        <v>12.5</v>
      </c>
      <c r="H5400" s="14" t="n">
        <v>71.08</v>
      </c>
      <c r="I5400" s="14"/>
      <c r="J5400" s="22" t="n">
        <f aca="false">IF(E5400="Priority",'Cost model'!N204,'Cost model'!M204)</f>
        <v>45</v>
      </c>
      <c r="K5400" s="14" t="n">
        <f aca="false">J5400-H5400</f>
        <v>-26.08</v>
      </c>
      <c r="L5400" s="14" t="n">
        <f aca="false">G5400-H5400</f>
        <v>-58.58</v>
      </c>
    </row>
    <row r="5401" customFormat="false" ht="15" hidden="false" customHeight="false" outlineLevel="0" collapsed="false">
      <c r="A5401" s="2" t="s">
        <v>184</v>
      </c>
      <c r="B5401" s="2" t="s">
        <v>184</v>
      </c>
      <c r="C5401" s="2" t="s">
        <v>48</v>
      </c>
      <c r="D5401" s="2" t="s">
        <v>10</v>
      </c>
      <c r="E5401" s="2" t="s">
        <v>76</v>
      </c>
      <c r="F5401" s="2" t="s">
        <v>1145</v>
      </c>
      <c r="G5401" s="14" t="n">
        <v>9.5</v>
      </c>
      <c r="H5401" s="14" t="n">
        <v>5.94</v>
      </c>
      <c r="I5401" s="14" t="n">
        <v>9.5</v>
      </c>
      <c r="J5401" s="22" t="n">
        <f aca="false">IF(E5401="Priority",'Cost model'!N200,'Cost model'!M200)</f>
        <v>7.5</v>
      </c>
      <c r="K5401" s="14" t="n">
        <f aca="false">J5401-H5401</f>
        <v>1.56</v>
      </c>
      <c r="L5401" s="14" t="n">
        <f aca="false">G5401-H5401</f>
        <v>3.56</v>
      </c>
    </row>
    <row r="5402" customFormat="false" ht="15" hidden="false" customHeight="false" outlineLevel="0" collapsed="false">
      <c r="A5402" s="2" t="s">
        <v>240</v>
      </c>
      <c r="B5402" s="2" t="s">
        <v>240</v>
      </c>
      <c r="C5402" s="2" t="s">
        <v>48</v>
      </c>
      <c r="D5402" s="2" t="s">
        <v>15</v>
      </c>
      <c r="E5402" s="2" t="s">
        <v>76</v>
      </c>
      <c r="F5402" s="2" t="s">
        <v>1145</v>
      </c>
      <c r="G5402" s="14" t="n">
        <v>45</v>
      </c>
      <c r="H5402" s="14" t="n">
        <v>76.38</v>
      </c>
      <c r="I5402" s="14" t="n">
        <v>45</v>
      </c>
      <c r="J5402" s="22" t="n">
        <f aca="false">IF(E5402="Priority",'Cost model'!N896,'Cost model'!M896)</f>
        <v>135</v>
      </c>
      <c r="K5402" s="14" t="n">
        <f aca="false">J5402-H5402</f>
        <v>58.62</v>
      </c>
      <c r="L5402" s="14" t="n">
        <f aca="false">G5402-H5402</f>
        <v>-31.38</v>
      </c>
    </row>
    <row r="5403" customFormat="false" ht="15" hidden="false" customHeight="false" outlineLevel="0" collapsed="false">
      <c r="A5403" s="2" t="s">
        <v>146</v>
      </c>
      <c r="B5403" s="2" t="s">
        <v>146</v>
      </c>
      <c r="C5403" s="2" t="s">
        <v>48</v>
      </c>
      <c r="D5403" s="2" t="s">
        <v>10</v>
      </c>
      <c r="E5403" s="2" t="s">
        <v>76</v>
      </c>
      <c r="F5403" s="2" t="s">
        <v>1145</v>
      </c>
      <c r="G5403" s="14" t="n">
        <v>9.5</v>
      </c>
      <c r="H5403" s="14" t="n">
        <v>5.27</v>
      </c>
      <c r="I5403" s="14" t="n">
        <v>9.5</v>
      </c>
      <c r="J5403" s="22" t="n">
        <f aca="false">IF(E5403="Priority",'Cost model'!N758,'Cost model'!M758)</f>
        <v>9.5</v>
      </c>
      <c r="K5403" s="14" t="n">
        <f aca="false">J5403-H5403</f>
        <v>4.23</v>
      </c>
      <c r="L5403" s="14" t="n">
        <f aca="false">G5403-H5403</f>
        <v>4.23</v>
      </c>
    </row>
    <row r="5404" customFormat="false" ht="15" hidden="false" customHeight="false" outlineLevel="0" collapsed="false">
      <c r="A5404" s="2" t="s">
        <v>184</v>
      </c>
      <c r="B5404" s="2" t="s">
        <v>184</v>
      </c>
      <c r="C5404" s="2" t="s">
        <v>48</v>
      </c>
      <c r="D5404" s="2" t="s">
        <v>10</v>
      </c>
      <c r="E5404" s="2" t="s">
        <v>76</v>
      </c>
      <c r="F5404" s="2" t="s">
        <v>1145</v>
      </c>
      <c r="G5404" s="14" t="n">
        <v>9.5</v>
      </c>
      <c r="H5404" s="14" t="n">
        <v>5.94</v>
      </c>
      <c r="I5404" s="14" t="n">
        <v>9.5</v>
      </c>
      <c r="J5404" s="22" t="n">
        <f aca="false">IF(E5404="Priority",'Cost model'!N200,'Cost model'!M200)</f>
        <v>7.5</v>
      </c>
      <c r="K5404" s="14" t="n">
        <f aca="false">J5404-H5404</f>
        <v>1.56</v>
      </c>
      <c r="L5404" s="14" t="n">
        <f aca="false">G5404-H5404</f>
        <v>3.56</v>
      </c>
    </row>
    <row r="5405" customFormat="false" ht="15" hidden="false" customHeight="false" outlineLevel="0" collapsed="false">
      <c r="A5405" s="2" t="s">
        <v>184</v>
      </c>
      <c r="B5405" s="2" t="s">
        <v>184</v>
      </c>
      <c r="C5405" s="2" t="s">
        <v>50</v>
      </c>
      <c r="D5405" s="2" t="s">
        <v>12</v>
      </c>
      <c r="E5405" s="2" t="s">
        <v>76</v>
      </c>
      <c r="F5405" s="2" t="s">
        <v>1145</v>
      </c>
      <c r="G5405" s="14" t="n">
        <v>19.5</v>
      </c>
      <c r="H5405" s="14" t="n">
        <v>46.78</v>
      </c>
      <c r="I5405" s="14" t="n">
        <v>19.5</v>
      </c>
      <c r="J5405" s="22" t="n">
        <f aca="false">IF(E5405="Priority",'Cost model'!N205,'Cost model'!M205)</f>
        <v>50</v>
      </c>
      <c r="K5405" s="14" t="n">
        <f aca="false">J5405-H5405</f>
        <v>3.22</v>
      </c>
      <c r="L5405" s="14" t="n">
        <f aca="false">G5405-H5405</f>
        <v>-27.28</v>
      </c>
    </row>
    <row r="5406" customFormat="false" ht="15" hidden="false" customHeight="false" outlineLevel="0" collapsed="false">
      <c r="A5406" s="2" t="s">
        <v>165</v>
      </c>
      <c r="B5406" s="2" t="s">
        <v>165</v>
      </c>
      <c r="C5406" s="2" t="s">
        <v>48</v>
      </c>
      <c r="D5406" s="2" t="s">
        <v>10</v>
      </c>
      <c r="E5406" s="2" t="s">
        <v>76</v>
      </c>
      <c r="F5406" s="2" t="s">
        <v>1145</v>
      </c>
      <c r="G5406" s="14" t="n">
        <v>9.5</v>
      </c>
      <c r="H5406" s="14" t="n">
        <v>6.14</v>
      </c>
      <c r="I5406" s="14" t="n">
        <v>9.5</v>
      </c>
      <c r="J5406" s="22" t="n">
        <f aca="false">IF(E5406="Priority",'Cost model'!N506,'Cost model'!M506)</f>
        <v>7.5</v>
      </c>
      <c r="K5406" s="14" t="n">
        <f aca="false">J5406-H5406</f>
        <v>1.36</v>
      </c>
      <c r="L5406" s="14" t="n">
        <f aca="false">G5406-H5406</f>
        <v>3.36</v>
      </c>
    </row>
    <row r="5407" customFormat="false" ht="15" hidden="false" customHeight="false" outlineLevel="0" collapsed="false">
      <c r="A5407" s="2" t="s">
        <v>240</v>
      </c>
      <c r="B5407" s="2" t="s">
        <v>240</v>
      </c>
      <c r="C5407" s="2" t="s">
        <v>48</v>
      </c>
      <c r="D5407" s="2" t="s">
        <v>12</v>
      </c>
      <c r="E5407" s="2" t="s">
        <v>85</v>
      </c>
      <c r="F5407" s="2" t="s">
        <v>1145</v>
      </c>
      <c r="G5407" s="14" t="n">
        <v>19.5</v>
      </c>
      <c r="H5407" s="14" t="n">
        <v>16.9</v>
      </c>
      <c r="I5407" s="14" t="n">
        <v>19.5</v>
      </c>
      <c r="J5407" s="22" t="n">
        <f aca="false">IF(E5407="Priority",'Cost model'!N887,'Cost model'!M887)</f>
        <v>27.5</v>
      </c>
      <c r="K5407" s="14" t="n">
        <f aca="false">J5407-H5407</f>
        <v>10.6</v>
      </c>
      <c r="L5407" s="14" t="n">
        <f aca="false">G5407-H5407</f>
        <v>2.6</v>
      </c>
    </row>
    <row r="5408" customFormat="false" ht="15" hidden="false" customHeight="false" outlineLevel="0" collapsed="false">
      <c r="A5408" s="2" t="s">
        <v>126</v>
      </c>
      <c r="B5408" s="2" t="s">
        <v>126</v>
      </c>
      <c r="C5408" s="2" t="s">
        <v>48</v>
      </c>
      <c r="D5408" s="2" t="s">
        <v>12</v>
      </c>
      <c r="E5408" s="2" t="s">
        <v>76</v>
      </c>
      <c r="F5408" s="2" t="s">
        <v>1145</v>
      </c>
      <c r="G5408" s="14" t="n">
        <v>14.5</v>
      </c>
      <c r="H5408" s="14" t="n">
        <v>25.84</v>
      </c>
      <c r="I5408" s="14" t="n">
        <v>9.5</v>
      </c>
      <c r="J5408" s="22" t="n">
        <f aca="false">IF(E5408="Priority",'Cost model'!N383,'Cost model'!M383)</f>
        <v>27.5</v>
      </c>
      <c r="K5408" s="14" t="n">
        <f aca="false">J5408-H5408</f>
        <v>1.66</v>
      </c>
      <c r="L5408" s="14" t="n">
        <f aca="false">G5408-H5408</f>
        <v>-11.34</v>
      </c>
    </row>
    <row r="5409" customFormat="false" ht="15" hidden="false" customHeight="false" outlineLevel="0" collapsed="false">
      <c r="A5409" s="2" t="s">
        <v>126</v>
      </c>
      <c r="B5409" s="2" t="s">
        <v>126</v>
      </c>
      <c r="C5409" s="2" t="s">
        <v>49</v>
      </c>
      <c r="D5409" s="2" t="s">
        <v>12</v>
      </c>
      <c r="E5409" s="2" t="s">
        <v>85</v>
      </c>
      <c r="F5409" s="2" t="s">
        <v>1145</v>
      </c>
      <c r="G5409" s="14" t="n">
        <v>19.5</v>
      </c>
      <c r="H5409" s="14" t="n">
        <v>20.48</v>
      </c>
      <c r="I5409" s="14" t="n">
        <v>19.5</v>
      </c>
      <c r="J5409" s="22" t="n">
        <f aca="false">IF(E5409="Priority",'Cost model'!N384,'Cost model'!M384)</f>
        <v>60</v>
      </c>
      <c r="K5409" s="14" t="n">
        <f aca="false">J5409-H5409</f>
        <v>39.52</v>
      </c>
      <c r="L5409" s="14" t="n">
        <f aca="false">G5409-H5409</f>
        <v>-0.98</v>
      </c>
    </row>
    <row r="5410" customFormat="false" ht="15" hidden="false" customHeight="false" outlineLevel="0" collapsed="false">
      <c r="A5410" s="2" t="s">
        <v>126</v>
      </c>
      <c r="B5410" s="2" t="s">
        <v>126</v>
      </c>
      <c r="C5410" s="2" t="s">
        <v>49</v>
      </c>
      <c r="D5410" s="2" t="s">
        <v>12</v>
      </c>
      <c r="E5410" s="2" t="s">
        <v>76</v>
      </c>
      <c r="F5410" s="2" t="s">
        <v>1145</v>
      </c>
      <c r="G5410" s="14" t="n">
        <v>85</v>
      </c>
      <c r="H5410" s="14" t="n">
        <v>85.88</v>
      </c>
      <c r="I5410" s="14" t="n">
        <v>12.5</v>
      </c>
      <c r="J5410" s="22" t="n">
        <f aca="false">IF(E5410="Priority",'Cost model'!N384,'Cost model'!M384)</f>
        <v>45</v>
      </c>
      <c r="K5410" s="14" t="n">
        <f aca="false">J5410-H5410</f>
        <v>-40.88</v>
      </c>
      <c r="L5410" s="14" t="n">
        <f aca="false">G5410-H5410</f>
        <v>-0.879999999999996</v>
      </c>
    </row>
    <row r="5411" customFormat="false" ht="15" hidden="false" customHeight="false" outlineLevel="0" collapsed="false">
      <c r="A5411" s="2" t="s">
        <v>126</v>
      </c>
      <c r="B5411" s="2" t="s">
        <v>126</v>
      </c>
      <c r="C5411" s="2" t="s">
        <v>49</v>
      </c>
      <c r="D5411" s="2" t="s">
        <v>10</v>
      </c>
      <c r="E5411" s="2" t="s">
        <v>76</v>
      </c>
      <c r="F5411" s="2" t="s">
        <v>1145</v>
      </c>
      <c r="G5411" s="14" t="n">
        <v>12.5</v>
      </c>
      <c r="H5411" s="14" t="n">
        <v>17.31</v>
      </c>
      <c r="I5411" s="14" t="n">
        <v>12.5</v>
      </c>
      <c r="J5411" s="22" t="n">
        <f aca="false">IF(E5411="Priority",'Cost model'!N381,'Cost model'!M381)</f>
        <v>14.5</v>
      </c>
      <c r="K5411" s="14" t="n">
        <f aca="false">J5411-H5411</f>
        <v>-2.81</v>
      </c>
      <c r="L5411" s="14" t="n">
        <f aca="false">G5411-H5411</f>
        <v>-4.81</v>
      </c>
    </row>
    <row r="5412" customFormat="false" ht="15" hidden="false" customHeight="false" outlineLevel="0" collapsed="false">
      <c r="A5412" s="2" t="s">
        <v>184</v>
      </c>
      <c r="B5412" s="2" t="s">
        <v>184</v>
      </c>
      <c r="C5412" s="2" t="s">
        <v>50</v>
      </c>
      <c r="D5412" s="2" t="s">
        <v>12</v>
      </c>
      <c r="E5412" s="2" t="s">
        <v>76</v>
      </c>
      <c r="F5412" s="2" t="s">
        <v>1145</v>
      </c>
      <c r="G5412" s="14" t="n">
        <v>19.5</v>
      </c>
      <c r="H5412" s="14" t="n">
        <v>43.38</v>
      </c>
      <c r="I5412" s="14" t="n">
        <v>19.5</v>
      </c>
      <c r="J5412" s="22" t="n">
        <f aca="false">IF(E5412="Priority",'Cost model'!N205,'Cost model'!M205)</f>
        <v>50</v>
      </c>
      <c r="K5412" s="14" t="n">
        <f aca="false">J5412-H5412</f>
        <v>6.62</v>
      </c>
      <c r="L5412" s="14" t="n">
        <f aca="false">G5412-H5412</f>
        <v>-23.88</v>
      </c>
    </row>
    <row r="5413" customFormat="false" ht="15" hidden="false" customHeight="false" outlineLevel="0" collapsed="false">
      <c r="A5413" s="2" t="s">
        <v>146</v>
      </c>
      <c r="B5413" s="2" t="s">
        <v>184</v>
      </c>
      <c r="C5413" s="2" t="s">
        <v>50</v>
      </c>
      <c r="D5413" s="2" t="s">
        <v>12</v>
      </c>
      <c r="E5413" s="2" t="s">
        <v>76</v>
      </c>
      <c r="F5413" s="2" t="s">
        <v>1146</v>
      </c>
      <c r="G5413" s="14" t="n">
        <v>19.5</v>
      </c>
      <c r="H5413" s="14" t="n">
        <v>53.42</v>
      </c>
      <c r="I5413" s="14" t="n">
        <v>19.5</v>
      </c>
      <c r="J5413" s="22" t="n">
        <f aca="false">IF(E5413="Priority",'Cost model'!N835,'Cost model'!M835)</f>
        <v>50</v>
      </c>
      <c r="K5413" s="14" t="n">
        <f aca="false">J5413-H5413</f>
        <v>-3.42</v>
      </c>
      <c r="L5413" s="14" t="n">
        <f aca="false">G5413-H5413</f>
        <v>-33.92</v>
      </c>
    </row>
    <row r="5414" customFormat="false" ht="15" hidden="false" customHeight="false" outlineLevel="0" collapsed="false">
      <c r="A5414" s="2" t="s">
        <v>126</v>
      </c>
      <c r="B5414" s="2" t="s">
        <v>184</v>
      </c>
      <c r="C5414" s="2" t="s">
        <v>49</v>
      </c>
      <c r="D5414" s="2" t="s">
        <v>10</v>
      </c>
      <c r="E5414" s="2" t="s">
        <v>76</v>
      </c>
      <c r="F5414" s="2" t="s">
        <v>1146</v>
      </c>
      <c r="G5414" s="14" t="n">
        <v>12.5</v>
      </c>
      <c r="H5414" s="14" t="n">
        <v>11.22</v>
      </c>
      <c r="I5414" s="14" t="n">
        <v>14.5</v>
      </c>
      <c r="J5414" s="22" t="n">
        <f aca="false">IF(E5414="Priority",'Cost model'!N435,'Cost model'!M435)</f>
        <v>15.5</v>
      </c>
      <c r="K5414" s="14" t="n">
        <f aca="false">J5414-H5414</f>
        <v>4.28</v>
      </c>
      <c r="L5414" s="14" t="n">
        <f aca="false">G5414-H5414</f>
        <v>1.28</v>
      </c>
    </row>
    <row r="5415" customFormat="false" ht="15" hidden="false" customHeight="false" outlineLevel="0" collapsed="false">
      <c r="A5415" s="2" t="s">
        <v>221</v>
      </c>
      <c r="B5415" s="2" t="s">
        <v>221</v>
      </c>
      <c r="C5415" s="2" t="s">
        <v>49</v>
      </c>
      <c r="D5415" s="2" t="s">
        <v>12</v>
      </c>
      <c r="E5415" s="2" t="s">
        <v>85</v>
      </c>
      <c r="F5415" s="2" t="s">
        <v>1145</v>
      </c>
      <c r="G5415" s="14" t="n">
        <v>19.5</v>
      </c>
      <c r="H5415" s="14" t="n">
        <v>33.81</v>
      </c>
      <c r="I5415" s="14" t="n">
        <v>19.5</v>
      </c>
      <c r="J5415" s="22" t="n">
        <f aca="false">IF(E5415="Priority",'Cost model'!N636,'Cost model'!M636)</f>
        <v>70</v>
      </c>
      <c r="K5415" s="14" t="n">
        <f aca="false">J5415-H5415</f>
        <v>36.19</v>
      </c>
      <c r="L5415" s="14" t="n">
        <f aca="false">G5415-H5415</f>
        <v>-14.31</v>
      </c>
    </row>
    <row r="5416" customFormat="false" ht="15" hidden="false" customHeight="false" outlineLevel="0" collapsed="false">
      <c r="A5416" s="2" t="s">
        <v>240</v>
      </c>
      <c r="B5416" s="2" t="s">
        <v>240</v>
      </c>
      <c r="C5416" s="2" t="s">
        <v>50</v>
      </c>
      <c r="D5416" s="2" t="s">
        <v>10</v>
      </c>
      <c r="E5416" s="2" t="s">
        <v>85</v>
      </c>
      <c r="F5416" s="2" t="s">
        <v>1145</v>
      </c>
      <c r="G5416" s="14" t="n">
        <v>24.5</v>
      </c>
      <c r="H5416" s="14" t="n">
        <v>20.83</v>
      </c>
      <c r="I5416" s="14" t="n">
        <v>24.5</v>
      </c>
      <c r="J5416" s="22" t="n">
        <f aca="false">IF(E5416="Priority",'Cost model'!N886,'Cost model'!M886)</f>
        <v>23.5</v>
      </c>
      <c r="K5416" s="14" t="n">
        <f aca="false">J5416-H5416</f>
        <v>2.67</v>
      </c>
      <c r="L5416" s="14" t="n">
        <f aca="false">G5416-H5416</f>
        <v>3.67</v>
      </c>
    </row>
    <row r="5417" customFormat="false" ht="15" hidden="false" customHeight="false" outlineLevel="0" collapsed="false">
      <c r="A5417" s="2" t="s">
        <v>184</v>
      </c>
      <c r="B5417" s="2" t="s">
        <v>184</v>
      </c>
      <c r="C5417" s="2" t="s">
        <v>48</v>
      </c>
      <c r="D5417" s="2" t="s">
        <v>10</v>
      </c>
      <c r="E5417" s="2" t="s">
        <v>76</v>
      </c>
      <c r="F5417" s="2" t="s">
        <v>1145</v>
      </c>
      <c r="G5417" s="14" t="n">
        <v>9.5</v>
      </c>
      <c r="H5417" s="14" t="n">
        <v>7.45</v>
      </c>
      <c r="I5417" s="14" t="n">
        <v>9.5</v>
      </c>
      <c r="J5417" s="22" t="n">
        <f aca="false">IF(E5417="Priority",'Cost model'!N200,'Cost model'!M200)</f>
        <v>7.5</v>
      </c>
      <c r="K5417" s="14" t="n">
        <f aca="false">J5417-H5417</f>
        <v>0.0499999999999998</v>
      </c>
      <c r="L5417" s="14" t="n">
        <f aca="false">G5417-H5417</f>
        <v>2.05</v>
      </c>
    </row>
    <row r="5418" customFormat="false" ht="15" hidden="false" customHeight="false" outlineLevel="0" collapsed="false">
      <c r="A5418" s="2" t="s">
        <v>126</v>
      </c>
      <c r="B5418" s="2" t="s">
        <v>126</v>
      </c>
      <c r="C5418" s="2" t="s">
        <v>49</v>
      </c>
      <c r="D5418" s="2" t="s">
        <v>10</v>
      </c>
      <c r="E5418" s="2" t="s">
        <v>76</v>
      </c>
      <c r="F5418" s="2" t="s">
        <v>1145</v>
      </c>
      <c r="G5418" s="14" t="n">
        <v>12.5</v>
      </c>
      <c r="H5418" s="14" t="n">
        <v>17.31</v>
      </c>
      <c r="I5418" s="14" t="n">
        <v>12.5</v>
      </c>
      <c r="J5418" s="22" t="n">
        <f aca="false">IF(E5418="Priority",'Cost model'!N381,'Cost model'!M381)</f>
        <v>14.5</v>
      </c>
      <c r="K5418" s="14" t="n">
        <f aca="false">J5418-H5418</f>
        <v>-2.81</v>
      </c>
      <c r="L5418" s="14" t="n">
        <f aca="false">G5418-H5418</f>
        <v>-4.81</v>
      </c>
    </row>
    <row r="5419" customFormat="false" ht="15" hidden="false" customHeight="false" outlineLevel="0" collapsed="false">
      <c r="A5419" s="2" t="s">
        <v>126</v>
      </c>
      <c r="B5419" s="2" t="s">
        <v>126</v>
      </c>
      <c r="C5419" s="2" t="s">
        <v>48</v>
      </c>
      <c r="D5419" s="2" t="s">
        <v>10</v>
      </c>
      <c r="E5419" s="2" t="s">
        <v>76</v>
      </c>
      <c r="F5419" s="2" t="s">
        <v>1145</v>
      </c>
      <c r="G5419" s="14" t="n">
        <v>9.5</v>
      </c>
      <c r="H5419" s="14" t="n">
        <v>7.46</v>
      </c>
      <c r="I5419" s="14" t="n">
        <v>9.5</v>
      </c>
      <c r="J5419" s="22" t="n">
        <f aca="false">IF(E5419="Priority",'Cost model'!N380,'Cost model'!M380)</f>
        <v>8.5</v>
      </c>
      <c r="K5419" s="14" t="n">
        <f aca="false">J5419-H5419</f>
        <v>1.04</v>
      </c>
      <c r="L5419" s="14" t="n">
        <f aca="false">G5419-H5419</f>
        <v>2.04</v>
      </c>
    </row>
    <row r="5420" customFormat="false" ht="15" hidden="false" customHeight="false" outlineLevel="0" collapsed="false">
      <c r="A5420" s="2" t="s">
        <v>165</v>
      </c>
      <c r="B5420" s="2" t="s">
        <v>165</v>
      </c>
      <c r="C5420" s="2" t="s">
        <v>50</v>
      </c>
      <c r="D5420" s="2" t="s">
        <v>10</v>
      </c>
      <c r="E5420" s="2" t="s">
        <v>76</v>
      </c>
      <c r="F5420" s="2" t="s">
        <v>1145</v>
      </c>
      <c r="G5420" s="14" t="n">
        <v>17.5</v>
      </c>
      <c r="H5420" s="14" t="n">
        <v>18.91</v>
      </c>
      <c r="I5420" s="14" t="n">
        <v>17.5</v>
      </c>
      <c r="J5420" s="22" t="n">
        <f aca="false">IF(E5420="Priority",'Cost model'!N508,'Cost model'!M508)</f>
        <v>17.5</v>
      </c>
      <c r="K5420" s="14" t="n">
        <f aca="false">J5420-H5420</f>
        <v>-1.41</v>
      </c>
      <c r="L5420" s="14" t="n">
        <f aca="false">G5420-H5420</f>
        <v>-1.41</v>
      </c>
    </row>
    <row r="5421" customFormat="false" ht="15" hidden="false" customHeight="false" outlineLevel="0" collapsed="false">
      <c r="A5421" s="2" t="s">
        <v>126</v>
      </c>
      <c r="B5421" s="2" t="s">
        <v>184</v>
      </c>
      <c r="C5421" s="2" t="s">
        <v>49</v>
      </c>
      <c r="D5421" s="2" t="s">
        <v>10</v>
      </c>
      <c r="E5421" s="2" t="s">
        <v>76</v>
      </c>
      <c r="F5421" s="2" t="s">
        <v>1146</v>
      </c>
      <c r="G5421" s="14" t="n">
        <v>12.5</v>
      </c>
      <c r="H5421" s="14" t="n">
        <v>10.8</v>
      </c>
      <c r="I5421" s="14" t="n">
        <v>14.5</v>
      </c>
      <c r="J5421" s="22" t="n">
        <f aca="false">IF(E5421="Priority",'Cost model'!N435,'Cost model'!M435)</f>
        <v>15.5</v>
      </c>
      <c r="K5421" s="14" t="n">
        <f aca="false">J5421-H5421</f>
        <v>4.7</v>
      </c>
      <c r="L5421" s="14" t="n">
        <f aca="false">G5421-H5421</f>
        <v>1.7</v>
      </c>
    </row>
    <row r="5422" customFormat="false" ht="15" hidden="false" customHeight="false" outlineLevel="0" collapsed="false">
      <c r="A5422" s="2" t="s">
        <v>240</v>
      </c>
      <c r="B5422" s="2" t="s">
        <v>240</v>
      </c>
      <c r="C5422" s="2" t="s">
        <v>50</v>
      </c>
      <c r="D5422" s="2" t="s">
        <v>16</v>
      </c>
      <c r="E5422" s="2" t="s">
        <v>85</v>
      </c>
      <c r="F5422" s="2" t="s">
        <v>1145</v>
      </c>
      <c r="G5422" s="14" t="n">
        <v>350</v>
      </c>
      <c r="H5422" s="14" t="n">
        <v>858.03</v>
      </c>
      <c r="I5422" s="14" t="n">
        <v>350</v>
      </c>
      <c r="J5422" s="22" t="n">
        <f aca="false">IF(E5422="Priority",'Cost model'!N901,'Cost model'!M901)</f>
        <v>400</v>
      </c>
      <c r="K5422" s="14" t="n">
        <f aca="false">J5422-H5422</f>
        <v>-458.03</v>
      </c>
      <c r="L5422" s="14" t="n">
        <f aca="false">G5422-H5422</f>
        <v>-508.03</v>
      </c>
    </row>
    <row r="5423" customFormat="false" ht="15" hidden="false" customHeight="false" outlineLevel="0" collapsed="false">
      <c r="A5423" s="2" t="s">
        <v>184</v>
      </c>
      <c r="B5423" s="2" t="s">
        <v>184</v>
      </c>
      <c r="C5423" s="2" t="s">
        <v>49</v>
      </c>
      <c r="D5423" s="2" t="s">
        <v>14</v>
      </c>
      <c r="E5423" s="2" t="s">
        <v>76</v>
      </c>
      <c r="F5423" s="2" t="s">
        <v>1145</v>
      </c>
      <c r="G5423" s="14" t="n">
        <v>45</v>
      </c>
      <c r="H5423" s="14" t="n">
        <v>67.33</v>
      </c>
      <c r="I5423" s="14"/>
      <c r="J5423" s="22" t="n">
        <f aca="false">IF(E5423="Priority",'Cost model'!N210,'Cost model'!M210)</f>
        <v>135</v>
      </c>
      <c r="K5423" s="14" t="n">
        <f aca="false">J5423-H5423</f>
        <v>67.67</v>
      </c>
      <c r="L5423" s="14" t="n">
        <f aca="false">G5423-H5423</f>
        <v>-22.33</v>
      </c>
    </row>
    <row r="5424" customFormat="false" ht="15" hidden="false" customHeight="false" outlineLevel="0" collapsed="false">
      <c r="A5424" s="2" t="s">
        <v>184</v>
      </c>
      <c r="B5424" s="2" t="s">
        <v>184</v>
      </c>
      <c r="C5424" s="2" t="s">
        <v>50</v>
      </c>
      <c r="D5424" s="2" t="s">
        <v>10</v>
      </c>
      <c r="E5424" s="2" t="s">
        <v>76</v>
      </c>
      <c r="F5424" s="2" t="s">
        <v>1145</v>
      </c>
      <c r="G5424" s="14" t="n">
        <v>17.5</v>
      </c>
      <c r="H5424" s="14" t="n">
        <v>15.99</v>
      </c>
      <c r="I5424" s="14" t="n">
        <v>17.5</v>
      </c>
      <c r="J5424" s="22" t="n">
        <f aca="false">IF(E5424="Priority",'Cost model'!N202,'Cost model'!M202)</f>
        <v>17.5</v>
      </c>
      <c r="K5424" s="14" t="n">
        <f aca="false">J5424-H5424</f>
        <v>1.51</v>
      </c>
      <c r="L5424" s="14" t="n">
        <f aca="false">G5424-H5424</f>
        <v>1.51</v>
      </c>
    </row>
    <row r="5425" customFormat="false" ht="15" hidden="false" customHeight="false" outlineLevel="0" collapsed="false">
      <c r="A5425" s="2" t="s">
        <v>125</v>
      </c>
      <c r="B5425" s="2" t="s">
        <v>184</v>
      </c>
      <c r="C5425" s="2" t="s">
        <v>48</v>
      </c>
      <c r="D5425" s="2" t="s">
        <v>10</v>
      </c>
      <c r="E5425" s="2" t="s">
        <v>76</v>
      </c>
      <c r="F5425" s="2" t="s">
        <v>1146</v>
      </c>
      <c r="G5425" s="14" t="n">
        <v>14.5</v>
      </c>
      <c r="H5425" s="14" t="n">
        <v>10.51</v>
      </c>
      <c r="I5425" s="14" t="n">
        <v>14.5</v>
      </c>
      <c r="J5425" s="22" t="n">
        <f aca="false">IF(E5425="Priority",'Cost model'!N56,'Cost model'!M56)</f>
        <v>11.5</v>
      </c>
      <c r="K5425" s="14" t="n">
        <f aca="false">J5425-H5425</f>
        <v>0.99</v>
      </c>
      <c r="L5425" s="14" t="n">
        <f aca="false">G5425-H5425</f>
        <v>3.99</v>
      </c>
    </row>
    <row r="5426" customFormat="false" ht="15" hidden="false" customHeight="false" outlineLevel="0" collapsed="false">
      <c r="A5426" s="2" t="s">
        <v>184</v>
      </c>
      <c r="B5426" s="2" t="s">
        <v>146</v>
      </c>
      <c r="C5426" s="2" t="s">
        <v>50</v>
      </c>
      <c r="D5426" s="2" t="s">
        <v>12</v>
      </c>
      <c r="E5426" s="2" t="s">
        <v>76</v>
      </c>
      <c r="F5426" s="2" t="s">
        <v>1146</v>
      </c>
      <c r="G5426" s="14" t="n">
        <v>19.5</v>
      </c>
      <c r="H5426" s="14" t="n">
        <v>52.02</v>
      </c>
      <c r="I5426" s="14" t="n">
        <v>19.5</v>
      </c>
      <c r="J5426" s="22" t="n">
        <f aca="false">IF(E5426="Priority",'Cost model'!N151,'Cost model'!M151)</f>
        <v>55</v>
      </c>
      <c r="K5426" s="14" t="n">
        <f aca="false">J5426-H5426</f>
        <v>2.98</v>
      </c>
      <c r="L5426" s="14" t="n">
        <f aca="false">G5426-H5426</f>
        <v>-32.52</v>
      </c>
    </row>
    <row r="5427" customFormat="false" ht="15" hidden="false" customHeight="false" outlineLevel="0" collapsed="false">
      <c r="A5427" s="2" t="s">
        <v>240</v>
      </c>
      <c r="B5427" s="2" t="s">
        <v>240</v>
      </c>
      <c r="C5427" s="2" t="s">
        <v>48</v>
      </c>
      <c r="D5427" s="2" t="s">
        <v>12</v>
      </c>
      <c r="E5427" s="2" t="s">
        <v>76</v>
      </c>
      <c r="F5427" s="2" t="s">
        <v>1145</v>
      </c>
      <c r="G5427" s="14" t="n">
        <v>9.5</v>
      </c>
      <c r="H5427" s="14" t="n">
        <v>8.44</v>
      </c>
      <c r="I5427" s="14" t="n">
        <v>9.5</v>
      </c>
      <c r="J5427" s="22" t="n">
        <f aca="false">IF(E5427="Priority",'Cost model'!N887,'Cost model'!M887)</f>
        <v>21.5</v>
      </c>
      <c r="K5427" s="14" t="n">
        <f aca="false">J5427-H5427</f>
        <v>13.06</v>
      </c>
      <c r="L5427" s="14" t="n">
        <f aca="false">G5427-H5427</f>
        <v>1.06</v>
      </c>
    </row>
    <row r="5428" customFormat="false" ht="15" hidden="false" customHeight="false" outlineLevel="0" collapsed="false">
      <c r="A5428" s="2" t="s">
        <v>184</v>
      </c>
      <c r="B5428" s="2" t="s">
        <v>146</v>
      </c>
      <c r="C5428" s="2" t="s">
        <v>49</v>
      </c>
      <c r="D5428" s="2" t="s">
        <v>10</v>
      </c>
      <c r="E5428" s="2" t="s">
        <v>76</v>
      </c>
      <c r="F5428" s="2" t="s">
        <v>1146</v>
      </c>
      <c r="G5428" s="14" t="n">
        <v>12.5</v>
      </c>
      <c r="H5428" s="14" t="n">
        <v>11.43</v>
      </c>
      <c r="I5428" s="14"/>
      <c r="J5428" s="22" t="n">
        <f aca="false">IF(E5428="Priority",'Cost model'!N147,'Cost model'!M147)</f>
        <v>14.5</v>
      </c>
      <c r="K5428" s="14" t="n">
        <f aca="false">J5428-H5428</f>
        <v>3.07</v>
      </c>
      <c r="L5428" s="14" t="n">
        <f aca="false">G5428-H5428</f>
        <v>1.07</v>
      </c>
    </row>
    <row r="5429" customFormat="false" ht="15" hidden="false" customHeight="false" outlineLevel="0" collapsed="false">
      <c r="A5429" s="2" t="s">
        <v>126</v>
      </c>
      <c r="B5429" s="2" t="s">
        <v>126</v>
      </c>
      <c r="C5429" s="2" t="s">
        <v>49</v>
      </c>
      <c r="D5429" s="2" t="s">
        <v>10</v>
      </c>
      <c r="E5429" s="2" t="s">
        <v>76</v>
      </c>
      <c r="F5429" s="2" t="s">
        <v>1145</v>
      </c>
      <c r="G5429" s="14" t="n">
        <v>12.5</v>
      </c>
      <c r="H5429" s="14" t="n">
        <v>9.68</v>
      </c>
      <c r="I5429" s="14" t="n">
        <v>12.5</v>
      </c>
      <c r="J5429" s="22" t="n">
        <f aca="false">IF(E5429="Priority",'Cost model'!N381,'Cost model'!M381)</f>
        <v>14.5</v>
      </c>
      <c r="K5429" s="14" t="n">
        <f aca="false">J5429-H5429</f>
        <v>4.82</v>
      </c>
      <c r="L5429" s="14" t="n">
        <f aca="false">G5429-H5429</f>
        <v>2.82</v>
      </c>
    </row>
    <row r="5430" customFormat="false" ht="15" hidden="false" customHeight="false" outlineLevel="0" collapsed="false">
      <c r="A5430" s="2" t="s">
        <v>184</v>
      </c>
      <c r="B5430" s="2" t="s">
        <v>184</v>
      </c>
      <c r="C5430" s="2" t="s">
        <v>49</v>
      </c>
      <c r="D5430" s="2" t="s">
        <v>16</v>
      </c>
      <c r="E5430" s="2" t="s">
        <v>76</v>
      </c>
      <c r="F5430" s="2" t="s">
        <v>1145</v>
      </c>
      <c r="G5430" s="14" t="n">
        <v>85</v>
      </c>
      <c r="H5430" s="14" t="n">
        <v>123.33</v>
      </c>
      <c r="I5430" s="14"/>
      <c r="J5430" s="22" t="n">
        <f aca="false">IF(E5430="Priority",'Cost model'!N216,'Cost model'!M216)</f>
        <v>215</v>
      </c>
      <c r="K5430" s="14" t="n">
        <f aca="false">J5430-H5430</f>
        <v>91.67</v>
      </c>
      <c r="L5430" s="14" t="n">
        <f aca="false">G5430-H5430</f>
        <v>-38.33</v>
      </c>
    </row>
    <row r="5431" customFormat="false" ht="15" hidden="false" customHeight="false" outlineLevel="0" collapsed="false">
      <c r="A5431" s="2" t="s">
        <v>184</v>
      </c>
      <c r="B5431" s="2" t="s">
        <v>184</v>
      </c>
      <c r="C5431" s="2" t="s">
        <v>49</v>
      </c>
      <c r="D5431" s="2" t="s">
        <v>10</v>
      </c>
      <c r="E5431" s="2" t="s">
        <v>76</v>
      </c>
      <c r="F5431" s="2" t="s">
        <v>1145</v>
      </c>
      <c r="G5431" s="14" t="n">
        <v>12.5</v>
      </c>
      <c r="H5431" s="14" t="n">
        <v>12.54</v>
      </c>
      <c r="I5431" s="14"/>
      <c r="J5431" s="22" t="n">
        <f aca="false">IF(E5431="Priority",'Cost model'!N201,'Cost model'!M201)</f>
        <v>12.5</v>
      </c>
      <c r="K5431" s="14" t="n">
        <f aca="false">J5431-H5431</f>
        <v>-0.0399999999999992</v>
      </c>
      <c r="L5431" s="14" t="n">
        <f aca="false">G5431-H5431</f>
        <v>-0.0399999999999992</v>
      </c>
    </row>
    <row r="5432" customFormat="false" ht="15" hidden="false" customHeight="false" outlineLevel="0" collapsed="false">
      <c r="A5432" s="2" t="s">
        <v>184</v>
      </c>
      <c r="B5432" s="2" t="s">
        <v>146</v>
      </c>
      <c r="C5432" s="2" t="s">
        <v>50</v>
      </c>
      <c r="D5432" s="2" t="s">
        <v>12</v>
      </c>
      <c r="E5432" s="2" t="s">
        <v>76</v>
      </c>
      <c r="F5432" s="2" t="s">
        <v>1146</v>
      </c>
      <c r="G5432" s="14" t="n">
        <v>19.5</v>
      </c>
      <c r="H5432" s="14" t="n">
        <v>54.76</v>
      </c>
      <c r="I5432" s="14" t="n">
        <v>19.5</v>
      </c>
      <c r="J5432" s="22" t="n">
        <f aca="false">IF(E5432="Priority",'Cost model'!N151,'Cost model'!M151)</f>
        <v>55</v>
      </c>
      <c r="K5432" s="14" t="n">
        <f aca="false">J5432-H5432</f>
        <v>0.240000000000002</v>
      </c>
      <c r="L5432" s="14" t="n">
        <f aca="false">G5432-H5432</f>
        <v>-35.26</v>
      </c>
    </row>
    <row r="5433" customFormat="false" ht="15" hidden="false" customHeight="false" outlineLevel="0" collapsed="false">
      <c r="A5433" s="2" t="s">
        <v>146</v>
      </c>
      <c r="B5433" s="2" t="s">
        <v>146</v>
      </c>
      <c r="C5433" s="2" t="s">
        <v>49</v>
      </c>
      <c r="D5433" s="2" t="s">
        <v>12</v>
      </c>
      <c r="E5433" s="2" t="s">
        <v>76</v>
      </c>
      <c r="F5433" s="2" t="s">
        <v>1145</v>
      </c>
      <c r="G5433" s="14" t="n">
        <v>12.5</v>
      </c>
      <c r="H5433" s="14" t="n">
        <v>43.01</v>
      </c>
      <c r="I5433" s="14" t="n">
        <v>12.5</v>
      </c>
      <c r="J5433" s="22" t="n">
        <f aca="false">IF(E5433="Priority",'Cost model'!N762,'Cost model'!M762)</f>
        <v>45</v>
      </c>
      <c r="K5433" s="14" t="n">
        <f aca="false">J5433-H5433</f>
        <v>1.99</v>
      </c>
      <c r="L5433" s="14" t="n">
        <f aca="false">G5433-H5433</f>
        <v>-30.51</v>
      </c>
    </row>
    <row r="5434" customFormat="false" ht="15" hidden="false" customHeight="false" outlineLevel="0" collapsed="false">
      <c r="A5434" s="2" t="s">
        <v>184</v>
      </c>
      <c r="B5434" s="2" t="s">
        <v>126</v>
      </c>
      <c r="C5434" s="2" t="s">
        <v>50</v>
      </c>
      <c r="D5434" s="2" t="s">
        <v>12</v>
      </c>
      <c r="E5434" s="2" t="s">
        <v>76</v>
      </c>
      <c r="F5434" s="2" t="s">
        <v>1146</v>
      </c>
      <c r="G5434" s="14" t="n">
        <v>19.5</v>
      </c>
      <c r="H5434" s="14" t="n">
        <v>63.33</v>
      </c>
      <c r="I5434" s="14" t="n">
        <v>19.5</v>
      </c>
      <c r="J5434" s="22" t="n">
        <f aca="false">IF(E5434="Priority",'Cost model'!N133,'Cost model'!M133)</f>
        <v>55</v>
      </c>
      <c r="K5434" s="14" t="n">
        <f aca="false">J5434-H5434</f>
        <v>-8.33</v>
      </c>
      <c r="L5434" s="14" t="n">
        <f aca="false">G5434-H5434</f>
        <v>-43.83</v>
      </c>
    </row>
    <row r="5435" customFormat="false" ht="15" hidden="false" customHeight="false" outlineLevel="0" collapsed="false">
      <c r="A5435" s="2" t="s">
        <v>184</v>
      </c>
      <c r="B5435" s="2" t="s">
        <v>146</v>
      </c>
      <c r="C5435" s="2" t="s">
        <v>48</v>
      </c>
      <c r="D5435" s="2" t="s">
        <v>10</v>
      </c>
      <c r="E5435" s="2" t="s">
        <v>76</v>
      </c>
      <c r="F5435" s="2" t="s">
        <v>1146</v>
      </c>
      <c r="G5435" s="14" t="n">
        <v>25</v>
      </c>
      <c r="H5435" s="14" t="n">
        <v>97.28</v>
      </c>
      <c r="I5435" s="14" t="n">
        <v>9.5</v>
      </c>
      <c r="J5435" s="22" t="n">
        <f aca="false">IF(E5435="Priority",'Cost model'!N146,'Cost model'!M146)</f>
        <v>12.5</v>
      </c>
      <c r="K5435" s="14" t="n">
        <f aca="false">J5435-H5435</f>
        <v>-84.78</v>
      </c>
      <c r="L5435" s="14" t="n">
        <f aca="false">G5435-H5435</f>
        <v>-72.28</v>
      </c>
    </row>
    <row r="5436" customFormat="false" ht="15" hidden="false" customHeight="false" outlineLevel="0" collapsed="false">
      <c r="A5436" s="2" t="s">
        <v>184</v>
      </c>
      <c r="B5436" s="2" t="s">
        <v>184</v>
      </c>
      <c r="C5436" s="2" t="s">
        <v>48</v>
      </c>
      <c r="D5436" s="2" t="s">
        <v>10</v>
      </c>
      <c r="E5436" s="2" t="s">
        <v>76</v>
      </c>
      <c r="F5436" s="2" t="s">
        <v>1145</v>
      </c>
      <c r="G5436" s="14" t="n">
        <v>9.5</v>
      </c>
      <c r="H5436" s="14" t="n">
        <v>5.94</v>
      </c>
      <c r="I5436" s="14" t="n">
        <v>9.5</v>
      </c>
      <c r="J5436" s="22" t="n">
        <f aca="false">IF(E5436="Priority",'Cost model'!N200,'Cost model'!M200)</f>
        <v>7.5</v>
      </c>
      <c r="K5436" s="14" t="n">
        <f aca="false">J5436-H5436</f>
        <v>1.56</v>
      </c>
      <c r="L5436" s="14" t="n">
        <f aca="false">G5436-H5436</f>
        <v>3.56</v>
      </c>
    </row>
    <row r="5437" customFormat="false" ht="15" hidden="false" customHeight="false" outlineLevel="0" collapsed="false">
      <c r="A5437" s="2" t="s">
        <v>184</v>
      </c>
      <c r="B5437" s="2" t="s">
        <v>126</v>
      </c>
      <c r="C5437" s="2" t="s">
        <v>48</v>
      </c>
      <c r="D5437" s="2" t="s">
        <v>12</v>
      </c>
      <c r="E5437" s="2" t="s">
        <v>76</v>
      </c>
      <c r="F5437" s="2" t="s">
        <v>1146</v>
      </c>
      <c r="G5437" s="14" t="n">
        <v>9.5</v>
      </c>
      <c r="H5437" s="14" t="n">
        <v>32.53</v>
      </c>
      <c r="I5437" s="14" t="n">
        <v>9.5</v>
      </c>
      <c r="J5437" s="22" t="n">
        <f aca="false">IF(E5437="Priority",'Cost model'!N131,'Cost model'!M131)</f>
        <v>40</v>
      </c>
      <c r="K5437" s="14" t="n">
        <f aca="false">J5437-H5437</f>
        <v>7.47</v>
      </c>
      <c r="L5437" s="14" t="n">
        <f aca="false">G5437-H5437</f>
        <v>-23.03</v>
      </c>
    </row>
    <row r="5438" customFormat="false" ht="15" hidden="false" customHeight="false" outlineLevel="0" collapsed="false">
      <c r="A5438" s="2" t="s">
        <v>184</v>
      </c>
      <c r="B5438" s="2" t="s">
        <v>184</v>
      </c>
      <c r="C5438" s="2" t="s">
        <v>48</v>
      </c>
      <c r="D5438" s="2" t="s">
        <v>12</v>
      </c>
      <c r="E5438" s="2" t="s">
        <v>76</v>
      </c>
      <c r="F5438" s="2" t="s">
        <v>1145</v>
      </c>
      <c r="G5438" s="14" t="n">
        <v>9.5</v>
      </c>
      <c r="H5438" s="14" t="n">
        <v>7.69</v>
      </c>
      <c r="I5438" s="14" t="n">
        <v>9.5</v>
      </c>
      <c r="J5438" s="22" t="n">
        <f aca="false">IF(E5438="Priority",'Cost model'!N203,'Cost model'!M203)</f>
        <v>26.5</v>
      </c>
      <c r="K5438" s="14" t="n">
        <f aca="false">J5438-H5438</f>
        <v>18.81</v>
      </c>
      <c r="L5438" s="14" t="n">
        <f aca="false">G5438-H5438</f>
        <v>1.81</v>
      </c>
    </row>
    <row r="5439" customFormat="false" ht="15" hidden="false" customHeight="false" outlineLevel="0" collapsed="false">
      <c r="A5439" s="2" t="s">
        <v>240</v>
      </c>
      <c r="B5439" s="2" t="s">
        <v>165</v>
      </c>
      <c r="C5439" s="2" t="s">
        <v>50</v>
      </c>
      <c r="D5439" s="2" t="s">
        <v>10</v>
      </c>
      <c r="E5439" s="2" t="s">
        <v>76</v>
      </c>
      <c r="F5439" s="2" t="s">
        <v>1146</v>
      </c>
      <c r="G5439" s="14" t="n">
        <v>17.5</v>
      </c>
      <c r="H5439" s="14" t="n">
        <v>79.66</v>
      </c>
      <c r="I5439" s="14" t="n">
        <v>17.5</v>
      </c>
      <c r="J5439" s="22" t="n">
        <f aca="false">IF(E5439="Priority",'Cost model'!N904,'Cost model'!M904)</f>
        <v>24.5</v>
      </c>
      <c r="K5439" s="14" t="n">
        <f aca="false">J5439-H5439</f>
        <v>-55.16</v>
      </c>
      <c r="L5439" s="14" t="n">
        <f aca="false">G5439-H5439</f>
        <v>-62.16</v>
      </c>
    </row>
    <row r="5440" customFormat="false" ht="15" hidden="false" customHeight="false" outlineLevel="0" collapsed="false">
      <c r="A5440" s="2" t="s">
        <v>126</v>
      </c>
      <c r="B5440" s="2" t="s">
        <v>165</v>
      </c>
      <c r="C5440" s="2" t="s">
        <v>50</v>
      </c>
      <c r="D5440" s="2" t="s">
        <v>10</v>
      </c>
      <c r="E5440" s="2" t="s">
        <v>76</v>
      </c>
      <c r="F5440" s="2" t="s">
        <v>1146</v>
      </c>
      <c r="G5440" s="14" t="n">
        <v>17.5</v>
      </c>
      <c r="H5440" s="14" t="n">
        <v>19.05</v>
      </c>
      <c r="I5440" s="14" t="n">
        <v>17.5</v>
      </c>
      <c r="J5440" s="22" t="n">
        <f aca="false">IF(E5440="Priority",'Cost model'!N418,'Cost model'!M418)</f>
        <v>21.5</v>
      </c>
      <c r="K5440" s="14" t="n">
        <f aca="false">J5440-H5440</f>
        <v>2.45</v>
      </c>
      <c r="L5440" s="14" t="n">
        <f aca="false">G5440-H5440</f>
        <v>-1.55</v>
      </c>
    </row>
    <row r="5441" customFormat="false" ht="15" hidden="false" customHeight="false" outlineLevel="0" collapsed="false">
      <c r="A5441" s="2" t="s">
        <v>184</v>
      </c>
      <c r="B5441" s="2" t="s">
        <v>184</v>
      </c>
      <c r="C5441" s="2" t="s">
        <v>48</v>
      </c>
      <c r="D5441" s="2" t="s">
        <v>16</v>
      </c>
      <c r="E5441" s="2" t="s">
        <v>76</v>
      </c>
      <c r="F5441" s="2" t="s">
        <v>1145</v>
      </c>
      <c r="G5441" s="14" t="n">
        <v>25</v>
      </c>
      <c r="H5441" s="14" t="n">
        <v>119.76</v>
      </c>
      <c r="I5441" s="14" t="n">
        <v>25</v>
      </c>
      <c r="J5441" s="22" t="n">
        <f aca="false">IF(E5441="Priority",'Cost model'!N215,'Cost model'!M215)</f>
        <v>135</v>
      </c>
      <c r="K5441" s="14" t="n">
        <f aca="false">J5441-H5441</f>
        <v>15.24</v>
      </c>
      <c r="L5441" s="14" t="n">
        <f aca="false">G5441-H5441</f>
        <v>-94.76</v>
      </c>
    </row>
    <row r="5442" customFormat="false" ht="15" hidden="false" customHeight="false" outlineLevel="0" collapsed="false">
      <c r="A5442" s="2" t="s">
        <v>126</v>
      </c>
      <c r="B5442" s="2" t="s">
        <v>126</v>
      </c>
      <c r="C5442" s="2" t="s">
        <v>49</v>
      </c>
      <c r="D5442" s="2" t="s">
        <v>10</v>
      </c>
      <c r="E5442" s="2" t="s">
        <v>76</v>
      </c>
      <c r="F5442" s="2" t="s">
        <v>1145</v>
      </c>
      <c r="G5442" s="14" t="n">
        <v>12.5</v>
      </c>
      <c r="H5442" s="14" t="n">
        <v>11.34</v>
      </c>
      <c r="I5442" s="14" t="n">
        <v>12.5</v>
      </c>
      <c r="J5442" s="22" t="n">
        <f aca="false">IF(E5442="Priority",'Cost model'!N381,'Cost model'!M381)</f>
        <v>14.5</v>
      </c>
      <c r="K5442" s="14" t="n">
        <f aca="false">J5442-H5442</f>
        <v>3.16</v>
      </c>
      <c r="L5442" s="14" t="n">
        <f aca="false">G5442-H5442</f>
        <v>1.16</v>
      </c>
    </row>
    <row r="5443" customFormat="false" ht="15" hidden="false" customHeight="false" outlineLevel="0" collapsed="false">
      <c r="A5443" s="2" t="s">
        <v>240</v>
      </c>
      <c r="B5443" s="2" t="s">
        <v>165</v>
      </c>
      <c r="C5443" s="2" t="s">
        <v>48</v>
      </c>
      <c r="D5443" s="2" t="s">
        <v>10</v>
      </c>
      <c r="E5443" s="2" t="s">
        <v>76</v>
      </c>
      <c r="F5443" s="2" t="s">
        <v>1146</v>
      </c>
      <c r="G5443" s="14" t="n">
        <v>14.5</v>
      </c>
      <c r="H5443" s="14" t="n">
        <v>11.41</v>
      </c>
      <c r="I5443" s="14" t="n">
        <v>14.5</v>
      </c>
      <c r="J5443" s="22" t="n">
        <f aca="false">IF(E5443="Priority",'Cost model'!N902,'Cost model'!M902)</f>
        <v>13.5</v>
      </c>
      <c r="K5443" s="14" t="n">
        <f aca="false">J5443-H5443</f>
        <v>2.09</v>
      </c>
      <c r="L5443" s="14" t="n">
        <f aca="false">G5443-H5443</f>
        <v>3.09</v>
      </c>
    </row>
    <row r="5444" customFormat="false" ht="15" hidden="false" customHeight="false" outlineLevel="0" collapsed="false">
      <c r="A5444" s="2" t="s">
        <v>240</v>
      </c>
      <c r="B5444" s="2" t="s">
        <v>240</v>
      </c>
      <c r="C5444" s="2" t="s">
        <v>48</v>
      </c>
      <c r="D5444" s="2" t="s">
        <v>10</v>
      </c>
      <c r="E5444" s="2" t="s">
        <v>76</v>
      </c>
      <c r="F5444" s="2" t="s">
        <v>1145</v>
      </c>
      <c r="G5444" s="14" t="n">
        <v>9.5</v>
      </c>
      <c r="H5444" s="14" t="n">
        <v>7.43</v>
      </c>
      <c r="I5444" s="14" t="n">
        <v>9.5</v>
      </c>
      <c r="J5444" s="22" t="n">
        <f aca="false">IF(E5444="Priority",'Cost model'!N884,'Cost model'!M884)</f>
        <v>7.5</v>
      </c>
      <c r="K5444" s="14" t="n">
        <f aca="false">J5444-H5444</f>
        <v>0.0700000000000003</v>
      </c>
      <c r="L5444" s="14" t="n">
        <f aca="false">G5444-H5444</f>
        <v>2.07</v>
      </c>
    </row>
    <row r="5445" customFormat="false" ht="15" hidden="false" customHeight="false" outlineLevel="0" collapsed="false">
      <c r="A5445" s="2" t="s">
        <v>165</v>
      </c>
      <c r="B5445" s="2" t="s">
        <v>165</v>
      </c>
      <c r="C5445" s="2" t="s">
        <v>50</v>
      </c>
      <c r="D5445" s="2" t="s">
        <v>10</v>
      </c>
      <c r="E5445" s="2" t="s">
        <v>76</v>
      </c>
      <c r="F5445" s="2" t="s">
        <v>1145</v>
      </c>
      <c r="G5445" s="14" t="n">
        <v>17.5</v>
      </c>
      <c r="H5445" s="14" t="n">
        <v>26.83</v>
      </c>
      <c r="I5445" s="14" t="n">
        <v>17.5</v>
      </c>
      <c r="J5445" s="22" t="n">
        <f aca="false">IF(E5445="Priority",'Cost model'!N508,'Cost model'!M508)</f>
        <v>17.5</v>
      </c>
      <c r="K5445" s="14" t="n">
        <f aca="false">J5445-H5445</f>
        <v>-9.33</v>
      </c>
      <c r="L5445" s="14" t="n">
        <f aca="false">G5445-H5445</f>
        <v>-9.33</v>
      </c>
    </row>
    <row r="5446" customFormat="false" ht="15" hidden="false" customHeight="false" outlineLevel="0" collapsed="false">
      <c r="A5446" s="2" t="s">
        <v>184</v>
      </c>
      <c r="B5446" s="2" t="s">
        <v>184</v>
      </c>
      <c r="C5446" s="2" t="s">
        <v>48</v>
      </c>
      <c r="D5446" s="2" t="s">
        <v>12</v>
      </c>
      <c r="E5446" s="2" t="s">
        <v>76</v>
      </c>
      <c r="F5446" s="2" t="s">
        <v>1145</v>
      </c>
      <c r="G5446" s="14" t="n">
        <v>9.5</v>
      </c>
      <c r="H5446" s="14" t="n">
        <v>28.85</v>
      </c>
      <c r="I5446" s="14" t="n">
        <v>9.5</v>
      </c>
      <c r="J5446" s="22" t="n">
        <f aca="false">IF(E5446="Priority",'Cost model'!N203,'Cost model'!M203)</f>
        <v>26.5</v>
      </c>
      <c r="K5446" s="14" t="n">
        <f aca="false">J5446-H5446</f>
        <v>-2.35</v>
      </c>
      <c r="L5446" s="14" t="n">
        <f aca="false">G5446-H5446</f>
        <v>-19.35</v>
      </c>
    </row>
    <row r="5447" customFormat="false" ht="15" hidden="false" customHeight="false" outlineLevel="0" collapsed="false">
      <c r="A5447" s="2" t="s">
        <v>221</v>
      </c>
      <c r="B5447" s="2" t="s">
        <v>221</v>
      </c>
      <c r="C5447" s="2" t="s">
        <v>49</v>
      </c>
      <c r="D5447" s="2" t="s">
        <v>12</v>
      </c>
      <c r="E5447" s="2" t="s">
        <v>76</v>
      </c>
      <c r="F5447" s="2" t="s">
        <v>1145</v>
      </c>
      <c r="G5447" s="14" t="n">
        <v>29.5</v>
      </c>
      <c r="H5447" s="14" t="n">
        <v>29.25</v>
      </c>
      <c r="I5447" s="14" t="n">
        <v>12.5</v>
      </c>
      <c r="J5447" s="22" t="n">
        <f aca="false">IF(E5447="Priority",'Cost model'!N636,'Cost model'!M636)</f>
        <v>55</v>
      </c>
      <c r="K5447" s="14" t="n">
        <f aca="false">J5447-H5447</f>
        <v>25.75</v>
      </c>
      <c r="L5447" s="14" t="n">
        <f aca="false">G5447-H5447</f>
        <v>0.25</v>
      </c>
    </row>
    <row r="5448" customFormat="false" ht="15" hidden="false" customHeight="false" outlineLevel="0" collapsed="false">
      <c r="A5448" s="2" t="s">
        <v>126</v>
      </c>
      <c r="B5448" s="2" t="s">
        <v>126</v>
      </c>
      <c r="C5448" s="2" t="s">
        <v>49</v>
      </c>
      <c r="D5448" s="2" t="s">
        <v>10</v>
      </c>
      <c r="E5448" s="2" t="s">
        <v>85</v>
      </c>
      <c r="F5448" s="2" t="s">
        <v>1145</v>
      </c>
      <c r="G5448" s="14" t="n">
        <v>17.5</v>
      </c>
      <c r="H5448" s="14" t="n">
        <v>20.37</v>
      </c>
      <c r="I5448" s="14" t="n">
        <v>17.5</v>
      </c>
      <c r="J5448" s="22" t="n">
        <f aca="false">IF(E5448="Priority",'Cost model'!N381,'Cost model'!M381)</f>
        <v>19.5</v>
      </c>
      <c r="K5448" s="14" t="n">
        <f aca="false">J5448-H5448</f>
        <v>-0.870000000000001</v>
      </c>
      <c r="L5448" s="14" t="n">
        <f aca="false">G5448-H5448</f>
        <v>-2.87</v>
      </c>
    </row>
    <row r="5449" customFormat="false" ht="15" hidden="false" customHeight="false" outlineLevel="0" collapsed="false">
      <c r="A5449" s="2" t="s">
        <v>184</v>
      </c>
      <c r="B5449" s="2" t="s">
        <v>184</v>
      </c>
      <c r="C5449" s="2" t="s">
        <v>48</v>
      </c>
      <c r="D5449" s="2" t="s">
        <v>10</v>
      </c>
      <c r="E5449" s="2" t="s">
        <v>76</v>
      </c>
      <c r="F5449" s="2" t="s">
        <v>1145</v>
      </c>
      <c r="G5449" s="14" t="n">
        <v>9.5</v>
      </c>
      <c r="H5449" s="14" t="n">
        <v>7.46</v>
      </c>
      <c r="I5449" s="14" t="n">
        <v>9.5</v>
      </c>
      <c r="J5449" s="22" t="n">
        <f aca="false">IF(E5449="Priority",'Cost model'!N200,'Cost model'!M200)</f>
        <v>7.5</v>
      </c>
      <c r="K5449" s="14" t="n">
        <f aca="false">J5449-H5449</f>
        <v>0.04</v>
      </c>
      <c r="L5449" s="14" t="n">
        <f aca="false">G5449-H5449</f>
        <v>2.04</v>
      </c>
    </row>
    <row r="5450" customFormat="false" ht="15" hidden="false" customHeight="false" outlineLevel="0" collapsed="false">
      <c r="A5450" s="2" t="s">
        <v>146</v>
      </c>
      <c r="B5450" s="2" t="s">
        <v>146</v>
      </c>
      <c r="C5450" s="2" t="s">
        <v>50</v>
      </c>
      <c r="D5450" s="2" t="s">
        <v>14</v>
      </c>
      <c r="E5450" s="2" t="s">
        <v>76</v>
      </c>
      <c r="F5450" s="2" t="s">
        <v>1145</v>
      </c>
      <c r="G5450" s="14" t="n">
        <v>85</v>
      </c>
      <c r="H5450" s="14" t="n">
        <v>176.67</v>
      </c>
      <c r="I5450" s="14" t="n">
        <v>85</v>
      </c>
      <c r="J5450" s="22" t="n">
        <f aca="false">IF(E5450="Priority",'Cost model'!N769,'Cost model'!M769)</f>
        <v>160</v>
      </c>
      <c r="K5450" s="14" t="n">
        <f aca="false">J5450-H5450</f>
        <v>-16.67</v>
      </c>
      <c r="L5450" s="14" t="n">
        <f aca="false">G5450-H5450</f>
        <v>-91.67</v>
      </c>
    </row>
    <row r="5451" customFormat="false" ht="15" hidden="false" customHeight="false" outlineLevel="0" collapsed="false">
      <c r="A5451" s="2" t="s">
        <v>184</v>
      </c>
      <c r="B5451" s="2" t="s">
        <v>184</v>
      </c>
      <c r="C5451" s="2" t="s">
        <v>48</v>
      </c>
      <c r="D5451" s="2" t="s">
        <v>13</v>
      </c>
      <c r="E5451" s="2" t="s">
        <v>76</v>
      </c>
      <c r="F5451" s="2" t="s">
        <v>1145</v>
      </c>
      <c r="G5451" s="14" t="n">
        <v>19</v>
      </c>
      <c r="H5451" s="14" t="n">
        <v>33.26</v>
      </c>
      <c r="I5451" s="14" t="n">
        <v>19</v>
      </c>
      <c r="J5451" s="22" t="n">
        <f aca="false">IF(E5451="Priority",'Cost model'!N206,'Cost model'!M206)</f>
        <v>55</v>
      </c>
      <c r="K5451" s="14" t="n">
        <f aca="false">J5451-H5451</f>
        <v>21.74</v>
      </c>
      <c r="L5451" s="14" t="n">
        <f aca="false">G5451-H5451</f>
        <v>-14.26</v>
      </c>
    </row>
    <row r="5452" customFormat="false" ht="15" hidden="false" customHeight="false" outlineLevel="0" collapsed="false">
      <c r="A5452" s="2" t="s">
        <v>146</v>
      </c>
      <c r="B5452" s="2" t="s">
        <v>126</v>
      </c>
      <c r="C5452" s="2" t="s">
        <v>48</v>
      </c>
      <c r="D5452" s="2" t="s">
        <v>12</v>
      </c>
      <c r="E5452" s="2" t="s">
        <v>76</v>
      </c>
      <c r="F5452" s="2" t="s">
        <v>1146</v>
      </c>
      <c r="G5452" s="14" t="n">
        <v>9.5</v>
      </c>
      <c r="H5452" s="14" t="n">
        <v>47.06</v>
      </c>
      <c r="I5452" s="14" t="n">
        <v>19.5</v>
      </c>
      <c r="J5452" s="22" t="n">
        <f aca="false">IF(E5452="Priority",'Cost model'!N797,'Cost model'!M797)</f>
        <v>40</v>
      </c>
      <c r="K5452" s="14" t="n">
        <f aca="false">J5452-H5452</f>
        <v>-7.06</v>
      </c>
      <c r="L5452" s="14" t="n">
        <f aca="false">G5452-H5452</f>
        <v>-37.56</v>
      </c>
    </row>
    <row r="5453" customFormat="false" ht="15" hidden="false" customHeight="false" outlineLevel="0" collapsed="false">
      <c r="A5453" s="2" t="s">
        <v>184</v>
      </c>
      <c r="B5453" s="2" t="s">
        <v>184</v>
      </c>
      <c r="C5453" s="2" t="s">
        <v>48</v>
      </c>
      <c r="D5453" s="2" t="s">
        <v>12</v>
      </c>
      <c r="E5453" s="2" t="s">
        <v>76</v>
      </c>
      <c r="F5453" s="2" t="s">
        <v>1145</v>
      </c>
      <c r="G5453" s="14" t="n">
        <v>9.5</v>
      </c>
      <c r="H5453" s="14" t="n">
        <v>7.69</v>
      </c>
      <c r="I5453" s="14" t="n">
        <v>9.5</v>
      </c>
      <c r="J5453" s="22" t="n">
        <f aca="false">IF(E5453="Priority",'Cost model'!N203,'Cost model'!M203)</f>
        <v>26.5</v>
      </c>
      <c r="K5453" s="14" t="n">
        <f aca="false">J5453-H5453</f>
        <v>18.81</v>
      </c>
      <c r="L5453" s="14" t="n">
        <f aca="false">G5453-H5453</f>
        <v>1.81</v>
      </c>
    </row>
    <row r="5454" customFormat="false" ht="15" hidden="false" customHeight="false" outlineLevel="0" collapsed="false">
      <c r="A5454" s="2" t="s">
        <v>184</v>
      </c>
      <c r="B5454" s="2" t="s">
        <v>126</v>
      </c>
      <c r="C5454" s="2" t="s">
        <v>49</v>
      </c>
      <c r="D5454" s="2" t="s">
        <v>12</v>
      </c>
      <c r="E5454" s="2" t="s">
        <v>76</v>
      </c>
      <c r="F5454" s="2" t="s">
        <v>1146</v>
      </c>
      <c r="G5454" s="14" t="n">
        <v>12.5</v>
      </c>
      <c r="H5454" s="14" t="n">
        <v>60.76</v>
      </c>
      <c r="I5454" s="14"/>
      <c r="J5454" s="22" t="n">
        <f aca="false">IF(E5454="Priority",'Cost model'!N132,'Cost model'!M132)</f>
        <v>50</v>
      </c>
      <c r="K5454" s="14" t="n">
        <f aca="false">J5454-H5454</f>
        <v>-10.76</v>
      </c>
      <c r="L5454" s="14" t="n">
        <f aca="false">G5454-H5454</f>
        <v>-48.26</v>
      </c>
    </row>
    <row r="5455" customFormat="false" ht="15" hidden="false" customHeight="false" outlineLevel="0" collapsed="false">
      <c r="A5455" s="2" t="s">
        <v>184</v>
      </c>
      <c r="B5455" s="2" t="s">
        <v>146</v>
      </c>
      <c r="C5455" s="2" t="s">
        <v>48</v>
      </c>
      <c r="D5455" s="2" t="s">
        <v>12</v>
      </c>
      <c r="E5455" s="2" t="s">
        <v>76</v>
      </c>
      <c r="F5455" s="2" t="s">
        <v>1146</v>
      </c>
      <c r="G5455" s="14" t="n">
        <v>9.5</v>
      </c>
      <c r="H5455" s="14" t="n">
        <v>43.59</v>
      </c>
      <c r="I5455" s="14" t="n">
        <v>9.5</v>
      </c>
      <c r="J5455" s="22" t="n">
        <f aca="false">IF(E5455="Priority",'Cost model'!N149,'Cost model'!M149)</f>
        <v>45</v>
      </c>
      <c r="K5455" s="14" t="n">
        <f aca="false">J5455-H5455</f>
        <v>1.41</v>
      </c>
      <c r="L5455" s="14" t="n">
        <f aca="false">G5455-H5455</f>
        <v>-34.09</v>
      </c>
    </row>
    <row r="5456" customFormat="false" ht="15" hidden="false" customHeight="false" outlineLevel="0" collapsed="false">
      <c r="A5456" s="2" t="s">
        <v>184</v>
      </c>
      <c r="B5456" s="2" t="s">
        <v>126</v>
      </c>
      <c r="C5456" s="2" t="s">
        <v>49</v>
      </c>
      <c r="D5456" s="2" t="s">
        <v>12</v>
      </c>
      <c r="E5456" s="2" t="s">
        <v>76</v>
      </c>
      <c r="F5456" s="2" t="s">
        <v>1146</v>
      </c>
      <c r="G5456" s="14" t="n">
        <v>12.5</v>
      </c>
      <c r="H5456" s="14" t="n">
        <v>24.48</v>
      </c>
      <c r="I5456" s="14"/>
      <c r="J5456" s="22" t="n">
        <f aca="false">IF(E5456="Priority",'Cost model'!N132,'Cost model'!M132)</f>
        <v>50</v>
      </c>
      <c r="K5456" s="14" t="n">
        <f aca="false">J5456-H5456</f>
        <v>25.52</v>
      </c>
      <c r="L5456" s="14" t="n">
        <f aca="false">G5456-H5456</f>
        <v>-11.98</v>
      </c>
    </row>
    <row r="5457" customFormat="false" ht="15" hidden="false" customHeight="false" outlineLevel="0" collapsed="false">
      <c r="A5457" s="2" t="s">
        <v>184</v>
      </c>
      <c r="B5457" s="2" t="s">
        <v>184</v>
      </c>
      <c r="C5457" s="2" t="s">
        <v>48</v>
      </c>
      <c r="D5457" s="2" t="s">
        <v>10</v>
      </c>
      <c r="E5457" s="2" t="s">
        <v>76</v>
      </c>
      <c r="F5457" s="2" t="s">
        <v>1145</v>
      </c>
      <c r="G5457" s="14" t="n">
        <v>9.5</v>
      </c>
      <c r="H5457" s="14" t="n">
        <v>5.94</v>
      </c>
      <c r="I5457" s="14" t="n">
        <v>9.5</v>
      </c>
      <c r="J5457" s="22" t="n">
        <f aca="false">IF(E5457="Priority",'Cost model'!N200,'Cost model'!M200)</f>
        <v>7.5</v>
      </c>
      <c r="K5457" s="14" t="n">
        <f aca="false">J5457-H5457</f>
        <v>1.56</v>
      </c>
      <c r="L5457" s="14" t="n">
        <f aca="false">G5457-H5457</f>
        <v>3.56</v>
      </c>
    </row>
    <row r="5458" customFormat="false" ht="15" hidden="false" customHeight="false" outlineLevel="0" collapsed="false">
      <c r="A5458" s="2" t="s">
        <v>240</v>
      </c>
      <c r="B5458" s="2" t="s">
        <v>240</v>
      </c>
      <c r="C5458" s="2" t="s">
        <v>50</v>
      </c>
      <c r="D5458" s="2" t="s">
        <v>10</v>
      </c>
      <c r="E5458" s="2" t="s">
        <v>85</v>
      </c>
      <c r="F5458" s="2" t="s">
        <v>1145</v>
      </c>
      <c r="G5458" s="14" t="n">
        <v>24.5</v>
      </c>
      <c r="H5458" s="14" t="n">
        <v>21.34</v>
      </c>
      <c r="I5458" s="14" t="n">
        <v>24.5</v>
      </c>
      <c r="J5458" s="22" t="n">
        <f aca="false">IF(E5458="Priority",'Cost model'!N886,'Cost model'!M886)</f>
        <v>23.5</v>
      </c>
      <c r="K5458" s="14" t="n">
        <f aca="false">J5458-H5458</f>
        <v>2.16</v>
      </c>
      <c r="L5458" s="14" t="n">
        <f aca="false">G5458-H5458</f>
        <v>3.16</v>
      </c>
    </row>
    <row r="5459" customFormat="false" ht="15" hidden="false" customHeight="false" outlineLevel="0" collapsed="false">
      <c r="A5459" s="2" t="s">
        <v>240</v>
      </c>
      <c r="B5459" s="2" t="s">
        <v>240</v>
      </c>
      <c r="C5459" s="2" t="s">
        <v>48</v>
      </c>
      <c r="D5459" s="2" t="s">
        <v>10</v>
      </c>
      <c r="E5459" s="2" t="s">
        <v>85</v>
      </c>
      <c r="F5459" s="2" t="s">
        <v>1145</v>
      </c>
      <c r="G5459" s="14" t="n">
        <v>14.5</v>
      </c>
      <c r="H5459" s="14" t="n">
        <v>7.15</v>
      </c>
      <c r="I5459" s="14" t="n">
        <v>14.5</v>
      </c>
      <c r="J5459" s="22" t="n">
        <f aca="false">IF(E5459="Priority",'Cost model'!N884,'Cost model'!M884)</f>
        <v>12.5</v>
      </c>
      <c r="K5459" s="14" t="n">
        <f aca="false">J5459-H5459</f>
        <v>5.35</v>
      </c>
      <c r="L5459" s="14" t="n">
        <f aca="false">G5459-H5459</f>
        <v>7.35</v>
      </c>
    </row>
    <row r="5460" customFormat="false" ht="15" hidden="false" customHeight="false" outlineLevel="0" collapsed="false">
      <c r="A5460" s="2" t="s">
        <v>240</v>
      </c>
      <c r="B5460" s="2" t="s">
        <v>126</v>
      </c>
      <c r="C5460" s="2" t="s">
        <v>49</v>
      </c>
      <c r="D5460" s="2" t="s">
        <v>10</v>
      </c>
      <c r="E5460" s="2" t="s">
        <v>76</v>
      </c>
      <c r="F5460" s="2" t="s">
        <v>1146</v>
      </c>
      <c r="G5460" s="14" t="n">
        <v>12.5</v>
      </c>
      <c r="H5460" s="14" t="n">
        <v>10.66</v>
      </c>
      <c r="I5460" s="14" t="n">
        <v>19.5</v>
      </c>
      <c r="J5460" s="22" t="n">
        <f aca="false">IF(E5460="Priority",'Cost model'!N957,'Cost model'!M957)</f>
        <v>18.5</v>
      </c>
      <c r="K5460" s="14" t="n">
        <f aca="false">J5460-H5460</f>
        <v>7.84</v>
      </c>
      <c r="L5460" s="14" t="n">
        <f aca="false">G5460-H5460</f>
        <v>1.84</v>
      </c>
    </row>
    <row r="5461" customFormat="false" ht="15" hidden="false" customHeight="false" outlineLevel="0" collapsed="false">
      <c r="A5461" s="2" t="s">
        <v>184</v>
      </c>
      <c r="B5461" s="2" t="s">
        <v>165</v>
      </c>
      <c r="C5461" s="2" t="s">
        <v>50</v>
      </c>
      <c r="D5461" s="2" t="s">
        <v>10</v>
      </c>
      <c r="E5461" s="2" t="s">
        <v>76</v>
      </c>
      <c r="F5461" s="2" t="s">
        <v>1146</v>
      </c>
      <c r="G5461" s="14" t="n">
        <v>17.5</v>
      </c>
      <c r="H5461" s="14" t="n">
        <v>20.39</v>
      </c>
      <c r="I5461" s="14" t="n">
        <v>17.5</v>
      </c>
      <c r="J5461" s="22" t="n">
        <f aca="false">IF(E5461="Priority",'Cost model'!N166,'Cost model'!M166)</f>
        <v>18.5</v>
      </c>
      <c r="K5461" s="14" t="n">
        <f aca="false">J5461-H5461</f>
        <v>-1.89</v>
      </c>
      <c r="L5461" s="14" t="n">
        <f aca="false">G5461-H5461</f>
        <v>-2.89</v>
      </c>
    </row>
    <row r="5462" customFormat="false" ht="15" hidden="false" customHeight="false" outlineLevel="0" collapsed="false">
      <c r="A5462" s="2" t="s">
        <v>184</v>
      </c>
      <c r="B5462" s="2" t="s">
        <v>184</v>
      </c>
      <c r="C5462" s="2" t="s">
        <v>50</v>
      </c>
      <c r="D5462" s="2" t="s">
        <v>10</v>
      </c>
      <c r="E5462" s="2" t="s">
        <v>76</v>
      </c>
      <c r="F5462" s="2" t="s">
        <v>1145</v>
      </c>
      <c r="G5462" s="14" t="n">
        <v>17.5</v>
      </c>
      <c r="H5462" s="14" t="n">
        <v>19.56</v>
      </c>
      <c r="I5462" s="14" t="n">
        <v>17.5</v>
      </c>
      <c r="J5462" s="22" t="n">
        <f aca="false">IF(E5462="Priority",'Cost model'!N202,'Cost model'!M202)</f>
        <v>17.5</v>
      </c>
      <c r="K5462" s="14" t="n">
        <f aca="false">J5462-H5462</f>
        <v>-2.06</v>
      </c>
      <c r="L5462" s="14" t="n">
        <f aca="false">G5462-H5462</f>
        <v>-2.06</v>
      </c>
    </row>
    <row r="5463" customFormat="false" ht="15" hidden="false" customHeight="false" outlineLevel="0" collapsed="false">
      <c r="A5463" s="2" t="s">
        <v>184</v>
      </c>
      <c r="B5463" s="2" t="s">
        <v>146</v>
      </c>
      <c r="C5463" s="2" t="s">
        <v>50</v>
      </c>
      <c r="D5463" s="2" t="s">
        <v>12</v>
      </c>
      <c r="E5463" s="2" t="s">
        <v>76</v>
      </c>
      <c r="F5463" s="2" t="s">
        <v>1146</v>
      </c>
      <c r="G5463" s="14" t="n">
        <v>24.5</v>
      </c>
      <c r="H5463" s="14" t="n">
        <v>56.28</v>
      </c>
      <c r="I5463" s="14" t="n">
        <v>19.5</v>
      </c>
      <c r="J5463" s="22" t="n">
        <f aca="false">IF(E5463="Priority",'Cost model'!N151,'Cost model'!M151)</f>
        <v>55</v>
      </c>
      <c r="K5463" s="14" t="n">
        <f aca="false">J5463-H5463</f>
        <v>-1.28</v>
      </c>
      <c r="L5463" s="14" t="n">
        <f aca="false">G5463-H5463</f>
        <v>-31.78</v>
      </c>
    </row>
    <row r="5464" customFormat="false" ht="15" hidden="false" customHeight="false" outlineLevel="0" collapsed="false">
      <c r="A5464" s="2" t="s">
        <v>146</v>
      </c>
      <c r="B5464" s="2" t="s">
        <v>146</v>
      </c>
      <c r="C5464" s="2" t="s">
        <v>48</v>
      </c>
      <c r="D5464" s="2" t="s">
        <v>10</v>
      </c>
      <c r="E5464" s="2" t="s">
        <v>76</v>
      </c>
      <c r="F5464" s="2" t="s">
        <v>1145</v>
      </c>
      <c r="G5464" s="14" t="n">
        <v>9.5</v>
      </c>
      <c r="H5464" s="14" t="n">
        <v>10.95</v>
      </c>
      <c r="I5464" s="14" t="n">
        <v>9.5</v>
      </c>
      <c r="J5464" s="22" t="n">
        <f aca="false">IF(E5464="Priority",'Cost model'!N758,'Cost model'!M758)</f>
        <v>9.5</v>
      </c>
      <c r="K5464" s="14" t="n">
        <f aca="false">J5464-H5464</f>
        <v>-1.45</v>
      </c>
      <c r="L5464" s="14" t="n">
        <f aca="false">G5464-H5464</f>
        <v>-1.45</v>
      </c>
    </row>
    <row r="5465" customFormat="false" ht="15" hidden="false" customHeight="false" outlineLevel="0" collapsed="false">
      <c r="A5465" s="2" t="s">
        <v>165</v>
      </c>
      <c r="B5465" s="2" t="s">
        <v>165</v>
      </c>
      <c r="C5465" s="2" t="s">
        <v>48</v>
      </c>
      <c r="D5465" s="2" t="s">
        <v>12</v>
      </c>
      <c r="E5465" s="2" t="s">
        <v>76</v>
      </c>
      <c r="F5465" s="2" t="s">
        <v>1145</v>
      </c>
      <c r="G5465" s="14" t="n">
        <v>14.5</v>
      </c>
      <c r="H5465" s="14" t="n">
        <v>15.92</v>
      </c>
      <c r="I5465" s="14" t="n">
        <v>9.5</v>
      </c>
      <c r="J5465" s="22" t="n">
        <f aca="false">IF(E5465="Priority",'Cost model'!N509,'Cost model'!M509)</f>
        <v>17.5</v>
      </c>
      <c r="K5465" s="14" t="n">
        <f aca="false">J5465-H5465</f>
        <v>1.58</v>
      </c>
      <c r="L5465" s="14" t="n">
        <f aca="false">G5465-H5465</f>
        <v>-1.42</v>
      </c>
    </row>
    <row r="5466" customFormat="false" ht="15" hidden="false" customHeight="false" outlineLevel="0" collapsed="false">
      <c r="A5466" s="2" t="s">
        <v>146</v>
      </c>
      <c r="B5466" s="2" t="s">
        <v>146</v>
      </c>
      <c r="C5466" s="2" t="s">
        <v>49</v>
      </c>
      <c r="D5466" s="2" t="s">
        <v>12</v>
      </c>
      <c r="E5466" s="2" t="s">
        <v>76</v>
      </c>
      <c r="F5466" s="2" t="s">
        <v>1145</v>
      </c>
      <c r="G5466" s="14" t="n">
        <v>12.5</v>
      </c>
      <c r="H5466" s="14" t="n">
        <v>46.53</v>
      </c>
      <c r="I5466" s="14" t="n">
        <v>12.5</v>
      </c>
      <c r="J5466" s="22" t="n">
        <f aca="false">IF(E5466="Priority",'Cost model'!N762,'Cost model'!M762)</f>
        <v>45</v>
      </c>
      <c r="K5466" s="14" t="n">
        <f aca="false">J5466-H5466</f>
        <v>-1.53</v>
      </c>
      <c r="L5466" s="14" t="n">
        <f aca="false">G5466-H5466</f>
        <v>-34.03</v>
      </c>
    </row>
    <row r="5467" customFormat="false" ht="15" hidden="false" customHeight="false" outlineLevel="0" collapsed="false">
      <c r="A5467" s="2" t="s">
        <v>126</v>
      </c>
      <c r="B5467" s="2" t="s">
        <v>165</v>
      </c>
      <c r="C5467" s="2" t="s">
        <v>49</v>
      </c>
      <c r="D5467" s="2" t="s">
        <v>10</v>
      </c>
      <c r="E5467" s="2" t="s">
        <v>76</v>
      </c>
      <c r="F5467" s="2" t="s">
        <v>1146</v>
      </c>
      <c r="G5467" s="14" t="n">
        <v>14.5</v>
      </c>
      <c r="H5467" s="14" t="n">
        <v>18.7</v>
      </c>
      <c r="I5467" s="14" t="n">
        <v>14.5</v>
      </c>
      <c r="J5467" s="22" t="n">
        <f aca="false">IF(E5467="Priority",'Cost model'!N417,'Cost model'!M417)</f>
        <v>18.5</v>
      </c>
      <c r="K5467" s="14" t="n">
        <f aca="false">J5467-H5467</f>
        <v>-0.199999999999999</v>
      </c>
      <c r="L5467" s="14" t="n">
        <f aca="false">G5467-H5467</f>
        <v>-4.2</v>
      </c>
    </row>
    <row r="5468" customFormat="false" ht="15" hidden="false" customHeight="false" outlineLevel="0" collapsed="false">
      <c r="A5468" s="2" t="s">
        <v>146</v>
      </c>
      <c r="B5468" s="2" t="s">
        <v>146</v>
      </c>
      <c r="C5468" s="2" t="s">
        <v>49</v>
      </c>
      <c r="D5468" s="2" t="s">
        <v>12</v>
      </c>
      <c r="E5468" s="2" t="s">
        <v>85</v>
      </c>
      <c r="F5468" s="2" t="s">
        <v>1145</v>
      </c>
      <c r="G5468" s="14" t="n">
        <v>19.5</v>
      </c>
      <c r="H5468" s="14" t="n">
        <v>58.01</v>
      </c>
      <c r="I5468" s="14" t="n">
        <v>19.5</v>
      </c>
      <c r="J5468" s="22" t="n">
        <f aca="false">IF(E5468="Priority",'Cost model'!N762,'Cost model'!M762)</f>
        <v>60</v>
      </c>
      <c r="K5468" s="14" t="n">
        <f aca="false">J5468-H5468</f>
        <v>1.99</v>
      </c>
      <c r="L5468" s="14" t="n">
        <f aca="false">G5468-H5468</f>
        <v>-38.51</v>
      </c>
    </row>
    <row r="5469" customFormat="false" ht="15" hidden="false" customHeight="false" outlineLevel="0" collapsed="false">
      <c r="A5469" s="2" t="s">
        <v>184</v>
      </c>
      <c r="B5469" s="2" t="s">
        <v>126</v>
      </c>
      <c r="C5469" s="2" t="s">
        <v>50</v>
      </c>
      <c r="D5469" s="2" t="s">
        <v>10</v>
      </c>
      <c r="E5469" s="2" t="s">
        <v>76</v>
      </c>
      <c r="F5469" s="2" t="s">
        <v>1146</v>
      </c>
      <c r="G5469" s="14" t="n">
        <v>17.5</v>
      </c>
      <c r="H5469" s="14" t="n">
        <v>11.03</v>
      </c>
      <c r="I5469" s="14" t="n">
        <v>17.5</v>
      </c>
      <c r="J5469" s="22" t="n">
        <f aca="false">IF(E5469="Priority",'Cost model'!N130,'Cost model'!M130)</f>
        <v>18.5</v>
      </c>
      <c r="K5469" s="14" t="n">
        <f aca="false">J5469-H5469</f>
        <v>7.47</v>
      </c>
      <c r="L5469" s="14" t="n">
        <f aca="false">G5469-H5469</f>
        <v>6.47</v>
      </c>
    </row>
    <row r="5470" customFormat="false" ht="15" hidden="false" customHeight="false" outlineLevel="0" collapsed="false">
      <c r="A5470" s="2" t="s">
        <v>146</v>
      </c>
      <c r="B5470" s="2" t="s">
        <v>146</v>
      </c>
      <c r="C5470" s="2" t="s">
        <v>50</v>
      </c>
      <c r="D5470" s="2" t="s">
        <v>12</v>
      </c>
      <c r="E5470" s="2" t="s">
        <v>85</v>
      </c>
      <c r="F5470" s="2" t="s">
        <v>1145</v>
      </c>
      <c r="G5470" s="14" t="n">
        <v>29.5</v>
      </c>
      <c r="H5470" s="14" t="n">
        <v>109.13</v>
      </c>
      <c r="I5470" s="14" t="n">
        <v>29.5</v>
      </c>
      <c r="J5470" s="22" t="n">
        <f aca="false">IF(E5470="Priority",'Cost model'!N763,'Cost model'!M763)</f>
        <v>65</v>
      </c>
      <c r="K5470" s="14" t="n">
        <f aca="false">J5470-H5470</f>
        <v>-44.13</v>
      </c>
      <c r="L5470" s="14" t="n">
        <f aca="false">G5470-H5470</f>
        <v>-79.63</v>
      </c>
    </row>
    <row r="5471" customFormat="false" ht="15" hidden="false" customHeight="false" outlineLevel="0" collapsed="false">
      <c r="A5471" s="2" t="s">
        <v>146</v>
      </c>
      <c r="B5471" s="2" t="s">
        <v>184</v>
      </c>
      <c r="C5471" s="2" t="s">
        <v>50</v>
      </c>
      <c r="D5471" s="2" t="s">
        <v>12</v>
      </c>
      <c r="E5471" s="2" t="s">
        <v>76</v>
      </c>
      <c r="F5471" s="2" t="s">
        <v>1146</v>
      </c>
      <c r="G5471" s="14" t="n">
        <v>19.5</v>
      </c>
      <c r="H5471" s="14" t="n">
        <v>52.76</v>
      </c>
      <c r="I5471" s="14" t="n">
        <v>19.5</v>
      </c>
      <c r="J5471" s="22" t="n">
        <f aca="false">IF(E5471="Priority",'Cost model'!N835,'Cost model'!M835)</f>
        <v>50</v>
      </c>
      <c r="K5471" s="14" t="n">
        <f aca="false">J5471-H5471</f>
        <v>-2.76</v>
      </c>
      <c r="L5471" s="14" t="n">
        <f aca="false">G5471-H5471</f>
        <v>-33.26</v>
      </c>
    </row>
    <row r="5472" customFormat="false" ht="15" hidden="false" customHeight="false" outlineLevel="0" collapsed="false">
      <c r="A5472" s="2" t="s">
        <v>184</v>
      </c>
      <c r="B5472" s="2" t="s">
        <v>184</v>
      </c>
      <c r="C5472" s="2" t="s">
        <v>48</v>
      </c>
      <c r="D5472" s="2" t="s">
        <v>10</v>
      </c>
      <c r="E5472" s="2" t="s">
        <v>76</v>
      </c>
      <c r="F5472" s="2" t="s">
        <v>1145</v>
      </c>
      <c r="G5472" s="14" t="n">
        <v>9.5</v>
      </c>
      <c r="H5472" s="14" t="n">
        <v>7.45</v>
      </c>
      <c r="I5472" s="14" t="n">
        <v>9.5</v>
      </c>
      <c r="J5472" s="22" t="n">
        <f aca="false">IF(E5472="Priority",'Cost model'!N200,'Cost model'!M200)</f>
        <v>7.5</v>
      </c>
      <c r="K5472" s="14" t="n">
        <f aca="false">J5472-H5472</f>
        <v>0.0499999999999998</v>
      </c>
      <c r="L5472" s="14" t="n">
        <f aca="false">G5472-H5472</f>
        <v>2.05</v>
      </c>
    </row>
    <row r="5473" customFormat="false" ht="15" hidden="false" customHeight="false" outlineLevel="0" collapsed="false">
      <c r="A5473" s="2" t="s">
        <v>184</v>
      </c>
      <c r="B5473" s="2" t="s">
        <v>184</v>
      </c>
      <c r="C5473" s="2" t="s">
        <v>48</v>
      </c>
      <c r="D5473" s="2" t="s">
        <v>12</v>
      </c>
      <c r="E5473" s="2" t="s">
        <v>76</v>
      </c>
      <c r="F5473" s="2" t="s">
        <v>1145</v>
      </c>
      <c r="G5473" s="14" t="n">
        <v>9.5</v>
      </c>
      <c r="H5473" s="14" t="n">
        <v>69.51</v>
      </c>
      <c r="I5473" s="14" t="n">
        <v>9.5</v>
      </c>
      <c r="J5473" s="22" t="n">
        <f aca="false">IF(E5473="Priority",'Cost model'!N203,'Cost model'!M203)</f>
        <v>26.5</v>
      </c>
      <c r="K5473" s="14" t="n">
        <f aca="false">J5473-H5473</f>
        <v>-43.01</v>
      </c>
      <c r="L5473" s="14" t="n">
        <f aca="false">G5473-H5473</f>
        <v>-60.01</v>
      </c>
    </row>
    <row r="5474" customFormat="false" ht="15" hidden="false" customHeight="false" outlineLevel="0" collapsed="false">
      <c r="A5474" s="2" t="s">
        <v>240</v>
      </c>
      <c r="B5474" s="2" t="s">
        <v>240</v>
      </c>
      <c r="C5474" s="2" t="s">
        <v>48</v>
      </c>
      <c r="D5474" s="2" t="s">
        <v>10</v>
      </c>
      <c r="E5474" s="2" t="s">
        <v>76</v>
      </c>
      <c r="F5474" s="2" t="s">
        <v>1145</v>
      </c>
      <c r="G5474" s="14" t="n">
        <v>9.5</v>
      </c>
      <c r="H5474" s="14" t="n">
        <v>7.15</v>
      </c>
      <c r="I5474" s="14" t="n">
        <v>9.5</v>
      </c>
      <c r="J5474" s="22" t="n">
        <f aca="false">IF(E5474="Priority",'Cost model'!N884,'Cost model'!M884)</f>
        <v>7.5</v>
      </c>
      <c r="K5474" s="14" t="n">
        <f aca="false">J5474-H5474</f>
        <v>0.35</v>
      </c>
      <c r="L5474" s="14" t="n">
        <f aca="false">G5474-H5474</f>
        <v>2.35</v>
      </c>
    </row>
    <row r="5475" customFormat="false" ht="15" hidden="false" customHeight="false" outlineLevel="0" collapsed="false">
      <c r="A5475" s="2" t="s">
        <v>184</v>
      </c>
      <c r="B5475" s="2" t="s">
        <v>146</v>
      </c>
      <c r="C5475" s="2" t="s">
        <v>48</v>
      </c>
      <c r="D5475" s="2" t="s">
        <v>10</v>
      </c>
      <c r="E5475" s="2" t="s">
        <v>76</v>
      </c>
      <c r="F5475" s="2" t="s">
        <v>1146</v>
      </c>
      <c r="G5475" s="14" t="n">
        <v>9.5</v>
      </c>
      <c r="H5475" s="14" t="n">
        <v>17.88</v>
      </c>
      <c r="I5475" s="14" t="n">
        <v>9.5</v>
      </c>
      <c r="J5475" s="22" t="n">
        <f aca="false">IF(E5475="Priority",'Cost model'!N146,'Cost model'!M146)</f>
        <v>12.5</v>
      </c>
      <c r="K5475" s="14" t="n">
        <f aca="false">J5475-H5475</f>
        <v>-5.38</v>
      </c>
      <c r="L5475" s="14" t="n">
        <f aca="false">G5475-H5475</f>
        <v>-8.38</v>
      </c>
    </row>
    <row r="5476" customFormat="false" ht="15" hidden="false" customHeight="false" outlineLevel="0" collapsed="false">
      <c r="A5476" s="2" t="s">
        <v>184</v>
      </c>
      <c r="B5476" s="2" t="s">
        <v>184</v>
      </c>
      <c r="C5476" s="2" t="s">
        <v>49</v>
      </c>
      <c r="D5476" s="2" t="s">
        <v>12</v>
      </c>
      <c r="E5476" s="2" t="s">
        <v>76</v>
      </c>
      <c r="F5476" s="2" t="s">
        <v>1145</v>
      </c>
      <c r="G5476" s="14" t="n">
        <v>12.5</v>
      </c>
      <c r="H5476" s="14" t="n">
        <v>41.18</v>
      </c>
      <c r="I5476" s="14"/>
      <c r="J5476" s="22" t="n">
        <f aca="false">IF(E5476="Priority",'Cost model'!N204,'Cost model'!M204)</f>
        <v>45</v>
      </c>
      <c r="K5476" s="14" t="n">
        <f aca="false">J5476-H5476</f>
        <v>3.82</v>
      </c>
      <c r="L5476" s="14" t="n">
        <f aca="false">G5476-H5476</f>
        <v>-28.68</v>
      </c>
    </row>
    <row r="5477" customFormat="false" ht="15" hidden="false" customHeight="false" outlineLevel="0" collapsed="false">
      <c r="A5477" s="2" t="s">
        <v>184</v>
      </c>
      <c r="B5477" s="2" t="s">
        <v>184</v>
      </c>
      <c r="C5477" s="2" t="s">
        <v>49</v>
      </c>
      <c r="D5477" s="2" t="s">
        <v>12</v>
      </c>
      <c r="E5477" s="2" t="s">
        <v>76</v>
      </c>
      <c r="F5477" s="2" t="s">
        <v>1145</v>
      </c>
      <c r="G5477" s="14" t="n">
        <v>12.5</v>
      </c>
      <c r="H5477" s="14" t="n">
        <v>42.61</v>
      </c>
      <c r="I5477" s="14"/>
      <c r="J5477" s="22" t="n">
        <f aca="false">IF(E5477="Priority",'Cost model'!N204,'Cost model'!M204)</f>
        <v>45</v>
      </c>
      <c r="K5477" s="14" t="n">
        <f aca="false">J5477-H5477</f>
        <v>2.39</v>
      </c>
      <c r="L5477" s="14" t="n">
        <f aca="false">G5477-H5477</f>
        <v>-30.11</v>
      </c>
    </row>
    <row r="5478" customFormat="false" ht="15" hidden="false" customHeight="false" outlineLevel="0" collapsed="false">
      <c r="A5478" s="2" t="s">
        <v>126</v>
      </c>
      <c r="B5478" s="2" t="s">
        <v>126</v>
      </c>
      <c r="C5478" s="2" t="s">
        <v>48</v>
      </c>
      <c r="D5478" s="2" t="s">
        <v>10</v>
      </c>
      <c r="E5478" s="2" t="s">
        <v>76</v>
      </c>
      <c r="F5478" s="2" t="s">
        <v>1145</v>
      </c>
      <c r="G5478" s="14" t="n">
        <v>9.5</v>
      </c>
      <c r="H5478" s="14" t="n">
        <v>6.25</v>
      </c>
      <c r="I5478" s="14" t="n">
        <v>9.5</v>
      </c>
      <c r="J5478" s="22" t="n">
        <f aca="false">IF(E5478="Priority",'Cost model'!N380,'Cost model'!M380)</f>
        <v>8.5</v>
      </c>
      <c r="K5478" s="14" t="n">
        <f aca="false">J5478-H5478</f>
        <v>2.25</v>
      </c>
      <c r="L5478" s="14" t="n">
        <f aca="false">G5478-H5478</f>
        <v>3.25</v>
      </c>
    </row>
    <row r="5479" customFormat="false" ht="15" hidden="false" customHeight="false" outlineLevel="0" collapsed="false">
      <c r="A5479" s="2" t="s">
        <v>184</v>
      </c>
      <c r="B5479" s="2" t="s">
        <v>126</v>
      </c>
      <c r="C5479" s="2" t="s">
        <v>49</v>
      </c>
      <c r="D5479" s="2" t="s">
        <v>10</v>
      </c>
      <c r="E5479" s="2" t="s">
        <v>76</v>
      </c>
      <c r="F5479" s="2" t="s">
        <v>1146</v>
      </c>
      <c r="G5479" s="14" t="n">
        <v>12.5</v>
      </c>
      <c r="H5479" s="14" t="n">
        <v>12.54</v>
      </c>
      <c r="I5479" s="14"/>
      <c r="J5479" s="22" t="n">
        <f aca="false">IF(E5479="Priority",'Cost model'!N129,'Cost model'!M129)</f>
        <v>13.5</v>
      </c>
      <c r="K5479" s="14" t="n">
        <f aca="false">J5479-H5479</f>
        <v>0.960000000000001</v>
      </c>
      <c r="L5479" s="14" t="n">
        <f aca="false">G5479-H5479</f>
        <v>-0.0399999999999992</v>
      </c>
    </row>
    <row r="5480" customFormat="false" ht="15" hidden="false" customHeight="false" outlineLevel="0" collapsed="false">
      <c r="A5480" s="2" t="s">
        <v>184</v>
      </c>
      <c r="B5480" s="2" t="s">
        <v>184</v>
      </c>
      <c r="C5480" s="2" t="s">
        <v>49</v>
      </c>
      <c r="D5480" s="2" t="s">
        <v>14</v>
      </c>
      <c r="E5480" s="2" t="s">
        <v>76</v>
      </c>
      <c r="F5480" s="2" t="s">
        <v>1145</v>
      </c>
      <c r="G5480" s="14" t="n">
        <v>125</v>
      </c>
      <c r="H5480" s="14" t="n">
        <v>74.32</v>
      </c>
      <c r="I5480" s="14"/>
      <c r="J5480" s="22" t="n">
        <f aca="false">IF(E5480="Priority",'Cost model'!N210,'Cost model'!M210)</f>
        <v>135</v>
      </c>
      <c r="K5480" s="14" t="n">
        <f aca="false">J5480-H5480</f>
        <v>60.68</v>
      </c>
      <c r="L5480" s="14" t="n">
        <f aca="false">G5480-H5480</f>
        <v>50.68</v>
      </c>
    </row>
    <row r="5481" customFormat="false" ht="15" hidden="false" customHeight="false" outlineLevel="0" collapsed="false">
      <c r="A5481" s="2" t="s">
        <v>126</v>
      </c>
      <c r="B5481" s="2" t="s">
        <v>126</v>
      </c>
      <c r="C5481" s="2" t="s">
        <v>49</v>
      </c>
      <c r="D5481" s="2" t="s">
        <v>12</v>
      </c>
      <c r="E5481" s="2" t="s">
        <v>76</v>
      </c>
      <c r="F5481" s="2" t="s">
        <v>1145</v>
      </c>
      <c r="G5481" s="14" t="n">
        <v>12.5</v>
      </c>
      <c r="H5481" s="14" t="n">
        <v>51.07</v>
      </c>
      <c r="I5481" s="14" t="n">
        <v>12.5</v>
      </c>
      <c r="J5481" s="22" t="n">
        <f aca="false">IF(E5481="Priority",'Cost model'!N384,'Cost model'!M384)</f>
        <v>45</v>
      </c>
      <c r="K5481" s="14" t="n">
        <f aca="false">J5481-H5481</f>
        <v>-6.07</v>
      </c>
      <c r="L5481" s="14" t="n">
        <f aca="false">G5481-H5481</f>
        <v>-38.57</v>
      </c>
    </row>
    <row r="5482" customFormat="false" ht="15" hidden="false" customHeight="false" outlineLevel="0" collapsed="false">
      <c r="A5482" s="2" t="s">
        <v>184</v>
      </c>
      <c r="B5482" s="2" t="s">
        <v>126</v>
      </c>
      <c r="C5482" s="2" t="s">
        <v>48</v>
      </c>
      <c r="D5482" s="2" t="s">
        <v>12</v>
      </c>
      <c r="E5482" s="2" t="s">
        <v>76</v>
      </c>
      <c r="F5482" s="2" t="s">
        <v>1146</v>
      </c>
      <c r="G5482" s="14" t="n">
        <v>9.5</v>
      </c>
      <c r="H5482" s="14" t="n">
        <v>44.13</v>
      </c>
      <c r="I5482" s="14" t="n">
        <v>9.5</v>
      </c>
      <c r="J5482" s="22" t="n">
        <f aca="false">IF(E5482="Priority",'Cost model'!N131,'Cost model'!M131)</f>
        <v>40</v>
      </c>
      <c r="K5482" s="14" t="n">
        <f aca="false">J5482-H5482</f>
        <v>-4.13</v>
      </c>
      <c r="L5482" s="14" t="n">
        <f aca="false">G5482-H5482</f>
        <v>-34.63</v>
      </c>
    </row>
    <row r="5483" customFormat="false" ht="15" hidden="false" customHeight="false" outlineLevel="0" collapsed="false">
      <c r="A5483" s="2" t="s">
        <v>126</v>
      </c>
      <c r="B5483" s="2" t="s">
        <v>126</v>
      </c>
      <c r="C5483" s="2" t="s">
        <v>49</v>
      </c>
      <c r="D5483" s="2" t="s">
        <v>12</v>
      </c>
      <c r="E5483" s="2" t="s">
        <v>76</v>
      </c>
      <c r="F5483" s="2" t="s">
        <v>1145</v>
      </c>
      <c r="G5483" s="14" t="n">
        <v>12.5</v>
      </c>
      <c r="H5483" s="14" t="n">
        <v>61.99</v>
      </c>
      <c r="I5483" s="14" t="n">
        <v>12.5</v>
      </c>
      <c r="J5483" s="22" t="n">
        <f aca="false">IF(E5483="Priority",'Cost model'!N384,'Cost model'!M384)</f>
        <v>45</v>
      </c>
      <c r="K5483" s="14" t="n">
        <f aca="false">J5483-H5483</f>
        <v>-16.99</v>
      </c>
      <c r="L5483" s="14" t="n">
        <f aca="false">G5483-H5483</f>
        <v>-49.49</v>
      </c>
    </row>
    <row r="5484" customFormat="false" ht="15" hidden="false" customHeight="false" outlineLevel="0" collapsed="false">
      <c r="A5484" s="2" t="s">
        <v>146</v>
      </c>
      <c r="B5484" s="2" t="s">
        <v>126</v>
      </c>
      <c r="C5484" s="2" t="s">
        <v>48</v>
      </c>
      <c r="D5484" s="2" t="s">
        <v>10</v>
      </c>
      <c r="E5484" s="2" t="s">
        <v>76</v>
      </c>
      <c r="F5484" s="2" t="s">
        <v>1146</v>
      </c>
      <c r="G5484" s="14" t="n">
        <v>14.5</v>
      </c>
      <c r="H5484" s="14" t="n">
        <v>22.98</v>
      </c>
      <c r="I5484" s="14" t="n">
        <v>14.5</v>
      </c>
      <c r="J5484" s="22" t="n">
        <f aca="false">IF(E5484="Priority",'Cost model'!N794,'Cost model'!M794)</f>
        <v>12.5</v>
      </c>
      <c r="K5484" s="14" t="n">
        <f aca="false">J5484-H5484</f>
        <v>-10.48</v>
      </c>
      <c r="L5484" s="14" t="n">
        <f aca="false">G5484-H5484</f>
        <v>-8.48</v>
      </c>
    </row>
    <row r="5485" customFormat="false" ht="15" hidden="false" customHeight="false" outlineLevel="0" collapsed="false">
      <c r="A5485" s="2" t="s">
        <v>184</v>
      </c>
      <c r="B5485" s="2" t="s">
        <v>240</v>
      </c>
      <c r="C5485" s="2" t="s">
        <v>49</v>
      </c>
      <c r="D5485" s="2" t="s">
        <v>12</v>
      </c>
      <c r="E5485" s="2" t="s">
        <v>76</v>
      </c>
      <c r="F5485" s="2" t="s">
        <v>1146</v>
      </c>
      <c r="G5485" s="14" t="n">
        <v>24.5</v>
      </c>
      <c r="H5485" s="14" t="n">
        <v>28.35</v>
      </c>
      <c r="I5485" s="14"/>
      <c r="J5485" s="22" t="n">
        <f aca="false">IF(E5485="Priority",'Cost model'!N186,'Cost model'!M186)</f>
        <v>55</v>
      </c>
      <c r="K5485" s="14" t="n">
        <f aca="false">J5485-H5485</f>
        <v>26.65</v>
      </c>
      <c r="L5485" s="14" t="n">
        <f aca="false">G5485-H5485</f>
        <v>-3.85</v>
      </c>
    </row>
    <row r="5486" customFormat="false" ht="15" hidden="false" customHeight="false" outlineLevel="0" collapsed="false">
      <c r="A5486" s="2" t="s">
        <v>146</v>
      </c>
      <c r="B5486" s="2" t="s">
        <v>146</v>
      </c>
      <c r="C5486" s="2" t="s">
        <v>49</v>
      </c>
      <c r="D5486" s="2" t="s">
        <v>10</v>
      </c>
      <c r="E5486" s="2" t="s">
        <v>76</v>
      </c>
      <c r="F5486" s="2" t="s">
        <v>1145</v>
      </c>
      <c r="G5486" s="14" t="n">
        <v>12.5</v>
      </c>
      <c r="H5486" s="14" t="n">
        <v>9.25</v>
      </c>
      <c r="I5486" s="14" t="n">
        <v>12.5</v>
      </c>
      <c r="J5486" s="22" t="n">
        <f aca="false">IF(E5486="Priority",'Cost model'!N759,'Cost model'!M759)</f>
        <v>15.5</v>
      </c>
      <c r="K5486" s="14" t="n">
        <f aca="false">J5486-H5486</f>
        <v>6.25</v>
      </c>
      <c r="L5486" s="14" t="n">
        <f aca="false">G5486-H5486</f>
        <v>3.25</v>
      </c>
    </row>
    <row r="5487" customFormat="false" ht="15" hidden="false" customHeight="false" outlineLevel="0" collapsed="false">
      <c r="A5487" s="2" t="s">
        <v>240</v>
      </c>
      <c r="B5487" s="2" t="s">
        <v>240</v>
      </c>
      <c r="C5487" s="2" t="s">
        <v>48</v>
      </c>
      <c r="D5487" s="2" t="s">
        <v>12</v>
      </c>
      <c r="E5487" s="2" t="s">
        <v>76</v>
      </c>
      <c r="F5487" s="2" t="s">
        <v>1145</v>
      </c>
      <c r="G5487" s="14" t="n">
        <v>9.5</v>
      </c>
      <c r="H5487" s="14" t="n">
        <v>7.4</v>
      </c>
      <c r="I5487" s="14" t="n">
        <v>9.5</v>
      </c>
      <c r="J5487" s="22" t="n">
        <f aca="false">IF(E5487="Priority",'Cost model'!N887,'Cost model'!M887)</f>
        <v>21.5</v>
      </c>
      <c r="K5487" s="14" t="n">
        <f aca="false">J5487-H5487</f>
        <v>14.1</v>
      </c>
      <c r="L5487" s="14" t="n">
        <f aca="false">G5487-H5487</f>
        <v>2.1</v>
      </c>
    </row>
    <row r="5488" customFormat="false" ht="15" hidden="false" customHeight="false" outlineLevel="0" collapsed="false">
      <c r="A5488" s="2" t="s">
        <v>126</v>
      </c>
      <c r="B5488" s="2" t="s">
        <v>126</v>
      </c>
      <c r="C5488" s="2" t="s">
        <v>49</v>
      </c>
      <c r="D5488" s="2" t="s">
        <v>12</v>
      </c>
      <c r="E5488" s="2" t="s">
        <v>76</v>
      </c>
      <c r="F5488" s="2" t="s">
        <v>1145</v>
      </c>
      <c r="G5488" s="14" t="n">
        <v>12.5</v>
      </c>
      <c r="H5488" s="14" t="n">
        <v>116.62</v>
      </c>
      <c r="I5488" s="14" t="n">
        <v>12.5</v>
      </c>
      <c r="J5488" s="22" t="n">
        <f aca="false">IF(E5488="Priority",'Cost model'!N384,'Cost model'!M384)</f>
        <v>45</v>
      </c>
      <c r="K5488" s="14" t="n">
        <f aca="false">J5488-H5488</f>
        <v>-71.62</v>
      </c>
      <c r="L5488" s="14" t="n">
        <f aca="false">G5488-H5488</f>
        <v>-104.12</v>
      </c>
    </row>
    <row r="5489" customFormat="false" ht="15" hidden="false" customHeight="false" outlineLevel="0" collapsed="false">
      <c r="A5489" s="2" t="s">
        <v>165</v>
      </c>
      <c r="B5489" s="2" t="s">
        <v>165</v>
      </c>
      <c r="C5489" s="2" t="s">
        <v>50</v>
      </c>
      <c r="D5489" s="2" t="s">
        <v>13</v>
      </c>
      <c r="E5489" s="2" t="s">
        <v>76</v>
      </c>
      <c r="F5489" s="2" t="s">
        <v>1145</v>
      </c>
      <c r="G5489" s="14" t="n">
        <v>50</v>
      </c>
      <c r="H5489" s="14" t="n">
        <v>60.89</v>
      </c>
      <c r="I5489" s="14" t="n">
        <v>50</v>
      </c>
      <c r="J5489" s="22" t="n">
        <f aca="false">IF(E5489="Priority",'Cost model'!N514,'Cost model'!M514)</f>
        <v>70</v>
      </c>
      <c r="K5489" s="14" t="n">
        <f aca="false">J5489-H5489</f>
        <v>9.11</v>
      </c>
      <c r="L5489" s="14" t="n">
        <f aca="false">G5489-H5489</f>
        <v>-10.89</v>
      </c>
    </row>
    <row r="5490" customFormat="false" ht="15" hidden="false" customHeight="false" outlineLevel="0" collapsed="false">
      <c r="A5490" s="2" t="s">
        <v>184</v>
      </c>
      <c r="B5490" s="2" t="s">
        <v>184</v>
      </c>
      <c r="C5490" s="2" t="s">
        <v>49</v>
      </c>
      <c r="D5490" s="2" t="s">
        <v>10</v>
      </c>
      <c r="E5490" s="2" t="s">
        <v>76</v>
      </c>
      <c r="F5490" s="2" t="s">
        <v>1145</v>
      </c>
      <c r="G5490" s="14" t="n">
        <v>12.5</v>
      </c>
      <c r="H5490" s="14" t="n">
        <v>10.91</v>
      </c>
      <c r="I5490" s="14"/>
      <c r="J5490" s="22" t="n">
        <f aca="false">IF(E5490="Priority",'Cost model'!N201,'Cost model'!M201)</f>
        <v>12.5</v>
      </c>
      <c r="K5490" s="14" t="n">
        <f aca="false">J5490-H5490</f>
        <v>1.59</v>
      </c>
      <c r="L5490" s="14" t="n">
        <f aca="false">G5490-H5490</f>
        <v>1.59</v>
      </c>
    </row>
    <row r="5491" customFormat="false" ht="15" hidden="false" customHeight="false" outlineLevel="0" collapsed="false">
      <c r="A5491" s="2" t="s">
        <v>184</v>
      </c>
      <c r="B5491" s="2" t="s">
        <v>184</v>
      </c>
      <c r="C5491" s="2" t="s">
        <v>49</v>
      </c>
      <c r="D5491" s="2" t="s">
        <v>10</v>
      </c>
      <c r="E5491" s="2" t="s">
        <v>76</v>
      </c>
      <c r="F5491" s="2" t="s">
        <v>1145</v>
      </c>
      <c r="G5491" s="14" t="n">
        <v>12.5</v>
      </c>
      <c r="H5491" s="14" t="n">
        <v>7.37</v>
      </c>
      <c r="I5491" s="14"/>
      <c r="J5491" s="22" t="n">
        <f aca="false">IF(E5491="Priority",'Cost model'!N201,'Cost model'!M201)</f>
        <v>12.5</v>
      </c>
      <c r="K5491" s="14" t="n">
        <f aca="false">J5491-H5491</f>
        <v>5.13</v>
      </c>
      <c r="L5491" s="14" t="n">
        <f aca="false">G5491-H5491</f>
        <v>5.13</v>
      </c>
    </row>
    <row r="5492" customFormat="false" ht="15" hidden="false" customHeight="false" outlineLevel="0" collapsed="false">
      <c r="A5492" s="2" t="s">
        <v>184</v>
      </c>
      <c r="B5492" s="2" t="s">
        <v>184</v>
      </c>
      <c r="C5492" s="2" t="s">
        <v>49</v>
      </c>
      <c r="D5492" s="2" t="s">
        <v>10</v>
      </c>
      <c r="E5492" s="2" t="s">
        <v>76</v>
      </c>
      <c r="F5492" s="2" t="s">
        <v>1145</v>
      </c>
      <c r="G5492" s="14" t="n">
        <v>17.5</v>
      </c>
      <c r="H5492" s="14" t="n">
        <v>11.43</v>
      </c>
      <c r="I5492" s="14"/>
      <c r="J5492" s="22" t="n">
        <f aca="false">IF(E5492="Priority",'Cost model'!N201,'Cost model'!M201)</f>
        <v>12.5</v>
      </c>
      <c r="K5492" s="14" t="n">
        <f aca="false">J5492-H5492</f>
        <v>1.07</v>
      </c>
      <c r="L5492" s="14" t="n">
        <f aca="false">G5492-H5492</f>
        <v>6.07</v>
      </c>
    </row>
    <row r="5493" customFormat="false" ht="15" hidden="false" customHeight="false" outlineLevel="0" collapsed="false">
      <c r="A5493" s="2" t="s">
        <v>125</v>
      </c>
      <c r="B5493" s="2" t="s">
        <v>125</v>
      </c>
      <c r="C5493" s="2" t="s">
        <v>48</v>
      </c>
      <c r="D5493" s="2" t="s">
        <v>10</v>
      </c>
      <c r="E5493" s="2" t="s">
        <v>76</v>
      </c>
      <c r="F5493" s="2" t="s">
        <v>1145</v>
      </c>
      <c r="G5493" s="14" t="n">
        <v>9.5</v>
      </c>
      <c r="H5493" s="14" t="n">
        <v>23.58</v>
      </c>
      <c r="I5493" s="14" t="n">
        <v>9.5</v>
      </c>
      <c r="J5493" s="22" t="n">
        <f aca="false">IF(E5493="Priority",'Cost model'!N74,'Cost model'!M74)</f>
        <v>21.5</v>
      </c>
      <c r="K5493" s="14" t="n">
        <f aca="false">J5493-H5493</f>
        <v>-2.08</v>
      </c>
      <c r="L5493" s="14" t="n">
        <f aca="false">G5493-H5493</f>
        <v>-14.08</v>
      </c>
    </row>
    <row r="5494" customFormat="false" ht="15" hidden="false" customHeight="false" outlineLevel="0" collapsed="false">
      <c r="A5494" s="2" t="s">
        <v>184</v>
      </c>
      <c r="B5494" s="2" t="s">
        <v>165</v>
      </c>
      <c r="C5494" s="2" t="s">
        <v>48</v>
      </c>
      <c r="D5494" s="2" t="s">
        <v>12</v>
      </c>
      <c r="E5494" s="2" t="s">
        <v>85</v>
      </c>
      <c r="F5494" s="2" t="s">
        <v>1146</v>
      </c>
      <c r="G5494" s="14" t="n">
        <v>24.5</v>
      </c>
      <c r="H5494" s="14" t="n">
        <v>41.77</v>
      </c>
      <c r="I5494" s="14" t="n">
        <v>24.5</v>
      </c>
      <c r="J5494" s="22" t="n">
        <f aca="false">IF(E5494="Priority",'Cost model'!N167,'Cost model'!M167)</f>
        <v>80</v>
      </c>
      <c r="K5494" s="14" t="n">
        <f aca="false">J5494-H5494</f>
        <v>38.23</v>
      </c>
      <c r="L5494" s="14" t="n">
        <f aca="false">G5494-H5494</f>
        <v>-17.27</v>
      </c>
    </row>
    <row r="5495" customFormat="false" ht="15" hidden="false" customHeight="false" outlineLevel="0" collapsed="false">
      <c r="A5495" s="2" t="s">
        <v>184</v>
      </c>
      <c r="B5495" s="2" t="s">
        <v>184</v>
      </c>
      <c r="C5495" s="2" t="s">
        <v>48</v>
      </c>
      <c r="D5495" s="2" t="s">
        <v>10</v>
      </c>
      <c r="E5495" s="2" t="s">
        <v>85</v>
      </c>
      <c r="F5495" s="2" t="s">
        <v>1145</v>
      </c>
      <c r="G5495" s="14" t="n">
        <v>14.5</v>
      </c>
      <c r="H5495" s="14" t="n">
        <v>7.72</v>
      </c>
      <c r="I5495" s="14" t="n">
        <v>14.5</v>
      </c>
      <c r="J5495" s="22" t="n">
        <f aca="false">IF(E5495="Priority",'Cost model'!N200,'Cost model'!M200)</f>
        <v>12.5</v>
      </c>
      <c r="K5495" s="14" t="n">
        <f aca="false">J5495-H5495</f>
        <v>4.78</v>
      </c>
      <c r="L5495" s="14" t="n">
        <f aca="false">G5495-H5495</f>
        <v>6.78</v>
      </c>
    </row>
    <row r="5496" customFormat="false" ht="15" hidden="false" customHeight="false" outlineLevel="0" collapsed="false">
      <c r="A5496" s="2" t="s">
        <v>240</v>
      </c>
      <c r="B5496" s="2" t="s">
        <v>240</v>
      </c>
      <c r="C5496" s="2" t="s">
        <v>48</v>
      </c>
      <c r="D5496" s="2" t="s">
        <v>12</v>
      </c>
      <c r="E5496" s="2" t="s">
        <v>76</v>
      </c>
      <c r="F5496" s="2" t="s">
        <v>1145</v>
      </c>
      <c r="G5496" s="14" t="n">
        <v>9.5</v>
      </c>
      <c r="H5496" s="14" t="n">
        <v>27.6</v>
      </c>
      <c r="I5496" s="14" t="n">
        <v>9.5</v>
      </c>
      <c r="J5496" s="22" t="n">
        <f aca="false">IF(E5496="Priority",'Cost model'!N887,'Cost model'!M887)</f>
        <v>21.5</v>
      </c>
      <c r="K5496" s="14" t="n">
        <f aca="false">J5496-H5496</f>
        <v>-6.1</v>
      </c>
      <c r="L5496" s="14" t="n">
        <f aca="false">G5496-H5496</f>
        <v>-18.1</v>
      </c>
    </row>
    <row r="5497" customFormat="false" ht="15" hidden="false" customHeight="false" outlineLevel="0" collapsed="false">
      <c r="A5497" s="2" t="s">
        <v>165</v>
      </c>
      <c r="B5497" s="2" t="s">
        <v>165</v>
      </c>
      <c r="C5497" s="2" t="s">
        <v>48</v>
      </c>
      <c r="D5497" s="2" t="s">
        <v>12</v>
      </c>
      <c r="E5497" s="2" t="s">
        <v>76</v>
      </c>
      <c r="F5497" s="2" t="s">
        <v>1145</v>
      </c>
      <c r="G5497" s="14" t="n">
        <v>9.5</v>
      </c>
      <c r="H5497" s="14" t="n">
        <v>16.69</v>
      </c>
      <c r="I5497" s="14" t="n">
        <v>9.5</v>
      </c>
      <c r="J5497" s="22" t="n">
        <f aca="false">IF(E5497="Priority",'Cost model'!N509,'Cost model'!M509)</f>
        <v>17.5</v>
      </c>
      <c r="K5497" s="14" t="n">
        <f aca="false">J5497-H5497</f>
        <v>0.809999999999999</v>
      </c>
      <c r="L5497" s="14" t="n">
        <f aca="false">G5497-H5497</f>
        <v>-7.19</v>
      </c>
    </row>
    <row r="5498" customFormat="false" ht="15" hidden="false" customHeight="false" outlineLevel="0" collapsed="false">
      <c r="A5498" s="2" t="s">
        <v>184</v>
      </c>
      <c r="B5498" s="2" t="s">
        <v>146</v>
      </c>
      <c r="C5498" s="2" t="s">
        <v>49</v>
      </c>
      <c r="D5498" s="2" t="s">
        <v>12</v>
      </c>
      <c r="E5498" s="2" t="s">
        <v>76</v>
      </c>
      <c r="F5498" s="2" t="s">
        <v>1146</v>
      </c>
      <c r="G5498" s="14" t="n">
        <v>12.5</v>
      </c>
      <c r="H5498" s="14" t="n">
        <v>25.41</v>
      </c>
      <c r="I5498" s="14"/>
      <c r="J5498" s="22" t="n">
        <f aca="false">IF(E5498="Priority",'Cost model'!N150,'Cost model'!M150)</f>
        <v>55</v>
      </c>
      <c r="K5498" s="14" t="n">
        <f aca="false">J5498-H5498</f>
        <v>29.59</v>
      </c>
      <c r="L5498" s="14" t="n">
        <f aca="false">G5498-H5498</f>
        <v>-12.91</v>
      </c>
    </row>
    <row r="5499" customFormat="false" ht="15" hidden="false" customHeight="false" outlineLevel="0" collapsed="false">
      <c r="A5499" s="2" t="s">
        <v>146</v>
      </c>
      <c r="B5499" s="2" t="s">
        <v>146</v>
      </c>
      <c r="C5499" s="2" t="s">
        <v>50</v>
      </c>
      <c r="D5499" s="2" t="s">
        <v>13</v>
      </c>
      <c r="E5499" s="2" t="s">
        <v>76</v>
      </c>
      <c r="F5499" s="2" t="s">
        <v>1145</v>
      </c>
      <c r="G5499" s="14" t="n">
        <v>85</v>
      </c>
      <c r="H5499" s="14" t="n">
        <v>170.37</v>
      </c>
      <c r="I5499" s="14" t="n">
        <v>50</v>
      </c>
      <c r="J5499" s="22" t="n">
        <f aca="false">IF(E5499="Priority",'Cost model'!N766,'Cost model'!M766)</f>
        <v>90</v>
      </c>
      <c r="K5499" s="14" t="n">
        <f aca="false">J5499-H5499</f>
        <v>-80.37</v>
      </c>
      <c r="L5499" s="14" t="n">
        <f aca="false">G5499-H5499</f>
        <v>-85.37</v>
      </c>
    </row>
    <row r="5500" customFormat="false" ht="15" hidden="false" customHeight="false" outlineLevel="0" collapsed="false">
      <c r="A5500" s="2" t="s">
        <v>165</v>
      </c>
      <c r="B5500" s="2" t="s">
        <v>165</v>
      </c>
      <c r="C5500" s="2" t="s">
        <v>48</v>
      </c>
      <c r="D5500" s="2" t="s">
        <v>13</v>
      </c>
      <c r="E5500" s="2" t="s">
        <v>76</v>
      </c>
      <c r="F5500" s="2" t="s">
        <v>1145</v>
      </c>
      <c r="G5500" s="14" t="n">
        <v>24.5</v>
      </c>
      <c r="H5500" s="14" t="n">
        <v>25.14</v>
      </c>
      <c r="I5500" s="14" t="n">
        <v>19</v>
      </c>
      <c r="J5500" s="22" t="n">
        <f aca="false">IF(E5500="Priority",'Cost model'!N512,'Cost model'!M512)</f>
        <v>35</v>
      </c>
      <c r="K5500" s="14" t="n">
        <f aca="false">J5500-H5500</f>
        <v>9.86</v>
      </c>
      <c r="L5500" s="14" t="n">
        <f aca="false">G5500-H5500</f>
        <v>-0.640000000000001</v>
      </c>
    </row>
    <row r="5501" customFormat="false" ht="15" hidden="false" customHeight="false" outlineLevel="0" collapsed="false">
      <c r="A5501" s="2" t="s">
        <v>184</v>
      </c>
      <c r="B5501" s="2" t="s">
        <v>146</v>
      </c>
      <c r="C5501" s="2" t="s">
        <v>49</v>
      </c>
      <c r="D5501" s="2" t="s">
        <v>10</v>
      </c>
      <c r="E5501" s="2" t="s">
        <v>76</v>
      </c>
      <c r="F5501" s="2" t="s">
        <v>1146</v>
      </c>
      <c r="G5501" s="14" t="n">
        <v>12.5</v>
      </c>
      <c r="H5501" s="14" t="n">
        <v>12</v>
      </c>
      <c r="I5501" s="14"/>
      <c r="J5501" s="22" t="n">
        <f aca="false">IF(E5501="Priority",'Cost model'!N147,'Cost model'!M147)</f>
        <v>14.5</v>
      </c>
      <c r="K5501" s="14" t="n">
        <f aca="false">J5501-H5501</f>
        <v>2.5</v>
      </c>
      <c r="L5501" s="14" t="n">
        <f aca="false">G5501-H5501</f>
        <v>0.5</v>
      </c>
    </row>
    <row r="5502" customFormat="false" ht="15" hidden="false" customHeight="false" outlineLevel="0" collapsed="false">
      <c r="A5502" s="2" t="s">
        <v>240</v>
      </c>
      <c r="B5502" s="2" t="s">
        <v>146</v>
      </c>
      <c r="C5502" s="2" t="s">
        <v>48</v>
      </c>
      <c r="D5502" s="2" t="s">
        <v>12</v>
      </c>
      <c r="E5502" s="2" t="s">
        <v>76</v>
      </c>
      <c r="F5502" s="2" t="s">
        <v>1146</v>
      </c>
      <c r="G5502" s="14" t="n">
        <v>19.5</v>
      </c>
      <c r="H5502" s="14" t="n">
        <v>85.02</v>
      </c>
      <c r="I5502" s="14" t="n">
        <v>24.5</v>
      </c>
      <c r="J5502" s="22" t="n">
        <f aca="false">IF(E5502="Priority",'Cost model'!N923,'Cost model'!M923)</f>
        <v>65</v>
      </c>
      <c r="K5502" s="14" t="n">
        <f aca="false">J5502-H5502</f>
        <v>-20.02</v>
      </c>
      <c r="L5502" s="14" t="n">
        <f aca="false">G5502-H5502</f>
        <v>-65.52</v>
      </c>
    </row>
    <row r="5503" customFormat="false" ht="15" hidden="false" customHeight="false" outlineLevel="0" collapsed="false">
      <c r="A5503" s="2" t="s">
        <v>240</v>
      </c>
      <c r="B5503" s="2" t="s">
        <v>165</v>
      </c>
      <c r="C5503" s="2" t="s">
        <v>48</v>
      </c>
      <c r="D5503" s="2" t="s">
        <v>14</v>
      </c>
      <c r="E5503" s="2" t="s">
        <v>76</v>
      </c>
      <c r="F5503" s="2" t="s">
        <v>1146</v>
      </c>
      <c r="G5503" s="14" t="n">
        <v>85</v>
      </c>
      <c r="H5503" s="14" t="n">
        <v>254.9</v>
      </c>
      <c r="I5503" s="14" t="n">
        <v>85</v>
      </c>
      <c r="J5503" s="22" t="n">
        <f aca="false">IF(E5503="Priority",'Cost model'!N911,'Cost model'!M911)</f>
        <v>155</v>
      </c>
      <c r="K5503" s="14" t="n">
        <f aca="false">J5503-H5503</f>
        <v>-99.9</v>
      </c>
      <c r="L5503" s="14" t="n">
        <f aca="false">G5503-H5503</f>
        <v>-169.9</v>
      </c>
    </row>
    <row r="5504" customFormat="false" ht="15" hidden="false" customHeight="false" outlineLevel="0" collapsed="false">
      <c r="A5504" s="2" t="s">
        <v>126</v>
      </c>
      <c r="B5504" s="2" t="s">
        <v>126</v>
      </c>
      <c r="C5504" s="2" t="s">
        <v>48</v>
      </c>
      <c r="D5504" s="2" t="s">
        <v>13</v>
      </c>
      <c r="E5504" s="2" t="s">
        <v>76</v>
      </c>
      <c r="F5504" s="2" t="s">
        <v>1145</v>
      </c>
      <c r="G5504" s="14" t="n">
        <v>19</v>
      </c>
      <c r="H5504" s="14" t="n">
        <v>58.22</v>
      </c>
      <c r="I5504" s="14" t="n">
        <v>19</v>
      </c>
      <c r="J5504" s="22" t="n">
        <f aca="false">IF(E5504="Priority",'Cost model'!N386,'Cost model'!M386)</f>
        <v>55</v>
      </c>
      <c r="K5504" s="14" t="n">
        <f aca="false">J5504-H5504</f>
        <v>-3.22</v>
      </c>
      <c r="L5504" s="14" t="n">
        <f aca="false">G5504-H5504</f>
        <v>-39.22</v>
      </c>
    </row>
    <row r="5505" customFormat="false" ht="15" hidden="false" customHeight="false" outlineLevel="0" collapsed="false">
      <c r="A5505" s="2" t="s">
        <v>126</v>
      </c>
      <c r="B5505" s="2" t="s">
        <v>126</v>
      </c>
      <c r="C5505" s="2" t="s">
        <v>50</v>
      </c>
      <c r="D5505" s="2" t="s">
        <v>13</v>
      </c>
      <c r="E5505" s="2" t="s">
        <v>76</v>
      </c>
      <c r="F5505" s="2" t="s">
        <v>1145</v>
      </c>
      <c r="G5505" s="14" t="n">
        <v>50</v>
      </c>
      <c r="H5505" s="14" t="n">
        <v>146.97</v>
      </c>
      <c r="I5505" s="14" t="n">
        <v>50</v>
      </c>
      <c r="J5505" s="22" t="n">
        <f aca="false">IF(E5505="Priority",'Cost model'!N388,'Cost model'!M388)</f>
        <v>110</v>
      </c>
      <c r="K5505" s="14" t="n">
        <f aca="false">J5505-H5505</f>
        <v>-36.97</v>
      </c>
      <c r="L5505" s="14" t="n">
        <f aca="false">G5505-H5505</f>
        <v>-96.97</v>
      </c>
    </row>
    <row r="5506" customFormat="false" ht="15" hidden="false" customHeight="false" outlineLevel="0" collapsed="false">
      <c r="A5506" s="2" t="s">
        <v>165</v>
      </c>
      <c r="B5506" s="2" t="s">
        <v>165</v>
      </c>
      <c r="C5506" s="2" t="s">
        <v>50</v>
      </c>
      <c r="D5506" s="2" t="s">
        <v>10</v>
      </c>
      <c r="E5506" s="2" t="s">
        <v>76</v>
      </c>
      <c r="F5506" s="2" t="s">
        <v>1145</v>
      </c>
      <c r="G5506" s="14" t="n">
        <v>17.5</v>
      </c>
      <c r="H5506" s="14" t="n">
        <v>13.7</v>
      </c>
      <c r="I5506" s="14" t="n">
        <v>17.5</v>
      </c>
      <c r="J5506" s="22" t="n">
        <f aca="false">IF(E5506="Priority",'Cost model'!N508,'Cost model'!M508)</f>
        <v>17.5</v>
      </c>
      <c r="K5506" s="14" t="n">
        <f aca="false">J5506-H5506</f>
        <v>3.8</v>
      </c>
      <c r="L5506" s="14" t="n">
        <f aca="false">G5506-H5506</f>
        <v>3.8</v>
      </c>
    </row>
    <row r="5507" customFormat="false" ht="15" hidden="false" customHeight="false" outlineLevel="0" collapsed="false">
      <c r="A5507" s="2" t="s">
        <v>184</v>
      </c>
      <c r="B5507" s="2" t="s">
        <v>184</v>
      </c>
      <c r="C5507" s="2" t="s">
        <v>49</v>
      </c>
      <c r="D5507" s="2" t="s">
        <v>10</v>
      </c>
      <c r="E5507" s="2" t="s">
        <v>76</v>
      </c>
      <c r="F5507" s="2" t="s">
        <v>1145</v>
      </c>
      <c r="G5507" s="14" t="n">
        <v>12.5</v>
      </c>
      <c r="H5507" s="14" t="n">
        <v>15.24</v>
      </c>
      <c r="I5507" s="14"/>
      <c r="J5507" s="22" t="n">
        <f aca="false">IF(E5507="Priority",'Cost model'!N201,'Cost model'!M201)</f>
        <v>12.5</v>
      </c>
      <c r="K5507" s="14" t="n">
        <f aca="false">J5507-H5507</f>
        <v>-2.74</v>
      </c>
      <c r="L5507" s="14" t="n">
        <f aca="false">G5507-H5507</f>
        <v>-2.74</v>
      </c>
    </row>
    <row r="5508" customFormat="false" ht="15" hidden="false" customHeight="false" outlineLevel="0" collapsed="false">
      <c r="A5508" s="2" t="s">
        <v>184</v>
      </c>
      <c r="B5508" s="2" t="s">
        <v>184</v>
      </c>
      <c r="C5508" s="2" t="s">
        <v>50</v>
      </c>
      <c r="D5508" s="2" t="s">
        <v>10</v>
      </c>
      <c r="E5508" s="2" t="s">
        <v>76</v>
      </c>
      <c r="F5508" s="2" t="s">
        <v>1145</v>
      </c>
      <c r="G5508" s="14" t="n">
        <v>17.5</v>
      </c>
      <c r="H5508" s="14" t="n">
        <v>25.97</v>
      </c>
      <c r="I5508" s="14" t="n">
        <v>17.5</v>
      </c>
      <c r="J5508" s="22" t="n">
        <f aca="false">IF(E5508="Priority",'Cost model'!N202,'Cost model'!M202)</f>
        <v>17.5</v>
      </c>
      <c r="K5508" s="14" t="n">
        <f aca="false">J5508-H5508</f>
        <v>-8.47</v>
      </c>
      <c r="L5508" s="14" t="n">
        <f aca="false">G5508-H5508</f>
        <v>-8.47</v>
      </c>
    </row>
    <row r="5509" customFormat="false" ht="15" hidden="false" customHeight="false" outlineLevel="0" collapsed="false">
      <c r="A5509" s="2" t="s">
        <v>184</v>
      </c>
      <c r="B5509" s="2" t="s">
        <v>126</v>
      </c>
      <c r="C5509" s="2" t="s">
        <v>48</v>
      </c>
      <c r="D5509" s="2" t="s">
        <v>10</v>
      </c>
      <c r="E5509" s="2" t="s">
        <v>85</v>
      </c>
      <c r="F5509" s="2" t="s">
        <v>1146</v>
      </c>
      <c r="G5509" s="14" t="n">
        <v>14.5</v>
      </c>
      <c r="H5509" s="14" t="n">
        <v>21.76</v>
      </c>
      <c r="I5509" s="14" t="n">
        <v>14.5</v>
      </c>
      <c r="J5509" s="22" t="n">
        <f aca="false">IF(E5509="Priority",'Cost model'!N128,'Cost model'!M128)</f>
        <v>15.5</v>
      </c>
      <c r="K5509" s="14" t="n">
        <f aca="false">J5509-H5509</f>
        <v>-6.26</v>
      </c>
      <c r="L5509" s="14" t="n">
        <f aca="false">G5509-H5509</f>
        <v>-7.26</v>
      </c>
    </row>
    <row r="5510" customFormat="false" ht="15" hidden="false" customHeight="false" outlineLevel="0" collapsed="false">
      <c r="A5510" s="2" t="s">
        <v>146</v>
      </c>
      <c r="B5510" s="2" t="s">
        <v>126</v>
      </c>
      <c r="C5510" s="2" t="s">
        <v>48</v>
      </c>
      <c r="D5510" s="2" t="s">
        <v>13</v>
      </c>
      <c r="E5510" s="2" t="s">
        <v>76</v>
      </c>
      <c r="F5510" s="2" t="s">
        <v>1146</v>
      </c>
      <c r="G5510" s="14" t="n">
        <v>19</v>
      </c>
      <c r="H5510" s="14" t="n">
        <v>65.5</v>
      </c>
      <c r="I5510" s="14" t="n">
        <v>24.5</v>
      </c>
      <c r="J5510" s="22" t="n">
        <f aca="false">IF(E5510="Priority",'Cost model'!N800,'Cost model'!M800)</f>
        <v>70</v>
      </c>
      <c r="K5510" s="14" t="n">
        <f aca="false">J5510-H5510</f>
        <v>4.5</v>
      </c>
      <c r="L5510" s="14" t="n">
        <f aca="false">G5510-H5510</f>
        <v>-46.5</v>
      </c>
    </row>
    <row r="5511" customFormat="false" ht="15" hidden="false" customHeight="false" outlineLevel="0" collapsed="false">
      <c r="A5511" s="2" t="s">
        <v>221</v>
      </c>
      <c r="B5511" s="2" t="s">
        <v>165</v>
      </c>
      <c r="C5511" s="2" t="s">
        <v>48</v>
      </c>
      <c r="D5511" s="2" t="s">
        <v>15</v>
      </c>
      <c r="E5511" s="2" t="s">
        <v>76</v>
      </c>
      <c r="F5511" s="2" t="s">
        <v>1146</v>
      </c>
      <c r="G5511" s="14" t="n">
        <v>300</v>
      </c>
      <c r="H5511" s="14" t="n">
        <v>229.31</v>
      </c>
      <c r="I5511" s="14"/>
      <c r="J5511" s="22" t="n">
        <f aca="false">IF(E5511="Priority",'Cost model'!N752,'Cost model'!M752)</f>
        <v>195</v>
      </c>
      <c r="K5511" s="14" t="n">
        <f aca="false">J5511-H5511</f>
        <v>-34.31</v>
      </c>
      <c r="L5511" s="14" t="n">
        <f aca="false">G5511-H5511</f>
        <v>70.69</v>
      </c>
    </row>
    <row r="5512" customFormat="false" ht="15" hidden="false" customHeight="false" outlineLevel="0" collapsed="false">
      <c r="A5512" s="2" t="s">
        <v>126</v>
      </c>
      <c r="B5512" s="2" t="s">
        <v>126</v>
      </c>
      <c r="C5512" s="2" t="s">
        <v>48</v>
      </c>
      <c r="D5512" s="2" t="s">
        <v>12</v>
      </c>
      <c r="E5512" s="2" t="s">
        <v>85</v>
      </c>
      <c r="F5512" s="2" t="s">
        <v>1145</v>
      </c>
      <c r="G5512" s="14" t="n">
        <v>19.5</v>
      </c>
      <c r="H5512" s="14" t="n">
        <v>53.23</v>
      </c>
      <c r="I5512" s="14" t="n">
        <v>19.5</v>
      </c>
      <c r="J5512" s="22" t="n">
        <f aca="false">IF(E5512="Priority",'Cost model'!N383,'Cost model'!M383)</f>
        <v>35</v>
      </c>
      <c r="K5512" s="14" t="n">
        <f aca="false">J5512-H5512</f>
        <v>-18.23</v>
      </c>
      <c r="L5512" s="14" t="n">
        <f aca="false">G5512-H5512</f>
        <v>-33.73</v>
      </c>
    </row>
    <row r="5513" customFormat="false" ht="15" hidden="false" customHeight="false" outlineLevel="0" collapsed="false">
      <c r="A5513" s="2" t="s">
        <v>146</v>
      </c>
      <c r="B5513" s="2" t="s">
        <v>146</v>
      </c>
      <c r="C5513" s="2" t="s">
        <v>49</v>
      </c>
      <c r="D5513" s="2" t="s">
        <v>10</v>
      </c>
      <c r="E5513" s="2" t="s">
        <v>76</v>
      </c>
      <c r="F5513" s="2" t="s">
        <v>1145</v>
      </c>
      <c r="G5513" s="14" t="n">
        <v>12.5</v>
      </c>
      <c r="H5513" s="14" t="n">
        <v>14.08</v>
      </c>
      <c r="I5513" s="14" t="n">
        <v>12.5</v>
      </c>
      <c r="J5513" s="22" t="n">
        <f aca="false">IF(E5513="Priority",'Cost model'!N759,'Cost model'!M759)</f>
        <v>15.5</v>
      </c>
      <c r="K5513" s="14" t="n">
        <f aca="false">J5513-H5513</f>
        <v>1.42</v>
      </c>
      <c r="L5513" s="14" t="n">
        <f aca="false">G5513-H5513</f>
        <v>-1.58</v>
      </c>
    </row>
    <row r="5514" customFormat="false" ht="15" hidden="false" customHeight="false" outlineLevel="0" collapsed="false">
      <c r="A5514" s="2" t="s">
        <v>146</v>
      </c>
      <c r="B5514" s="2" t="s">
        <v>146</v>
      </c>
      <c r="C5514" s="2" t="s">
        <v>48</v>
      </c>
      <c r="D5514" s="2" t="s">
        <v>10</v>
      </c>
      <c r="E5514" s="2" t="s">
        <v>76</v>
      </c>
      <c r="F5514" s="2" t="s">
        <v>1145</v>
      </c>
      <c r="G5514" s="14" t="n">
        <v>9.5</v>
      </c>
      <c r="H5514" s="14" t="n">
        <v>7.45</v>
      </c>
      <c r="I5514" s="14" t="n">
        <v>9.5</v>
      </c>
      <c r="J5514" s="22" t="n">
        <f aca="false">IF(E5514="Priority",'Cost model'!N758,'Cost model'!M758)</f>
        <v>9.5</v>
      </c>
      <c r="K5514" s="14" t="n">
        <f aca="false">J5514-H5514</f>
        <v>2.05</v>
      </c>
      <c r="L5514" s="14" t="n">
        <f aca="false">G5514-H5514</f>
        <v>2.05</v>
      </c>
    </row>
    <row r="5515" customFormat="false" ht="15" hidden="false" customHeight="false" outlineLevel="0" collapsed="false">
      <c r="A5515" s="2" t="s">
        <v>146</v>
      </c>
      <c r="B5515" s="2" t="s">
        <v>146</v>
      </c>
      <c r="C5515" s="2" t="s">
        <v>49</v>
      </c>
      <c r="D5515" s="2" t="s">
        <v>10</v>
      </c>
      <c r="E5515" s="2" t="s">
        <v>76</v>
      </c>
      <c r="F5515" s="2" t="s">
        <v>1145</v>
      </c>
      <c r="G5515" s="14" t="n">
        <v>12.5</v>
      </c>
      <c r="H5515" s="14" t="n">
        <v>10.51</v>
      </c>
      <c r="I5515" s="14" t="n">
        <v>12.5</v>
      </c>
      <c r="J5515" s="22" t="n">
        <f aca="false">IF(E5515="Priority",'Cost model'!N759,'Cost model'!M759)</f>
        <v>15.5</v>
      </c>
      <c r="K5515" s="14" t="n">
        <f aca="false">J5515-H5515</f>
        <v>4.99</v>
      </c>
      <c r="L5515" s="14" t="n">
        <f aca="false">G5515-H5515</f>
        <v>1.99</v>
      </c>
    </row>
    <row r="5516" customFormat="false" ht="15" hidden="false" customHeight="false" outlineLevel="0" collapsed="false">
      <c r="A5516" s="2" t="s">
        <v>240</v>
      </c>
      <c r="B5516" s="2" t="s">
        <v>184</v>
      </c>
      <c r="C5516" s="2" t="s">
        <v>48</v>
      </c>
      <c r="D5516" s="2" t="s">
        <v>10</v>
      </c>
      <c r="E5516" s="2" t="s">
        <v>76</v>
      </c>
      <c r="F5516" s="2" t="s">
        <v>1146</v>
      </c>
      <c r="G5516" s="14" t="n">
        <v>12.5</v>
      </c>
      <c r="H5516" s="14" t="n">
        <v>7.71</v>
      </c>
      <c r="I5516" s="14" t="n">
        <v>19.5</v>
      </c>
      <c r="J5516" s="22" t="n">
        <f aca="false">IF(E5516="Priority",'Cost model'!N938,'Cost model'!M938)</f>
        <v>16.5</v>
      </c>
      <c r="K5516" s="14" t="n">
        <f aca="false">J5516-H5516</f>
        <v>8.79</v>
      </c>
      <c r="L5516" s="14" t="n">
        <f aca="false">G5516-H5516</f>
        <v>4.79</v>
      </c>
    </row>
    <row r="5517" customFormat="false" ht="15" hidden="false" customHeight="false" outlineLevel="0" collapsed="false">
      <c r="A5517" s="2" t="s">
        <v>240</v>
      </c>
      <c r="B5517" s="2" t="s">
        <v>165</v>
      </c>
      <c r="C5517" s="2" t="s">
        <v>48</v>
      </c>
      <c r="D5517" s="2" t="s">
        <v>10</v>
      </c>
      <c r="E5517" s="2" t="s">
        <v>76</v>
      </c>
      <c r="F5517" s="2" t="s">
        <v>1146</v>
      </c>
      <c r="G5517" s="14" t="n">
        <v>9.5</v>
      </c>
      <c r="H5517" s="14" t="n">
        <v>8.58</v>
      </c>
      <c r="I5517" s="14" t="n">
        <v>14.5</v>
      </c>
      <c r="J5517" s="22" t="n">
        <f aca="false">IF(E5517="Priority",'Cost model'!N902,'Cost model'!M902)</f>
        <v>13.5</v>
      </c>
      <c r="K5517" s="14" t="n">
        <f aca="false">J5517-H5517</f>
        <v>4.92</v>
      </c>
      <c r="L5517" s="14" t="n">
        <f aca="false">G5517-H5517</f>
        <v>0.92</v>
      </c>
    </row>
    <row r="5518" customFormat="false" ht="15" hidden="false" customHeight="false" outlineLevel="0" collapsed="false">
      <c r="A5518" s="2" t="s">
        <v>184</v>
      </c>
      <c r="B5518" s="2" t="s">
        <v>184</v>
      </c>
      <c r="C5518" s="2" t="s">
        <v>49</v>
      </c>
      <c r="D5518" s="2" t="s">
        <v>13</v>
      </c>
      <c r="E5518" s="2" t="s">
        <v>76</v>
      </c>
      <c r="F5518" s="2" t="s">
        <v>1145</v>
      </c>
      <c r="G5518" s="14" t="n">
        <v>24.5</v>
      </c>
      <c r="H5518" s="14" t="n">
        <v>63.84</v>
      </c>
      <c r="I5518" s="14"/>
      <c r="J5518" s="22" t="n">
        <f aca="false">IF(E5518="Priority",'Cost model'!N207,'Cost model'!M207)</f>
        <v>75</v>
      </c>
      <c r="K5518" s="14" t="n">
        <f aca="false">J5518-H5518</f>
        <v>11.16</v>
      </c>
      <c r="L5518" s="14" t="n">
        <f aca="false">G5518-H5518</f>
        <v>-39.34</v>
      </c>
    </row>
    <row r="5519" customFormat="false" ht="15" hidden="false" customHeight="false" outlineLevel="0" collapsed="false">
      <c r="A5519" s="2" t="s">
        <v>146</v>
      </c>
      <c r="B5519" s="2" t="s">
        <v>146</v>
      </c>
      <c r="C5519" s="2" t="s">
        <v>50</v>
      </c>
      <c r="D5519" s="2" t="s">
        <v>12</v>
      </c>
      <c r="E5519" s="2" t="s">
        <v>76</v>
      </c>
      <c r="F5519" s="2" t="s">
        <v>1145</v>
      </c>
      <c r="G5519" s="14" t="n">
        <v>19.5</v>
      </c>
      <c r="H5519" s="14" t="n">
        <v>25.01</v>
      </c>
      <c r="I5519" s="14" t="n">
        <v>19.5</v>
      </c>
      <c r="J5519" s="22" t="n">
        <f aca="false">IF(E5519="Priority",'Cost model'!N763,'Cost model'!M763)</f>
        <v>50</v>
      </c>
      <c r="K5519" s="14" t="n">
        <f aca="false">J5519-H5519</f>
        <v>24.99</v>
      </c>
      <c r="L5519" s="14" t="n">
        <f aca="false">G5519-H5519</f>
        <v>-5.51</v>
      </c>
    </row>
    <row r="5520" customFormat="false" ht="15" hidden="false" customHeight="false" outlineLevel="0" collapsed="false">
      <c r="A5520" s="2" t="s">
        <v>184</v>
      </c>
      <c r="B5520" s="2" t="s">
        <v>184</v>
      </c>
      <c r="C5520" s="2" t="s">
        <v>49</v>
      </c>
      <c r="D5520" s="2" t="s">
        <v>10</v>
      </c>
      <c r="E5520" s="2" t="s">
        <v>76</v>
      </c>
      <c r="F5520" s="2" t="s">
        <v>1145</v>
      </c>
      <c r="G5520" s="14" t="n">
        <v>12.5</v>
      </c>
      <c r="H5520" s="14" t="n">
        <v>17.09</v>
      </c>
      <c r="I5520" s="14"/>
      <c r="J5520" s="22" t="n">
        <f aca="false">IF(E5520="Priority",'Cost model'!N201,'Cost model'!M201)</f>
        <v>12.5</v>
      </c>
      <c r="K5520" s="14" t="n">
        <f aca="false">J5520-H5520</f>
        <v>-4.59</v>
      </c>
      <c r="L5520" s="14" t="n">
        <f aca="false">G5520-H5520</f>
        <v>-4.59</v>
      </c>
    </row>
    <row r="5521" customFormat="false" ht="15" hidden="false" customHeight="false" outlineLevel="0" collapsed="false">
      <c r="A5521" s="2" t="s">
        <v>126</v>
      </c>
      <c r="B5521" s="2" t="s">
        <v>126</v>
      </c>
      <c r="C5521" s="2" t="s">
        <v>50</v>
      </c>
      <c r="D5521" s="2" t="s">
        <v>10</v>
      </c>
      <c r="E5521" s="2" t="s">
        <v>76</v>
      </c>
      <c r="F5521" s="2" t="s">
        <v>1145</v>
      </c>
      <c r="G5521" s="14" t="n">
        <v>17.5</v>
      </c>
      <c r="H5521" s="14" t="n">
        <v>21.6</v>
      </c>
      <c r="I5521" s="14" t="n">
        <v>17.5</v>
      </c>
      <c r="J5521" s="22" t="n">
        <f aca="false">IF(E5521="Priority",'Cost model'!N382,'Cost model'!M382)</f>
        <v>18.5</v>
      </c>
      <c r="K5521" s="14" t="n">
        <f aca="false">J5521-H5521</f>
        <v>-3.1</v>
      </c>
      <c r="L5521" s="14" t="n">
        <f aca="false">G5521-H5521</f>
        <v>-4.1</v>
      </c>
    </row>
    <row r="5522" customFormat="false" ht="15" hidden="false" customHeight="false" outlineLevel="0" collapsed="false">
      <c r="A5522" s="2" t="s">
        <v>184</v>
      </c>
      <c r="B5522" s="2" t="s">
        <v>184</v>
      </c>
      <c r="C5522" s="2" t="s">
        <v>50</v>
      </c>
      <c r="D5522" s="2" t="s">
        <v>10</v>
      </c>
      <c r="E5522" s="2" t="s">
        <v>76</v>
      </c>
      <c r="F5522" s="2" t="s">
        <v>1145</v>
      </c>
      <c r="G5522" s="14" t="n">
        <v>17.5</v>
      </c>
      <c r="H5522" s="14" t="n">
        <v>10.79</v>
      </c>
      <c r="I5522" s="14" t="n">
        <v>17.5</v>
      </c>
      <c r="J5522" s="22" t="n">
        <f aca="false">IF(E5522="Priority",'Cost model'!N202,'Cost model'!M202)</f>
        <v>17.5</v>
      </c>
      <c r="K5522" s="14" t="n">
        <f aca="false">J5522-H5522</f>
        <v>6.71</v>
      </c>
      <c r="L5522" s="14" t="n">
        <f aca="false">G5522-H5522</f>
        <v>6.71</v>
      </c>
    </row>
    <row r="5523" customFormat="false" ht="15" hidden="false" customHeight="false" outlineLevel="0" collapsed="false">
      <c r="A5523" s="2" t="s">
        <v>184</v>
      </c>
      <c r="B5523" s="2" t="s">
        <v>146</v>
      </c>
      <c r="C5523" s="2" t="s">
        <v>48</v>
      </c>
      <c r="D5523" s="2" t="s">
        <v>12</v>
      </c>
      <c r="E5523" s="2" t="s">
        <v>76</v>
      </c>
      <c r="F5523" s="2" t="s">
        <v>1146</v>
      </c>
      <c r="G5523" s="14" t="n">
        <v>9.5</v>
      </c>
      <c r="H5523" s="14" t="n">
        <v>55.79</v>
      </c>
      <c r="I5523" s="14" t="n">
        <v>9.5</v>
      </c>
      <c r="J5523" s="22" t="n">
        <f aca="false">IF(E5523="Priority",'Cost model'!N149,'Cost model'!M149)</f>
        <v>45</v>
      </c>
      <c r="K5523" s="14" t="n">
        <f aca="false">J5523-H5523</f>
        <v>-10.79</v>
      </c>
      <c r="L5523" s="14" t="n">
        <f aca="false">G5523-H5523</f>
        <v>-46.29</v>
      </c>
    </row>
    <row r="5524" customFormat="false" ht="15" hidden="false" customHeight="false" outlineLevel="0" collapsed="false">
      <c r="A5524" s="2" t="s">
        <v>184</v>
      </c>
      <c r="B5524" s="2" t="s">
        <v>184</v>
      </c>
      <c r="C5524" s="2" t="s">
        <v>49</v>
      </c>
      <c r="D5524" s="2" t="s">
        <v>12</v>
      </c>
      <c r="E5524" s="2" t="s">
        <v>76</v>
      </c>
      <c r="F5524" s="2" t="s">
        <v>1145</v>
      </c>
      <c r="G5524" s="14" t="n">
        <v>12.5</v>
      </c>
      <c r="H5524" s="14" t="n">
        <v>71.71</v>
      </c>
      <c r="I5524" s="14"/>
      <c r="J5524" s="22" t="n">
        <f aca="false">IF(E5524="Priority",'Cost model'!N204,'Cost model'!M204)</f>
        <v>45</v>
      </c>
      <c r="K5524" s="14" t="n">
        <f aca="false">J5524-H5524</f>
        <v>-26.71</v>
      </c>
      <c r="L5524" s="14" t="n">
        <f aca="false">G5524-H5524</f>
        <v>-59.21</v>
      </c>
    </row>
    <row r="5525" customFormat="false" ht="15" hidden="false" customHeight="false" outlineLevel="0" collapsed="false">
      <c r="A5525" s="2" t="s">
        <v>184</v>
      </c>
      <c r="B5525" s="2" t="s">
        <v>146</v>
      </c>
      <c r="C5525" s="2" t="s">
        <v>48</v>
      </c>
      <c r="D5525" s="2" t="s">
        <v>12</v>
      </c>
      <c r="E5525" s="2" t="s">
        <v>76</v>
      </c>
      <c r="F5525" s="2" t="s">
        <v>1146</v>
      </c>
      <c r="G5525" s="14" t="n">
        <v>9.5</v>
      </c>
      <c r="H5525" s="14" t="n">
        <v>45.32</v>
      </c>
      <c r="I5525" s="14" t="n">
        <v>9.5</v>
      </c>
      <c r="J5525" s="22" t="n">
        <f aca="false">IF(E5525="Priority",'Cost model'!N149,'Cost model'!M149)</f>
        <v>45</v>
      </c>
      <c r="K5525" s="14" t="n">
        <f aca="false">J5525-H5525</f>
        <v>-0.32</v>
      </c>
      <c r="L5525" s="14" t="n">
        <f aca="false">G5525-H5525</f>
        <v>-35.82</v>
      </c>
    </row>
    <row r="5526" customFormat="false" ht="15" hidden="false" customHeight="false" outlineLevel="0" collapsed="false">
      <c r="A5526" s="2" t="s">
        <v>184</v>
      </c>
      <c r="B5526" s="2" t="s">
        <v>184</v>
      </c>
      <c r="C5526" s="2" t="s">
        <v>49</v>
      </c>
      <c r="D5526" s="2" t="s">
        <v>14</v>
      </c>
      <c r="E5526" s="2" t="s">
        <v>76</v>
      </c>
      <c r="F5526" s="2" t="s">
        <v>1145</v>
      </c>
      <c r="G5526" s="14" t="n">
        <v>45</v>
      </c>
      <c r="H5526" s="14" t="n">
        <v>191.58</v>
      </c>
      <c r="I5526" s="14"/>
      <c r="J5526" s="22" t="n">
        <f aca="false">IF(E5526="Priority",'Cost model'!N210,'Cost model'!M210)</f>
        <v>135</v>
      </c>
      <c r="K5526" s="14" t="n">
        <f aca="false">J5526-H5526</f>
        <v>-56.58</v>
      </c>
      <c r="L5526" s="14" t="n">
        <f aca="false">G5526-H5526</f>
        <v>-146.58</v>
      </c>
    </row>
    <row r="5527" customFormat="false" ht="15" hidden="false" customHeight="false" outlineLevel="0" collapsed="false">
      <c r="A5527" s="2" t="s">
        <v>146</v>
      </c>
      <c r="B5527" s="2" t="s">
        <v>146</v>
      </c>
      <c r="C5527" s="2" t="s">
        <v>49</v>
      </c>
      <c r="D5527" s="2" t="s">
        <v>10</v>
      </c>
      <c r="E5527" s="2" t="s">
        <v>76</v>
      </c>
      <c r="F5527" s="2" t="s">
        <v>1145</v>
      </c>
      <c r="G5527" s="14" t="n">
        <v>12.5</v>
      </c>
      <c r="H5527" s="14" t="n">
        <v>14.63</v>
      </c>
      <c r="I5527" s="14" t="n">
        <v>12.5</v>
      </c>
      <c r="J5527" s="22" t="n">
        <f aca="false">IF(E5527="Priority",'Cost model'!N759,'Cost model'!M759)</f>
        <v>15.5</v>
      </c>
      <c r="K5527" s="14" t="n">
        <f aca="false">J5527-H5527</f>
        <v>0.869999999999999</v>
      </c>
      <c r="L5527" s="14" t="n">
        <f aca="false">G5527-H5527</f>
        <v>-2.13</v>
      </c>
    </row>
    <row r="5528" customFormat="false" ht="15" hidden="false" customHeight="false" outlineLevel="0" collapsed="false">
      <c r="A5528" s="2" t="s">
        <v>126</v>
      </c>
      <c r="B5528" s="2" t="s">
        <v>126</v>
      </c>
      <c r="C5528" s="2" t="s">
        <v>49</v>
      </c>
      <c r="D5528" s="2" t="s">
        <v>12</v>
      </c>
      <c r="E5528" s="2" t="s">
        <v>76</v>
      </c>
      <c r="F5528" s="2" t="s">
        <v>1145</v>
      </c>
      <c r="G5528" s="14" t="n">
        <v>12.5</v>
      </c>
      <c r="H5528" s="14" t="n">
        <v>12.98</v>
      </c>
      <c r="I5528" s="14" t="n">
        <v>12.5</v>
      </c>
      <c r="J5528" s="22" t="n">
        <f aca="false">IF(E5528="Priority",'Cost model'!N384,'Cost model'!M384)</f>
        <v>45</v>
      </c>
      <c r="K5528" s="14" t="n">
        <f aca="false">J5528-H5528</f>
        <v>32.02</v>
      </c>
      <c r="L5528" s="14" t="n">
        <f aca="false">G5528-H5528</f>
        <v>-0.48</v>
      </c>
    </row>
    <row r="5529" customFormat="false" ht="15" hidden="false" customHeight="false" outlineLevel="0" collapsed="false">
      <c r="A5529" s="2" t="s">
        <v>184</v>
      </c>
      <c r="B5529" s="2" t="s">
        <v>184</v>
      </c>
      <c r="C5529" s="2" t="s">
        <v>49</v>
      </c>
      <c r="D5529" s="2" t="s">
        <v>12</v>
      </c>
      <c r="E5529" s="2" t="s">
        <v>76</v>
      </c>
      <c r="F5529" s="2" t="s">
        <v>1145</v>
      </c>
      <c r="G5529" s="14" t="n">
        <v>12.5</v>
      </c>
      <c r="H5529" s="14" t="n">
        <v>47.53</v>
      </c>
      <c r="I5529" s="14"/>
      <c r="J5529" s="22" t="n">
        <f aca="false">IF(E5529="Priority",'Cost model'!N204,'Cost model'!M204)</f>
        <v>45</v>
      </c>
      <c r="K5529" s="14" t="n">
        <f aca="false">J5529-H5529</f>
        <v>-2.53</v>
      </c>
      <c r="L5529" s="14" t="n">
        <f aca="false">G5529-H5529</f>
        <v>-35.03</v>
      </c>
    </row>
    <row r="5530" customFormat="false" ht="15" hidden="false" customHeight="false" outlineLevel="0" collapsed="false">
      <c r="A5530" s="2" t="s">
        <v>146</v>
      </c>
      <c r="B5530" s="2" t="s">
        <v>146</v>
      </c>
      <c r="C5530" s="2" t="s">
        <v>49</v>
      </c>
      <c r="D5530" s="2" t="s">
        <v>12</v>
      </c>
      <c r="E5530" s="2" t="s">
        <v>85</v>
      </c>
      <c r="F5530" s="2" t="s">
        <v>1145</v>
      </c>
      <c r="G5530" s="14" t="n">
        <v>19.5</v>
      </c>
      <c r="H5530" s="14" t="n">
        <v>45.09</v>
      </c>
      <c r="I5530" s="14" t="n">
        <v>19.5</v>
      </c>
      <c r="J5530" s="22" t="n">
        <f aca="false">IF(E5530="Priority",'Cost model'!N762,'Cost model'!M762)</f>
        <v>60</v>
      </c>
      <c r="K5530" s="14" t="n">
        <f aca="false">J5530-H5530</f>
        <v>14.91</v>
      </c>
      <c r="L5530" s="14" t="n">
        <f aca="false">G5530-H5530</f>
        <v>-25.59</v>
      </c>
    </row>
    <row r="5531" customFormat="false" ht="15" hidden="false" customHeight="false" outlineLevel="0" collapsed="false">
      <c r="A5531" s="2" t="s">
        <v>126</v>
      </c>
      <c r="B5531" s="2" t="s">
        <v>126</v>
      </c>
      <c r="C5531" s="2" t="s">
        <v>49</v>
      </c>
      <c r="D5531" s="2" t="s">
        <v>10</v>
      </c>
      <c r="E5531" s="2" t="s">
        <v>76</v>
      </c>
      <c r="F5531" s="2" t="s">
        <v>1145</v>
      </c>
      <c r="G5531" s="14" t="n">
        <v>19.5</v>
      </c>
      <c r="H5531" s="14" t="n">
        <v>20.83</v>
      </c>
      <c r="I5531" s="14" t="n">
        <v>12.5</v>
      </c>
      <c r="J5531" s="22" t="n">
        <f aca="false">IF(E5531="Priority",'Cost model'!N381,'Cost model'!M381)</f>
        <v>14.5</v>
      </c>
      <c r="K5531" s="14" t="n">
        <f aca="false">J5531-H5531</f>
        <v>-6.33</v>
      </c>
      <c r="L5531" s="14" t="n">
        <f aca="false">G5531-H5531</f>
        <v>-1.33</v>
      </c>
    </row>
    <row r="5532" customFormat="false" ht="15" hidden="false" customHeight="false" outlineLevel="0" collapsed="false">
      <c r="A5532" s="2" t="s">
        <v>146</v>
      </c>
      <c r="B5532" s="2" t="s">
        <v>184</v>
      </c>
      <c r="C5532" s="2" t="s">
        <v>48</v>
      </c>
      <c r="D5532" s="2" t="s">
        <v>12</v>
      </c>
      <c r="E5532" s="2" t="s">
        <v>76</v>
      </c>
      <c r="F5532" s="2" t="s">
        <v>1146</v>
      </c>
      <c r="G5532" s="14" t="n">
        <v>19.5</v>
      </c>
      <c r="H5532" s="14" t="n">
        <v>46.31</v>
      </c>
      <c r="I5532" s="14" t="n">
        <v>19.5</v>
      </c>
      <c r="J5532" s="22" t="n">
        <f aca="false">IF(E5532="Priority",'Cost model'!N833,'Cost model'!M833)</f>
        <v>45</v>
      </c>
      <c r="K5532" s="14" t="n">
        <f aca="false">J5532-H5532</f>
        <v>-1.31</v>
      </c>
      <c r="L5532" s="14" t="n">
        <f aca="false">G5532-H5532</f>
        <v>-26.81</v>
      </c>
    </row>
    <row r="5533" customFormat="false" ht="15" hidden="false" customHeight="false" outlineLevel="0" collapsed="false">
      <c r="A5533" s="2" t="s">
        <v>126</v>
      </c>
      <c r="B5533" s="2" t="s">
        <v>126</v>
      </c>
      <c r="C5533" s="2" t="s">
        <v>50</v>
      </c>
      <c r="D5533" s="2" t="s">
        <v>12</v>
      </c>
      <c r="E5533" s="2" t="s">
        <v>76</v>
      </c>
      <c r="F5533" s="2" t="s">
        <v>1145</v>
      </c>
      <c r="G5533" s="14" t="n">
        <v>19.5</v>
      </c>
      <c r="H5533" s="14" t="n">
        <v>49.61</v>
      </c>
      <c r="I5533" s="14" t="n">
        <v>19.5</v>
      </c>
      <c r="J5533" s="22" t="n">
        <f aca="false">IF(E5533="Priority",'Cost model'!N385,'Cost model'!M385)</f>
        <v>55</v>
      </c>
      <c r="K5533" s="14" t="n">
        <f aca="false">J5533-H5533</f>
        <v>5.39</v>
      </c>
      <c r="L5533" s="14" t="n">
        <f aca="false">G5533-H5533</f>
        <v>-30.11</v>
      </c>
    </row>
    <row r="5534" customFormat="false" ht="15" hidden="false" customHeight="false" outlineLevel="0" collapsed="false">
      <c r="A5534" s="2" t="s">
        <v>146</v>
      </c>
      <c r="B5534" s="2" t="s">
        <v>126</v>
      </c>
      <c r="C5534" s="2" t="s">
        <v>48</v>
      </c>
      <c r="D5534" s="2" t="s">
        <v>10</v>
      </c>
      <c r="E5534" s="2" t="s">
        <v>76</v>
      </c>
      <c r="F5534" s="2" t="s">
        <v>1146</v>
      </c>
      <c r="G5534" s="14" t="n">
        <v>9</v>
      </c>
      <c r="H5534" s="14" t="n">
        <v>20.83</v>
      </c>
      <c r="I5534" s="14" t="n">
        <v>14.5</v>
      </c>
      <c r="J5534" s="22" t="n">
        <f aca="false">IF(E5534="Priority",'Cost model'!N794,'Cost model'!M794)</f>
        <v>12.5</v>
      </c>
      <c r="K5534" s="14" t="n">
        <f aca="false">J5534-H5534</f>
        <v>-8.33</v>
      </c>
      <c r="L5534" s="14" t="n">
        <f aca="false">G5534-H5534</f>
        <v>-11.83</v>
      </c>
    </row>
    <row r="5535" customFormat="false" ht="15" hidden="false" customHeight="false" outlineLevel="0" collapsed="false">
      <c r="A5535" s="2" t="s">
        <v>184</v>
      </c>
      <c r="B5535" s="2" t="s">
        <v>146</v>
      </c>
      <c r="C5535" s="2" t="s">
        <v>48</v>
      </c>
      <c r="D5535" s="2" t="s">
        <v>10</v>
      </c>
      <c r="E5535" s="2" t="s">
        <v>85</v>
      </c>
      <c r="F5535" s="2" t="s">
        <v>1146</v>
      </c>
      <c r="G5535" s="14" t="n">
        <v>14.5</v>
      </c>
      <c r="H5535" s="14" t="n">
        <v>24.63</v>
      </c>
      <c r="I5535" s="14" t="n">
        <v>14.5</v>
      </c>
      <c r="J5535" s="22" t="n">
        <f aca="false">IF(E5535="Priority",'Cost model'!N146,'Cost model'!M146)</f>
        <v>17.5</v>
      </c>
      <c r="K5535" s="14" t="n">
        <f aca="false">J5535-H5535</f>
        <v>-7.13</v>
      </c>
      <c r="L5535" s="14" t="n">
        <f aca="false">G5535-H5535</f>
        <v>-10.13</v>
      </c>
    </row>
    <row r="5536" customFormat="false" ht="15" hidden="false" customHeight="false" outlineLevel="0" collapsed="false">
      <c r="A5536" s="2" t="s">
        <v>146</v>
      </c>
      <c r="B5536" s="2" t="s">
        <v>146</v>
      </c>
      <c r="C5536" s="2" t="s">
        <v>48</v>
      </c>
      <c r="D5536" s="2" t="s">
        <v>12</v>
      </c>
      <c r="E5536" s="2" t="s">
        <v>76</v>
      </c>
      <c r="F5536" s="2" t="s">
        <v>1145</v>
      </c>
      <c r="G5536" s="14" t="n">
        <v>9.5</v>
      </c>
      <c r="H5536" s="14" t="n">
        <v>25.4</v>
      </c>
      <c r="I5536" s="14" t="n">
        <v>9.5</v>
      </c>
      <c r="J5536" s="22" t="n">
        <f aca="false">IF(E5536="Priority",'Cost model'!N761,'Cost model'!M761)</f>
        <v>35</v>
      </c>
      <c r="K5536" s="14" t="n">
        <f aca="false">J5536-H5536</f>
        <v>9.6</v>
      </c>
      <c r="L5536" s="14" t="n">
        <f aca="false">G5536-H5536</f>
        <v>-15.9</v>
      </c>
    </row>
    <row r="5537" customFormat="false" ht="15" hidden="false" customHeight="false" outlineLevel="0" collapsed="false">
      <c r="A5537" s="2" t="s">
        <v>184</v>
      </c>
      <c r="B5537" s="2" t="s">
        <v>146</v>
      </c>
      <c r="C5537" s="2" t="s">
        <v>48</v>
      </c>
      <c r="D5537" s="2" t="s">
        <v>12</v>
      </c>
      <c r="E5537" s="2" t="s">
        <v>76</v>
      </c>
      <c r="F5537" s="2" t="s">
        <v>1146</v>
      </c>
      <c r="G5537" s="14" t="n">
        <v>9.5</v>
      </c>
      <c r="H5537" s="14" t="n">
        <v>81.7</v>
      </c>
      <c r="I5537" s="14" t="n">
        <v>9.5</v>
      </c>
      <c r="J5537" s="22" t="n">
        <f aca="false">IF(E5537="Priority",'Cost model'!N149,'Cost model'!M149)</f>
        <v>45</v>
      </c>
      <c r="K5537" s="14" t="n">
        <f aca="false">J5537-H5537</f>
        <v>-36.7</v>
      </c>
      <c r="L5537" s="14" t="n">
        <f aca="false">G5537-H5537</f>
        <v>-72.2</v>
      </c>
    </row>
    <row r="5538" customFormat="false" ht="15" hidden="false" customHeight="false" outlineLevel="0" collapsed="false">
      <c r="A5538" s="2" t="s">
        <v>184</v>
      </c>
      <c r="B5538" s="2" t="s">
        <v>184</v>
      </c>
      <c r="C5538" s="2" t="s">
        <v>48</v>
      </c>
      <c r="D5538" s="2" t="s">
        <v>10</v>
      </c>
      <c r="E5538" s="2" t="s">
        <v>85</v>
      </c>
      <c r="F5538" s="2" t="s">
        <v>1145</v>
      </c>
      <c r="G5538" s="14" t="n">
        <v>14.5</v>
      </c>
      <c r="H5538" s="14" t="n">
        <v>5.94</v>
      </c>
      <c r="I5538" s="14" t="n">
        <v>14.5</v>
      </c>
      <c r="J5538" s="22" t="n">
        <f aca="false">IF(E5538="Priority",'Cost model'!N200,'Cost model'!M200)</f>
        <v>12.5</v>
      </c>
      <c r="K5538" s="14" t="n">
        <f aca="false">J5538-H5538</f>
        <v>6.56</v>
      </c>
      <c r="L5538" s="14" t="n">
        <f aca="false">G5538-H5538</f>
        <v>8.56</v>
      </c>
    </row>
    <row r="5539" customFormat="false" ht="15" hidden="false" customHeight="false" outlineLevel="0" collapsed="false">
      <c r="A5539" s="2" t="s">
        <v>184</v>
      </c>
      <c r="B5539" s="2" t="s">
        <v>184</v>
      </c>
      <c r="C5539" s="2" t="s">
        <v>49</v>
      </c>
      <c r="D5539" s="2" t="s">
        <v>10</v>
      </c>
      <c r="E5539" s="2" t="s">
        <v>76</v>
      </c>
      <c r="F5539" s="2" t="s">
        <v>1145</v>
      </c>
      <c r="G5539" s="14" t="n">
        <v>12.5</v>
      </c>
      <c r="H5539" s="14" t="n">
        <v>10.91</v>
      </c>
      <c r="I5539" s="14"/>
      <c r="J5539" s="22" t="n">
        <f aca="false">IF(E5539="Priority",'Cost model'!N201,'Cost model'!M201)</f>
        <v>12.5</v>
      </c>
      <c r="K5539" s="14" t="n">
        <f aca="false">J5539-H5539</f>
        <v>1.59</v>
      </c>
      <c r="L5539" s="14" t="n">
        <f aca="false">G5539-H5539</f>
        <v>1.59</v>
      </c>
    </row>
    <row r="5540" customFormat="false" ht="15" hidden="false" customHeight="false" outlineLevel="0" collapsed="false">
      <c r="A5540" s="2" t="s">
        <v>146</v>
      </c>
      <c r="B5540" s="2" t="s">
        <v>146</v>
      </c>
      <c r="C5540" s="2" t="s">
        <v>48</v>
      </c>
      <c r="D5540" s="2" t="s">
        <v>10</v>
      </c>
      <c r="E5540" s="2" t="s">
        <v>76</v>
      </c>
      <c r="F5540" s="2" t="s">
        <v>1145</v>
      </c>
      <c r="G5540" s="14" t="n">
        <v>9.5</v>
      </c>
      <c r="H5540" s="14" t="n">
        <v>8.04</v>
      </c>
      <c r="I5540" s="14" t="n">
        <v>9.5</v>
      </c>
      <c r="J5540" s="22" t="n">
        <f aca="false">IF(E5540="Priority",'Cost model'!N758,'Cost model'!M758)</f>
        <v>9.5</v>
      </c>
      <c r="K5540" s="14" t="n">
        <f aca="false">J5540-H5540</f>
        <v>1.46</v>
      </c>
      <c r="L5540" s="14" t="n">
        <f aca="false">G5540-H5540</f>
        <v>1.46</v>
      </c>
    </row>
    <row r="5541" customFormat="false" ht="15" hidden="false" customHeight="false" outlineLevel="0" collapsed="false">
      <c r="A5541" s="2" t="s">
        <v>184</v>
      </c>
      <c r="B5541" s="2" t="s">
        <v>126</v>
      </c>
      <c r="C5541" s="2" t="s">
        <v>48</v>
      </c>
      <c r="D5541" s="2" t="s">
        <v>10</v>
      </c>
      <c r="E5541" s="2" t="s">
        <v>76</v>
      </c>
      <c r="F5541" s="2" t="s">
        <v>1146</v>
      </c>
      <c r="G5541" s="14" t="n">
        <v>9.5</v>
      </c>
      <c r="H5541" s="14" t="n">
        <v>6.24</v>
      </c>
      <c r="I5541" s="14" t="n">
        <v>9.5</v>
      </c>
      <c r="J5541" s="22" t="n">
        <f aca="false">IF(E5541="Priority",'Cost model'!N128,'Cost model'!M128)</f>
        <v>10.5</v>
      </c>
      <c r="K5541" s="14" t="n">
        <f aca="false">J5541-H5541</f>
        <v>4.26</v>
      </c>
      <c r="L5541" s="14" t="n">
        <f aca="false">G5541-H5541</f>
        <v>3.26</v>
      </c>
    </row>
    <row r="5542" customFormat="false" ht="15" hidden="false" customHeight="false" outlineLevel="0" collapsed="false">
      <c r="A5542" s="2" t="s">
        <v>240</v>
      </c>
      <c r="B5542" s="2" t="s">
        <v>240</v>
      </c>
      <c r="C5542" s="2" t="s">
        <v>48</v>
      </c>
      <c r="D5542" s="2" t="s">
        <v>10</v>
      </c>
      <c r="E5542" s="2" t="s">
        <v>76</v>
      </c>
      <c r="F5542" s="2" t="s">
        <v>1145</v>
      </c>
      <c r="G5542" s="14" t="n">
        <v>9.5</v>
      </c>
      <c r="H5542" s="14" t="n">
        <v>8.01</v>
      </c>
      <c r="I5542" s="14" t="n">
        <v>9.5</v>
      </c>
      <c r="J5542" s="22" t="n">
        <f aca="false">IF(E5542="Priority",'Cost model'!N884,'Cost model'!M884)</f>
        <v>7.5</v>
      </c>
      <c r="K5542" s="14" t="n">
        <f aca="false">J5542-H5542</f>
        <v>-0.51</v>
      </c>
      <c r="L5542" s="14" t="n">
        <f aca="false">G5542-H5542</f>
        <v>1.49</v>
      </c>
    </row>
    <row r="5543" customFormat="false" ht="15" hidden="false" customHeight="false" outlineLevel="0" collapsed="false">
      <c r="A5543" s="2" t="s">
        <v>146</v>
      </c>
      <c r="B5543" s="2" t="s">
        <v>126</v>
      </c>
      <c r="C5543" s="2" t="s">
        <v>48</v>
      </c>
      <c r="D5543" s="2" t="s">
        <v>10</v>
      </c>
      <c r="E5543" s="2" t="s">
        <v>76</v>
      </c>
      <c r="F5543" s="2" t="s">
        <v>1146</v>
      </c>
      <c r="G5543" s="14" t="n">
        <v>25</v>
      </c>
      <c r="H5543" s="14" t="n">
        <v>193.59</v>
      </c>
      <c r="I5543" s="14" t="n">
        <v>14.5</v>
      </c>
      <c r="J5543" s="22" t="n">
        <f aca="false">IF(E5543="Priority",'Cost model'!N794,'Cost model'!M794)</f>
        <v>12.5</v>
      </c>
      <c r="K5543" s="14" t="n">
        <f aca="false">J5543-H5543</f>
        <v>-181.09</v>
      </c>
      <c r="L5543" s="14" t="n">
        <f aca="false">G5543-H5543</f>
        <v>-168.59</v>
      </c>
    </row>
    <row r="5544" customFormat="false" ht="15" hidden="false" customHeight="false" outlineLevel="0" collapsed="false">
      <c r="A5544" s="2" t="s">
        <v>126</v>
      </c>
      <c r="B5544" s="2" t="s">
        <v>146</v>
      </c>
      <c r="C5544" s="2" t="s">
        <v>48</v>
      </c>
      <c r="D5544" s="2" t="s">
        <v>12</v>
      </c>
      <c r="E5544" s="2" t="s">
        <v>76</v>
      </c>
      <c r="F5544" s="2" t="s">
        <v>1146</v>
      </c>
      <c r="G5544" s="14" t="n">
        <v>19.5</v>
      </c>
      <c r="H5544" s="14" t="n">
        <v>50.49</v>
      </c>
      <c r="I5544" s="14" t="n">
        <v>19.5</v>
      </c>
      <c r="J5544" s="22" t="n">
        <f aca="false">IF(E5544="Priority",'Cost model'!N401,'Cost model'!M401)</f>
        <v>60</v>
      </c>
      <c r="K5544" s="14" t="n">
        <f aca="false">J5544-H5544</f>
        <v>9.51</v>
      </c>
      <c r="L5544" s="14" t="n">
        <f aca="false">G5544-H5544</f>
        <v>-30.99</v>
      </c>
    </row>
    <row r="5545" customFormat="false" ht="15" hidden="false" customHeight="false" outlineLevel="0" collapsed="false">
      <c r="A5545" s="2" t="s">
        <v>146</v>
      </c>
      <c r="B5545" s="2" t="s">
        <v>184</v>
      </c>
      <c r="C5545" s="2" t="s">
        <v>50</v>
      </c>
      <c r="D5545" s="2" t="s">
        <v>10</v>
      </c>
      <c r="E5545" s="2" t="s">
        <v>76</v>
      </c>
      <c r="F5545" s="2" t="s">
        <v>1146</v>
      </c>
      <c r="G5545" s="14" t="n">
        <v>17.5</v>
      </c>
      <c r="H5545" s="14" t="n">
        <v>17.31</v>
      </c>
      <c r="I5545" s="14" t="n">
        <v>17.5</v>
      </c>
      <c r="J5545" s="22" t="n">
        <f aca="false">IF(E5545="Priority",'Cost model'!N832,'Cost model'!M832)</f>
        <v>15.5</v>
      </c>
      <c r="K5545" s="14" t="n">
        <f aca="false">J5545-H5545</f>
        <v>-1.81</v>
      </c>
      <c r="L5545" s="14" t="n">
        <f aca="false">G5545-H5545</f>
        <v>0.190000000000001</v>
      </c>
    </row>
    <row r="5546" customFormat="false" ht="15" hidden="false" customHeight="false" outlineLevel="0" collapsed="false">
      <c r="A5546" s="2" t="s">
        <v>184</v>
      </c>
      <c r="B5546" s="2" t="s">
        <v>165</v>
      </c>
      <c r="C5546" s="2" t="s">
        <v>48</v>
      </c>
      <c r="D5546" s="2" t="s">
        <v>10</v>
      </c>
      <c r="E5546" s="2" t="s">
        <v>85</v>
      </c>
      <c r="F5546" s="2" t="s">
        <v>1146</v>
      </c>
      <c r="G5546" s="14" t="n">
        <v>19.5</v>
      </c>
      <c r="H5546" s="14" t="n">
        <v>13.55</v>
      </c>
      <c r="I5546" s="14" t="n">
        <v>19.5</v>
      </c>
      <c r="J5546" s="22" t="n">
        <f aca="false">IF(E5546="Priority",'Cost model'!N164,'Cost model'!M164)</f>
        <v>16.5</v>
      </c>
      <c r="K5546" s="14" t="n">
        <f aca="false">J5546-H5546</f>
        <v>2.95</v>
      </c>
      <c r="L5546" s="14" t="n">
        <f aca="false">G5546-H5546</f>
        <v>5.95</v>
      </c>
    </row>
    <row r="5547" customFormat="false" ht="15" hidden="false" customHeight="false" outlineLevel="0" collapsed="false">
      <c r="A5547" s="2" t="s">
        <v>165</v>
      </c>
      <c r="B5547" s="2" t="s">
        <v>165</v>
      </c>
      <c r="C5547" s="2" t="s">
        <v>48</v>
      </c>
      <c r="D5547" s="2" t="s">
        <v>10</v>
      </c>
      <c r="E5547" s="2" t="s">
        <v>76</v>
      </c>
      <c r="F5547" s="2" t="s">
        <v>1145</v>
      </c>
      <c r="G5547" s="14" t="n">
        <v>9.5</v>
      </c>
      <c r="H5547" s="14" t="n">
        <v>5.97</v>
      </c>
      <c r="I5547" s="14" t="n">
        <v>9.5</v>
      </c>
      <c r="J5547" s="22" t="n">
        <f aca="false">IF(E5547="Priority",'Cost model'!N506,'Cost model'!M506)</f>
        <v>7.5</v>
      </c>
      <c r="K5547" s="14" t="n">
        <f aca="false">J5547-H5547</f>
        <v>1.53</v>
      </c>
      <c r="L5547" s="14" t="n">
        <f aca="false">G5547-H5547</f>
        <v>3.53</v>
      </c>
    </row>
    <row r="5548" customFormat="false" ht="15" hidden="false" customHeight="false" outlineLevel="0" collapsed="false">
      <c r="A5548" s="2" t="s">
        <v>126</v>
      </c>
      <c r="B5548" s="2" t="s">
        <v>126</v>
      </c>
      <c r="C5548" s="2" t="s">
        <v>49</v>
      </c>
      <c r="D5548" s="2" t="s">
        <v>12</v>
      </c>
      <c r="E5548" s="2" t="s">
        <v>76</v>
      </c>
      <c r="F5548" s="2" t="s">
        <v>1145</v>
      </c>
      <c r="G5548" s="14" t="n">
        <v>12.5</v>
      </c>
      <c r="H5548" s="14" t="n">
        <v>45.75</v>
      </c>
      <c r="I5548" s="14" t="n">
        <v>12.5</v>
      </c>
      <c r="J5548" s="22" t="n">
        <f aca="false">IF(E5548="Priority",'Cost model'!N384,'Cost model'!M384)</f>
        <v>45</v>
      </c>
      <c r="K5548" s="14" t="n">
        <f aca="false">J5548-H5548</f>
        <v>-0.75</v>
      </c>
      <c r="L5548" s="14" t="n">
        <f aca="false">G5548-H5548</f>
        <v>-33.25</v>
      </c>
    </row>
    <row r="5549" customFormat="false" ht="15" hidden="false" customHeight="false" outlineLevel="0" collapsed="false">
      <c r="A5549" s="2" t="s">
        <v>126</v>
      </c>
      <c r="B5549" s="2" t="s">
        <v>126</v>
      </c>
      <c r="C5549" s="2" t="s">
        <v>48</v>
      </c>
      <c r="D5549" s="2" t="s">
        <v>10</v>
      </c>
      <c r="E5549" s="2" t="s">
        <v>76</v>
      </c>
      <c r="F5549" s="2" t="s">
        <v>1145</v>
      </c>
      <c r="G5549" s="14" t="n">
        <v>9.5</v>
      </c>
      <c r="H5549" s="14" t="n">
        <v>5.95</v>
      </c>
      <c r="I5549" s="14" t="n">
        <v>9.5</v>
      </c>
      <c r="J5549" s="22" t="n">
        <f aca="false">IF(E5549="Priority",'Cost model'!N380,'Cost model'!M380)</f>
        <v>8.5</v>
      </c>
      <c r="K5549" s="14" t="n">
        <f aca="false">J5549-H5549</f>
        <v>2.55</v>
      </c>
      <c r="L5549" s="14" t="n">
        <f aca="false">G5549-H5549</f>
        <v>3.55</v>
      </c>
    </row>
    <row r="5550" customFormat="false" ht="15" hidden="false" customHeight="false" outlineLevel="0" collapsed="false">
      <c r="A5550" s="2" t="s">
        <v>126</v>
      </c>
      <c r="B5550" s="2" t="s">
        <v>126</v>
      </c>
      <c r="C5550" s="2" t="s">
        <v>50</v>
      </c>
      <c r="D5550" s="2" t="s">
        <v>10</v>
      </c>
      <c r="E5550" s="2" t="s">
        <v>76</v>
      </c>
      <c r="F5550" s="2" t="s">
        <v>1145</v>
      </c>
      <c r="G5550" s="14" t="n">
        <v>17.5</v>
      </c>
      <c r="H5550" s="14" t="n">
        <v>16.84</v>
      </c>
      <c r="I5550" s="14" t="n">
        <v>17.5</v>
      </c>
      <c r="J5550" s="22" t="n">
        <f aca="false">IF(E5550="Priority",'Cost model'!N382,'Cost model'!M382)</f>
        <v>18.5</v>
      </c>
      <c r="K5550" s="14" t="n">
        <f aca="false">J5550-H5550</f>
        <v>1.66</v>
      </c>
      <c r="L5550" s="14" t="n">
        <f aca="false">G5550-H5550</f>
        <v>0.66</v>
      </c>
    </row>
    <row r="5551" customFormat="false" ht="15" hidden="false" customHeight="false" outlineLevel="0" collapsed="false">
      <c r="A5551" s="2" t="s">
        <v>146</v>
      </c>
      <c r="B5551" s="2" t="s">
        <v>146</v>
      </c>
      <c r="C5551" s="2" t="s">
        <v>49</v>
      </c>
      <c r="D5551" s="2" t="s">
        <v>12</v>
      </c>
      <c r="E5551" s="2" t="s">
        <v>76</v>
      </c>
      <c r="F5551" s="2" t="s">
        <v>1145</v>
      </c>
      <c r="G5551" s="14" t="n">
        <v>12.5</v>
      </c>
      <c r="H5551" s="14" t="n">
        <v>25.01</v>
      </c>
      <c r="I5551" s="14" t="n">
        <v>12.5</v>
      </c>
      <c r="J5551" s="22" t="n">
        <f aca="false">IF(E5551="Priority",'Cost model'!N762,'Cost model'!M762)</f>
        <v>45</v>
      </c>
      <c r="K5551" s="14" t="n">
        <f aca="false">J5551-H5551</f>
        <v>19.99</v>
      </c>
      <c r="L5551" s="14" t="n">
        <f aca="false">G5551-H5551</f>
        <v>-12.51</v>
      </c>
    </row>
    <row r="5552" customFormat="false" ht="15" hidden="false" customHeight="false" outlineLevel="0" collapsed="false">
      <c r="A5552" s="2" t="s">
        <v>126</v>
      </c>
      <c r="B5552" s="2" t="s">
        <v>126</v>
      </c>
      <c r="C5552" s="2" t="s">
        <v>49</v>
      </c>
      <c r="D5552" s="2" t="s">
        <v>12</v>
      </c>
      <c r="E5552" s="2" t="s">
        <v>85</v>
      </c>
      <c r="F5552" s="2" t="s">
        <v>1145</v>
      </c>
      <c r="G5552" s="14" t="n">
        <v>19.5</v>
      </c>
      <c r="H5552" s="14" t="n">
        <v>56.38</v>
      </c>
      <c r="I5552" s="14" t="n">
        <v>19.5</v>
      </c>
      <c r="J5552" s="22" t="n">
        <f aca="false">IF(E5552="Priority",'Cost model'!N384,'Cost model'!M384)</f>
        <v>60</v>
      </c>
      <c r="K5552" s="14" t="n">
        <f aca="false">J5552-H5552</f>
        <v>3.62</v>
      </c>
      <c r="L5552" s="14" t="n">
        <f aca="false">G5552-H5552</f>
        <v>-36.88</v>
      </c>
    </row>
    <row r="5553" customFormat="false" ht="15" hidden="false" customHeight="false" outlineLevel="0" collapsed="false">
      <c r="A5553" s="2" t="s">
        <v>165</v>
      </c>
      <c r="B5553" s="2" t="s">
        <v>126</v>
      </c>
      <c r="C5553" s="2" t="s">
        <v>50</v>
      </c>
      <c r="D5553" s="2" t="s">
        <v>12</v>
      </c>
      <c r="E5553" s="2" t="s">
        <v>76</v>
      </c>
      <c r="F5553" s="2" t="s">
        <v>1146</v>
      </c>
      <c r="G5553" s="14" t="n">
        <v>19.5</v>
      </c>
      <c r="H5553" s="14" t="n">
        <v>52.56</v>
      </c>
      <c r="I5553" s="14" t="n">
        <v>19.5</v>
      </c>
      <c r="J5553" s="22" t="n">
        <f aca="false">IF(E5553="Priority",'Cost model'!N547,'Cost model'!M547)</f>
        <v>60</v>
      </c>
      <c r="K5553" s="14" t="n">
        <f aca="false">J5553-H5553</f>
        <v>7.44</v>
      </c>
      <c r="L5553" s="14" t="n">
        <f aca="false">G5553-H5553</f>
        <v>-33.06</v>
      </c>
    </row>
    <row r="5554" customFormat="false" ht="15" hidden="false" customHeight="false" outlineLevel="0" collapsed="false">
      <c r="A5554" s="2" t="s">
        <v>240</v>
      </c>
      <c r="B5554" s="2" t="s">
        <v>240</v>
      </c>
      <c r="C5554" s="2" t="s">
        <v>48</v>
      </c>
      <c r="D5554" s="2" t="s">
        <v>12</v>
      </c>
      <c r="E5554" s="2" t="s">
        <v>76</v>
      </c>
      <c r="F5554" s="2" t="s">
        <v>1145</v>
      </c>
      <c r="G5554" s="14" t="n">
        <v>9.5</v>
      </c>
      <c r="H5554" s="14" t="n">
        <v>14.36</v>
      </c>
      <c r="I5554" s="14" t="n">
        <v>9.5</v>
      </c>
      <c r="J5554" s="22" t="n">
        <f aca="false">IF(E5554="Priority",'Cost model'!N887,'Cost model'!M887)</f>
        <v>21.5</v>
      </c>
      <c r="K5554" s="14" t="n">
        <f aca="false">J5554-H5554</f>
        <v>7.14</v>
      </c>
      <c r="L5554" s="14" t="n">
        <f aca="false">G5554-H5554</f>
        <v>-4.86</v>
      </c>
    </row>
    <row r="5555" customFormat="false" ht="15" hidden="false" customHeight="false" outlineLevel="0" collapsed="false">
      <c r="A5555" s="2" t="s">
        <v>184</v>
      </c>
      <c r="B5555" s="2" t="s">
        <v>184</v>
      </c>
      <c r="C5555" s="2" t="s">
        <v>48</v>
      </c>
      <c r="D5555" s="2" t="s">
        <v>10</v>
      </c>
      <c r="E5555" s="2" t="s">
        <v>76</v>
      </c>
      <c r="F5555" s="2" t="s">
        <v>1145</v>
      </c>
      <c r="G5555" s="14" t="n">
        <v>9.5</v>
      </c>
      <c r="H5555" s="14" t="n">
        <v>8.16</v>
      </c>
      <c r="I5555" s="14" t="n">
        <v>9.5</v>
      </c>
      <c r="J5555" s="22" t="n">
        <f aca="false">IF(E5555="Priority",'Cost model'!N200,'Cost model'!M200)</f>
        <v>7.5</v>
      </c>
      <c r="K5555" s="14" t="n">
        <f aca="false">J5555-H5555</f>
        <v>-0.66</v>
      </c>
      <c r="L5555" s="14" t="n">
        <f aca="false">G5555-H5555</f>
        <v>1.34</v>
      </c>
    </row>
    <row r="5556" customFormat="false" ht="15" hidden="false" customHeight="false" outlineLevel="0" collapsed="false">
      <c r="A5556" s="2" t="s">
        <v>184</v>
      </c>
      <c r="B5556" s="2" t="s">
        <v>184</v>
      </c>
      <c r="C5556" s="2" t="s">
        <v>50</v>
      </c>
      <c r="D5556" s="2" t="s">
        <v>10</v>
      </c>
      <c r="E5556" s="2" t="s">
        <v>76</v>
      </c>
      <c r="F5556" s="2" t="s">
        <v>1145</v>
      </c>
      <c r="G5556" s="14" t="n">
        <v>17.5</v>
      </c>
      <c r="H5556" s="14" t="n">
        <v>12.18</v>
      </c>
      <c r="I5556" s="14" t="n">
        <v>17.5</v>
      </c>
      <c r="J5556" s="22" t="n">
        <f aca="false">IF(E5556="Priority",'Cost model'!N202,'Cost model'!M202)</f>
        <v>17.5</v>
      </c>
      <c r="K5556" s="14" t="n">
        <f aca="false">J5556-H5556</f>
        <v>5.32</v>
      </c>
      <c r="L5556" s="14" t="n">
        <f aca="false">G5556-H5556</f>
        <v>5.32</v>
      </c>
    </row>
    <row r="5557" customFormat="false" ht="15" hidden="false" customHeight="false" outlineLevel="0" collapsed="false">
      <c r="A5557" s="2" t="s">
        <v>126</v>
      </c>
      <c r="B5557" s="2" t="s">
        <v>126</v>
      </c>
      <c r="C5557" s="2" t="s">
        <v>49</v>
      </c>
      <c r="D5557" s="2" t="s">
        <v>10</v>
      </c>
      <c r="E5557" s="2" t="s">
        <v>85</v>
      </c>
      <c r="F5557" s="2" t="s">
        <v>1145</v>
      </c>
      <c r="G5557" s="14" t="n">
        <v>17.5</v>
      </c>
      <c r="H5557" s="14" t="n">
        <v>21.34</v>
      </c>
      <c r="I5557" s="14" t="n">
        <v>17.5</v>
      </c>
      <c r="J5557" s="22" t="n">
        <f aca="false">IF(E5557="Priority",'Cost model'!N381,'Cost model'!M381)</f>
        <v>19.5</v>
      </c>
      <c r="K5557" s="14" t="n">
        <f aca="false">J5557-H5557</f>
        <v>-1.84</v>
      </c>
      <c r="L5557" s="14" t="n">
        <f aca="false">G5557-H5557</f>
        <v>-3.84</v>
      </c>
    </row>
    <row r="5558" customFormat="false" ht="15" hidden="false" customHeight="false" outlineLevel="0" collapsed="false">
      <c r="A5558" s="2" t="s">
        <v>126</v>
      </c>
      <c r="B5558" s="2" t="s">
        <v>146</v>
      </c>
      <c r="C5558" s="2" t="s">
        <v>49</v>
      </c>
      <c r="D5558" s="2" t="s">
        <v>10</v>
      </c>
      <c r="E5558" s="2" t="s">
        <v>76</v>
      </c>
      <c r="F5558" s="2" t="s">
        <v>1146</v>
      </c>
      <c r="G5558" s="14" t="n">
        <v>14.5</v>
      </c>
      <c r="H5558" s="14" t="n">
        <v>15.38</v>
      </c>
      <c r="I5558" s="14" t="n">
        <v>14.5</v>
      </c>
      <c r="J5558" s="22" t="n">
        <f aca="false">IF(E5558="Priority",'Cost model'!N399,'Cost model'!M399)</f>
        <v>17.5</v>
      </c>
      <c r="K5558" s="14" t="n">
        <f aca="false">J5558-H5558</f>
        <v>2.12</v>
      </c>
      <c r="L5558" s="14" t="n">
        <f aca="false">G5558-H5558</f>
        <v>-0.880000000000001</v>
      </c>
    </row>
    <row r="5559" customFormat="false" ht="15" hidden="false" customHeight="false" outlineLevel="0" collapsed="false">
      <c r="A5559" s="2" t="s">
        <v>184</v>
      </c>
      <c r="B5559" s="2" t="s">
        <v>126</v>
      </c>
      <c r="C5559" s="2" t="s">
        <v>48</v>
      </c>
      <c r="D5559" s="2" t="s">
        <v>10</v>
      </c>
      <c r="E5559" s="2" t="s">
        <v>85</v>
      </c>
      <c r="F5559" s="2" t="s">
        <v>1146</v>
      </c>
      <c r="G5559" s="14" t="n">
        <v>14.5</v>
      </c>
      <c r="H5559" s="14" t="n">
        <v>13.55</v>
      </c>
      <c r="I5559" s="14" t="n">
        <v>14.5</v>
      </c>
      <c r="J5559" s="22" t="n">
        <f aca="false">IF(E5559="Priority",'Cost model'!N128,'Cost model'!M128)</f>
        <v>15.5</v>
      </c>
      <c r="K5559" s="14" t="n">
        <f aca="false">J5559-H5559</f>
        <v>1.95</v>
      </c>
      <c r="L5559" s="14" t="n">
        <f aca="false">G5559-H5559</f>
        <v>0.949999999999999</v>
      </c>
    </row>
    <row r="5560" customFormat="false" ht="15" hidden="false" customHeight="false" outlineLevel="0" collapsed="false">
      <c r="A5560" s="2" t="s">
        <v>126</v>
      </c>
      <c r="B5560" s="2" t="s">
        <v>126</v>
      </c>
      <c r="C5560" s="2" t="s">
        <v>49</v>
      </c>
      <c r="D5560" s="2" t="s">
        <v>10</v>
      </c>
      <c r="E5560" s="2" t="s">
        <v>85</v>
      </c>
      <c r="F5560" s="2" t="s">
        <v>1145</v>
      </c>
      <c r="G5560" s="14" t="n">
        <v>17.5</v>
      </c>
      <c r="H5560" s="14" t="n">
        <v>20.83</v>
      </c>
      <c r="I5560" s="14" t="n">
        <v>17.5</v>
      </c>
      <c r="J5560" s="22" t="n">
        <f aca="false">IF(E5560="Priority",'Cost model'!N381,'Cost model'!M381)</f>
        <v>19.5</v>
      </c>
      <c r="K5560" s="14" t="n">
        <f aca="false">J5560-H5560</f>
        <v>-1.33</v>
      </c>
      <c r="L5560" s="14" t="n">
        <f aca="false">G5560-H5560</f>
        <v>-3.33</v>
      </c>
    </row>
    <row r="5561" customFormat="false" ht="15" hidden="false" customHeight="false" outlineLevel="0" collapsed="false">
      <c r="A5561" s="2" t="s">
        <v>184</v>
      </c>
      <c r="B5561" s="2" t="s">
        <v>184</v>
      </c>
      <c r="C5561" s="2" t="s">
        <v>49</v>
      </c>
      <c r="D5561" s="2" t="s">
        <v>12</v>
      </c>
      <c r="E5561" s="2" t="s">
        <v>76</v>
      </c>
      <c r="F5561" s="2" t="s">
        <v>1145</v>
      </c>
      <c r="G5561" s="14" t="n">
        <v>12.5</v>
      </c>
      <c r="H5561" s="14" t="n">
        <v>56.94</v>
      </c>
      <c r="I5561" s="14"/>
      <c r="J5561" s="22" t="n">
        <f aca="false">IF(E5561="Priority",'Cost model'!N204,'Cost model'!M204)</f>
        <v>45</v>
      </c>
      <c r="K5561" s="14" t="n">
        <f aca="false">J5561-H5561</f>
        <v>-11.94</v>
      </c>
      <c r="L5561" s="14" t="n">
        <f aca="false">G5561-H5561</f>
        <v>-44.44</v>
      </c>
    </row>
    <row r="5562" customFormat="false" ht="15" hidden="false" customHeight="false" outlineLevel="0" collapsed="false">
      <c r="A5562" s="2" t="s">
        <v>126</v>
      </c>
      <c r="B5562" s="2" t="s">
        <v>126</v>
      </c>
      <c r="C5562" s="2" t="s">
        <v>49</v>
      </c>
      <c r="D5562" s="2" t="s">
        <v>12</v>
      </c>
      <c r="E5562" s="2" t="s">
        <v>76</v>
      </c>
      <c r="F5562" s="2" t="s">
        <v>1145</v>
      </c>
      <c r="G5562" s="14" t="n">
        <v>12.5</v>
      </c>
      <c r="H5562" s="14" t="n">
        <v>43.77</v>
      </c>
      <c r="I5562" s="14" t="n">
        <v>12.5</v>
      </c>
      <c r="J5562" s="22" t="n">
        <f aca="false">IF(E5562="Priority",'Cost model'!N384,'Cost model'!M384)</f>
        <v>45</v>
      </c>
      <c r="K5562" s="14" t="n">
        <f aca="false">J5562-H5562</f>
        <v>1.23</v>
      </c>
      <c r="L5562" s="14" t="n">
        <f aca="false">G5562-H5562</f>
        <v>-31.27</v>
      </c>
    </row>
    <row r="5563" customFormat="false" ht="15" hidden="false" customHeight="false" outlineLevel="0" collapsed="false">
      <c r="A5563" s="2" t="s">
        <v>184</v>
      </c>
      <c r="B5563" s="2" t="s">
        <v>184</v>
      </c>
      <c r="C5563" s="2" t="s">
        <v>48</v>
      </c>
      <c r="D5563" s="2" t="s">
        <v>10</v>
      </c>
      <c r="E5563" s="2" t="s">
        <v>76</v>
      </c>
      <c r="F5563" s="2" t="s">
        <v>1145</v>
      </c>
      <c r="G5563" s="14" t="n">
        <v>9.5</v>
      </c>
      <c r="H5563" s="14" t="n">
        <v>7.72</v>
      </c>
      <c r="I5563" s="14" t="n">
        <v>9.5</v>
      </c>
      <c r="J5563" s="22" t="n">
        <f aca="false">IF(E5563="Priority",'Cost model'!N200,'Cost model'!M200)</f>
        <v>7.5</v>
      </c>
      <c r="K5563" s="14" t="n">
        <f aca="false">J5563-H5563</f>
        <v>-0.22</v>
      </c>
      <c r="L5563" s="14" t="n">
        <f aca="false">G5563-H5563</f>
        <v>1.78</v>
      </c>
    </row>
    <row r="5564" customFormat="false" ht="15" hidden="false" customHeight="false" outlineLevel="0" collapsed="false">
      <c r="A5564" s="2" t="s">
        <v>126</v>
      </c>
      <c r="B5564" s="2" t="s">
        <v>126</v>
      </c>
      <c r="C5564" s="2" t="s">
        <v>49</v>
      </c>
      <c r="D5564" s="2" t="s">
        <v>10</v>
      </c>
      <c r="E5564" s="2" t="s">
        <v>76</v>
      </c>
      <c r="F5564" s="2" t="s">
        <v>1145</v>
      </c>
      <c r="G5564" s="14" t="n">
        <v>12.5</v>
      </c>
      <c r="H5564" s="14" t="n">
        <v>7.71</v>
      </c>
      <c r="I5564" s="14" t="n">
        <v>12.5</v>
      </c>
      <c r="J5564" s="22" t="n">
        <f aca="false">IF(E5564="Priority",'Cost model'!N381,'Cost model'!M381)</f>
        <v>14.5</v>
      </c>
      <c r="K5564" s="14" t="n">
        <f aca="false">J5564-H5564</f>
        <v>6.79</v>
      </c>
      <c r="L5564" s="14" t="n">
        <f aca="false">G5564-H5564</f>
        <v>4.79</v>
      </c>
    </row>
    <row r="5565" customFormat="false" ht="15" hidden="false" customHeight="false" outlineLevel="0" collapsed="false">
      <c r="A5565" s="2" t="s">
        <v>184</v>
      </c>
      <c r="B5565" s="2" t="s">
        <v>184</v>
      </c>
      <c r="C5565" s="2" t="s">
        <v>50</v>
      </c>
      <c r="D5565" s="2" t="s">
        <v>12</v>
      </c>
      <c r="E5565" s="2" t="s">
        <v>76</v>
      </c>
      <c r="F5565" s="2" t="s">
        <v>1145</v>
      </c>
      <c r="G5565" s="14" t="n">
        <v>24.5</v>
      </c>
      <c r="H5565" s="14" t="n">
        <v>58.75</v>
      </c>
      <c r="I5565" s="14" t="n">
        <v>19.5</v>
      </c>
      <c r="J5565" s="22" t="n">
        <f aca="false">IF(E5565="Priority",'Cost model'!N205,'Cost model'!M205)</f>
        <v>50</v>
      </c>
      <c r="K5565" s="14" t="n">
        <f aca="false">J5565-H5565</f>
        <v>-8.75</v>
      </c>
      <c r="L5565" s="14" t="n">
        <f aca="false">G5565-H5565</f>
        <v>-34.25</v>
      </c>
    </row>
    <row r="5566" customFormat="false" ht="15" hidden="false" customHeight="false" outlineLevel="0" collapsed="false">
      <c r="A5566" s="2" t="s">
        <v>184</v>
      </c>
      <c r="B5566" s="2" t="s">
        <v>184</v>
      </c>
      <c r="C5566" s="2" t="s">
        <v>50</v>
      </c>
      <c r="D5566" s="2" t="s">
        <v>12</v>
      </c>
      <c r="E5566" s="2" t="s">
        <v>76</v>
      </c>
      <c r="F5566" s="2" t="s">
        <v>1145</v>
      </c>
      <c r="G5566" s="14" t="n">
        <v>19.5</v>
      </c>
      <c r="H5566" s="14" t="n">
        <v>64.82</v>
      </c>
      <c r="I5566" s="14" t="n">
        <v>19.5</v>
      </c>
      <c r="J5566" s="22" t="n">
        <f aca="false">IF(E5566="Priority",'Cost model'!N205,'Cost model'!M205)</f>
        <v>50</v>
      </c>
      <c r="K5566" s="14" t="n">
        <f aca="false">J5566-H5566</f>
        <v>-14.82</v>
      </c>
      <c r="L5566" s="14" t="n">
        <f aca="false">G5566-H5566</f>
        <v>-45.32</v>
      </c>
    </row>
    <row r="5567" customFormat="false" ht="15" hidden="false" customHeight="false" outlineLevel="0" collapsed="false">
      <c r="A5567" s="2" t="s">
        <v>126</v>
      </c>
      <c r="B5567" s="2" t="s">
        <v>126</v>
      </c>
      <c r="C5567" s="2" t="s">
        <v>49</v>
      </c>
      <c r="D5567" s="2" t="s">
        <v>12</v>
      </c>
      <c r="E5567" s="2" t="s">
        <v>76</v>
      </c>
      <c r="F5567" s="2" t="s">
        <v>1145</v>
      </c>
      <c r="G5567" s="14" t="n">
        <v>12.5</v>
      </c>
      <c r="H5567" s="14" t="n">
        <v>43.25</v>
      </c>
      <c r="I5567" s="14" t="n">
        <v>12.5</v>
      </c>
      <c r="J5567" s="22" t="n">
        <f aca="false">IF(E5567="Priority",'Cost model'!N384,'Cost model'!M384)</f>
        <v>45</v>
      </c>
      <c r="K5567" s="14" t="n">
        <f aca="false">J5567-H5567</f>
        <v>1.75</v>
      </c>
      <c r="L5567" s="14" t="n">
        <f aca="false">G5567-H5567</f>
        <v>-30.75</v>
      </c>
    </row>
    <row r="5568" customFormat="false" ht="15" hidden="false" customHeight="false" outlineLevel="0" collapsed="false">
      <c r="A5568" s="2" t="s">
        <v>184</v>
      </c>
      <c r="B5568" s="2" t="s">
        <v>126</v>
      </c>
      <c r="C5568" s="2" t="s">
        <v>48</v>
      </c>
      <c r="D5568" s="2" t="s">
        <v>12</v>
      </c>
      <c r="E5568" s="2" t="s">
        <v>76</v>
      </c>
      <c r="F5568" s="2" t="s">
        <v>1146</v>
      </c>
      <c r="G5568" s="14" t="n">
        <v>9.5</v>
      </c>
      <c r="H5568" s="14" t="n">
        <v>25.99</v>
      </c>
      <c r="I5568" s="14" t="n">
        <v>9.5</v>
      </c>
      <c r="J5568" s="22" t="n">
        <f aca="false">IF(E5568="Priority",'Cost model'!N131,'Cost model'!M131)</f>
        <v>40</v>
      </c>
      <c r="K5568" s="14" t="n">
        <f aca="false">J5568-H5568</f>
        <v>14.01</v>
      </c>
      <c r="L5568" s="14" t="n">
        <f aca="false">G5568-H5568</f>
        <v>-16.49</v>
      </c>
    </row>
    <row r="5569" customFormat="false" ht="15" hidden="false" customHeight="false" outlineLevel="0" collapsed="false">
      <c r="A5569" s="2" t="s">
        <v>184</v>
      </c>
      <c r="B5569" s="2" t="s">
        <v>184</v>
      </c>
      <c r="C5569" s="2" t="s">
        <v>50</v>
      </c>
      <c r="D5569" s="2" t="s">
        <v>10</v>
      </c>
      <c r="E5569" s="2" t="s">
        <v>76</v>
      </c>
      <c r="F5569" s="2" t="s">
        <v>1145</v>
      </c>
      <c r="G5569" s="14" t="n">
        <v>17.5</v>
      </c>
      <c r="H5569" s="14" t="n">
        <v>43.88</v>
      </c>
      <c r="I5569" s="14" t="n">
        <v>17.5</v>
      </c>
      <c r="J5569" s="22" t="n">
        <f aca="false">IF(E5569="Priority",'Cost model'!N202,'Cost model'!M202)</f>
        <v>17.5</v>
      </c>
      <c r="K5569" s="14" t="n">
        <f aca="false">J5569-H5569</f>
        <v>-26.38</v>
      </c>
      <c r="L5569" s="14" t="n">
        <f aca="false">G5569-H5569</f>
        <v>-26.38</v>
      </c>
    </row>
    <row r="5570" customFormat="false" ht="15" hidden="false" customHeight="false" outlineLevel="0" collapsed="false">
      <c r="A5570" s="2" t="s">
        <v>146</v>
      </c>
      <c r="B5570" s="2" t="s">
        <v>146</v>
      </c>
      <c r="C5570" s="2" t="s">
        <v>50</v>
      </c>
      <c r="D5570" s="2" t="s">
        <v>10</v>
      </c>
      <c r="E5570" s="2" t="s">
        <v>76</v>
      </c>
      <c r="F5570" s="2" t="s">
        <v>1145</v>
      </c>
      <c r="G5570" s="14" t="n">
        <v>17.5</v>
      </c>
      <c r="H5570" s="14" t="n">
        <v>17.69</v>
      </c>
      <c r="I5570" s="14" t="n">
        <v>17.5</v>
      </c>
      <c r="J5570" s="22" t="n">
        <f aca="false">IF(E5570="Priority",'Cost model'!N760,'Cost model'!M760)</f>
        <v>18.5</v>
      </c>
      <c r="K5570" s="14" t="n">
        <f aca="false">J5570-H5570</f>
        <v>0.809999999999999</v>
      </c>
      <c r="L5570" s="14" t="n">
        <f aca="false">G5570-H5570</f>
        <v>-0.190000000000001</v>
      </c>
    </row>
    <row r="5571" customFormat="false" ht="15" hidden="false" customHeight="false" outlineLevel="0" collapsed="false">
      <c r="A5571" s="2" t="s">
        <v>184</v>
      </c>
      <c r="B5571" s="2" t="s">
        <v>146</v>
      </c>
      <c r="C5571" s="2" t="s">
        <v>48</v>
      </c>
      <c r="D5571" s="2" t="s">
        <v>12</v>
      </c>
      <c r="E5571" s="2" t="s">
        <v>76</v>
      </c>
      <c r="F5571" s="2" t="s">
        <v>1146</v>
      </c>
      <c r="G5571" s="14" t="n">
        <v>24.5</v>
      </c>
      <c r="H5571" s="14" t="n">
        <v>43.25</v>
      </c>
      <c r="I5571" s="14" t="n">
        <v>9.5</v>
      </c>
      <c r="J5571" s="22" t="n">
        <f aca="false">IF(E5571="Priority",'Cost model'!N149,'Cost model'!M149)</f>
        <v>45</v>
      </c>
      <c r="K5571" s="14" t="n">
        <f aca="false">J5571-H5571</f>
        <v>1.75</v>
      </c>
      <c r="L5571" s="14" t="n">
        <f aca="false">G5571-H5571</f>
        <v>-18.75</v>
      </c>
    </row>
    <row r="5572" customFormat="false" ht="15" hidden="false" customHeight="false" outlineLevel="0" collapsed="false">
      <c r="A5572" s="2" t="s">
        <v>146</v>
      </c>
      <c r="B5572" s="2" t="s">
        <v>146</v>
      </c>
      <c r="C5572" s="2" t="s">
        <v>49</v>
      </c>
      <c r="D5572" s="2" t="s">
        <v>10</v>
      </c>
      <c r="E5572" s="2" t="s">
        <v>85</v>
      </c>
      <c r="F5572" s="2" t="s">
        <v>1145</v>
      </c>
      <c r="G5572" s="14" t="n">
        <v>17.5</v>
      </c>
      <c r="H5572" s="14" t="n">
        <v>83.73</v>
      </c>
      <c r="I5572" s="14" t="n">
        <v>17.5</v>
      </c>
      <c r="J5572" s="22" t="n">
        <f aca="false">IF(E5572="Priority",'Cost model'!N759,'Cost model'!M759)</f>
        <v>21.5</v>
      </c>
      <c r="K5572" s="14" t="n">
        <f aca="false">J5572-H5572</f>
        <v>-62.23</v>
      </c>
      <c r="L5572" s="14" t="n">
        <f aca="false">G5572-H5572</f>
        <v>-66.23</v>
      </c>
    </row>
    <row r="5573" customFormat="false" ht="15" hidden="false" customHeight="false" outlineLevel="0" collapsed="false">
      <c r="A5573" s="2" t="s">
        <v>126</v>
      </c>
      <c r="B5573" s="2" t="s">
        <v>126</v>
      </c>
      <c r="C5573" s="2" t="s">
        <v>49</v>
      </c>
      <c r="D5573" s="2" t="s">
        <v>12</v>
      </c>
      <c r="E5573" s="2" t="s">
        <v>85</v>
      </c>
      <c r="F5573" s="2" t="s">
        <v>1145</v>
      </c>
      <c r="G5573" s="14" t="n">
        <v>19.5</v>
      </c>
      <c r="H5573" s="14" t="n">
        <v>24.17</v>
      </c>
      <c r="I5573" s="14" t="n">
        <v>19.5</v>
      </c>
      <c r="J5573" s="22" t="n">
        <f aca="false">IF(E5573="Priority",'Cost model'!N384,'Cost model'!M384)</f>
        <v>60</v>
      </c>
      <c r="K5573" s="14" t="n">
        <f aca="false">J5573-H5573</f>
        <v>35.83</v>
      </c>
      <c r="L5573" s="14" t="n">
        <f aca="false">G5573-H5573</f>
        <v>-4.67</v>
      </c>
    </row>
    <row r="5574" customFormat="false" ht="15" hidden="false" customHeight="false" outlineLevel="0" collapsed="false">
      <c r="A5574" s="2" t="s">
        <v>146</v>
      </c>
      <c r="B5574" s="2" t="s">
        <v>146</v>
      </c>
      <c r="C5574" s="2" t="s">
        <v>48</v>
      </c>
      <c r="D5574" s="2" t="s">
        <v>10</v>
      </c>
      <c r="E5574" s="2" t="s">
        <v>76</v>
      </c>
      <c r="F5574" s="2" t="s">
        <v>1145</v>
      </c>
      <c r="G5574" s="14" t="n">
        <v>9.5</v>
      </c>
      <c r="H5574" s="14" t="n">
        <v>8.61</v>
      </c>
      <c r="I5574" s="14" t="n">
        <v>9.5</v>
      </c>
      <c r="J5574" s="22" t="n">
        <f aca="false">IF(E5574="Priority",'Cost model'!N758,'Cost model'!M758)</f>
        <v>9.5</v>
      </c>
      <c r="K5574" s="14" t="n">
        <f aca="false">J5574-H5574</f>
        <v>0.890000000000001</v>
      </c>
      <c r="L5574" s="14" t="n">
        <f aca="false">G5574-H5574</f>
        <v>0.890000000000001</v>
      </c>
    </row>
    <row r="5575" customFormat="false" ht="15" hidden="false" customHeight="false" outlineLevel="0" collapsed="false">
      <c r="A5575" s="2" t="s">
        <v>184</v>
      </c>
      <c r="B5575" s="2" t="s">
        <v>184</v>
      </c>
      <c r="C5575" s="2" t="s">
        <v>50</v>
      </c>
      <c r="D5575" s="2" t="s">
        <v>12</v>
      </c>
      <c r="E5575" s="2" t="s">
        <v>85</v>
      </c>
      <c r="F5575" s="2" t="s">
        <v>1145</v>
      </c>
      <c r="G5575" s="14" t="n">
        <v>29.5</v>
      </c>
      <c r="H5575" s="14" t="n">
        <v>43.59</v>
      </c>
      <c r="I5575" s="14" t="n">
        <v>29.5</v>
      </c>
      <c r="J5575" s="22" t="n">
        <f aca="false">IF(E5575="Priority",'Cost model'!N205,'Cost model'!M205)</f>
        <v>65</v>
      </c>
      <c r="K5575" s="14" t="n">
        <f aca="false">J5575-H5575</f>
        <v>21.41</v>
      </c>
      <c r="L5575" s="14" t="n">
        <f aca="false">G5575-H5575</f>
        <v>-14.09</v>
      </c>
    </row>
    <row r="5576" customFormat="false" ht="15" hidden="false" customHeight="false" outlineLevel="0" collapsed="false">
      <c r="A5576" s="2" t="s">
        <v>146</v>
      </c>
      <c r="B5576" s="2" t="s">
        <v>146</v>
      </c>
      <c r="C5576" s="2" t="s">
        <v>48</v>
      </c>
      <c r="D5576" s="2" t="s">
        <v>10</v>
      </c>
      <c r="E5576" s="2" t="s">
        <v>76</v>
      </c>
      <c r="F5576" s="2" t="s">
        <v>1145</v>
      </c>
      <c r="G5576" s="14" t="n">
        <v>9.5</v>
      </c>
      <c r="H5576" s="14" t="n">
        <v>13.57</v>
      </c>
      <c r="I5576" s="14" t="n">
        <v>9.5</v>
      </c>
      <c r="J5576" s="22" t="n">
        <f aca="false">IF(E5576="Priority",'Cost model'!N758,'Cost model'!M758)</f>
        <v>9.5</v>
      </c>
      <c r="K5576" s="14" t="n">
        <f aca="false">J5576-H5576</f>
        <v>-4.07</v>
      </c>
      <c r="L5576" s="14" t="n">
        <f aca="false">G5576-H5576</f>
        <v>-4.07</v>
      </c>
    </row>
    <row r="5577" customFormat="false" ht="15" hidden="false" customHeight="false" outlineLevel="0" collapsed="false">
      <c r="A5577" s="2" t="s">
        <v>184</v>
      </c>
      <c r="B5577" s="2" t="s">
        <v>184</v>
      </c>
      <c r="C5577" s="2" t="s">
        <v>49</v>
      </c>
      <c r="D5577" s="2" t="s">
        <v>10</v>
      </c>
      <c r="E5577" s="2" t="s">
        <v>76</v>
      </c>
      <c r="F5577" s="2" t="s">
        <v>1145</v>
      </c>
      <c r="G5577" s="14" t="n">
        <v>12.5</v>
      </c>
      <c r="H5577" s="14" t="n">
        <v>7.22</v>
      </c>
      <c r="I5577" s="14"/>
      <c r="J5577" s="22" t="n">
        <f aca="false">IF(E5577="Priority",'Cost model'!N201,'Cost model'!M201)</f>
        <v>12.5</v>
      </c>
      <c r="K5577" s="14" t="n">
        <f aca="false">J5577-H5577</f>
        <v>5.28</v>
      </c>
      <c r="L5577" s="14" t="n">
        <f aca="false">G5577-H5577</f>
        <v>5.28</v>
      </c>
    </row>
    <row r="5578" customFormat="false" ht="15" hidden="false" customHeight="false" outlineLevel="0" collapsed="false">
      <c r="A5578" s="2" t="s">
        <v>126</v>
      </c>
      <c r="B5578" s="2" t="s">
        <v>126</v>
      </c>
      <c r="C5578" s="2" t="s">
        <v>48</v>
      </c>
      <c r="D5578" s="2" t="s">
        <v>10</v>
      </c>
      <c r="E5578" s="2" t="s">
        <v>76</v>
      </c>
      <c r="F5578" s="2" t="s">
        <v>1145</v>
      </c>
      <c r="G5578" s="14" t="n">
        <v>9.5</v>
      </c>
      <c r="H5578" s="14" t="n">
        <v>7.5</v>
      </c>
      <c r="I5578" s="14" t="n">
        <v>9.5</v>
      </c>
      <c r="J5578" s="22" t="n">
        <f aca="false">IF(E5578="Priority",'Cost model'!N380,'Cost model'!M380)</f>
        <v>8.5</v>
      </c>
      <c r="K5578" s="14" t="n">
        <f aca="false">J5578-H5578</f>
        <v>1</v>
      </c>
      <c r="L5578" s="14" t="n">
        <f aca="false">G5578-H5578</f>
        <v>2</v>
      </c>
    </row>
    <row r="5579" customFormat="false" ht="15" hidden="false" customHeight="false" outlineLevel="0" collapsed="false">
      <c r="A5579" s="2" t="s">
        <v>146</v>
      </c>
      <c r="B5579" s="2" t="s">
        <v>146</v>
      </c>
      <c r="C5579" s="2" t="s">
        <v>48</v>
      </c>
      <c r="D5579" s="2" t="s">
        <v>12</v>
      </c>
      <c r="E5579" s="2" t="s">
        <v>76</v>
      </c>
      <c r="F5579" s="2" t="s">
        <v>1145</v>
      </c>
      <c r="G5579" s="14" t="n">
        <v>9.5</v>
      </c>
      <c r="H5579" s="14" t="n">
        <v>44.56</v>
      </c>
      <c r="I5579" s="14" t="n">
        <v>9.5</v>
      </c>
      <c r="J5579" s="22" t="n">
        <f aca="false">IF(E5579="Priority",'Cost model'!N761,'Cost model'!M761)</f>
        <v>35</v>
      </c>
      <c r="K5579" s="14" t="n">
        <f aca="false">J5579-H5579</f>
        <v>-9.56</v>
      </c>
      <c r="L5579" s="14" t="n">
        <f aca="false">G5579-H5579</f>
        <v>-35.06</v>
      </c>
    </row>
    <row r="5580" customFormat="false" ht="15" hidden="false" customHeight="false" outlineLevel="0" collapsed="false">
      <c r="A5580" s="2" t="s">
        <v>184</v>
      </c>
      <c r="B5580" s="2" t="s">
        <v>184</v>
      </c>
      <c r="C5580" s="2" t="s">
        <v>48</v>
      </c>
      <c r="D5580" s="2" t="s">
        <v>10</v>
      </c>
      <c r="E5580" s="2" t="s">
        <v>76</v>
      </c>
      <c r="F5580" s="2" t="s">
        <v>1145</v>
      </c>
      <c r="G5580" s="14" t="n">
        <v>9.5</v>
      </c>
      <c r="H5580" s="14" t="n">
        <v>7.72</v>
      </c>
      <c r="I5580" s="14" t="n">
        <v>9.5</v>
      </c>
      <c r="J5580" s="22" t="n">
        <f aca="false">IF(E5580="Priority",'Cost model'!N200,'Cost model'!M200)</f>
        <v>7.5</v>
      </c>
      <c r="K5580" s="14" t="n">
        <f aca="false">J5580-H5580</f>
        <v>-0.22</v>
      </c>
      <c r="L5580" s="14" t="n">
        <f aca="false">G5580-H5580</f>
        <v>1.78</v>
      </c>
    </row>
    <row r="5581" customFormat="false" ht="15" hidden="false" customHeight="false" outlineLevel="0" collapsed="false">
      <c r="A5581" s="2" t="s">
        <v>184</v>
      </c>
      <c r="B5581" s="2" t="s">
        <v>184</v>
      </c>
      <c r="C5581" s="2" t="s">
        <v>50</v>
      </c>
      <c r="D5581" s="2" t="s">
        <v>12</v>
      </c>
      <c r="E5581" s="2" t="s">
        <v>76</v>
      </c>
      <c r="F5581" s="2" t="s">
        <v>1145</v>
      </c>
      <c r="G5581" s="14" t="n">
        <v>19.5</v>
      </c>
      <c r="H5581" s="14" t="n">
        <v>49.78</v>
      </c>
      <c r="I5581" s="14" t="n">
        <v>19.5</v>
      </c>
      <c r="J5581" s="22" t="n">
        <f aca="false">IF(E5581="Priority",'Cost model'!N205,'Cost model'!M205)</f>
        <v>50</v>
      </c>
      <c r="K5581" s="14" t="n">
        <f aca="false">J5581-H5581</f>
        <v>0.219999999999999</v>
      </c>
      <c r="L5581" s="14" t="n">
        <f aca="false">G5581-H5581</f>
        <v>-30.28</v>
      </c>
    </row>
    <row r="5582" customFormat="false" ht="15" hidden="false" customHeight="false" outlineLevel="0" collapsed="false">
      <c r="A5582" s="2" t="s">
        <v>184</v>
      </c>
      <c r="B5582" s="2" t="s">
        <v>184</v>
      </c>
      <c r="C5582" s="2" t="s">
        <v>49</v>
      </c>
      <c r="D5582" s="2" t="s">
        <v>10</v>
      </c>
      <c r="E5582" s="2" t="s">
        <v>76</v>
      </c>
      <c r="F5582" s="2" t="s">
        <v>1145</v>
      </c>
      <c r="G5582" s="14" t="n">
        <v>12.5</v>
      </c>
      <c r="H5582" s="14" t="n">
        <v>15.99</v>
      </c>
      <c r="I5582" s="14" t="n">
        <v>12.5</v>
      </c>
      <c r="J5582" s="22" t="n">
        <f aca="false">IF(E5582="Priority",'Cost model'!N201,'Cost model'!M201)</f>
        <v>12.5</v>
      </c>
      <c r="K5582" s="14" t="n">
        <f aca="false">J5582-H5582</f>
        <v>-3.49</v>
      </c>
      <c r="L5582" s="14" t="n">
        <f aca="false">G5582-H5582</f>
        <v>-3.49</v>
      </c>
    </row>
    <row r="5583" customFormat="false" ht="15" hidden="false" customHeight="false" outlineLevel="0" collapsed="false">
      <c r="A5583" s="2" t="s">
        <v>146</v>
      </c>
      <c r="B5583" s="2" t="s">
        <v>146</v>
      </c>
      <c r="C5583" s="2" t="s">
        <v>49</v>
      </c>
      <c r="D5583" s="2" t="s">
        <v>10</v>
      </c>
      <c r="E5583" s="2" t="s">
        <v>76</v>
      </c>
      <c r="F5583" s="2" t="s">
        <v>1145</v>
      </c>
      <c r="G5583" s="14" t="n">
        <v>12.5</v>
      </c>
      <c r="H5583" s="14" t="n">
        <v>17.31</v>
      </c>
      <c r="I5583" s="14" t="n">
        <v>12.5</v>
      </c>
      <c r="J5583" s="22" t="n">
        <f aca="false">IF(E5583="Priority",'Cost model'!N759,'Cost model'!M759)</f>
        <v>15.5</v>
      </c>
      <c r="K5583" s="14" t="n">
        <f aca="false">J5583-H5583</f>
        <v>-1.81</v>
      </c>
      <c r="L5583" s="14" t="n">
        <f aca="false">G5583-H5583</f>
        <v>-4.81</v>
      </c>
    </row>
    <row r="5584" customFormat="false" ht="15" hidden="false" customHeight="false" outlineLevel="0" collapsed="false">
      <c r="A5584" s="2" t="s">
        <v>165</v>
      </c>
      <c r="B5584" s="2" t="s">
        <v>126</v>
      </c>
      <c r="C5584" s="2" t="s">
        <v>48</v>
      </c>
      <c r="D5584" s="2" t="s">
        <v>13</v>
      </c>
      <c r="E5584" s="2" t="s">
        <v>76</v>
      </c>
      <c r="F5584" s="2" t="s">
        <v>1146</v>
      </c>
      <c r="G5584" s="14" t="n">
        <v>24.5</v>
      </c>
      <c r="H5584" s="14" t="n">
        <v>56.84</v>
      </c>
      <c r="I5584" s="14" t="n">
        <v>24.5</v>
      </c>
      <c r="J5584" s="22" t="n">
        <f aca="false">IF(E5584="Priority",'Cost model'!N548,'Cost model'!M548)</f>
        <v>80</v>
      </c>
      <c r="K5584" s="14" t="n">
        <f aca="false">J5584-H5584</f>
        <v>23.16</v>
      </c>
      <c r="L5584" s="14" t="n">
        <f aca="false">G5584-H5584</f>
        <v>-32.34</v>
      </c>
    </row>
    <row r="5585" customFormat="false" ht="15" hidden="false" customHeight="false" outlineLevel="0" collapsed="false">
      <c r="A5585" s="2" t="s">
        <v>184</v>
      </c>
      <c r="B5585" s="2" t="s">
        <v>126</v>
      </c>
      <c r="C5585" s="2" t="s">
        <v>49</v>
      </c>
      <c r="D5585" s="2" t="s">
        <v>10</v>
      </c>
      <c r="E5585" s="2" t="s">
        <v>76</v>
      </c>
      <c r="F5585" s="2" t="s">
        <v>1146</v>
      </c>
      <c r="G5585" s="14" t="n">
        <v>12.5</v>
      </c>
      <c r="H5585" s="14" t="n">
        <v>61.19</v>
      </c>
      <c r="I5585" s="14" t="n">
        <v>12.5</v>
      </c>
      <c r="J5585" s="22" t="n">
        <f aca="false">IF(E5585="Priority",'Cost model'!N129,'Cost model'!M129)</f>
        <v>13.5</v>
      </c>
      <c r="K5585" s="14" t="n">
        <f aca="false">J5585-H5585</f>
        <v>-47.69</v>
      </c>
      <c r="L5585" s="14" t="n">
        <f aca="false">G5585-H5585</f>
        <v>-48.69</v>
      </c>
    </row>
    <row r="5586" customFormat="false" ht="15" hidden="false" customHeight="false" outlineLevel="0" collapsed="false">
      <c r="A5586" s="2" t="s">
        <v>165</v>
      </c>
      <c r="B5586" s="2" t="s">
        <v>165</v>
      </c>
      <c r="C5586" s="2" t="s">
        <v>50</v>
      </c>
      <c r="D5586" s="2" t="s">
        <v>12</v>
      </c>
      <c r="E5586" s="2" t="s">
        <v>76</v>
      </c>
      <c r="F5586" s="2" t="s">
        <v>1145</v>
      </c>
      <c r="G5586" s="14" t="n">
        <v>19.5</v>
      </c>
      <c r="H5586" s="14" t="n">
        <v>42.46</v>
      </c>
      <c r="I5586" s="14" t="n">
        <v>19.5</v>
      </c>
      <c r="J5586" s="22" t="n">
        <f aca="false">IF(E5586="Priority",'Cost model'!N511,'Cost model'!M511)</f>
        <v>35</v>
      </c>
      <c r="K5586" s="14" t="n">
        <f aca="false">J5586-H5586</f>
        <v>-7.46</v>
      </c>
      <c r="L5586" s="14" t="n">
        <f aca="false">G5586-H5586</f>
        <v>-22.96</v>
      </c>
    </row>
    <row r="5587" customFormat="false" ht="15" hidden="false" customHeight="false" outlineLevel="0" collapsed="false">
      <c r="A5587" s="2" t="s">
        <v>221</v>
      </c>
      <c r="B5587" s="2" t="s">
        <v>146</v>
      </c>
      <c r="C5587" s="2" t="s">
        <v>49</v>
      </c>
      <c r="D5587" s="2" t="s">
        <v>10</v>
      </c>
      <c r="E5587" s="2" t="s">
        <v>76</v>
      </c>
      <c r="F5587" s="2" t="s">
        <v>1146</v>
      </c>
      <c r="G5587" s="14" t="n">
        <v>24.5</v>
      </c>
      <c r="H5587" s="14" t="n">
        <v>24.17</v>
      </c>
      <c r="I5587" s="14" t="n">
        <v>14.5</v>
      </c>
      <c r="J5587" s="22" t="n">
        <f aca="false">IF(E5587="Priority",'Cost model'!N651,'Cost model'!M651)</f>
        <v>20.5</v>
      </c>
      <c r="K5587" s="14" t="n">
        <f aca="false">J5587-H5587</f>
        <v>-3.67</v>
      </c>
      <c r="L5587" s="14" t="n">
        <f aca="false">G5587-H5587</f>
        <v>0.329999999999998</v>
      </c>
    </row>
    <row r="5588" customFormat="false" ht="15" hidden="false" customHeight="false" outlineLevel="0" collapsed="false">
      <c r="A5588" s="2" t="s">
        <v>126</v>
      </c>
      <c r="B5588" s="2" t="s">
        <v>126</v>
      </c>
      <c r="C5588" s="2" t="s">
        <v>49</v>
      </c>
      <c r="D5588" s="2" t="s">
        <v>10</v>
      </c>
      <c r="E5588" s="2" t="s">
        <v>85</v>
      </c>
      <c r="F5588" s="2" t="s">
        <v>1145</v>
      </c>
      <c r="G5588" s="14" t="n">
        <v>17.5</v>
      </c>
      <c r="H5588" s="14" t="n">
        <v>31.14</v>
      </c>
      <c r="I5588" s="14" t="n">
        <v>17.5</v>
      </c>
      <c r="J5588" s="22" t="n">
        <f aca="false">IF(E5588="Priority",'Cost model'!N381,'Cost model'!M381)</f>
        <v>19.5</v>
      </c>
      <c r="K5588" s="14" t="n">
        <f aca="false">J5588-H5588</f>
        <v>-11.64</v>
      </c>
      <c r="L5588" s="14" t="n">
        <f aca="false">G5588-H5588</f>
        <v>-13.64</v>
      </c>
    </row>
    <row r="5589" customFormat="false" ht="15" hidden="false" customHeight="false" outlineLevel="0" collapsed="false">
      <c r="A5589" s="2" t="s">
        <v>240</v>
      </c>
      <c r="B5589" s="2" t="s">
        <v>240</v>
      </c>
      <c r="C5589" s="2" t="s">
        <v>48</v>
      </c>
      <c r="D5589" s="2" t="s">
        <v>10</v>
      </c>
      <c r="E5589" s="2" t="s">
        <v>76</v>
      </c>
      <c r="F5589" s="2" t="s">
        <v>1145</v>
      </c>
      <c r="G5589" s="14" t="n">
        <v>9.5</v>
      </c>
      <c r="H5589" s="14" t="n">
        <v>5.95</v>
      </c>
      <c r="I5589" s="14" t="n">
        <v>9.5</v>
      </c>
      <c r="J5589" s="22" t="n">
        <f aca="false">IF(E5589="Priority",'Cost model'!N884,'Cost model'!M884)</f>
        <v>7.5</v>
      </c>
      <c r="K5589" s="14" t="n">
        <f aca="false">J5589-H5589</f>
        <v>1.55</v>
      </c>
      <c r="L5589" s="14" t="n">
        <f aca="false">G5589-H5589</f>
        <v>3.55</v>
      </c>
    </row>
    <row r="5590" customFormat="false" ht="15" hidden="false" customHeight="false" outlineLevel="0" collapsed="false">
      <c r="A5590" s="2" t="s">
        <v>184</v>
      </c>
      <c r="B5590" s="2" t="s">
        <v>184</v>
      </c>
      <c r="C5590" s="2" t="s">
        <v>50</v>
      </c>
      <c r="D5590" s="2" t="s">
        <v>10</v>
      </c>
      <c r="E5590" s="2" t="s">
        <v>76</v>
      </c>
      <c r="F5590" s="2" t="s">
        <v>1145</v>
      </c>
      <c r="G5590" s="14" t="n">
        <v>17.5</v>
      </c>
      <c r="H5590" s="14" t="n">
        <v>19.56</v>
      </c>
      <c r="I5590" s="14" t="n">
        <v>17.5</v>
      </c>
      <c r="J5590" s="22" t="n">
        <f aca="false">IF(E5590="Priority",'Cost model'!N202,'Cost model'!M202)</f>
        <v>17.5</v>
      </c>
      <c r="K5590" s="14" t="n">
        <f aca="false">J5590-H5590</f>
        <v>-2.06</v>
      </c>
      <c r="L5590" s="14" t="n">
        <f aca="false">G5590-H5590</f>
        <v>-2.06</v>
      </c>
    </row>
    <row r="5591" customFormat="false" ht="15" hidden="false" customHeight="false" outlineLevel="0" collapsed="false">
      <c r="A5591" s="2" t="s">
        <v>146</v>
      </c>
      <c r="B5591" s="2" t="s">
        <v>146</v>
      </c>
      <c r="C5591" s="2" t="s">
        <v>50</v>
      </c>
      <c r="D5591" s="2" t="s">
        <v>12</v>
      </c>
      <c r="E5591" s="2" t="s">
        <v>85</v>
      </c>
      <c r="F5591" s="2" t="s">
        <v>1145</v>
      </c>
      <c r="G5591" s="14" t="n">
        <v>29.5</v>
      </c>
      <c r="H5591" s="14" t="n">
        <v>47.03</v>
      </c>
      <c r="I5591" s="14" t="n">
        <v>29.5</v>
      </c>
      <c r="J5591" s="22" t="n">
        <f aca="false">IF(E5591="Priority",'Cost model'!N763,'Cost model'!M763)</f>
        <v>65</v>
      </c>
      <c r="K5591" s="14" t="n">
        <f aca="false">J5591-H5591</f>
        <v>17.97</v>
      </c>
      <c r="L5591" s="14" t="n">
        <f aca="false">G5591-H5591</f>
        <v>-17.53</v>
      </c>
    </row>
    <row r="5592" customFormat="false" ht="15" hidden="false" customHeight="false" outlineLevel="0" collapsed="false">
      <c r="A5592" s="2" t="s">
        <v>146</v>
      </c>
      <c r="B5592" s="2" t="s">
        <v>126</v>
      </c>
      <c r="C5592" s="2" t="s">
        <v>50</v>
      </c>
      <c r="D5592" s="2" t="s">
        <v>12</v>
      </c>
      <c r="E5592" s="2" t="s">
        <v>76</v>
      </c>
      <c r="F5592" s="2" t="s">
        <v>1146</v>
      </c>
      <c r="G5592" s="14" t="n">
        <v>19.5</v>
      </c>
      <c r="H5592" s="14" t="n">
        <v>45.8</v>
      </c>
      <c r="I5592" s="14" t="n">
        <v>19.5</v>
      </c>
      <c r="J5592" s="22" t="n">
        <f aca="false">IF(E5592="Priority",'Cost model'!N799,'Cost model'!M799)</f>
        <v>55</v>
      </c>
      <c r="K5592" s="14" t="n">
        <f aca="false">J5592-H5592</f>
        <v>9.2</v>
      </c>
      <c r="L5592" s="14" t="n">
        <f aca="false">G5592-H5592</f>
        <v>-26.3</v>
      </c>
    </row>
    <row r="5593" customFormat="false" ht="15" hidden="false" customHeight="false" outlineLevel="0" collapsed="false">
      <c r="A5593" s="2" t="s">
        <v>146</v>
      </c>
      <c r="B5593" s="2" t="s">
        <v>146</v>
      </c>
      <c r="C5593" s="2" t="s">
        <v>48</v>
      </c>
      <c r="D5593" s="2" t="s">
        <v>12</v>
      </c>
      <c r="E5593" s="2" t="s">
        <v>76</v>
      </c>
      <c r="F5593" s="2" t="s">
        <v>1145</v>
      </c>
      <c r="G5593" s="14" t="n">
        <v>9.5</v>
      </c>
      <c r="H5593" s="14" t="n">
        <v>16.53</v>
      </c>
      <c r="I5593" s="14" t="n">
        <v>9.5</v>
      </c>
      <c r="J5593" s="22" t="n">
        <f aca="false">IF(E5593="Priority",'Cost model'!N761,'Cost model'!M761)</f>
        <v>35</v>
      </c>
      <c r="K5593" s="14" t="n">
        <f aca="false">J5593-H5593</f>
        <v>18.47</v>
      </c>
      <c r="L5593" s="14" t="n">
        <f aca="false">G5593-H5593</f>
        <v>-7.03</v>
      </c>
    </row>
    <row r="5594" customFormat="false" ht="15" hidden="false" customHeight="false" outlineLevel="0" collapsed="false">
      <c r="A5594" s="2" t="s">
        <v>146</v>
      </c>
      <c r="B5594" s="2" t="s">
        <v>146</v>
      </c>
      <c r="C5594" s="2" t="s">
        <v>49</v>
      </c>
      <c r="D5594" s="2" t="s">
        <v>10</v>
      </c>
      <c r="E5594" s="2" t="s">
        <v>76</v>
      </c>
      <c r="F5594" s="2" t="s">
        <v>1145</v>
      </c>
      <c r="G5594" s="14" t="n">
        <v>12.5</v>
      </c>
      <c r="H5594" s="14" t="n">
        <v>11.25</v>
      </c>
      <c r="I5594" s="14" t="n">
        <v>12.5</v>
      </c>
      <c r="J5594" s="22" t="n">
        <f aca="false">IF(E5594="Priority",'Cost model'!N759,'Cost model'!M759)</f>
        <v>15.5</v>
      </c>
      <c r="K5594" s="14" t="n">
        <f aca="false">J5594-H5594</f>
        <v>4.25</v>
      </c>
      <c r="L5594" s="14" t="n">
        <f aca="false">G5594-H5594</f>
        <v>1.25</v>
      </c>
    </row>
    <row r="5595" customFormat="false" ht="15" hidden="false" customHeight="false" outlineLevel="0" collapsed="false">
      <c r="A5595" s="2" t="s">
        <v>240</v>
      </c>
      <c r="B5595" s="2" t="s">
        <v>240</v>
      </c>
      <c r="C5595" s="2" t="s">
        <v>50</v>
      </c>
      <c r="D5595" s="2" t="s">
        <v>10</v>
      </c>
      <c r="E5595" s="2" t="s">
        <v>76</v>
      </c>
      <c r="F5595" s="2" t="s">
        <v>1145</v>
      </c>
      <c r="G5595" s="14" t="n">
        <v>17.5</v>
      </c>
      <c r="H5595" s="14" t="n">
        <v>16.84</v>
      </c>
      <c r="I5595" s="14" t="n">
        <v>17.5</v>
      </c>
      <c r="J5595" s="22" t="n">
        <f aca="false">IF(E5595="Priority",'Cost model'!N886,'Cost model'!M886)</f>
        <v>17.5</v>
      </c>
      <c r="K5595" s="14" t="n">
        <f aca="false">J5595-H5595</f>
        <v>0.66</v>
      </c>
      <c r="L5595" s="14" t="n">
        <f aca="false">G5595-H5595</f>
        <v>0.66</v>
      </c>
    </row>
    <row r="5596" customFormat="false" ht="15" hidden="false" customHeight="false" outlineLevel="0" collapsed="false">
      <c r="A5596" s="2" t="s">
        <v>126</v>
      </c>
      <c r="B5596" s="2" t="s">
        <v>126</v>
      </c>
      <c r="C5596" s="2" t="s">
        <v>50</v>
      </c>
      <c r="D5596" s="2" t="s">
        <v>10</v>
      </c>
      <c r="E5596" s="2" t="s">
        <v>85</v>
      </c>
      <c r="F5596" s="2" t="s">
        <v>1145</v>
      </c>
      <c r="G5596" s="14" t="n">
        <v>24.5</v>
      </c>
      <c r="H5596" s="14" t="n">
        <v>20.57</v>
      </c>
      <c r="I5596" s="14" t="n">
        <v>24.5</v>
      </c>
      <c r="J5596" s="22" t="n">
        <f aca="false">IF(E5596="Priority",'Cost model'!N382,'Cost model'!M382)</f>
        <v>25.5</v>
      </c>
      <c r="K5596" s="14" t="n">
        <f aca="false">J5596-H5596</f>
        <v>4.93</v>
      </c>
      <c r="L5596" s="14" t="n">
        <f aca="false">G5596-H5596</f>
        <v>3.93</v>
      </c>
    </row>
    <row r="5597" customFormat="false" ht="15" hidden="false" customHeight="false" outlineLevel="0" collapsed="false">
      <c r="A5597" s="2" t="s">
        <v>126</v>
      </c>
      <c r="B5597" s="2" t="s">
        <v>126</v>
      </c>
      <c r="C5597" s="2" t="s">
        <v>49</v>
      </c>
      <c r="D5597" s="2" t="s">
        <v>12</v>
      </c>
      <c r="E5597" s="2" t="s">
        <v>76</v>
      </c>
      <c r="F5597" s="2" t="s">
        <v>1145</v>
      </c>
      <c r="G5597" s="14" t="n">
        <v>12.5</v>
      </c>
      <c r="H5597" s="14" t="n">
        <v>20.57</v>
      </c>
      <c r="I5597" s="14" t="n">
        <v>12.5</v>
      </c>
      <c r="J5597" s="22" t="n">
        <f aca="false">IF(E5597="Priority",'Cost model'!N384,'Cost model'!M384)</f>
        <v>45</v>
      </c>
      <c r="K5597" s="14" t="n">
        <f aca="false">J5597-H5597</f>
        <v>24.43</v>
      </c>
      <c r="L5597" s="14" t="n">
        <f aca="false">G5597-H5597</f>
        <v>-8.07</v>
      </c>
    </row>
    <row r="5598" customFormat="false" ht="15" hidden="false" customHeight="false" outlineLevel="0" collapsed="false">
      <c r="A5598" s="2" t="s">
        <v>146</v>
      </c>
      <c r="B5598" s="2" t="s">
        <v>146</v>
      </c>
      <c r="C5598" s="2" t="s">
        <v>48</v>
      </c>
      <c r="D5598" s="2" t="s">
        <v>10</v>
      </c>
      <c r="E5598" s="2" t="s">
        <v>76</v>
      </c>
      <c r="F5598" s="2" t="s">
        <v>1145</v>
      </c>
      <c r="G5598" s="14" t="n">
        <v>9.5</v>
      </c>
      <c r="H5598" s="14" t="n">
        <v>7.72</v>
      </c>
      <c r="I5598" s="14" t="n">
        <v>9.5</v>
      </c>
      <c r="J5598" s="22" t="n">
        <f aca="false">IF(E5598="Priority",'Cost model'!N758,'Cost model'!M758)</f>
        <v>9.5</v>
      </c>
      <c r="K5598" s="14" t="n">
        <f aca="false">J5598-H5598</f>
        <v>1.78</v>
      </c>
      <c r="L5598" s="14" t="n">
        <f aca="false">G5598-H5598</f>
        <v>1.78</v>
      </c>
    </row>
    <row r="5599" customFormat="false" ht="15" hidden="false" customHeight="false" outlineLevel="0" collapsed="false">
      <c r="A5599" s="2" t="s">
        <v>126</v>
      </c>
      <c r="B5599" s="2" t="s">
        <v>126</v>
      </c>
      <c r="C5599" s="2" t="s">
        <v>49</v>
      </c>
      <c r="D5599" s="2" t="s">
        <v>10</v>
      </c>
      <c r="E5599" s="2" t="s">
        <v>76</v>
      </c>
      <c r="F5599" s="2" t="s">
        <v>1145</v>
      </c>
      <c r="G5599" s="14" t="n">
        <v>12.5</v>
      </c>
      <c r="H5599" s="14" t="n">
        <v>11.34</v>
      </c>
      <c r="I5599" s="14" t="n">
        <v>12.5</v>
      </c>
      <c r="J5599" s="22" t="n">
        <f aca="false">IF(E5599="Priority",'Cost model'!N381,'Cost model'!M381)</f>
        <v>14.5</v>
      </c>
      <c r="K5599" s="14" t="n">
        <f aca="false">J5599-H5599</f>
        <v>3.16</v>
      </c>
      <c r="L5599" s="14" t="n">
        <f aca="false">G5599-H5599</f>
        <v>1.16</v>
      </c>
    </row>
    <row r="5600" customFormat="false" ht="15" hidden="false" customHeight="false" outlineLevel="0" collapsed="false">
      <c r="A5600" s="2" t="s">
        <v>184</v>
      </c>
      <c r="B5600" s="2" t="s">
        <v>184</v>
      </c>
      <c r="C5600" s="2" t="s">
        <v>48</v>
      </c>
      <c r="D5600" s="2" t="s">
        <v>12</v>
      </c>
      <c r="E5600" s="2" t="s">
        <v>76</v>
      </c>
      <c r="F5600" s="2" t="s">
        <v>1145</v>
      </c>
      <c r="G5600" s="14" t="n">
        <v>9.5</v>
      </c>
      <c r="H5600" s="14" t="n">
        <v>10.43</v>
      </c>
      <c r="I5600" s="14" t="n">
        <v>9.5</v>
      </c>
      <c r="J5600" s="22" t="n">
        <f aca="false">IF(E5600="Priority",'Cost model'!N203,'Cost model'!M203)</f>
        <v>26.5</v>
      </c>
      <c r="K5600" s="14" t="n">
        <f aca="false">J5600-H5600</f>
        <v>16.07</v>
      </c>
      <c r="L5600" s="14" t="n">
        <f aca="false">G5600-H5600</f>
        <v>-0.93</v>
      </c>
    </row>
    <row r="5601" customFormat="false" ht="15" hidden="false" customHeight="false" outlineLevel="0" collapsed="false">
      <c r="A5601" s="2" t="s">
        <v>126</v>
      </c>
      <c r="B5601" s="2" t="s">
        <v>126</v>
      </c>
      <c r="C5601" s="2" t="s">
        <v>49</v>
      </c>
      <c r="D5601" s="2" t="s">
        <v>12</v>
      </c>
      <c r="E5601" s="2" t="s">
        <v>76</v>
      </c>
      <c r="F5601" s="2" t="s">
        <v>1145</v>
      </c>
      <c r="G5601" s="14" t="n">
        <v>12.5</v>
      </c>
      <c r="H5601" s="14" t="n">
        <v>16.59</v>
      </c>
      <c r="I5601" s="14" t="n">
        <v>12.5</v>
      </c>
      <c r="J5601" s="22" t="n">
        <f aca="false">IF(E5601="Priority",'Cost model'!N384,'Cost model'!M384)</f>
        <v>45</v>
      </c>
      <c r="K5601" s="14" t="n">
        <f aca="false">J5601-H5601</f>
        <v>28.41</v>
      </c>
      <c r="L5601" s="14" t="n">
        <f aca="false">G5601-H5601</f>
        <v>-4.09</v>
      </c>
    </row>
    <row r="5602" customFormat="false" ht="15" hidden="false" customHeight="false" outlineLevel="0" collapsed="false">
      <c r="A5602" s="2" t="s">
        <v>126</v>
      </c>
      <c r="B5602" s="2" t="s">
        <v>126</v>
      </c>
      <c r="C5602" s="2" t="s">
        <v>48</v>
      </c>
      <c r="D5602" s="2" t="s">
        <v>12</v>
      </c>
      <c r="E5602" s="2" t="s">
        <v>76</v>
      </c>
      <c r="F5602" s="2" t="s">
        <v>1145</v>
      </c>
      <c r="G5602" s="14" t="n">
        <v>9.5</v>
      </c>
      <c r="H5602" s="14" t="n">
        <v>27.54</v>
      </c>
      <c r="I5602" s="14" t="n">
        <v>9.5</v>
      </c>
      <c r="J5602" s="22" t="n">
        <f aca="false">IF(E5602="Priority",'Cost model'!N383,'Cost model'!M383)</f>
        <v>27.5</v>
      </c>
      <c r="K5602" s="14" t="n">
        <f aca="false">J5602-H5602</f>
        <v>-0.0399999999999992</v>
      </c>
      <c r="L5602" s="14" t="n">
        <f aca="false">G5602-H5602</f>
        <v>-18.04</v>
      </c>
    </row>
    <row r="5603" customFormat="false" ht="15" hidden="false" customHeight="false" outlineLevel="0" collapsed="false">
      <c r="A5603" s="2" t="s">
        <v>126</v>
      </c>
      <c r="B5603" s="2" t="s">
        <v>126</v>
      </c>
      <c r="C5603" s="2" t="s">
        <v>49</v>
      </c>
      <c r="D5603" s="2" t="s">
        <v>12</v>
      </c>
      <c r="E5603" s="2" t="s">
        <v>76</v>
      </c>
      <c r="F5603" s="2" t="s">
        <v>1145</v>
      </c>
      <c r="G5603" s="14" t="n">
        <v>12.5</v>
      </c>
      <c r="H5603" s="14" t="n">
        <v>43.59</v>
      </c>
      <c r="I5603" s="14" t="n">
        <v>12.5</v>
      </c>
      <c r="J5603" s="22" t="n">
        <f aca="false">IF(E5603="Priority",'Cost model'!N384,'Cost model'!M384)</f>
        <v>45</v>
      </c>
      <c r="K5603" s="14" t="n">
        <f aca="false">J5603-H5603</f>
        <v>1.41</v>
      </c>
      <c r="L5603" s="14" t="n">
        <f aca="false">G5603-H5603</f>
        <v>-31.09</v>
      </c>
    </row>
    <row r="5604" customFormat="false" ht="15" hidden="false" customHeight="false" outlineLevel="0" collapsed="false">
      <c r="A5604" s="2" t="s">
        <v>126</v>
      </c>
      <c r="B5604" s="2" t="s">
        <v>126</v>
      </c>
      <c r="C5604" s="2" t="s">
        <v>49</v>
      </c>
      <c r="D5604" s="2" t="s">
        <v>10</v>
      </c>
      <c r="E5604" s="2" t="s">
        <v>76</v>
      </c>
      <c r="F5604" s="2" t="s">
        <v>1145</v>
      </c>
      <c r="G5604" s="14" t="n">
        <v>14.5</v>
      </c>
      <c r="H5604" s="14" t="n">
        <v>22.13</v>
      </c>
      <c r="I5604" s="14" t="n">
        <v>12.5</v>
      </c>
      <c r="J5604" s="22" t="n">
        <f aca="false">IF(E5604="Priority",'Cost model'!N381,'Cost model'!M381)</f>
        <v>14.5</v>
      </c>
      <c r="K5604" s="14" t="n">
        <f aca="false">J5604-H5604</f>
        <v>-7.63</v>
      </c>
      <c r="L5604" s="14" t="n">
        <f aca="false">G5604-H5604</f>
        <v>-7.63</v>
      </c>
    </row>
    <row r="5605" customFormat="false" ht="15" hidden="false" customHeight="false" outlineLevel="0" collapsed="false">
      <c r="A5605" s="2" t="s">
        <v>146</v>
      </c>
      <c r="B5605" s="2" t="s">
        <v>184</v>
      </c>
      <c r="C5605" s="2" t="s">
        <v>50</v>
      </c>
      <c r="D5605" s="2" t="s">
        <v>10</v>
      </c>
      <c r="E5605" s="2" t="s">
        <v>76</v>
      </c>
      <c r="F5605" s="2" t="s">
        <v>1146</v>
      </c>
      <c r="G5605" s="14" t="n">
        <v>17.5</v>
      </c>
      <c r="H5605" s="14" t="n">
        <v>11.03</v>
      </c>
      <c r="I5605" s="14" t="n">
        <v>17.5</v>
      </c>
      <c r="J5605" s="22" t="n">
        <f aca="false">IF(E5605="Priority",'Cost model'!N832,'Cost model'!M832)</f>
        <v>15.5</v>
      </c>
      <c r="K5605" s="14" t="n">
        <f aca="false">J5605-H5605</f>
        <v>4.47</v>
      </c>
      <c r="L5605" s="14" t="n">
        <f aca="false">G5605-H5605</f>
        <v>6.47</v>
      </c>
    </row>
    <row r="5606" customFormat="false" ht="15" hidden="false" customHeight="false" outlineLevel="0" collapsed="false">
      <c r="A5606" s="2" t="s">
        <v>165</v>
      </c>
      <c r="B5606" s="2" t="s">
        <v>165</v>
      </c>
      <c r="C5606" s="2" t="s">
        <v>48</v>
      </c>
      <c r="D5606" s="2" t="s">
        <v>10</v>
      </c>
      <c r="E5606" s="2" t="s">
        <v>76</v>
      </c>
      <c r="F5606" s="2" t="s">
        <v>1145</v>
      </c>
      <c r="G5606" s="14" t="n">
        <v>9.5</v>
      </c>
      <c r="H5606" s="14" t="n">
        <v>8.33</v>
      </c>
      <c r="I5606" s="14" t="n">
        <v>9.5</v>
      </c>
      <c r="J5606" s="22" t="n">
        <f aca="false">IF(E5606="Priority",'Cost model'!N506,'Cost model'!M506)</f>
        <v>7.5</v>
      </c>
      <c r="K5606" s="14" t="n">
        <f aca="false">J5606-H5606</f>
        <v>-0.83</v>
      </c>
      <c r="L5606" s="14" t="n">
        <f aca="false">G5606-H5606</f>
        <v>1.17</v>
      </c>
    </row>
    <row r="5607" customFormat="false" ht="15" hidden="false" customHeight="false" outlineLevel="0" collapsed="false">
      <c r="A5607" s="2" t="s">
        <v>184</v>
      </c>
      <c r="B5607" s="2" t="s">
        <v>184</v>
      </c>
      <c r="C5607" s="2" t="s">
        <v>50</v>
      </c>
      <c r="D5607" s="2" t="s">
        <v>10</v>
      </c>
      <c r="E5607" s="2" t="s">
        <v>76</v>
      </c>
      <c r="F5607" s="2" t="s">
        <v>1145</v>
      </c>
      <c r="G5607" s="14" t="n">
        <v>17.5</v>
      </c>
      <c r="H5607" s="14" t="n">
        <v>15.16</v>
      </c>
      <c r="I5607" s="14" t="n">
        <v>17.5</v>
      </c>
      <c r="J5607" s="22" t="n">
        <f aca="false">IF(E5607="Priority",'Cost model'!N202,'Cost model'!M202)</f>
        <v>17.5</v>
      </c>
      <c r="K5607" s="14" t="n">
        <f aca="false">J5607-H5607</f>
        <v>2.34</v>
      </c>
      <c r="L5607" s="14" t="n">
        <f aca="false">G5607-H5607</f>
        <v>2.34</v>
      </c>
    </row>
    <row r="5608" customFormat="false" ht="15" hidden="false" customHeight="false" outlineLevel="0" collapsed="false">
      <c r="A5608" s="2" t="s">
        <v>184</v>
      </c>
      <c r="B5608" s="2" t="s">
        <v>184</v>
      </c>
      <c r="C5608" s="2" t="s">
        <v>48</v>
      </c>
      <c r="D5608" s="2" t="s">
        <v>12</v>
      </c>
      <c r="E5608" s="2" t="s">
        <v>76</v>
      </c>
      <c r="F5608" s="2" t="s">
        <v>1145</v>
      </c>
      <c r="G5608" s="14" t="n">
        <v>9.5</v>
      </c>
      <c r="H5608" s="14" t="n">
        <v>28.67</v>
      </c>
      <c r="I5608" s="14" t="n">
        <v>9.5</v>
      </c>
      <c r="J5608" s="22" t="n">
        <f aca="false">IF(E5608="Priority",'Cost model'!N203,'Cost model'!M203)</f>
        <v>26.5</v>
      </c>
      <c r="K5608" s="14" t="n">
        <f aca="false">J5608-H5608</f>
        <v>-2.17</v>
      </c>
      <c r="L5608" s="14" t="n">
        <f aca="false">G5608-H5608</f>
        <v>-19.17</v>
      </c>
    </row>
    <row r="5609" customFormat="false" ht="15" hidden="false" customHeight="false" outlineLevel="0" collapsed="false">
      <c r="A5609" s="2" t="s">
        <v>184</v>
      </c>
      <c r="B5609" s="2" t="s">
        <v>184</v>
      </c>
      <c r="C5609" s="2" t="s">
        <v>49</v>
      </c>
      <c r="D5609" s="2" t="s">
        <v>10</v>
      </c>
      <c r="E5609" s="2" t="s">
        <v>76</v>
      </c>
      <c r="F5609" s="2" t="s">
        <v>1145</v>
      </c>
      <c r="G5609" s="14" t="n">
        <v>12.5</v>
      </c>
      <c r="H5609" s="14" t="n">
        <v>11.22</v>
      </c>
      <c r="I5609" s="14"/>
      <c r="J5609" s="22" t="n">
        <f aca="false">IF(E5609="Priority",'Cost model'!N201,'Cost model'!M201)</f>
        <v>12.5</v>
      </c>
      <c r="K5609" s="14" t="n">
        <f aca="false">J5609-H5609</f>
        <v>1.28</v>
      </c>
      <c r="L5609" s="14" t="n">
        <f aca="false">G5609-H5609</f>
        <v>1.28</v>
      </c>
    </row>
    <row r="5610" customFormat="false" ht="15" hidden="false" customHeight="false" outlineLevel="0" collapsed="false">
      <c r="A5610" s="2" t="s">
        <v>146</v>
      </c>
      <c r="B5610" s="2" t="s">
        <v>146</v>
      </c>
      <c r="C5610" s="2" t="s">
        <v>48</v>
      </c>
      <c r="D5610" s="2" t="s">
        <v>10</v>
      </c>
      <c r="E5610" s="2" t="s">
        <v>76</v>
      </c>
      <c r="F5610" s="2" t="s">
        <v>1145</v>
      </c>
      <c r="G5610" s="14" t="n">
        <v>9.5</v>
      </c>
      <c r="H5610" s="14" t="n">
        <v>11.25</v>
      </c>
      <c r="I5610" s="14" t="n">
        <v>9.5</v>
      </c>
      <c r="J5610" s="22" t="n">
        <f aca="false">IF(E5610="Priority",'Cost model'!N758,'Cost model'!M758)</f>
        <v>9.5</v>
      </c>
      <c r="K5610" s="14" t="n">
        <f aca="false">J5610-H5610</f>
        <v>-1.75</v>
      </c>
      <c r="L5610" s="14" t="n">
        <f aca="false">G5610-H5610</f>
        <v>-1.75</v>
      </c>
    </row>
    <row r="5611" customFormat="false" ht="15" hidden="false" customHeight="false" outlineLevel="0" collapsed="false">
      <c r="A5611" s="2" t="s">
        <v>184</v>
      </c>
      <c r="B5611" s="2" t="s">
        <v>221</v>
      </c>
      <c r="C5611" s="2" t="s">
        <v>50</v>
      </c>
      <c r="D5611" s="2" t="s">
        <v>13</v>
      </c>
      <c r="E5611" s="2" t="s">
        <v>76</v>
      </c>
      <c r="F5611" s="2" t="s">
        <v>1146</v>
      </c>
      <c r="G5611" s="14" t="n">
        <v>50</v>
      </c>
      <c r="H5611" s="14" t="n">
        <v>106.94</v>
      </c>
      <c r="I5611" s="14" t="n">
        <v>99</v>
      </c>
      <c r="J5611" s="22" t="n">
        <f aca="false">IF(E5611="Priority",'Cost model'!N226,'Cost model'!M226)</f>
        <v>125</v>
      </c>
      <c r="K5611" s="14" t="n">
        <f aca="false">J5611-H5611</f>
        <v>18.06</v>
      </c>
      <c r="L5611" s="14" t="n">
        <f aca="false">G5611-H5611</f>
        <v>-56.94</v>
      </c>
    </row>
    <row r="5612" customFormat="false" ht="15" hidden="false" customHeight="false" outlineLevel="0" collapsed="false">
      <c r="A5612" s="2" t="s">
        <v>240</v>
      </c>
      <c r="B5612" s="2" t="s">
        <v>240</v>
      </c>
      <c r="C5612" s="2" t="s">
        <v>50</v>
      </c>
      <c r="D5612" s="2" t="s">
        <v>10</v>
      </c>
      <c r="E5612" s="2" t="s">
        <v>76</v>
      </c>
      <c r="F5612" s="2" t="s">
        <v>1145</v>
      </c>
      <c r="G5612" s="14" t="n">
        <v>29.5</v>
      </c>
      <c r="H5612" s="14" t="n">
        <v>15.82</v>
      </c>
      <c r="I5612" s="14" t="n">
        <v>17.5</v>
      </c>
      <c r="J5612" s="22" t="n">
        <f aca="false">IF(E5612="Priority",'Cost model'!N886,'Cost model'!M886)</f>
        <v>17.5</v>
      </c>
      <c r="K5612" s="14" t="n">
        <f aca="false">J5612-H5612</f>
        <v>1.68</v>
      </c>
      <c r="L5612" s="14" t="n">
        <f aca="false">G5612-H5612</f>
        <v>13.68</v>
      </c>
    </row>
    <row r="5613" customFormat="false" ht="15" hidden="false" customHeight="false" outlineLevel="0" collapsed="false">
      <c r="A5613" s="2" t="s">
        <v>184</v>
      </c>
      <c r="B5613" s="2" t="s">
        <v>146</v>
      </c>
      <c r="C5613" s="2" t="s">
        <v>49</v>
      </c>
      <c r="D5613" s="2" t="s">
        <v>12</v>
      </c>
      <c r="E5613" s="2" t="s">
        <v>76</v>
      </c>
      <c r="F5613" s="2" t="s">
        <v>1146</v>
      </c>
      <c r="G5613" s="14" t="n">
        <v>12.5</v>
      </c>
      <c r="H5613" s="14" t="n">
        <v>38.69</v>
      </c>
      <c r="I5613" s="14"/>
      <c r="J5613" s="22" t="n">
        <f aca="false">IF(E5613="Priority",'Cost model'!N150,'Cost model'!M150)</f>
        <v>55</v>
      </c>
      <c r="K5613" s="14" t="n">
        <f aca="false">J5613-H5613</f>
        <v>16.31</v>
      </c>
      <c r="L5613" s="14" t="n">
        <f aca="false">G5613-H5613</f>
        <v>-26.19</v>
      </c>
    </row>
    <row r="5614" customFormat="false" ht="15" hidden="false" customHeight="false" outlineLevel="0" collapsed="false">
      <c r="A5614" s="2" t="s">
        <v>184</v>
      </c>
      <c r="B5614" s="2" t="s">
        <v>184</v>
      </c>
      <c r="C5614" s="2" t="s">
        <v>48</v>
      </c>
      <c r="D5614" s="2" t="s">
        <v>10</v>
      </c>
      <c r="E5614" s="2" t="s">
        <v>76</v>
      </c>
      <c r="F5614" s="2" t="s">
        <v>1145</v>
      </c>
      <c r="G5614" s="14" t="n">
        <v>9.5</v>
      </c>
      <c r="H5614" s="14" t="n">
        <v>7.72</v>
      </c>
      <c r="I5614" s="14" t="n">
        <v>9.5</v>
      </c>
      <c r="J5614" s="22" t="n">
        <f aca="false">IF(E5614="Priority",'Cost model'!N200,'Cost model'!M200)</f>
        <v>7.5</v>
      </c>
      <c r="K5614" s="14" t="n">
        <f aca="false">J5614-H5614</f>
        <v>-0.22</v>
      </c>
      <c r="L5614" s="14" t="n">
        <f aca="false">G5614-H5614</f>
        <v>1.78</v>
      </c>
    </row>
    <row r="5615" customFormat="false" ht="15" hidden="false" customHeight="false" outlineLevel="0" collapsed="false">
      <c r="A5615" s="2" t="s">
        <v>184</v>
      </c>
      <c r="B5615" s="2" t="s">
        <v>126</v>
      </c>
      <c r="C5615" s="2" t="s">
        <v>49</v>
      </c>
      <c r="D5615" s="2" t="s">
        <v>10</v>
      </c>
      <c r="E5615" s="2" t="s">
        <v>76</v>
      </c>
      <c r="F5615" s="2" t="s">
        <v>1146</v>
      </c>
      <c r="G5615" s="14" t="n">
        <v>14.5</v>
      </c>
      <c r="H5615" s="14" t="n">
        <v>8.92</v>
      </c>
      <c r="I5615" s="14"/>
      <c r="J5615" s="22" t="n">
        <f aca="false">IF(E5615="Priority",'Cost model'!N129,'Cost model'!M129)</f>
        <v>13.5</v>
      </c>
      <c r="K5615" s="14" t="n">
        <f aca="false">J5615-H5615</f>
        <v>4.58</v>
      </c>
      <c r="L5615" s="14" t="n">
        <f aca="false">G5615-H5615</f>
        <v>5.58</v>
      </c>
    </row>
    <row r="5616" customFormat="false" ht="15" hidden="false" customHeight="false" outlineLevel="0" collapsed="false">
      <c r="A5616" s="2" t="s">
        <v>184</v>
      </c>
      <c r="B5616" s="2" t="s">
        <v>184</v>
      </c>
      <c r="C5616" s="2" t="s">
        <v>48</v>
      </c>
      <c r="D5616" s="2" t="s">
        <v>16</v>
      </c>
      <c r="E5616" s="2" t="s">
        <v>76</v>
      </c>
      <c r="F5616" s="2" t="s">
        <v>1145</v>
      </c>
      <c r="G5616" s="14" t="n">
        <v>45</v>
      </c>
      <c r="H5616" s="14" t="n">
        <v>171.95</v>
      </c>
      <c r="I5616" s="14" t="n">
        <v>45</v>
      </c>
      <c r="J5616" s="22" t="n">
        <f aca="false">IF(E5616="Priority",'Cost model'!N215,'Cost model'!M215)</f>
        <v>135</v>
      </c>
      <c r="K5616" s="14" t="n">
        <f aca="false">J5616-H5616</f>
        <v>-36.95</v>
      </c>
      <c r="L5616" s="14" t="n">
        <f aca="false">G5616-H5616</f>
        <v>-126.95</v>
      </c>
    </row>
    <row r="5617" customFormat="false" ht="15" hidden="false" customHeight="false" outlineLevel="0" collapsed="false">
      <c r="A5617" s="2" t="s">
        <v>146</v>
      </c>
      <c r="B5617" s="2" t="s">
        <v>184</v>
      </c>
      <c r="C5617" s="2" t="s">
        <v>50</v>
      </c>
      <c r="D5617" s="2" t="s">
        <v>10</v>
      </c>
      <c r="E5617" s="2" t="s">
        <v>76</v>
      </c>
      <c r="F5617" s="2" t="s">
        <v>1146</v>
      </c>
      <c r="G5617" s="14" t="n">
        <v>17.5</v>
      </c>
      <c r="H5617" s="14" t="n">
        <v>17.69</v>
      </c>
      <c r="I5617" s="14" t="n">
        <v>17.5</v>
      </c>
      <c r="J5617" s="22" t="n">
        <f aca="false">IF(E5617="Priority",'Cost model'!N832,'Cost model'!M832)</f>
        <v>15.5</v>
      </c>
      <c r="K5617" s="14" t="n">
        <f aca="false">J5617-H5617</f>
        <v>-2.19</v>
      </c>
      <c r="L5617" s="14" t="n">
        <f aca="false">G5617-H5617</f>
        <v>-0.190000000000001</v>
      </c>
    </row>
    <row r="5618" customFormat="false" ht="15" hidden="false" customHeight="false" outlineLevel="0" collapsed="false">
      <c r="A5618" s="2" t="s">
        <v>184</v>
      </c>
      <c r="B5618" s="2" t="s">
        <v>184</v>
      </c>
      <c r="C5618" s="2" t="s">
        <v>50</v>
      </c>
      <c r="D5618" s="2" t="s">
        <v>12</v>
      </c>
      <c r="E5618" s="2" t="s">
        <v>76</v>
      </c>
      <c r="F5618" s="2" t="s">
        <v>1145</v>
      </c>
      <c r="G5618" s="14" t="n">
        <v>19.5</v>
      </c>
      <c r="H5618" s="14" t="n">
        <v>45.73</v>
      </c>
      <c r="I5618" s="14" t="n">
        <v>19.5</v>
      </c>
      <c r="J5618" s="22" t="n">
        <f aca="false">IF(E5618="Priority",'Cost model'!N205,'Cost model'!M205)</f>
        <v>50</v>
      </c>
      <c r="K5618" s="14" t="n">
        <f aca="false">J5618-H5618</f>
        <v>4.27</v>
      </c>
      <c r="L5618" s="14" t="n">
        <f aca="false">G5618-H5618</f>
        <v>-26.23</v>
      </c>
    </row>
    <row r="5619" customFormat="false" ht="15" hidden="false" customHeight="false" outlineLevel="0" collapsed="false">
      <c r="A5619" s="2" t="s">
        <v>126</v>
      </c>
      <c r="B5619" s="2" t="s">
        <v>126</v>
      </c>
      <c r="C5619" s="2" t="s">
        <v>49</v>
      </c>
      <c r="D5619" s="2" t="s">
        <v>10</v>
      </c>
      <c r="E5619" s="2" t="s">
        <v>76</v>
      </c>
      <c r="F5619" s="2" t="s">
        <v>1145</v>
      </c>
      <c r="G5619" s="14" t="n">
        <v>12.5</v>
      </c>
      <c r="H5619" s="14" t="n">
        <v>11.92</v>
      </c>
      <c r="I5619" s="14" t="n">
        <v>12.5</v>
      </c>
      <c r="J5619" s="22" t="n">
        <f aca="false">IF(E5619="Priority",'Cost model'!N381,'Cost model'!M381)</f>
        <v>14.5</v>
      </c>
      <c r="K5619" s="14" t="n">
        <f aca="false">J5619-H5619</f>
        <v>2.58</v>
      </c>
      <c r="L5619" s="14" t="n">
        <f aca="false">G5619-H5619</f>
        <v>0.58</v>
      </c>
    </row>
    <row r="5620" customFormat="false" ht="15" hidden="false" customHeight="false" outlineLevel="0" collapsed="false">
      <c r="A5620" s="2" t="s">
        <v>240</v>
      </c>
      <c r="B5620" s="2" t="s">
        <v>165</v>
      </c>
      <c r="C5620" s="2" t="s">
        <v>49</v>
      </c>
      <c r="D5620" s="2" t="s">
        <v>10</v>
      </c>
      <c r="E5620" s="2" t="s">
        <v>76</v>
      </c>
      <c r="F5620" s="2" t="s">
        <v>1146</v>
      </c>
      <c r="G5620" s="14" t="n">
        <v>12.5</v>
      </c>
      <c r="H5620" s="14" t="n">
        <v>14.83</v>
      </c>
      <c r="I5620" s="14" t="n">
        <v>14.5</v>
      </c>
      <c r="J5620" s="22" t="n">
        <f aca="false">IF(E5620="Priority",'Cost model'!N903,'Cost model'!M903)</f>
        <v>16.5</v>
      </c>
      <c r="K5620" s="14" t="n">
        <f aca="false">J5620-H5620</f>
        <v>1.67</v>
      </c>
      <c r="L5620" s="14" t="n">
        <f aca="false">G5620-H5620</f>
        <v>-2.33</v>
      </c>
    </row>
    <row r="5621" customFormat="false" ht="15" hidden="false" customHeight="false" outlineLevel="0" collapsed="false">
      <c r="A5621" s="2" t="s">
        <v>126</v>
      </c>
      <c r="B5621" s="2" t="s">
        <v>126</v>
      </c>
      <c r="C5621" s="2" t="s">
        <v>48</v>
      </c>
      <c r="D5621" s="2" t="s">
        <v>10</v>
      </c>
      <c r="E5621" s="2" t="s">
        <v>76</v>
      </c>
      <c r="F5621" s="2" t="s">
        <v>1145</v>
      </c>
      <c r="G5621" s="14" t="n">
        <v>9.5</v>
      </c>
      <c r="H5621" s="14" t="n">
        <v>7.72</v>
      </c>
      <c r="I5621" s="14" t="n">
        <v>9.5</v>
      </c>
      <c r="J5621" s="22" t="n">
        <f aca="false">IF(E5621="Priority",'Cost model'!N380,'Cost model'!M380)</f>
        <v>8.5</v>
      </c>
      <c r="K5621" s="14" t="n">
        <f aca="false">J5621-H5621</f>
        <v>0.78</v>
      </c>
      <c r="L5621" s="14" t="n">
        <f aca="false">G5621-H5621</f>
        <v>1.78</v>
      </c>
    </row>
    <row r="5622" customFormat="false" ht="15" hidden="false" customHeight="false" outlineLevel="0" collapsed="false">
      <c r="A5622" s="2" t="s">
        <v>146</v>
      </c>
      <c r="B5622" s="2" t="s">
        <v>184</v>
      </c>
      <c r="C5622" s="2" t="s">
        <v>48</v>
      </c>
      <c r="D5622" s="2" t="s">
        <v>10</v>
      </c>
      <c r="E5622" s="2" t="s">
        <v>76</v>
      </c>
      <c r="F5622" s="2" t="s">
        <v>1146</v>
      </c>
      <c r="G5622" s="14" t="n">
        <v>14.5</v>
      </c>
      <c r="H5622" s="14" t="n">
        <v>7.93</v>
      </c>
      <c r="I5622" s="14" t="n">
        <v>14.5</v>
      </c>
      <c r="J5622" s="22" t="n">
        <f aca="false">IF(E5622="Priority",'Cost model'!N830,'Cost model'!M830)</f>
        <v>9.5</v>
      </c>
      <c r="K5622" s="14" t="n">
        <f aca="false">J5622-H5622</f>
        <v>1.57</v>
      </c>
      <c r="L5622" s="14" t="n">
        <f aca="false">G5622-H5622</f>
        <v>6.57</v>
      </c>
    </row>
    <row r="5623" customFormat="false" ht="15" hidden="false" customHeight="false" outlineLevel="0" collapsed="false">
      <c r="A5623" s="2" t="s">
        <v>165</v>
      </c>
      <c r="B5623" s="2" t="s">
        <v>165</v>
      </c>
      <c r="C5623" s="2" t="s">
        <v>48</v>
      </c>
      <c r="D5623" s="2" t="s">
        <v>10</v>
      </c>
      <c r="E5623" s="2" t="s">
        <v>76</v>
      </c>
      <c r="F5623" s="2" t="s">
        <v>1145</v>
      </c>
      <c r="G5623" s="14" t="n">
        <v>9.5</v>
      </c>
      <c r="H5623" s="14" t="n">
        <v>8.04</v>
      </c>
      <c r="I5623" s="14" t="n">
        <v>9.5</v>
      </c>
      <c r="J5623" s="22" t="n">
        <f aca="false">IF(E5623="Priority",'Cost model'!N506,'Cost model'!M506)</f>
        <v>7.5</v>
      </c>
      <c r="K5623" s="14" t="n">
        <f aca="false">J5623-H5623</f>
        <v>-0.539999999999999</v>
      </c>
      <c r="L5623" s="14" t="n">
        <f aca="false">G5623-H5623</f>
        <v>1.46</v>
      </c>
    </row>
    <row r="5624" customFormat="false" ht="15" hidden="false" customHeight="false" outlineLevel="0" collapsed="false">
      <c r="A5624" s="2" t="s">
        <v>184</v>
      </c>
      <c r="B5624" s="2" t="s">
        <v>126</v>
      </c>
      <c r="C5624" s="2" t="s">
        <v>49</v>
      </c>
      <c r="D5624" s="2" t="s">
        <v>12</v>
      </c>
      <c r="E5624" s="2" t="s">
        <v>76</v>
      </c>
      <c r="F5624" s="2" t="s">
        <v>1146</v>
      </c>
      <c r="G5624" s="14" t="n">
        <v>19.5</v>
      </c>
      <c r="H5624" s="14" t="n">
        <v>49.95</v>
      </c>
      <c r="I5624" s="14"/>
      <c r="J5624" s="22" t="n">
        <f aca="false">IF(E5624="Priority",'Cost model'!N132,'Cost model'!M132)</f>
        <v>50</v>
      </c>
      <c r="K5624" s="14" t="n">
        <f aca="false">J5624-H5624</f>
        <v>0.0499999999999972</v>
      </c>
      <c r="L5624" s="14" t="n">
        <f aca="false">G5624-H5624</f>
        <v>-30.45</v>
      </c>
    </row>
    <row r="5625" customFormat="false" ht="15" hidden="false" customHeight="false" outlineLevel="0" collapsed="false">
      <c r="A5625" s="2" t="s">
        <v>184</v>
      </c>
      <c r="B5625" s="2" t="s">
        <v>184</v>
      </c>
      <c r="C5625" s="2" t="s">
        <v>48</v>
      </c>
      <c r="D5625" s="2" t="s">
        <v>12</v>
      </c>
      <c r="E5625" s="2" t="s">
        <v>76</v>
      </c>
      <c r="F5625" s="2" t="s">
        <v>1145</v>
      </c>
      <c r="G5625" s="14" t="n">
        <v>9.5</v>
      </c>
      <c r="H5625" s="14" t="n">
        <v>27.97</v>
      </c>
      <c r="I5625" s="14" t="n">
        <v>9.5</v>
      </c>
      <c r="J5625" s="22" t="n">
        <f aca="false">IF(E5625="Priority",'Cost model'!N203,'Cost model'!M203)</f>
        <v>26.5</v>
      </c>
      <c r="K5625" s="14" t="n">
        <f aca="false">J5625-H5625</f>
        <v>-1.47</v>
      </c>
      <c r="L5625" s="14" t="n">
        <f aca="false">G5625-H5625</f>
        <v>-18.47</v>
      </c>
    </row>
    <row r="5626" customFormat="false" ht="15" hidden="false" customHeight="false" outlineLevel="0" collapsed="false">
      <c r="A5626" s="2" t="s">
        <v>184</v>
      </c>
      <c r="B5626" s="2" t="s">
        <v>184</v>
      </c>
      <c r="C5626" s="2" t="s">
        <v>50</v>
      </c>
      <c r="D5626" s="2" t="s">
        <v>12</v>
      </c>
      <c r="E5626" s="2" t="s">
        <v>76</v>
      </c>
      <c r="F5626" s="2" t="s">
        <v>1145</v>
      </c>
      <c r="G5626" s="14" t="n">
        <v>19.5</v>
      </c>
      <c r="H5626" s="14" t="n">
        <v>65.9</v>
      </c>
      <c r="I5626" s="14" t="n">
        <v>19.5</v>
      </c>
      <c r="J5626" s="22" t="n">
        <f aca="false">IF(E5626="Priority",'Cost model'!N205,'Cost model'!M205)</f>
        <v>50</v>
      </c>
      <c r="K5626" s="14" t="n">
        <f aca="false">J5626-H5626</f>
        <v>-15.9</v>
      </c>
      <c r="L5626" s="14" t="n">
        <f aca="false">G5626-H5626</f>
        <v>-46.4</v>
      </c>
    </row>
    <row r="5627" customFormat="false" ht="15" hidden="false" customHeight="false" outlineLevel="0" collapsed="false">
      <c r="A5627" s="2" t="s">
        <v>125</v>
      </c>
      <c r="B5627" s="2" t="s">
        <v>184</v>
      </c>
      <c r="C5627" s="2" t="s">
        <v>48</v>
      </c>
      <c r="D5627" s="2" t="s">
        <v>14</v>
      </c>
      <c r="E5627" s="2" t="s">
        <v>76</v>
      </c>
      <c r="F5627" s="2" t="s">
        <v>1146</v>
      </c>
      <c r="G5627" s="14" t="n">
        <v>25</v>
      </c>
      <c r="H5627" s="14" t="n">
        <v>87.56</v>
      </c>
      <c r="I5627" s="14" t="n">
        <v>85</v>
      </c>
      <c r="J5627" s="22" t="n">
        <f aca="false">IF(E5627="Priority",'Cost model'!N65,'Cost model'!M65)</f>
        <v>130</v>
      </c>
      <c r="K5627" s="14" t="n">
        <f aca="false">J5627-H5627</f>
        <v>42.44</v>
      </c>
      <c r="L5627" s="14" t="n">
        <f aca="false">G5627-H5627</f>
        <v>-62.56</v>
      </c>
    </row>
    <row r="5628" customFormat="false" ht="15" hidden="false" customHeight="false" outlineLevel="0" collapsed="false">
      <c r="A5628" s="2" t="s">
        <v>126</v>
      </c>
      <c r="B5628" s="2" t="s">
        <v>126</v>
      </c>
      <c r="C5628" s="2" t="s">
        <v>48</v>
      </c>
      <c r="D5628" s="2" t="s">
        <v>12</v>
      </c>
      <c r="E5628" s="2" t="s">
        <v>76</v>
      </c>
      <c r="F5628" s="2" t="s">
        <v>1145</v>
      </c>
      <c r="G5628" s="14" t="n">
        <v>9.5</v>
      </c>
      <c r="H5628" s="14" t="n">
        <v>29.23</v>
      </c>
      <c r="I5628" s="14" t="n">
        <v>9.5</v>
      </c>
      <c r="J5628" s="22" t="n">
        <f aca="false">IF(E5628="Priority",'Cost model'!N383,'Cost model'!M383)</f>
        <v>27.5</v>
      </c>
      <c r="K5628" s="14" t="n">
        <f aca="false">J5628-H5628</f>
        <v>-1.73</v>
      </c>
      <c r="L5628" s="14" t="n">
        <f aca="false">G5628-H5628</f>
        <v>-19.73</v>
      </c>
    </row>
    <row r="5629" customFormat="false" ht="15" hidden="false" customHeight="false" outlineLevel="0" collapsed="false">
      <c r="A5629" s="2" t="s">
        <v>126</v>
      </c>
      <c r="B5629" s="2" t="s">
        <v>126</v>
      </c>
      <c r="C5629" s="2" t="s">
        <v>49</v>
      </c>
      <c r="D5629" s="2" t="s">
        <v>10</v>
      </c>
      <c r="E5629" s="2" t="s">
        <v>76</v>
      </c>
      <c r="F5629" s="2" t="s">
        <v>1145</v>
      </c>
      <c r="G5629" s="14" t="n">
        <v>12.5</v>
      </c>
      <c r="H5629" s="14" t="n">
        <v>7.93</v>
      </c>
      <c r="I5629" s="14" t="n">
        <v>12.5</v>
      </c>
      <c r="J5629" s="22" t="n">
        <f aca="false">IF(E5629="Priority",'Cost model'!N381,'Cost model'!M381)</f>
        <v>14.5</v>
      </c>
      <c r="K5629" s="14" t="n">
        <f aca="false">J5629-H5629</f>
        <v>6.57</v>
      </c>
      <c r="L5629" s="14" t="n">
        <f aca="false">G5629-H5629</f>
        <v>4.57</v>
      </c>
    </row>
    <row r="5630" customFormat="false" ht="15" hidden="false" customHeight="false" outlineLevel="0" collapsed="false">
      <c r="A5630" s="2" t="s">
        <v>184</v>
      </c>
      <c r="B5630" s="2" t="s">
        <v>184</v>
      </c>
      <c r="C5630" s="2" t="s">
        <v>48</v>
      </c>
      <c r="D5630" s="2" t="s">
        <v>10</v>
      </c>
      <c r="E5630" s="2" t="s">
        <v>76</v>
      </c>
      <c r="F5630" s="2" t="s">
        <v>1145</v>
      </c>
      <c r="G5630" s="14" t="n">
        <v>9.5</v>
      </c>
      <c r="H5630" s="14" t="n">
        <v>7.72</v>
      </c>
      <c r="I5630" s="14" t="n">
        <v>9.5</v>
      </c>
      <c r="J5630" s="22" t="n">
        <f aca="false">IF(E5630="Priority",'Cost model'!N200,'Cost model'!M200)</f>
        <v>7.5</v>
      </c>
      <c r="K5630" s="14" t="n">
        <f aca="false">J5630-H5630</f>
        <v>-0.22</v>
      </c>
      <c r="L5630" s="14" t="n">
        <f aca="false">G5630-H5630</f>
        <v>1.78</v>
      </c>
    </row>
    <row r="5631" customFormat="false" ht="15" hidden="false" customHeight="false" outlineLevel="0" collapsed="false">
      <c r="A5631" s="2" t="s">
        <v>184</v>
      </c>
      <c r="B5631" s="2" t="s">
        <v>184</v>
      </c>
      <c r="C5631" s="2" t="s">
        <v>50</v>
      </c>
      <c r="D5631" s="2" t="s">
        <v>10</v>
      </c>
      <c r="E5631" s="2" t="s">
        <v>76</v>
      </c>
      <c r="F5631" s="2" t="s">
        <v>1145</v>
      </c>
      <c r="G5631" s="14" t="n">
        <v>17.5</v>
      </c>
      <c r="H5631" s="14" t="n">
        <v>12.18</v>
      </c>
      <c r="I5631" s="14" t="n">
        <v>17.5</v>
      </c>
      <c r="J5631" s="22" t="n">
        <f aca="false">IF(E5631="Priority",'Cost model'!N202,'Cost model'!M202)</f>
        <v>17.5</v>
      </c>
      <c r="K5631" s="14" t="n">
        <f aca="false">J5631-H5631</f>
        <v>5.32</v>
      </c>
      <c r="L5631" s="14" t="n">
        <f aca="false">G5631-H5631</f>
        <v>5.32</v>
      </c>
    </row>
    <row r="5632" customFormat="false" ht="15" hidden="false" customHeight="false" outlineLevel="0" collapsed="false">
      <c r="A5632" s="2" t="s">
        <v>184</v>
      </c>
      <c r="B5632" s="2" t="s">
        <v>184</v>
      </c>
      <c r="C5632" s="2" t="s">
        <v>49</v>
      </c>
      <c r="D5632" s="2" t="s">
        <v>10</v>
      </c>
      <c r="E5632" s="2" t="s">
        <v>76</v>
      </c>
      <c r="F5632" s="2" t="s">
        <v>1145</v>
      </c>
      <c r="G5632" s="14" t="n">
        <v>12.5</v>
      </c>
      <c r="H5632" s="14" t="n">
        <v>9.64</v>
      </c>
      <c r="I5632" s="14"/>
      <c r="J5632" s="22" t="n">
        <f aca="false">IF(E5632="Priority",'Cost model'!N201,'Cost model'!M201)</f>
        <v>12.5</v>
      </c>
      <c r="K5632" s="14" t="n">
        <f aca="false">J5632-H5632</f>
        <v>2.86</v>
      </c>
      <c r="L5632" s="14" t="n">
        <f aca="false">G5632-H5632</f>
        <v>2.86</v>
      </c>
    </row>
    <row r="5633" customFormat="false" ht="15" hidden="false" customHeight="false" outlineLevel="0" collapsed="false">
      <c r="A5633" s="2" t="s">
        <v>126</v>
      </c>
      <c r="B5633" s="2" t="s">
        <v>184</v>
      </c>
      <c r="C5633" s="2" t="s">
        <v>49</v>
      </c>
      <c r="D5633" s="2" t="s">
        <v>10</v>
      </c>
      <c r="E5633" s="2" t="s">
        <v>76</v>
      </c>
      <c r="F5633" s="2" t="s">
        <v>1146</v>
      </c>
      <c r="G5633" s="14" t="n">
        <v>14.5</v>
      </c>
      <c r="H5633" s="14" t="n">
        <v>17.62</v>
      </c>
      <c r="I5633" s="14" t="n">
        <v>14.5</v>
      </c>
      <c r="J5633" s="22" t="n">
        <f aca="false">IF(E5633="Priority",'Cost model'!N435,'Cost model'!M435)</f>
        <v>15.5</v>
      </c>
      <c r="K5633" s="14" t="n">
        <f aca="false">J5633-H5633</f>
        <v>-2.12</v>
      </c>
      <c r="L5633" s="14" t="n">
        <f aca="false">G5633-H5633</f>
        <v>-3.12</v>
      </c>
    </row>
    <row r="5634" customFormat="false" ht="15" hidden="false" customHeight="false" outlineLevel="0" collapsed="false">
      <c r="A5634" s="2" t="s">
        <v>184</v>
      </c>
      <c r="B5634" s="2" t="s">
        <v>126</v>
      </c>
      <c r="C5634" s="2" t="s">
        <v>48</v>
      </c>
      <c r="D5634" s="2" t="s">
        <v>13</v>
      </c>
      <c r="E5634" s="2" t="s">
        <v>76</v>
      </c>
      <c r="F5634" s="2" t="s">
        <v>1146</v>
      </c>
      <c r="G5634" s="14" t="n">
        <v>20</v>
      </c>
      <c r="H5634" s="14" t="n">
        <v>81.17</v>
      </c>
      <c r="I5634" s="14" t="n">
        <v>19</v>
      </c>
      <c r="J5634" s="22" t="n">
        <f aca="false">IF(E5634="Priority",'Cost model'!N134,'Cost model'!M134)</f>
        <v>80</v>
      </c>
      <c r="K5634" s="14" t="n">
        <f aca="false">J5634-H5634</f>
        <v>-1.17</v>
      </c>
      <c r="L5634" s="14" t="n">
        <f aca="false">G5634-H5634</f>
        <v>-61.17</v>
      </c>
    </row>
    <row r="5635" customFormat="false" ht="15" hidden="false" customHeight="false" outlineLevel="0" collapsed="false">
      <c r="A5635" s="2" t="s">
        <v>146</v>
      </c>
      <c r="B5635" s="2" t="s">
        <v>146</v>
      </c>
      <c r="C5635" s="2" t="s">
        <v>49</v>
      </c>
      <c r="D5635" s="2" t="s">
        <v>14</v>
      </c>
      <c r="E5635" s="2" t="s">
        <v>76</v>
      </c>
      <c r="F5635" s="2" t="s">
        <v>1145</v>
      </c>
      <c r="G5635" s="14" t="n">
        <v>45</v>
      </c>
      <c r="H5635" s="14" t="n">
        <v>289.81</v>
      </c>
      <c r="I5635" s="14" t="n">
        <v>45</v>
      </c>
      <c r="J5635" s="22" t="n">
        <f aca="false">IF(E5635="Priority",'Cost model'!N768,'Cost model'!M768)</f>
        <v>145</v>
      </c>
      <c r="K5635" s="14" t="n">
        <f aca="false">J5635-H5635</f>
        <v>-144.81</v>
      </c>
      <c r="L5635" s="14" t="n">
        <f aca="false">G5635-H5635</f>
        <v>-244.81</v>
      </c>
    </row>
    <row r="5636" customFormat="false" ht="15" hidden="false" customHeight="false" outlineLevel="0" collapsed="false">
      <c r="A5636" s="2" t="s">
        <v>146</v>
      </c>
      <c r="B5636" s="2" t="s">
        <v>184</v>
      </c>
      <c r="C5636" s="2" t="s">
        <v>48</v>
      </c>
      <c r="D5636" s="2" t="s">
        <v>10</v>
      </c>
      <c r="E5636" s="2" t="s">
        <v>76</v>
      </c>
      <c r="F5636" s="2" t="s">
        <v>1146</v>
      </c>
      <c r="G5636" s="14" t="n">
        <v>14.5</v>
      </c>
      <c r="H5636" s="14" t="n">
        <v>5.23</v>
      </c>
      <c r="I5636" s="14" t="n">
        <v>14.5</v>
      </c>
      <c r="J5636" s="22" t="n">
        <f aca="false">IF(E5636="Priority",'Cost model'!N830,'Cost model'!M830)</f>
        <v>9.5</v>
      </c>
      <c r="K5636" s="14" t="n">
        <f aca="false">J5636-H5636</f>
        <v>4.27</v>
      </c>
      <c r="L5636" s="14" t="n">
        <f aca="false">G5636-H5636</f>
        <v>9.27</v>
      </c>
    </row>
    <row r="5637" customFormat="false" ht="15" hidden="false" customHeight="false" outlineLevel="0" collapsed="false">
      <c r="A5637" s="2" t="s">
        <v>126</v>
      </c>
      <c r="B5637" s="2" t="s">
        <v>126</v>
      </c>
      <c r="C5637" s="2" t="s">
        <v>48</v>
      </c>
      <c r="D5637" s="2" t="s">
        <v>12</v>
      </c>
      <c r="E5637" s="2" t="s">
        <v>76</v>
      </c>
      <c r="F5637" s="2" t="s">
        <v>1145</v>
      </c>
      <c r="G5637" s="14" t="n">
        <v>9.5</v>
      </c>
      <c r="H5637" s="14" t="n">
        <v>27.78</v>
      </c>
      <c r="I5637" s="14" t="n">
        <v>9.5</v>
      </c>
      <c r="J5637" s="22" t="n">
        <f aca="false">IF(E5637="Priority",'Cost model'!N383,'Cost model'!M383)</f>
        <v>27.5</v>
      </c>
      <c r="K5637" s="14" t="n">
        <f aca="false">J5637-H5637</f>
        <v>-0.280000000000001</v>
      </c>
      <c r="L5637" s="14" t="n">
        <f aca="false">G5637-H5637</f>
        <v>-18.28</v>
      </c>
    </row>
    <row r="5638" customFormat="false" ht="15" hidden="false" customHeight="false" outlineLevel="0" collapsed="false">
      <c r="A5638" s="2" t="s">
        <v>240</v>
      </c>
      <c r="B5638" s="2" t="s">
        <v>165</v>
      </c>
      <c r="C5638" s="2" t="s">
        <v>48</v>
      </c>
      <c r="D5638" s="2" t="s">
        <v>10</v>
      </c>
      <c r="E5638" s="2" t="s">
        <v>76</v>
      </c>
      <c r="F5638" s="2" t="s">
        <v>1146</v>
      </c>
      <c r="G5638" s="14" t="n">
        <v>9.5</v>
      </c>
      <c r="H5638" s="14" t="n">
        <v>11.48</v>
      </c>
      <c r="I5638" s="14" t="n">
        <v>14.5</v>
      </c>
      <c r="J5638" s="22" t="n">
        <f aca="false">IF(E5638="Priority",'Cost model'!N902,'Cost model'!M902)</f>
        <v>13.5</v>
      </c>
      <c r="K5638" s="14" t="n">
        <f aca="false">J5638-H5638</f>
        <v>2.02</v>
      </c>
      <c r="L5638" s="14" t="n">
        <f aca="false">G5638-H5638</f>
        <v>-1.98</v>
      </c>
    </row>
    <row r="5639" customFormat="false" ht="15" hidden="false" customHeight="false" outlineLevel="0" collapsed="false">
      <c r="A5639" s="2" t="s">
        <v>240</v>
      </c>
      <c r="B5639" s="2" t="s">
        <v>240</v>
      </c>
      <c r="C5639" s="2" t="s">
        <v>49</v>
      </c>
      <c r="D5639" s="2" t="s">
        <v>14</v>
      </c>
      <c r="E5639" s="2" t="s">
        <v>76</v>
      </c>
      <c r="F5639" s="2" t="s">
        <v>1145</v>
      </c>
      <c r="G5639" s="14" t="n">
        <v>45</v>
      </c>
      <c r="H5639" s="14" t="n">
        <v>203.76</v>
      </c>
      <c r="I5639" s="14" t="n">
        <v>45</v>
      </c>
      <c r="J5639" s="22" t="n">
        <f aca="false">IF(E5639="Priority",'Cost model'!N894,'Cost model'!M894)</f>
        <v>135</v>
      </c>
      <c r="K5639" s="14" t="n">
        <f aca="false">J5639-H5639</f>
        <v>-68.76</v>
      </c>
      <c r="L5639" s="14" t="n">
        <f aca="false">G5639-H5639</f>
        <v>-158.76</v>
      </c>
    </row>
    <row r="5640" customFormat="false" ht="15" hidden="false" customHeight="false" outlineLevel="0" collapsed="false">
      <c r="A5640" s="2" t="s">
        <v>146</v>
      </c>
      <c r="B5640" s="2" t="s">
        <v>146</v>
      </c>
      <c r="C5640" s="2" t="s">
        <v>48</v>
      </c>
      <c r="D5640" s="2" t="s">
        <v>14</v>
      </c>
      <c r="E5640" s="2" t="s">
        <v>76</v>
      </c>
      <c r="F5640" s="2" t="s">
        <v>1145</v>
      </c>
      <c r="G5640" s="14" t="n">
        <v>25</v>
      </c>
      <c r="H5640" s="14" t="n">
        <v>38.2</v>
      </c>
      <c r="I5640" s="14" t="n">
        <v>25</v>
      </c>
      <c r="J5640" s="22" t="n">
        <f aca="false">IF(E5640="Priority",'Cost model'!N767,'Cost model'!M767)</f>
        <v>100</v>
      </c>
      <c r="K5640" s="14" t="n">
        <f aca="false">J5640-H5640</f>
        <v>61.8</v>
      </c>
      <c r="L5640" s="14" t="n">
        <f aca="false">G5640-H5640</f>
        <v>-13.2</v>
      </c>
    </row>
    <row r="5641" customFormat="false" ht="15" hidden="false" customHeight="false" outlineLevel="0" collapsed="false">
      <c r="A5641" s="2" t="s">
        <v>126</v>
      </c>
      <c r="B5641" s="2" t="s">
        <v>126</v>
      </c>
      <c r="C5641" s="2" t="s">
        <v>50</v>
      </c>
      <c r="D5641" s="2" t="s">
        <v>10</v>
      </c>
      <c r="E5641" s="2" t="s">
        <v>76</v>
      </c>
      <c r="F5641" s="2" t="s">
        <v>1145</v>
      </c>
      <c r="G5641" s="14" t="n">
        <v>17.5</v>
      </c>
      <c r="H5641" s="14" t="n">
        <v>11.03</v>
      </c>
      <c r="I5641" s="14" t="n">
        <v>17.5</v>
      </c>
      <c r="J5641" s="22" t="n">
        <f aca="false">IF(E5641="Priority",'Cost model'!N382,'Cost model'!M382)</f>
        <v>18.5</v>
      </c>
      <c r="K5641" s="14" t="n">
        <f aca="false">J5641-H5641</f>
        <v>7.47</v>
      </c>
      <c r="L5641" s="14" t="n">
        <f aca="false">G5641-H5641</f>
        <v>6.47</v>
      </c>
    </row>
    <row r="5642" customFormat="false" ht="15" hidden="false" customHeight="false" outlineLevel="0" collapsed="false">
      <c r="A5642" s="2" t="s">
        <v>146</v>
      </c>
      <c r="B5642" s="2" t="s">
        <v>126</v>
      </c>
      <c r="C5642" s="2" t="s">
        <v>49</v>
      </c>
      <c r="D5642" s="2" t="s">
        <v>12</v>
      </c>
      <c r="E5642" s="2" t="s">
        <v>76</v>
      </c>
      <c r="F5642" s="2" t="s">
        <v>1146</v>
      </c>
      <c r="G5642" s="14" t="n">
        <v>12.5</v>
      </c>
      <c r="H5642" s="14" t="n">
        <v>59.25</v>
      </c>
      <c r="I5642" s="14" t="n">
        <v>19.5</v>
      </c>
      <c r="J5642" s="22" t="n">
        <f aca="false">IF(E5642="Priority",'Cost model'!N798,'Cost model'!M798)</f>
        <v>45</v>
      </c>
      <c r="K5642" s="14" t="n">
        <f aca="false">J5642-H5642</f>
        <v>-14.25</v>
      </c>
      <c r="L5642" s="14" t="n">
        <f aca="false">G5642-H5642</f>
        <v>-46.75</v>
      </c>
    </row>
    <row r="5643" customFormat="false" ht="15" hidden="false" customHeight="false" outlineLevel="0" collapsed="false">
      <c r="A5643" s="2" t="s">
        <v>184</v>
      </c>
      <c r="B5643" s="2" t="s">
        <v>184</v>
      </c>
      <c r="C5643" s="2" t="s">
        <v>48</v>
      </c>
      <c r="D5643" s="2" t="s">
        <v>10</v>
      </c>
      <c r="E5643" s="2" t="s">
        <v>76</v>
      </c>
      <c r="F5643" s="2" t="s">
        <v>1145</v>
      </c>
      <c r="G5643" s="14" t="n">
        <v>9.5</v>
      </c>
      <c r="H5643" s="14" t="n">
        <v>7.45</v>
      </c>
      <c r="I5643" s="14" t="n">
        <v>9.5</v>
      </c>
      <c r="J5643" s="22" t="n">
        <f aca="false">IF(E5643="Priority",'Cost model'!N200,'Cost model'!M200)</f>
        <v>7.5</v>
      </c>
      <c r="K5643" s="14" t="n">
        <f aca="false">J5643-H5643</f>
        <v>0.0499999999999998</v>
      </c>
      <c r="L5643" s="14" t="n">
        <f aca="false">G5643-H5643</f>
        <v>2.05</v>
      </c>
    </row>
    <row r="5644" customFormat="false" ht="15" hidden="false" customHeight="false" outlineLevel="0" collapsed="false">
      <c r="A5644" s="2" t="s">
        <v>184</v>
      </c>
      <c r="B5644" s="2" t="s">
        <v>184</v>
      </c>
      <c r="C5644" s="2" t="s">
        <v>49</v>
      </c>
      <c r="D5644" s="2" t="s">
        <v>12</v>
      </c>
      <c r="E5644" s="2" t="s">
        <v>76</v>
      </c>
      <c r="F5644" s="2" t="s">
        <v>1145</v>
      </c>
      <c r="G5644" s="14" t="n">
        <v>12.5</v>
      </c>
      <c r="H5644" s="14" t="n">
        <v>42.61</v>
      </c>
      <c r="I5644" s="14"/>
      <c r="J5644" s="22" t="n">
        <f aca="false">IF(E5644="Priority",'Cost model'!N204,'Cost model'!M204)</f>
        <v>45</v>
      </c>
      <c r="K5644" s="14" t="n">
        <f aca="false">J5644-H5644</f>
        <v>2.39</v>
      </c>
      <c r="L5644" s="14" t="n">
        <f aca="false">G5644-H5644</f>
        <v>-30.11</v>
      </c>
    </row>
    <row r="5645" customFormat="false" ht="15" hidden="false" customHeight="false" outlineLevel="0" collapsed="false">
      <c r="A5645" s="2" t="s">
        <v>184</v>
      </c>
      <c r="B5645" s="2" t="s">
        <v>126</v>
      </c>
      <c r="C5645" s="2" t="s">
        <v>50</v>
      </c>
      <c r="D5645" s="2" t="s">
        <v>13</v>
      </c>
      <c r="E5645" s="2" t="s">
        <v>85</v>
      </c>
      <c r="F5645" s="2" t="s">
        <v>1146</v>
      </c>
      <c r="G5645" s="14" t="n">
        <v>95</v>
      </c>
      <c r="H5645" s="14" t="n">
        <v>60.31</v>
      </c>
      <c r="I5645" s="14" t="n">
        <v>95</v>
      </c>
      <c r="J5645" s="22" t="n">
        <f aca="false">IF(E5645="Priority",'Cost model'!N136,'Cost model'!M136)</f>
        <v>145</v>
      </c>
      <c r="K5645" s="14" t="n">
        <f aca="false">J5645-H5645</f>
        <v>84.69</v>
      </c>
      <c r="L5645" s="14" t="n">
        <f aca="false">G5645-H5645</f>
        <v>34.69</v>
      </c>
    </row>
    <row r="5646" customFormat="false" ht="15" hidden="false" customHeight="false" outlineLevel="0" collapsed="false">
      <c r="A5646" s="2" t="s">
        <v>146</v>
      </c>
      <c r="B5646" s="2" t="s">
        <v>146</v>
      </c>
      <c r="C5646" s="2" t="s">
        <v>50</v>
      </c>
      <c r="D5646" s="2" t="s">
        <v>12</v>
      </c>
      <c r="E5646" s="2" t="s">
        <v>76</v>
      </c>
      <c r="F5646" s="2" t="s">
        <v>1145</v>
      </c>
      <c r="G5646" s="14" t="n">
        <v>19.5</v>
      </c>
      <c r="H5646" s="14" t="n">
        <v>101.33</v>
      </c>
      <c r="I5646" s="14" t="n">
        <v>19.5</v>
      </c>
      <c r="J5646" s="22" t="n">
        <f aca="false">IF(E5646="Priority",'Cost model'!N763,'Cost model'!M763)</f>
        <v>50</v>
      </c>
      <c r="K5646" s="14" t="n">
        <f aca="false">J5646-H5646</f>
        <v>-51.33</v>
      </c>
      <c r="L5646" s="14" t="n">
        <f aca="false">G5646-H5646</f>
        <v>-81.83</v>
      </c>
    </row>
    <row r="5647" customFormat="false" ht="15" hidden="false" customHeight="false" outlineLevel="0" collapsed="false">
      <c r="A5647" s="2" t="s">
        <v>126</v>
      </c>
      <c r="B5647" s="2" t="s">
        <v>126</v>
      </c>
      <c r="C5647" s="2" t="s">
        <v>48</v>
      </c>
      <c r="D5647" s="2" t="s">
        <v>15</v>
      </c>
      <c r="E5647" s="2" t="s">
        <v>76</v>
      </c>
      <c r="F5647" s="2" t="s">
        <v>1145</v>
      </c>
      <c r="G5647" s="14" t="n">
        <v>45</v>
      </c>
      <c r="H5647" s="14" t="n">
        <v>126.62</v>
      </c>
      <c r="I5647" s="14" t="n">
        <v>45</v>
      </c>
      <c r="J5647" s="22" t="n">
        <f aca="false">IF(E5647="Priority",'Cost model'!N392,'Cost model'!M392)</f>
        <v>115</v>
      </c>
      <c r="K5647" s="14" t="n">
        <f aca="false">J5647-H5647</f>
        <v>-11.62</v>
      </c>
      <c r="L5647" s="14" t="n">
        <f aca="false">G5647-H5647</f>
        <v>-81.62</v>
      </c>
    </row>
    <row r="5648" customFormat="false" ht="15" hidden="false" customHeight="false" outlineLevel="0" collapsed="false">
      <c r="A5648" s="2" t="s">
        <v>184</v>
      </c>
      <c r="B5648" s="2" t="s">
        <v>221</v>
      </c>
      <c r="C5648" s="2" t="s">
        <v>48</v>
      </c>
      <c r="D5648" s="2" t="s">
        <v>10</v>
      </c>
      <c r="E5648" s="2" t="s">
        <v>76</v>
      </c>
      <c r="F5648" s="2" t="s">
        <v>1146</v>
      </c>
      <c r="G5648" s="14" t="n">
        <v>9.5</v>
      </c>
      <c r="H5648" s="14" t="n">
        <v>10.53</v>
      </c>
      <c r="I5648" s="14" t="n">
        <v>19.5</v>
      </c>
      <c r="J5648" s="22" t="n">
        <f aca="false">IF(E5648="Priority",'Cost model'!N218,'Cost model'!M218)</f>
        <v>12.5</v>
      </c>
      <c r="K5648" s="14" t="n">
        <f aca="false">J5648-H5648</f>
        <v>1.97</v>
      </c>
      <c r="L5648" s="14" t="n">
        <f aca="false">G5648-H5648</f>
        <v>-1.03</v>
      </c>
    </row>
    <row r="5649" customFormat="false" ht="15" hidden="false" customHeight="false" outlineLevel="0" collapsed="false">
      <c r="A5649" s="2" t="s">
        <v>184</v>
      </c>
      <c r="B5649" s="2" t="s">
        <v>126</v>
      </c>
      <c r="C5649" s="2" t="s">
        <v>48</v>
      </c>
      <c r="D5649" s="2" t="s">
        <v>10</v>
      </c>
      <c r="E5649" s="2" t="s">
        <v>76</v>
      </c>
      <c r="F5649" s="2" t="s">
        <v>1146</v>
      </c>
      <c r="G5649" s="14" t="n">
        <v>9.5</v>
      </c>
      <c r="H5649" s="14" t="n">
        <v>12.98</v>
      </c>
      <c r="I5649" s="14" t="n">
        <v>9.5</v>
      </c>
      <c r="J5649" s="22" t="n">
        <f aca="false">IF(E5649="Priority",'Cost model'!N128,'Cost model'!M128)</f>
        <v>10.5</v>
      </c>
      <c r="K5649" s="14" t="n">
        <f aca="false">J5649-H5649</f>
        <v>-2.48</v>
      </c>
      <c r="L5649" s="14" t="n">
        <f aca="false">G5649-H5649</f>
        <v>-3.48</v>
      </c>
    </row>
    <row r="5650" customFormat="false" ht="15" hidden="false" customHeight="false" outlineLevel="0" collapsed="false">
      <c r="A5650" s="2" t="s">
        <v>146</v>
      </c>
      <c r="B5650" s="2" t="s">
        <v>126</v>
      </c>
      <c r="C5650" s="2" t="s">
        <v>50</v>
      </c>
      <c r="D5650" s="2" t="s">
        <v>10</v>
      </c>
      <c r="E5650" s="2" t="s">
        <v>76</v>
      </c>
      <c r="F5650" s="2" t="s">
        <v>1146</v>
      </c>
      <c r="G5650" s="14" t="n">
        <v>17.5</v>
      </c>
      <c r="H5650" s="14" t="n">
        <v>12.18</v>
      </c>
      <c r="I5650" s="14" t="n">
        <v>17.5</v>
      </c>
      <c r="J5650" s="22" t="n">
        <f aca="false">IF(E5650="Priority",'Cost model'!N796,'Cost model'!M796)</f>
        <v>17.5</v>
      </c>
      <c r="K5650" s="14" t="n">
        <f aca="false">J5650-H5650</f>
        <v>5.32</v>
      </c>
      <c r="L5650" s="14" t="n">
        <f aca="false">G5650-H5650</f>
        <v>5.32</v>
      </c>
    </row>
    <row r="5651" customFormat="false" ht="15" hidden="false" customHeight="false" outlineLevel="0" collapsed="false">
      <c r="A5651" s="2" t="s">
        <v>126</v>
      </c>
      <c r="B5651" s="2" t="s">
        <v>184</v>
      </c>
      <c r="C5651" s="2" t="s">
        <v>48</v>
      </c>
      <c r="D5651" s="2" t="s">
        <v>12</v>
      </c>
      <c r="E5651" s="2" t="s">
        <v>76</v>
      </c>
      <c r="F5651" s="2" t="s">
        <v>1146</v>
      </c>
      <c r="G5651" s="14" t="n">
        <v>19.5</v>
      </c>
      <c r="H5651" s="14" t="n">
        <v>141.99</v>
      </c>
      <c r="I5651" s="14" t="n">
        <v>19.5</v>
      </c>
      <c r="J5651" s="22" t="n">
        <f aca="false">IF(E5651="Priority",'Cost model'!N437,'Cost model'!M437)</f>
        <v>50</v>
      </c>
      <c r="K5651" s="14" t="n">
        <f aca="false">J5651-H5651</f>
        <v>-91.99</v>
      </c>
      <c r="L5651" s="14" t="n">
        <f aca="false">G5651-H5651</f>
        <v>-122.49</v>
      </c>
    </row>
    <row r="5652" customFormat="false" ht="15" hidden="false" customHeight="false" outlineLevel="0" collapsed="false">
      <c r="A5652" s="2" t="s">
        <v>184</v>
      </c>
      <c r="B5652" s="2" t="s">
        <v>184</v>
      </c>
      <c r="C5652" s="2" t="s">
        <v>49</v>
      </c>
      <c r="D5652" s="2" t="s">
        <v>10</v>
      </c>
      <c r="E5652" s="2" t="s">
        <v>76</v>
      </c>
      <c r="F5652" s="2" t="s">
        <v>1145</v>
      </c>
      <c r="G5652" s="14" t="n">
        <v>12.5</v>
      </c>
      <c r="H5652" s="14" t="n">
        <v>10.91</v>
      </c>
      <c r="I5652" s="14"/>
      <c r="J5652" s="22" t="n">
        <f aca="false">IF(E5652="Priority",'Cost model'!N201,'Cost model'!M201)</f>
        <v>12.5</v>
      </c>
      <c r="K5652" s="14" t="n">
        <f aca="false">J5652-H5652</f>
        <v>1.59</v>
      </c>
      <c r="L5652" s="14" t="n">
        <f aca="false">G5652-H5652</f>
        <v>1.59</v>
      </c>
    </row>
    <row r="5653" customFormat="false" ht="15" hidden="false" customHeight="false" outlineLevel="0" collapsed="false">
      <c r="A5653" s="2" t="s">
        <v>146</v>
      </c>
      <c r="B5653" s="2" t="s">
        <v>146</v>
      </c>
      <c r="C5653" s="2" t="s">
        <v>48</v>
      </c>
      <c r="D5653" s="2" t="s">
        <v>10</v>
      </c>
      <c r="E5653" s="2" t="s">
        <v>76</v>
      </c>
      <c r="F5653" s="2" t="s">
        <v>1145</v>
      </c>
      <c r="G5653" s="14" t="n">
        <v>9.5</v>
      </c>
      <c r="H5653" s="14" t="n">
        <v>7.9</v>
      </c>
      <c r="I5653" s="14" t="n">
        <v>9.5</v>
      </c>
      <c r="J5653" s="22" t="n">
        <f aca="false">IF(E5653="Priority",'Cost model'!N758,'Cost model'!M758)</f>
        <v>9.5</v>
      </c>
      <c r="K5653" s="14" t="n">
        <f aca="false">J5653-H5653</f>
        <v>1.6</v>
      </c>
      <c r="L5653" s="14" t="n">
        <f aca="false">G5653-H5653</f>
        <v>1.6</v>
      </c>
    </row>
    <row r="5654" customFormat="false" ht="15" hidden="false" customHeight="false" outlineLevel="0" collapsed="false">
      <c r="A5654" s="2" t="s">
        <v>126</v>
      </c>
      <c r="B5654" s="2" t="s">
        <v>126</v>
      </c>
      <c r="C5654" s="2" t="s">
        <v>48</v>
      </c>
      <c r="D5654" s="2" t="s">
        <v>12</v>
      </c>
      <c r="E5654" s="2" t="s">
        <v>76</v>
      </c>
      <c r="F5654" s="2" t="s">
        <v>1145</v>
      </c>
      <c r="G5654" s="14" t="n">
        <v>9.5</v>
      </c>
      <c r="H5654" s="14" t="n">
        <v>28.3</v>
      </c>
      <c r="I5654" s="14" t="n">
        <v>9.5</v>
      </c>
      <c r="J5654" s="22" t="n">
        <f aca="false">IF(E5654="Priority",'Cost model'!N383,'Cost model'!M383)</f>
        <v>27.5</v>
      </c>
      <c r="K5654" s="14" t="n">
        <f aca="false">J5654-H5654</f>
        <v>-0.800000000000001</v>
      </c>
      <c r="L5654" s="14" t="n">
        <f aca="false">G5654-H5654</f>
        <v>-18.8</v>
      </c>
    </row>
    <row r="5655" customFormat="false" ht="15" hidden="false" customHeight="false" outlineLevel="0" collapsed="false">
      <c r="A5655" s="2" t="s">
        <v>240</v>
      </c>
      <c r="B5655" s="2" t="s">
        <v>184</v>
      </c>
      <c r="C5655" s="2" t="s">
        <v>48</v>
      </c>
      <c r="D5655" s="2" t="s">
        <v>12</v>
      </c>
      <c r="E5655" s="2" t="s">
        <v>76</v>
      </c>
      <c r="F5655" s="2" t="s">
        <v>1146</v>
      </c>
      <c r="G5655" s="14" t="n">
        <v>9.5</v>
      </c>
      <c r="H5655" s="14" t="n">
        <v>38.94</v>
      </c>
      <c r="I5655" s="14" t="n">
        <v>24.5</v>
      </c>
      <c r="J5655" s="22" t="n">
        <f aca="false">IF(E5655="Priority",'Cost model'!N941,'Cost model'!M941)</f>
        <v>70</v>
      </c>
      <c r="K5655" s="14" t="n">
        <f aca="false">J5655-H5655</f>
        <v>31.06</v>
      </c>
      <c r="L5655" s="14" t="n">
        <f aca="false">G5655-H5655</f>
        <v>-29.44</v>
      </c>
    </row>
    <row r="5656" customFormat="false" ht="15" hidden="false" customHeight="false" outlineLevel="0" collapsed="false">
      <c r="A5656" s="2" t="s">
        <v>126</v>
      </c>
      <c r="B5656" s="2" t="s">
        <v>165</v>
      </c>
      <c r="C5656" s="2" t="s">
        <v>49</v>
      </c>
      <c r="D5656" s="2" t="s">
        <v>12</v>
      </c>
      <c r="E5656" s="2" t="s">
        <v>76</v>
      </c>
      <c r="F5656" s="2" t="s">
        <v>1146</v>
      </c>
      <c r="G5656" s="14" t="n">
        <v>19.5</v>
      </c>
      <c r="H5656" s="14" t="n">
        <v>38.93</v>
      </c>
      <c r="I5656" s="14" t="n">
        <v>19.5</v>
      </c>
      <c r="J5656" s="22" t="n">
        <f aca="false">IF(E5656="Priority",'Cost model'!N420,'Cost model'!M420)</f>
        <v>60</v>
      </c>
      <c r="K5656" s="14" t="n">
        <f aca="false">J5656-H5656</f>
        <v>21.07</v>
      </c>
      <c r="L5656" s="14" t="n">
        <f aca="false">G5656-H5656</f>
        <v>-19.43</v>
      </c>
    </row>
    <row r="5657" customFormat="false" ht="15" hidden="false" customHeight="false" outlineLevel="0" collapsed="false">
      <c r="A5657" s="2" t="s">
        <v>184</v>
      </c>
      <c r="B5657" s="2" t="s">
        <v>184</v>
      </c>
      <c r="C5657" s="2" t="s">
        <v>50</v>
      </c>
      <c r="D5657" s="2" t="s">
        <v>10</v>
      </c>
      <c r="E5657" s="2" t="s">
        <v>76</v>
      </c>
      <c r="F5657" s="2" t="s">
        <v>1145</v>
      </c>
      <c r="G5657" s="14" t="n">
        <v>19.5</v>
      </c>
      <c r="H5657" s="14" t="n">
        <v>45.32</v>
      </c>
      <c r="I5657" s="14" t="n">
        <v>17.5</v>
      </c>
      <c r="J5657" s="22" t="n">
        <f aca="false">IF(E5657="Priority",'Cost model'!N202,'Cost model'!M202)</f>
        <v>17.5</v>
      </c>
      <c r="K5657" s="14" t="n">
        <f aca="false">J5657-H5657</f>
        <v>-27.82</v>
      </c>
      <c r="L5657" s="14" t="n">
        <f aca="false">G5657-H5657</f>
        <v>-25.82</v>
      </c>
    </row>
    <row r="5658" customFormat="false" ht="15" hidden="false" customHeight="false" outlineLevel="0" collapsed="false">
      <c r="A5658" s="2" t="s">
        <v>184</v>
      </c>
      <c r="B5658" s="2" t="s">
        <v>146</v>
      </c>
      <c r="C5658" s="2" t="s">
        <v>48</v>
      </c>
      <c r="D5658" s="2" t="s">
        <v>10</v>
      </c>
      <c r="E5658" s="2" t="s">
        <v>76</v>
      </c>
      <c r="F5658" s="2" t="s">
        <v>1146</v>
      </c>
      <c r="G5658" s="14" t="n">
        <v>9.5</v>
      </c>
      <c r="H5658" s="14" t="n">
        <v>9.64</v>
      </c>
      <c r="I5658" s="14" t="n">
        <v>9.5</v>
      </c>
      <c r="J5658" s="22" t="n">
        <f aca="false">IF(E5658="Priority",'Cost model'!N146,'Cost model'!M146)</f>
        <v>12.5</v>
      </c>
      <c r="K5658" s="14" t="n">
        <f aca="false">J5658-H5658</f>
        <v>2.86</v>
      </c>
      <c r="L5658" s="14" t="n">
        <f aca="false">G5658-H5658</f>
        <v>-0.140000000000001</v>
      </c>
    </row>
    <row r="5659" customFormat="false" ht="15" hidden="false" customHeight="false" outlineLevel="0" collapsed="false">
      <c r="A5659" s="2" t="s">
        <v>126</v>
      </c>
      <c r="B5659" s="2" t="s">
        <v>184</v>
      </c>
      <c r="C5659" s="2" t="s">
        <v>49</v>
      </c>
      <c r="D5659" s="2" t="s">
        <v>12</v>
      </c>
      <c r="E5659" s="2" t="s">
        <v>76</v>
      </c>
      <c r="F5659" s="2" t="s">
        <v>1146</v>
      </c>
      <c r="G5659" s="14" t="n">
        <v>12.5</v>
      </c>
      <c r="H5659" s="14" t="n">
        <v>24.48</v>
      </c>
      <c r="I5659" s="14" t="n">
        <v>19.5</v>
      </c>
      <c r="J5659" s="22" t="n">
        <f aca="false">IF(E5659="Priority",'Cost model'!N438,'Cost model'!M438)</f>
        <v>55</v>
      </c>
      <c r="K5659" s="14" t="n">
        <f aca="false">J5659-H5659</f>
        <v>30.52</v>
      </c>
      <c r="L5659" s="14" t="n">
        <f aca="false">G5659-H5659</f>
        <v>-11.98</v>
      </c>
    </row>
    <row r="5660" customFormat="false" ht="15" hidden="false" customHeight="false" outlineLevel="0" collapsed="false">
      <c r="A5660" s="2" t="s">
        <v>146</v>
      </c>
      <c r="B5660" s="2" t="s">
        <v>146</v>
      </c>
      <c r="C5660" s="2" t="s">
        <v>48</v>
      </c>
      <c r="D5660" s="2" t="s">
        <v>10</v>
      </c>
      <c r="E5660" s="2" t="s">
        <v>76</v>
      </c>
      <c r="F5660" s="2" t="s">
        <v>1145</v>
      </c>
      <c r="G5660" s="14" t="n">
        <v>9.5</v>
      </c>
      <c r="H5660" s="14" t="n">
        <v>5</v>
      </c>
      <c r="I5660" s="14" t="n">
        <v>9.5</v>
      </c>
      <c r="J5660" s="22" t="n">
        <f aca="false">IF(E5660="Priority",'Cost model'!N758,'Cost model'!M758)</f>
        <v>9.5</v>
      </c>
      <c r="K5660" s="14" t="n">
        <f aca="false">J5660-H5660</f>
        <v>4.5</v>
      </c>
      <c r="L5660" s="14" t="n">
        <f aca="false">G5660-H5660</f>
        <v>4.5</v>
      </c>
    </row>
    <row r="5661" customFormat="false" ht="15" hidden="false" customHeight="false" outlineLevel="0" collapsed="false">
      <c r="A5661" s="2" t="s">
        <v>184</v>
      </c>
      <c r="B5661" s="2" t="s">
        <v>184</v>
      </c>
      <c r="C5661" s="2" t="s">
        <v>50</v>
      </c>
      <c r="D5661" s="2" t="s">
        <v>12</v>
      </c>
      <c r="E5661" s="2" t="s">
        <v>76</v>
      </c>
      <c r="F5661" s="2" t="s">
        <v>1145</v>
      </c>
      <c r="G5661" s="14" t="n">
        <v>19.5</v>
      </c>
      <c r="H5661" s="14" t="n">
        <v>43.77</v>
      </c>
      <c r="I5661" s="14" t="n">
        <v>19.5</v>
      </c>
      <c r="J5661" s="22" t="n">
        <f aca="false">IF(E5661="Priority",'Cost model'!N205,'Cost model'!M205)</f>
        <v>50</v>
      </c>
      <c r="K5661" s="14" t="n">
        <f aca="false">J5661-H5661</f>
        <v>6.23</v>
      </c>
      <c r="L5661" s="14" t="n">
        <f aca="false">G5661-H5661</f>
        <v>-24.27</v>
      </c>
    </row>
    <row r="5662" customFormat="false" ht="15" hidden="false" customHeight="false" outlineLevel="0" collapsed="false">
      <c r="A5662" s="2" t="s">
        <v>184</v>
      </c>
      <c r="B5662" s="2" t="s">
        <v>146</v>
      </c>
      <c r="C5662" s="2" t="s">
        <v>49</v>
      </c>
      <c r="D5662" s="2" t="s">
        <v>12</v>
      </c>
      <c r="E5662" s="2" t="s">
        <v>76</v>
      </c>
      <c r="F5662" s="2" t="s">
        <v>1146</v>
      </c>
      <c r="G5662" s="14" t="n">
        <v>19.5</v>
      </c>
      <c r="H5662" s="14" t="n">
        <v>57.41</v>
      </c>
      <c r="I5662" s="14"/>
      <c r="J5662" s="22" t="n">
        <f aca="false">IF(E5662="Priority",'Cost model'!N150,'Cost model'!M150)</f>
        <v>55</v>
      </c>
      <c r="K5662" s="14" t="n">
        <f aca="false">J5662-H5662</f>
        <v>-2.41</v>
      </c>
      <c r="L5662" s="14" t="n">
        <f aca="false">G5662-H5662</f>
        <v>-37.91</v>
      </c>
    </row>
    <row r="5663" customFormat="false" ht="15" hidden="false" customHeight="false" outlineLevel="0" collapsed="false">
      <c r="A5663" s="2" t="s">
        <v>240</v>
      </c>
      <c r="B5663" s="2" t="s">
        <v>240</v>
      </c>
      <c r="C5663" s="2" t="s">
        <v>48</v>
      </c>
      <c r="D5663" s="2" t="s">
        <v>13</v>
      </c>
      <c r="E5663" s="2" t="s">
        <v>76</v>
      </c>
      <c r="F5663" s="2" t="s">
        <v>1145</v>
      </c>
      <c r="G5663" s="14" t="n">
        <v>19.5</v>
      </c>
      <c r="H5663" s="14" t="n">
        <v>14.36</v>
      </c>
      <c r="I5663" s="14" t="n">
        <v>19.5</v>
      </c>
      <c r="J5663" s="22" t="n">
        <f aca="false">IF(E5663="Priority",'Cost model'!N890,'Cost model'!M890)</f>
        <v>45</v>
      </c>
      <c r="K5663" s="14" t="n">
        <f aca="false">J5663-H5663</f>
        <v>30.64</v>
      </c>
      <c r="L5663" s="14" t="n">
        <f aca="false">G5663-H5663</f>
        <v>5.14</v>
      </c>
    </row>
    <row r="5664" customFormat="false" ht="15" hidden="false" customHeight="false" outlineLevel="0" collapsed="false">
      <c r="A5664" s="2" t="s">
        <v>165</v>
      </c>
      <c r="B5664" s="2" t="s">
        <v>165</v>
      </c>
      <c r="C5664" s="2" t="s">
        <v>48</v>
      </c>
      <c r="D5664" s="2" t="s">
        <v>10</v>
      </c>
      <c r="E5664" s="2" t="s">
        <v>76</v>
      </c>
      <c r="F5664" s="2" t="s">
        <v>1145</v>
      </c>
      <c r="G5664" s="14" t="n">
        <v>9.5</v>
      </c>
      <c r="H5664" s="14" t="n">
        <v>7.34</v>
      </c>
      <c r="I5664" s="14" t="n">
        <v>9.5</v>
      </c>
      <c r="J5664" s="22" t="n">
        <f aca="false">IF(E5664="Priority",'Cost model'!N506,'Cost model'!M506)</f>
        <v>7.5</v>
      </c>
      <c r="K5664" s="14" t="n">
        <f aca="false">J5664-H5664</f>
        <v>0.16</v>
      </c>
      <c r="L5664" s="14" t="n">
        <f aca="false">G5664-H5664</f>
        <v>2.16</v>
      </c>
    </row>
    <row r="5665" customFormat="false" ht="15" hidden="false" customHeight="false" outlineLevel="0" collapsed="false">
      <c r="A5665" s="2" t="s">
        <v>146</v>
      </c>
      <c r="B5665" s="2" t="s">
        <v>146</v>
      </c>
      <c r="C5665" s="2" t="s">
        <v>48</v>
      </c>
      <c r="D5665" s="2" t="s">
        <v>10</v>
      </c>
      <c r="E5665" s="2" t="s">
        <v>76</v>
      </c>
      <c r="F5665" s="2" t="s">
        <v>1145</v>
      </c>
      <c r="G5665" s="14" t="n">
        <v>19.5</v>
      </c>
      <c r="H5665" s="14" t="n">
        <v>7.45</v>
      </c>
      <c r="I5665" s="14" t="n">
        <v>9.5</v>
      </c>
      <c r="J5665" s="22" t="n">
        <f aca="false">IF(E5665="Priority",'Cost model'!N758,'Cost model'!M758)</f>
        <v>9.5</v>
      </c>
      <c r="K5665" s="14" t="n">
        <f aca="false">J5665-H5665</f>
        <v>2.05</v>
      </c>
      <c r="L5665" s="14" t="n">
        <f aca="false">G5665-H5665</f>
        <v>12.05</v>
      </c>
    </row>
    <row r="5666" customFormat="false" ht="15" hidden="false" customHeight="false" outlineLevel="0" collapsed="false">
      <c r="A5666" s="2" t="s">
        <v>165</v>
      </c>
      <c r="B5666" s="2" t="s">
        <v>146</v>
      </c>
      <c r="C5666" s="2" t="s">
        <v>50</v>
      </c>
      <c r="D5666" s="2" t="s">
        <v>12</v>
      </c>
      <c r="E5666" s="2" t="s">
        <v>76</v>
      </c>
      <c r="F5666" s="2" t="s">
        <v>1146</v>
      </c>
      <c r="G5666" s="14" t="n">
        <v>19.5</v>
      </c>
      <c r="H5666" s="14" t="n">
        <v>61.2</v>
      </c>
      <c r="I5666" s="14" t="n">
        <v>19.5</v>
      </c>
      <c r="J5666" s="22" t="n">
        <f aca="false">IF(E5666="Priority",'Cost model'!N529,'Cost model'!M529)</f>
        <v>65</v>
      </c>
      <c r="K5666" s="14" t="n">
        <f aca="false">J5666-H5666</f>
        <v>3.8</v>
      </c>
      <c r="L5666" s="14" t="n">
        <f aca="false">G5666-H5666</f>
        <v>-41.7</v>
      </c>
    </row>
    <row r="5667" customFormat="false" ht="15" hidden="false" customHeight="false" outlineLevel="0" collapsed="false">
      <c r="A5667" s="2" t="s">
        <v>184</v>
      </c>
      <c r="B5667" s="2" t="s">
        <v>184</v>
      </c>
      <c r="C5667" s="2" t="s">
        <v>48</v>
      </c>
      <c r="D5667" s="2" t="s">
        <v>12</v>
      </c>
      <c r="E5667" s="2" t="s">
        <v>76</v>
      </c>
      <c r="F5667" s="2" t="s">
        <v>1145</v>
      </c>
      <c r="G5667" s="14" t="n">
        <v>9.5</v>
      </c>
      <c r="H5667" s="14" t="n">
        <v>30.31</v>
      </c>
      <c r="I5667" s="14" t="n">
        <v>9.5</v>
      </c>
      <c r="J5667" s="22" t="n">
        <f aca="false">IF(E5667="Priority",'Cost model'!N203,'Cost model'!M203)</f>
        <v>26.5</v>
      </c>
      <c r="K5667" s="14" t="n">
        <f aca="false">J5667-H5667</f>
        <v>-3.81</v>
      </c>
      <c r="L5667" s="14" t="n">
        <f aca="false">G5667-H5667</f>
        <v>-20.81</v>
      </c>
    </row>
    <row r="5668" customFormat="false" ht="15" hidden="false" customHeight="false" outlineLevel="0" collapsed="false">
      <c r="A5668" s="2" t="s">
        <v>126</v>
      </c>
      <c r="B5668" s="2" t="s">
        <v>184</v>
      </c>
      <c r="C5668" s="2" t="s">
        <v>49</v>
      </c>
      <c r="D5668" s="2" t="s">
        <v>10</v>
      </c>
      <c r="E5668" s="2" t="s">
        <v>76</v>
      </c>
      <c r="F5668" s="2" t="s">
        <v>1146</v>
      </c>
      <c r="G5668" s="14" t="n">
        <v>14.5</v>
      </c>
      <c r="H5668" s="14" t="n">
        <v>16.47</v>
      </c>
      <c r="I5668" s="14" t="n">
        <v>14.5</v>
      </c>
      <c r="J5668" s="22" t="n">
        <f aca="false">IF(E5668="Priority",'Cost model'!N435,'Cost model'!M435)</f>
        <v>15.5</v>
      </c>
      <c r="K5668" s="14" t="n">
        <f aca="false">J5668-H5668</f>
        <v>-0.969999999999999</v>
      </c>
      <c r="L5668" s="14" t="n">
        <f aca="false">G5668-H5668</f>
        <v>-1.97</v>
      </c>
    </row>
    <row r="5669" customFormat="false" ht="15" hidden="false" customHeight="false" outlineLevel="0" collapsed="false">
      <c r="A5669" s="2" t="s">
        <v>126</v>
      </c>
      <c r="B5669" s="2" t="s">
        <v>125</v>
      </c>
      <c r="C5669" s="2" t="s">
        <v>48</v>
      </c>
      <c r="D5669" s="2" t="s">
        <v>10</v>
      </c>
      <c r="E5669" s="2" t="s">
        <v>76</v>
      </c>
      <c r="F5669" s="2" t="s">
        <v>1146</v>
      </c>
      <c r="G5669" s="14" t="n">
        <v>14.5</v>
      </c>
      <c r="H5669" s="14" t="n">
        <v>21.61</v>
      </c>
      <c r="I5669" s="14" t="n">
        <v>19.5</v>
      </c>
      <c r="J5669" s="22" t="n">
        <f aca="false">IF(E5669="Priority",'Cost model'!N470,'Cost model'!M470)</f>
        <v>19.5</v>
      </c>
      <c r="K5669" s="14" t="n">
        <f aca="false">J5669-H5669</f>
        <v>-2.11</v>
      </c>
      <c r="L5669" s="14" t="n">
        <f aca="false">G5669-H5669</f>
        <v>-7.11</v>
      </c>
    </row>
    <row r="5670" customFormat="false" ht="15" hidden="false" customHeight="false" outlineLevel="0" collapsed="false">
      <c r="A5670" s="2" t="s">
        <v>146</v>
      </c>
      <c r="B5670" s="2" t="s">
        <v>146</v>
      </c>
      <c r="C5670" s="2" t="s">
        <v>50</v>
      </c>
      <c r="D5670" s="2" t="s">
        <v>12</v>
      </c>
      <c r="E5670" s="2" t="s">
        <v>76</v>
      </c>
      <c r="F5670" s="2" t="s">
        <v>1145</v>
      </c>
      <c r="G5670" s="14" t="n">
        <v>19.5</v>
      </c>
      <c r="H5670" s="14" t="n">
        <v>45.76</v>
      </c>
      <c r="I5670" s="14" t="n">
        <v>19.5</v>
      </c>
      <c r="J5670" s="22" t="n">
        <f aca="false">IF(E5670="Priority",'Cost model'!N763,'Cost model'!M763)</f>
        <v>50</v>
      </c>
      <c r="K5670" s="14" t="n">
        <f aca="false">J5670-H5670</f>
        <v>4.24</v>
      </c>
      <c r="L5670" s="14" t="n">
        <f aca="false">G5670-H5670</f>
        <v>-26.26</v>
      </c>
    </row>
    <row r="5671" customFormat="false" ht="15" hidden="false" customHeight="false" outlineLevel="0" collapsed="false">
      <c r="A5671" s="2" t="s">
        <v>184</v>
      </c>
      <c r="B5671" s="2" t="s">
        <v>184</v>
      </c>
      <c r="C5671" s="2" t="s">
        <v>49</v>
      </c>
      <c r="D5671" s="2" t="s">
        <v>10</v>
      </c>
      <c r="E5671" s="2" t="s">
        <v>76</v>
      </c>
      <c r="F5671" s="2" t="s">
        <v>1145</v>
      </c>
      <c r="G5671" s="14" t="n">
        <v>17.5</v>
      </c>
      <c r="H5671" s="14" t="n">
        <v>16.84</v>
      </c>
      <c r="I5671" s="14"/>
      <c r="J5671" s="22" t="n">
        <f aca="false">IF(E5671="Priority",'Cost model'!N201,'Cost model'!M201)</f>
        <v>12.5</v>
      </c>
      <c r="K5671" s="14" t="n">
        <f aca="false">J5671-H5671</f>
        <v>-4.34</v>
      </c>
      <c r="L5671" s="14" t="n">
        <f aca="false">G5671-H5671</f>
        <v>0.66</v>
      </c>
    </row>
    <row r="5672" customFormat="false" ht="15" hidden="false" customHeight="false" outlineLevel="0" collapsed="false">
      <c r="A5672" s="2" t="s">
        <v>240</v>
      </c>
      <c r="B5672" s="2" t="s">
        <v>165</v>
      </c>
      <c r="C5672" s="2" t="s">
        <v>48</v>
      </c>
      <c r="D5672" s="2" t="s">
        <v>10</v>
      </c>
      <c r="E5672" s="2" t="s">
        <v>76</v>
      </c>
      <c r="F5672" s="2" t="s">
        <v>1146</v>
      </c>
      <c r="G5672" s="14" t="n">
        <v>14.5</v>
      </c>
      <c r="H5672" s="14" t="n">
        <v>13.11</v>
      </c>
      <c r="I5672" s="14" t="n">
        <v>14.5</v>
      </c>
      <c r="J5672" s="22" t="n">
        <f aca="false">IF(E5672="Priority",'Cost model'!N902,'Cost model'!M902)</f>
        <v>13.5</v>
      </c>
      <c r="K5672" s="14" t="n">
        <f aca="false">J5672-H5672</f>
        <v>0.390000000000001</v>
      </c>
      <c r="L5672" s="14" t="n">
        <f aca="false">G5672-H5672</f>
        <v>1.39</v>
      </c>
    </row>
    <row r="5673" customFormat="false" ht="15" hidden="false" customHeight="false" outlineLevel="0" collapsed="false">
      <c r="A5673" s="2" t="s">
        <v>126</v>
      </c>
      <c r="B5673" s="2" t="s">
        <v>126</v>
      </c>
      <c r="C5673" s="2" t="s">
        <v>49</v>
      </c>
      <c r="D5673" s="2" t="s">
        <v>10</v>
      </c>
      <c r="E5673" s="2" t="s">
        <v>85</v>
      </c>
      <c r="F5673" s="2" t="s">
        <v>1145</v>
      </c>
      <c r="G5673" s="14" t="n">
        <v>17.5</v>
      </c>
      <c r="H5673" s="14" t="n">
        <v>21.76</v>
      </c>
      <c r="I5673" s="14" t="n">
        <v>17.5</v>
      </c>
      <c r="J5673" s="22" t="n">
        <f aca="false">IF(E5673="Priority",'Cost model'!N381,'Cost model'!M381)</f>
        <v>19.5</v>
      </c>
      <c r="K5673" s="14" t="n">
        <f aca="false">J5673-H5673</f>
        <v>-2.26</v>
      </c>
      <c r="L5673" s="14" t="n">
        <f aca="false">G5673-H5673</f>
        <v>-4.26</v>
      </c>
    </row>
    <row r="5674" customFormat="false" ht="15" hidden="false" customHeight="false" outlineLevel="0" collapsed="false">
      <c r="A5674" s="2" t="s">
        <v>125</v>
      </c>
      <c r="B5674" s="2" t="s">
        <v>126</v>
      </c>
      <c r="C5674" s="2" t="s">
        <v>48</v>
      </c>
      <c r="D5674" s="2" t="s">
        <v>12</v>
      </c>
      <c r="E5674" s="2" t="s">
        <v>76</v>
      </c>
      <c r="F5674" s="2" t="s">
        <v>1146</v>
      </c>
      <c r="G5674" s="14" t="n">
        <v>19.5</v>
      </c>
      <c r="H5674" s="14" t="n">
        <v>53.48</v>
      </c>
      <c r="I5674" s="14" t="n">
        <v>19.5</v>
      </c>
      <c r="J5674" s="22" t="n">
        <f aca="false">IF(E5674="Priority",'Cost model'!N5,'Cost model'!M5)</f>
        <v>50</v>
      </c>
      <c r="K5674" s="14" t="n">
        <f aca="false">J5674-H5674</f>
        <v>-3.48</v>
      </c>
      <c r="L5674" s="14" t="n">
        <f aca="false">G5674-H5674</f>
        <v>-33.98</v>
      </c>
    </row>
    <row r="5675" customFormat="false" ht="15" hidden="false" customHeight="false" outlineLevel="0" collapsed="false">
      <c r="A5675" s="2" t="s">
        <v>126</v>
      </c>
      <c r="B5675" s="2" t="s">
        <v>126</v>
      </c>
      <c r="C5675" s="2" t="s">
        <v>49</v>
      </c>
      <c r="D5675" s="2" t="s">
        <v>12</v>
      </c>
      <c r="E5675" s="2" t="s">
        <v>76</v>
      </c>
      <c r="F5675" s="2" t="s">
        <v>1145</v>
      </c>
      <c r="G5675" s="14" t="n">
        <v>12.5</v>
      </c>
      <c r="H5675" s="14" t="n">
        <v>43.77</v>
      </c>
      <c r="I5675" s="14" t="n">
        <v>12.5</v>
      </c>
      <c r="J5675" s="22" t="n">
        <f aca="false">IF(E5675="Priority",'Cost model'!N384,'Cost model'!M384)</f>
        <v>45</v>
      </c>
      <c r="K5675" s="14" t="n">
        <f aca="false">J5675-H5675</f>
        <v>1.23</v>
      </c>
      <c r="L5675" s="14" t="n">
        <f aca="false">G5675-H5675</f>
        <v>-31.27</v>
      </c>
    </row>
    <row r="5676" customFormat="false" ht="15" hidden="false" customHeight="false" outlineLevel="0" collapsed="false">
      <c r="A5676" s="2" t="s">
        <v>184</v>
      </c>
      <c r="B5676" s="2" t="s">
        <v>184</v>
      </c>
      <c r="C5676" s="2" t="s">
        <v>49</v>
      </c>
      <c r="D5676" s="2" t="s">
        <v>12</v>
      </c>
      <c r="E5676" s="2" t="s">
        <v>76</v>
      </c>
      <c r="F5676" s="2" t="s">
        <v>1145</v>
      </c>
      <c r="G5676" s="14" t="n">
        <v>12.5</v>
      </c>
      <c r="H5676" s="14" t="n">
        <v>46.65</v>
      </c>
      <c r="I5676" s="14" t="n">
        <v>12.5</v>
      </c>
      <c r="J5676" s="22" t="n">
        <f aca="false">IF(E5676="Priority",'Cost model'!N204,'Cost model'!M204)</f>
        <v>45</v>
      </c>
      <c r="K5676" s="14" t="n">
        <f aca="false">J5676-H5676</f>
        <v>-1.65</v>
      </c>
      <c r="L5676" s="14" t="n">
        <f aca="false">G5676-H5676</f>
        <v>-34.15</v>
      </c>
    </row>
    <row r="5677" customFormat="false" ht="15" hidden="false" customHeight="false" outlineLevel="0" collapsed="false">
      <c r="A5677" s="2" t="s">
        <v>126</v>
      </c>
      <c r="B5677" s="2" t="s">
        <v>146</v>
      </c>
      <c r="C5677" s="2" t="s">
        <v>48</v>
      </c>
      <c r="D5677" s="2" t="s">
        <v>10</v>
      </c>
      <c r="E5677" s="2" t="s">
        <v>76</v>
      </c>
      <c r="F5677" s="2" t="s">
        <v>1146</v>
      </c>
      <c r="G5677" s="14" t="n">
        <v>14.5</v>
      </c>
      <c r="H5677" s="14" t="n">
        <v>24.17</v>
      </c>
      <c r="I5677" s="14" t="n">
        <v>14.5</v>
      </c>
      <c r="J5677" s="22" t="n">
        <f aca="false">IF(E5677="Priority",'Cost model'!N398,'Cost model'!M398)</f>
        <v>15.5</v>
      </c>
      <c r="K5677" s="14" t="n">
        <f aca="false">J5677-H5677</f>
        <v>-8.67</v>
      </c>
      <c r="L5677" s="14" t="n">
        <f aca="false">G5677-H5677</f>
        <v>-9.67</v>
      </c>
    </row>
    <row r="5678" customFormat="false" ht="15" hidden="false" customHeight="false" outlineLevel="0" collapsed="false">
      <c r="A5678" s="2" t="s">
        <v>184</v>
      </c>
      <c r="B5678" s="2" t="s">
        <v>184</v>
      </c>
      <c r="C5678" s="2" t="s">
        <v>50</v>
      </c>
      <c r="D5678" s="2" t="s">
        <v>14</v>
      </c>
      <c r="E5678" s="2" t="s">
        <v>76</v>
      </c>
      <c r="F5678" s="2" t="s">
        <v>1145</v>
      </c>
      <c r="G5678" s="14" t="n">
        <v>85</v>
      </c>
      <c r="H5678" s="14" t="n">
        <v>132.72</v>
      </c>
      <c r="I5678" s="14" t="n">
        <v>85</v>
      </c>
      <c r="J5678" s="22" t="n">
        <f aca="false">IF(E5678="Priority",'Cost model'!N211,'Cost model'!M211)</f>
        <v>175</v>
      </c>
      <c r="K5678" s="14" t="n">
        <f aca="false">J5678-H5678</f>
        <v>42.28</v>
      </c>
      <c r="L5678" s="14" t="n">
        <f aca="false">G5678-H5678</f>
        <v>-47.72</v>
      </c>
    </row>
    <row r="5679" customFormat="false" ht="15" hidden="false" customHeight="false" outlineLevel="0" collapsed="false">
      <c r="A5679" s="2" t="s">
        <v>126</v>
      </c>
      <c r="B5679" s="2" t="s">
        <v>126</v>
      </c>
      <c r="C5679" s="2" t="s">
        <v>49</v>
      </c>
      <c r="D5679" s="2" t="s">
        <v>10</v>
      </c>
      <c r="E5679" s="2" t="s">
        <v>76</v>
      </c>
      <c r="F5679" s="2" t="s">
        <v>1145</v>
      </c>
      <c r="G5679" s="14" t="n">
        <v>12.5</v>
      </c>
      <c r="H5679" s="14" t="n">
        <v>14.39</v>
      </c>
      <c r="I5679" s="14" t="n">
        <v>12.5</v>
      </c>
      <c r="J5679" s="22" t="n">
        <f aca="false">IF(E5679="Priority",'Cost model'!N381,'Cost model'!M381)</f>
        <v>14.5</v>
      </c>
      <c r="K5679" s="14" t="n">
        <f aca="false">J5679-H5679</f>
        <v>0.109999999999999</v>
      </c>
      <c r="L5679" s="14" t="n">
        <f aca="false">G5679-H5679</f>
        <v>-1.89</v>
      </c>
    </row>
    <row r="5680" customFormat="false" ht="15" hidden="false" customHeight="false" outlineLevel="0" collapsed="false">
      <c r="A5680" s="2" t="s">
        <v>184</v>
      </c>
      <c r="B5680" s="2" t="s">
        <v>184</v>
      </c>
      <c r="C5680" s="2" t="s">
        <v>50</v>
      </c>
      <c r="D5680" s="2" t="s">
        <v>13</v>
      </c>
      <c r="E5680" s="2" t="s">
        <v>76</v>
      </c>
      <c r="F5680" s="2" t="s">
        <v>1145</v>
      </c>
      <c r="G5680" s="14" t="n">
        <v>50</v>
      </c>
      <c r="H5680" s="14" t="n">
        <v>66.58</v>
      </c>
      <c r="I5680" s="14" t="n">
        <v>50</v>
      </c>
      <c r="J5680" s="22" t="n">
        <f aca="false">IF(E5680="Priority",'Cost model'!N208,'Cost model'!M208)</f>
        <v>80</v>
      </c>
      <c r="K5680" s="14" t="n">
        <f aca="false">J5680-H5680</f>
        <v>13.42</v>
      </c>
      <c r="L5680" s="14" t="n">
        <f aca="false">G5680-H5680</f>
        <v>-16.58</v>
      </c>
    </row>
    <row r="5681" customFormat="false" ht="15" hidden="false" customHeight="false" outlineLevel="0" collapsed="false">
      <c r="A5681" s="2" t="s">
        <v>184</v>
      </c>
      <c r="B5681" s="2" t="s">
        <v>146</v>
      </c>
      <c r="C5681" s="2" t="s">
        <v>48</v>
      </c>
      <c r="D5681" s="2" t="s">
        <v>10</v>
      </c>
      <c r="E5681" s="2" t="s">
        <v>76</v>
      </c>
      <c r="F5681" s="2" t="s">
        <v>1146</v>
      </c>
      <c r="G5681" s="14" t="n">
        <v>9.5</v>
      </c>
      <c r="H5681" s="14" t="n">
        <v>13.63</v>
      </c>
      <c r="I5681" s="14" t="n">
        <v>9.5</v>
      </c>
      <c r="J5681" s="22" t="n">
        <f aca="false">IF(E5681="Priority",'Cost model'!N146,'Cost model'!M146)</f>
        <v>12.5</v>
      </c>
      <c r="K5681" s="14" t="n">
        <f aca="false">J5681-H5681</f>
        <v>-1.13</v>
      </c>
      <c r="L5681" s="14" t="n">
        <f aca="false">G5681-H5681</f>
        <v>-4.13</v>
      </c>
    </row>
    <row r="5682" customFormat="false" ht="15" hidden="false" customHeight="false" outlineLevel="0" collapsed="false">
      <c r="A5682" s="2" t="s">
        <v>165</v>
      </c>
      <c r="B5682" s="2" t="s">
        <v>165</v>
      </c>
      <c r="C5682" s="2" t="s">
        <v>50</v>
      </c>
      <c r="D5682" s="2" t="s">
        <v>10</v>
      </c>
      <c r="E5682" s="2" t="s">
        <v>76</v>
      </c>
      <c r="F5682" s="2" t="s">
        <v>1145</v>
      </c>
      <c r="G5682" s="14" t="n">
        <v>17.5</v>
      </c>
      <c r="H5682" s="14" t="n">
        <v>14.08</v>
      </c>
      <c r="I5682" s="14" t="n">
        <v>17.5</v>
      </c>
      <c r="J5682" s="22" t="n">
        <f aca="false">IF(E5682="Priority",'Cost model'!N508,'Cost model'!M508)</f>
        <v>17.5</v>
      </c>
      <c r="K5682" s="14" t="n">
        <f aca="false">J5682-H5682</f>
        <v>3.42</v>
      </c>
      <c r="L5682" s="14" t="n">
        <f aca="false">G5682-H5682</f>
        <v>3.42</v>
      </c>
    </row>
    <row r="5683" customFormat="false" ht="15" hidden="false" customHeight="false" outlineLevel="0" collapsed="false">
      <c r="A5683" s="2" t="s">
        <v>240</v>
      </c>
      <c r="B5683" s="2" t="s">
        <v>126</v>
      </c>
      <c r="C5683" s="2" t="s">
        <v>48</v>
      </c>
      <c r="D5683" s="2" t="s">
        <v>12</v>
      </c>
      <c r="E5683" s="2" t="s">
        <v>76</v>
      </c>
      <c r="F5683" s="2" t="s">
        <v>1146</v>
      </c>
      <c r="G5683" s="14" t="n">
        <v>19.5</v>
      </c>
      <c r="H5683" s="14" t="n">
        <v>27.09</v>
      </c>
      <c r="I5683" s="14" t="n">
        <v>24.5</v>
      </c>
      <c r="J5683" s="22" t="n">
        <f aca="false">IF(E5683="Priority",'Cost model'!N959,'Cost model'!M959)</f>
        <v>55</v>
      </c>
      <c r="K5683" s="14" t="n">
        <f aca="false">J5683-H5683</f>
        <v>27.91</v>
      </c>
      <c r="L5683" s="14" t="n">
        <f aca="false">G5683-H5683</f>
        <v>-7.59</v>
      </c>
    </row>
    <row r="5684" customFormat="false" ht="15" hidden="false" customHeight="false" outlineLevel="0" collapsed="false">
      <c r="A5684" s="2" t="s">
        <v>184</v>
      </c>
      <c r="B5684" s="2" t="s">
        <v>126</v>
      </c>
      <c r="C5684" s="2" t="s">
        <v>49</v>
      </c>
      <c r="D5684" s="2" t="s">
        <v>10</v>
      </c>
      <c r="E5684" s="2" t="s">
        <v>76</v>
      </c>
      <c r="F5684" s="2" t="s">
        <v>1146</v>
      </c>
      <c r="G5684" s="14" t="n">
        <v>12.5</v>
      </c>
      <c r="H5684" s="14" t="n">
        <v>8.92</v>
      </c>
      <c r="I5684" s="14"/>
      <c r="J5684" s="22" t="n">
        <f aca="false">IF(E5684="Priority",'Cost model'!N129,'Cost model'!M129)</f>
        <v>13.5</v>
      </c>
      <c r="K5684" s="14" t="n">
        <f aca="false">J5684-H5684</f>
        <v>4.58</v>
      </c>
      <c r="L5684" s="14" t="n">
        <f aca="false">G5684-H5684</f>
        <v>3.58</v>
      </c>
    </row>
    <row r="5685" customFormat="false" ht="15" hidden="false" customHeight="false" outlineLevel="0" collapsed="false">
      <c r="A5685" s="2" t="s">
        <v>126</v>
      </c>
      <c r="B5685" s="2" t="s">
        <v>165</v>
      </c>
      <c r="C5685" s="2" t="s">
        <v>49</v>
      </c>
      <c r="D5685" s="2" t="s">
        <v>14</v>
      </c>
      <c r="E5685" s="2" t="s">
        <v>76</v>
      </c>
      <c r="F5685" s="2" t="s">
        <v>1146</v>
      </c>
      <c r="G5685" s="14" t="n">
        <v>45</v>
      </c>
      <c r="H5685" s="14" t="n">
        <v>312.53</v>
      </c>
      <c r="I5685" s="14" t="n">
        <v>125</v>
      </c>
      <c r="J5685" s="22" t="n">
        <f aca="false">IF(E5685="Priority",'Cost model'!N426,'Cost model'!M426)</f>
        <v>220</v>
      </c>
      <c r="K5685" s="14" t="n">
        <f aca="false">J5685-H5685</f>
        <v>-92.53</v>
      </c>
      <c r="L5685" s="14" t="n">
        <f aca="false">G5685-H5685</f>
        <v>-267.53</v>
      </c>
    </row>
    <row r="5686" customFormat="false" ht="15" hidden="false" customHeight="false" outlineLevel="0" collapsed="false">
      <c r="A5686" s="2" t="s">
        <v>126</v>
      </c>
      <c r="B5686" s="2" t="s">
        <v>126</v>
      </c>
      <c r="C5686" s="2" t="s">
        <v>49</v>
      </c>
      <c r="D5686" s="2" t="s">
        <v>10</v>
      </c>
      <c r="E5686" s="2" t="s">
        <v>85</v>
      </c>
      <c r="F5686" s="2" t="s">
        <v>1145</v>
      </c>
      <c r="G5686" s="14" t="n">
        <v>17.5</v>
      </c>
      <c r="H5686" s="14" t="n">
        <v>17.14</v>
      </c>
      <c r="I5686" s="14" t="n">
        <v>17.5</v>
      </c>
      <c r="J5686" s="22" t="n">
        <f aca="false">IF(E5686="Priority",'Cost model'!N381,'Cost model'!M381)</f>
        <v>19.5</v>
      </c>
      <c r="K5686" s="14" t="n">
        <f aca="false">J5686-H5686</f>
        <v>2.36</v>
      </c>
      <c r="L5686" s="14" t="n">
        <f aca="false">G5686-H5686</f>
        <v>0.359999999999999</v>
      </c>
    </row>
    <row r="5687" customFormat="false" ht="15" hidden="false" customHeight="false" outlineLevel="0" collapsed="false">
      <c r="A5687" s="2" t="s">
        <v>126</v>
      </c>
      <c r="B5687" s="2" t="s">
        <v>126</v>
      </c>
      <c r="C5687" s="2" t="s">
        <v>49</v>
      </c>
      <c r="D5687" s="2" t="s">
        <v>13</v>
      </c>
      <c r="E5687" s="2" t="s">
        <v>76</v>
      </c>
      <c r="F5687" s="2" t="s">
        <v>1145</v>
      </c>
      <c r="G5687" s="14" t="n">
        <v>24.5</v>
      </c>
      <c r="H5687" s="14" t="n">
        <v>59.17</v>
      </c>
      <c r="I5687" s="14" t="n">
        <v>24.5</v>
      </c>
      <c r="J5687" s="22" t="n">
        <f aca="false">IF(E5687="Priority",'Cost model'!N387,'Cost model'!M387)</f>
        <v>95</v>
      </c>
      <c r="K5687" s="14" t="n">
        <f aca="false">J5687-H5687</f>
        <v>35.83</v>
      </c>
      <c r="L5687" s="14" t="n">
        <f aca="false">G5687-H5687</f>
        <v>-34.67</v>
      </c>
    </row>
    <row r="5688" customFormat="false" ht="15" hidden="false" customHeight="false" outlineLevel="0" collapsed="false">
      <c r="A5688" s="2" t="s">
        <v>184</v>
      </c>
      <c r="B5688" s="2" t="s">
        <v>184</v>
      </c>
      <c r="C5688" s="2" t="s">
        <v>48</v>
      </c>
      <c r="D5688" s="2" t="s">
        <v>10</v>
      </c>
      <c r="E5688" s="2" t="s">
        <v>76</v>
      </c>
      <c r="F5688" s="2" t="s">
        <v>1145</v>
      </c>
      <c r="G5688" s="14" t="n">
        <v>9.5</v>
      </c>
      <c r="H5688" s="14" t="n">
        <v>7.74</v>
      </c>
      <c r="I5688" s="14" t="n">
        <v>9.5</v>
      </c>
      <c r="J5688" s="22" t="n">
        <f aca="false">IF(E5688="Priority",'Cost model'!N200,'Cost model'!M200)</f>
        <v>7.5</v>
      </c>
      <c r="K5688" s="14" t="n">
        <f aca="false">J5688-H5688</f>
        <v>-0.24</v>
      </c>
      <c r="L5688" s="14" t="n">
        <f aca="false">G5688-H5688</f>
        <v>1.76</v>
      </c>
    </row>
    <row r="5689" customFormat="false" ht="15" hidden="false" customHeight="false" outlineLevel="0" collapsed="false">
      <c r="A5689" s="2" t="s">
        <v>184</v>
      </c>
      <c r="B5689" s="2" t="s">
        <v>184</v>
      </c>
      <c r="C5689" s="2" t="s">
        <v>50</v>
      </c>
      <c r="D5689" s="2" t="s">
        <v>12</v>
      </c>
      <c r="E5689" s="2" t="s">
        <v>76</v>
      </c>
      <c r="F5689" s="2" t="s">
        <v>1145</v>
      </c>
      <c r="G5689" s="14" t="n">
        <v>19.5</v>
      </c>
      <c r="H5689" s="14" t="n">
        <v>52.36</v>
      </c>
      <c r="I5689" s="14" t="n">
        <v>19.5</v>
      </c>
      <c r="J5689" s="22" t="n">
        <f aca="false">IF(E5689="Priority",'Cost model'!N205,'Cost model'!M205)</f>
        <v>50</v>
      </c>
      <c r="K5689" s="14" t="n">
        <f aca="false">J5689-H5689</f>
        <v>-2.36</v>
      </c>
      <c r="L5689" s="14" t="n">
        <f aca="false">G5689-H5689</f>
        <v>-32.86</v>
      </c>
    </row>
    <row r="5690" customFormat="false" ht="15" hidden="false" customHeight="false" outlineLevel="0" collapsed="false">
      <c r="A5690" s="2" t="s">
        <v>240</v>
      </c>
      <c r="B5690" s="2" t="s">
        <v>184</v>
      </c>
      <c r="C5690" s="2" t="s">
        <v>48</v>
      </c>
      <c r="D5690" s="2" t="s">
        <v>10</v>
      </c>
      <c r="E5690" s="2" t="s">
        <v>76</v>
      </c>
      <c r="F5690" s="2" t="s">
        <v>1146</v>
      </c>
      <c r="G5690" s="14" t="n">
        <v>9.5</v>
      </c>
      <c r="H5690" s="14" t="n">
        <v>5.16</v>
      </c>
      <c r="I5690" s="14" t="n">
        <v>19.5</v>
      </c>
      <c r="J5690" s="22" t="n">
        <f aca="false">IF(E5690="Priority",'Cost model'!N938,'Cost model'!M938)</f>
        <v>16.5</v>
      </c>
      <c r="K5690" s="14" t="n">
        <f aca="false">J5690-H5690</f>
        <v>11.34</v>
      </c>
      <c r="L5690" s="14" t="n">
        <f aca="false">G5690-H5690</f>
        <v>4.34</v>
      </c>
    </row>
    <row r="5691" customFormat="false" ht="15" hidden="false" customHeight="false" outlineLevel="0" collapsed="false">
      <c r="A5691" s="2" t="s">
        <v>184</v>
      </c>
      <c r="B5691" s="2" t="s">
        <v>184</v>
      </c>
      <c r="C5691" s="2" t="s">
        <v>50</v>
      </c>
      <c r="D5691" s="2" t="s">
        <v>12</v>
      </c>
      <c r="E5691" s="2" t="s">
        <v>76</v>
      </c>
      <c r="F5691" s="2" t="s">
        <v>1145</v>
      </c>
      <c r="G5691" s="14" t="n">
        <v>19.5</v>
      </c>
      <c r="H5691" s="14" t="n">
        <v>45.73</v>
      </c>
      <c r="I5691" s="14" t="n">
        <v>19.5</v>
      </c>
      <c r="J5691" s="22" t="n">
        <f aca="false">IF(E5691="Priority",'Cost model'!N205,'Cost model'!M205)</f>
        <v>50</v>
      </c>
      <c r="K5691" s="14" t="n">
        <f aca="false">J5691-H5691</f>
        <v>4.27</v>
      </c>
      <c r="L5691" s="14" t="n">
        <f aca="false">G5691-H5691</f>
        <v>-26.23</v>
      </c>
    </row>
    <row r="5692" customFormat="false" ht="15" hidden="false" customHeight="false" outlineLevel="0" collapsed="false">
      <c r="A5692" s="2" t="s">
        <v>146</v>
      </c>
      <c r="B5692" s="2" t="s">
        <v>184</v>
      </c>
      <c r="C5692" s="2" t="s">
        <v>49</v>
      </c>
      <c r="D5692" s="2" t="s">
        <v>13</v>
      </c>
      <c r="E5692" s="2" t="s">
        <v>76</v>
      </c>
      <c r="F5692" s="2" t="s">
        <v>1146</v>
      </c>
      <c r="G5692" s="14" t="n">
        <v>24.5</v>
      </c>
      <c r="H5692" s="14" t="n">
        <v>20.04</v>
      </c>
      <c r="I5692" s="14" t="n">
        <v>24.5</v>
      </c>
      <c r="J5692" s="22" t="n">
        <f aca="false">IF(E5692="Priority",'Cost model'!N837,'Cost model'!M837)</f>
        <v>75</v>
      </c>
      <c r="K5692" s="14" t="n">
        <f aca="false">J5692-H5692</f>
        <v>54.96</v>
      </c>
      <c r="L5692" s="14" t="n">
        <f aca="false">G5692-H5692</f>
        <v>4.46</v>
      </c>
    </row>
    <row r="5693" customFormat="false" ht="15" hidden="false" customHeight="false" outlineLevel="0" collapsed="false">
      <c r="A5693" s="2" t="s">
        <v>165</v>
      </c>
      <c r="B5693" s="2" t="s">
        <v>165</v>
      </c>
      <c r="C5693" s="2" t="s">
        <v>50</v>
      </c>
      <c r="D5693" s="2" t="s">
        <v>12</v>
      </c>
      <c r="E5693" s="2" t="s">
        <v>85</v>
      </c>
      <c r="F5693" s="2" t="s">
        <v>1145</v>
      </c>
      <c r="G5693" s="14" t="n">
        <v>29.5</v>
      </c>
      <c r="H5693" s="14" t="n">
        <v>42</v>
      </c>
      <c r="I5693" s="14" t="n">
        <v>29.5</v>
      </c>
      <c r="J5693" s="22" t="n">
        <f aca="false">IF(E5693="Priority",'Cost model'!N511,'Cost model'!M511)</f>
        <v>45</v>
      </c>
      <c r="K5693" s="14" t="n">
        <f aca="false">J5693-H5693</f>
        <v>3</v>
      </c>
      <c r="L5693" s="14" t="n">
        <f aca="false">G5693-H5693</f>
        <v>-12.5</v>
      </c>
    </row>
    <row r="5694" customFormat="false" ht="15" hidden="false" customHeight="false" outlineLevel="0" collapsed="false">
      <c r="A5694" s="2" t="s">
        <v>240</v>
      </c>
      <c r="B5694" s="2" t="s">
        <v>240</v>
      </c>
      <c r="C5694" s="2" t="s">
        <v>50</v>
      </c>
      <c r="D5694" s="2" t="s">
        <v>10</v>
      </c>
      <c r="E5694" s="2" t="s">
        <v>85</v>
      </c>
      <c r="F5694" s="2" t="s">
        <v>1145</v>
      </c>
      <c r="G5694" s="14" t="n">
        <v>24.5</v>
      </c>
      <c r="H5694" s="14" t="n">
        <v>38.93</v>
      </c>
      <c r="I5694" s="14" t="n">
        <v>24.5</v>
      </c>
      <c r="J5694" s="22" t="n">
        <f aca="false">IF(E5694="Priority",'Cost model'!N886,'Cost model'!M886)</f>
        <v>23.5</v>
      </c>
      <c r="K5694" s="14" t="n">
        <f aca="false">J5694-H5694</f>
        <v>-15.43</v>
      </c>
      <c r="L5694" s="14" t="n">
        <f aca="false">G5694-H5694</f>
        <v>-14.43</v>
      </c>
    </row>
    <row r="5695" customFormat="false" ht="15" hidden="false" customHeight="false" outlineLevel="0" collapsed="false">
      <c r="A5695" s="2" t="s">
        <v>184</v>
      </c>
      <c r="B5695" s="2" t="s">
        <v>184</v>
      </c>
      <c r="C5695" s="2" t="s">
        <v>49</v>
      </c>
      <c r="D5695" s="2" t="s">
        <v>14</v>
      </c>
      <c r="E5695" s="2" t="s">
        <v>76</v>
      </c>
      <c r="F5695" s="2" t="s">
        <v>1145</v>
      </c>
      <c r="G5695" s="14" t="n">
        <v>45</v>
      </c>
      <c r="H5695" s="14" t="n">
        <v>225.16</v>
      </c>
      <c r="I5695" s="14"/>
      <c r="J5695" s="22" t="n">
        <f aca="false">IF(E5695="Priority",'Cost model'!N210,'Cost model'!M210)</f>
        <v>135</v>
      </c>
      <c r="K5695" s="14" t="n">
        <f aca="false">J5695-H5695</f>
        <v>-90.16</v>
      </c>
      <c r="L5695" s="14" t="n">
        <f aca="false">G5695-H5695</f>
        <v>-180.16</v>
      </c>
    </row>
    <row r="5696" customFormat="false" ht="15" hidden="false" customHeight="false" outlineLevel="0" collapsed="false">
      <c r="A5696" s="2" t="s">
        <v>240</v>
      </c>
      <c r="B5696" s="2" t="s">
        <v>146</v>
      </c>
      <c r="C5696" s="2" t="s">
        <v>50</v>
      </c>
      <c r="D5696" s="2" t="s">
        <v>12</v>
      </c>
      <c r="E5696" s="2" t="s">
        <v>76</v>
      </c>
      <c r="F5696" s="2" t="s">
        <v>1146</v>
      </c>
      <c r="G5696" s="14" t="n">
        <v>29.5</v>
      </c>
      <c r="H5696" s="14" t="n">
        <v>41.18</v>
      </c>
      <c r="I5696" s="14" t="n">
        <v>29.5</v>
      </c>
      <c r="J5696" s="22" t="n">
        <f aca="false">IF(E5696="Priority",'Cost model'!N925,'Cost model'!M925)</f>
        <v>80</v>
      </c>
      <c r="K5696" s="14" t="n">
        <f aca="false">J5696-H5696</f>
        <v>38.82</v>
      </c>
      <c r="L5696" s="14" t="n">
        <f aca="false">G5696-H5696</f>
        <v>-11.68</v>
      </c>
    </row>
    <row r="5697" customFormat="false" ht="15" hidden="false" customHeight="false" outlineLevel="0" collapsed="false">
      <c r="A5697" s="2" t="s">
        <v>126</v>
      </c>
      <c r="B5697" s="2" t="s">
        <v>126</v>
      </c>
      <c r="C5697" s="2" t="s">
        <v>50</v>
      </c>
      <c r="D5697" s="2" t="s">
        <v>10</v>
      </c>
      <c r="E5697" s="2" t="s">
        <v>76</v>
      </c>
      <c r="F5697" s="2" t="s">
        <v>1145</v>
      </c>
      <c r="G5697" s="14" t="n">
        <v>17.5</v>
      </c>
      <c r="H5697" s="14" t="n">
        <v>21.45</v>
      </c>
      <c r="I5697" s="14" t="n">
        <v>17.5</v>
      </c>
      <c r="J5697" s="22" t="n">
        <f aca="false">IF(E5697="Priority",'Cost model'!N382,'Cost model'!M382)</f>
        <v>18.5</v>
      </c>
      <c r="K5697" s="14" t="n">
        <f aca="false">J5697-H5697</f>
        <v>-2.95</v>
      </c>
      <c r="L5697" s="14" t="n">
        <f aca="false">G5697-H5697</f>
        <v>-3.95</v>
      </c>
    </row>
    <row r="5698" customFormat="false" ht="15" hidden="false" customHeight="false" outlineLevel="0" collapsed="false">
      <c r="A5698" s="2" t="s">
        <v>385</v>
      </c>
      <c r="B5698" s="2" t="s">
        <v>165</v>
      </c>
      <c r="C5698" s="2" t="s">
        <v>48</v>
      </c>
      <c r="D5698" s="2" t="s">
        <v>13</v>
      </c>
      <c r="E5698" s="2" t="s">
        <v>76</v>
      </c>
      <c r="F5698" s="2" t="s">
        <v>1146</v>
      </c>
      <c r="G5698" s="14" t="n">
        <v>45</v>
      </c>
      <c r="H5698" s="14" t="n">
        <v>174.59</v>
      </c>
      <c r="I5698" s="14" t="n">
        <v>45</v>
      </c>
      <c r="J5698" s="22" t="n">
        <f aca="false">IF(E5698="Priority",'Cost model'!N260,'Cost model'!M260)</f>
        <v>115</v>
      </c>
      <c r="K5698" s="14" t="n">
        <f aca="false">J5698-H5698</f>
        <v>-59.59</v>
      </c>
      <c r="L5698" s="14" t="n">
        <f aca="false">G5698-H5698</f>
        <v>-129.59</v>
      </c>
    </row>
    <row r="5699" customFormat="false" ht="15" hidden="false" customHeight="false" outlineLevel="0" collapsed="false">
      <c r="A5699" s="2" t="s">
        <v>126</v>
      </c>
      <c r="B5699" s="2" t="s">
        <v>146</v>
      </c>
      <c r="C5699" s="2" t="s">
        <v>49</v>
      </c>
      <c r="D5699" s="2" t="s">
        <v>10</v>
      </c>
      <c r="E5699" s="2" t="s">
        <v>76</v>
      </c>
      <c r="F5699" s="2" t="s">
        <v>1146</v>
      </c>
      <c r="G5699" s="14" t="n">
        <v>12.5</v>
      </c>
      <c r="H5699" s="14" t="n">
        <v>9.52</v>
      </c>
      <c r="I5699" s="14" t="n">
        <v>14.5</v>
      </c>
      <c r="J5699" s="22" t="n">
        <f aca="false">IF(E5699="Priority",'Cost model'!N399,'Cost model'!M399)</f>
        <v>17.5</v>
      </c>
      <c r="K5699" s="14" t="n">
        <f aca="false">J5699-H5699</f>
        <v>7.98</v>
      </c>
      <c r="L5699" s="14" t="n">
        <f aca="false">G5699-H5699</f>
        <v>2.98</v>
      </c>
    </row>
    <row r="5700" customFormat="false" ht="15" hidden="false" customHeight="false" outlineLevel="0" collapsed="false">
      <c r="A5700" s="2" t="s">
        <v>184</v>
      </c>
      <c r="B5700" s="2" t="s">
        <v>184</v>
      </c>
      <c r="C5700" s="2" t="s">
        <v>50</v>
      </c>
      <c r="D5700" s="2" t="s">
        <v>12</v>
      </c>
      <c r="E5700" s="2" t="s">
        <v>85</v>
      </c>
      <c r="F5700" s="2" t="s">
        <v>1145</v>
      </c>
      <c r="G5700" s="14" t="n">
        <v>29.5</v>
      </c>
      <c r="H5700" s="14" t="n">
        <v>44.56</v>
      </c>
      <c r="I5700" s="14" t="n">
        <v>29.5</v>
      </c>
      <c r="J5700" s="22" t="n">
        <f aca="false">IF(E5700="Priority",'Cost model'!N205,'Cost model'!M205)</f>
        <v>65</v>
      </c>
      <c r="K5700" s="14" t="n">
        <f aca="false">J5700-H5700</f>
        <v>20.44</v>
      </c>
      <c r="L5700" s="14" t="n">
        <f aca="false">G5700-H5700</f>
        <v>-15.06</v>
      </c>
    </row>
    <row r="5701" customFormat="false" ht="15" hidden="false" customHeight="false" outlineLevel="0" collapsed="false">
      <c r="A5701" s="2" t="s">
        <v>126</v>
      </c>
      <c r="B5701" s="2" t="s">
        <v>126</v>
      </c>
      <c r="C5701" s="2" t="s">
        <v>50</v>
      </c>
      <c r="D5701" s="2" t="s">
        <v>10</v>
      </c>
      <c r="E5701" s="2" t="s">
        <v>76</v>
      </c>
      <c r="F5701" s="2" t="s">
        <v>1145</v>
      </c>
      <c r="G5701" s="14" t="n">
        <v>14.5</v>
      </c>
      <c r="H5701" s="14" t="n">
        <v>17.31</v>
      </c>
      <c r="I5701" s="14" t="n">
        <v>17.5</v>
      </c>
      <c r="J5701" s="22" t="n">
        <f aca="false">IF(E5701="Priority",'Cost model'!N382,'Cost model'!M382)</f>
        <v>18.5</v>
      </c>
      <c r="K5701" s="14" t="n">
        <f aca="false">J5701-H5701</f>
        <v>1.19</v>
      </c>
      <c r="L5701" s="14" t="n">
        <f aca="false">G5701-H5701</f>
        <v>-2.81</v>
      </c>
    </row>
    <row r="5702" customFormat="false" ht="15" hidden="false" customHeight="false" outlineLevel="0" collapsed="false">
      <c r="A5702" s="2" t="s">
        <v>240</v>
      </c>
      <c r="B5702" s="2" t="s">
        <v>240</v>
      </c>
      <c r="C5702" s="2" t="s">
        <v>48</v>
      </c>
      <c r="D5702" s="2" t="s">
        <v>10</v>
      </c>
      <c r="E5702" s="2" t="s">
        <v>85</v>
      </c>
      <c r="F5702" s="2" t="s">
        <v>1145</v>
      </c>
      <c r="G5702" s="14" t="n">
        <v>14.5</v>
      </c>
      <c r="H5702" s="14" t="n">
        <v>7.15</v>
      </c>
      <c r="I5702" s="14" t="n">
        <v>14.5</v>
      </c>
      <c r="J5702" s="22" t="n">
        <f aca="false">IF(E5702="Priority",'Cost model'!N884,'Cost model'!M884)</f>
        <v>12.5</v>
      </c>
      <c r="K5702" s="14" t="n">
        <f aca="false">J5702-H5702</f>
        <v>5.35</v>
      </c>
      <c r="L5702" s="14" t="n">
        <f aca="false">G5702-H5702</f>
        <v>7.35</v>
      </c>
    </row>
    <row r="5703" customFormat="false" ht="15" hidden="false" customHeight="false" outlineLevel="0" collapsed="false">
      <c r="A5703" s="2" t="s">
        <v>165</v>
      </c>
      <c r="B5703" s="2" t="s">
        <v>165</v>
      </c>
      <c r="C5703" s="2" t="s">
        <v>50</v>
      </c>
      <c r="D5703" s="2" t="s">
        <v>12</v>
      </c>
      <c r="E5703" s="2" t="s">
        <v>76</v>
      </c>
      <c r="F5703" s="2" t="s">
        <v>1145</v>
      </c>
      <c r="G5703" s="14" t="n">
        <v>19.5</v>
      </c>
      <c r="H5703" s="14" t="n">
        <v>23.78</v>
      </c>
      <c r="I5703" s="14" t="n">
        <v>19.5</v>
      </c>
      <c r="J5703" s="22" t="n">
        <f aca="false">IF(E5703="Priority",'Cost model'!N511,'Cost model'!M511)</f>
        <v>35</v>
      </c>
      <c r="K5703" s="14" t="n">
        <f aca="false">J5703-H5703</f>
        <v>11.22</v>
      </c>
      <c r="L5703" s="14" t="n">
        <f aca="false">G5703-H5703</f>
        <v>-4.28</v>
      </c>
    </row>
    <row r="5704" customFormat="false" ht="15" hidden="false" customHeight="false" outlineLevel="0" collapsed="false">
      <c r="A5704" s="2" t="s">
        <v>126</v>
      </c>
      <c r="B5704" s="2" t="s">
        <v>126</v>
      </c>
      <c r="C5704" s="2" t="s">
        <v>49</v>
      </c>
      <c r="D5704" s="2" t="s">
        <v>12</v>
      </c>
      <c r="E5704" s="2" t="s">
        <v>76</v>
      </c>
      <c r="F5704" s="2" t="s">
        <v>1145</v>
      </c>
      <c r="G5704" s="14" t="n">
        <v>24.5</v>
      </c>
      <c r="H5704" s="14" t="n">
        <v>44.84</v>
      </c>
      <c r="I5704" s="14" t="n">
        <v>12.5</v>
      </c>
      <c r="J5704" s="22" t="n">
        <f aca="false">IF(E5704="Priority",'Cost model'!N384,'Cost model'!M384)</f>
        <v>45</v>
      </c>
      <c r="K5704" s="14" t="n">
        <f aca="false">J5704-H5704</f>
        <v>0.159999999999997</v>
      </c>
      <c r="L5704" s="14" t="n">
        <f aca="false">G5704-H5704</f>
        <v>-20.34</v>
      </c>
    </row>
    <row r="5705" customFormat="false" ht="15" hidden="false" customHeight="false" outlineLevel="0" collapsed="false">
      <c r="A5705" s="2" t="s">
        <v>146</v>
      </c>
      <c r="B5705" s="2" t="s">
        <v>146</v>
      </c>
      <c r="C5705" s="2" t="s">
        <v>48</v>
      </c>
      <c r="D5705" s="2" t="s">
        <v>10</v>
      </c>
      <c r="E5705" s="2" t="s">
        <v>85</v>
      </c>
      <c r="F5705" s="2" t="s">
        <v>1145</v>
      </c>
      <c r="G5705" s="14" t="n">
        <v>14.5</v>
      </c>
      <c r="H5705" s="14" t="n">
        <v>38.94</v>
      </c>
      <c r="I5705" s="14" t="n">
        <v>14.5</v>
      </c>
      <c r="J5705" s="22" t="n">
        <f aca="false">IF(E5705="Priority",'Cost model'!N758,'Cost model'!M758)</f>
        <v>14.5</v>
      </c>
      <c r="K5705" s="14" t="n">
        <f aca="false">J5705-H5705</f>
        <v>-24.44</v>
      </c>
      <c r="L5705" s="14" t="n">
        <f aca="false">G5705-H5705</f>
        <v>-24.44</v>
      </c>
    </row>
    <row r="5706" customFormat="false" ht="15" hidden="false" customHeight="false" outlineLevel="0" collapsed="false">
      <c r="A5706" s="2" t="s">
        <v>126</v>
      </c>
      <c r="B5706" s="2" t="s">
        <v>165</v>
      </c>
      <c r="C5706" s="2" t="s">
        <v>50</v>
      </c>
      <c r="D5706" s="2" t="s">
        <v>12</v>
      </c>
      <c r="E5706" s="2" t="s">
        <v>76</v>
      </c>
      <c r="F5706" s="2" t="s">
        <v>1146</v>
      </c>
      <c r="G5706" s="14" t="n">
        <v>19.5</v>
      </c>
      <c r="H5706" s="14" t="n">
        <v>62.46</v>
      </c>
      <c r="I5706" s="14" t="n">
        <v>19.5</v>
      </c>
      <c r="J5706" s="22" t="n">
        <f aca="false">IF(E5706="Priority",'Cost model'!N421,'Cost model'!M421)</f>
        <v>70</v>
      </c>
      <c r="K5706" s="14" t="n">
        <f aca="false">J5706-H5706</f>
        <v>7.54</v>
      </c>
      <c r="L5706" s="14" t="n">
        <f aca="false">G5706-H5706</f>
        <v>-42.96</v>
      </c>
    </row>
    <row r="5707" customFormat="false" ht="15" hidden="false" customHeight="false" outlineLevel="0" collapsed="false">
      <c r="A5707" s="2" t="s">
        <v>126</v>
      </c>
      <c r="B5707" s="2" t="s">
        <v>165</v>
      </c>
      <c r="C5707" s="2" t="s">
        <v>50</v>
      </c>
      <c r="D5707" s="2" t="s">
        <v>12</v>
      </c>
      <c r="E5707" s="2" t="s">
        <v>76</v>
      </c>
      <c r="F5707" s="2" t="s">
        <v>1146</v>
      </c>
      <c r="G5707" s="14" t="n">
        <v>19.5</v>
      </c>
      <c r="H5707" s="14" t="n">
        <v>80.26</v>
      </c>
      <c r="I5707" s="14" t="n">
        <v>19.5</v>
      </c>
      <c r="J5707" s="22" t="n">
        <f aca="false">IF(E5707="Priority",'Cost model'!N421,'Cost model'!M421)</f>
        <v>70</v>
      </c>
      <c r="K5707" s="14" t="n">
        <f aca="false">J5707-H5707</f>
        <v>-10.26</v>
      </c>
      <c r="L5707" s="14" t="n">
        <f aca="false">G5707-H5707</f>
        <v>-60.76</v>
      </c>
    </row>
    <row r="5708" customFormat="false" ht="15" hidden="false" customHeight="false" outlineLevel="0" collapsed="false">
      <c r="A5708" s="2" t="s">
        <v>184</v>
      </c>
      <c r="B5708" s="2" t="s">
        <v>146</v>
      </c>
      <c r="C5708" s="2" t="s">
        <v>48</v>
      </c>
      <c r="D5708" s="2" t="s">
        <v>10</v>
      </c>
      <c r="E5708" s="2" t="s">
        <v>76</v>
      </c>
      <c r="F5708" s="2" t="s">
        <v>1146</v>
      </c>
      <c r="G5708" s="14" t="n">
        <v>9.5</v>
      </c>
      <c r="H5708" s="14" t="n">
        <v>8.38</v>
      </c>
      <c r="I5708" s="14" t="n">
        <v>9.5</v>
      </c>
      <c r="J5708" s="22" t="n">
        <f aca="false">IF(E5708="Priority",'Cost model'!N146,'Cost model'!M146)</f>
        <v>12.5</v>
      </c>
      <c r="K5708" s="14" t="n">
        <f aca="false">J5708-H5708</f>
        <v>4.12</v>
      </c>
      <c r="L5708" s="14" t="n">
        <f aca="false">G5708-H5708</f>
        <v>1.12</v>
      </c>
    </row>
    <row r="5709" customFormat="false" ht="15" hidden="false" customHeight="false" outlineLevel="0" collapsed="false">
      <c r="A5709" s="2" t="s">
        <v>184</v>
      </c>
      <c r="B5709" s="2" t="s">
        <v>184</v>
      </c>
      <c r="C5709" s="2" t="s">
        <v>48</v>
      </c>
      <c r="D5709" s="2" t="s">
        <v>10</v>
      </c>
      <c r="E5709" s="2" t="s">
        <v>76</v>
      </c>
      <c r="F5709" s="2" t="s">
        <v>1145</v>
      </c>
      <c r="G5709" s="14" t="n">
        <v>9.5</v>
      </c>
      <c r="H5709" s="14" t="n">
        <v>6.19</v>
      </c>
      <c r="I5709" s="14" t="n">
        <v>9.5</v>
      </c>
      <c r="J5709" s="22" t="n">
        <f aca="false">IF(E5709="Priority",'Cost model'!N200,'Cost model'!M200)</f>
        <v>7.5</v>
      </c>
      <c r="K5709" s="14" t="n">
        <f aca="false">J5709-H5709</f>
        <v>1.31</v>
      </c>
      <c r="L5709" s="14" t="n">
        <f aca="false">G5709-H5709</f>
        <v>3.31</v>
      </c>
    </row>
    <row r="5710" customFormat="false" ht="15" hidden="false" customHeight="false" outlineLevel="0" collapsed="false">
      <c r="A5710" s="2" t="s">
        <v>146</v>
      </c>
      <c r="B5710" s="2" t="s">
        <v>221</v>
      </c>
      <c r="C5710" s="2" t="s">
        <v>48</v>
      </c>
      <c r="D5710" s="2" t="s">
        <v>10</v>
      </c>
      <c r="E5710" s="2" t="s">
        <v>76</v>
      </c>
      <c r="F5710" s="2" t="s">
        <v>1146</v>
      </c>
      <c r="G5710" s="14" t="n">
        <v>9.5</v>
      </c>
      <c r="H5710" s="14" t="n">
        <v>7.5</v>
      </c>
      <c r="I5710" s="14" t="n">
        <v>19.5</v>
      </c>
      <c r="J5710" s="22" t="n">
        <f aca="false">IF(E5710="Priority",'Cost model'!N848,'Cost model'!M848)</f>
        <v>9.5</v>
      </c>
      <c r="K5710" s="14" t="n">
        <f aca="false">J5710-H5710</f>
        <v>2</v>
      </c>
      <c r="L5710" s="14" t="n">
        <f aca="false">G5710-H5710</f>
        <v>2</v>
      </c>
    </row>
    <row r="5711" customFormat="false" ht="15" hidden="false" customHeight="false" outlineLevel="0" collapsed="false">
      <c r="A5711" s="2" t="s">
        <v>184</v>
      </c>
      <c r="B5711" s="2" t="s">
        <v>184</v>
      </c>
      <c r="C5711" s="2" t="s">
        <v>49</v>
      </c>
      <c r="D5711" s="2" t="s">
        <v>12</v>
      </c>
      <c r="E5711" s="2" t="s">
        <v>76</v>
      </c>
      <c r="F5711" s="2" t="s">
        <v>1145</v>
      </c>
      <c r="G5711" s="14" t="n">
        <v>12.5</v>
      </c>
      <c r="H5711" s="14" t="n">
        <v>42.66</v>
      </c>
      <c r="I5711" s="14"/>
      <c r="J5711" s="22" t="n">
        <f aca="false">IF(E5711="Priority",'Cost model'!N204,'Cost model'!M204)</f>
        <v>45</v>
      </c>
      <c r="K5711" s="14" t="n">
        <f aca="false">J5711-H5711</f>
        <v>2.34</v>
      </c>
      <c r="L5711" s="14" t="n">
        <f aca="false">G5711-H5711</f>
        <v>-30.16</v>
      </c>
    </row>
    <row r="5712" customFormat="false" ht="15" hidden="false" customHeight="false" outlineLevel="0" collapsed="false">
      <c r="A5712" s="2" t="s">
        <v>240</v>
      </c>
      <c r="B5712" s="2" t="s">
        <v>240</v>
      </c>
      <c r="C5712" s="2" t="s">
        <v>50</v>
      </c>
      <c r="D5712" s="2" t="s">
        <v>13</v>
      </c>
      <c r="E5712" s="2" t="s">
        <v>85</v>
      </c>
      <c r="F5712" s="2" t="s">
        <v>1145</v>
      </c>
      <c r="G5712" s="14" t="n">
        <v>95</v>
      </c>
      <c r="H5712" s="14" t="n">
        <v>128.02</v>
      </c>
      <c r="I5712" s="14" t="n">
        <v>95</v>
      </c>
      <c r="J5712" s="22" t="n">
        <f aca="false">IF(E5712="Priority",'Cost model'!N892,'Cost model'!M892)</f>
        <v>180</v>
      </c>
      <c r="K5712" s="14" t="n">
        <f aca="false">J5712-H5712</f>
        <v>51.98</v>
      </c>
      <c r="L5712" s="14" t="n">
        <f aca="false">G5712-H5712</f>
        <v>-33.02</v>
      </c>
    </row>
    <row r="5713" customFormat="false" ht="15" hidden="false" customHeight="false" outlineLevel="0" collapsed="false">
      <c r="A5713" s="2" t="s">
        <v>126</v>
      </c>
      <c r="B5713" s="2" t="s">
        <v>126</v>
      </c>
      <c r="C5713" s="2" t="s">
        <v>48</v>
      </c>
      <c r="D5713" s="2" t="s">
        <v>12</v>
      </c>
      <c r="E5713" s="2" t="s">
        <v>76</v>
      </c>
      <c r="F5713" s="2" t="s">
        <v>1145</v>
      </c>
      <c r="G5713" s="14" t="n">
        <v>9.5</v>
      </c>
      <c r="H5713" s="14" t="n">
        <v>29.05</v>
      </c>
      <c r="I5713" s="14" t="n">
        <v>9.5</v>
      </c>
      <c r="J5713" s="22" t="n">
        <f aca="false">IF(E5713="Priority",'Cost model'!N383,'Cost model'!M383)</f>
        <v>27.5</v>
      </c>
      <c r="K5713" s="14" t="n">
        <f aca="false">J5713-H5713</f>
        <v>-1.55</v>
      </c>
      <c r="L5713" s="14" t="n">
        <f aca="false">G5713-H5713</f>
        <v>-19.55</v>
      </c>
    </row>
    <row r="5714" customFormat="false" ht="15" hidden="false" customHeight="false" outlineLevel="0" collapsed="false">
      <c r="A5714" s="2" t="s">
        <v>146</v>
      </c>
      <c r="B5714" s="2" t="s">
        <v>146</v>
      </c>
      <c r="C5714" s="2" t="s">
        <v>48</v>
      </c>
      <c r="D5714" s="2" t="s">
        <v>10</v>
      </c>
      <c r="E5714" s="2" t="s">
        <v>76</v>
      </c>
      <c r="F5714" s="2" t="s">
        <v>1145</v>
      </c>
      <c r="G5714" s="14" t="n">
        <v>9.5</v>
      </c>
      <c r="H5714" s="14" t="n">
        <v>6.23</v>
      </c>
      <c r="I5714" s="14" t="n">
        <v>9.5</v>
      </c>
      <c r="J5714" s="22" t="n">
        <f aca="false">IF(E5714="Priority",'Cost model'!N758,'Cost model'!M758)</f>
        <v>9.5</v>
      </c>
      <c r="K5714" s="14" t="n">
        <f aca="false">J5714-H5714</f>
        <v>3.27</v>
      </c>
      <c r="L5714" s="14" t="n">
        <f aca="false">G5714-H5714</f>
        <v>3.27</v>
      </c>
    </row>
    <row r="5715" customFormat="false" ht="15" hidden="false" customHeight="false" outlineLevel="0" collapsed="false">
      <c r="A5715" s="2" t="s">
        <v>165</v>
      </c>
      <c r="B5715" s="2" t="s">
        <v>165</v>
      </c>
      <c r="C5715" s="2" t="s">
        <v>48</v>
      </c>
      <c r="D5715" s="2" t="s">
        <v>10</v>
      </c>
      <c r="E5715" s="2" t="s">
        <v>76</v>
      </c>
      <c r="F5715" s="2" t="s">
        <v>1145</v>
      </c>
      <c r="G5715" s="14" t="n">
        <v>9.5</v>
      </c>
      <c r="H5715" s="14" t="n">
        <v>5.16</v>
      </c>
      <c r="I5715" s="14" t="n">
        <v>9.5</v>
      </c>
      <c r="J5715" s="22" t="n">
        <f aca="false">IF(E5715="Priority",'Cost model'!N506,'Cost model'!M506)</f>
        <v>7.5</v>
      </c>
      <c r="K5715" s="14" t="n">
        <f aca="false">J5715-H5715</f>
        <v>2.34</v>
      </c>
      <c r="L5715" s="14" t="n">
        <f aca="false">G5715-H5715</f>
        <v>4.34</v>
      </c>
    </row>
    <row r="5716" customFormat="false" ht="15" hidden="false" customHeight="false" outlineLevel="0" collapsed="false">
      <c r="A5716" s="2" t="s">
        <v>184</v>
      </c>
      <c r="B5716" s="2" t="s">
        <v>184</v>
      </c>
      <c r="C5716" s="2" t="s">
        <v>48</v>
      </c>
      <c r="D5716" s="2" t="s">
        <v>12</v>
      </c>
      <c r="E5716" s="2" t="s">
        <v>76</v>
      </c>
      <c r="F5716" s="2" t="s">
        <v>1145</v>
      </c>
      <c r="G5716" s="14" t="n">
        <v>9.5</v>
      </c>
      <c r="H5716" s="14" t="n">
        <v>9.87</v>
      </c>
      <c r="I5716" s="14" t="n">
        <v>9.5</v>
      </c>
      <c r="J5716" s="22" t="n">
        <f aca="false">IF(E5716="Priority",'Cost model'!N203,'Cost model'!M203)</f>
        <v>26.5</v>
      </c>
      <c r="K5716" s="14" t="n">
        <f aca="false">J5716-H5716</f>
        <v>16.63</v>
      </c>
      <c r="L5716" s="14" t="n">
        <f aca="false">G5716-H5716</f>
        <v>-0.369999999999999</v>
      </c>
    </row>
    <row r="5717" customFormat="false" ht="15" hidden="false" customHeight="false" outlineLevel="0" collapsed="false">
      <c r="A5717" s="2" t="s">
        <v>184</v>
      </c>
      <c r="B5717" s="2" t="s">
        <v>184</v>
      </c>
      <c r="C5717" s="2" t="s">
        <v>50</v>
      </c>
      <c r="D5717" s="2" t="s">
        <v>12</v>
      </c>
      <c r="E5717" s="2" t="s">
        <v>76</v>
      </c>
      <c r="F5717" s="2" t="s">
        <v>1145</v>
      </c>
      <c r="G5717" s="14" t="n">
        <v>19.5</v>
      </c>
      <c r="H5717" s="14" t="n">
        <v>19.56</v>
      </c>
      <c r="I5717" s="14" t="n">
        <v>19.5</v>
      </c>
      <c r="J5717" s="22" t="n">
        <f aca="false">IF(E5717="Priority",'Cost model'!N205,'Cost model'!M205)</f>
        <v>50</v>
      </c>
      <c r="K5717" s="14" t="n">
        <f aca="false">J5717-H5717</f>
        <v>30.44</v>
      </c>
      <c r="L5717" s="14" t="n">
        <f aca="false">G5717-H5717</f>
        <v>-0.0599999999999987</v>
      </c>
    </row>
    <row r="5718" customFormat="false" ht="15" hidden="false" customHeight="false" outlineLevel="0" collapsed="false">
      <c r="A5718" s="2" t="s">
        <v>126</v>
      </c>
      <c r="B5718" s="2" t="s">
        <v>126</v>
      </c>
      <c r="C5718" s="2" t="s">
        <v>49</v>
      </c>
      <c r="D5718" s="2" t="s">
        <v>10</v>
      </c>
      <c r="E5718" s="2" t="s">
        <v>76</v>
      </c>
      <c r="F5718" s="2" t="s">
        <v>1145</v>
      </c>
      <c r="G5718" s="14" t="n">
        <v>12.5</v>
      </c>
      <c r="H5718" s="14" t="n">
        <v>8.35</v>
      </c>
      <c r="I5718" s="14" t="n">
        <v>12.5</v>
      </c>
      <c r="J5718" s="22" t="n">
        <f aca="false">IF(E5718="Priority",'Cost model'!N381,'Cost model'!M381)</f>
        <v>14.5</v>
      </c>
      <c r="K5718" s="14" t="n">
        <f aca="false">J5718-H5718</f>
        <v>6.15</v>
      </c>
      <c r="L5718" s="14" t="n">
        <f aca="false">G5718-H5718</f>
        <v>4.15</v>
      </c>
    </row>
    <row r="5719" customFormat="false" ht="15" hidden="false" customHeight="false" outlineLevel="0" collapsed="false">
      <c r="A5719" s="2" t="s">
        <v>184</v>
      </c>
      <c r="B5719" s="2" t="s">
        <v>184</v>
      </c>
      <c r="C5719" s="2" t="s">
        <v>49</v>
      </c>
      <c r="D5719" s="2" t="s">
        <v>13</v>
      </c>
      <c r="E5719" s="2" t="s">
        <v>76</v>
      </c>
      <c r="F5719" s="2" t="s">
        <v>1145</v>
      </c>
      <c r="G5719" s="14" t="n">
        <v>24.5</v>
      </c>
      <c r="H5719" s="14" t="n">
        <v>45.34</v>
      </c>
      <c r="I5719" s="14"/>
      <c r="J5719" s="22" t="n">
        <f aca="false">IF(E5719="Priority",'Cost model'!N207,'Cost model'!M207)</f>
        <v>75</v>
      </c>
      <c r="K5719" s="14" t="n">
        <f aca="false">J5719-H5719</f>
        <v>29.66</v>
      </c>
      <c r="L5719" s="14" t="n">
        <f aca="false">G5719-H5719</f>
        <v>-20.84</v>
      </c>
    </row>
    <row r="5720" customFormat="false" ht="15" hidden="false" customHeight="false" outlineLevel="0" collapsed="false">
      <c r="A5720" s="2" t="s">
        <v>184</v>
      </c>
      <c r="B5720" s="2" t="s">
        <v>184</v>
      </c>
      <c r="C5720" s="2" t="s">
        <v>48</v>
      </c>
      <c r="D5720" s="2" t="s">
        <v>10</v>
      </c>
      <c r="E5720" s="2" t="s">
        <v>76</v>
      </c>
      <c r="F5720" s="2" t="s">
        <v>1145</v>
      </c>
      <c r="G5720" s="14" t="n">
        <v>19.5</v>
      </c>
      <c r="H5720" s="14" t="n">
        <v>7.45</v>
      </c>
      <c r="I5720" s="14" t="n">
        <v>9.5</v>
      </c>
      <c r="J5720" s="22" t="n">
        <f aca="false">IF(E5720="Priority",'Cost model'!N200,'Cost model'!M200)</f>
        <v>7.5</v>
      </c>
      <c r="K5720" s="14" t="n">
        <f aca="false">J5720-H5720</f>
        <v>0.0499999999999998</v>
      </c>
      <c r="L5720" s="14" t="n">
        <f aca="false">G5720-H5720</f>
        <v>12.05</v>
      </c>
    </row>
    <row r="5721" customFormat="false" ht="15" hidden="false" customHeight="false" outlineLevel="0" collapsed="false">
      <c r="A5721" s="2" t="s">
        <v>240</v>
      </c>
      <c r="B5721" s="2" t="s">
        <v>240</v>
      </c>
      <c r="C5721" s="2" t="s">
        <v>50</v>
      </c>
      <c r="D5721" s="2" t="s">
        <v>10</v>
      </c>
      <c r="E5721" s="2" t="s">
        <v>76</v>
      </c>
      <c r="F5721" s="2" t="s">
        <v>1145</v>
      </c>
      <c r="G5721" s="14" t="n">
        <v>17.5</v>
      </c>
      <c r="H5721" s="14" t="n">
        <v>17.57</v>
      </c>
      <c r="I5721" s="14" t="n">
        <v>17.5</v>
      </c>
      <c r="J5721" s="22" t="n">
        <f aca="false">IF(E5721="Priority",'Cost model'!N886,'Cost model'!M886)</f>
        <v>17.5</v>
      </c>
      <c r="K5721" s="14" t="n">
        <f aca="false">J5721-H5721</f>
        <v>-0.0700000000000003</v>
      </c>
      <c r="L5721" s="14" t="n">
        <f aca="false">G5721-H5721</f>
        <v>-0.0700000000000003</v>
      </c>
    </row>
    <row r="5722" customFormat="false" ht="15" hidden="false" customHeight="false" outlineLevel="0" collapsed="false">
      <c r="A5722" s="2" t="s">
        <v>126</v>
      </c>
      <c r="B5722" s="2" t="s">
        <v>126</v>
      </c>
      <c r="C5722" s="2" t="s">
        <v>50</v>
      </c>
      <c r="D5722" s="2" t="s">
        <v>12</v>
      </c>
      <c r="E5722" s="2" t="s">
        <v>85</v>
      </c>
      <c r="F5722" s="2" t="s">
        <v>1145</v>
      </c>
      <c r="G5722" s="14" t="n">
        <v>29.5</v>
      </c>
      <c r="H5722" s="14" t="n">
        <v>90.54</v>
      </c>
      <c r="I5722" s="14" t="n">
        <v>29.5</v>
      </c>
      <c r="J5722" s="22" t="n">
        <f aca="false">IF(E5722="Priority",'Cost model'!N385,'Cost model'!M385)</f>
        <v>70</v>
      </c>
      <c r="K5722" s="14" t="n">
        <f aca="false">J5722-H5722</f>
        <v>-20.54</v>
      </c>
      <c r="L5722" s="14" t="n">
        <f aca="false">G5722-H5722</f>
        <v>-61.04</v>
      </c>
    </row>
    <row r="5723" customFormat="false" ht="15" hidden="false" customHeight="false" outlineLevel="0" collapsed="false">
      <c r="A5723" s="2" t="s">
        <v>240</v>
      </c>
      <c r="B5723" s="2" t="s">
        <v>240</v>
      </c>
      <c r="C5723" s="2" t="s">
        <v>48</v>
      </c>
      <c r="D5723" s="2" t="s">
        <v>10</v>
      </c>
      <c r="E5723" s="2" t="s">
        <v>85</v>
      </c>
      <c r="F5723" s="2" t="s">
        <v>1145</v>
      </c>
      <c r="G5723" s="14" t="n">
        <v>14.5</v>
      </c>
      <c r="H5723" s="14" t="n">
        <v>37.28</v>
      </c>
      <c r="I5723" s="14" t="n">
        <v>14.5</v>
      </c>
      <c r="J5723" s="22" t="n">
        <f aca="false">IF(E5723="Priority",'Cost model'!N884,'Cost model'!M884)</f>
        <v>12.5</v>
      </c>
      <c r="K5723" s="14" t="n">
        <f aca="false">J5723-H5723</f>
        <v>-24.78</v>
      </c>
      <c r="L5723" s="14" t="n">
        <f aca="false">G5723-H5723</f>
        <v>-22.78</v>
      </c>
    </row>
    <row r="5724" customFormat="false" ht="15" hidden="false" customHeight="false" outlineLevel="0" collapsed="false">
      <c r="A5724" s="2" t="s">
        <v>126</v>
      </c>
      <c r="B5724" s="2" t="s">
        <v>165</v>
      </c>
      <c r="C5724" s="2" t="s">
        <v>49</v>
      </c>
      <c r="D5724" s="2" t="s">
        <v>12</v>
      </c>
      <c r="E5724" s="2" t="s">
        <v>76</v>
      </c>
      <c r="F5724" s="2" t="s">
        <v>1146</v>
      </c>
      <c r="G5724" s="14" t="n">
        <v>19.5</v>
      </c>
      <c r="H5724" s="14" t="n">
        <v>62.67</v>
      </c>
      <c r="I5724" s="14" t="n">
        <v>19.5</v>
      </c>
      <c r="J5724" s="22" t="n">
        <f aca="false">IF(E5724="Priority",'Cost model'!N420,'Cost model'!M420)</f>
        <v>60</v>
      </c>
      <c r="K5724" s="14" t="n">
        <f aca="false">J5724-H5724</f>
        <v>-2.67</v>
      </c>
      <c r="L5724" s="14" t="n">
        <f aca="false">G5724-H5724</f>
        <v>-43.17</v>
      </c>
    </row>
    <row r="5725" customFormat="false" ht="15" hidden="false" customHeight="false" outlineLevel="0" collapsed="false">
      <c r="A5725" s="2" t="s">
        <v>184</v>
      </c>
      <c r="B5725" s="2" t="s">
        <v>146</v>
      </c>
      <c r="C5725" s="2" t="s">
        <v>48</v>
      </c>
      <c r="D5725" s="2" t="s">
        <v>12</v>
      </c>
      <c r="E5725" s="2" t="s">
        <v>76</v>
      </c>
      <c r="F5725" s="2" t="s">
        <v>1146</v>
      </c>
      <c r="G5725" s="14" t="n">
        <v>9.5</v>
      </c>
      <c r="H5725" s="14" t="n">
        <v>10.76</v>
      </c>
      <c r="I5725" s="14" t="n">
        <v>9.5</v>
      </c>
      <c r="J5725" s="22" t="n">
        <f aca="false">IF(E5725="Priority",'Cost model'!N149,'Cost model'!M149)</f>
        <v>45</v>
      </c>
      <c r="K5725" s="14" t="n">
        <f aca="false">J5725-H5725</f>
        <v>34.24</v>
      </c>
      <c r="L5725" s="14" t="n">
        <f aca="false">G5725-H5725</f>
        <v>-1.26</v>
      </c>
    </row>
    <row r="5726" customFormat="false" ht="15" hidden="false" customHeight="false" outlineLevel="0" collapsed="false">
      <c r="A5726" s="2" t="s">
        <v>184</v>
      </c>
      <c r="B5726" s="2" t="s">
        <v>146</v>
      </c>
      <c r="C5726" s="2" t="s">
        <v>50</v>
      </c>
      <c r="D5726" s="2" t="s">
        <v>10</v>
      </c>
      <c r="E5726" s="2" t="s">
        <v>76</v>
      </c>
      <c r="F5726" s="2" t="s">
        <v>1146</v>
      </c>
      <c r="G5726" s="14" t="n">
        <v>17.5</v>
      </c>
      <c r="H5726" s="14" t="n">
        <v>27.93</v>
      </c>
      <c r="I5726" s="14" t="n">
        <v>17.5</v>
      </c>
      <c r="J5726" s="22" t="n">
        <f aca="false">IF(E5726="Priority",'Cost model'!N148,'Cost model'!M148)</f>
        <v>21.5</v>
      </c>
      <c r="K5726" s="14" t="n">
        <f aca="false">J5726-H5726</f>
        <v>-6.43</v>
      </c>
      <c r="L5726" s="14" t="n">
        <f aca="false">G5726-H5726</f>
        <v>-10.43</v>
      </c>
    </row>
    <row r="5727" customFormat="false" ht="15" hidden="false" customHeight="false" outlineLevel="0" collapsed="false">
      <c r="A5727" s="2" t="s">
        <v>184</v>
      </c>
      <c r="B5727" s="2" t="s">
        <v>184</v>
      </c>
      <c r="C5727" s="2" t="s">
        <v>48</v>
      </c>
      <c r="D5727" s="2" t="s">
        <v>10</v>
      </c>
      <c r="E5727" s="2" t="s">
        <v>76</v>
      </c>
      <c r="F5727" s="2" t="s">
        <v>1145</v>
      </c>
      <c r="G5727" s="14" t="n">
        <v>9.5</v>
      </c>
      <c r="H5727" s="14" t="n">
        <v>7.46</v>
      </c>
      <c r="I5727" s="14" t="n">
        <v>9.5</v>
      </c>
      <c r="J5727" s="22" t="n">
        <f aca="false">IF(E5727="Priority",'Cost model'!N200,'Cost model'!M200)</f>
        <v>7.5</v>
      </c>
      <c r="K5727" s="14" t="n">
        <f aca="false">J5727-H5727</f>
        <v>0.04</v>
      </c>
      <c r="L5727" s="14" t="n">
        <f aca="false">G5727-H5727</f>
        <v>2.04</v>
      </c>
    </row>
    <row r="5728" customFormat="false" ht="15" hidden="false" customHeight="false" outlineLevel="0" collapsed="false">
      <c r="A5728" s="2" t="s">
        <v>184</v>
      </c>
      <c r="B5728" s="2" t="s">
        <v>184</v>
      </c>
      <c r="C5728" s="2" t="s">
        <v>48</v>
      </c>
      <c r="D5728" s="2" t="s">
        <v>12</v>
      </c>
      <c r="E5728" s="2" t="s">
        <v>76</v>
      </c>
      <c r="F5728" s="2" t="s">
        <v>1145</v>
      </c>
      <c r="G5728" s="14" t="n">
        <v>9.5</v>
      </c>
      <c r="H5728" s="14" t="n">
        <v>7.72</v>
      </c>
      <c r="I5728" s="14" t="n">
        <v>9.5</v>
      </c>
      <c r="J5728" s="22" t="n">
        <f aca="false">IF(E5728="Priority",'Cost model'!N203,'Cost model'!M203)</f>
        <v>26.5</v>
      </c>
      <c r="K5728" s="14" t="n">
        <f aca="false">J5728-H5728</f>
        <v>18.78</v>
      </c>
      <c r="L5728" s="14" t="n">
        <f aca="false">G5728-H5728</f>
        <v>1.78</v>
      </c>
    </row>
    <row r="5729" customFormat="false" ht="15" hidden="false" customHeight="false" outlineLevel="0" collapsed="false">
      <c r="A5729" s="2" t="s">
        <v>125</v>
      </c>
      <c r="B5729" s="2" t="s">
        <v>184</v>
      </c>
      <c r="C5729" s="2" t="s">
        <v>48</v>
      </c>
      <c r="D5729" s="2" t="s">
        <v>12</v>
      </c>
      <c r="E5729" s="2" t="s">
        <v>85</v>
      </c>
      <c r="F5729" s="2" t="s">
        <v>1146</v>
      </c>
      <c r="G5729" s="14" t="n">
        <v>24.5</v>
      </c>
      <c r="H5729" s="14" t="n">
        <v>20.94</v>
      </c>
      <c r="I5729" s="14" t="n">
        <v>24.5</v>
      </c>
      <c r="J5729" s="22" t="n">
        <f aca="false">IF(E5729="Priority",'Cost model'!N59,'Cost model'!M59)</f>
        <v>60</v>
      </c>
      <c r="K5729" s="14" t="n">
        <f aca="false">J5729-H5729</f>
        <v>39.06</v>
      </c>
      <c r="L5729" s="14" t="n">
        <f aca="false">G5729-H5729</f>
        <v>3.56</v>
      </c>
    </row>
    <row r="5730" customFormat="false" ht="15" hidden="false" customHeight="false" outlineLevel="0" collapsed="false">
      <c r="A5730" s="2" t="s">
        <v>146</v>
      </c>
      <c r="B5730" s="2" t="s">
        <v>146</v>
      </c>
      <c r="C5730" s="2" t="s">
        <v>48</v>
      </c>
      <c r="D5730" s="2" t="s">
        <v>12</v>
      </c>
      <c r="E5730" s="2" t="s">
        <v>76</v>
      </c>
      <c r="F5730" s="2" t="s">
        <v>1145</v>
      </c>
      <c r="G5730" s="14" t="n">
        <v>9.5</v>
      </c>
      <c r="H5730" s="14" t="n">
        <v>30.09</v>
      </c>
      <c r="I5730" s="14" t="n">
        <v>9.5</v>
      </c>
      <c r="J5730" s="22" t="n">
        <f aca="false">IF(E5730="Priority",'Cost model'!N761,'Cost model'!M761)</f>
        <v>35</v>
      </c>
      <c r="K5730" s="14" t="n">
        <f aca="false">J5730-H5730</f>
        <v>4.91</v>
      </c>
      <c r="L5730" s="14" t="n">
        <f aca="false">G5730-H5730</f>
        <v>-20.59</v>
      </c>
    </row>
    <row r="5731" customFormat="false" ht="15" hidden="false" customHeight="false" outlineLevel="0" collapsed="false">
      <c r="A5731" s="2" t="s">
        <v>184</v>
      </c>
      <c r="B5731" s="2" t="s">
        <v>184</v>
      </c>
      <c r="C5731" s="2" t="s">
        <v>50</v>
      </c>
      <c r="D5731" s="2" t="s">
        <v>10</v>
      </c>
      <c r="E5731" s="2" t="s">
        <v>76</v>
      </c>
      <c r="F5731" s="2" t="s">
        <v>1145</v>
      </c>
      <c r="G5731" s="14" t="n">
        <v>17.5</v>
      </c>
      <c r="H5731" s="14" t="n">
        <v>20.11</v>
      </c>
      <c r="I5731" s="14" t="n">
        <v>17.5</v>
      </c>
      <c r="J5731" s="22" t="n">
        <f aca="false">IF(E5731="Priority",'Cost model'!N202,'Cost model'!M202)</f>
        <v>17.5</v>
      </c>
      <c r="K5731" s="14" t="n">
        <f aca="false">J5731-H5731</f>
        <v>-2.61</v>
      </c>
      <c r="L5731" s="14" t="n">
        <f aca="false">G5731-H5731</f>
        <v>-2.61</v>
      </c>
    </row>
    <row r="5732" customFormat="false" ht="15" hidden="false" customHeight="false" outlineLevel="0" collapsed="false">
      <c r="A5732" s="2" t="s">
        <v>184</v>
      </c>
      <c r="B5732" s="2" t="s">
        <v>184</v>
      </c>
      <c r="C5732" s="2" t="s">
        <v>49</v>
      </c>
      <c r="D5732" s="2" t="s">
        <v>12</v>
      </c>
      <c r="E5732" s="2" t="s">
        <v>76</v>
      </c>
      <c r="F5732" s="2" t="s">
        <v>1145</v>
      </c>
      <c r="G5732" s="14" t="n">
        <v>12.5</v>
      </c>
      <c r="H5732" s="14" t="n">
        <v>12.54</v>
      </c>
      <c r="I5732" s="14"/>
      <c r="J5732" s="22" t="n">
        <f aca="false">IF(E5732="Priority",'Cost model'!N204,'Cost model'!M204)</f>
        <v>45</v>
      </c>
      <c r="K5732" s="14" t="n">
        <f aca="false">J5732-H5732</f>
        <v>32.46</v>
      </c>
      <c r="L5732" s="14" t="n">
        <f aca="false">G5732-H5732</f>
        <v>-0.0399999999999992</v>
      </c>
    </row>
    <row r="5733" customFormat="false" ht="15" hidden="false" customHeight="false" outlineLevel="0" collapsed="false">
      <c r="A5733" s="2" t="s">
        <v>184</v>
      </c>
      <c r="B5733" s="2" t="s">
        <v>184</v>
      </c>
      <c r="C5733" s="2" t="s">
        <v>50</v>
      </c>
      <c r="D5733" s="2" t="s">
        <v>10</v>
      </c>
      <c r="E5733" s="2" t="s">
        <v>76</v>
      </c>
      <c r="F5733" s="2" t="s">
        <v>1145</v>
      </c>
      <c r="G5733" s="14" t="n">
        <v>17.5</v>
      </c>
      <c r="H5733" s="14" t="n">
        <v>10.96</v>
      </c>
      <c r="I5733" s="14" t="n">
        <v>17.5</v>
      </c>
      <c r="J5733" s="22" t="n">
        <f aca="false">IF(E5733="Priority",'Cost model'!N202,'Cost model'!M202)</f>
        <v>17.5</v>
      </c>
      <c r="K5733" s="14" t="n">
        <f aca="false">J5733-H5733</f>
        <v>6.54</v>
      </c>
      <c r="L5733" s="14" t="n">
        <f aca="false">G5733-H5733</f>
        <v>6.54</v>
      </c>
    </row>
    <row r="5734" customFormat="false" ht="15" hidden="false" customHeight="false" outlineLevel="0" collapsed="false">
      <c r="A5734" s="2" t="s">
        <v>184</v>
      </c>
      <c r="B5734" s="2" t="s">
        <v>126</v>
      </c>
      <c r="C5734" s="2" t="s">
        <v>48</v>
      </c>
      <c r="D5734" s="2" t="s">
        <v>10</v>
      </c>
      <c r="E5734" s="2" t="s">
        <v>76</v>
      </c>
      <c r="F5734" s="2" t="s">
        <v>1146</v>
      </c>
      <c r="G5734" s="14" t="n">
        <v>9.5</v>
      </c>
      <c r="H5734" s="14" t="n">
        <v>13.14</v>
      </c>
      <c r="I5734" s="14" t="n">
        <v>9.5</v>
      </c>
      <c r="J5734" s="22" t="n">
        <f aca="false">IF(E5734="Priority",'Cost model'!N128,'Cost model'!M128)</f>
        <v>10.5</v>
      </c>
      <c r="K5734" s="14" t="n">
        <f aca="false">J5734-H5734</f>
        <v>-2.64</v>
      </c>
      <c r="L5734" s="14" t="n">
        <f aca="false">G5734-H5734</f>
        <v>-3.64</v>
      </c>
    </row>
    <row r="5735" customFormat="false" ht="15" hidden="false" customHeight="false" outlineLevel="0" collapsed="false">
      <c r="A5735" s="2" t="s">
        <v>126</v>
      </c>
      <c r="B5735" s="2" t="s">
        <v>221</v>
      </c>
      <c r="C5735" s="2" t="s">
        <v>50</v>
      </c>
      <c r="D5735" s="2" t="s">
        <v>10</v>
      </c>
      <c r="E5735" s="2" t="s">
        <v>76</v>
      </c>
      <c r="F5735" s="2" t="s">
        <v>1146</v>
      </c>
      <c r="G5735" s="14" t="n">
        <v>24.5</v>
      </c>
      <c r="H5735" s="14" t="n">
        <v>21.76</v>
      </c>
      <c r="I5735" s="14" t="n">
        <v>19.5</v>
      </c>
      <c r="J5735" s="22" t="n">
        <f aca="false">IF(E5735="Priority",'Cost model'!N454,'Cost model'!M454)</f>
        <v>22.5</v>
      </c>
      <c r="K5735" s="14" t="n">
        <f aca="false">J5735-H5735</f>
        <v>0.739999999999998</v>
      </c>
      <c r="L5735" s="14" t="n">
        <f aca="false">G5735-H5735</f>
        <v>2.74</v>
      </c>
    </row>
    <row r="5736" customFormat="false" ht="15" hidden="false" customHeight="false" outlineLevel="0" collapsed="false">
      <c r="A5736" s="2" t="s">
        <v>146</v>
      </c>
      <c r="B5736" s="2" t="s">
        <v>125</v>
      </c>
      <c r="C5736" s="2" t="s">
        <v>48</v>
      </c>
      <c r="D5736" s="2" t="s">
        <v>12</v>
      </c>
      <c r="E5736" s="2" t="s">
        <v>76</v>
      </c>
      <c r="F5736" s="2" t="s">
        <v>1146</v>
      </c>
      <c r="G5736" s="14" t="n">
        <v>9.5</v>
      </c>
      <c r="H5736" s="14" t="n">
        <v>60.83</v>
      </c>
      <c r="I5736" s="14" t="n">
        <v>24.5</v>
      </c>
      <c r="J5736" s="22" t="n">
        <f aca="false">IF(E5736="Priority",'Cost model'!N869,'Cost model'!M869)</f>
        <v>45</v>
      </c>
      <c r="K5736" s="14" t="n">
        <f aca="false">J5736-H5736</f>
        <v>-15.83</v>
      </c>
      <c r="L5736" s="14" t="n">
        <f aca="false">G5736-H5736</f>
        <v>-51.33</v>
      </c>
    </row>
    <row r="5737" customFormat="false" ht="15" hidden="false" customHeight="false" outlineLevel="0" collapsed="false">
      <c r="A5737" s="2" t="s">
        <v>126</v>
      </c>
      <c r="B5737" s="2" t="s">
        <v>165</v>
      </c>
      <c r="C5737" s="2" t="s">
        <v>50</v>
      </c>
      <c r="D5737" s="2" t="s">
        <v>10</v>
      </c>
      <c r="E5737" s="2" t="s">
        <v>76</v>
      </c>
      <c r="F5737" s="2" t="s">
        <v>1146</v>
      </c>
      <c r="G5737" s="14" t="n">
        <v>17.5</v>
      </c>
      <c r="H5737" s="14" t="n">
        <v>18.13</v>
      </c>
      <c r="I5737" s="14" t="n">
        <v>17.5</v>
      </c>
      <c r="J5737" s="22" t="n">
        <f aca="false">IF(E5737="Priority",'Cost model'!N418,'Cost model'!M418)</f>
        <v>21.5</v>
      </c>
      <c r="K5737" s="14" t="n">
        <f aca="false">J5737-H5737</f>
        <v>3.37</v>
      </c>
      <c r="L5737" s="14" t="n">
        <f aca="false">G5737-H5737</f>
        <v>-0.629999999999999</v>
      </c>
    </row>
    <row r="5738" customFormat="false" ht="15" hidden="false" customHeight="false" outlineLevel="0" collapsed="false">
      <c r="A5738" s="2" t="s">
        <v>184</v>
      </c>
      <c r="B5738" s="2" t="s">
        <v>165</v>
      </c>
      <c r="C5738" s="2" t="s">
        <v>48</v>
      </c>
      <c r="D5738" s="2" t="s">
        <v>10</v>
      </c>
      <c r="E5738" s="2" t="s">
        <v>76</v>
      </c>
      <c r="F5738" s="2" t="s">
        <v>1146</v>
      </c>
      <c r="G5738" s="14" t="n">
        <v>9.5</v>
      </c>
      <c r="H5738" s="14" t="n">
        <v>8.26</v>
      </c>
      <c r="I5738" s="14" t="n">
        <v>14.5</v>
      </c>
      <c r="J5738" s="22" t="n">
        <f aca="false">IF(E5738="Priority",'Cost model'!N164,'Cost model'!M164)</f>
        <v>11.5</v>
      </c>
      <c r="K5738" s="14" t="n">
        <f aca="false">J5738-H5738</f>
        <v>3.24</v>
      </c>
      <c r="L5738" s="14" t="n">
        <f aca="false">G5738-H5738</f>
        <v>1.24</v>
      </c>
    </row>
    <row r="5739" customFormat="false" ht="15" hidden="false" customHeight="false" outlineLevel="0" collapsed="false">
      <c r="A5739" s="2" t="s">
        <v>146</v>
      </c>
      <c r="B5739" s="2" t="s">
        <v>126</v>
      </c>
      <c r="C5739" s="2" t="s">
        <v>50</v>
      </c>
      <c r="D5739" s="2" t="s">
        <v>10</v>
      </c>
      <c r="E5739" s="2" t="s">
        <v>76</v>
      </c>
      <c r="F5739" s="2" t="s">
        <v>1146</v>
      </c>
      <c r="G5739" s="14" t="n">
        <v>10.95</v>
      </c>
      <c r="H5739" s="14" t="n">
        <v>15.88</v>
      </c>
      <c r="I5739" s="14" t="n">
        <v>17.5</v>
      </c>
      <c r="J5739" s="22" t="n">
        <f aca="false">IF(E5739="Priority",'Cost model'!N796,'Cost model'!M796)</f>
        <v>17.5</v>
      </c>
      <c r="K5739" s="14" t="n">
        <f aca="false">J5739-H5739</f>
        <v>1.62</v>
      </c>
      <c r="L5739" s="14" t="n">
        <f aca="false">G5739-H5739</f>
        <v>-4.93</v>
      </c>
    </row>
    <row r="5740" customFormat="false" ht="15" hidden="false" customHeight="false" outlineLevel="0" collapsed="false">
      <c r="A5740" s="2" t="s">
        <v>146</v>
      </c>
      <c r="B5740" s="2" t="s">
        <v>146</v>
      </c>
      <c r="C5740" s="2" t="s">
        <v>50</v>
      </c>
      <c r="D5740" s="2" t="s">
        <v>12</v>
      </c>
      <c r="E5740" s="2" t="s">
        <v>76</v>
      </c>
      <c r="F5740" s="2" t="s">
        <v>1145</v>
      </c>
      <c r="G5740" s="14" t="n">
        <v>19.5</v>
      </c>
      <c r="H5740" s="14" t="n">
        <v>26.06</v>
      </c>
      <c r="I5740" s="14" t="n">
        <v>19.5</v>
      </c>
      <c r="J5740" s="22" t="n">
        <f aca="false">IF(E5740="Priority",'Cost model'!N763,'Cost model'!M763)</f>
        <v>50</v>
      </c>
      <c r="K5740" s="14" t="n">
        <f aca="false">J5740-H5740</f>
        <v>23.94</v>
      </c>
      <c r="L5740" s="14" t="n">
        <f aca="false">G5740-H5740</f>
        <v>-6.56</v>
      </c>
    </row>
    <row r="5741" customFormat="false" ht="15" hidden="false" customHeight="false" outlineLevel="0" collapsed="false">
      <c r="A5741" s="2" t="s">
        <v>126</v>
      </c>
      <c r="B5741" s="2" t="s">
        <v>126</v>
      </c>
      <c r="C5741" s="2" t="s">
        <v>48</v>
      </c>
      <c r="D5741" s="2" t="s">
        <v>10</v>
      </c>
      <c r="E5741" s="2" t="s">
        <v>76</v>
      </c>
      <c r="F5741" s="2" t="s">
        <v>1145</v>
      </c>
      <c r="G5741" s="14" t="n">
        <v>9.5</v>
      </c>
      <c r="H5741" s="14" t="n">
        <v>5.25</v>
      </c>
      <c r="I5741" s="14" t="n">
        <v>9.5</v>
      </c>
      <c r="J5741" s="22" t="n">
        <f aca="false">IF(E5741="Priority",'Cost model'!N380,'Cost model'!M380)</f>
        <v>8.5</v>
      </c>
      <c r="K5741" s="14" t="n">
        <f aca="false">J5741-H5741</f>
        <v>3.25</v>
      </c>
      <c r="L5741" s="14" t="n">
        <f aca="false">G5741-H5741</f>
        <v>4.25</v>
      </c>
    </row>
    <row r="5742" customFormat="false" ht="15" hidden="false" customHeight="false" outlineLevel="0" collapsed="false">
      <c r="A5742" s="2" t="s">
        <v>126</v>
      </c>
      <c r="B5742" s="2" t="s">
        <v>126</v>
      </c>
      <c r="C5742" s="2" t="s">
        <v>48</v>
      </c>
      <c r="D5742" s="2" t="s">
        <v>12</v>
      </c>
      <c r="E5742" s="2" t="s">
        <v>76</v>
      </c>
      <c r="F5742" s="2" t="s">
        <v>1145</v>
      </c>
      <c r="G5742" s="14" t="n">
        <v>9.5</v>
      </c>
      <c r="H5742" s="14" t="n">
        <v>28.27</v>
      </c>
      <c r="I5742" s="14" t="n">
        <v>9.5</v>
      </c>
      <c r="J5742" s="22" t="n">
        <f aca="false">IF(E5742="Priority",'Cost model'!N383,'Cost model'!M383)</f>
        <v>27.5</v>
      </c>
      <c r="K5742" s="14" t="n">
        <f aca="false">J5742-H5742</f>
        <v>-0.77</v>
      </c>
      <c r="L5742" s="14" t="n">
        <f aca="false">G5742-H5742</f>
        <v>-18.77</v>
      </c>
    </row>
    <row r="5743" customFormat="false" ht="15" hidden="false" customHeight="false" outlineLevel="0" collapsed="false">
      <c r="A5743" s="2" t="s">
        <v>184</v>
      </c>
      <c r="B5743" s="2" t="s">
        <v>184</v>
      </c>
      <c r="C5743" s="2" t="s">
        <v>49</v>
      </c>
      <c r="D5743" s="2" t="s">
        <v>12</v>
      </c>
      <c r="E5743" s="2" t="s">
        <v>76</v>
      </c>
      <c r="F5743" s="2" t="s">
        <v>1145</v>
      </c>
      <c r="G5743" s="14" t="n">
        <v>12.5</v>
      </c>
      <c r="H5743" s="14" t="n">
        <v>7.22</v>
      </c>
      <c r="I5743" s="14"/>
      <c r="J5743" s="22" t="n">
        <f aca="false">IF(E5743="Priority",'Cost model'!N204,'Cost model'!M204)</f>
        <v>45</v>
      </c>
      <c r="K5743" s="14" t="n">
        <f aca="false">J5743-H5743</f>
        <v>37.78</v>
      </c>
      <c r="L5743" s="14" t="n">
        <f aca="false">G5743-H5743</f>
        <v>5.28</v>
      </c>
    </row>
    <row r="5744" customFormat="false" ht="15" hidden="false" customHeight="false" outlineLevel="0" collapsed="false">
      <c r="A5744" s="2" t="s">
        <v>126</v>
      </c>
      <c r="B5744" s="2" t="s">
        <v>126</v>
      </c>
      <c r="C5744" s="2" t="s">
        <v>50</v>
      </c>
      <c r="D5744" s="2" t="s">
        <v>10</v>
      </c>
      <c r="E5744" s="2" t="s">
        <v>85</v>
      </c>
      <c r="F5744" s="2" t="s">
        <v>1145</v>
      </c>
      <c r="G5744" s="14" t="n">
        <v>24.5</v>
      </c>
      <c r="H5744" s="14" t="n">
        <v>21.76</v>
      </c>
      <c r="I5744" s="14" t="n">
        <v>24.5</v>
      </c>
      <c r="J5744" s="22" t="n">
        <f aca="false">IF(E5744="Priority",'Cost model'!N382,'Cost model'!M382)</f>
        <v>25.5</v>
      </c>
      <c r="K5744" s="14" t="n">
        <f aca="false">J5744-H5744</f>
        <v>3.74</v>
      </c>
      <c r="L5744" s="14" t="n">
        <f aca="false">G5744-H5744</f>
        <v>2.74</v>
      </c>
    </row>
    <row r="5745" customFormat="false" ht="15" hidden="false" customHeight="false" outlineLevel="0" collapsed="false">
      <c r="A5745" s="2" t="s">
        <v>126</v>
      </c>
      <c r="B5745" s="2" t="s">
        <v>126</v>
      </c>
      <c r="C5745" s="2" t="s">
        <v>49</v>
      </c>
      <c r="D5745" s="2" t="s">
        <v>12</v>
      </c>
      <c r="E5745" s="2" t="s">
        <v>85</v>
      </c>
      <c r="F5745" s="2" t="s">
        <v>1145</v>
      </c>
      <c r="G5745" s="14" t="n">
        <v>19.5</v>
      </c>
      <c r="H5745" s="14" t="n">
        <v>121.69</v>
      </c>
      <c r="I5745" s="14" t="n">
        <v>19.5</v>
      </c>
      <c r="J5745" s="22" t="n">
        <f aca="false">IF(E5745="Priority",'Cost model'!N384,'Cost model'!M384)</f>
        <v>60</v>
      </c>
      <c r="K5745" s="14" t="n">
        <f aca="false">J5745-H5745</f>
        <v>-61.69</v>
      </c>
      <c r="L5745" s="14" t="n">
        <f aca="false">G5745-H5745</f>
        <v>-102.19</v>
      </c>
    </row>
    <row r="5746" customFormat="false" ht="15" hidden="false" customHeight="false" outlineLevel="0" collapsed="false">
      <c r="A5746" s="2" t="s">
        <v>126</v>
      </c>
      <c r="B5746" s="2" t="s">
        <v>126</v>
      </c>
      <c r="C5746" s="2" t="s">
        <v>48</v>
      </c>
      <c r="D5746" s="2" t="s">
        <v>10</v>
      </c>
      <c r="E5746" s="2" t="s">
        <v>76</v>
      </c>
      <c r="F5746" s="2" t="s">
        <v>1145</v>
      </c>
      <c r="G5746" s="14" t="n">
        <v>9.5</v>
      </c>
      <c r="H5746" s="14" t="n">
        <v>21.34</v>
      </c>
      <c r="I5746" s="14" t="n">
        <v>9.5</v>
      </c>
      <c r="J5746" s="22" t="n">
        <f aca="false">IF(E5746="Priority",'Cost model'!N380,'Cost model'!M380)</f>
        <v>8.5</v>
      </c>
      <c r="K5746" s="14" t="n">
        <f aca="false">J5746-H5746</f>
        <v>-12.84</v>
      </c>
      <c r="L5746" s="14" t="n">
        <f aca="false">G5746-H5746</f>
        <v>-11.84</v>
      </c>
    </row>
    <row r="5747" customFormat="false" ht="15" hidden="false" customHeight="false" outlineLevel="0" collapsed="false">
      <c r="A5747" s="2" t="s">
        <v>184</v>
      </c>
      <c r="B5747" s="2" t="s">
        <v>184</v>
      </c>
      <c r="C5747" s="2" t="s">
        <v>49</v>
      </c>
      <c r="D5747" s="2" t="s">
        <v>16</v>
      </c>
      <c r="E5747" s="2" t="s">
        <v>76</v>
      </c>
      <c r="F5747" s="2" t="s">
        <v>1145</v>
      </c>
      <c r="G5747" s="14" t="n">
        <v>85</v>
      </c>
      <c r="H5747" s="14" t="n">
        <v>328.04</v>
      </c>
      <c r="I5747" s="14"/>
      <c r="J5747" s="22" t="n">
        <f aca="false">IF(E5747="Priority",'Cost model'!N216,'Cost model'!M216)</f>
        <v>215</v>
      </c>
      <c r="K5747" s="14" t="n">
        <f aca="false">J5747-H5747</f>
        <v>-113.04</v>
      </c>
      <c r="L5747" s="14" t="n">
        <f aca="false">G5747-H5747</f>
        <v>-243.04</v>
      </c>
    </row>
    <row r="5748" customFormat="false" ht="15" hidden="false" customHeight="false" outlineLevel="0" collapsed="false">
      <c r="A5748" s="2" t="s">
        <v>184</v>
      </c>
      <c r="B5748" s="2" t="s">
        <v>184</v>
      </c>
      <c r="C5748" s="2" t="s">
        <v>48</v>
      </c>
      <c r="D5748" s="2" t="s">
        <v>14</v>
      </c>
      <c r="E5748" s="2" t="s">
        <v>76</v>
      </c>
      <c r="F5748" s="2" t="s">
        <v>1145</v>
      </c>
      <c r="G5748" s="14" t="n">
        <v>25</v>
      </c>
      <c r="H5748" s="14" t="n">
        <v>104.53</v>
      </c>
      <c r="I5748" s="14" t="n">
        <v>25</v>
      </c>
      <c r="J5748" s="22" t="n">
        <f aca="false">IF(E5748="Priority",'Cost model'!N209,'Cost model'!M209)</f>
        <v>105</v>
      </c>
      <c r="K5748" s="14" t="n">
        <f aca="false">J5748-H5748</f>
        <v>0.469999999999999</v>
      </c>
      <c r="L5748" s="14" t="n">
        <f aca="false">G5748-H5748</f>
        <v>-79.53</v>
      </c>
    </row>
    <row r="5749" customFormat="false" ht="15" hidden="false" customHeight="false" outlineLevel="0" collapsed="false">
      <c r="A5749" s="2" t="s">
        <v>126</v>
      </c>
      <c r="B5749" s="2" t="s">
        <v>126</v>
      </c>
      <c r="C5749" s="2" t="s">
        <v>48</v>
      </c>
      <c r="D5749" s="2" t="s">
        <v>16</v>
      </c>
      <c r="E5749" s="2" t="s">
        <v>76</v>
      </c>
      <c r="F5749" s="2" t="s">
        <v>1145</v>
      </c>
      <c r="G5749" s="14" t="n">
        <v>25</v>
      </c>
      <c r="H5749" s="14" t="n">
        <v>30.99</v>
      </c>
      <c r="I5749" s="14" t="n">
        <v>25</v>
      </c>
      <c r="J5749" s="22" t="n">
        <f aca="false">IF(E5749="Priority",'Cost model'!N395,'Cost model'!M395)</f>
        <v>120</v>
      </c>
      <c r="K5749" s="14" t="n">
        <f aca="false">J5749-H5749</f>
        <v>89.01</v>
      </c>
      <c r="L5749" s="14" t="n">
        <f aca="false">G5749-H5749</f>
        <v>-5.99</v>
      </c>
    </row>
    <row r="5750" customFormat="false" ht="15" hidden="false" customHeight="false" outlineLevel="0" collapsed="false">
      <c r="A5750" s="2" t="s">
        <v>184</v>
      </c>
      <c r="B5750" s="2" t="s">
        <v>184</v>
      </c>
      <c r="C5750" s="2" t="s">
        <v>48</v>
      </c>
      <c r="D5750" s="2" t="s">
        <v>12</v>
      </c>
      <c r="E5750" s="2" t="s">
        <v>85</v>
      </c>
      <c r="F5750" s="2" t="s">
        <v>1145</v>
      </c>
      <c r="G5750" s="14" t="n">
        <v>19.5</v>
      </c>
      <c r="H5750" s="14" t="n">
        <v>43.25</v>
      </c>
      <c r="I5750" s="14" t="n">
        <v>19.5</v>
      </c>
      <c r="J5750" s="22" t="n">
        <f aca="false">IF(E5750="Priority",'Cost model'!N203,'Cost model'!M203)</f>
        <v>35</v>
      </c>
      <c r="K5750" s="14" t="n">
        <f aca="false">J5750-H5750</f>
        <v>-8.25</v>
      </c>
      <c r="L5750" s="14" t="n">
        <f aca="false">G5750-H5750</f>
        <v>-23.75</v>
      </c>
    </row>
    <row r="5751" customFormat="false" ht="15" hidden="false" customHeight="false" outlineLevel="0" collapsed="false">
      <c r="A5751" s="2" t="s">
        <v>126</v>
      </c>
      <c r="B5751" s="2" t="s">
        <v>125</v>
      </c>
      <c r="C5751" s="2" t="s">
        <v>48</v>
      </c>
      <c r="D5751" s="2" t="s">
        <v>10</v>
      </c>
      <c r="E5751" s="2" t="s">
        <v>76</v>
      </c>
      <c r="F5751" s="2" t="s">
        <v>1146</v>
      </c>
      <c r="G5751" s="14" t="n">
        <v>17.5</v>
      </c>
      <c r="H5751" s="14" t="n">
        <v>24.48</v>
      </c>
      <c r="I5751" s="14" t="n">
        <v>19.5</v>
      </c>
      <c r="J5751" s="22" t="n">
        <f aca="false">IF(E5751="Priority",'Cost model'!N470,'Cost model'!M470)</f>
        <v>19.5</v>
      </c>
      <c r="K5751" s="14" t="n">
        <f aca="false">J5751-H5751</f>
        <v>-4.98</v>
      </c>
      <c r="L5751" s="14" t="n">
        <f aca="false">G5751-H5751</f>
        <v>-6.98</v>
      </c>
    </row>
    <row r="5752" customFormat="false" ht="15" hidden="false" customHeight="false" outlineLevel="0" collapsed="false">
      <c r="A5752" s="2" t="s">
        <v>240</v>
      </c>
      <c r="B5752" s="2" t="s">
        <v>240</v>
      </c>
      <c r="C5752" s="2" t="s">
        <v>48</v>
      </c>
      <c r="D5752" s="2" t="s">
        <v>12</v>
      </c>
      <c r="E5752" s="2" t="s">
        <v>85</v>
      </c>
      <c r="F5752" s="2" t="s">
        <v>1145</v>
      </c>
      <c r="G5752" s="14" t="n">
        <v>19.5</v>
      </c>
      <c r="H5752" s="14" t="n">
        <v>86.71</v>
      </c>
      <c r="I5752" s="14" t="n">
        <v>19.5</v>
      </c>
      <c r="J5752" s="22" t="n">
        <f aca="false">IF(E5752="Priority",'Cost model'!N887,'Cost model'!M887)</f>
        <v>27.5</v>
      </c>
      <c r="K5752" s="14" t="n">
        <f aca="false">J5752-H5752</f>
        <v>-59.21</v>
      </c>
      <c r="L5752" s="14" t="n">
        <f aca="false">G5752-H5752</f>
        <v>-67.21</v>
      </c>
    </row>
    <row r="5753" customFormat="false" ht="15" hidden="false" customHeight="false" outlineLevel="0" collapsed="false">
      <c r="A5753" s="2" t="s">
        <v>146</v>
      </c>
      <c r="B5753" s="2" t="s">
        <v>146</v>
      </c>
      <c r="C5753" s="2" t="s">
        <v>48</v>
      </c>
      <c r="D5753" s="2" t="s">
        <v>12</v>
      </c>
      <c r="E5753" s="2" t="s">
        <v>76</v>
      </c>
      <c r="F5753" s="2" t="s">
        <v>1145</v>
      </c>
      <c r="G5753" s="14" t="n">
        <v>9.5</v>
      </c>
      <c r="H5753" s="14" t="n">
        <v>26.17</v>
      </c>
      <c r="I5753" s="14" t="n">
        <v>9.5</v>
      </c>
      <c r="J5753" s="22" t="n">
        <f aca="false">IF(E5753="Priority",'Cost model'!N761,'Cost model'!M761)</f>
        <v>35</v>
      </c>
      <c r="K5753" s="14" t="n">
        <f aca="false">J5753-H5753</f>
        <v>8.83</v>
      </c>
      <c r="L5753" s="14" t="n">
        <f aca="false">G5753-H5753</f>
        <v>-16.67</v>
      </c>
    </row>
    <row r="5754" customFormat="false" ht="15" hidden="false" customHeight="false" outlineLevel="0" collapsed="false">
      <c r="A5754" s="2" t="s">
        <v>184</v>
      </c>
      <c r="B5754" s="2" t="s">
        <v>184</v>
      </c>
      <c r="C5754" s="2" t="s">
        <v>49</v>
      </c>
      <c r="D5754" s="2" t="s">
        <v>10</v>
      </c>
      <c r="E5754" s="2" t="s">
        <v>76</v>
      </c>
      <c r="F5754" s="2" t="s">
        <v>1145</v>
      </c>
      <c r="G5754" s="14" t="n">
        <v>12.5</v>
      </c>
      <c r="H5754" s="14" t="n">
        <v>7.72</v>
      </c>
      <c r="I5754" s="14"/>
      <c r="J5754" s="22" t="n">
        <f aca="false">IF(E5754="Priority",'Cost model'!N201,'Cost model'!M201)</f>
        <v>12.5</v>
      </c>
      <c r="K5754" s="14" t="n">
        <f aca="false">J5754-H5754</f>
        <v>4.78</v>
      </c>
      <c r="L5754" s="14" t="n">
        <f aca="false">G5754-H5754</f>
        <v>4.78</v>
      </c>
    </row>
    <row r="5755" customFormat="false" ht="15" hidden="false" customHeight="false" outlineLevel="0" collapsed="false">
      <c r="A5755" s="2" t="s">
        <v>126</v>
      </c>
      <c r="B5755" s="2" t="s">
        <v>126</v>
      </c>
      <c r="C5755" s="2" t="s">
        <v>48</v>
      </c>
      <c r="D5755" s="2" t="s">
        <v>12</v>
      </c>
      <c r="E5755" s="2" t="s">
        <v>76</v>
      </c>
      <c r="F5755" s="2" t="s">
        <v>1145</v>
      </c>
      <c r="G5755" s="14" t="n">
        <v>9.5</v>
      </c>
      <c r="H5755" s="14" t="n">
        <v>7.46</v>
      </c>
      <c r="I5755" s="14" t="n">
        <v>9.5</v>
      </c>
      <c r="J5755" s="22" t="n">
        <f aca="false">IF(E5755="Priority",'Cost model'!N383,'Cost model'!M383)</f>
        <v>27.5</v>
      </c>
      <c r="K5755" s="14" t="n">
        <f aca="false">J5755-H5755</f>
        <v>20.04</v>
      </c>
      <c r="L5755" s="14" t="n">
        <f aca="false">G5755-H5755</f>
        <v>2.04</v>
      </c>
    </row>
    <row r="5756" customFormat="false" ht="15" hidden="false" customHeight="false" outlineLevel="0" collapsed="false">
      <c r="A5756" s="2" t="s">
        <v>184</v>
      </c>
      <c r="B5756" s="2" t="s">
        <v>184</v>
      </c>
      <c r="C5756" s="2" t="s">
        <v>48</v>
      </c>
      <c r="D5756" s="2" t="s">
        <v>10</v>
      </c>
      <c r="E5756" s="2" t="s">
        <v>76</v>
      </c>
      <c r="F5756" s="2" t="s">
        <v>1145</v>
      </c>
      <c r="G5756" s="14" t="n">
        <v>9.5</v>
      </c>
      <c r="H5756" s="14" t="n">
        <v>7.72</v>
      </c>
      <c r="I5756" s="14" t="n">
        <v>9.5</v>
      </c>
      <c r="J5756" s="22" t="n">
        <f aca="false">IF(E5756="Priority",'Cost model'!N200,'Cost model'!M200)</f>
        <v>7.5</v>
      </c>
      <c r="K5756" s="14" t="n">
        <f aca="false">J5756-H5756</f>
        <v>-0.22</v>
      </c>
      <c r="L5756" s="14" t="n">
        <f aca="false">G5756-H5756</f>
        <v>1.78</v>
      </c>
    </row>
    <row r="5757" customFormat="false" ht="15" hidden="false" customHeight="false" outlineLevel="0" collapsed="false">
      <c r="A5757" s="2" t="s">
        <v>240</v>
      </c>
      <c r="B5757" s="2" t="s">
        <v>240</v>
      </c>
      <c r="C5757" s="2" t="s">
        <v>50</v>
      </c>
      <c r="D5757" s="2" t="s">
        <v>13</v>
      </c>
      <c r="E5757" s="2" t="s">
        <v>76</v>
      </c>
      <c r="F5757" s="2" t="s">
        <v>1145</v>
      </c>
      <c r="G5757" s="14" t="n">
        <v>85</v>
      </c>
      <c r="H5757" s="14" t="n">
        <v>74.4</v>
      </c>
      <c r="I5757" s="14" t="n">
        <v>50</v>
      </c>
      <c r="J5757" s="22" t="n">
        <f aca="false">IF(E5757="Priority",'Cost model'!N892,'Cost model'!M892)</f>
        <v>130</v>
      </c>
      <c r="K5757" s="14" t="n">
        <f aca="false">J5757-H5757</f>
        <v>55.6</v>
      </c>
      <c r="L5757" s="14" t="n">
        <f aca="false">G5757-H5757</f>
        <v>10.6</v>
      </c>
    </row>
    <row r="5758" customFormat="false" ht="15" hidden="false" customHeight="false" outlineLevel="0" collapsed="false">
      <c r="A5758" s="2" t="s">
        <v>184</v>
      </c>
      <c r="B5758" s="2" t="s">
        <v>184</v>
      </c>
      <c r="C5758" s="2" t="s">
        <v>49</v>
      </c>
      <c r="D5758" s="2" t="s">
        <v>10</v>
      </c>
      <c r="E5758" s="2" t="s">
        <v>76</v>
      </c>
      <c r="F5758" s="2" t="s">
        <v>1145</v>
      </c>
      <c r="G5758" s="14" t="n">
        <v>12.5</v>
      </c>
      <c r="H5758" s="14" t="n">
        <v>7.33</v>
      </c>
      <c r="I5758" s="14"/>
      <c r="J5758" s="22" t="n">
        <f aca="false">IF(E5758="Priority",'Cost model'!N201,'Cost model'!M201)</f>
        <v>12.5</v>
      </c>
      <c r="K5758" s="14" t="n">
        <f aca="false">J5758-H5758</f>
        <v>5.17</v>
      </c>
      <c r="L5758" s="14" t="n">
        <f aca="false">G5758-H5758</f>
        <v>5.17</v>
      </c>
    </row>
    <row r="5759" customFormat="false" ht="15" hidden="false" customHeight="false" outlineLevel="0" collapsed="false">
      <c r="A5759" s="2" t="s">
        <v>221</v>
      </c>
      <c r="B5759" s="2" t="s">
        <v>221</v>
      </c>
      <c r="C5759" s="2" t="s">
        <v>49</v>
      </c>
      <c r="D5759" s="2" t="s">
        <v>12</v>
      </c>
      <c r="E5759" s="2" t="s">
        <v>85</v>
      </c>
      <c r="F5759" s="2" t="s">
        <v>1145</v>
      </c>
      <c r="G5759" s="14" t="n">
        <v>19.5</v>
      </c>
      <c r="H5759" s="14" t="n">
        <v>19.39</v>
      </c>
      <c r="I5759" s="14" t="n">
        <v>19.5</v>
      </c>
      <c r="J5759" s="22" t="n">
        <f aca="false">IF(E5759="Priority",'Cost model'!N636,'Cost model'!M636)</f>
        <v>70</v>
      </c>
      <c r="K5759" s="14" t="n">
        <f aca="false">J5759-H5759</f>
        <v>50.61</v>
      </c>
      <c r="L5759" s="14" t="n">
        <f aca="false">G5759-H5759</f>
        <v>0.109999999999999</v>
      </c>
    </row>
    <row r="5760" customFormat="false" ht="15" hidden="false" customHeight="false" outlineLevel="0" collapsed="false">
      <c r="A5760" s="2" t="s">
        <v>146</v>
      </c>
      <c r="B5760" s="2" t="s">
        <v>146</v>
      </c>
      <c r="C5760" s="2" t="s">
        <v>48</v>
      </c>
      <c r="D5760" s="2" t="s">
        <v>10</v>
      </c>
      <c r="E5760" s="2" t="s">
        <v>76</v>
      </c>
      <c r="F5760" s="2" t="s">
        <v>1145</v>
      </c>
      <c r="G5760" s="14" t="n">
        <v>9.5</v>
      </c>
      <c r="H5760" s="14" t="n">
        <v>7.45</v>
      </c>
      <c r="I5760" s="14" t="n">
        <v>9.5</v>
      </c>
      <c r="J5760" s="22" t="n">
        <f aca="false">IF(E5760="Priority",'Cost model'!N758,'Cost model'!M758)</f>
        <v>9.5</v>
      </c>
      <c r="K5760" s="14" t="n">
        <f aca="false">J5760-H5760</f>
        <v>2.05</v>
      </c>
      <c r="L5760" s="14" t="n">
        <f aca="false">G5760-H5760</f>
        <v>2.05</v>
      </c>
    </row>
    <row r="5761" customFormat="false" ht="15" hidden="false" customHeight="false" outlineLevel="0" collapsed="false">
      <c r="A5761" s="2" t="s">
        <v>126</v>
      </c>
      <c r="B5761" s="2" t="s">
        <v>126</v>
      </c>
      <c r="C5761" s="2" t="s">
        <v>48</v>
      </c>
      <c r="D5761" s="2" t="s">
        <v>12</v>
      </c>
      <c r="E5761" s="2" t="s">
        <v>76</v>
      </c>
      <c r="F5761" s="2" t="s">
        <v>1145</v>
      </c>
      <c r="G5761" s="14" t="n">
        <v>9.5</v>
      </c>
      <c r="H5761" s="14" t="n">
        <v>28.6</v>
      </c>
      <c r="I5761" s="14" t="n">
        <v>9.5</v>
      </c>
      <c r="J5761" s="22" t="n">
        <f aca="false">IF(E5761="Priority",'Cost model'!N383,'Cost model'!M383)</f>
        <v>27.5</v>
      </c>
      <c r="K5761" s="14" t="n">
        <f aca="false">J5761-H5761</f>
        <v>-1.1</v>
      </c>
      <c r="L5761" s="14" t="n">
        <f aca="false">G5761-H5761</f>
        <v>-19.1</v>
      </c>
    </row>
    <row r="5762" customFormat="false" ht="15" hidden="false" customHeight="false" outlineLevel="0" collapsed="false">
      <c r="A5762" s="2" t="s">
        <v>126</v>
      </c>
      <c r="B5762" s="2" t="s">
        <v>126</v>
      </c>
      <c r="C5762" s="2" t="s">
        <v>49</v>
      </c>
      <c r="D5762" s="2" t="s">
        <v>10</v>
      </c>
      <c r="E5762" s="2" t="s">
        <v>76</v>
      </c>
      <c r="F5762" s="2" t="s">
        <v>1145</v>
      </c>
      <c r="G5762" s="14" t="n">
        <v>12.5</v>
      </c>
      <c r="H5762" s="14" t="n">
        <v>24.17</v>
      </c>
      <c r="I5762" s="14" t="n">
        <v>12.5</v>
      </c>
      <c r="J5762" s="22" t="n">
        <f aca="false">IF(E5762="Priority",'Cost model'!N381,'Cost model'!M381)</f>
        <v>14.5</v>
      </c>
      <c r="K5762" s="14" t="n">
        <f aca="false">J5762-H5762</f>
        <v>-9.67</v>
      </c>
      <c r="L5762" s="14" t="n">
        <f aca="false">G5762-H5762</f>
        <v>-11.67</v>
      </c>
    </row>
    <row r="5763" customFormat="false" ht="15" hidden="false" customHeight="false" outlineLevel="0" collapsed="false">
      <c r="A5763" s="2" t="s">
        <v>184</v>
      </c>
      <c r="B5763" s="2" t="s">
        <v>184</v>
      </c>
      <c r="C5763" s="2" t="s">
        <v>49</v>
      </c>
      <c r="D5763" s="2" t="s">
        <v>13</v>
      </c>
      <c r="E5763" s="2" t="s">
        <v>76</v>
      </c>
      <c r="F5763" s="2" t="s">
        <v>1145</v>
      </c>
      <c r="G5763" s="14" t="n">
        <v>24.5</v>
      </c>
      <c r="H5763" s="14" t="n">
        <v>46.53</v>
      </c>
      <c r="I5763" s="14"/>
      <c r="J5763" s="22" t="n">
        <f aca="false">IF(E5763="Priority",'Cost model'!N207,'Cost model'!M207)</f>
        <v>75</v>
      </c>
      <c r="K5763" s="14" t="n">
        <f aca="false">J5763-H5763</f>
        <v>28.47</v>
      </c>
      <c r="L5763" s="14" t="n">
        <f aca="false">G5763-H5763</f>
        <v>-22.03</v>
      </c>
    </row>
    <row r="5764" customFormat="false" ht="15" hidden="false" customHeight="false" outlineLevel="0" collapsed="false">
      <c r="A5764" s="2" t="s">
        <v>240</v>
      </c>
      <c r="B5764" s="2" t="s">
        <v>240</v>
      </c>
      <c r="C5764" s="2" t="s">
        <v>50</v>
      </c>
      <c r="D5764" s="2" t="s">
        <v>12</v>
      </c>
      <c r="E5764" s="2" t="s">
        <v>76</v>
      </c>
      <c r="F5764" s="2" t="s">
        <v>1145</v>
      </c>
      <c r="G5764" s="14" t="n">
        <v>19.5</v>
      </c>
      <c r="H5764" s="14" t="n">
        <v>97.78</v>
      </c>
      <c r="I5764" s="14" t="n">
        <v>19.5</v>
      </c>
      <c r="J5764" s="22" t="n">
        <f aca="false">IF(E5764="Priority",'Cost model'!N889,'Cost model'!M889)</f>
        <v>60</v>
      </c>
      <c r="K5764" s="14" t="n">
        <f aca="false">J5764-H5764</f>
        <v>-37.78</v>
      </c>
      <c r="L5764" s="14" t="n">
        <f aca="false">G5764-H5764</f>
        <v>-78.28</v>
      </c>
    </row>
    <row r="5765" customFormat="false" ht="15" hidden="false" customHeight="false" outlineLevel="0" collapsed="false">
      <c r="A5765" s="2" t="s">
        <v>184</v>
      </c>
      <c r="B5765" s="2" t="s">
        <v>146</v>
      </c>
      <c r="C5765" s="2" t="s">
        <v>50</v>
      </c>
      <c r="D5765" s="2" t="s">
        <v>12</v>
      </c>
      <c r="E5765" s="2" t="s">
        <v>76</v>
      </c>
      <c r="F5765" s="2" t="s">
        <v>1146</v>
      </c>
      <c r="G5765" s="14" t="n">
        <v>17.5</v>
      </c>
      <c r="H5765" s="14" t="n">
        <v>41.18</v>
      </c>
      <c r="I5765" s="14" t="n">
        <v>19.5</v>
      </c>
      <c r="J5765" s="22" t="n">
        <f aca="false">IF(E5765="Priority",'Cost model'!N151,'Cost model'!M151)</f>
        <v>55</v>
      </c>
      <c r="K5765" s="14" t="n">
        <f aca="false">J5765-H5765</f>
        <v>13.82</v>
      </c>
      <c r="L5765" s="14" t="n">
        <f aca="false">G5765-H5765</f>
        <v>-23.68</v>
      </c>
    </row>
    <row r="5766" customFormat="false" ht="15" hidden="false" customHeight="false" outlineLevel="0" collapsed="false">
      <c r="A5766" s="2" t="s">
        <v>184</v>
      </c>
      <c r="B5766" s="2" t="s">
        <v>184</v>
      </c>
      <c r="C5766" s="2" t="s">
        <v>50</v>
      </c>
      <c r="D5766" s="2" t="s">
        <v>12</v>
      </c>
      <c r="E5766" s="2" t="s">
        <v>76</v>
      </c>
      <c r="F5766" s="2" t="s">
        <v>1145</v>
      </c>
      <c r="G5766" s="14" t="n">
        <v>19.5</v>
      </c>
      <c r="H5766" s="14" t="n">
        <v>25.99</v>
      </c>
      <c r="I5766" s="14" t="n">
        <v>19.5</v>
      </c>
      <c r="J5766" s="22" t="n">
        <f aca="false">IF(E5766="Priority",'Cost model'!N205,'Cost model'!M205)</f>
        <v>50</v>
      </c>
      <c r="K5766" s="14" t="n">
        <f aca="false">J5766-H5766</f>
        <v>24.01</v>
      </c>
      <c r="L5766" s="14" t="n">
        <f aca="false">G5766-H5766</f>
        <v>-6.49</v>
      </c>
    </row>
    <row r="5767" customFormat="false" ht="15" hidden="false" customHeight="false" outlineLevel="0" collapsed="false">
      <c r="A5767" s="2" t="s">
        <v>184</v>
      </c>
      <c r="B5767" s="2" t="s">
        <v>184</v>
      </c>
      <c r="C5767" s="2" t="s">
        <v>50</v>
      </c>
      <c r="D5767" s="2" t="s">
        <v>10</v>
      </c>
      <c r="E5767" s="2" t="s">
        <v>76</v>
      </c>
      <c r="F5767" s="2" t="s">
        <v>1145</v>
      </c>
      <c r="G5767" s="14" t="n">
        <v>17.5</v>
      </c>
      <c r="H5767" s="14" t="n">
        <v>12.18</v>
      </c>
      <c r="I5767" s="14" t="n">
        <v>17.5</v>
      </c>
      <c r="J5767" s="22" t="n">
        <f aca="false">IF(E5767="Priority",'Cost model'!N202,'Cost model'!M202)</f>
        <v>17.5</v>
      </c>
      <c r="K5767" s="14" t="n">
        <f aca="false">J5767-H5767</f>
        <v>5.32</v>
      </c>
      <c r="L5767" s="14" t="n">
        <f aca="false">G5767-H5767</f>
        <v>5.32</v>
      </c>
    </row>
    <row r="5768" customFormat="false" ht="15" hidden="false" customHeight="false" outlineLevel="0" collapsed="false">
      <c r="A5768" s="2" t="s">
        <v>126</v>
      </c>
      <c r="B5768" s="2" t="s">
        <v>146</v>
      </c>
      <c r="C5768" s="2" t="s">
        <v>49</v>
      </c>
      <c r="D5768" s="2" t="s">
        <v>12</v>
      </c>
      <c r="E5768" s="2" t="s">
        <v>76</v>
      </c>
      <c r="F5768" s="2" t="s">
        <v>1146</v>
      </c>
      <c r="G5768" s="14" t="n">
        <v>12.5</v>
      </c>
      <c r="H5768" s="14" t="n">
        <v>17.04</v>
      </c>
      <c r="I5768" s="14" t="n">
        <v>19.5</v>
      </c>
      <c r="J5768" s="22" t="n">
        <f aca="false">IF(E5768="Priority",'Cost model'!N402,'Cost model'!M402)</f>
        <v>60</v>
      </c>
      <c r="K5768" s="14" t="n">
        <f aca="false">J5768-H5768</f>
        <v>42.96</v>
      </c>
      <c r="L5768" s="14" t="n">
        <f aca="false">G5768-H5768</f>
        <v>-4.54</v>
      </c>
    </row>
    <row r="5769" customFormat="false" ht="15" hidden="false" customHeight="false" outlineLevel="0" collapsed="false">
      <c r="A5769" s="2" t="s">
        <v>126</v>
      </c>
      <c r="B5769" s="2" t="s">
        <v>126</v>
      </c>
      <c r="C5769" s="2" t="s">
        <v>50</v>
      </c>
      <c r="D5769" s="2" t="s">
        <v>12</v>
      </c>
      <c r="E5769" s="2" t="s">
        <v>76</v>
      </c>
      <c r="F5769" s="2" t="s">
        <v>1145</v>
      </c>
      <c r="G5769" s="14" t="n">
        <v>19.5</v>
      </c>
      <c r="H5769" s="14" t="n">
        <v>54.4</v>
      </c>
      <c r="I5769" s="14" t="n">
        <v>19.5</v>
      </c>
      <c r="J5769" s="22" t="n">
        <f aca="false">IF(E5769="Priority",'Cost model'!N385,'Cost model'!M385)</f>
        <v>55</v>
      </c>
      <c r="K5769" s="14" t="n">
        <f aca="false">J5769-H5769</f>
        <v>0.600000000000001</v>
      </c>
      <c r="L5769" s="14" t="n">
        <f aca="false">G5769-H5769</f>
        <v>-34.9</v>
      </c>
    </row>
    <row r="5770" customFormat="false" ht="15" hidden="false" customHeight="false" outlineLevel="0" collapsed="false">
      <c r="A5770" s="2" t="s">
        <v>184</v>
      </c>
      <c r="B5770" s="2" t="s">
        <v>184</v>
      </c>
      <c r="C5770" s="2" t="s">
        <v>50</v>
      </c>
      <c r="D5770" s="2" t="s">
        <v>10</v>
      </c>
      <c r="E5770" s="2" t="s">
        <v>76</v>
      </c>
      <c r="F5770" s="2" t="s">
        <v>1145</v>
      </c>
      <c r="G5770" s="14" t="n">
        <v>17.5</v>
      </c>
      <c r="H5770" s="14" t="n">
        <v>20.11</v>
      </c>
      <c r="I5770" s="14" t="n">
        <v>17.5</v>
      </c>
      <c r="J5770" s="22" t="n">
        <f aca="false">IF(E5770="Priority",'Cost model'!N202,'Cost model'!M202)</f>
        <v>17.5</v>
      </c>
      <c r="K5770" s="14" t="n">
        <f aca="false">J5770-H5770</f>
        <v>-2.61</v>
      </c>
      <c r="L5770" s="14" t="n">
        <f aca="false">G5770-H5770</f>
        <v>-2.61</v>
      </c>
    </row>
    <row r="5771" customFormat="false" ht="15" hidden="false" customHeight="false" outlineLevel="0" collapsed="false">
      <c r="A5771" s="2" t="s">
        <v>240</v>
      </c>
      <c r="B5771" s="2" t="s">
        <v>240</v>
      </c>
      <c r="C5771" s="2" t="s">
        <v>48</v>
      </c>
      <c r="D5771" s="2" t="s">
        <v>12</v>
      </c>
      <c r="E5771" s="2" t="s">
        <v>76</v>
      </c>
      <c r="F5771" s="2" t="s">
        <v>1145</v>
      </c>
      <c r="G5771" s="14" t="n">
        <v>9.5</v>
      </c>
      <c r="H5771" s="14" t="n">
        <v>7.9</v>
      </c>
      <c r="I5771" s="14" t="n">
        <v>9.5</v>
      </c>
      <c r="J5771" s="22" t="n">
        <f aca="false">IF(E5771="Priority",'Cost model'!N887,'Cost model'!M887)</f>
        <v>21.5</v>
      </c>
      <c r="K5771" s="14" t="n">
        <f aca="false">J5771-H5771</f>
        <v>13.6</v>
      </c>
      <c r="L5771" s="14" t="n">
        <f aca="false">G5771-H5771</f>
        <v>1.6</v>
      </c>
    </row>
    <row r="5772" customFormat="false" ht="15" hidden="false" customHeight="false" outlineLevel="0" collapsed="false">
      <c r="A5772" s="2" t="s">
        <v>146</v>
      </c>
      <c r="B5772" s="2" t="s">
        <v>146</v>
      </c>
      <c r="C5772" s="2" t="s">
        <v>49</v>
      </c>
      <c r="D5772" s="2" t="s">
        <v>10</v>
      </c>
      <c r="E5772" s="2" t="s">
        <v>76</v>
      </c>
      <c r="F5772" s="2" t="s">
        <v>1145</v>
      </c>
      <c r="G5772" s="14" t="n">
        <v>12.5</v>
      </c>
      <c r="H5772" s="14" t="n">
        <v>11.51</v>
      </c>
      <c r="I5772" s="14" t="n">
        <v>12.5</v>
      </c>
      <c r="J5772" s="22" t="n">
        <f aca="false">IF(E5772="Priority",'Cost model'!N759,'Cost model'!M759)</f>
        <v>15.5</v>
      </c>
      <c r="K5772" s="14" t="n">
        <f aca="false">J5772-H5772</f>
        <v>3.99</v>
      </c>
      <c r="L5772" s="14" t="n">
        <f aca="false">G5772-H5772</f>
        <v>0.99</v>
      </c>
    </row>
    <row r="5773" customFormat="false" ht="15" hidden="false" customHeight="false" outlineLevel="0" collapsed="false">
      <c r="A5773" s="2" t="s">
        <v>184</v>
      </c>
      <c r="B5773" s="2" t="s">
        <v>184</v>
      </c>
      <c r="C5773" s="2" t="s">
        <v>48</v>
      </c>
      <c r="D5773" s="2" t="s">
        <v>10</v>
      </c>
      <c r="E5773" s="2" t="s">
        <v>76</v>
      </c>
      <c r="F5773" s="2" t="s">
        <v>1145</v>
      </c>
      <c r="G5773" s="14" t="n">
        <v>9.5</v>
      </c>
      <c r="H5773" s="14" t="n">
        <v>9.78</v>
      </c>
      <c r="I5773" s="14" t="n">
        <v>9.5</v>
      </c>
      <c r="J5773" s="22" t="n">
        <f aca="false">IF(E5773="Priority",'Cost model'!N200,'Cost model'!M200)</f>
        <v>7.5</v>
      </c>
      <c r="K5773" s="14" t="n">
        <f aca="false">J5773-H5773</f>
        <v>-2.28</v>
      </c>
      <c r="L5773" s="14" t="n">
        <f aca="false">G5773-H5773</f>
        <v>-0.279999999999999</v>
      </c>
    </row>
    <row r="5774" customFormat="false" ht="15" hidden="false" customHeight="false" outlineLevel="0" collapsed="false">
      <c r="A5774" s="2" t="s">
        <v>165</v>
      </c>
      <c r="B5774" s="2" t="s">
        <v>126</v>
      </c>
      <c r="C5774" s="2" t="s">
        <v>48</v>
      </c>
      <c r="D5774" s="2" t="s">
        <v>12</v>
      </c>
      <c r="E5774" s="2" t="s">
        <v>76</v>
      </c>
      <c r="F5774" s="2" t="s">
        <v>1146</v>
      </c>
      <c r="G5774" s="14" t="n">
        <v>9.5</v>
      </c>
      <c r="H5774" s="14" t="n">
        <v>30.55</v>
      </c>
      <c r="I5774" s="14" t="n">
        <v>19.5</v>
      </c>
      <c r="J5774" s="22" t="n">
        <f aca="false">IF(E5774="Priority",'Cost model'!N545,'Cost model'!M545)</f>
        <v>50</v>
      </c>
      <c r="K5774" s="14" t="n">
        <f aca="false">J5774-H5774</f>
        <v>19.45</v>
      </c>
      <c r="L5774" s="14" t="n">
        <f aca="false">G5774-H5774</f>
        <v>-21.05</v>
      </c>
    </row>
    <row r="5775" customFormat="false" ht="15" hidden="false" customHeight="false" outlineLevel="0" collapsed="false">
      <c r="A5775" s="2" t="s">
        <v>184</v>
      </c>
      <c r="B5775" s="2" t="s">
        <v>184</v>
      </c>
      <c r="C5775" s="2" t="s">
        <v>49</v>
      </c>
      <c r="D5775" s="2" t="s">
        <v>12</v>
      </c>
      <c r="E5775" s="2" t="s">
        <v>76</v>
      </c>
      <c r="F5775" s="2" t="s">
        <v>1145</v>
      </c>
      <c r="G5775" s="14" t="n">
        <v>12.5</v>
      </c>
      <c r="H5775" s="14" t="n">
        <v>11.22</v>
      </c>
      <c r="I5775" s="14"/>
      <c r="J5775" s="22" t="n">
        <f aca="false">IF(E5775="Priority",'Cost model'!N204,'Cost model'!M204)</f>
        <v>45</v>
      </c>
      <c r="K5775" s="14" t="n">
        <f aca="false">J5775-H5775</f>
        <v>33.78</v>
      </c>
      <c r="L5775" s="14" t="n">
        <f aca="false">G5775-H5775</f>
        <v>1.28</v>
      </c>
    </row>
    <row r="5776" customFormat="false" ht="15" hidden="false" customHeight="false" outlineLevel="0" collapsed="false">
      <c r="A5776" s="2" t="s">
        <v>126</v>
      </c>
      <c r="B5776" s="2" t="s">
        <v>126</v>
      </c>
      <c r="C5776" s="2" t="s">
        <v>49</v>
      </c>
      <c r="D5776" s="2" t="s">
        <v>12</v>
      </c>
      <c r="E5776" s="2" t="s">
        <v>76</v>
      </c>
      <c r="F5776" s="2" t="s">
        <v>1145</v>
      </c>
      <c r="G5776" s="14" t="n">
        <v>12.5</v>
      </c>
      <c r="H5776" s="14" t="n">
        <v>30.16</v>
      </c>
      <c r="I5776" s="14" t="n">
        <v>12.5</v>
      </c>
      <c r="J5776" s="22" t="n">
        <f aca="false">IF(E5776="Priority",'Cost model'!N384,'Cost model'!M384)</f>
        <v>45</v>
      </c>
      <c r="K5776" s="14" t="n">
        <f aca="false">J5776-H5776</f>
        <v>14.84</v>
      </c>
      <c r="L5776" s="14" t="n">
        <f aca="false">G5776-H5776</f>
        <v>-17.66</v>
      </c>
    </row>
    <row r="5777" customFormat="false" ht="15" hidden="false" customHeight="false" outlineLevel="0" collapsed="false">
      <c r="A5777" s="2" t="s">
        <v>126</v>
      </c>
      <c r="B5777" s="2" t="s">
        <v>126</v>
      </c>
      <c r="C5777" s="2" t="s">
        <v>49</v>
      </c>
      <c r="D5777" s="2" t="s">
        <v>10</v>
      </c>
      <c r="E5777" s="2" t="s">
        <v>76</v>
      </c>
      <c r="F5777" s="2" t="s">
        <v>1145</v>
      </c>
      <c r="G5777" s="14" t="n">
        <v>12.5</v>
      </c>
      <c r="H5777" s="14" t="n">
        <v>17.69</v>
      </c>
      <c r="I5777" s="14" t="n">
        <v>12.5</v>
      </c>
      <c r="J5777" s="22" t="n">
        <f aca="false">IF(E5777="Priority",'Cost model'!N381,'Cost model'!M381)</f>
        <v>14.5</v>
      </c>
      <c r="K5777" s="14" t="n">
        <f aca="false">J5777-H5777</f>
        <v>-3.19</v>
      </c>
      <c r="L5777" s="14" t="n">
        <f aca="false">G5777-H5777</f>
        <v>-5.19</v>
      </c>
    </row>
    <row r="5778" customFormat="false" ht="15" hidden="false" customHeight="false" outlineLevel="0" collapsed="false">
      <c r="A5778" s="2" t="s">
        <v>126</v>
      </c>
      <c r="B5778" s="2" t="s">
        <v>126</v>
      </c>
      <c r="C5778" s="2" t="s">
        <v>49</v>
      </c>
      <c r="D5778" s="2" t="s">
        <v>10</v>
      </c>
      <c r="E5778" s="2" t="s">
        <v>76</v>
      </c>
      <c r="F5778" s="2" t="s">
        <v>1145</v>
      </c>
      <c r="G5778" s="14" t="n">
        <v>12.5</v>
      </c>
      <c r="H5778" s="14" t="n">
        <v>11.58</v>
      </c>
      <c r="I5778" s="14" t="n">
        <v>12.5</v>
      </c>
      <c r="J5778" s="22" t="n">
        <f aca="false">IF(E5778="Priority",'Cost model'!N381,'Cost model'!M381)</f>
        <v>14.5</v>
      </c>
      <c r="K5778" s="14" t="n">
        <f aca="false">J5778-H5778</f>
        <v>2.92</v>
      </c>
      <c r="L5778" s="14" t="n">
        <f aca="false">G5778-H5778</f>
        <v>0.92</v>
      </c>
    </row>
    <row r="5779" customFormat="false" ht="15" hidden="false" customHeight="false" outlineLevel="0" collapsed="false">
      <c r="A5779" s="2" t="s">
        <v>146</v>
      </c>
      <c r="B5779" s="2" t="s">
        <v>126</v>
      </c>
      <c r="C5779" s="2" t="s">
        <v>50</v>
      </c>
      <c r="D5779" s="2" t="s">
        <v>12</v>
      </c>
      <c r="E5779" s="2" t="s">
        <v>76</v>
      </c>
      <c r="F5779" s="2" t="s">
        <v>1146</v>
      </c>
      <c r="G5779" s="14" t="n">
        <v>19.5</v>
      </c>
      <c r="H5779" s="14" t="n">
        <v>36.87</v>
      </c>
      <c r="I5779" s="14" t="n">
        <v>19.5</v>
      </c>
      <c r="J5779" s="22" t="n">
        <f aca="false">IF(E5779="Priority",'Cost model'!N799,'Cost model'!M799)</f>
        <v>55</v>
      </c>
      <c r="K5779" s="14" t="n">
        <f aca="false">J5779-H5779</f>
        <v>18.13</v>
      </c>
      <c r="L5779" s="14" t="n">
        <f aca="false">G5779-H5779</f>
        <v>-17.37</v>
      </c>
    </row>
    <row r="5780" customFormat="false" ht="15" hidden="false" customHeight="false" outlineLevel="0" collapsed="false">
      <c r="A5780" s="2" t="s">
        <v>126</v>
      </c>
      <c r="B5780" s="2" t="s">
        <v>146</v>
      </c>
      <c r="C5780" s="2" t="s">
        <v>48</v>
      </c>
      <c r="D5780" s="2" t="s">
        <v>12</v>
      </c>
      <c r="E5780" s="2" t="s">
        <v>76</v>
      </c>
      <c r="F5780" s="2" t="s">
        <v>1146</v>
      </c>
      <c r="G5780" s="14" t="n">
        <v>19.5</v>
      </c>
      <c r="H5780" s="14" t="n">
        <v>55.64</v>
      </c>
      <c r="I5780" s="14" t="n">
        <v>19.5</v>
      </c>
      <c r="J5780" s="22" t="n">
        <f aca="false">IF(E5780="Priority",'Cost model'!N401,'Cost model'!M401)</f>
        <v>60</v>
      </c>
      <c r="K5780" s="14" t="n">
        <f aca="false">J5780-H5780</f>
        <v>4.36</v>
      </c>
      <c r="L5780" s="14" t="n">
        <f aca="false">G5780-H5780</f>
        <v>-36.14</v>
      </c>
    </row>
    <row r="5781" customFormat="false" ht="15" hidden="false" customHeight="false" outlineLevel="0" collapsed="false">
      <c r="A5781" s="2" t="s">
        <v>184</v>
      </c>
      <c r="B5781" s="2" t="s">
        <v>146</v>
      </c>
      <c r="C5781" s="2" t="s">
        <v>50</v>
      </c>
      <c r="D5781" s="2" t="s">
        <v>12</v>
      </c>
      <c r="E5781" s="2" t="s">
        <v>76</v>
      </c>
      <c r="F5781" s="2" t="s">
        <v>1146</v>
      </c>
      <c r="G5781" s="14" t="n">
        <v>19.5</v>
      </c>
      <c r="H5781" s="14" t="n">
        <v>52.02</v>
      </c>
      <c r="I5781" s="14" t="n">
        <v>19.5</v>
      </c>
      <c r="J5781" s="22" t="n">
        <f aca="false">IF(E5781="Priority",'Cost model'!N151,'Cost model'!M151)</f>
        <v>55</v>
      </c>
      <c r="K5781" s="14" t="n">
        <f aca="false">J5781-H5781</f>
        <v>2.98</v>
      </c>
      <c r="L5781" s="14" t="n">
        <f aca="false">G5781-H5781</f>
        <v>-32.52</v>
      </c>
    </row>
    <row r="5782" customFormat="false" ht="15" hidden="false" customHeight="false" outlineLevel="0" collapsed="false">
      <c r="A5782" s="2" t="s">
        <v>184</v>
      </c>
      <c r="B5782" s="2" t="s">
        <v>146</v>
      </c>
      <c r="C5782" s="2" t="s">
        <v>48</v>
      </c>
      <c r="D5782" s="2" t="s">
        <v>13</v>
      </c>
      <c r="E5782" s="2" t="s">
        <v>76</v>
      </c>
      <c r="F5782" s="2" t="s">
        <v>1146</v>
      </c>
      <c r="G5782" s="14" t="n">
        <v>19</v>
      </c>
      <c r="H5782" s="14" t="n">
        <v>33.56</v>
      </c>
      <c r="I5782" s="14" t="n">
        <v>19</v>
      </c>
      <c r="J5782" s="22" t="n">
        <f aca="false">IF(E5782="Priority",'Cost model'!N152,'Cost model'!M152)</f>
        <v>65</v>
      </c>
      <c r="K5782" s="14" t="n">
        <f aca="false">J5782-H5782</f>
        <v>31.44</v>
      </c>
      <c r="L5782" s="14" t="n">
        <f aca="false">G5782-H5782</f>
        <v>-14.56</v>
      </c>
    </row>
    <row r="5783" customFormat="false" ht="15" hidden="false" customHeight="false" outlineLevel="0" collapsed="false">
      <c r="A5783" s="2" t="s">
        <v>240</v>
      </c>
      <c r="B5783" s="2" t="s">
        <v>240</v>
      </c>
      <c r="C5783" s="2" t="s">
        <v>50</v>
      </c>
      <c r="D5783" s="2" t="s">
        <v>12</v>
      </c>
      <c r="E5783" s="2" t="s">
        <v>76</v>
      </c>
      <c r="F5783" s="2" t="s">
        <v>1145</v>
      </c>
      <c r="G5783" s="14" t="n">
        <v>19.5</v>
      </c>
      <c r="H5783" s="14" t="n">
        <v>43.66</v>
      </c>
      <c r="I5783" s="14" t="n">
        <v>19.5</v>
      </c>
      <c r="J5783" s="22" t="n">
        <f aca="false">IF(E5783="Priority",'Cost model'!N889,'Cost model'!M889)</f>
        <v>60</v>
      </c>
      <c r="K5783" s="14" t="n">
        <f aca="false">J5783-H5783</f>
        <v>16.34</v>
      </c>
      <c r="L5783" s="14" t="n">
        <f aca="false">G5783-H5783</f>
        <v>-24.16</v>
      </c>
    </row>
    <row r="5784" customFormat="false" ht="15" hidden="false" customHeight="false" outlineLevel="0" collapsed="false">
      <c r="A5784" s="2" t="s">
        <v>184</v>
      </c>
      <c r="B5784" s="2" t="s">
        <v>184</v>
      </c>
      <c r="C5784" s="2" t="s">
        <v>50</v>
      </c>
      <c r="D5784" s="2" t="s">
        <v>10</v>
      </c>
      <c r="E5784" s="2" t="s">
        <v>76</v>
      </c>
      <c r="F5784" s="2" t="s">
        <v>1145</v>
      </c>
      <c r="G5784" s="14" t="n">
        <v>17.5</v>
      </c>
      <c r="H5784" s="14" t="n">
        <v>20.39</v>
      </c>
      <c r="I5784" s="14" t="n">
        <v>17.5</v>
      </c>
      <c r="J5784" s="22" t="n">
        <f aca="false">IF(E5784="Priority",'Cost model'!N202,'Cost model'!M202)</f>
        <v>17.5</v>
      </c>
      <c r="K5784" s="14" t="n">
        <f aca="false">J5784-H5784</f>
        <v>-2.89</v>
      </c>
      <c r="L5784" s="14" t="n">
        <f aca="false">G5784-H5784</f>
        <v>-2.89</v>
      </c>
    </row>
    <row r="5785" customFormat="false" ht="15" hidden="false" customHeight="false" outlineLevel="0" collapsed="false">
      <c r="A5785" s="2" t="s">
        <v>184</v>
      </c>
      <c r="B5785" s="2" t="s">
        <v>146</v>
      </c>
      <c r="C5785" s="2" t="s">
        <v>48</v>
      </c>
      <c r="D5785" s="2" t="s">
        <v>12</v>
      </c>
      <c r="E5785" s="2" t="s">
        <v>76</v>
      </c>
      <c r="F5785" s="2" t="s">
        <v>1146</v>
      </c>
      <c r="G5785" s="14" t="n">
        <v>9.5</v>
      </c>
      <c r="H5785" s="14" t="n">
        <v>44.78</v>
      </c>
      <c r="I5785" s="14" t="n">
        <v>9.5</v>
      </c>
      <c r="J5785" s="22" t="n">
        <f aca="false">IF(E5785="Priority",'Cost model'!N149,'Cost model'!M149)</f>
        <v>45</v>
      </c>
      <c r="K5785" s="14" t="n">
        <f aca="false">J5785-H5785</f>
        <v>0.219999999999999</v>
      </c>
      <c r="L5785" s="14" t="n">
        <f aca="false">G5785-H5785</f>
        <v>-35.28</v>
      </c>
    </row>
    <row r="5786" customFormat="false" ht="15" hidden="false" customHeight="false" outlineLevel="0" collapsed="false">
      <c r="A5786" s="2" t="s">
        <v>146</v>
      </c>
      <c r="B5786" s="2" t="s">
        <v>146</v>
      </c>
      <c r="C5786" s="2" t="s">
        <v>48</v>
      </c>
      <c r="D5786" s="2" t="s">
        <v>10</v>
      </c>
      <c r="E5786" s="2" t="s">
        <v>76</v>
      </c>
      <c r="F5786" s="2" t="s">
        <v>1145</v>
      </c>
      <c r="G5786" s="14" t="n">
        <v>9.5</v>
      </c>
      <c r="H5786" s="14" t="n">
        <v>8.33</v>
      </c>
      <c r="I5786" s="14" t="n">
        <v>9.5</v>
      </c>
      <c r="J5786" s="22" t="n">
        <f aca="false">IF(E5786="Priority",'Cost model'!N758,'Cost model'!M758)</f>
        <v>9.5</v>
      </c>
      <c r="K5786" s="14" t="n">
        <f aca="false">J5786-H5786</f>
        <v>1.17</v>
      </c>
      <c r="L5786" s="14" t="n">
        <f aca="false">G5786-H5786</f>
        <v>1.17</v>
      </c>
    </row>
    <row r="5787" customFormat="false" ht="15" hidden="false" customHeight="false" outlineLevel="0" collapsed="false">
      <c r="A5787" s="2" t="s">
        <v>184</v>
      </c>
      <c r="B5787" s="2" t="s">
        <v>184</v>
      </c>
      <c r="C5787" s="2" t="s">
        <v>48</v>
      </c>
      <c r="D5787" s="2" t="s">
        <v>12</v>
      </c>
      <c r="E5787" s="2" t="s">
        <v>76</v>
      </c>
      <c r="F5787" s="2" t="s">
        <v>1145</v>
      </c>
      <c r="G5787" s="14" t="n">
        <v>9.5</v>
      </c>
      <c r="H5787" s="14" t="n">
        <v>21.89</v>
      </c>
      <c r="I5787" s="14" t="n">
        <v>9.5</v>
      </c>
      <c r="J5787" s="22" t="n">
        <f aca="false">IF(E5787="Priority",'Cost model'!N203,'Cost model'!M203)</f>
        <v>26.5</v>
      </c>
      <c r="K5787" s="14" t="n">
        <f aca="false">J5787-H5787</f>
        <v>4.61</v>
      </c>
      <c r="L5787" s="14" t="n">
        <f aca="false">G5787-H5787</f>
        <v>-12.39</v>
      </c>
    </row>
    <row r="5788" customFormat="false" ht="15" hidden="false" customHeight="false" outlineLevel="0" collapsed="false">
      <c r="A5788" s="2" t="s">
        <v>184</v>
      </c>
      <c r="B5788" s="2" t="s">
        <v>221</v>
      </c>
      <c r="C5788" s="2" t="s">
        <v>48</v>
      </c>
      <c r="D5788" s="2" t="s">
        <v>10</v>
      </c>
      <c r="E5788" s="2" t="s">
        <v>76</v>
      </c>
      <c r="F5788" s="2" t="s">
        <v>1146</v>
      </c>
      <c r="G5788" s="14" t="n">
        <v>9.5</v>
      </c>
      <c r="H5788" s="14" t="n">
        <v>9.85</v>
      </c>
      <c r="I5788" s="14" t="n">
        <v>19.5</v>
      </c>
      <c r="J5788" s="22" t="n">
        <f aca="false">IF(E5788="Priority",'Cost model'!N218,'Cost model'!M218)</f>
        <v>12.5</v>
      </c>
      <c r="K5788" s="14" t="n">
        <f aca="false">J5788-H5788</f>
        <v>2.65</v>
      </c>
      <c r="L5788" s="14" t="n">
        <f aca="false">G5788-H5788</f>
        <v>-0.35</v>
      </c>
    </row>
    <row r="5789" customFormat="false" ht="15" hidden="false" customHeight="false" outlineLevel="0" collapsed="false">
      <c r="A5789" s="2" t="s">
        <v>165</v>
      </c>
      <c r="B5789" s="2" t="s">
        <v>165</v>
      </c>
      <c r="C5789" s="2" t="s">
        <v>50</v>
      </c>
      <c r="D5789" s="2" t="s">
        <v>12</v>
      </c>
      <c r="E5789" s="2" t="s">
        <v>76</v>
      </c>
      <c r="F5789" s="2" t="s">
        <v>1145</v>
      </c>
      <c r="G5789" s="14" t="n">
        <v>19.5</v>
      </c>
      <c r="H5789" s="14" t="n">
        <v>20.99</v>
      </c>
      <c r="I5789" s="14" t="n">
        <v>19.5</v>
      </c>
      <c r="J5789" s="22" t="n">
        <f aca="false">IF(E5789="Priority",'Cost model'!N511,'Cost model'!M511)</f>
        <v>35</v>
      </c>
      <c r="K5789" s="14" t="n">
        <f aca="false">J5789-H5789</f>
        <v>14.01</v>
      </c>
      <c r="L5789" s="14" t="n">
        <f aca="false">G5789-H5789</f>
        <v>-1.49</v>
      </c>
    </row>
    <row r="5790" customFormat="false" ht="15" hidden="false" customHeight="false" outlineLevel="0" collapsed="false">
      <c r="A5790" s="2" t="s">
        <v>240</v>
      </c>
      <c r="B5790" s="2" t="s">
        <v>240</v>
      </c>
      <c r="C5790" s="2" t="s">
        <v>50</v>
      </c>
      <c r="D5790" s="2" t="s">
        <v>10</v>
      </c>
      <c r="E5790" s="2" t="s">
        <v>76</v>
      </c>
      <c r="F5790" s="2" t="s">
        <v>1145</v>
      </c>
      <c r="G5790" s="14" t="n">
        <v>17.5</v>
      </c>
      <c r="H5790" s="14" t="n">
        <v>14.08</v>
      </c>
      <c r="I5790" s="14" t="n">
        <v>17.5</v>
      </c>
      <c r="J5790" s="22" t="n">
        <f aca="false">IF(E5790="Priority",'Cost model'!N886,'Cost model'!M886)</f>
        <v>17.5</v>
      </c>
      <c r="K5790" s="14" t="n">
        <f aca="false">J5790-H5790</f>
        <v>3.42</v>
      </c>
      <c r="L5790" s="14" t="n">
        <f aca="false">G5790-H5790</f>
        <v>3.42</v>
      </c>
    </row>
    <row r="5791" customFormat="false" ht="15" hidden="false" customHeight="false" outlineLevel="0" collapsed="false">
      <c r="A5791" s="2" t="s">
        <v>146</v>
      </c>
      <c r="B5791" s="2" t="s">
        <v>126</v>
      </c>
      <c r="C5791" s="2" t="s">
        <v>48</v>
      </c>
      <c r="D5791" s="2" t="s">
        <v>10</v>
      </c>
      <c r="E5791" s="2" t="s">
        <v>76</v>
      </c>
      <c r="F5791" s="2" t="s">
        <v>1146</v>
      </c>
      <c r="G5791" s="14" t="n">
        <v>14.5</v>
      </c>
      <c r="H5791" s="14" t="n">
        <v>9.37</v>
      </c>
      <c r="I5791" s="14" t="n">
        <v>14.5</v>
      </c>
      <c r="J5791" s="22" t="n">
        <f aca="false">IF(E5791="Priority",'Cost model'!N794,'Cost model'!M794)</f>
        <v>12.5</v>
      </c>
      <c r="K5791" s="14" t="n">
        <f aca="false">J5791-H5791</f>
        <v>3.13</v>
      </c>
      <c r="L5791" s="14" t="n">
        <f aca="false">G5791-H5791</f>
        <v>5.13</v>
      </c>
    </row>
    <row r="5792" customFormat="false" ht="15" hidden="false" customHeight="false" outlineLevel="0" collapsed="false">
      <c r="A5792" s="2" t="s">
        <v>184</v>
      </c>
      <c r="B5792" s="2" t="s">
        <v>146</v>
      </c>
      <c r="C5792" s="2" t="s">
        <v>50</v>
      </c>
      <c r="D5792" s="2" t="s">
        <v>12</v>
      </c>
      <c r="E5792" s="2" t="s">
        <v>76</v>
      </c>
      <c r="F5792" s="2" t="s">
        <v>1146</v>
      </c>
      <c r="G5792" s="14" t="n">
        <v>24.5</v>
      </c>
      <c r="H5792" s="14" t="n">
        <v>56.91</v>
      </c>
      <c r="I5792" s="14" t="n">
        <v>19.5</v>
      </c>
      <c r="J5792" s="22" t="n">
        <f aca="false">IF(E5792="Priority",'Cost model'!N151,'Cost model'!M151)</f>
        <v>55</v>
      </c>
      <c r="K5792" s="14" t="n">
        <f aca="false">J5792-H5792</f>
        <v>-1.91</v>
      </c>
      <c r="L5792" s="14" t="n">
        <f aca="false">G5792-H5792</f>
        <v>-32.41</v>
      </c>
    </row>
    <row r="5793" customFormat="false" ht="15" hidden="false" customHeight="false" outlineLevel="0" collapsed="false">
      <c r="A5793" s="2" t="s">
        <v>146</v>
      </c>
      <c r="B5793" s="2" t="s">
        <v>165</v>
      </c>
      <c r="C5793" s="2" t="s">
        <v>48</v>
      </c>
      <c r="D5793" s="2" t="s">
        <v>14</v>
      </c>
      <c r="E5793" s="2" t="s">
        <v>85</v>
      </c>
      <c r="F5793" s="2" t="s">
        <v>1146</v>
      </c>
      <c r="G5793" s="14" t="n">
        <v>125</v>
      </c>
      <c r="H5793" s="14" t="n">
        <v>223.49</v>
      </c>
      <c r="I5793" s="14" t="n">
        <v>125</v>
      </c>
      <c r="J5793" s="22" t="n">
        <f aca="false">IF(E5793="Priority",'Cost model'!N785,'Cost model'!M785)</f>
        <v>175</v>
      </c>
      <c r="K5793" s="14" t="n">
        <f aca="false">J5793-H5793</f>
        <v>-48.49</v>
      </c>
      <c r="L5793" s="14" t="n">
        <f aca="false">G5793-H5793</f>
        <v>-98.49</v>
      </c>
    </row>
    <row r="5794" customFormat="false" ht="15" hidden="false" customHeight="false" outlineLevel="0" collapsed="false">
      <c r="A5794" s="2" t="s">
        <v>240</v>
      </c>
      <c r="B5794" s="2" t="s">
        <v>240</v>
      </c>
      <c r="C5794" s="2" t="s">
        <v>48</v>
      </c>
      <c r="D5794" s="2" t="s">
        <v>12</v>
      </c>
      <c r="E5794" s="2" t="s">
        <v>76</v>
      </c>
      <c r="F5794" s="2" t="s">
        <v>1145</v>
      </c>
      <c r="G5794" s="14" t="n">
        <v>9.5</v>
      </c>
      <c r="H5794" s="14" t="n">
        <v>25</v>
      </c>
      <c r="I5794" s="14" t="n">
        <v>9.5</v>
      </c>
      <c r="J5794" s="22" t="n">
        <f aca="false">IF(E5794="Priority",'Cost model'!N887,'Cost model'!M887)</f>
        <v>21.5</v>
      </c>
      <c r="K5794" s="14" t="n">
        <f aca="false">J5794-H5794</f>
        <v>-3.5</v>
      </c>
      <c r="L5794" s="14" t="n">
        <f aca="false">G5794-H5794</f>
        <v>-15.5</v>
      </c>
    </row>
    <row r="5795" customFormat="false" ht="15" hidden="false" customHeight="false" outlineLevel="0" collapsed="false">
      <c r="A5795" s="2" t="s">
        <v>126</v>
      </c>
      <c r="B5795" s="2" t="s">
        <v>126</v>
      </c>
      <c r="C5795" s="2" t="s">
        <v>50</v>
      </c>
      <c r="D5795" s="2" t="s">
        <v>10</v>
      </c>
      <c r="E5795" s="2" t="s">
        <v>76</v>
      </c>
      <c r="F5795" s="2" t="s">
        <v>1145</v>
      </c>
      <c r="G5795" s="14" t="n">
        <v>17.5</v>
      </c>
      <c r="H5795" s="14" t="n">
        <v>11.51</v>
      </c>
      <c r="I5795" s="14" t="n">
        <v>17.5</v>
      </c>
      <c r="J5795" s="22" t="n">
        <f aca="false">IF(E5795="Priority",'Cost model'!N382,'Cost model'!M382)</f>
        <v>18.5</v>
      </c>
      <c r="K5795" s="14" t="n">
        <f aca="false">J5795-H5795</f>
        <v>6.99</v>
      </c>
      <c r="L5795" s="14" t="n">
        <f aca="false">G5795-H5795</f>
        <v>5.99</v>
      </c>
    </row>
    <row r="5796" customFormat="false" ht="15" hidden="false" customHeight="false" outlineLevel="0" collapsed="false">
      <c r="A5796" s="2" t="s">
        <v>240</v>
      </c>
      <c r="B5796" s="2" t="s">
        <v>240</v>
      </c>
      <c r="C5796" s="2" t="s">
        <v>48</v>
      </c>
      <c r="D5796" s="2" t="s">
        <v>10</v>
      </c>
      <c r="E5796" s="2" t="s">
        <v>76</v>
      </c>
      <c r="F5796" s="2" t="s">
        <v>1145</v>
      </c>
      <c r="G5796" s="14" t="n">
        <v>9.5</v>
      </c>
      <c r="H5796" s="14" t="n">
        <v>7.15</v>
      </c>
      <c r="I5796" s="14" t="n">
        <v>9.5</v>
      </c>
      <c r="J5796" s="22" t="n">
        <f aca="false">IF(E5796="Priority",'Cost model'!N884,'Cost model'!M884)</f>
        <v>7.5</v>
      </c>
      <c r="K5796" s="14" t="n">
        <f aca="false">J5796-H5796</f>
        <v>0.35</v>
      </c>
      <c r="L5796" s="14" t="n">
        <f aca="false">G5796-H5796</f>
        <v>2.35</v>
      </c>
    </row>
    <row r="5797" customFormat="false" ht="15" hidden="false" customHeight="false" outlineLevel="0" collapsed="false">
      <c r="A5797" s="2" t="s">
        <v>240</v>
      </c>
      <c r="B5797" s="2" t="s">
        <v>240</v>
      </c>
      <c r="C5797" s="2" t="s">
        <v>48</v>
      </c>
      <c r="D5797" s="2" t="s">
        <v>10</v>
      </c>
      <c r="E5797" s="2" t="s">
        <v>76</v>
      </c>
      <c r="F5797" s="2" t="s">
        <v>1145</v>
      </c>
      <c r="G5797" s="14" t="n">
        <v>9.5</v>
      </c>
      <c r="H5797" s="14" t="n">
        <v>5.95</v>
      </c>
      <c r="I5797" s="14" t="n">
        <v>9.5</v>
      </c>
      <c r="J5797" s="22" t="n">
        <f aca="false">IF(E5797="Priority",'Cost model'!N884,'Cost model'!M884)</f>
        <v>7.5</v>
      </c>
      <c r="K5797" s="14" t="n">
        <f aca="false">J5797-H5797</f>
        <v>1.55</v>
      </c>
      <c r="L5797" s="14" t="n">
        <f aca="false">G5797-H5797</f>
        <v>3.55</v>
      </c>
    </row>
    <row r="5798" customFormat="false" ht="15" hidden="false" customHeight="false" outlineLevel="0" collapsed="false">
      <c r="A5798" s="2" t="s">
        <v>126</v>
      </c>
      <c r="B5798" s="2" t="s">
        <v>126</v>
      </c>
      <c r="C5798" s="2" t="s">
        <v>48</v>
      </c>
      <c r="D5798" s="2" t="s">
        <v>10</v>
      </c>
      <c r="E5798" s="2" t="s">
        <v>76</v>
      </c>
      <c r="F5798" s="2" t="s">
        <v>1145</v>
      </c>
      <c r="G5798" s="14" t="n">
        <v>9.5</v>
      </c>
      <c r="H5798" s="14" t="n">
        <v>7.72</v>
      </c>
      <c r="I5798" s="14" t="n">
        <v>9.5</v>
      </c>
      <c r="J5798" s="22" t="n">
        <f aca="false">IF(E5798="Priority",'Cost model'!N380,'Cost model'!M380)</f>
        <v>8.5</v>
      </c>
      <c r="K5798" s="14" t="n">
        <f aca="false">J5798-H5798</f>
        <v>0.78</v>
      </c>
      <c r="L5798" s="14" t="n">
        <f aca="false">G5798-H5798</f>
        <v>1.78</v>
      </c>
    </row>
    <row r="5799" customFormat="false" ht="15" hidden="false" customHeight="false" outlineLevel="0" collapsed="false">
      <c r="A5799" s="2" t="s">
        <v>126</v>
      </c>
      <c r="B5799" s="2" t="s">
        <v>126</v>
      </c>
      <c r="C5799" s="2" t="s">
        <v>49</v>
      </c>
      <c r="D5799" s="2" t="s">
        <v>12</v>
      </c>
      <c r="E5799" s="2" t="s">
        <v>76</v>
      </c>
      <c r="F5799" s="2" t="s">
        <v>1145</v>
      </c>
      <c r="G5799" s="14" t="n">
        <v>12.5</v>
      </c>
      <c r="H5799" s="14" t="n">
        <v>43.59</v>
      </c>
      <c r="I5799" s="14" t="n">
        <v>12.5</v>
      </c>
      <c r="J5799" s="22" t="n">
        <f aca="false">IF(E5799="Priority",'Cost model'!N384,'Cost model'!M384)</f>
        <v>45</v>
      </c>
      <c r="K5799" s="14" t="n">
        <f aca="false">J5799-H5799</f>
        <v>1.41</v>
      </c>
      <c r="L5799" s="14" t="n">
        <f aca="false">G5799-H5799</f>
        <v>-31.09</v>
      </c>
    </row>
    <row r="5800" customFormat="false" ht="15" hidden="false" customHeight="false" outlineLevel="0" collapsed="false">
      <c r="A5800" s="2" t="s">
        <v>126</v>
      </c>
      <c r="B5800" s="2" t="s">
        <v>165</v>
      </c>
      <c r="C5800" s="2" t="s">
        <v>48</v>
      </c>
      <c r="D5800" s="2" t="s">
        <v>12</v>
      </c>
      <c r="E5800" s="2" t="s">
        <v>76</v>
      </c>
      <c r="F5800" s="2" t="s">
        <v>1146</v>
      </c>
      <c r="G5800" s="14" t="n">
        <v>9.5</v>
      </c>
      <c r="H5800" s="14" t="n">
        <v>60.79</v>
      </c>
      <c r="I5800" s="14" t="n">
        <v>19.5</v>
      </c>
      <c r="J5800" s="22" t="n">
        <f aca="false">IF(E5800="Priority",'Cost model'!N419,'Cost model'!M419)</f>
        <v>55</v>
      </c>
      <c r="K5800" s="14" t="n">
        <f aca="false">J5800-H5800</f>
        <v>-5.79</v>
      </c>
      <c r="L5800" s="14" t="n">
        <f aca="false">G5800-H5800</f>
        <v>-51.29</v>
      </c>
    </row>
    <row r="5801" customFormat="false" ht="15" hidden="false" customHeight="false" outlineLevel="0" collapsed="false">
      <c r="A5801" s="2" t="s">
        <v>146</v>
      </c>
      <c r="B5801" s="2" t="s">
        <v>184</v>
      </c>
      <c r="C5801" s="2" t="s">
        <v>48</v>
      </c>
      <c r="D5801" s="2" t="s">
        <v>10</v>
      </c>
      <c r="E5801" s="2" t="s">
        <v>85</v>
      </c>
      <c r="F5801" s="2" t="s">
        <v>1146</v>
      </c>
      <c r="G5801" s="14" t="n">
        <v>19.5</v>
      </c>
      <c r="H5801" s="14" t="n">
        <v>5.97</v>
      </c>
      <c r="I5801" s="14" t="n">
        <v>19.5</v>
      </c>
      <c r="J5801" s="22" t="n">
        <f aca="false">IF(E5801="Priority",'Cost model'!N830,'Cost model'!M830)</f>
        <v>14.5</v>
      </c>
      <c r="K5801" s="14" t="n">
        <f aca="false">J5801-H5801</f>
        <v>8.53</v>
      </c>
      <c r="L5801" s="14" t="n">
        <f aca="false">G5801-H5801</f>
        <v>13.53</v>
      </c>
    </row>
    <row r="5802" customFormat="false" ht="15" hidden="false" customHeight="false" outlineLevel="0" collapsed="false">
      <c r="A5802" s="2" t="s">
        <v>221</v>
      </c>
      <c r="B5802" s="2" t="s">
        <v>221</v>
      </c>
      <c r="C5802" s="2" t="s">
        <v>49</v>
      </c>
      <c r="D5802" s="2" t="s">
        <v>12</v>
      </c>
      <c r="E5802" s="2" t="s">
        <v>76</v>
      </c>
      <c r="F5802" s="2" t="s">
        <v>1145</v>
      </c>
      <c r="G5802" s="14" t="n">
        <v>24.5</v>
      </c>
      <c r="H5802" s="14" t="n">
        <v>65.6</v>
      </c>
      <c r="I5802" s="14" t="n">
        <v>12.5</v>
      </c>
      <c r="J5802" s="22" t="n">
        <f aca="false">IF(E5802="Priority",'Cost model'!N636,'Cost model'!M636)</f>
        <v>55</v>
      </c>
      <c r="K5802" s="14" t="n">
        <f aca="false">J5802-H5802</f>
        <v>-10.6</v>
      </c>
      <c r="L5802" s="14" t="n">
        <f aca="false">G5802-H5802</f>
        <v>-41.1</v>
      </c>
    </row>
    <row r="5803" customFormat="false" ht="15" hidden="false" customHeight="false" outlineLevel="0" collapsed="false">
      <c r="A5803" s="2" t="s">
        <v>146</v>
      </c>
      <c r="B5803" s="2" t="s">
        <v>146</v>
      </c>
      <c r="C5803" s="2" t="s">
        <v>48</v>
      </c>
      <c r="D5803" s="2" t="s">
        <v>10</v>
      </c>
      <c r="E5803" s="2" t="s">
        <v>76</v>
      </c>
      <c r="F5803" s="2" t="s">
        <v>1145</v>
      </c>
      <c r="G5803" s="14" t="n">
        <v>9.5</v>
      </c>
      <c r="H5803" s="14" t="n">
        <v>7.47</v>
      </c>
      <c r="I5803" s="14" t="n">
        <v>9.5</v>
      </c>
      <c r="J5803" s="22" t="n">
        <f aca="false">IF(E5803="Priority",'Cost model'!N758,'Cost model'!M758)</f>
        <v>9.5</v>
      </c>
      <c r="K5803" s="14" t="n">
        <f aca="false">J5803-H5803</f>
        <v>2.03</v>
      </c>
      <c r="L5803" s="14" t="n">
        <f aca="false">G5803-H5803</f>
        <v>2.03</v>
      </c>
    </row>
    <row r="5804" customFormat="false" ht="15" hidden="false" customHeight="false" outlineLevel="0" collapsed="false">
      <c r="A5804" s="2" t="s">
        <v>184</v>
      </c>
      <c r="B5804" s="2" t="s">
        <v>184</v>
      </c>
      <c r="C5804" s="2" t="s">
        <v>48</v>
      </c>
      <c r="D5804" s="2" t="s">
        <v>10</v>
      </c>
      <c r="E5804" s="2" t="s">
        <v>76</v>
      </c>
      <c r="F5804" s="2" t="s">
        <v>1145</v>
      </c>
      <c r="G5804" s="14" t="n">
        <v>9.5</v>
      </c>
      <c r="H5804" s="14" t="n">
        <v>6.19</v>
      </c>
      <c r="I5804" s="14" t="n">
        <v>9.5</v>
      </c>
      <c r="J5804" s="22" t="n">
        <f aca="false">IF(E5804="Priority",'Cost model'!N200,'Cost model'!M200)</f>
        <v>7.5</v>
      </c>
      <c r="K5804" s="14" t="n">
        <f aca="false">J5804-H5804</f>
        <v>1.31</v>
      </c>
      <c r="L5804" s="14" t="n">
        <f aca="false">G5804-H5804</f>
        <v>3.31</v>
      </c>
    </row>
    <row r="5805" customFormat="false" ht="15" hidden="false" customHeight="false" outlineLevel="0" collapsed="false">
      <c r="A5805" s="2" t="s">
        <v>221</v>
      </c>
      <c r="B5805" s="2" t="s">
        <v>146</v>
      </c>
      <c r="C5805" s="2" t="s">
        <v>49</v>
      </c>
      <c r="D5805" s="2" t="s">
        <v>13</v>
      </c>
      <c r="E5805" s="2" t="s">
        <v>76</v>
      </c>
      <c r="F5805" s="2" t="s">
        <v>1146</v>
      </c>
      <c r="G5805" s="14" t="n">
        <v>24.5</v>
      </c>
      <c r="H5805" s="14" t="n">
        <v>282.98</v>
      </c>
      <c r="I5805" s="14" t="n">
        <v>24.5</v>
      </c>
      <c r="J5805" s="22" t="n">
        <f aca="false">IF(E5805="Priority",'Cost model'!N657,'Cost model'!M657)</f>
        <v>135</v>
      </c>
      <c r="K5805" s="14" t="n">
        <f aca="false">J5805-H5805</f>
        <v>-147.98</v>
      </c>
      <c r="L5805" s="14" t="n">
        <f aca="false">G5805-H5805</f>
        <v>-258.48</v>
      </c>
    </row>
    <row r="5806" customFormat="false" ht="15" hidden="false" customHeight="false" outlineLevel="0" collapsed="false">
      <c r="A5806" s="2" t="s">
        <v>184</v>
      </c>
      <c r="B5806" s="2" t="s">
        <v>184</v>
      </c>
      <c r="C5806" s="2" t="s">
        <v>48</v>
      </c>
      <c r="D5806" s="2" t="s">
        <v>10</v>
      </c>
      <c r="E5806" s="2" t="s">
        <v>76</v>
      </c>
      <c r="F5806" s="2" t="s">
        <v>1145</v>
      </c>
      <c r="G5806" s="14" t="n">
        <v>9.5</v>
      </c>
      <c r="H5806" s="14" t="n">
        <v>7.45</v>
      </c>
      <c r="I5806" s="14" t="n">
        <v>9.5</v>
      </c>
      <c r="J5806" s="22" t="n">
        <f aca="false">IF(E5806="Priority",'Cost model'!N200,'Cost model'!M200)</f>
        <v>7.5</v>
      </c>
      <c r="K5806" s="14" t="n">
        <f aca="false">J5806-H5806</f>
        <v>0.0499999999999998</v>
      </c>
      <c r="L5806" s="14" t="n">
        <f aca="false">G5806-H5806</f>
        <v>2.05</v>
      </c>
    </row>
    <row r="5807" customFormat="false" ht="15" hidden="false" customHeight="false" outlineLevel="0" collapsed="false">
      <c r="A5807" s="2" t="s">
        <v>184</v>
      </c>
      <c r="B5807" s="2" t="s">
        <v>184</v>
      </c>
      <c r="C5807" s="2" t="s">
        <v>49</v>
      </c>
      <c r="D5807" s="2" t="s">
        <v>12</v>
      </c>
      <c r="E5807" s="2" t="s">
        <v>85</v>
      </c>
      <c r="F5807" s="2" t="s">
        <v>1145</v>
      </c>
      <c r="G5807" s="14" t="n">
        <v>19.5</v>
      </c>
      <c r="H5807" s="14" t="n">
        <v>45.14</v>
      </c>
      <c r="I5807" s="14" t="n">
        <v>19.5</v>
      </c>
      <c r="J5807" s="22" t="n">
        <f aca="false">IF(E5807="Priority",'Cost model'!N204,'Cost model'!M204)</f>
        <v>60</v>
      </c>
      <c r="K5807" s="14" t="n">
        <f aca="false">J5807-H5807</f>
        <v>14.86</v>
      </c>
      <c r="L5807" s="14" t="n">
        <f aca="false">G5807-H5807</f>
        <v>-25.64</v>
      </c>
    </row>
    <row r="5808" customFormat="false" ht="15" hidden="false" customHeight="false" outlineLevel="0" collapsed="false">
      <c r="A5808" s="2" t="s">
        <v>184</v>
      </c>
      <c r="B5808" s="2" t="s">
        <v>184</v>
      </c>
      <c r="C5808" s="2" t="s">
        <v>49</v>
      </c>
      <c r="D5808" s="2" t="s">
        <v>12</v>
      </c>
      <c r="E5808" s="2" t="s">
        <v>76</v>
      </c>
      <c r="F5808" s="2" t="s">
        <v>1145</v>
      </c>
      <c r="G5808" s="14" t="n">
        <v>12.5</v>
      </c>
      <c r="H5808" s="14" t="n">
        <v>59.17</v>
      </c>
      <c r="I5808" s="14"/>
      <c r="J5808" s="22" t="n">
        <f aca="false">IF(E5808="Priority",'Cost model'!N204,'Cost model'!M204)</f>
        <v>45</v>
      </c>
      <c r="K5808" s="14" t="n">
        <f aca="false">J5808-H5808</f>
        <v>-14.17</v>
      </c>
      <c r="L5808" s="14" t="n">
        <f aca="false">G5808-H5808</f>
        <v>-46.67</v>
      </c>
    </row>
    <row r="5809" customFormat="false" ht="15" hidden="false" customHeight="false" outlineLevel="0" collapsed="false">
      <c r="A5809" s="2" t="s">
        <v>126</v>
      </c>
      <c r="B5809" s="2" t="s">
        <v>126</v>
      </c>
      <c r="C5809" s="2" t="s">
        <v>49</v>
      </c>
      <c r="D5809" s="2" t="s">
        <v>13</v>
      </c>
      <c r="E5809" s="2" t="s">
        <v>76</v>
      </c>
      <c r="F5809" s="2" t="s">
        <v>1145</v>
      </c>
      <c r="G5809" s="14" t="n">
        <v>24.5</v>
      </c>
      <c r="H5809" s="14" t="n">
        <v>157.93</v>
      </c>
      <c r="I5809" s="14" t="n">
        <v>24.5</v>
      </c>
      <c r="J5809" s="22" t="n">
        <f aca="false">IF(E5809="Priority",'Cost model'!N387,'Cost model'!M387)</f>
        <v>95</v>
      </c>
      <c r="K5809" s="14" t="n">
        <f aca="false">J5809-H5809</f>
        <v>-62.93</v>
      </c>
      <c r="L5809" s="14" t="n">
        <f aca="false">G5809-H5809</f>
        <v>-133.43</v>
      </c>
    </row>
    <row r="5810" customFormat="false" ht="15" hidden="false" customHeight="false" outlineLevel="0" collapsed="false">
      <c r="A5810" s="2" t="s">
        <v>126</v>
      </c>
      <c r="B5810" s="2" t="s">
        <v>126</v>
      </c>
      <c r="C5810" s="2" t="s">
        <v>49</v>
      </c>
      <c r="D5810" s="2" t="s">
        <v>10</v>
      </c>
      <c r="E5810" s="2" t="s">
        <v>76</v>
      </c>
      <c r="F5810" s="2" t="s">
        <v>1145</v>
      </c>
      <c r="G5810" s="14" t="n">
        <v>12.5</v>
      </c>
      <c r="H5810" s="14" t="n">
        <v>7.72</v>
      </c>
      <c r="I5810" s="14" t="n">
        <v>12.5</v>
      </c>
      <c r="J5810" s="22" t="n">
        <f aca="false">IF(E5810="Priority",'Cost model'!N381,'Cost model'!M381)</f>
        <v>14.5</v>
      </c>
      <c r="K5810" s="14" t="n">
        <f aca="false">J5810-H5810</f>
        <v>6.78</v>
      </c>
      <c r="L5810" s="14" t="n">
        <f aca="false">G5810-H5810</f>
        <v>4.78</v>
      </c>
    </row>
    <row r="5811" customFormat="false" ht="15" hidden="false" customHeight="false" outlineLevel="0" collapsed="false">
      <c r="A5811" s="2" t="s">
        <v>126</v>
      </c>
      <c r="B5811" s="2" t="s">
        <v>126</v>
      </c>
      <c r="C5811" s="2" t="s">
        <v>49</v>
      </c>
      <c r="D5811" s="2" t="s">
        <v>10</v>
      </c>
      <c r="E5811" s="2" t="s">
        <v>76</v>
      </c>
      <c r="F5811" s="2" t="s">
        <v>1145</v>
      </c>
      <c r="G5811" s="14" t="n">
        <v>12.5</v>
      </c>
      <c r="H5811" s="14" t="n">
        <v>9.68</v>
      </c>
      <c r="I5811" s="14" t="n">
        <v>12.5</v>
      </c>
      <c r="J5811" s="22" t="n">
        <f aca="false">IF(E5811="Priority",'Cost model'!N381,'Cost model'!M381)</f>
        <v>14.5</v>
      </c>
      <c r="K5811" s="14" t="n">
        <f aca="false">J5811-H5811</f>
        <v>4.82</v>
      </c>
      <c r="L5811" s="14" t="n">
        <f aca="false">G5811-H5811</f>
        <v>2.82</v>
      </c>
    </row>
    <row r="5812" customFormat="false" ht="15" hidden="false" customHeight="false" outlineLevel="0" collapsed="false">
      <c r="A5812" s="2" t="s">
        <v>184</v>
      </c>
      <c r="B5812" s="2" t="s">
        <v>165</v>
      </c>
      <c r="C5812" s="2" t="s">
        <v>49</v>
      </c>
      <c r="D5812" s="2" t="s">
        <v>14</v>
      </c>
      <c r="E5812" s="2" t="s">
        <v>76</v>
      </c>
      <c r="F5812" s="2" t="s">
        <v>1146</v>
      </c>
      <c r="G5812" s="14" t="n">
        <v>45</v>
      </c>
      <c r="H5812" s="14" t="n">
        <v>160.31</v>
      </c>
      <c r="I5812" s="14"/>
      <c r="J5812" s="22" t="n">
        <f aca="false">IF(E5812="Priority",'Cost model'!N174,'Cost model'!M174)</f>
        <v>170</v>
      </c>
      <c r="K5812" s="14" t="n">
        <f aca="false">J5812-H5812</f>
        <v>9.69</v>
      </c>
      <c r="L5812" s="14" t="n">
        <f aca="false">G5812-H5812</f>
        <v>-115.31</v>
      </c>
    </row>
    <row r="5813" customFormat="false" ht="15" hidden="false" customHeight="false" outlineLevel="0" collapsed="false">
      <c r="A5813" s="2" t="s">
        <v>146</v>
      </c>
      <c r="B5813" s="2" t="s">
        <v>146</v>
      </c>
      <c r="C5813" s="2" t="s">
        <v>48</v>
      </c>
      <c r="D5813" s="2" t="s">
        <v>12</v>
      </c>
      <c r="E5813" s="2" t="s">
        <v>76</v>
      </c>
      <c r="F5813" s="2" t="s">
        <v>1145</v>
      </c>
      <c r="G5813" s="14" t="n">
        <v>9.5</v>
      </c>
      <c r="H5813" s="14" t="n">
        <v>71.8</v>
      </c>
      <c r="I5813" s="14" t="n">
        <v>9.5</v>
      </c>
      <c r="J5813" s="22" t="n">
        <f aca="false">IF(E5813="Priority",'Cost model'!N761,'Cost model'!M761)</f>
        <v>35</v>
      </c>
      <c r="K5813" s="14" t="n">
        <f aca="false">J5813-H5813</f>
        <v>-36.8</v>
      </c>
      <c r="L5813" s="14" t="n">
        <f aca="false">G5813-H5813</f>
        <v>-62.3</v>
      </c>
    </row>
    <row r="5814" customFormat="false" ht="15" hidden="false" customHeight="false" outlineLevel="0" collapsed="false">
      <c r="A5814" s="2" t="s">
        <v>184</v>
      </c>
      <c r="B5814" s="2" t="s">
        <v>184</v>
      </c>
      <c r="C5814" s="2" t="s">
        <v>50</v>
      </c>
      <c r="D5814" s="2" t="s">
        <v>13</v>
      </c>
      <c r="E5814" s="2" t="s">
        <v>76</v>
      </c>
      <c r="F5814" s="2" t="s">
        <v>1145</v>
      </c>
      <c r="G5814" s="14" t="n">
        <v>50</v>
      </c>
      <c r="H5814" s="14" t="n">
        <v>35.75</v>
      </c>
      <c r="I5814" s="14" t="n">
        <v>50</v>
      </c>
      <c r="J5814" s="22" t="n">
        <f aca="false">IF(E5814="Priority",'Cost model'!N208,'Cost model'!M208)</f>
        <v>80</v>
      </c>
      <c r="K5814" s="14" t="n">
        <f aca="false">J5814-H5814</f>
        <v>44.25</v>
      </c>
      <c r="L5814" s="14" t="n">
        <f aca="false">G5814-H5814</f>
        <v>14.25</v>
      </c>
    </row>
    <row r="5815" customFormat="false" ht="15" hidden="false" customHeight="false" outlineLevel="0" collapsed="false">
      <c r="A5815" s="2" t="s">
        <v>184</v>
      </c>
      <c r="B5815" s="2" t="s">
        <v>184</v>
      </c>
      <c r="C5815" s="2" t="s">
        <v>49</v>
      </c>
      <c r="D5815" s="2" t="s">
        <v>12</v>
      </c>
      <c r="E5815" s="2" t="s">
        <v>76</v>
      </c>
      <c r="F5815" s="2" t="s">
        <v>1145</v>
      </c>
      <c r="G5815" s="14" t="n">
        <v>12.5</v>
      </c>
      <c r="H5815" s="14" t="n">
        <v>41.77</v>
      </c>
      <c r="I5815" s="14" t="n">
        <v>12.5</v>
      </c>
      <c r="J5815" s="22" t="n">
        <f aca="false">IF(E5815="Priority",'Cost model'!N204,'Cost model'!M204)</f>
        <v>45</v>
      </c>
      <c r="K5815" s="14" t="n">
        <f aca="false">J5815-H5815</f>
        <v>3.23</v>
      </c>
      <c r="L5815" s="14" t="n">
        <f aca="false">G5815-H5815</f>
        <v>-29.27</v>
      </c>
    </row>
    <row r="5816" customFormat="false" ht="15" hidden="false" customHeight="false" outlineLevel="0" collapsed="false">
      <c r="A5816" s="2" t="s">
        <v>146</v>
      </c>
      <c r="B5816" s="2" t="s">
        <v>146</v>
      </c>
      <c r="C5816" s="2" t="s">
        <v>48</v>
      </c>
      <c r="D5816" s="2" t="s">
        <v>12</v>
      </c>
      <c r="E5816" s="2" t="s">
        <v>76</v>
      </c>
      <c r="F5816" s="2" t="s">
        <v>1145</v>
      </c>
      <c r="G5816" s="14" t="n">
        <v>9.5</v>
      </c>
      <c r="H5816" s="14" t="n">
        <v>43.77</v>
      </c>
      <c r="I5816" s="14" t="n">
        <v>9.5</v>
      </c>
      <c r="J5816" s="22" t="n">
        <f aca="false">IF(E5816="Priority",'Cost model'!N761,'Cost model'!M761)</f>
        <v>35</v>
      </c>
      <c r="K5816" s="14" t="n">
        <f aca="false">J5816-H5816</f>
        <v>-8.77</v>
      </c>
      <c r="L5816" s="14" t="n">
        <f aca="false">G5816-H5816</f>
        <v>-34.27</v>
      </c>
    </row>
    <row r="5817" customFormat="false" ht="15" hidden="false" customHeight="false" outlineLevel="0" collapsed="false">
      <c r="A5817" s="2" t="s">
        <v>184</v>
      </c>
      <c r="B5817" s="2" t="s">
        <v>184</v>
      </c>
      <c r="C5817" s="2" t="s">
        <v>48</v>
      </c>
      <c r="D5817" s="2" t="s">
        <v>10</v>
      </c>
      <c r="E5817" s="2" t="s">
        <v>76</v>
      </c>
      <c r="F5817" s="2" t="s">
        <v>1145</v>
      </c>
      <c r="G5817" s="14" t="n">
        <v>9.5</v>
      </c>
      <c r="H5817" s="14" t="n">
        <v>7.45</v>
      </c>
      <c r="I5817" s="14" t="n">
        <v>9.5</v>
      </c>
      <c r="J5817" s="22" t="n">
        <f aca="false">IF(E5817="Priority",'Cost model'!N200,'Cost model'!M200)</f>
        <v>7.5</v>
      </c>
      <c r="K5817" s="14" t="n">
        <f aca="false">J5817-H5817</f>
        <v>0.0499999999999998</v>
      </c>
      <c r="L5817" s="14" t="n">
        <f aca="false">G5817-H5817</f>
        <v>2.05</v>
      </c>
    </row>
    <row r="5818" customFormat="false" ht="15" hidden="false" customHeight="false" outlineLevel="0" collapsed="false">
      <c r="A5818" s="2" t="s">
        <v>146</v>
      </c>
      <c r="B5818" s="2" t="s">
        <v>146</v>
      </c>
      <c r="C5818" s="2" t="s">
        <v>48</v>
      </c>
      <c r="D5818" s="2" t="s">
        <v>12</v>
      </c>
      <c r="E5818" s="2" t="s">
        <v>76</v>
      </c>
      <c r="F5818" s="2" t="s">
        <v>1145</v>
      </c>
      <c r="G5818" s="14" t="n">
        <v>14.5</v>
      </c>
      <c r="H5818" s="14" t="n">
        <v>28.12</v>
      </c>
      <c r="I5818" s="14" t="n">
        <v>9.5</v>
      </c>
      <c r="J5818" s="22" t="n">
        <f aca="false">IF(E5818="Priority",'Cost model'!N761,'Cost model'!M761)</f>
        <v>35</v>
      </c>
      <c r="K5818" s="14" t="n">
        <f aca="false">J5818-H5818</f>
        <v>6.88</v>
      </c>
      <c r="L5818" s="14" t="n">
        <f aca="false">G5818-H5818</f>
        <v>-13.62</v>
      </c>
    </row>
    <row r="5819" customFormat="false" ht="15" hidden="false" customHeight="false" outlineLevel="0" collapsed="false">
      <c r="A5819" s="2" t="s">
        <v>165</v>
      </c>
      <c r="B5819" s="2" t="s">
        <v>165</v>
      </c>
      <c r="C5819" s="2" t="s">
        <v>48</v>
      </c>
      <c r="D5819" s="2" t="s">
        <v>12</v>
      </c>
      <c r="E5819" s="2" t="s">
        <v>85</v>
      </c>
      <c r="F5819" s="2" t="s">
        <v>1145</v>
      </c>
      <c r="G5819" s="14" t="n">
        <v>19.5</v>
      </c>
      <c r="H5819" s="14" t="n">
        <v>16.05</v>
      </c>
      <c r="I5819" s="14" t="n">
        <v>19.5</v>
      </c>
      <c r="J5819" s="22" t="n">
        <f aca="false">IF(E5819="Priority",'Cost model'!N509,'Cost model'!M509)</f>
        <v>22.5</v>
      </c>
      <c r="K5819" s="14" t="n">
        <f aca="false">J5819-H5819</f>
        <v>6.45</v>
      </c>
      <c r="L5819" s="14" t="n">
        <f aca="false">G5819-H5819</f>
        <v>3.45</v>
      </c>
    </row>
    <row r="5820" customFormat="false" ht="15" hidden="false" customHeight="false" outlineLevel="0" collapsed="false">
      <c r="A5820" s="2" t="s">
        <v>126</v>
      </c>
      <c r="B5820" s="2" t="s">
        <v>126</v>
      </c>
      <c r="C5820" s="2" t="s">
        <v>49</v>
      </c>
      <c r="D5820" s="2" t="s">
        <v>13</v>
      </c>
      <c r="E5820" s="2" t="s">
        <v>76</v>
      </c>
      <c r="F5820" s="2" t="s">
        <v>1145</v>
      </c>
      <c r="G5820" s="14" t="n">
        <v>24.5</v>
      </c>
      <c r="H5820" s="14" t="n">
        <v>111.83</v>
      </c>
      <c r="I5820" s="14" t="n">
        <v>24.5</v>
      </c>
      <c r="J5820" s="22" t="n">
        <f aca="false">IF(E5820="Priority",'Cost model'!N387,'Cost model'!M387)</f>
        <v>95</v>
      </c>
      <c r="K5820" s="14" t="n">
        <f aca="false">J5820-H5820</f>
        <v>-16.83</v>
      </c>
      <c r="L5820" s="14" t="n">
        <f aca="false">G5820-H5820</f>
        <v>-87.33</v>
      </c>
    </row>
    <row r="5821" customFormat="false" ht="15" hidden="false" customHeight="false" outlineLevel="0" collapsed="false">
      <c r="A5821" s="2" t="s">
        <v>240</v>
      </c>
      <c r="B5821" s="2" t="s">
        <v>240</v>
      </c>
      <c r="C5821" s="2" t="s">
        <v>50</v>
      </c>
      <c r="D5821" s="2" t="s">
        <v>15</v>
      </c>
      <c r="E5821" s="2" t="s">
        <v>85</v>
      </c>
      <c r="F5821" s="2" t="s">
        <v>1145</v>
      </c>
      <c r="G5821" s="14" t="n">
        <v>350</v>
      </c>
      <c r="H5821" s="14" t="n">
        <v>386.88</v>
      </c>
      <c r="I5821" s="14" t="n">
        <v>350</v>
      </c>
      <c r="J5821" s="22" t="n">
        <f aca="false">IF(E5821="Priority",'Cost model'!N898,'Cost model'!M898)</f>
        <v>385</v>
      </c>
      <c r="K5821" s="14" t="n">
        <f aca="false">J5821-H5821</f>
        <v>-1.88</v>
      </c>
      <c r="L5821" s="14" t="n">
        <f aca="false">G5821-H5821</f>
        <v>-36.88</v>
      </c>
    </row>
    <row r="5822" customFormat="false" ht="15" hidden="false" customHeight="false" outlineLevel="0" collapsed="false">
      <c r="A5822" s="2" t="s">
        <v>126</v>
      </c>
      <c r="B5822" s="2" t="s">
        <v>126</v>
      </c>
      <c r="C5822" s="2" t="s">
        <v>48</v>
      </c>
      <c r="D5822" s="2" t="s">
        <v>12</v>
      </c>
      <c r="E5822" s="2" t="s">
        <v>85</v>
      </c>
      <c r="F5822" s="2" t="s">
        <v>1145</v>
      </c>
      <c r="G5822" s="14" t="n">
        <v>19.5</v>
      </c>
      <c r="H5822" s="14" t="n">
        <v>73.85</v>
      </c>
      <c r="I5822" s="14" t="n">
        <v>19.5</v>
      </c>
      <c r="J5822" s="22" t="n">
        <f aca="false">IF(E5822="Priority",'Cost model'!N383,'Cost model'!M383)</f>
        <v>35</v>
      </c>
      <c r="K5822" s="14" t="n">
        <f aca="false">J5822-H5822</f>
        <v>-38.85</v>
      </c>
      <c r="L5822" s="14" t="n">
        <f aca="false">G5822-H5822</f>
        <v>-54.35</v>
      </c>
    </row>
    <row r="5823" customFormat="false" ht="15" hidden="false" customHeight="false" outlineLevel="0" collapsed="false">
      <c r="A5823" s="2" t="s">
        <v>165</v>
      </c>
      <c r="B5823" s="2" t="s">
        <v>165</v>
      </c>
      <c r="C5823" s="2" t="s">
        <v>48</v>
      </c>
      <c r="D5823" s="2" t="s">
        <v>10</v>
      </c>
      <c r="E5823" s="2" t="s">
        <v>76</v>
      </c>
      <c r="F5823" s="2" t="s">
        <v>1145</v>
      </c>
      <c r="G5823" s="14" t="n">
        <v>9.5</v>
      </c>
      <c r="H5823" s="14" t="n">
        <v>5.23</v>
      </c>
      <c r="I5823" s="14" t="n">
        <v>9.5</v>
      </c>
      <c r="J5823" s="22" t="n">
        <f aca="false">IF(E5823="Priority",'Cost model'!N506,'Cost model'!M506)</f>
        <v>7.5</v>
      </c>
      <c r="K5823" s="14" t="n">
        <f aca="false">J5823-H5823</f>
        <v>2.27</v>
      </c>
      <c r="L5823" s="14" t="n">
        <f aca="false">G5823-H5823</f>
        <v>4.27</v>
      </c>
    </row>
    <row r="5824" customFormat="false" ht="15" hidden="false" customHeight="false" outlineLevel="0" collapsed="false">
      <c r="A5824" s="2" t="s">
        <v>125</v>
      </c>
      <c r="B5824" s="2" t="s">
        <v>184</v>
      </c>
      <c r="C5824" s="2" t="s">
        <v>48</v>
      </c>
      <c r="D5824" s="2" t="s">
        <v>10</v>
      </c>
      <c r="E5824" s="2" t="s">
        <v>76</v>
      </c>
      <c r="F5824" s="2" t="s">
        <v>1146</v>
      </c>
      <c r="G5824" s="14" t="n">
        <v>14.5</v>
      </c>
      <c r="H5824" s="14" t="n">
        <v>10.91</v>
      </c>
      <c r="I5824" s="14" t="n">
        <v>14.5</v>
      </c>
      <c r="J5824" s="22" t="n">
        <f aca="false">IF(E5824="Priority",'Cost model'!N56,'Cost model'!M56)</f>
        <v>11.5</v>
      </c>
      <c r="K5824" s="14" t="n">
        <f aca="false">J5824-H5824</f>
        <v>0.59</v>
      </c>
      <c r="L5824" s="14" t="n">
        <f aca="false">G5824-H5824</f>
        <v>3.59</v>
      </c>
    </row>
    <row r="5825" customFormat="false" ht="15" hidden="false" customHeight="false" outlineLevel="0" collapsed="false">
      <c r="A5825" s="2" t="s">
        <v>146</v>
      </c>
      <c r="B5825" s="2" t="s">
        <v>146</v>
      </c>
      <c r="C5825" s="2" t="s">
        <v>50</v>
      </c>
      <c r="D5825" s="2" t="s">
        <v>12</v>
      </c>
      <c r="E5825" s="2" t="s">
        <v>76</v>
      </c>
      <c r="F5825" s="2" t="s">
        <v>1145</v>
      </c>
      <c r="G5825" s="14" t="n">
        <v>19.5</v>
      </c>
      <c r="H5825" s="14" t="n">
        <v>42.61</v>
      </c>
      <c r="I5825" s="14" t="n">
        <v>19.5</v>
      </c>
      <c r="J5825" s="22" t="n">
        <f aca="false">IF(E5825="Priority",'Cost model'!N763,'Cost model'!M763)</f>
        <v>50</v>
      </c>
      <c r="K5825" s="14" t="n">
        <f aca="false">J5825-H5825</f>
        <v>7.39</v>
      </c>
      <c r="L5825" s="14" t="n">
        <f aca="false">G5825-H5825</f>
        <v>-23.11</v>
      </c>
    </row>
    <row r="5826" customFormat="false" ht="15" hidden="false" customHeight="false" outlineLevel="0" collapsed="false">
      <c r="A5826" s="2" t="s">
        <v>126</v>
      </c>
      <c r="B5826" s="2" t="s">
        <v>126</v>
      </c>
      <c r="C5826" s="2" t="s">
        <v>49</v>
      </c>
      <c r="D5826" s="2" t="s">
        <v>10</v>
      </c>
      <c r="E5826" s="2" t="s">
        <v>76</v>
      </c>
      <c r="F5826" s="2" t="s">
        <v>1145</v>
      </c>
      <c r="G5826" s="14" t="n">
        <v>9.5</v>
      </c>
      <c r="H5826" s="14" t="n">
        <v>10.16</v>
      </c>
      <c r="I5826" s="14" t="n">
        <v>12.5</v>
      </c>
      <c r="J5826" s="22" t="n">
        <f aca="false">IF(E5826="Priority",'Cost model'!N381,'Cost model'!M381)</f>
        <v>14.5</v>
      </c>
      <c r="K5826" s="14" t="n">
        <f aca="false">J5826-H5826</f>
        <v>4.34</v>
      </c>
      <c r="L5826" s="14" t="n">
        <f aca="false">G5826-H5826</f>
        <v>-0.66</v>
      </c>
    </row>
    <row r="5827" customFormat="false" ht="15" hidden="false" customHeight="false" outlineLevel="0" collapsed="false">
      <c r="A5827" s="2" t="s">
        <v>184</v>
      </c>
      <c r="B5827" s="2" t="s">
        <v>184</v>
      </c>
      <c r="C5827" s="2" t="s">
        <v>50</v>
      </c>
      <c r="D5827" s="2" t="s">
        <v>12</v>
      </c>
      <c r="E5827" s="2" t="s">
        <v>76</v>
      </c>
      <c r="F5827" s="2" t="s">
        <v>1145</v>
      </c>
      <c r="G5827" s="14" t="n">
        <v>24.5</v>
      </c>
      <c r="H5827" s="14" t="n">
        <v>66.74</v>
      </c>
      <c r="I5827" s="14" t="n">
        <v>19.5</v>
      </c>
      <c r="J5827" s="22" t="n">
        <f aca="false">IF(E5827="Priority",'Cost model'!N205,'Cost model'!M205)</f>
        <v>50</v>
      </c>
      <c r="K5827" s="14" t="n">
        <f aca="false">J5827-H5827</f>
        <v>-16.74</v>
      </c>
      <c r="L5827" s="14" t="n">
        <f aca="false">G5827-H5827</f>
        <v>-42.24</v>
      </c>
    </row>
    <row r="5828" customFormat="false" ht="15" hidden="false" customHeight="false" outlineLevel="0" collapsed="false">
      <c r="A5828" s="2" t="s">
        <v>126</v>
      </c>
      <c r="B5828" s="2" t="s">
        <v>126</v>
      </c>
      <c r="C5828" s="2" t="s">
        <v>50</v>
      </c>
      <c r="D5828" s="2" t="s">
        <v>10</v>
      </c>
      <c r="E5828" s="2" t="s">
        <v>76</v>
      </c>
      <c r="F5828" s="2" t="s">
        <v>1145</v>
      </c>
      <c r="G5828" s="14" t="n">
        <v>17.5</v>
      </c>
      <c r="H5828" s="14" t="n">
        <v>14.39</v>
      </c>
      <c r="I5828" s="14" t="n">
        <v>17.5</v>
      </c>
      <c r="J5828" s="22" t="n">
        <f aca="false">IF(E5828="Priority",'Cost model'!N382,'Cost model'!M382)</f>
        <v>18.5</v>
      </c>
      <c r="K5828" s="14" t="n">
        <f aca="false">J5828-H5828</f>
        <v>4.11</v>
      </c>
      <c r="L5828" s="14" t="n">
        <f aca="false">G5828-H5828</f>
        <v>3.11</v>
      </c>
    </row>
    <row r="5829" customFormat="false" ht="15" hidden="false" customHeight="false" outlineLevel="0" collapsed="false">
      <c r="A5829" s="2" t="s">
        <v>240</v>
      </c>
      <c r="B5829" s="2" t="s">
        <v>240</v>
      </c>
      <c r="C5829" s="2" t="s">
        <v>50</v>
      </c>
      <c r="D5829" s="2" t="s">
        <v>12</v>
      </c>
      <c r="E5829" s="2" t="s">
        <v>76</v>
      </c>
      <c r="F5829" s="2" t="s">
        <v>1145</v>
      </c>
      <c r="G5829" s="14" t="n">
        <v>19.5</v>
      </c>
      <c r="H5829" s="14" t="n">
        <v>38.3</v>
      </c>
      <c r="I5829" s="14" t="n">
        <v>19.5</v>
      </c>
      <c r="J5829" s="22" t="n">
        <f aca="false">IF(E5829="Priority",'Cost model'!N889,'Cost model'!M889)</f>
        <v>60</v>
      </c>
      <c r="K5829" s="14" t="n">
        <f aca="false">J5829-H5829</f>
        <v>21.7</v>
      </c>
      <c r="L5829" s="14" t="n">
        <f aca="false">G5829-H5829</f>
        <v>-18.8</v>
      </c>
    </row>
    <row r="5830" customFormat="false" ht="15" hidden="false" customHeight="false" outlineLevel="0" collapsed="false">
      <c r="A5830" s="2" t="s">
        <v>146</v>
      </c>
      <c r="B5830" s="2" t="s">
        <v>146</v>
      </c>
      <c r="C5830" s="2" t="s">
        <v>48</v>
      </c>
      <c r="D5830" s="2" t="s">
        <v>14</v>
      </c>
      <c r="E5830" s="2" t="s">
        <v>76</v>
      </c>
      <c r="F5830" s="2" t="s">
        <v>1145</v>
      </c>
      <c r="G5830" s="14" t="n">
        <v>25</v>
      </c>
      <c r="H5830" s="14" t="n">
        <v>68.75</v>
      </c>
      <c r="I5830" s="14" t="n">
        <v>25</v>
      </c>
      <c r="J5830" s="22" t="n">
        <f aca="false">IF(E5830="Priority",'Cost model'!N767,'Cost model'!M767)</f>
        <v>100</v>
      </c>
      <c r="K5830" s="14" t="n">
        <f aca="false">J5830-H5830</f>
        <v>31.25</v>
      </c>
      <c r="L5830" s="14" t="n">
        <f aca="false">G5830-H5830</f>
        <v>-43.75</v>
      </c>
    </row>
    <row r="5831" customFormat="false" ht="15" hidden="false" customHeight="false" outlineLevel="0" collapsed="false">
      <c r="A5831" s="2" t="s">
        <v>125</v>
      </c>
      <c r="B5831" s="2" t="s">
        <v>125</v>
      </c>
      <c r="C5831" s="2" t="s">
        <v>48</v>
      </c>
      <c r="D5831" s="2" t="s">
        <v>14</v>
      </c>
      <c r="E5831" s="2" t="s">
        <v>76</v>
      </c>
      <c r="F5831" s="2" t="s">
        <v>1145</v>
      </c>
      <c r="G5831" s="14" t="n">
        <v>25</v>
      </c>
      <c r="H5831" s="14" t="n">
        <v>42.28</v>
      </c>
      <c r="I5831" s="14" t="n">
        <v>25</v>
      </c>
      <c r="J5831" s="22" t="n">
        <f aca="false">IF(E5831="Priority",'Cost model'!N83,'Cost model'!M83)</f>
        <v>210</v>
      </c>
      <c r="K5831" s="14" t="n">
        <f aca="false">J5831-H5831</f>
        <v>167.72</v>
      </c>
      <c r="L5831" s="14" t="n">
        <f aca="false">G5831-H5831</f>
        <v>-17.28</v>
      </c>
    </row>
    <row r="5832" customFormat="false" ht="15" hidden="false" customHeight="false" outlineLevel="0" collapsed="false">
      <c r="A5832" s="2" t="s">
        <v>146</v>
      </c>
      <c r="B5832" s="2" t="s">
        <v>146</v>
      </c>
      <c r="C5832" s="2" t="s">
        <v>49</v>
      </c>
      <c r="D5832" s="2" t="s">
        <v>12</v>
      </c>
      <c r="E5832" s="2" t="s">
        <v>85</v>
      </c>
      <c r="F5832" s="2" t="s">
        <v>1145</v>
      </c>
      <c r="G5832" s="14" t="n">
        <v>19.5</v>
      </c>
      <c r="H5832" s="14" t="n">
        <v>16.47</v>
      </c>
      <c r="I5832" s="14" t="n">
        <v>19.5</v>
      </c>
      <c r="J5832" s="22" t="n">
        <f aca="false">IF(E5832="Priority",'Cost model'!N762,'Cost model'!M762)</f>
        <v>60</v>
      </c>
      <c r="K5832" s="14" t="n">
        <f aca="false">J5832-H5832</f>
        <v>43.53</v>
      </c>
      <c r="L5832" s="14" t="n">
        <f aca="false">G5832-H5832</f>
        <v>3.03</v>
      </c>
    </row>
    <row r="5833" customFormat="false" ht="15" hidden="false" customHeight="false" outlineLevel="0" collapsed="false">
      <c r="A5833" s="2" t="s">
        <v>184</v>
      </c>
      <c r="B5833" s="2" t="s">
        <v>184</v>
      </c>
      <c r="C5833" s="2" t="s">
        <v>48</v>
      </c>
      <c r="D5833" s="2" t="s">
        <v>12</v>
      </c>
      <c r="E5833" s="2" t="s">
        <v>76</v>
      </c>
      <c r="F5833" s="2" t="s">
        <v>1145</v>
      </c>
      <c r="G5833" s="14" t="n">
        <v>9.5</v>
      </c>
      <c r="H5833" s="14" t="n">
        <v>7.46</v>
      </c>
      <c r="I5833" s="14" t="n">
        <v>9.5</v>
      </c>
      <c r="J5833" s="22" t="n">
        <f aca="false">IF(E5833="Priority",'Cost model'!N203,'Cost model'!M203)</f>
        <v>26.5</v>
      </c>
      <c r="K5833" s="14" t="n">
        <f aca="false">J5833-H5833</f>
        <v>19.04</v>
      </c>
      <c r="L5833" s="14" t="n">
        <f aca="false">G5833-H5833</f>
        <v>2.04</v>
      </c>
    </row>
    <row r="5834" customFormat="false" ht="15" hidden="false" customHeight="false" outlineLevel="0" collapsed="false">
      <c r="A5834" s="2" t="s">
        <v>146</v>
      </c>
      <c r="B5834" s="2" t="s">
        <v>126</v>
      </c>
      <c r="C5834" s="2" t="s">
        <v>48</v>
      </c>
      <c r="D5834" s="2" t="s">
        <v>12</v>
      </c>
      <c r="E5834" s="2" t="s">
        <v>85</v>
      </c>
      <c r="F5834" s="2" t="s">
        <v>1146</v>
      </c>
      <c r="G5834" s="14" t="n">
        <v>24.5</v>
      </c>
      <c r="H5834" s="14" t="n">
        <v>74.59</v>
      </c>
      <c r="I5834" s="14" t="n">
        <v>24.5</v>
      </c>
      <c r="J5834" s="22" t="n">
        <f aca="false">IF(E5834="Priority",'Cost model'!N797,'Cost model'!M797)</f>
        <v>55</v>
      </c>
      <c r="K5834" s="14" t="n">
        <f aca="false">J5834-H5834</f>
        <v>-19.59</v>
      </c>
      <c r="L5834" s="14" t="n">
        <f aca="false">G5834-H5834</f>
        <v>-50.09</v>
      </c>
    </row>
    <row r="5835" customFormat="false" ht="15" hidden="false" customHeight="false" outlineLevel="0" collapsed="false">
      <c r="A5835" s="2" t="s">
        <v>126</v>
      </c>
      <c r="B5835" s="2" t="s">
        <v>126</v>
      </c>
      <c r="C5835" s="2" t="s">
        <v>48</v>
      </c>
      <c r="D5835" s="2" t="s">
        <v>13</v>
      </c>
      <c r="E5835" s="2" t="s">
        <v>76</v>
      </c>
      <c r="F5835" s="2" t="s">
        <v>1145</v>
      </c>
      <c r="G5835" s="14" t="n">
        <v>24.5</v>
      </c>
      <c r="H5835" s="14" t="n">
        <v>34.72</v>
      </c>
      <c r="I5835" s="14" t="n">
        <v>19</v>
      </c>
      <c r="J5835" s="22" t="n">
        <f aca="false">IF(E5835="Priority",'Cost model'!N386,'Cost model'!M386)</f>
        <v>55</v>
      </c>
      <c r="K5835" s="14" t="n">
        <f aca="false">J5835-H5835</f>
        <v>20.28</v>
      </c>
      <c r="L5835" s="14" t="n">
        <f aca="false">G5835-H5835</f>
        <v>-10.22</v>
      </c>
    </row>
    <row r="5836" customFormat="false" ht="15" hidden="false" customHeight="false" outlineLevel="0" collapsed="false">
      <c r="A5836" s="2" t="s">
        <v>146</v>
      </c>
      <c r="B5836" s="2" t="s">
        <v>146</v>
      </c>
      <c r="C5836" s="2" t="s">
        <v>48</v>
      </c>
      <c r="D5836" s="2" t="s">
        <v>10</v>
      </c>
      <c r="E5836" s="2" t="s">
        <v>76</v>
      </c>
      <c r="F5836" s="2" t="s">
        <v>1145</v>
      </c>
      <c r="G5836" s="14" t="n">
        <v>9.5</v>
      </c>
      <c r="H5836" s="14" t="n">
        <v>7.45</v>
      </c>
      <c r="I5836" s="14" t="n">
        <v>9.5</v>
      </c>
      <c r="J5836" s="22" t="n">
        <f aca="false">IF(E5836="Priority",'Cost model'!N758,'Cost model'!M758)</f>
        <v>9.5</v>
      </c>
      <c r="K5836" s="14" t="n">
        <f aca="false">J5836-H5836</f>
        <v>2.05</v>
      </c>
      <c r="L5836" s="14" t="n">
        <f aca="false">G5836-H5836</f>
        <v>2.05</v>
      </c>
    </row>
    <row r="5837" customFormat="false" ht="15" hidden="false" customHeight="false" outlineLevel="0" collapsed="false">
      <c r="A5837" s="2" t="s">
        <v>146</v>
      </c>
      <c r="B5837" s="2" t="s">
        <v>125</v>
      </c>
      <c r="C5837" s="2" t="s">
        <v>48</v>
      </c>
      <c r="D5837" s="2" t="s">
        <v>12</v>
      </c>
      <c r="E5837" s="2" t="s">
        <v>76</v>
      </c>
      <c r="F5837" s="2" t="s">
        <v>1146</v>
      </c>
      <c r="G5837" s="14" t="n">
        <v>19.5</v>
      </c>
      <c r="H5837" s="14" t="n">
        <v>36.25</v>
      </c>
      <c r="I5837" s="14" t="n">
        <v>24.5</v>
      </c>
      <c r="J5837" s="22" t="n">
        <f aca="false">IF(E5837="Priority",'Cost model'!N869,'Cost model'!M869)</f>
        <v>45</v>
      </c>
      <c r="K5837" s="14" t="n">
        <f aca="false">J5837-H5837</f>
        <v>8.75</v>
      </c>
      <c r="L5837" s="14" t="n">
        <f aca="false">G5837-H5837</f>
        <v>-16.75</v>
      </c>
    </row>
    <row r="5838" customFormat="false" ht="15" hidden="false" customHeight="false" outlineLevel="0" collapsed="false">
      <c r="A5838" s="2" t="s">
        <v>184</v>
      </c>
      <c r="B5838" s="2" t="s">
        <v>184</v>
      </c>
      <c r="C5838" s="2" t="s">
        <v>48</v>
      </c>
      <c r="D5838" s="2" t="s">
        <v>12</v>
      </c>
      <c r="E5838" s="2" t="s">
        <v>76</v>
      </c>
      <c r="F5838" s="2" t="s">
        <v>1145</v>
      </c>
      <c r="G5838" s="14" t="n">
        <v>9.5</v>
      </c>
      <c r="H5838" s="14" t="n">
        <v>27.87</v>
      </c>
      <c r="I5838" s="14" t="n">
        <v>9.5</v>
      </c>
      <c r="J5838" s="22" t="n">
        <f aca="false">IF(E5838="Priority",'Cost model'!N203,'Cost model'!M203)</f>
        <v>26.5</v>
      </c>
      <c r="K5838" s="14" t="n">
        <f aca="false">J5838-H5838</f>
        <v>-1.37</v>
      </c>
      <c r="L5838" s="14" t="n">
        <f aca="false">G5838-H5838</f>
        <v>-18.37</v>
      </c>
    </row>
    <row r="5839" customFormat="false" ht="15" hidden="false" customHeight="false" outlineLevel="0" collapsed="false">
      <c r="A5839" s="2" t="s">
        <v>240</v>
      </c>
      <c r="B5839" s="2" t="s">
        <v>240</v>
      </c>
      <c r="C5839" s="2" t="s">
        <v>48</v>
      </c>
      <c r="D5839" s="2" t="s">
        <v>10</v>
      </c>
      <c r="E5839" s="2" t="s">
        <v>76</v>
      </c>
      <c r="F5839" s="2" t="s">
        <v>1145</v>
      </c>
      <c r="G5839" s="14" t="n">
        <v>9.5</v>
      </c>
      <c r="H5839" s="14" t="n">
        <v>7.12</v>
      </c>
      <c r="I5839" s="14" t="n">
        <v>9.5</v>
      </c>
      <c r="J5839" s="22" t="n">
        <f aca="false">IF(E5839="Priority",'Cost model'!N884,'Cost model'!M884)</f>
        <v>7.5</v>
      </c>
      <c r="K5839" s="14" t="n">
        <f aca="false">J5839-H5839</f>
        <v>0.38</v>
      </c>
      <c r="L5839" s="14" t="n">
        <f aca="false">G5839-H5839</f>
        <v>2.38</v>
      </c>
    </row>
    <row r="5840" customFormat="false" ht="15" hidden="false" customHeight="false" outlineLevel="0" collapsed="false">
      <c r="A5840" s="2" t="s">
        <v>184</v>
      </c>
      <c r="B5840" s="2" t="s">
        <v>126</v>
      </c>
      <c r="C5840" s="2" t="s">
        <v>48</v>
      </c>
      <c r="D5840" s="2" t="s">
        <v>12</v>
      </c>
      <c r="E5840" s="2" t="s">
        <v>76</v>
      </c>
      <c r="F5840" s="2" t="s">
        <v>1146</v>
      </c>
      <c r="G5840" s="14" t="n">
        <v>9.5</v>
      </c>
      <c r="H5840" s="14" t="n">
        <v>62.54</v>
      </c>
      <c r="I5840" s="14" t="n">
        <v>9.5</v>
      </c>
      <c r="J5840" s="22" t="n">
        <f aca="false">IF(E5840="Priority",'Cost model'!N131,'Cost model'!M131)</f>
        <v>40</v>
      </c>
      <c r="K5840" s="14" t="n">
        <f aca="false">J5840-H5840</f>
        <v>-22.54</v>
      </c>
      <c r="L5840" s="14" t="n">
        <f aca="false">G5840-H5840</f>
        <v>-53.04</v>
      </c>
    </row>
    <row r="5841" customFormat="false" ht="15" hidden="false" customHeight="false" outlineLevel="0" collapsed="false">
      <c r="A5841" s="2" t="s">
        <v>184</v>
      </c>
      <c r="B5841" s="2" t="s">
        <v>184</v>
      </c>
      <c r="C5841" s="2" t="s">
        <v>48</v>
      </c>
      <c r="D5841" s="2" t="s">
        <v>10</v>
      </c>
      <c r="E5841" s="2" t="s">
        <v>76</v>
      </c>
      <c r="F5841" s="2" t="s">
        <v>1145</v>
      </c>
      <c r="G5841" s="14" t="n">
        <v>9.5</v>
      </c>
      <c r="H5841" s="14" t="n">
        <v>7.46</v>
      </c>
      <c r="I5841" s="14" t="n">
        <v>9.5</v>
      </c>
      <c r="J5841" s="22" t="n">
        <f aca="false">IF(E5841="Priority",'Cost model'!N200,'Cost model'!M200)</f>
        <v>7.5</v>
      </c>
      <c r="K5841" s="14" t="n">
        <f aca="false">J5841-H5841</f>
        <v>0.04</v>
      </c>
      <c r="L5841" s="14" t="n">
        <f aca="false">G5841-H5841</f>
        <v>2.04</v>
      </c>
    </row>
    <row r="5842" customFormat="false" ht="15" hidden="false" customHeight="false" outlineLevel="0" collapsed="false">
      <c r="A5842" s="2" t="s">
        <v>146</v>
      </c>
      <c r="B5842" s="2" t="s">
        <v>126</v>
      </c>
      <c r="C5842" s="2" t="s">
        <v>48</v>
      </c>
      <c r="D5842" s="2" t="s">
        <v>16</v>
      </c>
      <c r="E5842" s="2" t="s">
        <v>76</v>
      </c>
      <c r="F5842" s="2" t="s">
        <v>1146</v>
      </c>
      <c r="G5842" s="14" t="n">
        <v>45</v>
      </c>
      <c r="H5842" s="14" t="n">
        <v>260.19</v>
      </c>
      <c r="I5842" s="14" t="n">
        <v>250</v>
      </c>
      <c r="J5842" s="22" t="n">
        <f aca="false">IF(E5842="Priority",'Cost model'!N809,'Cost model'!M809)</f>
        <v>225</v>
      </c>
      <c r="K5842" s="14" t="n">
        <f aca="false">J5842-H5842</f>
        <v>-35.19</v>
      </c>
      <c r="L5842" s="14" t="n">
        <f aca="false">G5842-H5842</f>
        <v>-215.19</v>
      </c>
    </row>
    <row r="5843" customFormat="false" ht="15" hidden="false" customHeight="false" outlineLevel="0" collapsed="false">
      <c r="A5843" s="2" t="s">
        <v>184</v>
      </c>
      <c r="B5843" s="2" t="s">
        <v>184</v>
      </c>
      <c r="C5843" s="2" t="s">
        <v>48</v>
      </c>
      <c r="D5843" s="2" t="s">
        <v>10</v>
      </c>
      <c r="E5843" s="2" t="s">
        <v>76</v>
      </c>
      <c r="F5843" s="2" t="s">
        <v>1145</v>
      </c>
      <c r="G5843" s="14" t="n">
        <v>9.5</v>
      </c>
      <c r="H5843" s="14" t="n">
        <v>5.94</v>
      </c>
      <c r="I5843" s="14" t="n">
        <v>9.5</v>
      </c>
      <c r="J5843" s="22" t="n">
        <f aca="false">IF(E5843="Priority",'Cost model'!N200,'Cost model'!M200)</f>
        <v>7.5</v>
      </c>
      <c r="K5843" s="14" t="n">
        <f aca="false">J5843-H5843</f>
        <v>1.56</v>
      </c>
      <c r="L5843" s="14" t="n">
        <f aca="false">G5843-H5843</f>
        <v>3.56</v>
      </c>
    </row>
    <row r="5844" customFormat="false" ht="15" hidden="false" customHeight="false" outlineLevel="0" collapsed="false">
      <c r="A5844" s="2" t="s">
        <v>184</v>
      </c>
      <c r="B5844" s="2" t="s">
        <v>126</v>
      </c>
      <c r="C5844" s="2" t="s">
        <v>48</v>
      </c>
      <c r="D5844" s="2" t="s">
        <v>12</v>
      </c>
      <c r="E5844" s="2" t="s">
        <v>76</v>
      </c>
      <c r="F5844" s="2" t="s">
        <v>1146</v>
      </c>
      <c r="G5844" s="14" t="n">
        <v>9.5</v>
      </c>
      <c r="H5844" s="14" t="n">
        <v>43.13</v>
      </c>
      <c r="I5844" s="14" t="n">
        <v>9.5</v>
      </c>
      <c r="J5844" s="22" t="n">
        <f aca="false">IF(E5844="Priority",'Cost model'!N131,'Cost model'!M131)</f>
        <v>40</v>
      </c>
      <c r="K5844" s="14" t="n">
        <f aca="false">J5844-H5844</f>
        <v>-3.13</v>
      </c>
      <c r="L5844" s="14" t="n">
        <f aca="false">G5844-H5844</f>
        <v>-33.63</v>
      </c>
    </row>
    <row r="5845" customFormat="false" ht="15" hidden="false" customHeight="false" outlineLevel="0" collapsed="false">
      <c r="A5845" s="2" t="s">
        <v>126</v>
      </c>
      <c r="B5845" s="2" t="s">
        <v>126</v>
      </c>
      <c r="C5845" s="2" t="s">
        <v>48</v>
      </c>
      <c r="D5845" s="2" t="s">
        <v>13</v>
      </c>
      <c r="E5845" s="2" t="s">
        <v>76</v>
      </c>
      <c r="F5845" s="2" t="s">
        <v>1145</v>
      </c>
      <c r="G5845" s="14" t="n">
        <v>24.5</v>
      </c>
      <c r="H5845" s="14" t="n">
        <v>32.35</v>
      </c>
      <c r="I5845" s="14" t="n">
        <v>19</v>
      </c>
      <c r="J5845" s="22" t="n">
        <f aca="false">IF(E5845="Priority",'Cost model'!N386,'Cost model'!M386)</f>
        <v>55</v>
      </c>
      <c r="K5845" s="14" t="n">
        <f aca="false">J5845-H5845</f>
        <v>22.65</v>
      </c>
      <c r="L5845" s="14" t="n">
        <f aca="false">G5845-H5845</f>
        <v>-7.85</v>
      </c>
    </row>
    <row r="5846" customFormat="false" ht="15" hidden="false" customHeight="false" outlineLevel="0" collapsed="false">
      <c r="A5846" s="2" t="s">
        <v>184</v>
      </c>
      <c r="B5846" s="2" t="s">
        <v>184</v>
      </c>
      <c r="C5846" s="2" t="s">
        <v>49</v>
      </c>
      <c r="D5846" s="2" t="s">
        <v>13</v>
      </c>
      <c r="E5846" s="2" t="s">
        <v>76</v>
      </c>
      <c r="F5846" s="2" t="s">
        <v>1145</v>
      </c>
      <c r="G5846" s="14" t="n">
        <v>24.5</v>
      </c>
      <c r="H5846" s="14" t="n">
        <v>71.95</v>
      </c>
      <c r="I5846" s="14"/>
      <c r="J5846" s="22" t="n">
        <f aca="false">IF(E5846="Priority",'Cost model'!N207,'Cost model'!M207)</f>
        <v>75</v>
      </c>
      <c r="K5846" s="14" t="n">
        <f aca="false">J5846-H5846</f>
        <v>3.05</v>
      </c>
      <c r="L5846" s="14" t="n">
        <f aca="false">G5846-H5846</f>
        <v>-47.45</v>
      </c>
    </row>
    <row r="5847" customFormat="false" ht="15" hidden="false" customHeight="false" outlineLevel="0" collapsed="false">
      <c r="A5847" s="2" t="s">
        <v>126</v>
      </c>
      <c r="B5847" s="2" t="s">
        <v>126</v>
      </c>
      <c r="C5847" s="2" t="s">
        <v>49</v>
      </c>
      <c r="D5847" s="2" t="s">
        <v>10</v>
      </c>
      <c r="E5847" s="2" t="s">
        <v>85</v>
      </c>
      <c r="F5847" s="2" t="s">
        <v>1145</v>
      </c>
      <c r="G5847" s="14" t="n">
        <v>17.5</v>
      </c>
      <c r="H5847" s="14" t="n">
        <v>23.58</v>
      </c>
      <c r="I5847" s="14" t="n">
        <v>17.5</v>
      </c>
      <c r="J5847" s="22" t="n">
        <f aca="false">IF(E5847="Priority",'Cost model'!N381,'Cost model'!M381)</f>
        <v>19.5</v>
      </c>
      <c r="K5847" s="14" t="n">
        <f aca="false">J5847-H5847</f>
        <v>-4.08</v>
      </c>
      <c r="L5847" s="14" t="n">
        <f aca="false">G5847-H5847</f>
        <v>-6.08</v>
      </c>
    </row>
    <row r="5848" customFormat="false" ht="15" hidden="false" customHeight="false" outlineLevel="0" collapsed="false">
      <c r="A5848" s="2" t="s">
        <v>184</v>
      </c>
      <c r="B5848" s="2" t="s">
        <v>184</v>
      </c>
      <c r="C5848" s="2" t="s">
        <v>48</v>
      </c>
      <c r="D5848" s="2" t="s">
        <v>10</v>
      </c>
      <c r="E5848" s="2" t="s">
        <v>76</v>
      </c>
      <c r="F5848" s="2" t="s">
        <v>1145</v>
      </c>
      <c r="G5848" s="14" t="n">
        <v>9.5</v>
      </c>
      <c r="H5848" s="14" t="n">
        <v>8.16</v>
      </c>
      <c r="I5848" s="14" t="n">
        <v>9.5</v>
      </c>
      <c r="J5848" s="22" t="n">
        <f aca="false">IF(E5848="Priority",'Cost model'!N200,'Cost model'!M200)</f>
        <v>7.5</v>
      </c>
      <c r="K5848" s="14" t="n">
        <f aca="false">J5848-H5848</f>
        <v>-0.66</v>
      </c>
      <c r="L5848" s="14" t="n">
        <f aca="false">G5848-H5848</f>
        <v>1.34</v>
      </c>
    </row>
    <row r="5849" customFormat="false" ht="15" hidden="false" customHeight="false" outlineLevel="0" collapsed="false">
      <c r="A5849" s="2" t="s">
        <v>184</v>
      </c>
      <c r="B5849" s="2" t="s">
        <v>184</v>
      </c>
      <c r="C5849" s="2" t="s">
        <v>49</v>
      </c>
      <c r="D5849" s="2" t="s">
        <v>10</v>
      </c>
      <c r="E5849" s="2" t="s">
        <v>76</v>
      </c>
      <c r="F5849" s="2" t="s">
        <v>1145</v>
      </c>
      <c r="G5849" s="14" t="n">
        <v>14.5</v>
      </c>
      <c r="H5849" s="14" t="n">
        <v>19.56</v>
      </c>
      <c r="I5849" s="14" t="n">
        <v>12.5</v>
      </c>
      <c r="J5849" s="22" t="n">
        <f aca="false">IF(E5849="Priority",'Cost model'!N201,'Cost model'!M201)</f>
        <v>12.5</v>
      </c>
      <c r="K5849" s="14" t="n">
        <f aca="false">J5849-H5849</f>
        <v>-7.06</v>
      </c>
      <c r="L5849" s="14" t="n">
        <f aca="false">G5849-H5849</f>
        <v>-5.06</v>
      </c>
    </row>
    <row r="5850" customFormat="false" ht="15" hidden="false" customHeight="false" outlineLevel="0" collapsed="false">
      <c r="A5850" s="2" t="s">
        <v>146</v>
      </c>
      <c r="B5850" s="2" t="s">
        <v>146</v>
      </c>
      <c r="C5850" s="2" t="s">
        <v>48</v>
      </c>
      <c r="D5850" s="2" t="s">
        <v>10</v>
      </c>
      <c r="E5850" s="2" t="s">
        <v>85</v>
      </c>
      <c r="F5850" s="2" t="s">
        <v>1145</v>
      </c>
      <c r="G5850" s="14" t="n">
        <v>14.5</v>
      </c>
      <c r="H5850" s="14" t="n">
        <v>5.16</v>
      </c>
      <c r="I5850" s="14" t="n">
        <v>14.5</v>
      </c>
      <c r="J5850" s="22" t="n">
        <f aca="false">IF(E5850="Priority",'Cost model'!N758,'Cost model'!M758)</f>
        <v>14.5</v>
      </c>
      <c r="K5850" s="14" t="n">
        <f aca="false">J5850-H5850</f>
        <v>9.34</v>
      </c>
      <c r="L5850" s="14" t="n">
        <f aca="false">G5850-H5850</f>
        <v>9.34</v>
      </c>
    </row>
    <row r="5851" customFormat="false" ht="15" hidden="false" customHeight="false" outlineLevel="0" collapsed="false">
      <c r="A5851" s="2" t="s">
        <v>165</v>
      </c>
      <c r="B5851" s="2" t="s">
        <v>146</v>
      </c>
      <c r="C5851" s="2" t="s">
        <v>50</v>
      </c>
      <c r="D5851" s="2" t="s">
        <v>12</v>
      </c>
      <c r="E5851" s="2" t="s">
        <v>76</v>
      </c>
      <c r="F5851" s="2" t="s">
        <v>1146</v>
      </c>
      <c r="G5851" s="14" t="n">
        <v>19.5</v>
      </c>
      <c r="H5851" s="14" t="n">
        <v>45.84</v>
      </c>
      <c r="I5851" s="14" t="n">
        <v>19.5</v>
      </c>
      <c r="J5851" s="22" t="n">
        <f aca="false">IF(E5851="Priority",'Cost model'!N529,'Cost model'!M529)</f>
        <v>65</v>
      </c>
      <c r="K5851" s="14" t="n">
        <f aca="false">J5851-H5851</f>
        <v>19.16</v>
      </c>
      <c r="L5851" s="14" t="n">
        <f aca="false">G5851-H5851</f>
        <v>-26.34</v>
      </c>
    </row>
    <row r="5852" customFormat="false" ht="15" hidden="false" customHeight="false" outlineLevel="0" collapsed="false">
      <c r="A5852" s="2" t="s">
        <v>184</v>
      </c>
      <c r="B5852" s="2" t="s">
        <v>184</v>
      </c>
      <c r="C5852" s="2" t="s">
        <v>49</v>
      </c>
      <c r="D5852" s="2" t="s">
        <v>12</v>
      </c>
      <c r="E5852" s="2" t="s">
        <v>76</v>
      </c>
      <c r="F5852" s="2" t="s">
        <v>1145</v>
      </c>
      <c r="G5852" s="14" t="n">
        <v>19.5</v>
      </c>
      <c r="H5852" s="14" t="n">
        <v>60.93</v>
      </c>
      <c r="I5852" s="14"/>
      <c r="J5852" s="22" t="n">
        <f aca="false">IF(E5852="Priority",'Cost model'!N204,'Cost model'!M204)</f>
        <v>45</v>
      </c>
      <c r="K5852" s="14" t="n">
        <f aca="false">J5852-H5852</f>
        <v>-15.93</v>
      </c>
      <c r="L5852" s="14" t="n">
        <f aca="false">G5852-H5852</f>
        <v>-41.43</v>
      </c>
    </row>
    <row r="5853" customFormat="false" ht="15" hidden="false" customHeight="false" outlineLevel="0" collapsed="false">
      <c r="A5853" s="2" t="s">
        <v>126</v>
      </c>
      <c r="B5853" s="2" t="s">
        <v>126</v>
      </c>
      <c r="C5853" s="2" t="s">
        <v>49</v>
      </c>
      <c r="D5853" s="2" t="s">
        <v>10</v>
      </c>
      <c r="E5853" s="2" t="s">
        <v>85</v>
      </c>
      <c r="F5853" s="2" t="s">
        <v>1145</v>
      </c>
      <c r="G5853" s="14" t="n">
        <v>17.5</v>
      </c>
      <c r="H5853" s="14" t="n">
        <v>25.65</v>
      </c>
      <c r="I5853" s="14" t="n">
        <v>17.5</v>
      </c>
      <c r="J5853" s="22" t="n">
        <f aca="false">IF(E5853="Priority",'Cost model'!N381,'Cost model'!M381)</f>
        <v>19.5</v>
      </c>
      <c r="K5853" s="14" t="n">
        <f aca="false">J5853-H5853</f>
        <v>-6.15</v>
      </c>
      <c r="L5853" s="14" t="n">
        <f aca="false">G5853-H5853</f>
        <v>-8.15</v>
      </c>
    </row>
    <row r="5854" customFormat="false" ht="15" hidden="false" customHeight="false" outlineLevel="0" collapsed="false">
      <c r="A5854" s="2" t="s">
        <v>126</v>
      </c>
      <c r="B5854" s="2" t="s">
        <v>126</v>
      </c>
      <c r="C5854" s="2" t="s">
        <v>50</v>
      </c>
      <c r="D5854" s="2" t="s">
        <v>10</v>
      </c>
      <c r="E5854" s="2" t="s">
        <v>76</v>
      </c>
      <c r="F5854" s="2" t="s">
        <v>1145</v>
      </c>
      <c r="G5854" s="14" t="n">
        <v>17.5</v>
      </c>
      <c r="H5854" s="14" t="n">
        <v>14.39</v>
      </c>
      <c r="I5854" s="14" t="n">
        <v>17.5</v>
      </c>
      <c r="J5854" s="22" t="n">
        <f aca="false">IF(E5854="Priority",'Cost model'!N382,'Cost model'!M382)</f>
        <v>18.5</v>
      </c>
      <c r="K5854" s="14" t="n">
        <f aca="false">J5854-H5854</f>
        <v>4.11</v>
      </c>
      <c r="L5854" s="14" t="n">
        <f aca="false">G5854-H5854</f>
        <v>3.11</v>
      </c>
    </row>
    <row r="5855" customFormat="false" ht="15" hidden="false" customHeight="false" outlineLevel="0" collapsed="false">
      <c r="A5855" s="2" t="s">
        <v>126</v>
      </c>
      <c r="B5855" s="2" t="s">
        <v>126</v>
      </c>
      <c r="C5855" s="2" t="s">
        <v>50</v>
      </c>
      <c r="D5855" s="2" t="s">
        <v>12</v>
      </c>
      <c r="E5855" s="2" t="s">
        <v>76</v>
      </c>
      <c r="F5855" s="2" t="s">
        <v>1145</v>
      </c>
      <c r="G5855" s="14" t="n">
        <v>19.5</v>
      </c>
      <c r="H5855" s="14" t="n">
        <v>24.75</v>
      </c>
      <c r="I5855" s="14" t="n">
        <v>19.5</v>
      </c>
      <c r="J5855" s="22" t="n">
        <f aca="false">IF(E5855="Priority",'Cost model'!N385,'Cost model'!M385)</f>
        <v>55</v>
      </c>
      <c r="K5855" s="14" t="n">
        <f aca="false">J5855-H5855</f>
        <v>30.25</v>
      </c>
      <c r="L5855" s="14" t="n">
        <f aca="false">G5855-H5855</f>
        <v>-5.25</v>
      </c>
    </row>
    <row r="5856" customFormat="false" ht="15" hidden="false" customHeight="false" outlineLevel="0" collapsed="false">
      <c r="A5856" s="2" t="s">
        <v>240</v>
      </c>
      <c r="B5856" s="2" t="s">
        <v>240</v>
      </c>
      <c r="C5856" s="2" t="s">
        <v>48</v>
      </c>
      <c r="D5856" s="2" t="s">
        <v>10</v>
      </c>
      <c r="E5856" s="2" t="s">
        <v>76</v>
      </c>
      <c r="F5856" s="2" t="s">
        <v>1145</v>
      </c>
      <c r="G5856" s="14" t="n">
        <v>9.5</v>
      </c>
      <c r="H5856" s="14" t="n">
        <v>7.13</v>
      </c>
      <c r="I5856" s="14" t="n">
        <v>9.5</v>
      </c>
      <c r="J5856" s="22" t="n">
        <f aca="false">IF(E5856="Priority",'Cost model'!N884,'Cost model'!M884)</f>
        <v>7.5</v>
      </c>
      <c r="K5856" s="14" t="n">
        <f aca="false">J5856-H5856</f>
        <v>0.37</v>
      </c>
      <c r="L5856" s="14" t="n">
        <f aca="false">G5856-H5856</f>
        <v>2.37</v>
      </c>
    </row>
    <row r="5857" customFormat="false" ht="15" hidden="false" customHeight="false" outlineLevel="0" collapsed="false">
      <c r="A5857" s="2" t="s">
        <v>146</v>
      </c>
      <c r="B5857" s="2" t="s">
        <v>184</v>
      </c>
      <c r="C5857" s="2" t="s">
        <v>50</v>
      </c>
      <c r="D5857" s="2" t="s">
        <v>16</v>
      </c>
      <c r="E5857" s="2" t="s">
        <v>85</v>
      </c>
      <c r="F5857" s="2" t="s">
        <v>1146</v>
      </c>
      <c r="G5857" s="14" t="n">
        <v>175</v>
      </c>
      <c r="H5857" s="14" t="n">
        <v>214.76</v>
      </c>
      <c r="I5857" s="14" t="n">
        <v>175</v>
      </c>
      <c r="J5857" s="22" t="n">
        <f aca="false">IF(E5857="Priority",'Cost model'!N847,'Cost model'!M847)</f>
        <v>300</v>
      </c>
      <c r="K5857" s="14" t="n">
        <f aca="false">J5857-H5857</f>
        <v>85.24</v>
      </c>
      <c r="L5857" s="14" t="n">
        <f aca="false">G5857-H5857</f>
        <v>-39.76</v>
      </c>
    </row>
    <row r="5858" customFormat="false" ht="15" hidden="false" customHeight="false" outlineLevel="0" collapsed="false">
      <c r="A5858" s="2" t="s">
        <v>165</v>
      </c>
      <c r="B5858" s="2" t="s">
        <v>184</v>
      </c>
      <c r="C5858" s="2" t="s">
        <v>48</v>
      </c>
      <c r="D5858" s="2" t="s">
        <v>10</v>
      </c>
      <c r="E5858" s="2" t="s">
        <v>76</v>
      </c>
      <c r="F5858" s="2" t="s">
        <v>1146</v>
      </c>
      <c r="G5858" s="14" t="n">
        <v>14.5</v>
      </c>
      <c r="H5858" s="14" t="n">
        <v>5.16</v>
      </c>
      <c r="I5858" s="14" t="n">
        <v>14.5</v>
      </c>
      <c r="J5858" s="22" t="n">
        <f aca="false">IF(E5858="Priority",'Cost model'!N578,'Cost model'!M578)</f>
        <v>10.5</v>
      </c>
      <c r="K5858" s="14" t="n">
        <f aca="false">J5858-H5858</f>
        <v>5.34</v>
      </c>
      <c r="L5858" s="14" t="n">
        <f aca="false">G5858-H5858</f>
        <v>9.34</v>
      </c>
    </row>
    <row r="5859" customFormat="false" ht="15" hidden="false" customHeight="false" outlineLevel="0" collapsed="false">
      <c r="A5859" s="2" t="s">
        <v>184</v>
      </c>
      <c r="B5859" s="2" t="s">
        <v>126</v>
      </c>
      <c r="C5859" s="2" t="s">
        <v>49</v>
      </c>
      <c r="D5859" s="2" t="s">
        <v>12</v>
      </c>
      <c r="E5859" s="2" t="s">
        <v>76</v>
      </c>
      <c r="F5859" s="2" t="s">
        <v>1146</v>
      </c>
      <c r="G5859" s="14" t="n">
        <v>12.5</v>
      </c>
      <c r="H5859" s="14" t="n">
        <v>39.7</v>
      </c>
      <c r="I5859" s="14"/>
      <c r="J5859" s="22" t="n">
        <f aca="false">IF(E5859="Priority",'Cost model'!N132,'Cost model'!M132)</f>
        <v>50</v>
      </c>
      <c r="K5859" s="14" t="n">
        <f aca="false">J5859-H5859</f>
        <v>10.3</v>
      </c>
      <c r="L5859" s="14" t="n">
        <f aca="false">G5859-H5859</f>
        <v>-27.2</v>
      </c>
    </row>
    <row r="5860" customFormat="false" ht="15" hidden="false" customHeight="false" outlineLevel="0" collapsed="false">
      <c r="A5860" s="2" t="s">
        <v>184</v>
      </c>
      <c r="B5860" s="2" t="s">
        <v>126</v>
      </c>
      <c r="C5860" s="2" t="s">
        <v>48</v>
      </c>
      <c r="D5860" s="2" t="s">
        <v>12</v>
      </c>
      <c r="E5860" s="2" t="s">
        <v>76</v>
      </c>
      <c r="F5860" s="2" t="s">
        <v>1146</v>
      </c>
      <c r="G5860" s="14" t="n">
        <v>9.5</v>
      </c>
      <c r="H5860" s="14" t="n">
        <v>46.64</v>
      </c>
      <c r="I5860" s="14" t="n">
        <v>9.5</v>
      </c>
      <c r="J5860" s="22" t="n">
        <f aca="false">IF(E5860="Priority",'Cost model'!N131,'Cost model'!M131)</f>
        <v>40</v>
      </c>
      <c r="K5860" s="14" t="n">
        <f aca="false">J5860-H5860</f>
        <v>-6.64</v>
      </c>
      <c r="L5860" s="14" t="n">
        <f aca="false">G5860-H5860</f>
        <v>-37.14</v>
      </c>
    </row>
    <row r="5861" customFormat="false" ht="15" hidden="false" customHeight="false" outlineLevel="0" collapsed="false">
      <c r="A5861" s="2" t="s">
        <v>240</v>
      </c>
      <c r="B5861" s="2" t="s">
        <v>240</v>
      </c>
      <c r="C5861" s="2" t="s">
        <v>48</v>
      </c>
      <c r="D5861" s="2" t="s">
        <v>13</v>
      </c>
      <c r="E5861" s="2" t="s">
        <v>76</v>
      </c>
      <c r="F5861" s="2" t="s">
        <v>1145</v>
      </c>
      <c r="G5861" s="14" t="n">
        <v>19.5</v>
      </c>
      <c r="H5861" s="14" t="n">
        <v>62.11</v>
      </c>
      <c r="I5861" s="14" t="n">
        <v>19.5</v>
      </c>
      <c r="J5861" s="22" t="n">
        <f aca="false">IF(E5861="Priority",'Cost model'!N890,'Cost model'!M890)</f>
        <v>45</v>
      </c>
      <c r="K5861" s="14" t="n">
        <f aca="false">J5861-H5861</f>
        <v>-17.11</v>
      </c>
      <c r="L5861" s="14" t="n">
        <f aca="false">G5861-H5861</f>
        <v>-42.61</v>
      </c>
    </row>
    <row r="5862" customFormat="false" ht="15" hidden="false" customHeight="false" outlineLevel="0" collapsed="false">
      <c r="A5862" s="2" t="s">
        <v>126</v>
      </c>
      <c r="B5862" s="2" t="s">
        <v>126</v>
      </c>
      <c r="C5862" s="2" t="s">
        <v>49</v>
      </c>
      <c r="D5862" s="2" t="s">
        <v>10</v>
      </c>
      <c r="E5862" s="2" t="s">
        <v>76</v>
      </c>
      <c r="F5862" s="2" t="s">
        <v>1145</v>
      </c>
      <c r="G5862" s="14" t="n">
        <v>12.5</v>
      </c>
      <c r="H5862" s="14" t="n">
        <v>11.51</v>
      </c>
      <c r="I5862" s="14" t="n">
        <v>12.5</v>
      </c>
      <c r="J5862" s="22" t="n">
        <f aca="false">IF(E5862="Priority",'Cost model'!N381,'Cost model'!M381)</f>
        <v>14.5</v>
      </c>
      <c r="K5862" s="14" t="n">
        <f aca="false">J5862-H5862</f>
        <v>2.99</v>
      </c>
      <c r="L5862" s="14" t="n">
        <f aca="false">G5862-H5862</f>
        <v>0.99</v>
      </c>
    </row>
    <row r="5863" customFormat="false" ht="15" hidden="false" customHeight="false" outlineLevel="0" collapsed="false">
      <c r="A5863" s="2" t="s">
        <v>126</v>
      </c>
      <c r="B5863" s="2" t="s">
        <v>184</v>
      </c>
      <c r="C5863" s="2" t="s">
        <v>50</v>
      </c>
      <c r="D5863" s="2" t="s">
        <v>12</v>
      </c>
      <c r="E5863" s="2" t="s">
        <v>76</v>
      </c>
      <c r="F5863" s="2" t="s">
        <v>1146</v>
      </c>
      <c r="G5863" s="14" t="n">
        <v>19.5</v>
      </c>
      <c r="H5863" s="14" t="n">
        <v>101.33</v>
      </c>
      <c r="I5863" s="14" t="n">
        <v>19.5</v>
      </c>
      <c r="J5863" s="22" t="n">
        <f aca="false">IF(E5863="Priority",'Cost model'!N439,'Cost model'!M439)</f>
        <v>60</v>
      </c>
      <c r="K5863" s="14" t="n">
        <f aca="false">J5863-H5863</f>
        <v>-41.33</v>
      </c>
      <c r="L5863" s="14" t="n">
        <f aca="false">G5863-H5863</f>
        <v>-81.83</v>
      </c>
    </row>
    <row r="5864" customFormat="false" ht="15" hidden="false" customHeight="false" outlineLevel="0" collapsed="false">
      <c r="A5864" s="2" t="s">
        <v>240</v>
      </c>
      <c r="B5864" s="2" t="s">
        <v>240</v>
      </c>
      <c r="C5864" s="2" t="s">
        <v>50</v>
      </c>
      <c r="D5864" s="2" t="s">
        <v>10</v>
      </c>
      <c r="E5864" s="2" t="s">
        <v>76</v>
      </c>
      <c r="F5864" s="2" t="s">
        <v>1145</v>
      </c>
      <c r="G5864" s="14" t="n">
        <v>17.5</v>
      </c>
      <c r="H5864" s="14" t="n">
        <v>17.57</v>
      </c>
      <c r="I5864" s="14" t="n">
        <v>17.5</v>
      </c>
      <c r="J5864" s="22" t="n">
        <f aca="false">IF(E5864="Priority",'Cost model'!N886,'Cost model'!M886)</f>
        <v>17.5</v>
      </c>
      <c r="K5864" s="14" t="n">
        <f aca="false">J5864-H5864</f>
        <v>-0.0700000000000003</v>
      </c>
      <c r="L5864" s="14" t="n">
        <f aca="false">G5864-H5864</f>
        <v>-0.0700000000000003</v>
      </c>
    </row>
    <row r="5865" customFormat="false" ht="15" hidden="false" customHeight="false" outlineLevel="0" collapsed="false">
      <c r="A5865" s="2" t="s">
        <v>184</v>
      </c>
      <c r="B5865" s="2" t="s">
        <v>184</v>
      </c>
      <c r="C5865" s="2" t="s">
        <v>49</v>
      </c>
      <c r="D5865" s="2" t="s">
        <v>12</v>
      </c>
      <c r="E5865" s="2" t="s">
        <v>76</v>
      </c>
      <c r="F5865" s="2" t="s">
        <v>1145</v>
      </c>
      <c r="G5865" s="14" t="n">
        <v>12.5</v>
      </c>
      <c r="H5865" s="14" t="n">
        <v>6.57</v>
      </c>
      <c r="I5865" s="14"/>
      <c r="J5865" s="22" t="n">
        <f aca="false">IF(E5865="Priority",'Cost model'!N204,'Cost model'!M204)</f>
        <v>45</v>
      </c>
      <c r="K5865" s="14" t="n">
        <f aca="false">J5865-H5865</f>
        <v>38.43</v>
      </c>
      <c r="L5865" s="14" t="n">
        <f aca="false">G5865-H5865</f>
        <v>5.93</v>
      </c>
    </row>
    <row r="5866" customFormat="false" ht="15" hidden="false" customHeight="false" outlineLevel="0" collapsed="false">
      <c r="A5866" s="2" t="s">
        <v>126</v>
      </c>
      <c r="B5866" s="2" t="s">
        <v>126</v>
      </c>
      <c r="C5866" s="2" t="s">
        <v>48</v>
      </c>
      <c r="D5866" s="2" t="s">
        <v>12</v>
      </c>
      <c r="E5866" s="2" t="s">
        <v>85</v>
      </c>
      <c r="F5866" s="2" t="s">
        <v>1145</v>
      </c>
      <c r="G5866" s="14" t="n">
        <v>19.5</v>
      </c>
      <c r="H5866" s="14" t="n">
        <v>30.07</v>
      </c>
      <c r="I5866" s="14" t="n">
        <v>19.5</v>
      </c>
      <c r="J5866" s="22" t="n">
        <f aca="false">IF(E5866="Priority",'Cost model'!N383,'Cost model'!M383)</f>
        <v>35</v>
      </c>
      <c r="K5866" s="14" t="n">
        <f aca="false">J5866-H5866</f>
        <v>4.93</v>
      </c>
      <c r="L5866" s="14" t="n">
        <f aca="false">G5866-H5866</f>
        <v>-10.57</v>
      </c>
    </row>
    <row r="5867" customFormat="false" ht="15" hidden="false" customHeight="false" outlineLevel="0" collapsed="false">
      <c r="A5867" s="2" t="s">
        <v>126</v>
      </c>
      <c r="B5867" s="2" t="s">
        <v>126</v>
      </c>
      <c r="C5867" s="2" t="s">
        <v>48</v>
      </c>
      <c r="D5867" s="2" t="s">
        <v>12</v>
      </c>
      <c r="E5867" s="2" t="s">
        <v>76</v>
      </c>
      <c r="F5867" s="2" t="s">
        <v>1145</v>
      </c>
      <c r="G5867" s="14" t="n">
        <v>9.5</v>
      </c>
      <c r="H5867" s="14" t="n">
        <v>43.25</v>
      </c>
      <c r="I5867" s="14" t="n">
        <v>9.5</v>
      </c>
      <c r="J5867" s="22" t="n">
        <f aca="false">IF(E5867="Priority",'Cost model'!N383,'Cost model'!M383)</f>
        <v>27.5</v>
      </c>
      <c r="K5867" s="14" t="n">
        <f aca="false">J5867-H5867</f>
        <v>-15.75</v>
      </c>
      <c r="L5867" s="14" t="n">
        <f aca="false">G5867-H5867</f>
        <v>-33.75</v>
      </c>
    </row>
    <row r="5868" customFormat="false" ht="15" hidden="false" customHeight="false" outlineLevel="0" collapsed="false">
      <c r="A5868" s="2" t="s">
        <v>184</v>
      </c>
      <c r="B5868" s="2" t="s">
        <v>146</v>
      </c>
      <c r="C5868" s="2" t="s">
        <v>49</v>
      </c>
      <c r="D5868" s="2" t="s">
        <v>12</v>
      </c>
      <c r="E5868" s="2" t="s">
        <v>76</v>
      </c>
      <c r="F5868" s="2" t="s">
        <v>1146</v>
      </c>
      <c r="G5868" s="14" t="n">
        <v>12.5</v>
      </c>
      <c r="H5868" s="14" t="n">
        <v>51.79</v>
      </c>
      <c r="I5868" s="14"/>
      <c r="J5868" s="22" t="n">
        <f aca="false">IF(E5868="Priority",'Cost model'!N150,'Cost model'!M150)</f>
        <v>55</v>
      </c>
      <c r="K5868" s="14" t="n">
        <f aca="false">J5868-H5868</f>
        <v>3.21</v>
      </c>
      <c r="L5868" s="14" t="n">
        <f aca="false">G5868-H5868</f>
        <v>-39.29</v>
      </c>
    </row>
    <row r="5869" customFormat="false" ht="15" hidden="false" customHeight="false" outlineLevel="0" collapsed="false">
      <c r="A5869" s="2" t="s">
        <v>146</v>
      </c>
      <c r="B5869" s="2" t="s">
        <v>146</v>
      </c>
      <c r="C5869" s="2" t="s">
        <v>48</v>
      </c>
      <c r="D5869" s="2" t="s">
        <v>16</v>
      </c>
      <c r="E5869" s="2" t="s">
        <v>76</v>
      </c>
      <c r="F5869" s="2" t="s">
        <v>1145</v>
      </c>
      <c r="G5869" s="14" t="n">
        <v>45</v>
      </c>
      <c r="H5869" s="14" t="n">
        <v>99.95</v>
      </c>
      <c r="I5869" s="14" t="n">
        <v>45</v>
      </c>
      <c r="J5869" s="22" t="n">
        <f aca="false">IF(E5869="Priority",'Cost model'!N773,'Cost model'!M773)</f>
        <v>125</v>
      </c>
      <c r="K5869" s="14" t="n">
        <f aca="false">J5869-H5869</f>
        <v>25.05</v>
      </c>
      <c r="L5869" s="14" t="n">
        <f aca="false">G5869-H5869</f>
        <v>-54.95</v>
      </c>
    </row>
    <row r="5870" customFormat="false" ht="15" hidden="false" customHeight="false" outlineLevel="0" collapsed="false">
      <c r="A5870" s="2" t="s">
        <v>184</v>
      </c>
      <c r="B5870" s="2" t="s">
        <v>184</v>
      </c>
      <c r="C5870" s="2" t="s">
        <v>49</v>
      </c>
      <c r="D5870" s="2" t="s">
        <v>12</v>
      </c>
      <c r="E5870" s="2" t="s">
        <v>76</v>
      </c>
      <c r="F5870" s="2" t="s">
        <v>1145</v>
      </c>
      <c r="G5870" s="14" t="n">
        <v>12.5</v>
      </c>
      <c r="H5870" s="14" t="n">
        <v>61.93</v>
      </c>
      <c r="I5870" s="14"/>
      <c r="J5870" s="22" t="n">
        <f aca="false">IF(E5870="Priority",'Cost model'!N204,'Cost model'!M204)</f>
        <v>45</v>
      </c>
      <c r="K5870" s="14" t="n">
        <f aca="false">J5870-H5870</f>
        <v>-16.93</v>
      </c>
      <c r="L5870" s="14" t="n">
        <f aca="false">G5870-H5870</f>
        <v>-49.43</v>
      </c>
    </row>
    <row r="5871" customFormat="false" ht="15" hidden="false" customHeight="false" outlineLevel="0" collapsed="false">
      <c r="A5871" s="2" t="s">
        <v>146</v>
      </c>
      <c r="B5871" s="2" t="s">
        <v>146</v>
      </c>
      <c r="C5871" s="2" t="s">
        <v>48</v>
      </c>
      <c r="D5871" s="2" t="s">
        <v>10</v>
      </c>
      <c r="E5871" s="2" t="s">
        <v>76</v>
      </c>
      <c r="F5871" s="2" t="s">
        <v>1145</v>
      </c>
      <c r="G5871" s="14" t="n">
        <v>9.5</v>
      </c>
      <c r="H5871" s="14" t="n">
        <v>10.95</v>
      </c>
      <c r="I5871" s="14" t="n">
        <v>9.5</v>
      </c>
      <c r="J5871" s="22" t="n">
        <f aca="false">IF(E5871="Priority",'Cost model'!N758,'Cost model'!M758)</f>
        <v>9.5</v>
      </c>
      <c r="K5871" s="14" t="n">
        <f aca="false">J5871-H5871</f>
        <v>-1.45</v>
      </c>
      <c r="L5871" s="14" t="n">
        <f aca="false">G5871-H5871</f>
        <v>-1.45</v>
      </c>
    </row>
    <row r="5872" customFormat="false" ht="15" hidden="false" customHeight="false" outlineLevel="0" collapsed="false">
      <c r="A5872" s="2" t="s">
        <v>240</v>
      </c>
      <c r="B5872" s="2" t="s">
        <v>240</v>
      </c>
      <c r="C5872" s="2" t="s">
        <v>50</v>
      </c>
      <c r="D5872" s="2" t="s">
        <v>12</v>
      </c>
      <c r="E5872" s="2" t="s">
        <v>76</v>
      </c>
      <c r="F5872" s="2" t="s">
        <v>1145</v>
      </c>
      <c r="G5872" s="14" t="n">
        <v>19.5</v>
      </c>
      <c r="H5872" s="14" t="n">
        <v>37.74</v>
      </c>
      <c r="I5872" s="14" t="n">
        <v>19.5</v>
      </c>
      <c r="J5872" s="22" t="n">
        <f aca="false">IF(E5872="Priority",'Cost model'!N889,'Cost model'!M889)</f>
        <v>60</v>
      </c>
      <c r="K5872" s="14" t="n">
        <f aca="false">J5872-H5872</f>
        <v>22.26</v>
      </c>
      <c r="L5872" s="14" t="n">
        <f aca="false">G5872-H5872</f>
        <v>-18.24</v>
      </c>
    </row>
    <row r="5873" customFormat="false" ht="15" hidden="false" customHeight="false" outlineLevel="0" collapsed="false">
      <c r="A5873" s="2" t="s">
        <v>126</v>
      </c>
      <c r="B5873" s="2" t="s">
        <v>126</v>
      </c>
      <c r="C5873" s="2" t="s">
        <v>48</v>
      </c>
      <c r="D5873" s="2" t="s">
        <v>10</v>
      </c>
      <c r="E5873" s="2" t="s">
        <v>76</v>
      </c>
      <c r="F5873" s="2" t="s">
        <v>1145</v>
      </c>
      <c r="G5873" s="14" t="n">
        <v>9.5</v>
      </c>
      <c r="H5873" s="14" t="n">
        <v>7.46</v>
      </c>
      <c r="I5873" s="14" t="n">
        <v>9.5</v>
      </c>
      <c r="J5873" s="22" t="n">
        <f aca="false">IF(E5873="Priority",'Cost model'!N380,'Cost model'!M380)</f>
        <v>8.5</v>
      </c>
      <c r="K5873" s="14" t="n">
        <f aca="false">J5873-H5873</f>
        <v>1.04</v>
      </c>
      <c r="L5873" s="14" t="n">
        <f aca="false">G5873-H5873</f>
        <v>2.04</v>
      </c>
    </row>
    <row r="5874" customFormat="false" ht="15" hidden="false" customHeight="false" outlineLevel="0" collapsed="false">
      <c r="A5874" s="2" t="s">
        <v>126</v>
      </c>
      <c r="B5874" s="2" t="s">
        <v>126</v>
      </c>
      <c r="C5874" s="2" t="s">
        <v>48</v>
      </c>
      <c r="D5874" s="2" t="s">
        <v>12</v>
      </c>
      <c r="E5874" s="2" t="s">
        <v>76</v>
      </c>
      <c r="F5874" s="2" t="s">
        <v>1145</v>
      </c>
      <c r="G5874" s="14" t="n">
        <v>9.5</v>
      </c>
      <c r="H5874" s="14" t="n">
        <v>7.45</v>
      </c>
      <c r="I5874" s="14" t="n">
        <v>9.5</v>
      </c>
      <c r="J5874" s="22" t="n">
        <f aca="false">IF(E5874="Priority",'Cost model'!N383,'Cost model'!M383)</f>
        <v>27.5</v>
      </c>
      <c r="K5874" s="14" t="n">
        <f aca="false">J5874-H5874</f>
        <v>20.05</v>
      </c>
      <c r="L5874" s="14" t="n">
        <f aca="false">G5874-H5874</f>
        <v>2.05</v>
      </c>
    </row>
    <row r="5875" customFormat="false" ht="15" hidden="false" customHeight="false" outlineLevel="0" collapsed="false">
      <c r="A5875" s="2" t="s">
        <v>165</v>
      </c>
      <c r="B5875" s="2" t="s">
        <v>240</v>
      </c>
      <c r="C5875" s="2" t="s">
        <v>50</v>
      </c>
      <c r="D5875" s="2" t="s">
        <v>12</v>
      </c>
      <c r="E5875" s="2" t="s">
        <v>76</v>
      </c>
      <c r="F5875" s="2" t="s">
        <v>1146</v>
      </c>
      <c r="G5875" s="14" t="n">
        <v>24.5</v>
      </c>
      <c r="H5875" s="14" t="n">
        <v>77.02</v>
      </c>
      <c r="I5875" s="14" t="n">
        <v>24.5</v>
      </c>
      <c r="J5875" s="22" t="n">
        <f aca="false">IF(E5875="Priority",'Cost model'!N565,'Cost model'!M565)</f>
        <v>65</v>
      </c>
      <c r="K5875" s="14" t="n">
        <f aca="false">J5875-H5875</f>
        <v>-12.02</v>
      </c>
      <c r="L5875" s="14" t="n">
        <f aca="false">G5875-H5875</f>
        <v>-52.52</v>
      </c>
    </row>
    <row r="5876" customFormat="false" ht="15" hidden="false" customHeight="false" outlineLevel="0" collapsed="false">
      <c r="A5876" s="2" t="s">
        <v>126</v>
      </c>
      <c r="B5876" s="2" t="s">
        <v>126</v>
      </c>
      <c r="C5876" s="2" t="s">
        <v>49</v>
      </c>
      <c r="D5876" s="2" t="s">
        <v>12</v>
      </c>
      <c r="E5876" s="2" t="s">
        <v>76</v>
      </c>
      <c r="F5876" s="2" t="s">
        <v>1145</v>
      </c>
      <c r="G5876" s="14" t="n">
        <v>12.5</v>
      </c>
      <c r="H5876" s="14" t="n">
        <v>42.61</v>
      </c>
      <c r="I5876" s="14" t="n">
        <v>12.5</v>
      </c>
      <c r="J5876" s="22" t="n">
        <f aca="false">IF(E5876="Priority",'Cost model'!N384,'Cost model'!M384)</f>
        <v>45</v>
      </c>
      <c r="K5876" s="14" t="n">
        <f aca="false">J5876-H5876</f>
        <v>2.39</v>
      </c>
      <c r="L5876" s="14" t="n">
        <f aca="false">G5876-H5876</f>
        <v>-30.11</v>
      </c>
    </row>
    <row r="5877" customFormat="false" ht="15" hidden="false" customHeight="false" outlineLevel="0" collapsed="false">
      <c r="A5877" s="2" t="s">
        <v>184</v>
      </c>
      <c r="B5877" s="2" t="s">
        <v>126</v>
      </c>
      <c r="C5877" s="2" t="s">
        <v>48</v>
      </c>
      <c r="D5877" s="2" t="s">
        <v>13</v>
      </c>
      <c r="E5877" s="2" t="s">
        <v>76</v>
      </c>
      <c r="F5877" s="2" t="s">
        <v>1146</v>
      </c>
      <c r="G5877" s="14" t="n">
        <v>24.5</v>
      </c>
      <c r="H5877" s="14" t="n">
        <v>159.26</v>
      </c>
      <c r="I5877" s="14" t="n">
        <v>19</v>
      </c>
      <c r="J5877" s="22" t="n">
        <f aca="false">IF(E5877="Priority",'Cost model'!N134,'Cost model'!M134)</f>
        <v>80</v>
      </c>
      <c r="K5877" s="14" t="n">
        <f aca="false">J5877-H5877</f>
        <v>-79.26</v>
      </c>
      <c r="L5877" s="14" t="n">
        <f aca="false">G5877-H5877</f>
        <v>-134.76</v>
      </c>
    </row>
    <row r="5878" customFormat="false" ht="15" hidden="false" customHeight="false" outlineLevel="0" collapsed="false">
      <c r="A5878" s="2" t="s">
        <v>184</v>
      </c>
      <c r="B5878" s="2" t="s">
        <v>184</v>
      </c>
      <c r="C5878" s="2" t="s">
        <v>48</v>
      </c>
      <c r="D5878" s="2" t="s">
        <v>10</v>
      </c>
      <c r="E5878" s="2" t="s">
        <v>76</v>
      </c>
      <c r="F5878" s="2" t="s">
        <v>1145</v>
      </c>
      <c r="G5878" s="14" t="n">
        <v>19.5</v>
      </c>
      <c r="H5878" s="14" t="n">
        <v>23.58</v>
      </c>
      <c r="I5878" s="14" t="n">
        <v>9.5</v>
      </c>
      <c r="J5878" s="22" t="n">
        <f aca="false">IF(E5878="Priority",'Cost model'!N200,'Cost model'!M200)</f>
        <v>7.5</v>
      </c>
      <c r="K5878" s="14" t="n">
        <f aca="false">J5878-H5878</f>
        <v>-16.08</v>
      </c>
      <c r="L5878" s="14" t="n">
        <f aca="false">G5878-H5878</f>
        <v>-4.08</v>
      </c>
    </row>
    <row r="5879" customFormat="false" ht="15" hidden="false" customHeight="false" outlineLevel="0" collapsed="false">
      <c r="A5879" s="2" t="s">
        <v>184</v>
      </c>
      <c r="B5879" s="2" t="s">
        <v>184</v>
      </c>
      <c r="C5879" s="2" t="s">
        <v>48</v>
      </c>
      <c r="D5879" s="2" t="s">
        <v>13</v>
      </c>
      <c r="E5879" s="2" t="s">
        <v>76</v>
      </c>
      <c r="F5879" s="2" t="s">
        <v>1145</v>
      </c>
      <c r="G5879" s="14" t="n">
        <v>19</v>
      </c>
      <c r="H5879" s="14" t="n">
        <v>70.95</v>
      </c>
      <c r="I5879" s="14" t="n">
        <v>19</v>
      </c>
      <c r="J5879" s="22" t="n">
        <f aca="false">IF(E5879="Priority",'Cost model'!N206,'Cost model'!M206)</f>
        <v>55</v>
      </c>
      <c r="K5879" s="14" t="n">
        <f aca="false">J5879-H5879</f>
        <v>-15.95</v>
      </c>
      <c r="L5879" s="14" t="n">
        <f aca="false">G5879-H5879</f>
        <v>-51.95</v>
      </c>
    </row>
    <row r="5880" customFormat="false" ht="15" hidden="false" customHeight="false" outlineLevel="0" collapsed="false">
      <c r="A5880" s="2" t="s">
        <v>126</v>
      </c>
      <c r="B5880" s="2" t="s">
        <v>126</v>
      </c>
      <c r="C5880" s="2" t="s">
        <v>50</v>
      </c>
      <c r="D5880" s="2" t="s">
        <v>12</v>
      </c>
      <c r="E5880" s="2" t="s">
        <v>76</v>
      </c>
      <c r="F5880" s="2" t="s">
        <v>1145</v>
      </c>
      <c r="G5880" s="14" t="n">
        <v>19.5</v>
      </c>
      <c r="H5880" s="14" t="n">
        <v>45.75</v>
      </c>
      <c r="I5880" s="14" t="n">
        <v>19.5</v>
      </c>
      <c r="J5880" s="22" t="n">
        <f aca="false">IF(E5880="Priority",'Cost model'!N385,'Cost model'!M385)</f>
        <v>55</v>
      </c>
      <c r="K5880" s="14" t="n">
        <f aca="false">J5880-H5880</f>
        <v>9.25</v>
      </c>
      <c r="L5880" s="14" t="n">
        <f aca="false">G5880-H5880</f>
        <v>-26.25</v>
      </c>
    </row>
    <row r="5881" customFormat="false" ht="15" hidden="false" customHeight="false" outlineLevel="0" collapsed="false">
      <c r="A5881" s="2" t="s">
        <v>184</v>
      </c>
      <c r="B5881" s="2" t="s">
        <v>126</v>
      </c>
      <c r="C5881" s="2" t="s">
        <v>48</v>
      </c>
      <c r="D5881" s="2" t="s">
        <v>10</v>
      </c>
      <c r="E5881" s="2" t="s">
        <v>76</v>
      </c>
      <c r="F5881" s="2" t="s">
        <v>1146</v>
      </c>
      <c r="G5881" s="14" t="n">
        <v>9.5</v>
      </c>
      <c r="H5881" s="14" t="n">
        <v>10.76</v>
      </c>
      <c r="I5881" s="14" t="n">
        <v>9.5</v>
      </c>
      <c r="J5881" s="22" t="n">
        <f aca="false">IF(E5881="Priority",'Cost model'!N128,'Cost model'!M128)</f>
        <v>10.5</v>
      </c>
      <c r="K5881" s="14" t="n">
        <f aca="false">J5881-H5881</f>
        <v>-0.26</v>
      </c>
      <c r="L5881" s="14" t="n">
        <f aca="false">G5881-H5881</f>
        <v>-1.26</v>
      </c>
    </row>
    <row r="5882" customFormat="false" ht="15" hidden="false" customHeight="false" outlineLevel="0" collapsed="false">
      <c r="A5882" s="2" t="s">
        <v>126</v>
      </c>
      <c r="B5882" s="2" t="s">
        <v>184</v>
      </c>
      <c r="C5882" s="2" t="s">
        <v>49</v>
      </c>
      <c r="D5882" s="2" t="s">
        <v>12</v>
      </c>
      <c r="E5882" s="2" t="s">
        <v>85</v>
      </c>
      <c r="F5882" s="2" t="s">
        <v>1146</v>
      </c>
      <c r="G5882" s="14" t="n">
        <v>24.5</v>
      </c>
      <c r="H5882" s="14" t="n">
        <v>63.44</v>
      </c>
      <c r="I5882" s="14" t="n">
        <v>24.5</v>
      </c>
      <c r="J5882" s="22" t="n">
        <f aca="false">IF(E5882="Priority",'Cost model'!N438,'Cost model'!M438)</f>
        <v>70</v>
      </c>
      <c r="K5882" s="14" t="n">
        <f aca="false">J5882-H5882</f>
        <v>6.56</v>
      </c>
      <c r="L5882" s="14" t="n">
        <f aca="false">G5882-H5882</f>
        <v>-38.94</v>
      </c>
    </row>
    <row r="5883" customFormat="false" ht="15" hidden="false" customHeight="false" outlineLevel="0" collapsed="false">
      <c r="A5883" s="2" t="s">
        <v>146</v>
      </c>
      <c r="B5883" s="2" t="s">
        <v>146</v>
      </c>
      <c r="C5883" s="2" t="s">
        <v>48</v>
      </c>
      <c r="D5883" s="2" t="s">
        <v>10</v>
      </c>
      <c r="E5883" s="2" t="s">
        <v>85</v>
      </c>
      <c r="F5883" s="2" t="s">
        <v>1145</v>
      </c>
      <c r="G5883" s="14" t="n">
        <v>14.5</v>
      </c>
      <c r="H5883" s="14" t="n">
        <v>6.14</v>
      </c>
      <c r="I5883" s="14" t="n">
        <v>14.5</v>
      </c>
      <c r="J5883" s="22" t="n">
        <f aca="false">IF(E5883="Priority",'Cost model'!N758,'Cost model'!M758)</f>
        <v>14.5</v>
      </c>
      <c r="K5883" s="14" t="n">
        <f aca="false">J5883-H5883</f>
        <v>8.36</v>
      </c>
      <c r="L5883" s="14" t="n">
        <f aca="false">G5883-H5883</f>
        <v>8.36</v>
      </c>
    </row>
  </sheetData>
  <autoFilter ref="A1:L58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2"/>
    <col collapsed="false" customWidth="true" hidden="false" outlineLevel="0" max="4" min="4" style="0" width="28"/>
    <col collapsed="false" customWidth="true" hidden="false" outlineLevel="0" max="5" min="5" style="0" width="20"/>
  </cols>
  <sheetData>
    <row r="1" customFormat="false" ht="17.35" hidden="false" customHeight="false" outlineLevel="0" collapsed="false">
      <c r="A1" s="1" t="s">
        <v>1147</v>
      </c>
    </row>
    <row r="3" customFormat="false" ht="15" hidden="false" customHeight="false" outlineLevel="0" collapsed="false">
      <c r="A3" s="12" t="s">
        <v>1148</v>
      </c>
      <c r="B3" s="12" t="s">
        <v>60</v>
      </c>
      <c r="C3" s="12" t="s">
        <v>1149</v>
      </c>
      <c r="D3" s="12" t="s">
        <v>1150</v>
      </c>
      <c r="E3" s="12" t="s">
        <v>1151</v>
      </c>
    </row>
    <row r="4" customFormat="false" ht="15" hidden="false" customHeight="false" outlineLevel="0" collapsed="false">
      <c r="A4" s="2" t="n">
        <v>1</v>
      </c>
      <c r="B4" s="2" t="s">
        <v>10</v>
      </c>
      <c r="C4" s="2" t="s">
        <v>1152</v>
      </c>
      <c r="D4" s="2" t="s">
        <v>1153</v>
      </c>
      <c r="E4" s="2" t="s">
        <v>1154</v>
      </c>
    </row>
    <row r="5" customFormat="false" ht="15" hidden="false" customHeight="false" outlineLevel="0" collapsed="false">
      <c r="A5" s="2" t="n">
        <v>2</v>
      </c>
      <c r="B5" s="2" t="s">
        <v>12</v>
      </c>
      <c r="C5" s="2" t="s">
        <v>1155</v>
      </c>
      <c r="D5" s="2" t="s">
        <v>1156</v>
      </c>
      <c r="E5" s="2" t="s">
        <v>1157</v>
      </c>
    </row>
    <row r="6" customFormat="false" ht="15" hidden="false" customHeight="false" outlineLevel="0" collapsed="false">
      <c r="A6" s="2" t="n">
        <v>3</v>
      </c>
      <c r="B6" s="2" t="s">
        <v>13</v>
      </c>
      <c r="C6" s="2" t="s">
        <v>1158</v>
      </c>
      <c r="D6" s="2" t="s">
        <v>1159</v>
      </c>
      <c r="E6" s="2" t="s">
        <v>1160</v>
      </c>
    </row>
    <row r="7" customFormat="false" ht="15" hidden="false" customHeight="false" outlineLevel="0" collapsed="false">
      <c r="A7" s="2" t="n">
        <v>4</v>
      </c>
      <c r="B7" s="2" t="s">
        <v>14</v>
      </c>
      <c r="C7" s="2" t="s">
        <v>1161</v>
      </c>
      <c r="D7" s="2" t="s">
        <v>1162</v>
      </c>
      <c r="E7" s="2" t="s">
        <v>1163</v>
      </c>
    </row>
    <row r="8" customFormat="false" ht="15" hidden="false" customHeight="false" outlineLevel="0" collapsed="false">
      <c r="A8" s="2" t="n">
        <v>5</v>
      </c>
      <c r="B8" s="2" t="s">
        <v>15</v>
      </c>
      <c r="C8" s="2" t="s">
        <v>1164</v>
      </c>
      <c r="D8" s="2" t="s">
        <v>1165</v>
      </c>
      <c r="E8" s="2" t="s">
        <v>1166</v>
      </c>
    </row>
    <row r="9" customFormat="false" ht="15" hidden="false" customHeight="false" outlineLevel="0" collapsed="false">
      <c r="A9" s="3" t="s">
        <v>1167</v>
      </c>
      <c r="B9" s="2" t="s">
        <v>16</v>
      </c>
      <c r="C9" s="2" t="s">
        <v>1168</v>
      </c>
      <c r="D9" s="2" t="s">
        <v>1169</v>
      </c>
      <c r="E9" s="2" t="s">
        <v>1168</v>
      </c>
    </row>
    <row r="10" customFormat="false" ht="15" hidden="false" customHeight="false" outlineLevel="0" collapsed="false">
      <c r="A10" s="2" t="s">
        <v>1170</v>
      </c>
    </row>
    <row r="11" customFormat="false" ht="15" hidden="false" customHeight="false" outlineLevel="0" collapsed="false">
      <c r="A11" s="5" t="s">
        <v>1171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8"/>
  </cols>
  <sheetData>
    <row r="1" customFormat="false" ht="15" hidden="false" customHeight="false" outlineLevel="0" collapsed="false">
      <c r="A1" s="3" t="s">
        <v>1172</v>
      </c>
    </row>
    <row r="3" customFormat="false" ht="15" hidden="false" customHeight="false" outlineLevel="0" collapsed="false">
      <c r="A3" s="12" t="s">
        <v>110</v>
      </c>
      <c r="B3" s="12" t="s">
        <v>1173</v>
      </c>
      <c r="C3" s="12" t="s">
        <v>1174</v>
      </c>
      <c r="D3" s="12" t="s">
        <v>1175</v>
      </c>
      <c r="E3" s="12" t="s">
        <v>1176</v>
      </c>
      <c r="F3" s="12" t="s">
        <v>1177</v>
      </c>
    </row>
    <row r="4" customFormat="false" ht="15" hidden="false" customHeight="false" outlineLevel="0" collapsed="false">
      <c r="A4" s="2" t="s">
        <v>125</v>
      </c>
      <c r="B4" s="2" t="s">
        <v>58</v>
      </c>
      <c r="C4" s="2" t="s">
        <v>53</v>
      </c>
      <c r="D4" s="2" t="s">
        <v>52</v>
      </c>
      <c r="E4" s="2" t="s">
        <v>54</v>
      </c>
      <c r="F4" s="2" t="s">
        <v>55</v>
      </c>
    </row>
    <row r="5" customFormat="false" ht="15" hidden="false" customHeight="false" outlineLevel="0" collapsed="false">
      <c r="A5" s="2" t="s">
        <v>184</v>
      </c>
      <c r="B5" s="2" t="s">
        <v>53</v>
      </c>
      <c r="C5" s="2" t="s">
        <v>52</v>
      </c>
      <c r="D5" s="2" t="s">
        <v>54</v>
      </c>
      <c r="E5" s="2" t="s">
        <v>55</v>
      </c>
      <c r="F5" s="2" t="s">
        <v>56</v>
      </c>
    </row>
    <row r="6" customFormat="false" ht="15" hidden="false" customHeight="false" outlineLevel="0" collapsed="false">
      <c r="A6" s="2" t="s">
        <v>385</v>
      </c>
      <c r="B6" s="2" t="s">
        <v>55</v>
      </c>
      <c r="C6" s="2" t="s">
        <v>54</v>
      </c>
      <c r="D6" s="2" t="s">
        <v>53</v>
      </c>
      <c r="E6" s="2" t="s">
        <v>56</v>
      </c>
    </row>
    <row r="7" customFormat="false" ht="15" hidden="false" customHeight="false" outlineLevel="0" collapsed="false">
      <c r="A7" s="2" t="s">
        <v>126</v>
      </c>
      <c r="B7" s="2" t="s">
        <v>52</v>
      </c>
      <c r="C7" s="2" t="s">
        <v>53</v>
      </c>
      <c r="D7" s="2" t="s">
        <v>54</v>
      </c>
      <c r="E7" s="2" t="s">
        <v>55</v>
      </c>
    </row>
    <row r="8" customFormat="false" ht="15" hidden="false" customHeight="false" outlineLevel="0" collapsed="false">
      <c r="A8" s="2" t="s">
        <v>165</v>
      </c>
      <c r="B8" s="2" t="s">
        <v>55</v>
      </c>
      <c r="C8" s="2" t="s">
        <v>54</v>
      </c>
      <c r="D8" s="2" t="s">
        <v>53</v>
      </c>
      <c r="E8" s="2" t="s">
        <v>52</v>
      </c>
      <c r="F8" s="2" t="s">
        <v>56</v>
      </c>
    </row>
    <row r="9" customFormat="false" ht="15" hidden="false" customHeight="false" outlineLevel="0" collapsed="false">
      <c r="A9" s="2" t="s">
        <v>221</v>
      </c>
      <c r="B9" s="2" t="s">
        <v>57</v>
      </c>
      <c r="C9" s="2" t="s">
        <v>54</v>
      </c>
      <c r="D9" s="2" t="s">
        <v>53</v>
      </c>
      <c r="E9" s="2" t="s">
        <v>52</v>
      </c>
      <c r="F9" s="2" t="s">
        <v>55</v>
      </c>
    </row>
    <row r="10" customFormat="false" ht="15" hidden="false" customHeight="false" outlineLevel="0" collapsed="false">
      <c r="A10" s="2" t="s">
        <v>146</v>
      </c>
      <c r="B10" s="2" t="s">
        <v>54</v>
      </c>
      <c r="C10" s="2" t="s">
        <v>53</v>
      </c>
      <c r="D10" s="2" t="s">
        <v>52</v>
      </c>
      <c r="E10" s="2" t="s">
        <v>55</v>
      </c>
      <c r="F10" s="2" t="s">
        <v>56</v>
      </c>
    </row>
    <row r="11" customFormat="false" ht="15" hidden="false" customHeight="false" outlineLevel="0" collapsed="false">
      <c r="A11" s="2" t="s">
        <v>240</v>
      </c>
      <c r="B11" s="2" t="s">
        <v>56</v>
      </c>
      <c r="C11" s="2" t="s">
        <v>55</v>
      </c>
      <c r="D11" s="2" t="s">
        <v>54</v>
      </c>
      <c r="E11" s="2"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4"/>
    <col collapsed="false" customWidth="true" hidden="false" outlineLevel="0" max="4" min="4" style="0" width="12"/>
    <col collapsed="false" customWidth="true" hidden="false" outlineLevel="0" max="5" min="5" style="0" width="24"/>
    <col collapsed="false" customWidth="true" hidden="false" outlineLevel="0" max="6" min="6" style="0" width="13"/>
    <col collapsed="false" customWidth="true" hidden="false" outlineLevel="0" max="7" min="7" style="0" width="60"/>
  </cols>
  <sheetData>
    <row r="1" customFormat="false" ht="15" hidden="false" customHeight="false" outlineLevel="0" collapsed="false">
      <c r="A1" s="12" t="s">
        <v>1178</v>
      </c>
      <c r="B1" s="12" t="s">
        <v>1179</v>
      </c>
      <c r="C1" s="12" t="s">
        <v>1180</v>
      </c>
      <c r="D1" s="12" t="s">
        <v>112</v>
      </c>
      <c r="E1" s="12" t="s">
        <v>1181</v>
      </c>
      <c r="F1" s="12" t="s">
        <v>1182</v>
      </c>
      <c r="G1" s="12" t="s">
        <v>1183</v>
      </c>
    </row>
    <row r="2" customFormat="false" ht="15" hidden="false" customHeight="false" outlineLevel="0" collapsed="false">
      <c r="A2" s="2" t="s">
        <v>1184</v>
      </c>
      <c r="B2" s="2" t="s">
        <v>125</v>
      </c>
      <c r="C2" s="2" t="s">
        <v>125</v>
      </c>
      <c r="D2" s="2" t="s">
        <v>48</v>
      </c>
      <c r="E2" s="2" t="s">
        <v>1185</v>
      </c>
      <c r="F2" s="2" t="s">
        <v>1186</v>
      </c>
      <c r="G2" s="2" t="s">
        <v>1187</v>
      </c>
    </row>
    <row r="3" customFormat="false" ht="15" hidden="false" customHeight="false" outlineLevel="0" collapsed="false">
      <c r="A3" s="2" t="s">
        <v>1188</v>
      </c>
      <c r="B3" s="2" t="s">
        <v>385</v>
      </c>
      <c r="C3" s="2" t="s">
        <v>385</v>
      </c>
      <c r="D3" s="2" t="s">
        <v>48</v>
      </c>
      <c r="E3" s="2" t="s">
        <v>1185</v>
      </c>
      <c r="F3" s="2" t="s">
        <v>1186</v>
      </c>
      <c r="G3" s="2" t="s">
        <v>1189</v>
      </c>
    </row>
    <row r="4" customFormat="false" ht="15" hidden="false" customHeight="false" outlineLevel="0" collapsed="false">
      <c r="A4" s="2" t="s">
        <v>1190</v>
      </c>
      <c r="B4" s="2" t="s">
        <v>385</v>
      </c>
      <c r="C4" s="2" t="s">
        <v>385</v>
      </c>
      <c r="D4" s="2" t="s">
        <v>48</v>
      </c>
      <c r="E4" s="2" t="s">
        <v>1185</v>
      </c>
      <c r="F4" s="2" t="s">
        <v>1186</v>
      </c>
      <c r="G4" s="2" t="s">
        <v>1191</v>
      </c>
    </row>
    <row r="5" customFormat="false" ht="15" hidden="false" customHeight="false" outlineLevel="0" collapsed="false">
      <c r="A5" s="2" t="s">
        <v>1192</v>
      </c>
      <c r="B5" s="2" t="s">
        <v>385</v>
      </c>
      <c r="C5" s="2" t="s">
        <v>1193</v>
      </c>
      <c r="D5" s="2" t="s">
        <v>50</v>
      </c>
      <c r="E5" s="2" t="s">
        <v>1194</v>
      </c>
      <c r="F5" s="2" t="s">
        <v>1186</v>
      </c>
      <c r="G5" s="2" t="s">
        <v>1195</v>
      </c>
    </row>
    <row r="6" customFormat="false" ht="15" hidden="false" customHeight="false" outlineLevel="0" collapsed="false">
      <c r="A6" s="2" t="s">
        <v>1196</v>
      </c>
      <c r="B6" s="2" t="s">
        <v>385</v>
      </c>
      <c r="C6" s="2" t="s">
        <v>385</v>
      </c>
      <c r="D6" s="2" t="s">
        <v>48</v>
      </c>
      <c r="E6" s="2" t="s">
        <v>1185</v>
      </c>
      <c r="F6" s="2" t="s">
        <v>1186</v>
      </c>
      <c r="G6" s="2" t="s">
        <v>1197</v>
      </c>
    </row>
    <row r="7" customFormat="false" ht="15" hidden="false" customHeight="false" outlineLevel="0" collapsed="false">
      <c r="A7" s="2" t="s">
        <v>1198</v>
      </c>
      <c r="B7" s="2" t="s">
        <v>385</v>
      </c>
      <c r="C7" s="2" t="s">
        <v>385</v>
      </c>
      <c r="D7" s="2" t="s">
        <v>48</v>
      </c>
      <c r="E7" s="2" t="s">
        <v>1185</v>
      </c>
      <c r="F7" s="2" t="s">
        <v>1186</v>
      </c>
      <c r="G7" s="2" t="s">
        <v>1199</v>
      </c>
    </row>
    <row r="8" customFormat="false" ht="15" hidden="false" customHeight="false" outlineLevel="0" collapsed="false">
      <c r="A8" s="2" t="s">
        <v>1200</v>
      </c>
      <c r="B8" s="2" t="s">
        <v>385</v>
      </c>
      <c r="C8" s="2" t="s">
        <v>385</v>
      </c>
      <c r="D8" s="2" t="s">
        <v>48</v>
      </c>
      <c r="E8" s="2" t="s">
        <v>1185</v>
      </c>
      <c r="F8" s="2" t="s">
        <v>1186</v>
      </c>
      <c r="G8" s="2" t="s">
        <v>1201</v>
      </c>
    </row>
    <row r="9" customFormat="false" ht="15" hidden="false" customHeight="false" outlineLevel="0" collapsed="false">
      <c r="A9" s="2" t="s">
        <v>1202</v>
      </c>
      <c r="B9" s="2" t="s">
        <v>385</v>
      </c>
      <c r="C9" s="2" t="s">
        <v>385</v>
      </c>
      <c r="D9" s="2" t="s">
        <v>48</v>
      </c>
      <c r="E9" s="2" t="s">
        <v>1185</v>
      </c>
      <c r="F9" s="2" t="s">
        <v>1186</v>
      </c>
      <c r="G9" s="2" t="s">
        <v>1203</v>
      </c>
    </row>
    <row r="10" customFormat="false" ht="15" hidden="false" customHeight="false" outlineLevel="0" collapsed="false">
      <c r="A10" s="2" t="s">
        <v>1204</v>
      </c>
      <c r="B10" s="2" t="s">
        <v>385</v>
      </c>
      <c r="C10" s="2" t="s">
        <v>385</v>
      </c>
      <c r="D10" s="2" t="s">
        <v>48</v>
      </c>
      <c r="E10" s="2" t="s">
        <v>1185</v>
      </c>
      <c r="F10" s="2" t="s">
        <v>1186</v>
      </c>
      <c r="G10" s="2" t="s">
        <v>1205</v>
      </c>
    </row>
    <row r="11" customFormat="false" ht="15" hidden="false" customHeight="false" outlineLevel="0" collapsed="false">
      <c r="A11" s="2" t="s">
        <v>1206</v>
      </c>
      <c r="B11" s="2" t="s">
        <v>385</v>
      </c>
      <c r="C11" s="2" t="s">
        <v>385</v>
      </c>
      <c r="D11" s="2" t="s">
        <v>48</v>
      </c>
      <c r="E11" s="2" t="s">
        <v>1185</v>
      </c>
      <c r="F11" s="2" t="s">
        <v>1186</v>
      </c>
      <c r="G11" s="2" t="s">
        <v>1207</v>
      </c>
    </row>
    <row r="12" customFormat="false" ht="15" hidden="false" customHeight="false" outlineLevel="0" collapsed="false">
      <c r="A12" s="2" t="s">
        <v>1208</v>
      </c>
      <c r="B12" s="2" t="s">
        <v>385</v>
      </c>
      <c r="C12" s="2" t="s">
        <v>1193</v>
      </c>
      <c r="D12" s="2" t="s">
        <v>50</v>
      </c>
      <c r="E12" s="2" t="s">
        <v>1194</v>
      </c>
      <c r="F12" s="2" t="s">
        <v>1186</v>
      </c>
      <c r="G12" s="2" t="s">
        <v>1209</v>
      </c>
    </row>
    <row r="13" customFormat="false" ht="15" hidden="false" customHeight="false" outlineLevel="0" collapsed="false">
      <c r="A13" s="2" t="s">
        <v>1210</v>
      </c>
      <c r="B13" s="2" t="s">
        <v>385</v>
      </c>
      <c r="C13" s="2" t="s">
        <v>385</v>
      </c>
      <c r="D13" s="2" t="s">
        <v>48</v>
      </c>
      <c r="E13" s="2" t="s">
        <v>1185</v>
      </c>
      <c r="F13" s="2" t="s">
        <v>1186</v>
      </c>
      <c r="G13" s="2" t="s">
        <v>1211</v>
      </c>
    </row>
    <row r="14" customFormat="false" ht="15" hidden="false" customHeight="false" outlineLevel="0" collapsed="false">
      <c r="A14" s="2" t="s">
        <v>1212</v>
      </c>
      <c r="B14" s="2" t="s">
        <v>385</v>
      </c>
      <c r="C14" s="2" t="s">
        <v>385</v>
      </c>
      <c r="D14" s="2" t="s">
        <v>48</v>
      </c>
      <c r="E14" s="2" t="s">
        <v>1185</v>
      </c>
      <c r="F14" s="2" t="s">
        <v>1186</v>
      </c>
      <c r="G14" s="2" t="s">
        <v>1213</v>
      </c>
    </row>
    <row r="15" customFormat="false" ht="15" hidden="false" customHeight="false" outlineLevel="0" collapsed="false">
      <c r="A15" s="2" t="s">
        <v>1214</v>
      </c>
      <c r="B15" s="2" t="s">
        <v>385</v>
      </c>
      <c r="C15" s="2" t="s">
        <v>1193</v>
      </c>
      <c r="D15" s="2" t="s">
        <v>50</v>
      </c>
      <c r="E15" s="2" t="s">
        <v>1194</v>
      </c>
      <c r="F15" s="2" t="s">
        <v>1186</v>
      </c>
      <c r="G15" s="2" t="s">
        <v>1215</v>
      </c>
    </row>
    <row r="16" customFormat="false" ht="15" hidden="false" customHeight="false" outlineLevel="0" collapsed="false">
      <c r="A16" s="2" t="s">
        <v>1216</v>
      </c>
      <c r="B16" s="2" t="s">
        <v>385</v>
      </c>
      <c r="C16" s="2" t="s">
        <v>385</v>
      </c>
      <c r="D16" s="2" t="s">
        <v>48</v>
      </c>
      <c r="E16" s="2" t="s">
        <v>1185</v>
      </c>
      <c r="F16" s="2" t="s">
        <v>1186</v>
      </c>
      <c r="G16" s="2" t="s">
        <v>1217</v>
      </c>
    </row>
    <row r="17" customFormat="false" ht="15" hidden="false" customHeight="false" outlineLevel="0" collapsed="false">
      <c r="A17" s="2" t="s">
        <v>1218</v>
      </c>
      <c r="B17" s="2" t="s">
        <v>385</v>
      </c>
      <c r="C17" s="2" t="s">
        <v>385</v>
      </c>
      <c r="D17" s="2" t="s">
        <v>48</v>
      </c>
      <c r="E17" s="2" t="s">
        <v>1185</v>
      </c>
      <c r="F17" s="2" t="s">
        <v>1186</v>
      </c>
      <c r="G17" s="2" t="s">
        <v>1219</v>
      </c>
    </row>
    <row r="18" customFormat="false" ht="15" hidden="false" customHeight="false" outlineLevel="0" collapsed="false">
      <c r="A18" s="2" t="s">
        <v>1220</v>
      </c>
      <c r="B18" s="2" t="s">
        <v>385</v>
      </c>
      <c r="C18" s="2" t="s">
        <v>385</v>
      </c>
      <c r="D18" s="2" t="s">
        <v>48</v>
      </c>
      <c r="E18" s="2" t="s">
        <v>1185</v>
      </c>
      <c r="F18" s="2" t="s">
        <v>1186</v>
      </c>
      <c r="G18" s="2" t="s">
        <v>1221</v>
      </c>
    </row>
    <row r="19" customFormat="false" ht="15" hidden="false" customHeight="false" outlineLevel="0" collapsed="false">
      <c r="A19" s="2" t="s">
        <v>1222</v>
      </c>
      <c r="B19" s="2" t="s">
        <v>385</v>
      </c>
      <c r="C19" s="2" t="s">
        <v>385</v>
      </c>
      <c r="D19" s="2" t="s">
        <v>48</v>
      </c>
      <c r="E19" s="2" t="s">
        <v>1185</v>
      </c>
      <c r="F19" s="2" t="s">
        <v>1186</v>
      </c>
      <c r="G19" s="2" t="s">
        <v>1223</v>
      </c>
    </row>
    <row r="20" customFormat="false" ht="15" hidden="false" customHeight="false" outlineLevel="0" collapsed="false">
      <c r="A20" s="2" t="s">
        <v>1224</v>
      </c>
      <c r="B20" s="2" t="s">
        <v>385</v>
      </c>
      <c r="C20" s="2" t="s">
        <v>1193</v>
      </c>
      <c r="D20" s="2" t="s">
        <v>50</v>
      </c>
      <c r="E20" s="2" t="s">
        <v>1194</v>
      </c>
      <c r="F20" s="2" t="s">
        <v>1186</v>
      </c>
      <c r="G20" s="2" t="s">
        <v>1225</v>
      </c>
    </row>
    <row r="21" customFormat="false" ht="15" hidden="false" customHeight="false" outlineLevel="0" collapsed="false">
      <c r="A21" s="2" t="s">
        <v>1226</v>
      </c>
      <c r="B21" s="2" t="s">
        <v>385</v>
      </c>
      <c r="C21" s="2" t="s">
        <v>1193</v>
      </c>
      <c r="D21" s="2" t="s">
        <v>50</v>
      </c>
      <c r="E21" s="2" t="s">
        <v>1194</v>
      </c>
      <c r="F21" s="2" t="s">
        <v>1186</v>
      </c>
      <c r="G21" s="2" t="s">
        <v>1227</v>
      </c>
    </row>
    <row r="22" customFormat="false" ht="15" hidden="false" customHeight="false" outlineLevel="0" collapsed="false">
      <c r="A22" s="2" t="s">
        <v>1228</v>
      </c>
      <c r="B22" s="2" t="s">
        <v>385</v>
      </c>
      <c r="C22" s="2" t="s">
        <v>1193</v>
      </c>
      <c r="D22" s="2" t="s">
        <v>50</v>
      </c>
      <c r="E22" s="2" t="s">
        <v>1194</v>
      </c>
      <c r="F22" s="2" t="s">
        <v>1186</v>
      </c>
      <c r="G22" s="2" t="s">
        <v>1229</v>
      </c>
    </row>
    <row r="23" customFormat="false" ht="15" hidden="false" customHeight="false" outlineLevel="0" collapsed="false">
      <c r="A23" s="2" t="s">
        <v>1230</v>
      </c>
      <c r="B23" s="2" t="s">
        <v>385</v>
      </c>
      <c r="C23" s="2" t="s">
        <v>1193</v>
      </c>
      <c r="D23" s="2" t="s">
        <v>50</v>
      </c>
      <c r="E23" s="2" t="s">
        <v>1194</v>
      </c>
      <c r="F23" s="2" t="s">
        <v>1186</v>
      </c>
      <c r="G23" s="2" t="s">
        <v>1231</v>
      </c>
    </row>
    <row r="24" customFormat="false" ht="15" hidden="false" customHeight="false" outlineLevel="0" collapsed="false">
      <c r="A24" s="2" t="s">
        <v>1232</v>
      </c>
      <c r="B24" s="2" t="s">
        <v>385</v>
      </c>
      <c r="C24" s="2" t="s">
        <v>1193</v>
      </c>
      <c r="D24" s="2" t="s">
        <v>50</v>
      </c>
      <c r="E24" s="2" t="s">
        <v>1194</v>
      </c>
      <c r="F24" s="2" t="s">
        <v>1186</v>
      </c>
      <c r="G24" s="2" t="s">
        <v>1233</v>
      </c>
    </row>
    <row r="25" customFormat="false" ht="15" hidden="false" customHeight="false" outlineLevel="0" collapsed="false">
      <c r="A25" s="2" t="s">
        <v>1234</v>
      </c>
      <c r="B25" s="2" t="s">
        <v>385</v>
      </c>
      <c r="C25" s="2" t="s">
        <v>1193</v>
      </c>
      <c r="D25" s="2" t="s">
        <v>50</v>
      </c>
      <c r="E25" s="2" t="s">
        <v>1194</v>
      </c>
      <c r="F25" s="2" t="s">
        <v>1186</v>
      </c>
      <c r="G25" s="2" t="s">
        <v>1235</v>
      </c>
    </row>
    <row r="26" customFormat="false" ht="15" hidden="false" customHeight="false" outlineLevel="0" collapsed="false">
      <c r="A26" s="2" t="s">
        <v>1236</v>
      </c>
      <c r="B26" s="2" t="s">
        <v>385</v>
      </c>
      <c r="C26" s="2" t="s">
        <v>1193</v>
      </c>
      <c r="D26" s="2" t="s">
        <v>50</v>
      </c>
      <c r="E26" s="2" t="s">
        <v>1194</v>
      </c>
      <c r="F26" s="2" t="s">
        <v>1186</v>
      </c>
      <c r="G26" s="2" t="s">
        <v>1237</v>
      </c>
    </row>
    <row r="27" customFormat="false" ht="15" hidden="false" customHeight="false" outlineLevel="0" collapsed="false">
      <c r="A27" s="2" t="s">
        <v>1238</v>
      </c>
      <c r="B27" s="2" t="s">
        <v>385</v>
      </c>
      <c r="C27" s="2" t="s">
        <v>1193</v>
      </c>
      <c r="D27" s="2" t="s">
        <v>50</v>
      </c>
      <c r="E27" s="2" t="s">
        <v>1194</v>
      </c>
      <c r="F27" s="2" t="s">
        <v>1186</v>
      </c>
      <c r="G27" s="2" t="s">
        <v>1239</v>
      </c>
    </row>
    <row r="28" customFormat="false" ht="15" hidden="false" customHeight="false" outlineLevel="0" collapsed="false">
      <c r="A28" s="2" t="s">
        <v>1240</v>
      </c>
      <c r="B28" s="2" t="s">
        <v>385</v>
      </c>
      <c r="C28" s="2" t="s">
        <v>1193</v>
      </c>
      <c r="D28" s="2" t="s">
        <v>50</v>
      </c>
      <c r="E28" s="2" t="s">
        <v>1194</v>
      </c>
      <c r="F28" s="2" t="s">
        <v>1186</v>
      </c>
      <c r="G28" s="2" t="s">
        <v>1241</v>
      </c>
    </row>
    <row r="29" customFormat="false" ht="15" hidden="false" customHeight="false" outlineLevel="0" collapsed="false">
      <c r="A29" s="2" t="s">
        <v>1242</v>
      </c>
      <c r="B29" s="2" t="s">
        <v>385</v>
      </c>
      <c r="C29" s="2" t="s">
        <v>1193</v>
      </c>
      <c r="D29" s="2" t="s">
        <v>50</v>
      </c>
      <c r="E29" s="2" t="s">
        <v>1194</v>
      </c>
      <c r="F29" s="2" t="s">
        <v>1186</v>
      </c>
      <c r="G29" s="2" t="s">
        <v>1243</v>
      </c>
    </row>
    <row r="30" customFormat="false" ht="15" hidden="false" customHeight="false" outlineLevel="0" collapsed="false">
      <c r="A30" s="2" t="s">
        <v>1244</v>
      </c>
      <c r="B30" s="2" t="s">
        <v>385</v>
      </c>
      <c r="C30" s="2" t="s">
        <v>1193</v>
      </c>
      <c r="D30" s="2" t="s">
        <v>50</v>
      </c>
      <c r="E30" s="2" t="s">
        <v>1194</v>
      </c>
      <c r="F30" s="2" t="s">
        <v>1186</v>
      </c>
      <c r="G30" s="2" t="s">
        <v>1245</v>
      </c>
    </row>
    <row r="31" customFormat="false" ht="15" hidden="false" customHeight="false" outlineLevel="0" collapsed="false">
      <c r="A31" s="2" t="s">
        <v>1246</v>
      </c>
      <c r="B31" s="2" t="s">
        <v>385</v>
      </c>
      <c r="C31" s="2" t="s">
        <v>1193</v>
      </c>
      <c r="D31" s="2" t="s">
        <v>50</v>
      </c>
      <c r="E31" s="2" t="s">
        <v>1194</v>
      </c>
      <c r="F31" s="2" t="s">
        <v>1186</v>
      </c>
      <c r="G31" s="2" t="s">
        <v>1247</v>
      </c>
    </row>
    <row r="32" customFormat="false" ht="15" hidden="false" customHeight="false" outlineLevel="0" collapsed="false">
      <c r="A32" s="2" t="s">
        <v>1248</v>
      </c>
      <c r="B32" s="2" t="s">
        <v>385</v>
      </c>
      <c r="C32" s="2" t="s">
        <v>1193</v>
      </c>
      <c r="D32" s="2" t="s">
        <v>50</v>
      </c>
      <c r="E32" s="2" t="s">
        <v>1194</v>
      </c>
      <c r="F32" s="2" t="s">
        <v>1186</v>
      </c>
      <c r="G32" s="2" t="s">
        <v>1249</v>
      </c>
    </row>
    <row r="33" customFormat="false" ht="15" hidden="false" customHeight="false" outlineLevel="0" collapsed="false">
      <c r="A33" s="2" t="s">
        <v>1250</v>
      </c>
      <c r="B33" s="2" t="s">
        <v>385</v>
      </c>
      <c r="C33" s="2" t="s">
        <v>385</v>
      </c>
      <c r="D33" s="2" t="s">
        <v>48</v>
      </c>
      <c r="E33" s="2" t="s">
        <v>1185</v>
      </c>
      <c r="F33" s="2" t="s">
        <v>1186</v>
      </c>
      <c r="G33" s="2" t="s">
        <v>1251</v>
      </c>
    </row>
    <row r="34" customFormat="false" ht="15" hidden="false" customHeight="false" outlineLevel="0" collapsed="false">
      <c r="A34" s="2" t="s">
        <v>1252</v>
      </c>
      <c r="B34" s="2" t="s">
        <v>385</v>
      </c>
      <c r="C34" s="2" t="s">
        <v>1193</v>
      </c>
      <c r="D34" s="2" t="s">
        <v>50</v>
      </c>
      <c r="E34" s="2" t="s">
        <v>1194</v>
      </c>
      <c r="F34" s="2" t="s">
        <v>1186</v>
      </c>
      <c r="G34" s="2" t="s">
        <v>1253</v>
      </c>
    </row>
    <row r="35" customFormat="false" ht="15" hidden="false" customHeight="false" outlineLevel="0" collapsed="false">
      <c r="A35" s="2" t="s">
        <v>1254</v>
      </c>
      <c r="B35" s="2" t="s">
        <v>385</v>
      </c>
      <c r="C35" s="2" t="s">
        <v>1193</v>
      </c>
      <c r="D35" s="2" t="s">
        <v>50</v>
      </c>
      <c r="E35" s="2" t="s">
        <v>1194</v>
      </c>
      <c r="F35" s="2" t="s">
        <v>1186</v>
      </c>
      <c r="G35" s="2" t="s">
        <v>1255</v>
      </c>
    </row>
    <row r="36" customFormat="false" ht="15" hidden="false" customHeight="false" outlineLevel="0" collapsed="false">
      <c r="A36" s="2" t="s">
        <v>1256</v>
      </c>
      <c r="B36" s="2" t="s">
        <v>385</v>
      </c>
      <c r="C36" s="2" t="s">
        <v>1193</v>
      </c>
      <c r="D36" s="2" t="s">
        <v>50</v>
      </c>
      <c r="E36" s="2" t="s">
        <v>1194</v>
      </c>
      <c r="F36" s="2" t="s">
        <v>1186</v>
      </c>
      <c r="G36" s="2" t="s">
        <v>1257</v>
      </c>
    </row>
    <row r="37" customFormat="false" ht="15" hidden="false" customHeight="false" outlineLevel="0" collapsed="false">
      <c r="A37" s="2" t="s">
        <v>1258</v>
      </c>
      <c r="B37" s="2" t="s">
        <v>385</v>
      </c>
      <c r="C37" s="2" t="s">
        <v>1193</v>
      </c>
      <c r="D37" s="2" t="s">
        <v>50</v>
      </c>
      <c r="E37" s="2" t="s">
        <v>1194</v>
      </c>
      <c r="F37" s="2" t="s">
        <v>1186</v>
      </c>
      <c r="G37" s="2" t="s">
        <v>1259</v>
      </c>
    </row>
    <row r="38" customFormat="false" ht="15" hidden="false" customHeight="false" outlineLevel="0" collapsed="false">
      <c r="A38" s="2" t="s">
        <v>1260</v>
      </c>
      <c r="B38" s="2" t="s">
        <v>385</v>
      </c>
      <c r="C38" s="2" t="s">
        <v>385</v>
      </c>
      <c r="D38" s="2" t="s">
        <v>48</v>
      </c>
      <c r="E38" s="2" t="s">
        <v>1185</v>
      </c>
      <c r="F38" s="2" t="s">
        <v>1186</v>
      </c>
      <c r="G38" s="2" t="s">
        <v>1261</v>
      </c>
    </row>
    <row r="39" customFormat="false" ht="15" hidden="false" customHeight="false" outlineLevel="0" collapsed="false">
      <c r="A39" s="2" t="s">
        <v>1262</v>
      </c>
      <c r="B39" s="2" t="s">
        <v>385</v>
      </c>
      <c r="C39" s="2" t="s">
        <v>1193</v>
      </c>
      <c r="D39" s="2" t="s">
        <v>50</v>
      </c>
      <c r="E39" s="2" t="s">
        <v>1194</v>
      </c>
      <c r="F39" s="2" t="s">
        <v>1186</v>
      </c>
      <c r="G39" s="2" t="s">
        <v>1263</v>
      </c>
    </row>
    <row r="40" customFormat="false" ht="15" hidden="false" customHeight="false" outlineLevel="0" collapsed="false">
      <c r="A40" s="2" t="s">
        <v>1264</v>
      </c>
      <c r="B40" s="2" t="s">
        <v>385</v>
      </c>
      <c r="C40" s="2" t="s">
        <v>1193</v>
      </c>
      <c r="D40" s="2" t="s">
        <v>50</v>
      </c>
      <c r="E40" s="2" t="s">
        <v>1194</v>
      </c>
      <c r="F40" s="2" t="s">
        <v>1186</v>
      </c>
      <c r="G40" s="2" t="s">
        <v>1265</v>
      </c>
    </row>
    <row r="41" customFormat="false" ht="15" hidden="false" customHeight="false" outlineLevel="0" collapsed="false">
      <c r="A41" s="2" t="s">
        <v>1266</v>
      </c>
      <c r="B41" s="2" t="s">
        <v>385</v>
      </c>
      <c r="C41" s="2" t="s">
        <v>385</v>
      </c>
      <c r="D41" s="2" t="s">
        <v>48</v>
      </c>
      <c r="E41" s="2" t="s">
        <v>1185</v>
      </c>
      <c r="F41" s="2" t="s">
        <v>1186</v>
      </c>
      <c r="G41" s="2" t="s">
        <v>1267</v>
      </c>
    </row>
    <row r="42" customFormat="false" ht="15" hidden="false" customHeight="false" outlineLevel="0" collapsed="false">
      <c r="A42" s="2" t="s">
        <v>1268</v>
      </c>
      <c r="B42" s="2" t="s">
        <v>385</v>
      </c>
      <c r="C42" s="2" t="s">
        <v>1193</v>
      </c>
      <c r="D42" s="2" t="s">
        <v>50</v>
      </c>
      <c r="E42" s="2" t="s">
        <v>1194</v>
      </c>
      <c r="F42" s="2" t="s">
        <v>1186</v>
      </c>
      <c r="G42" s="2" t="s">
        <v>1269</v>
      </c>
    </row>
    <row r="43" customFormat="false" ht="15" hidden="false" customHeight="false" outlineLevel="0" collapsed="false">
      <c r="A43" s="2" t="s">
        <v>1270</v>
      </c>
      <c r="B43" s="2" t="s">
        <v>385</v>
      </c>
      <c r="C43" s="2" t="s">
        <v>1193</v>
      </c>
      <c r="D43" s="2" t="s">
        <v>50</v>
      </c>
      <c r="E43" s="2" t="s">
        <v>1194</v>
      </c>
      <c r="F43" s="2" t="s">
        <v>1186</v>
      </c>
      <c r="G43" s="2" t="s">
        <v>1271</v>
      </c>
    </row>
    <row r="44" customFormat="false" ht="15" hidden="false" customHeight="false" outlineLevel="0" collapsed="false">
      <c r="A44" s="2" t="s">
        <v>1272</v>
      </c>
      <c r="B44" s="2" t="s">
        <v>385</v>
      </c>
      <c r="C44" s="2" t="s">
        <v>1193</v>
      </c>
      <c r="D44" s="2" t="s">
        <v>50</v>
      </c>
      <c r="E44" s="2" t="s">
        <v>1194</v>
      </c>
      <c r="F44" s="2" t="s">
        <v>1186</v>
      </c>
      <c r="G44" s="2" t="s">
        <v>1273</v>
      </c>
    </row>
    <row r="45" customFormat="false" ht="15" hidden="false" customHeight="false" outlineLevel="0" collapsed="false">
      <c r="A45" s="2" t="s">
        <v>1274</v>
      </c>
      <c r="B45" s="2" t="s">
        <v>385</v>
      </c>
      <c r="C45" s="2" t="s">
        <v>1193</v>
      </c>
      <c r="D45" s="2" t="s">
        <v>50</v>
      </c>
      <c r="E45" s="2" t="s">
        <v>1194</v>
      </c>
      <c r="F45" s="2" t="s">
        <v>1186</v>
      </c>
      <c r="G45" s="2" t="s">
        <v>1275</v>
      </c>
    </row>
    <row r="46" customFormat="false" ht="15" hidden="false" customHeight="false" outlineLevel="0" collapsed="false">
      <c r="A46" s="2" t="s">
        <v>1276</v>
      </c>
      <c r="B46" s="2" t="s">
        <v>385</v>
      </c>
      <c r="C46" s="2" t="s">
        <v>1193</v>
      </c>
      <c r="D46" s="2" t="s">
        <v>50</v>
      </c>
      <c r="E46" s="2" t="s">
        <v>1194</v>
      </c>
      <c r="F46" s="2" t="s">
        <v>1186</v>
      </c>
      <c r="G46" s="2" t="s">
        <v>1277</v>
      </c>
    </row>
    <row r="47" customFormat="false" ht="15" hidden="false" customHeight="false" outlineLevel="0" collapsed="false">
      <c r="A47" s="2" t="s">
        <v>1278</v>
      </c>
      <c r="B47" s="2" t="s">
        <v>385</v>
      </c>
      <c r="C47" s="2" t="s">
        <v>1193</v>
      </c>
      <c r="D47" s="2" t="s">
        <v>50</v>
      </c>
      <c r="E47" s="2" t="s">
        <v>1194</v>
      </c>
      <c r="F47" s="2" t="s">
        <v>1186</v>
      </c>
      <c r="G47" s="2" t="s">
        <v>1279</v>
      </c>
    </row>
    <row r="48" customFormat="false" ht="15" hidden="false" customHeight="false" outlineLevel="0" collapsed="false">
      <c r="A48" s="2" t="s">
        <v>1280</v>
      </c>
      <c r="B48" s="2" t="s">
        <v>385</v>
      </c>
      <c r="C48" s="2" t="s">
        <v>1193</v>
      </c>
      <c r="D48" s="2" t="s">
        <v>50</v>
      </c>
      <c r="E48" s="2" t="s">
        <v>1194</v>
      </c>
      <c r="F48" s="2" t="s">
        <v>1186</v>
      </c>
      <c r="G48" s="2" t="s">
        <v>1281</v>
      </c>
    </row>
    <row r="49" customFormat="false" ht="15" hidden="false" customHeight="false" outlineLevel="0" collapsed="false">
      <c r="A49" s="2" t="s">
        <v>1282</v>
      </c>
      <c r="B49" s="2" t="s">
        <v>385</v>
      </c>
      <c r="C49" s="2" t="s">
        <v>1193</v>
      </c>
      <c r="D49" s="2" t="s">
        <v>50</v>
      </c>
      <c r="E49" s="2" t="s">
        <v>1194</v>
      </c>
      <c r="F49" s="2" t="s">
        <v>1186</v>
      </c>
      <c r="G49" s="2" t="s">
        <v>1283</v>
      </c>
    </row>
    <row r="50" customFormat="false" ht="15" hidden="false" customHeight="false" outlineLevel="0" collapsed="false">
      <c r="A50" s="2" t="s">
        <v>1284</v>
      </c>
      <c r="B50" s="2" t="s">
        <v>385</v>
      </c>
      <c r="C50" s="2" t="s">
        <v>385</v>
      </c>
      <c r="D50" s="2" t="s">
        <v>48</v>
      </c>
      <c r="E50" s="2" t="s">
        <v>1185</v>
      </c>
      <c r="F50" s="2" t="s">
        <v>1186</v>
      </c>
      <c r="G50" s="2" t="s">
        <v>1213</v>
      </c>
    </row>
    <row r="51" customFormat="false" ht="15" hidden="false" customHeight="false" outlineLevel="0" collapsed="false">
      <c r="A51" s="2" t="s">
        <v>1285</v>
      </c>
      <c r="B51" s="2" t="s">
        <v>385</v>
      </c>
      <c r="C51" s="2" t="s">
        <v>385</v>
      </c>
      <c r="D51" s="2" t="s">
        <v>48</v>
      </c>
      <c r="E51" s="2" t="s">
        <v>1185</v>
      </c>
      <c r="F51" s="2" t="s">
        <v>1186</v>
      </c>
      <c r="G51" s="2" t="s">
        <v>1213</v>
      </c>
    </row>
    <row r="52" customFormat="false" ht="15" hidden="false" customHeight="false" outlineLevel="0" collapsed="false">
      <c r="A52" s="2" t="s">
        <v>1286</v>
      </c>
      <c r="B52" s="2" t="s">
        <v>385</v>
      </c>
      <c r="C52" s="2" t="s">
        <v>385</v>
      </c>
      <c r="D52" s="2" t="s">
        <v>48</v>
      </c>
      <c r="E52" s="2" t="s">
        <v>1185</v>
      </c>
      <c r="F52" s="2" t="s">
        <v>1186</v>
      </c>
      <c r="G52" s="2" t="s">
        <v>1287</v>
      </c>
    </row>
    <row r="53" customFormat="false" ht="15" hidden="false" customHeight="false" outlineLevel="0" collapsed="false">
      <c r="A53" s="2" t="s">
        <v>1288</v>
      </c>
      <c r="B53" s="2" t="s">
        <v>184</v>
      </c>
      <c r="C53" s="2" t="s">
        <v>1289</v>
      </c>
      <c r="D53" s="2" t="s">
        <v>48</v>
      </c>
      <c r="E53" s="2" t="s">
        <v>1185</v>
      </c>
      <c r="F53" s="2" t="s">
        <v>1186</v>
      </c>
      <c r="G53" s="2" t="s">
        <v>1290</v>
      </c>
    </row>
    <row r="54" customFormat="false" ht="15" hidden="false" customHeight="false" outlineLevel="0" collapsed="false">
      <c r="A54" s="2" t="s">
        <v>1291</v>
      </c>
      <c r="B54" s="2" t="s">
        <v>184</v>
      </c>
      <c r="C54" s="2" t="s">
        <v>1289</v>
      </c>
      <c r="D54" s="2" t="s">
        <v>48</v>
      </c>
      <c r="E54" s="2" t="s">
        <v>1185</v>
      </c>
      <c r="F54" s="2" t="s">
        <v>1186</v>
      </c>
      <c r="G54" s="2" t="s">
        <v>1292</v>
      </c>
    </row>
    <row r="55" customFormat="false" ht="15" hidden="false" customHeight="false" outlineLevel="0" collapsed="false">
      <c r="A55" s="2" t="s">
        <v>1293</v>
      </c>
      <c r="B55" s="2" t="s">
        <v>184</v>
      </c>
      <c r="C55" s="2" t="s">
        <v>1289</v>
      </c>
      <c r="D55" s="2" t="s">
        <v>48</v>
      </c>
      <c r="E55" s="2" t="s">
        <v>1185</v>
      </c>
      <c r="F55" s="2" t="s">
        <v>1186</v>
      </c>
      <c r="G55" s="2" t="s">
        <v>1294</v>
      </c>
    </row>
    <row r="56" customFormat="false" ht="15" hidden="false" customHeight="false" outlineLevel="0" collapsed="false">
      <c r="A56" s="2" t="s">
        <v>1295</v>
      </c>
      <c r="B56" s="2" t="s">
        <v>184</v>
      </c>
      <c r="C56" s="2" t="s">
        <v>1289</v>
      </c>
      <c r="D56" s="2" t="s">
        <v>48</v>
      </c>
      <c r="E56" s="2" t="s">
        <v>1185</v>
      </c>
      <c r="F56" s="2" t="s">
        <v>1186</v>
      </c>
      <c r="G56" s="2" t="s">
        <v>1296</v>
      </c>
    </row>
    <row r="57" customFormat="false" ht="15" hidden="false" customHeight="false" outlineLevel="0" collapsed="false">
      <c r="A57" s="2" t="s">
        <v>1297</v>
      </c>
      <c r="B57" s="2" t="s">
        <v>184</v>
      </c>
      <c r="C57" s="2" t="s">
        <v>1289</v>
      </c>
      <c r="D57" s="2" t="s">
        <v>48</v>
      </c>
      <c r="E57" s="2" t="s">
        <v>1185</v>
      </c>
      <c r="F57" s="2" t="s">
        <v>1186</v>
      </c>
      <c r="G57" s="2" t="s">
        <v>1298</v>
      </c>
    </row>
    <row r="58" customFormat="false" ht="15" hidden="false" customHeight="false" outlineLevel="0" collapsed="false">
      <c r="A58" s="2" t="s">
        <v>1299</v>
      </c>
      <c r="B58" s="2" t="s">
        <v>184</v>
      </c>
      <c r="C58" s="2" t="s">
        <v>1289</v>
      </c>
      <c r="D58" s="2" t="s">
        <v>48</v>
      </c>
      <c r="E58" s="2" t="s">
        <v>1185</v>
      </c>
      <c r="F58" s="2" t="s">
        <v>1186</v>
      </c>
      <c r="G58" s="2" t="s">
        <v>1300</v>
      </c>
    </row>
    <row r="59" customFormat="false" ht="15" hidden="false" customHeight="false" outlineLevel="0" collapsed="false">
      <c r="A59" s="2" t="s">
        <v>1301</v>
      </c>
      <c r="B59" s="2" t="s">
        <v>184</v>
      </c>
      <c r="C59" s="2" t="s">
        <v>1289</v>
      </c>
      <c r="D59" s="2" t="s">
        <v>48</v>
      </c>
      <c r="E59" s="2" t="s">
        <v>1185</v>
      </c>
      <c r="F59" s="2" t="s">
        <v>1186</v>
      </c>
      <c r="G59" s="2" t="s">
        <v>1300</v>
      </c>
    </row>
    <row r="60" customFormat="false" ht="15" hidden="false" customHeight="false" outlineLevel="0" collapsed="false">
      <c r="A60" s="2" t="s">
        <v>1302</v>
      </c>
      <c r="B60" s="2" t="s">
        <v>184</v>
      </c>
      <c r="C60" s="2" t="s">
        <v>1289</v>
      </c>
      <c r="D60" s="2" t="s">
        <v>48</v>
      </c>
      <c r="E60" s="2" t="s">
        <v>1185</v>
      </c>
      <c r="F60" s="2" t="s">
        <v>1186</v>
      </c>
      <c r="G60" s="2" t="s">
        <v>1303</v>
      </c>
    </row>
    <row r="61" customFormat="false" ht="15" hidden="false" customHeight="false" outlineLevel="0" collapsed="false">
      <c r="A61" s="2" t="s">
        <v>1304</v>
      </c>
      <c r="B61" s="2" t="s">
        <v>184</v>
      </c>
      <c r="C61" s="2" t="s">
        <v>1289</v>
      </c>
      <c r="D61" s="2" t="s">
        <v>48</v>
      </c>
      <c r="E61" s="2" t="s">
        <v>1185</v>
      </c>
      <c r="F61" s="2" t="s">
        <v>1186</v>
      </c>
      <c r="G61" s="2" t="s">
        <v>1303</v>
      </c>
    </row>
    <row r="62" customFormat="false" ht="15" hidden="false" customHeight="false" outlineLevel="0" collapsed="false">
      <c r="A62" s="2" t="s">
        <v>1305</v>
      </c>
      <c r="B62" s="2" t="s">
        <v>184</v>
      </c>
      <c r="C62" s="2" t="s">
        <v>1289</v>
      </c>
      <c r="D62" s="2" t="s">
        <v>48</v>
      </c>
      <c r="E62" s="2" t="s">
        <v>1185</v>
      </c>
      <c r="F62" s="2" t="s">
        <v>1186</v>
      </c>
      <c r="G62" s="2" t="s">
        <v>1290</v>
      </c>
    </row>
    <row r="63" customFormat="false" ht="15" hidden="false" customHeight="false" outlineLevel="0" collapsed="false">
      <c r="A63" s="2" t="s">
        <v>1306</v>
      </c>
      <c r="B63" s="2" t="s">
        <v>184</v>
      </c>
      <c r="C63" s="2" t="s">
        <v>1289</v>
      </c>
      <c r="D63" s="2" t="s">
        <v>48</v>
      </c>
      <c r="E63" s="2" t="s">
        <v>1185</v>
      </c>
      <c r="F63" s="2" t="s">
        <v>1186</v>
      </c>
      <c r="G63" s="2" t="s">
        <v>1307</v>
      </c>
    </row>
    <row r="64" customFormat="false" ht="15" hidden="false" customHeight="false" outlineLevel="0" collapsed="false">
      <c r="A64" s="2" t="s">
        <v>1308</v>
      </c>
      <c r="B64" s="2" t="s">
        <v>184</v>
      </c>
      <c r="C64" s="2" t="s">
        <v>1289</v>
      </c>
      <c r="D64" s="2" t="s">
        <v>48</v>
      </c>
      <c r="E64" s="2" t="s">
        <v>1185</v>
      </c>
      <c r="F64" s="2" t="s">
        <v>1186</v>
      </c>
      <c r="G64" s="2" t="s">
        <v>1309</v>
      </c>
    </row>
    <row r="65" customFormat="false" ht="15" hidden="false" customHeight="false" outlineLevel="0" collapsed="false">
      <c r="A65" s="2" t="s">
        <v>1310</v>
      </c>
      <c r="B65" s="2" t="s">
        <v>184</v>
      </c>
      <c r="C65" s="2" t="s">
        <v>1289</v>
      </c>
      <c r="D65" s="2" t="s">
        <v>48</v>
      </c>
      <c r="E65" s="2" t="s">
        <v>1185</v>
      </c>
      <c r="F65" s="2" t="s">
        <v>1186</v>
      </c>
      <c r="G65" s="2" t="s">
        <v>1311</v>
      </c>
    </row>
    <row r="66" customFormat="false" ht="15" hidden="false" customHeight="false" outlineLevel="0" collapsed="false">
      <c r="A66" s="2" t="s">
        <v>1312</v>
      </c>
      <c r="B66" s="2" t="s">
        <v>184</v>
      </c>
      <c r="C66" s="2" t="s">
        <v>1289</v>
      </c>
      <c r="D66" s="2" t="s">
        <v>48</v>
      </c>
      <c r="E66" s="2" t="s">
        <v>1185</v>
      </c>
      <c r="F66" s="2" t="s">
        <v>1186</v>
      </c>
      <c r="G66" s="2" t="s">
        <v>1313</v>
      </c>
    </row>
    <row r="67" customFormat="false" ht="15" hidden="false" customHeight="false" outlineLevel="0" collapsed="false">
      <c r="A67" s="2" t="s">
        <v>1314</v>
      </c>
      <c r="B67" s="2" t="s">
        <v>184</v>
      </c>
      <c r="C67" s="2" t="s">
        <v>1289</v>
      </c>
      <c r="D67" s="2" t="s">
        <v>48</v>
      </c>
      <c r="E67" s="2" t="s">
        <v>1185</v>
      </c>
      <c r="F67" s="2" t="s">
        <v>1186</v>
      </c>
      <c r="G67" s="2" t="s">
        <v>1315</v>
      </c>
    </row>
    <row r="68" customFormat="false" ht="15" hidden="false" customHeight="false" outlineLevel="0" collapsed="false">
      <c r="A68" s="2" t="s">
        <v>1316</v>
      </c>
      <c r="B68" s="2" t="s">
        <v>184</v>
      </c>
      <c r="C68" s="2" t="s">
        <v>1289</v>
      </c>
      <c r="D68" s="2" t="s">
        <v>48</v>
      </c>
      <c r="E68" s="2" t="s">
        <v>1185</v>
      </c>
      <c r="F68" s="2" t="s">
        <v>1186</v>
      </c>
      <c r="G68" s="2" t="s">
        <v>1317</v>
      </c>
    </row>
    <row r="69" customFormat="false" ht="15" hidden="false" customHeight="false" outlineLevel="0" collapsed="false">
      <c r="A69" s="2" t="s">
        <v>1318</v>
      </c>
      <c r="B69" s="2" t="s">
        <v>184</v>
      </c>
      <c r="C69" s="2" t="s">
        <v>1289</v>
      </c>
      <c r="D69" s="2" t="s">
        <v>48</v>
      </c>
      <c r="E69" s="2" t="s">
        <v>1185</v>
      </c>
      <c r="F69" s="2" t="s">
        <v>1186</v>
      </c>
      <c r="G69" s="2" t="s">
        <v>1319</v>
      </c>
    </row>
    <row r="70" customFormat="false" ht="15" hidden="false" customHeight="false" outlineLevel="0" collapsed="false">
      <c r="A70" s="2" t="s">
        <v>1320</v>
      </c>
      <c r="B70" s="2" t="s">
        <v>184</v>
      </c>
      <c r="C70" s="2" t="s">
        <v>1289</v>
      </c>
      <c r="D70" s="2" t="s">
        <v>48</v>
      </c>
      <c r="E70" s="2" t="s">
        <v>1185</v>
      </c>
      <c r="F70" s="2" t="s">
        <v>1186</v>
      </c>
      <c r="G70" s="2" t="s">
        <v>1321</v>
      </c>
    </row>
    <row r="71" customFormat="false" ht="15" hidden="false" customHeight="false" outlineLevel="0" collapsed="false">
      <c r="A71" s="2" t="s">
        <v>1322</v>
      </c>
      <c r="B71" s="2" t="s">
        <v>184</v>
      </c>
      <c r="C71" s="2" t="s">
        <v>1289</v>
      </c>
      <c r="D71" s="2" t="s">
        <v>48</v>
      </c>
      <c r="E71" s="2" t="s">
        <v>1185</v>
      </c>
      <c r="F71" s="2" t="s">
        <v>1186</v>
      </c>
      <c r="G71" s="2" t="s">
        <v>1323</v>
      </c>
    </row>
    <row r="72" customFormat="false" ht="15" hidden="false" customHeight="false" outlineLevel="0" collapsed="false">
      <c r="A72" s="2" t="s">
        <v>1324</v>
      </c>
      <c r="B72" s="2" t="s">
        <v>184</v>
      </c>
      <c r="C72" s="2" t="s">
        <v>1289</v>
      </c>
      <c r="D72" s="2" t="s">
        <v>48</v>
      </c>
      <c r="E72" s="2" t="s">
        <v>1185</v>
      </c>
      <c r="F72" s="2" t="s">
        <v>1186</v>
      </c>
      <c r="G72" s="2" t="s">
        <v>1325</v>
      </c>
    </row>
    <row r="73" customFormat="false" ht="15" hidden="false" customHeight="false" outlineLevel="0" collapsed="false">
      <c r="A73" s="2" t="s">
        <v>1326</v>
      </c>
      <c r="B73" s="2" t="s">
        <v>184</v>
      </c>
      <c r="C73" s="2" t="s">
        <v>1289</v>
      </c>
      <c r="D73" s="2" t="s">
        <v>48</v>
      </c>
      <c r="E73" s="2" t="s">
        <v>1185</v>
      </c>
      <c r="F73" s="2" t="s">
        <v>1186</v>
      </c>
      <c r="G73" s="2" t="s">
        <v>1327</v>
      </c>
    </row>
    <row r="74" customFormat="false" ht="15" hidden="false" customHeight="false" outlineLevel="0" collapsed="false">
      <c r="A74" s="2" t="s">
        <v>1328</v>
      </c>
      <c r="B74" s="2" t="s">
        <v>184</v>
      </c>
      <c r="C74" s="2" t="s">
        <v>1289</v>
      </c>
      <c r="D74" s="2" t="s">
        <v>48</v>
      </c>
      <c r="E74" s="2" t="s">
        <v>1185</v>
      </c>
      <c r="F74" s="2" t="s">
        <v>1186</v>
      </c>
      <c r="G74" s="2" t="s">
        <v>1329</v>
      </c>
    </row>
    <row r="75" customFormat="false" ht="15" hidden="false" customHeight="false" outlineLevel="0" collapsed="false">
      <c r="A75" s="2" t="s">
        <v>1330</v>
      </c>
      <c r="B75" s="2" t="s">
        <v>184</v>
      </c>
      <c r="C75" s="2" t="s">
        <v>1289</v>
      </c>
      <c r="D75" s="2" t="s">
        <v>48</v>
      </c>
      <c r="E75" s="2" t="s">
        <v>1185</v>
      </c>
      <c r="F75" s="2" t="s">
        <v>1186</v>
      </c>
      <c r="G75" s="2" t="s">
        <v>1331</v>
      </c>
    </row>
    <row r="76" customFormat="false" ht="15" hidden="false" customHeight="false" outlineLevel="0" collapsed="false">
      <c r="A76" s="2" t="s">
        <v>1332</v>
      </c>
      <c r="B76" s="2" t="s">
        <v>184</v>
      </c>
      <c r="C76" s="2" t="s">
        <v>1289</v>
      </c>
      <c r="D76" s="2" t="s">
        <v>48</v>
      </c>
      <c r="E76" s="2" t="s">
        <v>1185</v>
      </c>
      <c r="F76" s="2" t="s">
        <v>1186</v>
      </c>
      <c r="G76" s="2" t="s">
        <v>1333</v>
      </c>
    </row>
    <row r="77" customFormat="false" ht="15" hidden="false" customHeight="false" outlineLevel="0" collapsed="false">
      <c r="A77" s="2" t="s">
        <v>1334</v>
      </c>
      <c r="B77" s="2" t="s">
        <v>184</v>
      </c>
      <c r="C77" s="2" t="s">
        <v>1289</v>
      </c>
      <c r="D77" s="2" t="s">
        <v>48</v>
      </c>
      <c r="E77" s="2" t="s">
        <v>1185</v>
      </c>
      <c r="F77" s="2" t="s">
        <v>1186</v>
      </c>
      <c r="G77" s="2" t="s">
        <v>1335</v>
      </c>
    </row>
    <row r="78" customFormat="false" ht="15" hidden="false" customHeight="false" outlineLevel="0" collapsed="false">
      <c r="A78" s="2" t="s">
        <v>1336</v>
      </c>
      <c r="B78" s="2" t="s">
        <v>184</v>
      </c>
      <c r="C78" s="2" t="s">
        <v>1289</v>
      </c>
      <c r="D78" s="2" t="s">
        <v>48</v>
      </c>
      <c r="E78" s="2" t="s">
        <v>1185</v>
      </c>
      <c r="F78" s="2" t="s">
        <v>1186</v>
      </c>
      <c r="G78" s="2" t="s">
        <v>1337</v>
      </c>
    </row>
    <row r="79" customFormat="false" ht="15" hidden="false" customHeight="false" outlineLevel="0" collapsed="false">
      <c r="A79" s="2" t="s">
        <v>1338</v>
      </c>
      <c r="B79" s="2" t="s">
        <v>184</v>
      </c>
      <c r="C79" s="2" t="s">
        <v>1289</v>
      </c>
      <c r="D79" s="2" t="s">
        <v>48</v>
      </c>
      <c r="E79" s="2" t="s">
        <v>1185</v>
      </c>
      <c r="F79" s="2" t="s">
        <v>1186</v>
      </c>
      <c r="G79" s="2" t="s">
        <v>1339</v>
      </c>
    </row>
    <row r="80" customFormat="false" ht="15" hidden="false" customHeight="false" outlineLevel="0" collapsed="false">
      <c r="A80" s="2" t="s">
        <v>1340</v>
      </c>
      <c r="B80" s="2" t="s">
        <v>184</v>
      </c>
      <c r="C80" s="2" t="s">
        <v>1289</v>
      </c>
      <c r="D80" s="2" t="s">
        <v>48</v>
      </c>
      <c r="E80" s="2" t="s">
        <v>1185</v>
      </c>
      <c r="F80" s="2" t="s">
        <v>1186</v>
      </c>
      <c r="G80" s="2" t="s">
        <v>1341</v>
      </c>
    </row>
    <row r="81" customFormat="false" ht="15" hidden="false" customHeight="false" outlineLevel="0" collapsed="false">
      <c r="A81" s="2" t="s">
        <v>1342</v>
      </c>
      <c r="B81" s="2" t="s">
        <v>184</v>
      </c>
      <c r="C81" s="2" t="s">
        <v>1289</v>
      </c>
      <c r="D81" s="2" t="s">
        <v>48</v>
      </c>
      <c r="E81" s="2" t="s">
        <v>1185</v>
      </c>
      <c r="F81" s="2" t="s">
        <v>1186</v>
      </c>
      <c r="G81" s="2" t="s">
        <v>1343</v>
      </c>
    </row>
    <row r="82" customFormat="false" ht="15" hidden="false" customHeight="false" outlineLevel="0" collapsed="false">
      <c r="A82" s="2" t="s">
        <v>1344</v>
      </c>
      <c r="B82" s="2" t="s">
        <v>184</v>
      </c>
      <c r="C82" s="2" t="s">
        <v>1289</v>
      </c>
      <c r="D82" s="2" t="s">
        <v>48</v>
      </c>
      <c r="E82" s="2" t="s">
        <v>1185</v>
      </c>
      <c r="F82" s="2" t="s">
        <v>1186</v>
      </c>
      <c r="G82" s="2" t="s">
        <v>1345</v>
      </c>
    </row>
    <row r="83" customFormat="false" ht="15" hidden="false" customHeight="false" outlineLevel="0" collapsed="false">
      <c r="A83" s="2" t="s">
        <v>1346</v>
      </c>
      <c r="B83" s="2" t="s">
        <v>184</v>
      </c>
      <c r="C83" s="2" t="s">
        <v>1289</v>
      </c>
      <c r="D83" s="2" t="s">
        <v>48</v>
      </c>
      <c r="E83" s="2" t="s">
        <v>1185</v>
      </c>
      <c r="F83" s="2" t="s">
        <v>1186</v>
      </c>
      <c r="G83" s="2" t="s">
        <v>1347</v>
      </c>
    </row>
    <row r="84" customFormat="false" ht="15" hidden="false" customHeight="false" outlineLevel="0" collapsed="false">
      <c r="A84" s="2" t="s">
        <v>1348</v>
      </c>
      <c r="B84" s="2" t="s">
        <v>184</v>
      </c>
      <c r="C84" s="2" t="s">
        <v>1289</v>
      </c>
      <c r="D84" s="2" t="s">
        <v>48</v>
      </c>
      <c r="E84" s="2" t="s">
        <v>1185</v>
      </c>
      <c r="F84" s="2" t="s">
        <v>1186</v>
      </c>
      <c r="G84" s="2" t="s">
        <v>1349</v>
      </c>
    </row>
    <row r="85" customFormat="false" ht="15" hidden="false" customHeight="false" outlineLevel="0" collapsed="false">
      <c r="A85" s="2" t="s">
        <v>1350</v>
      </c>
      <c r="B85" s="2" t="s">
        <v>184</v>
      </c>
      <c r="C85" s="2" t="s">
        <v>1289</v>
      </c>
      <c r="D85" s="2" t="s">
        <v>48</v>
      </c>
      <c r="E85" s="2" t="s">
        <v>1185</v>
      </c>
      <c r="F85" s="2" t="s">
        <v>1186</v>
      </c>
      <c r="G85" s="2" t="s">
        <v>1351</v>
      </c>
    </row>
    <row r="86" customFormat="false" ht="15" hidden="false" customHeight="false" outlineLevel="0" collapsed="false">
      <c r="A86" s="2" t="s">
        <v>1352</v>
      </c>
      <c r="B86" s="2" t="s">
        <v>184</v>
      </c>
      <c r="C86" s="2" t="s">
        <v>1289</v>
      </c>
      <c r="D86" s="2" t="s">
        <v>48</v>
      </c>
      <c r="E86" s="2" t="s">
        <v>1185</v>
      </c>
      <c r="F86" s="2" t="s">
        <v>1186</v>
      </c>
      <c r="G86" s="2" t="s">
        <v>1353</v>
      </c>
    </row>
    <row r="87" customFormat="false" ht="15" hidden="false" customHeight="false" outlineLevel="0" collapsed="false">
      <c r="A87" s="2" t="s">
        <v>1354</v>
      </c>
      <c r="B87" s="2" t="s">
        <v>184</v>
      </c>
      <c r="C87" s="2" t="s">
        <v>1289</v>
      </c>
      <c r="D87" s="2" t="s">
        <v>48</v>
      </c>
      <c r="E87" s="2" t="s">
        <v>1185</v>
      </c>
      <c r="F87" s="2" t="s">
        <v>1186</v>
      </c>
      <c r="G87" s="2" t="s">
        <v>1355</v>
      </c>
    </row>
    <row r="88" customFormat="false" ht="15" hidden="false" customHeight="false" outlineLevel="0" collapsed="false">
      <c r="A88" s="2" t="s">
        <v>1356</v>
      </c>
      <c r="B88" s="2" t="s">
        <v>184</v>
      </c>
      <c r="C88" s="2" t="s">
        <v>1289</v>
      </c>
      <c r="D88" s="2" t="s">
        <v>48</v>
      </c>
      <c r="E88" s="2" t="s">
        <v>1185</v>
      </c>
      <c r="F88" s="2" t="s">
        <v>1186</v>
      </c>
      <c r="G88" s="2" t="s">
        <v>1357</v>
      </c>
    </row>
    <row r="89" customFormat="false" ht="15" hidden="false" customHeight="false" outlineLevel="0" collapsed="false">
      <c r="A89" s="2" t="s">
        <v>1358</v>
      </c>
      <c r="B89" s="2" t="s">
        <v>184</v>
      </c>
      <c r="C89" s="2" t="s">
        <v>1289</v>
      </c>
      <c r="D89" s="2" t="s">
        <v>48</v>
      </c>
      <c r="E89" s="2" t="s">
        <v>1185</v>
      </c>
      <c r="F89" s="2" t="s">
        <v>1186</v>
      </c>
      <c r="G89" s="2" t="s">
        <v>1359</v>
      </c>
    </row>
    <row r="90" customFormat="false" ht="15" hidden="false" customHeight="false" outlineLevel="0" collapsed="false">
      <c r="A90" s="2" t="s">
        <v>1360</v>
      </c>
      <c r="B90" s="2" t="s">
        <v>184</v>
      </c>
      <c r="C90" s="2" t="s">
        <v>1289</v>
      </c>
      <c r="D90" s="2" t="s">
        <v>48</v>
      </c>
      <c r="E90" s="2" t="s">
        <v>1185</v>
      </c>
      <c r="F90" s="2" t="s">
        <v>1186</v>
      </c>
      <c r="G90" s="2" t="s">
        <v>1361</v>
      </c>
    </row>
    <row r="91" customFormat="false" ht="15" hidden="false" customHeight="false" outlineLevel="0" collapsed="false">
      <c r="A91" s="2" t="s">
        <v>1362</v>
      </c>
      <c r="B91" s="2" t="s">
        <v>184</v>
      </c>
      <c r="C91" s="2" t="s">
        <v>1289</v>
      </c>
      <c r="D91" s="2" t="s">
        <v>48</v>
      </c>
      <c r="E91" s="2" t="s">
        <v>1185</v>
      </c>
      <c r="F91" s="2" t="s">
        <v>1186</v>
      </c>
      <c r="G91" s="2" t="s">
        <v>1363</v>
      </c>
    </row>
    <row r="92" customFormat="false" ht="15" hidden="false" customHeight="false" outlineLevel="0" collapsed="false">
      <c r="A92" s="2" t="s">
        <v>1364</v>
      </c>
      <c r="B92" s="2" t="s">
        <v>184</v>
      </c>
      <c r="C92" s="2" t="s">
        <v>1289</v>
      </c>
      <c r="D92" s="2" t="s">
        <v>48</v>
      </c>
      <c r="E92" s="2" t="s">
        <v>1185</v>
      </c>
      <c r="F92" s="2" t="s">
        <v>1186</v>
      </c>
      <c r="G92" s="2" t="s">
        <v>1365</v>
      </c>
    </row>
    <row r="93" customFormat="false" ht="15" hidden="false" customHeight="false" outlineLevel="0" collapsed="false">
      <c r="A93" s="2" t="s">
        <v>1366</v>
      </c>
      <c r="B93" s="2" t="s">
        <v>184</v>
      </c>
      <c r="C93" s="2" t="s">
        <v>1289</v>
      </c>
      <c r="D93" s="2" t="s">
        <v>48</v>
      </c>
      <c r="E93" s="2" t="s">
        <v>1185</v>
      </c>
      <c r="F93" s="2" t="s">
        <v>1186</v>
      </c>
      <c r="G93" s="2" t="s">
        <v>1367</v>
      </c>
    </row>
    <row r="94" customFormat="false" ht="15" hidden="false" customHeight="false" outlineLevel="0" collapsed="false">
      <c r="A94" s="2" t="s">
        <v>1368</v>
      </c>
      <c r="B94" s="2" t="s">
        <v>184</v>
      </c>
      <c r="C94" s="2" t="s">
        <v>1289</v>
      </c>
      <c r="D94" s="2" t="s">
        <v>48</v>
      </c>
      <c r="E94" s="2" t="s">
        <v>1185</v>
      </c>
      <c r="F94" s="2" t="s">
        <v>1186</v>
      </c>
      <c r="G94" s="2" t="s">
        <v>1369</v>
      </c>
    </row>
    <row r="95" customFormat="false" ht="15" hidden="false" customHeight="false" outlineLevel="0" collapsed="false">
      <c r="A95" s="2" t="s">
        <v>1370</v>
      </c>
      <c r="B95" s="2" t="s">
        <v>184</v>
      </c>
      <c r="C95" s="2" t="s">
        <v>1289</v>
      </c>
      <c r="D95" s="2" t="s">
        <v>48</v>
      </c>
      <c r="E95" s="2" t="s">
        <v>1185</v>
      </c>
      <c r="F95" s="2" t="s">
        <v>1186</v>
      </c>
      <c r="G95" s="2" t="s">
        <v>1371</v>
      </c>
    </row>
    <row r="96" customFormat="false" ht="15" hidden="false" customHeight="false" outlineLevel="0" collapsed="false">
      <c r="A96" s="2" t="s">
        <v>1372</v>
      </c>
      <c r="B96" s="2" t="s">
        <v>184</v>
      </c>
      <c r="C96" s="2" t="s">
        <v>1289</v>
      </c>
      <c r="D96" s="2" t="s">
        <v>48</v>
      </c>
      <c r="E96" s="2" t="s">
        <v>1185</v>
      </c>
      <c r="F96" s="2" t="s">
        <v>1186</v>
      </c>
      <c r="G96" s="2" t="s">
        <v>1373</v>
      </c>
    </row>
    <row r="97" customFormat="false" ht="15" hidden="false" customHeight="false" outlineLevel="0" collapsed="false">
      <c r="A97" s="2" t="s">
        <v>1374</v>
      </c>
      <c r="B97" s="2" t="s">
        <v>184</v>
      </c>
      <c r="C97" s="2" t="s">
        <v>1289</v>
      </c>
      <c r="D97" s="2" t="s">
        <v>48</v>
      </c>
      <c r="E97" s="2" t="s">
        <v>1185</v>
      </c>
      <c r="F97" s="2" t="s">
        <v>1186</v>
      </c>
      <c r="G97" s="2" t="s">
        <v>1375</v>
      </c>
    </row>
    <row r="98" customFormat="false" ht="15" hidden="false" customHeight="false" outlineLevel="0" collapsed="false">
      <c r="A98" s="2" t="s">
        <v>1376</v>
      </c>
      <c r="B98" s="2" t="s">
        <v>184</v>
      </c>
      <c r="C98" s="2" t="s">
        <v>1289</v>
      </c>
      <c r="D98" s="2" t="s">
        <v>48</v>
      </c>
      <c r="E98" s="2" t="s">
        <v>1185</v>
      </c>
      <c r="F98" s="2" t="s">
        <v>1186</v>
      </c>
      <c r="G98" s="2" t="s">
        <v>1377</v>
      </c>
    </row>
    <row r="99" customFormat="false" ht="15" hidden="false" customHeight="false" outlineLevel="0" collapsed="false">
      <c r="A99" s="2" t="s">
        <v>1378</v>
      </c>
      <c r="B99" s="2" t="s">
        <v>184</v>
      </c>
      <c r="C99" s="2" t="s">
        <v>1289</v>
      </c>
      <c r="D99" s="2" t="s">
        <v>48</v>
      </c>
      <c r="E99" s="2" t="s">
        <v>1185</v>
      </c>
      <c r="F99" s="2" t="s">
        <v>1186</v>
      </c>
      <c r="G99" s="2" t="s">
        <v>1379</v>
      </c>
    </row>
    <row r="100" customFormat="false" ht="15" hidden="false" customHeight="false" outlineLevel="0" collapsed="false">
      <c r="A100" s="2" t="s">
        <v>1380</v>
      </c>
      <c r="B100" s="2" t="s">
        <v>184</v>
      </c>
      <c r="C100" s="2" t="s">
        <v>1289</v>
      </c>
      <c r="D100" s="2" t="s">
        <v>48</v>
      </c>
      <c r="E100" s="2" t="s">
        <v>1185</v>
      </c>
      <c r="F100" s="2" t="s">
        <v>1186</v>
      </c>
      <c r="G100" s="2" t="s">
        <v>1381</v>
      </c>
    </row>
    <row r="101" customFormat="false" ht="15" hidden="false" customHeight="false" outlineLevel="0" collapsed="false">
      <c r="A101" s="2" t="s">
        <v>1382</v>
      </c>
      <c r="B101" s="2" t="s">
        <v>184</v>
      </c>
      <c r="C101" s="2" t="s">
        <v>1289</v>
      </c>
      <c r="D101" s="2" t="s">
        <v>48</v>
      </c>
      <c r="E101" s="2" t="s">
        <v>1185</v>
      </c>
      <c r="F101" s="2" t="s">
        <v>1186</v>
      </c>
      <c r="G101" s="2" t="s">
        <v>1383</v>
      </c>
    </row>
    <row r="102" customFormat="false" ht="15" hidden="false" customHeight="false" outlineLevel="0" collapsed="false">
      <c r="A102" s="2" t="s">
        <v>1384</v>
      </c>
      <c r="B102" s="2" t="s">
        <v>184</v>
      </c>
      <c r="C102" s="2" t="s">
        <v>1289</v>
      </c>
      <c r="D102" s="2" t="s">
        <v>48</v>
      </c>
      <c r="E102" s="2" t="s">
        <v>1185</v>
      </c>
      <c r="F102" s="2" t="s">
        <v>1186</v>
      </c>
      <c r="G102" s="2" t="s">
        <v>1385</v>
      </c>
    </row>
    <row r="103" customFormat="false" ht="15" hidden="false" customHeight="false" outlineLevel="0" collapsed="false">
      <c r="A103" s="2" t="s">
        <v>1386</v>
      </c>
      <c r="B103" s="2" t="s">
        <v>184</v>
      </c>
      <c r="C103" s="2" t="s">
        <v>1289</v>
      </c>
      <c r="D103" s="2" t="s">
        <v>48</v>
      </c>
      <c r="E103" s="2" t="s">
        <v>1185</v>
      </c>
      <c r="F103" s="2" t="s">
        <v>1186</v>
      </c>
      <c r="G103" s="2" t="s">
        <v>1387</v>
      </c>
    </row>
    <row r="104" customFormat="false" ht="15" hidden="false" customHeight="false" outlineLevel="0" collapsed="false">
      <c r="A104" s="2" t="s">
        <v>1388</v>
      </c>
      <c r="B104" s="2" t="s">
        <v>184</v>
      </c>
      <c r="C104" s="2" t="s">
        <v>1289</v>
      </c>
      <c r="D104" s="2" t="s">
        <v>48</v>
      </c>
      <c r="E104" s="2" t="s">
        <v>1185</v>
      </c>
      <c r="F104" s="2" t="s">
        <v>1186</v>
      </c>
      <c r="G104" s="2" t="s">
        <v>1389</v>
      </c>
    </row>
    <row r="105" customFormat="false" ht="15" hidden="false" customHeight="false" outlineLevel="0" collapsed="false">
      <c r="A105" s="2" t="s">
        <v>1390</v>
      </c>
      <c r="B105" s="2" t="s">
        <v>184</v>
      </c>
      <c r="C105" s="2" t="s">
        <v>1289</v>
      </c>
      <c r="D105" s="2" t="s">
        <v>48</v>
      </c>
      <c r="E105" s="2" t="s">
        <v>1185</v>
      </c>
      <c r="F105" s="2" t="s">
        <v>1186</v>
      </c>
      <c r="G105" s="2" t="s">
        <v>1391</v>
      </c>
    </row>
    <row r="106" customFormat="false" ht="15" hidden="false" customHeight="false" outlineLevel="0" collapsed="false">
      <c r="A106" s="2" t="s">
        <v>1392</v>
      </c>
      <c r="B106" s="2" t="s">
        <v>184</v>
      </c>
      <c r="C106" s="2" t="s">
        <v>1289</v>
      </c>
      <c r="D106" s="2" t="s">
        <v>48</v>
      </c>
      <c r="E106" s="2" t="s">
        <v>1185</v>
      </c>
      <c r="F106" s="2" t="s">
        <v>1186</v>
      </c>
      <c r="G106" s="2" t="s">
        <v>1393</v>
      </c>
    </row>
    <row r="107" customFormat="false" ht="15" hidden="false" customHeight="false" outlineLevel="0" collapsed="false">
      <c r="A107" s="2" t="s">
        <v>1394</v>
      </c>
      <c r="B107" s="2" t="s">
        <v>184</v>
      </c>
      <c r="C107" s="2" t="s">
        <v>1289</v>
      </c>
      <c r="D107" s="2" t="s">
        <v>48</v>
      </c>
      <c r="E107" s="2" t="s">
        <v>1185</v>
      </c>
      <c r="F107" s="2" t="s">
        <v>1186</v>
      </c>
      <c r="G107" s="2" t="s">
        <v>1395</v>
      </c>
    </row>
    <row r="108" customFormat="false" ht="15" hidden="false" customHeight="false" outlineLevel="0" collapsed="false">
      <c r="A108" s="2" t="s">
        <v>1396</v>
      </c>
      <c r="B108" s="2" t="s">
        <v>184</v>
      </c>
      <c r="C108" s="2" t="s">
        <v>1289</v>
      </c>
      <c r="D108" s="2" t="s">
        <v>48</v>
      </c>
      <c r="E108" s="2" t="s">
        <v>1185</v>
      </c>
      <c r="F108" s="2" t="s">
        <v>1186</v>
      </c>
      <c r="G108" s="2" t="s">
        <v>1397</v>
      </c>
    </row>
    <row r="109" customFormat="false" ht="15" hidden="false" customHeight="false" outlineLevel="0" collapsed="false">
      <c r="A109" s="2" t="s">
        <v>1398</v>
      </c>
      <c r="B109" s="2" t="s">
        <v>184</v>
      </c>
      <c r="C109" s="2" t="s">
        <v>1289</v>
      </c>
      <c r="D109" s="2" t="s">
        <v>48</v>
      </c>
      <c r="E109" s="2" t="s">
        <v>1185</v>
      </c>
      <c r="F109" s="2" t="s">
        <v>1186</v>
      </c>
      <c r="G109" s="2" t="s">
        <v>1399</v>
      </c>
    </row>
    <row r="110" customFormat="false" ht="15" hidden="false" customHeight="false" outlineLevel="0" collapsed="false">
      <c r="A110" s="2" t="s">
        <v>1400</v>
      </c>
      <c r="B110" s="2" t="s">
        <v>184</v>
      </c>
      <c r="C110" s="2" t="s">
        <v>1289</v>
      </c>
      <c r="D110" s="2" t="s">
        <v>48</v>
      </c>
      <c r="E110" s="2" t="s">
        <v>1185</v>
      </c>
      <c r="F110" s="2" t="s">
        <v>1186</v>
      </c>
      <c r="G110" s="2" t="s">
        <v>1401</v>
      </c>
    </row>
    <row r="111" customFormat="false" ht="15" hidden="false" customHeight="false" outlineLevel="0" collapsed="false">
      <c r="A111" s="2" t="s">
        <v>1402</v>
      </c>
      <c r="B111" s="2" t="s">
        <v>184</v>
      </c>
      <c r="C111" s="2" t="s">
        <v>1289</v>
      </c>
      <c r="D111" s="2" t="s">
        <v>48</v>
      </c>
      <c r="E111" s="2" t="s">
        <v>1185</v>
      </c>
      <c r="F111" s="2" t="s">
        <v>1186</v>
      </c>
      <c r="G111" s="2" t="s">
        <v>1403</v>
      </c>
    </row>
    <row r="112" customFormat="false" ht="15" hidden="false" customHeight="false" outlineLevel="0" collapsed="false">
      <c r="A112" s="2" t="s">
        <v>1404</v>
      </c>
      <c r="B112" s="2" t="s">
        <v>184</v>
      </c>
      <c r="C112" s="2" t="s">
        <v>1289</v>
      </c>
      <c r="D112" s="2" t="s">
        <v>48</v>
      </c>
      <c r="E112" s="2" t="s">
        <v>1185</v>
      </c>
      <c r="F112" s="2" t="s">
        <v>1186</v>
      </c>
      <c r="G112" s="2" t="s">
        <v>1405</v>
      </c>
    </row>
    <row r="113" customFormat="false" ht="15" hidden="false" customHeight="false" outlineLevel="0" collapsed="false">
      <c r="A113" s="2" t="s">
        <v>1406</v>
      </c>
      <c r="B113" s="2" t="s">
        <v>184</v>
      </c>
      <c r="C113" s="2" t="s">
        <v>1289</v>
      </c>
      <c r="D113" s="2" t="s">
        <v>48</v>
      </c>
      <c r="E113" s="2" t="s">
        <v>1185</v>
      </c>
      <c r="F113" s="2" t="s">
        <v>1186</v>
      </c>
      <c r="G113" s="2" t="s">
        <v>1407</v>
      </c>
    </row>
    <row r="114" customFormat="false" ht="15" hidden="false" customHeight="false" outlineLevel="0" collapsed="false">
      <c r="A114" s="2" t="s">
        <v>1408</v>
      </c>
      <c r="B114" s="2" t="s">
        <v>184</v>
      </c>
      <c r="C114" s="2" t="s">
        <v>1289</v>
      </c>
      <c r="D114" s="2" t="s">
        <v>48</v>
      </c>
      <c r="E114" s="2" t="s">
        <v>1185</v>
      </c>
      <c r="F114" s="2" t="s">
        <v>1186</v>
      </c>
      <c r="G114" s="2" t="s">
        <v>1409</v>
      </c>
    </row>
    <row r="115" customFormat="false" ht="15" hidden="false" customHeight="false" outlineLevel="0" collapsed="false">
      <c r="A115" s="2" t="s">
        <v>1410</v>
      </c>
      <c r="B115" s="2" t="s">
        <v>184</v>
      </c>
      <c r="C115" s="2" t="s">
        <v>1289</v>
      </c>
      <c r="D115" s="2" t="s">
        <v>48</v>
      </c>
      <c r="E115" s="2" t="s">
        <v>1185</v>
      </c>
      <c r="F115" s="2" t="s">
        <v>1186</v>
      </c>
      <c r="G115" s="2" t="s">
        <v>1411</v>
      </c>
    </row>
    <row r="116" customFormat="false" ht="15" hidden="false" customHeight="false" outlineLevel="0" collapsed="false">
      <c r="A116" s="2" t="s">
        <v>1412</v>
      </c>
      <c r="B116" s="2" t="s">
        <v>184</v>
      </c>
      <c r="C116" s="2" t="s">
        <v>1289</v>
      </c>
      <c r="D116" s="2" t="s">
        <v>48</v>
      </c>
      <c r="E116" s="2" t="s">
        <v>1185</v>
      </c>
      <c r="F116" s="2" t="s">
        <v>1186</v>
      </c>
      <c r="G116" s="2" t="s">
        <v>1413</v>
      </c>
    </row>
    <row r="117" customFormat="false" ht="15" hidden="false" customHeight="false" outlineLevel="0" collapsed="false">
      <c r="A117" s="2" t="s">
        <v>1414</v>
      </c>
      <c r="B117" s="2" t="s">
        <v>184</v>
      </c>
      <c r="C117" s="2" t="s">
        <v>1289</v>
      </c>
      <c r="D117" s="2" t="s">
        <v>48</v>
      </c>
      <c r="E117" s="2" t="s">
        <v>1185</v>
      </c>
      <c r="F117" s="2" t="s">
        <v>1186</v>
      </c>
      <c r="G117" s="2" t="s">
        <v>1415</v>
      </c>
    </row>
    <row r="118" customFormat="false" ht="15" hidden="false" customHeight="false" outlineLevel="0" collapsed="false">
      <c r="A118" s="2" t="s">
        <v>1416</v>
      </c>
      <c r="B118" s="2" t="s">
        <v>184</v>
      </c>
      <c r="C118" s="2" t="s">
        <v>1289</v>
      </c>
      <c r="D118" s="2" t="s">
        <v>48</v>
      </c>
      <c r="E118" s="2" t="s">
        <v>1185</v>
      </c>
      <c r="F118" s="2" t="s">
        <v>1186</v>
      </c>
      <c r="G118" s="2" t="s">
        <v>1417</v>
      </c>
    </row>
    <row r="119" customFormat="false" ht="15" hidden="false" customHeight="false" outlineLevel="0" collapsed="false">
      <c r="A119" s="2" t="s">
        <v>1418</v>
      </c>
      <c r="B119" s="2" t="s">
        <v>184</v>
      </c>
      <c r="C119" s="2" t="s">
        <v>1289</v>
      </c>
      <c r="D119" s="2" t="s">
        <v>48</v>
      </c>
      <c r="E119" s="2" t="s">
        <v>1185</v>
      </c>
      <c r="F119" s="2" t="s">
        <v>1186</v>
      </c>
      <c r="G119" s="2" t="s">
        <v>1417</v>
      </c>
    </row>
    <row r="120" customFormat="false" ht="15" hidden="false" customHeight="false" outlineLevel="0" collapsed="false">
      <c r="A120" s="2" t="s">
        <v>1419</v>
      </c>
      <c r="B120" s="2" t="s">
        <v>184</v>
      </c>
      <c r="C120" s="2" t="s">
        <v>1289</v>
      </c>
      <c r="D120" s="2" t="s">
        <v>48</v>
      </c>
      <c r="E120" s="2" t="s">
        <v>1185</v>
      </c>
      <c r="F120" s="2" t="s">
        <v>1186</v>
      </c>
      <c r="G120" s="2" t="s">
        <v>1420</v>
      </c>
    </row>
    <row r="121" customFormat="false" ht="15" hidden="false" customHeight="false" outlineLevel="0" collapsed="false">
      <c r="A121" s="2" t="s">
        <v>1421</v>
      </c>
      <c r="B121" s="2" t="s">
        <v>184</v>
      </c>
      <c r="C121" s="2" t="s">
        <v>1289</v>
      </c>
      <c r="D121" s="2" t="s">
        <v>48</v>
      </c>
      <c r="E121" s="2" t="s">
        <v>1185</v>
      </c>
      <c r="F121" s="2" t="s">
        <v>1186</v>
      </c>
      <c r="G121" s="2" t="s">
        <v>1422</v>
      </c>
    </row>
    <row r="122" customFormat="false" ht="15" hidden="false" customHeight="false" outlineLevel="0" collapsed="false">
      <c r="A122" s="2" t="s">
        <v>1423</v>
      </c>
      <c r="B122" s="2" t="s">
        <v>184</v>
      </c>
      <c r="C122" s="2" t="s">
        <v>1289</v>
      </c>
      <c r="D122" s="2" t="s">
        <v>48</v>
      </c>
      <c r="E122" s="2" t="s">
        <v>1185</v>
      </c>
      <c r="F122" s="2" t="s">
        <v>1186</v>
      </c>
      <c r="G122" s="2" t="s">
        <v>1424</v>
      </c>
    </row>
    <row r="123" customFormat="false" ht="15" hidden="false" customHeight="false" outlineLevel="0" collapsed="false">
      <c r="A123" s="2" t="s">
        <v>1425</v>
      </c>
      <c r="B123" s="2" t="s">
        <v>184</v>
      </c>
      <c r="C123" s="2" t="s">
        <v>1289</v>
      </c>
      <c r="D123" s="2" t="s">
        <v>48</v>
      </c>
      <c r="E123" s="2" t="s">
        <v>1185</v>
      </c>
      <c r="F123" s="2" t="s">
        <v>1186</v>
      </c>
      <c r="G123" s="2" t="s">
        <v>1426</v>
      </c>
    </row>
    <row r="124" customFormat="false" ht="15" hidden="false" customHeight="false" outlineLevel="0" collapsed="false">
      <c r="A124" s="2" t="s">
        <v>1427</v>
      </c>
      <c r="B124" s="2" t="s">
        <v>184</v>
      </c>
      <c r="C124" s="2" t="s">
        <v>1289</v>
      </c>
      <c r="D124" s="2" t="s">
        <v>48</v>
      </c>
      <c r="E124" s="2" t="s">
        <v>1185</v>
      </c>
      <c r="F124" s="2" t="s">
        <v>1186</v>
      </c>
      <c r="G124" s="2" t="s">
        <v>1290</v>
      </c>
    </row>
    <row r="125" customFormat="false" ht="15" hidden="false" customHeight="false" outlineLevel="0" collapsed="false">
      <c r="A125" s="2" t="s">
        <v>1428</v>
      </c>
      <c r="B125" s="2" t="s">
        <v>184</v>
      </c>
      <c r="C125" s="2" t="s">
        <v>1289</v>
      </c>
      <c r="D125" s="2" t="s">
        <v>48</v>
      </c>
      <c r="E125" s="2" t="s">
        <v>1185</v>
      </c>
      <c r="F125" s="2" t="s">
        <v>1186</v>
      </c>
      <c r="G125" s="2" t="s">
        <v>1429</v>
      </c>
    </row>
    <row r="126" customFormat="false" ht="15" hidden="false" customHeight="false" outlineLevel="0" collapsed="false">
      <c r="A126" s="2" t="s">
        <v>1430</v>
      </c>
      <c r="B126" s="2" t="s">
        <v>184</v>
      </c>
      <c r="C126" s="2" t="s">
        <v>1289</v>
      </c>
      <c r="D126" s="2" t="s">
        <v>48</v>
      </c>
      <c r="E126" s="2" t="s">
        <v>1185</v>
      </c>
      <c r="F126" s="2" t="s">
        <v>1186</v>
      </c>
      <c r="G126" s="2" t="s">
        <v>1431</v>
      </c>
    </row>
    <row r="127" customFormat="false" ht="15" hidden="false" customHeight="false" outlineLevel="0" collapsed="false">
      <c r="A127" s="2" t="s">
        <v>1432</v>
      </c>
      <c r="B127" s="2" t="s">
        <v>184</v>
      </c>
      <c r="C127" s="2" t="s">
        <v>1289</v>
      </c>
      <c r="D127" s="2" t="s">
        <v>48</v>
      </c>
      <c r="E127" s="2" t="s">
        <v>1185</v>
      </c>
      <c r="F127" s="2" t="s">
        <v>1186</v>
      </c>
      <c r="G127" s="2" t="s">
        <v>1433</v>
      </c>
    </row>
    <row r="128" customFormat="false" ht="15" hidden="false" customHeight="false" outlineLevel="0" collapsed="false">
      <c r="A128" s="2" t="s">
        <v>1434</v>
      </c>
      <c r="B128" s="2" t="s">
        <v>184</v>
      </c>
      <c r="C128" s="2" t="s">
        <v>1289</v>
      </c>
      <c r="D128" s="2" t="s">
        <v>48</v>
      </c>
      <c r="E128" s="2" t="s">
        <v>1185</v>
      </c>
      <c r="F128" s="2" t="s">
        <v>1186</v>
      </c>
      <c r="G128" s="2" t="s">
        <v>1435</v>
      </c>
    </row>
    <row r="129" customFormat="false" ht="15" hidden="false" customHeight="false" outlineLevel="0" collapsed="false">
      <c r="A129" s="2" t="s">
        <v>1436</v>
      </c>
      <c r="B129" s="2" t="s">
        <v>184</v>
      </c>
      <c r="C129" s="2" t="s">
        <v>1289</v>
      </c>
      <c r="D129" s="2" t="s">
        <v>48</v>
      </c>
      <c r="E129" s="2" t="s">
        <v>1185</v>
      </c>
      <c r="F129" s="2" t="s">
        <v>1186</v>
      </c>
      <c r="G129" s="2" t="s">
        <v>1437</v>
      </c>
    </row>
    <row r="130" customFormat="false" ht="15" hidden="false" customHeight="false" outlineLevel="0" collapsed="false">
      <c r="A130" s="2" t="s">
        <v>1438</v>
      </c>
      <c r="B130" s="2" t="s">
        <v>184</v>
      </c>
      <c r="C130" s="2" t="s">
        <v>1289</v>
      </c>
      <c r="D130" s="2" t="s">
        <v>48</v>
      </c>
      <c r="E130" s="2" t="s">
        <v>1185</v>
      </c>
      <c r="F130" s="2" t="s">
        <v>1186</v>
      </c>
      <c r="G130" s="2" t="s">
        <v>1439</v>
      </c>
    </row>
    <row r="131" customFormat="false" ht="15" hidden="false" customHeight="false" outlineLevel="0" collapsed="false">
      <c r="A131" s="2" t="s">
        <v>1440</v>
      </c>
      <c r="B131" s="2" t="s">
        <v>184</v>
      </c>
      <c r="C131" s="2" t="s">
        <v>1289</v>
      </c>
      <c r="D131" s="2" t="s">
        <v>48</v>
      </c>
      <c r="E131" s="2" t="s">
        <v>1185</v>
      </c>
      <c r="F131" s="2" t="s">
        <v>1186</v>
      </c>
      <c r="G131" s="2" t="s">
        <v>1441</v>
      </c>
    </row>
    <row r="132" customFormat="false" ht="15" hidden="false" customHeight="false" outlineLevel="0" collapsed="false">
      <c r="A132" s="2" t="s">
        <v>1442</v>
      </c>
      <c r="B132" s="2" t="s">
        <v>184</v>
      </c>
      <c r="C132" s="2" t="s">
        <v>1289</v>
      </c>
      <c r="D132" s="2" t="s">
        <v>48</v>
      </c>
      <c r="E132" s="2" t="s">
        <v>1185</v>
      </c>
      <c r="F132" s="2" t="s">
        <v>1186</v>
      </c>
      <c r="G132" s="2" t="s">
        <v>1443</v>
      </c>
    </row>
    <row r="133" customFormat="false" ht="15" hidden="false" customHeight="false" outlineLevel="0" collapsed="false">
      <c r="A133" s="2" t="s">
        <v>1444</v>
      </c>
      <c r="B133" s="2" t="s">
        <v>184</v>
      </c>
      <c r="C133" s="2" t="s">
        <v>1289</v>
      </c>
      <c r="D133" s="2" t="s">
        <v>48</v>
      </c>
      <c r="E133" s="2" t="s">
        <v>1185</v>
      </c>
      <c r="F133" s="2" t="s">
        <v>1186</v>
      </c>
      <c r="G133" s="2" t="s">
        <v>1445</v>
      </c>
    </row>
    <row r="134" customFormat="false" ht="15" hidden="false" customHeight="false" outlineLevel="0" collapsed="false">
      <c r="A134" s="2" t="s">
        <v>1446</v>
      </c>
      <c r="B134" s="2" t="s">
        <v>184</v>
      </c>
      <c r="C134" s="2" t="s">
        <v>1289</v>
      </c>
      <c r="D134" s="2" t="s">
        <v>48</v>
      </c>
      <c r="E134" s="2" t="s">
        <v>1185</v>
      </c>
      <c r="F134" s="2" t="s">
        <v>1186</v>
      </c>
      <c r="G134" s="2" t="s">
        <v>1445</v>
      </c>
    </row>
    <row r="135" customFormat="false" ht="15" hidden="false" customHeight="false" outlineLevel="0" collapsed="false">
      <c r="A135" s="2" t="s">
        <v>1447</v>
      </c>
      <c r="B135" s="2" t="s">
        <v>184</v>
      </c>
      <c r="C135" s="2" t="s">
        <v>1289</v>
      </c>
      <c r="D135" s="2" t="s">
        <v>48</v>
      </c>
      <c r="E135" s="2" t="s">
        <v>1185</v>
      </c>
      <c r="F135" s="2" t="s">
        <v>1186</v>
      </c>
      <c r="G135" s="2" t="s">
        <v>1448</v>
      </c>
    </row>
    <row r="136" customFormat="false" ht="15" hidden="false" customHeight="false" outlineLevel="0" collapsed="false">
      <c r="A136" s="2" t="s">
        <v>1449</v>
      </c>
      <c r="B136" s="2" t="s">
        <v>184</v>
      </c>
      <c r="C136" s="2" t="s">
        <v>1289</v>
      </c>
      <c r="D136" s="2" t="s">
        <v>48</v>
      </c>
      <c r="E136" s="2" t="s">
        <v>1185</v>
      </c>
      <c r="F136" s="2" t="s">
        <v>1186</v>
      </c>
      <c r="G136" s="2" t="s">
        <v>1450</v>
      </c>
    </row>
    <row r="137" customFormat="false" ht="15" hidden="false" customHeight="false" outlineLevel="0" collapsed="false">
      <c r="A137" s="2" t="s">
        <v>1451</v>
      </c>
      <c r="B137" s="2" t="s">
        <v>184</v>
      </c>
      <c r="C137" s="2" t="s">
        <v>1289</v>
      </c>
      <c r="D137" s="2" t="s">
        <v>48</v>
      </c>
      <c r="E137" s="2" t="s">
        <v>1185</v>
      </c>
      <c r="F137" s="2" t="s">
        <v>1186</v>
      </c>
      <c r="G137" s="2" t="s">
        <v>1452</v>
      </c>
    </row>
    <row r="138" customFormat="false" ht="15" hidden="false" customHeight="false" outlineLevel="0" collapsed="false">
      <c r="A138" s="2" t="s">
        <v>1453</v>
      </c>
      <c r="B138" s="2" t="s">
        <v>184</v>
      </c>
      <c r="C138" s="2" t="s">
        <v>1289</v>
      </c>
      <c r="D138" s="2" t="s">
        <v>48</v>
      </c>
      <c r="E138" s="2" t="s">
        <v>1185</v>
      </c>
      <c r="F138" s="2" t="s">
        <v>1186</v>
      </c>
      <c r="G138" s="2" t="s">
        <v>1454</v>
      </c>
    </row>
    <row r="139" customFormat="false" ht="15" hidden="false" customHeight="false" outlineLevel="0" collapsed="false">
      <c r="A139" s="2" t="s">
        <v>1455</v>
      </c>
      <c r="B139" s="2" t="s">
        <v>184</v>
      </c>
      <c r="C139" s="2" t="s">
        <v>1289</v>
      </c>
      <c r="D139" s="2" t="s">
        <v>48</v>
      </c>
      <c r="E139" s="2" t="s">
        <v>1185</v>
      </c>
      <c r="F139" s="2" t="s">
        <v>1186</v>
      </c>
      <c r="G139" s="2" t="s">
        <v>1456</v>
      </c>
    </row>
    <row r="140" customFormat="false" ht="15" hidden="false" customHeight="false" outlineLevel="0" collapsed="false">
      <c r="A140" s="2" t="s">
        <v>1457</v>
      </c>
      <c r="B140" s="2" t="s">
        <v>184</v>
      </c>
      <c r="C140" s="2" t="s">
        <v>1289</v>
      </c>
      <c r="D140" s="2" t="s">
        <v>48</v>
      </c>
      <c r="E140" s="2" t="s">
        <v>1185</v>
      </c>
      <c r="F140" s="2" t="s">
        <v>1186</v>
      </c>
      <c r="G140" s="2" t="s">
        <v>1458</v>
      </c>
    </row>
    <row r="141" customFormat="false" ht="15" hidden="false" customHeight="false" outlineLevel="0" collapsed="false">
      <c r="A141" s="2" t="s">
        <v>1459</v>
      </c>
      <c r="B141" s="2" t="s">
        <v>184</v>
      </c>
      <c r="C141" s="2" t="s">
        <v>1289</v>
      </c>
      <c r="D141" s="2" t="s">
        <v>48</v>
      </c>
      <c r="E141" s="2" t="s">
        <v>1185</v>
      </c>
      <c r="F141" s="2" t="s">
        <v>1186</v>
      </c>
      <c r="G141" s="2" t="s">
        <v>1460</v>
      </c>
    </row>
    <row r="142" customFormat="false" ht="15" hidden="false" customHeight="false" outlineLevel="0" collapsed="false">
      <c r="A142" s="2" t="s">
        <v>1461</v>
      </c>
      <c r="B142" s="2" t="s">
        <v>184</v>
      </c>
      <c r="C142" s="2" t="s">
        <v>1289</v>
      </c>
      <c r="D142" s="2" t="s">
        <v>48</v>
      </c>
      <c r="E142" s="2" t="s">
        <v>1185</v>
      </c>
      <c r="F142" s="2" t="s">
        <v>1186</v>
      </c>
      <c r="G142" s="2" t="s">
        <v>1462</v>
      </c>
    </row>
    <row r="143" customFormat="false" ht="15" hidden="false" customHeight="false" outlineLevel="0" collapsed="false">
      <c r="A143" s="2" t="s">
        <v>1463</v>
      </c>
      <c r="B143" s="2" t="s">
        <v>184</v>
      </c>
      <c r="C143" s="2" t="s">
        <v>1289</v>
      </c>
      <c r="D143" s="2" t="s">
        <v>48</v>
      </c>
      <c r="E143" s="2" t="s">
        <v>1185</v>
      </c>
      <c r="F143" s="2" t="s">
        <v>1186</v>
      </c>
      <c r="G143" s="2" t="s">
        <v>1464</v>
      </c>
    </row>
    <row r="144" customFormat="false" ht="15" hidden="false" customHeight="false" outlineLevel="0" collapsed="false">
      <c r="A144" s="2" t="s">
        <v>1465</v>
      </c>
      <c r="B144" s="2" t="s">
        <v>184</v>
      </c>
      <c r="C144" s="2" t="s">
        <v>1289</v>
      </c>
      <c r="D144" s="2" t="s">
        <v>48</v>
      </c>
      <c r="E144" s="2" t="s">
        <v>1185</v>
      </c>
      <c r="F144" s="2" t="s">
        <v>1186</v>
      </c>
      <c r="G144" s="2" t="s">
        <v>1466</v>
      </c>
    </row>
    <row r="145" customFormat="false" ht="15" hidden="false" customHeight="false" outlineLevel="0" collapsed="false">
      <c r="A145" s="2" t="s">
        <v>1467</v>
      </c>
      <c r="B145" s="2" t="s">
        <v>184</v>
      </c>
      <c r="C145" s="2" t="s">
        <v>1289</v>
      </c>
      <c r="D145" s="2" t="s">
        <v>48</v>
      </c>
      <c r="E145" s="2" t="s">
        <v>1185</v>
      </c>
      <c r="F145" s="2" t="s">
        <v>1186</v>
      </c>
      <c r="G145" s="2" t="s">
        <v>1313</v>
      </c>
    </row>
    <row r="146" customFormat="false" ht="15" hidden="false" customHeight="false" outlineLevel="0" collapsed="false">
      <c r="A146" s="2" t="s">
        <v>1468</v>
      </c>
      <c r="B146" s="2" t="s">
        <v>184</v>
      </c>
      <c r="C146" s="2" t="s">
        <v>1289</v>
      </c>
      <c r="D146" s="2" t="s">
        <v>48</v>
      </c>
      <c r="E146" s="2" t="s">
        <v>1185</v>
      </c>
      <c r="F146" s="2" t="s">
        <v>1186</v>
      </c>
      <c r="G146" s="2" t="s">
        <v>1469</v>
      </c>
    </row>
    <row r="147" customFormat="false" ht="15" hidden="false" customHeight="false" outlineLevel="0" collapsed="false">
      <c r="A147" s="2" t="s">
        <v>1470</v>
      </c>
      <c r="B147" s="2" t="s">
        <v>184</v>
      </c>
      <c r="C147" s="2" t="s">
        <v>1289</v>
      </c>
      <c r="D147" s="2" t="s">
        <v>48</v>
      </c>
      <c r="E147" s="2" t="s">
        <v>1185</v>
      </c>
      <c r="F147" s="2" t="s">
        <v>1186</v>
      </c>
      <c r="G147" s="2" t="s">
        <v>1471</v>
      </c>
    </row>
    <row r="148" customFormat="false" ht="15" hidden="false" customHeight="false" outlineLevel="0" collapsed="false">
      <c r="A148" s="2" t="s">
        <v>1472</v>
      </c>
      <c r="B148" s="2" t="s">
        <v>184</v>
      </c>
      <c r="C148" s="2" t="s">
        <v>1289</v>
      </c>
      <c r="D148" s="2" t="s">
        <v>48</v>
      </c>
      <c r="E148" s="2" t="s">
        <v>1185</v>
      </c>
      <c r="F148" s="2" t="s">
        <v>1186</v>
      </c>
      <c r="G148" s="2" t="s">
        <v>1317</v>
      </c>
    </row>
    <row r="149" customFormat="false" ht="15" hidden="false" customHeight="false" outlineLevel="0" collapsed="false">
      <c r="A149" s="2" t="s">
        <v>1473</v>
      </c>
      <c r="B149" s="2" t="s">
        <v>184</v>
      </c>
      <c r="C149" s="2" t="s">
        <v>1289</v>
      </c>
      <c r="D149" s="2" t="s">
        <v>48</v>
      </c>
      <c r="E149" s="2" t="s">
        <v>1185</v>
      </c>
      <c r="F149" s="2" t="s">
        <v>1186</v>
      </c>
      <c r="G149" s="2" t="s">
        <v>1474</v>
      </c>
    </row>
    <row r="150" customFormat="false" ht="15" hidden="false" customHeight="false" outlineLevel="0" collapsed="false">
      <c r="A150" s="2" t="s">
        <v>1475</v>
      </c>
      <c r="B150" s="2" t="s">
        <v>184</v>
      </c>
      <c r="C150" s="2" t="s">
        <v>1289</v>
      </c>
      <c r="D150" s="2" t="s">
        <v>48</v>
      </c>
      <c r="E150" s="2" t="s">
        <v>1185</v>
      </c>
      <c r="F150" s="2" t="s">
        <v>1186</v>
      </c>
      <c r="G150" s="2" t="s">
        <v>1476</v>
      </c>
    </row>
    <row r="151" customFormat="false" ht="15" hidden="false" customHeight="false" outlineLevel="0" collapsed="false">
      <c r="A151" s="2" t="s">
        <v>1477</v>
      </c>
      <c r="B151" s="2" t="s">
        <v>184</v>
      </c>
      <c r="C151" s="2" t="s">
        <v>1289</v>
      </c>
      <c r="D151" s="2" t="s">
        <v>48</v>
      </c>
      <c r="E151" s="2" t="s">
        <v>1185</v>
      </c>
      <c r="F151" s="2" t="s">
        <v>1186</v>
      </c>
      <c r="G151" s="2" t="s">
        <v>1478</v>
      </c>
    </row>
    <row r="152" customFormat="false" ht="15" hidden="false" customHeight="false" outlineLevel="0" collapsed="false">
      <c r="A152" s="2" t="s">
        <v>1479</v>
      </c>
      <c r="B152" s="2" t="s">
        <v>184</v>
      </c>
      <c r="C152" s="2" t="s">
        <v>1289</v>
      </c>
      <c r="D152" s="2" t="s">
        <v>48</v>
      </c>
      <c r="E152" s="2" t="s">
        <v>1185</v>
      </c>
      <c r="F152" s="2" t="s">
        <v>1186</v>
      </c>
      <c r="G152" s="2" t="s">
        <v>1480</v>
      </c>
    </row>
    <row r="153" customFormat="false" ht="15" hidden="false" customHeight="false" outlineLevel="0" collapsed="false">
      <c r="A153" s="2" t="s">
        <v>1481</v>
      </c>
      <c r="B153" s="2" t="s">
        <v>184</v>
      </c>
      <c r="C153" s="2" t="s">
        <v>1289</v>
      </c>
      <c r="D153" s="2" t="s">
        <v>48</v>
      </c>
      <c r="E153" s="2" t="s">
        <v>1185</v>
      </c>
      <c r="F153" s="2" t="s">
        <v>1186</v>
      </c>
      <c r="G153" s="2" t="s">
        <v>1331</v>
      </c>
    </row>
    <row r="154" customFormat="false" ht="15" hidden="false" customHeight="false" outlineLevel="0" collapsed="false">
      <c r="A154" s="2" t="s">
        <v>1482</v>
      </c>
      <c r="B154" s="2" t="s">
        <v>184</v>
      </c>
      <c r="C154" s="2" t="s">
        <v>1289</v>
      </c>
      <c r="D154" s="2" t="s">
        <v>48</v>
      </c>
      <c r="E154" s="2" t="s">
        <v>1185</v>
      </c>
      <c r="F154" s="2" t="s">
        <v>1186</v>
      </c>
      <c r="G154" s="2" t="s">
        <v>1483</v>
      </c>
    </row>
    <row r="155" customFormat="false" ht="15" hidden="false" customHeight="false" outlineLevel="0" collapsed="false">
      <c r="A155" s="2" t="s">
        <v>1484</v>
      </c>
      <c r="B155" s="2" t="s">
        <v>184</v>
      </c>
      <c r="C155" s="2" t="s">
        <v>1289</v>
      </c>
      <c r="D155" s="2" t="s">
        <v>48</v>
      </c>
      <c r="E155" s="2" t="s">
        <v>1185</v>
      </c>
      <c r="F155" s="2" t="s">
        <v>1186</v>
      </c>
      <c r="G155" s="2" t="s">
        <v>1485</v>
      </c>
    </row>
    <row r="156" customFormat="false" ht="15" hidden="false" customHeight="false" outlineLevel="0" collapsed="false">
      <c r="A156" s="2" t="s">
        <v>1486</v>
      </c>
      <c r="B156" s="2" t="s">
        <v>184</v>
      </c>
      <c r="C156" s="2" t="s">
        <v>1289</v>
      </c>
      <c r="D156" s="2" t="s">
        <v>48</v>
      </c>
      <c r="E156" s="2" t="s">
        <v>1185</v>
      </c>
      <c r="F156" s="2" t="s">
        <v>1186</v>
      </c>
      <c r="G156" s="2" t="s">
        <v>1487</v>
      </c>
    </row>
    <row r="157" customFormat="false" ht="15" hidden="false" customHeight="false" outlineLevel="0" collapsed="false">
      <c r="A157" s="2" t="s">
        <v>1488</v>
      </c>
      <c r="B157" s="2" t="s">
        <v>184</v>
      </c>
      <c r="C157" s="2" t="s">
        <v>1289</v>
      </c>
      <c r="D157" s="2" t="s">
        <v>48</v>
      </c>
      <c r="E157" s="2" t="s">
        <v>1185</v>
      </c>
      <c r="F157" s="2" t="s">
        <v>1186</v>
      </c>
      <c r="G157" s="2" t="s">
        <v>1489</v>
      </c>
    </row>
    <row r="158" customFormat="false" ht="15" hidden="false" customHeight="false" outlineLevel="0" collapsed="false">
      <c r="A158" s="2" t="s">
        <v>1490</v>
      </c>
      <c r="B158" s="2" t="s">
        <v>184</v>
      </c>
      <c r="C158" s="2" t="s">
        <v>1289</v>
      </c>
      <c r="D158" s="2" t="s">
        <v>48</v>
      </c>
      <c r="E158" s="2" t="s">
        <v>1185</v>
      </c>
      <c r="F158" s="2" t="s">
        <v>1186</v>
      </c>
      <c r="G158" s="2" t="s">
        <v>1491</v>
      </c>
    </row>
    <row r="159" customFormat="false" ht="15" hidden="false" customHeight="false" outlineLevel="0" collapsed="false">
      <c r="A159" s="2" t="s">
        <v>1492</v>
      </c>
      <c r="B159" s="2" t="s">
        <v>184</v>
      </c>
      <c r="C159" s="2" t="s">
        <v>1289</v>
      </c>
      <c r="D159" s="2" t="s">
        <v>48</v>
      </c>
      <c r="E159" s="2" t="s">
        <v>1185</v>
      </c>
      <c r="F159" s="2" t="s">
        <v>1186</v>
      </c>
      <c r="G159" s="2" t="s">
        <v>1493</v>
      </c>
    </row>
    <row r="160" customFormat="false" ht="15" hidden="false" customHeight="false" outlineLevel="0" collapsed="false">
      <c r="A160" s="2" t="s">
        <v>1494</v>
      </c>
      <c r="B160" s="2" t="s">
        <v>184</v>
      </c>
      <c r="C160" s="2" t="s">
        <v>1289</v>
      </c>
      <c r="D160" s="2" t="s">
        <v>48</v>
      </c>
      <c r="E160" s="2" t="s">
        <v>1185</v>
      </c>
      <c r="F160" s="2" t="s">
        <v>1186</v>
      </c>
      <c r="G160" s="2" t="s">
        <v>1495</v>
      </c>
    </row>
    <row r="161" customFormat="false" ht="15" hidden="false" customHeight="false" outlineLevel="0" collapsed="false">
      <c r="A161" s="2" t="s">
        <v>1496</v>
      </c>
      <c r="B161" s="2" t="s">
        <v>184</v>
      </c>
      <c r="C161" s="2" t="s">
        <v>1289</v>
      </c>
      <c r="D161" s="2" t="s">
        <v>48</v>
      </c>
      <c r="E161" s="2" t="s">
        <v>1185</v>
      </c>
      <c r="F161" s="2" t="s">
        <v>1186</v>
      </c>
      <c r="G161" s="2" t="s">
        <v>1497</v>
      </c>
    </row>
    <row r="162" customFormat="false" ht="15" hidden="false" customHeight="false" outlineLevel="0" collapsed="false">
      <c r="A162" s="2" t="s">
        <v>1498</v>
      </c>
      <c r="B162" s="2" t="s">
        <v>184</v>
      </c>
      <c r="C162" s="2" t="s">
        <v>1289</v>
      </c>
      <c r="D162" s="2" t="s">
        <v>48</v>
      </c>
      <c r="E162" s="2" t="s">
        <v>1185</v>
      </c>
      <c r="F162" s="2" t="s">
        <v>1186</v>
      </c>
      <c r="G162" s="2" t="s">
        <v>1499</v>
      </c>
    </row>
    <row r="163" customFormat="false" ht="15" hidden="false" customHeight="false" outlineLevel="0" collapsed="false">
      <c r="A163" s="2" t="s">
        <v>1500</v>
      </c>
      <c r="B163" s="2" t="s">
        <v>184</v>
      </c>
      <c r="C163" s="2" t="s">
        <v>1289</v>
      </c>
      <c r="D163" s="2" t="s">
        <v>48</v>
      </c>
      <c r="E163" s="2" t="s">
        <v>1185</v>
      </c>
      <c r="F163" s="2" t="s">
        <v>1186</v>
      </c>
      <c r="G163" s="2" t="s">
        <v>1501</v>
      </c>
    </row>
    <row r="164" customFormat="false" ht="15" hidden="false" customHeight="false" outlineLevel="0" collapsed="false">
      <c r="A164" s="2" t="s">
        <v>1502</v>
      </c>
      <c r="B164" s="2" t="s">
        <v>184</v>
      </c>
      <c r="C164" s="2" t="s">
        <v>1289</v>
      </c>
      <c r="D164" s="2" t="s">
        <v>48</v>
      </c>
      <c r="E164" s="2" t="s">
        <v>1185</v>
      </c>
      <c r="F164" s="2" t="s">
        <v>1186</v>
      </c>
      <c r="G164" s="2" t="s">
        <v>1503</v>
      </c>
    </row>
    <row r="165" customFormat="false" ht="15" hidden="false" customHeight="false" outlineLevel="0" collapsed="false">
      <c r="A165" s="2" t="s">
        <v>1504</v>
      </c>
      <c r="B165" s="2" t="s">
        <v>184</v>
      </c>
      <c r="C165" s="2" t="s">
        <v>1289</v>
      </c>
      <c r="D165" s="2" t="s">
        <v>48</v>
      </c>
      <c r="E165" s="2" t="s">
        <v>1185</v>
      </c>
      <c r="F165" s="2" t="s">
        <v>1186</v>
      </c>
      <c r="G165" s="2" t="s">
        <v>1505</v>
      </c>
    </row>
    <row r="166" customFormat="false" ht="15" hidden="false" customHeight="false" outlineLevel="0" collapsed="false">
      <c r="A166" s="2" t="s">
        <v>1506</v>
      </c>
      <c r="B166" s="2" t="s">
        <v>184</v>
      </c>
      <c r="C166" s="2" t="s">
        <v>1289</v>
      </c>
      <c r="D166" s="2" t="s">
        <v>48</v>
      </c>
      <c r="E166" s="2" t="s">
        <v>1185</v>
      </c>
      <c r="F166" s="2" t="s">
        <v>1186</v>
      </c>
      <c r="G166" s="2" t="s">
        <v>1507</v>
      </c>
    </row>
    <row r="167" customFormat="false" ht="15" hidden="false" customHeight="false" outlineLevel="0" collapsed="false">
      <c r="A167" s="2" t="s">
        <v>1508</v>
      </c>
      <c r="B167" s="2" t="s">
        <v>184</v>
      </c>
      <c r="C167" s="2" t="s">
        <v>1289</v>
      </c>
      <c r="D167" s="2" t="s">
        <v>48</v>
      </c>
      <c r="E167" s="2" t="s">
        <v>1185</v>
      </c>
      <c r="F167" s="2" t="s">
        <v>1186</v>
      </c>
      <c r="G167" s="2" t="s">
        <v>1335</v>
      </c>
    </row>
    <row r="168" customFormat="false" ht="15" hidden="false" customHeight="false" outlineLevel="0" collapsed="false">
      <c r="A168" s="2" t="s">
        <v>1509</v>
      </c>
      <c r="B168" s="2" t="s">
        <v>184</v>
      </c>
      <c r="C168" s="2" t="s">
        <v>1289</v>
      </c>
      <c r="D168" s="2" t="s">
        <v>48</v>
      </c>
      <c r="E168" s="2" t="s">
        <v>1185</v>
      </c>
      <c r="F168" s="2" t="s">
        <v>1186</v>
      </c>
      <c r="G168" s="2" t="s">
        <v>1510</v>
      </c>
    </row>
    <row r="169" customFormat="false" ht="15" hidden="false" customHeight="false" outlineLevel="0" collapsed="false">
      <c r="A169" s="2" t="s">
        <v>1511</v>
      </c>
      <c r="B169" s="2" t="s">
        <v>184</v>
      </c>
      <c r="C169" s="2" t="s">
        <v>1289</v>
      </c>
      <c r="D169" s="2" t="s">
        <v>48</v>
      </c>
      <c r="E169" s="2" t="s">
        <v>1185</v>
      </c>
      <c r="F169" s="2" t="s">
        <v>1186</v>
      </c>
      <c r="G169" s="2" t="s">
        <v>1512</v>
      </c>
    </row>
    <row r="170" customFormat="false" ht="15" hidden="false" customHeight="false" outlineLevel="0" collapsed="false">
      <c r="A170" s="2" t="s">
        <v>1513</v>
      </c>
      <c r="B170" s="2" t="s">
        <v>184</v>
      </c>
      <c r="C170" s="2" t="s">
        <v>1289</v>
      </c>
      <c r="D170" s="2" t="s">
        <v>48</v>
      </c>
      <c r="E170" s="2" t="s">
        <v>1185</v>
      </c>
      <c r="F170" s="2" t="s">
        <v>1186</v>
      </c>
      <c r="G170" s="2" t="s">
        <v>1514</v>
      </c>
    </row>
    <row r="171" customFormat="false" ht="15" hidden="false" customHeight="false" outlineLevel="0" collapsed="false">
      <c r="A171" s="2" t="s">
        <v>1515</v>
      </c>
      <c r="B171" s="2" t="s">
        <v>184</v>
      </c>
      <c r="C171" s="2" t="s">
        <v>1289</v>
      </c>
      <c r="D171" s="2" t="s">
        <v>48</v>
      </c>
      <c r="E171" s="2" t="s">
        <v>1185</v>
      </c>
      <c r="F171" s="2" t="s">
        <v>1186</v>
      </c>
      <c r="G171" s="2" t="s">
        <v>1333</v>
      </c>
    </row>
    <row r="172" customFormat="false" ht="15" hidden="false" customHeight="false" outlineLevel="0" collapsed="false">
      <c r="A172" s="2" t="s">
        <v>1516</v>
      </c>
      <c r="B172" s="2" t="s">
        <v>184</v>
      </c>
      <c r="C172" s="2" t="s">
        <v>1289</v>
      </c>
      <c r="D172" s="2" t="s">
        <v>48</v>
      </c>
      <c r="E172" s="2" t="s">
        <v>1185</v>
      </c>
      <c r="F172" s="2" t="s">
        <v>1186</v>
      </c>
      <c r="G172" s="2" t="s">
        <v>1517</v>
      </c>
    </row>
    <row r="173" customFormat="false" ht="15" hidden="false" customHeight="false" outlineLevel="0" collapsed="false">
      <c r="A173" s="2" t="s">
        <v>1518</v>
      </c>
      <c r="B173" s="2" t="s">
        <v>184</v>
      </c>
      <c r="C173" s="2" t="s">
        <v>1289</v>
      </c>
      <c r="D173" s="2" t="s">
        <v>48</v>
      </c>
      <c r="E173" s="2" t="s">
        <v>1185</v>
      </c>
      <c r="F173" s="2" t="s">
        <v>1186</v>
      </c>
      <c r="G173" s="2" t="s">
        <v>1519</v>
      </c>
    </row>
    <row r="174" customFormat="false" ht="15" hidden="false" customHeight="false" outlineLevel="0" collapsed="false">
      <c r="A174" s="2" t="s">
        <v>1520</v>
      </c>
      <c r="B174" s="2" t="s">
        <v>184</v>
      </c>
      <c r="C174" s="2" t="s">
        <v>1289</v>
      </c>
      <c r="D174" s="2" t="s">
        <v>48</v>
      </c>
      <c r="E174" s="2" t="s">
        <v>1185</v>
      </c>
      <c r="F174" s="2" t="s">
        <v>1186</v>
      </c>
      <c r="G174" s="2" t="s">
        <v>1521</v>
      </c>
    </row>
    <row r="175" customFormat="false" ht="15" hidden="false" customHeight="false" outlineLevel="0" collapsed="false">
      <c r="A175" s="2" t="s">
        <v>1522</v>
      </c>
      <c r="B175" s="2" t="s">
        <v>184</v>
      </c>
      <c r="C175" s="2" t="s">
        <v>1289</v>
      </c>
      <c r="D175" s="2" t="s">
        <v>48</v>
      </c>
      <c r="E175" s="2" t="s">
        <v>1185</v>
      </c>
      <c r="F175" s="2" t="s">
        <v>1186</v>
      </c>
      <c r="G175" s="2" t="s">
        <v>1517</v>
      </c>
    </row>
    <row r="176" customFormat="false" ht="15" hidden="false" customHeight="false" outlineLevel="0" collapsed="false">
      <c r="A176" s="2" t="s">
        <v>1523</v>
      </c>
      <c r="B176" s="2" t="s">
        <v>184</v>
      </c>
      <c r="C176" s="2" t="s">
        <v>1289</v>
      </c>
      <c r="D176" s="2" t="s">
        <v>48</v>
      </c>
      <c r="E176" s="2" t="s">
        <v>1185</v>
      </c>
      <c r="F176" s="2" t="s">
        <v>1186</v>
      </c>
      <c r="G176" s="2" t="s">
        <v>1524</v>
      </c>
    </row>
    <row r="177" customFormat="false" ht="15" hidden="false" customHeight="false" outlineLevel="0" collapsed="false">
      <c r="A177" s="2" t="s">
        <v>1525</v>
      </c>
      <c r="B177" s="2" t="s">
        <v>184</v>
      </c>
      <c r="C177" s="2" t="s">
        <v>1289</v>
      </c>
      <c r="D177" s="2" t="s">
        <v>48</v>
      </c>
      <c r="E177" s="2" t="s">
        <v>1185</v>
      </c>
      <c r="F177" s="2" t="s">
        <v>1186</v>
      </c>
      <c r="G177" s="2" t="s">
        <v>1526</v>
      </c>
    </row>
    <row r="178" customFormat="false" ht="15" hidden="false" customHeight="false" outlineLevel="0" collapsed="false">
      <c r="A178" s="2" t="s">
        <v>1527</v>
      </c>
      <c r="B178" s="2" t="s">
        <v>184</v>
      </c>
      <c r="C178" s="2" t="s">
        <v>1289</v>
      </c>
      <c r="D178" s="2" t="s">
        <v>48</v>
      </c>
      <c r="E178" s="2" t="s">
        <v>1185</v>
      </c>
      <c r="F178" s="2" t="s">
        <v>1186</v>
      </c>
      <c r="G178" s="2" t="s">
        <v>1528</v>
      </c>
    </row>
    <row r="179" customFormat="false" ht="15" hidden="false" customHeight="false" outlineLevel="0" collapsed="false">
      <c r="A179" s="2" t="s">
        <v>1529</v>
      </c>
      <c r="B179" s="2" t="s">
        <v>184</v>
      </c>
      <c r="C179" s="2" t="s">
        <v>1289</v>
      </c>
      <c r="D179" s="2" t="s">
        <v>48</v>
      </c>
      <c r="E179" s="2" t="s">
        <v>1185</v>
      </c>
      <c r="F179" s="2" t="s">
        <v>1186</v>
      </c>
      <c r="G179" s="2" t="s">
        <v>1353</v>
      </c>
    </row>
    <row r="180" customFormat="false" ht="15" hidden="false" customHeight="false" outlineLevel="0" collapsed="false">
      <c r="A180" s="2" t="s">
        <v>1530</v>
      </c>
      <c r="B180" s="2" t="s">
        <v>184</v>
      </c>
      <c r="C180" s="2" t="s">
        <v>1289</v>
      </c>
      <c r="D180" s="2" t="s">
        <v>48</v>
      </c>
      <c r="E180" s="2" t="s">
        <v>1185</v>
      </c>
      <c r="F180" s="2" t="s">
        <v>1186</v>
      </c>
      <c r="G180" s="2" t="s">
        <v>1357</v>
      </c>
    </row>
    <row r="181" customFormat="false" ht="15" hidden="false" customHeight="false" outlineLevel="0" collapsed="false">
      <c r="A181" s="2" t="s">
        <v>1531</v>
      </c>
      <c r="B181" s="2" t="s">
        <v>184</v>
      </c>
      <c r="C181" s="2" t="s">
        <v>1289</v>
      </c>
      <c r="D181" s="2" t="s">
        <v>48</v>
      </c>
      <c r="E181" s="2" t="s">
        <v>1185</v>
      </c>
      <c r="F181" s="2" t="s">
        <v>1186</v>
      </c>
      <c r="G181" s="2" t="s">
        <v>1532</v>
      </c>
    </row>
    <row r="182" customFormat="false" ht="15" hidden="false" customHeight="false" outlineLevel="0" collapsed="false">
      <c r="A182" s="2" t="s">
        <v>1533</v>
      </c>
      <c r="B182" s="2" t="s">
        <v>184</v>
      </c>
      <c r="C182" s="2" t="s">
        <v>1289</v>
      </c>
      <c r="D182" s="2" t="s">
        <v>48</v>
      </c>
      <c r="E182" s="2" t="s">
        <v>1185</v>
      </c>
      <c r="F182" s="2" t="s">
        <v>1186</v>
      </c>
      <c r="G182" s="2" t="s">
        <v>1534</v>
      </c>
    </row>
    <row r="183" customFormat="false" ht="15" hidden="false" customHeight="false" outlineLevel="0" collapsed="false">
      <c r="A183" s="2" t="s">
        <v>1535</v>
      </c>
      <c r="B183" s="2" t="s">
        <v>184</v>
      </c>
      <c r="C183" s="2" t="s">
        <v>1289</v>
      </c>
      <c r="D183" s="2" t="s">
        <v>48</v>
      </c>
      <c r="E183" s="2" t="s">
        <v>1185</v>
      </c>
      <c r="F183" s="2" t="s">
        <v>1186</v>
      </c>
      <c r="G183" s="2" t="s">
        <v>1536</v>
      </c>
    </row>
    <row r="184" customFormat="false" ht="15" hidden="false" customHeight="false" outlineLevel="0" collapsed="false">
      <c r="A184" s="2" t="s">
        <v>1537</v>
      </c>
      <c r="B184" s="2" t="s">
        <v>184</v>
      </c>
      <c r="C184" s="2" t="s">
        <v>1289</v>
      </c>
      <c r="D184" s="2" t="s">
        <v>48</v>
      </c>
      <c r="E184" s="2" t="s">
        <v>1185</v>
      </c>
      <c r="F184" s="2" t="s">
        <v>1186</v>
      </c>
      <c r="G184" s="2" t="s">
        <v>1538</v>
      </c>
    </row>
    <row r="185" customFormat="false" ht="15" hidden="false" customHeight="false" outlineLevel="0" collapsed="false">
      <c r="A185" s="2" t="s">
        <v>1539</v>
      </c>
      <c r="B185" s="2" t="s">
        <v>184</v>
      </c>
      <c r="C185" s="2" t="s">
        <v>1289</v>
      </c>
      <c r="D185" s="2" t="s">
        <v>48</v>
      </c>
      <c r="E185" s="2" t="s">
        <v>1185</v>
      </c>
      <c r="F185" s="2" t="s">
        <v>1186</v>
      </c>
      <c r="G185" s="2" t="s">
        <v>1540</v>
      </c>
    </row>
    <row r="186" customFormat="false" ht="15" hidden="false" customHeight="false" outlineLevel="0" collapsed="false">
      <c r="A186" s="2" t="s">
        <v>1541</v>
      </c>
      <c r="B186" s="2" t="s">
        <v>184</v>
      </c>
      <c r="C186" s="2" t="s">
        <v>1289</v>
      </c>
      <c r="D186" s="2" t="s">
        <v>48</v>
      </c>
      <c r="E186" s="2" t="s">
        <v>1185</v>
      </c>
      <c r="F186" s="2" t="s">
        <v>1186</v>
      </c>
      <c r="G186" s="2" t="s">
        <v>1542</v>
      </c>
    </row>
    <row r="187" customFormat="false" ht="15" hidden="false" customHeight="false" outlineLevel="0" collapsed="false">
      <c r="A187" s="2" t="s">
        <v>1543</v>
      </c>
      <c r="B187" s="2" t="s">
        <v>184</v>
      </c>
      <c r="C187" s="2" t="s">
        <v>1289</v>
      </c>
      <c r="D187" s="2" t="s">
        <v>48</v>
      </c>
      <c r="E187" s="2" t="s">
        <v>1185</v>
      </c>
      <c r="F187" s="2" t="s">
        <v>1186</v>
      </c>
      <c r="G187" s="2" t="s">
        <v>1544</v>
      </c>
    </row>
    <row r="188" customFormat="false" ht="15" hidden="false" customHeight="false" outlineLevel="0" collapsed="false">
      <c r="A188" s="2" t="s">
        <v>1545</v>
      </c>
      <c r="B188" s="2" t="s">
        <v>184</v>
      </c>
      <c r="C188" s="2" t="s">
        <v>1289</v>
      </c>
      <c r="D188" s="2" t="s">
        <v>48</v>
      </c>
      <c r="E188" s="2" t="s">
        <v>1185</v>
      </c>
      <c r="F188" s="2" t="s">
        <v>1186</v>
      </c>
      <c r="G188" s="2" t="s">
        <v>1546</v>
      </c>
    </row>
    <row r="189" customFormat="false" ht="15" hidden="false" customHeight="false" outlineLevel="0" collapsed="false">
      <c r="A189" s="2" t="s">
        <v>1547</v>
      </c>
      <c r="B189" s="2" t="s">
        <v>184</v>
      </c>
      <c r="C189" s="2" t="s">
        <v>1289</v>
      </c>
      <c r="D189" s="2" t="s">
        <v>48</v>
      </c>
      <c r="E189" s="2" t="s">
        <v>1185</v>
      </c>
      <c r="F189" s="2" t="s">
        <v>1186</v>
      </c>
      <c r="G189" s="2" t="s">
        <v>1548</v>
      </c>
    </row>
    <row r="190" customFormat="false" ht="15" hidden="false" customHeight="false" outlineLevel="0" collapsed="false">
      <c r="A190" s="2" t="s">
        <v>1549</v>
      </c>
      <c r="B190" s="2" t="s">
        <v>184</v>
      </c>
      <c r="C190" s="2" t="s">
        <v>1289</v>
      </c>
      <c r="D190" s="2" t="s">
        <v>48</v>
      </c>
      <c r="E190" s="2" t="s">
        <v>1185</v>
      </c>
      <c r="F190" s="2" t="s">
        <v>1186</v>
      </c>
      <c r="G190" s="2" t="s">
        <v>1550</v>
      </c>
    </row>
    <row r="191" customFormat="false" ht="15" hidden="false" customHeight="false" outlineLevel="0" collapsed="false">
      <c r="A191" s="2" t="s">
        <v>1551</v>
      </c>
      <c r="B191" s="2" t="s">
        <v>184</v>
      </c>
      <c r="C191" s="2" t="s">
        <v>1289</v>
      </c>
      <c r="D191" s="2" t="s">
        <v>48</v>
      </c>
      <c r="E191" s="2" t="s">
        <v>1185</v>
      </c>
      <c r="F191" s="2" t="s">
        <v>1186</v>
      </c>
      <c r="G191" s="2" t="s">
        <v>1552</v>
      </c>
    </row>
    <row r="192" customFormat="false" ht="15" hidden="false" customHeight="false" outlineLevel="0" collapsed="false">
      <c r="A192" s="2" t="s">
        <v>1553</v>
      </c>
      <c r="B192" s="2" t="s">
        <v>184</v>
      </c>
      <c r="C192" s="2" t="s">
        <v>1289</v>
      </c>
      <c r="D192" s="2" t="s">
        <v>48</v>
      </c>
      <c r="E192" s="2" t="s">
        <v>1185</v>
      </c>
      <c r="F192" s="2" t="s">
        <v>1186</v>
      </c>
      <c r="G192" s="2" t="s">
        <v>1554</v>
      </c>
    </row>
    <row r="193" customFormat="false" ht="15" hidden="false" customHeight="false" outlineLevel="0" collapsed="false">
      <c r="A193" s="2" t="s">
        <v>1555</v>
      </c>
      <c r="B193" s="2" t="s">
        <v>184</v>
      </c>
      <c r="C193" s="2" t="s">
        <v>1289</v>
      </c>
      <c r="D193" s="2" t="s">
        <v>48</v>
      </c>
      <c r="E193" s="2" t="s">
        <v>1185</v>
      </c>
      <c r="F193" s="2" t="s">
        <v>1186</v>
      </c>
      <c r="G193" s="2" t="s">
        <v>1556</v>
      </c>
    </row>
    <row r="194" customFormat="false" ht="15" hidden="false" customHeight="false" outlineLevel="0" collapsed="false">
      <c r="A194" s="2" t="s">
        <v>1557</v>
      </c>
      <c r="B194" s="2" t="s">
        <v>184</v>
      </c>
      <c r="C194" s="2" t="s">
        <v>1289</v>
      </c>
      <c r="D194" s="2" t="s">
        <v>48</v>
      </c>
      <c r="E194" s="2" t="s">
        <v>1185</v>
      </c>
      <c r="F194" s="2" t="s">
        <v>1186</v>
      </c>
      <c r="G194" s="2" t="s">
        <v>1558</v>
      </c>
    </row>
    <row r="195" customFormat="false" ht="15" hidden="false" customHeight="false" outlineLevel="0" collapsed="false">
      <c r="A195" s="2" t="s">
        <v>1559</v>
      </c>
      <c r="B195" s="2" t="s">
        <v>184</v>
      </c>
      <c r="C195" s="2" t="s">
        <v>1289</v>
      </c>
      <c r="D195" s="2" t="s">
        <v>48</v>
      </c>
      <c r="E195" s="2" t="s">
        <v>1185</v>
      </c>
      <c r="F195" s="2" t="s">
        <v>1186</v>
      </c>
      <c r="G195" s="2" t="s">
        <v>1560</v>
      </c>
    </row>
    <row r="196" customFormat="false" ht="15" hidden="false" customHeight="false" outlineLevel="0" collapsed="false">
      <c r="A196" s="2" t="s">
        <v>1561</v>
      </c>
      <c r="B196" s="2" t="s">
        <v>184</v>
      </c>
      <c r="C196" s="2" t="s">
        <v>1562</v>
      </c>
      <c r="D196" s="2" t="s">
        <v>49</v>
      </c>
      <c r="E196" s="2" t="s">
        <v>1563</v>
      </c>
      <c r="F196" s="2" t="s">
        <v>1564</v>
      </c>
      <c r="G196" s="2" t="s">
        <v>1565</v>
      </c>
    </row>
    <row r="197" customFormat="false" ht="15" hidden="false" customHeight="false" outlineLevel="0" collapsed="false">
      <c r="A197" s="2" t="s">
        <v>1566</v>
      </c>
      <c r="B197" s="2" t="s">
        <v>184</v>
      </c>
      <c r="C197" s="2" t="s">
        <v>1562</v>
      </c>
      <c r="D197" s="2" t="s">
        <v>49</v>
      </c>
      <c r="E197" s="2" t="s">
        <v>1563</v>
      </c>
      <c r="F197" s="2" t="s">
        <v>1564</v>
      </c>
      <c r="G197" s="2" t="s">
        <v>1567</v>
      </c>
    </row>
    <row r="198" customFormat="false" ht="15" hidden="false" customHeight="false" outlineLevel="0" collapsed="false">
      <c r="A198" s="2" t="s">
        <v>1568</v>
      </c>
      <c r="B198" s="2" t="s">
        <v>184</v>
      </c>
      <c r="C198" s="2" t="s">
        <v>1562</v>
      </c>
      <c r="D198" s="2" t="s">
        <v>49</v>
      </c>
      <c r="E198" s="2" t="s">
        <v>1563</v>
      </c>
      <c r="F198" s="2" t="s">
        <v>1564</v>
      </c>
      <c r="G198" s="2" t="s">
        <v>1569</v>
      </c>
    </row>
    <row r="199" customFormat="false" ht="15" hidden="false" customHeight="false" outlineLevel="0" collapsed="false">
      <c r="A199" s="2" t="s">
        <v>1570</v>
      </c>
      <c r="B199" s="2" t="s">
        <v>184</v>
      </c>
      <c r="C199" s="2" t="s">
        <v>1289</v>
      </c>
      <c r="D199" s="2" t="s">
        <v>48</v>
      </c>
      <c r="E199" s="2" t="s">
        <v>1185</v>
      </c>
      <c r="F199" s="2" t="s">
        <v>1186</v>
      </c>
      <c r="G199" s="2" t="s">
        <v>1571</v>
      </c>
    </row>
    <row r="200" customFormat="false" ht="15" hidden="false" customHeight="false" outlineLevel="0" collapsed="false">
      <c r="A200" s="2" t="s">
        <v>1572</v>
      </c>
      <c r="B200" s="2" t="s">
        <v>184</v>
      </c>
      <c r="C200" s="2" t="s">
        <v>1289</v>
      </c>
      <c r="D200" s="2" t="s">
        <v>48</v>
      </c>
      <c r="E200" s="2" t="s">
        <v>1185</v>
      </c>
      <c r="F200" s="2" t="s">
        <v>1186</v>
      </c>
      <c r="G200" s="2" t="s">
        <v>1573</v>
      </c>
    </row>
    <row r="201" customFormat="false" ht="15" hidden="false" customHeight="false" outlineLevel="0" collapsed="false">
      <c r="A201" s="2" t="s">
        <v>1574</v>
      </c>
      <c r="B201" s="2" t="s">
        <v>184</v>
      </c>
      <c r="C201" s="2" t="s">
        <v>1289</v>
      </c>
      <c r="D201" s="2" t="s">
        <v>48</v>
      </c>
      <c r="E201" s="2" t="s">
        <v>1185</v>
      </c>
      <c r="F201" s="2" t="s">
        <v>1186</v>
      </c>
      <c r="G201" s="2" t="s">
        <v>1575</v>
      </c>
    </row>
    <row r="202" customFormat="false" ht="15" hidden="false" customHeight="false" outlineLevel="0" collapsed="false">
      <c r="A202" s="2" t="s">
        <v>1576</v>
      </c>
      <c r="B202" s="2" t="s">
        <v>184</v>
      </c>
      <c r="C202" s="2" t="s">
        <v>1289</v>
      </c>
      <c r="D202" s="2" t="s">
        <v>48</v>
      </c>
      <c r="E202" s="2" t="s">
        <v>1185</v>
      </c>
      <c r="F202" s="2" t="s">
        <v>1186</v>
      </c>
      <c r="G202" s="2" t="s">
        <v>1577</v>
      </c>
    </row>
    <row r="203" customFormat="false" ht="15" hidden="false" customHeight="false" outlineLevel="0" collapsed="false">
      <c r="A203" s="2" t="s">
        <v>1578</v>
      </c>
      <c r="B203" s="2" t="s">
        <v>184</v>
      </c>
      <c r="C203" s="2" t="s">
        <v>1289</v>
      </c>
      <c r="D203" s="2" t="s">
        <v>48</v>
      </c>
      <c r="E203" s="2" t="s">
        <v>1185</v>
      </c>
      <c r="F203" s="2" t="s">
        <v>1186</v>
      </c>
      <c r="G203" s="2" t="s">
        <v>1579</v>
      </c>
    </row>
    <row r="204" customFormat="false" ht="15" hidden="false" customHeight="false" outlineLevel="0" collapsed="false">
      <c r="A204" s="2" t="s">
        <v>1580</v>
      </c>
      <c r="B204" s="2" t="s">
        <v>184</v>
      </c>
      <c r="C204" s="2" t="s">
        <v>1289</v>
      </c>
      <c r="D204" s="2" t="s">
        <v>48</v>
      </c>
      <c r="E204" s="2" t="s">
        <v>1185</v>
      </c>
      <c r="F204" s="2" t="s">
        <v>1186</v>
      </c>
      <c r="G204" s="2" t="s">
        <v>1581</v>
      </c>
    </row>
    <row r="205" customFormat="false" ht="15" hidden="false" customHeight="false" outlineLevel="0" collapsed="false">
      <c r="A205" s="2" t="s">
        <v>1582</v>
      </c>
      <c r="B205" s="2" t="s">
        <v>184</v>
      </c>
      <c r="C205" s="2" t="s">
        <v>1289</v>
      </c>
      <c r="D205" s="2" t="s">
        <v>48</v>
      </c>
      <c r="E205" s="2" t="s">
        <v>1185</v>
      </c>
      <c r="F205" s="2" t="s">
        <v>1186</v>
      </c>
      <c r="G205" s="2" t="s">
        <v>1583</v>
      </c>
    </row>
    <row r="206" customFormat="false" ht="15" hidden="false" customHeight="false" outlineLevel="0" collapsed="false">
      <c r="A206" s="2" t="s">
        <v>1584</v>
      </c>
      <c r="B206" s="2" t="s">
        <v>184</v>
      </c>
      <c r="C206" s="2" t="s">
        <v>1289</v>
      </c>
      <c r="D206" s="2" t="s">
        <v>48</v>
      </c>
      <c r="E206" s="2" t="s">
        <v>1185</v>
      </c>
      <c r="F206" s="2" t="s">
        <v>1186</v>
      </c>
      <c r="G206" s="2" t="s">
        <v>1585</v>
      </c>
    </row>
    <row r="207" customFormat="false" ht="15" hidden="false" customHeight="false" outlineLevel="0" collapsed="false">
      <c r="A207" s="2" t="s">
        <v>1586</v>
      </c>
      <c r="B207" s="2" t="s">
        <v>184</v>
      </c>
      <c r="C207" s="2" t="s">
        <v>1289</v>
      </c>
      <c r="D207" s="2" t="s">
        <v>48</v>
      </c>
      <c r="E207" s="2" t="s">
        <v>1185</v>
      </c>
      <c r="F207" s="2" t="s">
        <v>1186</v>
      </c>
      <c r="G207" s="2" t="s">
        <v>1587</v>
      </c>
    </row>
    <row r="208" customFormat="false" ht="15" hidden="false" customHeight="false" outlineLevel="0" collapsed="false">
      <c r="A208" s="2" t="s">
        <v>1588</v>
      </c>
      <c r="B208" s="2" t="s">
        <v>184</v>
      </c>
      <c r="C208" s="2" t="s">
        <v>1289</v>
      </c>
      <c r="D208" s="2" t="s">
        <v>48</v>
      </c>
      <c r="E208" s="2" t="s">
        <v>1185</v>
      </c>
      <c r="F208" s="2" t="s">
        <v>1186</v>
      </c>
      <c r="G208" s="2" t="s">
        <v>1589</v>
      </c>
    </row>
    <row r="209" customFormat="false" ht="15" hidden="false" customHeight="false" outlineLevel="0" collapsed="false">
      <c r="A209" s="2" t="s">
        <v>1590</v>
      </c>
      <c r="B209" s="2" t="s">
        <v>184</v>
      </c>
      <c r="C209" s="2" t="s">
        <v>1289</v>
      </c>
      <c r="D209" s="2" t="s">
        <v>48</v>
      </c>
      <c r="E209" s="2" t="s">
        <v>1185</v>
      </c>
      <c r="F209" s="2" t="s">
        <v>1186</v>
      </c>
      <c r="G209" s="2" t="s">
        <v>1591</v>
      </c>
    </row>
    <row r="210" customFormat="false" ht="15" hidden="false" customHeight="false" outlineLevel="0" collapsed="false">
      <c r="A210" s="2" t="s">
        <v>1592</v>
      </c>
      <c r="B210" s="2" t="s">
        <v>184</v>
      </c>
      <c r="C210" s="2" t="s">
        <v>1289</v>
      </c>
      <c r="D210" s="2" t="s">
        <v>48</v>
      </c>
      <c r="E210" s="2" t="s">
        <v>1185</v>
      </c>
      <c r="F210" s="2" t="s">
        <v>1186</v>
      </c>
      <c r="G210" s="2" t="s">
        <v>1593</v>
      </c>
    </row>
    <row r="211" customFormat="false" ht="15" hidden="false" customHeight="false" outlineLevel="0" collapsed="false">
      <c r="A211" s="2" t="s">
        <v>1594</v>
      </c>
      <c r="B211" s="2" t="s">
        <v>184</v>
      </c>
      <c r="C211" s="2" t="s">
        <v>1289</v>
      </c>
      <c r="D211" s="2" t="s">
        <v>48</v>
      </c>
      <c r="E211" s="2" t="s">
        <v>1185</v>
      </c>
      <c r="F211" s="2" t="s">
        <v>1186</v>
      </c>
      <c r="G211" s="2" t="s">
        <v>1595</v>
      </c>
    </row>
    <row r="212" customFormat="false" ht="15" hidden="false" customHeight="false" outlineLevel="0" collapsed="false">
      <c r="A212" s="2" t="s">
        <v>1596</v>
      </c>
      <c r="B212" s="2" t="s">
        <v>184</v>
      </c>
      <c r="C212" s="2" t="s">
        <v>1289</v>
      </c>
      <c r="D212" s="2" t="s">
        <v>48</v>
      </c>
      <c r="E212" s="2" t="s">
        <v>1185</v>
      </c>
      <c r="F212" s="2" t="s">
        <v>1186</v>
      </c>
      <c r="G212" s="2" t="s">
        <v>1597</v>
      </c>
    </row>
    <row r="213" customFormat="false" ht="15" hidden="false" customHeight="false" outlineLevel="0" collapsed="false">
      <c r="A213" s="2" t="s">
        <v>1598</v>
      </c>
      <c r="B213" s="2" t="s">
        <v>184</v>
      </c>
      <c r="C213" s="2" t="s">
        <v>1289</v>
      </c>
      <c r="D213" s="2" t="s">
        <v>48</v>
      </c>
      <c r="E213" s="2" t="s">
        <v>1185</v>
      </c>
      <c r="F213" s="2" t="s">
        <v>1186</v>
      </c>
      <c r="G213" s="2" t="s">
        <v>1599</v>
      </c>
    </row>
    <row r="214" customFormat="false" ht="15" hidden="false" customHeight="false" outlineLevel="0" collapsed="false">
      <c r="A214" s="2" t="s">
        <v>1600</v>
      </c>
      <c r="B214" s="2" t="s">
        <v>184</v>
      </c>
      <c r="C214" s="2" t="s">
        <v>1289</v>
      </c>
      <c r="D214" s="2" t="s">
        <v>48</v>
      </c>
      <c r="E214" s="2" t="s">
        <v>1185</v>
      </c>
      <c r="F214" s="2" t="s">
        <v>1186</v>
      </c>
      <c r="G214" s="2" t="s">
        <v>1601</v>
      </c>
    </row>
    <row r="215" customFormat="false" ht="15" hidden="false" customHeight="false" outlineLevel="0" collapsed="false">
      <c r="A215" s="2" t="s">
        <v>1602</v>
      </c>
      <c r="B215" s="2" t="s">
        <v>184</v>
      </c>
      <c r="C215" s="2" t="s">
        <v>1289</v>
      </c>
      <c r="D215" s="2" t="s">
        <v>48</v>
      </c>
      <c r="E215" s="2" t="s">
        <v>1185</v>
      </c>
      <c r="F215" s="2" t="s">
        <v>1186</v>
      </c>
      <c r="G215" s="2" t="s">
        <v>1603</v>
      </c>
    </row>
    <row r="216" customFormat="false" ht="15" hidden="false" customHeight="false" outlineLevel="0" collapsed="false">
      <c r="A216" s="2" t="s">
        <v>1604</v>
      </c>
      <c r="B216" s="2" t="s">
        <v>184</v>
      </c>
      <c r="C216" s="2" t="s">
        <v>1289</v>
      </c>
      <c r="D216" s="2" t="s">
        <v>48</v>
      </c>
      <c r="E216" s="2" t="s">
        <v>1185</v>
      </c>
      <c r="F216" s="2" t="s">
        <v>1186</v>
      </c>
      <c r="G216" s="2" t="s">
        <v>1605</v>
      </c>
    </row>
    <row r="217" customFormat="false" ht="15" hidden="false" customHeight="false" outlineLevel="0" collapsed="false">
      <c r="A217" s="2" t="s">
        <v>1606</v>
      </c>
      <c r="B217" s="2" t="s">
        <v>184</v>
      </c>
      <c r="C217" s="2" t="s">
        <v>1289</v>
      </c>
      <c r="D217" s="2" t="s">
        <v>48</v>
      </c>
      <c r="E217" s="2" t="s">
        <v>1185</v>
      </c>
      <c r="F217" s="2" t="s">
        <v>1186</v>
      </c>
      <c r="G217" s="2" t="s">
        <v>1375</v>
      </c>
    </row>
    <row r="218" customFormat="false" ht="15" hidden="false" customHeight="false" outlineLevel="0" collapsed="false">
      <c r="A218" s="2" t="s">
        <v>1607</v>
      </c>
      <c r="B218" s="2" t="s">
        <v>184</v>
      </c>
      <c r="C218" s="2" t="s">
        <v>1289</v>
      </c>
      <c r="D218" s="2" t="s">
        <v>48</v>
      </c>
      <c r="E218" s="2" t="s">
        <v>1185</v>
      </c>
      <c r="F218" s="2" t="s">
        <v>1186</v>
      </c>
      <c r="G218" s="2" t="s">
        <v>1608</v>
      </c>
    </row>
    <row r="219" customFormat="false" ht="15" hidden="false" customHeight="false" outlineLevel="0" collapsed="false">
      <c r="A219" s="2" t="s">
        <v>1609</v>
      </c>
      <c r="B219" s="2" t="s">
        <v>184</v>
      </c>
      <c r="C219" s="2" t="s">
        <v>1289</v>
      </c>
      <c r="D219" s="2" t="s">
        <v>48</v>
      </c>
      <c r="E219" s="2" t="s">
        <v>1185</v>
      </c>
      <c r="F219" s="2" t="s">
        <v>1186</v>
      </c>
      <c r="G219" s="2" t="s">
        <v>1610</v>
      </c>
    </row>
    <row r="220" customFormat="false" ht="15" hidden="false" customHeight="false" outlineLevel="0" collapsed="false">
      <c r="A220" s="2" t="s">
        <v>1611</v>
      </c>
      <c r="B220" s="2" t="s">
        <v>184</v>
      </c>
      <c r="C220" s="2" t="s">
        <v>1289</v>
      </c>
      <c r="D220" s="2" t="s">
        <v>48</v>
      </c>
      <c r="E220" s="2" t="s">
        <v>1185</v>
      </c>
      <c r="F220" s="2" t="s">
        <v>1186</v>
      </c>
      <c r="G220" s="2" t="s">
        <v>1612</v>
      </c>
    </row>
    <row r="221" customFormat="false" ht="15" hidden="false" customHeight="false" outlineLevel="0" collapsed="false">
      <c r="A221" s="2" t="s">
        <v>1613</v>
      </c>
      <c r="B221" s="2" t="s">
        <v>184</v>
      </c>
      <c r="C221" s="2" t="s">
        <v>1289</v>
      </c>
      <c r="D221" s="2" t="s">
        <v>48</v>
      </c>
      <c r="E221" s="2" t="s">
        <v>1185</v>
      </c>
      <c r="F221" s="2" t="s">
        <v>1186</v>
      </c>
      <c r="G221" s="2" t="s">
        <v>1614</v>
      </c>
    </row>
    <row r="222" customFormat="false" ht="15" hidden="false" customHeight="false" outlineLevel="0" collapsed="false">
      <c r="A222" s="2" t="s">
        <v>1615</v>
      </c>
      <c r="B222" s="2" t="s">
        <v>184</v>
      </c>
      <c r="C222" s="2" t="s">
        <v>1289</v>
      </c>
      <c r="D222" s="2" t="s">
        <v>48</v>
      </c>
      <c r="E222" s="2" t="s">
        <v>1185</v>
      </c>
      <c r="F222" s="2" t="s">
        <v>1186</v>
      </c>
      <c r="G222" s="2" t="s">
        <v>1616</v>
      </c>
    </row>
    <row r="223" customFormat="false" ht="15" hidden="false" customHeight="false" outlineLevel="0" collapsed="false">
      <c r="A223" s="2" t="s">
        <v>1617</v>
      </c>
      <c r="B223" s="2" t="s">
        <v>184</v>
      </c>
      <c r="C223" s="2" t="s">
        <v>1289</v>
      </c>
      <c r="D223" s="2" t="s">
        <v>48</v>
      </c>
      <c r="E223" s="2" t="s">
        <v>1185</v>
      </c>
      <c r="F223" s="2" t="s">
        <v>1186</v>
      </c>
      <c r="G223" s="2" t="s">
        <v>1618</v>
      </c>
    </row>
    <row r="224" customFormat="false" ht="15" hidden="false" customHeight="false" outlineLevel="0" collapsed="false">
      <c r="A224" s="2" t="s">
        <v>1619</v>
      </c>
      <c r="B224" s="2" t="s">
        <v>184</v>
      </c>
      <c r="C224" s="2" t="s">
        <v>1289</v>
      </c>
      <c r="D224" s="2" t="s">
        <v>48</v>
      </c>
      <c r="E224" s="2" t="s">
        <v>1185</v>
      </c>
      <c r="F224" s="2" t="s">
        <v>1186</v>
      </c>
      <c r="G224" s="2" t="s">
        <v>1620</v>
      </c>
    </row>
    <row r="225" customFormat="false" ht="15" hidden="false" customHeight="false" outlineLevel="0" collapsed="false">
      <c r="A225" s="2" t="s">
        <v>1621</v>
      </c>
      <c r="B225" s="2" t="s">
        <v>184</v>
      </c>
      <c r="C225" s="2" t="s">
        <v>1289</v>
      </c>
      <c r="D225" s="2" t="s">
        <v>48</v>
      </c>
      <c r="E225" s="2" t="s">
        <v>1185</v>
      </c>
      <c r="F225" s="2" t="s">
        <v>1186</v>
      </c>
      <c r="G225" s="2" t="s">
        <v>1622</v>
      </c>
    </row>
    <row r="226" customFormat="false" ht="15" hidden="false" customHeight="false" outlineLevel="0" collapsed="false">
      <c r="A226" s="2" t="s">
        <v>1623</v>
      </c>
      <c r="B226" s="2" t="s">
        <v>184</v>
      </c>
      <c r="C226" s="2" t="s">
        <v>1289</v>
      </c>
      <c r="D226" s="2" t="s">
        <v>48</v>
      </c>
      <c r="E226" s="2" t="s">
        <v>1185</v>
      </c>
      <c r="F226" s="2" t="s">
        <v>1186</v>
      </c>
      <c r="G226" s="2" t="s">
        <v>1624</v>
      </c>
    </row>
    <row r="227" customFormat="false" ht="15" hidden="false" customHeight="false" outlineLevel="0" collapsed="false">
      <c r="A227" s="2" t="s">
        <v>1625</v>
      </c>
      <c r="B227" s="2" t="s">
        <v>184</v>
      </c>
      <c r="C227" s="2" t="s">
        <v>1289</v>
      </c>
      <c r="D227" s="2" t="s">
        <v>48</v>
      </c>
      <c r="E227" s="2" t="s">
        <v>1185</v>
      </c>
      <c r="F227" s="2" t="s">
        <v>1186</v>
      </c>
      <c r="G227" s="2" t="s">
        <v>1626</v>
      </c>
    </row>
    <row r="228" customFormat="false" ht="15" hidden="false" customHeight="false" outlineLevel="0" collapsed="false">
      <c r="A228" s="2" t="s">
        <v>1627</v>
      </c>
      <c r="B228" s="2" t="s">
        <v>184</v>
      </c>
      <c r="C228" s="2" t="s">
        <v>1289</v>
      </c>
      <c r="D228" s="2" t="s">
        <v>48</v>
      </c>
      <c r="E228" s="2" t="s">
        <v>1185</v>
      </c>
      <c r="F228" s="2" t="s">
        <v>1186</v>
      </c>
      <c r="G228" s="2" t="s">
        <v>1628</v>
      </c>
    </row>
    <row r="229" customFormat="false" ht="15" hidden="false" customHeight="false" outlineLevel="0" collapsed="false">
      <c r="A229" s="2" t="s">
        <v>1629</v>
      </c>
      <c r="B229" s="2" t="s">
        <v>184</v>
      </c>
      <c r="C229" s="2" t="s">
        <v>1289</v>
      </c>
      <c r="D229" s="2" t="s">
        <v>48</v>
      </c>
      <c r="E229" s="2" t="s">
        <v>1185</v>
      </c>
      <c r="F229" s="2" t="s">
        <v>1186</v>
      </c>
      <c r="G229" s="2" t="s">
        <v>1385</v>
      </c>
    </row>
    <row r="230" customFormat="false" ht="15" hidden="false" customHeight="false" outlineLevel="0" collapsed="false">
      <c r="A230" s="2" t="s">
        <v>1630</v>
      </c>
      <c r="B230" s="2" t="s">
        <v>184</v>
      </c>
      <c r="C230" s="2" t="s">
        <v>1289</v>
      </c>
      <c r="D230" s="2" t="s">
        <v>48</v>
      </c>
      <c r="E230" s="2" t="s">
        <v>1185</v>
      </c>
      <c r="F230" s="2" t="s">
        <v>1186</v>
      </c>
      <c r="G230" s="2" t="s">
        <v>1631</v>
      </c>
    </row>
    <row r="231" customFormat="false" ht="15" hidden="false" customHeight="false" outlineLevel="0" collapsed="false">
      <c r="A231" s="2" t="s">
        <v>1632</v>
      </c>
      <c r="B231" s="2" t="s">
        <v>184</v>
      </c>
      <c r="C231" s="2" t="s">
        <v>1289</v>
      </c>
      <c r="D231" s="2" t="s">
        <v>48</v>
      </c>
      <c r="E231" s="2" t="s">
        <v>1185</v>
      </c>
      <c r="F231" s="2" t="s">
        <v>1186</v>
      </c>
      <c r="G231" s="2" t="s">
        <v>1633</v>
      </c>
    </row>
    <row r="232" customFormat="false" ht="15" hidden="false" customHeight="false" outlineLevel="0" collapsed="false">
      <c r="A232" s="2" t="s">
        <v>1634</v>
      </c>
      <c r="B232" s="2" t="s">
        <v>184</v>
      </c>
      <c r="C232" s="2" t="s">
        <v>1289</v>
      </c>
      <c r="D232" s="2" t="s">
        <v>48</v>
      </c>
      <c r="E232" s="2" t="s">
        <v>1185</v>
      </c>
      <c r="F232" s="2" t="s">
        <v>1186</v>
      </c>
      <c r="G232" s="2" t="s">
        <v>1635</v>
      </c>
    </row>
    <row r="233" customFormat="false" ht="15" hidden="false" customHeight="false" outlineLevel="0" collapsed="false">
      <c r="A233" s="2" t="s">
        <v>1636</v>
      </c>
      <c r="B233" s="2" t="s">
        <v>184</v>
      </c>
      <c r="C233" s="2" t="s">
        <v>1289</v>
      </c>
      <c r="D233" s="2" t="s">
        <v>48</v>
      </c>
      <c r="E233" s="2" t="s">
        <v>1185</v>
      </c>
      <c r="F233" s="2" t="s">
        <v>1186</v>
      </c>
      <c r="G233" s="2" t="s">
        <v>1637</v>
      </c>
    </row>
    <row r="234" customFormat="false" ht="15" hidden="false" customHeight="false" outlineLevel="0" collapsed="false">
      <c r="A234" s="2" t="s">
        <v>1638</v>
      </c>
      <c r="B234" s="2" t="s">
        <v>184</v>
      </c>
      <c r="C234" s="2" t="s">
        <v>1289</v>
      </c>
      <c r="D234" s="2" t="s">
        <v>48</v>
      </c>
      <c r="E234" s="2" t="s">
        <v>1185</v>
      </c>
      <c r="F234" s="2" t="s">
        <v>1186</v>
      </c>
      <c r="G234" s="2" t="s">
        <v>1639</v>
      </c>
    </row>
    <row r="235" customFormat="false" ht="15" hidden="false" customHeight="false" outlineLevel="0" collapsed="false">
      <c r="A235" s="2" t="s">
        <v>1640</v>
      </c>
      <c r="B235" s="2" t="s">
        <v>184</v>
      </c>
      <c r="C235" s="2" t="s">
        <v>1289</v>
      </c>
      <c r="D235" s="2" t="s">
        <v>48</v>
      </c>
      <c r="E235" s="2" t="s">
        <v>1185</v>
      </c>
      <c r="F235" s="2" t="s">
        <v>1186</v>
      </c>
      <c r="G235" s="2" t="s">
        <v>1641</v>
      </c>
    </row>
    <row r="236" customFormat="false" ht="15" hidden="false" customHeight="false" outlineLevel="0" collapsed="false">
      <c r="A236" s="2" t="s">
        <v>1642</v>
      </c>
      <c r="B236" s="2" t="s">
        <v>184</v>
      </c>
      <c r="C236" s="2" t="s">
        <v>1289</v>
      </c>
      <c r="D236" s="2" t="s">
        <v>48</v>
      </c>
      <c r="E236" s="2" t="s">
        <v>1185</v>
      </c>
      <c r="F236" s="2" t="s">
        <v>1186</v>
      </c>
      <c r="G236" s="2" t="s">
        <v>1643</v>
      </c>
    </row>
    <row r="237" customFormat="false" ht="15" hidden="false" customHeight="false" outlineLevel="0" collapsed="false">
      <c r="A237" s="2" t="s">
        <v>1644</v>
      </c>
      <c r="B237" s="2" t="s">
        <v>184</v>
      </c>
      <c r="C237" s="2" t="s">
        <v>1289</v>
      </c>
      <c r="D237" s="2" t="s">
        <v>48</v>
      </c>
      <c r="E237" s="2" t="s">
        <v>1185</v>
      </c>
      <c r="F237" s="2" t="s">
        <v>1186</v>
      </c>
      <c r="G237" s="2" t="s">
        <v>1645</v>
      </c>
    </row>
    <row r="238" customFormat="false" ht="15" hidden="false" customHeight="false" outlineLevel="0" collapsed="false">
      <c r="A238" s="2" t="s">
        <v>1646</v>
      </c>
      <c r="B238" s="2" t="s">
        <v>184</v>
      </c>
      <c r="C238" s="2" t="s">
        <v>1289</v>
      </c>
      <c r="D238" s="2" t="s">
        <v>48</v>
      </c>
      <c r="E238" s="2" t="s">
        <v>1185</v>
      </c>
      <c r="F238" s="2" t="s">
        <v>1186</v>
      </c>
      <c r="G238" s="2" t="s">
        <v>1645</v>
      </c>
    </row>
    <row r="239" customFormat="false" ht="15" hidden="false" customHeight="false" outlineLevel="0" collapsed="false">
      <c r="A239" s="2" t="s">
        <v>1647</v>
      </c>
      <c r="B239" s="2" t="s">
        <v>184</v>
      </c>
      <c r="C239" s="2" t="s">
        <v>1289</v>
      </c>
      <c r="D239" s="2" t="s">
        <v>48</v>
      </c>
      <c r="E239" s="2" t="s">
        <v>1185</v>
      </c>
      <c r="F239" s="2" t="s">
        <v>1186</v>
      </c>
      <c r="G239" s="2" t="s">
        <v>1648</v>
      </c>
    </row>
    <row r="240" customFormat="false" ht="15" hidden="false" customHeight="false" outlineLevel="0" collapsed="false">
      <c r="A240" s="2" t="s">
        <v>1649</v>
      </c>
      <c r="B240" s="2" t="s">
        <v>184</v>
      </c>
      <c r="C240" s="2" t="s">
        <v>1289</v>
      </c>
      <c r="D240" s="2" t="s">
        <v>48</v>
      </c>
      <c r="E240" s="2" t="s">
        <v>1185</v>
      </c>
      <c r="F240" s="2" t="s">
        <v>1186</v>
      </c>
      <c r="G240" s="2" t="s">
        <v>1650</v>
      </c>
    </row>
    <row r="241" customFormat="false" ht="15" hidden="false" customHeight="false" outlineLevel="0" collapsed="false">
      <c r="A241" s="2" t="s">
        <v>1651</v>
      </c>
      <c r="B241" s="2" t="s">
        <v>184</v>
      </c>
      <c r="C241" s="2" t="s">
        <v>1289</v>
      </c>
      <c r="D241" s="2" t="s">
        <v>48</v>
      </c>
      <c r="E241" s="2" t="s">
        <v>1185</v>
      </c>
      <c r="F241" s="2" t="s">
        <v>1186</v>
      </c>
      <c r="G241" s="2" t="s">
        <v>1652</v>
      </c>
    </row>
    <row r="242" customFormat="false" ht="15" hidden="false" customHeight="false" outlineLevel="0" collapsed="false">
      <c r="A242" s="2" t="s">
        <v>1653</v>
      </c>
      <c r="B242" s="2" t="s">
        <v>184</v>
      </c>
      <c r="C242" s="2" t="s">
        <v>1289</v>
      </c>
      <c r="D242" s="2" t="s">
        <v>48</v>
      </c>
      <c r="E242" s="2" t="s">
        <v>1185</v>
      </c>
      <c r="F242" s="2" t="s">
        <v>1186</v>
      </c>
      <c r="G242" s="2" t="s">
        <v>1405</v>
      </c>
    </row>
    <row r="243" customFormat="false" ht="15" hidden="false" customHeight="false" outlineLevel="0" collapsed="false">
      <c r="A243" s="2" t="s">
        <v>1654</v>
      </c>
      <c r="B243" s="2" t="s">
        <v>184</v>
      </c>
      <c r="C243" s="2" t="s">
        <v>1289</v>
      </c>
      <c r="D243" s="2" t="s">
        <v>48</v>
      </c>
      <c r="E243" s="2" t="s">
        <v>1185</v>
      </c>
      <c r="F243" s="2" t="s">
        <v>1186</v>
      </c>
      <c r="G243" s="2" t="s">
        <v>1655</v>
      </c>
    </row>
    <row r="244" customFormat="false" ht="15" hidden="false" customHeight="false" outlineLevel="0" collapsed="false">
      <c r="A244" s="2" t="s">
        <v>1656</v>
      </c>
      <c r="B244" s="2" t="s">
        <v>184</v>
      </c>
      <c r="C244" s="2" t="s">
        <v>1289</v>
      </c>
      <c r="D244" s="2" t="s">
        <v>48</v>
      </c>
      <c r="E244" s="2" t="s">
        <v>1185</v>
      </c>
      <c r="F244" s="2" t="s">
        <v>1186</v>
      </c>
      <c r="G244" s="2" t="s">
        <v>1657</v>
      </c>
    </row>
    <row r="245" customFormat="false" ht="15" hidden="false" customHeight="false" outlineLevel="0" collapsed="false">
      <c r="A245" s="2" t="s">
        <v>1658</v>
      </c>
      <c r="B245" s="2" t="s">
        <v>184</v>
      </c>
      <c r="C245" s="2" t="s">
        <v>1289</v>
      </c>
      <c r="D245" s="2" t="s">
        <v>48</v>
      </c>
      <c r="E245" s="2" t="s">
        <v>1185</v>
      </c>
      <c r="F245" s="2" t="s">
        <v>1186</v>
      </c>
      <c r="G245" s="2" t="s">
        <v>1401</v>
      </c>
    </row>
    <row r="246" customFormat="false" ht="15" hidden="false" customHeight="false" outlineLevel="0" collapsed="false">
      <c r="A246" s="2" t="s">
        <v>1659</v>
      </c>
      <c r="B246" s="2" t="s">
        <v>184</v>
      </c>
      <c r="C246" s="2" t="s">
        <v>1289</v>
      </c>
      <c r="D246" s="2" t="s">
        <v>48</v>
      </c>
      <c r="E246" s="2" t="s">
        <v>1185</v>
      </c>
      <c r="F246" s="2" t="s">
        <v>1186</v>
      </c>
      <c r="G246" s="2" t="s">
        <v>1660</v>
      </c>
    </row>
    <row r="247" customFormat="false" ht="15" hidden="false" customHeight="false" outlineLevel="0" collapsed="false">
      <c r="A247" s="2" t="s">
        <v>1661</v>
      </c>
      <c r="B247" s="2" t="s">
        <v>184</v>
      </c>
      <c r="C247" s="2" t="s">
        <v>1289</v>
      </c>
      <c r="D247" s="2" t="s">
        <v>48</v>
      </c>
      <c r="E247" s="2" t="s">
        <v>1185</v>
      </c>
      <c r="F247" s="2" t="s">
        <v>1186</v>
      </c>
      <c r="G247" s="2" t="s">
        <v>1662</v>
      </c>
    </row>
    <row r="248" customFormat="false" ht="15" hidden="false" customHeight="false" outlineLevel="0" collapsed="false">
      <c r="A248" s="2" t="s">
        <v>1663</v>
      </c>
      <c r="B248" s="2" t="s">
        <v>184</v>
      </c>
      <c r="C248" s="2" t="s">
        <v>1289</v>
      </c>
      <c r="D248" s="2" t="s">
        <v>48</v>
      </c>
      <c r="E248" s="2" t="s">
        <v>1185</v>
      </c>
      <c r="F248" s="2" t="s">
        <v>1186</v>
      </c>
      <c r="G248" s="2" t="s">
        <v>1664</v>
      </c>
    </row>
    <row r="249" customFormat="false" ht="15" hidden="false" customHeight="false" outlineLevel="0" collapsed="false">
      <c r="A249" s="2" t="s">
        <v>1665</v>
      </c>
      <c r="B249" s="2" t="s">
        <v>184</v>
      </c>
      <c r="C249" s="2" t="s">
        <v>1289</v>
      </c>
      <c r="D249" s="2" t="s">
        <v>48</v>
      </c>
      <c r="E249" s="2" t="s">
        <v>1185</v>
      </c>
      <c r="F249" s="2" t="s">
        <v>1186</v>
      </c>
      <c r="G249" s="2" t="s">
        <v>1666</v>
      </c>
    </row>
    <row r="250" customFormat="false" ht="15" hidden="false" customHeight="false" outlineLevel="0" collapsed="false">
      <c r="A250" s="2" t="s">
        <v>1667</v>
      </c>
      <c r="B250" s="2" t="s">
        <v>184</v>
      </c>
      <c r="C250" s="2" t="s">
        <v>1289</v>
      </c>
      <c r="D250" s="2" t="s">
        <v>48</v>
      </c>
      <c r="E250" s="2" t="s">
        <v>1185</v>
      </c>
      <c r="F250" s="2" t="s">
        <v>1186</v>
      </c>
      <c r="G250" s="2" t="s">
        <v>1668</v>
      </c>
    </row>
    <row r="251" customFormat="false" ht="15" hidden="false" customHeight="false" outlineLevel="0" collapsed="false">
      <c r="A251" s="2" t="s">
        <v>1669</v>
      </c>
      <c r="B251" s="2" t="s">
        <v>184</v>
      </c>
      <c r="C251" s="2" t="s">
        <v>1289</v>
      </c>
      <c r="D251" s="2" t="s">
        <v>48</v>
      </c>
      <c r="E251" s="2" t="s">
        <v>1185</v>
      </c>
      <c r="F251" s="2" t="s">
        <v>1186</v>
      </c>
      <c r="G251" s="2" t="s">
        <v>1670</v>
      </c>
    </row>
    <row r="252" customFormat="false" ht="15" hidden="false" customHeight="false" outlineLevel="0" collapsed="false">
      <c r="A252" s="2" t="s">
        <v>1671</v>
      </c>
      <c r="B252" s="2" t="s">
        <v>184</v>
      </c>
      <c r="C252" s="2" t="s">
        <v>1289</v>
      </c>
      <c r="D252" s="2" t="s">
        <v>48</v>
      </c>
      <c r="E252" s="2" t="s">
        <v>1185</v>
      </c>
      <c r="F252" s="2" t="s">
        <v>1186</v>
      </c>
      <c r="G252" s="2" t="s">
        <v>1672</v>
      </c>
    </row>
    <row r="253" customFormat="false" ht="15" hidden="false" customHeight="false" outlineLevel="0" collapsed="false">
      <c r="A253" s="2" t="s">
        <v>1673</v>
      </c>
      <c r="B253" s="2" t="s">
        <v>184</v>
      </c>
      <c r="C253" s="2" t="s">
        <v>1289</v>
      </c>
      <c r="D253" s="2" t="s">
        <v>48</v>
      </c>
      <c r="E253" s="2" t="s">
        <v>1185</v>
      </c>
      <c r="F253" s="2" t="s">
        <v>1186</v>
      </c>
      <c r="G253" s="2" t="s">
        <v>1674</v>
      </c>
    </row>
    <row r="254" customFormat="false" ht="15" hidden="false" customHeight="false" outlineLevel="0" collapsed="false">
      <c r="A254" s="2" t="s">
        <v>1675</v>
      </c>
      <c r="B254" s="2" t="s">
        <v>184</v>
      </c>
      <c r="C254" s="2" t="s">
        <v>1289</v>
      </c>
      <c r="D254" s="2" t="s">
        <v>48</v>
      </c>
      <c r="E254" s="2" t="s">
        <v>1185</v>
      </c>
      <c r="F254" s="2" t="s">
        <v>1186</v>
      </c>
      <c r="G254" s="2" t="s">
        <v>1676</v>
      </c>
    </row>
    <row r="255" customFormat="false" ht="15" hidden="false" customHeight="false" outlineLevel="0" collapsed="false">
      <c r="A255" s="2" t="s">
        <v>1677</v>
      </c>
      <c r="B255" s="2" t="s">
        <v>184</v>
      </c>
      <c r="C255" s="2" t="s">
        <v>1289</v>
      </c>
      <c r="D255" s="2" t="s">
        <v>48</v>
      </c>
      <c r="E255" s="2" t="s">
        <v>1185</v>
      </c>
      <c r="F255" s="2" t="s">
        <v>1186</v>
      </c>
      <c r="G255" s="2" t="s">
        <v>1678</v>
      </c>
    </row>
    <row r="256" customFormat="false" ht="15" hidden="false" customHeight="false" outlineLevel="0" collapsed="false">
      <c r="A256" s="2" t="s">
        <v>1679</v>
      </c>
      <c r="B256" s="2" t="s">
        <v>184</v>
      </c>
      <c r="C256" s="2" t="s">
        <v>1289</v>
      </c>
      <c r="D256" s="2" t="s">
        <v>48</v>
      </c>
      <c r="E256" s="2" t="s">
        <v>1185</v>
      </c>
      <c r="F256" s="2" t="s">
        <v>1186</v>
      </c>
      <c r="G256" s="2" t="s">
        <v>1680</v>
      </c>
    </row>
    <row r="257" customFormat="false" ht="15" hidden="false" customHeight="false" outlineLevel="0" collapsed="false">
      <c r="A257" s="2" t="s">
        <v>1681</v>
      </c>
      <c r="B257" s="2" t="s">
        <v>184</v>
      </c>
      <c r="C257" s="2" t="s">
        <v>1289</v>
      </c>
      <c r="D257" s="2" t="s">
        <v>48</v>
      </c>
      <c r="E257" s="2" t="s">
        <v>1185</v>
      </c>
      <c r="F257" s="2" t="s">
        <v>1186</v>
      </c>
      <c r="G257" s="2" t="s">
        <v>1682</v>
      </c>
    </row>
    <row r="258" customFormat="false" ht="15" hidden="false" customHeight="false" outlineLevel="0" collapsed="false">
      <c r="A258" s="2" t="s">
        <v>1683</v>
      </c>
      <c r="B258" s="2" t="s">
        <v>184</v>
      </c>
      <c r="C258" s="2" t="s">
        <v>1289</v>
      </c>
      <c r="D258" s="2" t="s">
        <v>48</v>
      </c>
      <c r="E258" s="2" t="s">
        <v>1185</v>
      </c>
      <c r="F258" s="2" t="s">
        <v>1186</v>
      </c>
      <c r="G258" s="2" t="s">
        <v>1684</v>
      </c>
    </row>
    <row r="259" customFormat="false" ht="15" hidden="false" customHeight="false" outlineLevel="0" collapsed="false">
      <c r="A259" s="2" t="s">
        <v>1685</v>
      </c>
      <c r="B259" s="2" t="s">
        <v>184</v>
      </c>
      <c r="C259" s="2" t="s">
        <v>1289</v>
      </c>
      <c r="D259" s="2" t="s">
        <v>48</v>
      </c>
      <c r="E259" s="2" t="s">
        <v>1185</v>
      </c>
      <c r="F259" s="2" t="s">
        <v>1186</v>
      </c>
      <c r="G259" s="2" t="s">
        <v>1686</v>
      </c>
    </row>
    <row r="260" customFormat="false" ht="15" hidden="false" customHeight="false" outlineLevel="0" collapsed="false">
      <c r="A260" s="2" t="s">
        <v>1687</v>
      </c>
      <c r="B260" s="2" t="s">
        <v>184</v>
      </c>
      <c r="C260" s="2" t="s">
        <v>1289</v>
      </c>
      <c r="D260" s="2" t="s">
        <v>48</v>
      </c>
      <c r="E260" s="2" t="s">
        <v>1185</v>
      </c>
      <c r="F260" s="2" t="s">
        <v>1186</v>
      </c>
      <c r="G260" s="2" t="s">
        <v>1688</v>
      </c>
    </row>
    <row r="261" customFormat="false" ht="15" hidden="false" customHeight="false" outlineLevel="0" collapsed="false">
      <c r="A261" s="2" t="s">
        <v>1689</v>
      </c>
      <c r="B261" s="2" t="s">
        <v>184</v>
      </c>
      <c r="C261" s="2" t="s">
        <v>1289</v>
      </c>
      <c r="D261" s="2" t="s">
        <v>48</v>
      </c>
      <c r="E261" s="2" t="s">
        <v>1185</v>
      </c>
      <c r="F261" s="2" t="s">
        <v>1186</v>
      </c>
      <c r="G261" s="2" t="s">
        <v>1690</v>
      </c>
    </row>
    <row r="262" customFormat="false" ht="15" hidden="false" customHeight="false" outlineLevel="0" collapsed="false">
      <c r="A262" s="2" t="s">
        <v>1691</v>
      </c>
      <c r="B262" s="2" t="s">
        <v>184</v>
      </c>
      <c r="C262" s="2" t="s">
        <v>1289</v>
      </c>
      <c r="D262" s="2" t="s">
        <v>48</v>
      </c>
      <c r="E262" s="2" t="s">
        <v>1185</v>
      </c>
      <c r="F262" s="2" t="s">
        <v>1186</v>
      </c>
      <c r="G262" s="2" t="s">
        <v>1692</v>
      </c>
    </row>
    <row r="263" customFormat="false" ht="15" hidden="false" customHeight="false" outlineLevel="0" collapsed="false">
      <c r="A263" s="2" t="s">
        <v>1693</v>
      </c>
      <c r="B263" s="2" t="s">
        <v>184</v>
      </c>
      <c r="C263" s="2" t="s">
        <v>1289</v>
      </c>
      <c r="D263" s="2" t="s">
        <v>48</v>
      </c>
      <c r="E263" s="2" t="s">
        <v>1185</v>
      </c>
      <c r="F263" s="2" t="s">
        <v>1186</v>
      </c>
      <c r="G263" s="2" t="s">
        <v>1694</v>
      </c>
    </row>
    <row r="264" customFormat="false" ht="15" hidden="false" customHeight="false" outlineLevel="0" collapsed="false">
      <c r="A264" s="2" t="s">
        <v>1695</v>
      </c>
      <c r="B264" s="2" t="s">
        <v>184</v>
      </c>
      <c r="C264" s="2" t="s">
        <v>1289</v>
      </c>
      <c r="D264" s="2" t="s">
        <v>48</v>
      </c>
      <c r="E264" s="2" t="s">
        <v>1185</v>
      </c>
      <c r="F264" s="2" t="s">
        <v>1186</v>
      </c>
      <c r="G264" s="2" t="s">
        <v>1696</v>
      </c>
    </row>
    <row r="265" customFormat="false" ht="15" hidden="false" customHeight="false" outlineLevel="0" collapsed="false">
      <c r="A265" s="2" t="s">
        <v>1697</v>
      </c>
      <c r="B265" s="2" t="s">
        <v>184</v>
      </c>
      <c r="C265" s="2" t="s">
        <v>1289</v>
      </c>
      <c r="D265" s="2" t="s">
        <v>48</v>
      </c>
      <c r="E265" s="2" t="s">
        <v>1185</v>
      </c>
      <c r="F265" s="2" t="s">
        <v>1186</v>
      </c>
      <c r="G265" s="2" t="s">
        <v>1698</v>
      </c>
    </row>
    <row r="266" customFormat="false" ht="15" hidden="false" customHeight="false" outlineLevel="0" collapsed="false">
      <c r="A266" s="2" t="s">
        <v>1699</v>
      </c>
      <c r="B266" s="2" t="s">
        <v>184</v>
      </c>
      <c r="C266" s="2" t="s">
        <v>1289</v>
      </c>
      <c r="D266" s="2" t="s">
        <v>48</v>
      </c>
      <c r="E266" s="2" t="s">
        <v>1185</v>
      </c>
      <c r="F266" s="2" t="s">
        <v>1186</v>
      </c>
      <c r="G266" s="2" t="s">
        <v>1700</v>
      </c>
    </row>
    <row r="267" customFormat="false" ht="15" hidden="false" customHeight="false" outlineLevel="0" collapsed="false">
      <c r="A267" s="2" t="s">
        <v>1701</v>
      </c>
      <c r="B267" s="2" t="s">
        <v>184</v>
      </c>
      <c r="C267" s="2" t="s">
        <v>1289</v>
      </c>
      <c r="D267" s="2" t="s">
        <v>48</v>
      </c>
      <c r="E267" s="2" t="s">
        <v>1185</v>
      </c>
      <c r="F267" s="2" t="s">
        <v>1186</v>
      </c>
      <c r="G267" s="2" t="s">
        <v>1397</v>
      </c>
    </row>
    <row r="268" customFormat="false" ht="15" hidden="false" customHeight="false" outlineLevel="0" collapsed="false">
      <c r="A268" s="2" t="s">
        <v>1702</v>
      </c>
      <c r="B268" s="2" t="s">
        <v>184</v>
      </c>
      <c r="C268" s="2" t="s">
        <v>1289</v>
      </c>
      <c r="D268" s="2" t="s">
        <v>48</v>
      </c>
      <c r="E268" s="2" t="s">
        <v>1185</v>
      </c>
      <c r="F268" s="2" t="s">
        <v>1186</v>
      </c>
      <c r="G268" s="2" t="s">
        <v>1703</v>
      </c>
    </row>
    <row r="269" customFormat="false" ht="15" hidden="false" customHeight="false" outlineLevel="0" collapsed="false">
      <c r="A269" s="2" t="s">
        <v>1704</v>
      </c>
      <c r="B269" s="2" t="s">
        <v>184</v>
      </c>
      <c r="C269" s="2" t="s">
        <v>1289</v>
      </c>
      <c r="D269" s="2" t="s">
        <v>48</v>
      </c>
      <c r="E269" s="2" t="s">
        <v>1185</v>
      </c>
      <c r="F269" s="2" t="s">
        <v>1186</v>
      </c>
      <c r="G269" s="2" t="s">
        <v>1705</v>
      </c>
    </row>
    <row r="270" customFormat="false" ht="15" hidden="false" customHeight="false" outlineLevel="0" collapsed="false">
      <c r="A270" s="2" t="s">
        <v>1706</v>
      </c>
      <c r="B270" s="2" t="s">
        <v>184</v>
      </c>
      <c r="C270" s="2" t="s">
        <v>1562</v>
      </c>
      <c r="D270" s="2" t="s">
        <v>49</v>
      </c>
      <c r="E270" s="2" t="s">
        <v>1563</v>
      </c>
      <c r="F270" s="2" t="s">
        <v>1186</v>
      </c>
      <c r="G270" s="2" t="s">
        <v>1707</v>
      </c>
    </row>
    <row r="271" customFormat="false" ht="15" hidden="false" customHeight="false" outlineLevel="0" collapsed="false">
      <c r="A271" s="2" t="s">
        <v>1708</v>
      </c>
      <c r="B271" s="2" t="s">
        <v>184</v>
      </c>
      <c r="C271" s="2" t="s">
        <v>1289</v>
      </c>
      <c r="D271" s="2" t="s">
        <v>48</v>
      </c>
      <c r="E271" s="2" t="s">
        <v>1185</v>
      </c>
      <c r="F271" s="2" t="s">
        <v>1186</v>
      </c>
      <c r="G271" s="2" t="s">
        <v>1709</v>
      </c>
    </row>
    <row r="272" customFormat="false" ht="15" hidden="false" customHeight="false" outlineLevel="0" collapsed="false">
      <c r="A272" s="2" t="s">
        <v>1710</v>
      </c>
      <c r="B272" s="2" t="s">
        <v>184</v>
      </c>
      <c r="C272" s="2" t="s">
        <v>1562</v>
      </c>
      <c r="D272" s="2" t="s">
        <v>49</v>
      </c>
      <c r="E272" s="2" t="s">
        <v>1563</v>
      </c>
      <c r="F272" s="2" t="s">
        <v>1186</v>
      </c>
      <c r="G272" s="2" t="s">
        <v>1711</v>
      </c>
    </row>
    <row r="273" customFormat="false" ht="15" hidden="false" customHeight="false" outlineLevel="0" collapsed="false">
      <c r="A273" s="2" t="s">
        <v>1712</v>
      </c>
      <c r="B273" s="2" t="s">
        <v>184</v>
      </c>
      <c r="C273" s="2" t="s">
        <v>1289</v>
      </c>
      <c r="D273" s="2" t="s">
        <v>48</v>
      </c>
      <c r="E273" s="2" t="s">
        <v>1185</v>
      </c>
      <c r="F273" s="2" t="s">
        <v>1186</v>
      </c>
      <c r="G273" s="2" t="s">
        <v>1713</v>
      </c>
    </row>
    <row r="274" customFormat="false" ht="15" hidden="false" customHeight="false" outlineLevel="0" collapsed="false">
      <c r="A274" s="2" t="s">
        <v>1714</v>
      </c>
      <c r="B274" s="2" t="s">
        <v>184</v>
      </c>
      <c r="C274" s="2" t="s">
        <v>1289</v>
      </c>
      <c r="D274" s="2" t="s">
        <v>48</v>
      </c>
      <c r="E274" s="2" t="s">
        <v>1185</v>
      </c>
      <c r="F274" s="2" t="s">
        <v>1186</v>
      </c>
      <c r="G274" s="2" t="s">
        <v>1715</v>
      </c>
    </row>
    <row r="275" customFormat="false" ht="15" hidden="false" customHeight="false" outlineLevel="0" collapsed="false">
      <c r="A275" s="2" t="s">
        <v>1716</v>
      </c>
      <c r="B275" s="2" t="s">
        <v>184</v>
      </c>
      <c r="C275" s="2" t="s">
        <v>1289</v>
      </c>
      <c r="D275" s="2" t="s">
        <v>48</v>
      </c>
      <c r="E275" s="2" t="s">
        <v>1185</v>
      </c>
      <c r="F275" s="2" t="s">
        <v>1186</v>
      </c>
      <c r="G275" s="2" t="s">
        <v>1717</v>
      </c>
    </row>
    <row r="276" customFormat="false" ht="15" hidden="false" customHeight="false" outlineLevel="0" collapsed="false">
      <c r="A276" s="2" t="s">
        <v>1718</v>
      </c>
      <c r="B276" s="2" t="s">
        <v>184</v>
      </c>
      <c r="C276" s="2" t="s">
        <v>1289</v>
      </c>
      <c r="D276" s="2" t="s">
        <v>48</v>
      </c>
      <c r="E276" s="2" t="s">
        <v>1185</v>
      </c>
      <c r="F276" s="2" t="s">
        <v>1186</v>
      </c>
      <c r="G276" s="2" t="s">
        <v>1719</v>
      </c>
    </row>
    <row r="277" customFormat="false" ht="15" hidden="false" customHeight="false" outlineLevel="0" collapsed="false">
      <c r="A277" s="2" t="s">
        <v>1720</v>
      </c>
      <c r="B277" s="2" t="s">
        <v>184</v>
      </c>
      <c r="C277" s="2" t="s">
        <v>1289</v>
      </c>
      <c r="D277" s="2" t="s">
        <v>48</v>
      </c>
      <c r="E277" s="2" t="s">
        <v>1185</v>
      </c>
      <c r="F277" s="2" t="s">
        <v>1186</v>
      </c>
      <c r="G277" s="2" t="s">
        <v>1721</v>
      </c>
    </row>
    <row r="278" customFormat="false" ht="15" hidden="false" customHeight="false" outlineLevel="0" collapsed="false">
      <c r="A278" s="2" t="s">
        <v>1722</v>
      </c>
      <c r="B278" s="2" t="s">
        <v>184</v>
      </c>
      <c r="C278" s="2" t="s">
        <v>1289</v>
      </c>
      <c r="D278" s="2" t="s">
        <v>48</v>
      </c>
      <c r="E278" s="2" t="s">
        <v>1185</v>
      </c>
      <c r="F278" s="2" t="s">
        <v>1186</v>
      </c>
      <c r="G278" s="2" t="s">
        <v>1723</v>
      </c>
    </row>
    <row r="279" customFormat="false" ht="15" hidden="false" customHeight="false" outlineLevel="0" collapsed="false">
      <c r="A279" s="2" t="s">
        <v>1724</v>
      </c>
      <c r="B279" s="2" t="s">
        <v>184</v>
      </c>
      <c r="C279" s="2" t="s">
        <v>1289</v>
      </c>
      <c r="D279" s="2" t="s">
        <v>48</v>
      </c>
      <c r="E279" s="2" t="s">
        <v>1185</v>
      </c>
      <c r="F279" s="2" t="s">
        <v>1186</v>
      </c>
      <c r="G279" s="2" t="s">
        <v>1725</v>
      </c>
    </row>
    <row r="280" customFormat="false" ht="15" hidden="false" customHeight="false" outlineLevel="0" collapsed="false">
      <c r="A280" s="2" t="s">
        <v>1726</v>
      </c>
      <c r="B280" s="2" t="s">
        <v>184</v>
      </c>
      <c r="C280" s="2" t="s">
        <v>1289</v>
      </c>
      <c r="D280" s="2" t="s">
        <v>48</v>
      </c>
      <c r="E280" s="2" t="s">
        <v>1185</v>
      </c>
      <c r="F280" s="2" t="s">
        <v>1186</v>
      </c>
      <c r="G280" s="2" t="s">
        <v>1727</v>
      </c>
    </row>
    <row r="281" customFormat="false" ht="15" hidden="false" customHeight="false" outlineLevel="0" collapsed="false">
      <c r="A281" s="2" t="s">
        <v>1728</v>
      </c>
      <c r="B281" s="2" t="s">
        <v>184</v>
      </c>
      <c r="C281" s="2" t="s">
        <v>1289</v>
      </c>
      <c r="D281" s="2" t="s">
        <v>48</v>
      </c>
      <c r="E281" s="2" t="s">
        <v>1185</v>
      </c>
      <c r="F281" s="2" t="s">
        <v>1186</v>
      </c>
      <c r="G281" s="2" t="s">
        <v>1729</v>
      </c>
    </row>
    <row r="282" customFormat="false" ht="15" hidden="false" customHeight="false" outlineLevel="0" collapsed="false">
      <c r="A282" s="2" t="s">
        <v>1730</v>
      </c>
      <c r="B282" s="2" t="s">
        <v>184</v>
      </c>
      <c r="C282" s="2" t="s">
        <v>1289</v>
      </c>
      <c r="D282" s="2" t="s">
        <v>48</v>
      </c>
      <c r="E282" s="2" t="s">
        <v>1185</v>
      </c>
      <c r="F282" s="2" t="s">
        <v>1186</v>
      </c>
      <c r="G282" s="2" t="s">
        <v>1731</v>
      </c>
    </row>
    <row r="283" customFormat="false" ht="15" hidden="false" customHeight="false" outlineLevel="0" collapsed="false">
      <c r="A283" s="2" t="s">
        <v>1732</v>
      </c>
      <c r="B283" s="2" t="s">
        <v>184</v>
      </c>
      <c r="C283" s="2" t="s">
        <v>1289</v>
      </c>
      <c r="D283" s="2" t="s">
        <v>48</v>
      </c>
      <c r="E283" s="2" t="s">
        <v>1185</v>
      </c>
      <c r="F283" s="2" t="s">
        <v>1186</v>
      </c>
      <c r="G283" s="2" t="s">
        <v>1733</v>
      </c>
    </row>
    <row r="284" customFormat="false" ht="15" hidden="false" customHeight="false" outlineLevel="0" collapsed="false">
      <c r="A284" s="2" t="s">
        <v>1734</v>
      </c>
      <c r="B284" s="2" t="s">
        <v>184</v>
      </c>
      <c r="C284" s="2" t="s">
        <v>1289</v>
      </c>
      <c r="D284" s="2" t="s">
        <v>48</v>
      </c>
      <c r="E284" s="2" t="s">
        <v>1185</v>
      </c>
      <c r="F284" s="2" t="s">
        <v>1186</v>
      </c>
      <c r="G284" s="2" t="s">
        <v>1735</v>
      </c>
    </row>
    <row r="285" customFormat="false" ht="15" hidden="false" customHeight="false" outlineLevel="0" collapsed="false">
      <c r="A285" s="2" t="s">
        <v>1736</v>
      </c>
      <c r="B285" s="2" t="s">
        <v>184</v>
      </c>
      <c r="C285" s="2" t="s">
        <v>1289</v>
      </c>
      <c r="D285" s="2" t="s">
        <v>48</v>
      </c>
      <c r="E285" s="2" t="s">
        <v>1185</v>
      </c>
      <c r="F285" s="2" t="s">
        <v>1186</v>
      </c>
      <c r="G285" s="2" t="s">
        <v>1737</v>
      </c>
    </row>
    <row r="286" customFormat="false" ht="15" hidden="false" customHeight="false" outlineLevel="0" collapsed="false">
      <c r="A286" s="2" t="s">
        <v>1738</v>
      </c>
      <c r="B286" s="2" t="s">
        <v>184</v>
      </c>
      <c r="C286" s="2" t="s">
        <v>1289</v>
      </c>
      <c r="D286" s="2" t="s">
        <v>48</v>
      </c>
      <c r="E286" s="2" t="s">
        <v>1185</v>
      </c>
      <c r="F286" s="2" t="s">
        <v>1186</v>
      </c>
      <c r="G286" s="2" t="s">
        <v>1739</v>
      </c>
    </row>
    <row r="287" customFormat="false" ht="15" hidden="false" customHeight="false" outlineLevel="0" collapsed="false">
      <c r="A287" s="2" t="s">
        <v>1740</v>
      </c>
      <c r="B287" s="2" t="s">
        <v>184</v>
      </c>
      <c r="C287" s="2" t="s">
        <v>1289</v>
      </c>
      <c r="D287" s="2" t="s">
        <v>48</v>
      </c>
      <c r="E287" s="2" t="s">
        <v>1185</v>
      </c>
      <c r="F287" s="2" t="s">
        <v>1186</v>
      </c>
      <c r="G287" s="2" t="s">
        <v>1741</v>
      </c>
    </row>
    <row r="288" customFormat="false" ht="15" hidden="false" customHeight="false" outlineLevel="0" collapsed="false">
      <c r="A288" s="2" t="s">
        <v>1742</v>
      </c>
      <c r="B288" s="2" t="s">
        <v>184</v>
      </c>
      <c r="C288" s="2" t="s">
        <v>1289</v>
      </c>
      <c r="D288" s="2" t="s">
        <v>48</v>
      </c>
      <c r="E288" s="2" t="s">
        <v>1185</v>
      </c>
      <c r="F288" s="2" t="s">
        <v>1186</v>
      </c>
      <c r="G288" s="2" t="s">
        <v>1743</v>
      </c>
    </row>
    <row r="289" customFormat="false" ht="15" hidden="false" customHeight="false" outlineLevel="0" collapsed="false">
      <c r="A289" s="2" t="s">
        <v>1744</v>
      </c>
      <c r="B289" s="2" t="s">
        <v>184</v>
      </c>
      <c r="C289" s="2" t="s">
        <v>1289</v>
      </c>
      <c r="D289" s="2" t="s">
        <v>48</v>
      </c>
      <c r="E289" s="2" t="s">
        <v>1185</v>
      </c>
      <c r="F289" s="2" t="s">
        <v>1186</v>
      </c>
      <c r="G289" s="2" t="s">
        <v>1745</v>
      </c>
    </row>
    <row r="290" customFormat="false" ht="15" hidden="false" customHeight="false" outlineLevel="0" collapsed="false">
      <c r="A290" s="2" t="s">
        <v>1746</v>
      </c>
      <c r="B290" s="2" t="s">
        <v>184</v>
      </c>
      <c r="C290" s="2" t="s">
        <v>1289</v>
      </c>
      <c r="D290" s="2" t="s">
        <v>48</v>
      </c>
      <c r="E290" s="2" t="s">
        <v>1185</v>
      </c>
      <c r="F290" s="2" t="s">
        <v>1186</v>
      </c>
      <c r="G290" s="2" t="s">
        <v>1747</v>
      </c>
    </row>
    <row r="291" customFormat="false" ht="15" hidden="false" customHeight="false" outlineLevel="0" collapsed="false">
      <c r="A291" s="2" t="s">
        <v>1748</v>
      </c>
      <c r="B291" s="2" t="s">
        <v>184</v>
      </c>
      <c r="C291" s="2" t="s">
        <v>1289</v>
      </c>
      <c r="D291" s="2" t="s">
        <v>48</v>
      </c>
      <c r="E291" s="2" t="s">
        <v>1185</v>
      </c>
      <c r="F291" s="2" t="s">
        <v>1186</v>
      </c>
      <c r="G291" s="2" t="s">
        <v>1749</v>
      </c>
    </row>
    <row r="292" customFormat="false" ht="15" hidden="false" customHeight="false" outlineLevel="0" collapsed="false">
      <c r="A292" s="2" t="s">
        <v>1750</v>
      </c>
      <c r="B292" s="2" t="s">
        <v>184</v>
      </c>
      <c r="C292" s="2" t="s">
        <v>1289</v>
      </c>
      <c r="D292" s="2" t="s">
        <v>48</v>
      </c>
      <c r="E292" s="2" t="s">
        <v>1185</v>
      </c>
      <c r="F292" s="2" t="s">
        <v>1186</v>
      </c>
      <c r="G292" s="2" t="s">
        <v>1751</v>
      </c>
    </row>
    <row r="293" customFormat="false" ht="15" hidden="false" customHeight="false" outlineLevel="0" collapsed="false">
      <c r="A293" s="2" t="s">
        <v>1752</v>
      </c>
      <c r="B293" s="2" t="s">
        <v>184</v>
      </c>
      <c r="C293" s="2" t="s">
        <v>1289</v>
      </c>
      <c r="D293" s="2" t="s">
        <v>48</v>
      </c>
      <c r="E293" s="2" t="s">
        <v>1185</v>
      </c>
      <c r="F293" s="2" t="s">
        <v>1186</v>
      </c>
      <c r="G293" s="2" t="s">
        <v>1753</v>
      </c>
    </row>
    <row r="294" customFormat="false" ht="15" hidden="false" customHeight="false" outlineLevel="0" collapsed="false">
      <c r="A294" s="2" t="s">
        <v>1754</v>
      </c>
      <c r="B294" s="2" t="s">
        <v>184</v>
      </c>
      <c r="C294" s="2" t="s">
        <v>1289</v>
      </c>
      <c r="D294" s="2" t="s">
        <v>48</v>
      </c>
      <c r="E294" s="2" t="s">
        <v>1185</v>
      </c>
      <c r="F294" s="2" t="s">
        <v>1186</v>
      </c>
      <c r="G294" s="2" t="s">
        <v>1755</v>
      </c>
    </row>
    <row r="295" customFormat="false" ht="15" hidden="false" customHeight="false" outlineLevel="0" collapsed="false">
      <c r="A295" s="2" t="s">
        <v>1756</v>
      </c>
      <c r="B295" s="2" t="s">
        <v>184</v>
      </c>
      <c r="C295" s="2" t="s">
        <v>1289</v>
      </c>
      <c r="D295" s="2" t="s">
        <v>48</v>
      </c>
      <c r="E295" s="2" t="s">
        <v>1185</v>
      </c>
      <c r="F295" s="2" t="s">
        <v>1186</v>
      </c>
      <c r="G295" s="2" t="s">
        <v>1757</v>
      </c>
    </row>
    <row r="296" customFormat="false" ht="15" hidden="false" customHeight="false" outlineLevel="0" collapsed="false">
      <c r="A296" s="2" t="s">
        <v>1758</v>
      </c>
      <c r="B296" s="2" t="s">
        <v>184</v>
      </c>
      <c r="C296" s="2" t="s">
        <v>1289</v>
      </c>
      <c r="D296" s="2" t="s">
        <v>48</v>
      </c>
      <c r="E296" s="2" t="s">
        <v>1185</v>
      </c>
      <c r="F296" s="2" t="s">
        <v>1186</v>
      </c>
      <c r="G296" s="2" t="s">
        <v>1759</v>
      </c>
    </row>
    <row r="297" customFormat="false" ht="15" hidden="false" customHeight="false" outlineLevel="0" collapsed="false">
      <c r="A297" s="2" t="s">
        <v>1760</v>
      </c>
      <c r="B297" s="2" t="s">
        <v>184</v>
      </c>
      <c r="C297" s="2" t="s">
        <v>1289</v>
      </c>
      <c r="D297" s="2" t="s">
        <v>48</v>
      </c>
      <c r="E297" s="2" t="s">
        <v>1185</v>
      </c>
      <c r="F297" s="2" t="s">
        <v>1186</v>
      </c>
      <c r="G297" s="2" t="s">
        <v>1761</v>
      </c>
    </row>
    <row r="298" customFormat="false" ht="15" hidden="false" customHeight="false" outlineLevel="0" collapsed="false">
      <c r="A298" s="2" t="s">
        <v>1762</v>
      </c>
      <c r="B298" s="2" t="s">
        <v>184</v>
      </c>
      <c r="C298" s="2" t="s">
        <v>1289</v>
      </c>
      <c r="D298" s="2" t="s">
        <v>48</v>
      </c>
      <c r="E298" s="2" t="s">
        <v>1185</v>
      </c>
      <c r="F298" s="2" t="s">
        <v>1186</v>
      </c>
      <c r="G298" s="2" t="s">
        <v>1763</v>
      </c>
    </row>
    <row r="299" customFormat="false" ht="15" hidden="false" customHeight="false" outlineLevel="0" collapsed="false">
      <c r="A299" s="2" t="s">
        <v>1764</v>
      </c>
      <c r="B299" s="2" t="s">
        <v>184</v>
      </c>
      <c r="C299" s="2" t="s">
        <v>1289</v>
      </c>
      <c r="D299" s="2" t="s">
        <v>48</v>
      </c>
      <c r="E299" s="2" t="s">
        <v>1185</v>
      </c>
      <c r="F299" s="2" t="s">
        <v>1186</v>
      </c>
      <c r="G299" s="2" t="s">
        <v>1765</v>
      </c>
    </row>
    <row r="300" customFormat="false" ht="15" hidden="false" customHeight="false" outlineLevel="0" collapsed="false">
      <c r="A300" s="2" t="s">
        <v>1766</v>
      </c>
      <c r="B300" s="2" t="s">
        <v>184</v>
      </c>
      <c r="C300" s="2" t="s">
        <v>1289</v>
      </c>
      <c r="D300" s="2" t="s">
        <v>48</v>
      </c>
      <c r="E300" s="2" t="s">
        <v>1185</v>
      </c>
      <c r="F300" s="2" t="s">
        <v>1186</v>
      </c>
      <c r="G300" s="2" t="s">
        <v>1767</v>
      </c>
    </row>
    <row r="301" customFormat="false" ht="15" hidden="false" customHeight="false" outlineLevel="0" collapsed="false">
      <c r="A301" s="2" t="s">
        <v>1768</v>
      </c>
      <c r="B301" s="2" t="s">
        <v>184</v>
      </c>
      <c r="C301" s="2" t="s">
        <v>1289</v>
      </c>
      <c r="D301" s="2" t="s">
        <v>48</v>
      </c>
      <c r="E301" s="2" t="s">
        <v>1185</v>
      </c>
      <c r="F301" s="2" t="s">
        <v>1186</v>
      </c>
      <c r="G301" s="2" t="s">
        <v>1769</v>
      </c>
    </row>
    <row r="302" customFormat="false" ht="15" hidden="false" customHeight="false" outlineLevel="0" collapsed="false">
      <c r="A302" s="2" t="s">
        <v>1770</v>
      </c>
      <c r="B302" s="2" t="s">
        <v>184</v>
      </c>
      <c r="C302" s="2" t="s">
        <v>1289</v>
      </c>
      <c r="D302" s="2" t="s">
        <v>48</v>
      </c>
      <c r="E302" s="2" t="s">
        <v>1185</v>
      </c>
      <c r="F302" s="2" t="s">
        <v>1186</v>
      </c>
      <c r="G302" s="2" t="s">
        <v>1771</v>
      </c>
    </row>
    <row r="303" customFormat="false" ht="15" hidden="false" customHeight="false" outlineLevel="0" collapsed="false">
      <c r="A303" s="2" t="s">
        <v>1772</v>
      </c>
      <c r="B303" s="2" t="s">
        <v>184</v>
      </c>
      <c r="C303" s="2" t="s">
        <v>1289</v>
      </c>
      <c r="D303" s="2" t="s">
        <v>48</v>
      </c>
      <c r="E303" s="2" t="s">
        <v>1185</v>
      </c>
      <c r="F303" s="2" t="s">
        <v>1186</v>
      </c>
      <c r="G303" s="2" t="s">
        <v>1773</v>
      </c>
    </row>
    <row r="304" customFormat="false" ht="15" hidden="false" customHeight="false" outlineLevel="0" collapsed="false">
      <c r="A304" s="2" t="s">
        <v>1774</v>
      </c>
      <c r="B304" s="2" t="s">
        <v>184</v>
      </c>
      <c r="C304" s="2" t="s">
        <v>1289</v>
      </c>
      <c r="D304" s="2" t="s">
        <v>48</v>
      </c>
      <c r="E304" s="2" t="s">
        <v>1185</v>
      </c>
      <c r="F304" s="2" t="s">
        <v>1186</v>
      </c>
      <c r="G304" s="2" t="s">
        <v>1775</v>
      </c>
    </row>
    <row r="305" customFormat="false" ht="15" hidden="false" customHeight="false" outlineLevel="0" collapsed="false">
      <c r="A305" s="2" t="s">
        <v>1776</v>
      </c>
      <c r="B305" s="2" t="s">
        <v>184</v>
      </c>
      <c r="C305" s="2" t="s">
        <v>1289</v>
      </c>
      <c r="D305" s="2" t="s">
        <v>48</v>
      </c>
      <c r="E305" s="2" t="s">
        <v>1185</v>
      </c>
      <c r="F305" s="2" t="s">
        <v>1186</v>
      </c>
      <c r="G305" s="2" t="s">
        <v>1777</v>
      </c>
    </row>
    <row r="306" customFormat="false" ht="15" hidden="false" customHeight="false" outlineLevel="0" collapsed="false">
      <c r="A306" s="2" t="s">
        <v>1778</v>
      </c>
      <c r="B306" s="2" t="s">
        <v>184</v>
      </c>
      <c r="C306" s="2" t="s">
        <v>1289</v>
      </c>
      <c r="D306" s="2" t="s">
        <v>48</v>
      </c>
      <c r="E306" s="2" t="s">
        <v>1185</v>
      </c>
      <c r="F306" s="2" t="s">
        <v>1186</v>
      </c>
      <c r="G306" s="2" t="s">
        <v>1779</v>
      </c>
    </row>
    <row r="307" customFormat="false" ht="15" hidden="false" customHeight="false" outlineLevel="0" collapsed="false">
      <c r="A307" s="2" t="s">
        <v>1780</v>
      </c>
      <c r="B307" s="2" t="s">
        <v>184</v>
      </c>
      <c r="C307" s="2" t="s">
        <v>1289</v>
      </c>
      <c r="D307" s="2" t="s">
        <v>48</v>
      </c>
      <c r="E307" s="2" t="s">
        <v>1185</v>
      </c>
      <c r="F307" s="2" t="s">
        <v>1186</v>
      </c>
      <c r="G307" s="2" t="s">
        <v>1781</v>
      </c>
    </row>
    <row r="308" customFormat="false" ht="15" hidden="false" customHeight="false" outlineLevel="0" collapsed="false">
      <c r="A308" s="2" t="s">
        <v>1782</v>
      </c>
      <c r="B308" s="2" t="s">
        <v>184</v>
      </c>
      <c r="C308" s="2" t="s">
        <v>1289</v>
      </c>
      <c r="D308" s="2" t="s">
        <v>48</v>
      </c>
      <c r="E308" s="2" t="s">
        <v>1185</v>
      </c>
      <c r="F308" s="2" t="s">
        <v>1186</v>
      </c>
      <c r="G308" s="2" t="s">
        <v>1783</v>
      </c>
    </row>
    <row r="309" customFormat="false" ht="15" hidden="false" customHeight="false" outlineLevel="0" collapsed="false">
      <c r="A309" s="2" t="s">
        <v>1784</v>
      </c>
      <c r="B309" s="2" t="s">
        <v>184</v>
      </c>
      <c r="C309" s="2" t="s">
        <v>1289</v>
      </c>
      <c r="D309" s="2" t="s">
        <v>48</v>
      </c>
      <c r="E309" s="2" t="s">
        <v>1185</v>
      </c>
      <c r="F309" s="2" t="s">
        <v>1186</v>
      </c>
      <c r="G309" s="2" t="s">
        <v>1785</v>
      </c>
    </row>
    <row r="310" customFormat="false" ht="15" hidden="false" customHeight="false" outlineLevel="0" collapsed="false">
      <c r="A310" s="2" t="s">
        <v>1786</v>
      </c>
      <c r="B310" s="2" t="s">
        <v>184</v>
      </c>
      <c r="C310" s="2" t="s">
        <v>1289</v>
      </c>
      <c r="D310" s="2" t="s">
        <v>48</v>
      </c>
      <c r="E310" s="2" t="s">
        <v>1185</v>
      </c>
      <c r="F310" s="2" t="s">
        <v>1186</v>
      </c>
      <c r="G310" s="2" t="s">
        <v>1787</v>
      </c>
    </row>
    <row r="311" customFormat="false" ht="15" hidden="false" customHeight="false" outlineLevel="0" collapsed="false">
      <c r="A311" s="2" t="s">
        <v>1788</v>
      </c>
      <c r="B311" s="2" t="s">
        <v>184</v>
      </c>
      <c r="C311" s="2" t="s">
        <v>1289</v>
      </c>
      <c r="D311" s="2" t="s">
        <v>48</v>
      </c>
      <c r="E311" s="2" t="s">
        <v>1185</v>
      </c>
      <c r="F311" s="2" t="s">
        <v>1186</v>
      </c>
      <c r="G311" s="2" t="s">
        <v>1789</v>
      </c>
    </row>
    <row r="312" customFormat="false" ht="15" hidden="false" customHeight="false" outlineLevel="0" collapsed="false">
      <c r="A312" s="2" t="s">
        <v>1790</v>
      </c>
      <c r="B312" s="2" t="s">
        <v>184</v>
      </c>
      <c r="C312" s="2" t="s">
        <v>1289</v>
      </c>
      <c r="D312" s="2" t="s">
        <v>48</v>
      </c>
      <c r="E312" s="2" t="s">
        <v>1185</v>
      </c>
      <c r="F312" s="2" t="s">
        <v>1186</v>
      </c>
      <c r="G312" s="2" t="s">
        <v>1791</v>
      </c>
    </row>
    <row r="313" customFormat="false" ht="15" hidden="false" customHeight="false" outlineLevel="0" collapsed="false">
      <c r="A313" s="2" t="s">
        <v>1792</v>
      </c>
      <c r="B313" s="2" t="s">
        <v>184</v>
      </c>
      <c r="C313" s="2" t="s">
        <v>1289</v>
      </c>
      <c r="D313" s="2" t="s">
        <v>48</v>
      </c>
      <c r="E313" s="2" t="s">
        <v>1185</v>
      </c>
      <c r="F313" s="2" t="s">
        <v>1186</v>
      </c>
      <c r="G313" s="2" t="s">
        <v>1793</v>
      </c>
    </row>
    <row r="314" customFormat="false" ht="15" hidden="false" customHeight="false" outlineLevel="0" collapsed="false">
      <c r="A314" s="2" t="s">
        <v>1794</v>
      </c>
      <c r="B314" s="2" t="s">
        <v>184</v>
      </c>
      <c r="C314" s="2" t="s">
        <v>1289</v>
      </c>
      <c r="D314" s="2" t="s">
        <v>48</v>
      </c>
      <c r="E314" s="2" t="s">
        <v>1185</v>
      </c>
      <c r="F314" s="2" t="s">
        <v>1186</v>
      </c>
      <c r="G314" s="2" t="s">
        <v>1424</v>
      </c>
    </row>
    <row r="315" customFormat="false" ht="15" hidden="false" customHeight="false" outlineLevel="0" collapsed="false">
      <c r="A315" s="2" t="s">
        <v>1795</v>
      </c>
      <c r="B315" s="2" t="s">
        <v>184</v>
      </c>
      <c r="C315" s="2" t="s">
        <v>1289</v>
      </c>
      <c r="D315" s="2" t="s">
        <v>48</v>
      </c>
      <c r="E315" s="2" t="s">
        <v>1185</v>
      </c>
      <c r="F315" s="2" t="s">
        <v>1186</v>
      </c>
      <c r="G315" s="2" t="s">
        <v>1796</v>
      </c>
    </row>
    <row r="316" customFormat="false" ht="15" hidden="false" customHeight="false" outlineLevel="0" collapsed="false">
      <c r="A316" s="2" t="s">
        <v>1797</v>
      </c>
      <c r="B316" s="2" t="s">
        <v>184</v>
      </c>
      <c r="C316" s="2" t="s">
        <v>1289</v>
      </c>
      <c r="D316" s="2" t="s">
        <v>48</v>
      </c>
      <c r="E316" s="2" t="s">
        <v>1185</v>
      </c>
      <c r="F316" s="2" t="s">
        <v>1186</v>
      </c>
      <c r="G316" s="2" t="s">
        <v>1798</v>
      </c>
    </row>
    <row r="317" customFormat="false" ht="15" hidden="false" customHeight="false" outlineLevel="0" collapsed="false">
      <c r="A317" s="2" t="s">
        <v>1799</v>
      </c>
      <c r="B317" s="2" t="s">
        <v>184</v>
      </c>
      <c r="C317" s="2" t="s">
        <v>1289</v>
      </c>
      <c r="D317" s="2" t="s">
        <v>48</v>
      </c>
      <c r="E317" s="2" t="s">
        <v>1185</v>
      </c>
      <c r="F317" s="2" t="s">
        <v>1186</v>
      </c>
      <c r="G317" s="2" t="s">
        <v>1800</v>
      </c>
    </row>
    <row r="318" customFormat="false" ht="15" hidden="false" customHeight="false" outlineLevel="0" collapsed="false">
      <c r="A318" s="2" t="s">
        <v>1801</v>
      </c>
      <c r="B318" s="2" t="s">
        <v>184</v>
      </c>
      <c r="C318" s="2" t="s">
        <v>1289</v>
      </c>
      <c r="D318" s="2" t="s">
        <v>48</v>
      </c>
      <c r="E318" s="2" t="s">
        <v>1185</v>
      </c>
      <c r="F318" s="2" t="s">
        <v>1186</v>
      </c>
      <c r="G318" s="2" t="s">
        <v>1802</v>
      </c>
    </row>
    <row r="319" customFormat="false" ht="15" hidden="false" customHeight="false" outlineLevel="0" collapsed="false">
      <c r="A319" s="2" t="s">
        <v>1803</v>
      </c>
      <c r="B319" s="2" t="s">
        <v>184</v>
      </c>
      <c r="C319" s="2" t="s">
        <v>1289</v>
      </c>
      <c r="D319" s="2" t="s">
        <v>48</v>
      </c>
      <c r="E319" s="2" t="s">
        <v>1185</v>
      </c>
      <c r="F319" s="2" t="s">
        <v>1186</v>
      </c>
      <c r="G319" s="2" t="s">
        <v>1804</v>
      </c>
    </row>
    <row r="320" customFormat="false" ht="15" hidden="false" customHeight="false" outlineLevel="0" collapsed="false">
      <c r="A320" s="2" t="s">
        <v>1805</v>
      </c>
      <c r="B320" s="2" t="s">
        <v>184</v>
      </c>
      <c r="C320" s="2" t="s">
        <v>1289</v>
      </c>
      <c r="D320" s="2" t="s">
        <v>48</v>
      </c>
      <c r="E320" s="2" t="s">
        <v>1185</v>
      </c>
      <c r="F320" s="2" t="s">
        <v>1186</v>
      </c>
      <c r="G320" s="2" t="s">
        <v>1806</v>
      </c>
    </row>
    <row r="321" customFormat="false" ht="15" hidden="false" customHeight="false" outlineLevel="0" collapsed="false">
      <c r="A321" s="2" t="s">
        <v>1807</v>
      </c>
      <c r="B321" s="2" t="s">
        <v>184</v>
      </c>
      <c r="C321" s="2" t="s">
        <v>1289</v>
      </c>
      <c r="D321" s="2" t="s">
        <v>48</v>
      </c>
      <c r="E321" s="2" t="s">
        <v>1185</v>
      </c>
      <c r="F321" s="2" t="s">
        <v>1186</v>
      </c>
      <c r="G321" s="2" t="s">
        <v>1808</v>
      </c>
    </row>
    <row r="322" customFormat="false" ht="15" hidden="false" customHeight="false" outlineLevel="0" collapsed="false">
      <c r="A322" s="2" t="s">
        <v>1809</v>
      </c>
      <c r="B322" s="2" t="s">
        <v>184</v>
      </c>
      <c r="C322" s="2" t="s">
        <v>1289</v>
      </c>
      <c r="D322" s="2" t="s">
        <v>48</v>
      </c>
      <c r="E322" s="2" t="s">
        <v>1185</v>
      </c>
      <c r="F322" s="2" t="s">
        <v>1186</v>
      </c>
      <c r="G322" s="2" t="s">
        <v>1810</v>
      </c>
    </row>
    <row r="323" customFormat="false" ht="15" hidden="false" customHeight="false" outlineLevel="0" collapsed="false">
      <c r="A323" s="2" t="s">
        <v>1811</v>
      </c>
      <c r="B323" s="2" t="s">
        <v>184</v>
      </c>
      <c r="C323" s="2" t="s">
        <v>1289</v>
      </c>
      <c r="D323" s="2" t="s">
        <v>48</v>
      </c>
      <c r="E323" s="2" t="s">
        <v>1185</v>
      </c>
      <c r="F323" s="2" t="s">
        <v>1186</v>
      </c>
      <c r="G323" s="2" t="s">
        <v>1812</v>
      </c>
    </row>
    <row r="324" customFormat="false" ht="15" hidden="false" customHeight="false" outlineLevel="0" collapsed="false">
      <c r="A324" s="2" t="s">
        <v>1813</v>
      </c>
      <c r="B324" s="2" t="s">
        <v>184</v>
      </c>
      <c r="C324" s="2" t="s">
        <v>1289</v>
      </c>
      <c r="D324" s="2" t="s">
        <v>48</v>
      </c>
      <c r="E324" s="2" t="s">
        <v>1185</v>
      </c>
      <c r="F324" s="2" t="s">
        <v>1186</v>
      </c>
      <c r="G324" s="2" t="s">
        <v>1814</v>
      </c>
    </row>
    <row r="325" customFormat="false" ht="15" hidden="false" customHeight="false" outlineLevel="0" collapsed="false">
      <c r="A325" s="2" t="s">
        <v>1815</v>
      </c>
      <c r="B325" s="2" t="s">
        <v>184</v>
      </c>
      <c r="C325" s="2" t="s">
        <v>1289</v>
      </c>
      <c r="D325" s="2" t="s">
        <v>48</v>
      </c>
      <c r="E325" s="2" t="s">
        <v>1185</v>
      </c>
      <c r="F325" s="2" t="s">
        <v>1186</v>
      </c>
      <c r="G325" s="2" t="s">
        <v>1816</v>
      </c>
    </row>
    <row r="326" customFormat="false" ht="15" hidden="false" customHeight="false" outlineLevel="0" collapsed="false">
      <c r="A326" s="2" t="s">
        <v>1817</v>
      </c>
      <c r="B326" s="2" t="s">
        <v>184</v>
      </c>
      <c r="C326" s="2" t="s">
        <v>1289</v>
      </c>
      <c r="D326" s="2" t="s">
        <v>48</v>
      </c>
      <c r="E326" s="2" t="s">
        <v>1185</v>
      </c>
      <c r="F326" s="2" t="s">
        <v>1186</v>
      </c>
      <c r="G326" s="2" t="s">
        <v>1818</v>
      </c>
    </row>
    <row r="327" customFormat="false" ht="15" hidden="false" customHeight="false" outlineLevel="0" collapsed="false">
      <c r="A327" s="2" t="s">
        <v>1819</v>
      </c>
      <c r="B327" s="2" t="s">
        <v>184</v>
      </c>
      <c r="C327" s="2" t="s">
        <v>1289</v>
      </c>
      <c r="D327" s="2" t="s">
        <v>48</v>
      </c>
      <c r="E327" s="2" t="s">
        <v>1185</v>
      </c>
      <c r="F327" s="2" t="s">
        <v>1186</v>
      </c>
      <c r="G327" s="2" t="s">
        <v>1820</v>
      </c>
    </row>
    <row r="328" customFormat="false" ht="15" hidden="false" customHeight="false" outlineLevel="0" collapsed="false">
      <c r="A328" s="2" t="s">
        <v>1821</v>
      </c>
      <c r="B328" s="2" t="s">
        <v>184</v>
      </c>
      <c r="C328" s="2" t="s">
        <v>1289</v>
      </c>
      <c r="D328" s="2" t="s">
        <v>48</v>
      </c>
      <c r="E328" s="2" t="s">
        <v>1185</v>
      </c>
      <c r="F328" s="2" t="s">
        <v>1186</v>
      </c>
      <c r="G328" s="2" t="s">
        <v>1822</v>
      </c>
    </row>
    <row r="329" customFormat="false" ht="15" hidden="false" customHeight="false" outlineLevel="0" collapsed="false">
      <c r="A329" s="2" t="s">
        <v>1823</v>
      </c>
      <c r="B329" s="2" t="s">
        <v>184</v>
      </c>
      <c r="C329" s="2" t="s">
        <v>1289</v>
      </c>
      <c r="D329" s="2" t="s">
        <v>48</v>
      </c>
      <c r="E329" s="2" t="s">
        <v>1185</v>
      </c>
      <c r="F329" s="2" t="s">
        <v>1186</v>
      </c>
      <c r="G329" s="2" t="s">
        <v>1824</v>
      </c>
    </row>
    <row r="330" customFormat="false" ht="15" hidden="false" customHeight="false" outlineLevel="0" collapsed="false">
      <c r="A330" s="2" t="s">
        <v>1825</v>
      </c>
      <c r="B330" s="2" t="s">
        <v>184</v>
      </c>
      <c r="C330" s="2" t="s">
        <v>1289</v>
      </c>
      <c r="D330" s="2" t="s">
        <v>48</v>
      </c>
      <c r="E330" s="2" t="s">
        <v>1185</v>
      </c>
      <c r="F330" s="2" t="s">
        <v>1186</v>
      </c>
      <c r="G330" s="2" t="s">
        <v>1826</v>
      </c>
    </row>
    <row r="331" customFormat="false" ht="15" hidden="false" customHeight="false" outlineLevel="0" collapsed="false">
      <c r="A331" s="2" t="s">
        <v>1827</v>
      </c>
      <c r="B331" s="2" t="s">
        <v>184</v>
      </c>
      <c r="C331" s="2" t="s">
        <v>1289</v>
      </c>
      <c r="D331" s="2" t="s">
        <v>48</v>
      </c>
      <c r="E331" s="2" t="s">
        <v>1185</v>
      </c>
      <c r="F331" s="2" t="s">
        <v>1186</v>
      </c>
      <c r="G331" s="2" t="s">
        <v>1828</v>
      </c>
    </row>
    <row r="332" customFormat="false" ht="15" hidden="false" customHeight="false" outlineLevel="0" collapsed="false">
      <c r="A332" s="2" t="s">
        <v>1829</v>
      </c>
      <c r="B332" s="2" t="s">
        <v>184</v>
      </c>
      <c r="C332" s="2" t="s">
        <v>1289</v>
      </c>
      <c r="D332" s="2" t="s">
        <v>48</v>
      </c>
      <c r="E332" s="2" t="s">
        <v>1185</v>
      </c>
      <c r="F332" s="2" t="s">
        <v>1186</v>
      </c>
      <c r="G332" s="2" t="s">
        <v>1830</v>
      </c>
    </row>
    <row r="333" customFormat="false" ht="15" hidden="false" customHeight="false" outlineLevel="0" collapsed="false">
      <c r="A333" s="2" t="s">
        <v>1831</v>
      </c>
      <c r="B333" s="2" t="s">
        <v>184</v>
      </c>
      <c r="C333" s="2" t="s">
        <v>1289</v>
      </c>
      <c r="D333" s="2" t="s">
        <v>48</v>
      </c>
      <c r="E333" s="2" t="s">
        <v>1185</v>
      </c>
      <c r="F333" s="2" t="s">
        <v>1186</v>
      </c>
      <c r="G333" s="2" t="s">
        <v>1832</v>
      </c>
    </row>
    <row r="334" customFormat="false" ht="15" hidden="false" customHeight="false" outlineLevel="0" collapsed="false">
      <c r="A334" s="2" t="s">
        <v>1833</v>
      </c>
      <c r="B334" s="2" t="s">
        <v>184</v>
      </c>
      <c r="C334" s="2" t="s">
        <v>1562</v>
      </c>
      <c r="D334" s="2" t="s">
        <v>49</v>
      </c>
      <c r="E334" s="2" t="s">
        <v>1563</v>
      </c>
      <c r="F334" s="2" t="s">
        <v>1564</v>
      </c>
      <c r="G334" s="2" t="s">
        <v>1834</v>
      </c>
    </row>
    <row r="335" customFormat="false" ht="15" hidden="false" customHeight="false" outlineLevel="0" collapsed="false">
      <c r="A335" s="2" t="s">
        <v>1835</v>
      </c>
      <c r="B335" s="2" t="s">
        <v>184</v>
      </c>
      <c r="C335" s="2" t="s">
        <v>1562</v>
      </c>
      <c r="D335" s="2" t="s">
        <v>49</v>
      </c>
      <c r="E335" s="2" t="s">
        <v>1563</v>
      </c>
      <c r="F335" s="2" t="s">
        <v>1564</v>
      </c>
      <c r="G335" s="2" t="s">
        <v>1836</v>
      </c>
    </row>
    <row r="336" customFormat="false" ht="15" hidden="false" customHeight="false" outlineLevel="0" collapsed="false">
      <c r="A336" s="2" t="s">
        <v>1837</v>
      </c>
      <c r="B336" s="2" t="s">
        <v>184</v>
      </c>
      <c r="C336" s="2" t="s">
        <v>1562</v>
      </c>
      <c r="D336" s="2" t="s">
        <v>49</v>
      </c>
      <c r="E336" s="2" t="s">
        <v>1563</v>
      </c>
      <c r="F336" s="2" t="s">
        <v>1564</v>
      </c>
      <c r="G336" s="2" t="s">
        <v>1838</v>
      </c>
    </row>
    <row r="337" customFormat="false" ht="15" hidden="false" customHeight="false" outlineLevel="0" collapsed="false">
      <c r="A337" s="2" t="s">
        <v>1839</v>
      </c>
      <c r="B337" s="2" t="s">
        <v>184</v>
      </c>
      <c r="C337" s="2" t="s">
        <v>1562</v>
      </c>
      <c r="D337" s="2" t="s">
        <v>49</v>
      </c>
      <c r="E337" s="2" t="s">
        <v>1563</v>
      </c>
      <c r="F337" s="2" t="s">
        <v>1564</v>
      </c>
      <c r="G337" s="2" t="s">
        <v>1840</v>
      </c>
    </row>
    <row r="338" customFormat="false" ht="15" hidden="false" customHeight="false" outlineLevel="0" collapsed="false">
      <c r="A338" s="2" t="s">
        <v>1841</v>
      </c>
      <c r="B338" s="2" t="s">
        <v>184</v>
      </c>
      <c r="C338" s="2" t="s">
        <v>1562</v>
      </c>
      <c r="D338" s="2" t="s">
        <v>49</v>
      </c>
      <c r="E338" s="2" t="s">
        <v>1563</v>
      </c>
      <c r="F338" s="2" t="s">
        <v>1564</v>
      </c>
      <c r="G338" s="2" t="s">
        <v>1842</v>
      </c>
    </row>
    <row r="339" customFormat="false" ht="15" hidden="false" customHeight="false" outlineLevel="0" collapsed="false">
      <c r="A339" s="2" t="s">
        <v>1843</v>
      </c>
      <c r="B339" s="2" t="s">
        <v>184</v>
      </c>
      <c r="C339" s="2" t="s">
        <v>1562</v>
      </c>
      <c r="D339" s="2" t="s">
        <v>49</v>
      </c>
      <c r="E339" s="2" t="s">
        <v>1563</v>
      </c>
      <c r="F339" s="2" t="s">
        <v>1564</v>
      </c>
      <c r="G339" s="2" t="s">
        <v>1844</v>
      </c>
    </row>
    <row r="340" customFormat="false" ht="15" hidden="false" customHeight="false" outlineLevel="0" collapsed="false">
      <c r="A340" s="2" t="s">
        <v>1845</v>
      </c>
      <c r="B340" s="2" t="s">
        <v>184</v>
      </c>
      <c r="C340" s="2" t="s">
        <v>1562</v>
      </c>
      <c r="D340" s="2" t="s">
        <v>49</v>
      </c>
      <c r="E340" s="2" t="s">
        <v>1563</v>
      </c>
      <c r="F340" s="2" t="s">
        <v>1564</v>
      </c>
      <c r="G340" s="2" t="s">
        <v>1846</v>
      </c>
    </row>
    <row r="341" customFormat="false" ht="15" hidden="false" customHeight="false" outlineLevel="0" collapsed="false">
      <c r="A341" s="2" t="s">
        <v>1847</v>
      </c>
      <c r="B341" s="2" t="s">
        <v>184</v>
      </c>
      <c r="C341" s="2" t="s">
        <v>1562</v>
      </c>
      <c r="D341" s="2" t="s">
        <v>49</v>
      </c>
      <c r="E341" s="2" t="s">
        <v>1563</v>
      </c>
      <c r="F341" s="2" t="s">
        <v>1564</v>
      </c>
      <c r="G341" s="2" t="s">
        <v>1848</v>
      </c>
    </row>
    <row r="342" customFormat="false" ht="15" hidden="false" customHeight="false" outlineLevel="0" collapsed="false">
      <c r="A342" s="2" t="s">
        <v>1849</v>
      </c>
      <c r="B342" s="2" t="s">
        <v>184</v>
      </c>
      <c r="C342" s="2" t="s">
        <v>1562</v>
      </c>
      <c r="D342" s="2" t="s">
        <v>49</v>
      </c>
      <c r="E342" s="2" t="s">
        <v>1563</v>
      </c>
      <c r="F342" s="2" t="s">
        <v>1564</v>
      </c>
      <c r="G342" s="2" t="s">
        <v>1850</v>
      </c>
    </row>
    <row r="343" customFormat="false" ht="15" hidden="false" customHeight="false" outlineLevel="0" collapsed="false">
      <c r="A343" s="2" t="s">
        <v>1851</v>
      </c>
      <c r="B343" s="2" t="s">
        <v>184</v>
      </c>
      <c r="C343" s="2" t="s">
        <v>1562</v>
      </c>
      <c r="D343" s="2" t="s">
        <v>49</v>
      </c>
      <c r="E343" s="2" t="s">
        <v>1563</v>
      </c>
      <c r="F343" s="2" t="s">
        <v>1564</v>
      </c>
      <c r="G343" s="2" t="s">
        <v>1852</v>
      </c>
    </row>
    <row r="344" customFormat="false" ht="15" hidden="false" customHeight="false" outlineLevel="0" collapsed="false">
      <c r="A344" s="2" t="s">
        <v>1853</v>
      </c>
      <c r="B344" s="2" t="s">
        <v>184</v>
      </c>
      <c r="C344" s="2" t="s">
        <v>1562</v>
      </c>
      <c r="D344" s="2" t="s">
        <v>49</v>
      </c>
      <c r="E344" s="2" t="s">
        <v>1563</v>
      </c>
      <c r="F344" s="2" t="s">
        <v>1564</v>
      </c>
      <c r="G344" s="2" t="s">
        <v>1854</v>
      </c>
    </row>
    <row r="345" customFormat="false" ht="15" hidden="false" customHeight="false" outlineLevel="0" collapsed="false">
      <c r="A345" s="2" t="s">
        <v>1855</v>
      </c>
      <c r="B345" s="2" t="s">
        <v>184</v>
      </c>
      <c r="C345" s="2" t="s">
        <v>1562</v>
      </c>
      <c r="D345" s="2" t="s">
        <v>49</v>
      </c>
      <c r="E345" s="2" t="s">
        <v>1563</v>
      </c>
      <c r="F345" s="2" t="s">
        <v>1186</v>
      </c>
      <c r="G345" s="2" t="s">
        <v>1856</v>
      </c>
    </row>
    <row r="346" customFormat="false" ht="15" hidden="false" customHeight="false" outlineLevel="0" collapsed="false">
      <c r="A346" s="2" t="s">
        <v>1857</v>
      </c>
      <c r="B346" s="2" t="s">
        <v>184</v>
      </c>
      <c r="C346" s="2" t="s">
        <v>1858</v>
      </c>
      <c r="D346" s="2" t="s">
        <v>50</v>
      </c>
      <c r="E346" s="2" t="s">
        <v>1194</v>
      </c>
      <c r="F346" s="2" t="s">
        <v>1186</v>
      </c>
      <c r="G346" s="2" t="s">
        <v>1859</v>
      </c>
    </row>
    <row r="347" customFormat="false" ht="15" hidden="false" customHeight="false" outlineLevel="0" collapsed="false">
      <c r="A347" s="2" t="s">
        <v>1860</v>
      </c>
      <c r="B347" s="2" t="s">
        <v>184</v>
      </c>
      <c r="C347" s="2" t="s">
        <v>1562</v>
      </c>
      <c r="D347" s="2" t="s">
        <v>49</v>
      </c>
      <c r="E347" s="2" t="s">
        <v>1563</v>
      </c>
      <c r="F347" s="2" t="s">
        <v>1186</v>
      </c>
      <c r="G347" s="2" t="s">
        <v>1861</v>
      </c>
    </row>
    <row r="348" customFormat="false" ht="15" hidden="false" customHeight="false" outlineLevel="0" collapsed="false">
      <c r="A348" s="2" t="s">
        <v>1862</v>
      </c>
      <c r="B348" s="2" t="s">
        <v>184</v>
      </c>
      <c r="C348" s="2" t="s">
        <v>1562</v>
      </c>
      <c r="D348" s="2" t="s">
        <v>49</v>
      </c>
      <c r="E348" s="2" t="s">
        <v>1563</v>
      </c>
      <c r="F348" s="2" t="s">
        <v>1564</v>
      </c>
      <c r="G348" s="2" t="s">
        <v>1863</v>
      </c>
    </row>
    <row r="349" customFormat="false" ht="15" hidden="false" customHeight="false" outlineLevel="0" collapsed="false">
      <c r="A349" s="2" t="s">
        <v>1864</v>
      </c>
      <c r="B349" s="2" t="s">
        <v>184</v>
      </c>
      <c r="C349" s="2" t="s">
        <v>1562</v>
      </c>
      <c r="D349" s="2" t="s">
        <v>49</v>
      </c>
      <c r="E349" s="2" t="s">
        <v>1563</v>
      </c>
      <c r="F349" s="2" t="s">
        <v>1564</v>
      </c>
      <c r="G349" s="2" t="s">
        <v>1865</v>
      </c>
    </row>
    <row r="350" customFormat="false" ht="15" hidden="false" customHeight="false" outlineLevel="0" collapsed="false">
      <c r="A350" s="2" t="s">
        <v>1866</v>
      </c>
      <c r="B350" s="2" t="s">
        <v>184</v>
      </c>
      <c r="C350" s="2" t="s">
        <v>1562</v>
      </c>
      <c r="D350" s="2" t="s">
        <v>49</v>
      </c>
      <c r="E350" s="2" t="s">
        <v>1563</v>
      </c>
      <c r="F350" s="2" t="s">
        <v>1564</v>
      </c>
      <c r="G350" s="2" t="s">
        <v>1867</v>
      </c>
    </row>
    <row r="351" customFormat="false" ht="15" hidden="false" customHeight="false" outlineLevel="0" collapsed="false">
      <c r="A351" s="2" t="s">
        <v>1868</v>
      </c>
      <c r="B351" s="2" t="s">
        <v>184</v>
      </c>
      <c r="C351" s="2" t="s">
        <v>1562</v>
      </c>
      <c r="D351" s="2" t="s">
        <v>49</v>
      </c>
      <c r="E351" s="2" t="s">
        <v>1563</v>
      </c>
      <c r="F351" s="2" t="s">
        <v>1564</v>
      </c>
      <c r="G351" s="2" t="s">
        <v>1869</v>
      </c>
    </row>
    <row r="352" customFormat="false" ht="15" hidden="false" customHeight="false" outlineLevel="0" collapsed="false">
      <c r="A352" s="2" t="s">
        <v>1870</v>
      </c>
      <c r="B352" s="2" t="s">
        <v>184</v>
      </c>
      <c r="C352" s="2" t="s">
        <v>1562</v>
      </c>
      <c r="D352" s="2" t="s">
        <v>49</v>
      </c>
      <c r="E352" s="2" t="s">
        <v>1563</v>
      </c>
      <c r="F352" s="2" t="s">
        <v>1564</v>
      </c>
      <c r="G352" s="2" t="s">
        <v>1871</v>
      </c>
    </row>
    <row r="353" customFormat="false" ht="15" hidden="false" customHeight="false" outlineLevel="0" collapsed="false">
      <c r="A353" s="2" t="s">
        <v>1872</v>
      </c>
      <c r="B353" s="2" t="s">
        <v>184</v>
      </c>
      <c r="C353" s="2" t="s">
        <v>1562</v>
      </c>
      <c r="D353" s="2" t="s">
        <v>49</v>
      </c>
      <c r="E353" s="2" t="s">
        <v>1563</v>
      </c>
      <c r="F353" s="2" t="s">
        <v>1564</v>
      </c>
      <c r="G353" s="2" t="s">
        <v>1873</v>
      </c>
    </row>
    <row r="354" customFormat="false" ht="15" hidden="false" customHeight="false" outlineLevel="0" collapsed="false">
      <c r="A354" s="2" t="s">
        <v>1874</v>
      </c>
      <c r="B354" s="2" t="s">
        <v>184</v>
      </c>
      <c r="C354" s="2" t="s">
        <v>1562</v>
      </c>
      <c r="D354" s="2" t="s">
        <v>49</v>
      </c>
      <c r="E354" s="2" t="s">
        <v>1563</v>
      </c>
      <c r="F354" s="2" t="s">
        <v>1564</v>
      </c>
      <c r="G354" s="2" t="s">
        <v>1875</v>
      </c>
    </row>
    <row r="355" customFormat="false" ht="15" hidden="false" customHeight="false" outlineLevel="0" collapsed="false">
      <c r="A355" s="2" t="s">
        <v>1876</v>
      </c>
      <c r="B355" s="2" t="s">
        <v>184</v>
      </c>
      <c r="C355" s="2" t="s">
        <v>1562</v>
      </c>
      <c r="D355" s="2" t="s">
        <v>49</v>
      </c>
      <c r="E355" s="2" t="s">
        <v>1563</v>
      </c>
      <c r="F355" s="2" t="s">
        <v>1564</v>
      </c>
      <c r="G355" s="2" t="s">
        <v>1877</v>
      </c>
    </row>
    <row r="356" customFormat="false" ht="15" hidden="false" customHeight="false" outlineLevel="0" collapsed="false">
      <c r="A356" s="2" t="s">
        <v>1878</v>
      </c>
      <c r="B356" s="2" t="s">
        <v>184</v>
      </c>
      <c r="C356" s="2" t="s">
        <v>1562</v>
      </c>
      <c r="D356" s="2" t="s">
        <v>49</v>
      </c>
      <c r="E356" s="2" t="s">
        <v>1563</v>
      </c>
      <c r="F356" s="2" t="s">
        <v>1564</v>
      </c>
      <c r="G356" s="2" t="s">
        <v>1879</v>
      </c>
    </row>
    <row r="357" customFormat="false" ht="15" hidden="false" customHeight="false" outlineLevel="0" collapsed="false">
      <c r="A357" s="2" t="s">
        <v>1880</v>
      </c>
      <c r="B357" s="2" t="s">
        <v>184</v>
      </c>
      <c r="C357" s="2" t="s">
        <v>1562</v>
      </c>
      <c r="D357" s="2" t="s">
        <v>49</v>
      </c>
      <c r="E357" s="2" t="s">
        <v>1563</v>
      </c>
      <c r="F357" s="2" t="s">
        <v>1564</v>
      </c>
      <c r="G357" s="2" t="s">
        <v>1881</v>
      </c>
    </row>
    <row r="358" customFormat="false" ht="15" hidden="false" customHeight="false" outlineLevel="0" collapsed="false">
      <c r="A358" s="2" t="s">
        <v>1882</v>
      </c>
      <c r="B358" s="2" t="s">
        <v>184</v>
      </c>
      <c r="C358" s="2" t="s">
        <v>1562</v>
      </c>
      <c r="D358" s="2" t="s">
        <v>49</v>
      </c>
      <c r="E358" s="2" t="s">
        <v>1563</v>
      </c>
      <c r="F358" s="2" t="s">
        <v>1564</v>
      </c>
      <c r="G358" s="2" t="s">
        <v>1883</v>
      </c>
    </row>
    <row r="359" customFormat="false" ht="15" hidden="false" customHeight="false" outlineLevel="0" collapsed="false">
      <c r="A359" s="2" t="s">
        <v>1884</v>
      </c>
      <c r="B359" s="2" t="s">
        <v>184</v>
      </c>
      <c r="C359" s="2" t="s">
        <v>1562</v>
      </c>
      <c r="D359" s="2" t="s">
        <v>49</v>
      </c>
      <c r="E359" s="2" t="s">
        <v>1563</v>
      </c>
      <c r="F359" s="2" t="s">
        <v>1564</v>
      </c>
      <c r="G359" s="2" t="s">
        <v>1885</v>
      </c>
    </row>
    <row r="360" customFormat="false" ht="15" hidden="false" customHeight="false" outlineLevel="0" collapsed="false">
      <c r="A360" s="2" t="s">
        <v>1886</v>
      </c>
      <c r="B360" s="2" t="s">
        <v>184</v>
      </c>
      <c r="C360" s="2" t="s">
        <v>1562</v>
      </c>
      <c r="D360" s="2" t="s">
        <v>49</v>
      </c>
      <c r="E360" s="2" t="s">
        <v>1563</v>
      </c>
      <c r="F360" s="2" t="s">
        <v>1564</v>
      </c>
      <c r="G360" s="2" t="s">
        <v>1887</v>
      </c>
    </row>
    <row r="361" customFormat="false" ht="15" hidden="false" customHeight="false" outlineLevel="0" collapsed="false">
      <c r="A361" s="2" t="s">
        <v>1888</v>
      </c>
      <c r="B361" s="2" t="s">
        <v>184</v>
      </c>
      <c r="C361" s="2" t="s">
        <v>1562</v>
      </c>
      <c r="D361" s="2" t="s">
        <v>49</v>
      </c>
      <c r="E361" s="2" t="s">
        <v>1563</v>
      </c>
      <c r="F361" s="2" t="s">
        <v>1564</v>
      </c>
      <c r="G361" s="2" t="s">
        <v>1889</v>
      </c>
    </row>
    <row r="362" customFormat="false" ht="15" hidden="false" customHeight="false" outlineLevel="0" collapsed="false">
      <c r="A362" s="2" t="s">
        <v>1890</v>
      </c>
      <c r="B362" s="2" t="s">
        <v>184</v>
      </c>
      <c r="C362" s="2" t="s">
        <v>1562</v>
      </c>
      <c r="D362" s="2" t="s">
        <v>49</v>
      </c>
      <c r="E362" s="2" t="s">
        <v>1563</v>
      </c>
      <c r="F362" s="2" t="s">
        <v>1564</v>
      </c>
      <c r="G362" s="2" t="s">
        <v>1891</v>
      </c>
    </row>
    <row r="363" customFormat="false" ht="15" hidden="false" customHeight="false" outlineLevel="0" collapsed="false">
      <c r="A363" s="2" t="s">
        <v>1892</v>
      </c>
      <c r="B363" s="2" t="s">
        <v>184</v>
      </c>
      <c r="C363" s="2" t="s">
        <v>1562</v>
      </c>
      <c r="D363" s="2" t="s">
        <v>49</v>
      </c>
      <c r="E363" s="2" t="s">
        <v>1563</v>
      </c>
      <c r="F363" s="2" t="s">
        <v>1564</v>
      </c>
      <c r="G363" s="2" t="s">
        <v>1893</v>
      </c>
    </row>
    <row r="364" customFormat="false" ht="15" hidden="false" customHeight="false" outlineLevel="0" collapsed="false">
      <c r="A364" s="2" t="s">
        <v>1894</v>
      </c>
      <c r="B364" s="2" t="s">
        <v>184</v>
      </c>
      <c r="C364" s="2" t="s">
        <v>1562</v>
      </c>
      <c r="D364" s="2" t="s">
        <v>49</v>
      </c>
      <c r="E364" s="2" t="s">
        <v>1563</v>
      </c>
      <c r="F364" s="2" t="s">
        <v>1564</v>
      </c>
      <c r="G364" s="2" t="s">
        <v>1895</v>
      </c>
    </row>
    <row r="365" customFormat="false" ht="15" hidden="false" customHeight="false" outlineLevel="0" collapsed="false">
      <c r="A365" s="2" t="s">
        <v>1896</v>
      </c>
      <c r="B365" s="2" t="s">
        <v>184</v>
      </c>
      <c r="C365" s="2" t="s">
        <v>1562</v>
      </c>
      <c r="D365" s="2" t="s">
        <v>49</v>
      </c>
      <c r="E365" s="2" t="s">
        <v>1563</v>
      </c>
      <c r="F365" s="2" t="s">
        <v>1564</v>
      </c>
      <c r="G365" s="2" t="s">
        <v>1897</v>
      </c>
    </row>
    <row r="366" customFormat="false" ht="15" hidden="false" customHeight="false" outlineLevel="0" collapsed="false">
      <c r="A366" s="2" t="s">
        <v>1898</v>
      </c>
      <c r="B366" s="2" t="s">
        <v>184</v>
      </c>
      <c r="C366" s="2" t="s">
        <v>1562</v>
      </c>
      <c r="D366" s="2" t="s">
        <v>49</v>
      </c>
      <c r="E366" s="2" t="s">
        <v>1563</v>
      </c>
      <c r="F366" s="2" t="s">
        <v>1564</v>
      </c>
      <c r="G366" s="2" t="s">
        <v>1899</v>
      </c>
    </row>
    <row r="367" customFormat="false" ht="15" hidden="false" customHeight="false" outlineLevel="0" collapsed="false">
      <c r="A367" s="2" t="s">
        <v>1900</v>
      </c>
      <c r="B367" s="2" t="s">
        <v>184</v>
      </c>
      <c r="C367" s="2" t="s">
        <v>1562</v>
      </c>
      <c r="D367" s="2" t="s">
        <v>49</v>
      </c>
      <c r="E367" s="2" t="s">
        <v>1563</v>
      </c>
      <c r="F367" s="2" t="s">
        <v>1564</v>
      </c>
      <c r="G367" s="2" t="s">
        <v>1901</v>
      </c>
    </row>
    <row r="368" customFormat="false" ht="15" hidden="false" customHeight="false" outlineLevel="0" collapsed="false">
      <c r="A368" s="2" t="s">
        <v>1902</v>
      </c>
      <c r="B368" s="2" t="s">
        <v>184</v>
      </c>
      <c r="C368" s="2" t="s">
        <v>1562</v>
      </c>
      <c r="D368" s="2" t="s">
        <v>49</v>
      </c>
      <c r="E368" s="2" t="s">
        <v>1563</v>
      </c>
      <c r="F368" s="2" t="s">
        <v>1564</v>
      </c>
      <c r="G368" s="2" t="s">
        <v>1903</v>
      </c>
    </row>
    <row r="369" customFormat="false" ht="15" hidden="false" customHeight="false" outlineLevel="0" collapsed="false">
      <c r="A369" s="2" t="s">
        <v>1904</v>
      </c>
      <c r="B369" s="2" t="s">
        <v>184</v>
      </c>
      <c r="C369" s="2" t="s">
        <v>1562</v>
      </c>
      <c r="D369" s="2" t="s">
        <v>49</v>
      </c>
      <c r="E369" s="2" t="s">
        <v>1563</v>
      </c>
      <c r="F369" s="2" t="s">
        <v>1564</v>
      </c>
      <c r="G369" s="2" t="s">
        <v>1905</v>
      </c>
    </row>
    <row r="370" customFormat="false" ht="15" hidden="false" customHeight="false" outlineLevel="0" collapsed="false">
      <c r="A370" s="2" t="s">
        <v>1906</v>
      </c>
      <c r="B370" s="2" t="s">
        <v>184</v>
      </c>
      <c r="C370" s="2" t="s">
        <v>1562</v>
      </c>
      <c r="D370" s="2" t="s">
        <v>49</v>
      </c>
      <c r="E370" s="2" t="s">
        <v>1563</v>
      </c>
      <c r="F370" s="2" t="s">
        <v>1564</v>
      </c>
      <c r="G370" s="2" t="s">
        <v>1907</v>
      </c>
    </row>
    <row r="371" customFormat="false" ht="15" hidden="false" customHeight="false" outlineLevel="0" collapsed="false">
      <c r="A371" s="2" t="s">
        <v>1908</v>
      </c>
      <c r="B371" s="2" t="s">
        <v>184</v>
      </c>
      <c r="C371" s="2" t="s">
        <v>1562</v>
      </c>
      <c r="D371" s="2" t="s">
        <v>49</v>
      </c>
      <c r="E371" s="2" t="s">
        <v>1563</v>
      </c>
      <c r="F371" s="2" t="s">
        <v>1564</v>
      </c>
      <c r="G371" s="2" t="s">
        <v>1909</v>
      </c>
    </row>
    <row r="372" customFormat="false" ht="15" hidden="false" customHeight="false" outlineLevel="0" collapsed="false">
      <c r="A372" s="2" t="s">
        <v>1910</v>
      </c>
      <c r="B372" s="2" t="s">
        <v>184</v>
      </c>
      <c r="C372" s="2" t="s">
        <v>1562</v>
      </c>
      <c r="D372" s="2" t="s">
        <v>49</v>
      </c>
      <c r="E372" s="2" t="s">
        <v>1563</v>
      </c>
      <c r="F372" s="2" t="s">
        <v>1564</v>
      </c>
      <c r="G372" s="2" t="s">
        <v>1911</v>
      </c>
    </row>
    <row r="373" customFormat="false" ht="15" hidden="false" customHeight="false" outlineLevel="0" collapsed="false">
      <c r="A373" s="2" t="s">
        <v>1912</v>
      </c>
      <c r="B373" s="2" t="s">
        <v>184</v>
      </c>
      <c r="C373" s="2" t="s">
        <v>1562</v>
      </c>
      <c r="D373" s="2" t="s">
        <v>49</v>
      </c>
      <c r="E373" s="2" t="s">
        <v>1563</v>
      </c>
      <c r="F373" s="2" t="s">
        <v>1564</v>
      </c>
      <c r="G373" s="2" t="s">
        <v>1913</v>
      </c>
    </row>
    <row r="374" customFormat="false" ht="15" hidden="false" customHeight="false" outlineLevel="0" collapsed="false">
      <c r="A374" s="2" t="s">
        <v>1914</v>
      </c>
      <c r="B374" s="2" t="s">
        <v>184</v>
      </c>
      <c r="C374" s="2" t="s">
        <v>1562</v>
      </c>
      <c r="D374" s="2" t="s">
        <v>49</v>
      </c>
      <c r="E374" s="2" t="s">
        <v>1563</v>
      </c>
      <c r="F374" s="2" t="s">
        <v>1564</v>
      </c>
      <c r="G374" s="2" t="s">
        <v>1915</v>
      </c>
    </row>
    <row r="375" customFormat="false" ht="15" hidden="false" customHeight="false" outlineLevel="0" collapsed="false">
      <c r="A375" s="2" t="s">
        <v>1916</v>
      </c>
      <c r="B375" s="2" t="s">
        <v>184</v>
      </c>
      <c r="C375" s="2" t="s">
        <v>1562</v>
      </c>
      <c r="D375" s="2" t="s">
        <v>49</v>
      </c>
      <c r="E375" s="2" t="s">
        <v>1563</v>
      </c>
      <c r="F375" s="2" t="s">
        <v>1564</v>
      </c>
      <c r="G375" s="2" t="s">
        <v>1917</v>
      </c>
    </row>
    <row r="376" customFormat="false" ht="15" hidden="false" customHeight="false" outlineLevel="0" collapsed="false">
      <c r="A376" s="2" t="s">
        <v>1918</v>
      </c>
      <c r="B376" s="2" t="s">
        <v>184</v>
      </c>
      <c r="C376" s="2" t="s">
        <v>1562</v>
      </c>
      <c r="D376" s="2" t="s">
        <v>49</v>
      </c>
      <c r="E376" s="2" t="s">
        <v>1563</v>
      </c>
      <c r="F376" s="2" t="s">
        <v>1564</v>
      </c>
      <c r="G376" s="2" t="s">
        <v>1919</v>
      </c>
    </row>
    <row r="377" customFormat="false" ht="15" hidden="false" customHeight="false" outlineLevel="0" collapsed="false">
      <c r="A377" s="2" t="s">
        <v>1920</v>
      </c>
      <c r="B377" s="2" t="s">
        <v>184</v>
      </c>
      <c r="C377" s="2" t="s">
        <v>1562</v>
      </c>
      <c r="D377" s="2" t="s">
        <v>49</v>
      </c>
      <c r="E377" s="2" t="s">
        <v>1563</v>
      </c>
      <c r="F377" s="2" t="s">
        <v>1564</v>
      </c>
      <c r="G377" s="2" t="s">
        <v>1921</v>
      </c>
    </row>
    <row r="378" customFormat="false" ht="15" hidden="false" customHeight="false" outlineLevel="0" collapsed="false">
      <c r="A378" s="2" t="s">
        <v>1922</v>
      </c>
      <c r="B378" s="2" t="s">
        <v>184</v>
      </c>
      <c r="C378" s="2" t="s">
        <v>1858</v>
      </c>
      <c r="D378" s="2" t="s">
        <v>50</v>
      </c>
      <c r="E378" s="2" t="s">
        <v>1194</v>
      </c>
      <c r="F378" s="2" t="s">
        <v>1186</v>
      </c>
      <c r="G378" s="2" t="s">
        <v>1923</v>
      </c>
    </row>
    <row r="379" customFormat="false" ht="15" hidden="false" customHeight="false" outlineLevel="0" collapsed="false">
      <c r="A379" s="2" t="s">
        <v>1924</v>
      </c>
      <c r="B379" s="2" t="s">
        <v>184</v>
      </c>
      <c r="C379" s="2" t="s">
        <v>1858</v>
      </c>
      <c r="D379" s="2" t="s">
        <v>50</v>
      </c>
      <c r="E379" s="2" t="s">
        <v>1194</v>
      </c>
      <c r="F379" s="2" t="s">
        <v>1186</v>
      </c>
      <c r="G379" s="2" t="s">
        <v>1925</v>
      </c>
    </row>
    <row r="380" customFormat="false" ht="15" hidden="false" customHeight="false" outlineLevel="0" collapsed="false">
      <c r="A380" s="2" t="s">
        <v>1926</v>
      </c>
      <c r="B380" s="2" t="s">
        <v>184</v>
      </c>
      <c r="C380" s="2" t="s">
        <v>1562</v>
      </c>
      <c r="D380" s="2" t="s">
        <v>49</v>
      </c>
      <c r="E380" s="2" t="s">
        <v>1563</v>
      </c>
      <c r="F380" s="2" t="s">
        <v>1564</v>
      </c>
      <c r="G380" s="2" t="s">
        <v>1927</v>
      </c>
    </row>
    <row r="381" customFormat="false" ht="15" hidden="false" customHeight="false" outlineLevel="0" collapsed="false">
      <c r="A381" s="2" t="s">
        <v>1928</v>
      </c>
      <c r="B381" s="2" t="s">
        <v>184</v>
      </c>
      <c r="C381" s="2" t="s">
        <v>1562</v>
      </c>
      <c r="D381" s="2" t="s">
        <v>49</v>
      </c>
      <c r="E381" s="2" t="s">
        <v>1563</v>
      </c>
      <c r="F381" s="2" t="s">
        <v>1564</v>
      </c>
      <c r="G381" s="2" t="s">
        <v>1929</v>
      </c>
    </row>
    <row r="382" customFormat="false" ht="15" hidden="false" customHeight="false" outlineLevel="0" collapsed="false">
      <c r="A382" s="2" t="s">
        <v>1930</v>
      </c>
      <c r="B382" s="2" t="s">
        <v>184</v>
      </c>
      <c r="C382" s="2" t="s">
        <v>1562</v>
      </c>
      <c r="D382" s="2" t="s">
        <v>49</v>
      </c>
      <c r="E382" s="2" t="s">
        <v>1563</v>
      </c>
      <c r="F382" s="2" t="s">
        <v>1564</v>
      </c>
      <c r="G382" s="2" t="s">
        <v>1931</v>
      </c>
    </row>
    <row r="383" customFormat="false" ht="15" hidden="false" customHeight="false" outlineLevel="0" collapsed="false">
      <c r="A383" s="2" t="s">
        <v>1932</v>
      </c>
      <c r="B383" s="2" t="s">
        <v>184</v>
      </c>
      <c r="C383" s="2" t="s">
        <v>1562</v>
      </c>
      <c r="D383" s="2" t="s">
        <v>49</v>
      </c>
      <c r="E383" s="2" t="s">
        <v>1563</v>
      </c>
      <c r="F383" s="2" t="s">
        <v>1564</v>
      </c>
      <c r="G383" s="2" t="s">
        <v>1933</v>
      </c>
    </row>
    <row r="384" customFormat="false" ht="15" hidden="false" customHeight="false" outlineLevel="0" collapsed="false">
      <c r="A384" s="2" t="s">
        <v>1934</v>
      </c>
      <c r="B384" s="2" t="s">
        <v>184</v>
      </c>
      <c r="C384" s="2" t="s">
        <v>1562</v>
      </c>
      <c r="D384" s="2" t="s">
        <v>49</v>
      </c>
      <c r="E384" s="2" t="s">
        <v>1563</v>
      </c>
      <c r="F384" s="2" t="s">
        <v>1564</v>
      </c>
      <c r="G384" s="2" t="s">
        <v>1935</v>
      </c>
    </row>
    <row r="385" customFormat="false" ht="15" hidden="false" customHeight="false" outlineLevel="0" collapsed="false">
      <c r="A385" s="2" t="s">
        <v>1936</v>
      </c>
      <c r="B385" s="2" t="s">
        <v>184</v>
      </c>
      <c r="C385" s="2" t="s">
        <v>1562</v>
      </c>
      <c r="D385" s="2" t="s">
        <v>49</v>
      </c>
      <c r="E385" s="2" t="s">
        <v>1563</v>
      </c>
      <c r="F385" s="2" t="s">
        <v>1186</v>
      </c>
      <c r="G385" s="2" t="s">
        <v>1937</v>
      </c>
    </row>
    <row r="386" customFormat="false" ht="15" hidden="false" customHeight="false" outlineLevel="0" collapsed="false">
      <c r="A386" s="2" t="s">
        <v>1938</v>
      </c>
      <c r="B386" s="2" t="s">
        <v>184</v>
      </c>
      <c r="C386" s="2" t="s">
        <v>1858</v>
      </c>
      <c r="D386" s="2" t="s">
        <v>50</v>
      </c>
      <c r="E386" s="2" t="s">
        <v>1194</v>
      </c>
      <c r="F386" s="2" t="s">
        <v>1186</v>
      </c>
      <c r="G386" s="2" t="s">
        <v>1939</v>
      </c>
    </row>
    <row r="387" customFormat="false" ht="15" hidden="false" customHeight="false" outlineLevel="0" collapsed="false">
      <c r="A387" s="2" t="s">
        <v>1940</v>
      </c>
      <c r="B387" s="2" t="s">
        <v>184</v>
      </c>
      <c r="C387" s="2" t="s">
        <v>1562</v>
      </c>
      <c r="D387" s="2" t="s">
        <v>49</v>
      </c>
      <c r="E387" s="2" t="s">
        <v>1563</v>
      </c>
      <c r="F387" s="2" t="s">
        <v>1186</v>
      </c>
      <c r="G387" s="2" t="s">
        <v>1941</v>
      </c>
    </row>
    <row r="388" customFormat="false" ht="15" hidden="false" customHeight="false" outlineLevel="0" collapsed="false">
      <c r="A388" s="2" t="s">
        <v>1942</v>
      </c>
      <c r="B388" s="2" t="s">
        <v>184</v>
      </c>
      <c r="C388" s="2" t="s">
        <v>1858</v>
      </c>
      <c r="D388" s="2" t="s">
        <v>50</v>
      </c>
      <c r="E388" s="2" t="s">
        <v>1194</v>
      </c>
      <c r="F388" s="2" t="s">
        <v>1186</v>
      </c>
      <c r="G388" s="2" t="s">
        <v>1943</v>
      </c>
    </row>
    <row r="389" customFormat="false" ht="15" hidden="false" customHeight="false" outlineLevel="0" collapsed="false">
      <c r="A389" s="2" t="s">
        <v>1944</v>
      </c>
      <c r="B389" s="2" t="s">
        <v>184</v>
      </c>
      <c r="C389" s="2" t="s">
        <v>1562</v>
      </c>
      <c r="D389" s="2" t="s">
        <v>49</v>
      </c>
      <c r="E389" s="2" t="s">
        <v>1563</v>
      </c>
      <c r="F389" s="2" t="s">
        <v>1186</v>
      </c>
      <c r="G389" s="2" t="s">
        <v>1945</v>
      </c>
    </row>
    <row r="390" customFormat="false" ht="15" hidden="false" customHeight="false" outlineLevel="0" collapsed="false">
      <c r="A390" s="2" t="s">
        <v>1946</v>
      </c>
      <c r="B390" s="2" t="s">
        <v>184</v>
      </c>
      <c r="C390" s="2" t="s">
        <v>1562</v>
      </c>
      <c r="D390" s="2" t="s">
        <v>49</v>
      </c>
      <c r="E390" s="2" t="s">
        <v>1563</v>
      </c>
      <c r="F390" s="2" t="s">
        <v>1186</v>
      </c>
      <c r="G390" s="2" t="s">
        <v>1947</v>
      </c>
    </row>
    <row r="391" customFormat="false" ht="15" hidden="false" customHeight="false" outlineLevel="0" collapsed="false">
      <c r="A391" s="2" t="s">
        <v>1948</v>
      </c>
      <c r="B391" s="2" t="s">
        <v>184</v>
      </c>
      <c r="C391" s="2" t="s">
        <v>1858</v>
      </c>
      <c r="D391" s="2" t="s">
        <v>50</v>
      </c>
      <c r="E391" s="2" t="s">
        <v>1194</v>
      </c>
      <c r="F391" s="2" t="s">
        <v>1186</v>
      </c>
      <c r="G391" s="2" t="s">
        <v>1949</v>
      </c>
    </row>
    <row r="392" customFormat="false" ht="15" hidden="false" customHeight="false" outlineLevel="0" collapsed="false">
      <c r="A392" s="2" t="s">
        <v>1950</v>
      </c>
      <c r="B392" s="2" t="s">
        <v>184</v>
      </c>
      <c r="C392" s="2" t="s">
        <v>1858</v>
      </c>
      <c r="D392" s="2" t="s">
        <v>50</v>
      </c>
      <c r="E392" s="2" t="s">
        <v>1194</v>
      </c>
      <c r="F392" s="2" t="s">
        <v>1186</v>
      </c>
      <c r="G392" s="2" t="s">
        <v>1951</v>
      </c>
    </row>
    <row r="393" customFormat="false" ht="15" hidden="false" customHeight="false" outlineLevel="0" collapsed="false">
      <c r="A393" s="2" t="s">
        <v>1952</v>
      </c>
      <c r="B393" s="2" t="s">
        <v>184</v>
      </c>
      <c r="C393" s="2" t="s">
        <v>1858</v>
      </c>
      <c r="D393" s="2" t="s">
        <v>50</v>
      </c>
      <c r="E393" s="2" t="s">
        <v>1194</v>
      </c>
      <c r="F393" s="2" t="s">
        <v>1186</v>
      </c>
      <c r="G393" s="2" t="s">
        <v>1953</v>
      </c>
    </row>
    <row r="394" customFormat="false" ht="15" hidden="false" customHeight="false" outlineLevel="0" collapsed="false">
      <c r="A394" s="2" t="s">
        <v>1954</v>
      </c>
      <c r="B394" s="2" t="s">
        <v>184</v>
      </c>
      <c r="C394" s="2" t="s">
        <v>1858</v>
      </c>
      <c r="D394" s="2" t="s">
        <v>50</v>
      </c>
      <c r="E394" s="2" t="s">
        <v>1194</v>
      </c>
      <c r="F394" s="2" t="s">
        <v>1186</v>
      </c>
      <c r="G394" s="2" t="s">
        <v>1955</v>
      </c>
    </row>
    <row r="395" customFormat="false" ht="15" hidden="false" customHeight="false" outlineLevel="0" collapsed="false">
      <c r="A395" s="2" t="s">
        <v>1956</v>
      </c>
      <c r="B395" s="2" t="s">
        <v>184</v>
      </c>
      <c r="C395" s="2" t="s">
        <v>1858</v>
      </c>
      <c r="D395" s="2" t="s">
        <v>50</v>
      </c>
      <c r="E395" s="2" t="s">
        <v>1194</v>
      </c>
      <c r="F395" s="2" t="s">
        <v>1186</v>
      </c>
      <c r="G395" s="2" t="s">
        <v>1957</v>
      </c>
    </row>
    <row r="396" customFormat="false" ht="15" hidden="false" customHeight="false" outlineLevel="0" collapsed="false">
      <c r="A396" s="2" t="s">
        <v>1958</v>
      </c>
      <c r="B396" s="2" t="s">
        <v>184</v>
      </c>
      <c r="C396" s="2" t="s">
        <v>1858</v>
      </c>
      <c r="D396" s="2" t="s">
        <v>50</v>
      </c>
      <c r="E396" s="2" t="s">
        <v>1194</v>
      </c>
      <c r="F396" s="2" t="s">
        <v>1186</v>
      </c>
      <c r="G396" s="2" t="s">
        <v>1959</v>
      </c>
    </row>
    <row r="397" customFormat="false" ht="15" hidden="false" customHeight="false" outlineLevel="0" collapsed="false">
      <c r="A397" s="2" t="s">
        <v>1960</v>
      </c>
      <c r="B397" s="2" t="s">
        <v>184</v>
      </c>
      <c r="C397" s="2" t="s">
        <v>1858</v>
      </c>
      <c r="D397" s="2" t="s">
        <v>50</v>
      </c>
      <c r="E397" s="2" t="s">
        <v>1194</v>
      </c>
      <c r="F397" s="2" t="s">
        <v>1186</v>
      </c>
      <c r="G397" s="2" t="s">
        <v>1961</v>
      </c>
    </row>
    <row r="398" customFormat="false" ht="15" hidden="false" customHeight="false" outlineLevel="0" collapsed="false">
      <c r="A398" s="2" t="s">
        <v>1962</v>
      </c>
      <c r="B398" s="2" t="s">
        <v>184</v>
      </c>
      <c r="C398" s="2" t="s">
        <v>1858</v>
      </c>
      <c r="D398" s="2" t="s">
        <v>50</v>
      </c>
      <c r="E398" s="2" t="s">
        <v>1194</v>
      </c>
      <c r="F398" s="2" t="s">
        <v>1186</v>
      </c>
      <c r="G398" s="2" t="s">
        <v>1963</v>
      </c>
    </row>
    <row r="399" customFormat="false" ht="15" hidden="false" customHeight="false" outlineLevel="0" collapsed="false">
      <c r="A399" s="2" t="s">
        <v>1964</v>
      </c>
      <c r="B399" s="2" t="s">
        <v>184</v>
      </c>
      <c r="C399" s="2" t="s">
        <v>1562</v>
      </c>
      <c r="D399" s="2" t="s">
        <v>49</v>
      </c>
      <c r="E399" s="2" t="s">
        <v>1563</v>
      </c>
      <c r="F399" s="2" t="s">
        <v>1186</v>
      </c>
      <c r="G399" s="2" t="s">
        <v>1965</v>
      </c>
    </row>
    <row r="400" customFormat="false" ht="15" hidden="false" customHeight="false" outlineLevel="0" collapsed="false">
      <c r="A400" s="2" t="s">
        <v>1966</v>
      </c>
      <c r="B400" s="2" t="s">
        <v>184</v>
      </c>
      <c r="C400" s="2" t="s">
        <v>1858</v>
      </c>
      <c r="D400" s="2" t="s">
        <v>50</v>
      </c>
      <c r="E400" s="2" t="s">
        <v>1194</v>
      </c>
      <c r="F400" s="2" t="s">
        <v>1186</v>
      </c>
      <c r="G400" s="2" t="s">
        <v>1967</v>
      </c>
    </row>
    <row r="401" customFormat="false" ht="15" hidden="false" customHeight="false" outlineLevel="0" collapsed="false">
      <c r="A401" s="2" t="s">
        <v>1968</v>
      </c>
      <c r="B401" s="2" t="s">
        <v>184</v>
      </c>
      <c r="C401" s="2" t="s">
        <v>1858</v>
      </c>
      <c r="D401" s="2" t="s">
        <v>50</v>
      </c>
      <c r="E401" s="2" t="s">
        <v>1194</v>
      </c>
      <c r="F401" s="2" t="s">
        <v>1186</v>
      </c>
      <c r="G401" s="2" t="s">
        <v>1969</v>
      </c>
    </row>
    <row r="402" customFormat="false" ht="15" hidden="false" customHeight="false" outlineLevel="0" collapsed="false">
      <c r="A402" s="2" t="s">
        <v>1970</v>
      </c>
      <c r="B402" s="2" t="s">
        <v>184</v>
      </c>
      <c r="C402" s="2" t="s">
        <v>1858</v>
      </c>
      <c r="D402" s="2" t="s">
        <v>50</v>
      </c>
      <c r="E402" s="2" t="s">
        <v>1194</v>
      </c>
      <c r="F402" s="2" t="s">
        <v>1186</v>
      </c>
      <c r="G402" s="2" t="s">
        <v>1971</v>
      </c>
    </row>
    <row r="403" customFormat="false" ht="15" hidden="false" customHeight="false" outlineLevel="0" collapsed="false">
      <c r="A403" s="2" t="s">
        <v>1972</v>
      </c>
      <c r="B403" s="2" t="s">
        <v>184</v>
      </c>
      <c r="C403" s="2" t="s">
        <v>1858</v>
      </c>
      <c r="D403" s="2" t="s">
        <v>50</v>
      </c>
      <c r="E403" s="2" t="s">
        <v>1194</v>
      </c>
      <c r="F403" s="2" t="s">
        <v>1186</v>
      </c>
      <c r="G403" s="2" t="s">
        <v>1973</v>
      </c>
    </row>
    <row r="404" customFormat="false" ht="15" hidden="false" customHeight="false" outlineLevel="0" collapsed="false">
      <c r="A404" s="2" t="s">
        <v>1974</v>
      </c>
      <c r="B404" s="2" t="s">
        <v>184</v>
      </c>
      <c r="C404" s="2" t="s">
        <v>1858</v>
      </c>
      <c r="D404" s="2" t="s">
        <v>50</v>
      </c>
      <c r="E404" s="2" t="s">
        <v>1194</v>
      </c>
      <c r="F404" s="2" t="s">
        <v>1186</v>
      </c>
      <c r="G404" s="2" t="s">
        <v>1975</v>
      </c>
    </row>
    <row r="405" customFormat="false" ht="15" hidden="false" customHeight="false" outlineLevel="0" collapsed="false">
      <c r="A405" s="2" t="s">
        <v>1976</v>
      </c>
      <c r="B405" s="2" t="s">
        <v>184</v>
      </c>
      <c r="C405" s="2" t="s">
        <v>1858</v>
      </c>
      <c r="D405" s="2" t="s">
        <v>50</v>
      </c>
      <c r="E405" s="2" t="s">
        <v>1194</v>
      </c>
      <c r="F405" s="2" t="s">
        <v>1186</v>
      </c>
      <c r="G405" s="2" t="s">
        <v>1977</v>
      </c>
    </row>
    <row r="406" customFormat="false" ht="15" hidden="false" customHeight="false" outlineLevel="0" collapsed="false">
      <c r="A406" s="2" t="s">
        <v>1978</v>
      </c>
      <c r="B406" s="2" t="s">
        <v>184</v>
      </c>
      <c r="C406" s="2" t="s">
        <v>1858</v>
      </c>
      <c r="D406" s="2" t="s">
        <v>50</v>
      </c>
      <c r="E406" s="2" t="s">
        <v>1194</v>
      </c>
      <c r="F406" s="2" t="s">
        <v>1186</v>
      </c>
      <c r="G406" s="2" t="s">
        <v>1979</v>
      </c>
    </row>
    <row r="407" customFormat="false" ht="15" hidden="false" customHeight="false" outlineLevel="0" collapsed="false">
      <c r="A407" s="2" t="s">
        <v>1980</v>
      </c>
      <c r="B407" s="2" t="s">
        <v>184</v>
      </c>
      <c r="C407" s="2" t="s">
        <v>1858</v>
      </c>
      <c r="D407" s="2" t="s">
        <v>50</v>
      </c>
      <c r="E407" s="2" t="s">
        <v>1194</v>
      </c>
      <c r="F407" s="2" t="s">
        <v>1186</v>
      </c>
      <c r="G407" s="2" t="s">
        <v>1981</v>
      </c>
    </row>
    <row r="408" customFormat="false" ht="15" hidden="false" customHeight="false" outlineLevel="0" collapsed="false">
      <c r="A408" s="2" t="s">
        <v>1982</v>
      </c>
      <c r="B408" s="2" t="s">
        <v>184</v>
      </c>
      <c r="C408" s="2" t="s">
        <v>1858</v>
      </c>
      <c r="D408" s="2" t="s">
        <v>50</v>
      </c>
      <c r="E408" s="2" t="s">
        <v>1194</v>
      </c>
      <c r="F408" s="2" t="s">
        <v>1186</v>
      </c>
      <c r="G408" s="2" t="s">
        <v>1983</v>
      </c>
    </row>
    <row r="409" customFormat="false" ht="15" hidden="false" customHeight="false" outlineLevel="0" collapsed="false">
      <c r="A409" s="2" t="s">
        <v>1984</v>
      </c>
      <c r="B409" s="2" t="s">
        <v>184</v>
      </c>
      <c r="C409" s="2" t="s">
        <v>1858</v>
      </c>
      <c r="D409" s="2" t="s">
        <v>50</v>
      </c>
      <c r="E409" s="2" t="s">
        <v>1194</v>
      </c>
      <c r="F409" s="2" t="s">
        <v>1186</v>
      </c>
      <c r="G409" s="2" t="s">
        <v>1985</v>
      </c>
    </row>
    <row r="410" customFormat="false" ht="15" hidden="false" customHeight="false" outlineLevel="0" collapsed="false">
      <c r="A410" s="2" t="s">
        <v>1986</v>
      </c>
      <c r="B410" s="2" t="s">
        <v>184</v>
      </c>
      <c r="C410" s="2" t="s">
        <v>1858</v>
      </c>
      <c r="D410" s="2" t="s">
        <v>50</v>
      </c>
      <c r="E410" s="2" t="s">
        <v>1194</v>
      </c>
      <c r="F410" s="2" t="s">
        <v>1186</v>
      </c>
      <c r="G410" s="2" t="s">
        <v>1987</v>
      </c>
    </row>
    <row r="411" customFormat="false" ht="15" hidden="false" customHeight="false" outlineLevel="0" collapsed="false">
      <c r="A411" s="2" t="s">
        <v>1988</v>
      </c>
      <c r="B411" s="2" t="s">
        <v>184</v>
      </c>
      <c r="C411" s="2" t="s">
        <v>1858</v>
      </c>
      <c r="D411" s="2" t="s">
        <v>50</v>
      </c>
      <c r="E411" s="2" t="s">
        <v>1194</v>
      </c>
      <c r="F411" s="2" t="s">
        <v>1186</v>
      </c>
      <c r="G411" s="2" t="s">
        <v>1989</v>
      </c>
    </row>
    <row r="412" customFormat="false" ht="15" hidden="false" customHeight="false" outlineLevel="0" collapsed="false">
      <c r="A412" s="2" t="s">
        <v>1990</v>
      </c>
      <c r="B412" s="2" t="s">
        <v>184</v>
      </c>
      <c r="C412" s="2" t="s">
        <v>1562</v>
      </c>
      <c r="D412" s="2" t="s">
        <v>49</v>
      </c>
      <c r="E412" s="2" t="s">
        <v>1563</v>
      </c>
      <c r="F412" s="2" t="s">
        <v>1186</v>
      </c>
      <c r="G412" s="2" t="s">
        <v>1991</v>
      </c>
    </row>
    <row r="413" customFormat="false" ht="15" hidden="false" customHeight="false" outlineLevel="0" collapsed="false">
      <c r="A413" s="2" t="s">
        <v>1992</v>
      </c>
      <c r="B413" s="2" t="s">
        <v>184</v>
      </c>
      <c r="C413" s="2" t="s">
        <v>1858</v>
      </c>
      <c r="D413" s="2" t="s">
        <v>50</v>
      </c>
      <c r="E413" s="2" t="s">
        <v>1194</v>
      </c>
      <c r="F413" s="2" t="s">
        <v>1186</v>
      </c>
      <c r="G413" s="2" t="s">
        <v>1993</v>
      </c>
    </row>
    <row r="414" customFormat="false" ht="15" hidden="false" customHeight="false" outlineLevel="0" collapsed="false">
      <c r="A414" s="2" t="s">
        <v>1994</v>
      </c>
      <c r="B414" s="2" t="s">
        <v>184</v>
      </c>
      <c r="C414" s="2" t="s">
        <v>1858</v>
      </c>
      <c r="D414" s="2" t="s">
        <v>50</v>
      </c>
      <c r="E414" s="2" t="s">
        <v>1194</v>
      </c>
      <c r="F414" s="2" t="s">
        <v>1186</v>
      </c>
      <c r="G414" s="2" t="s">
        <v>1995</v>
      </c>
    </row>
    <row r="415" customFormat="false" ht="15" hidden="false" customHeight="false" outlineLevel="0" collapsed="false">
      <c r="A415" s="2" t="s">
        <v>1996</v>
      </c>
      <c r="B415" s="2" t="s">
        <v>184</v>
      </c>
      <c r="C415" s="2" t="s">
        <v>1858</v>
      </c>
      <c r="D415" s="2" t="s">
        <v>50</v>
      </c>
      <c r="E415" s="2" t="s">
        <v>1194</v>
      </c>
      <c r="F415" s="2" t="s">
        <v>1186</v>
      </c>
      <c r="G415" s="2" t="s">
        <v>1997</v>
      </c>
    </row>
    <row r="416" customFormat="false" ht="15" hidden="false" customHeight="false" outlineLevel="0" collapsed="false">
      <c r="A416" s="2" t="s">
        <v>1998</v>
      </c>
      <c r="B416" s="2" t="s">
        <v>184</v>
      </c>
      <c r="C416" s="2" t="s">
        <v>1858</v>
      </c>
      <c r="D416" s="2" t="s">
        <v>50</v>
      </c>
      <c r="E416" s="2" t="s">
        <v>1194</v>
      </c>
      <c r="F416" s="2" t="s">
        <v>1186</v>
      </c>
      <c r="G416" s="2" t="s">
        <v>1999</v>
      </c>
    </row>
    <row r="417" customFormat="false" ht="15" hidden="false" customHeight="false" outlineLevel="0" collapsed="false">
      <c r="A417" s="2" t="s">
        <v>2000</v>
      </c>
      <c r="B417" s="2" t="s">
        <v>184</v>
      </c>
      <c r="C417" s="2" t="s">
        <v>1858</v>
      </c>
      <c r="D417" s="2" t="s">
        <v>50</v>
      </c>
      <c r="E417" s="2" t="s">
        <v>1194</v>
      </c>
      <c r="F417" s="2" t="s">
        <v>1186</v>
      </c>
      <c r="G417" s="2" t="s">
        <v>2001</v>
      </c>
    </row>
    <row r="418" customFormat="false" ht="15" hidden="false" customHeight="false" outlineLevel="0" collapsed="false">
      <c r="A418" s="2" t="s">
        <v>2002</v>
      </c>
      <c r="B418" s="2" t="s">
        <v>184</v>
      </c>
      <c r="C418" s="2" t="s">
        <v>1858</v>
      </c>
      <c r="D418" s="2" t="s">
        <v>50</v>
      </c>
      <c r="E418" s="2" t="s">
        <v>1194</v>
      </c>
      <c r="F418" s="2" t="s">
        <v>1186</v>
      </c>
      <c r="G418" s="2" t="s">
        <v>2003</v>
      </c>
    </row>
    <row r="419" customFormat="false" ht="15" hidden="false" customHeight="false" outlineLevel="0" collapsed="false">
      <c r="A419" s="2" t="s">
        <v>2004</v>
      </c>
      <c r="B419" s="2" t="s">
        <v>184</v>
      </c>
      <c r="C419" s="2" t="s">
        <v>1858</v>
      </c>
      <c r="D419" s="2" t="s">
        <v>50</v>
      </c>
      <c r="E419" s="2" t="s">
        <v>1194</v>
      </c>
      <c r="F419" s="2" t="s">
        <v>1186</v>
      </c>
      <c r="G419" s="2" t="s">
        <v>2005</v>
      </c>
    </row>
    <row r="420" customFormat="false" ht="15" hidden="false" customHeight="false" outlineLevel="0" collapsed="false">
      <c r="A420" s="2" t="s">
        <v>2006</v>
      </c>
      <c r="B420" s="2" t="s">
        <v>184</v>
      </c>
      <c r="C420" s="2" t="s">
        <v>1858</v>
      </c>
      <c r="D420" s="2" t="s">
        <v>50</v>
      </c>
      <c r="E420" s="2" t="s">
        <v>1194</v>
      </c>
      <c r="F420" s="2" t="s">
        <v>1186</v>
      </c>
      <c r="G420" s="2" t="s">
        <v>2007</v>
      </c>
    </row>
    <row r="421" customFormat="false" ht="15" hidden="false" customHeight="false" outlineLevel="0" collapsed="false">
      <c r="A421" s="2" t="s">
        <v>2008</v>
      </c>
      <c r="B421" s="2" t="s">
        <v>184</v>
      </c>
      <c r="C421" s="2" t="s">
        <v>1858</v>
      </c>
      <c r="D421" s="2" t="s">
        <v>50</v>
      </c>
      <c r="E421" s="2" t="s">
        <v>1194</v>
      </c>
      <c r="F421" s="2" t="s">
        <v>1186</v>
      </c>
      <c r="G421" s="2" t="s">
        <v>2009</v>
      </c>
    </row>
    <row r="422" customFormat="false" ht="15" hidden="false" customHeight="false" outlineLevel="0" collapsed="false">
      <c r="A422" s="2" t="s">
        <v>2010</v>
      </c>
      <c r="B422" s="2" t="s">
        <v>184</v>
      </c>
      <c r="C422" s="2" t="s">
        <v>1858</v>
      </c>
      <c r="D422" s="2" t="s">
        <v>50</v>
      </c>
      <c r="E422" s="2" t="s">
        <v>1194</v>
      </c>
      <c r="F422" s="2" t="s">
        <v>1186</v>
      </c>
      <c r="G422" s="2" t="s">
        <v>2011</v>
      </c>
    </row>
    <row r="423" customFormat="false" ht="15" hidden="false" customHeight="false" outlineLevel="0" collapsed="false">
      <c r="A423" s="2" t="s">
        <v>2012</v>
      </c>
      <c r="B423" s="2" t="s">
        <v>184</v>
      </c>
      <c r="C423" s="2" t="s">
        <v>1858</v>
      </c>
      <c r="D423" s="2" t="s">
        <v>50</v>
      </c>
      <c r="E423" s="2" t="s">
        <v>1194</v>
      </c>
      <c r="F423" s="2" t="s">
        <v>1186</v>
      </c>
      <c r="G423" s="2" t="s">
        <v>2013</v>
      </c>
    </row>
    <row r="424" customFormat="false" ht="15" hidden="false" customHeight="false" outlineLevel="0" collapsed="false">
      <c r="A424" s="2" t="s">
        <v>2014</v>
      </c>
      <c r="B424" s="2" t="s">
        <v>184</v>
      </c>
      <c r="C424" s="2" t="s">
        <v>1858</v>
      </c>
      <c r="D424" s="2" t="s">
        <v>50</v>
      </c>
      <c r="E424" s="2" t="s">
        <v>1194</v>
      </c>
      <c r="F424" s="2" t="s">
        <v>1186</v>
      </c>
      <c r="G424" s="2" t="s">
        <v>2015</v>
      </c>
    </row>
    <row r="425" customFormat="false" ht="15" hidden="false" customHeight="false" outlineLevel="0" collapsed="false">
      <c r="A425" s="2" t="s">
        <v>2016</v>
      </c>
      <c r="B425" s="2" t="s">
        <v>184</v>
      </c>
      <c r="C425" s="2" t="s">
        <v>1858</v>
      </c>
      <c r="D425" s="2" t="s">
        <v>50</v>
      </c>
      <c r="E425" s="2" t="s">
        <v>1194</v>
      </c>
      <c r="F425" s="2" t="s">
        <v>1186</v>
      </c>
      <c r="G425" s="2" t="s">
        <v>2017</v>
      </c>
    </row>
    <row r="426" customFormat="false" ht="15" hidden="false" customHeight="false" outlineLevel="0" collapsed="false">
      <c r="A426" s="2" t="s">
        <v>2018</v>
      </c>
      <c r="B426" s="2" t="s">
        <v>184</v>
      </c>
      <c r="C426" s="2" t="s">
        <v>1858</v>
      </c>
      <c r="D426" s="2" t="s">
        <v>50</v>
      </c>
      <c r="E426" s="2" t="s">
        <v>1194</v>
      </c>
      <c r="F426" s="2" t="s">
        <v>1186</v>
      </c>
      <c r="G426" s="2" t="s">
        <v>2019</v>
      </c>
    </row>
    <row r="427" customFormat="false" ht="15" hidden="false" customHeight="false" outlineLevel="0" collapsed="false">
      <c r="A427" s="2" t="s">
        <v>2020</v>
      </c>
      <c r="B427" s="2" t="s">
        <v>184</v>
      </c>
      <c r="C427" s="2" t="s">
        <v>1858</v>
      </c>
      <c r="D427" s="2" t="s">
        <v>50</v>
      </c>
      <c r="E427" s="2" t="s">
        <v>1194</v>
      </c>
      <c r="F427" s="2" t="s">
        <v>1186</v>
      </c>
      <c r="G427" s="2" t="s">
        <v>2021</v>
      </c>
    </row>
    <row r="428" customFormat="false" ht="15" hidden="false" customHeight="false" outlineLevel="0" collapsed="false">
      <c r="A428" s="2" t="s">
        <v>2022</v>
      </c>
      <c r="B428" s="2" t="s">
        <v>184</v>
      </c>
      <c r="C428" s="2" t="s">
        <v>1858</v>
      </c>
      <c r="D428" s="2" t="s">
        <v>50</v>
      </c>
      <c r="E428" s="2" t="s">
        <v>1194</v>
      </c>
      <c r="F428" s="2" t="s">
        <v>1186</v>
      </c>
      <c r="G428" s="2" t="s">
        <v>2023</v>
      </c>
    </row>
    <row r="429" customFormat="false" ht="15" hidden="false" customHeight="false" outlineLevel="0" collapsed="false">
      <c r="A429" s="2" t="s">
        <v>2024</v>
      </c>
      <c r="B429" s="2" t="s">
        <v>184</v>
      </c>
      <c r="C429" s="2" t="s">
        <v>1858</v>
      </c>
      <c r="D429" s="2" t="s">
        <v>50</v>
      </c>
      <c r="E429" s="2" t="s">
        <v>1194</v>
      </c>
      <c r="F429" s="2" t="s">
        <v>1186</v>
      </c>
      <c r="G429" s="2" t="s">
        <v>2025</v>
      </c>
    </row>
    <row r="430" customFormat="false" ht="15" hidden="false" customHeight="false" outlineLevel="0" collapsed="false">
      <c r="A430" s="2" t="s">
        <v>2026</v>
      </c>
      <c r="B430" s="2" t="s">
        <v>184</v>
      </c>
      <c r="C430" s="2" t="s">
        <v>1858</v>
      </c>
      <c r="D430" s="2" t="s">
        <v>50</v>
      </c>
      <c r="E430" s="2" t="s">
        <v>1194</v>
      </c>
      <c r="F430" s="2" t="s">
        <v>1186</v>
      </c>
      <c r="G430" s="2" t="s">
        <v>2027</v>
      </c>
    </row>
    <row r="431" customFormat="false" ht="15" hidden="false" customHeight="false" outlineLevel="0" collapsed="false">
      <c r="A431" s="2" t="s">
        <v>2028</v>
      </c>
      <c r="B431" s="2" t="s">
        <v>184</v>
      </c>
      <c r="C431" s="2" t="s">
        <v>1858</v>
      </c>
      <c r="D431" s="2" t="s">
        <v>50</v>
      </c>
      <c r="E431" s="2" t="s">
        <v>1194</v>
      </c>
      <c r="F431" s="2" t="s">
        <v>1186</v>
      </c>
      <c r="G431" s="2" t="s">
        <v>2029</v>
      </c>
    </row>
    <row r="432" customFormat="false" ht="15" hidden="false" customHeight="false" outlineLevel="0" collapsed="false">
      <c r="A432" s="2" t="s">
        <v>2030</v>
      </c>
      <c r="B432" s="2" t="s">
        <v>184</v>
      </c>
      <c r="C432" s="2" t="s">
        <v>1858</v>
      </c>
      <c r="D432" s="2" t="s">
        <v>50</v>
      </c>
      <c r="E432" s="2" t="s">
        <v>1194</v>
      </c>
      <c r="F432" s="2" t="s">
        <v>1186</v>
      </c>
      <c r="G432" s="2" t="s">
        <v>2031</v>
      </c>
    </row>
    <row r="433" customFormat="false" ht="15" hidden="false" customHeight="false" outlineLevel="0" collapsed="false">
      <c r="A433" s="2" t="s">
        <v>2032</v>
      </c>
      <c r="B433" s="2" t="s">
        <v>184</v>
      </c>
      <c r="C433" s="2" t="s">
        <v>1858</v>
      </c>
      <c r="D433" s="2" t="s">
        <v>50</v>
      </c>
      <c r="E433" s="2" t="s">
        <v>1194</v>
      </c>
      <c r="F433" s="2" t="s">
        <v>1186</v>
      </c>
      <c r="G433" s="2" t="s">
        <v>2033</v>
      </c>
    </row>
    <row r="434" customFormat="false" ht="15" hidden="false" customHeight="false" outlineLevel="0" collapsed="false">
      <c r="A434" s="2" t="s">
        <v>2034</v>
      </c>
      <c r="B434" s="2" t="s">
        <v>184</v>
      </c>
      <c r="C434" s="2" t="s">
        <v>1858</v>
      </c>
      <c r="D434" s="2" t="s">
        <v>50</v>
      </c>
      <c r="E434" s="2" t="s">
        <v>1194</v>
      </c>
      <c r="F434" s="2" t="s">
        <v>1186</v>
      </c>
      <c r="G434" s="2" t="s">
        <v>2035</v>
      </c>
    </row>
    <row r="435" customFormat="false" ht="15" hidden="false" customHeight="false" outlineLevel="0" collapsed="false">
      <c r="A435" s="2" t="s">
        <v>2036</v>
      </c>
      <c r="B435" s="2" t="s">
        <v>184</v>
      </c>
      <c r="C435" s="2" t="s">
        <v>1858</v>
      </c>
      <c r="D435" s="2" t="s">
        <v>50</v>
      </c>
      <c r="E435" s="2" t="s">
        <v>1194</v>
      </c>
      <c r="F435" s="2" t="s">
        <v>1186</v>
      </c>
      <c r="G435" s="2" t="s">
        <v>2037</v>
      </c>
    </row>
    <row r="436" customFormat="false" ht="15" hidden="false" customHeight="false" outlineLevel="0" collapsed="false">
      <c r="A436" s="2" t="s">
        <v>2038</v>
      </c>
      <c r="B436" s="2" t="s">
        <v>184</v>
      </c>
      <c r="C436" s="2" t="s">
        <v>1858</v>
      </c>
      <c r="D436" s="2" t="s">
        <v>50</v>
      </c>
      <c r="E436" s="2" t="s">
        <v>1194</v>
      </c>
      <c r="F436" s="2" t="s">
        <v>1186</v>
      </c>
      <c r="G436" s="2" t="s">
        <v>2039</v>
      </c>
    </row>
    <row r="437" customFormat="false" ht="15" hidden="false" customHeight="false" outlineLevel="0" collapsed="false">
      <c r="A437" s="2" t="s">
        <v>2040</v>
      </c>
      <c r="B437" s="2" t="s">
        <v>184</v>
      </c>
      <c r="C437" s="2" t="s">
        <v>1858</v>
      </c>
      <c r="D437" s="2" t="s">
        <v>50</v>
      </c>
      <c r="E437" s="2" t="s">
        <v>1194</v>
      </c>
      <c r="F437" s="2" t="s">
        <v>1186</v>
      </c>
      <c r="G437" s="2" t="s">
        <v>2041</v>
      </c>
    </row>
    <row r="438" customFormat="false" ht="15" hidden="false" customHeight="false" outlineLevel="0" collapsed="false">
      <c r="A438" s="2" t="s">
        <v>2042</v>
      </c>
      <c r="B438" s="2" t="s">
        <v>184</v>
      </c>
      <c r="C438" s="2" t="s">
        <v>1858</v>
      </c>
      <c r="D438" s="2" t="s">
        <v>50</v>
      </c>
      <c r="E438" s="2" t="s">
        <v>1194</v>
      </c>
      <c r="F438" s="2" t="s">
        <v>1186</v>
      </c>
      <c r="G438" s="2" t="s">
        <v>2043</v>
      </c>
    </row>
    <row r="439" customFormat="false" ht="15" hidden="false" customHeight="false" outlineLevel="0" collapsed="false">
      <c r="A439" s="2" t="s">
        <v>2044</v>
      </c>
      <c r="B439" s="2" t="s">
        <v>184</v>
      </c>
      <c r="C439" s="2" t="s">
        <v>1858</v>
      </c>
      <c r="D439" s="2" t="s">
        <v>50</v>
      </c>
      <c r="E439" s="2" t="s">
        <v>1194</v>
      </c>
      <c r="F439" s="2" t="s">
        <v>1186</v>
      </c>
      <c r="G439" s="2" t="s">
        <v>2045</v>
      </c>
    </row>
    <row r="440" customFormat="false" ht="15" hidden="false" customHeight="false" outlineLevel="0" collapsed="false">
      <c r="A440" s="2" t="s">
        <v>2046</v>
      </c>
      <c r="B440" s="2" t="s">
        <v>184</v>
      </c>
      <c r="C440" s="2" t="s">
        <v>1858</v>
      </c>
      <c r="D440" s="2" t="s">
        <v>50</v>
      </c>
      <c r="E440" s="2" t="s">
        <v>1194</v>
      </c>
      <c r="F440" s="2" t="s">
        <v>1186</v>
      </c>
      <c r="G440" s="2" t="s">
        <v>2047</v>
      </c>
    </row>
    <row r="441" customFormat="false" ht="15" hidden="false" customHeight="false" outlineLevel="0" collapsed="false">
      <c r="A441" s="2" t="s">
        <v>2048</v>
      </c>
      <c r="B441" s="2" t="s">
        <v>184</v>
      </c>
      <c r="C441" s="2" t="s">
        <v>1858</v>
      </c>
      <c r="D441" s="2" t="s">
        <v>50</v>
      </c>
      <c r="E441" s="2" t="s">
        <v>1194</v>
      </c>
      <c r="F441" s="2" t="s">
        <v>1186</v>
      </c>
      <c r="G441" s="2" t="s">
        <v>2049</v>
      </c>
    </row>
    <row r="442" customFormat="false" ht="15" hidden="false" customHeight="false" outlineLevel="0" collapsed="false">
      <c r="A442" s="2" t="s">
        <v>2050</v>
      </c>
      <c r="B442" s="2" t="s">
        <v>184</v>
      </c>
      <c r="C442" s="2" t="s">
        <v>1858</v>
      </c>
      <c r="D442" s="2" t="s">
        <v>50</v>
      </c>
      <c r="E442" s="2" t="s">
        <v>1194</v>
      </c>
      <c r="F442" s="2" t="s">
        <v>1186</v>
      </c>
      <c r="G442" s="2" t="s">
        <v>2051</v>
      </c>
    </row>
    <row r="443" customFormat="false" ht="15" hidden="false" customHeight="false" outlineLevel="0" collapsed="false">
      <c r="A443" s="2" t="s">
        <v>2052</v>
      </c>
      <c r="B443" s="2" t="s">
        <v>184</v>
      </c>
      <c r="C443" s="2" t="s">
        <v>1858</v>
      </c>
      <c r="D443" s="2" t="s">
        <v>50</v>
      </c>
      <c r="E443" s="2" t="s">
        <v>1194</v>
      </c>
      <c r="F443" s="2" t="s">
        <v>1186</v>
      </c>
      <c r="G443" s="2" t="s">
        <v>2053</v>
      </c>
    </row>
    <row r="444" customFormat="false" ht="15" hidden="false" customHeight="false" outlineLevel="0" collapsed="false">
      <c r="A444" s="2" t="s">
        <v>2054</v>
      </c>
      <c r="B444" s="2" t="s">
        <v>184</v>
      </c>
      <c r="C444" s="2" t="s">
        <v>1858</v>
      </c>
      <c r="D444" s="2" t="s">
        <v>50</v>
      </c>
      <c r="E444" s="2" t="s">
        <v>1194</v>
      </c>
      <c r="F444" s="2" t="s">
        <v>1186</v>
      </c>
      <c r="G444" s="2" t="s">
        <v>2055</v>
      </c>
    </row>
    <row r="445" customFormat="false" ht="15" hidden="false" customHeight="false" outlineLevel="0" collapsed="false">
      <c r="A445" s="2" t="s">
        <v>2056</v>
      </c>
      <c r="B445" s="2" t="s">
        <v>184</v>
      </c>
      <c r="C445" s="2" t="s">
        <v>1858</v>
      </c>
      <c r="D445" s="2" t="s">
        <v>50</v>
      </c>
      <c r="E445" s="2" t="s">
        <v>1194</v>
      </c>
      <c r="F445" s="2" t="s">
        <v>1186</v>
      </c>
      <c r="G445" s="2" t="s">
        <v>2057</v>
      </c>
    </row>
    <row r="446" customFormat="false" ht="15" hidden="false" customHeight="false" outlineLevel="0" collapsed="false">
      <c r="A446" s="2" t="s">
        <v>2058</v>
      </c>
      <c r="B446" s="2" t="s">
        <v>184</v>
      </c>
      <c r="C446" s="2" t="s">
        <v>1858</v>
      </c>
      <c r="D446" s="2" t="s">
        <v>50</v>
      </c>
      <c r="E446" s="2" t="s">
        <v>1194</v>
      </c>
      <c r="F446" s="2" t="s">
        <v>1186</v>
      </c>
      <c r="G446" s="2" t="s">
        <v>2059</v>
      </c>
    </row>
    <row r="447" customFormat="false" ht="15" hidden="false" customHeight="false" outlineLevel="0" collapsed="false">
      <c r="A447" s="2" t="s">
        <v>2060</v>
      </c>
      <c r="B447" s="2" t="s">
        <v>184</v>
      </c>
      <c r="C447" s="2" t="s">
        <v>1858</v>
      </c>
      <c r="D447" s="2" t="s">
        <v>50</v>
      </c>
      <c r="E447" s="2" t="s">
        <v>1194</v>
      </c>
      <c r="F447" s="2" t="s">
        <v>1186</v>
      </c>
      <c r="G447" s="2" t="s">
        <v>2061</v>
      </c>
    </row>
    <row r="448" customFormat="false" ht="15" hidden="false" customHeight="false" outlineLevel="0" collapsed="false">
      <c r="A448" s="2" t="s">
        <v>2062</v>
      </c>
      <c r="B448" s="2" t="s">
        <v>184</v>
      </c>
      <c r="C448" s="2" t="s">
        <v>1858</v>
      </c>
      <c r="D448" s="2" t="s">
        <v>50</v>
      </c>
      <c r="E448" s="2" t="s">
        <v>1194</v>
      </c>
      <c r="F448" s="2" t="s">
        <v>1186</v>
      </c>
      <c r="G448" s="2" t="s">
        <v>2063</v>
      </c>
    </row>
    <row r="449" customFormat="false" ht="15" hidden="false" customHeight="false" outlineLevel="0" collapsed="false">
      <c r="A449" s="2" t="s">
        <v>2064</v>
      </c>
      <c r="B449" s="2" t="s">
        <v>184</v>
      </c>
      <c r="C449" s="2" t="s">
        <v>1858</v>
      </c>
      <c r="D449" s="2" t="s">
        <v>50</v>
      </c>
      <c r="E449" s="2" t="s">
        <v>1194</v>
      </c>
      <c r="F449" s="2" t="s">
        <v>1186</v>
      </c>
      <c r="G449" s="2" t="s">
        <v>2065</v>
      </c>
    </row>
    <row r="450" customFormat="false" ht="15" hidden="false" customHeight="false" outlineLevel="0" collapsed="false">
      <c r="A450" s="2" t="s">
        <v>2066</v>
      </c>
      <c r="B450" s="2" t="s">
        <v>184</v>
      </c>
      <c r="C450" s="2" t="s">
        <v>1858</v>
      </c>
      <c r="D450" s="2" t="s">
        <v>50</v>
      </c>
      <c r="E450" s="2" t="s">
        <v>1194</v>
      </c>
      <c r="F450" s="2" t="s">
        <v>1186</v>
      </c>
      <c r="G450" s="2" t="s">
        <v>2067</v>
      </c>
    </row>
    <row r="451" customFormat="false" ht="15" hidden="false" customHeight="false" outlineLevel="0" collapsed="false">
      <c r="A451" s="2" t="s">
        <v>2068</v>
      </c>
      <c r="B451" s="2" t="s">
        <v>184</v>
      </c>
      <c r="C451" s="2" t="s">
        <v>1858</v>
      </c>
      <c r="D451" s="2" t="s">
        <v>50</v>
      </c>
      <c r="E451" s="2" t="s">
        <v>1194</v>
      </c>
      <c r="F451" s="2" t="s">
        <v>1186</v>
      </c>
      <c r="G451" s="2" t="s">
        <v>2069</v>
      </c>
    </row>
    <row r="452" customFormat="false" ht="15" hidden="false" customHeight="false" outlineLevel="0" collapsed="false">
      <c r="A452" s="2" t="s">
        <v>2070</v>
      </c>
      <c r="B452" s="2" t="s">
        <v>184</v>
      </c>
      <c r="C452" s="2" t="s">
        <v>1858</v>
      </c>
      <c r="D452" s="2" t="s">
        <v>50</v>
      </c>
      <c r="E452" s="2" t="s">
        <v>1194</v>
      </c>
      <c r="F452" s="2" t="s">
        <v>1186</v>
      </c>
      <c r="G452" s="2" t="s">
        <v>2071</v>
      </c>
    </row>
    <row r="453" customFormat="false" ht="15" hidden="false" customHeight="false" outlineLevel="0" collapsed="false">
      <c r="A453" s="2" t="s">
        <v>2072</v>
      </c>
      <c r="B453" s="2" t="s">
        <v>184</v>
      </c>
      <c r="C453" s="2" t="s">
        <v>1858</v>
      </c>
      <c r="D453" s="2" t="s">
        <v>50</v>
      </c>
      <c r="E453" s="2" t="s">
        <v>1194</v>
      </c>
      <c r="F453" s="2" t="s">
        <v>1186</v>
      </c>
      <c r="G453" s="2" t="s">
        <v>2073</v>
      </c>
    </row>
    <row r="454" customFormat="false" ht="15" hidden="false" customHeight="false" outlineLevel="0" collapsed="false">
      <c r="A454" s="2" t="s">
        <v>2074</v>
      </c>
      <c r="B454" s="2" t="s">
        <v>184</v>
      </c>
      <c r="C454" s="2" t="s">
        <v>1858</v>
      </c>
      <c r="D454" s="2" t="s">
        <v>50</v>
      </c>
      <c r="E454" s="2" t="s">
        <v>1194</v>
      </c>
      <c r="F454" s="2" t="s">
        <v>1186</v>
      </c>
      <c r="G454" s="2" t="s">
        <v>2075</v>
      </c>
    </row>
    <row r="455" customFormat="false" ht="15" hidden="false" customHeight="false" outlineLevel="0" collapsed="false">
      <c r="A455" s="2" t="s">
        <v>2076</v>
      </c>
      <c r="B455" s="2" t="s">
        <v>184</v>
      </c>
      <c r="C455" s="2" t="s">
        <v>1858</v>
      </c>
      <c r="D455" s="2" t="s">
        <v>50</v>
      </c>
      <c r="E455" s="2" t="s">
        <v>1194</v>
      </c>
      <c r="F455" s="2" t="s">
        <v>1186</v>
      </c>
      <c r="G455" s="2" t="s">
        <v>2077</v>
      </c>
    </row>
    <row r="456" customFormat="false" ht="15" hidden="false" customHeight="false" outlineLevel="0" collapsed="false">
      <c r="A456" s="2" t="s">
        <v>2078</v>
      </c>
      <c r="B456" s="2" t="s">
        <v>184</v>
      </c>
      <c r="C456" s="2" t="s">
        <v>1858</v>
      </c>
      <c r="D456" s="2" t="s">
        <v>50</v>
      </c>
      <c r="E456" s="2" t="s">
        <v>1194</v>
      </c>
      <c r="F456" s="2" t="s">
        <v>1186</v>
      </c>
      <c r="G456" s="2" t="s">
        <v>2079</v>
      </c>
    </row>
    <row r="457" customFormat="false" ht="15" hidden="false" customHeight="false" outlineLevel="0" collapsed="false">
      <c r="A457" s="2" t="s">
        <v>2080</v>
      </c>
      <c r="B457" s="2" t="s">
        <v>184</v>
      </c>
      <c r="C457" s="2" t="s">
        <v>1858</v>
      </c>
      <c r="D457" s="2" t="s">
        <v>50</v>
      </c>
      <c r="E457" s="2" t="s">
        <v>1194</v>
      </c>
      <c r="F457" s="2" t="s">
        <v>1186</v>
      </c>
      <c r="G457" s="2" t="s">
        <v>2081</v>
      </c>
    </row>
    <row r="458" customFormat="false" ht="15" hidden="false" customHeight="false" outlineLevel="0" collapsed="false">
      <c r="A458" s="2" t="s">
        <v>2082</v>
      </c>
      <c r="B458" s="2" t="s">
        <v>184</v>
      </c>
      <c r="C458" s="2" t="s">
        <v>1858</v>
      </c>
      <c r="D458" s="2" t="s">
        <v>50</v>
      </c>
      <c r="E458" s="2" t="s">
        <v>1194</v>
      </c>
      <c r="F458" s="2" t="s">
        <v>1186</v>
      </c>
      <c r="G458" s="2" t="s">
        <v>2083</v>
      </c>
    </row>
    <row r="459" customFormat="false" ht="15" hidden="false" customHeight="false" outlineLevel="0" collapsed="false">
      <c r="A459" s="2" t="s">
        <v>2084</v>
      </c>
      <c r="B459" s="2" t="s">
        <v>184</v>
      </c>
      <c r="C459" s="2" t="s">
        <v>1858</v>
      </c>
      <c r="D459" s="2" t="s">
        <v>50</v>
      </c>
      <c r="E459" s="2" t="s">
        <v>1194</v>
      </c>
      <c r="F459" s="2" t="s">
        <v>1186</v>
      </c>
      <c r="G459" s="2" t="s">
        <v>2085</v>
      </c>
    </row>
    <row r="460" customFormat="false" ht="15" hidden="false" customHeight="false" outlineLevel="0" collapsed="false">
      <c r="A460" s="2" t="s">
        <v>2086</v>
      </c>
      <c r="B460" s="2" t="s">
        <v>184</v>
      </c>
      <c r="C460" s="2" t="s">
        <v>1858</v>
      </c>
      <c r="D460" s="2" t="s">
        <v>50</v>
      </c>
      <c r="E460" s="2" t="s">
        <v>1194</v>
      </c>
      <c r="F460" s="2" t="s">
        <v>1186</v>
      </c>
      <c r="G460" s="2" t="s">
        <v>2087</v>
      </c>
    </row>
    <row r="461" customFormat="false" ht="15" hidden="false" customHeight="false" outlineLevel="0" collapsed="false">
      <c r="A461" s="2" t="s">
        <v>2088</v>
      </c>
      <c r="B461" s="2" t="s">
        <v>184</v>
      </c>
      <c r="C461" s="2" t="s">
        <v>1858</v>
      </c>
      <c r="D461" s="2" t="s">
        <v>50</v>
      </c>
      <c r="E461" s="2" t="s">
        <v>1194</v>
      </c>
      <c r="F461" s="2" t="s">
        <v>1186</v>
      </c>
      <c r="G461" s="2" t="s">
        <v>2089</v>
      </c>
    </row>
    <row r="462" customFormat="false" ht="15" hidden="false" customHeight="false" outlineLevel="0" collapsed="false">
      <c r="A462" s="2" t="s">
        <v>2090</v>
      </c>
      <c r="B462" s="2" t="s">
        <v>184</v>
      </c>
      <c r="C462" s="2" t="s">
        <v>1858</v>
      </c>
      <c r="D462" s="2" t="s">
        <v>50</v>
      </c>
      <c r="E462" s="2" t="s">
        <v>1194</v>
      </c>
      <c r="F462" s="2" t="s">
        <v>1186</v>
      </c>
      <c r="G462" s="2" t="s">
        <v>2091</v>
      </c>
    </row>
    <row r="463" customFormat="false" ht="15" hidden="false" customHeight="false" outlineLevel="0" collapsed="false">
      <c r="A463" s="2" t="s">
        <v>2092</v>
      </c>
      <c r="B463" s="2" t="s">
        <v>184</v>
      </c>
      <c r="C463" s="2" t="s">
        <v>1858</v>
      </c>
      <c r="D463" s="2" t="s">
        <v>50</v>
      </c>
      <c r="E463" s="2" t="s">
        <v>1194</v>
      </c>
      <c r="F463" s="2" t="s">
        <v>1186</v>
      </c>
      <c r="G463" s="2" t="s">
        <v>2093</v>
      </c>
    </row>
    <row r="464" customFormat="false" ht="15" hidden="false" customHeight="false" outlineLevel="0" collapsed="false">
      <c r="A464" s="2" t="s">
        <v>2094</v>
      </c>
      <c r="B464" s="2" t="s">
        <v>184</v>
      </c>
      <c r="C464" s="2" t="s">
        <v>1858</v>
      </c>
      <c r="D464" s="2" t="s">
        <v>50</v>
      </c>
      <c r="E464" s="2" t="s">
        <v>1194</v>
      </c>
      <c r="F464" s="2" t="s">
        <v>1186</v>
      </c>
      <c r="G464" s="2" t="s">
        <v>2095</v>
      </c>
    </row>
    <row r="465" customFormat="false" ht="15" hidden="false" customHeight="false" outlineLevel="0" collapsed="false">
      <c r="A465" s="2" t="s">
        <v>2096</v>
      </c>
      <c r="B465" s="2" t="s">
        <v>184</v>
      </c>
      <c r="C465" s="2" t="s">
        <v>1858</v>
      </c>
      <c r="D465" s="2" t="s">
        <v>50</v>
      </c>
      <c r="E465" s="2" t="s">
        <v>1194</v>
      </c>
      <c r="F465" s="2" t="s">
        <v>1186</v>
      </c>
      <c r="G465" s="2" t="s">
        <v>2097</v>
      </c>
    </row>
    <row r="466" customFormat="false" ht="15" hidden="false" customHeight="false" outlineLevel="0" collapsed="false">
      <c r="A466" s="2" t="s">
        <v>2098</v>
      </c>
      <c r="B466" s="2" t="s">
        <v>184</v>
      </c>
      <c r="C466" s="2" t="s">
        <v>1858</v>
      </c>
      <c r="D466" s="2" t="s">
        <v>50</v>
      </c>
      <c r="E466" s="2" t="s">
        <v>1194</v>
      </c>
      <c r="F466" s="2" t="s">
        <v>1186</v>
      </c>
      <c r="G466" s="2" t="s">
        <v>2099</v>
      </c>
    </row>
    <row r="467" customFormat="false" ht="15" hidden="false" customHeight="false" outlineLevel="0" collapsed="false">
      <c r="A467" s="2" t="s">
        <v>2100</v>
      </c>
      <c r="B467" s="2" t="s">
        <v>184</v>
      </c>
      <c r="C467" s="2" t="s">
        <v>1858</v>
      </c>
      <c r="D467" s="2" t="s">
        <v>50</v>
      </c>
      <c r="E467" s="2" t="s">
        <v>1194</v>
      </c>
      <c r="F467" s="2" t="s">
        <v>1186</v>
      </c>
      <c r="G467" s="2" t="s">
        <v>2101</v>
      </c>
    </row>
    <row r="468" customFormat="false" ht="15" hidden="false" customHeight="false" outlineLevel="0" collapsed="false">
      <c r="A468" s="2" t="s">
        <v>2102</v>
      </c>
      <c r="B468" s="2" t="s">
        <v>184</v>
      </c>
      <c r="C468" s="2" t="s">
        <v>1858</v>
      </c>
      <c r="D468" s="2" t="s">
        <v>50</v>
      </c>
      <c r="E468" s="2" t="s">
        <v>1194</v>
      </c>
      <c r="F468" s="2" t="s">
        <v>1186</v>
      </c>
      <c r="G468" s="2" t="s">
        <v>2103</v>
      </c>
    </row>
    <row r="469" customFormat="false" ht="15" hidden="false" customHeight="false" outlineLevel="0" collapsed="false">
      <c r="A469" s="2" t="s">
        <v>2104</v>
      </c>
      <c r="B469" s="2" t="s">
        <v>184</v>
      </c>
      <c r="C469" s="2" t="s">
        <v>1858</v>
      </c>
      <c r="D469" s="2" t="s">
        <v>50</v>
      </c>
      <c r="E469" s="2" t="s">
        <v>1194</v>
      </c>
      <c r="F469" s="2" t="s">
        <v>1186</v>
      </c>
      <c r="G469" s="2" t="s">
        <v>2105</v>
      </c>
    </row>
    <row r="470" customFormat="false" ht="15" hidden="false" customHeight="false" outlineLevel="0" collapsed="false">
      <c r="A470" s="2" t="s">
        <v>2106</v>
      </c>
      <c r="B470" s="2" t="s">
        <v>184</v>
      </c>
      <c r="C470" s="2" t="s">
        <v>1562</v>
      </c>
      <c r="D470" s="2" t="s">
        <v>49</v>
      </c>
      <c r="E470" s="2" t="s">
        <v>1563</v>
      </c>
      <c r="F470" s="2" t="s">
        <v>1186</v>
      </c>
      <c r="G470" s="2" t="s">
        <v>2107</v>
      </c>
    </row>
    <row r="471" customFormat="false" ht="15" hidden="false" customHeight="false" outlineLevel="0" collapsed="false">
      <c r="A471" s="2" t="s">
        <v>2108</v>
      </c>
      <c r="B471" s="2" t="s">
        <v>184</v>
      </c>
      <c r="C471" s="2" t="s">
        <v>1858</v>
      </c>
      <c r="D471" s="2" t="s">
        <v>50</v>
      </c>
      <c r="E471" s="2" t="s">
        <v>1194</v>
      </c>
      <c r="F471" s="2" t="s">
        <v>1186</v>
      </c>
      <c r="G471" s="2" t="s">
        <v>2109</v>
      </c>
    </row>
    <row r="472" customFormat="false" ht="15" hidden="false" customHeight="false" outlineLevel="0" collapsed="false">
      <c r="A472" s="2" t="s">
        <v>2110</v>
      </c>
      <c r="B472" s="2" t="s">
        <v>184</v>
      </c>
      <c r="C472" s="2" t="s">
        <v>1858</v>
      </c>
      <c r="D472" s="2" t="s">
        <v>50</v>
      </c>
      <c r="E472" s="2" t="s">
        <v>1194</v>
      </c>
      <c r="F472" s="2" t="s">
        <v>1186</v>
      </c>
      <c r="G472" s="2" t="s">
        <v>2111</v>
      </c>
    </row>
    <row r="473" customFormat="false" ht="15" hidden="false" customHeight="false" outlineLevel="0" collapsed="false">
      <c r="A473" s="2" t="s">
        <v>2112</v>
      </c>
      <c r="B473" s="2" t="s">
        <v>184</v>
      </c>
      <c r="C473" s="2" t="s">
        <v>1858</v>
      </c>
      <c r="D473" s="2" t="s">
        <v>50</v>
      </c>
      <c r="E473" s="2" t="s">
        <v>1194</v>
      </c>
      <c r="F473" s="2" t="s">
        <v>1186</v>
      </c>
      <c r="G473" s="2" t="s">
        <v>2113</v>
      </c>
    </row>
    <row r="474" customFormat="false" ht="15" hidden="false" customHeight="false" outlineLevel="0" collapsed="false">
      <c r="A474" s="2" t="s">
        <v>2114</v>
      </c>
      <c r="B474" s="2" t="s">
        <v>184</v>
      </c>
      <c r="C474" s="2" t="s">
        <v>1858</v>
      </c>
      <c r="D474" s="2" t="s">
        <v>50</v>
      </c>
      <c r="E474" s="2" t="s">
        <v>1194</v>
      </c>
      <c r="F474" s="2" t="s">
        <v>1186</v>
      </c>
      <c r="G474" s="2" t="s">
        <v>2115</v>
      </c>
    </row>
    <row r="475" customFormat="false" ht="15" hidden="false" customHeight="false" outlineLevel="0" collapsed="false">
      <c r="A475" s="2" t="s">
        <v>2116</v>
      </c>
      <c r="B475" s="2" t="s">
        <v>184</v>
      </c>
      <c r="C475" s="2" t="s">
        <v>1858</v>
      </c>
      <c r="D475" s="2" t="s">
        <v>50</v>
      </c>
      <c r="E475" s="2" t="s">
        <v>1194</v>
      </c>
      <c r="F475" s="2" t="s">
        <v>1186</v>
      </c>
      <c r="G475" s="2" t="s">
        <v>2117</v>
      </c>
    </row>
    <row r="476" customFormat="false" ht="15" hidden="false" customHeight="false" outlineLevel="0" collapsed="false">
      <c r="A476" s="2" t="s">
        <v>2118</v>
      </c>
      <c r="B476" s="2" t="s">
        <v>184</v>
      </c>
      <c r="C476" s="2" t="s">
        <v>1858</v>
      </c>
      <c r="D476" s="2" t="s">
        <v>50</v>
      </c>
      <c r="E476" s="2" t="s">
        <v>1194</v>
      </c>
      <c r="F476" s="2" t="s">
        <v>1186</v>
      </c>
      <c r="G476" s="2" t="s">
        <v>2119</v>
      </c>
    </row>
    <row r="477" customFormat="false" ht="15" hidden="false" customHeight="false" outlineLevel="0" collapsed="false">
      <c r="A477" s="2" t="s">
        <v>2120</v>
      </c>
      <c r="B477" s="2" t="s">
        <v>184</v>
      </c>
      <c r="C477" s="2" t="s">
        <v>1858</v>
      </c>
      <c r="D477" s="2" t="s">
        <v>50</v>
      </c>
      <c r="E477" s="2" t="s">
        <v>1194</v>
      </c>
      <c r="F477" s="2" t="s">
        <v>1186</v>
      </c>
      <c r="G477" s="2" t="s">
        <v>2121</v>
      </c>
    </row>
    <row r="478" customFormat="false" ht="15" hidden="false" customHeight="false" outlineLevel="0" collapsed="false">
      <c r="A478" s="2" t="s">
        <v>2122</v>
      </c>
      <c r="B478" s="2" t="s">
        <v>184</v>
      </c>
      <c r="C478" s="2" t="s">
        <v>1562</v>
      </c>
      <c r="D478" s="2" t="s">
        <v>49</v>
      </c>
      <c r="E478" s="2" t="s">
        <v>1563</v>
      </c>
      <c r="F478" s="2" t="s">
        <v>1564</v>
      </c>
      <c r="G478" s="2" t="s">
        <v>2123</v>
      </c>
    </row>
    <row r="479" customFormat="false" ht="15" hidden="false" customHeight="false" outlineLevel="0" collapsed="false">
      <c r="A479" s="2" t="s">
        <v>2124</v>
      </c>
      <c r="B479" s="2" t="s">
        <v>184</v>
      </c>
      <c r="C479" s="2" t="s">
        <v>1562</v>
      </c>
      <c r="D479" s="2" t="s">
        <v>49</v>
      </c>
      <c r="E479" s="2" t="s">
        <v>1563</v>
      </c>
      <c r="F479" s="2" t="s">
        <v>1564</v>
      </c>
      <c r="G479" s="2" t="s">
        <v>2125</v>
      </c>
    </row>
    <row r="480" customFormat="false" ht="15" hidden="false" customHeight="false" outlineLevel="0" collapsed="false">
      <c r="A480" s="2" t="s">
        <v>2126</v>
      </c>
      <c r="B480" s="2" t="s">
        <v>184</v>
      </c>
      <c r="C480" s="2" t="s">
        <v>1858</v>
      </c>
      <c r="D480" s="2" t="s">
        <v>50</v>
      </c>
      <c r="E480" s="2" t="s">
        <v>1194</v>
      </c>
      <c r="F480" s="2" t="s">
        <v>1186</v>
      </c>
      <c r="G480" s="2" t="s">
        <v>2127</v>
      </c>
    </row>
    <row r="481" customFormat="false" ht="15" hidden="false" customHeight="false" outlineLevel="0" collapsed="false">
      <c r="A481" s="2" t="s">
        <v>2128</v>
      </c>
      <c r="B481" s="2" t="s">
        <v>184</v>
      </c>
      <c r="C481" s="2" t="s">
        <v>1562</v>
      </c>
      <c r="D481" s="2" t="s">
        <v>49</v>
      </c>
      <c r="E481" s="2" t="s">
        <v>1563</v>
      </c>
      <c r="F481" s="2" t="s">
        <v>1564</v>
      </c>
      <c r="G481" s="2" t="s">
        <v>2129</v>
      </c>
    </row>
    <row r="482" customFormat="false" ht="15" hidden="false" customHeight="false" outlineLevel="0" collapsed="false">
      <c r="A482" s="2" t="s">
        <v>2130</v>
      </c>
      <c r="B482" s="2" t="s">
        <v>184</v>
      </c>
      <c r="C482" s="2" t="s">
        <v>1562</v>
      </c>
      <c r="D482" s="2" t="s">
        <v>49</v>
      </c>
      <c r="E482" s="2" t="s">
        <v>1563</v>
      </c>
      <c r="F482" s="2" t="s">
        <v>1564</v>
      </c>
      <c r="G482" s="2" t="s">
        <v>2131</v>
      </c>
    </row>
    <row r="483" customFormat="false" ht="15" hidden="false" customHeight="false" outlineLevel="0" collapsed="false">
      <c r="A483" s="2" t="s">
        <v>2132</v>
      </c>
      <c r="B483" s="2" t="s">
        <v>184</v>
      </c>
      <c r="C483" s="2" t="s">
        <v>1562</v>
      </c>
      <c r="D483" s="2" t="s">
        <v>49</v>
      </c>
      <c r="E483" s="2" t="s">
        <v>1563</v>
      </c>
      <c r="F483" s="2" t="s">
        <v>1564</v>
      </c>
      <c r="G483" s="2" t="s">
        <v>2133</v>
      </c>
    </row>
    <row r="484" customFormat="false" ht="15" hidden="false" customHeight="false" outlineLevel="0" collapsed="false">
      <c r="A484" s="2" t="s">
        <v>2134</v>
      </c>
      <c r="B484" s="2" t="s">
        <v>184</v>
      </c>
      <c r="C484" s="2" t="s">
        <v>1858</v>
      </c>
      <c r="D484" s="2" t="s">
        <v>50</v>
      </c>
      <c r="E484" s="2" t="s">
        <v>1194</v>
      </c>
      <c r="F484" s="2" t="s">
        <v>1186</v>
      </c>
      <c r="G484" s="2" t="s">
        <v>2135</v>
      </c>
    </row>
    <row r="485" customFormat="false" ht="15" hidden="false" customHeight="false" outlineLevel="0" collapsed="false">
      <c r="A485" s="2" t="s">
        <v>2136</v>
      </c>
      <c r="B485" s="2" t="s">
        <v>184</v>
      </c>
      <c r="C485" s="2" t="s">
        <v>1858</v>
      </c>
      <c r="D485" s="2" t="s">
        <v>50</v>
      </c>
      <c r="E485" s="2" t="s">
        <v>1194</v>
      </c>
      <c r="F485" s="2" t="s">
        <v>1186</v>
      </c>
      <c r="G485" s="2" t="s">
        <v>2137</v>
      </c>
    </row>
    <row r="486" customFormat="false" ht="15" hidden="false" customHeight="false" outlineLevel="0" collapsed="false">
      <c r="A486" s="2" t="s">
        <v>2138</v>
      </c>
      <c r="B486" s="2" t="s">
        <v>184</v>
      </c>
      <c r="C486" s="2" t="s">
        <v>1858</v>
      </c>
      <c r="D486" s="2" t="s">
        <v>50</v>
      </c>
      <c r="E486" s="2" t="s">
        <v>1194</v>
      </c>
      <c r="F486" s="2" t="s">
        <v>1186</v>
      </c>
      <c r="G486" s="2" t="s">
        <v>2139</v>
      </c>
    </row>
    <row r="487" customFormat="false" ht="15" hidden="false" customHeight="false" outlineLevel="0" collapsed="false">
      <c r="A487" s="2" t="s">
        <v>2140</v>
      </c>
      <c r="B487" s="2" t="s">
        <v>184</v>
      </c>
      <c r="C487" s="2" t="s">
        <v>1858</v>
      </c>
      <c r="D487" s="2" t="s">
        <v>50</v>
      </c>
      <c r="E487" s="2" t="s">
        <v>1194</v>
      </c>
      <c r="F487" s="2" t="s">
        <v>1186</v>
      </c>
      <c r="G487" s="2" t="s">
        <v>2141</v>
      </c>
    </row>
    <row r="488" customFormat="false" ht="15" hidden="false" customHeight="false" outlineLevel="0" collapsed="false">
      <c r="A488" s="2" t="s">
        <v>2142</v>
      </c>
      <c r="B488" s="2" t="s">
        <v>184</v>
      </c>
      <c r="C488" s="2" t="s">
        <v>1858</v>
      </c>
      <c r="D488" s="2" t="s">
        <v>50</v>
      </c>
      <c r="E488" s="2" t="s">
        <v>1194</v>
      </c>
      <c r="F488" s="2" t="s">
        <v>1186</v>
      </c>
      <c r="G488" s="2" t="s">
        <v>2143</v>
      </c>
    </row>
    <row r="489" customFormat="false" ht="15" hidden="false" customHeight="false" outlineLevel="0" collapsed="false">
      <c r="A489" s="2" t="s">
        <v>2144</v>
      </c>
      <c r="B489" s="2" t="s">
        <v>184</v>
      </c>
      <c r="C489" s="2" t="s">
        <v>1858</v>
      </c>
      <c r="D489" s="2" t="s">
        <v>50</v>
      </c>
      <c r="E489" s="2" t="s">
        <v>1194</v>
      </c>
      <c r="F489" s="2" t="s">
        <v>1186</v>
      </c>
      <c r="G489" s="2" t="s">
        <v>2145</v>
      </c>
    </row>
    <row r="490" customFormat="false" ht="15" hidden="false" customHeight="false" outlineLevel="0" collapsed="false">
      <c r="A490" s="2" t="s">
        <v>2146</v>
      </c>
      <c r="B490" s="2" t="s">
        <v>184</v>
      </c>
      <c r="C490" s="2" t="s">
        <v>1858</v>
      </c>
      <c r="D490" s="2" t="s">
        <v>50</v>
      </c>
      <c r="E490" s="2" t="s">
        <v>1194</v>
      </c>
      <c r="F490" s="2" t="s">
        <v>1186</v>
      </c>
      <c r="G490" s="2" t="s">
        <v>2147</v>
      </c>
    </row>
    <row r="491" customFormat="false" ht="15" hidden="false" customHeight="false" outlineLevel="0" collapsed="false">
      <c r="A491" s="2" t="s">
        <v>2148</v>
      </c>
      <c r="B491" s="2" t="s">
        <v>184</v>
      </c>
      <c r="C491" s="2" t="s">
        <v>1858</v>
      </c>
      <c r="D491" s="2" t="s">
        <v>50</v>
      </c>
      <c r="E491" s="2" t="s">
        <v>1194</v>
      </c>
      <c r="F491" s="2" t="s">
        <v>1186</v>
      </c>
      <c r="G491" s="2" t="s">
        <v>2149</v>
      </c>
    </row>
    <row r="492" customFormat="false" ht="15" hidden="false" customHeight="false" outlineLevel="0" collapsed="false">
      <c r="A492" s="2" t="s">
        <v>2150</v>
      </c>
      <c r="B492" s="2" t="s">
        <v>184</v>
      </c>
      <c r="C492" s="2" t="s">
        <v>1858</v>
      </c>
      <c r="D492" s="2" t="s">
        <v>50</v>
      </c>
      <c r="E492" s="2" t="s">
        <v>1194</v>
      </c>
      <c r="F492" s="2" t="s">
        <v>1186</v>
      </c>
      <c r="G492" s="2" t="s">
        <v>2151</v>
      </c>
    </row>
    <row r="493" customFormat="false" ht="15" hidden="false" customHeight="false" outlineLevel="0" collapsed="false">
      <c r="A493" s="2" t="s">
        <v>2152</v>
      </c>
      <c r="B493" s="2" t="s">
        <v>184</v>
      </c>
      <c r="C493" s="2" t="s">
        <v>1858</v>
      </c>
      <c r="D493" s="2" t="s">
        <v>50</v>
      </c>
      <c r="E493" s="2" t="s">
        <v>1194</v>
      </c>
      <c r="F493" s="2" t="s">
        <v>1186</v>
      </c>
      <c r="G493" s="2" t="s">
        <v>2153</v>
      </c>
    </row>
    <row r="494" customFormat="false" ht="15" hidden="false" customHeight="false" outlineLevel="0" collapsed="false">
      <c r="A494" s="2" t="s">
        <v>2154</v>
      </c>
      <c r="B494" s="2" t="s">
        <v>184</v>
      </c>
      <c r="C494" s="2" t="s">
        <v>1858</v>
      </c>
      <c r="D494" s="2" t="s">
        <v>50</v>
      </c>
      <c r="E494" s="2" t="s">
        <v>1194</v>
      </c>
      <c r="F494" s="2" t="s">
        <v>1186</v>
      </c>
      <c r="G494" s="2" t="s">
        <v>2155</v>
      </c>
    </row>
    <row r="495" customFormat="false" ht="15" hidden="false" customHeight="false" outlineLevel="0" collapsed="false">
      <c r="A495" s="2" t="s">
        <v>2156</v>
      </c>
      <c r="B495" s="2" t="s">
        <v>184</v>
      </c>
      <c r="C495" s="2" t="s">
        <v>1858</v>
      </c>
      <c r="D495" s="2" t="s">
        <v>50</v>
      </c>
      <c r="E495" s="2" t="s">
        <v>1194</v>
      </c>
      <c r="F495" s="2" t="s">
        <v>1186</v>
      </c>
      <c r="G495" s="2" t="s">
        <v>2157</v>
      </c>
    </row>
    <row r="496" customFormat="false" ht="15" hidden="false" customHeight="false" outlineLevel="0" collapsed="false">
      <c r="A496" s="2" t="s">
        <v>2158</v>
      </c>
      <c r="B496" s="2" t="s">
        <v>184</v>
      </c>
      <c r="C496" s="2" t="s">
        <v>1858</v>
      </c>
      <c r="D496" s="2" t="s">
        <v>50</v>
      </c>
      <c r="E496" s="2" t="s">
        <v>1194</v>
      </c>
      <c r="F496" s="2" t="s">
        <v>1186</v>
      </c>
      <c r="G496" s="2" t="s">
        <v>2159</v>
      </c>
    </row>
    <row r="497" customFormat="false" ht="15" hidden="false" customHeight="false" outlineLevel="0" collapsed="false">
      <c r="A497" s="2" t="s">
        <v>2160</v>
      </c>
      <c r="B497" s="2" t="s">
        <v>184</v>
      </c>
      <c r="C497" s="2" t="s">
        <v>1858</v>
      </c>
      <c r="D497" s="2" t="s">
        <v>50</v>
      </c>
      <c r="E497" s="2" t="s">
        <v>1194</v>
      </c>
      <c r="F497" s="2" t="s">
        <v>1186</v>
      </c>
      <c r="G497" s="2" t="s">
        <v>2161</v>
      </c>
    </row>
    <row r="498" customFormat="false" ht="15" hidden="false" customHeight="false" outlineLevel="0" collapsed="false">
      <c r="A498" s="2" t="s">
        <v>2162</v>
      </c>
      <c r="B498" s="2" t="s">
        <v>184</v>
      </c>
      <c r="C498" s="2" t="s">
        <v>1858</v>
      </c>
      <c r="D498" s="2" t="s">
        <v>50</v>
      </c>
      <c r="E498" s="2" t="s">
        <v>1194</v>
      </c>
      <c r="F498" s="2" t="s">
        <v>1186</v>
      </c>
      <c r="G498" s="2" t="s">
        <v>2163</v>
      </c>
    </row>
    <row r="499" customFormat="false" ht="15" hidden="false" customHeight="false" outlineLevel="0" collapsed="false">
      <c r="A499" s="2" t="s">
        <v>2164</v>
      </c>
      <c r="B499" s="2" t="s">
        <v>184</v>
      </c>
      <c r="C499" s="2" t="s">
        <v>1858</v>
      </c>
      <c r="D499" s="2" t="s">
        <v>50</v>
      </c>
      <c r="E499" s="2" t="s">
        <v>1194</v>
      </c>
      <c r="F499" s="2" t="s">
        <v>1186</v>
      </c>
      <c r="G499" s="2" t="s">
        <v>2165</v>
      </c>
    </row>
    <row r="500" customFormat="false" ht="15" hidden="false" customHeight="false" outlineLevel="0" collapsed="false">
      <c r="A500" s="2" t="s">
        <v>2166</v>
      </c>
      <c r="B500" s="2" t="s">
        <v>184</v>
      </c>
      <c r="C500" s="2" t="s">
        <v>1858</v>
      </c>
      <c r="D500" s="2" t="s">
        <v>50</v>
      </c>
      <c r="E500" s="2" t="s">
        <v>1194</v>
      </c>
      <c r="F500" s="2" t="s">
        <v>1186</v>
      </c>
      <c r="G500" s="2" t="s">
        <v>2167</v>
      </c>
    </row>
    <row r="501" customFormat="false" ht="15" hidden="false" customHeight="false" outlineLevel="0" collapsed="false">
      <c r="A501" s="2" t="s">
        <v>2168</v>
      </c>
      <c r="B501" s="2" t="s">
        <v>184</v>
      </c>
      <c r="C501" s="2" t="s">
        <v>1858</v>
      </c>
      <c r="D501" s="2" t="s">
        <v>50</v>
      </c>
      <c r="E501" s="2" t="s">
        <v>1194</v>
      </c>
      <c r="F501" s="2" t="s">
        <v>1186</v>
      </c>
      <c r="G501" s="2" t="s">
        <v>2169</v>
      </c>
    </row>
    <row r="502" customFormat="false" ht="15" hidden="false" customHeight="false" outlineLevel="0" collapsed="false">
      <c r="A502" s="2" t="s">
        <v>2170</v>
      </c>
      <c r="B502" s="2" t="s">
        <v>184</v>
      </c>
      <c r="C502" s="2" t="s">
        <v>1858</v>
      </c>
      <c r="D502" s="2" t="s">
        <v>50</v>
      </c>
      <c r="E502" s="2" t="s">
        <v>1194</v>
      </c>
      <c r="F502" s="2" t="s">
        <v>1186</v>
      </c>
      <c r="G502" s="2" t="s">
        <v>2171</v>
      </c>
    </row>
    <row r="503" customFormat="false" ht="15" hidden="false" customHeight="false" outlineLevel="0" collapsed="false">
      <c r="A503" s="2" t="s">
        <v>2172</v>
      </c>
      <c r="B503" s="2" t="s">
        <v>184</v>
      </c>
      <c r="C503" s="2" t="s">
        <v>1858</v>
      </c>
      <c r="D503" s="2" t="s">
        <v>50</v>
      </c>
      <c r="E503" s="2" t="s">
        <v>1194</v>
      </c>
      <c r="F503" s="2" t="s">
        <v>1186</v>
      </c>
      <c r="G503" s="2" t="s">
        <v>2173</v>
      </c>
    </row>
    <row r="504" customFormat="false" ht="15" hidden="false" customHeight="false" outlineLevel="0" collapsed="false">
      <c r="A504" s="2" t="s">
        <v>2174</v>
      </c>
      <c r="B504" s="2" t="s">
        <v>184</v>
      </c>
      <c r="C504" s="2" t="s">
        <v>1858</v>
      </c>
      <c r="D504" s="2" t="s">
        <v>50</v>
      </c>
      <c r="E504" s="2" t="s">
        <v>1194</v>
      </c>
      <c r="F504" s="2" t="s">
        <v>1186</v>
      </c>
      <c r="G504" s="2" t="s">
        <v>2175</v>
      </c>
    </row>
    <row r="505" customFormat="false" ht="15" hidden="false" customHeight="false" outlineLevel="0" collapsed="false">
      <c r="A505" s="2" t="s">
        <v>2176</v>
      </c>
      <c r="B505" s="2" t="s">
        <v>184</v>
      </c>
      <c r="C505" s="2" t="s">
        <v>1858</v>
      </c>
      <c r="D505" s="2" t="s">
        <v>50</v>
      </c>
      <c r="E505" s="2" t="s">
        <v>1194</v>
      </c>
      <c r="F505" s="2" t="s">
        <v>1186</v>
      </c>
      <c r="G505" s="2" t="s">
        <v>2177</v>
      </c>
    </row>
    <row r="506" customFormat="false" ht="15" hidden="false" customHeight="false" outlineLevel="0" collapsed="false">
      <c r="A506" s="2" t="s">
        <v>2178</v>
      </c>
      <c r="B506" s="2" t="s">
        <v>126</v>
      </c>
      <c r="C506" s="2" t="s">
        <v>2179</v>
      </c>
      <c r="D506" s="2" t="s">
        <v>49</v>
      </c>
      <c r="E506" s="2" t="s">
        <v>1563</v>
      </c>
      <c r="F506" s="2" t="s">
        <v>1186</v>
      </c>
      <c r="G506" s="2" t="s">
        <v>2180</v>
      </c>
    </row>
    <row r="507" customFormat="false" ht="15" hidden="false" customHeight="false" outlineLevel="0" collapsed="false">
      <c r="A507" s="2" t="s">
        <v>2181</v>
      </c>
      <c r="B507" s="2" t="s">
        <v>126</v>
      </c>
      <c r="C507" s="2" t="s">
        <v>2179</v>
      </c>
      <c r="D507" s="2" t="s">
        <v>49</v>
      </c>
      <c r="E507" s="2" t="s">
        <v>1563</v>
      </c>
      <c r="F507" s="2" t="s">
        <v>1186</v>
      </c>
      <c r="G507" s="2" t="s">
        <v>2182</v>
      </c>
    </row>
    <row r="508" customFormat="false" ht="15" hidden="false" customHeight="false" outlineLevel="0" collapsed="false">
      <c r="A508" s="2" t="s">
        <v>2183</v>
      </c>
      <c r="B508" s="2" t="s">
        <v>126</v>
      </c>
      <c r="C508" s="2" t="s">
        <v>2179</v>
      </c>
      <c r="D508" s="2" t="s">
        <v>49</v>
      </c>
      <c r="E508" s="2" t="s">
        <v>1563</v>
      </c>
      <c r="F508" s="2" t="s">
        <v>1186</v>
      </c>
      <c r="G508" s="2" t="s">
        <v>2184</v>
      </c>
    </row>
    <row r="509" customFormat="false" ht="15" hidden="false" customHeight="false" outlineLevel="0" collapsed="false">
      <c r="A509" s="2" t="s">
        <v>2185</v>
      </c>
      <c r="B509" s="2" t="s">
        <v>126</v>
      </c>
      <c r="C509" s="2" t="s">
        <v>2179</v>
      </c>
      <c r="D509" s="2" t="s">
        <v>49</v>
      </c>
      <c r="E509" s="2" t="s">
        <v>1563</v>
      </c>
      <c r="F509" s="2" t="s">
        <v>1186</v>
      </c>
      <c r="G509" s="2" t="s">
        <v>2186</v>
      </c>
    </row>
    <row r="510" customFormat="false" ht="15" hidden="false" customHeight="false" outlineLevel="0" collapsed="false">
      <c r="A510" s="2" t="s">
        <v>2187</v>
      </c>
      <c r="B510" s="2" t="s">
        <v>184</v>
      </c>
      <c r="C510" s="2" t="s">
        <v>1858</v>
      </c>
      <c r="D510" s="2" t="s">
        <v>50</v>
      </c>
      <c r="E510" s="2" t="s">
        <v>1194</v>
      </c>
      <c r="F510" s="2" t="s">
        <v>1186</v>
      </c>
      <c r="G510" s="2" t="s">
        <v>2188</v>
      </c>
    </row>
    <row r="511" customFormat="false" ht="15" hidden="false" customHeight="false" outlineLevel="0" collapsed="false">
      <c r="A511" s="2" t="s">
        <v>2189</v>
      </c>
      <c r="B511" s="2" t="s">
        <v>126</v>
      </c>
      <c r="C511" s="2" t="s">
        <v>2179</v>
      </c>
      <c r="D511" s="2" t="s">
        <v>49</v>
      </c>
      <c r="E511" s="2" t="s">
        <v>1563</v>
      </c>
      <c r="F511" s="2" t="s">
        <v>1186</v>
      </c>
      <c r="G511" s="2" t="s">
        <v>2190</v>
      </c>
    </row>
    <row r="512" customFormat="false" ht="15" hidden="false" customHeight="false" outlineLevel="0" collapsed="false">
      <c r="A512" s="2" t="s">
        <v>2191</v>
      </c>
      <c r="B512" s="2" t="s">
        <v>184</v>
      </c>
      <c r="C512" s="2" t="s">
        <v>1562</v>
      </c>
      <c r="D512" s="2" t="s">
        <v>49</v>
      </c>
      <c r="E512" s="2" t="s">
        <v>1563</v>
      </c>
      <c r="F512" s="2" t="s">
        <v>1564</v>
      </c>
      <c r="G512" s="2" t="s">
        <v>2192</v>
      </c>
    </row>
    <row r="513" customFormat="false" ht="15" hidden="false" customHeight="false" outlineLevel="0" collapsed="false">
      <c r="A513" s="2" t="s">
        <v>2193</v>
      </c>
      <c r="B513" s="2" t="s">
        <v>184</v>
      </c>
      <c r="C513" s="2" t="s">
        <v>1562</v>
      </c>
      <c r="D513" s="2" t="s">
        <v>49</v>
      </c>
      <c r="E513" s="2" t="s">
        <v>1563</v>
      </c>
      <c r="F513" s="2" t="s">
        <v>1564</v>
      </c>
      <c r="G513" s="2" t="s">
        <v>2194</v>
      </c>
    </row>
    <row r="514" customFormat="false" ht="15" hidden="false" customHeight="false" outlineLevel="0" collapsed="false">
      <c r="A514" s="2" t="s">
        <v>2195</v>
      </c>
      <c r="B514" s="2" t="s">
        <v>184</v>
      </c>
      <c r="C514" s="2" t="s">
        <v>1562</v>
      </c>
      <c r="D514" s="2" t="s">
        <v>49</v>
      </c>
      <c r="E514" s="2" t="s">
        <v>1563</v>
      </c>
      <c r="F514" s="2" t="s">
        <v>1564</v>
      </c>
      <c r="G514" s="2" t="s">
        <v>2196</v>
      </c>
    </row>
    <row r="515" customFormat="false" ht="15" hidden="false" customHeight="false" outlineLevel="0" collapsed="false">
      <c r="A515" s="2" t="s">
        <v>2197</v>
      </c>
      <c r="B515" s="2" t="s">
        <v>184</v>
      </c>
      <c r="C515" s="2" t="s">
        <v>1562</v>
      </c>
      <c r="D515" s="2" t="s">
        <v>49</v>
      </c>
      <c r="E515" s="2" t="s">
        <v>1563</v>
      </c>
      <c r="F515" s="2" t="s">
        <v>1564</v>
      </c>
      <c r="G515" s="2" t="s">
        <v>2198</v>
      </c>
    </row>
    <row r="516" customFormat="false" ht="15" hidden="false" customHeight="false" outlineLevel="0" collapsed="false">
      <c r="A516" s="2" t="s">
        <v>2199</v>
      </c>
      <c r="B516" s="2" t="s">
        <v>184</v>
      </c>
      <c r="C516" s="2" t="s">
        <v>1562</v>
      </c>
      <c r="D516" s="2" t="s">
        <v>49</v>
      </c>
      <c r="E516" s="2" t="s">
        <v>1563</v>
      </c>
      <c r="F516" s="2" t="s">
        <v>1564</v>
      </c>
      <c r="G516" s="2" t="s">
        <v>2200</v>
      </c>
    </row>
    <row r="517" customFormat="false" ht="15" hidden="false" customHeight="false" outlineLevel="0" collapsed="false">
      <c r="A517" s="2" t="s">
        <v>2201</v>
      </c>
      <c r="B517" s="2" t="s">
        <v>184</v>
      </c>
      <c r="C517" s="2" t="s">
        <v>1562</v>
      </c>
      <c r="D517" s="2" t="s">
        <v>49</v>
      </c>
      <c r="E517" s="2" t="s">
        <v>1563</v>
      </c>
      <c r="F517" s="2" t="s">
        <v>1564</v>
      </c>
      <c r="G517" s="2" t="s">
        <v>2202</v>
      </c>
    </row>
    <row r="518" customFormat="false" ht="15" hidden="false" customHeight="false" outlineLevel="0" collapsed="false">
      <c r="A518" s="2" t="s">
        <v>2203</v>
      </c>
      <c r="B518" s="2" t="s">
        <v>184</v>
      </c>
      <c r="C518" s="2" t="s">
        <v>1562</v>
      </c>
      <c r="D518" s="2" t="s">
        <v>49</v>
      </c>
      <c r="E518" s="2" t="s">
        <v>1563</v>
      </c>
      <c r="F518" s="2" t="s">
        <v>1564</v>
      </c>
      <c r="G518" s="2" t="s">
        <v>2204</v>
      </c>
    </row>
    <row r="519" customFormat="false" ht="15" hidden="false" customHeight="false" outlineLevel="0" collapsed="false">
      <c r="A519" s="2" t="s">
        <v>2205</v>
      </c>
      <c r="B519" s="2" t="s">
        <v>184</v>
      </c>
      <c r="C519" s="2" t="s">
        <v>1562</v>
      </c>
      <c r="D519" s="2" t="s">
        <v>49</v>
      </c>
      <c r="E519" s="2" t="s">
        <v>1563</v>
      </c>
      <c r="F519" s="2" t="s">
        <v>1564</v>
      </c>
      <c r="G519" s="2" t="s">
        <v>2206</v>
      </c>
    </row>
    <row r="520" customFormat="false" ht="15" hidden="false" customHeight="false" outlineLevel="0" collapsed="false">
      <c r="A520" s="2" t="s">
        <v>2207</v>
      </c>
      <c r="B520" s="2" t="s">
        <v>184</v>
      </c>
      <c r="C520" s="2" t="s">
        <v>1562</v>
      </c>
      <c r="D520" s="2" t="s">
        <v>49</v>
      </c>
      <c r="E520" s="2" t="s">
        <v>1563</v>
      </c>
      <c r="F520" s="2" t="s">
        <v>1564</v>
      </c>
      <c r="G520" s="2" t="s">
        <v>2208</v>
      </c>
    </row>
    <row r="521" customFormat="false" ht="15" hidden="false" customHeight="false" outlineLevel="0" collapsed="false">
      <c r="A521" s="2" t="s">
        <v>2209</v>
      </c>
      <c r="B521" s="2" t="s">
        <v>184</v>
      </c>
      <c r="C521" s="2" t="s">
        <v>1562</v>
      </c>
      <c r="D521" s="2" t="s">
        <v>49</v>
      </c>
      <c r="E521" s="2" t="s">
        <v>1563</v>
      </c>
      <c r="F521" s="2" t="s">
        <v>1564</v>
      </c>
      <c r="G521" s="2" t="s">
        <v>2210</v>
      </c>
    </row>
    <row r="522" customFormat="false" ht="15" hidden="false" customHeight="false" outlineLevel="0" collapsed="false">
      <c r="A522" s="2" t="s">
        <v>2211</v>
      </c>
      <c r="B522" s="2" t="s">
        <v>184</v>
      </c>
      <c r="C522" s="2" t="s">
        <v>1562</v>
      </c>
      <c r="D522" s="2" t="s">
        <v>49</v>
      </c>
      <c r="E522" s="2" t="s">
        <v>1563</v>
      </c>
      <c r="F522" s="2" t="s">
        <v>1564</v>
      </c>
      <c r="G522" s="2" t="s">
        <v>2212</v>
      </c>
    </row>
    <row r="523" customFormat="false" ht="15" hidden="false" customHeight="false" outlineLevel="0" collapsed="false">
      <c r="A523" s="2" t="s">
        <v>2213</v>
      </c>
      <c r="B523" s="2" t="s">
        <v>184</v>
      </c>
      <c r="C523" s="2" t="s">
        <v>1562</v>
      </c>
      <c r="D523" s="2" t="s">
        <v>49</v>
      </c>
      <c r="E523" s="2" t="s">
        <v>1563</v>
      </c>
      <c r="F523" s="2" t="s">
        <v>1564</v>
      </c>
      <c r="G523" s="2" t="s">
        <v>2214</v>
      </c>
    </row>
    <row r="524" customFormat="false" ht="15" hidden="false" customHeight="false" outlineLevel="0" collapsed="false">
      <c r="A524" s="2" t="s">
        <v>2215</v>
      </c>
      <c r="B524" s="2" t="s">
        <v>184</v>
      </c>
      <c r="C524" s="2" t="s">
        <v>1562</v>
      </c>
      <c r="D524" s="2" t="s">
        <v>49</v>
      </c>
      <c r="E524" s="2" t="s">
        <v>1563</v>
      </c>
      <c r="F524" s="2" t="s">
        <v>1564</v>
      </c>
      <c r="G524" s="2" t="s">
        <v>2216</v>
      </c>
    </row>
    <row r="525" customFormat="false" ht="15" hidden="false" customHeight="false" outlineLevel="0" collapsed="false">
      <c r="A525" s="2" t="s">
        <v>2217</v>
      </c>
      <c r="B525" s="2" t="s">
        <v>184</v>
      </c>
      <c r="C525" s="2" t="s">
        <v>1562</v>
      </c>
      <c r="D525" s="2" t="s">
        <v>49</v>
      </c>
      <c r="E525" s="2" t="s">
        <v>1563</v>
      </c>
      <c r="F525" s="2" t="s">
        <v>1564</v>
      </c>
      <c r="G525" s="2" t="s">
        <v>2218</v>
      </c>
    </row>
    <row r="526" customFormat="false" ht="15" hidden="false" customHeight="false" outlineLevel="0" collapsed="false">
      <c r="A526" s="2" t="s">
        <v>2219</v>
      </c>
      <c r="B526" s="2" t="s">
        <v>184</v>
      </c>
      <c r="C526" s="2" t="s">
        <v>1562</v>
      </c>
      <c r="D526" s="2" t="s">
        <v>49</v>
      </c>
      <c r="E526" s="2" t="s">
        <v>1563</v>
      </c>
      <c r="F526" s="2" t="s">
        <v>1564</v>
      </c>
      <c r="G526" s="2" t="s">
        <v>2220</v>
      </c>
    </row>
    <row r="527" customFormat="false" ht="15" hidden="false" customHeight="false" outlineLevel="0" collapsed="false">
      <c r="A527" s="2" t="s">
        <v>2221</v>
      </c>
      <c r="B527" s="2" t="s">
        <v>184</v>
      </c>
      <c r="C527" s="2" t="s">
        <v>1562</v>
      </c>
      <c r="D527" s="2" t="s">
        <v>49</v>
      </c>
      <c r="E527" s="2" t="s">
        <v>1563</v>
      </c>
      <c r="F527" s="2" t="s">
        <v>1564</v>
      </c>
      <c r="G527" s="2" t="s">
        <v>2222</v>
      </c>
    </row>
    <row r="528" customFormat="false" ht="15" hidden="false" customHeight="false" outlineLevel="0" collapsed="false">
      <c r="A528" s="2" t="s">
        <v>2223</v>
      </c>
      <c r="B528" s="2" t="s">
        <v>184</v>
      </c>
      <c r="C528" s="2" t="s">
        <v>1562</v>
      </c>
      <c r="D528" s="2" t="s">
        <v>49</v>
      </c>
      <c r="E528" s="2" t="s">
        <v>1563</v>
      </c>
      <c r="F528" s="2" t="s">
        <v>1564</v>
      </c>
      <c r="G528" s="2" t="s">
        <v>2224</v>
      </c>
    </row>
    <row r="529" customFormat="false" ht="15" hidden="false" customHeight="false" outlineLevel="0" collapsed="false">
      <c r="A529" s="2" t="s">
        <v>2225</v>
      </c>
      <c r="B529" s="2" t="s">
        <v>184</v>
      </c>
      <c r="C529" s="2" t="s">
        <v>1562</v>
      </c>
      <c r="D529" s="2" t="s">
        <v>49</v>
      </c>
      <c r="E529" s="2" t="s">
        <v>1563</v>
      </c>
      <c r="F529" s="2" t="s">
        <v>1564</v>
      </c>
      <c r="G529" s="2" t="s">
        <v>2226</v>
      </c>
    </row>
    <row r="530" customFormat="false" ht="15" hidden="false" customHeight="false" outlineLevel="0" collapsed="false">
      <c r="A530" s="2" t="s">
        <v>2227</v>
      </c>
      <c r="B530" s="2" t="s">
        <v>184</v>
      </c>
      <c r="C530" s="2" t="s">
        <v>1562</v>
      </c>
      <c r="D530" s="2" t="s">
        <v>49</v>
      </c>
      <c r="E530" s="2" t="s">
        <v>1563</v>
      </c>
      <c r="F530" s="2" t="s">
        <v>1564</v>
      </c>
      <c r="G530" s="2" t="s">
        <v>2228</v>
      </c>
    </row>
    <row r="531" customFormat="false" ht="15" hidden="false" customHeight="false" outlineLevel="0" collapsed="false">
      <c r="A531" s="2" t="s">
        <v>2229</v>
      </c>
      <c r="B531" s="2" t="s">
        <v>184</v>
      </c>
      <c r="C531" s="2" t="s">
        <v>1562</v>
      </c>
      <c r="D531" s="2" t="s">
        <v>49</v>
      </c>
      <c r="E531" s="2" t="s">
        <v>1563</v>
      </c>
      <c r="F531" s="2" t="s">
        <v>1564</v>
      </c>
      <c r="G531" s="2" t="s">
        <v>2230</v>
      </c>
    </row>
    <row r="532" customFormat="false" ht="15" hidden="false" customHeight="false" outlineLevel="0" collapsed="false">
      <c r="A532" s="2" t="s">
        <v>2231</v>
      </c>
      <c r="B532" s="2" t="s">
        <v>184</v>
      </c>
      <c r="C532" s="2" t="s">
        <v>1858</v>
      </c>
      <c r="D532" s="2" t="s">
        <v>50</v>
      </c>
      <c r="E532" s="2" t="s">
        <v>1194</v>
      </c>
      <c r="F532" s="2" t="s">
        <v>1186</v>
      </c>
      <c r="G532" s="2" t="s">
        <v>2232</v>
      </c>
    </row>
    <row r="533" customFormat="false" ht="15" hidden="false" customHeight="false" outlineLevel="0" collapsed="false">
      <c r="A533" s="2" t="s">
        <v>2233</v>
      </c>
      <c r="B533" s="2" t="s">
        <v>184</v>
      </c>
      <c r="C533" s="2" t="s">
        <v>1858</v>
      </c>
      <c r="D533" s="2" t="s">
        <v>50</v>
      </c>
      <c r="E533" s="2" t="s">
        <v>1194</v>
      </c>
      <c r="F533" s="2" t="s">
        <v>1186</v>
      </c>
      <c r="G533" s="2" t="s">
        <v>2234</v>
      </c>
    </row>
    <row r="534" customFormat="false" ht="15" hidden="false" customHeight="false" outlineLevel="0" collapsed="false">
      <c r="A534" s="2" t="s">
        <v>2235</v>
      </c>
      <c r="B534" s="2" t="s">
        <v>184</v>
      </c>
      <c r="C534" s="2" t="s">
        <v>1858</v>
      </c>
      <c r="D534" s="2" t="s">
        <v>50</v>
      </c>
      <c r="E534" s="2" t="s">
        <v>1194</v>
      </c>
      <c r="F534" s="2" t="s">
        <v>1186</v>
      </c>
      <c r="G534" s="2" t="s">
        <v>2236</v>
      </c>
    </row>
    <row r="535" customFormat="false" ht="15" hidden="false" customHeight="false" outlineLevel="0" collapsed="false">
      <c r="A535" s="2" t="s">
        <v>2237</v>
      </c>
      <c r="B535" s="2" t="s">
        <v>184</v>
      </c>
      <c r="C535" s="2" t="s">
        <v>1858</v>
      </c>
      <c r="D535" s="2" t="s">
        <v>50</v>
      </c>
      <c r="E535" s="2" t="s">
        <v>1194</v>
      </c>
      <c r="F535" s="2" t="s">
        <v>1186</v>
      </c>
      <c r="G535" s="2" t="s">
        <v>2238</v>
      </c>
    </row>
    <row r="536" customFormat="false" ht="15" hidden="false" customHeight="false" outlineLevel="0" collapsed="false">
      <c r="A536" s="2" t="s">
        <v>2239</v>
      </c>
      <c r="B536" s="2" t="s">
        <v>184</v>
      </c>
      <c r="C536" s="2" t="s">
        <v>1858</v>
      </c>
      <c r="D536" s="2" t="s">
        <v>50</v>
      </c>
      <c r="E536" s="2" t="s">
        <v>1194</v>
      </c>
      <c r="F536" s="2" t="s">
        <v>1186</v>
      </c>
      <c r="G536" s="2" t="s">
        <v>2240</v>
      </c>
    </row>
    <row r="537" customFormat="false" ht="15" hidden="false" customHeight="false" outlineLevel="0" collapsed="false">
      <c r="A537" s="2" t="s">
        <v>2241</v>
      </c>
      <c r="B537" s="2" t="s">
        <v>184</v>
      </c>
      <c r="C537" s="2" t="s">
        <v>1858</v>
      </c>
      <c r="D537" s="2" t="s">
        <v>50</v>
      </c>
      <c r="E537" s="2" t="s">
        <v>1194</v>
      </c>
      <c r="F537" s="2" t="s">
        <v>1186</v>
      </c>
      <c r="G537" s="2" t="s">
        <v>2242</v>
      </c>
    </row>
    <row r="538" customFormat="false" ht="15" hidden="false" customHeight="false" outlineLevel="0" collapsed="false">
      <c r="A538" s="2" t="s">
        <v>2243</v>
      </c>
      <c r="B538" s="2" t="s">
        <v>184</v>
      </c>
      <c r="C538" s="2" t="s">
        <v>1858</v>
      </c>
      <c r="D538" s="2" t="s">
        <v>50</v>
      </c>
      <c r="E538" s="2" t="s">
        <v>1194</v>
      </c>
      <c r="F538" s="2" t="s">
        <v>1186</v>
      </c>
      <c r="G538" s="2" t="s">
        <v>2244</v>
      </c>
    </row>
    <row r="539" customFormat="false" ht="15" hidden="false" customHeight="false" outlineLevel="0" collapsed="false">
      <c r="A539" s="2" t="s">
        <v>2245</v>
      </c>
      <c r="B539" s="2" t="s">
        <v>184</v>
      </c>
      <c r="C539" s="2" t="s">
        <v>1858</v>
      </c>
      <c r="D539" s="2" t="s">
        <v>50</v>
      </c>
      <c r="E539" s="2" t="s">
        <v>1194</v>
      </c>
      <c r="F539" s="2" t="s">
        <v>1186</v>
      </c>
      <c r="G539" s="2" t="s">
        <v>2246</v>
      </c>
    </row>
    <row r="540" customFormat="false" ht="15" hidden="false" customHeight="false" outlineLevel="0" collapsed="false">
      <c r="A540" s="2" t="s">
        <v>2247</v>
      </c>
      <c r="B540" s="2" t="s">
        <v>184</v>
      </c>
      <c r="C540" s="2" t="s">
        <v>1858</v>
      </c>
      <c r="D540" s="2" t="s">
        <v>50</v>
      </c>
      <c r="E540" s="2" t="s">
        <v>1194</v>
      </c>
      <c r="F540" s="2" t="s">
        <v>1186</v>
      </c>
      <c r="G540" s="2" t="s">
        <v>2248</v>
      </c>
    </row>
    <row r="541" customFormat="false" ht="15" hidden="false" customHeight="false" outlineLevel="0" collapsed="false">
      <c r="A541" s="2" t="s">
        <v>2249</v>
      </c>
      <c r="B541" s="2" t="s">
        <v>184</v>
      </c>
      <c r="C541" s="2" t="s">
        <v>1858</v>
      </c>
      <c r="D541" s="2" t="s">
        <v>50</v>
      </c>
      <c r="E541" s="2" t="s">
        <v>1194</v>
      </c>
      <c r="F541" s="2" t="s">
        <v>1186</v>
      </c>
      <c r="G541" s="2" t="s">
        <v>2250</v>
      </c>
    </row>
    <row r="542" customFormat="false" ht="15" hidden="false" customHeight="false" outlineLevel="0" collapsed="false">
      <c r="A542" s="2" t="s">
        <v>2251</v>
      </c>
      <c r="B542" s="2" t="s">
        <v>184</v>
      </c>
      <c r="C542" s="2" t="s">
        <v>1858</v>
      </c>
      <c r="D542" s="2" t="s">
        <v>50</v>
      </c>
      <c r="E542" s="2" t="s">
        <v>1194</v>
      </c>
      <c r="F542" s="2" t="s">
        <v>1186</v>
      </c>
      <c r="G542" s="2" t="s">
        <v>2252</v>
      </c>
    </row>
    <row r="543" customFormat="false" ht="15" hidden="false" customHeight="false" outlineLevel="0" collapsed="false">
      <c r="A543" s="2" t="s">
        <v>2253</v>
      </c>
      <c r="B543" s="2" t="s">
        <v>184</v>
      </c>
      <c r="C543" s="2" t="s">
        <v>1858</v>
      </c>
      <c r="D543" s="2" t="s">
        <v>50</v>
      </c>
      <c r="E543" s="2" t="s">
        <v>1194</v>
      </c>
      <c r="F543" s="2" t="s">
        <v>1186</v>
      </c>
      <c r="G543" s="2" t="s">
        <v>2254</v>
      </c>
    </row>
    <row r="544" customFormat="false" ht="15" hidden="false" customHeight="false" outlineLevel="0" collapsed="false">
      <c r="A544" s="2" t="s">
        <v>2255</v>
      </c>
      <c r="B544" s="2" t="s">
        <v>184</v>
      </c>
      <c r="C544" s="2" t="s">
        <v>1858</v>
      </c>
      <c r="D544" s="2" t="s">
        <v>50</v>
      </c>
      <c r="E544" s="2" t="s">
        <v>1194</v>
      </c>
      <c r="F544" s="2" t="s">
        <v>1186</v>
      </c>
      <c r="G544" s="2" t="s">
        <v>2256</v>
      </c>
    </row>
    <row r="545" customFormat="false" ht="15" hidden="false" customHeight="false" outlineLevel="0" collapsed="false">
      <c r="A545" s="2" t="s">
        <v>2257</v>
      </c>
      <c r="B545" s="2" t="s">
        <v>184</v>
      </c>
      <c r="C545" s="2" t="s">
        <v>1289</v>
      </c>
      <c r="D545" s="2" t="s">
        <v>48</v>
      </c>
      <c r="E545" s="2" t="s">
        <v>1185</v>
      </c>
      <c r="F545" s="2" t="s">
        <v>1186</v>
      </c>
      <c r="G545" s="2" t="s">
        <v>2258</v>
      </c>
    </row>
    <row r="546" customFormat="false" ht="15" hidden="false" customHeight="false" outlineLevel="0" collapsed="false">
      <c r="A546" s="2" t="s">
        <v>2259</v>
      </c>
      <c r="B546" s="2" t="s">
        <v>184</v>
      </c>
      <c r="C546" s="2" t="s">
        <v>1289</v>
      </c>
      <c r="D546" s="2" t="s">
        <v>48</v>
      </c>
      <c r="E546" s="2" t="s">
        <v>1185</v>
      </c>
      <c r="F546" s="2" t="s">
        <v>1186</v>
      </c>
      <c r="G546" s="2" t="s">
        <v>2260</v>
      </c>
    </row>
    <row r="547" customFormat="false" ht="15" hidden="false" customHeight="false" outlineLevel="0" collapsed="false">
      <c r="A547" s="2" t="s">
        <v>2261</v>
      </c>
      <c r="B547" s="2" t="s">
        <v>184</v>
      </c>
      <c r="C547" s="2" t="s">
        <v>1289</v>
      </c>
      <c r="D547" s="2" t="s">
        <v>48</v>
      </c>
      <c r="E547" s="2" t="s">
        <v>1185</v>
      </c>
      <c r="F547" s="2" t="s">
        <v>1186</v>
      </c>
      <c r="G547" s="2" t="s">
        <v>2262</v>
      </c>
    </row>
    <row r="548" customFormat="false" ht="15" hidden="false" customHeight="false" outlineLevel="0" collapsed="false">
      <c r="A548" s="2" t="s">
        <v>2263</v>
      </c>
      <c r="B548" s="2" t="s">
        <v>184</v>
      </c>
      <c r="C548" s="2" t="s">
        <v>1289</v>
      </c>
      <c r="D548" s="2" t="s">
        <v>48</v>
      </c>
      <c r="E548" s="2" t="s">
        <v>1185</v>
      </c>
      <c r="F548" s="2" t="s">
        <v>1186</v>
      </c>
      <c r="G548" s="2" t="s">
        <v>2264</v>
      </c>
    </row>
    <row r="549" customFormat="false" ht="15" hidden="false" customHeight="false" outlineLevel="0" collapsed="false">
      <c r="A549" s="2" t="s">
        <v>2265</v>
      </c>
      <c r="B549" s="2" t="s">
        <v>184</v>
      </c>
      <c r="C549" s="2" t="s">
        <v>1289</v>
      </c>
      <c r="D549" s="2" t="s">
        <v>48</v>
      </c>
      <c r="E549" s="2" t="s">
        <v>1185</v>
      </c>
      <c r="F549" s="2" t="s">
        <v>1186</v>
      </c>
      <c r="G549" s="2" t="s">
        <v>2266</v>
      </c>
    </row>
    <row r="550" customFormat="false" ht="15" hidden="false" customHeight="false" outlineLevel="0" collapsed="false">
      <c r="A550" s="2" t="s">
        <v>2267</v>
      </c>
      <c r="B550" s="2" t="s">
        <v>184</v>
      </c>
      <c r="C550" s="2" t="s">
        <v>1562</v>
      </c>
      <c r="D550" s="2" t="s">
        <v>49</v>
      </c>
      <c r="E550" s="2" t="s">
        <v>1563</v>
      </c>
      <c r="F550" s="2" t="s">
        <v>1186</v>
      </c>
      <c r="G550" s="2" t="s">
        <v>2268</v>
      </c>
    </row>
    <row r="551" customFormat="false" ht="15" hidden="false" customHeight="false" outlineLevel="0" collapsed="false">
      <c r="A551" s="2" t="s">
        <v>2269</v>
      </c>
      <c r="B551" s="2" t="s">
        <v>184</v>
      </c>
      <c r="C551" s="2" t="s">
        <v>1289</v>
      </c>
      <c r="D551" s="2" t="s">
        <v>48</v>
      </c>
      <c r="E551" s="2" t="s">
        <v>1185</v>
      </c>
      <c r="F551" s="2" t="s">
        <v>1186</v>
      </c>
      <c r="G551" s="2" t="s">
        <v>2270</v>
      </c>
    </row>
    <row r="552" customFormat="false" ht="15" hidden="false" customHeight="false" outlineLevel="0" collapsed="false">
      <c r="A552" s="2" t="s">
        <v>2271</v>
      </c>
      <c r="B552" s="2" t="s">
        <v>184</v>
      </c>
      <c r="C552" s="2" t="s">
        <v>1289</v>
      </c>
      <c r="D552" s="2" t="s">
        <v>48</v>
      </c>
      <c r="E552" s="2" t="s">
        <v>1185</v>
      </c>
      <c r="F552" s="2" t="s">
        <v>1186</v>
      </c>
      <c r="G552" s="2" t="s">
        <v>2272</v>
      </c>
    </row>
    <row r="553" customFormat="false" ht="15" hidden="false" customHeight="false" outlineLevel="0" collapsed="false">
      <c r="A553" s="2" t="s">
        <v>2273</v>
      </c>
      <c r="B553" s="2" t="s">
        <v>184</v>
      </c>
      <c r="C553" s="2" t="s">
        <v>1289</v>
      </c>
      <c r="D553" s="2" t="s">
        <v>48</v>
      </c>
      <c r="E553" s="2" t="s">
        <v>1185</v>
      </c>
      <c r="F553" s="2" t="s">
        <v>1186</v>
      </c>
      <c r="G553" s="2" t="s">
        <v>2274</v>
      </c>
    </row>
    <row r="554" customFormat="false" ht="15" hidden="false" customHeight="false" outlineLevel="0" collapsed="false">
      <c r="A554" s="2" t="s">
        <v>2275</v>
      </c>
      <c r="B554" s="2" t="s">
        <v>184</v>
      </c>
      <c r="C554" s="2" t="s">
        <v>1289</v>
      </c>
      <c r="D554" s="2" t="s">
        <v>48</v>
      </c>
      <c r="E554" s="2" t="s">
        <v>1185</v>
      </c>
      <c r="F554" s="2" t="s">
        <v>1186</v>
      </c>
      <c r="G554" s="2" t="s">
        <v>2276</v>
      </c>
    </row>
    <row r="555" customFormat="false" ht="15" hidden="false" customHeight="false" outlineLevel="0" collapsed="false">
      <c r="A555" s="2" t="s">
        <v>2277</v>
      </c>
      <c r="B555" s="2" t="s">
        <v>184</v>
      </c>
      <c r="C555" s="2" t="s">
        <v>1289</v>
      </c>
      <c r="D555" s="2" t="s">
        <v>48</v>
      </c>
      <c r="E555" s="2" t="s">
        <v>1185</v>
      </c>
      <c r="F555" s="2" t="s">
        <v>1186</v>
      </c>
      <c r="G555" s="2" t="s">
        <v>2278</v>
      </c>
    </row>
    <row r="556" customFormat="false" ht="15" hidden="false" customHeight="false" outlineLevel="0" collapsed="false">
      <c r="A556" s="2" t="s">
        <v>2279</v>
      </c>
      <c r="B556" s="2" t="s">
        <v>184</v>
      </c>
      <c r="C556" s="2" t="s">
        <v>1562</v>
      </c>
      <c r="D556" s="2" t="s">
        <v>49</v>
      </c>
      <c r="E556" s="2" t="s">
        <v>1563</v>
      </c>
      <c r="F556" s="2" t="s">
        <v>1564</v>
      </c>
      <c r="G556" s="2" t="s">
        <v>2280</v>
      </c>
    </row>
    <row r="557" customFormat="false" ht="15" hidden="false" customHeight="false" outlineLevel="0" collapsed="false">
      <c r="A557" s="2" t="s">
        <v>2281</v>
      </c>
      <c r="B557" s="2" t="s">
        <v>184</v>
      </c>
      <c r="C557" s="2" t="s">
        <v>1562</v>
      </c>
      <c r="D557" s="2" t="s">
        <v>49</v>
      </c>
      <c r="E557" s="2" t="s">
        <v>1563</v>
      </c>
      <c r="F557" s="2" t="s">
        <v>1564</v>
      </c>
      <c r="G557" s="2" t="s">
        <v>2282</v>
      </c>
    </row>
    <row r="558" customFormat="false" ht="15" hidden="false" customHeight="false" outlineLevel="0" collapsed="false">
      <c r="A558" s="2" t="s">
        <v>2283</v>
      </c>
      <c r="B558" s="2" t="s">
        <v>184</v>
      </c>
      <c r="C558" s="2" t="s">
        <v>1562</v>
      </c>
      <c r="D558" s="2" t="s">
        <v>49</v>
      </c>
      <c r="E558" s="2" t="s">
        <v>1563</v>
      </c>
      <c r="F558" s="2" t="s">
        <v>1564</v>
      </c>
      <c r="G558" s="2" t="s">
        <v>2284</v>
      </c>
    </row>
    <row r="559" customFormat="false" ht="15" hidden="false" customHeight="false" outlineLevel="0" collapsed="false">
      <c r="A559" s="2" t="s">
        <v>2285</v>
      </c>
      <c r="B559" s="2" t="s">
        <v>184</v>
      </c>
      <c r="C559" s="2" t="s">
        <v>1562</v>
      </c>
      <c r="D559" s="2" t="s">
        <v>49</v>
      </c>
      <c r="E559" s="2" t="s">
        <v>1563</v>
      </c>
      <c r="F559" s="2" t="s">
        <v>1564</v>
      </c>
      <c r="G559" s="2" t="s">
        <v>2286</v>
      </c>
    </row>
    <row r="560" customFormat="false" ht="15" hidden="false" customHeight="false" outlineLevel="0" collapsed="false">
      <c r="A560" s="2" t="s">
        <v>2287</v>
      </c>
      <c r="B560" s="2" t="s">
        <v>184</v>
      </c>
      <c r="C560" s="2" t="s">
        <v>1562</v>
      </c>
      <c r="D560" s="2" t="s">
        <v>49</v>
      </c>
      <c r="E560" s="2" t="s">
        <v>1563</v>
      </c>
      <c r="F560" s="2" t="s">
        <v>1564</v>
      </c>
      <c r="G560" s="2" t="s">
        <v>2288</v>
      </c>
    </row>
    <row r="561" customFormat="false" ht="15" hidden="false" customHeight="false" outlineLevel="0" collapsed="false">
      <c r="A561" s="2" t="s">
        <v>2289</v>
      </c>
      <c r="B561" s="2" t="s">
        <v>184</v>
      </c>
      <c r="C561" s="2" t="s">
        <v>1562</v>
      </c>
      <c r="D561" s="2" t="s">
        <v>49</v>
      </c>
      <c r="E561" s="2" t="s">
        <v>1563</v>
      </c>
      <c r="F561" s="2" t="s">
        <v>1564</v>
      </c>
      <c r="G561" s="2" t="s">
        <v>2290</v>
      </c>
    </row>
    <row r="562" customFormat="false" ht="15" hidden="false" customHeight="false" outlineLevel="0" collapsed="false">
      <c r="A562" s="2" t="s">
        <v>2291</v>
      </c>
      <c r="B562" s="2" t="s">
        <v>184</v>
      </c>
      <c r="C562" s="2" t="s">
        <v>1562</v>
      </c>
      <c r="D562" s="2" t="s">
        <v>49</v>
      </c>
      <c r="E562" s="2" t="s">
        <v>1563</v>
      </c>
      <c r="F562" s="2" t="s">
        <v>1564</v>
      </c>
      <c r="G562" s="2" t="s">
        <v>2292</v>
      </c>
    </row>
    <row r="563" customFormat="false" ht="15" hidden="false" customHeight="false" outlineLevel="0" collapsed="false">
      <c r="A563" s="2" t="s">
        <v>2293</v>
      </c>
      <c r="B563" s="2" t="s">
        <v>184</v>
      </c>
      <c r="C563" s="2" t="s">
        <v>1858</v>
      </c>
      <c r="D563" s="2" t="s">
        <v>50</v>
      </c>
      <c r="E563" s="2" t="s">
        <v>1194</v>
      </c>
      <c r="F563" s="2" t="s">
        <v>1186</v>
      </c>
      <c r="G563" s="2" t="s">
        <v>2294</v>
      </c>
    </row>
    <row r="564" customFormat="false" ht="15" hidden="false" customHeight="false" outlineLevel="0" collapsed="false">
      <c r="A564" s="2" t="s">
        <v>2295</v>
      </c>
      <c r="B564" s="2" t="s">
        <v>184</v>
      </c>
      <c r="C564" s="2" t="s">
        <v>1858</v>
      </c>
      <c r="D564" s="2" t="s">
        <v>50</v>
      </c>
      <c r="E564" s="2" t="s">
        <v>1194</v>
      </c>
      <c r="F564" s="2" t="s">
        <v>1186</v>
      </c>
      <c r="G564" s="2" t="s">
        <v>2296</v>
      </c>
    </row>
    <row r="565" customFormat="false" ht="15" hidden="false" customHeight="false" outlineLevel="0" collapsed="false">
      <c r="A565" s="2" t="s">
        <v>2297</v>
      </c>
      <c r="B565" s="2" t="s">
        <v>184</v>
      </c>
      <c r="C565" s="2" t="s">
        <v>1858</v>
      </c>
      <c r="D565" s="2" t="s">
        <v>50</v>
      </c>
      <c r="E565" s="2" t="s">
        <v>1194</v>
      </c>
      <c r="F565" s="2" t="s">
        <v>1186</v>
      </c>
      <c r="G565" s="2" t="s">
        <v>2298</v>
      </c>
    </row>
    <row r="566" customFormat="false" ht="15" hidden="false" customHeight="false" outlineLevel="0" collapsed="false">
      <c r="A566" s="2" t="s">
        <v>2299</v>
      </c>
      <c r="B566" s="2" t="s">
        <v>184</v>
      </c>
      <c r="C566" s="2" t="s">
        <v>1858</v>
      </c>
      <c r="D566" s="2" t="s">
        <v>50</v>
      </c>
      <c r="E566" s="2" t="s">
        <v>1194</v>
      </c>
      <c r="F566" s="2" t="s">
        <v>1186</v>
      </c>
      <c r="G566" s="2" t="s">
        <v>2300</v>
      </c>
    </row>
    <row r="567" customFormat="false" ht="15" hidden="false" customHeight="false" outlineLevel="0" collapsed="false">
      <c r="A567" s="2" t="s">
        <v>2301</v>
      </c>
      <c r="B567" s="2" t="s">
        <v>184</v>
      </c>
      <c r="C567" s="2" t="s">
        <v>1858</v>
      </c>
      <c r="D567" s="2" t="s">
        <v>50</v>
      </c>
      <c r="E567" s="2" t="s">
        <v>1194</v>
      </c>
      <c r="F567" s="2" t="s">
        <v>1186</v>
      </c>
      <c r="G567" s="2" t="s">
        <v>2302</v>
      </c>
    </row>
    <row r="568" customFormat="false" ht="15" hidden="false" customHeight="false" outlineLevel="0" collapsed="false">
      <c r="A568" s="2" t="s">
        <v>2303</v>
      </c>
      <c r="B568" s="2" t="s">
        <v>184</v>
      </c>
      <c r="C568" s="2" t="s">
        <v>1858</v>
      </c>
      <c r="D568" s="2" t="s">
        <v>50</v>
      </c>
      <c r="E568" s="2" t="s">
        <v>1194</v>
      </c>
      <c r="F568" s="2" t="s">
        <v>1186</v>
      </c>
      <c r="G568" s="2" t="s">
        <v>2304</v>
      </c>
    </row>
    <row r="569" customFormat="false" ht="15" hidden="false" customHeight="false" outlineLevel="0" collapsed="false">
      <c r="A569" s="2" t="s">
        <v>2305</v>
      </c>
      <c r="B569" s="2" t="s">
        <v>184</v>
      </c>
      <c r="C569" s="2" t="s">
        <v>1858</v>
      </c>
      <c r="D569" s="2" t="s">
        <v>50</v>
      </c>
      <c r="E569" s="2" t="s">
        <v>1194</v>
      </c>
      <c r="F569" s="2" t="s">
        <v>1186</v>
      </c>
      <c r="G569" s="2" t="s">
        <v>2306</v>
      </c>
    </row>
    <row r="570" customFormat="false" ht="15" hidden="false" customHeight="false" outlineLevel="0" collapsed="false">
      <c r="A570" s="2" t="s">
        <v>2307</v>
      </c>
      <c r="B570" s="2" t="s">
        <v>125</v>
      </c>
      <c r="C570" s="2" t="s">
        <v>125</v>
      </c>
      <c r="D570" s="2" t="s">
        <v>48</v>
      </c>
      <c r="E570" s="2" t="s">
        <v>1185</v>
      </c>
      <c r="F570" s="2" t="s">
        <v>1186</v>
      </c>
      <c r="G570" s="2" t="s">
        <v>2308</v>
      </c>
    </row>
    <row r="571" customFormat="false" ht="15" hidden="false" customHeight="false" outlineLevel="0" collapsed="false">
      <c r="A571" s="2" t="s">
        <v>2309</v>
      </c>
      <c r="B571" s="2" t="s">
        <v>184</v>
      </c>
      <c r="C571" s="2" t="s">
        <v>1858</v>
      </c>
      <c r="D571" s="2" t="s">
        <v>50</v>
      </c>
      <c r="E571" s="2" t="s">
        <v>1194</v>
      </c>
      <c r="F571" s="2" t="s">
        <v>1186</v>
      </c>
      <c r="G571" s="2" t="s">
        <v>2310</v>
      </c>
    </row>
    <row r="572" customFormat="false" ht="15" hidden="false" customHeight="false" outlineLevel="0" collapsed="false">
      <c r="A572" s="2" t="s">
        <v>2311</v>
      </c>
      <c r="B572" s="2" t="s">
        <v>184</v>
      </c>
      <c r="C572" s="2" t="s">
        <v>1858</v>
      </c>
      <c r="D572" s="2" t="s">
        <v>50</v>
      </c>
      <c r="E572" s="2" t="s">
        <v>1194</v>
      </c>
      <c r="F572" s="2" t="s">
        <v>1186</v>
      </c>
      <c r="G572" s="2" t="s">
        <v>2312</v>
      </c>
    </row>
    <row r="573" customFormat="false" ht="15" hidden="false" customHeight="false" outlineLevel="0" collapsed="false">
      <c r="A573" s="2" t="s">
        <v>2313</v>
      </c>
      <c r="B573" s="2" t="s">
        <v>184</v>
      </c>
      <c r="C573" s="2" t="s">
        <v>1858</v>
      </c>
      <c r="D573" s="2" t="s">
        <v>50</v>
      </c>
      <c r="E573" s="2" t="s">
        <v>1194</v>
      </c>
      <c r="F573" s="2" t="s">
        <v>1186</v>
      </c>
      <c r="G573" s="2" t="s">
        <v>2314</v>
      </c>
    </row>
    <row r="574" customFormat="false" ht="15" hidden="false" customHeight="false" outlineLevel="0" collapsed="false">
      <c r="A574" s="2" t="s">
        <v>2315</v>
      </c>
      <c r="B574" s="2" t="s">
        <v>184</v>
      </c>
      <c r="C574" s="2" t="s">
        <v>1858</v>
      </c>
      <c r="D574" s="2" t="s">
        <v>50</v>
      </c>
      <c r="E574" s="2" t="s">
        <v>1194</v>
      </c>
      <c r="F574" s="2" t="s">
        <v>1186</v>
      </c>
      <c r="G574" s="2" t="s">
        <v>2316</v>
      </c>
    </row>
    <row r="575" customFormat="false" ht="15" hidden="false" customHeight="false" outlineLevel="0" collapsed="false">
      <c r="A575" s="2" t="s">
        <v>2317</v>
      </c>
      <c r="B575" s="2" t="s">
        <v>184</v>
      </c>
      <c r="C575" s="2" t="s">
        <v>1858</v>
      </c>
      <c r="D575" s="2" t="s">
        <v>50</v>
      </c>
      <c r="E575" s="2" t="s">
        <v>1194</v>
      </c>
      <c r="F575" s="2" t="s">
        <v>1186</v>
      </c>
      <c r="G575" s="2" t="s">
        <v>2318</v>
      </c>
    </row>
    <row r="576" customFormat="false" ht="15" hidden="false" customHeight="false" outlineLevel="0" collapsed="false">
      <c r="A576" s="2" t="s">
        <v>2319</v>
      </c>
      <c r="B576" s="2" t="s">
        <v>184</v>
      </c>
      <c r="C576" s="2" t="s">
        <v>1858</v>
      </c>
      <c r="D576" s="2" t="s">
        <v>50</v>
      </c>
      <c r="E576" s="2" t="s">
        <v>1194</v>
      </c>
      <c r="F576" s="2" t="s">
        <v>1186</v>
      </c>
      <c r="G576" s="2" t="s">
        <v>2320</v>
      </c>
    </row>
    <row r="577" customFormat="false" ht="15" hidden="false" customHeight="false" outlineLevel="0" collapsed="false">
      <c r="A577" s="2" t="s">
        <v>2321</v>
      </c>
      <c r="B577" s="2" t="s">
        <v>184</v>
      </c>
      <c r="C577" s="2" t="s">
        <v>1858</v>
      </c>
      <c r="D577" s="2" t="s">
        <v>50</v>
      </c>
      <c r="E577" s="2" t="s">
        <v>1194</v>
      </c>
      <c r="F577" s="2" t="s">
        <v>1186</v>
      </c>
      <c r="G577" s="2" t="s">
        <v>2322</v>
      </c>
    </row>
    <row r="578" customFormat="false" ht="15" hidden="false" customHeight="false" outlineLevel="0" collapsed="false">
      <c r="A578" s="2" t="s">
        <v>2323</v>
      </c>
      <c r="B578" s="2" t="s">
        <v>184</v>
      </c>
      <c r="C578" s="2" t="s">
        <v>1858</v>
      </c>
      <c r="D578" s="2" t="s">
        <v>50</v>
      </c>
      <c r="E578" s="2" t="s">
        <v>1194</v>
      </c>
      <c r="F578" s="2" t="s">
        <v>1186</v>
      </c>
      <c r="G578" s="2" t="s">
        <v>2324</v>
      </c>
    </row>
    <row r="579" customFormat="false" ht="15" hidden="false" customHeight="false" outlineLevel="0" collapsed="false">
      <c r="A579" s="2" t="s">
        <v>2325</v>
      </c>
      <c r="B579" s="2" t="s">
        <v>125</v>
      </c>
      <c r="C579" s="2" t="s">
        <v>125</v>
      </c>
      <c r="D579" s="2" t="s">
        <v>48</v>
      </c>
      <c r="E579" s="2" t="s">
        <v>1185</v>
      </c>
      <c r="F579" s="2" t="s">
        <v>1186</v>
      </c>
      <c r="G579" s="2" t="s">
        <v>2326</v>
      </c>
    </row>
    <row r="580" customFormat="false" ht="15" hidden="false" customHeight="false" outlineLevel="0" collapsed="false">
      <c r="A580" s="2" t="s">
        <v>2327</v>
      </c>
      <c r="B580" s="2" t="s">
        <v>125</v>
      </c>
      <c r="C580" s="2" t="s">
        <v>125</v>
      </c>
      <c r="D580" s="2" t="s">
        <v>48</v>
      </c>
      <c r="E580" s="2" t="s">
        <v>1185</v>
      </c>
      <c r="F580" s="2" t="s">
        <v>1186</v>
      </c>
      <c r="G580" s="2" t="s">
        <v>2328</v>
      </c>
    </row>
    <row r="581" customFormat="false" ht="15" hidden="false" customHeight="false" outlineLevel="0" collapsed="false">
      <c r="A581" s="2" t="s">
        <v>2329</v>
      </c>
      <c r="B581" s="2" t="s">
        <v>125</v>
      </c>
      <c r="C581" s="2" t="s">
        <v>125</v>
      </c>
      <c r="D581" s="2" t="s">
        <v>48</v>
      </c>
      <c r="E581" s="2" t="s">
        <v>1185</v>
      </c>
      <c r="F581" s="2" t="s">
        <v>1186</v>
      </c>
      <c r="G581" s="2" t="s">
        <v>2330</v>
      </c>
    </row>
    <row r="582" customFormat="false" ht="15" hidden="false" customHeight="false" outlineLevel="0" collapsed="false">
      <c r="A582" s="2" t="s">
        <v>2331</v>
      </c>
      <c r="B582" s="2" t="s">
        <v>125</v>
      </c>
      <c r="C582" s="2" t="s">
        <v>125</v>
      </c>
      <c r="D582" s="2" t="s">
        <v>48</v>
      </c>
      <c r="E582" s="2" t="s">
        <v>1185</v>
      </c>
      <c r="F582" s="2" t="s">
        <v>1186</v>
      </c>
      <c r="G582" s="2" t="s">
        <v>2332</v>
      </c>
    </row>
    <row r="583" customFormat="false" ht="15" hidden="false" customHeight="false" outlineLevel="0" collapsed="false">
      <c r="A583" s="2" t="s">
        <v>2333</v>
      </c>
      <c r="B583" s="2" t="s">
        <v>125</v>
      </c>
      <c r="C583" s="2" t="s">
        <v>125</v>
      </c>
      <c r="D583" s="2" t="s">
        <v>48</v>
      </c>
      <c r="E583" s="2" t="s">
        <v>1185</v>
      </c>
      <c r="F583" s="2" t="s">
        <v>1186</v>
      </c>
      <c r="G583" s="2" t="s">
        <v>2334</v>
      </c>
    </row>
    <row r="584" customFormat="false" ht="15" hidden="false" customHeight="false" outlineLevel="0" collapsed="false">
      <c r="A584" s="2" t="s">
        <v>2335</v>
      </c>
      <c r="B584" s="2" t="s">
        <v>125</v>
      </c>
      <c r="C584" s="2" t="s">
        <v>125</v>
      </c>
      <c r="D584" s="2" t="s">
        <v>48</v>
      </c>
      <c r="E584" s="2" t="s">
        <v>1185</v>
      </c>
      <c r="F584" s="2" t="s">
        <v>1186</v>
      </c>
      <c r="G584" s="2" t="s">
        <v>2336</v>
      </c>
    </row>
    <row r="585" customFormat="false" ht="15" hidden="false" customHeight="false" outlineLevel="0" collapsed="false">
      <c r="A585" s="2" t="s">
        <v>2337</v>
      </c>
      <c r="B585" s="2" t="s">
        <v>125</v>
      </c>
      <c r="C585" s="2" t="s">
        <v>125</v>
      </c>
      <c r="D585" s="2" t="s">
        <v>48</v>
      </c>
      <c r="E585" s="2" t="s">
        <v>1185</v>
      </c>
      <c r="F585" s="2" t="s">
        <v>1186</v>
      </c>
      <c r="G585" s="2" t="s">
        <v>2338</v>
      </c>
    </row>
    <row r="586" customFormat="false" ht="15" hidden="false" customHeight="false" outlineLevel="0" collapsed="false">
      <c r="A586" s="2" t="s">
        <v>2339</v>
      </c>
      <c r="B586" s="2" t="s">
        <v>125</v>
      </c>
      <c r="C586" s="2" t="s">
        <v>125</v>
      </c>
      <c r="D586" s="2" t="s">
        <v>48</v>
      </c>
      <c r="E586" s="2" t="s">
        <v>1185</v>
      </c>
      <c r="F586" s="2" t="s">
        <v>1186</v>
      </c>
      <c r="G586" s="2" t="s">
        <v>2340</v>
      </c>
    </row>
    <row r="587" customFormat="false" ht="15" hidden="false" customHeight="false" outlineLevel="0" collapsed="false">
      <c r="A587" s="2" t="s">
        <v>2341</v>
      </c>
      <c r="B587" s="2" t="s">
        <v>125</v>
      </c>
      <c r="C587" s="2" t="s">
        <v>125</v>
      </c>
      <c r="D587" s="2" t="s">
        <v>48</v>
      </c>
      <c r="E587" s="2" t="s">
        <v>1185</v>
      </c>
      <c r="F587" s="2" t="s">
        <v>1186</v>
      </c>
      <c r="G587" s="2" t="s">
        <v>2342</v>
      </c>
    </row>
    <row r="588" customFormat="false" ht="15" hidden="false" customHeight="false" outlineLevel="0" collapsed="false">
      <c r="A588" s="2" t="s">
        <v>2343</v>
      </c>
      <c r="B588" s="2" t="s">
        <v>125</v>
      </c>
      <c r="C588" s="2" t="s">
        <v>125</v>
      </c>
      <c r="D588" s="2" t="s">
        <v>48</v>
      </c>
      <c r="E588" s="2" t="s">
        <v>1185</v>
      </c>
      <c r="F588" s="2" t="s">
        <v>1186</v>
      </c>
      <c r="G588" s="2" t="s">
        <v>2344</v>
      </c>
    </row>
    <row r="589" customFormat="false" ht="15" hidden="false" customHeight="false" outlineLevel="0" collapsed="false">
      <c r="A589" s="2" t="s">
        <v>2345</v>
      </c>
      <c r="B589" s="2" t="s">
        <v>125</v>
      </c>
      <c r="C589" s="2" t="s">
        <v>125</v>
      </c>
      <c r="D589" s="2" t="s">
        <v>48</v>
      </c>
      <c r="E589" s="2" t="s">
        <v>1185</v>
      </c>
      <c r="F589" s="2" t="s">
        <v>1186</v>
      </c>
      <c r="G589" s="2" t="s">
        <v>2346</v>
      </c>
    </row>
    <row r="590" customFormat="false" ht="15" hidden="false" customHeight="false" outlineLevel="0" collapsed="false">
      <c r="A590" s="2" t="s">
        <v>2347</v>
      </c>
      <c r="B590" s="2" t="s">
        <v>125</v>
      </c>
      <c r="C590" s="2" t="s">
        <v>125</v>
      </c>
      <c r="D590" s="2" t="s">
        <v>48</v>
      </c>
      <c r="E590" s="2" t="s">
        <v>1185</v>
      </c>
      <c r="F590" s="2" t="s">
        <v>1186</v>
      </c>
      <c r="G590" s="2" t="s">
        <v>2348</v>
      </c>
    </row>
    <row r="591" customFormat="false" ht="15" hidden="false" customHeight="false" outlineLevel="0" collapsed="false">
      <c r="A591" s="2" t="s">
        <v>2349</v>
      </c>
      <c r="B591" s="2" t="s">
        <v>125</v>
      </c>
      <c r="C591" s="2" t="s">
        <v>125</v>
      </c>
      <c r="D591" s="2" t="s">
        <v>48</v>
      </c>
      <c r="E591" s="2" t="s">
        <v>1185</v>
      </c>
      <c r="F591" s="2" t="s">
        <v>1186</v>
      </c>
      <c r="G591" s="2" t="s">
        <v>2350</v>
      </c>
    </row>
    <row r="592" customFormat="false" ht="15" hidden="false" customHeight="false" outlineLevel="0" collapsed="false">
      <c r="A592" s="2" t="s">
        <v>2351</v>
      </c>
      <c r="B592" s="2" t="s">
        <v>125</v>
      </c>
      <c r="C592" s="2" t="s">
        <v>125</v>
      </c>
      <c r="D592" s="2" t="s">
        <v>48</v>
      </c>
      <c r="E592" s="2" t="s">
        <v>1185</v>
      </c>
      <c r="F592" s="2" t="s">
        <v>1186</v>
      </c>
      <c r="G592" s="2" t="s">
        <v>2352</v>
      </c>
    </row>
    <row r="593" customFormat="false" ht="15" hidden="false" customHeight="false" outlineLevel="0" collapsed="false">
      <c r="A593" s="2" t="s">
        <v>2353</v>
      </c>
      <c r="B593" s="2" t="s">
        <v>125</v>
      </c>
      <c r="C593" s="2" t="s">
        <v>125</v>
      </c>
      <c r="D593" s="2" t="s">
        <v>48</v>
      </c>
      <c r="E593" s="2" t="s">
        <v>1185</v>
      </c>
      <c r="F593" s="2" t="s">
        <v>1186</v>
      </c>
      <c r="G593" s="2" t="s">
        <v>2354</v>
      </c>
    </row>
    <row r="594" customFormat="false" ht="15" hidden="false" customHeight="false" outlineLevel="0" collapsed="false">
      <c r="A594" s="2" t="s">
        <v>2355</v>
      </c>
      <c r="B594" s="2" t="s">
        <v>125</v>
      </c>
      <c r="C594" s="2" t="s">
        <v>125</v>
      </c>
      <c r="D594" s="2" t="s">
        <v>48</v>
      </c>
      <c r="E594" s="2" t="s">
        <v>1185</v>
      </c>
      <c r="F594" s="2" t="s">
        <v>1186</v>
      </c>
      <c r="G594" s="2" t="s">
        <v>2356</v>
      </c>
    </row>
    <row r="595" customFormat="false" ht="15" hidden="false" customHeight="false" outlineLevel="0" collapsed="false">
      <c r="A595" s="2" t="s">
        <v>2357</v>
      </c>
      <c r="B595" s="2" t="s">
        <v>125</v>
      </c>
      <c r="C595" s="2" t="s">
        <v>125</v>
      </c>
      <c r="D595" s="2" t="s">
        <v>48</v>
      </c>
      <c r="E595" s="2" t="s">
        <v>1185</v>
      </c>
      <c r="F595" s="2" t="s">
        <v>1186</v>
      </c>
      <c r="G595" s="2" t="s">
        <v>2358</v>
      </c>
    </row>
    <row r="596" customFormat="false" ht="15" hidden="false" customHeight="false" outlineLevel="0" collapsed="false">
      <c r="A596" s="2" t="s">
        <v>2359</v>
      </c>
      <c r="B596" s="2" t="s">
        <v>125</v>
      </c>
      <c r="C596" s="2" t="s">
        <v>125</v>
      </c>
      <c r="D596" s="2" t="s">
        <v>48</v>
      </c>
      <c r="E596" s="2" t="s">
        <v>1185</v>
      </c>
      <c r="F596" s="2" t="s">
        <v>1186</v>
      </c>
      <c r="G596" s="2" t="s">
        <v>2360</v>
      </c>
    </row>
    <row r="597" customFormat="false" ht="15" hidden="false" customHeight="false" outlineLevel="0" collapsed="false">
      <c r="A597" s="2" t="s">
        <v>2361</v>
      </c>
      <c r="B597" s="2" t="s">
        <v>125</v>
      </c>
      <c r="C597" s="2" t="s">
        <v>125</v>
      </c>
      <c r="D597" s="2" t="s">
        <v>48</v>
      </c>
      <c r="E597" s="2" t="s">
        <v>1185</v>
      </c>
      <c r="F597" s="2" t="s">
        <v>1186</v>
      </c>
      <c r="G597" s="2" t="s">
        <v>2362</v>
      </c>
    </row>
    <row r="598" customFormat="false" ht="15" hidden="false" customHeight="false" outlineLevel="0" collapsed="false">
      <c r="A598" s="2" t="s">
        <v>2363</v>
      </c>
      <c r="B598" s="2" t="s">
        <v>125</v>
      </c>
      <c r="C598" s="2" t="s">
        <v>125</v>
      </c>
      <c r="D598" s="2" t="s">
        <v>48</v>
      </c>
      <c r="E598" s="2" t="s">
        <v>1185</v>
      </c>
      <c r="F598" s="2" t="s">
        <v>1186</v>
      </c>
      <c r="G598" s="2" t="s">
        <v>2364</v>
      </c>
    </row>
    <row r="599" customFormat="false" ht="15" hidden="false" customHeight="false" outlineLevel="0" collapsed="false">
      <c r="A599" s="2" t="s">
        <v>2365</v>
      </c>
      <c r="B599" s="2" t="s">
        <v>184</v>
      </c>
      <c r="C599" s="2" t="s">
        <v>1858</v>
      </c>
      <c r="D599" s="2" t="s">
        <v>50</v>
      </c>
      <c r="E599" s="2" t="s">
        <v>1194</v>
      </c>
      <c r="F599" s="2" t="s">
        <v>1186</v>
      </c>
      <c r="G599" s="2" t="s">
        <v>2366</v>
      </c>
    </row>
    <row r="600" customFormat="false" ht="15" hidden="false" customHeight="false" outlineLevel="0" collapsed="false">
      <c r="A600" s="2" t="s">
        <v>2367</v>
      </c>
      <c r="B600" s="2" t="s">
        <v>184</v>
      </c>
      <c r="C600" s="2" t="s">
        <v>1858</v>
      </c>
      <c r="D600" s="2" t="s">
        <v>50</v>
      </c>
      <c r="E600" s="2" t="s">
        <v>1194</v>
      </c>
      <c r="F600" s="2" t="s">
        <v>1186</v>
      </c>
      <c r="G600" s="2" t="s">
        <v>2368</v>
      </c>
    </row>
    <row r="601" customFormat="false" ht="15" hidden="false" customHeight="false" outlineLevel="0" collapsed="false">
      <c r="A601" s="2" t="s">
        <v>2369</v>
      </c>
      <c r="B601" s="2" t="s">
        <v>184</v>
      </c>
      <c r="C601" s="2" t="s">
        <v>1858</v>
      </c>
      <c r="D601" s="2" t="s">
        <v>50</v>
      </c>
      <c r="E601" s="2" t="s">
        <v>1194</v>
      </c>
      <c r="F601" s="2" t="s">
        <v>1186</v>
      </c>
      <c r="G601" s="2" t="s">
        <v>2370</v>
      </c>
    </row>
    <row r="602" customFormat="false" ht="15" hidden="false" customHeight="false" outlineLevel="0" collapsed="false">
      <c r="A602" s="2" t="s">
        <v>2371</v>
      </c>
      <c r="B602" s="2" t="s">
        <v>184</v>
      </c>
      <c r="C602" s="2" t="s">
        <v>1562</v>
      </c>
      <c r="D602" s="2" t="s">
        <v>49</v>
      </c>
      <c r="E602" s="2" t="s">
        <v>1563</v>
      </c>
      <c r="F602" s="2" t="s">
        <v>1186</v>
      </c>
      <c r="G602" s="2" t="s">
        <v>2372</v>
      </c>
    </row>
    <row r="603" customFormat="false" ht="15" hidden="false" customHeight="false" outlineLevel="0" collapsed="false">
      <c r="A603" s="2" t="s">
        <v>2373</v>
      </c>
      <c r="B603" s="2" t="s">
        <v>184</v>
      </c>
      <c r="C603" s="2" t="s">
        <v>1858</v>
      </c>
      <c r="D603" s="2" t="s">
        <v>50</v>
      </c>
      <c r="E603" s="2" t="s">
        <v>1194</v>
      </c>
      <c r="F603" s="2" t="s">
        <v>1186</v>
      </c>
      <c r="G603" s="2" t="s">
        <v>2374</v>
      </c>
    </row>
    <row r="604" customFormat="false" ht="15" hidden="false" customHeight="false" outlineLevel="0" collapsed="false">
      <c r="A604" s="2" t="s">
        <v>2375</v>
      </c>
      <c r="B604" s="2" t="s">
        <v>184</v>
      </c>
      <c r="C604" s="2" t="s">
        <v>1858</v>
      </c>
      <c r="D604" s="2" t="s">
        <v>50</v>
      </c>
      <c r="E604" s="2" t="s">
        <v>1194</v>
      </c>
      <c r="F604" s="2" t="s">
        <v>1186</v>
      </c>
      <c r="G604" s="2" t="s">
        <v>2376</v>
      </c>
    </row>
    <row r="605" customFormat="false" ht="15" hidden="false" customHeight="false" outlineLevel="0" collapsed="false">
      <c r="A605" s="2" t="s">
        <v>2377</v>
      </c>
      <c r="B605" s="2" t="s">
        <v>184</v>
      </c>
      <c r="C605" s="2" t="s">
        <v>1858</v>
      </c>
      <c r="D605" s="2" t="s">
        <v>50</v>
      </c>
      <c r="E605" s="2" t="s">
        <v>1194</v>
      </c>
      <c r="F605" s="2" t="s">
        <v>1186</v>
      </c>
      <c r="G605" s="2" t="s">
        <v>2378</v>
      </c>
    </row>
    <row r="606" customFormat="false" ht="15" hidden="false" customHeight="false" outlineLevel="0" collapsed="false">
      <c r="A606" s="2" t="s">
        <v>2379</v>
      </c>
      <c r="B606" s="2" t="s">
        <v>184</v>
      </c>
      <c r="C606" s="2" t="s">
        <v>1858</v>
      </c>
      <c r="D606" s="2" t="s">
        <v>50</v>
      </c>
      <c r="E606" s="2" t="s">
        <v>1194</v>
      </c>
      <c r="F606" s="2" t="s">
        <v>1186</v>
      </c>
      <c r="G606" s="2" t="s">
        <v>2380</v>
      </c>
    </row>
    <row r="607" customFormat="false" ht="15" hidden="false" customHeight="false" outlineLevel="0" collapsed="false">
      <c r="A607" s="2" t="s">
        <v>2381</v>
      </c>
      <c r="B607" s="2" t="s">
        <v>184</v>
      </c>
      <c r="C607" s="2" t="s">
        <v>1858</v>
      </c>
      <c r="D607" s="2" t="s">
        <v>50</v>
      </c>
      <c r="E607" s="2" t="s">
        <v>1194</v>
      </c>
      <c r="F607" s="2" t="s">
        <v>1186</v>
      </c>
      <c r="G607" s="2" t="s">
        <v>2382</v>
      </c>
    </row>
    <row r="608" customFormat="false" ht="15" hidden="false" customHeight="false" outlineLevel="0" collapsed="false">
      <c r="A608" s="2" t="s">
        <v>2383</v>
      </c>
      <c r="B608" s="2" t="s">
        <v>184</v>
      </c>
      <c r="C608" s="2" t="s">
        <v>1858</v>
      </c>
      <c r="D608" s="2" t="s">
        <v>50</v>
      </c>
      <c r="E608" s="2" t="s">
        <v>1194</v>
      </c>
      <c r="F608" s="2" t="s">
        <v>1186</v>
      </c>
      <c r="G608" s="2" t="s">
        <v>2384</v>
      </c>
    </row>
    <row r="609" customFormat="false" ht="15" hidden="false" customHeight="false" outlineLevel="0" collapsed="false">
      <c r="A609" s="2" t="s">
        <v>2385</v>
      </c>
      <c r="B609" s="2" t="s">
        <v>184</v>
      </c>
      <c r="C609" s="2" t="s">
        <v>1858</v>
      </c>
      <c r="D609" s="2" t="s">
        <v>50</v>
      </c>
      <c r="E609" s="2" t="s">
        <v>1194</v>
      </c>
      <c r="F609" s="2" t="s">
        <v>1186</v>
      </c>
      <c r="G609" s="2" t="s">
        <v>2386</v>
      </c>
    </row>
    <row r="610" customFormat="false" ht="15" hidden="false" customHeight="false" outlineLevel="0" collapsed="false">
      <c r="A610" s="2" t="s">
        <v>2387</v>
      </c>
      <c r="B610" s="2" t="s">
        <v>184</v>
      </c>
      <c r="C610" s="2" t="s">
        <v>1858</v>
      </c>
      <c r="D610" s="2" t="s">
        <v>50</v>
      </c>
      <c r="E610" s="2" t="s">
        <v>1194</v>
      </c>
      <c r="F610" s="2" t="s">
        <v>1186</v>
      </c>
      <c r="G610" s="2" t="s">
        <v>2388</v>
      </c>
    </row>
    <row r="611" customFormat="false" ht="15" hidden="false" customHeight="false" outlineLevel="0" collapsed="false">
      <c r="A611" s="2" t="s">
        <v>2389</v>
      </c>
      <c r="B611" s="2" t="s">
        <v>184</v>
      </c>
      <c r="C611" s="2" t="s">
        <v>1858</v>
      </c>
      <c r="D611" s="2" t="s">
        <v>50</v>
      </c>
      <c r="E611" s="2" t="s">
        <v>1194</v>
      </c>
      <c r="F611" s="2" t="s">
        <v>1186</v>
      </c>
      <c r="G611" s="2" t="s">
        <v>2390</v>
      </c>
    </row>
    <row r="612" customFormat="false" ht="15" hidden="false" customHeight="false" outlineLevel="0" collapsed="false">
      <c r="A612" s="2" t="s">
        <v>2391</v>
      </c>
      <c r="B612" s="2" t="s">
        <v>184</v>
      </c>
      <c r="C612" s="2" t="s">
        <v>1562</v>
      </c>
      <c r="D612" s="2" t="s">
        <v>49</v>
      </c>
      <c r="E612" s="2" t="s">
        <v>1563</v>
      </c>
      <c r="F612" s="2" t="s">
        <v>1564</v>
      </c>
      <c r="G612" s="2" t="s">
        <v>2392</v>
      </c>
    </row>
    <row r="613" customFormat="false" ht="15" hidden="false" customHeight="false" outlineLevel="0" collapsed="false">
      <c r="A613" s="2" t="s">
        <v>2393</v>
      </c>
      <c r="B613" s="2" t="s">
        <v>184</v>
      </c>
      <c r="C613" s="2" t="s">
        <v>1562</v>
      </c>
      <c r="D613" s="2" t="s">
        <v>49</v>
      </c>
      <c r="E613" s="2" t="s">
        <v>1563</v>
      </c>
      <c r="F613" s="2" t="s">
        <v>1564</v>
      </c>
      <c r="G613" s="2" t="s">
        <v>2394</v>
      </c>
    </row>
    <row r="614" customFormat="false" ht="15" hidden="false" customHeight="false" outlineLevel="0" collapsed="false">
      <c r="A614" s="2" t="s">
        <v>2395</v>
      </c>
      <c r="B614" s="2" t="s">
        <v>184</v>
      </c>
      <c r="C614" s="2" t="s">
        <v>1858</v>
      </c>
      <c r="D614" s="2" t="s">
        <v>50</v>
      </c>
      <c r="E614" s="2" t="s">
        <v>1194</v>
      </c>
      <c r="F614" s="2" t="s">
        <v>1186</v>
      </c>
      <c r="G614" s="2" t="s">
        <v>2396</v>
      </c>
    </row>
    <row r="615" customFormat="false" ht="15" hidden="false" customHeight="false" outlineLevel="0" collapsed="false">
      <c r="A615" s="2" t="s">
        <v>2397</v>
      </c>
      <c r="B615" s="2" t="s">
        <v>184</v>
      </c>
      <c r="C615" s="2" t="s">
        <v>1858</v>
      </c>
      <c r="D615" s="2" t="s">
        <v>50</v>
      </c>
      <c r="E615" s="2" t="s">
        <v>1194</v>
      </c>
      <c r="F615" s="2" t="s">
        <v>1186</v>
      </c>
      <c r="G615" s="2" t="s">
        <v>2398</v>
      </c>
    </row>
    <row r="616" customFormat="false" ht="15" hidden="false" customHeight="false" outlineLevel="0" collapsed="false">
      <c r="A616" s="2" t="s">
        <v>2399</v>
      </c>
      <c r="B616" s="2" t="s">
        <v>184</v>
      </c>
      <c r="C616" s="2" t="s">
        <v>1858</v>
      </c>
      <c r="D616" s="2" t="s">
        <v>50</v>
      </c>
      <c r="E616" s="2" t="s">
        <v>1194</v>
      </c>
      <c r="F616" s="2" t="s">
        <v>1186</v>
      </c>
      <c r="G616" s="2" t="s">
        <v>2400</v>
      </c>
    </row>
    <row r="617" customFormat="false" ht="15" hidden="false" customHeight="false" outlineLevel="0" collapsed="false">
      <c r="A617" s="2" t="s">
        <v>2401</v>
      </c>
      <c r="B617" s="2" t="s">
        <v>184</v>
      </c>
      <c r="C617" s="2" t="s">
        <v>1858</v>
      </c>
      <c r="D617" s="2" t="s">
        <v>50</v>
      </c>
      <c r="E617" s="2" t="s">
        <v>1194</v>
      </c>
      <c r="F617" s="2" t="s">
        <v>1186</v>
      </c>
      <c r="G617" s="2" t="s">
        <v>2402</v>
      </c>
    </row>
    <row r="618" customFormat="false" ht="15" hidden="false" customHeight="false" outlineLevel="0" collapsed="false">
      <c r="A618" s="2" t="s">
        <v>2403</v>
      </c>
      <c r="B618" s="2" t="s">
        <v>184</v>
      </c>
      <c r="C618" s="2" t="s">
        <v>1858</v>
      </c>
      <c r="D618" s="2" t="s">
        <v>50</v>
      </c>
      <c r="E618" s="2" t="s">
        <v>1194</v>
      </c>
      <c r="F618" s="2" t="s">
        <v>1186</v>
      </c>
      <c r="G618" s="2" t="s">
        <v>2404</v>
      </c>
    </row>
    <row r="619" customFormat="false" ht="15" hidden="false" customHeight="false" outlineLevel="0" collapsed="false">
      <c r="A619" s="2" t="s">
        <v>2405</v>
      </c>
      <c r="B619" s="2" t="s">
        <v>184</v>
      </c>
      <c r="C619" s="2" t="s">
        <v>1858</v>
      </c>
      <c r="D619" s="2" t="s">
        <v>50</v>
      </c>
      <c r="E619" s="2" t="s">
        <v>1194</v>
      </c>
      <c r="F619" s="2" t="s">
        <v>1186</v>
      </c>
      <c r="G619" s="2" t="s">
        <v>2406</v>
      </c>
    </row>
    <row r="620" customFormat="false" ht="15" hidden="false" customHeight="false" outlineLevel="0" collapsed="false">
      <c r="A620" s="2" t="s">
        <v>2407</v>
      </c>
      <c r="B620" s="2" t="s">
        <v>146</v>
      </c>
      <c r="C620" s="2" t="s">
        <v>2408</v>
      </c>
      <c r="D620" s="2" t="s">
        <v>50</v>
      </c>
      <c r="E620" s="2" t="s">
        <v>1194</v>
      </c>
      <c r="F620" s="2" t="s">
        <v>1186</v>
      </c>
      <c r="G620" s="2" t="s">
        <v>2409</v>
      </c>
    </row>
    <row r="621" customFormat="false" ht="15" hidden="false" customHeight="false" outlineLevel="0" collapsed="false">
      <c r="A621" s="2" t="s">
        <v>2410</v>
      </c>
      <c r="B621" s="2" t="s">
        <v>184</v>
      </c>
      <c r="C621" s="2" t="s">
        <v>1858</v>
      </c>
      <c r="D621" s="2" t="s">
        <v>50</v>
      </c>
      <c r="E621" s="2" t="s">
        <v>1194</v>
      </c>
      <c r="F621" s="2" t="s">
        <v>1186</v>
      </c>
      <c r="G621" s="2" t="s">
        <v>2411</v>
      </c>
    </row>
    <row r="622" customFormat="false" ht="15" hidden="false" customHeight="false" outlineLevel="0" collapsed="false">
      <c r="A622" s="2" t="s">
        <v>2412</v>
      </c>
      <c r="B622" s="2" t="s">
        <v>184</v>
      </c>
      <c r="C622" s="2" t="s">
        <v>1562</v>
      </c>
      <c r="D622" s="2" t="s">
        <v>49</v>
      </c>
      <c r="E622" s="2" t="s">
        <v>1563</v>
      </c>
      <c r="F622" s="2" t="s">
        <v>1186</v>
      </c>
      <c r="G622" s="2" t="s">
        <v>2413</v>
      </c>
    </row>
    <row r="623" customFormat="false" ht="15" hidden="false" customHeight="false" outlineLevel="0" collapsed="false">
      <c r="A623" s="2" t="s">
        <v>2414</v>
      </c>
      <c r="B623" s="2" t="s">
        <v>184</v>
      </c>
      <c r="C623" s="2" t="s">
        <v>1858</v>
      </c>
      <c r="D623" s="2" t="s">
        <v>50</v>
      </c>
      <c r="E623" s="2" t="s">
        <v>1194</v>
      </c>
      <c r="F623" s="2" t="s">
        <v>1186</v>
      </c>
      <c r="G623" s="2" t="s">
        <v>2415</v>
      </c>
    </row>
    <row r="624" customFormat="false" ht="15" hidden="false" customHeight="false" outlineLevel="0" collapsed="false">
      <c r="A624" s="2" t="s">
        <v>2416</v>
      </c>
      <c r="B624" s="2" t="s">
        <v>184</v>
      </c>
      <c r="C624" s="2" t="s">
        <v>1858</v>
      </c>
      <c r="D624" s="2" t="s">
        <v>50</v>
      </c>
      <c r="E624" s="2" t="s">
        <v>1194</v>
      </c>
      <c r="F624" s="2" t="s">
        <v>1186</v>
      </c>
      <c r="G624" s="2" t="s">
        <v>2417</v>
      </c>
    </row>
    <row r="625" customFormat="false" ht="15" hidden="false" customHeight="false" outlineLevel="0" collapsed="false">
      <c r="A625" s="2" t="s">
        <v>2418</v>
      </c>
      <c r="B625" s="2" t="s">
        <v>184</v>
      </c>
      <c r="C625" s="2" t="s">
        <v>1858</v>
      </c>
      <c r="D625" s="2" t="s">
        <v>50</v>
      </c>
      <c r="E625" s="2" t="s">
        <v>1194</v>
      </c>
      <c r="F625" s="2" t="s">
        <v>1186</v>
      </c>
      <c r="G625" s="2" t="s">
        <v>2419</v>
      </c>
    </row>
    <row r="626" customFormat="false" ht="15" hidden="false" customHeight="false" outlineLevel="0" collapsed="false">
      <c r="A626" s="2" t="s">
        <v>2420</v>
      </c>
      <c r="B626" s="2" t="s">
        <v>184</v>
      </c>
      <c r="C626" s="2" t="s">
        <v>1858</v>
      </c>
      <c r="D626" s="2" t="s">
        <v>50</v>
      </c>
      <c r="E626" s="2" t="s">
        <v>1194</v>
      </c>
      <c r="F626" s="2" t="s">
        <v>1186</v>
      </c>
      <c r="G626" s="2" t="s">
        <v>2421</v>
      </c>
    </row>
    <row r="627" customFormat="false" ht="15" hidden="false" customHeight="false" outlineLevel="0" collapsed="false">
      <c r="A627" s="2" t="s">
        <v>2422</v>
      </c>
      <c r="B627" s="2" t="s">
        <v>184</v>
      </c>
      <c r="C627" s="2" t="s">
        <v>1858</v>
      </c>
      <c r="D627" s="2" t="s">
        <v>50</v>
      </c>
      <c r="E627" s="2" t="s">
        <v>1194</v>
      </c>
      <c r="F627" s="2" t="s">
        <v>1186</v>
      </c>
      <c r="G627" s="2" t="s">
        <v>2423</v>
      </c>
    </row>
    <row r="628" customFormat="false" ht="15" hidden="false" customHeight="false" outlineLevel="0" collapsed="false">
      <c r="A628" s="2" t="s">
        <v>2424</v>
      </c>
      <c r="B628" s="2" t="s">
        <v>184</v>
      </c>
      <c r="C628" s="2" t="s">
        <v>1858</v>
      </c>
      <c r="D628" s="2" t="s">
        <v>50</v>
      </c>
      <c r="E628" s="2" t="s">
        <v>1194</v>
      </c>
      <c r="F628" s="2" t="s">
        <v>1186</v>
      </c>
      <c r="G628" s="2" t="s">
        <v>2425</v>
      </c>
    </row>
    <row r="629" customFormat="false" ht="15" hidden="false" customHeight="false" outlineLevel="0" collapsed="false">
      <c r="A629" s="2" t="s">
        <v>2426</v>
      </c>
      <c r="B629" s="2" t="s">
        <v>184</v>
      </c>
      <c r="C629" s="2" t="s">
        <v>1858</v>
      </c>
      <c r="D629" s="2" t="s">
        <v>50</v>
      </c>
      <c r="E629" s="2" t="s">
        <v>1194</v>
      </c>
      <c r="F629" s="2" t="s">
        <v>1186</v>
      </c>
      <c r="G629" s="2" t="s">
        <v>2427</v>
      </c>
    </row>
    <row r="630" customFormat="false" ht="15" hidden="false" customHeight="false" outlineLevel="0" collapsed="false">
      <c r="A630" s="2" t="s">
        <v>2428</v>
      </c>
      <c r="B630" s="2" t="s">
        <v>184</v>
      </c>
      <c r="C630" s="2" t="s">
        <v>1858</v>
      </c>
      <c r="D630" s="2" t="s">
        <v>50</v>
      </c>
      <c r="E630" s="2" t="s">
        <v>1194</v>
      </c>
      <c r="F630" s="2" t="s">
        <v>1186</v>
      </c>
      <c r="G630" s="2" t="s">
        <v>2429</v>
      </c>
    </row>
    <row r="631" customFormat="false" ht="15" hidden="false" customHeight="false" outlineLevel="0" collapsed="false">
      <c r="A631" s="2" t="s">
        <v>2430</v>
      </c>
      <c r="B631" s="2" t="s">
        <v>184</v>
      </c>
      <c r="C631" s="2" t="s">
        <v>1858</v>
      </c>
      <c r="D631" s="2" t="s">
        <v>50</v>
      </c>
      <c r="E631" s="2" t="s">
        <v>1194</v>
      </c>
      <c r="F631" s="2" t="s">
        <v>1186</v>
      </c>
      <c r="G631" s="2" t="s">
        <v>2431</v>
      </c>
    </row>
    <row r="632" customFormat="false" ht="15" hidden="false" customHeight="false" outlineLevel="0" collapsed="false">
      <c r="A632" s="2" t="s">
        <v>2432</v>
      </c>
      <c r="B632" s="2" t="s">
        <v>184</v>
      </c>
      <c r="C632" s="2" t="s">
        <v>1858</v>
      </c>
      <c r="D632" s="2" t="s">
        <v>50</v>
      </c>
      <c r="E632" s="2" t="s">
        <v>1194</v>
      </c>
      <c r="F632" s="2" t="s">
        <v>1186</v>
      </c>
      <c r="G632" s="2" t="s">
        <v>2433</v>
      </c>
    </row>
    <row r="633" customFormat="false" ht="15" hidden="false" customHeight="false" outlineLevel="0" collapsed="false">
      <c r="A633" s="2" t="s">
        <v>2434</v>
      </c>
      <c r="B633" s="2" t="s">
        <v>184</v>
      </c>
      <c r="C633" s="2" t="s">
        <v>1858</v>
      </c>
      <c r="D633" s="2" t="s">
        <v>50</v>
      </c>
      <c r="E633" s="2" t="s">
        <v>1194</v>
      </c>
      <c r="F633" s="2" t="s">
        <v>1186</v>
      </c>
      <c r="G633" s="2" t="s">
        <v>2435</v>
      </c>
    </row>
    <row r="634" customFormat="false" ht="15" hidden="false" customHeight="false" outlineLevel="0" collapsed="false">
      <c r="A634" s="2" t="s">
        <v>2436</v>
      </c>
      <c r="B634" s="2" t="s">
        <v>184</v>
      </c>
      <c r="C634" s="2" t="s">
        <v>1858</v>
      </c>
      <c r="D634" s="2" t="s">
        <v>50</v>
      </c>
      <c r="E634" s="2" t="s">
        <v>1194</v>
      </c>
      <c r="F634" s="2" t="s">
        <v>1186</v>
      </c>
      <c r="G634" s="2" t="s">
        <v>2437</v>
      </c>
    </row>
    <row r="635" customFormat="false" ht="15" hidden="false" customHeight="false" outlineLevel="0" collapsed="false">
      <c r="A635" s="2" t="s">
        <v>2438</v>
      </c>
      <c r="B635" s="2" t="s">
        <v>184</v>
      </c>
      <c r="C635" s="2" t="s">
        <v>1858</v>
      </c>
      <c r="D635" s="2" t="s">
        <v>50</v>
      </c>
      <c r="E635" s="2" t="s">
        <v>1194</v>
      </c>
      <c r="F635" s="2" t="s">
        <v>1186</v>
      </c>
      <c r="G635" s="2" t="s">
        <v>2439</v>
      </c>
    </row>
    <row r="636" customFormat="false" ht="15" hidden="false" customHeight="false" outlineLevel="0" collapsed="false">
      <c r="A636" s="2" t="s">
        <v>2440</v>
      </c>
      <c r="B636" s="2" t="s">
        <v>184</v>
      </c>
      <c r="C636" s="2" t="s">
        <v>1858</v>
      </c>
      <c r="D636" s="2" t="s">
        <v>50</v>
      </c>
      <c r="E636" s="2" t="s">
        <v>1194</v>
      </c>
      <c r="F636" s="2" t="s">
        <v>1186</v>
      </c>
      <c r="G636" s="2" t="s">
        <v>2441</v>
      </c>
    </row>
    <row r="637" customFormat="false" ht="15" hidden="false" customHeight="false" outlineLevel="0" collapsed="false">
      <c r="A637" s="2" t="s">
        <v>2442</v>
      </c>
      <c r="B637" s="2" t="s">
        <v>184</v>
      </c>
      <c r="C637" s="2" t="s">
        <v>1858</v>
      </c>
      <c r="D637" s="2" t="s">
        <v>50</v>
      </c>
      <c r="E637" s="2" t="s">
        <v>1194</v>
      </c>
      <c r="F637" s="2" t="s">
        <v>1186</v>
      </c>
      <c r="G637" s="2" t="s">
        <v>2443</v>
      </c>
    </row>
    <row r="638" customFormat="false" ht="15" hidden="false" customHeight="false" outlineLevel="0" collapsed="false">
      <c r="A638" s="2" t="s">
        <v>2444</v>
      </c>
      <c r="B638" s="2" t="s">
        <v>184</v>
      </c>
      <c r="C638" s="2" t="s">
        <v>1858</v>
      </c>
      <c r="D638" s="2" t="s">
        <v>50</v>
      </c>
      <c r="E638" s="2" t="s">
        <v>1194</v>
      </c>
      <c r="F638" s="2" t="s">
        <v>1186</v>
      </c>
      <c r="G638" s="2" t="s">
        <v>2445</v>
      </c>
    </row>
    <row r="639" customFormat="false" ht="15" hidden="false" customHeight="false" outlineLevel="0" collapsed="false">
      <c r="A639" s="2" t="s">
        <v>2446</v>
      </c>
      <c r="B639" s="2" t="s">
        <v>184</v>
      </c>
      <c r="C639" s="2" t="s">
        <v>1858</v>
      </c>
      <c r="D639" s="2" t="s">
        <v>50</v>
      </c>
      <c r="E639" s="2" t="s">
        <v>1194</v>
      </c>
      <c r="F639" s="2" t="s">
        <v>1186</v>
      </c>
      <c r="G639" s="2" t="s">
        <v>2447</v>
      </c>
    </row>
    <row r="640" customFormat="false" ht="15" hidden="false" customHeight="false" outlineLevel="0" collapsed="false">
      <c r="A640" s="2" t="s">
        <v>2448</v>
      </c>
      <c r="B640" s="2" t="s">
        <v>184</v>
      </c>
      <c r="C640" s="2" t="s">
        <v>1858</v>
      </c>
      <c r="D640" s="2" t="s">
        <v>50</v>
      </c>
      <c r="E640" s="2" t="s">
        <v>1194</v>
      </c>
      <c r="F640" s="2" t="s">
        <v>1186</v>
      </c>
      <c r="G640" s="2" t="s">
        <v>2449</v>
      </c>
    </row>
    <row r="641" customFormat="false" ht="15" hidden="false" customHeight="false" outlineLevel="0" collapsed="false">
      <c r="A641" s="2" t="s">
        <v>2450</v>
      </c>
      <c r="B641" s="2" t="s">
        <v>184</v>
      </c>
      <c r="C641" s="2" t="s">
        <v>1562</v>
      </c>
      <c r="D641" s="2" t="s">
        <v>49</v>
      </c>
      <c r="E641" s="2" t="s">
        <v>1563</v>
      </c>
      <c r="F641" s="2" t="s">
        <v>1564</v>
      </c>
      <c r="G641" s="2" t="s">
        <v>2451</v>
      </c>
    </row>
    <row r="642" customFormat="false" ht="15" hidden="false" customHeight="false" outlineLevel="0" collapsed="false">
      <c r="A642" s="2" t="s">
        <v>2452</v>
      </c>
      <c r="B642" s="2" t="s">
        <v>184</v>
      </c>
      <c r="C642" s="2" t="s">
        <v>1562</v>
      </c>
      <c r="D642" s="2" t="s">
        <v>49</v>
      </c>
      <c r="E642" s="2" t="s">
        <v>1563</v>
      </c>
      <c r="F642" s="2" t="s">
        <v>1564</v>
      </c>
      <c r="G642" s="2" t="s">
        <v>2453</v>
      </c>
    </row>
    <row r="643" customFormat="false" ht="15" hidden="false" customHeight="false" outlineLevel="0" collapsed="false">
      <c r="A643" s="2" t="s">
        <v>2454</v>
      </c>
      <c r="B643" s="2" t="s">
        <v>184</v>
      </c>
      <c r="C643" s="2" t="s">
        <v>1858</v>
      </c>
      <c r="D643" s="2" t="s">
        <v>50</v>
      </c>
      <c r="E643" s="2" t="s">
        <v>1194</v>
      </c>
      <c r="F643" s="2" t="s">
        <v>1186</v>
      </c>
      <c r="G643" s="2" t="s">
        <v>2455</v>
      </c>
    </row>
    <row r="644" customFormat="false" ht="15" hidden="false" customHeight="false" outlineLevel="0" collapsed="false">
      <c r="A644" s="2" t="s">
        <v>2456</v>
      </c>
      <c r="B644" s="2" t="s">
        <v>184</v>
      </c>
      <c r="C644" s="2" t="s">
        <v>1858</v>
      </c>
      <c r="D644" s="2" t="s">
        <v>50</v>
      </c>
      <c r="E644" s="2" t="s">
        <v>1194</v>
      </c>
      <c r="F644" s="2" t="s">
        <v>1186</v>
      </c>
      <c r="G644" s="2" t="s">
        <v>2457</v>
      </c>
    </row>
    <row r="645" customFormat="false" ht="15" hidden="false" customHeight="false" outlineLevel="0" collapsed="false">
      <c r="A645" s="2" t="s">
        <v>2458</v>
      </c>
      <c r="B645" s="2" t="s">
        <v>184</v>
      </c>
      <c r="C645" s="2" t="s">
        <v>1858</v>
      </c>
      <c r="D645" s="2" t="s">
        <v>50</v>
      </c>
      <c r="E645" s="2" t="s">
        <v>1194</v>
      </c>
      <c r="F645" s="2" t="s">
        <v>1186</v>
      </c>
      <c r="G645" s="2" t="s">
        <v>2459</v>
      </c>
    </row>
    <row r="646" customFormat="false" ht="15" hidden="false" customHeight="false" outlineLevel="0" collapsed="false">
      <c r="A646" s="2" t="s">
        <v>2460</v>
      </c>
      <c r="B646" s="2" t="s">
        <v>184</v>
      </c>
      <c r="C646" s="2" t="s">
        <v>1858</v>
      </c>
      <c r="D646" s="2" t="s">
        <v>50</v>
      </c>
      <c r="E646" s="2" t="s">
        <v>1194</v>
      </c>
      <c r="F646" s="2" t="s">
        <v>1186</v>
      </c>
      <c r="G646" s="2" t="s">
        <v>2461</v>
      </c>
    </row>
    <row r="647" customFormat="false" ht="15" hidden="false" customHeight="false" outlineLevel="0" collapsed="false">
      <c r="A647" s="2" t="s">
        <v>2462</v>
      </c>
      <c r="B647" s="2" t="s">
        <v>184</v>
      </c>
      <c r="C647" s="2" t="s">
        <v>1562</v>
      </c>
      <c r="D647" s="2" t="s">
        <v>49</v>
      </c>
      <c r="E647" s="2" t="s">
        <v>1563</v>
      </c>
      <c r="F647" s="2" t="s">
        <v>1186</v>
      </c>
      <c r="G647" s="2" t="s">
        <v>2463</v>
      </c>
    </row>
    <row r="648" customFormat="false" ht="15" hidden="false" customHeight="false" outlineLevel="0" collapsed="false">
      <c r="A648" s="2" t="s">
        <v>2464</v>
      </c>
      <c r="B648" s="2" t="s">
        <v>184</v>
      </c>
      <c r="C648" s="2" t="s">
        <v>1858</v>
      </c>
      <c r="D648" s="2" t="s">
        <v>50</v>
      </c>
      <c r="E648" s="2" t="s">
        <v>1194</v>
      </c>
      <c r="F648" s="2" t="s">
        <v>1186</v>
      </c>
      <c r="G648" s="2" t="s">
        <v>2465</v>
      </c>
    </row>
    <row r="649" customFormat="false" ht="15" hidden="false" customHeight="false" outlineLevel="0" collapsed="false">
      <c r="A649" s="2" t="s">
        <v>2466</v>
      </c>
      <c r="B649" s="2" t="s">
        <v>184</v>
      </c>
      <c r="C649" s="2" t="s">
        <v>1858</v>
      </c>
      <c r="D649" s="2" t="s">
        <v>50</v>
      </c>
      <c r="E649" s="2" t="s">
        <v>1194</v>
      </c>
      <c r="F649" s="2" t="s">
        <v>1186</v>
      </c>
      <c r="G649" s="2" t="s">
        <v>2467</v>
      </c>
    </row>
    <row r="650" customFormat="false" ht="15" hidden="false" customHeight="false" outlineLevel="0" collapsed="false">
      <c r="A650" s="2" t="s">
        <v>2468</v>
      </c>
      <c r="B650" s="2" t="s">
        <v>184</v>
      </c>
      <c r="C650" s="2" t="s">
        <v>1562</v>
      </c>
      <c r="D650" s="2" t="s">
        <v>49</v>
      </c>
      <c r="E650" s="2" t="s">
        <v>1563</v>
      </c>
      <c r="F650" s="2" t="s">
        <v>1186</v>
      </c>
      <c r="G650" s="2" t="s">
        <v>2469</v>
      </c>
    </row>
    <row r="651" customFormat="false" ht="15" hidden="false" customHeight="false" outlineLevel="0" collapsed="false">
      <c r="A651" s="2" t="s">
        <v>2470</v>
      </c>
      <c r="B651" s="2" t="s">
        <v>184</v>
      </c>
      <c r="C651" s="2" t="s">
        <v>1858</v>
      </c>
      <c r="D651" s="2" t="s">
        <v>50</v>
      </c>
      <c r="E651" s="2" t="s">
        <v>1194</v>
      </c>
      <c r="F651" s="2" t="s">
        <v>1186</v>
      </c>
      <c r="G651" s="2" t="s">
        <v>2471</v>
      </c>
    </row>
    <row r="652" customFormat="false" ht="15" hidden="false" customHeight="false" outlineLevel="0" collapsed="false">
      <c r="A652" s="2" t="s">
        <v>2472</v>
      </c>
      <c r="B652" s="2" t="s">
        <v>184</v>
      </c>
      <c r="C652" s="2" t="s">
        <v>1858</v>
      </c>
      <c r="D652" s="2" t="s">
        <v>50</v>
      </c>
      <c r="E652" s="2" t="s">
        <v>1194</v>
      </c>
      <c r="F652" s="2" t="s">
        <v>1186</v>
      </c>
      <c r="G652" s="2" t="s">
        <v>2473</v>
      </c>
    </row>
    <row r="653" customFormat="false" ht="15" hidden="false" customHeight="false" outlineLevel="0" collapsed="false">
      <c r="A653" s="2" t="s">
        <v>2474</v>
      </c>
      <c r="B653" s="2" t="s">
        <v>184</v>
      </c>
      <c r="C653" s="2" t="s">
        <v>1858</v>
      </c>
      <c r="D653" s="2" t="s">
        <v>50</v>
      </c>
      <c r="E653" s="2" t="s">
        <v>1194</v>
      </c>
      <c r="F653" s="2" t="s">
        <v>1186</v>
      </c>
      <c r="G653" s="2" t="s">
        <v>2475</v>
      </c>
    </row>
    <row r="654" customFormat="false" ht="15" hidden="false" customHeight="false" outlineLevel="0" collapsed="false">
      <c r="A654" s="2" t="s">
        <v>2476</v>
      </c>
      <c r="B654" s="2" t="s">
        <v>184</v>
      </c>
      <c r="C654" s="2" t="s">
        <v>1858</v>
      </c>
      <c r="D654" s="2" t="s">
        <v>50</v>
      </c>
      <c r="E654" s="2" t="s">
        <v>1194</v>
      </c>
      <c r="F654" s="2" t="s">
        <v>1186</v>
      </c>
      <c r="G654" s="2" t="s">
        <v>2477</v>
      </c>
    </row>
    <row r="655" customFormat="false" ht="15" hidden="false" customHeight="false" outlineLevel="0" collapsed="false">
      <c r="A655" s="2" t="s">
        <v>2478</v>
      </c>
      <c r="B655" s="2" t="s">
        <v>184</v>
      </c>
      <c r="C655" s="2" t="s">
        <v>1858</v>
      </c>
      <c r="D655" s="2" t="s">
        <v>50</v>
      </c>
      <c r="E655" s="2" t="s">
        <v>1194</v>
      </c>
      <c r="F655" s="2" t="s">
        <v>1186</v>
      </c>
      <c r="G655" s="2" t="s">
        <v>2479</v>
      </c>
    </row>
    <row r="656" customFormat="false" ht="15" hidden="false" customHeight="false" outlineLevel="0" collapsed="false">
      <c r="A656" s="2" t="s">
        <v>2480</v>
      </c>
      <c r="B656" s="2" t="s">
        <v>146</v>
      </c>
      <c r="C656" s="2" t="s">
        <v>2408</v>
      </c>
      <c r="D656" s="2" t="s">
        <v>50</v>
      </c>
      <c r="E656" s="2" t="s">
        <v>1194</v>
      </c>
      <c r="F656" s="2" t="s">
        <v>1186</v>
      </c>
      <c r="G656" s="2" t="s">
        <v>2481</v>
      </c>
    </row>
    <row r="657" customFormat="false" ht="15" hidden="false" customHeight="false" outlineLevel="0" collapsed="false">
      <c r="A657" s="2" t="s">
        <v>2482</v>
      </c>
      <c r="B657" s="2" t="s">
        <v>184</v>
      </c>
      <c r="C657" s="2" t="s">
        <v>1858</v>
      </c>
      <c r="D657" s="2" t="s">
        <v>50</v>
      </c>
      <c r="E657" s="2" t="s">
        <v>1194</v>
      </c>
      <c r="F657" s="2" t="s">
        <v>1186</v>
      </c>
      <c r="G657" s="2" t="s">
        <v>2483</v>
      </c>
    </row>
    <row r="658" customFormat="false" ht="15" hidden="false" customHeight="false" outlineLevel="0" collapsed="false">
      <c r="A658" s="2" t="s">
        <v>2484</v>
      </c>
      <c r="B658" s="2" t="s">
        <v>146</v>
      </c>
      <c r="C658" s="2" t="s">
        <v>2408</v>
      </c>
      <c r="D658" s="2" t="s">
        <v>50</v>
      </c>
      <c r="E658" s="2" t="s">
        <v>1194</v>
      </c>
      <c r="F658" s="2" t="s">
        <v>1186</v>
      </c>
      <c r="G658" s="2" t="s">
        <v>2485</v>
      </c>
    </row>
    <row r="659" customFormat="false" ht="15" hidden="false" customHeight="false" outlineLevel="0" collapsed="false">
      <c r="A659" s="2" t="s">
        <v>2486</v>
      </c>
      <c r="B659" s="2" t="s">
        <v>184</v>
      </c>
      <c r="C659" s="2" t="s">
        <v>1858</v>
      </c>
      <c r="D659" s="2" t="s">
        <v>50</v>
      </c>
      <c r="E659" s="2" t="s">
        <v>1194</v>
      </c>
      <c r="F659" s="2" t="s">
        <v>1186</v>
      </c>
      <c r="G659" s="2" t="s">
        <v>2487</v>
      </c>
    </row>
    <row r="660" customFormat="false" ht="15" hidden="false" customHeight="false" outlineLevel="0" collapsed="false">
      <c r="A660" s="2" t="s">
        <v>2488</v>
      </c>
      <c r="B660" s="2" t="s">
        <v>184</v>
      </c>
      <c r="C660" s="2" t="s">
        <v>1858</v>
      </c>
      <c r="D660" s="2" t="s">
        <v>50</v>
      </c>
      <c r="E660" s="2" t="s">
        <v>1194</v>
      </c>
      <c r="F660" s="2" t="s">
        <v>1186</v>
      </c>
      <c r="G660" s="2" t="s">
        <v>2489</v>
      </c>
    </row>
    <row r="661" customFormat="false" ht="15" hidden="false" customHeight="false" outlineLevel="0" collapsed="false">
      <c r="A661" s="2" t="s">
        <v>2490</v>
      </c>
      <c r="B661" s="2" t="s">
        <v>184</v>
      </c>
      <c r="C661" s="2" t="s">
        <v>1858</v>
      </c>
      <c r="D661" s="2" t="s">
        <v>50</v>
      </c>
      <c r="E661" s="2" t="s">
        <v>1194</v>
      </c>
      <c r="F661" s="2" t="s">
        <v>1186</v>
      </c>
      <c r="G661" s="2" t="s">
        <v>2491</v>
      </c>
    </row>
    <row r="662" customFormat="false" ht="15" hidden="false" customHeight="false" outlineLevel="0" collapsed="false">
      <c r="A662" s="2" t="s">
        <v>2492</v>
      </c>
      <c r="B662" s="2" t="s">
        <v>184</v>
      </c>
      <c r="C662" s="2" t="s">
        <v>1858</v>
      </c>
      <c r="D662" s="2" t="s">
        <v>50</v>
      </c>
      <c r="E662" s="2" t="s">
        <v>1194</v>
      </c>
      <c r="F662" s="2" t="s">
        <v>1186</v>
      </c>
      <c r="G662" s="2" t="s">
        <v>2493</v>
      </c>
    </row>
    <row r="663" customFormat="false" ht="15" hidden="false" customHeight="false" outlineLevel="0" collapsed="false">
      <c r="A663" s="2" t="s">
        <v>2494</v>
      </c>
      <c r="B663" s="2" t="s">
        <v>184</v>
      </c>
      <c r="C663" s="2" t="s">
        <v>1858</v>
      </c>
      <c r="D663" s="2" t="s">
        <v>50</v>
      </c>
      <c r="E663" s="2" t="s">
        <v>1194</v>
      </c>
      <c r="F663" s="2" t="s">
        <v>1186</v>
      </c>
      <c r="G663" s="2" t="s">
        <v>2495</v>
      </c>
    </row>
    <row r="664" customFormat="false" ht="15" hidden="false" customHeight="false" outlineLevel="0" collapsed="false">
      <c r="A664" s="2" t="s">
        <v>2496</v>
      </c>
      <c r="B664" s="2" t="s">
        <v>184</v>
      </c>
      <c r="C664" s="2" t="s">
        <v>1858</v>
      </c>
      <c r="D664" s="2" t="s">
        <v>50</v>
      </c>
      <c r="E664" s="2" t="s">
        <v>1194</v>
      </c>
      <c r="F664" s="2" t="s">
        <v>1186</v>
      </c>
      <c r="G664" s="2" t="s">
        <v>2497</v>
      </c>
    </row>
    <row r="665" customFormat="false" ht="15" hidden="false" customHeight="false" outlineLevel="0" collapsed="false">
      <c r="A665" s="2" t="s">
        <v>2498</v>
      </c>
      <c r="B665" s="2" t="s">
        <v>184</v>
      </c>
      <c r="C665" s="2" t="s">
        <v>1858</v>
      </c>
      <c r="D665" s="2" t="s">
        <v>50</v>
      </c>
      <c r="E665" s="2" t="s">
        <v>1194</v>
      </c>
      <c r="F665" s="2" t="s">
        <v>1186</v>
      </c>
      <c r="G665" s="2" t="s">
        <v>2499</v>
      </c>
    </row>
    <row r="666" customFormat="false" ht="15" hidden="false" customHeight="false" outlineLevel="0" collapsed="false">
      <c r="A666" s="2" t="s">
        <v>2500</v>
      </c>
      <c r="B666" s="2" t="s">
        <v>184</v>
      </c>
      <c r="C666" s="2" t="s">
        <v>1858</v>
      </c>
      <c r="D666" s="2" t="s">
        <v>50</v>
      </c>
      <c r="E666" s="2" t="s">
        <v>1194</v>
      </c>
      <c r="F666" s="2" t="s">
        <v>1186</v>
      </c>
      <c r="G666" s="2" t="s">
        <v>2501</v>
      </c>
    </row>
    <row r="667" customFormat="false" ht="15" hidden="false" customHeight="false" outlineLevel="0" collapsed="false">
      <c r="A667" s="2" t="s">
        <v>2502</v>
      </c>
      <c r="B667" s="2" t="s">
        <v>146</v>
      </c>
      <c r="C667" s="2" t="s">
        <v>2408</v>
      </c>
      <c r="D667" s="2" t="s">
        <v>50</v>
      </c>
      <c r="E667" s="2" t="s">
        <v>1194</v>
      </c>
      <c r="F667" s="2" t="s">
        <v>1186</v>
      </c>
      <c r="G667" s="2" t="s">
        <v>2503</v>
      </c>
    </row>
    <row r="668" customFormat="false" ht="15" hidden="false" customHeight="false" outlineLevel="0" collapsed="false">
      <c r="A668" s="2" t="s">
        <v>2504</v>
      </c>
      <c r="B668" s="2" t="s">
        <v>146</v>
      </c>
      <c r="C668" s="2" t="s">
        <v>2408</v>
      </c>
      <c r="D668" s="2" t="s">
        <v>50</v>
      </c>
      <c r="E668" s="2" t="s">
        <v>1194</v>
      </c>
      <c r="F668" s="2" t="s">
        <v>1186</v>
      </c>
      <c r="G668" s="2" t="s">
        <v>2505</v>
      </c>
    </row>
    <row r="669" customFormat="false" ht="15" hidden="false" customHeight="false" outlineLevel="0" collapsed="false">
      <c r="A669" s="2" t="s">
        <v>2506</v>
      </c>
      <c r="B669" s="2" t="s">
        <v>146</v>
      </c>
      <c r="C669" s="2" t="s">
        <v>2408</v>
      </c>
      <c r="D669" s="2" t="s">
        <v>50</v>
      </c>
      <c r="E669" s="2" t="s">
        <v>1194</v>
      </c>
      <c r="F669" s="2" t="s">
        <v>1186</v>
      </c>
      <c r="G669" s="2" t="s">
        <v>2507</v>
      </c>
    </row>
    <row r="670" customFormat="false" ht="15" hidden="false" customHeight="false" outlineLevel="0" collapsed="false">
      <c r="A670" s="2" t="s">
        <v>2508</v>
      </c>
      <c r="B670" s="2" t="s">
        <v>146</v>
      </c>
      <c r="C670" s="2" t="s">
        <v>2408</v>
      </c>
      <c r="D670" s="2" t="s">
        <v>50</v>
      </c>
      <c r="E670" s="2" t="s">
        <v>1194</v>
      </c>
      <c r="F670" s="2" t="s">
        <v>1186</v>
      </c>
      <c r="G670" s="2" t="s">
        <v>2509</v>
      </c>
    </row>
    <row r="671" customFormat="false" ht="15" hidden="false" customHeight="false" outlineLevel="0" collapsed="false">
      <c r="A671" s="2" t="s">
        <v>2510</v>
      </c>
      <c r="B671" s="2" t="s">
        <v>146</v>
      </c>
      <c r="C671" s="2" t="s">
        <v>2408</v>
      </c>
      <c r="D671" s="2" t="s">
        <v>50</v>
      </c>
      <c r="E671" s="2" t="s">
        <v>1194</v>
      </c>
      <c r="F671" s="2" t="s">
        <v>1186</v>
      </c>
      <c r="G671" s="2" t="s">
        <v>2511</v>
      </c>
    </row>
    <row r="672" customFormat="false" ht="15" hidden="false" customHeight="false" outlineLevel="0" collapsed="false">
      <c r="A672" s="2" t="s">
        <v>2512</v>
      </c>
      <c r="B672" s="2" t="s">
        <v>146</v>
      </c>
      <c r="C672" s="2" t="s">
        <v>2408</v>
      </c>
      <c r="D672" s="2" t="s">
        <v>50</v>
      </c>
      <c r="E672" s="2" t="s">
        <v>1194</v>
      </c>
      <c r="F672" s="2" t="s">
        <v>1186</v>
      </c>
      <c r="G672" s="2" t="s">
        <v>2513</v>
      </c>
    </row>
    <row r="673" customFormat="false" ht="15" hidden="false" customHeight="false" outlineLevel="0" collapsed="false">
      <c r="A673" s="2" t="s">
        <v>2514</v>
      </c>
      <c r="B673" s="2" t="s">
        <v>146</v>
      </c>
      <c r="C673" s="2" t="s">
        <v>2408</v>
      </c>
      <c r="D673" s="2" t="s">
        <v>50</v>
      </c>
      <c r="E673" s="2" t="s">
        <v>1194</v>
      </c>
      <c r="F673" s="2" t="s">
        <v>1186</v>
      </c>
      <c r="G673" s="2" t="s">
        <v>2515</v>
      </c>
    </row>
    <row r="674" customFormat="false" ht="15" hidden="false" customHeight="false" outlineLevel="0" collapsed="false">
      <c r="A674" s="2" t="s">
        <v>2516</v>
      </c>
      <c r="B674" s="2" t="s">
        <v>146</v>
      </c>
      <c r="C674" s="2" t="s">
        <v>2408</v>
      </c>
      <c r="D674" s="2" t="s">
        <v>50</v>
      </c>
      <c r="E674" s="2" t="s">
        <v>1194</v>
      </c>
      <c r="F674" s="2" t="s">
        <v>1186</v>
      </c>
      <c r="G674" s="2" t="s">
        <v>2517</v>
      </c>
    </row>
    <row r="675" customFormat="false" ht="15" hidden="false" customHeight="false" outlineLevel="0" collapsed="false">
      <c r="A675" s="2" t="s">
        <v>2518</v>
      </c>
      <c r="B675" s="2" t="s">
        <v>146</v>
      </c>
      <c r="C675" s="2" t="s">
        <v>2408</v>
      </c>
      <c r="D675" s="2" t="s">
        <v>50</v>
      </c>
      <c r="E675" s="2" t="s">
        <v>1194</v>
      </c>
      <c r="F675" s="2" t="s">
        <v>1186</v>
      </c>
      <c r="G675" s="2" t="s">
        <v>2519</v>
      </c>
    </row>
    <row r="676" customFormat="false" ht="15" hidden="false" customHeight="false" outlineLevel="0" collapsed="false">
      <c r="A676" s="2" t="s">
        <v>2520</v>
      </c>
      <c r="B676" s="2" t="s">
        <v>184</v>
      </c>
      <c r="C676" s="2" t="s">
        <v>1289</v>
      </c>
      <c r="D676" s="2" t="s">
        <v>48</v>
      </c>
      <c r="E676" s="2" t="s">
        <v>1185</v>
      </c>
      <c r="F676" s="2" t="s">
        <v>1186</v>
      </c>
      <c r="G676" s="2" t="s">
        <v>2521</v>
      </c>
    </row>
    <row r="677" customFormat="false" ht="15" hidden="false" customHeight="false" outlineLevel="0" collapsed="false">
      <c r="A677" s="2" t="s">
        <v>2522</v>
      </c>
      <c r="B677" s="2" t="s">
        <v>184</v>
      </c>
      <c r="C677" s="2" t="s">
        <v>1289</v>
      </c>
      <c r="D677" s="2" t="s">
        <v>48</v>
      </c>
      <c r="E677" s="2" t="s">
        <v>1185</v>
      </c>
      <c r="F677" s="2" t="s">
        <v>1186</v>
      </c>
      <c r="G677" s="2" t="s">
        <v>2523</v>
      </c>
    </row>
    <row r="678" customFormat="false" ht="15" hidden="false" customHeight="false" outlineLevel="0" collapsed="false">
      <c r="A678" s="2" t="s">
        <v>2524</v>
      </c>
      <c r="B678" s="2" t="s">
        <v>184</v>
      </c>
      <c r="C678" s="2" t="s">
        <v>1289</v>
      </c>
      <c r="D678" s="2" t="s">
        <v>48</v>
      </c>
      <c r="E678" s="2" t="s">
        <v>1185</v>
      </c>
      <c r="F678" s="2" t="s">
        <v>1186</v>
      </c>
      <c r="G678" s="2" t="s">
        <v>2525</v>
      </c>
    </row>
    <row r="679" customFormat="false" ht="15" hidden="false" customHeight="false" outlineLevel="0" collapsed="false">
      <c r="A679" s="2" t="s">
        <v>2526</v>
      </c>
      <c r="B679" s="2" t="s">
        <v>184</v>
      </c>
      <c r="C679" s="2" t="s">
        <v>1289</v>
      </c>
      <c r="D679" s="2" t="s">
        <v>48</v>
      </c>
      <c r="E679" s="2" t="s">
        <v>1185</v>
      </c>
      <c r="F679" s="2" t="s">
        <v>1186</v>
      </c>
      <c r="G679" s="2" t="s">
        <v>2527</v>
      </c>
    </row>
    <row r="680" customFormat="false" ht="15" hidden="false" customHeight="false" outlineLevel="0" collapsed="false">
      <c r="A680" s="2" t="s">
        <v>2528</v>
      </c>
      <c r="B680" s="2" t="s">
        <v>184</v>
      </c>
      <c r="C680" s="2" t="s">
        <v>1289</v>
      </c>
      <c r="D680" s="2" t="s">
        <v>48</v>
      </c>
      <c r="E680" s="2" t="s">
        <v>1185</v>
      </c>
      <c r="F680" s="2" t="s">
        <v>1186</v>
      </c>
      <c r="G680" s="2" t="s">
        <v>2529</v>
      </c>
    </row>
    <row r="681" customFormat="false" ht="15" hidden="false" customHeight="false" outlineLevel="0" collapsed="false">
      <c r="A681" s="2" t="s">
        <v>2530</v>
      </c>
      <c r="B681" s="2" t="s">
        <v>184</v>
      </c>
      <c r="C681" s="2" t="s">
        <v>1289</v>
      </c>
      <c r="D681" s="2" t="s">
        <v>48</v>
      </c>
      <c r="E681" s="2" t="s">
        <v>1185</v>
      </c>
      <c r="F681" s="2" t="s">
        <v>1186</v>
      </c>
      <c r="G681" s="2" t="s">
        <v>2531</v>
      </c>
    </row>
    <row r="682" customFormat="false" ht="15" hidden="false" customHeight="false" outlineLevel="0" collapsed="false">
      <c r="A682" s="2" t="s">
        <v>2532</v>
      </c>
      <c r="B682" s="2" t="s">
        <v>184</v>
      </c>
      <c r="C682" s="2" t="s">
        <v>1289</v>
      </c>
      <c r="D682" s="2" t="s">
        <v>48</v>
      </c>
      <c r="E682" s="2" t="s">
        <v>1185</v>
      </c>
      <c r="F682" s="2" t="s">
        <v>1186</v>
      </c>
      <c r="G682" s="2" t="s">
        <v>2533</v>
      </c>
    </row>
    <row r="683" customFormat="false" ht="15" hidden="false" customHeight="false" outlineLevel="0" collapsed="false">
      <c r="A683" s="2" t="s">
        <v>2534</v>
      </c>
      <c r="B683" s="2" t="s">
        <v>184</v>
      </c>
      <c r="C683" s="2" t="s">
        <v>1562</v>
      </c>
      <c r="D683" s="2" t="s">
        <v>49</v>
      </c>
      <c r="E683" s="2" t="s">
        <v>1563</v>
      </c>
      <c r="F683" s="2" t="s">
        <v>1564</v>
      </c>
      <c r="G683" s="2" t="s">
        <v>2535</v>
      </c>
    </row>
    <row r="684" customFormat="false" ht="15" hidden="false" customHeight="false" outlineLevel="0" collapsed="false">
      <c r="A684" s="2" t="s">
        <v>2536</v>
      </c>
      <c r="B684" s="2" t="s">
        <v>184</v>
      </c>
      <c r="C684" s="2" t="s">
        <v>1562</v>
      </c>
      <c r="D684" s="2" t="s">
        <v>49</v>
      </c>
      <c r="E684" s="2" t="s">
        <v>1563</v>
      </c>
      <c r="F684" s="2" t="s">
        <v>1564</v>
      </c>
      <c r="G684" s="2" t="s">
        <v>2537</v>
      </c>
    </row>
    <row r="685" customFormat="false" ht="15" hidden="false" customHeight="false" outlineLevel="0" collapsed="false">
      <c r="A685" s="2" t="s">
        <v>2538</v>
      </c>
      <c r="B685" s="2" t="s">
        <v>184</v>
      </c>
      <c r="C685" s="2" t="s">
        <v>1562</v>
      </c>
      <c r="D685" s="2" t="s">
        <v>49</v>
      </c>
      <c r="E685" s="2" t="s">
        <v>1563</v>
      </c>
      <c r="F685" s="2" t="s">
        <v>1564</v>
      </c>
      <c r="G685" s="2" t="s">
        <v>2539</v>
      </c>
    </row>
    <row r="686" customFormat="false" ht="15" hidden="false" customHeight="false" outlineLevel="0" collapsed="false">
      <c r="A686" s="2" t="s">
        <v>2540</v>
      </c>
      <c r="B686" s="2" t="s">
        <v>184</v>
      </c>
      <c r="C686" s="2" t="s">
        <v>1562</v>
      </c>
      <c r="D686" s="2" t="s">
        <v>49</v>
      </c>
      <c r="E686" s="2" t="s">
        <v>1563</v>
      </c>
      <c r="F686" s="2" t="s">
        <v>1564</v>
      </c>
      <c r="G686" s="2" t="s">
        <v>2541</v>
      </c>
    </row>
    <row r="687" customFormat="false" ht="15" hidden="false" customHeight="false" outlineLevel="0" collapsed="false">
      <c r="A687" s="2" t="s">
        <v>2542</v>
      </c>
      <c r="B687" s="2" t="s">
        <v>184</v>
      </c>
      <c r="C687" s="2" t="s">
        <v>1562</v>
      </c>
      <c r="D687" s="2" t="s">
        <v>49</v>
      </c>
      <c r="E687" s="2" t="s">
        <v>1563</v>
      </c>
      <c r="F687" s="2" t="s">
        <v>1564</v>
      </c>
      <c r="G687" s="2" t="s">
        <v>2543</v>
      </c>
    </row>
    <row r="688" customFormat="false" ht="15" hidden="false" customHeight="false" outlineLevel="0" collapsed="false">
      <c r="A688" s="2" t="s">
        <v>2544</v>
      </c>
      <c r="B688" s="2" t="s">
        <v>184</v>
      </c>
      <c r="C688" s="2" t="s">
        <v>1289</v>
      </c>
      <c r="D688" s="2" t="s">
        <v>48</v>
      </c>
      <c r="E688" s="2" t="s">
        <v>1185</v>
      </c>
      <c r="F688" s="2" t="s">
        <v>1186</v>
      </c>
      <c r="G688" s="2" t="s">
        <v>2545</v>
      </c>
    </row>
    <row r="689" customFormat="false" ht="15" hidden="false" customHeight="false" outlineLevel="0" collapsed="false">
      <c r="A689" s="2" t="s">
        <v>2546</v>
      </c>
      <c r="B689" s="2" t="s">
        <v>184</v>
      </c>
      <c r="C689" s="2" t="s">
        <v>1289</v>
      </c>
      <c r="D689" s="2" t="s">
        <v>48</v>
      </c>
      <c r="E689" s="2" t="s">
        <v>1185</v>
      </c>
      <c r="F689" s="2" t="s">
        <v>1186</v>
      </c>
      <c r="G689" s="2" t="s">
        <v>2547</v>
      </c>
    </row>
    <row r="690" customFormat="false" ht="15" hidden="false" customHeight="false" outlineLevel="0" collapsed="false">
      <c r="A690" s="2" t="s">
        <v>2548</v>
      </c>
      <c r="B690" s="2" t="s">
        <v>184</v>
      </c>
      <c r="C690" s="2" t="s">
        <v>1289</v>
      </c>
      <c r="D690" s="2" t="s">
        <v>48</v>
      </c>
      <c r="E690" s="2" t="s">
        <v>1185</v>
      </c>
      <c r="F690" s="2" t="s">
        <v>1186</v>
      </c>
      <c r="G690" s="2" t="s">
        <v>2549</v>
      </c>
    </row>
    <row r="691" customFormat="false" ht="15" hidden="false" customHeight="false" outlineLevel="0" collapsed="false">
      <c r="A691" s="2" t="s">
        <v>2550</v>
      </c>
      <c r="B691" s="2" t="s">
        <v>184</v>
      </c>
      <c r="C691" s="2" t="s">
        <v>1289</v>
      </c>
      <c r="D691" s="2" t="s">
        <v>48</v>
      </c>
      <c r="E691" s="2" t="s">
        <v>1185</v>
      </c>
      <c r="F691" s="2" t="s">
        <v>1186</v>
      </c>
      <c r="G691" s="2" t="s">
        <v>2551</v>
      </c>
    </row>
    <row r="692" customFormat="false" ht="15" hidden="false" customHeight="false" outlineLevel="0" collapsed="false">
      <c r="A692" s="2" t="s">
        <v>2552</v>
      </c>
      <c r="B692" s="2" t="s">
        <v>184</v>
      </c>
      <c r="C692" s="2" t="s">
        <v>1289</v>
      </c>
      <c r="D692" s="2" t="s">
        <v>48</v>
      </c>
      <c r="E692" s="2" t="s">
        <v>1185</v>
      </c>
      <c r="F692" s="2" t="s">
        <v>1186</v>
      </c>
      <c r="G692" s="2" t="s">
        <v>2553</v>
      </c>
    </row>
    <row r="693" customFormat="false" ht="15" hidden="false" customHeight="false" outlineLevel="0" collapsed="false">
      <c r="A693" s="2" t="s">
        <v>2554</v>
      </c>
      <c r="B693" s="2" t="s">
        <v>184</v>
      </c>
      <c r="C693" s="2" t="s">
        <v>1289</v>
      </c>
      <c r="D693" s="2" t="s">
        <v>48</v>
      </c>
      <c r="E693" s="2" t="s">
        <v>1185</v>
      </c>
      <c r="F693" s="2" t="s">
        <v>1186</v>
      </c>
      <c r="G693" s="2" t="s">
        <v>2555</v>
      </c>
    </row>
    <row r="694" customFormat="false" ht="15" hidden="false" customHeight="false" outlineLevel="0" collapsed="false">
      <c r="A694" s="2" t="s">
        <v>2556</v>
      </c>
      <c r="B694" s="2" t="s">
        <v>184</v>
      </c>
      <c r="C694" s="2" t="s">
        <v>1289</v>
      </c>
      <c r="D694" s="2" t="s">
        <v>48</v>
      </c>
      <c r="E694" s="2" t="s">
        <v>1185</v>
      </c>
      <c r="F694" s="2" t="s">
        <v>1186</v>
      </c>
      <c r="G694" s="2" t="s">
        <v>2557</v>
      </c>
    </row>
    <row r="695" customFormat="false" ht="15" hidden="false" customHeight="false" outlineLevel="0" collapsed="false">
      <c r="A695" s="2" t="s">
        <v>2558</v>
      </c>
      <c r="B695" s="2" t="s">
        <v>184</v>
      </c>
      <c r="C695" s="2" t="s">
        <v>1289</v>
      </c>
      <c r="D695" s="2" t="s">
        <v>48</v>
      </c>
      <c r="E695" s="2" t="s">
        <v>1185</v>
      </c>
      <c r="F695" s="2" t="s">
        <v>1186</v>
      </c>
      <c r="G695" s="2" t="s">
        <v>2559</v>
      </c>
    </row>
    <row r="696" customFormat="false" ht="15" hidden="false" customHeight="false" outlineLevel="0" collapsed="false">
      <c r="A696" s="2" t="s">
        <v>2560</v>
      </c>
      <c r="B696" s="2" t="s">
        <v>184</v>
      </c>
      <c r="C696" s="2" t="s">
        <v>1289</v>
      </c>
      <c r="D696" s="2" t="s">
        <v>48</v>
      </c>
      <c r="E696" s="2" t="s">
        <v>1185</v>
      </c>
      <c r="F696" s="2" t="s">
        <v>1186</v>
      </c>
      <c r="G696" s="2" t="s">
        <v>2561</v>
      </c>
    </row>
    <row r="697" customFormat="false" ht="15" hidden="false" customHeight="false" outlineLevel="0" collapsed="false">
      <c r="A697" s="2" t="s">
        <v>2562</v>
      </c>
      <c r="B697" s="2" t="s">
        <v>184</v>
      </c>
      <c r="C697" s="2" t="s">
        <v>1289</v>
      </c>
      <c r="D697" s="2" t="s">
        <v>48</v>
      </c>
      <c r="E697" s="2" t="s">
        <v>1185</v>
      </c>
      <c r="F697" s="2" t="s">
        <v>1186</v>
      </c>
      <c r="G697" s="2" t="s">
        <v>2563</v>
      </c>
    </row>
    <row r="698" customFormat="false" ht="15" hidden="false" customHeight="false" outlineLevel="0" collapsed="false">
      <c r="A698" s="2" t="s">
        <v>2564</v>
      </c>
      <c r="B698" s="2" t="s">
        <v>184</v>
      </c>
      <c r="C698" s="2" t="s">
        <v>1289</v>
      </c>
      <c r="D698" s="2" t="s">
        <v>48</v>
      </c>
      <c r="E698" s="2" t="s">
        <v>1185</v>
      </c>
      <c r="F698" s="2" t="s">
        <v>1186</v>
      </c>
      <c r="G698" s="2" t="s">
        <v>2565</v>
      </c>
    </row>
    <row r="699" customFormat="false" ht="15" hidden="false" customHeight="false" outlineLevel="0" collapsed="false">
      <c r="A699" s="2" t="s">
        <v>2566</v>
      </c>
      <c r="B699" s="2" t="s">
        <v>184</v>
      </c>
      <c r="C699" s="2" t="s">
        <v>1289</v>
      </c>
      <c r="D699" s="2" t="s">
        <v>48</v>
      </c>
      <c r="E699" s="2" t="s">
        <v>1185</v>
      </c>
      <c r="F699" s="2" t="s">
        <v>1186</v>
      </c>
      <c r="G699" s="2" t="s">
        <v>2567</v>
      </c>
    </row>
    <row r="700" customFormat="false" ht="15" hidden="false" customHeight="false" outlineLevel="0" collapsed="false">
      <c r="A700" s="2" t="s">
        <v>2568</v>
      </c>
      <c r="B700" s="2" t="s">
        <v>184</v>
      </c>
      <c r="C700" s="2" t="s">
        <v>1289</v>
      </c>
      <c r="D700" s="2" t="s">
        <v>48</v>
      </c>
      <c r="E700" s="2" t="s">
        <v>1185</v>
      </c>
      <c r="F700" s="2" t="s">
        <v>1186</v>
      </c>
      <c r="G700" s="2" t="s">
        <v>2569</v>
      </c>
    </row>
    <row r="701" customFormat="false" ht="15" hidden="false" customHeight="false" outlineLevel="0" collapsed="false">
      <c r="A701" s="2" t="s">
        <v>2570</v>
      </c>
      <c r="B701" s="2" t="s">
        <v>184</v>
      </c>
      <c r="C701" s="2" t="s">
        <v>1562</v>
      </c>
      <c r="D701" s="2" t="s">
        <v>49</v>
      </c>
      <c r="E701" s="2" t="s">
        <v>1563</v>
      </c>
      <c r="F701" s="2" t="s">
        <v>1186</v>
      </c>
      <c r="G701" s="2" t="s">
        <v>2571</v>
      </c>
    </row>
    <row r="702" customFormat="false" ht="15" hidden="false" customHeight="false" outlineLevel="0" collapsed="false">
      <c r="A702" s="2" t="s">
        <v>2572</v>
      </c>
      <c r="B702" s="2" t="s">
        <v>184</v>
      </c>
      <c r="C702" s="2" t="s">
        <v>1289</v>
      </c>
      <c r="D702" s="2" t="s">
        <v>48</v>
      </c>
      <c r="E702" s="2" t="s">
        <v>1185</v>
      </c>
      <c r="F702" s="2" t="s">
        <v>1186</v>
      </c>
      <c r="G702" s="2" t="s">
        <v>2573</v>
      </c>
    </row>
    <row r="703" customFormat="false" ht="15" hidden="false" customHeight="false" outlineLevel="0" collapsed="false">
      <c r="A703" s="2" t="s">
        <v>2574</v>
      </c>
      <c r="B703" s="2" t="s">
        <v>184</v>
      </c>
      <c r="C703" s="2" t="s">
        <v>1289</v>
      </c>
      <c r="D703" s="2" t="s">
        <v>48</v>
      </c>
      <c r="E703" s="2" t="s">
        <v>1185</v>
      </c>
      <c r="F703" s="2" t="s">
        <v>1186</v>
      </c>
      <c r="G703" s="2" t="s">
        <v>2575</v>
      </c>
    </row>
    <row r="704" customFormat="false" ht="15" hidden="false" customHeight="false" outlineLevel="0" collapsed="false">
      <c r="A704" s="2" t="s">
        <v>2576</v>
      </c>
      <c r="B704" s="2" t="s">
        <v>184</v>
      </c>
      <c r="C704" s="2" t="s">
        <v>1562</v>
      </c>
      <c r="D704" s="2" t="s">
        <v>49</v>
      </c>
      <c r="E704" s="2" t="s">
        <v>1563</v>
      </c>
      <c r="F704" s="2" t="s">
        <v>1564</v>
      </c>
      <c r="G704" s="2" t="s">
        <v>2577</v>
      </c>
    </row>
    <row r="705" customFormat="false" ht="15" hidden="false" customHeight="false" outlineLevel="0" collapsed="false">
      <c r="A705" s="2" t="s">
        <v>2578</v>
      </c>
      <c r="B705" s="2" t="s">
        <v>184</v>
      </c>
      <c r="C705" s="2" t="s">
        <v>1562</v>
      </c>
      <c r="D705" s="2" t="s">
        <v>49</v>
      </c>
      <c r="E705" s="2" t="s">
        <v>1563</v>
      </c>
      <c r="F705" s="2" t="s">
        <v>1564</v>
      </c>
      <c r="G705" s="2" t="s">
        <v>2579</v>
      </c>
    </row>
    <row r="706" customFormat="false" ht="15" hidden="false" customHeight="false" outlineLevel="0" collapsed="false">
      <c r="A706" s="2" t="s">
        <v>2580</v>
      </c>
      <c r="B706" s="2" t="s">
        <v>184</v>
      </c>
      <c r="C706" s="2" t="s">
        <v>1562</v>
      </c>
      <c r="D706" s="2" t="s">
        <v>49</v>
      </c>
      <c r="E706" s="2" t="s">
        <v>1563</v>
      </c>
      <c r="F706" s="2" t="s">
        <v>1564</v>
      </c>
      <c r="G706" s="2" t="s">
        <v>2581</v>
      </c>
    </row>
    <row r="707" customFormat="false" ht="15" hidden="false" customHeight="false" outlineLevel="0" collapsed="false">
      <c r="A707" s="2" t="s">
        <v>2582</v>
      </c>
      <c r="B707" s="2" t="s">
        <v>184</v>
      </c>
      <c r="C707" s="2" t="s">
        <v>1562</v>
      </c>
      <c r="D707" s="2" t="s">
        <v>49</v>
      </c>
      <c r="E707" s="2" t="s">
        <v>1563</v>
      </c>
      <c r="F707" s="2" t="s">
        <v>1564</v>
      </c>
      <c r="G707" s="2" t="s">
        <v>2583</v>
      </c>
    </row>
    <row r="708" customFormat="false" ht="15" hidden="false" customHeight="false" outlineLevel="0" collapsed="false">
      <c r="A708" s="2" t="s">
        <v>2584</v>
      </c>
      <c r="B708" s="2" t="s">
        <v>184</v>
      </c>
      <c r="C708" s="2" t="s">
        <v>1562</v>
      </c>
      <c r="D708" s="2" t="s">
        <v>49</v>
      </c>
      <c r="E708" s="2" t="s">
        <v>1563</v>
      </c>
      <c r="F708" s="2" t="s">
        <v>1564</v>
      </c>
      <c r="G708" s="2" t="s">
        <v>2585</v>
      </c>
    </row>
    <row r="709" customFormat="false" ht="15" hidden="false" customHeight="false" outlineLevel="0" collapsed="false">
      <c r="A709" s="2" t="s">
        <v>2586</v>
      </c>
      <c r="B709" s="2" t="s">
        <v>184</v>
      </c>
      <c r="C709" s="2" t="s">
        <v>1562</v>
      </c>
      <c r="D709" s="2" t="s">
        <v>49</v>
      </c>
      <c r="E709" s="2" t="s">
        <v>1563</v>
      </c>
      <c r="F709" s="2" t="s">
        <v>1564</v>
      </c>
      <c r="G709" s="2" t="s">
        <v>2587</v>
      </c>
    </row>
    <row r="710" customFormat="false" ht="15" hidden="false" customHeight="false" outlineLevel="0" collapsed="false">
      <c r="A710" s="2" t="s">
        <v>2588</v>
      </c>
      <c r="B710" s="2" t="s">
        <v>184</v>
      </c>
      <c r="C710" s="2" t="s">
        <v>1562</v>
      </c>
      <c r="D710" s="2" t="s">
        <v>49</v>
      </c>
      <c r="E710" s="2" t="s">
        <v>1563</v>
      </c>
      <c r="F710" s="2" t="s">
        <v>1564</v>
      </c>
      <c r="G710" s="2" t="s">
        <v>2589</v>
      </c>
    </row>
    <row r="711" customFormat="false" ht="15" hidden="false" customHeight="false" outlineLevel="0" collapsed="false">
      <c r="A711" s="2" t="s">
        <v>2590</v>
      </c>
      <c r="B711" s="2" t="s">
        <v>184</v>
      </c>
      <c r="C711" s="2" t="s">
        <v>1562</v>
      </c>
      <c r="D711" s="2" t="s">
        <v>49</v>
      </c>
      <c r="E711" s="2" t="s">
        <v>1563</v>
      </c>
      <c r="F711" s="2" t="s">
        <v>1186</v>
      </c>
      <c r="G711" s="2" t="s">
        <v>2591</v>
      </c>
    </row>
    <row r="712" customFormat="false" ht="15" hidden="false" customHeight="false" outlineLevel="0" collapsed="false">
      <c r="A712" s="2" t="s">
        <v>2592</v>
      </c>
      <c r="B712" s="2" t="s">
        <v>184</v>
      </c>
      <c r="C712" s="2" t="s">
        <v>1858</v>
      </c>
      <c r="D712" s="2" t="s">
        <v>50</v>
      </c>
      <c r="E712" s="2" t="s">
        <v>1194</v>
      </c>
      <c r="F712" s="2" t="s">
        <v>1186</v>
      </c>
      <c r="G712" s="2" t="s">
        <v>2593</v>
      </c>
    </row>
    <row r="713" customFormat="false" ht="15" hidden="false" customHeight="false" outlineLevel="0" collapsed="false">
      <c r="A713" s="2" t="s">
        <v>2594</v>
      </c>
      <c r="B713" s="2" t="s">
        <v>184</v>
      </c>
      <c r="C713" s="2" t="s">
        <v>1858</v>
      </c>
      <c r="D713" s="2" t="s">
        <v>50</v>
      </c>
      <c r="E713" s="2" t="s">
        <v>1194</v>
      </c>
      <c r="F713" s="2" t="s">
        <v>1186</v>
      </c>
      <c r="G713" s="2" t="s">
        <v>2595</v>
      </c>
    </row>
    <row r="714" customFormat="false" ht="15" hidden="false" customHeight="false" outlineLevel="0" collapsed="false">
      <c r="A714" s="2" t="s">
        <v>2596</v>
      </c>
      <c r="B714" s="2" t="s">
        <v>184</v>
      </c>
      <c r="C714" s="2" t="s">
        <v>1858</v>
      </c>
      <c r="D714" s="2" t="s">
        <v>50</v>
      </c>
      <c r="E714" s="2" t="s">
        <v>1194</v>
      </c>
      <c r="F714" s="2" t="s">
        <v>1186</v>
      </c>
      <c r="G714" s="2" t="s">
        <v>2597</v>
      </c>
    </row>
    <row r="715" customFormat="false" ht="15" hidden="false" customHeight="false" outlineLevel="0" collapsed="false">
      <c r="A715" s="2" t="s">
        <v>2598</v>
      </c>
      <c r="B715" s="2" t="s">
        <v>184</v>
      </c>
      <c r="C715" s="2" t="s">
        <v>1858</v>
      </c>
      <c r="D715" s="2" t="s">
        <v>50</v>
      </c>
      <c r="E715" s="2" t="s">
        <v>1194</v>
      </c>
      <c r="F715" s="2" t="s">
        <v>1186</v>
      </c>
      <c r="G715" s="2" t="s">
        <v>2599</v>
      </c>
    </row>
    <row r="716" customFormat="false" ht="15" hidden="false" customHeight="false" outlineLevel="0" collapsed="false">
      <c r="A716" s="2" t="s">
        <v>2600</v>
      </c>
      <c r="B716" s="2" t="s">
        <v>184</v>
      </c>
      <c r="C716" s="2" t="s">
        <v>1858</v>
      </c>
      <c r="D716" s="2" t="s">
        <v>50</v>
      </c>
      <c r="E716" s="2" t="s">
        <v>1194</v>
      </c>
      <c r="F716" s="2" t="s">
        <v>1186</v>
      </c>
      <c r="G716" s="2" t="s">
        <v>2601</v>
      </c>
    </row>
    <row r="717" customFormat="false" ht="15" hidden="false" customHeight="false" outlineLevel="0" collapsed="false">
      <c r="A717" s="2" t="s">
        <v>2602</v>
      </c>
      <c r="B717" s="2" t="s">
        <v>184</v>
      </c>
      <c r="C717" s="2" t="s">
        <v>1858</v>
      </c>
      <c r="D717" s="2" t="s">
        <v>50</v>
      </c>
      <c r="E717" s="2" t="s">
        <v>1194</v>
      </c>
      <c r="F717" s="2" t="s">
        <v>1186</v>
      </c>
      <c r="G717" s="2" t="s">
        <v>2603</v>
      </c>
    </row>
    <row r="718" customFormat="false" ht="15" hidden="false" customHeight="false" outlineLevel="0" collapsed="false">
      <c r="A718" s="2" t="s">
        <v>2604</v>
      </c>
      <c r="B718" s="2" t="s">
        <v>184</v>
      </c>
      <c r="C718" s="2" t="s">
        <v>1858</v>
      </c>
      <c r="D718" s="2" t="s">
        <v>50</v>
      </c>
      <c r="E718" s="2" t="s">
        <v>1194</v>
      </c>
      <c r="F718" s="2" t="s">
        <v>1186</v>
      </c>
      <c r="G718" s="2" t="s">
        <v>2605</v>
      </c>
    </row>
    <row r="719" customFormat="false" ht="15" hidden="false" customHeight="false" outlineLevel="0" collapsed="false">
      <c r="A719" s="2" t="s">
        <v>2606</v>
      </c>
      <c r="B719" s="2" t="s">
        <v>184</v>
      </c>
      <c r="C719" s="2" t="s">
        <v>1858</v>
      </c>
      <c r="D719" s="2" t="s">
        <v>50</v>
      </c>
      <c r="E719" s="2" t="s">
        <v>1194</v>
      </c>
      <c r="F719" s="2" t="s">
        <v>1186</v>
      </c>
      <c r="G719" s="2" t="s">
        <v>2607</v>
      </c>
    </row>
    <row r="720" customFormat="false" ht="15" hidden="false" customHeight="false" outlineLevel="0" collapsed="false">
      <c r="A720" s="2" t="s">
        <v>2608</v>
      </c>
      <c r="B720" s="2" t="s">
        <v>184</v>
      </c>
      <c r="C720" s="2" t="s">
        <v>1858</v>
      </c>
      <c r="D720" s="2" t="s">
        <v>50</v>
      </c>
      <c r="E720" s="2" t="s">
        <v>1194</v>
      </c>
      <c r="F720" s="2" t="s">
        <v>1186</v>
      </c>
      <c r="G720" s="2" t="s">
        <v>2609</v>
      </c>
    </row>
    <row r="721" customFormat="false" ht="15" hidden="false" customHeight="false" outlineLevel="0" collapsed="false">
      <c r="A721" s="2" t="s">
        <v>2610</v>
      </c>
      <c r="B721" s="2" t="s">
        <v>184</v>
      </c>
      <c r="C721" s="2" t="s">
        <v>1858</v>
      </c>
      <c r="D721" s="2" t="s">
        <v>50</v>
      </c>
      <c r="E721" s="2" t="s">
        <v>1194</v>
      </c>
      <c r="F721" s="2" t="s">
        <v>1186</v>
      </c>
      <c r="G721" s="2" t="s">
        <v>2611</v>
      </c>
    </row>
    <row r="722" customFormat="false" ht="15" hidden="false" customHeight="false" outlineLevel="0" collapsed="false">
      <c r="A722" s="2" t="s">
        <v>2612</v>
      </c>
      <c r="B722" s="2" t="s">
        <v>184</v>
      </c>
      <c r="C722" s="2" t="s">
        <v>1562</v>
      </c>
      <c r="D722" s="2" t="s">
        <v>49</v>
      </c>
      <c r="E722" s="2" t="s">
        <v>1563</v>
      </c>
      <c r="F722" s="2" t="s">
        <v>1186</v>
      </c>
      <c r="G722" s="2" t="s">
        <v>2613</v>
      </c>
    </row>
    <row r="723" customFormat="false" ht="15" hidden="false" customHeight="false" outlineLevel="0" collapsed="false">
      <c r="A723" s="2" t="s">
        <v>2614</v>
      </c>
      <c r="B723" s="2" t="s">
        <v>184</v>
      </c>
      <c r="C723" s="2" t="s">
        <v>1858</v>
      </c>
      <c r="D723" s="2" t="s">
        <v>50</v>
      </c>
      <c r="E723" s="2" t="s">
        <v>1194</v>
      </c>
      <c r="F723" s="2" t="s">
        <v>1186</v>
      </c>
      <c r="G723" s="2" t="s">
        <v>2615</v>
      </c>
    </row>
    <row r="724" customFormat="false" ht="15" hidden="false" customHeight="false" outlineLevel="0" collapsed="false">
      <c r="A724" s="2" t="s">
        <v>2616</v>
      </c>
      <c r="B724" s="2" t="s">
        <v>184</v>
      </c>
      <c r="C724" s="2" t="s">
        <v>1858</v>
      </c>
      <c r="D724" s="2" t="s">
        <v>50</v>
      </c>
      <c r="E724" s="2" t="s">
        <v>1194</v>
      </c>
      <c r="F724" s="2" t="s">
        <v>1186</v>
      </c>
      <c r="G724" s="2" t="s">
        <v>2617</v>
      </c>
    </row>
    <row r="725" customFormat="false" ht="15" hidden="false" customHeight="false" outlineLevel="0" collapsed="false">
      <c r="A725" s="2" t="s">
        <v>2618</v>
      </c>
      <c r="B725" s="2" t="s">
        <v>184</v>
      </c>
      <c r="C725" s="2" t="s">
        <v>1858</v>
      </c>
      <c r="D725" s="2" t="s">
        <v>50</v>
      </c>
      <c r="E725" s="2" t="s">
        <v>1194</v>
      </c>
      <c r="F725" s="2" t="s">
        <v>1186</v>
      </c>
      <c r="G725" s="2" t="s">
        <v>2619</v>
      </c>
    </row>
    <row r="726" customFormat="false" ht="15" hidden="false" customHeight="false" outlineLevel="0" collapsed="false">
      <c r="A726" s="2" t="s">
        <v>2620</v>
      </c>
      <c r="B726" s="2" t="s">
        <v>184</v>
      </c>
      <c r="C726" s="2" t="s">
        <v>1858</v>
      </c>
      <c r="D726" s="2" t="s">
        <v>50</v>
      </c>
      <c r="E726" s="2" t="s">
        <v>1194</v>
      </c>
      <c r="F726" s="2" t="s">
        <v>1186</v>
      </c>
      <c r="G726" s="2" t="s">
        <v>2621</v>
      </c>
    </row>
    <row r="727" customFormat="false" ht="15" hidden="false" customHeight="false" outlineLevel="0" collapsed="false">
      <c r="A727" s="2" t="s">
        <v>2622</v>
      </c>
      <c r="B727" s="2" t="s">
        <v>184</v>
      </c>
      <c r="C727" s="2" t="s">
        <v>1858</v>
      </c>
      <c r="D727" s="2" t="s">
        <v>50</v>
      </c>
      <c r="E727" s="2" t="s">
        <v>1194</v>
      </c>
      <c r="F727" s="2" t="s">
        <v>1186</v>
      </c>
      <c r="G727" s="2" t="s">
        <v>2623</v>
      </c>
    </row>
    <row r="728" customFormat="false" ht="15" hidden="false" customHeight="false" outlineLevel="0" collapsed="false">
      <c r="A728" s="2" t="s">
        <v>2624</v>
      </c>
      <c r="B728" s="2" t="s">
        <v>184</v>
      </c>
      <c r="C728" s="2" t="s">
        <v>1858</v>
      </c>
      <c r="D728" s="2" t="s">
        <v>50</v>
      </c>
      <c r="E728" s="2" t="s">
        <v>1194</v>
      </c>
      <c r="F728" s="2" t="s">
        <v>1186</v>
      </c>
      <c r="G728" s="2" t="s">
        <v>2625</v>
      </c>
    </row>
    <row r="729" customFormat="false" ht="15" hidden="false" customHeight="false" outlineLevel="0" collapsed="false">
      <c r="A729" s="2" t="s">
        <v>2626</v>
      </c>
      <c r="B729" s="2" t="s">
        <v>184</v>
      </c>
      <c r="C729" s="2" t="s">
        <v>1858</v>
      </c>
      <c r="D729" s="2" t="s">
        <v>50</v>
      </c>
      <c r="E729" s="2" t="s">
        <v>1194</v>
      </c>
      <c r="F729" s="2" t="s">
        <v>1186</v>
      </c>
      <c r="G729" s="2" t="s">
        <v>2627</v>
      </c>
    </row>
    <row r="730" customFormat="false" ht="15" hidden="false" customHeight="false" outlineLevel="0" collapsed="false">
      <c r="A730" s="2" t="s">
        <v>2628</v>
      </c>
      <c r="B730" s="2" t="s">
        <v>184</v>
      </c>
      <c r="C730" s="2" t="s">
        <v>1858</v>
      </c>
      <c r="D730" s="2" t="s">
        <v>50</v>
      </c>
      <c r="E730" s="2" t="s">
        <v>1194</v>
      </c>
      <c r="F730" s="2" t="s">
        <v>1186</v>
      </c>
      <c r="G730" s="2" t="s">
        <v>2629</v>
      </c>
    </row>
    <row r="731" customFormat="false" ht="15" hidden="false" customHeight="false" outlineLevel="0" collapsed="false">
      <c r="A731" s="2" t="s">
        <v>2630</v>
      </c>
      <c r="B731" s="2" t="s">
        <v>184</v>
      </c>
      <c r="C731" s="2" t="s">
        <v>1858</v>
      </c>
      <c r="D731" s="2" t="s">
        <v>50</v>
      </c>
      <c r="E731" s="2" t="s">
        <v>1194</v>
      </c>
      <c r="F731" s="2" t="s">
        <v>1186</v>
      </c>
      <c r="G731" s="2" t="s">
        <v>2631</v>
      </c>
    </row>
    <row r="732" customFormat="false" ht="15" hidden="false" customHeight="false" outlineLevel="0" collapsed="false">
      <c r="A732" s="2" t="s">
        <v>2632</v>
      </c>
      <c r="B732" s="2" t="s">
        <v>184</v>
      </c>
      <c r="C732" s="2" t="s">
        <v>1858</v>
      </c>
      <c r="D732" s="2" t="s">
        <v>50</v>
      </c>
      <c r="E732" s="2" t="s">
        <v>1194</v>
      </c>
      <c r="F732" s="2" t="s">
        <v>1186</v>
      </c>
      <c r="G732" s="2" t="s">
        <v>2633</v>
      </c>
    </row>
    <row r="733" customFormat="false" ht="15" hidden="false" customHeight="false" outlineLevel="0" collapsed="false">
      <c r="A733" s="2" t="s">
        <v>2634</v>
      </c>
      <c r="B733" s="2" t="s">
        <v>184</v>
      </c>
      <c r="C733" s="2" t="s">
        <v>1858</v>
      </c>
      <c r="D733" s="2" t="s">
        <v>50</v>
      </c>
      <c r="E733" s="2" t="s">
        <v>1194</v>
      </c>
      <c r="F733" s="2" t="s">
        <v>1186</v>
      </c>
      <c r="G733" s="2" t="s">
        <v>2635</v>
      </c>
    </row>
    <row r="734" customFormat="false" ht="15" hidden="false" customHeight="false" outlineLevel="0" collapsed="false">
      <c r="A734" s="2" t="s">
        <v>2636</v>
      </c>
      <c r="B734" s="2" t="s">
        <v>184</v>
      </c>
      <c r="C734" s="2" t="s">
        <v>1858</v>
      </c>
      <c r="D734" s="2" t="s">
        <v>50</v>
      </c>
      <c r="E734" s="2" t="s">
        <v>1194</v>
      </c>
      <c r="F734" s="2" t="s">
        <v>1186</v>
      </c>
      <c r="G734" s="2" t="s">
        <v>2637</v>
      </c>
    </row>
    <row r="735" customFormat="false" ht="15" hidden="false" customHeight="false" outlineLevel="0" collapsed="false">
      <c r="A735" s="2" t="s">
        <v>2638</v>
      </c>
      <c r="B735" s="2" t="s">
        <v>184</v>
      </c>
      <c r="C735" s="2" t="s">
        <v>1858</v>
      </c>
      <c r="D735" s="2" t="s">
        <v>50</v>
      </c>
      <c r="E735" s="2" t="s">
        <v>1194</v>
      </c>
      <c r="F735" s="2" t="s">
        <v>1186</v>
      </c>
      <c r="G735" s="2" t="s">
        <v>2639</v>
      </c>
    </row>
    <row r="736" customFormat="false" ht="15" hidden="false" customHeight="false" outlineLevel="0" collapsed="false">
      <c r="A736" s="2" t="s">
        <v>2640</v>
      </c>
      <c r="B736" s="2" t="s">
        <v>184</v>
      </c>
      <c r="C736" s="2" t="s">
        <v>1858</v>
      </c>
      <c r="D736" s="2" t="s">
        <v>50</v>
      </c>
      <c r="E736" s="2" t="s">
        <v>1194</v>
      </c>
      <c r="F736" s="2" t="s">
        <v>1186</v>
      </c>
      <c r="G736" s="2" t="s">
        <v>2641</v>
      </c>
    </row>
    <row r="737" customFormat="false" ht="15" hidden="false" customHeight="false" outlineLevel="0" collapsed="false">
      <c r="A737" s="2" t="s">
        <v>2642</v>
      </c>
      <c r="B737" s="2" t="s">
        <v>184</v>
      </c>
      <c r="C737" s="2" t="s">
        <v>1858</v>
      </c>
      <c r="D737" s="2" t="s">
        <v>50</v>
      </c>
      <c r="E737" s="2" t="s">
        <v>1194</v>
      </c>
      <c r="F737" s="2" t="s">
        <v>1186</v>
      </c>
      <c r="G737" s="2" t="s">
        <v>2643</v>
      </c>
    </row>
    <row r="738" customFormat="false" ht="15" hidden="false" customHeight="false" outlineLevel="0" collapsed="false">
      <c r="A738" s="2" t="s">
        <v>2644</v>
      </c>
      <c r="B738" s="2" t="s">
        <v>184</v>
      </c>
      <c r="C738" s="2" t="s">
        <v>1858</v>
      </c>
      <c r="D738" s="2" t="s">
        <v>50</v>
      </c>
      <c r="E738" s="2" t="s">
        <v>1194</v>
      </c>
      <c r="F738" s="2" t="s">
        <v>1186</v>
      </c>
      <c r="G738" s="2" t="s">
        <v>2645</v>
      </c>
    </row>
    <row r="739" customFormat="false" ht="15" hidden="false" customHeight="false" outlineLevel="0" collapsed="false">
      <c r="A739" s="2" t="s">
        <v>2646</v>
      </c>
      <c r="B739" s="2" t="s">
        <v>184</v>
      </c>
      <c r="C739" s="2" t="s">
        <v>1858</v>
      </c>
      <c r="D739" s="2" t="s">
        <v>50</v>
      </c>
      <c r="E739" s="2" t="s">
        <v>1194</v>
      </c>
      <c r="F739" s="2" t="s">
        <v>1186</v>
      </c>
      <c r="G739" s="2" t="s">
        <v>2647</v>
      </c>
    </row>
    <row r="740" customFormat="false" ht="15" hidden="false" customHeight="false" outlineLevel="0" collapsed="false">
      <c r="A740" s="2" t="s">
        <v>2648</v>
      </c>
      <c r="B740" s="2" t="s">
        <v>184</v>
      </c>
      <c r="C740" s="2" t="s">
        <v>1858</v>
      </c>
      <c r="D740" s="2" t="s">
        <v>50</v>
      </c>
      <c r="E740" s="2" t="s">
        <v>1194</v>
      </c>
      <c r="F740" s="2" t="s">
        <v>1186</v>
      </c>
      <c r="G740" s="2" t="s">
        <v>2649</v>
      </c>
    </row>
    <row r="741" customFormat="false" ht="15" hidden="false" customHeight="false" outlineLevel="0" collapsed="false">
      <c r="A741" s="2" t="s">
        <v>2650</v>
      </c>
      <c r="B741" s="2" t="s">
        <v>184</v>
      </c>
      <c r="C741" s="2" t="s">
        <v>1858</v>
      </c>
      <c r="D741" s="2" t="s">
        <v>50</v>
      </c>
      <c r="E741" s="2" t="s">
        <v>1194</v>
      </c>
      <c r="F741" s="2" t="s">
        <v>1186</v>
      </c>
      <c r="G741" s="2" t="s">
        <v>2651</v>
      </c>
    </row>
    <row r="742" customFormat="false" ht="15" hidden="false" customHeight="false" outlineLevel="0" collapsed="false">
      <c r="A742" s="2" t="s">
        <v>2652</v>
      </c>
      <c r="B742" s="2" t="s">
        <v>184</v>
      </c>
      <c r="C742" s="2" t="s">
        <v>1858</v>
      </c>
      <c r="D742" s="2" t="s">
        <v>50</v>
      </c>
      <c r="E742" s="2" t="s">
        <v>1194</v>
      </c>
      <c r="F742" s="2" t="s">
        <v>1186</v>
      </c>
      <c r="G742" s="2" t="s">
        <v>2653</v>
      </c>
    </row>
    <row r="743" customFormat="false" ht="15" hidden="false" customHeight="false" outlineLevel="0" collapsed="false">
      <c r="A743" s="2" t="s">
        <v>2654</v>
      </c>
      <c r="B743" s="2" t="s">
        <v>184</v>
      </c>
      <c r="C743" s="2" t="s">
        <v>1858</v>
      </c>
      <c r="D743" s="2" t="s">
        <v>50</v>
      </c>
      <c r="E743" s="2" t="s">
        <v>1194</v>
      </c>
      <c r="F743" s="2" t="s">
        <v>1186</v>
      </c>
      <c r="G743" s="2" t="s">
        <v>2655</v>
      </c>
    </row>
    <row r="744" customFormat="false" ht="15" hidden="false" customHeight="false" outlineLevel="0" collapsed="false">
      <c r="A744" s="2" t="s">
        <v>2656</v>
      </c>
      <c r="B744" s="2" t="s">
        <v>184</v>
      </c>
      <c r="C744" s="2" t="s">
        <v>1858</v>
      </c>
      <c r="D744" s="2" t="s">
        <v>50</v>
      </c>
      <c r="E744" s="2" t="s">
        <v>1194</v>
      </c>
      <c r="F744" s="2" t="s">
        <v>1186</v>
      </c>
      <c r="G744" s="2" t="s">
        <v>2657</v>
      </c>
    </row>
    <row r="745" customFormat="false" ht="15" hidden="false" customHeight="false" outlineLevel="0" collapsed="false">
      <c r="A745" s="2" t="s">
        <v>2658</v>
      </c>
      <c r="B745" s="2" t="s">
        <v>184</v>
      </c>
      <c r="C745" s="2" t="s">
        <v>1858</v>
      </c>
      <c r="D745" s="2" t="s">
        <v>50</v>
      </c>
      <c r="E745" s="2" t="s">
        <v>1194</v>
      </c>
      <c r="F745" s="2" t="s">
        <v>1186</v>
      </c>
      <c r="G745" s="2" t="s">
        <v>2659</v>
      </c>
    </row>
    <row r="746" customFormat="false" ht="15" hidden="false" customHeight="false" outlineLevel="0" collapsed="false">
      <c r="A746" s="2" t="s">
        <v>2660</v>
      </c>
      <c r="B746" s="2" t="s">
        <v>184</v>
      </c>
      <c r="C746" s="2" t="s">
        <v>1858</v>
      </c>
      <c r="D746" s="2" t="s">
        <v>50</v>
      </c>
      <c r="E746" s="2" t="s">
        <v>1194</v>
      </c>
      <c r="F746" s="2" t="s">
        <v>1186</v>
      </c>
      <c r="G746" s="2" t="s">
        <v>2661</v>
      </c>
    </row>
    <row r="747" customFormat="false" ht="15" hidden="false" customHeight="false" outlineLevel="0" collapsed="false">
      <c r="A747" s="2" t="s">
        <v>2662</v>
      </c>
      <c r="B747" s="2" t="s">
        <v>184</v>
      </c>
      <c r="C747" s="2" t="s">
        <v>1858</v>
      </c>
      <c r="D747" s="2" t="s">
        <v>50</v>
      </c>
      <c r="E747" s="2" t="s">
        <v>1194</v>
      </c>
      <c r="F747" s="2" t="s">
        <v>1186</v>
      </c>
      <c r="G747" s="2" t="s">
        <v>2663</v>
      </c>
    </row>
    <row r="748" customFormat="false" ht="15" hidden="false" customHeight="false" outlineLevel="0" collapsed="false">
      <c r="A748" s="2" t="s">
        <v>2664</v>
      </c>
      <c r="B748" s="2" t="s">
        <v>184</v>
      </c>
      <c r="C748" s="2" t="s">
        <v>1858</v>
      </c>
      <c r="D748" s="2" t="s">
        <v>50</v>
      </c>
      <c r="E748" s="2" t="s">
        <v>1194</v>
      </c>
      <c r="F748" s="2" t="s">
        <v>1186</v>
      </c>
      <c r="G748" s="2" t="s">
        <v>2665</v>
      </c>
    </row>
    <row r="749" customFormat="false" ht="15" hidden="false" customHeight="false" outlineLevel="0" collapsed="false">
      <c r="A749" s="2" t="s">
        <v>2666</v>
      </c>
      <c r="B749" s="2" t="s">
        <v>184</v>
      </c>
      <c r="C749" s="2" t="s">
        <v>1858</v>
      </c>
      <c r="D749" s="2" t="s">
        <v>50</v>
      </c>
      <c r="E749" s="2" t="s">
        <v>1194</v>
      </c>
      <c r="F749" s="2" t="s">
        <v>1186</v>
      </c>
      <c r="G749" s="2" t="s">
        <v>2667</v>
      </c>
    </row>
    <row r="750" customFormat="false" ht="15" hidden="false" customHeight="false" outlineLevel="0" collapsed="false">
      <c r="A750" s="2" t="s">
        <v>2668</v>
      </c>
      <c r="B750" s="2" t="s">
        <v>184</v>
      </c>
      <c r="C750" s="2" t="s">
        <v>1858</v>
      </c>
      <c r="D750" s="2" t="s">
        <v>50</v>
      </c>
      <c r="E750" s="2" t="s">
        <v>1194</v>
      </c>
      <c r="F750" s="2" t="s">
        <v>1186</v>
      </c>
      <c r="G750" s="2" t="s">
        <v>2669</v>
      </c>
    </row>
    <row r="751" customFormat="false" ht="15" hidden="false" customHeight="false" outlineLevel="0" collapsed="false">
      <c r="A751" s="2" t="s">
        <v>2670</v>
      </c>
      <c r="B751" s="2" t="s">
        <v>184</v>
      </c>
      <c r="C751" s="2" t="s">
        <v>1858</v>
      </c>
      <c r="D751" s="2" t="s">
        <v>50</v>
      </c>
      <c r="E751" s="2" t="s">
        <v>1194</v>
      </c>
      <c r="F751" s="2" t="s">
        <v>1186</v>
      </c>
      <c r="G751" s="2" t="s">
        <v>2671</v>
      </c>
    </row>
    <row r="752" customFormat="false" ht="15" hidden="false" customHeight="false" outlineLevel="0" collapsed="false">
      <c r="A752" s="2" t="s">
        <v>2672</v>
      </c>
      <c r="B752" s="2" t="s">
        <v>184</v>
      </c>
      <c r="C752" s="2" t="s">
        <v>1858</v>
      </c>
      <c r="D752" s="2" t="s">
        <v>50</v>
      </c>
      <c r="E752" s="2" t="s">
        <v>1194</v>
      </c>
      <c r="F752" s="2" t="s">
        <v>1186</v>
      </c>
      <c r="G752" s="2" t="s">
        <v>2673</v>
      </c>
    </row>
    <row r="753" customFormat="false" ht="15" hidden="false" customHeight="false" outlineLevel="0" collapsed="false">
      <c r="A753" s="2" t="s">
        <v>2674</v>
      </c>
      <c r="B753" s="2" t="s">
        <v>184</v>
      </c>
      <c r="C753" s="2" t="s">
        <v>1858</v>
      </c>
      <c r="D753" s="2" t="s">
        <v>50</v>
      </c>
      <c r="E753" s="2" t="s">
        <v>1194</v>
      </c>
      <c r="F753" s="2" t="s">
        <v>1186</v>
      </c>
      <c r="G753" s="2" t="s">
        <v>2675</v>
      </c>
    </row>
    <row r="754" customFormat="false" ht="15" hidden="false" customHeight="false" outlineLevel="0" collapsed="false">
      <c r="A754" s="2" t="s">
        <v>2676</v>
      </c>
      <c r="B754" s="2" t="s">
        <v>184</v>
      </c>
      <c r="C754" s="2" t="s">
        <v>1858</v>
      </c>
      <c r="D754" s="2" t="s">
        <v>50</v>
      </c>
      <c r="E754" s="2" t="s">
        <v>1194</v>
      </c>
      <c r="F754" s="2" t="s">
        <v>1186</v>
      </c>
      <c r="G754" s="2" t="s">
        <v>2677</v>
      </c>
    </row>
    <row r="755" customFormat="false" ht="15" hidden="false" customHeight="false" outlineLevel="0" collapsed="false">
      <c r="A755" s="2" t="s">
        <v>2678</v>
      </c>
      <c r="B755" s="2" t="s">
        <v>184</v>
      </c>
      <c r="C755" s="2" t="s">
        <v>1858</v>
      </c>
      <c r="D755" s="2" t="s">
        <v>50</v>
      </c>
      <c r="E755" s="2" t="s">
        <v>1194</v>
      </c>
      <c r="F755" s="2" t="s">
        <v>1186</v>
      </c>
      <c r="G755" s="2" t="s">
        <v>2679</v>
      </c>
    </row>
    <row r="756" customFormat="false" ht="15" hidden="false" customHeight="false" outlineLevel="0" collapsed="false">
      <c r="A756" s="2" t="s">
        <v>2680</v>
      </c>
      <c r="B756" s="2" t="s">
        <v>184</v>
      </c>
      <c r="C756" s="2" t="s">
        <v>1858</v>
      </c>
      <c r="D756" s="2" t="s">
        <v>50</v>
      </c>
      <c r="E756" s="2" t="s">
        <v>1194</v>
      </c>
      <c r="F756" s="2" t="s">
        <v>1186</v>
      </c>
      <c r="G756" s="2" t="s">
        <v>2681</v>
      </c>
    </row>
    <row r="757" customFormat="false" ht="15" hidden="false" customHeight="false" outlineLevel="0" collapsed="false">
      <c r="A757" s="2" t="s">
        <v>2682</v>
      </c>
      <c r="B757" s="2" t="s">
        <v>184</v>
      </c>
      <c r="C757" s="2" t="s">
        <v>1858</v>
      </c>
      <c r="D757" s="2" t="s">
        <v>50</v>
      </c>
      <c r="E757" s="2" t="s">
        <v>1194</v>
      </c>
      <c r="F757" s="2" t="s">
        <v>1186</v>
      </c>
      <c r="G757" s="2" t="s">
        <v>2683</v>
      </c>
    </row>
    <row r="758" customFormat="false" ht="15" hidden="false" customHeight="false" outlineLevel="0" collapsed="false">
      <c r="A758" s="2" t="s">
        <v>2684</v>
      </c>
      <c r="B758" s="2" t="s">
        <v>184</v>
      </c>
      <c r="C758" s="2" t="s">
        <v>1858</v>
      </c>
      <c r="D758" s="2" t="s">
        <v>50</v>
      </c>
      <c r="E758" s="2" t="s">
        <v>1194</v>
      </c>
      <c r="F758" s="2" t="s">
        <v>1186</v>
      </c>
      <c r="G758" s="2" t="s">
        <v>2685</v>
      </c>
    </row>
    <row r="759" customFormat="false" ht="15" hidden="false" customHeight="false" outlineLevel="0" collapsed="false">
      <c r="A759" s="2" t="s">
        <v>2686</v>
      </c>
      <c r="B759" s="2" t="s">
        <v>184</v>
      </c>
      <c r="C759" s="2" t="s">
        <v>1858</v>
      </c>
      <c r="D759" s="2" t="s">
        <v>50</v>
      </c>
      <c r="E759" s="2" t="s">
        <v>1194</v>
      </c>
      <c r="F759" s="2" t="s">
        <v>1186</v>
      </c>
      <c r="G759" s="2" t="s">
        <v>2687</v>
      </c>
    </row>
    <row r="760" customFormat="false" ht="15" hidden="false" customHeight="false" outlineLevel="0" collapsed="false">
      <c r="A760" s="2" t="s">
        <v>2688</v>
      </c>
      <c r="B760" s="2" t="s">
        <v>184</v>
      </c>
      <c r="C760" s="2" t="s">
        <v>1858</v>
      </c>
      <c r="D760" s="2" t="s">
        <v>50</v>
      </c>
      <c r="E760" s="2" t="s">
        <v>1194</v>
      </c>
      <c r="F760" s="2" t="s">
        <v>1186</v>
      </c>
      <c r="G760" s="2" t="s">
        <v>2689</v>
      </c>
    </row>
    <row r="761" customFormat="false" ht="15" hidden="false" customHeight="false" outlineLevel="0" collapsed="false">
      <c r="A761" s="2" t="s">
        <v>2690</v>
      </c>
      <c r="B761" s="2" t="s">
        <v>184</v>
      </c>
      <c r="C761" s="2" t="s">
        <v>1562</v>
      </c>
      <c r="D761" s="2" t="s">
        <v>49</v>
      </c>
      <c r="E761" s="2" t="s">
        <v>1563</v>
      </c>
      <c r="F761" s="2" t="s">
        <v>1186</v>
      </c>
      <c r="G761" s="2" t="s">
        <v>2691</v>
      </c>
    </row>
    <row r="762" customFormat="false" ht="15" hidden="false" customHeight="false" outlineLevel="0" collapsed="false">
      <c r="A762" s="2" t="s">
        <v>2692</v>
      </c>
      <c r="B762" s="2" t="s">
        <v>184</v>
      </c>
      <c r="C762" s="2" t="s">
        <v>1858</v>
      </c>
      <c r="D762" s="2" t="s">
        <v>50</v>
      </c>
      <c r="E762" s="2" t="s">
        <v>1194</v>
      </c>
      <c r="F762" s="2" t="s">
        <v>1186</v>
      </c>
      <c r="G762" s="2" t="s">
        <v>2693</v>
      </c>
    </row>
    <row r="763" customFormat="false" ht="15" hidden="false" customHeight="false" outlineLevel="0" collapsed="false">
      <c r="A763" s="2" t="s">
        <v>2694</v>
      </c>
      <c r="B763" s="2" t="s">
        <v>184</v>
      </c>
      <c r="C763" s="2" t="s">
        <v>1858</v>
      </c>
      <c r="D763" s="2" t="s">
        <v>50</v>
      </c>
      <c r="E763" s="2" t="s">
        <v>1194</v>
      </c>
      <c r="F763" s="2" t="s">
        <v>1186</v>
      </c>
      <c r="G763" s="2" t="s">
        <v>2695</v>
      </c>
    </row>
    <row r="764" customFormat="false" ht="15" hidden="false" customHeight="false" outlineLevel="0" collapsed="false">
      <c r="A764" s="2" t="s">
        <v>2696</v>
      </c>
      <c r="B764" s="2" t="s">
        <v>184</v>
      </c>
      <c r="C764" s="2" t="s">
        <v>1858</v>
      </c>
      <c r="D764" s="2" t="s">
        <v>50</v>
      </c>
      <c r="E764" s="2" t="s">
        <v>1194</v>
      </c>
      <c r="F764" s="2" t="s">
        <v>1186</v>
      </c>
      <c r="G764" s="2" t="s">
        <v>2697</v>
      </c>
    </row>
    <row r="765" customFormat="false" ht="15" hidden="false" customHeight="false" outlineLevel="0" collapsed="false">
      <c r="A765" s="2" t="s">
        <v>2698</v>
      </c>
      <c r="B765" s="2" t="s">
        <v>184</v>
      </c>
      <c r="C765" s="2" t="s">
        <v>1858</v>
      </c>
      <c r="D765" s="2" t="s">
        <v>50</v>
      </c>
      <c r="E765" s="2" t="s">
        <v>1194</v>
      </c>
      <c r="F765" s="2" t="s">
        <v>1186</v>
      </c>
      <c r="G765" s="2" t="s">
        <v>2699</v>
      </c>
    </row>
    <row r="766" customFormat="false" ht="15" hidden="false" customHeight="false" outlineLevel="0" collapsed="false">
      <c r="A766" s="2" t="s">
        <v>2700</v>
      </c>
      <c r="B766" s="2" t="s">
        <v>184</v>
      </c>
      <c r="C766" s="2" t="s">
        <v>1858</v>
      </c>
      <c r="D766" s="2" t="s">
        <v>50</v>
      </c>
      <c r="E766" s="2" t="s">
        <v>1194</v>
      </c>
      <c r="F766" s="2" t="s">
        <v>1186</v>
      </c>
      <c r="G766" s="2" t="s">
        <v>2701</v>
      </c>
    </row>
    <row r="767" customFormat="false" ht="15" hidden="false" customHeight="false" outlineLevel="0" collapsed="false">
      <c r="A767" s="2" t="s">
        <v>2702</v>
      </c>
      <c r="B767" s="2" t="s">
        <v>184</v>
      </c>
      <c r="C767" s="2" t="s">
        <v>1858</v>
      </c>
      <c r="D767" s="2" t="s">
        <v>50</v>
      </c>
      <c r="E767" s="2" t="s">
        <v>1194</v>
      </c>
      <c r="F767" s="2" t="s">
        <v>1186</v>
      </c>
      <c r="G767" s="2" t="s">
        <v>2703</v>
      </c>
    </row>
    <row r="768" customFormat="false" ht="15" hidden="false" customHeight="false" outlineLevel="0" collapsed="false">
      <c r="A768" s="2" t="s">
        <v>2704</v>
      </c>
      <c r="B768" s="2" t="s">
        <v>184</v>
      </c>
      <c r="C768" s="2" t="s">
        <v>1858</v>
      </c>
      <c r="D768" s="2" t="s">
        <v>50</v>
      </c>
      <c r="E768" s="2" t="s">
        <v>1194</v>
      </c>
      <c r="F768" s="2" t="s">
        <v>1186</v>
      </c>
      <c r="G768" s="2" t="s">
        <v>2705</v>
      </c>
    </row>
    <row r="769" customFormat="false" ht="15" hidden="false" customHeight="false" outlineLevel="0" collapsed="false">
      <c r="A769" s="2" t="s">
        <v>2706</v>
      </c>
      <c r="B769" s="2" t="s">
        <v>184</v>
      </c>
      <c r="C769" s="2" t="s">
        <v>1858</v>
      </c>
      <c r="D769" s="2" t="s">
        <v>50</v>
      </c>
      <c r="E769" s="2" t="s">
        <v>1194</v>
      </c>
      <c r="F769" s="2" t="s">
        <v>1186</v>
      </c>
      <c r="G769" s="2" t="s">
        <v>2707</v>
      </c>
    </row>
    <row r="770" customFormat="false" ht="15" hidden="false" customHeight="false" outlineLevel="0" collapsed="false">
      <c r="A770" s="2" t="s">
        <v>2708</v>
      </c>
      <c r="B770" s="2" t="s">
        <v>184</v>
      </c>
      <c r="C770" s="2" t="s">
        <v>1858</v>
      </c>
      <c r="D770" s="2" t="s">
        <v>50</v>
      </c>
      <c r="E770" s="2" t="s">
        <v>1194</v>
      </c>
      <c r="F770" s="2" t="s">
        <v>1186</v>
      </c>
      <c r="G770" s="2" t="s">
        <v>2709</v>
      </c>
    </row>
    <row r="771" customFormat="false" ht="15" hidden="false" customHeight="false" outlineLevel="0" collapsed="false">
      <c r="A771" s="2" t="s">
        <v>2710</v>
      </c>
      <c r="B771" s="2" t="s">
        <v>184</v>
      </c>
      <c r="C771" s="2" t="s">
        <v>1858</v>
      </c>
      <c r="D771" s="2" t="s">
        <v>50</v>
      </c>
      <c r="E771" s="2" t="s">
        <v>1194</v>
      </c>
      <c r="F771" s="2" t="s">
        <v>1186</v>
      </c>
      <c r="G771" s="2" t="s">
        <v>2711</v>
      </c>
    </row>
    <row r="772" customFormat="false" ht="15" hidden="false" customHeight="false" outlineLevel="0" collapsed="false">
      <c r="A772" s="2" t="s">
        <v>2712</v>
      </c>
      <c r="B772" s="2" t="s">
        <v>184</v>
      </c>
      <c r="C772" s="2" t="s">
        <v>1858</v>
      </c>
      <c r="D772" s="2" t="s">
        <v>50</v>
      </c>
      <c r="E772" s="2" t="s">
        <v>1194</v>
      </c>
      <c r="F772" s="2" t="s">
        <v>1186</v>
      </c>
      <c r="G772" s="2" t="s">
        <v>2713</v>
      </c>
    </row>
    <row r="773" customFormat="false" ht="15" hidden="false" customHeight="false" outlineLevel="0" collapsed="false">
      <c r="A773" s="2" t="s">
        <v>2714</v>
      </c>
      <c r="B773" s="2" t="s">
        <v>184</v>
      </c>
      <c r="C773" s="2" t="s">
        <v>1858</v>
      </c>
      <c r="D773" s="2" t="s">
        <v>50</v>
      </c>
      <c r="E773" s="2" t="s">
        <v>1194</v>
      </c>
      <c r="F773" s="2" t="s">
        <v>1186</v>
      </c>
      <c r="G773" s="2" t="s">
        <v>2715</v>
      </c>
    </row>
    <row r="774" customFormat="false" ht="15" hidden="false" customHeight="false" outlineLevel="0" collapsed="false">
      <c r="A774" s="2" t="s">
        <v>2716</v>
      </c>
      <c r="B774" s="2" t="s">
        <v>184</v>
      </c>
      <c r="C774" s="2" t="s">
        <v>1858</v>
      </c>
      <c r="D774" s="2" t="s">
        <v>50</v>
      </c>
      <c r="E774" s="2" t="s">
        <v>1194</v>
      </c>
      <c r="F774" s="2" t="s">
        <v>1186</v>
      </c>
      <c r="G774" s="2" t="s">
        <v>2717</v>
      </c>
    </row>
    <row r="775" customFormat="false" ht="15" hidden="false" customHeight="false" outlineLevel="0" collapsed="false">
      <c r="A775" s="2" t="s">
        <v>2718</v>
      </c>
      <c r="B775" s="2" t="s">
        <v>184</v>
      </c>
      <c r="C775" s="2" t="s">
        <v>1858</v>
      </c>
      <c r="D775" s="2" t="s">
        <v>50</v>
      </c>
      <c r="E775" s="2" t="s">
        <v>1194</v>
      </c>
      <c r="F775" s="2" t="s">
        <v>1186</v>
      </c>
      <c r="G775" s="2" t="s">
        <v>2719</v>
      </c>
    </row>
    <row r="776" customFormat="false" ht="15" hidden="false" customHeight="false" outlineLevel="0" collapsed="false">
      <c r="A776" s="2" t="s">
        <v>2720</v>
      </c>
      <c r="B776" s="2" t="s">
        <v>184</v>
      </c>
      <c r="C776" s="2" t="s">
        <v>1858</v>
      </c>
      <c r="D776" s="2" t="s">
        <v>50</v>
      </c>
      <c r="E776" s="2" t="s">
        <v>1194</v>
      </c>
      <c r="F776" s="2" t="s">
        <v>1186</v>
      </c>
      <c r="G776" s="2" t="s">
        <v>2721</v>
      </c>
    </row>
    <row r="777" customFormat="false" ht="15" hidden="false" customHeight="false" outlineLevel="0" collapsed="false">
      <c r="A777" s="2" t="s">
        <v>2722</v>
      </c>
      <c r="B777" s="2" t="s">
        <v>184</v>
      </c>
      <c r="C777" s="2" t="s">
        <v>1858</v>
      </c>
      <c r="D777" s="2" t="s">
        <v>50</v>
      </c>
      <c r="E777" s="2" t="s">
        <v>1194</v>
      </c>
      <c r="F777" s="2" t="s">
        <v>1186</v>
      </c>
      <c r="G777" s="2" t="s">
        <v>2723</v>
      </c>
    </row>
    <row r="778" customFormat="false" ht="15" hidden="false" customHeight="false" outlineLevel="0" collapsed="false">
      <c r="A778" s="2" t="s">
        <v>2724</v>
      </c>
      <c r="B778" s="2" t="s">
        <v>165</v>
      </c>
      <c r="C778" s="2" t="s">
        <v>2725</v>
      </c>
      <c r="D778" s="2" t="s">
        <v>50</v>
      </c>
      <c r="E778" s="2" t="s">
        <v>1194</v>
      </c>
      <c r="F778" s="2" t="s">
        <v>1186</v>
      </c>
      <c r="G778" s="2" t="s">
        <v>2726</v>
      </c>
    </row>
    <row r="779" customFormat="false" ht="15" hidden="false" customHeight="false" outlineLevel="0" collapsed="false">
      <c r="A779" s="2" t="s">
        <v>2727</v>
      </c>
      <c r="B779" s="2" t="s">
        <v>184</v>
      </c>
      <c r="C779" s="2" t="s">
        <v>1289</v>
      </c>
      <c r="D779" s="2" t="s">
        <v>48</v>
      </c>
      <c r="E779" s="2" t="s">
        <v>1185</v>
      </c>
      <c r="F779" s="2" t="s">
        <v>1186</v>
      </c>
      <c r="G779" s="2" t="s">
        <v>2728</v>
      </c>
    </row>
    <row r="780" customFormat="false" ht="15" hidden="false" customHeight="false" outlineLevel="0" collapsed="false">
      <c r="A780" s="2" t="s">
        <v>2729</v>
      </c>
      <c r="B780" s="2" t="s">
        <v>184</v>
      </c>
      <c r="C780" s="2" t="s">
        <v>1289</v>
      </c>
      <c r="D780" s="2" t="s">
        <v>48</v>
      </c>
      <c r="E780" s="2" t="s">
        <v>1185</v>
      </c>
      <c r="F780" s="2" t="s">
        <v>1186</v>
      </c>
      <c r="G780" s="2" t="s">
        <v>2730</v>
      </c>
    </row>
    <row r="781" customFormat="false" ht="15" hidden="false" customHeight="false" outlineLevel="0" collapsed="false">
      <c r="A781" s="2" t="s">
        <v>2731</v>
      </c>
      <c r="B781" s="2" t="s">
        <v>184</v>
      </c>
      <c r="C781" s="2" t="s">
        <v>2732</v>
      </c>
      <c r="D781" s="2" t="s">
        <v>50</v>
      </c>
      <c r="E781" s="2" t="s">
        <v>2733</v>
      </c>
      <c r="F781" s="2" t="s">
        <v>1186</v>
      </c>
      <c r="G781" s="2" t="s">
        <v>2734</v>
      </c>
    </row>
    <row r="782" customFormat="false" ht="15" hidden="false" customHeight="false" outlineLevel="0" collapsed="false">
      <c r="A782" s="2" t="s">
        <v>2735</v>
      </c>
      <c r="B782" s="2" t="s">
        <v>184</v>
      </c>
      <c r="C782" s="2" t="s">
        <v>2732</v>
      </c>
      <c r="D782" s="2" t="s">
        <v>50</v>
      </c>
      <c r="E782" s="2" t="s">
        <v>2733</v>
      </c>
      <c r="F782" s="2" t="s">
        <v>1186</v>
      </c>
      <c r="G782" s="2" t="s">
        <v>2736</v>
      </c>
    </row>
    <row r="783" customFormat="false" ht="15" hidden="false" customHeight="false" outlineLevel="0" collapsed="false">
      <c r="A783" s="2" t="s">
        <v>2737</v>
      </c>
      <c r="B783" s="2" t="s">
        <v>125</v>
      </c>
      <c r="C783" s="2" t="s">
        <v>125</v>
      </c>
      <c r="D783" s="2" t="s">
        <v>48</v>
      </c>
      <c r="E783" s="2" t="s">
        <v>1185</v>
      </c>
      <c r="F783" s="2" t="s">
        <v>1186</v>
      </c>
      <c r="G783" s="2" t="s">
        <v>2738</v>
      </c>
    </row>
    <row r="784" customFormat="false" ht="15" hidden="false" customHeight="false" outlineLevel="0" collapsed="false">
      <c r="A784" s="2" t="s">
        <v>2739</v>
      </c>
      <c r="B784" s="2" t="s">
        <v>125</v>
      </c>
      <c r="C784" s="2" t="s">
        <v>125</v>
      </c>
      <c r="D784" s="2" t="s">
        <v>48</v>
      </c>
      <c r="E784" s="2" t="s">
        <v>1185</v>
      </c>
      <c r="F784" s="2" t="s">
        <v>1186</v>
      </c>
      <c r="G784" s="2" t="s">
        <v>2740</v>
      </c>
    </row>
    <row r="785" customFormat="false" ht="15" hidden="false" customHeight="false" outlineLevel="0" collapsed="false">
      <c r="A785" s="2" t="s">
        <v>2741</v>
      </c>
      <c r="B785" s="2" t="s">
        <v>125</v>
      </c>
      <c r="C785" s="2" t="s">
        <v>125</v>
      </c>
      <c r="D785" s="2" t="s">
        <v>48</v>
      </c>
      <c r="E785" s="2" t="s">
        <v>1185</v>
      </c>
      <c r="F785" s="2" t="s">
        <v>1186</v>
      </c>
      <c r="G785" s="2" t="s">
        <v>2742</v>
      </c>
    </row>
    <row r="786" customFormat="false" ht="15" hidden="false" customHeight="false" outlineLevel="0" collapsed="false">
      <c r="A786" s="2" t="s">
        <v>2743</v>
      </c>
      <c r="B786" s="2" t="s">
        <v>125</v>
      </c>
      <c r="C786" s="2" t="s">
        <v>125</v>
      </c>
      <c r="D786" s="2" t="s">
        <v>48</v>
      </c>
      <c r="E786" s="2" t="s">
        <v>1185</v>
      </c>
      <c r="F786" s="2" t="s">
        <v>1186</v>
      </c>
      <c r="G786" s="2" t="s">
        <v>2744</v>
      </c>
    </row>
    <row r="787" customFormat="false" ht="15" hidden="false" customHeight="false" outlineLevel="0" collapsed="false">
      <c r="A787" s="2" t="s">
        <v>2745</v>
      </c>
      <c r="B787" s="2" t="s">
        <v>125</v>
      </c>
      <c r="C787" s="2" t="s">
        <v>125</v>
      </c>
      <c r="D787" s="2" t="s">
        <v>48</v>
      </c>
      <c r="E787" s="2" t="s">
        <v>1185</v>
      </c>
      <c r="F787" s="2" t="s">
        <v>1186</v>
      </c>
      <c r="G787" s="2" t="s">
        <v>2746</v>
      </c>
    </row>
    <row r="788" customFormat="false" ht="15" hidden="false" customHeight="false" outlineLevel="0" collapsed="false">
      <c r="A788" s="2" t="s">
        <v>2747</v>
      </c>
      <c r="B788" s="2" t="s">
        <v>125</v>
      </c>
      <c r="C788" s="2" t="s">
        <v>125</v>
      </c>
      <c r="D788" s="2" t="s">
        <v>48</v>
      </c>
      <c r="E788" s="2" t="s">
        <v>1185</v>
      </c>
      <c r="F788" s="2" t="s">
        <v>1186</v>
      </c>
      <c r="G788" s="2" t="s">
        <v>2748</v>
      </c>
    </row>
    <row r="789" customFormat="false" ht="15" hidden="false" customHeight="false" outlineLevel="0" collapsed="false">
      <c r="A789" s="2" t="s">
        <v>2749</v>
      </c>
      <c r="B789" s="2" t="s">
        <v>125</v>
      </c>
      <c r="C789" s="2" t="s">
        <v>125</v>
      </c>
      <c r="D789" s="2" t="s">
        <v>48</v>
      </c>
      <c r="E789" s="2" t="s">
        <v>1185</v>
      </c>
      <c r="F789" s="2" t="s">
        <v>1186</v>
      </c>
      <c r="G789" s="2" t="s">
        <v>2750</v>
      </c>
    </row>
    <row r="790" customFormat="false" ht="15" hidden="false" customHeight="false" outlineLevel="0" collapsed="false">
      <c r="A790" s="2" t="s">
        <v>2751</v>
      </c>
      <c r="B790" s="2" t="s">
        <v>125</v>
      </c>
      <c r="C790" s="2" t="s">
        <v>125</v>
      </c>
      <c r="D790" s="2" t="s">
        <v>48</v>
      </c>
      <c r="E790" s="2" t="s">
        <v>1185</v>
      </c>
      <c r="F790" s="2" t="s">
        <v>1186</v>
      </c>
      <c r="G790" s="2" t="s">
        <v>2752</v>
      </c>
    </row>
    <row r="791" customFormat="false" ht="15" hidden="false" customHeight="false" outlineLevel="0" collapsed="false">
      <c r="A791" s="2" t="s">
        <v>2753</v>
      </c>
      <c r="B791" s="2" t="s">
        <v>125</v>
      </c>
      <c r="C791" s="2" t="s">
        <v>125</v>
      </c>
      <c r="D791" s="2" t="s">
        <v>48</v>
      </c>
      <c r="E791" s="2" t="s">
        <v>1185</v>
      </c>
      <c r="F791" s="2" t="s">
        <v>1186</v>
      </c>
      <c r="G791" s="2" t="s">
        <v>2754</v>
      </c>
    </row>
    <row r="792" customFormat="false" ht="15" hidden="false" customHeight="false" outlineLevel="0" collapsed="false">
      <c r="A792" s="2" t="s">
        <v>2755</v>
      </c>
      <c r="B792" s="2" t="s">
        <v>125</v>
      </c>
      <c r="C792" s="2" t="s">
        <v>125</v>
      </c>
      <c r="D792" s="2" t="s">
        <v>48</v>
      </c>
      <c r="E792" s="2" t="s">
        <v>1185</v>
      </c>
      <c r="F792" s="2" t="s">
        <v>1186</v>
      </c>
      <c r="G792" s="2" t="s">
        <v>2756</v>
      </c>
    </row>
    <row r="793" customFormat="false" ht="15" hidden="false" customHeight="false" outlineLevel="0" collapsed="false">
      <c r="A793" s="2" t="s">
        <v>2757</v>
      </c>
      <c r="B793" s="2" t="s">
        <v>125</v>
      </c>
      <c r="C793" s="2" t="s">
        <v>125</v>
      </c>
      <c r="D793" s="2" t="s">
        <v>48</v>
      </c>
      <c r="E793" s="2" t="s">
        <v>1185</v>
      </c>
      <c r="F793" s="2" t="s">
        <v>1186</v>
      </c>
      <c r="G793" s="2" t="s">
        <v>2758</v>
      </c>
    </row>
    <row r="794" customFormat="false" ht="15" hidden="false" customHeight="false" outlineLevel="0" collapsed="false">
      <c r="A794" s="2" t="s">
        <v>2759</v>
      </c>
      <c r="B794" s="2" t="s">
        <v>146</v>
      </c>
      <c r="C794" s="2" t="s">
        <v>2760</v>
      </c>
      <c r="D794" s="2" t="s">
        <v>48</v>
      </c>
      <c r="E794" s="2" t="s">
        <v>1185</v>
      </c>
      <c r="F794" s="2" t="s">
        <v>1186</v>
      </c>
      <c r="G794" s="2" t="s">
        <v>2761</v>
      </c>
    </row>
    <row r="795" customFormat="false" ht="15" hidden="false" customHeight="false" outlineLevel="0" collapsed="false">
      <c r="A795" s="2" t="s">
        <v>2762</v>
      </c>
      <c r="B795" s="2" t="s">
        <v>146</v>
      </c>
      <c r="C795" s="2" t="s">
        <v>2760</v>
      </c>
      <c r="D795" s="2" t="s">
        <v>48</v>
      </c>
      <c r="E795" s="2" t="s">
        <v>1185</v>
      </c>
      <c r="F795" s="2" t="s">
        <v>1186</v>
      </c>
      <c r="G795" s="2" t="s">
        <v>2761</v>
      </c>
    </row>
    <row r="796" customFormat="false" ht="15" hidden="false" customHeight="false" outlineLevel="0" collapsed="false">
      <c r="A796" s="2" t="s">
        <v>2763</v>
      </c>
      <c r="B796" s="2" t="s">
        <v>146</v>
      </c>
      <c r="C796" s="2" t="s">
        <v>2760</v>
      </c>
      <c r="D796" s="2" t="s">
        <v>48</v>
      </c>
      <c r="E796" s="2" t="s">
        <v>1185</v>
      </c>
      <c r="F796" s="2" t="s">
        <v>1186</v>
      </c>
      <c r="G796" s="2" t="s">
        <v>2764</v>
      </c>
    </row>
    <row r="797" customFormat="false" ht="15" hidden="false" customHeight="false" outlineLevel="0" collapsed="false">
      <c r="A797" s="2" t="s">
        <v>2765</v>
      </c>
      <c r="B797" s="2" t="s">
        <v>146</v>
      </c>
      <c r="C797" s="2" t="s">
        <v>2760</v>
      </c>
      <c r="D797" s="2" t="s">
        <v>48</v>
      </c>
      <c r="E797" s="2" t="s">
        <v>1185</v>
      </c>
      <c r="F797" s="2" t="s">
        <v>1186</v>
      </c>
      <c r="G797" s="2" t="s">
        <v>2766</v>
      </c>
    </row>
    <row r="798" customFormat="false" ht="15" hidden="false" customHeight="false" outlineLevel="0" collapsed="false">
      <c r="A798" s="2" t="s">
        <v>2767</v>
      </c>
      <c r="B798" s="2" t="s">
        <v>146</v>
      </c>
      <c r="C798" s="2" t="s">
        <v>2760</v>
      </c>
      <c r="D798" s="2" t="s">
        <v>48</v>
      </c>
      <c r="E798" s="2" t="s">
        <v>1185</v>
      </c>
      <c r="F798" s="2" t="s">
        <v>1186</v>
      </c>
      <c r="G798" s="2" t="s">
        <v>2768</v>
      </c>
    </row>
    <row r="799" customFormat="false" ht="15" hidden="false" customHeight="false" outlineLevel="0" collapsed="false">
      <c r="A799" s="2" t="s">
        <v>2769</v>
      </c>
      <c r="B799" s="2" t="s">
        <v>146</v>
      </c>
      <c r="C799" s="2" t="s">
        <v>2760</v>
      </c>
      <c r="D799" s="2" t="s">
        <v>48</v>
      </c>
      <c r="E799" s="2" t="s">
        <v>1185</v>
      </c>
      <c r="F799" s="2" t="s">
        <v>1186</v>
      </c>
      <c r="G799" s="2" t="s">
        <v>2770</v>
      </c>
    </row>
    <row r="800" customFormat="false" ht="15" hidden="false" customHeight="false" outlineLevel="0" collapsed="false">
      <c r="A800" s="2" t="s">
        <v>2771</v>
      </c>
      <c r="B800" s="2" t="s">
        <v>146</v>
      </c>
      <c r="C800" s="2" t="s">
        <v>2760</v>
      </c>
      <c r="D800" s="2" t="s">
        <v>48</v>
      </c>
      <c r="E800" s="2" t="s">
        <v>1185</v>
      </c>
      <c r="F800" s="2" t="s">
        <v>1186</v>
      </c>
      <c r="G800" s="2" t="s">
        <v>2772</v>
      </c>
    </row>
    <row r="801" customFormat="false" ht="15" hidden="false" customHeight="false" outlineLevel="0" collapsed="false">
      <c r="A801" s="2" t="s">
        <v>2773</v>
      </c>
      <c r="B801" s="2" t="s">
        <v>146</v>
      </c>
      <c r="C801" s="2" t="s">
        <v>2760</v>
      </c>
      <c r="D801" s="2" t="s">
        <v>48</v>
      </c>
      <c r="E801" s="2" t="s">
        <v>1185</v>
      </c>
      <c r="F801" s="2" t="s">
        <v>1186</v>
      </c>
      <c r="G801" s="2" t="s">
        <v>2774</v>
      </c>
    </row>
    <row r="802" customFormat="false" ht="15" hidden="false" customHeight="false" outlineLevel="0" collapsed="false">
      <c r="A802" s="2" t="s">
        <v>2775</v>
      </c>
      <c r="B802" s="2" t="s">
        <v>146</v>
      </c>
      <c r="C802" s="2" t="s">
        <v>2760</v>
      </c>
      <c r="D802" s="2" t="s">
        <v>48</v>
      </c>
      <c r="E802" s="2" t="s">
        <v>1185</v>
      </c>
      <c r="F802" s="2" t="s">
        <v>1186</v>
      </c>
      <c r="G802" s="2" t="s">
        <v>2776</v>
      </c>
    </row>
    <row r="803" customFormat="false" ht="15" hidden="false" customHeight="false" outlineLevel="0" collapsed="false">
      <c r="A803" s="2" t="s">
        <v>2777</v>
      </c>
      <c r="B803" s="2" t="s">
        <v>146</v>
      </c>
      <c r="C803" s="2" t="s">
        <v>2760</v>
      </c>
      <c r="D803" s="2" t="s">
        <v>48</v>
      </c>
      <c r="E803" s="2" t="s">
        <v>1185</v>
      </c>
      <c r="F803" s="2" t="s">
        <v>1186</v>
      </c>
      <c r="G803" s="2" t="s">
        <v>2778</v>
      </c>
    </row>
    <row r="804" customFormat="false" ht="15" hidden="false" customHeight="false" outlineLevel="0" collapsed="false">
      <c r="A804" s="2" t="s">
        <v>2779</v>
      </c>
      <c r="B804" s="2" t="s">
        <v>146</v>
      </c>
      <c r="C804" s="2" t="s">
        <v>2760</v>
      </c>
      <c r="D804" s="2" t="s">
        <v>48</v>
      </c>
      <c r="E804" s="2" t="s">
        <v>1185</v>
      </c>
      <c r="F804" s="2" t="s">
        <v>1186</v>
      </c>
      <c r="G804" s="2" t="s">
        <v>2780</v>
      </c>
    </row>
    <row r="805" customFormat="false" ht="15" hidden="false" customHeight="false" outlineLevel="0" collapsed="false">
      <c r="A805" s="2" t="s">
        <v>2781</v>
      </c>
      <c r="B805" s="2" t="s">
        <v>146</v>
      </c>
      <c r="C805" s="2" t="s">
        <v>2760</v>
      </c>
      <c r="D805" s="2" t="s">
        <v>48</v>
      </c>
      <c r="E805" s="2" t="s">
        <v>1185</v>
      </c>
      <c r="F805" s="2" t="s">
        <v>1186</v>
      </c>
      <c r="G805" s="2" t="s">
        <v>2782</v>
      </c>
    </row>
    <row r="806" customFormat="false" ht="15" hidden="false" customHeight="false" outlineLevel="0" collapsed="false">
      <c r="A806" s="2" t="s">
        <v>2783</v>
      </c>
      <c r="B806" s="2" t="s">
        <v>146</v>
      </c>
      <c r="C806" s="2" t="s">
        <v>2760</v>
      </c>
      <c r="D806" s="2" t="s">
        <v>48</v>
      </c>
      <c r="E806" s="2" t="s">
        <v>1185</v>
      </c>
      <c r="F806" s="2" t="s">
        <v>1186</v>
      </c>
      <c r="G806" s="2" t="s">
        <v>2784</v>
      </c>
    </row>
    <row r="807" customFormat="false" ht="15" hidden="false" customHeight="false" outlineLevel="0" collapsed="false">
      <c r="A807" s="2" t="s">
        <v>2785</v>
      </c>
      <c r="B807" s="2" t="s">
        <v>146</v>
      </c>
      <c r="C807" s="2" t="s">
        <v>2760</v>
      </c>
      <c r="D807" s="2" t="s">
        <v>48</v>
      </c>
      <c r="E807" s="2" t="s">
        <v>1185</v>
      </c>
      <c r="F807" s="2" t="s">
        <v>1186</v>
      </c>
      <c r="G807" s="2" t="s">
        <v>2786</v>
      </c>
    </row>
    <row r="808" customFormat="false" ht="15" hidden="false" customHeight="false" outlineLevel="0" collapsed="false">
      <c r="A808" s="2" t="s">
        <v>2787</v>
      </c>
      <c r="B808" s="2" t="s">
        <v>146</v>
      </c>
      <c r="C808" s="2" t="s">
        <v>2760</v>
      </c>
      <c r="D808" s="2" t="s">
        <v>48</v>
      </c>
      <c r="E808" s="2" t="s">
        <v>1185</v>
      </c>
      <c r="F808" s="2" t="s">
        <v>1186</v>
      </c>
      <c r="G808" s="2" t="s">
        <v>2788</v>
      </c>
    </row>
    <row r="809" customFormat="false" ht="15" hidden="false" customHeight="false" outlineLevel="0" collapsed="false">
      <c r="A809" s="2" t="s">
        <v>2789</v>
      </c>
      <c r="B809" s="2" t="s">
        <v>146</v>
      </c>
      <c r="C809" s="2" t="s">
        <v>2760</v>
      </c>
      <c r="D809" s="2" t="s">
        <v>48</v>
      </c>
      <c r="E809" s="2" t="s">
        <v>1185</v>
      </c>
      <c r="F809" s="2" t="s">
        <v>1186</v>
      </c>
      <c r="G809" s="2" t="s">
        <v>2790</v>
      </c>
    </row>
    <row r="810" customFormat="false" ht="15" hidden="false" customHeight="false" outlineLevel="0" collapsed="false">
      <c r="A810" s="2" t="s">
        <v>2791</v>
      </c>
      <c r="B810" s="2" t="s">
        <v>146</v>
      </c>
      <c r="C810" s="2" t="s">
        <v>2760</v>
      </c>
      <c r="D810" s="2" t="s">
        <v>48</v>
      </c>
      <c r="E810" s="2" t="s">
        <v>1185</v>
      </c>
      <c r="F810" s="2" t="s">
        <v>1186</v>
      </c>
      <c r="G810" s="2" t="s">
        <v>2792</v>
      </c>
    </row>
    <row r="811" customFormat="false" ht="15" hidden="false" customHeight="false" outlineLevel="0" collapsed="false">
      <c r="A811" s="2" t="s">
        <v>2793</v>
      </c>
      <c r="B811" s="2" t="s">
        <v>146</v>
      </c>
      <c r="C811" s="2" t="s">
        <v>2760</v>
      </c>
      <c r="D811" s="2" t="s">
        <v>48</v>
      </c>
      <c r="E811" s="2" t="s">
        <v>1185</v>
      </c>
      <c r="F811" s="2" t="s">
        <v>1186</v>
      </c>
      <c r="G811" s="2" t="s">
        <v>2794</v>
      </c>
    </row>
    <row r="812" customFormat="false" ht="15" hidden="false" customHeight="false" outlineLevel="0" collapsed="false">
      <c r="A812" s="2" t="s">
        <v>2795</v>
      </c>
      <c r="B812" s="2" t="s">
        <v>146</v>
      </c>
      <c r="C812" s="2" t="s">
        <v>2760</v>
      </c>
      <c r="D812" s="2" t="s">
        <v>48</v>
      </c>
      <c r="E812" s="2" t="s">
        <v>1185</v>
      </c>
      <c r="F812" s="2" t="s">
        <v>1186</v>
      </c>
      <c r="G812" s="2" t="s">
        <v>2796</v>
      </c>
    </row>
    <row r="813" customFormat="false" ht="15" hidden="false" customHeight="false" outlineLevel="0" collapsed="false">
      <c r="A813" s="2" t="s">
        <v>2797</v>
      </c>
      <c r="B813" s="2" t="s">
        <v>146</v>
      </c>
      <c r="C813" s="2" t="s">
        <v>2760</v>
      </c>
      <c r="D813" s="2" t="s">
        <v>48</v>
      </c>
      <c r="E813" s="2" t="s">
        <v>1185</v>
      </c>
      <c r="F813" s="2" t="s">
        <v>1186</v>
      </c>
      <c r="G813" s="2" t="s">
        <v>2798</v>
      </c>
    </row>
    <row r="814" customFormat="false" ht="15" hidden="false" customHeight="false" outlineLevel="0" collapsed="false">
      <c r="A814" s="2" t="s">
        <v>2799</v>
      </c>
      <c r="B814" s="2" t="s">
        <v>146</v>
      </c>
      <c r="C814" s="2" t="s">
        <v>2760</v>
      </c>
      <c r="D814" s="2" t="s">
        <v>48</v>
      </c>
      <c r="E814" s="2" t="s">
        <v>1185</v>
      </c>
      <c r="F814" s="2" t="s">
        <v>1186</v>
      </c>
      <c r="G814" s="2" t="s">
        <v>2800</v>
      </c>
    </row>
    <row r="815" customFormat="false" ht="15" hidden="false" customHeight="false" outlineLevel="0" collapsed="false">
      <c r="A815" s="2" t="s">
        <v>2801</v>
      </c>
      <c r="B815" s="2" t="s">
        <v>146</v>
      </c>
      <c r="C815" s="2" t="s">
        <v>2760</v>
      </c>
      <c r="D815" s="2" t="s">
        <v>48</v>
      </c>
      <c r="E815" s="2" t="s">
        <v>1185</v>
      </c>
      <c r="F815" s="2" t="s">
        <v>1186</v>
      </c>
      <c r="G815" s="2" t="s">
        <v>2802</v>
      </c>
    </row>
    <row r="816" customFormat="false" ht="15" hidden="false" customHeight="false" outlineLevel="0" collapsed="false">
      <c r="A816" s="2" t="s">
        <v>2803</v>
      </c>
      <c r="B816" s="2" t="s">
        <v>146</v>
      </c>
      <c r="C816" s="2" t="s">
        <v>2760</v>
      </c>
      <c r="D816" s="2" t="s">
        <v>48</v>
      </c>
      <c r="E816" s="2" t="s">
        <v>1185</v>
      </c>
      <c r="F816" s="2" t="s">
        <v>1186</v>
      </c>
      <c r="G816" s="2" t="s">
        <v>2804</v>
      </c>
    </row>
    <row r="817" customFormat="false" ht="15" hidden="false" customHeight="false" outlineLevel="0" collapsed="false">
      <c r="A817" s="2" t="s">
        <v>2805</v>
      </c>
      <c r="B817" s="2" t="s">
        <v>146</v>
      </c>
      <c r="C817" s="2" t="s">
        <v>2760</v>
      </c>
      <c r="D817" s="2" t="s">
        <v>48</v>
      </c>
      <c r="E817" s="2" t="s">
        <v>1185</v>
      </c>
      <c r="F817" s="2" t="s">
        <v>1186</v>
      </c>
      <c r="G817" s="2" t="s">
        <v>2806</v>
      </c>
    </row>
    <row r="818" customFormat="false" ht="15" hidden="false" customHeight="false" outlineLevel="0" collapsed="false">
      <c r="A818" s="2" t="s">
        <v>2807</v>
      </c>
      <c r="B818" s="2" t="s">
        <v>146</v>
      </c>
      <c r="C818" s="2" t="s">
        <v>2760</v>
      </c>
      <c r="D818" s="2" t="s">
        <v>48</v>
      </c>
      <c r="E818" s="2" t="s">
        <v>1185</v>
      </c>
      <c r="F818" s="2" t="s">
        <v>1186</v>
      </c>
      <c r="G818" s="2" t="s">
        <v>2808</v>
      </c>
    </row>
    <row r="819" customFormat="false" ht="15" hidden="false" customHeight="false" outlineLevel="0" collapsed="false">
      <c r="A819" s="2" t="s">
        <v>2809</v>
      </c>
      <c r="B819" s="2" t="s">
        <v>146</v>
      </c>
      <c r="C819" s="2" t="s">
        <v>2760</v>
      </c>
      <c r="D819" s="2" t="s">
        <v>48</v>
      </c>
      <c r="E819" s="2" t="s">
        <v>1185</v>
      </c>
      <c r="F819" s="2" t="s">
        <v>1186</v>
      </c>
      <c r="G819" s="2" t="s">
        <v>2810</v>
      </c>
    </row>
    <row r="820" customFormat="false" ht="15" hidden="false" customHeight="false" outlineLevel="0" collapsed="false">
      <c r="A820" s="2" t="s">
        <v>2811</v>
      </c>
      <c r="B820" s="2" t="s">
        <v>146</v>
      </c>
      <c r="C820" s="2" t="s">
        <v>2760</v>
      </c>
      <c r="D820" s="2" t="s">
        <v>48</v>
      </c>
      <c r="E820" s="2" t="s">
        <v>1185</v>
      </c>
      <c r="F820" s="2" t="s">
        <v>1186</v>
      </c>
      <c r="G820" s="2" t="s">
        <v>2812</v>
      </c>
    </row>
    <row r="821" customFormat="false" ht="15" hidden="false" customHeight="false" outlineLevel="0" collapsed="false">
      <c r="A821" s="2" t="s">
        <v>2813</v>
      </c>
      <c r="B821" s="2" t="s">
        <v>146</v>
      </c>
      <c r="C821" s="2" t="s">
        <v>2760</v>
      </c>
      <c r="D821" s="2" t="s">
        <v>48</v>
      </c>
      <c r="E821" s="2" t="s">
        <v>1185</v>
      </c>
      <c r="F821" s="2" t="s">
        <v>1186</v>
      </c>
      <c r="G821" s="2" t="s">
        <v>2814</v>
      </c>
    </row>
    <row r="822" customFormat="false" ht="15" hidden="false" customHeight="false" outlineLevel="0" collapsed="false">
      <c r="A822" s="2" t="s">
        <v>2815</v>
      </c>
      <c r="B822" s="2" t="s">
        <v>146</v>
      </c>
      <c r="C822" s="2" t="s">
        <v>2760</v>
      </c>
      <c r="D822" s="2" t="s">
        <v>48</v>
      </c>
      <c r="E822" s="2" t="s">
        <v>1185</v>
      </c>
      <c r="F822" s="2" t="s">
        <v>1186</v>
      </c>
      <c r="G822" s="2" t="s">
        <v>2816</v>
      </c>
    </row>
    <row r="823" customFormat="false" ht="15" hidden="false" customHeight="false" outlineLevel="0" collapsed="false">
      <c r="A823" s="2" t="s">
        <v>2817</v>
      </c>
      <c r="B823" s="2" t="s">
        <v>146</v>
      </c>
      <c r="C823" s="2" t="s">
        <v>2760</v>
      </c>
      <c r="D823" s="2" t="s">
        <v>48</v>
      </c>
      <c r="E823" s="2" t="s">
        <v>1185</v>
      </c>
      <c r="F823" s="2" t="s">
        <v>1186</v>
      </c>
      <c r="G823" s="2" t="s">
        <v>2818</v>
      </c>
    </row>
    <row r="824" customFormat="false" ht="15" hidden="false" customHeight="false" outlineLevel="0" collapsed="false">
      <c r="A824" s="2" t="s">
        <v>2819</v>
      </c>
      <c r="B824" s="2" t="s">
        <v>146</v>
      </c>
      <c r="C824" s="2" t="s">
        <v>2760</v>
      </c>
      <c r="D824" s="2" t="s">
        <v>48</v>
      </c>
      <c r="E824" s="2" t="s">
        <v>1185</v>
      </c>
      <c r="F824" s="2" t="s">
        <v>1186</v>
      </c>
      <c r="G824" s="2" t="s">
        <v>2820</v>
      </c>
    </row>
    <row r="825" customFormat="false" ht="15" hidden="false" customHeight="false" outlineLevel="0" collapsed="false">
      <c r="A825" s="2" t="s">
        <v>2821</v>
      </c>
      <c r="B825" s="2" t="s">
        <v>146</v>
      </c>
      <c r="C825" s="2" t="s">
        <v>2760</v>
      </c>
      <c r="D825" s="2" t="s">
        <v>48</v>
      </c>
      <c r="E825" s="2" t="s">
        <v>1185</v>
      </c>
      <c r="F825" s="2" t="s">
        <v>1186</v>
      </c>
      <c r="G825" s="2" t="s">
        <v>2822</v>
      </c>
    </row>
    <row r="826" customFormat="false" ht="15" hidden="false" customHeight="false" outlineLevel="0" collapsed="false">
      <c r="A826" s="2" t="s">
        <v>2823</v>
      </c>
      <c r="B826" s="2" t="s">
        <v>146</v>
      </c>
      <c r="C826" s="2" t="s">
        <v>2760</v>
      </c>
      <c r="D826" s="2" t="s">
        <v>48</v>
      </c>
      <c r="E826" s="2" t="s">
        <v>1185</v>
      </c>
      <c r="F826" s="2" t="s">
        <v>1186</v>
      </c>
      <c r="G826" s="2" t="s">
        <v>2824</v>
      </c>
    </row>
    <row r="827" customFormat="false" ht="15" hidden="false" customHeight="false" outlineLevel="0" collapsed="false">
      <c r="A827" s="2" t="s">
        <v>2825</v>
      </c>
      <c r="B827" s="2" t="s">
        <v>146</v>
      </c>
      <c r="C827" s="2" t="s">
        <v>2760</v>
      </c>
      <c r="D827" s="2" t="s">
        <v>48</v>
      </c>
      <c r="E827" s="2" t="s">
        <v>1185</v>
      </c>
      <c r="F827" s="2" t="s">
        <v>1186</v>
      </c>
      <c r="G827" s="2" t="s">
        <v>2826</v>
      </c>
    </row>
    <row r="828" customFormat="false" ht="15" hidden="false" customHeight="false" outlineLevel="0" collapsed="false">
      <c r="A828" s="2" t="s">
        <v>2827</v>
      </c>
      <c r="B828" s="2" t="s">
        <v>146</v>
      </c>
      <c r="C828" s="2" t="s">
        <v>2760</v>
      </c>
      <c r="D828" s="2" t="s">
        <v>48</v>
      </c>
      <c r="E828" s="2" t="s">
        <v>1185</v>
      </c>
      <c r="F828" s="2" t="s">
        <v>1186</v>
      </c>
      <c r="G828" s="2" t="s">
        <v>2828</v>
      </c>
    </row>
    <row r="829" customFormat="false" ht="15" hidden="false" customHeight="false" outlineLevel="0" collapsed="false">
      <c r="A829" s="2" t="s">
        <v>2829</v>
      </c>
      <c r="B829" s="2" t="s">
        <v>146</v>
      </c>
      <c r="C829" s="2" t="s">
        <v>2760</v>
      </c>
      <c r="D829" s="2" t="s">
        <v>48</v>
      </c>
      <c r="E829" s="2" t="s">
        <v>1185</v>
      </c>
      <c r="F829" s="2" t="s">
        <v>1186</v>
      </c>
      <c r="G829" s="2" t="s">
        <v>2830</v>
      </c>
    </row>
    <row r="830" customFormat="false" ht="15" hidden="false" customHeight="false" outlineLevel="0" collapsed="false">
      <c r="A830" s="2" t="s">
        <v>2831</v>
      </c>
      <c r="B830" s="2" t="s">
        <v>146</v>
      </c>
      <c r="C830" s="2" t="s">
        <v>2760</v>
      </c>
      <c r="D830" s="2" t="s">
        <v>48</v>
      </c>
      <c r="E830" s="2" t="s">
        <v>1185</v>
      </c>
      <c r="F830" s="2" t="s">
        <v>1186</v>
      </c>
      <c r="G830" s="2" t="s">
        <v>2832</v>
      </c>
    </row>
    <row r="831" customFormat="false" ht="15" hidden="false" customHeight="false" outlineLevel="0" collapsed="false">
      <c r="A831" s="2" t="s">
        <v>2833</v>
      </c>
      <c r="B831" s="2" t="s">
        <v>146</v>
      </c>
      <c r="C831" s="2" t="s">
        <v>2760</v>
      </c>
      <c r="D831" s="2" t="s">
        <v>48</v>
      </c>
      <c r="E831" s="2" t="s">
        <v>1185</v>
      </c>
      <c r="F831" s="2" t="s">
        <v>1186</v>
      </c>
      <c r="G831" s="2" t="s">
        <v>2834</v>
      </c>
    </row>
    <row r="832" customFormat="false" ht="15" hidden="false" customHeight="false" outlineLevel="0" collapsed="false">
      <c r="A832" s="2" t="s">
        <v>2835</v>
      </c>
      <c r="B832" s="2" t="s">
        <v>146</v>
      </c>
      <c r="C832" s="2" t="s">
        <v>2760</v>
      </c>
      <c r="D832" s="2" t="s">
        <v>48</v>
      </c>
      <c r="E832" s="2" t="s">
        <v>1185</v>
      </c>
      <c r="F832" s="2" t="s">
        <v>1186</v>
      </c>
      <c r="G832" s="2" t="s">
        <v>2836</v>
      </c>
    </row>
    <row r="833" customFormat="false" ht="15" hidden="false" customHeight="false" outlineLevel="0" collapsed="false">
      <c r="A833" s="2" t="s">
        <v>2837</v>
      </c>
      <c r="B833" s="2" t="s">
        <v>146</v>
      </c>
      <c r="C833" s="2" t="s">
        <v>2760</v>
      </c>
      <c r="D833" s="2" t="s">
        <v>48</v>
      </c>
      <c r="E833" s="2" t="s">
        <v>1185</v>
      </c>
      <c r="F833" s="2" t="s">
        <v>1186</v>
      </c>
      <c r="G833" s="2" t="s">
        <v>2838</v>
      </c>
    </row>
    <row r="834" customFormat="false" ht="15" hidden="false" customHeight="false" outlineLevel="0" collapsed="false">
      <c r="A834" s="2" t="s">
        <v>2839</v>
      </c>
      <c r="B834" s="2" t="s">
        <v>146</v>
      </c>
      <c r="C834" s="2" t="s">
        <v>2760</v>
      </c>
      <c r="D834" s="2" t="s">
        <v>48</v>
      </c>
      <c r="E834" s="2" t="s">
        <v>1185</v>
      </c>
      <c r="F834" s="2" t="s">
        <v>1186</v>
      </c>
      <c r="G834" s="2" t="s">
        <v>2840</v>
      </c>
    </row>
    <row r="835" customFormat="false" ht="15" hidden="false" customHeight="false" outlineLevel="0" collapsed="false">
      <c r="A835" s="2" t="s">
        <v>2841</v>
      </c>
      <c r="B835" s="2" t="s">
        <v>146</v>
      </c>
      <c r="C835" s="2" t="s">
        <v>2760</v>
      </c>
      <c r="D835" s="2" t="s">
        <v>48</v>
      </c>
      <c r="E835" s="2" t="s">
        <v>1185</v>
      </c>
      <c r="F835" s="2" t="s">
        <v>1186</v>
      </c>
      <c r="G835" s="2" t="s">
        <v>2842</v>
      </c>
    </row>
    <row r="836" customFormat="false" ht="15" hidden="false" customHeight="false" outlineLevel="0" collapsed="false">
      <c r="A836" s="2" t="s">
        <v>2843</v>
      </c>
      <c r="B836" s="2" t="s">
        <v>146</v>
      </c>
      <c r="C836" s="2" t="s">
        <v>2760</v>
      </c>
      <c r="D836" s="2" t="s">
        <v>48</v>
      </c>
      <c r="E836" s="2" t="s">
        <v>1185</v>
      </c>
      <c r="F836" s="2" t="s">
        <v>1186</v>
      </c>
      <c r="G836" s="2" t="s">
        <v>2844</v>
      </c>
    </row>
    <row r="837" customFormat="false" ht="15" hidden="false" customHeight="false" outlineLevel="0" collapsed="false">
      <c r="A837" s="2" t="s">
        <v>2845</v>
      </c>
      <c r="B837" s="2" t="s">
        <v>146</v>
      </c>
      <c r="C837" s="2" t="s">
        <v>2760</v>
      </c>
      <c r="D837" s="2" t="s">
        <v>48</v>
      </c>
      <c r="E837" s="2" t="s">
        <v>1185</v>
      </c>
      <c r="F837" s="2" t="s">
        <v>1186</v>
      </c>
      <c r="G837" s="2" t="s">
        <v>2846</v>
      </c>
    </row>
    <row r="838" customFormat="false" ht="15" hidden="false" customHeight="false" outlineLevel="0" collapsed="false">
      <c r="A838" s="2" t="s">
        <v>2847</v>
      </c>
      <c r="B838" s="2" t="s">
        <v>146</v>
      </c>
      <c r="C838" s="2" t="s">
        <v>2760</v>
      </c>
      <c r="D838" s="2" t="s">
        <v>48</v>
      </c>
      <c r="E838" s="2" t="s">
        <v>1185</v>
      </c>
      <c r="F838" s="2" t="s">
        <v>1186</v>
      </c>
      <c r="G838" s="2" t="s">
        <v>2848</v>
      </c>
    </row>
    <row r="839" customFormat="false" ht="15" hidden="false" customHeight="false" outlineLevel="0" collapsed="false">
      <c r="A839" s="2" t="s">
        <v>2849</v>
      </c>
      <c r="B839" s="2" t="s">
        <v>146</v>
      </c>
      <c r="C839" s="2" t="s">
        <v>2760</v>
      </c>
      <c r="D839" s="2" t="s">
        <v>48</v>
      </c>
      <c r="E839" s="2" t="s">
        <v>1185</v>
      </c>
      <c r="F839" s="2" t="s">
        <v>1186</v>
      </c>
      <c r="G839" s="2" t="s">
        <v>2850</v>
      </c>
    </row>
    <row r="840" customFormat="false" ht="15" hidden="false" customHeight="false" outlineLevel="0" collapsed="false">
      <c r="A840" s="2" t="s">
        <v>2851</v>
      </c>
      <c r="B840" s="2" t="s">
        <v>146</v>
      </c>
      <c r="C840" s="2" t="s">
        <v>2760</v>
      </c>
      <c r="D840" s="2" t="s">
        <v>48</v>
      </c>
      <c r="E840" s="2" t="s">
        <v>1185</v>
      </c>
      <c r="F840" s="2" t="s">
        <v>1186</v>
      </c>
      <c r="G840" s="2" t="s">
        <v>2852</v>
      </c>
    </row>
    <row r="841" customFormat="false" ht="15" hidden="false" customHeight="false" outlineLevel="0" collapsed="false">
      <c r="A841" s="2" t="s">
        <v>2853</v>
      </c>
      <c r="B841" s="2" t="s">
        <v>146</v>
      </c>
      <c r="C841" s="2" t="s">
        <v>2760</v>
      </c>
      <c r="D841" s="2" t="s">
        <v>48</v>
      </c>
      <c r="E841" s="2" t="s">
        <v>1185</v>
      </c>
      <c r="F841" s="2" t="s">
        <v>1186</v>
      </c>
      <c r="G841" s="2" t="s">
        <v>2854</v>
      </c>
    </row>
    <row r="842" customFormat="false" ht="15" hidden="false" customHeight="false" outlineLevel="0" collapsed="false">
      <c r="A842" s="2" t="s">
        <v>2855</v>
      </c>
      <c r="B842" s="2" t="s">
        <v>146</v>
      </c>
      <c r="C842" s="2" t="s">
        <v>2760</v>
      </c>
      <c r="D842" s="2" t="s">
        <v>48</v>
      </c>
      <c r="E842" s="2" t="s">
        <v>1185</v>
      </c>
      <c r="F842" s="2" t="s">
        <v>1186</v>
      </c>
      <c r="G842" s="2" t="s">
        <v>2856</v>
      </c>
    </row>
    <row r="843" customFormat="false" ht="15" hidden="false" customHeight="false" outlineLevel="0" collapsed="false">
      <c r="A843" s="2" t="s">
        <v>2857</v>
      </c>
      <c r="B843" s="2" t="s">
        <v>146</v>
      </c>
      <c r="C843" s="2" t="s">
        <v>2760</v>
      </c>
      <c r="D843" s="2" t="s">
        <v>48</v>
      </c>
      <c r="E843" s="2" t="s">
        <v>1185</v>
      </c>
      <c r="F843" s="2" t="s">
        <v>1186</v>
      </c>
      <c r="G843" s="2" t="s">
        <v>2858</v>
      </c>
    </row>
    <row r="844" customFormat="false" ht="15" hidden="false" customHeight="false" outlineLevel="0" collapsed="false">
      <c r="A844" s="2" t="s">
        <v>2859</v>
      </c>
      <c r="B844" s="2" t="s">
        <v>146</v>
      </c>
      <c r="C844" s="2" t="s">
        <v>2760</v>
      </c>
      <c r="D844" s="2" t="s">
        <v>48</v>
      </c>
      <c r="E844" s="2" t="s">
        <v>1185</v>
      </c>
      <c r="F844" s="2" t="s">
        <v>1186</v>
      </c>
      <c r="G844" s="2" t="s">
        <v>2860</v>
      </c>
    </row>
    <row r="845" customFormat="false" ht="15" hidden="false" customHeight="false" outlineLevel="0" collapsed="false">
      <c r="A845" s="2" t="s">
        <v>2861</v>
      </c>
      <c r="B845" s="2" t="s">
        <v>146</v>
      </c>
      <c r="C845" s="2" t="s">
        <v>2760</v>
      </c>
      <c r="D845" s="2" t="s">
        <v>48</v>
      </c>
      <c r="E845" s="2" t="s">
        <v>1185</v>
      </c>
      <c r="F845" s="2" t="s">
        <v>1186</v>
      </c>
      <c r="G845" s="2" t="s">
        <v>2862</v>
      </c>
    </row>
    <row r="846" customFormat="false" ht="15" hidden="false" customHeight="false" outlineLevel="0" collapsed="false">
      <c r="A846" s="2" t="s">
        <v>2863</v>
      </c>
      <c r="B846" s="2" t="s">
        <v>146</v>
      </c>
      <c r="C846" s="2" t="s">
        <v>2760</v>
      </c>
      <c r="D846" s="2" t="s">
        <v>48</v>
      </c>
      <c r="E846" s="2" t="s">
        <v>1185</v>
      </c>
      <c r="F846" s="2" t="s">
        <v>1186</v>
      </c>
      <c r="G846" s="2" t="s">
        <v>2864</v>
      </c>
    </row>
    <row r="847" customFormat="false" ht="15" hidden="false" customHeight="false" outlineLevel="0" collapsed="false">
      <c r="A847" s="2" t="s">
        <v>2865</v>
      </c>
      <c r="B847" s="2" t="s">
        <v>146</v>
      </c>
      <c r="C847" s="2" t="s">
        <v>2760</v>
      </c>
      <c r="D847" s="2" t="s">
        <v>48</v>
      </c>
      <c r="E847" s="2" t="s">
        <v>1185</v>
      </c>
      <c r="F847" s="2" t="s">
        <v>1186</v>
      </c>
      <c r="G847" s="2" t="s">
        <v>2866</v>
      </c>
    </row>
    <row r="848" customFormat="false" ht="15" hidden="false" customHeight="false" outlineLevel="0" collapsed="false">
      <c r="A848" s="2" t="s">
        <v>2867</v>
      </c>
      <c r="B848" s="2" t="s">
        <v>146</v>
      </c>
      <c r="C848" s="2" t="s">
        <v>2760</v>
      </c>
      <c r="D848" s="2" t="s">
        <v>48</v>
      </c>
      <c r="E848" s="2" t="s">
        <v>1185</v>
      </c>
      <c r="F848" s="2" t="s">
        <v>1186</v>
      </c>
      <c r="G848" s="2" t="s">
        <v>2868</v>
      </c>
    </row>
    <row r="849" customFormat="false" ht="15" hidden="false" customHeight="false" outlineLevel="0" collapsed="false">
      <c r="A849" s="2" t="s">
        <v>2869</v>
      </c>
      <c r="B849" s="2" t="s">
        <v>146</v>
      </c>
      <c r="C849" s="2" t="s">
        <v>2760</v>
      </c>
      <c r="D849" s="2" t="s">
        <v>48</v>
      </c>
      <c r="E849" s="2" t="s">
        <v>1185</v>
      </c>
      <c r="F849" s="2" t="s">
        <v>1186</v>
      </c>
      <c r="G849" s="2" t="s">
        <v>2870</v>
      </c>
    </row>
    <row r="850" customFormat="false" ht="15" hidden="false" customHeight="false" outlineLevel="0" collapsed="false">
      <c r="A850" s="2" t="s">
        <v>2871</v>
      </c>
      <c r="B850" s="2" t="s">
        <v>146</v>
      </c>
      <c r="C850" s="2" t="s">
        <v>2760</v>
      </c>
      <c r="D850" s="2" t="s">
        <v>48</v>
      </c>
      <c r="E850" s="2" t="s">
        <v>1185</v>
      </c>
      <c r="F850" s="2" t="s">
        <v>1186</v>
      </c>
      <c r="G850" s="2" t="s">
        <v>2872</v>
      </c>
    </row>
    <row r="851" customFormat="false" ht="15" hidden="false" customHeight="false" outlineLevel="0" collapsed="false">
      <c r="A851" s="2" t="s">
        <v>2873</v>
      </c>
      <c r="B851" s="2" t="s">
        <v>146</v>
      </c>
      <c r="C851" s="2" t="s">
        <v>2760</v>
      </c>
      <c r="D851" s="2" t="s">
        <v>48</v>
      </c>
      <c r="E851" s="2" t="s">
        <v>1185</v>
      </c>
      <c r="F851" s="2" t="s">
        <v>1186</v>
      </c>
      <c r="G851" s="2" t="s">
        <v>2874</v>
      </c>
    </row>
    <row r="852" customFormat="false" ht="15" hidden="false" customHeight="false" outlineLevel="0" collapsed="false">
      <c r="A852" s="2" t="s">
        <v>2875</v>
      </c>
      <c r="B852" s="2" t="s">
        <v>146</v>
      </c>
      <c r="C852" s="2" t="s">
        <v>2760</v>
      </c>
      <c r="D852" s="2" t="s">
        <v>48</v>
      </c>
      <c r="E852" s="2" t="s">
        <v>1185</v>
      </c>
      <c r="F852" s="2" t="s">
        <v>1186</v>
      </c>
      <c r="G852" s="2" t="s">
        <v>2876</v>
      </c>
    </row>
    <row r="853" customFormat="false" ht="15" hidden="false" customHeight="false" outlineLevel="0" collapsed="false">
      <c r="A853" s="2" t="s">
        <v>2877</v>
      </c>
      <c r="B853" s="2" t="s">
        <v>146</v>
      </c>
      <c r="C853" s="2" t="s">
        <v>2760</v>
      </c>
      <c r="D853" s="2" t="s">
        <v>48</v>
      </c>
      <c r="E853" s="2" t="s">
        <v>1185</v>
      </c>
      <c r="F853" s="2" t="s">
        <v>1186</v>
      </c>
      <c r="G853" s="2" t="s">
        <v>2878</v>
      </c>
    </row>
    <row r="854" customFormat="false" ht="15" hidden="false" customHeight="false" outlineLevel="0" collapsed="false">
      <c r="A854" s="2" t="s">
        <v>2879</v>
      </c>
      <c r="B854" s="2" t="s">
        <v>146</v>
      </c>
      <c r="C854" s="2" t="s">
        <v>2760</v>
      </c>
      <c r="D854" s="2" t="s">
        <v>48</v>
      </c>
      <c r="E854" s="2" t="s">
        <v>1185</v>
      </c>
      <c r="F854" s="2" t="s">
        <v>1186</v>
      </c>
      <c r="G854" s="2" t="s">
        <v>2880</v>
      </c>
    </row>
    <row r="855" customFormat="false" ht="15" hidden="false" customHeight="false" outlineLevel="0" collapsed="false">
      <c r="A855" s="2" t="s">
        <v>2881</v>
      </c>
      <c r="B855" s="2" t="s">
        <v>146</v>
      </c>
      <c r="C855" s="2" t="s">
        <v>2760</v>
      </c>
      <c r="D855" s="2" t="s">
        <v>48</v>
      </c>
      <c r="E855" s="2" t="s">
        <v>1185</v>
      </c>
      <c r="F855" s="2" t="s">
        <v>1186</v>
      </c>
      <c r="G855" s="2" t="s">
        <v>2882</v>
      </c>
    </row>
    <row r="856" customFormat="false" ht="15" hidden="false" customHeight="false" outlineLevel="0" collapsed="false">
      <c r="A856" s="2" t="s">
        <v>2883</v>
      </c>
      <c r="B856" s="2" t="s">
        <v>146</v>
      </c>
      <c r="C856" s="2" t="s">
        <v>2760</v>
      </c>
      <c r="D856" s="2" t="s">
        <v>48</v>
      </c>
      <c r="E856" s="2" t="s">
        <v>1185</v>
      </c>
      <c r="F856" s="2" t="s">
        <v>1186</v>
      </c>
      <c r="G856" s="2" t="s">
        <v>2884</v>
      </c>
    </row>
    <row r="857" customFormat="false" ht="15" hidden="false" customHeight="false" outlineLevel="0" collapsed="false">
      <c r="A857" s="2" t="s">
        <v>2885</v>
      </c>
      <c r="B857" s="2" t="s">
        <v>146</v>
      </c>
      <c r="C857" s="2" t="s">
        <v>2760</v>
      </c>
      <c r="D857" s="2" t="s">
        <v>48</v>
      </c>
      <c r="E857" s="2" t="s">
        <v>1185</v>
      </c>
      <c r="F857" s="2" t="s">
        <v>1186</v>
      </c>
      <c r="G857" s="2" t="s">
        <v>2886</v>
      </c>
    </row>
    <row r="858" customFormat="false" ht="15" hidden="false" customHeight="false" outlineLevel="0" collapsed="false">
      <c r="A858" s="2" t="s">
        <v>2887</v>
      </c>
      <c r="B858" s="2" t="s">
        <v>146</v>
      </c>
      <c r="C858" s="2" t="s">
        <v>2760</v>
      </c>
      <c r="D858" s="2" t="s">
        <v>48</v>
      </c>
      <c r="E858" s="2" t="s">
        <v>1185</v>
      </c>
      <c r="F858" s="2" t="s">
        <v>1186</v>
      </c>
      <c r="G858" s="2" t="s">
        <v>2888</v>
      </c>
    </row>
    <row r="859" customFormat="false" ht="15" hidden="false" customHeight="false" outlineLevel="0" collapsed="false">
      <c r="A859" s="2" t="s">
        <v>2889</v>
      </c>
      <c r="B859" s="2" t="s">
        <v>146</v>
      </c>
      <c r="C859" s="2" t="s">
        <v>2760</v>
      </c>
      <c r="D859" s="2" t="s">
        <v>48</v>
      </c>
      <c r="E859" s="2" t="s">
        <v>1185</v>
      </c>
      <c r="F859" s="2" t="s">
        <v>1186</v>
      </c>
      <c r="G859" s="2" t="s">
        <v>2890</v>
      </c>
    </row>
    <row r="860" customFormat="false" ht="15" hidden="false" customHeight="false" outlineLevel="0" collapsed="false">
      <c r="A860" s="2" t="s">
        <v>2891</v>
      </c>
      <c r="B860" s="2" t="s">
        <v>146</v>
      </c>
      <c r="C860" s="2" t="s">
        <v>2760</v>
      </c>
      <c r="D860" s="2" t="s">
        <v>48</v>
      </c>
      <c r="E860" s="2" t="s">
        <v>1185</v>
      </c>
      <c r="F860" s="2" t="s">
        <v>1186</v>
      </c>
      <c r="G860" s="2" t="s">
        <v>2892</v>
      </c>
    </row>
    <row r="861" customFormat="false" ht="15" hidden="false" customHeight="false" outlineLevel="0" collapsed="false">
      <c r="A861" s="2" t="s">
        <v>2893</v>
      </c>
      <c r="B861" s="2" t="s">
        <v>146</v>
      </c>
      <c r="C861" s="2" t="s">
        <v>2760</v>
      </c>
      <c r="D861" s="2" t="s">
        <v>48</v>
      </c>
      <c r="E861" s="2" t="s">
        <v>1185</v>
      </c>
      <c r="F861" s="2" t="s">
        <v>1186</v>
      </c>
      <c r="G861" s="2" t="s">
        <v>2894</v>
      </c>
    </row>
    <row r="862" customFormat="false" ht="15" hidden="false" customHeight="false" outlineLevel="0" collapsed="false">
      <c r="A862" s="2" t="s">
        <v>2895</v>
      </c>
      <c r="B862" s="2" t="s">
        <v>146</v>
      </c>
      <c r="C862" s="2" t="s">
        <v>2760</v>
      </c>
      <c r="D862" s="2" t="s">
        <v>48</v>
      </c>
      <c r="E862" s="2" t="s">
        <v>1185</v>
      </c>
      <c r="F862" s="2" t="s">
        <v>1186</v>
      </c>
      <c r="G862" s="2" t="s">
        <v>2896</v>
      </c>
    </row>
    <row r="863" customFormat="false" ht="15" hidden="false" customHeight="false" outlineLevel="0" collapsed="false">
      <c r="A863" s="2" t="s">
        <v>2897</v>
      </c>
      <c r="B863" s="2" t="s">
        <v>146</v>
      </c>
      <c r="C863" s="2" t="s">
        <v>2760</v>
      </c>
      <c r="D863" s="2" t="s">
        <v>48</v>
      </c>
      <c r="E863" s="2" t="s">
        <v>1185</v>
      </c>
      <c r="F863" s="2" t="s">
        <v>1186</v>
      </c>
      <c r="G863" s="2" t="s">
        <v>2898</v>
      </c>
    </row>
    <row r="864" customFormat="false" ht="15" hidden="false" customHeight="false" outlineLevel="0" collapsed="false">
      <c r="A864" s="2" t="s">
        <v>2899</v>
      </c>
      <c r="B864" s="2" t="s">
        <v>146</v>
      </c>
      <c r="C864" s="2" t="s">
        <v>2760</v>
      </c>
      <c r="D864" s="2" t="s">
        <v>48</v>
      </c>
      <c r="E864" s="2" t="s">
        <v>1185</v>
      </c>
      <c r="F864" s="2" t="s">
        <v>1186</v>
      </c>
      <c r="G864" s="2" t="s">
        <v>2900</v>
      </c>
    </row>
    <row r="865" customFormat="false" ht="15" hidden="false" customHeight="false" outlineLevel="0" collapsed="false">
      <c r="A865" s="2" t="s">
        <v>2901</v>
      </c>
      <c r="B865" s="2" t="s">
        <v>146</v>
      </c>
      <c r="C865" s="2" t="s">
        <v>2760</v>
      </c>
      <c r="D865" s="2" t="s">
        <v>48</v>
      </c>
      <c r="E865" s="2" t="s">
        <v>1185</v>
      </c>
      <c r="F865" s="2" t="s">
        <v>1186</v>
      </c>
      <c r="G865" s="2" t="s">
        <v>2902</v>
      </c>
    </row>
    <row r="866" customFormat="false" ht="15" hidden="false" customHeight="false" outlineLevel="0" collapsed="false">
      <c r="A866" s="2" t="s">
        <v>2903</v>
      </c>
      <c r="B866" s="2" t="s">
        <v>146</v>
      </c>
      <c r="C866" s="2" t="s">
        <v>2760</v>
      </c>
      <c r="D866" s="2" t="s">
        <v>48</v>
      </c>
      <c r="E866" s="2" t="s">
        <v>1185</v>
      </c>
      <c r="F866" s="2" t="s">
        <v>1186</v>
      </c>
      <c r="G866" s="2" t="s">
        <v>2904</v>
      </c>
    </row>
    <row r="867" customFormat="false" ht="15" hidden="false" customHeight="false" outlineLevel="0" collapsed="false">
      <c r="A867" s="2" t="s">
        <v>2905</v>
      </c>
      <c r="B867" s="2" t="s">
        <v>146</v>
      </c>
      <c r="C867" s="2" t="s">
        <v>2760</v>
      </c>
      <c r="D867" s="2" t="s">
        <v>48</v>
      </c>
      <c r="E867" s="2" t="s">
        <v>1185</v>
      </c>
      <c r="F867" s="2" t="s">
        <v>1186</v>
      </c>
      <c r="G867" s="2" t="s">
        <v>2906</v>
      </c>
    </row>
    <row r="868" customFormat="false" ht="15" hidden="false" customHeight="false" outlineLevel="0" collapsed="false">
      <c r="A868" s="2" t="s">
        <v>2907</v>
      </c>
      <c r="B868" s="2" t="s">
        <v>146</v>
      </c>
      <c r="C868" s="2" t="s">
        <v>2760</v>
      </c>
      <c r="D868" s="2" t="s">
        <v>48</v>
      </c>
      <c r="E868" s="2" t="s">
        <v>1185</v>
      </c>
      <c r="F868" s="2" t="s">
        <v>1186</v>
      </c>
      <c r="G868" s="2" t="s">
        <v>2908</v>
      </c>
    </row>
    <row r="869" customFormat="false" ht="15" hidden="false" customHeight="false" outlineLevel="0" collapsed="false">
      <c r="A869" s="2" t="s">
        <v>2909</v>
      </c>
      <c r="B869" s="2" t="s">
        <v>146</v>
      </c>
      <c r="C869" s="2" t="s">
        <v>2760</v>
      </c>
      <c r="D869" s="2" t="s">
        <v>48</v>
      </c>
      <c r="E869" s="2" t="s">
        <v>1185</v>
      </c>
      <c r="F869" s="2" t="s">
        <v>1186</v>
      </c>
      <c r="G869" s="2" t="s">
        <v>2910</v>
      </c>
    </row>
    <row r="870" customFormat="false" ht="15" hidden="false" customHeight="false" outlineLevel="0" collapsed="false">
      <c r="A870" s="2" t="s">
        <v>2911</v>
      </c>
      <c r="B870" s="2" t="s">
        <v>146</v>
      </c>
      <c r="C870" s="2" t="s">
        <v>2760</v>
      </c>
      <c r="D870" s="2" t="s">
        <v>48</v>
      </c>
      <c r="E870" s="2" t="s">
        <v>1185</v>
      </c>
      <c r="F870" s="2" t="s">
        <v>1186</v>
      </c>
      <c r="G870" s="2" t="s">
        <v>2912</v>
      </c>
    </row>
    <row r="871" customFormat="false" ht="15" hidden="false" customHeight="false" outlineLevel="0" collapsed="false">
      <c r="A871" s="2" t="s">
        <v>2913</v>
      </c>
      <c r="B871" s="2" t="s">
        <v>146</v>
      </c>
      <c r="C871" s="2" t="s">
        <v>2760</v>
      </c>
      <c r="D871" s="2" t="s">
        <v>48</v>
      </c>
      <c r="E871" s="2" t="s">
        <v>1185</v>
      </c>
      <c r="F871" s="2" t="s">
        <v>1186</v>
      </c>
      <c r="G871" s="2" t="s">
        <v>2914</v>
      </c>
    </row>
    <row r="872" customFormat="false" ht="15" hidden="false" customHeight="false" outlineLevel="0" collapsed="false">
      <c r="A872" s="2" t="s">
        <v>2915</v>
      </c>
      <c r="B872" s="2" t="s">
        <v>146</v>
      </c>
      <c r="C872" s="2" t="s">
        <v>2760</v>
      </c>
      <c r="D872" s="2" t="s">
        <v>48</v>
      </c>
      <c r="E872" s="2" t="s">
        <v>1185</v>
      </c>
      <c r="F872" s="2" t="s">
        <v>1186</v>
      </c>
      <c r="G872" s="2" t="s">
        <v>2916</v>
      </c>
    </row>
    <row r="873" customFormat="false" ht="15" hidden="false" customHeight="false" outlineLevel="0" collapsed="false">
      <c r="A873" s="2" t="s">
        <v>2917</v>
      </c>
      <c r="B873" s="2" t="s">
        <v>146</v>
      </c>
      <c r="C873" s="2" t="s">
        <v>2760</v>
      </c>
      <c r="D873" s="2" t="s">
        <v>48</v>
      </c>
      <c r="E873" s="2" t="s">
        <v>1185</v>
      </c>
      <c r="F873" s="2" t="s">
        <v>1186</v>
      </c>
      <c r="G873" s="2" t="s">
        <v>2918</v>
      </c>
    </row>
    <row r="874" customFormat="false" ht="15" hidden="false" customHeight="false" outlineLevel="0" collapsed="false">
      <c r="A874" s="2" t="s">
        <v>2919</v>
      </c>
      <c r="B874" s="2" t="s">
        <v>146</v>
      </c>
      <c r="C874" s="2" t="s">
        <v>2760</v>
      </c>
      <c r="D874" s="2" t="s">
        <v>48</v>
      </c>
      <c r="E874" s="2" t="s">
        <v>1185</v>
      </c>
      <c r="F874" s="2" t="s">
        <v>1186</v>
      </c>
      <c r="G874" s="2" t="s">
        <v>2920</v>
      </c>
    </row>
    <row r="875" customFormat="false" ht="15" hidden="false" customHeight="false" outlineLevel="0" collapsed="false">
      <c r="A875" s="2" t="s">
        <v>2921</v>
      </c>
      <c r="B875" s="2" t="s">
        <v>146</v>
      </c>
      <c r="C875" s="2" t="s">
        <v>2760</v>
      </c>
      <c r="D875" s="2" t="s">
        <v>48</v>
      </c>
      <c r="E875" s="2" t="s">
        <v>1185</v>
      </c>
      <c r="F875" s="2" t="s">
        <v>1186</v>
      </c>
      <c r="G875" s="2" t="s">
        <v>2922</v>
      </c>
    </row>
    <row r="876" customFormat="false" ht="15" hidden="false" customHeight="false" outlineLevel="0" collapsed="false">
      <c r="A876" s="2" t="s">
        <v>2923</v>
      </c>
      <c r="B876" s="2" t="s">
        <v>146</v>
      </c>
      <c r="C876" s="2" t="s">
        <v>2760</v>
      </c>
      <c r="D876" s="2" t="s">
        <v>48</v>
      </c>
      <c r="E876" s="2" t="s">
        <v>1185</v>
      </c>
      <c r="F876" s="2" t="s">
        <v>1186</v>
      </c>
      <c r="G876" s="2" t="s">
        <v>2924</v>
      </c>
    </row>
    <row r="877" customFormat="false" ht="15" hidden="false" customHeight="false" outlineLevel="0" collapsed="false">
      <c r="A877" s="2" t="s">
        <v>2925</v>
      </c>
      <c r="B877" s="2" t="s">
        <v>146</v>
      </c>
      <c r="C877" s="2" t="s">
        <v>2760</v>
      </c>
      <c r="D877" s="2" t="s">
        <v>48</v>
      </c>
      <c r="E877" s="2" t="s">
        <v>1185</v>
      </c>
      <c r="F877" s="2" t="s">
        <v>1186</v>
      </c>
      <c r="G877" s="2" t="s">
        <v>2926</v>
      </c>
    </row>
    <row r="878" customFormat="false" ht="15" hidden="false" customHeight="false" outlineLevel="0" collapsed="false">
      <c r="A878" s="2" t="s">
        <v>2927</v>
      </c>
      <c r="B878" s="2" t="s">
        <v>146</v>
      </c>
      <c r="C878" s="2" t="s">
        <v>2760</v>
      </c>
      <c r="D878" s="2" t="s">
        <v>48</v>
      </c>
      <c r="E878" s="2" t="s">
        <v>1185</v>
      </c>
      <c r="F878" s="2" t="s">
        <v>1186</v>
      </c>
      <c r="G878" s="2" t="s">
        <v>2928</v>
      </c>
    </row>
    <row r="879" customFormat="false" ht="15" hidden="false" customHeight="false" outlineLevel="0" collapsed="false">
      <c r="A879" s="2" t="s">
        <v>2929</v>
      </c>
      <c r="B879" s="2" t="s">
        <v>146</v>
      </c>
      <c r="C879" s="2" t="s">
        <v>2760</v>
      </c>
      <c r="D879" s="2" t="s">
        <v>48</v>
      </c>
      <c r="E879" s="2" t="s">
        <v>1185</v>
      </c>
      <c r="F879" s="2" t="s">
        <v>1186</v>
      </c>
      <c r="G879" s="2" t="s">
        <v>2930</v>
      </c>
    </row>
    <row r="880" customFormat="false" ht="15" hidden="false" customHeight="false" outlineLevel="0" collapsed="false">
      <c r="A880" s="2" t="s">
        <v>2931</v>
      </c>
      <c r="B880" s="2" t="s">
        <v>146</v>
      </c>
      <c r="C880" s="2" t="s">
        <v>2760</v>
      </c>
      <c r="D880" s="2" t="s">
        <v>48</v>
      </c>
      <c r="E880" s="2" t="s">
        <v>1185</v>
      </c>
      <c r="F880" s="2" t="s">
        <v>1186</v>
      </c>
      <c r="G880" s="2" t="s">
        <v>2932</v>
      </c>
    </row>
    <row r="881" customFormat="false" ht="15" hidden="false" customHeight="false" outlineLevel="0" collapsed="false">
      <c r="A881" s="2" t="s">
        <v>2933</v>
      </c>
      <c r="B881" s="2" t="s">
        <v>146</v>
      </c>
      <c r="C881" s="2" t="s">
        <v>2760</v>
      </c>
      <c r="D881" s="2" t="s">
        <v>48</v>
      </c>
      <c r="E881" s="2" t="s">
        <v>1185</v>
      </c>
      <c r="F881" s="2" t="s">
        <v>1186</v>
      </c>
      <c r="G881" s="2" t="s">
        <v>2934</v>
      </c>
    </row>
    <row r="882" customFormat="false" ht="15" hidden="false" customHeight="false" outlineLevel="0" collapsed="false">
      <c r="A882" s="2" t="s">
        <v>2935</v>
      </c>
      <c r="B882" s="2" t="s">
        <v>146</v>
      </c>
      <c r="C882" s="2" t="s">
        <v>2760</v>
      </c>
      <c r="D882" s="2" t="s">
        <v>48</v>
      </c>
      <c r="E882" s="2" t="s">
        <v>1185</v>
      </c>
      <c r="F882" s="2" t="s">
        <v>1186</v>
      </c>
      <c r="G882" s="2" t="s">
        <v>2936</v>
      </c>
    </row>
    <row r="883" customFormat="false" ht="15" hidden="false" customHeight="false" outlineLevel="0" collapsed="false">
      <c r="A883" s="2" t="s">
        <v>2937</v>
      </c>
      <c r="B883" s="2" t="s">
        <v>146</v>
      </c>
      <c r="C883" s="2" t="s">
        <v>2938</v>
      </c>
      <c r="D883" s="2" t="s">
        <v>49</v>
      </c>
      <c r="E883" s="2" t="s">
        <v>1563</v>
      </c>
      <c r="F883" s="2" t="s">
        <v>1186</v>
      </c>
      <c r="G883" s="2" t="s">
        <v>2939</v>
      </c>
    </row>
    <row r="884" customFormat="false" ht="15" hidden="false" customHeight="false" outlineLevel="0" collapsed="false">
      <c r="A884" s="2" t="s">
        <v>2940</v>
      </c>
      <c r="B884" s="2" t="s">
        <v>146</v>
      </c>
      <c r="C884" s="2" t="s">
        <v>2760</v>
      </c>
      <c r="D884" s="2" t="s">
        <v>48</v>
      </c>
      <c r="E884" s="2" t="s">
        <v>1185</v>
      </c>
      <c r="F884" s="2" t="s">
        <v>1186</v>
      </c>
      <c r="G884" s="2" t="s">
        <v>2941</v>
      </c>
    </row>
    <row r="885" customFormat="false" ht="15" hidden="false" customHeight="false" outlineLevel="0" collapsed="false">
      <c r="A885" s="2" t="s">
        <v>2942</v>
      </c>
      <c r="B885" s="2" t="s">
        <v>146</v>
      </c>
      <c r="C885" s="2" t="s">
        <v>2760</v>
      </c>
      <c r="D885" s="2" t="s">
        <v>48</v>
      </c>
      <c r="E885" s="2" t="s">
        <v>1185</v>
      </c>
      <c r="F885" s="2" t="s">
        <v>1186</v>
      </c>
      <c r="G885" s="2" t="s">
        <v>2943</v>
      </c>
    </row>
    <row r="886" customFormat="false" ht="15" hidden="false" customHeight="false" outlineLevel="0" collapsed="false">
      <c r="A886" s="2" t="s">
        <v>2944</v>
      </c>
      <c r="B886" s="2" t="s">
        <v>146</v>
      </c>
      <c r="C886" s="2" t="s">
        <v>2760</v>
      </c>
      <c r="D886" s="2" t="s">
        <v>48</v>
      </c>
      <c r="E886" s="2" t="s">
        <v>1185</v>
      </c>
      <c r="F886" s="2" t="s">
        <v>1186</v>
      </c>
      <c r="G886" s="2" t="s">
        <v>2945</v>
      </c>
    </row>
    <row r="887" customFormat="false" ht="15" hidden="false" customHeight="false" outlineLevel="0" collapsed="false">
      <c r="A887" s="2" t="s">
        <v>2946</v>
      </c>
      <c r="B887" s="2" t="s">
        <v>146</v>
      </c>
      <c r="C887" s="2" t="s">
        <v>2760</v>
      </c>
      <c r="D887" s="2" t="s">
        <v>48</v>
      </c>
      <c r="E887" s="2" t="s">
        <v>1185</v>
      </c>
      <c r="F887" s="2" t="s">
        <v>1186</v>
      </c>
      <c r="G887" s="2" t="s">
        <v>2947</v>
      </c>
    </row>
    <row r="888" customFormat="false" ht="15" hidden="false" customHeight="false" outlineLevel="0" collapsed="false">
      <c r="A888" s="2" t="s">
        <v>2948</v>
      </c>
      <c r="B888" s="2" t="s">
        <v>146</v>
      </c>
      <c r="C888" s="2" t="s">
        <v>2760</v>
      </c>
      <c r="D888" s="2" t="s">
        <v>48</v>
      </c>
      <c r="E888" s="2" t="s">
        <v>1185</v>
      </c>
      <c r="F888" s="2" t="s">
        <v>1186</v>
      </c>
      <c r="G888" s="2" t="s">
        <v>2949</v>
      </c>
    </row>
    <row r="889" customFormat="false" ht="15" hidden="false" customHeight="false" outlineLevel="0" collapsed="false">
      <c r="A889" s="2" t="s">
        <v>2950</v>
      </c>
      <c r="B889" s="2" t="s">
        <v>146</v>
      </c>
      <c r="C889" s="2" t="s">
        <v>2760</v>
      </c>
      <c r="D889" s="2" t="s">
        <v>48</v>
      </c>
      <c r="E889" s="2" t="s">
        <v>1185</v>
      </c>
      <c r="F889" s="2" t="s">
        <v>1186</v>
      </c>
      <c r="G889" s="2" t="s">
        <v>2951</v>
      </c>
    </row>
    <row r="890" customFormat="false" ht="15" hidden="false" customHeight="false" outlineLevel="0" collapsed="false">
      <c r="A890" s="2" t="s">
        <v>2952</v>
      </c>
      <c r="B890" s="2" t="s">
        <v>146</v>
      </c>
      <c r="C890" s="2" t="s">
        <v>2760</v>
      </c>
      <c r="D890" s="2" t="s">
        <v>48</v>
      </c>
      <c r="E890" s="2" t="s">
        <v>1185</v>
      </c>
      <c r="F890" s="2" t="s">
        <v>1186</v>
      </c>
      <c r="G890" s="2" t="s">
        <v>2953</v>
      </c>
    </row>
    <row r="891" customFormat="false" ht="15" hidden="false" customHeight="false" outlineLevel="0" collapsed="false">
      <c r="A891" s="2" t="s">
        <v>2954</v>
      </c>
      <c r="B891" s="2" t="s">
        <v>146</v>
      </c>
      <c r="C891" s="2" t="s">
        <v>2760</v>
      </c>
      <c r="D891" s="2" t="s">
        <v>48</v>
      </c>
      <c r="E891" s="2" t="s">
        <v>1185</v>
      </c>
      <c r="F891" s="2" t="s">
        <v>1186</v>
      </c>
      <c r="G891" s="2" t="s">
        <v>2955</v>
      </c>
    </row>
    <row r="892" customFormat="false" ht="15" hidden="false" customHeight="false" outlineLevel="0" collapsed="false">
      <c r="A892" s="2" t="s">
        <v>2956</v>
      </c>
      <c r="B892" s="2" t="s">
        <v>146</v>
      </c>
      <c r="C892" s="2" t="s">
        <v>2760</v>
      </c>
      <c r="D892" s="2" t="s">
        <v>48</v>
      </c>
      <c r="E892" s="2" t="s">
        <v>1185</v>
      </c>
      <c r="F892" s="2" t="s">
        <v>1186</v>
      </c>
      <c r="G892" s="2" t="s">
        <v>2957</v>
      </c>
    </row>
    <row r="893" customFormat="false" ht="15" hidden="false" customHeight="false" outlineLevel="0" collapsed="false">
      <c r="A893" s="2" t="s">
        <v>2958</v>
      </c>
      <c r="B893" s="2" t="s">
        <v>146</v>
      </c>
      <c r="C893" s="2" t="s">
        <v>2760</v>
      </c>
      <c r="D893" s="2" t="s">
        <v>48</v>
      </c>
      <c r="E893" s="2" t="s">
        <v>1185</v>
      </c>
      <c r="F893" s="2" t="s">
        <v>1186</v>
      </c>
      <c r="G893" s="2" t="s">
        <v>2959</v>
      </c>
    </row>
    <row r="894" customFormat="false" ht="15" hidden="false" customHeight="false" outlineLevel="0" collapsed="false">
      <c r="A894" s="2" t="s">
        <v>2960</v>
      </c>
      <c r="B894" s="2" t="s">
        <v>146</v>
      </c>
      <c r="C894" s="2" t="s">
        <v>2760</v>
      </c>
      <c r="D894" s="2" t="s">
        <v>48</v>
      </c>
      <c r="E894" s="2" t="s">
        <v>1185</v>
      </c>
      <c r="F894" s="2" t="s">
        <v>1186</v>
      </c>
      <c r="G894" s="2" t="s">
        <v>2961</v>
      </c>
    </row>
    <row r="895" customFormat="false" ht="15" hidden="false" customHeight="false" outlineLevel="0" collapsed="false">
      <c r="A895" s="2" t="s">
        <v>2962</v>
      </c>
      <c r="B895" s="2" t="s">
        <v>146</v>
      </c>
      <c r="C895" s="2" t="s">
        <v>2760</v>
      </c>
      <c r="D895" s="2" t="s">
        <v>48</v>
      </c>
      <c r="E895" s="2" t="s">
        <v>1185</v>
      </c>
      <c r="F895" s="2" t="s">
        <v>1186</v>
      </c>
      <c r="G895" s="2" t="s">
        <v>2963</v>
      </c>
    </row>
    <row r="896" customFormat="false" ht="15" hidden="false" customHeight="false" outlineLevel="0" collapsed="false">
      <c r="A896" s="2" t="s">
        <v>2964</v>
      </c>
      <c r="B896" s="2" t="s">
        <v>146</v>
      </c>
      <c r="C896" s="2" t="s">
        <v>2760</v>
      </c>
      <c r="D896" s="2" t="s">
        <v>48</v>
      </c>
      <c r="E896" s="2" t="s">
        <v>1185</v>
      </c>
      <c r="F896" s="2" t="s">
        <v>1186</v>
      </c>
      <c r="G896" s="2" t="s">
        <v>2965</v>
      </c>
    </row>
    <row r="897" customFormat="false" ht="15" hidden="false" customHeight="false" outlineLevel="0" collapsed="false">
      <c r="A897" s="2" t="s">
        <v>2966</v>
      </c>
      <c r="B897" s="2" t="s">
        <v>146</v>
      </c>
      <c r="C897" s="2" t="s">
        <v>2760</v>
      </c>
      <c r="D897" s="2" t="s">
        <v>48</v>
      </c>
      <c r="E897" s="2" t="s">
        <v>1185</v>
      </c>
      <c r="F897" s="2" t="s">
        <v>1186</v>
      </c>
      <c r="G897" s="2" t="s">
        <v>2967</v>
      </c>
    </row>
    <row r="898" customFormat="false" ht="15" hidden="false" customHeight="false" outlineLevel="0" collapsed="false">
      <c r="A898" s="2" t="s">
        <v>2968</v>
      </c>
      <c r="B898" s="2" t="s">
        <v>146</v>
      </c>
      <c r="C898" s="2" t="s">
        <v>2760</v>
      </c>
      <c r="D898" s="2" t="s">
        <v>48</v>
      </c>
      <c r="E898" s="2" t="s">
        <v>1185</v>
      </c>
      <c r="F898" s="2" t="s">
        <v>1186</v>
      </c>
      <c r="G898" s="2" t="s">
        <v>2969</v>
      </c>
    </row>
    <row r="899" customFormat="false" ht="15" hidden="false" customHeight="false" outlineLevel="0" collapsed="false">
      <c r="A899" s="2" t="s">
        <v>2970</v>
      </c>
      <c r="B899" s="2" t="s">
        <v>146</v>
      </c>
      <c r="C899" s="2" t="s">
        <v>2760</v>
      </c>
      <c r="D899" s="2" t="s">
        <v>48</v>
      </c>
      <c r="E899" s="2" t="s">
        <v>1185</v>
      </c>
      <c r="F899" s="2" t="s">
        <v>1186</v>
      </c>
      <c r="G899" s="2" t="s">
        <v>2971</v>
      </c>
    </row>
    <row r="900" customFormat="false" ht="15" hidden="false" customHeight="false" outlineLevel="0" collapsed="false">
      <c r="A900" s="2" t="s">
        <v>2972</v>
      </c>
      <c r="B900" s="2" t="s">
        <v>146</v>
      </c>
      <c r="C900" s="2" t="s">
        <v>2760</v>
      </c>
      <c r="D900" s="2" t="s">
        <v>48</v>
      </c>
      <c r="E900" s="2" t="s">
        <v>1185</v>
      </c>
      <c r="F900" s="2" t="s">
        <v>1186</v>
      </c>
      <c r="G900" s="2" t="s">
        <v>2973</v>
      </c>
    </row>
    <row r="901" customFormat="false" ht="15" hidden="false" customHeight="false" outlineLevel="0" collapsed="false">
      <c r="A901" s="2" t="s">
        <v>2974</v>
      </c>
      <c r="B901" s="2" t="s">
        <v>146</v>
      </c>
      <c r="C901" s="2" t="s">
        <v>2760</v>
      </c>
      <c r="D901" s="2" t="s">
        <v>48</v>
      </c>
      <c r="E901" s="2" t="s">
        <v>1185</v>
      </c>
      <c r="F901" s="2" t="s">
        <v>1186</v>
      </c>
      <c r="G901" s="2" t="s">
        <v>2975</v>
      </c>
    </row>
    <row r="902" customFormat="false" ht="15" hidden="false" customHeight="false" outlineLevel="0" collapsed="false">
      <c r="A902" s="2" t="s">
        <v>2976</v>
      </c>
      <c r="B902" s="2" t="s">
        <v>146</v>
      </c>
      <c r="C902" s="2" t="s">
        <v>2760</v>
      </c>
      <c r="D902" s="2" t="s">
        <v>48</v>
      </c>
      <c r="E902" s="2" t="s">
        <v>1185</v>
      </c>
      <c r="F902" s="2" t="s">
        <v>1186</v>
      </c>
      <c r="G902" s="2" t="s">
        <v>2977</v>
      </c>
    </row>
    <row r="903" customFormat="false" ht="15" hidden="false" customHeight="false" outlineLevel="0" collapsed="false">
      <c r="A903" s="2" t="s">
        <v>2978</v>
      </c>
      <c r="B903" s="2" t="s">
        <v>146</v>
      </c>
      <c r="C903" s="2" t="s">
        <v>2760</v>
      </c>
      <c r="D903" s="2" t="s">
        <v>48</v>
      </c>
      <c r="E903" s="2" t="s">
        <v>1185</v>
      </c>
      <c r="F903" s="2" t="s">
        <v>1186</v>
      </c>
      <c r="G903" s="2" t="s">
        <v>2979</v>
      </c>
    </row>
    <row r="904" customFormat="false" ht="15" hidden="false" customHeight="false" outlineLevel="0" collapsed="false">
      <c r="A904" s="2" t="s">
        <v>2980</v>
      </c>
      <c r="B904" s="2" t="s">
        <v>146</v>
      </c>
      <c r="C904" s="2" t="s">
        <v>2760</v>
      </c>
      <c r="D904" s="2" t="s">
        <v>48</v>
      </c>
      <c r="E904" s="2" t="s">
        <v>1185</v>
      </c>
      <c r="F904" s="2" t="s">
        <v>1186</v>
      </c>
      <c r="G904" s="2" t="s">
        <v>2981</v>
      </c>
    </row>
    <row r="905" customFormat="false" ht="15" hidden="false" customHeight="false" outlineLevel="0" collapsed="false">
      <c r="A905" s="2" t="s">
        <v>2982</v>
      </c>
      <c r="B905" s="2" t="s">
        <v>146</v>
      </c>
      <c r="C905" s="2" t="s">
        <v>2760</v>
      </c>
      <c r="D905" s="2" t="s">
        <v>48</v>
      </c>
      <c r="E905" s="2" t="s">
        <v>1185</v>
      </c>
      <c r="F905" s="2" t="s">
        <v>1186</v>
      </c>
      <c r="G905" s="2" t="s">
        <v>2983</v>
      </c>
    </row>
    <row r="906" customFormat="false" ht="15" hidden="false" customHeight="false" outlineLevel="0" collapsed="false">
      <c r="A906" s="2" t="s">
        <v>2984</v>
      </c>
      <c r="B906" s="2" t="s">
        <v>146</v>
      </c>
      <c r="C906" s="2" t="s">
        <v>2760</v>
      </c>
      <c r="D906" s="2" t="s">
        <v>48</v>
      </c>
      <c r="E906" s="2" t="s">
        <v>1185</v>
      </c>
      <c r="F906" s="2" t="s">
        <v>1186</v>
      </c>
      <c r="G906" s="2" t="s">
        <v>2985</v>
      </c>
    </row>
    <row r="907" customFormat="false" ht="15" hidden="false" customHeight="false" outlineLevel="0" collapsed="false">
      <c r="A907" s="2" t="s">
        <v>2986</v>
      </c>
      <c r="B907" s="2" t="s">
        <v>146</v>
      </c>
      <c r="C907" s="2" t="s">
        <v>2760</v>
      </c>
      <c r="D907" s="2" t="s">
        <v>48</v>
      </c>
      <c r="E907" s="2" t="s">
        <v>1185</v>
      </c>
      <c r="F907" s="2" t="s">
        <v>1186</v>
      </c>
      <c r="G907" s="2" t="s">
        <v>2987</v>
      </c>
    </row>
    <row r="908" customFormat="false" ht="15" hidden="false" customHeight="false" outlineLevel="0" collapsed="false">
      <c r="A908" s="2" t="s">
        <v>2988</v>
      </c>
      <c r="B908" s="2" t="s">
        <v>146</v>
      </c>
      <c r="C908" s="2" t="s">
        <v>2760</v>
      </c>
      <c r="D908" s="2" t="s">
        <v>48</v>
      </c>
      <c r="E908" s="2" t="s">
        <v>1185</v>
      </c>
      <c r="F908" s="2" t="s">
        <v>1186</v>
      </c>
      <c r="G908" s="2" t="s">
        <v>2989</v>
      </c>
    </row>
    <row r="909" customFormat="false" ht="15" hidden="false" customHeight="false" outlineLevel="0" collapsed="false">
      <c r="A909" s="2" t="s">
        <v>2990</v>
      </c>
      <c r="B909" s="2" t="s">
        <v>146</v>
      </c>
      <c r="C909" s="2" t="s">
        <v>2760</v>
      </c>
      <c r="D909" s="2" t="s">
        <v>48</v>
      </c>
      <c r="E909" s="2" t="s">
        <v>1185</v>
      </c>
      <c r="F909" s="2" t="s">
        <v>1186</v>
      </c>
      <c r="G909" s="2" t="s">
        <v>2991</v>
      </c>
    </row>
    <row r="910" customFormat="false" ht="15" hidden="false" customHeight="false" outlineLevel="0" collapsed="false">
      <c r="A910" s="2" t="s">
        <v>2992</v>
      </c>
      <c r="B910" s="2" t="s">
        <v>146</v>
      </c>
      <c r="C910" s="2" t="s">
        <v>2760</v>
      </c>
      <c r="D910" s="2" t="s">
        <v>48</v>
      </c>
      <c r="E910" s="2" t="s">
        <v>1185</v>
      </c>
      <c r="F910" s="2" t="s">
        <v>1186</v>
      </c>
      <c r="G910" s="2" t="s">
        <v>2993</v>
      </c>
    </row>
    <row r="911" customFormat="false" ht="15" hidden="false" customHeight="false" outlineLevel="0" collapsed="false">
      <c r="A911" s="2" t="s">
        <v>2994</v>
      </c>
      <c r="B911" s="2" t="s">
        <v>146</v>
      </c>
      <c r="C911" s="2" t="s">
        <v>2760</v>
      </c>
      <c r="D911" s="2" t="s">
        <v>48</v>
      </c>
      <c r="E911" s="2" t="s">
        <v>1185</v>
      </c>
      <c r="F911" s="2" t="s">
        <v>1186</v>
      </c>
      <c r="G911" s="2" t="s">
        <v>2995</v>
      </c>
    </row>
    <row r="912" customFormat="false" ht="15" hidden="false" customHeight="false" outlineLevel="0" collapsed="false">
      <c r="A912" s="2" t="s">
        <v>2996</v>
      </c>
      <c r="B912" s="2" t="s">
        <v>146</v>
      </c>
      <c r="C912" s="2" t="s">
        <v>2760</v>
      </c>
      <c r="D912" s="2" t="s">
        <v>48</v>
      </c>
      <c r="E912" s="2" t="s">
        <v>1185</v>
      </c>
      <c r="F912" s="2" t="s">
        <v>1186</v>
      </c>
      <c r="G912" s="2" t="s">
        <v>2997</v>
      </c>
    </row>
    <row r="913" customFormat="false" ht="15" hidden="false" customHeight="false" outlineLevel="0" collapsed="false">
      <c r="A913" s="2" t="s">
        <v>2998</v>
      </c>
      <c r="B913" s="2" t="s">
        <v>146</v>
      </c>
      <c r="C913" s="2" t="s">
        <v>2760</v>
      </c>
      <c r="D913" s="2" t="s">
        <v>48</v>
      </c>
      <c r="E913" s="2" t="s">
        <v>1185</v>
      </c>
      <c r="F913" s="2" t="s">
        <v>1186</v>
      </c>
      <c r="G913" s="2" t="s">
        <v>2999</v>
      </c>
    </row>
    <row r="914" customFormat="false" ht="15" hidden="false" customHeight="false" outlineLevel="0" collapsed="false">
      <c r="A914" s="2" t="s">
        <v>3000</v>
      </c>
      <c r="B914" s="2" t="s">
        <v>146</v>
      </c>
      <c r="C914" s="2" t="s">
        <v>2760</v>
      </c>
      <c r="D914" s="2" t="s">
        <v>48</v>
      </c>
      <c r="E914" s="2" t="s">
        <v>1185</v>
      </c>
      <c r="F914" s="2" t="s">
        <v>1186</v>
      </c>
      <c r="G914" s="2" t="s">
        <v>3001</v>
      </c>
    </row>
    <row r="915" customFormat="false" ht="15" hidden="false" customHeight="false" outlineLevel="0" collapsed="false">
      <c r="A915" s="2" t="s">
        <v>3002</v>
      </c>
      <c r="B915" s="2" t="s">
        <v>146</v>
      </c>
      <c r="C915" s="2" t="s">
        <v>2760</v>
      </c>
      <c r="D915" s="2" t="s">
        <v>48</v>
      </c>
      <c r="E915" s="2" t="s">
        <v>1185</v>
      </c>
      <c r="F915" s="2" t="s">
        <v>1186</v>
      </c>
      <c r="G915" s="2" t="s">
        <v>3003</v>
      </c>
    </row>
    <row r="916" customFormat="false" ht="15" hidden="false" customHeight="false" outlineLevel="0" collapsed="false">
      <c r="A916" s="2" t="s">
        <v>3004</v>
      </c>
      <c r="B916" s="2" t="s">
        <v>146</v>
      </c>
      <c r="C916" s="2" t="s">
        <v>2938</v>
      </c>
      <c r="D916" s="2" t="s">
        <v>49</v>
      </c>
      <c r="E916" s="2" t="s">
        <v>1563</v>
      </c>
      <c r="F916" s="2" t="s">
        <v>1186</v>
      </c>
      <c r="G916" s="2" t="s">
        <v>3005</v>
      </c>
    </row>
    <row r="917" customFormat="false" ht="15" hidden="false" customHeight="false" outlineLevel="0" collapsed="false">
      <c r="A917" s="2" t="s">
        <v>3006</v>
      </c>
      <c r="B917" s="2" t="s">
        <v>146</v>
      </c>
      <c r="C917" s="2" t="s">
        <v>2760</v>
      </c>
      <c r="D917" s="2" t="s">
        <v>48</v>
      </c>
      <c r="E917" s="2" t="s">
        <v>1185</v>
      </c>
      <c r="F917" s="2" t="s">
        <v>1186</v>
      </c>
      <c r="G917" s="2" t="s">
        <v>3007</v>
      </c>
    </row>
    <row r="918" customFormat="false" ht="15" hidden="false" customHeight="false" outlineLevel="0" collapsed="false">
      <c r="A918" s="2" t="s">
        <v>3008</v>
      </c>
      <c r="B918" s="2" t="s">
        <v>146</v>
      </c>
      <c r="C918" s="2" t="s">
        <v>2760</v>
      </c>
      <c r="D918" s="2" t="s">
        <v>48</v>
      </c>
      <c r="E918" s="2" t="s">
        <v>1185</v>
      </c>
      <c r="F918" s="2" t="s">
        <v>1186</v>
      </c>
      <c r="G918" s="2" t="s">
        <v>3009</v>
      </c>
    </row>
    <row r="919" customFormat="false" ht="15" hidden="false" customHeight="false" outlineLevel="0" collapsed="false">
      <c r="A919" s="2" t="s">
        <v>3010</v>
      </c>
      <c r="B919" s="2" t="s">
        <v>146</v>
      </c>
      <c r="C919" s="2" t="s">
        <v>2760</v>
      </c>
      <c r="D919" s="2" t="s">
        <v>48</v>
      </c>
      <c r="E919" s="2" t="s">
        <v>1185</v>
      </c>
      <c r="F919" s="2" t="s">
        <v>1186</v>
      </c>
      <c r="G919" s="2" t="s">
        <v>3011</v>
      </c>
    </row>
    <row r="920" customFormat="false" ht="15" hidden="false" customHeight="false" outlineLevel="0" collapsed="false">
      <c r="A920" s="2" t="s">
        <v>3012</v>
      </c>
      <c r="B920" s="2" t="s">
        <v>146</v>
      </c>
      <c r="C920" s="2" t="s">
        <v>2760</v>
      </c>
      <c r="D920" s="2" t="s">
        <v>48</v>
      </c>
      <c r="E920" s="2" t="s">
        <v>1185</v>
      </c>
      <c r="F920" s="2" t="s">
        <v>1186</v>
      </c>
      <c r="G920" s="2" t="s">
        <v>3013</v>
      </c>
    </row>
    <row r="921" customFormat="false" ht="15" hidden="false" customHeight="false" outlineLevel="0" collapsed="false">
      <c r="A921" s="2" t="s">
        <v>3014</v>
      </c>
      <c r="B921" s="2" t="s">
        <v>146</v>
      </c>
      <c r="C921" s="2" t="s">
        <v>2760</v>
      </c>
      <c r="D921" s="2" t="s">
        <v>48</v>
      </c>
      <c r="E921" s="2" t="s">
        <v>1185</v>
      </c>
      <c r="F921" s="2" t="s">
        <v>1186</v>
      </c>
      <c r="G921" s="2" t="s">
        <v>3015</v>
      </c>
    </row>
    <row r="922" customFormat="false" ht="15" hidden="false" customHeight="false" outlineLevel="0" collapsed="false">
      <c r="A922" s="2" t="s">
        <v>3016</v>
      </c>
      <c r="B922" s="2" t="s">
        <v>146</v>
      </c>
      <c r="C922" s="2" t="s">
        <v>2760</v>
      </c>
      <c r="D922" s="2" t="s">
        <v>48</v>
      </c>
      <c r="E922" s="2" t="s">
        <v>1185</v>
      </c>
      <c r="F922" s="2" t="s">
        <v>1186</v>
      </c>
      <c r="G922" s="2" t="s">
        <v>3017</v>
      </c>
    </row>
    <row r="923" customFormat="false" ht="15" hidden="false" customHeight="false" outlineLevel="0" collapsed="false">
      <c r="A923" s="2" t="s">
        <v>3018</v>
      </c>
      <c r="B923" s="2" t="s">
        <v>146</v>
      </c>
      <c r="C923" s="2" t="s">
        <v>2760</v>
      </c>
      <c r="D923" s="2" t="s">
        <v>48</v>
      </c>
      <c r="E923" s="2" t="s">
        <v>1185</v>
      </c>
      <c r="F923" s="2" t="s">
        <v>1186</v>
      </c>
      <c r="G923" s="2" t="s">
        <v>3019</v>
      </c>
    </row>
    <row r="924" customFormat="false" ht="15" hidden="false" customHeight="false" outlineLevel="0" collapsed="false">
      <c r="A924" s="2" t="s">
        <v>3020</v>
      </c>
      <c r="B924" s="2" t="s">
        <v>146</v>
      </c>
      <c r="C924" s="2" t="s">
        <v>2760</v>
      </c>
      <c r="D924" s="2" t="s">
        <v>48</v>
      </c>
      <c r="E924" s="2" t="s">
        <v>1185</v>
      </c>
      <c r="F924" s="2" t="s">
        <v>1186</v>
      </c>
      <c r="G924" s="2" t="s">
        <v>3021</v>
      </c>
    </row>
    <row r="925" customFormat="false" ht="15" hidden="false" customHeight="false" outlineLevel="0" collapsed="false">
      <c r="A925" s="2" t="s">
        <v>3022</v>
      </c>
      <c r="B925" s="2" t="s">
        <v>146</v>
      </c>
      <c r="C925" s="2" t="s">
        <v>2760</v>
      </c>
      <c r="D925" s="2" t="s">
        <v>48</v>
      </c>
      <c r="E925" s="2" t="s">
        <v>1185</v>
      </c>
      <c r="F925" s="2" t="s">
        <v>1186</v>
      </c>
      <c r="G925" s="2" t="s">
        <v>3023</v>
      </c>
    </row>
    <row r="926" customFormat="false" ht="15" hidden="false" customHeight="false" outlineLevel="0" collapsed="false">
      <c r="A926" s="2" t="s">
        <v>3024</v>
      </c>
      <c r="B926" s="2" t="s">
        <v>146</v>
      </c>
      <c r="C926" s="2" t="s">
        <v>2760</v>
      </c>
      <c r="D926" s="2" t="s">
        <v>48</v>
      </c>
      <c r="E926" s="2" t="s">
        <v>1185</v>
      </c>
      <c r="F926" s="2" t="s">
        <v>1186</v>
      </c>
      <c r="G926" s="2" t="s">
        <v>3025</v>
      </c>
    </row>
    <row r="927" customFormat="false" ht="15" hidden="false" customHeight="false" outlineLevel="0" collapsed="false">
      <c r="A927" s="2" t="s">
        <v>3026</v>
      </c>
      <c r="B927" s="2" t="s">
        <v>146</v>
      </c>
      <c r="C927" s="2" t="s">
        <v>2760</v>
      </c>
      <c r="D927" s="2" t="s">
        <v>48</v>
      </c>
      <c r="E927" s="2" t="s">
        <v>1185</v>
      </c>
      <c r="F927" s="2" t="s">
        <v>1186</v>
      </c>
      <c r="G927" s="2" t="s">
        <v>3027</v>
      </c>
    </row>
    <row r="928" customFormat="false" ht="15" hidden="false" customHeight="false" outlineLevel="0" collapsed="false">
      <c r="A928" s="2" t="s">
        <v>3028</v>
      </c>
      <c r="B928" s="2" t="s">
        <v>146</v>
      </c>
      <c r="C928" s="2" t="s">
        <v>2760</v>
      </c>
      <c r="D928" s="2" t="s">
        <v>48</v>
      </c>
      <c r="E928" s="2" t="s">
        <v>1185</v>
      </c>
      <c r="F928" s="2" t="s">
        <v>1186</v>
      </c>
      <c r="G928" s="2" t="s">
        <v>3029</v>
      </c>
    </row>
    <row r="929" customFormat="false" ht="15" hidden="false" customHeight="false" outlineLevel="0" collapsed="false">
      <c r="A929" s="2" t="s">
        <v>3030</v>
      </c>
      <c r="B929" s="2" t="s">
        <v>146</v>
      </c>
      <c r="C929" s="2" t="s">
        <v>2760</v>
      </c>
      <c r="D929" s="2" t="s">
        <v>48</v>
      </c>
      <c r="E929" s="2" t="s">
        <v>1185</v>
      </c>
      <c r="F929" s="2" t="s">
        <v>1186</v>
      </c>
      <c r="G929" s="2" t="s">
        <v>3031</v>
      </c>
    </row>
    <row r="930" customFormat="false" ht="15" hidden="false" customHeight="false" outlineLevel="0" collapsed="false">
      <c r="A930" s="2" t="s">
        <v>3032</v>
      </c>
      <c r="B930" s="2" t="s">
        <v>146</v>
      </c>
      <c r="C930" s="2" t="s">
        <v>2760</v>
      </c>
      <c r="D930" s="2" t="s">
        <v>48</v>
      </c>
      <c r="E930" s="2" t="s">
        <v>1185</v>
      </c>
      <c r="F930" s="2" t="s">
        <v>1186</v>
      </c>
      <c r="G930" s="2" t="s">
        <v>3033</v>
      </c>
    </row>
    <row r="931" customFormat="false" ht="15" hidden="false" customHeight="false" outlineLevel="0" collapsed="false">
      <c r="A931" s="2" t="s">
        <v>3034</v>
      </c>
      <c r="B931" s="2" t="s">
        <v>146</v>
      </c>
      <c r="C931" s="2" t="s">
        <v>2760</v>
      </c>
      <c r="D931" s="2" t="s">
        <v>48</v>
      </c>
      <c r="E931" s="2" t="s">
        <v>1185</v>
      </c>
      <c r="F931" s="2" t="s">
        <v>1186</v>
      </c>
      <c r="G931" s="2" t="s">
        <v>3035</v>
      </c>
    </row>
    <row r="932" customFormat="false" ht="15" hidden="false" customHeight="false" outlineLevel="0" collapsed="false">
      <c r="A932" s="2" t="s">
        <v>3036</v>
      </c>
      <c r="B932" s="2" t="s">
        <v>146</v>
      </c>
      <c r="C932" s="2" t="s">
        <v>2760</v>
      </c>
      <c r="D932" s="2" t="s">
        <v>48</v>
      </c>
      <c r="E932" s="2" t="s">
        <v>1185</v>
      </c>
      <c r="F932" s="2" t="s">
        <v>1186</v>
      </c>
      <c r="G932" s="2" t="s">
        <v>3037</v>
      </c>
    </row>
    <row r="933" customFormat="false" ht="15" hidden="false" customHeight="false" outlineLevel="0" collapsed="false">
      <c r="A933" s="2" t="s">
        <v>3038</v>
      </c>
      <c r="B933" s="2" t="s">
        <v>146</v>
      </c>
      <c r="C933" s="2" t="s">
        <v>2760</v>
      </c>
      <c r="D933" s="2" t="s">
        <v>48</v>
      </c>
      <c r="E933" s="2" t="s">
        <v>1185</v>
      </c>
      <c r="F933" s="2" t="s">
        <v>1186</v>
      </c>
      <c r="G933" s="2" t="s">
        <v>3039</v>
      </c>
    </row>
    <row r="934" customFormat="false" ht="15" hidden="false" customHeight="false" outlineLevel="0" collapsed="false">
      <c r="A934" s="2" t="s">
        <v>3040</v>
      </c>
      <c r="B934" s="2" t="s">
        <v>146</v>
      </c>
      <c r="C934" s="2" t="s">
        <v>2760</v>
      </c>
      <c r="D934" s="2" t="s">
        <v>48</v>
      </c>
      <c r="E934" s="2" t="s">
        <v>1185</v>
      </c>
      <c r="F934" s="2" t="s">
        <v>1186</v>
      </c>
      <c r="G934" s="2" t="s">
        <v>3041</v>
      </c>
    </row>
    <row r="935" customFormat="false" ht="15" hidden="false" customHeight="false" outlineLevel="0" collapsed="false">
      <c r="A935" s="2" t="s">
        <v>3042</v>
      </c>
      <c r="B935" s="2" t="s">
        <v>146</v>
      </c>
      <c r="C935" s="2" t="s">
        <v>2760</v>
      </c>
      <c r="D935" s="2" t="s">
        <v>48</v>
      </c>
      <c r="E935" s="2" t="s">
        <v>1185</v>
      </c>
      <c r="F935" s="2" t="s">
        <v>1186</v>
      </c>
      <c r="G935" s="2" t="s">
        <v>3043</v>
      </c>
    </row>
    <row r="936" customFormat="false" ht="15" hidden="false" customHeight="false" outlineLevel="0" collapsed="false">
      <c r="A936" s="2" t="s">
        <v>3044</v>
      </c>
      <c r="B936" s="2" t="s">
        <v>146</v>
      </c>
      <c r="C936" s="2" t="s">
        <v>2760</v>
      </c>
      <c r="D936" s="2" t="s">
        <v>48</v>
      </c>
      <c r="E936" s="2" t="s">
        <v>1185</v>
      </c>
      <c r="F936" s="2" t="s">
        <v>1186</v>
      </c>
      <c r="G936" s="2" t="s">
        <v>3045</v>
      </c>
    </row>
    <row r="937" customFormat="false" ht="15" hidden="false" customHeight="false" outlineLevel="0" collapsed="false">
      <c r="A937" s="2" t="s">
        <v>3046</v>
      </c>
      <c r="B937" s="2" t="s">
        <v>146</v>
      </c>
      <c r="C937" s="2" t="s">
        <v>2760</v>
      </c>
      <c r="D937" s="2" t="s">
        <v>48</v>
      </c>
      <c r="E937" s="2" t="s">
        <v>1185</v>
      </c>
      <c r="F937" s="2" t="s">
        <v>1186</v>
      </c>
      <c r="G937" s="2" t="s">
        <v>3047</v>
      </c>
    </row>
    <row r="938" customFormat="false" ht="15" hidden="false" customHeight="false" outlineLevel="0" collapsed="false">
      <c r="A938" s="2" t="s">
        <v>3048</v>
      </c>
      <c r="B938" s="2" t="s">
        <v>146</v>
      </c>
      <c r="C938" s="2" t="s">
        <v>2760</v>
      </c>
      <c r="D938" s="2" t="s">
        <v>48</v>
      </c>
      <c r="E938" s="2" t="s">
        <v>1185</v>
      </c>
      <c r="F938" s="2" t="s">
        <v>1186</v>
      </c>
      <c r="G938" s="2" t="s">
        <v>3049</v>
      </c>
    </row>
    <row r="939" customFormat="false" ht="15" hidden="false" customHeight="false" outlineLevel="0" collapsed="false">
      <c r="A939" s="2" t="s">
        <v>3050</v>
      </c>
      <c r="B939" s="2" t="s">
        <v>146</v>
      </c>
      <c r="C939" s="2" t="s">
        <v>2760</v>
      </c>
      <c r="D939" s="2" t="s">
        <v>48</v>
      </c>
      <c r="E939" s="2" t="s">
        <v>1185</v>
      </c>
      <c r="F939" s="2" t="s">
        <v>1186</v>
      </c>
      <c r="G939" s="2" t="s">
        <v>3051</v>
      </c>
    </row>
    <row r="940" customFormat="false" ht="15" hidden="false" customHeight="false" outlineLevel="0" collapsed="false">
      <c r="A940" s="2" t="s">
        <v>3052</v>
      </c>
      <c r="B940" s="2" t="s">
        <v>146</v>
      </c>
      <c r="C940" s="2" t="s">
        <v>2760</v>
      </c>
      <c r="D940" s="2" t="s">
        <v>48</v>
      </c>
      <c r="E940" s="2" t="s">
        <v>1185</v>
      </c>
      <c r="F940" s="2" t="s">
        <v>1186</v>
      </c>
      <c r="G940" s="2" t="s">
        <v>3053</v>
      </c>
    </row>
    <row r="941" customFormat="false" ht="15" hidden="false" customHeight="false" outlineLevel="0" collapsed="false">
      <c r="A941" s="2" t="s">
        <v>3054</v>
      </c>
      <c r="B941" s="2" t="s">
        <v>146</v>
      </c>
      <c r="C941" s="2" t="s">
        <v>2760</v>
      </c>
      <c r="D941" s="2" t="s">
        <v>48</v>
      </c>
      <c r="E941" s="2" t="s">
        <v>1185</v>
      </c>
      <c r="F941" s="2" t="s">
        <v>1186</v>
      </c>
      <c r="G941" s="2" t="s">
        <v>3055</v>
      </c>
    </row>
    <row r="942" customFormat="false" ht="15" hidden="false" customHeight="false" outlineLevel="0" collapsed="false">
      <c r="A942" s="2" t="s">
        <v>3056</v>
      </c>
      <c r="B942" s="2" t="s">
        <v>146</v>
      </c>
      <c r="C942" s="2" t="s">
        <v>2760</v>
      </c>
      <c r="D942" s="2" t="s">
        <v>48</v>
      </c>
      <c r="E942" s="2" t="s">
        <v>1185</v>
      </c>
      <c r="F942" s="2" t="s">
        <v>1186</v>
      </c>
      <c r="G942" s="2" t="s">
        <v>3057</v>
      </c>
    </row>
    <row r="943" customFormat="false" ht="15" hidden="false" customHeight="false" outlineLevel="0" collapsed="false">
      <c r="A943" s="2" t="s">
        <v>3058</v>
      </c>
      <c r="B943" s="2" t="s">
        <v>146</v>
      </c>
      <c r="C943" s="2" t="s">
        <v>2760</v>
      </c>
      <c r="D943" s="2" t="s">
        <v>48</v>
      </c>
      <c r="E943" s="2" t="s">
        <v>1185</v>
      </c>
      <c r="F943" s="2" t="s">
        <v>1186</v>
      </c>
      <c r="G943" s="2" t="s">
        <v>3059</v>
      </c>
    </row>
    <row r="944" customFormat="false" ht="15" hidden="false" customHeight="false" outlineLevel="0" collapsed="false">
      <c r="A944" s="2" t="s">
        <v>3060</v>
      </c>
      <c r="B944" s="2" t="s">
        <v>146</v>
      </c>
      <c r="C944" s="2" t="s">
        <v>2760</v>
      </c>
      <c r="D944" s="2" t="s">
        <v>48</v>
      </c>
      <c r="E944" s="2" t="s">
        <v>1185</v>
      </c>
      <c r="F944" s="2" t="s">
        <v>1186</v>
      </c>
      <c r="G944" s="2" t="s">
        <v>3061</v>
      </c>
    </row>
    <row r="945" customFormat="false" ht="15" hidden="false" customHeight="false" outlineLevel="0" collapsed="false">
      <c r="A945" s="2" t="s">
        <v>3062</v>
      </c>
      <c r="B945" s="2" t="s">
        <v>146</v>
      </c>
      <c r="C945" s="2" t="s">
        <v>2760</v>
      </c>
      <c r="D945" s="2" t="s">
        <v>48</v>
      </c>
      <c r="E945" s="2" t="s">
        <v>1185</v>
      </c>
      <c r="F945" s="2" t="s">
        <v>1186</v>
      </c>
      <c r="G945" s="2" t="s">
        <v>3063</v>
      </c>
    </row>
    <row r="946" customFormat="false" ht="15" hidden="false" customHeight="false" outlineLevel="0" collapsed="false">
      <c r="A946" s="2" t="s">
        <v>3064</v>
      </c>
      <c r="B946" s="2" t="s">
        <v>146</v>
      </c>
      <c r="C946" s="2" t="s">
        <v>2760</v>
      </c>
      <c r="D946" s="2" t="s">
        <v>48</v>
      </c>
      <c r="E946" s="2" t="s">
        <v>1185</v>
      </c>
      <c r="F946" s="2" t="s">
        <v>1186</v>
      </c>
      <c r="G946" s="2" t="s">
        <v>3065</v>
      </c>
    </row>
    <row r="947" customFormat="false" ht="15" hidden="false" customHeight="false" outlineLevel="0" collapsed="false">
      <c r="A947" s="2" t="s">
        <v>3066</v>
      </c>
      <c r="B947" s="2" t="s">
        <v>146</v>
      </c>
      <c r="C947" s="2" t="s">
        <v>2760</v>
      </c>
      <c r="D947" s="2" t="s">
        <v>48</v>
      </c>
      <c r="E947" s="2" t="s">
        <v>1185</v>
      </c>
      <c r="F947" s="2" t="s">
        <v>1186</v>
      </c>
      <c r="G947" s="2" t="s">
        <v>3067</v>
      </c>
    </row>
    <row r="948" customFormat="false" ht="15" hidden="false" customHeight="false" outlineLevel="0" collapsed="false">
      <c r="A948" s="2" t="s">
        <v>3068</v>
      </c>
      <c r="B948" s="2" t="s">
        <v>146</v>
      </c>
      <c r="C948" s="2" t="s">
        <v>2760</v>
      </c>
      <c r="D948" s="2" t="s">
        <v>48</v>
      </c>
      <c r="E948" s="2" t="s">
        <v>1185</v>
      </c>
      <c r="F948" s="2" t="s">
        <v>1186</v>
      </c>
      <c r="G948" s="2" t="s">
        <v>3069</v>
      </c>
    </row>
    <row r="949" customFormat="false" ht="15" hidden="false" customHeight="false" outlineLevel="0" collapsed="false">
      <c r="A949" s="2" t="s">
        <v>3070</v>
      </c>
      <c r="B949" s="2" t="s">
        <v>146</v>
      </c>
      <c r="C949" s="2" t="s">
        <v>2760</v>
      </c>
      <c r="D949" s="2" t="s">
        <v>48</v>
      </c>
      <c r="E949" s="2" t="s">
        <v>1185</v>
      </c>
      <c r="F949" s="2" t="s">
        <v>1186</v>
      </c>
      <c r="G949" s="2" t="s">
        <v>3071</v>
      </c>
    </row>
    <row r="950" customFormat="false" ht="15" hidden="false" customHeight="false" outlineLevel="0" collapsed="false">
      <c r="A950" s="2" t="s">
        <v>3072</v>
      </c>
      <c r="B950" s="2" t="s">
        <v>146</v>
      </c>
      <c r="C950" s="2" t="s">
        <v>2760</v>
      </c>
      <c r="D950" s="2" t="s">
        <v>48</v>
      </c>
      <c r="E950" s="2" t="s">
        <v>1185</v>
      </c>
      <c r="F950" s="2" t="s">
        <v>1186</v>
      </c>
      <c r="G950" s="2" t="s">
        <v>3073</v>
      </c>
    </row>
    <row r="951" customFormat="false" ht="15" hidden="false" customHeight="false" outlineLevel="0" collapsed="false">
      <c r="A951" s="2" t="s">
        <v>3074</v>
      </c>
      <c r="B951" s="2" t="s">
        <v>146</v>
      </c>
      <c r="C951" s="2" t="s">
        <v>2760</v>
      </c>
      <c r="D951" s="2" t="s">
        <v>48</v>
      </c>
      <c r="E951" s="2" t="s">
        <v>1185</v>
      </c>
      <c r="F951" s="2" t="s">
        <v>1186</v>
      </c>
      <c r="G951" s="2" t="s">
        <v>3075</v>
      </c>
    </row>
    <row r="952" customFormat="false" ht="15" hidden="false" customHeight="false" outlineLevel="0" collapsed="false">
      <c r="A952" s="2" t="s">
        <v>3076</v>
      </c>
      <c r="B952" s="2" t="s">
        <v>146</v>
      </c>
      <c r="C952" s="2" t="s">
        <v>2760</v>
      </c>
      <c r="D952" s="2" t="s">
        <v>48</v>
      </c>
      <c r="E952" s="2" t="s">
        <v>1185</v>
      </c>
      <c r="F952" s="2" t="s">
        <v>1186</v>
      </c>
      <c r="G952" s="2" t="s">
        <v>3077</v>
      </c>
    </row>
    <row r="953" customFormat="false" ht="15" hidden="false" customHeight="false" outlineLevel="0" collapsed="false">
      <c r="A953" s="2" t="s">
        <v>3078</v>
      </c>
      <c r="B953" s="2" t="s">
        <v>146</v>
      </c>
      <c r="C953" s="2" t="s">
        <v>2760</v>
      </c>
      <c r="D953" s="2" t="s">
        <v>48</v>
      </c>
      <c r="E953" s="2" t="s">
        <v>1185</v>
      </c>
      <c r="F953" s="2" t="s">
        <v>1186</v>
      </c>
      <c r="G953" s="2" t="s">
        <v>3079</v>
      </c>
    </row>
    <row r="954" customFormat="false" ht="15" hidden="false" customHeight="false" outlineLevel="0" collapsed="false">
      <c r="A954" s="2" t="s">
        <v>3080</v>
      </c>
      <c r="B954" s="2" t="s">
        <v>146</v>
      </c>
      <c r="C954" s="2" t="s">
        <v>2760</v>
      </c>
      <c r="D954" s="2" t="s">
        <v>48</v>
      </c>
      <c r="E954" s="2" t="s">
        <v>1185</v>
      </c>
      <c r="F954" s="2" t="s">
        <v>1186</v>
      </c>
      <c r="G954" s="2" t="s">
        <v>3081</v>
      </c>
    </row>
    <row r="955" customFormat="false" ht="15" hidden="false" customHeight="false" outlineLevel="0" collapsed="false">
      <c r="A955" s="2" t="s">
        <v>3082</v>
      </c>
      <c r="B955" s="2" t="s">
        <v>146</v>
      </c>
      <c r="C955" s="2" t="s">
        <v>2760</v>
      </c>
      <c r="D955" s="2" t="s">
        <v>48</v>
      </c>
      <c r="E955" s="2" t="s">
        <v>1185</v>
      </c>
      <c r="F955" s="2" t="s">
        <v>1186</v>
      </c>
      <c r="G955" s="2" t="s">
        <v>3083</v>
      </c>
    </row>
    <row r="956" customFormat="false" ht="15" hidden="false" customHeight="false" outlineLevel="0" collapsed="false">
      <c r="A956" s="2" t="s">
        <v>3084</v>
      </c>
      <c r="B956" s="2" t="s">
        <v>146</v>
      </c>
      <c r="C956" s="2" t="s">
        <v>2760</v>
      </c>
      <c r="D956" s="2" t="s">
        <v>48</v>
      </c>
      <c r="E956" s="2" t="s">
        <v>1185</v>
      </c>
      <c r="F956" s="2" t="s">
        <v>1186</v>
      </c>
      <c r="G956" s="2" t="s">
        <v>3085</v>
      </c>
    </row>
    <row r="957" customFormat="false" ht="15" hidden="false" customHeight="false" outlineLevel="0" collapsed="false">
      <c r="A957" s="2" t="s">
        <v>3086</v>
      </c>
      <c r="B957" s="2" t="s">
        <v>146</v>
      </c>
      <c r="C957" s="2" t="s">
        <v>2760</v>
      </c>
      <c r="D957" s="2" t="s">
        <v>48</v>
      </c>
      <c r="E957" s="2" t="s">
        <v>1185</v>
      </c>
      <c r="F957" s="2" t="s">
        <v>1186</v>
      </c>
      <c r="G957" s="2" t="s">
        <v>3087</v>
      </c>
    </row>
    <row r="958" customFormat="false" ht="15" hidden="false" customHeight="false" outlineLevel="0" collapsed="false">
      <c r="A958" s="2" t="s">
        <v>3088</v>
      </c>
      <c r="B958" s="2" t="s">
        <v>146</v>
      </c>
      <c r="C958" s="2" t="s">
        <v>2760</v>
      </c>
      <c r="D958" s="2" t="s">
        <v>48</v>
      </c>
      <c r="E958" s="2" t="s">
        <v>1185</v>
      </c>
      <c r="F958" s="2" t="s">
        <v>1186</v>
      </c>
      <c r="G958" s="2" t="s">
        <v>3089</v>
      </c>
    </row>
    <row r="959" customFormat="false" ht="15" hidden="false" customHeight="false" outlineLevel="0" collapsed="false">
      <c r="A959" s="2" t="s">
        <v>3090</v>
      </c>
      <c r="B959" s="2" t="s">
        <v>146</v>
      </c>
      <c r="C959" s="2" t="s">
        <v>2760</v>
      </c>
      <c r="D959" s="2" t="s">
        <v>48</v>
      </c>
      <c r="E959" s="2" t="s">
        <v>1185</v>
      </c>
      <c r="F959" s="2" t="s">
        <v>1186</v>
      </c>
      <c r="G959" s="2" t="s">
        <v>3091</v>
      </c>
    </row>
    <row r="960" customFormat="false" ht="15" hidden="false" customHeight="false" outlineLevel="0" collapsed="false">
      <c r="A960" s="2" t="s">
        <v>3092</v>
      </c>
      <c r="B960" s="2" t="s">
        <v>146</v>
      </c>
      <c r="C960" s="2" t="s">
        <v>2760</v>
      </c>
      <c r="D960" s="2" t="s">
        <v>48</v>
      </c>
      <c r="E960" s="2" t="s">
        <v>1185</v>
      </c>
      <c r="F960" s="2" t="s">
        <v>1186</v>
      </c>
      <c r="G960" s="2" t="s">
        <v>3093</v>
      </c>
    </row>
    <row r="961" customFormat="false" ht="15" hidden="false" customHeight="false" outlineLevel="0" collapsed="false">
      <c r="A961" s="2" t="s">
        <v>3094</v>
      </c>
      <c r="B961" s="2" t="s">
        <v>146</v>
      </c>
      <c r="C961" s="2" t="s">
        <v>2760</v>
      </c>
      <c r="D961" s="2" t="s">
        <v>48</v>
      </c>
      <c r="E961" s="2" t="s">
        <v>1185</v>
      </c>
      <c r="F961" s="2" t="s">
        <v>1186</v>
      </c>
      <c r="G961" s="2" t="s">
        <v>3095</v>
      </c>
    </row>
    <row r="962" customFormat="false" ht="15" hidden="false" customHeight="false" outlineLevel="0" collapsed="false">
      <c r="A962" s="2" t="s">
        <v>3096</v>
      </c>
      <c r="B962" s="2" t="s">
        <v>146</v>
      </c>
      <c r="C962" s="2" t="s">
        <v>2760</v>
      </c>
      <c r="D962" s="2" t="s">
        <v>48</v>
      </c>
      <c r="E962" s="2" t="s">
        <v>1185</v>
      </c>
      <c r="F962" s="2" t="s">
        <v>1186</v>
      </c>
      <c r="G962" s="2" t="s">
        <v>3097</v>
      </c>
    </row>
    <row r="963" customFormat="false" ht="15" hidden="false" customHeight="false" outlineLevel="0" collapsed="false">
      <c r="A963" s="2" t="s">
        <v>3098</v>
      </c>
      <c r="B963" s="2" t="s">
        <v>146</v>
      </c>
      <c r="C963" s="2" t="s">
        <v>2760</v>
      </c>
      <c r="D963" s="2" t="s">
        <v>48</v>
      </c>
      <c r="E963" s="2" t="s">
        <v>1185</v>
      </c>
      <c r="F963" s="2" t="s">
        <v>1186</v>
      </c>
      <c r="G963" s="2" t="s">
        <v>3099</v>
      </c>
    </row>
    <row r="964" customFormat="false" ht="15" hidden="false" customHeight="false" outlineLevel="0" collapsed="false">
      <c r="A964" s="2" t="s">
        <v>3100</v>
      </c>
      <c r="B964" s="2" t="s">
        <v>146</v>
      </c>
      <c r="C964" s="2" t="s">
        <v>2760</v>
      </c>
      <c r="D964" s="2" t="s">
        <v>48</v>
      </c>
      <c r="E964" s="2" t="s">
        <v>1185</v>
      </c>
      <c r="F964" s="2" t="s">
        <v>1186</v>
      </c>
      <c r="G964" s="2" t="s">
        <v>3101</v>
      </c>
    </row>
    <row r="965" customFormat="false" ht="15" hidden="false" customHeight="false" outlineLevel="0" collapsed="false">
      <c r="A965" s="2" t="s">
        <v>3102</v>
      </c>
      <c r="B965" s="2" t="s">
        <v>146</v>
      </c>
      <c r="C965" s="2" t="s">
        <v>2760</v>
      </c>
      <c r="D965" s="2" t="s">
        <v>48</v>
      </c>
      <c r="E965" s="2" t="s">
        <v>1185</v>
      </c>
      <c r="F965" s="2" t="s">
        <v>1186</v>
      </c>
      <c r="G965" s="2" t="s">
        <v>3103</v>
      </c>
    </row>
    <row r="966" customFormat="false" ht="15" hidden="false" customHeight="false" outlineLevel="0" collapsed="false">
      <c r="A966" s="2" t="s">
        <v>3104</v>
      </c>
      <c r="B966" s="2" t="s">
        <v>146</v>
      </c>
      <c r="C966" s="2" t="s">
        <v>2760</v>
      </c>
      <c r="D966" s="2" t="s">
        <v>48</v>
      </c>
      <c r="E966" s="2" t="s">
        <v>1185</v>
      </c>
      <c r="F966" s="2" t="s">
        <v>1186</v>
      </c>
      <c r="G966" s="2" t="s">
        <v>3105</v>
      </c>
    </row>
    <row r="967" customFormat="false" ht="15" hidden="false" customHeight="false" outlineLevel="0" collapsed="false">
      <c r="A967" s="2" t="s">
        <v>3106</v>
      </c>
      <c r="B967" s="2" t="s">
        <v>146</v>
      </c>
      <c r="C967" s="2" t="s">
        <v>2760</v>
      </c>
      <c r="D967" s="2" t="s">
        <v>48</v>
      </c>
      <c r="E967" s="2" t="s">
        <v>1185</v>
      </c>
      <c r="F967" s="2" t="s">
        <v>1186</v>
      </c>
      <c r="G967" s="2" t="s">
        <v>3107</v>
      </c>
    </row>
    <row r="968" customFormat="false" ht="15" hidden="false" customHeight="false" outlineLevel="0" collapsed="false">
      <c r="A968" s="2" t="s">
        <v>3108</v>
      </c>
      <c r="B968" s="2" t="s">
        <v>146</v>
      </c>
      <c r="C968" s="2" t="s">
        <v>2760</v>
      </c>
      <c r="D968" s="2" t="s">
        <v>48</v>
      </c>
      <c r="E968" s="2" t="s">
        <v>1185</v>
      </c>
      <c r="F968" s="2" t="s">
        <v>1186</v>
      </c>
      <c r="G968" s="2" t="s">
        <v>3109</v>
      </c>
    </row>
    <row r="969" customFormat="false" ht="15" hidden="false" customHeight="false" outlineLevel="0" collapsed="false">
      <c r="A969" s="2" t="s">
        <v>3110</v>
      </c>
      <c r="B969" s="2" t="s">
        <v>146</v>
      </c>
      <c r="C969" s="2" t="s">
        <v>2760</v>
      </c>
      <c r="D969" s="2" t="s">
        <v>48</v>
      </c>
      <c r="E969" s="2" t="s">
        <v>1185</v>
      </c>
      <c r="F969" s="2" t="s">
        <v>1186</v>
      </c>
      <c r="G969" s="2" t="s">
        <v>3111</v>
      </c>
    </row>
    <row r="970" customFormat="false" ht="15" hidden="false" customHeight="false" outlineLevel="0" collapsed="false">
      <c r="A970" s="2" t="s">
        <v>3112</v>
      </c>
      <c r="B970" s="2" t="s">
        <v>146</v>
      </c>
      <c r="C970" s="2" t="s">
        <v>2760</v>
      </c>
      <c r="D970" s="2" t="s">
        <v>48</v>
      </c>
      <c r="E970" s="2" t="s">
        <v>1185</v>
      </c>
      <c r="F970" s="2" t="s">
        <v>1186</v>
      </c>
      <c r="G970" s="2" t="s">
        <v>3113</v>
      </c>
    </row>
    <row r="971" customFormat="false" ht="15" hidden="false" customHeight="false" outlineLevel="0" collapsed="false">
      <c r="A971" s="2" t="s">
        <v>3114</v>
      </c>
      <c r="B971" s="2" t="s">
        <v>146</v>
      </c>
      <c r="C971" s="2" t="s">
        <v>2760</v>
      </c>
      <c r="D971" s="2" t="s">
        <v>48</v>
      </c>
      <c r="E971" s="2" t="s">
        <v>1185</v>
      </c>
      <c r="F971" s="2" t="s">
        <v>1186</v>
      </c>
      <c r="G971" s="2" t="s">
        <v>3115</v>
      </c>
    </row>
    <row r="972" customFormat="false" ht="15" hidden="false" customHeight="false" outlineLevel="0" collapsed="false">
      <c r="A972" s="2" t="s">
        <v>3116</v>
      </c>
      <c r="B972" s="2" t="s">
        <v>146</v>
      </c>
      <c r="C972" s="2" t="s">
        <v>2760</v>
      </c>
      <c r="D972" s="2" t="s">
        <v>48</v>
      </c>
      <c r="E972" s="2" t="s">
        <v>1185</v>
      </c>
      <c r="F972" s="2" t="s">
        <v>1186</v>
      </c>
      <c r="G972" s="2" t="s">
        <v>3117</v>
      </c>
    </row>
    <row r="973" customFormat="false" ht="15" hidden="false" customHeight="false" outlineLevel="0" collapsed="false">
      <c r="A973" s="2" t="s">
        <v>3118</v>
      </c>
      <c r="B973" s="2" t="s">
        <v>146</v>
      </c>
      <c r="C973" s="2" t="s">
        <v>2760</v>
      </c>
      <c r="D973" s="2" t="s">
        <v>48</v>
      </c>
      <c r="E973" s="2" t="s">
        <v>1185</v>
      </c>
      <c r="F973" s="2" t="s">
        <v>1186</v>
      </c>
      <c r="G973" s="2" t="s">
        <v>3119</v>
      </c>
    </row>
    <row r="974" customFormat="false" ht="15" hidden="false" customHeight="false" outlineLevel="0" collapsed="false">
      <c r="A974" s="2" t="s">
        <v>3120</v>
      </c>
      <c r="B974" s="2" t="s">
        <v>146</v>
      </c>
      <c r="C974" s="2" t="s">
        <v>2760</v>
      </c>
      <c r="D974" s="2" t="s">
        <v>48</v>
      </c>
      <c r="E974" s="2" t="s">
        <v>1185</v>
      </c>
      <c r="F974" s="2" t="s">
        <v>1186</v>
      </c>
      <c r="G974" s="2" t="s">
        <v>3121</v>
      </c>
    </row>
    <row r="975" customFormat="false" ht="15" hidden="false" customHeight="false" outlineLevel="0" collapsed="false">
      <c r="A975" s="2" t="s">
        <v>3122</v>
      </c>
      <c r="B975" s="2" t="s">
        <v>146</v>
      </c>
      <c r="C975" s="2" t="s">
        <v>2760</v>
      </c>
      <c r="D975" s="2" t="s">
        <v>48</v>
      </c>
      <c r="E975" s="2" t="s">
        <v>1185</v>
      </c>
      <c r="F975" s="2" t="s">
        <v>1186</v>
      </c>
      <c r="G975" s="2" t="s">
        <v>3123</v>
      </c>
    </row>
    <row r="976" customFormat="false" ht="15" hidden="false" customHeight="false" outlineLevel="0" collapsed="false">
      <c r="A976" s="2" t="s">
        <v>3124</v>
      </c>
      <c r="B976" s="2" t="s">
        <v>146</v>
      </c>
      <c r="C976" s="2" t="s">
        <v>2760</v>
      </c>
      <c r="D976" s="2" t="s">
        <v>48</v>
      </c>
      <c r="E976" s="2" t="s">
        <v>1185</v>
      </c>
      <c r="F976" s="2" t="s">
        <v>1186</v>
      </c>
      <c r="G976" s="2" t="s">
        <v>3125</v>
      </c>
    </row>
    <row r="977" customFormat="false" ht="15" hidden="false" customHeight="false" outlineLevel="0" collapsed="false">
      <c r="A977" s="2" t="s">
        <v>3126</v>
      </c>
      <c r="B977" s="2" t="s">
        <v>146</v>
      </c>
      <c r="C977" s="2" t="s">
        <v>2760</v>
      </c>
      <c r="D977" s="2" t="s">
        <v>48</v>
      </c>
      <c r="E977" s="2" t="s">
        <v>1185</v>
      </c>
      <c r="F977" s="2" t="s">
        <v>1186</v>
      </c>
      <c r="G977" s="2" t="s">
        <v>3127</v>
      </c>
    </row>
    <row r="978" customFormat="false" ht="15" hidden="false" customHeight="false" outlineLevel="0" collapsed="false">
      <c r="A978" s="2" t="s">
        <v>3128</v>
      </c>
      <c r="B978" s="2" t="s">
        <v>146</v>
      </c>
      <c r="C978" s="2" t="s">
        <v>2760</v>
      </c>
      <c r="D978" s="2" t="s">
        <v>48</v>
      </c>
      <c r="E978" s="2" t="s">
        <v>1185</v>
      </c>
      <c r="F978" s="2" t="s">
        <v>1186</v>
      </c>
      <c r="G978" s="2" t="s">
        <v>3129</v>
      </c>
    </row>
    <row r="979" customFormat="false" ht="15" hidden="false" customHeight="false" outlineLevel="0" collapsed="false">
      <c r="A979" s="2" t="s">
        <v>3130</v>
      </c>
      <c r="B979" s="2" t="s">
        <v>146</v>
      </c>
      <c r="C979" s="2" t="s">
        <v>2760</v>
      </c>
      <c r="D979" s="2" t="s">
        <v>48</v>
      </c>
      <c r="E979" s="2" t="s">
        <v>1185</v>
      </c>
      <c r="F979" s="2" t="s">
        <v>1186</v>
      </c>
      <c r="G979" s="2" t="s">
        <v>3131</v>
      </c>
    </row>
    <row r="980" customFormat="false" ht="15" hidden="false" customHeight="false" outlineLevel="0" collapsed="false">
      <c r="A980" s="2" t="s">
        <v>3132</v>
      </c>
      <c r="B980" s="2" t="s">
        <v>146</v>
      </c>
      <c r="C980" s="2" t="s">
        <v>2760</v>
      </c>
      <c r="D980" s="2" t="s">
        <v>48</v>
      </c>
      <c r="E980" s="2" t="s">
        <v>1185</v>
      </c>
      <c r="F980" s="2" t="s">
        <v>1186</v>
      </c>
      <c r="G980" s="2" t="s">
        <v>3133</v>
      </c>
    </row>
    <row r="981" customFormat="false" ht="15" hidden="false" customHeight="false" outlineLevel="0" collapsed="false">
      <c r="A981" s="2" t="s">
        <v>3134</v>
      </c>
      <c r="B981" s="2" t="s">
        <v>146</v>
      </c>
      <c r="C981" s="2" t="s">
        <v>2760</v>
      </c>
      <c r="D981" s="2" t="s">
        <v>48</v>
      </c>
      <c r="E981" s="2" t="s">
        <v>1185</v>
      </c>
      <c r="F981" s="2" t="s">
        <v>1186</v>
      </c>
      <c r="G981" s="2" t="s">
        <v>3135</v>
      </c>
    </row>
    <row r="982" customFormat="false" ht="15" hidden="false" customHeight="false" outlineLevel="0" collapsed="false">
      <c r="A982" s="2" t="s">
        <v>3136</v>
      </c>
      <c r="B982" s="2" t="s">
        <v>146</v>
      </c>
      <c r="C982" s="2" t="s">
        <v>2760</v>
      </c>
      <c r="D982" s="2" t="s">
        <v>48</v>
      </c>
      <c r="E982" s="2" t="s">
        <v>1185</v>
      </c>
      <c r="F982" s="2" t="s">
        <v>1186</v>
      </c>
      <c r="G982" s="2" t="s">
        <v>3137</v>
      </c>
    </row>
    <row r="983" customFormat="false" ht="15" hidden="false" customHeight="false" outlineLevel="0" collapsed="false">
      <c r="A983" s="2" t="s">
        <v>3138</v>
      </c>
      <c r="B983" s="2" t="s">
        <v>146</v>
      </c>
      <c r="C983" s="2" t="s">
        <v>2938</v>
      </c>
      <c r="D983" s="2" t="s">
        <v>49</v>
      </c>
      <c r="E983" s="2" t="s">
        <v>1563</v>
      </c>
      <c r="F983" s="2" t="s">
        <v>1186</v>
      </c>
      <c r="G983" s="2" t="s">
        <v>3139</v>
      </c>
    </row>
    <row r="984" customFormat="false" ht="15" hidden="false" customHeight="false" outlineLevel="0" collapsed="false">
      <c r="A984" s="2" t="s">
        <v>3140</v>
      </c>
      <c r="B984" s="2" t="s">
        <v>146</v>
      </c>
      <c r="C984" s="2" t="s">
        <v>2938</v>
      </c>
      <c r="D984" s="2" t="s">
        <v>49</v>
      </c>
      <c r="E984" s="2" t="s">
        <v>1563</v>
      </c>
      <c r="F984" s="2" t="s">
        <v>1186</v>
      </c>
      <c r="G984" s="2" t="s">
        <v>3141</v>
      </c>
    </row>
    <row r="985" customFormat="false" ht="15" hidden="false" customHeight="false" outlineLevel="0" collapsed="false">
      <c r="A985" s="2" t="s">
        <v>3142</v>
      </c>
      <c r="B985" s="2" t="s">
        <v>146</v>
      </c>
      <c r="C985" s="2" t="s">
        <v>2938</v>
      </c>
      <c r="D985" s="2" t="s">
        <v>49</v>
      </c>
      <c r="E985" s="2" t="s">
        <v>1563</v>
      </c>
      <c r="F985" s="2" t="s">
        <v>1186</v>
      </c>
      <c r="G985" s="2" t="s">
        <v>3143</v>
      </c>
    </row>
    <row r="986" customFormat="false" ht="15" hidden="false" customHeight="false" outlineLevel="0" collapsed="false">
      <c r="A986" s="2" t="s">
        <v>3144</v>
      </c>
      <c r="B986" s="2" t="s">
        <v>146</v>
      </c>
      <c r="C986" s="2" t="s">
        <v>2938</v>
      </c>
      <c r="D986" s="2" t="s">
        <v>49</v>
      </c>
      <c r="E986" s="2" t="s">
        <v>1563</v>
      </c>
      <c r="F986" s="2" t="s">
        <v>1186</v>
      </c>
      <c r="G986" s="2" t="s">
        <v>3145</v>
      </c>
    </row>
    <row r="987" customFormat="false" ht="15" hidden="false" customHeight="false" outlineLevel="0" collapsed="false">
      <c r="A987" s="2" t="s">
        <v>3146</v>
      </c>
      <c r="B987" s="2" t="s">
        <v>146</v>
      </c>
      <c r="C987" s="2" t="s">
        <v>2938</v>
      </c>
      <c r="D987" s="2" t="s">
        <v>49</v>
      </c>
      <c r="E987" s="2" t="s">
        <v>1563</v>
      </c>
      <c r="F987" s="2" t="s">
        <v>1186</v>
      </c>
      <c r="G987" s="2" t="s">
        <v>3147</v>
      </c>
    </row>
    <row r="988" customFormat="false" ht="15" hidden="false" customHeight="false" outlineLevel="0" collapsed="false">
      <c r="A988" s="2" t="s">
        <v>3148</v>
      </c>
      <c r="B988" s="2" t="s">
        <v>146</v>
      </c>
      <c r="C988" s="2" t="s">
        <v>2938</v>
      </c>
      <c r="D988" s="2" t="s">
        <v>49</v>
      </c>
      <c r="E988" s="2" t="s">
        <v>1563</v>
      </c>
      <c r="F988" s="2" t="s">
        <v>1186</v>
      </c>
      <c r="G988" s="2" t="s">
        <v>3149</v>
      </c>
    </row>
    <row r="989" customFormat="false" ht="15" hidden="false" customHeight="false" outlineLevel="0" collapsed="false">
      <c r="A989" s="2" t="s">
        <v>3150</v>
      </c>
      <c r="B989" s="2" t="s">
        <v>146</v>
      </c>
      <c r="C989" s="2" t="s">
        <v>2938</v>
      </c>
      <c r="D989" s="2" t="s">
        <v>49</v>
      </c>
      <c r="E989" s="2" t="s">
        <v>1563</v>
      </c>
      <c r="F989" s="2" t="s">
        <v>1186</v>
      </c>
      <c r="G989" s="2" t="s">
        <v>3151</v>
      </c>
    </row>
    <row r="990" customFormat="false" ht="15" hidden="false" customHeight="false" outlineLevel="0" collapsed="false">
      <c r="A990" s="2" t="s">
        <v>3152</v>
      </c>
      <c r="B990" s="2" t="s">
        <v>146</v>
      </c>
      <c r="C990" s="2" t="s">
        <v>2938</v>
      </c>
      <c r="D990" s="2" t="s">
        <v>49</v>
      </c>
      <c r="E990" s="2" t="s">
        <v>1563</v>
      </c>
      <c r="F990" s="2" t="s">
        <v>1186</v>
      </c>
      <c r="G990" s="2" t="s">
        <v>3153</v>
      </c>
    </row>
    <row r="991" customFormat="false" ht="15" hidden="false" customHeight="false" outlineLevel="0" collapsed="false">
      <c r="A991" s="2" t="s">
        <v>3154</v>
      </c>
      <c r="B991" s="2" t="s">
        <v>146</v>
      </c>
      <c r="C991" s="2" t="s">
        <v>2938</v>
      </c>
      <c r="D991" s="2" t="s">
        <v>49</v>
      </c>
      <c r="E991" s="2" t="s">
        <v>1563</v>
      </c>
      <c r="F991" s="2" t="s">
        <v>1186</v>
      </c>
      <c r="G991" s="2" t="s">
        <v>3155</v>
      </c>
    </row>
    <row r="992" customFormat="false" ht="15" hidden="false" customHeight="false" outlineLevel="0" collapsed="false">
      <c r="A992" s="2" t="s">
        <v>3156</v>
      </c>
      <c r="B992" s="2" t="s">
        <v>146</v>
      </c>
      <c r="C992" s="2" t="s">
        <v>2938</v>
      </c>
      <c r="D992" s="2" t="s">
        <v>49</v>
      </c>
      <c r="E992" s="2" t="s">
        <v>1563</v>
      </c>
      <c r="F992" s="2" t="s">
        <v>1186</v>
      </c>
      <c r="G992" s="2" t="s">
        <v>3157</v>
      </c>
    </row>
    <row r="993" customFormat="false" ht="15" hidden="false" customHeight="false" outlineLevel="0" collapsed="false">
      <c r="A993" s="2" t="s">
        <v>3158</v>
      </c>
      <c r="B993" s="2" t="s">
        <v>146</v>
      </c>
      <c r="C993" s="2" t="s">
        <v>2938</v>
      </c>
      <c r="D993" s="2" t="s">
        <v>49</v>
      </c>
      <c r="E993" s="2" t="s">
        <v>1563</v>
      </c>
      <c r="F993" s="2" t="s">
        <v>1186</v>
      </c>
      <c r="G993" s="2" t="s">
        <v>3159</v>
      </c>
    </row>
    <row r="994" customFormat="false" ht="15" hidden="false" customHeight="false" outlineLevel="0" collapsed="false">
      <c r="A994" s="2" t="s">
        <v>3160</v>
      </c>
      <c r="B994" s="2" t="s">
        <v>146</v>
      </c>
      <c r="C994" s="2" t="s">
        <v>2938</v>
      </c>
      <c r="D994" s="2" t="s">
        <v>49</v>
      </c>
      <c r="E994" s="2" t="s">
        <v>1563</v>
      </c>
      <c r="F994" s="2" t="s">
        <v>1186</v>
      </c>
      <c r="G994" s="2" t="s">
        <v>3161</v>
      </c>
    </row>
    <row r="995" customFormat="false" ht="15" hidden="false" customHeight="false" outlineLevel="0" collapsed="false">
      <c r="A995" s="2" t="s">
        <v>3162</v>
      </c>
      <c r="B995" s="2" t="s">
        <v>146</v>
      </c>
      <c r="C995" s="2" t="s">
        <v>2938</v>
      </c>
      <c r="D995" s="2" t="s">
        <v>49</v>
      </c>
      <c r="E995" s="2" t="s">
        <v>1563</v>
      </c>
      <c r="F995" s="2" t="s">
        <v>1186</v>
      </c>
      <c r="G995" s="2" t="s">
        <v>3163</v>
      </c>
    </row>
    <row r="996" customFormat="false" ht="15" hidden="false" customHeight="false" outlineLevel="0" collapsed="false">
      <c r="A996" s="2" t="s">
        <v>3164</v>
      </c>
      <c r="B996" s="2" t="s">
        <v>146</v>
      </c>
      <c r="C996" s="2" t="s">
        <v>2938</v>
      </c>
      <c r="D996" s="2" t="s">
        <v>49</v>
      </c>
      <c r="E996" s="2" t="s">
        <v>1563</v>
      </c>
      <c r="F996" s="2" t="s">
        <v>1186</v>
      </c>
      <c r="G996" s="2" t="s">
        <v>3165</v>
      </c>
    </row>
    <row r="997" customFormat="false" ht="15" hidden="false" customHeight="false" outlineLevel="0" collapsed="false">
      <c r="A997" s="2" t="s">
        <v>3166</v>
      </c>
      <c r="B997" s="2" t="s">
        <v>146</v>
      </c>
      <c r="C997" s="2" t="s">
        <v>2938</v>
      </c>
      <c r="D997" s="2" t="s">
        <v>49</v>
      </c>
      <c r="E997" s="2" t="s">
        <v>1563</v>
      </c>
      <c r="F997" s="2" t="s">
        <v>1186</v>
      </c>
      <c r="G997" s="2" t="s">
        <v>3167</v>
      </c>
    </row>
    <row r="998" customFormat="false" ht="15" hidden="false" customHeight="false" outlineLevel="0" collapsed="false">
      <c r="A998" s="2" t="s">
        <v>3168</v>
      </c>
      <c r="B998" s="2" t="s">
        <v>146</v>
      </c>
      <c r="C998" s="2" t="s">
        <v>2938</v>
      </c>
      <c r="D998" s="2" t="s">
        <v>49</v>
      </c>
      <c r="E998" s="2" t="s">
        <v>1563</v>
      </c>
      <c r="F998" s="2" t="s">
        <v>1186</v>
      </c>
      <c r="G998" s="2" t="s">
        <v>3169</v>
      </c>
    </row>
    <row r="999" customFormat="false" ht="15" hidden="false" customHeight="false" outlineLevel="0" collapsed="false">
      <c r="A999" s="2" t="s">
        <v>3170</v>
      </c>
      <c r="B999" s="2" t="s">
        <v>146</v>
      </c>
      <c r="C999" s="2" t="s">
        <v>2938</v>
      </c>
      <c r="D999" s="2" t="s">
        <v>49</v>
      </c>
      <c r="E999" s="2" t="s">
        <v>1563</v>
      </c>
      <c r="F999" s="2" t="s">
        <v>1186</v>
      </c>
      <c r="G999" s="2" t="s">
        <v>3171</v>
      </c>
    </row>
    <row r="1000" customFormat="false" ht="15" hidden="false" customHeight="false" outlineLevel="0" collapsed="false">
      <c r="A1000" s="2" t="s">
        <v>3172</v>
      </c>
      <c r="B1000" s="2" t="s">
        <v>146</v>
      </c>
      <c r="C1000" s="2" t="s">
        <v>2938</v>
      </c>
      <c r="D1000" s="2" t="s">
        <v>49</v>
      </c>
      <c r="E1000" s="2" t="s">
        <v>1563</v>
      </c>
      <c r="F1000" s="2" t="s">
        <v>1186</v>
      </c>
      <c r="G1000" s="2" t="s">
        <v>3173</v>
      </c>
    </row>
    <row r="1001" customFormat="false" ht="15" hidden="false" customHeight="false" outlineLevel="0" collapsed="false">
      <c r="A1001" s="2" t="s">
        <v>3174</v>
      </c>
      <c r="B1001" s="2" t="s">
        <v>146</v>
      </c>
      <c r="C1001" s="2" t="s">
        <v>2938</v>
      </c>
      <c r="D1001" s="2" t="s">
        <v>49</v>
      </c>
      <c r="E1001" s="2" t="s">
        <v>1563</v>
      </c>
      <c r="F1001" s="2" t="s">
        <v>1186</v>
      </c>
      <c r="G1001" s="2" t="s">
        <v>3175</v>
      </c>
    </row>
    <row r="1002" customFormat="false" ht="15" hidden="false" customHeight="false" outlineLevel="0" collapsed="false">
      <c r="A1002" s="2" t="s">
        <v>3176</v>
      </c>
      <c r="B1002" s="2" t="s">
        <v>146</v>
      </c>
      <c r="C1002" s="2" t="s">
        <v>2408</v>
      </c>
      <c r="D1002" s="2" t="s">
        <v>50</v>
      </c>
      <c r="E1002" s="2" t="s">
        <v>1194</v>
      </c>
      <c r="F1002" s="2" t="s">
        <v>1186</v>
      </c>
      <c r="G1002" s="2" t="s">
        <v>3177</v>
      </c>
    </row>
    <row r="1003" customFormat="false" ht="15" hidden="false" customHeight="false" outlineLevel="0" collapsed="false">
      <c r="A1003" s="2" t="s">
        <v>3178</v>
      </c>
      <c r="B1003" s="2" t="s">
        <v>146</v>
      </c>
      <c r="C1003" s="2" t="s">
        <v>2408</v>
      </c>
      <c r="D1003" s="2" t="s">
        <v>50</v>
      </c>
      <c r="E1003" s="2" t="s">
        <v>1194</v>
      </c>
      <c r="F1003" s="2" t="s">
        <v>1186</v>
      </c>
      <c r="G1003" s="2" t="s">
        <v>3179</v>
      </c>
    </row>
    <row r="1004" customFormat="false" ht="15" hidden="false" customHeight="false" outlineLevel="0" collapsed="false">
      <c r="A1004" s="2" t="s">
        <v>3180</v>
      </c>
      <c r="B1004" s="2" t="s">
        <v>146</v>
      </c>
      <c r="C1004" s="2" t="s">
        <v>2408</v>
      </c>
      <c r="D1004" s="2" t="s">
        <v>50</v>
      </c>
      <c r="E1004" s="2" t="s">
        <v>1194</v>
      </c>
      <c r="F1004" s="2" t="s">
        <v>1186</v>
      </c>
      <c r="G1004" s="2" t="s">
        <v>3181</v>
      </c>
    </row>
    <row r="1005" customFormat="false" ht="15" hidden="false" customHeight="false" outlineLevel="0" collapsed="false">
      <c r="A1005" s="2" t="s">
        <v>3182</v>
      </c>
      <c r="B1005" s="2" t="s">
        <v>146</v>
      </c>
      <c r="C1005" s="2" t="s">
        <v>2408</v>
      </c>
      <c r="D1005" s="2" t="s">
        <v>50</v>
      </c>
      <c r="E1005" s="2" t="s">
        <v>1194</v>
      </c>
      <c r="F1005" s="2" t="s">
        <v>1186</v>
      </c>
      <c r="G1005" s="2" t="s">
        <v>3183</v>
      </c>
    </row>
    <row r="1006" customFormat="false" ht="15" hidden="false" customHeight="false" outlineLevel="0" collapsed="false">
      <c r="A1006" s="2" t="s">
        <v>3184</v>
      </c>
      <c r="B1006" s="2" t="s">
        <v>146</v>
      </c>
      <c r="C1006" s="2" t="s">
        <v>2408</v>
      </c>
      <c r="D1006" s="2" t="s">
        <v>50</v>
      </c>
      <c r="E1006" s="2" t="s">
        <v>1194</v>
      </c>
      <c r="F1006" s="2" t="s">
        <v>1186</v>
      </c>
      <c r="G1006" s="2" t="s">
        <v>3185</v>
      </c>
    </row>
    <row r="1007" customFormat="false" ht="15" hidden="false" customHeight="false" outlineLevel="0" collapsed="false">
      <c r="A1007" s="2" t="s">
        <v>3186</v>
      </c>
      <c r="B1007" s="2" t="s">
        <v>146</v>
      </c>
      <c r="C1007" s="2" t="s">
        <v>2408</v>
      </c>
      <c r="D1007" s="2" t="s">
        <v>50</v>
      </c>
      <c r="E1007" s="2" t="s">
        <v>1194</v>
      </c>
      <c r="F1007" s="2" t="s">
        <v>1186</v>
      </c>
      <c r="G1007" s="2" t="s">
        <v>3187</v>
      </c>
    </row>
    <row r="1008" customFormat="false" ht="15" hidden="false" customHeight="false" outlineLevel="0" collapsed="false">
      <c r="A1008" s="2" t="s">
        <v>3188</v>
      </c>
      <c r="B1008" s="2" t="s">
        <v>146</v>
      </c>
      <c r="C1008" s="2" t="s">
        <v>2408</v>
      </c>
      <c r="D1008" s="2" t="s">
        <v>50</v>
      </c>
      <c r="E1008" s="2" t="s">
        <v>1194</v>
      </c>
      <c r="F1008" s="2" t="s">
        <v>1186</v>
      </c>
      <c r="G1008" s="2" t="s">
        <v>3189</v>
      </c>
    </row>
    <row r="1009" customFormat="false" ht="15" hidden="false" customHeight="false" outlineLevel="0" collapsed="false">
      <c r="A1009" s="2" t="s">
        <v>3190</v>
      </c>
      <c r="B1009" s="2" t="s">
        <v>146</v>
      </c>
      <c r="C1009" s="2" t="s">
        <v>2408</v>
      </c>
      <c r="D1009" s="2" t="s">
        <v>50</v>
      </c>
      <c r="E1009" s="2" t="s">
        <v>1194</v>
      </c>
      <c r="F1009" s="2" t="s">
        <v>1186</v>
      </c>
      <c r="G1009" s="2" t="s">
        <v>3191</v>
      </c>
    </row>
    <row r="1010" customFormat="false" ht="15" hidden="false" customHeight="false" outlineLevel="0" collapsed="false">
      <c r="A1010" s="2" t="s">
        <v>3192</v>
      </c>
      <c r="B1010" s="2" t="s">
        <v>146</v>
      </c>
      <c r="C1010" s="2" t="s">
        <v>2408</v>
      </c>
      <c r="D1010" s="2" t="s">
        <v>50</v>
      </c>
      <c r="E1010" s="2" t="s">
        <v>1194</v>
      </c>
      <c r="F1010" s="2" t="s">
        <v>1186</v>
      </c>
      <c r="G1010" s="2" t="s">
        <v>3193</v>
      </c>
    </row>
    <row r="1011" customFormat="false" ht="15" hidden="false" customHeight="false" outlineLevel="0" collapsed="false">
      <c r="A1011" s="2" t="s">
        <v>3194</v>
      </c>
      <c r="B1011" s="2" t="s">
        <v>146</v>
      </c>
      <c r="C1011" s="2" t="s">
        <v>2408</v>
      </c>
      <c r="D1011" s="2" t="s">
        <v>50</v>
      </c>
      <c r="E1011" s="2" t="s">
        <v>1194</v>
      </c>
      <c r="F1011" s="2" t="s">
        <v>1186</v>
      </c>
      <c r="G1011" s="2" t="s">
        <v>3195</v>
      </c>
    </row>
    <row r="1012" customFormat="false" ht="15" hidden="false" customHeight="false" outlineLevel="0" collapsed="false">
      <c r="A1012" s="2" t="s">
        <v>3196</v>
      </c>
      <c r="B1012" s="2" t="s">
        <v>146</v>
      </c>
      <c r="C1012" s="2" t="s">
        <v>2408</v>
      </c>
      <c r="D1012" s="2" t="s">
        <v>50</v>
      </c>
      <c r="E1012" s="2" t="s">
        <v>1194</v>
      </c>
      <c r="F1012" s="2" t="s">
        <v>1186</v>
      </c>
      <c r="G1012" s="2" t="s">
        <v>3197</v>
      </c>
    </row>
    <row r="1013" customFormat="false" ht="15" hidden="false" customHeight="false" outlineLevel="0" collapsed="false">
      <c r="A1013" s="2" t="s">
        <v>3198</v>
      </c>
      <c r="B1013" s="2" t="s">
        <v>146</v>
      </c>
      <c r="C1013" s="2" t="s">
        <v>2408</v>
      </c>
      <c r="D1013" s="2" t="s">
        <v>50</v>
      </c>
      <c r="E1013" s="2" t="s">
        <v>1194</v>
      </c>
      <c r="F1013" s="2" t="s">
        <v>1186</v>
      </c>
      <c r="G1013" s="2" t="s">
        <v>3199</v>
      </c>
    </row>
    <row r="1014" customFormat="false" ht="15" hidden="false" customHeight="false" outlineLevel="0" collapsed="false">
      <c r="A1014" s="2" t="s">
        <v>3200</v>
      </c>
      <c r="B1014" s="2" t="s">
        <v>146</v>
      </c>
      <c r="C1014" s="2" t="s">
        <v>2408</v>
      </c>
      <c r="D1014" s="2" t="s">
        <v>50</v>
      </c>
      <c r="E1014" s="2" t="s">
        <v>1194</v>
      </c>
      <c r="F1014" s="2" t="s">
        <v>1186</v>
      </c>
      <c r="G1014" s="2" t="s">
        <v>3201</v>
      </c>
    </row>
    <row r="1015" customFormat="false" ht="15" hidden="false" customHeight="false" outlineLevel="0" collapsed="false">
      <c r="A1015" s="2" t="s">
        <v>3202</v>
      </c>
      <c r="B1015" s="2" t="s">
        <v>146</v>
      </c>
      <c r="C1015" s="2" t="s">
        <v>2408</v>
      </c>
      <c r="D1015" s="2" t="s">
        <v>50</v>
      </c>
      <c r="E1015" s="2" t="s">
        <v>1194</v>
      </c>
      <c r="F1015" s="2" t="s">
        <v>1186</v>
      </c>
      <c r="G1015" s="2" t="s">
        <v>3203</v>
      </c>
    </row>
    <row r="1016" customFormat="false" ht="15" hidden="false" customHeight="false" outlineLevel="0" collapsed="false">
      <c r="A1016" s="2" t="s">
        <v>3204</v>
      </c>
      <c r="B1016" s="2" t="s">
        <v>146</v>
      </c>
      <c r="C1016" s="2" t="s">
        <v>2408</v>
      </c>
      <c r="D1016" s="2" t="s">
        <v>50</v>
      </c>
      <c r="E1016" s="2" t="s">
        <v>1194</v>
      </c>
      <c r="F1016" s="2" t="s">
        <v>1186</v>
      </c>
      <c r="G1016" s="2" t="s">
        <v>3205</v>
      </c>
    </row>
    <row r="1017" customFormat="false" ht="15" hidden="false" customHeight="false" outlineLevel="0" collapsed="false">
      <c r="A1017" s="2" t="s">
        <v>3206</v>
      </c>
      <c r="B1017" s="2" t="s">
        <v>146</v>
      </c>
      <c r="C1017" s="2" t="s">
        <v>2408</v>
      </c>
      <c r="D1017" s="2" t="s">
        <v>50</v>
      </c>
      <c r="E1017" s="2" t="s">
        <v>1194</v>
      </c>
      <c r="F1017" s="2" t="s">
        <v>1186</v>
      </c>
      <c r="G1017" s="2" t="s">
        <v>3207</v>
      </c>
    </row>
    <row r="1018" customFormat="false" ht="15" hidden="false" customHeight="false" outlineLevel="0" collapsed="false">
      <c r="A1018" s="2" t="s">
        <v>3208</v>
      </c>
      <c r="B1018" s="2" t="s">
        <v>146</v>
      </c>
      <c r="C1018" s="2" t="s">
        <v>2408</v>
      </c>
      <c r="D1018" s="2" t="s">
        <v>50</v>
      </c>
      <c r="E1018" s="2" t="s">
        <v>1194</v>
      </c>
      <c r="F1018" s="2" t="s">
        <v>1186</v>
      </c>
      <c r="G1018" s="2" t="s">
        <v>3209</v>
      </c>
    </row>
    <row r="1019" customFormat="false" ht="15" hidden="false" customHeight="false" outlineLevel="0" collapsed="false">
      <c r="A1019" s="2" t="s">
        <v>3210</v>
      </c>
      <c r="B1019" s="2" t="s">
        <v>146</v>
      </c>
      <c r="C1019" s="2" t="s">
        <v>2408</v>
      </c>
      <c r="D1019" s="2" t="s">
        <v>50</v>
      </c>
      <c r="E1019" s="2" t="s">
        <v>1194</v>
      </c>
      <c r="F1019" s="2" t="s">
        <v>1186</v>
      </c>
      <c r="G1019" s="2" t="s">
        <v>3211</v>
      </c>
    </row>
    <row r="1020" customFormat="false" ht="15" hidden="false" customHeight="false" outlineLevel="0" collapsed="false">
      <c r="A1020" s="2" t="s">
        <v>3212</v>
      </c>
      <c r="B1020" s="2" t="s">
        <v>146</v>
      </c>
      <c r="C1020" s="2" t="s">
        <v>2408</v>
      </c>
      <c r="D1020" s="2" t="s">
        <v>50</v>
      </c>
      <c r="E1020" s="2" t="s">
        <v>1194</v>
      </c>
      <c r="F1020" s="2" t="s">
        <v>1186</v>
      </c>
      <c r="G1020" s="2" t="s">
        <v>3213</v>
      </c>
    </row>
    <row r="1021" customFormat="false" ht="15" hidden="false" customHeight="false" outlineLevel="0" collapsed="false">
      <c r="A1021" s="2" t="s">
        <v>3214</v>
      </c>
      <c r="B1021" s="2" t="s">
        <v>146</v>
      </c>
      <c r="C1021" s="2" t="s">
        <v>2408</v>
      </c>
      <c r="D1021" s="2" t="s">
        <v>50</v>
      </c>
      <c r="E1021" s="2" t="s">
        <v>1194</v>
      </c>
      <c r="F1021" s="2" t="s">
        <v>1186</v>
      </c>
      <c r="G1021" s="2" t="s">
        <v>3215</v>
      </c>
    </row>
    <row r="1022" customFormat="false" ht="15" hidden="false" customHeight="false" outlineLevel="0" collapsed="false">
      <c r="A1022" s="2" t="s">
        <v>3216</v>
      </c>
      <c r="B1022" s="2" t="s">
        <v>146</v>
      </c>
      <c r="C1022" s="2" t="s">
        <v>2408</v>
      </c>
      <c r="D1022" s="2" t="s">
        <v>50</v>
      </c>
      <c r="E1022" s="2" t="s">
        <v>1194</v>
      </c>
      <c r="F1022" s="2" t="s">
        <v>1186</v>
      </c>
      <c r="G1022" s="2" t="s">
        <v>3217</v>
      </c>
    </row>
    <row r="1023" customFormat="false" ht="15" hidden="false" customHeight="false" outlineLevel="0" collapsed="false">
      <c r="A1023" s="2" t="s">
        <v>3218</v>
      </c>
      <c r="B1023" s="2" t="s">
        <v>146</v>
      </c>
      <c r="C1023" s="2" t="s">
        <v>2408</v>
      </c>
      <c r="D1023" s="2" t="s">
        <v>50</v>
      </c>
      <c r="E1023" s="2" t="s">
        <v>1194</v>
      </c>
      <c r="F1023" s="2" t="s">
        <v>1186</v>
      </c>
      <c r="G1023" s="2" t="s">
        <v>3219</v>
      </c>
    </row>
    <row r="1024" customFormat="false" ht="15" hidden="false" customHeight="false" outlineLevel="0" collapsed="false">
      <c r="A1024" s="2" t="s">
        <v>3220</v>
      </c>
      <c r="B1024" s="2" t="s">
        <v>146</v>
      </c>
      <c r="C1024" s="2" t="s">
        <v>2408</v>
      </c>
      <c r="D1024" s="2" t="s">
        <v>50</v>
      </c>
      <c r="E1024" s="2" t="s">
        <v>1194</v>
      </c>
      <c r="F1024" s="2" t="s">
        <v>1186</v>
      </c>
      <c r="G1024" s="2" t="s">
        <v>3221</v>
      </c>
    </row>
    <row r="1025" customFormat="false" ht="15" hidden="false" customHeight="false" outlineLevel="0" collapsed="false">
      <c r="A1025" s="2" t="s">
        <v>3222</v>
      </c>
      <c r="B1025" s="2" t="s">
        <v>146</v>
      </c>
      <c r="C1025" s="2" t="s">
        <v>2408</v>
      </c>
      <c r="D1025" s="2" t="s">
        <v>50</v>
      </c>
      <c r="E1025" s="2" t="s">
        <v>1194</v>
      </c>
      <c r="F1025" s="2" t="s">
        <v>1186</v>
      </c>
      <c r="G1025" s="2" t="s">
        <v>3223</v>
      </c>
    </row>
    <row r="1026" customFormat="false" ht="15" hidden="false" customHeight="false" outlineLevel="0" collapsed="false">
      <c r="A1026" s="2" t="s">
        <v>3224</v>
      </c>
      <c r="B1026" s="2" t="s">
        <v>146</v>
      </c>
      <c r="C1026" s="2" t="s">
        <v>2408</v>
      </c>
      <c r="D1026" s="2" t="s">
        <v>50</v>
      </c>
      <c r="E1026" s="2" t="s">
        <v>1194</v>
      </c>
      <c r="F1026" s="2" t="s">
        <v>1186</v>
      </c>
      <c r="G1026" s="2" t="s">
        <v>3225</v>
      </c>
    </row>
    <row r="1027" customFormat="false" ht="15" hidden="false" customHeight="false" outlineLevel="0" collapsed="false">
      <c r="A1027" s="2" t="s">
        <v>3226</v>
      </c>
      <c r="B1027" s="2" t="s">
        <v>146</v>
      </c>
      <c r="C1027" s="2" t="s">
        <v>2408</v>
      </c>
      <c r="D1027" s="2" t="s">
        <v>50</v>
      </c>
      <c r="E1027" s="2" t="s">
        <v>1194</v>
      </c>
      <c r="F1027" s="2" t="s">
        <v>1186</v>
      </c>
      <c r="G1027" s="2" t="s">
        <v>3227</v>
      </c>
    </row>
    <row r="1028" customFormat="false" ht="15" hidden="false" customHeight="false" outlineLevel="0" collapsed="false">
      <c r="A1028" s="2" t="s">
        <v>3228</v>
      </c>
      <c r="B1028" s="2" t="s">
        <v>146</v>
      </c>
      <c r="C1028" s="2" t="s">
        <v>2408</v>
      </c>
      <c r="D1028" s="2" t="s">
        <v>50</v>
      </c>
      <c r="E1028" s="2" t="s">
        <v>1194</v>
      </c>
      <c r="F1028" s="2" t="s">
        <v>1186</v>
      </c>
      <c r="G1028" s="2" t="s">
        <v>3229</v>
      </c>
    </row>
    <row r="1029" customFormat="false" ht="15" hidden="false" customHeight="false" outlineLevel="0" collapsed="false">
      <c r="A1029" s="2" t="s">
        <v>3230</v>
      </c>
      <c r="B1029" s="2" t="s">
        <v>146</v>
      </c>
      <c r="C1029" s="2" t="s">
        <v>2408</v>
      </c>
      <c r="D1029" s="2" t="s">
        <v>50</v>
      </c>
      <c r="E1029" s="2" t="s">
        <v>1194</v>
      </c>
      <c r="F1029" s="2" t="s">
        <v>1186</v>
      </c>
      <c r="G1029" s="2" t="s">
        <v>3231</v>
      </c>
    </row>
    <row r="1030" customFormat="false" ht="15" hidden="false" customHeight="false" outlineLevel="0" collapsed="false">
      <c r="A1030" s="2" t="s">
        <v>3232</v>
      </c>
      <c r="B1030" s="2" t="s">
        <v>146</v>
      </c>
      <c r="C1030" s="2" t="s">
        <v>2408</v>
      </c>
      <c r="D1030" s="2" t="s">
        <v>50</v>
      </c>
      <c r="E1030" s="2" t="s">
        <v>1194</v>
      </c>
      <c r="F1030" s="2" t="s">
        <v>1186</v>
      </c>
      <c r="G1030" s="2" t="s">
        <v>3233</v>
      </c>
    </row>
    <row r="1031" customFormat="false" ht="15" hidden="false" customHeight="false" outlineLevel="0" collapsed="false">
      <c r="A1031" s="2" t="s">
        <v>3234</v>
      </c>
      <c r="B1031" s="2" t="s">
        <v>146</v>
      </c>
      <c r="C1031" s="2" t="s">
        <v>2408</v>
      </c>
      <c r="D1031" s="2" t="s">
        <v>50</v>
      </c>
      <c r="E1031" s="2" t="s">
        <v>1194</v>
      </c>
      <c r="F1031" s="2" t="s">
        <v>1186</v>
      </c>
      <c r="G1031" s="2" t="s">
        <v>3235</v>
      </c>
    </row>
    <row r="1032" customFormat="false" ht="15" hidden="false" customHeight="false" outlineLevel="0" collapsed="false">
      <c r="A1032" s="2" t="s">
        <v>3236</v>
      </c>
      <c r="B1032" s="2" t="s">
        <v>146</v>
      </c>
      <c r="C1032" s="2" t="s">
        <v>2408</v>
      </c>
      <c r="D1032" s="2" t="s">
        <v>50</v>
      </c>
      <c r="E1032" s="2" t="s">
        <v>1194</v>
      </c>
      <c r="F1032" s="2" t="s">
        <v>1186</v>
      </c>
      <c r="G1032" s="2" t="s">
        <v>3237</v>
      </c>
    </row>
    <row r="1033" customFormat="false" ht="15" hidden="false" customHeight="false" outlineLevel="0" collapsed="false">
      <c r="A1033" s="2" t="s">
        <v>3238</v>
      </c>
      <c r="B1033" s="2" t="s">
        <v>146</v>
      </c>
      <c r="C1033" s="2" t="s">
        <v>2408</v>
      </c>
      <c r="D1033" s="2" t="s">
        <v>50</v>
      </c>
      <c r="E1033" s="2" t="s">
        <v>1194</v>
      </c>
      <c r="F1033" s="2" t="s">
        <v>1186</v>
      </c>
      <c r="G1033" s="2" t="s">
        <v>3239</v>
      </c>
    </row>
    <row r="1034" customFormat="false" ht="15" hidden="false" customHeight="false" outlineLevel="0" collapsed="false">
      <c r="A1034" s="2" t="s">
        <v>3240</v>
      </c>
      <c r="B1034" s="2" t="s">
        <v>146</v>
      </c>
      <c r="C1034" s="2" t="s">
        <v>2408</v>
      </c>
      <c r="D1034" s="2" t="s">
        <v>50</v>
      </c>
      <c r="E1034" s="2" t="s">
        <v>1194</v>
      </c>
      <c r="F1034" s="2" t="s">
        <v>1186</v>
      </c>
      <c r="G1034" s="2" t="s">
        <v>3241</v>
      </c>
    </row>
    <row r="1035" customFormat="false" ht="15" hidden="false" customHeight="false" outlineLevel="0" collapsed="false">
      <c r="A1035" s="2" t="s">
        <v>3242</v>
      </c>
      <c r="B1035" s="2" t="s">
        <v>146</v>
      </c>
      <c r="C1035" s="2" t="s">
        <v>2408</v>
      </c>
      <c r="D1035" s="2" t="s">
        <v>50</v>
      </c>
      <c r="E1035" s="2" t="s">
        <v>1194</v>
      </c>
      <c r="F1035" s="2" t="s">
        <v>1186</v>
      </c>
      <c r="G1035" s="2" t="s">
        <v>3243</v>
      </c>
    </row>
    <row r="1036" customFormat="false" ht="15" hidden="false" customHeight="false" outlineLevel="0" collapsed="false">
      <c r="A1036" s="2" t="s">
        <v>3244</v>
      </c>
      <c r="B1036" s="2" t="s">
        <v>146</v>
      </c>
      <c r="C1036" s="2" t="s">
        <v>2408</v>
      </c>
      <c r="D1036" s="2" t="s">
        <v>50</v>
      </c>
      <c r="E1036" s="2" t="s">
        <v>1194</v>
      </c>
      <c r="F1036" s="2" t="s">
        <v>1186</v>
      </c>
      <c r="G1036" s="2" t="s">
        <v>3245</v>
      </c>
    </row>
    <row r="1037" customFormat="false" ht="15" hidden="false" customHeight="false" outlineLevel="0" collapsed="false">
      <c r="A1037" s="2" t="s">
        <v>3246</v>
      </c>
      <c r="B1037" s="2" t="s">
        <v>146</v>
      </c>
      <c r="C1037" s="2" t="s">
        <v>2408</v>
      </c>
      <c r="D1037" s="2" t="s">
        <v>50</v>
      </c>
      <c r="E1037" s="2" t="s">
        <v>1194</v>
      </c>
      <c r="F1037" s="2" t="s">
        <v>1186</v>
      </c>
      <c r="G1037" s="2" t="s">
        <v>3247</v>
      </c>
    </row>
    <row r="1038" customFormat="false" ht="15" hidden="false" customHeight="false" outlineLevel="0" collapsed="false">
      <c r="A1038" s="2" t="s">
        <v>3248</v>
      </c>
      <c r="B1038" s="2" t="s">
        <v>146</v>
      </c>
      <c r="C1038" s="2" t="s">
        <v>2408</v>
      </c>
      <c r="D1038" s="2" t="s">
        <v>50</v>
      </c>
      <c r="E1038" s="2" t="s">
        <v>1194</v>
      </c>
      <c r="F1038" s="2" t="s">
        <v>1186</v>
      </c>
      <c r="G1038" s="2" t="s">
        <v>3249</v>
      </c>
    </row>
    <row r="1039" customFormat="false" ht="15" hidden="false" customHeight="false" outlineLevel="0" collapsed="false">
      <c r="A1039" s="2" t="s">
        <v>3250</v>
      </c>
      <c r="B1039" s="2" t="s">
        <v>146</v>
      </c>
      <c r="C1039" s="2" t="s">
        <v>2408</v>
      </c>
      <c r="D1039" s="2" t="s">
        <v>50</v>
      </c>
      <c r="E1039" s="2" t="s">
        <v>1194</v>
      </c>
      <c r="F1039" s="2" t="s">
        <v>1186</v>
      </c>
      <c r="G1039" s="2" t="s">
        <v>3251</v>
      </c>
    </row>
    <row r="1040" customFormat="false" ht="15" hidden="false" customHeight="false" outlineLevel="0" collapsed="false">
      <c r="A1040" s="2" t="s">
        <v>3252</v>
      </c>
      <c r="B1040" s="2" t="s">
        <v>146</v>
      </c>
      <c r="C1040" s="2" t="s">
        <v>2408</v>
      </c>
      <c r="D1040" s="2" t="s">
        <v>50</v>
      </c>
      <c r="E1040" s="2" t="s">
        <v>1194</v>
      </c>
      <c r="F1040" s="2" t="s">
        <v>1186</v>
      </c>
      <c r="G1040" s="2" t="s">
        <v>3253</v>
      </c>
    </row>
    <row r="1041" customFormat="false" ht="15" hidden="false" customHeight="false" outlineLevel="0" collapsed="false">
      <c r="A1041" s="2" t="s">
        <v>3254</v>
      </c>
      <c r="B1041" s="2" t="s">
        <v>146</v>
      </c>
      <c r="C1041" s="2" t="s">
        <v>2408</v>
      </c>
      <c r="D1041" s="2" t="s">
        <v>50</v>
      </c>
      <c r="E1041" s="2" t="s">
        <v>1194</v>
      </c>
      <c r="F1041" s="2" t="s">
        <v>1186</v>
      </c>
      <c r="G1041" s="2" t="s">
        <v>3255</v>
      </c>
    </row>
    <row r="1042" customFormat="false" ht="15" hidden="false" customHeight="false" outlineLevel="0" collapsed="false">
      <c r="A1042" s="2" t="s">
        <v>3256</v>
      </c>
      <c r="B1042" s="2" t="s">
        <v>146</v>
      </c>
      <c r="C1042" s="2" t="s">
        <v>2408</v>
      </c>
      <c r="D1042" s="2" t="s">
        <v>50</v>
      </c>
      <c r="E1042" s="2" t="s">
        <v>1194</v>
      </c>
      <c r="F1042" s="2" t="s">
        <v>1186</v>
      </c>
      <c r="G1042" s="2" t="s">
        <v>3257</v>
      </c>
    </row>
    <row r="1043" customFormat="false" ht="15" hidden="false" customHeight="false" outlineLevel="0" collapsed="false">
      <c r="A1043" s="2" t="s">
        <v>3258</v>
      </c>
      <c r="B1043" s="2" t="s">
        <v>146</v>
      </c>
      <c r="C1043" s="2" t="s">
        <v>2408</v>
      </c>
      <c r="D1043" s="2" t="s">
        <v>50</v>
      </c>
      <c r="E1043" s="2" t="s">
        <v>1194</v>
      </c>
      <c r="F1043" s="2" t="s">
        <v>1186</v>
      </c>
      <c r="G1043" s="2" t="s">
        <v>3259</v>
      </c>
    </row>
    <row r="1044" customFormat="false" ht="15" hidden="false" customHeight="false" outlineLevel="0" collapsed="false">
      <c r="A1044" s="2" t="s">
        <v>3260</v>
      </c>
      <c r="B1044" s="2" t="s">
        <v>146</v>
      </c>
      <c r="C1044" s="2" t="s">
        <v>2408</v>
      </c>
      <c r="D1044" s="2" t="s">
        <v>50</v>
      </c>
      <c r="E1044" s="2" t="s">
        <v>1194</v>
      </c>
      <c r="F1044" s="2" t="s">
        <v>1186</v>
      </c>
      <c r="G1044" s="2" t="s">
        <v>3261</v>
      </c>
    </row>
    <row r="1045" customFormat="false" ht="15" hidden="false" customHeight="false" outlineLevel="0" collapsed="false">
      <c r="A1045" s="2" t="s">
        <v>3262</v>
      </c>
      <c r="B1045" s="2" t="s">
        <v>146</v>
      </c>
      <c r="C1045" s="2" t="s">
        <v>2408</v>
      </c>
      <c r="D1045" s="2" t="s">
        <v>50</v>
      </c>
      <c r="E1045" s="2" t="s">
        <v>1194</v>
      </c>
      <c r="F1045" s="2" t="s">
        <v>1186</v>
      </c>
      <c r="G1045" s="2" t="s">
        <v>3263</v>
      </c>
    </row>
    <row r="1046" customFormat="false" ht="15" hidden="false" customHeight="false" outlineLevel="0" collapsed="false">
      <c r="A1046" s="2" t="s">
        <v>3264</v>
      </c>
      <c r="B1046" s="2" t="s">
        <v>146</v>
      </c>
      <c r="C1046" s="2" t="s">
        <v>2408</v>
      </c>
      <c r="D1046" s="2" t="s">
        <v>50</v>
      </c>
      <c r="E1046" s="2" t="s">
        <v>1194</v>
      </c>
      <c r="F1046" s="2" t="s">
        <v>1186</v>
      </c>
      <c r="G1046" s="2" t="s">
        <v>3265</v>
      </c>
    </row>
    <row r="1047" customFormat="false" ht="15" hidden="false" customHeight="false" outlineLevel="0" collapsed="false">
      <c r="A1047" s="2" t="s">
        <v>3266</v>
      </c>
      <c r="B1047" s="2" t="s">
        <v>146</v>
      </c>
      <c r="C1047" s="2" t="s">
        <v>2408</v>
      </c>
      <c r="D1047" s="2" t="s">
        <v>50</v>
      </c>
      <c r="E1047" s="2" t="s">
        <v>1194</v>
      </c>
      <c r="F1047" s="2" t="s">
        <v>1186</v>
      </c>
      <c r="G1047" s="2" t="s">
        <v>3267</v>
      </c>
    </row>
    <row r="1048" customFormat="false" ht="15" hidden="false" customHeight="false" outlineLevel="0" collapsed="false">
      <c r="A1048" s="2" t="s">
        <v>3268</v>
      </c>
      <c r="B1048" s="2" t="s">
        <v>146</v>
      </c>
      <c r="C1048" s="2" t="s">
        <v>2408</v>
      </c>
      <c r="D1048" s="2" t="s">
        <v>50</v>
      </c>
      <c r="E1048" s="2" t="s">
        <v>1194</v>
      </c>
      <c r="F1048" s="2" t="s">
        <v>1186</v>
      </c>
      <c r="G1048" s="2" t="s">
        <v>3269</v>
      </c>
    </row>
    <row r="1049" customFormat="false" ht="15" hidden="false" customHeight="false" outlineLevel="0" collapsed="false">
      <c r="A1049" s="2" t="s">
        <v>3270</v>
      </c>
      <c r="B1049" s="2" t="s">
        <v>146</v>
      </c>
      <c r="C1049" s="2" t="s">
        <v>2408</v>
      </c>
      <c r="D1049" s="2" t="s">
        <v>50</v>
      </c>
      <c r="E1049" s="2" t="s">
        <v>1194</v>
      </c>
      <c r="F1049" s="2" t="s">
        <v>1186</v>
      </c>
      <c r="G1049" s="2" t="s">
        <v>3271</v>
      </c>
    </row>
    <row r="1050" customFormat="false" ht="15" hidden="false" customHeight="false" outlineLevel="0" collapsed="false">
      <c r="A1050" s="2" t="s">
        <v>3272</v>
      </c>
      <c r="B1050" s="2" t="s">
        <v>146</v>
      </c>
      <c r="C1050" s="2" t="s">
        <v>2408</v>
      </c>
      <c r="D1050" s="2" t="s">
        <v>50</v>
      </c>
      <c r="E1050" s="2" t="s">
        <v>1194</v>
      </c>
      <c r="F1050" s="2" t="s">
        <v>1186</v>
      </c>
      <c r="G1050" s="2" t="s">
        <v>3273</v>
      </c>
    </row>
    <row r="1051" customFormat="false" ht="15" hidden="false" customHeight="false" outlineLevel="0" collapsed="false">
      <c r="A1051" s="2" t="s">
        <v>3274</v>
      </c>
      <c r="B1051" s="2" t="s">
        <v>146</v>
      </c>
      <c r="C1051" s="2" t="s">
        <v>2408</v>
      </c>
      <c r="D1051" s="2" t="s">
        <v>50</v>
      </c>
      <c r="E1051" s="2" t="s">
        <v>1194</v>
      </c>
      <c r="F1051" s="2" t="s">
        <v>1186</v>
      </c>
      <c r="G1051" s="2" t="s">
        <v>3275</v>
      </c>
    </row>
    <row r="1052" customFormat="false" ht="15" hidden="false" customHeight="false" outlineLevel="0" collapsed="false">
      <c r="A1052" s="2" t="s">
        <v>3276</v>
      </c>
      <c r="B1052" s="2" t="s">
        <v>146</v>
      </c>
      <c r="C1052" s="2" t="s">
        <v>2408</v>
      </c>
      <c r="D1052" s="2" t="s">
        <v>50</v>
      </c>
      <c r="E1052" s="2" t="s">
        <v>1194</v>
      </c>
      <c r="F1052" s="2" t="s">
        <v>1186</v>
      </c>
      <c r="G1052" s="2" t="s">
        <v>3277</v>
      </c>
    </row>
    <row r="1053" customFormat="false" ht="15" hidden="false" customHeight="false" outlineLevel="0" collapsed="false">
      <c r="A1053" s="2" t="s">
        <v>3278</v>
      </c>
      <c r="B1053" s="2" t="s">
        <v>146</v>
      </c>
      <c r="C1053" s="2" t="s">
        <v>2408</v>
      </c>
      <c r="D1053" s="2" t="s">
        <v>50</v>
      </c>
      <c r="E1053" s="2" t="s">
        <v>1194</v>
      </c>
      <c r="F1053" s="2" t="s">
        <v>1186</v>
      </c>
      <c r="G1053" s="2" t="s">
        <v>3279</v>
      </c>
    </row>
    <row r="1054" customFormat="false" ht="15" hidden="false" customHeight="false" outlineLevel="0" collapsed="false">
      <c r="A1054" s="2" t="s">
        <v>3280</v>
      </c>
      <c r="B1054" s="2" t="s">
        <v>146</v>
      </c>
      <c r="C1054" s="2" t="s">
        <v>2408</v>
      </c>
      <c r="D1054" s="2" t="s">
        <v>50</v>
      </c>
      <c r="E1054" s="2" t="s">
        <v>1194</v>
      </c>
      <c r="F1054" s="2" t="s">
        <v>1186</v>
      </c>
      <c r="G1054" s="2" t="s">
        <v>3281</v>
      </c>
    </row>
    <row r="1055" customFormat="false" ht="15" hidden="false" customHeight="false" outlineLevel="0" collapsed="false">
      <c r="A1055" s="2" t="s">
        <v>3282</v>
      </c>
      <c r="B1055" s="2" t="s">
        <v>146</v>
      </c>
      <c r="C1055" s="2" t="s">
        <v>2408</v>
      </c>
      <c r="D1055" s="2" t="s">
        <v>50</v>
      </c>
      <c r="E1055" s="2" t="s">
        <v>1194</v>
      </c>
      <c r="F1055" s="2" t="s">
        <v>1186</v>
      </c>
      <c r="G1055" s="2" t="s">
        <v>3283</v>
      </c>
    </row>
    <row r="1056" customFormat="false" ht="15" hidden="false" customHeight="false" outlineLevel="0" collapsed="false">
      <c r="A1056" s="2" t="s">
        <v>3284</v>
      </c>
      <c r="B1056" s="2" t="s">
        <v>146</v>
      </c>
      <c r="C1056" s="2" t="s">
        <v>2408</v>
      </c>
      <c r="D1056" s="2" t="s">
        <v>50</v>
      </c>
      <c r="E1056" s="2" t="s">
        <v>1194</v>
      </c>
      <c r="F1056" s="2" t="s">
        <v>1186</v>
      </c>
      <c r="G1056" s="2" t="s">
        <v>3285</v>
      </c>
    </row>
    <row r="1057" customFormat="false" ht="15" hidden="false" customHeight="false" outlineLevel="0" collapsed="false">
      <c r="A1057" s="2" t="s">
        <v>3286</v>
      </c>
      <c r="B1057" s="2" t="s">
        <v>146</v>
      </c>
      <c r="C1057" s="2" t="s">
        <v>2408</v>
      </c>
      <c r="D1057" s="2" t="s">
        <v>50</v>
      </c>
      <c r="E1057" s="2" t="s">
        <v>1194</v>
      </c>
      <c r="F1057" s="2" t="s">
        <v>1186</v>
      </c>
      <c r="G1057" s="2" t="s">
        <v>3287</v>
      </c>
    </row>
    <row r="1058" customFormat="false" ht="15" hidden="false" customHeight="false" outlineLevel="0" collapsed="false">
      <c r="A1058" s="2" t="s">
        <v>3288</v>
      </c>
      <c r="B1058" s="2" t="s">
        <v>146</v>
      </c>
      <c r="C1058" s="2" t="s">
        <v>2408</v>
      </c>
      <c r="D1058" s="2" t="s">
        <v>50</v>
      </c>
      <c r="E1058" s="2" t="s">
        <v>1194</v>
      </c>
      <c r="F1058" s="2" t="s">
        <v>1186</v>
      </c>
      <c r="G1058" s="2" t="s">
        <v>3289</v>
      </c>
    </row>
    <row r="1059" customFormat="false" ht="15" hidden="false" customHeight="false" outlineLevel="0" collapsed="false">
      <c r="A1059" s="2" t="s">
        <v>3290</v>
      </c>
      <c r="B1059" s="2" t="s">
        <v>146</v>
      </c>
      <c r="C1059" s="2" t="s">
        <v>2408</v>
      </c>
      <c r="D1059" s="2" t="s">
        <v>50</v>
      </c>
      <c r="E1059" s="2" t="s">
        <v>1194</v>
      </c>
      <c r="F1059" s="2" t="s">
        <v>1186</v>
      </c>
      <c r="G1059" s="2" t="s">
        <v>3291</v>
      </c>
    </row>
    <row r="1060" customFormat="false" ht="15" hidden="false" customHeight="false" outlineLevel="0" collapsed="false">
      <c r="A1060" s="2" t="s">
        <v>3292</v>
      </c>
      <c r="B1060" s="2" t="s">
        <v>146</v>
      </c>
      <c r="C1060" s="2" t="s">
        <v>2408</v>
      </c>
      <c r="D1060" s="2" t="s">
        <v>50</v>
      </c>
      <c r="E1060" s="2" t="s">
        <v>1194</v>
      </c>
      <c r="F1060" s="2" t="s">
        <v>1186</v>
      </c>
      <c r="G1060" s="2" t="s">
        <v>3293</v>
      </c>
    </row>
    <row r="1061" customFormat="false" ht="15" hidden="false" customHeight="false" outlineLevel="0" collapsed="false">
      <c r="A1061" s="2" t="s">
        <v>3294</v>
      </c>
      <c r="B1061" s="2" t="s">
        <v>146</v>
      </c>
      <c r="C1061" s="2" t="s">
        <v>2408</v>
      </c>
      <c r="D1061" s="2" t="s">
        <v>50</v>
      </c>
      <c r="E1061" s="2" t="s">
        <v>1194</v>
      </c>
      <c r="F1061" s="2" t="s">
        <v>1186</v>
      </c>
      <c r="G1061" s="2" t="s">
        <v>3295</v>
      </c>
    </row>
    <row r="1062" customFormat="false" ht="15" hidden="false" customHeight="false" outlineLevel="0" collapsed="false">
      <c r="A1062" s="2" t="s">
        <v>3296</v>
      </c>
      <c r="B1062" s="2" t="s">
        <v>146</v>
      </c>
      <c r="C1062" s="2" t="s">
        <v>2408</v>
      </c>
      <c r="D1062" s="2" t="s">
        <v>50</v>
      </c>
      <c r="E1062" s="2" t="s">
        <v>1194</v>
      </c>
      <c r="F1062" s="2" t="s">
        <v>1186</v>
      </c>
      <c r="G1062" s="2" t="s">
        <v>3297</v>
      </c>
    </row>
    <row r="1063" customFormat="false" ht="15" hidden="false" customHeight="false" outlineLevel="0" collapsed="false">
      <c r="A1063" s="2" t="s">
        <v>3298</v>
      </c>
      <c r="B1063" s="2" t="s">
        <v>146</v>
      </c>
      <c r="C1063" s="2" t="s">
        <v>2408</v>
      </c>
      <c r="D1063" s="2" t="s">
        <v>50</v>
      </c>
      <c r="E1063" s="2" t="s">
        <v>1194</v>
      </c>
      <c r="F1063" s="2" t="s">
        <v>1186</v>
      </c>
      <c r="G1063" s="2" t="s">
        <v>3299</v>
      </c>
    </row>
    <row r="1064" customFormat="false" ht="15" hidden="false" customHeight="false" outlineLevel="0" collapsed="false">
      <c r="A1064" s="2" t="s">
        <v>3300</v>
      </c>
      <c r="B1064" s="2" t="s">
        <v>146</v>
      </c>
      <c r="C1064" s="2" t="s">
        <v>2408</v>
      </c>
      <c r="D1064" s="2" t="s">
        <v>50</v>
      </c>
      <c r="E1064" s="2" t="s">
        <v>1194</v>
      </c>
      <c r="F1064" s="2" t="s">
        <v>1186</v>
      </c>
      <c r="G1064" s="2" t="s">
        <v>3301</v>
      </c>
    </row>
    <row r="1065" customFormat="false" ht="15" hidden="false" customHeight="false" outlineLevel="0" collapsed="false">
      <c r="A1065" s="2" t="s">
        <v>3302</v>
      </c>
      <c r="B1065" s="2" t="s">
        <v>146</v>
      </c>
      <c r="C1065" s="2" t="s">
        <v>2408</v>
      </c>
      <c r="D1065" s="2" t="s">
        <v>50</v>
      </c>
      <c r="E1065" s="2" t="s">
        <v>1194</v>
      </c>
      <c r="F1065" s="2" t="s">
        <v>1186</v>
      </c>
      <c r="G1065" s="2" t="s">
        <v>3303</v>
      </c>
    </row>
    <row r="1066" customFormat="false" ht="15" hidden="false" customHeight="false" outlineLevel="0" collapsed="false">
      <c r="A1066" s="2" t="s">
        <v>3304</v>
      </c>
      <c r="B1066" s="2" t="s">
        <v>146</v>
      </c>
      <c r="C1066" s="2" t="s">
        <v>2408</v>
      </c>
      <c r="D1066" s="2" t="s">
        <v>50</v>
      </c>
      <c r="E1066" s="2" t="s">
        <v>1194</v>
      </c>
      <c r="F1066" s="2" t="s">
        <v>1186</v>
      </c>
      <c r="G1066" s="2" t="s">
        <v>3305</v>
      </c>
    </row>
    <row r="1067" customFormat="false" ht="15" hidden="false" customHeight="false" outlineLevel="0" collapsed="false">
      <c r="A1067" s="2" t="s">
        <v>3306</v>
      </c>
      <c r="B1067" s="2" t="s">
        <v>146</v>
      </c>
      <c r="C1067" s="2" t="s">
        <v>2408</v>
      </c>
      <c r="D1067" s="2" t="s">
        <v>50</v>
      </c>
      <c r="E1067" s="2" t="s">
        <v>1194</v>
      </c>
      <c r="F1067" s="2" t="s">
        <v>1186</v>
      </c>
      <c r="G1067" s="2" t="s">
        <v>3307</v>
      </c>
    </row>
    <row r="1068" customFormat="false" ht="15" hidden="false" customHeight="false" outlineLevel="0" collapsed="false">
      <c r="A1068" s="2" t="s">
        <v>3308</v>
      </c>
      <c r="B1068" s="2" t="s">
        <v>146</v>
      </c>
      <c r="C1068" s="2" t="s">
        <v>2408</v>
      </c>
      <c r="D1068" s="2" t="s">
        <v>50</v>
      </c>
      <c r="E1068" s="2" t="s">
        <v>1194</v>
      </c>
      <c r="F1068" s="2" t="s">
        <v>1186</v>
      </c>
      <c r="G1068" s="2" t="s">
        <v>3309</v>
      </c>
    </row>
    <row r="1069" customFormat="false" ht="15" hidden="false" customHeight="false" outlineLevel="0" collapsed="false">
      <c r="A1069" s="2" t="s">
        <v>3310</v>
      </c>
      <c r="B1069" s="2" t="s">
        <v>146</v>
      </c>
      <c r="C1069" s="2" t="s">
        <v>2408</v>
      </c>
      <c r="D1069" s="2" t="s">
        <v>50</v>
      </c>
      <c r="E1069" s="2" t="s">
        <v>1194</v>
      </c>
      <c r="F1069" s="2" t="s">
        <v>1186</v>
      </c>
      <c r="G1069" s="2" t="s">
        <v>3311</v>
      </c>
    </row>
    <row r="1070" customFormat="false" ht="15" hidden="false" customHeight="false" outlineLevel="0" collapsed="false">
      <c r="A1070" s="2" t="s">
        <v>3312</v>
      </c>
      <c r="B1070" s="2" t="s">
        <v>146</v>
      </c>
      <c r="C1070" s="2" t="s">
        <v>2408</v>
      </c>
      <c r="D1070" s="2" t="s">
        <v>50</v>
      </c>
      <c r="E1070" s="2" t="s">
        <v>1194</v>
      </c>
      <c r="F1070" s="2" t="s">
        <v>1186</v>
      </c>
      <c r="G1070" s="2" t="s">
        <v>3313</v>
      </c>
    </row>
    <row r="1071" customFormat="false" ht="15" hidden="false" customHeight="false" outlineLevel="0" collapsed="false">
      <c r="A1071" s="2" t="s">
        <v>3314</v>
      </c>
      <c r="B1071" s="2" t="s">
        <v>146</v>
      </c>
      <c r="C1071" s="2" t="s">
        <v>2938</v>
      </c>
      <c r="D1071" s="2" t="s">
        <v>49</v>
      </c>
      <c r="E1071" s="2" t="s">
        <v>1563</v>
      </c>
      <c r="F1071" s="2" t="s">
        <v>1186</v>
      </c>
      <c r="G1071" s="2" t="s">
        <v>3315</v>
      </c>
    </row>
    <row r="1072" customFormat="false" ht="15" hidden="false" customHeight="false" outlineLevel="0" collapsed="false">
      <c r="A1072" s="2" t="s">
        <v>3316</v>
      </c>
      <c r="B1072" s="2" t="s">
        <v>146</v>
      </c>
      <c r="C1072" s="2" t="s">
        <v>2408</v>
      </c>
      <c r="D1072" s="2" t="s">
        <v>50</v>
      </c>
      <c r="E1072" s="2" t="s">
        <v>1194</v>
      </c>
      <c r="F1072" s="2" t="s">
        <v>1186</v>
      </c>
      <c r="G1072" s="2" t="s">
        <v>3317</v>
      </c>
    </row>
    <row r="1073" customFormat="false" ht="15" hidden="false" customHeight="false" outlineLevel="0" collapsed="false">
      <c r="A1073" s="2" t="s">
        <v>3318</v>
      </c>
      <c r="B1073" s="2" t="s">
        <v>146</v>
      </c>
      <c r="C1073" s="2" t="s">
        <v>2408</v>
      </c>
      <c r="D1073" s="2" t="s">
        <v>50</v>
      </c>
      <c r="E1073" s="2" t="s">
        <v>1194</v>
      </c>
      <c r="F1073" s="2" t="s">
        <v>1186</v>
      </c>
      <c r="G1073" s="2" t="s">
        <v>3319</v>
      </c>
    </row>
    <row r="1074" customFormat="false" ht="15" hidden="false" customHeight="false" outlineLevel="0" collapsed="false">
      <c r="A1074" s="2" t="s">
        <v>3320</v>
      </c>
      <c r="B1074" s="2" t="s">
        <v>146</v>
      </c>
      <c r="C1074" s="2" t="s">
        <v>2408</v>
      </c>
      <c r="D1074" s="2" t="s">
        <v>50</v>
      </c>
      <c r="E1074" s="2" t="s">
        <v>1194</v>
      </c>
      <c r="F1074" s="2" t="s">
        <v>1186</v>
      </c>
      <c r="G1074" s="2" t="s">
        <v>3321</v>
      </c>
    </row>
    <row r="1075" customFormat="false" ht="15" hidden="false" customHeight="false" outlineLevel="0" collapsed="false">
      <c r="A1075" s="2" t="s">
        <v>3322</v>
      </c>
      <c r="B1075" s="2" t="s">
        <v>146</v>
      </c>
      <c r="C1075" s="2" t="s">
        <v>2760</v>
      </c>
      <c r="D1075" s="2" t="s">
        <v>48</v>
      </c>
      <c r="E1075" s="2" t="s">
        <v>1185</v>
      </c>
      <c r="F1075" s="2" t="s">
        <v>1186</v>
      </c>
      <c r="G1075" s="2" t="s">
        <v>3323</v>
      </c>
    </row>
    <row r="1076" customFormat="false" ht="15" hidden="false" customHeight="false" outlineLevel="0" collapsed="false">
      <c r="A1076" s="2" t="s">
        <v>3324</v>
      </c>
      <c r="B1076" s="2" t="s">
        <v>146</v>
      </c>
      <c r="C1076" s="2" t="s">
        <v>2760</v>
      </c>
      <c r="D1076" s="2" t="s">
        <v>48</v>
      </c>
      <c r="E1076" s="2" t="s">
        <v>1185</v>
      </c>
      <c r="F1076" s="2" t="s">
        <v>1186</v>
      </c>
      <c r="G1076" s="2" t="s">
        <v>3325</v>
      </c>
    </row>
    <row r="1077" customFormat="false" ht="15" hidden="false" customHeight="false" outlineLevel="0" collapsed="false">
      <c r="A1077" s="2" t="s">
        <v>3326</v>
      </c>
      <c r="B1077" s="2" t="s">
        <v>146</v>
      </c>
      <c r="C1077" s="2" t="s">
        <v>2760</v>
      </c>
      <c r="D1077" s="2" t="s">
        <v>48</v>
      </c>
      <c r="E1077" s="2" t="s">
        <v>1185</v>
      </c>
      <c r="F1077" s="2" t="s">
        <v>1186</v>
      </c>
      <c r="G1077" s="2" t="s">
        <v>3327</v>
      </c>
    </row>
    <row r="1078" customFormat="false" ht="15" hidden="false" customHeight="false" outlineLevel="0" collapsed="false">
      <c r="A1078" s="2" t="s">
        <v>3328</v>
      </c>
      <c r="B1078" s="2" t="s">
        <v>146</v>
      </c>
      <c r="C1078" s="2" t="s">
        <v>2760</v>
      </c>
      <c r="D1078" s="2" t="s">
        <v>48</v>
      </c>
      <c r="E1078" s="2" t="s">
        <v>1185</v>
      </c>
      <c r="F1078" s="2" t="s">
        <v>1186</v>
      </c>
      <c r="G1078" s="2" t="s">
        <v>3329</v>
      </c>
    </row>
    <row r="1079" customFormat="false" ht="15" hidden="false" customHeight="false" outlineLevel="0" collapsed="false">
      <c r="A1079" s="2" t="s">
        <v>3330</v>
      </c>
      <c r="B1079" s="2" t="s">
        <v>146</v>
      </c>
      <c r="C1079" s="2" t="s">
        <v>2760</v>
      </c>
      <c r="D1079" s="2" t="s">
        <v>48</v>
      </c>
      <c r="E1079" s="2" t="s">
        <v>1185</v>
      </c>
      <c r="F1079" s="2" t="s">
        <v>1186</v>
      </c>
      <c r="G1079" s="2" t="s">
        <v>3331</v>
      </c>
    </row>
    <row r="1080" customFormat="false" ht="15" hidden="false" customHeight="false" outlineLevel="0" collapsed="false">
      <c r="A1080" s="2" t="s">
        <v>3332</v>
      </c>
      <c r="B1080" s="2" t="s">
        <v>146</v>
      </c>
      <c r="C1080" s="2" t="s">
        <v>2938</v>
      </c>
      <c r="D1080" s="2" t="s">
        <v>49</v>
      </c>
      <c r="E1080" s="2" t="s">
        <v>1563</v>
      </c>
      <c r="F1080" s="2" t="s">
        <v>1186</v>
      </c>
      <c r="G1080" s="2" t="s">
        <v>3333</v>
      </c>
    </row>
    <row r="1081" customFormat="false" ht="15" hidden="false" customHeight="false" outlineLevel="0" collapsed="false">
      <c r="A1081" s="2" t="s">
        <v>3334</v>
      </c>
      <c r="B1081" s="2" t="s">
        <v>146</v>
      </c>
      <c r="C1081" s="2" t="s">
        <v>2408</v>
      </c>
      <c r="D1081" s="2" t="s">
        <v>50</v>
      </c>
      <c r="E1081" s="2" t="s">
        <v>1194</v>
      </c>
      <c r="F1081" s="2" t="s">
        <v>1186</v>
      </c>
      <c r="G1081" s="2" t="s">
        <v>3335</v>
      </c>
    </row>
    <row r="1082" customFormat="false" ht="15" hidden="false" customHeight="false" outlineLevel="0" collapsed="false">
      <c r="A1082" s="2" t="s">
        <v>3336</v>
      </c>
      <c r="B1082" s="2" t="s">
        <v>146</v>
      </c>
      <c r="C1082" s="2" t="s">
        <v>2408</v>
      </c>
      <c r="D1082" s="2" t="s">
        <v>50</v>
      </c>
      <c r="E1082" s="2" t="s">
        <v>1194</v>
      </c>
      <c r="F1082" s="2" t="s">
        <v>1186</v>
      </c>
      <c r="G1082" s="2" t="s">
        <v>1546</v>
      </c>
    </row>
    <row r="1083" customFormat="false" ht="15" hidden="false" customHeight="false" outlineLevel="0" collapsed="false">
      <c r="A1083" s="2" t="s">
        <v>3337</v>
      </c>
      <c r="B1083" s="2" t="s">
        <v>146</v>
      </c>
      <c r="C1083" s="2" t="s">
        <v>2938</v>
      </c>
      <c r="D1083" s="2" t="s">
        <v>49</v>
      </c>
      <c r="E1083" s="2" t="s">
        <v>1563</v>
      </c>
      <c r="F1083" s="2" t="s">
        <v>1186</v>
      </c>
      <c r="G1083" s="2" t="s">
        <v>3338</v>
      </c>
    </row>
    <row r="1084" customFormat="false" ht="15" hidden="false" customHeight="false" outlineLevel="0" collapsed="false">
      <c r="A1084" s="2" t="s">
        <v>3339</v>
      </c>
      <c r="B1084" s="2" t="s">
        <v>146</v>
      </c>
      <c r="C1084" s="2" t="s">
        <v>2408</v>
      </c>
      <c r="D1084" s="2" t="s">
        <v>50</v>
      </c>
      <c r="E1084" s="2" t="s">
        <v>1194</v>
      </c>
      <c r="F1084" s="2" t="s">
        <v>1186</v>
      </c>
      <c r="G1084" s="2" t="s">
        <v>3340</v>
      </c>
    </row>
    <row r="1085" customFormat="false" ht="15" hidden="false" customHeight="false" outlineLevel="0" collapsed="false">
      <c r="A1085" s="2" t="s">
        <v>3341</v>
      </c>
      <c r="B1085" s="2" t="s">
        <v>146</v>
      </c>
      <c r="C1085" s="2" t="s">
        <v>2408</v>
      </c>
      <c r="D1085" s="2" t="s">
        <v>50</v>
      </c>
      <c r="E1085" s="2" t="s">
        <v>1194</v>
      </c>
      <c r="F1085" s="2" t="s">
        <v>1186</v>
      </c>
      <c r="G1085" s="2" t="s">
        <v>3342</v>
      </c>
    </row>
    <row r="1086" customFormat="false" ht="15" hidden="false" customHeight="false" outlineLevel="0" collapsed="false">
      <c r="A1086" s="2" t="s">
        <v>3343</v>
      </c>
      <c r="B1086" s="2" t="s">
        <v>146</v>
      </c>
      <c r="C1086" s="2" t="s">
        <v>2938</v>
      </c>
      <c r="D1086" s="2" t="s">
        <v>49</v>
      </c>
      <c r="E1086" s="2" t="s">
        <v>1563</v>
      </c>
      <c r="F1086" s="2" t="s">
        <v>1186</v>
      </c>
      <c r="G1086" s="2" t="s">
        <v>3344</v>
      </c>
    </row>
    <row r="1087" customFormat="false" ht="15" hidden="false" customHeight="false" outlineLevel="0" collapsed="false">
      <c r="A1087" s="2" t="s">
        <v>3345</v>
      </c>
      <c r="B1087" s="2" t="s">
        <v>146</v>
      </c>
      <c r="C1087" s="2" t="s">
        <v>2938</v>
      </c>
      <c r="D1087" s="2" t="s">
        <v>49</v>
      </c>
      <c r="E1087" s="2" t="s">
        <v>1563</v>
      </c>
      <c r="F1087" s="2" t="s">
        <v>1186</v>
      </c>
      <c r="G1087" s="2" t="s">
        <v>3346</v>
      </c>
    </row>
    <row r="1088" customFormat="false" ht="15" hidden="false" customHeight="false" outlineLevel="0" collapsed="false">
      <c r="A1088" s="2" t="s">
        <v>3347</v>
      </c>
      <c r="B1088" s="2" t="s">
        <v>146</v>
      </c>
      <c r="C1088" s="2" t="s">
        <v>2938</v>
      </c>
      <c r="D1088" s="2" t="s">
        <v>49</v>
      </c>
      <c r="E1088" s="2" t="s">
        <v>1563</v>
      </c>
      <c r="F1088" s="2" t="s">
        <v>1186</v>
      </c>
      <c r="G1088" s="2" t="s">
        <v>3348</v>
      </c>
    </row>
    <row r="1089" customFormat="false" ht="15" hidden="false" customHeight="false" outlineLevel="0" collapsed="false">
      <c r="A1089" s="2" t="s">
        <v>3349</v>
      </c>
      <c r="B1089" s="2" t="s">
        <v>146</v>
      </c>
      <c r="C1089" s="2" t="s">
        <v>2938</v>
      </c>
      <c r="D1089" s="2" t="s">
        <v>49</v>
      </c>
      <c r="E1089" s="2" t="s">
        <v>1563</v>
      </c>
      <c r="F1089" s="2" t="s">
        <v>1186</v>
      </c>
      <c r="G1089" s="2" t="s">
        <v>3350</v>
      </c>
    </row>
    <row r="1090" customFormat="false" ht="15" hidden="false" customHeight="false" outlineLevel="0" collapsed="false">
      <c r="A1090" s="2" t="s">
        <v>3351</v>
      </c>
      <c r="B1090" s="2" t="s">
        <v>146</v>
      </c>
      <c r="C1090" s="2" t="s">
        <v>2938</v>
      </c>
      <c r="D1090" s="2" t="s">
        <v>49</v>
      </c>
      <c r="E1090" s="2" t="s">
        <v>1563</v>
      </c>
      <c r="F1090" s="2" t="s">
        <v>1186</v>
      </c>
      <c r="G1090" s="2" t="s">
        <v>3352</v>
      </c>
    </row>
    <row r="1091" customFormat="false" ht="15" hidden="false" customHeight="false" outlineLevel="0" collapsed="false">
      <c r="A1091" s="2" t="s">
        <v>3353</v>
      </c>
      <c r="B1091" s="2" t="s">
        <v>146</v>
      </c>
      <c r="C1091" s="2" t="s">
        <v>2408</v>
      </c>
      <c r="D1091" s="2" t="s">
        <v>50</v>
      </c>
      <c r="E1091" s="2" t="s">
        <v>1194</v>
      </c>
      <c r="F1091" s="2" t="s">
        <v>1186</v>
      </c>
      <c r="G1091" s="2" t="s">
        <v>3354</v>
      </c>
    </row>
    <row r="1092" customFormat="false" ht="15" hidden="false" customHeight="false" outlineLevel="0" collapsed="false">
      <c r="A1092" s="2" t="s">
        <v>3355</v>
      </c>
      <c r="B1092" s="2" t="s">
        <v>146</v>
      </c>
      <c r="C1092" s="2" t="s">
        <v>2408</v>
      </c>
      <c r="D1092" s="2" t="s">
        <v>50</v>
      </c>
      <c r="E1092" s="2" t="s">
        <v>1194</v>
      </c>
      <c r="F1092" s="2" t="s">
        <v>1186</v>
      </c>
      <c r="G1092" s="2" t="s">
        <v>3356</v>
      </c>
    </row>
    <row r="1093" customFormat="false" ht="15" hidden="false" customHeight="false" outlineLevel="0" collapsed="false">
      <c r="A1093" s="2" t="s">
        <v>3357</v>
      </c>
      <c r="B1093" s="2" t="s">
        <v>146</v>
      </c>
      <c r="C1093" s="2" t="s">
        <v>2408</v>
      </c>
      <c r="D1093" s="2" t="s">
        <v>50</v>
      </c>
      <c r="E1093" s="2" t="s">
        <v>1194</v>
      </c>
      <c r="F1093" s="2" t="s">
        <v>1186</v>
      </c>
      <c r="G1093" s="2" t="s">
        <v>3358</v>
      </c>
    </row>
    <row r="1094" customFormat="false" ht="15" hidden="false" customHeight="false" outlineLevel="0" collapsed="false">
      <c r="A1094" s="2" t="s">
        <v>3359</v>
      </c>
      <c r="B1094" s="2" t="s">
        <v>146</v>
      </c>
      <c r="C1094" s="2" t="s">
        <v>2408</v>
      </c>
      <c r="D1094" s="2" t="s">
        <v>50</v>
      </c>
      <c r="E1094" s="2" t="s">
        <v>1194</v>
      </c>
      <c r="F1094" s="2" t="s">
        <v>1186</v>
      </c>
      <c r="G1094" s="2" t="s">
        <v>3360</v>
      </c>
    </row>
    <row r="1095" customFormat="false" ht="15" hidden="false" customHeight="false" outlineLevel="0" collapsed="false">
      <c r="A1095" s="2" t="s">
        <v>3361</v>
      </c>
      <c r="B1095" s="2" t="s">
        <v>146</v>
      </c>
      <c r="C1095" s="2" t="s">
        <v>2408</v>
      </c>
      <c r="D1095" s="2" t="s">
        <v>50</v>
      </c>
      <c r="E1095" s="2" t="s">
        <v>1194</v>
      </c>
      <c r="F1095" s="2" t="s">
        <v>1186</v>
      </c>
      <c r="G1095" s="2" t="s">
        <v>3362</v>
      </c>
    </row>
    <row r="1096" customFormat="false" ht="15" hidden="false" customHeight="false" outlineLevel="0" collapsed="false">
      <c r="A1096" s="2" t="s">
        <v>3363</v>
      </c>
      <c r="B1096" s="2" t="s">
        <v>146</v>
      </c>
      <c r="C1096" s="2" t="s">
        <v>2408</v>
      </c>
      <c r="D1096" s="2" t="s">
        <v>50</v>
      </c>
      <c r="E1096" s="2" t="s">
        <v>1194</v>
      </c>
      <c r="F1096" s="2" t="s">
        <v>1186</v>
      </c>
      <c r="G1096" s="2" t="s">
        <v>3364</v>
      </c>
    </row>
    <row r="1097" customFormat="false" ht="15" hidden="false" customHeight="false" outlineLevel="0" collapsed="false">
      <c r="A1097" s="2" t="s">
        <v>3365</v>
      </c>
      <c r="B1097" s="2" t="s">
        <v>146</v>
      </c>
      <c r="C1097" s="2" t="s">
        <v>2408</v>
      </c>
      <c r="D1097" s="2" t="s">
        <v>50</v>
      </c>
      <c r="E1097" s="2" t="s">
        <v>1194</v>
      </c>
      <c r="F1097" s="2" t="s">
        <v>1186</v>
      </c>
      <c r="G1097" s="2" t="s">
        <v>3366</v>
      </c>
    </row>
    <row r="1098" customFormat="false" ht="15" hidden="false" customHeight="false" outlineLevel="0" collapsed="false">
      <c r="A1098" s="2" t="s">
        <v>3367</v>
      </c>
      <c r="B1098" s="2" t="s">
        <v>146</v>
      </c>
      <c r="C1098" s="2" t="s">
        <v>2408</v>
      </c>
      <c r="D1098" s="2" t="s">
        <v>50</v>
      </c>
      <c r="E1098" s="2" t="s">
        <v>1194</v>
      </c>
      <c r="F1098" s="2" t="s">
        <v>1186</v>
      </c>
      <c r="G1098" s="2" t="s">
        <v>3368</v>
      </c>
    </row>
    <row r="1099" customFormat="false" ht="15" hidden="false" customHeight="false" outlineLevel="0" collapsed="false">
      <c r="A1099" s="2" t="s">
        <v>3369</v>
      </c>
      <c r="B1099" s="2" t="s">
        <v>146</v>
      </c>
      <c r="C1099" s="2" t="s">
        <v>2408</v>
      </c>
      <c r="D1099" s="2" t="s">
        <v>50</v>
      </c>
      <c r="E1099" s="2" t="s">
        <v>1194</v>
      </c>
      <c r="F1099" s="2" t="s">
        <v>1186</v>
      </c>
      <c r="G1099" s="2" t="s">
        <v>3370</v>
      </c>
    </row>
    <row r="1100" customFormat="false" ht="15" hidden="false" customHeight="false" outlineLevel="0" collapsed="false">
      <c r="A1100" s="2" t="s">
        <v>3371</v>
      </c>
      <c r="B1100" s="2" t="s">
        <v>146</v>
      </c>
      <c r="C1100" s="2" t="s">
        <v>2408</v>
      </c>
      <c r="D1100" s="2" t="s">
        <v>50</v>
      </c>
      <c r="E1100" s="2" t="s">
        <v>1194</v>
      </c>
      <c r="F1100" s="2" t="s">
        <v>1186</v>
      </c>
      <c r="G1100" s="2" t="s">
        <v>3372</v>
      </c>
    </row>
    <row r="1101" customFormat="false" ht="15" hidden="false" customHeight="false" outlineLevel="0" collapsed="false">
      <c r="A1101" s="2" t="s">
        <v>3373</v>
      </c>
      <c r="B1101" s="2" t="s">
        <v>146</v>
      </c>
      <c r="C1101" s="2" t="s">
        <v>2408</v>
      </c>
      <c r="D1101" s="2" t="s">
        <v>50</v>
      </c>
      <c r="E1101" s="2" t="s">
        <v>1194</v>
      </c>
      <c r="F1101" s="2" t="s">
        <v>1186</v>
      </c>
      <c r="G1101" s="2" t="s">
        <v>3374</v>
      </c>
    </row>
    <row r="1102" customFormat="false" ht="15" hidden="false" customHeight="false" outlineLevel="0" collapsed="false">
      <c r="A1102" s="2" t="s">
        <v>3375</v>
      </c>
      <c r="B1102" s="2" t="s">
        <v>146</v>
      </c>
      <c r="C1102" s="2" t="s">
        <v>2408</v>
      </c>
      <c r="D1102" s="2" t="s">
        <v>50</v>
      </c>
      <c r="E1102" s="2" t="s">
        <v>1194</v>
      </c>
      <c r="F1102" s="2" t="s">
        <v>1186</v>
      </c>
      <c r="G1102" s="2" t="s">
        <v>3376</v>
      </c>
    </row>
    <row r="1103" customFormat="false" ht="15" hidden="false" customHeight="false" outlineLevel="0" collapsed="false">
      <c r="A1103" s="2" t="s">
        <v>3377</v>
      </c>
      <c r="B1103" s="2" t="s">
        <v>146</v>
      </c>
      <c r="C1103" s="2" t="s">
        <v>2408</v>
      </c>
      <c r="D1103" s="2" t="s">
        <v>50</v>
      </c>
      <c r="E1103" s="2" t="s">
        <v>1194</v>
      </c>
      <c r="F1103" s="2" t="s">
        <v>1186</v>
      </c>
      <c r="G1103" s="2" t="s">
        <v>3378</v>
      </c>
    </row>
    <row r="1104" customFormat="false" ht="15" hidden="false" customHeight="false" outlineLevel="0" collapsed="false">
      <c r="A1104" s="2" t="s">
        <v>3379</v>
      </c>
      <c r="B1104" s="2" t="s">
        <v>146</v>
      </c>
      <c r="C1104" s="2" t="s">
        <v>2408</v>
      </c>
      <c r="D1104" s="2" t="s">
        <v>50</v>
      </c>
      <c r="E1104" s="2" t="s">
        <v>1194</v>
      </c>
      <c r="F1104" s="2" t="s">
        <v>1186</v>
      </c>
      <c r="G1104" s="2" t="s">
        <v>3380</v>
      </c>
    </row>
    <row r="1105" customFormat="false" ht="15" hidden="false" customHeight="false" outlineLevel="0" collapsed="false">
      <c r="A1105" s="2" t="s">
        <v>3381</v>
      </c>
      <c r="B1105" s="2" t="s">
        <v>146</v>
      </c>
      <c r="C1105" s="2" t="s">
        <v>2408</v>
      </c>
      <c r="D1105" s="2" t="s">
        <v>50</v>
      </c>
      <c r="E1105" s="2" t="s">
        <v>1194</v>
      </c>
      <c r="F1105" s="2" t="s">
        <v>1186</v>
      </c>
      <c r="G1105" s="2" t="s">
        <v>3382</v>
      </c>
    </row>
    <row r="1106" customFormat="false" ht="15" hidden="false" customHeight="false" outlineLevel="0" collapsed="false">
      <c r="A1106" s="2" t="s">
        <v>3383</v>
      </c>
      <c r="B1106" s="2" t="s">
        <v>146</v>
      </c>
      <c r="C1106" s="2" t="s">
        <v>2408</v>
      </c>
      <c r="D1106" s="2" t="s">
        <v>50</v>
      </c>
      <c r="E1106" s="2" t="s">
        <v>1194</v>
      </c>
      <c r="F1106" s="2" t="s">
        <v>1186</v>
      </c>
      <c r="G1106" s="2" t="s">
        <v>3384</v>
      </c>
    </row>
    <row r="1107" customFormat="false" ht="15" hidden="false" customHeight="false" outlineLevel="0" collapsed="false">
      <c r="A1107" s="2" t="s">
        <v>3385</v>
      </c>
      <c r="B1107" s="2" t="s">
        <v>146</v>
      </c>
      <c r="C1107" s="2" t="s">
        <v>2408</v>
      </c>
      <c r="D1107" s="2" t="s">
        <v>50</v>
      </c>
      <c r="E1107" s="2" t="s">
        <v>1194</v>
      </c>
      <c r="F1107" s="2" t="s">
        <v>1186</v>
      </c>
      <c r="G1107" s="2" t="s">
        <v>3386</v>
      </c>
    </row>
    <row r="1108" customFormat="false" ht="15" hidden="false" customHeight="false" outlineLevel="0" collapsed="false">
      <c r="A1108" s="2" t="s">
        <v>3387</v>
      </c>
      <c r="B1108" s="2" t="s">
        <v>146</v>
      </c>
      <c r="C1108" s="2" t="s">
        <v>2408</v>
      </c>
      <c r="D1108" s="2" t="s">
        <v>50</v>
      </c>
      <c r="E1108" s="2" t="s">
        <v>1194</v>
      </c>
      <c r="F1108" s="2" t="s">
        <v>1186</v>
      </c>
      <c r="G1108" s="2" t="s">
        <v>3388</v>
      </c>
    </row>
    <row r="1109" customFormat="false" ht="15" hidden="false" customHeight="false" outlineLevel="0" collapsed="false">
      <c r="A1109" s="2" t="s">
        <v>3389</v>
      </c>
      <c r="B1109" s="2" t="s">
        <v>146</v>
      </c>
      <c r="C1109" s="2" t="s">
        <v>2408</v>
      </c>
      <c r="D1109" s="2" t="s">
        <v>50</v>
      </c>
      <c r="E1109" s="2" t="s">
        <v>1194</v>
      </c>
      <c r="F1109" s="2" t="s">
        <v>1186</v>
      </c>
      <c r="G1109" s="2" t="s">
        <v>3390</v>
      </c>
    </row>
    <row r="1110" customFormat="false" ht="15" hidden="false" customHeight="false" outlineLevel="0" collapsed="false">
      <c r="A1110" s="2" t="s">
        <v>3391</v>
      </c>
      <c r="B1110" s="2" t="s">
        <v>146</v>
      </c>
      <c r="C1110" s="2" t="s">
        <v>2408</v>
      </c>
      <c r="D1110" s="2" t="s">
        <v>50</v>
      </c>
      <c r="E1110" s="2" t="s">
        <v>1194</v>
      </c>
      <c r="F1110" s="2" t="s">
        <v>1186</v>
      </c>
      <c r="G1110" s="2" t="s">
        <v>3392</v>
      </c>
    </row>
    <row r="1111" customFormat="false" ht="15" hidden="false" customHeight="false" outlineLevel="0" collapsed="false">
      <c r="A1111" s="2" t="s">
        <v>3393</v>
      </c>
      <c r="B1111" s="2" t="s">
        <v>146</v>
      </c>
      <c r="C1111" s="2" t="s">
        <v>2408</v>
      </c>
      <c r="D1111" s="2" t="s">
        <v>50</v>
      </c>
      <c r="E1111" s="2" t="s">
        <v>1194</v>
      </c>
      <c r="F1111" s="2" t="s">
        <v>1186</v>
      </c>
      <c r="G1111" s="2" t="s">
        <v>3394</v>
      </c>
    </row>
    <row r="1112" customFormat="false" ht="15" hidden="false" customHeight="false" outlineLevel="0" collapsed="false">
      <c r="A1112" s="2" t="s">
        <v>3395</v>
      </c>
      <c r="B1112" s="2" t="s">
        <v>146</v>
      </c>
      <c r="C1112" s="2" t="s">
        <v>2408</v>
      </c>
      <c r="D1112" s="2" t="s">
        <v>50</v>
      </c>
      <c r="E1112" s="2" t="s">
        <v>1194</v>
      </c>
      <c r="F1112" s="2" t="s">
        <v>1186</v>
      </c>
      <c r="G1112" s="2" t="s">
        <v>3396</v>
      </c>
    </row>
    <row r="1113" customFormat="false" ht="15" hidden="false" customHeight="false" outlineLevel="0" collapsed="false">
      <c r="A1113" s="2" t="s">
        <v>3397</v>
      </c>
      <c r="B1113" s="2" t="s">
        <v>146</v>
      </c>
      <c r="C1113" s="2" t="s">
        <v>2408</v>
      </c>
      <c r="D1113" s="2" t="s">
        <v>50</v>
      </c>
      <c r="E1113" s="2" t="s">
        <v>1194</v>
      </c>
      <c r="F1113" s="2" t="s">
        <v>1186</v>
      </c>
      <c r="G1113" s="2" t="s">
        <v>3398</v>
      </c>
    </row>
    <row r="1114" customFormat="false" ht="15" hidden="false" customHeight="false" outlineLevel="0" collapsed="false">
      <c r="A1114" s="2" t="s">
        <v>3399</v>
      </c>
      <c r="B1114" s="2" t="s">
        <v>146</v>
      </c>
      <c r="C1114" s="2" t="s">
        <v>2408</v>
      </c>
      <c r="D1114" s="2" t="s">
        <v>50</v>
      </c>
      <c r="E1114" s="2" t="s">
        <v>1194</v>
      </c>
      <c r="F1114" s="2" t="s">
        <v>1186</v>
      </c>
      <c r="G1114" s="2" t="s">
        <v>3400</v>
      </c>
    </row>
    <row r="1115" customFormat="false" ht="15" hidden="false" customHeight="false" outlineLevel="0" collapsed="false">
      <c r="A1115" s="2" t="s">
        <v>3401</v>
      </c>
      <c r="B1115" s="2" t="s">
        <v>146</v>
      </c>
      <c r="C1115" s="2" t="s">
        <v>2408</v>
      </c>
      <c r="D1115" s="2" t="s">
        <v>50</v>
      </c>
      <c r="E1115" s="2" t="s">
        <v>1194</v>
      </c>
      <c r="F1115" s="2" t="s">
        <v>1186</v>
      </c>
      <c r="G1115" s="2" t="s">
        <v>3402</v>
      </c>
    </row>
    <row r="1116" customFormat="false" ht="15" hidden="false" customHeight="false" outlineLevel="0" collapsed="false">
      <c r="A1116" s="2" t="s">
        <v>3403</v>
      </c>
      <c r="B1116" s="2" t="s">
        <v>146</v>
      </c>
      <c r="C1116" s="2" t="s">
        <v>2408</v>
      </c>
      <c r="D1116" s="2" t="s">
        <v>50</v>
      </c>
      <c r="E1116" s="2" t="s">
        <v>1194</v>
      </c>
      <c r="F1116" s="2" t="s">
        <v>1186</v>
      </c>
      <c r="G1116" s="2" t="s">
        <v>3404</v>
      </c>
    </row>
    <row r="1117" customFormat="false" ht="15" hidden="false" customHeight="false" outlineLevel="0" collapsed="false">
      <c r="A1117" s="2" t="s">
        <v>3405</v>
      </c>
      <c r="B1117" s="2" t="s">
        <v>146</v>
      </c>
      <c r="C1117" s="2" t="s">
        <v>2408</v>
      </c>
      <c r="D1117" s="2" t="s">
        <v>50</v>
      </c>
      <c r="E1117" s="2" t="s">
        <v>1194</v>
      </c>
      <c r="F1117" s="2" t="s">
        <v>1186</v>
      </c>
      <c r="G1117" s="2" t="s">
        <v>3406</v>
      </c>
    </row>
    <row r="1118" customFormat="false" ht="15" hidden="false" customHeight="false" outlineLevel="0" collapsed="false">
      <c r="A1118" s="2" t="s">
        <v>3407</v>
      </c>
      <c r="B1118" s="2" t="s">
        <v>146</v>
      </c>
      <c r="C1118" s="2" t="s">
        <v>2408</v>
      </c>
      <c r="D1118" s="2" t="s">
        <v>50</v>
      </c>
      <c r="E1118" s="2" t="s">
        <v>1194</v>
      </c>
      <c r="F1118" s="2" t="s">
        <v>1186</v>
      </c>
      <c r="G1118" s="2" t="s">
        <v>3408</v>
      </c>
    </row>
    <row r="1119" customFormat="false" ht="15" hidden="false" customHeight="false" outlineLevel="0" collapsed="false">
      <c r="A1119" s="2" t="s">
        <v>3409</v>
      </c>
      <c r="B1119" s="2" t="s">
        <v>146</v>
      </c>
      <c r="C1119" s="2" t="s">
        <v>2408</v>
      </c>
      <c r="D1119" s="2" t="s">
        <v>50</v>
      </c>
      <c r="E1119" s="2" t="s">
        <v>1194</v>
      </c>
      <c r="F1119" s="2" t="s">
        <v>1186</v>
      </c>
      <c r="G1119" s="2" t="s">
        <v>3410</v>
      </c>
    </row>
    <row r="1120" customFormat="false" ht="15" hidden="false" customHeight="false" outlineLevel="0" collapsed="false">
      <c r="A1120" s="2" t="s">
        <v>3411</v>
      </c>
      <c r="B1120" s="2" t="s">
        <v>146</v>
      </c>
      <c r="C1120" s="2" t="s">
        <v>2408</v>
      </c>
      <c r="D1120" s="2" t="s">
        <v>50</v>
      </c>
      <c r="E1120" s="2" t="s">
        <v>1194</v>
      </c>
      <c r="F1120" s="2" t="s">
        <v>1186</v>
      </c>
      <c r="G1120" s="2" t="s">
        <v>3412</v>
      </c>
    </row>
    <row r="1121" customFormat="false" ht="15" hidden="false" customHeight="false" outlineLevel="0" collapsed="false">
      <c r="A1121" s="2" t="s">
        <v>3413</v>
      </c>
      <c r="B1121" s="2" t="s">
        <v>146</v>
      </c>
      <c r="C1121" s="2" t="s">
        <v>2408</v>
      </c>
      <c r="D1121" s="2" t="s">
        <v>50</v>
      </c>
      <c r="E1121" s="2" t="s">
        <v>1194</v>
      </c>
      <c r="F1121" s="2" t="s">
        <v>1186</v>
      </c>
      <c r="G1121" s="2" t="s">
        <v>3414</v>
      </c>
    </row>
    <row r="1122" customFormat="false" ht="15" hidden="false" customHeight="false" outlineLevel="0" collapsed="false">
      <c r="A1122" s="2" t="s">
        <v>3415</v>
      </c>
      <c r="B1122" s="2" t="s">
        <v>146</v>
      </c>
      <c r="C1122" s="2" t="s">
        <v>2408</v>
      </c>
      <c r="D1122" s="2" t="s">
        <v>50</v>
      </c>
      <c r="E1122" s="2" t="s">
        <v>1194</v>
      </c>
      <c r="F1122" s="2" t="s">
        <v>1186</v>
      </c>
      <c r="G1122" s="2" t="s">
        <v>3416</v>
      </c>
    </row>
    <row r="1123" customFormat="false" ht="15" hidden="false" customHeight="false" outlineLevel="0" collapsed="false">
      <c r="A1123" s="2" t="s">
        <v>3417</v>
      </c>
      <c r="B1123" s="2" t="s">
        <v>146</v>
      </c>
      <c r="C1123" s="2" t="s">
        <v>2408</v>
      </c>
      <c r="D1123" s="2" t="s">
        <v>50</v>
      </c>
      <c r="E1123" s="2" t="s">
        <v>1194</v>
      </c>
      <c r="F1123" s="2" t="s">
        <v>1186</v>
      </c>
      <c r="G1123" s="2" t="s">
        <v>3418</v>
      </c>
    </row>
    <row r="1124" customFormat="false" ht="15" hidden="false" customHeight="false" outlineLevel="0" collapsed="false">
      <c r="A1124" s="2" t="s">
        <v>3419</v>
      </c>
      <c r="B1124" s="2" t="s">
        <v>146</v>
      </c>
      <c r="C1124" s="2" t="s">
        <v>2408</v>
      </c>
      <c r="D1124" s="2" t="s">
        <v>50</v>
      </c>
      <c r="E1124" s="2" t="s">
        <v>1194</v>
      </c>
      <c r="F1124" s="2" t="s">
        <v>1186</v>
      </c>
      <c r="G1124" s="2" t="s">
        <v>3420</v>
      </c>
    </row>
    <row r="1125" customFormat="false" ht="15" hidden="false" customHeight="false" outlineLevel="0" collapsed="false">
      <c r="A1125" s="2" t="s">
        <v>3421</v>
      </c>
      <c r="B1125" s="2" t="s">
        <v>146</v>
      </c>
      <c r="C1125" s="2" t="s">
        <v>2408</v>
      </c>
      <c r="D1125" s="2" t="s">
        <v>50</v>
      </c>
      <c r="E1125" s="2" t="s">
        <v>1194</v>
      </c>
      <c r="F1125" s="2" t="s">
        <v>1186</v>
      </c>
      <c r="G1125" s="2" t="s">
        <v>3422</v>
      </c>
    </row>
    <row r="1126" customFormat="false" ht="15" hidden="false" customHeight="false" outlineLevel="0" collapsed="false">
      <c r="A1126" s="2" t="s">
        <v>3423</v>
      </c>
      <c r="B1126" s="2" t="s">
        <v>146</v>
      </c>
      <c r="C1126" s="2" t="s">
        <v>2408</v>
      </c>
      <c r="D1126" s="2" t="s">
        <v>50</v>
      </c>
      <c r="E1126" s="2" t="s">
        <v>1194</v>
      </c>
      <c r="F1126" s="2" t="s">
        <v>1186</v>
      </c>
      <c r="G1126" s="2" t="s">
        <v>3424</v>
      </c>
    </row>
    <row r="1127" customFormat="false" ht="15" hidden="false" customHeight="false" outlineLevel="0" collapsed="false">
      <c r="A1127" s="2" t="s">
        <v>3425</v>
      </c>
      <c r="B1127" s="2" t="s">
        <v>146</v>
      </c>
      <c r="C1127" s="2" t="s">
        <v>2408</v>
      </c>
      <c r="D1127" s="2" t="s">
        <v>50</v>
      </c>
      <c r="E1127" s="2" t="s">
        <v>1194</v>
      </c>
      <c r="F1127" s="2" t="s">
        <v>1186</v>
      </c>
      <c r="G1127" s="2" t="s">
        <v>3426</v>
      </c>
    </row>
    <row r="1128" customFormat="false" ht="15" hidden="false" customHeight="false" outlineLevel="0" collapsed="false">
      <c r="A1128" s="2" t="s">
        <v>3427</v>
      </c>
      <c r="B1128" s="2" t="s">
        <v>146</v>
      </c>
      <c r="C1128" s="2" t="s">
        <v>2408</v>
      </c>
      <c r="D1128" s="2" t="s">
        <v>50</v>
      </c>
      <c r="E1128" s="2" t="s">
        <v>1194</v>
      </c>
      <c r="F1128" s="2" t="s">
        <v>1186</v>
      </c>
      <c r="G1128" s="2" t="s">
        <v>3428</v>
      </c>
    </row>
    <row r="1129" customFormat="false" ht="15" hidden="false" customHeight="false" outlineLevel="0" collapsed="false">
      <c r="A1129" s="2" t="s">
        <v>3429</v>
      </c>
      <c r="B1129" s="2" t="s">
        <v>146</v>
      </c>
      <c r="C1129" s="2" t="s">
        <v>2408</v>
      </c>
      <c r="D1129" s="2" t="s">
        <v>50</v>
      </c>
      <c r="E1129" s="2" t="s">
        <v>1194</v>
      </c>
      <c r="F1129" s="2" t="s">
        <v>1186</v>
      </c>
      <c r="G1129" s="2" t="s">
        <v>3430</v>
      </c>
    </row>
    <row r="1130" customFormat="false" ht="15" hidden="false" customHeight="false" outlineLevel="0" collapsed="false">
      <c r="A1130" s="2" t="s">
        <v>3431</v>
      </c>
      <c r="B1130" s="2" t="s">
        <v>146</v>
      </c>
      <c r="C1130" s="2" t="s">
        <v>2408</v>
      </c>
      <c r="D1130" s="2" t="s">
        <v>50</v>
      </c>
      <c r="E1130" s="2" t="s">
        <v>1194</v>
      </c>
      <c r="F1130" s="2" t="s">
        <v>1186</v>
      </c>
      <c r="G1130" s="2" t="s">
        <v>3432</v>
      </c>
    </row>
    <row r="1131" customFormat="false" ht="15" hidden="false" customHeight="false" outlineLevel="0" collapsed="false">
      <c r="A1131" s="2" t="s">
        <v>3433</v>
      </c>
      <c r="B1131" s="2" t="s">
        <v>146</v>
      </c>
      <c r="C1131" s="2" t="s">
        <v>2760</v>
      </c>
      <c r="D1131" s="2" t="s">
        <v>48</v>
      </c>
      <c r="E1131" s="2" t="s">
        <v>1185</v>
      </c>
      <c r="F1131" s="2" t="s">
        <v>1186</v>
      </c>
      <c r="G1131" s="2" t="s">
        <v>3434</v>
      </c>
    </row>
    <row r="1132" customFormat="false" ht="15" hidden="false" customHeight="false" outlineLevel="0" collapsed="false">
      <c r="A1132" s="2" t="s">
        <v>3435</v>
      </c>
      <c r="B1132" s="2" t="s">
        <v>146</v>
      </c>
      <c r="C1132" s="2" t="s">
        <v>2760</v>
      </c>
      <c r="D1132" s="2" t="s">
        <v>48</v>
      </c>
      <c r="E1132" s="2" t="s">
        <v>1185</v>
      </c>
      <c r="F1132" s="2" t="s">
        <v>1186</v>
      </c>
      <c r="G1132" s="2" t="s">
        <v>3436</v>
      </c>
    </row>
    <row r="1133" customFormat="false" ht="15" hidden="false" customHeight="false" outlineLevel="0" collapsed="false">
      <c r="A1133" s="2" t="s">
        <v>3437</v>
      </c>
      <c r="B1133" s="2" t="s">
        <v>146</v>
      </c>
      <c r="C1133" s="2" t="s">
        <v>2760</v>
      </c>
      <c r="D1133" s="2" t="s">
        <v>48</v>
      </c>
      <c r="E1133" s="2" t="s">
        <v>1185</v>
      </c>
      <c r="F1133" s="2" t="s">
        <v>1186</v>
      </c>
      <c r="G1133" s="2" t="s">
        <v>3438</v>
      </c>
    </row>
    <row r="1134" customFormat="false" ht="15" hidden="false" customHeight="false" outlineLevel="0" collapsed="false">
      <c r="A1134" s="2" t="s">
        <v>3439</v>
      </c>
      <c r="B1134" s="2" t="s">
        <v>146</v>
      </c>
      <c r="C1134" s="2" t="s">
        <v>2938</v>
      </c>
      <c r="D1134" s="2" t="s">
        <v>49</v>
      </c>
      <c r="E1134" s="2" t="s">
        <v>1563</v>
      </c>
      <c r="F1134" s="2" t="s">
        <v>1186</v>
      </c>
      <c r="G1134" s="2" t="s">
        <v>3440</v>
      </c>
    </row>
    <row r="1135" customFormat="false" ht="15" hidden="false" customHeight="false" outlineLevel="0" collapsed="false">
      <c r="A1135" s="2" t="s">
        <v>3441</v>
      </c>
      <c r="B1135" s="2" t="s">
        <v>146</v>
      </c>
      <c r="C1135" s="2" t="s">
        <v>2938</v>
      </c>
      <c r="D1135" s="2" t="s">
        <v>49</v>
      </c>
      <c r="E1135" s="2" t="s">
        <v>1563</v>
      </c>
      <c r="F1135" s="2" t="s">
        <v>1186</v>
      </c>
      <c r="G1135" s="2" t="s">
        <v>3442</v>
      </c>
    </row>
    <row r="1136" customFormat="false" ht="15" hidden="false" customHeight="false" outlineLevel="0" collapsed="false">
      <c r="A1136" s="2" t="s">
        <v>3443</v>
      </c>
      <c r="B1136" s="2" t="s">
        <v>146</v>
      </c>
      <c r="C1136" s="2" t="s">
        <v>2938</v>
      </c>
      <c r="D1136" s="2" t="s">
        <v>49</v>
      </c>
      <c r="E1136" s="2" t="s">
        <v>1563</v>
      </c>
      <c r="F1136" s="2" t="s">
        <v>1186</v>
      </c>
      <c r="G1136" s="2" t="s">
        <v>3444</v>
      </c>
    </row>
    <row r="1137" customFormat="false" ht="15" hidden="false" customHeight="false" outlineLevel="0" collapsed="false">
      <c r="A1137" s="2" t="s">
        <v>3445</v>
      </c>
      <c r="B1137" s="2" t="s">
        <v>146</v>
      </c>
      <c r="C1137" s="2" t="s">
        <v>2938</v>
      </c>
      <c r="D1137" s="2" t="s">
        <v>49</v>
      </c>
      <c r="E1137" s="2" t="s">
        <v>1563</v>
      </c>
      <c r="F1137" s="2" t="s">
        <v>1186</v>
      </c>
      <c r="G1137" s="2" t="s">
        <v>3446</v>
      </c>
    </row>
    <row r="1138" customFormat="false" ht="15" hidden="false" customHeight="false" outlineLevel="0" collapsed="false">
      <c r="A1138" s="2" t="s">
        <v>3447</v>
      </c>
      <c r="B1138" s="2" t="s">
        <v>146</v>
      </c>
      <c r="C1138" s="2" t="s">
        <v>2938</v>
      </c>
      <c r="D1138" s="2" t="s">
        <v>49</v>
      </c>
      <c r="E1138" s="2" t="s">
        <v>1563</v>
      </c>
      <c r="F1138" s="2" t="s">
        <v>1186</v>
      </c>
      <c r="G1138" s="2" t="s">
        <v>3448</v>
      </c>
    </row>
    <row r="1139" customFormat="false" ht="15" hidden="false" customHeight="false" outlineLevel="0" collapsed="false">
      <c r="A1139" s="2" t="s">
        <v>3449</v>
      </c>
      <c r="B1139" s="2" t="s">
        <v>146</v>
      </c>
      <c r="C1139" s="2" t="s">
        <v>2938</v>
      </c>
      <c r="D1139" s="2" t="s">
        <v>49</v>
      </c>
      <c r="E1139" s="2" t="s">
        <v>1563</v>
      </c>
      <c r="F1139" s="2" t="s">
        <v>1186</v>
      </c>
      <c r="G1139" s="2" t="s">
        <v>3450</v>
      </c>
    </row>
    <row r="1140" customFormat="false" ht="15" hidden="false" customHeight="false" outlineLevel="0" collapsed="false">
      <c r="A1140" s="2" t="s">
        <v>3451</v>
      </c>
      <c r="B1140" s="2" t="s">
        <v>146</v>
      </c>
      <c r="C1140" s="2" t="s">
        <v>2938</v>
      </c>
      <c r="D1140" s="2" t="s">
        <v>49</v>
      </c>
      <c r="E1140" s="2" t="s">
        <v>1563</v>
      </c>
      <c r="F1140" s="2" t="s">
        <v>1186</v>
      </c>
      <c r="G1140" s="2" t="s">
        <v>3452</v>
      </c>
    </row>
    <row r="1141" customFormat="false" ht="15" hidden="false" customHeight="false" outlineLevel="0" collapsed="false">
      <c r="A1141" s="2" t="s">
        <v>3453</v>
      </c>
      <c r="B1141" s="2" t="s">
        <v>146</v>
      </c>
      <c r="C1141" s="2" t="s">
        <v>2938</v>
      </c>
      <c r="D1141" s="2" t="s">
        <v>49</v>
      </c>
      <c r="E1141" s="2" t="s">
        <v>1563</v>
      </c>
      <c r="F1141" s="2" t="s">
        <v>1186</v>
      </c>
      <c r="G1141" s="2" t="s">
        <v>3454</v>
      </c>
    </row>
    <row r="1142" customFormat="false" ht="15" hidden="false" customHeight="false" outlineLevel="0" collapsed="false">
      <c r="A1142" s="2" t="s">
        <v>3455</v>
      </c>
      <c r="B1142" s="2" t="s">
        <v>146</v>
      </c>
      <c r="C1142" s="2" t="s">
        <v>2938</v>
      </c>
      <c r="D1142" s="2" t="s">
        <v>49</v>
      </c>
      <c r="E1142" s="2" t="s">
        <v>1563</v>
      </c>
      <c r="F1142" s="2" t="s">
        <v>1186</v>
      </c>
      <c r="G1142" s="2" t="s">
        <v>3456</v>
      </c>
    </row>
    <row r="1143" customFormat="false" ht="15" hidden="false" customHeight="false" outlineLevel="0" collapsed="false">
      <c r="A1143" s="2" t="s">
        <v>3457</v>
      </c>
      <c r="B1143" s="2" t="s">
        <v>146</v>
      </c>
      <c r="C1143" s="2" t="s">
        <v>2938</v>
      </c>
      <c r="D1143" s="2" t="s">
        <v>49</v>
      </c>
      <c r="E1143" s="2" t="s">
        <v>1563</v>
      </c>
      <c r="F1143" s="2" t="s">
        <v>1186</v>
      </c>
      <c r="G1143" s="2" t="s">
        <v>3458</v>
      </c>
    </row>
    <row r="1144" customFormat="false" ht="15" hidden="false" customHeight="false" outlineLevel="0" collapsed="false">
      <c r="A1144" s="2" t="s">
        <v>3459</v>
      </c>
      <c r="B1144" s="2" t="s">
        <v>146</v>
      </c>
      <c r="C1144" s="2" t="s">
        <v>2938</v>
      </c>
      <c r="D1144" s="2" t="s">
        <v>49</v>
      </c>
      <c r="E1144" s="2" t="s">
        <v>1563</v>
      </c>
      <c r="F1144" s="2" t="s">
        <v>1186</v>
      </c>
      <c r="G1144" s="2" t="s">
        <v>3460</v>
      </c>
    </row>
    <row r="1145" customFormat="false" ht="15" hidden="false" customHeight="false" outlineLevel="0" collapsed="false">
      <c r="A1145" s="2" t="s">
        <v>3461</v>
      </c>
      <c r="B1145" s="2" t="s">
        <v>146</v>
      </c>
      <c r="C1145" s="2" t="s">
        <v>2408</v>
      </c>
      <c r="D1145" s="2" t="s">
        <v>50</v>
      </c>
      <c r="E1145" s="2" t="s">
        <v>1194</v>
      </c>
      <c r="F1145" s="2" t="s">
        <v>1186</v>
      </c>
      <c r="G1145" s="2" t="s">
        <v>3462</v>
      </c>
    </row>
    <row r="1146" customFormat="false" ht="15" hidden="false" customHeight="false" outlineLevel="0" collapsed="false">
      <c r="A1146" s="2" t="s">
        <v>3463</v>
      </c>
      <c r="B1146" s="2" t="s">
        <v>146</v>
      </c>
      <c r="C1146" s="2" t="s">
        <v>2408</v>
      </c>
      <c r="D1146" s="2" t="s">
        <v>50</v>
      </c>
      <c r="E1146" s="2" t="s">
        <v>1194</v>
      </c>
      <c r="F1146" s="2" t="s">
        <v>1186</v>
      </c>
      <c r="G1146" s="2" t="s">
        <v>3464</v>
      </c>
    </row>
    <row r="1147" customFormat="false" ht="15" hidden="false" customHeight="false" outlineLevel="0" collapsed="false">
      <c r="A1147" s="2" t="s">
        <v>3465</v>
      </c>
      <c r="B1147" s="2" t="s">
        <v>146</v>
      </c>
      <c r="C1147" s="2" t="s">
        <v>2408</v>
      </c>
      <c r="D1147" s="2" t="s">
        <v>50</v>
      </c>
      <c r="E1147" s="2" t="s">
        <v>1194</v>
      </c>
      <c r="F1147" s="2" t="s">
        <v>1186</v>
      </c>
      <c r="G1147" s="2" t="s">
        <v>3466</v>
      </c>
    </row>
    <row r="1148" customFormat="false" ht="15" hidden="false" customHeight="false" outlineLevel="0" collapsed="false">
      <c r="A1148" s="2" t="s">
        <v>3467</v>
      </c>
      <c r="B1148" s="2" t="s">
        <v>146</v>
      </c>
      <c r="C1148" s="2" t="s">
        <v>2408</v>
      </c>
      <c r="D1148" s="2" t="s">
        <v>50</v>
      </c>
      <c r="E1148" s="2" t="s">
        <v>1194</v>
      </c>
      <c r="F1148" s="2" t="s">
        <v>1186</v>
      </c>
      <c r="G1148" s="2" t="s">
        <v>3468</v>
      </c>
    </row>
    <row r="1149" customFormat="false" ht="15" hidden="false" customHeight="false" outlineLevel="0" collapsed="false">
      <c r="A1149" s="2" t="s">
        <v>3469</v>
      </c>
      <c r="B1149" s="2" t="s">
        <v>146</v>
      </c>
      <c r="C1149" s="2" t="s">
        <v>2408</v>
      </c>
      <c r="D1149" s="2" t="s">
        <v>50</v>
      </c>
      <c r="E1149" s="2" t="s">
        <v>1194</v>
      </c>
      <c r="F1149" s="2" t="s">
        <v>1186</v>
      </c>
      <c r="G1149" s="2" t="s">
        <v>3470</v>
      </c>
    </row>
    <row r="1150" customFormat="false" ht="15" hidden="false" customHeight="false" outlineLevel="0" collapsed="false">
      <c r="A1150" s="2" t="s">
        <v>3471</v>
      </c>
      <c r="B1150" s="2" t="s">
        <v>146</v>
      </c>
      <c r="C1150" s="2" t="s">
        <v>2408</v>
      </c>
      <c r="D1150" s="2" t="s">
        <v>50</v>
      </c>
      <c r="E1150" s="2" t="s">
        <v>1194</v>
      </c>
      <c r="F1150" s="2" t="s">
        <v>1186</v>
      </c>
      <c r="G1150" s="2" t="s">
        <v>3472</v>
      </c>
    </row>
    <row r="1151" customFormat="false" ht="15" hidden="false" customHeight="false" outlineLevel="0" collapsed="false">
      <c r="A1151" s="2" t="s">
        <v>3473</v>
      </c>
      <c r="B1151" s="2" t="s">
        <v>146</v>
      </c>
      <c r="C1151" s="2" t="s">
        <v>2938</v>
      </c>
      <c r="D1151" s="2" t="s">
        <v>49</v>
      </c>
      <c r="E1151" s="2" t="s">
        <v>1563</v>
      </c>
      <c r="F1151" s="2" t="s">
        <v>1186</v>
      </c>
      <c r="G1151" s="2" t="s">
        <v>3474</v>
      </c>
    </row>
    <row r="1152" customFormat="false" ht="15" hidden="false" customHeight="false" outlineLevel="0" collapsed="false">
      <c r="A1152" s="2" t="s">
        <v>3475</v>
      </c>
      <c r="B1152" s="2" t="s">
        <v>146</v>
      </c>
      <c r="C1152" s="2" t="s">
        <v>2938</v>
      </c>
      <c r="D1152" s="2" t="s">
        <v>49</v>
      </c>
      <c r="E1152" s="2" t="s">
        <v>1563</v>
      </c>
      <c r="F1152" s="2" t="s">
        <v>1186</v>
      </c>
      <c r="G1152" s="2" t="s">
        <v>3476</v>
      </c>
    </row>
    <row r="1153" customFormat="false" ht="15" hidden="false" customHeight="false" outlineLevel="0" collapsed="false">
      <c r="A1153" s="2" t="s">
        <v>3477</v>
      </c>
      <c r="B1153" s="2" t="s">
        <v>146</v>
      </c>
      <c r="C1153" s="2" t="s">
        <v>2408</v>
      </c>
      <c r="D1153" s="2" t="s">
        <v>50</v>
      </c>
      <c r="E1153" s="2" t="s">
        <v>1194</v>
      </c>
      <c r="F1153" s="2" t="s">
        <v>1186</v>
      </c>
      <c r="G1153" s="2" t="s">
        <v>3478</v>
      </c>
    </row>
    <row r="1154" customFormat="false" ht="15" hidden="false" customHeight="false" outlineLevel="0" collapsed="false">
      <c r="A1154" s="2" t="s">
        <v>3479</v>
      </c>
      <c r="B1154" s="2" t="s">
        <v>146</v>
      </c>
      <c r="C1154" s="2" t="s">
        <v>2408</v>
      </c>
      <c r="D1154" s="2" t="s">
        <v>50</v>
      </c>
      <c r="E1154" s="2" t="s">
        <v>1194</v>
      </c>
      <c r="F1154" s="2" t="s">
        <v>1186</v>
      </c>
      <c r="G1154" s="2" t="s">
        <v>3480</v>
      </c>
    </row>
    <row r="1155" customFormat="false" ht="15" hidden="false" customHeight="false" outlineLevel="0" collapsed="false">
      <c r="A1155" s="2" t="s">
        <v>3481</v>
      </c>
      <c r="B1155" s="2" t="s">
        <v>146</v>
      </c>
      <c r="C1155" s="2" t="s">
        <v>2408</v>
      </c>
      <c r="D1155" s="2" t="s">
        <v>50</v>
      </c>
      <c r="E1155" s="2" t="s">
        <v>1194</v>
      </c>
      <c r="F1155" s="2" t="s">
        <v>1186</v>
      </c>
      <c r="G1155" s="2" t="s">
        <v>3482</v>
      </c>
    </row>
    <row r="1156" customFormat="false" ht="15" hidden="false" customHeight="false" outlineLevel="0" collapsed="false">
      <c r="A1156" s="2" t="s">
        <v>3483</v>
      </c>
      <c r="B1156" s="2" t="s">
        <v>146</v>
      </c>
      <c r="C1156" s="2" t="s">
        <v>2938</v>
      </c>
      <c r="D1156" s="2" t="s">
        <v>49</v>
      </c>
      <c r="E1156" s="2" t="s">
        <v>1563</v>
      </c>
      <c r="F1156" s="2" t="s">
        <v>1186</v>
      </c>
      <c r="G1156" s="2" t="s">
        <v>3484</v>
      </c>
    </row>
    <row r="1157" customFormat="false" ht="15" hidden="false" customHeight="false" outlineLevel="0" collapsed="false">
      <c r="A1157" s="2" t="s">
        <v>3485</v>
      </c>
      <c r="B1157" s="2" t="s">
        <v>146</v>
      </c>
      <c r="C1157" s="2" t="s">
        <v>2408</v>
      </c>
      <c r="D1157" s="2" t="s">
        <v>50</v>
      </c>
      <c r="E1157" s="2" t="s">
        <v>1194</v>
      </c>
      <c r="F1157" s="2" t="s">
        <v>1186</v>
      </c>
      <c r="G1157" s="2" t="s">
        <v>3486</v>
      </c>
    </row>
    <row r="1158" customFormat="false" ht="15" hidden="false" customHeight="false" outlineLevel="0" collapsed="false">
      <c r="A1158" s="2" t="s">
        <v>3487</v>
      </c>
      <c r="B1158" s="2" t="s">
        <v>146</v>
      </c>
      <c r="C1158" s="2" t="s">
        <v>2408</v>
      </c>
      <c r="D1158" s="2" t="s">
        <v>50</v>
      </c>
      <c r="E1158" s="2" t="s">
        <v>1194</v>
      </c>
      <c r="F1158" s="2" t="s">
        <v>1186</v>
      </c>
      <c r="G1158" s="2" t="s">
        <v>3488</v>
      </c>
    </row>
    <row r="1159" customFormat="false" ht="15" hidden="false" customHeight="false" outlineLevel="0" collapsed="false">
      <c r="A1159" s="2" t="s">
        <v>3489</v>
      </c>
      <c r="B1159" s="2" t="s">
        <v>146</v>
      </c>
      <c r="C1159" s="2" t="s">
        <v>2408</v>
      </c>
      <c r="D1159" s="2" t="s">
        <v>50</v>
      </c>
      <c r="E1159" s="2" t="s">
        <v>1194</v>
      </c>
      <c r="F1159" s="2" t="s">
        <v>1186</v>
      </c>
      <c r="G1159" s="2" t="s">
        <v>3490</v>
      </c>
    </row>
    <row r="1160" customFormat="false" ht="15" hidden="false" customHeight="false" outlineLevel="0" collapsed="false">
      <c r="A1160" s="2" t="s">
        <v>3491</v>
      </c>
      <c r="B1160" s="2" t="s">
        <v>146</v>
      </c>
      <c r="C1160" s="2" t="s">
        <v>2408</v>
      </c>
      <c r="D1160" s="2" t="s">
        <v>50</v>
      </c>
      <c r="E1160" s="2" t="s">
        <v>1194</v>
      </c>
      <c r="F1160" s="2" t="s">
        <v>1186</v>
      </c>
      <c r="G1160" s="2" t="s">
        <v>3492</v>
      </c>
    </row>
    <row r="1161" customFormat="false" ht="15" hidden="false" customHeight="false" outlineLevel="0" collapsed="false">
      <c r="A1161" s="2" t="s">
        <v>3493</v>
      </c>
      <c r="B1161" s="2" t="s">
        <v>146</v>
      </c>
      <c r="C1161" s="2" t="s">
        <v>2408</v>
      </c>
      <c r="D1161" s="2" t="s">
        <v>50</v>
      </c>
      <c r="E1161" s="2" t="s">
        <v>1194</v>
      </c>
      <c r="F1161" s="2" t="s">
        <v>1186</v>
      </c>
      <c r="G1161" s="2" t="s">
        <v>3494</v>
      </c>
    </row>
    <row r="1162" customFormat="false" ht="15" hidden="false" customHeight="false" outlineLevel="0" collapsed="false">
      <c r="A1162" s="2" t="s">
        <v>3495</v>
      </c>
      <c r="B1162" s="2" t="s">
        <v>146</v>
      </c>
      <c r="C1162" s="2" t="s">
        <v>2408</v>
      </c>
      <c r="D1162" s="2" t="s">
        <v>50</v>
      </c>
      <c r="E1162" s="2" t="s">
        <v>1194</v>
      </c>
      <c r="F1162" s="2" t="s">
        <v>1186</v>
      </c>
      <c r="G1162" s="2" t="s">
        <v>3496</v>
      </c>
    </row>
    <row r="1163" customFormat="false" ht="15" hidden="false" customHeight="false" outlineLevel="0" collapsed="false">
      <c r="A1163" s="2" t="s">
        <v>3497</v>
      </c>
      <c r="B1163" s="2" t="s">
        <v>146</v>
      </c>
      <c r="C1163" s="2" t="s">
        <v>2408</v>
      </c>
      <c r="D1163" s="2" t="s">
        <v>50</v>
      </c>
      <c r="E1163" s="2" t="s">
        <v>1194</v>
      </c>
      <c r="F1163" s="2" t="s">
        <v>1186</v>
      </c>
      <c r="G1163" s="2" t="s">
        <v>3498</v>
      </c>
    </row>
    <row r="1164" customFormat="false" ht="15" hidden="false" customHeight="false" outlineLevel="0" collapsed="false">
      <c r="A1164" s="2" t="s">
        <v>3499</v>
      </c>
      <c r="B1164" s="2" t="s">
        <v>146</v>
      </c>
      <c r="C1164" s="2" t="s">
        <v>2408</v>
      </c>
      <c r="D1164" s="2" t="s">
        <v>50</v>
      </c>
      <c r="E1164" s="2" t="s">
        <v>1194</v>
      </c>
      <c r="F1164" s="2" t="s">
        <v>1186</v>
      </c>
      <c r="G1164" s="2" t="s">
        <v>3500</v>
      </c>
    </row>
    <row r="1165" customFormat="false" ht="15" hidden="false" customHeight="false" outlineLevel="0" collapsed="false">
      <c r="A1165" s="2" t="s">
        <v>3501</v>
      </c>
      <c r="B1165" s="2" t="s">
        <v>146</v>
      </c>
      <c r="C1165" s="2" t="s">
        <v>2408</v>
      </c>
      <c r="D1165" s="2" t="s">
        <v>50</v>
      </c>
      <c r="E1165" s="2" t="s">
        <v>1194</v>
      </c>
      <c r="F1165" s="2" t="s">
        <v>1186</v>
      </c>
      <c r="G1165" s="2" t="s">
        <v>3502</v>
      </c>
    </row>
    <row r="1166" customFormat="false" ht="15" hidden="false" customHeight="false" outlineLevel="0" collapsed="false">
      <c r="A1166" s="2" t="s">
        <v>3503</v>
      </c>
      <c r="B1166" s="2" t="s">
        <v>146</v>
      </c>
      <c r="C1166" s="2" t="s">
        <v>2408</v>
      </c>
      <c r="D1166" s="2" t="s">
        <v>50</v>
      </c>
      <c r="E1166" s="2" t="s">
        <v>1194</v>
      </c>
      <c r="F1166" s="2" t="s">
        <v>1186</v>
      </c>
      <c r="G1166" s="2" t="s">
        <v>3504</v>
      </c>
    </row>
    <row r="1167" customFormat="false" ht="15" hidden="false" customHeight="false" outlineLevel="0" collapsed="false">
      <c r="A1167" s="2" t="s">
        <v>3505</v>
      </c>
      <c r="B1167" s="2" t="s">
        <v>146</v>
      </c>
      <c r="C1167" s="2" t="s">
        <v>2408</v>
      </c>
      <c r="D1167" s="2" t="s">
        <v>50</v>
      </c>
      <c r="E1167" s="2" t="s">
        <v>1194</v>
      </c>
      <c r="F1167" s="2" t="s">
        <v>1186</v>
      </c>
      <c r="G1167" s="2" t="s">
        <v>3506</v>
      </c>
    </row>
    <row r="1168" customFormat="false" ht="15" hidden="false" customHeight="false" outlineLevel="0" collapsed="false">
      <c r="A1168" s="2" t="s">
        <v>3507</v>
      </c>
      <c r="B1168" s="2" t="s">
        <v>146</v>
      </c>
      <c r="C1168" s="2" t="s">
        <v>2408</v>
      </c>
      <c r="D1168" s="2" t="s">
        <v>50</v>
      </c>
      <c r="E1168" s="2" t="s">
        <v>1194</v>
      </c>
      <c r="F1168" s="2" t="s">
        <v>1186</v>
      </c>
      <c r="G1168" s="2" t="s">
        <v>3508</v>
      </c>
    </row>
    <row r="1169" customFormat="false" ht="15" hidden="false" customHeight="false" outlineLevel="0" collapsed="false">
      <c r="A1169" s="2" t="s">
        <v>3509</v>
      </c>
      <c r="B1169" s="2" t="s">
        <v>146</v>
      </c>
      <c r="C1169" s="2" t="s">
        <v>2408</v>
      </c>
      <c r="D1169" s="2" t="s">
        <v>50</v>
      </c>
      <c r="E1169" s="2" t="s">
        <v>1194</v>
      </c>
      <c r="F1169" s="2" t="s">
        <v>1186</v>
      </c>
      <c r="G1169" s="2" t="s">
        <v>3510</v>
      </c>
    </row>
    <row r="1170" customFormat="false" ht="15" hidden="false" customHeight="false" outlineLevel="0" collapsed="false">
      <c r="A1170" s="2" t="s">
        <v>3511</v>
      </c>
      <c r="B1170" s="2" t="s">
        <v>146</v>
      </c>
      <c r="C1170" s="2" t="s">
        <v>2408</v>
      </c>
      <c r="D1170" s="2" t="s">
        <v>50</v>
      </c>
      <c r="E1170" s="2" t="s">
        <v>1194</v>
      </c>
      <c r="F1170" s="2" t="s">
        <v>1186</v>
      </c>
      <c r="G1170" s="2" t="s">
        <v>3512</v>
      </c>
    </row>
    <row r="1171" customFormat="false" ht="15" hidden="false" customHeight="false" outlineLevel="0" collapsed="false">
      <c r="A1171" s="2" t="s">
        <v>3513</v>
      </c>
      <c r="B1171" s="2" t="s">
        <v>146</v>
      </c>
      <c r="C1171" s="2" t="s">
        <v>2408</v>
      </c>
      <c r="D1171" s="2" t="s">
        <v>50</v>
      </c>
      <c r="E1171" s="2" t="s">
        <v>1194</v>
      </c>
      <c r="F1171" s="2" t="s">
        <v>1186</v>
      </c>
      <c r="G1171" s="2" t="s">
        <v>3514</v>
      </c>
    </row>
    <row r="1172" customFormat="false" ht="15" hidden="false" customHeight="false" outlineLevel="0" collapsed="false">
      <c r="A1172" s="2" t="s">
        <v>3515</v>
      </c>
      <c r="B1172" s="2" t="s">
        <v>146</v>
      </c>
      <c r="C1172" s="2" t="s">
        <v>2408</v>
      </c>
      <c r="D1172" s="2" t="s">
        <v>50</v>
      </c>
      <c r="E1172" s="2" t="s">
        <v>1194</v>
      </c>
      <c r="F1172" s="2" t="s">
        <v>1186</v>
      </c>
      <c r="G1172" s="2" t="s">
        <v>3516</v>
      </c>
    </row>
    <row r="1173" customFormat="false" ht="15" hidden="false" customHeight="false" outlineLevel="0" collapsed="false">
      <c r="A1173" s="2" t="s">
        <v>3517</v>
      </c>
      <c r="B1173" s="2" t="s">
        <v>146</v>
      </c>
      <c r="C1173" s="2" t="s">
        <v>2408</v>
      </c>
      <c r="D1173" s="2" t="s">
        <v>50</v>
      </c>
      <c r="E1173" s="2" t="s">
        <v>1194</v>
      </c>
      <c r="F1173" s="2" t="s">
        <v>1186</v>
      </c>
      <c r="G1173" s="2" t="s">
        <v>3518</v>
      </c>
    </row>
    <row r="1174" customFormat="false" ht="15" hidden="false" customHeight="false" outlineLevel="0" collapsed="false">
      <c r="A1174" s="2" t="s">
        <v>3519</v>
      </c>
      <c r="B1174" s="2" t="s">
        <v>146</v>
      </c>
      <c r="C1174" s="2" t="s">
        <v>2408</v>
      </c>
      <c r="D1174" s="2" t="s">
        <v>50</v>
      </c>
      <c r="E1174" s="2" t="s">
        <v>1194</v>
      </c>
      <c r="F1174" s="2" t="s">
        <v>1186</v>
      </c>
      <c r="G1174" s="2" t="s">
        <v>3520</v>
      </c>
    </row>
    <row r="1175" customFormat="false" ht="15" hidden="false" customHeight="false" outlineLevel="0" collapsed="false">
      <c r="A1175" s="2" t="s">
        <v>3521</v>
      </c>
      <c r="B1175" s="2" t="s">
        <v>146</v>
      </c>
      <c r="C1175" s="2" t="s">
        <v>2408</v>
      </c>
      <c r="D1175" s="2" t="s">
        <v>50</v>
      </c>
      <c r="E1175" s="2" t="s">
        <v>1194</v>
      </c>
      <c r="F1175" s="2" t="s">
        <v>1186</v>
      </c>
      <c r="G1175" s="2" t="s">
        <v>3522</v>
      </c>
    </row>
    <row r="1176" customFormat="false" ht="15" hidden="false" customHeight="false" outlineLevel="0" collapsed="false">
      <c r="A1176" s="2" t="s">
        <v>3523</v>
      </c>
      <c r="B1176" s="2" t="s">
        <v>146</v>
      </c>
      <c r="C1176" s="2" t="s">
        <v>2938</v>
      </c>
      <c r="D1176" s="2" t="s">
        <v>49</v>
      </c>
      <c r="E1176" s="2" t="s">
        <v>1563</v>
      </c>
      <c r="F1176" s="2" t="s">
        <v>1186</v>
      </c>
      <c r="G1176" s="2" t="s">
        <v>3524</v>
      </c>
    </row>
    <row r="1177" customFormat="false" ht="15" hidden="false" customHeight="false" outlineLevel="0" collapsed="false">
      <c r="A1177" s="2" t="s">
        <v>3525</v>
      </c>
      <c r="B1177" s="2" t="s">
        <v>146</v>
      </c>
      <c r="C1177" s="2" t="s">
        <v>2938</v>
      </c>
      <c r="D1177" s="2" t="s">
        <v>49</v>
      </c>
      <c r="E1177" s="2" t="s">
        <v>1563</v>
      </c>
      <c r="F1177" s="2" t="s">
        <v>1186</v>
      </c>
      <c r="G1177" s="2" t="s">
        <v>3526</v>
      </c>
    </row>
    <row r="1178" customFormat="false" ht="15" hidden="false" customHeight="false" outlineLevel="0" collapsed="false">
      <c r="A1178" s="2" t="s">
        <v>3527</v>
      </c>
      <c r="B1178" s="2" t="s">
        <v>146</v>
      </c>
      <c r="C1178" s="2" t="s">
        <v>2938</v>
      </c>
      <c r="D1178" s="2" t="s">
        <v>49</v>
      </c>
      <c r="E1178" s="2" t="s">
        <v>1563</v>
      </c>
      <c r="F1178" s="2" t="s">
        <v>1186</v>
      </c>
      <c r="G1178" s="2" t="s">
        <v>3528</v>
      </c>
    </row>
    <row r="1179" customFormat="false" ht="15" hidden="false" customHeight="false" outlineLevel="0" collapsed="false">
      <c r="A1179" s="2" t="s">
        <v>3529</v>
      </c>
      <c r="B1179" s="2" t="s">
        <v>146</v>
      </c>
      <c r="C1179" s="2" t="s">
        <v>2408</v>
      </c>
      <c r="D1179" s="2" t="s">
        <v>50</v>
      </c>
      <c r="E1179" s="2" t="s">
        <v>1194</v>
      </c>
      <c r="F1179" s="2" t="s">
        <v>1186</v>
      </c>
      <c r="G1179" s="2" t="s">
        <v>3530</v>
      </c>
    </row>
    <row r="1180" customFormat="false" ht="15" hidden="false" customHeight="false" outlineLevel="0" collapsed="false">
      <c r="A1180" s="2" t="s">
        <v>3531</v>
      </c>
      <c r="B1180" s="2" t="s">
        <v>146</v>
      </c>
      <c r="C1180" s="2" t="s">
        <v>2408</v>
      </c>
      <c r="D1180" s="2" t="s">
        <v>50</v>
      </c>
      <c r="E1180" s="2" t="s">
        <v>1194</v>
      </c>
      <c r="F1180" s="2" t="s">
        <v>1186</v>
      </c>
      <c r="G1180" s="2" t="s">
        <v>3532</v>
      </c>
    </row>
    <row r="1181" customFormat="false" ht="15" hidden="false" customHeight="false" outlineLevel="0" collapsed="false">
      <c r="A1181" s="2" t="s">
        <v>3533</v>
      </c>
      <c r="B1181" s="2" t="s">
        <v>146</v>
      </c>
      <c r="C1181" s="2" t="s">
        <v>2938</v>
      </c>
      <c r="D1181" s="2" t="s">
        <v>49</v>
      </c>
      <c r="E1181" s="2" t="s">
        <v>1563</v>
      </c>
      <c r="F1181" s="2" t="s">
        <v>1186</v>
      </c>
      <c r="G1181" s="2" t="s">
        <v>3534</v>
      </c>
    </row>
    <row r="1182" customFormat="false" ht="15" hidden="false" customHeight="false" outlineLevel="0" collapsed="false">
      <c r="A1182" s="2" t="s">
        <v>3535</v>
      </c>
      <c r="B1182" s="2" t="s">
        <v>146</v>
      </c>
      <c r="C1182" s="2" t="s">
        <v>2408</v>
      </c>
      <c r="D1182" s="2" t="s">
        <v>50</v>
      </c>
      <c r="E1182" s="2" t="s">
        <v>1194</v>
      </c>
      <c r="F1182" s="2" t="s">
        <v>1186</v>
      </c>
      <c r="G1182" s="2" t="s">
        <v>3536</v>
      </c>
    </row>
    <row r="1183" customFormat="false" ht="15" hidden="false" customHeight="false" outlineLevel="0" collapsed="false">
      <c r="A1183" s="2" t="s">
        <v>3537</v>
      </c>
      <c r="B1183" s="2" t="s">
        <v>146</v>
      </c>
      <c r="C1183" s="2" t="s">
        <v>2408</v>
      </c>
      <c r="D1183" s="2" t="s">
        <v>50</v>
      </c>
      <c r="E1183" s="2" t="s">
        <v>1194</v>
      </c>
      <c r="F1183" s="2" t="s">
        <v>1186</v>
      </c>
      <c r="G1183" s="2" t="s">
        <v>3538</v>
      </c>
    </row>
    <row r="1184" customFormat="false" ht="15" hidden="false" customHeight="false" outlineLevel="0" collapsed="false">
      <c r="A1184" s="2" t="s">
        <v>3539</v>
      </c>
      <c r="B1184" s="2" t="s">
        <v>146</v>
      </c>
      <c r="C1184" s="2" t="s">
        <v>2408</v>
      </c>
      <c r="D1184" s="2" t="s">
        <v>50</v>
      </c>
      <c r="E1184" s="2" t="s">
        <v>1194</v>
      </c>
      <c r="F1184" s="2" t="s">
        <v>1186</v>
      </c>
      <c r="G1184" s="2" t="s">
        <v>3540</v>
      </c>
    </row>
    <row r="1185" customFormat="false" ht="15" hidden="false" customHeight="false" outlineLevel="0" collapsed="false">
      <c r="A1185" s="2" t="s">
        <v>3541</v>
      </c>
      <c r="B1185" s="2" t="s">
        <v>146</v>
      </c>
      <c r="C1185" s="2" t="s">
        <v>2408</v>
      </c>
      <c r="D1185" s="2" t="s">
        <v>50</v>
      </c>
      <c r="E1185" s="2" t="s">
        <v>1194</v>
      </c>
      <c r="F1185" s="2" t="s">
        <v>1186</v>
      </c>
      <c r="G1185" s="2" t="s">
        <v>3542</v>
      </c>
    </row>
    <row r="1186" customFormat="false" ht="15" hidden="false" customHeight="false" outlineLevel="0" collapsed="false">
      <c r="A1186" s="2" t="s">
        <v>3543</v>
      </c>
      <c r="B1186" s="2" t="s">
        <v>146</v>
      </c>
      <c r="C1186" s="2" t="s">
        <v>2938</v>
      </c>
      <c r="D1186" s="2" t="s">
        <v>49</v>
      </c>
      <c r="E1186" s="2" t="s">
        <v>1563</v>
      </c>
      <c r="F1186" s="2" t="s">
        <v>1186</v>
      </c>
      <c r="G1186" s="2" t="s">
        <v>3544</v>
      </c>
    </row>
    <row r="1187" customFormat="false" ht="15" hidden="false" customHeight="false" outlineLevel="0" collapsed="false">
      <c r="A1187" s="2" t="s">
        <v>3545</v>
      </c>
      <c r="B1187" s="2" t="s">
        <v>146</v>
      </c>
      <c r="C1187" s="2" t="s">
        <v>2408</v>
      </c>
      <c r="D1187" s="2" t="s">
        <v>50</v>
      </c>
      <c r="E1187" s="2" t="s">
        <v>1194</v>
      </c>
      <c r="F1187" s="2" t="s">
        <v>1186</v>
      </c>
      <c r="G1187" s="2" t="s">
        <v>3546</v>
      </c>
    </row>
    <row r="1188" customFormat="false" ht="15" hidden="false" customHeight="false" outlineLevel="0" collapsed="false">
      <c r="A1188" s="2" t="s">
        <v>3547</v>
      </c>
      <c r="B1188" s="2" t="s">
        <v>146</v>
      </c>
      <c r="C1188" s="2" t="s">
        <v>2408</v>
      </c>
      <c r="D1188" s="2" t="s">
        <v>50</v>
      </c>
      <c r="E1188" s="2" t="s">
        <v>1194</v>
      </c>
      <c r="F1188" s="2" t="s">
        <v>1186</v>
      </c>
      <c r="G1188" s="2" t="s">
        <v>3548</v>
      </c>
    </row>
    <row r="1189" customFormat="false" ht="15" hidden="false" customHeight="false" outlineLevel="0" collapsed="false">
      <c r="A1189" s="2" t="s">
        <v>3549</v>
      </c>
      <c r="B1189" s="2" t="s">
        <v>146</v>
      </c>
      <c r="C1189" s="2" t="s">
        <v>2408</v>
      </c>
      <c r="D1189" s="2" t="s">
        <v>50</v>
      </c>
      <c r="E1189" s="2" t="s">
        <v>1194</v>
      </c>
      <c r="F1189" s="2" t="s">
        <v>1186</v>
      </c>
      <c r="G1189" s="2" t="s">
        <v>3550</v>
      </c>
    </row>
    <row r="1190" customFormat="false" ht="15" hidden="false" customHeight="false" outlineLevel="0" collapsed="false">
      <c r="A1190" s="2" t="s">
        <v>3551</v>
      </c>
      <c r="B1190" s="2" t="s">
        <v>146</v>
      </c>
      <c r="C1190" s="2" t="s">
        <v>2408</v>
      </c>
      <c r="D1190" s="2" t="s">
        <v>50</v>
      </c>
      <c r="E1190" s="2" t="s">
        <v>1194</v>
      </c>
      <c r="F1190" s="2" t="s">
        <v>1186</v>
      </c>
      <c r="G1190" s="2" t="s">
        <v>3552</v>
      </c>
    </row>
    <row r="1191" customFormat="false" ht="15" hidden="false" customHeight="false" outlineLevel="0" collapsed="false">
      <c r="A1191" s="2" t="s">
        <v>3553</v>
      </c>
      <c r="B1191" s="2" t="s">
        <v>146</v>
      </c>
      <c r="C1191" s="2" t="s">
        <v>2408</v>
      </c>
      <c r="D1191" s="2" t="s">
        <v>50</v>
      </c>
      <c r="E1191" s="2" t="s">
        <v>1194</v>
      </c>
      <c r="F1191" s="2" t="s">
        <v>1186</v>
      </c>
      <c r="G1191" s="2" t="s">
        <v>3554</v>
      </c>
    </row>
    <row r="1192" customFormat="false" ht="15" hidden="false" customHeight="false" outlineLevel="0" collapsed="false">
      <c r="A1192" s="2" t="s">
        <v>3555</v>
      </c>
      <c r="B1192" s="2" t="s">
        <v>146</v>
      </c>
      <c r="C1192" s="2" t="s">
        <v>2408</v>
      </c>
      <c r="D1192" s="2" t="s">
        <v>50</v>
      </c>
      <c r="E1192" s="2" t="s">
        <v>1194</v>
      </c>
      <c r="F1192" s="2" t="s">
        <v>1186</v>
      </c>
      <c r="G1192" s="2" t="s">
        <v>3556</v>
      </c>
    </row>
    <row r="1193" customFormat="false" ht="15" hidden="false" customHeight="false" outlineLevel="0" collapsed="false">
      <c r="A1193" s="2" t="s">
        <v>3557</v>
      </c>
      <c r="B1193" s="2" t="s">
        <v>146</v>
      </c>
      <c r="C1193" s="2" t="s">
        <v>2938</v>
      </c>
      <c r="D1193" s="2" t="s">
        <v>49</v>
      </c>
      <c r="E1193" s="2" t="s">
        <v>1563</v>
      </c>
      <c r="F1193" s="2" t="s">
        <v>1186</v>
      </c>
      <c r="G1193" s="2" t="s">
        <v>3558</v>
      </c>
    </row>
    <row r="1194" customFormat="false" ht="15" hidden="false" customHeight="false" outlineLevel="0" collapsed="false">
      <c r="A1194" s="2" t="s">
        <v>3559</v>
      </c>
      <c r="B1194" s="2" t="s">
        <v>146</v>
      </c>
      <c r="C1194" s="2" t="s">
        <v>2408</v>
      </c>
      <c r="D1194" s="2" t="s">
        <v>50</v>
      </c>
      <c r="E1194" s="2" t="s">
        <v>1194</v>
      </c>
      <c r="F1194" s="2" t="s">
        <v>1186</v>
      </c>
      <c r="G1194" s="2" t="s">
        <v>3560</v>
      </c>
    </row>
    <row r="1195" customFormat="false" ht="15" hidden="false" customHeight="false" outlineLevel="0" collapsed="false">
      <c r="A1195" s="2" t="s">
        <v>3561</v>
      </c>
      <c r="B1195" s="2" t="s">
        <v>146</v>
      </c>
      <c r="C1195" s="2" t="s">
        <v>2408</v>
      </c>
      <c r="D1195" s="2" t="s">
        <v>50</v>
      </c>
      <c r="E1195" s="2" t="s">
        <v>1194</v>
      </c>
      <c r="F1195" s="2" t="s">
        <v>1186</v>
      </c>
      <c r="G1195" s="2" t="s">
        <v>3562</v>
      </c>
    </row>
    <row r="1196" customFormat="false" ht="15" hidden="false" customHeight="false" outlineLevel="0" collapsed="false">
      <c r="A1196" s="2" t="s">
        <v>3563</v>
      </c>
      <c r="B1196" s="2" t="s">
        <v>146</v>
      </c>
      <c r="C1196" s="2" t="s">
        <v>2408</v>
      </c>
      <c r="D1196" s="2" t="s">
        <v>50</v>
      </c>
      <c r="E1196" s="2" t="s">
        <v>1194</v>
      </c>
      <c r="F1196" s="2" t="s">
        <v>1186</v>
      </c>
      <c r="G1196" s="2" t="s">
        <v>3564</v>
      </c>
    </row>
    <row r="1197" customFormat="false" ht="15" hidden="false" customHeight="false" outlineLevel="0" collapsed="false">
      <c r="A1197" s="2" t="s">
        <v>3565</v>
      </c>
      <c r="B1197" s="2" t="s">
        <v>146</v>
      </c>
      <c r="C1197" s="2" t="s">
        <v>2408</v>
      </c>
      <c r="D1197" s="2" t="s">
        <v>50</v>
      </c>
      <c r="E1197" s="2" t="s">
        <v>1194</v>
      </c>
      <c r="F1197" s="2" t="s">
        <v>1186</v>
      </c>
      <c r="G1197" s="2" t="s">
        <v>3566</v>
      </c>
    </row>
    <row r="1198" customFormat="false" ht="15" hidden="false" customHeight="false" outlineLevel="0" collapsed="false">
      <c r="A1198" s="2" t="s">
        <v>3567</v>
      </c>
      <c r="B1198" s="2" t="s">
        <v>146</v>
      </c>
      <c r="C1198" s="2" t="s">
        <v>2408</v>
      </c>
      <c r="D1198" s="2" t="s">
        <v>50</v>
      </c>
      <c r="E1198" s="2" t="s">
        <v>1194</v>
      </c>
      <c r="F1198" s="2" t="s">
        <v>1186</v>
      </c>
      <c r="G1198" s="2" t="s">
        <v>3568</v>
      </c>
    </row>
    <row r="1199" customFormat="false" ht="15" hidden="false" customHeight="false" outlineLevel="0" collapsed="false">
      <c r="A1199" s="2" t="s">
        <v>3569</v>
      </c>
      <c r="B1199" s="2" t="s">
        <v>146</v>
      </c>
      <c r="C1199" s="2" t="s">
        <v>2408</v>
      </c>
      <c r="D1199" s="2" t="s">
        <v>50</v>
      </c>
      <c r="E1199" s="2" t="s">
        <v>1194</v>
      </c>
      <c r="F1199" s="2" t="s">
        <v>1186</v>
      </c>
      <c r="G1199" s="2" t="s">
        <v>3570</v>
      </c>
    </row>
    <row r="1200" customFormat="false" ht="15" hidden="false" customHeight="false" outlineLevel="0" collapsed="false">
      <c r="A1200" s="2" t="s">
        <v>3571</v>
      </c>
      <c r="B1200" s="2" t="s">
        <v>146</v>
      </c>
      <c r="C1200" s="2" t="s">
        <v>2408</v>
      </c>
      <c r="D1200" s="2" t="s">
        <v>50</v>
      </c>
      <c r="E1200" s="2" t="s">
        <v>1194</v>
      </c>
      <c r="F1200" s="2" t="s">
        <v>1186</v>
      </c>
      <c r="G1200" s="2" t="s">
        <v>3572</v>
      </c>
    </row>
    <row r="1201" customFormat="false" ht="15" hidden="false" customHeight="false" outlineLevel="0" collapsed="false">
      <c r="A1201" s="2" t="s">
        <v>3573</v>
      </c>
      <c r="B1201" s="2" t="s">
        <v>146</v>
      </c>
      <c r="C1201" s="2" t="s">
        <v>2408</v>
      </c>
      <c r="D1201" s="2" t="s">
        <v>50</v>
      </c>
      <c r="E1201" s="2" t="s">
        <v>1194</v>
      </c>
      <c r="F1201" s="2" t="s">
        <v>1186</v>
      </c>
      <c r="G1201" s="2" t="s">
        <v>3574</v>
      </c>
    </row>
    <row r="1202" customFormat="false" ht="15" hidden="false" customHeight="false" outlineLevel="0" collapsed="false">
      <c r="A1202" s="2" t="s">
        <v>3575</v>
      </c>
      <c r="B1202" s="2" t="s">
        <v>146</v>
      </c>
      <c r="C1202" s="2" t="s">
        <v>2408</v>
      </c>
      <c r="D1202" s="2" t="s">
        <v>50</v>
      </c>
      <c r="E1202" s="2" t="s">
        <v>1194</v>
      </c>
      <c r="F1202" s="2" t="s">
        <v>1186</v>
      </c>
      <c r="G1202" s="2" t="s">
        <v>3576</v>
      </c>
    </row>
    <row r="1203" customFormat="false" ht="15" hidden="false" customHeight="false" outlineLevel="0" collapsed="false">
      <c r="A1203" s="2" t="s">
        <v>3577</v>
      </c>
      <c r="B1203" s="2" t="s">
        <v>146</v>
      </c>
      <c r="C1203" s="2" t="s">
        <v>2408</v>
      </c>
      <c r="D1203" s="2" t="s">
        <v>50</v>
      </c>
      <c r="E1203" s="2" t="s">
        <v>1194</v>
      </c>
      <c r="F1203" s="2" t="s">
        <v>1186</v>
      </c>
      <c r="G1203" s="2" t="s">
        <v>3578</v>
      </c>
    </row>
    <row r="1204" customFormat="false" ht="15" hidden="false" customHeight="false" outlineLevel="0" collapsed="false">
      <c r="A1204" s="2" t="s">
        <v>3579</v>
      </c>
      <c r="B1204" s="2" t="s">
        <v>146</v>
      </c>
      <c r="C1204" s="2" t="s">
        <v>2408</v>
      </c>
      <c r="D1204" s="2" t="s">
        <v>50</v>
      </c>
      <c r="E1204" s="2" t="s">
        <v>1194</v>
      </c>
      <c r="F1204" s="2" t="s">
        <v>1186</v>
      </c>
      <c r="G1204" s="2" t="s">
        <v>3580</v>
      </c>
    </row>
    <row r="1205" customFormat="false" ht="15" hidden="false" customHeight="false" outlineLevel="0" collapsed="false">
      <c r="A1205" s="2" t="s">
        <v>3581</v>
      </c>
      <c r="B1205" s="2" t="s">
        <v>146</v>
      </c>
      <c r="C1205" s="2" t="s">
        <v>2408</v>
      </c>
      <c r="D1205" s="2" t="s">
        <v>50</v>
      </c>
      <c r="E1205" s="2" t="s">
        <v>1194</v>
      </c>
      <c r="F1205" s="2" t="s">
        <v>1186</v>
      </c>
      <c r="G1205" s="2" t="s">
        <v>3582</v>
      </c>
    </row>
    <row r="1206" customFormat="false" ht="15" hidden="false" customHeight="false" outlineLevel="0" collapsed="false">
      <c r="A1206" s="2" t="s">
        <v>3583</v>
      </c>
      <c r="B1206" s="2" t="s">
        <v>146</v>
      </c>
      <c r="C1206" s="2" t="s">
        <v>2938</v>
      </c>
      <c r="D1206" s="2" t="s">
        <v>49</v>
      </c>
      <c r="E1206" s="2" t="s">
        <v>1563</v>
      </c>
      <c r="F1206" s="2" t="s">
        <v>1186</v>
      </c>
      <c r="G1206" s="2" t="s">
        <v>3584</v>
      </c>
    </row>
    <row r="1207" customFormat="false" ht="15" hidden="false" customHeight="false" outlineLevel="0" collapsed="false">
      <c r="A1207" s="2" t="s">
        <v>3585</v>
      </c>
      <c r="B1207" s="2" t="s">
        <v>146</v>
      </c>
      <c r="C1207" s="2" t="s">
        <v>2938</v>
      </c>
      <c r="D1207" s="2" t="s">
        <v>49</v>
      </c>
      <c r="E1207" s="2" t="s">
        <v>1563</v>
      </c>
      <c r="F1207" s="2" t="s">
        <v>1186</v>
      </c>
      <c r="G1207" s="2" t="s">
        <v>3586</v>
      </c>
    </row>
    <row r="1208" customFormat="false" ht="15" hidden="false" customHeight="false" outlineLevel="0" collapsed="false">
      <c r="A1208" s="2" t="s">
        <v>3587</v>
      </c>
      <c r="B1208" s="2" t="s">
        <v>146</v>
      </c>
      <c r="C1208" s="2" t="s">
        <v>2408</v>
      </c>
      <c r="D1208" s="2" t="s">
        <v>50</v>
      </c>
      <c r="E1208" s="2" t="s">
        <v>1194</v>
      </c>
      <c r="F1208" s="2" t="s">
        <v>1186</v>
      </c>
      <c r="G1208" s="2" t="s">
        <v>3588</v>
      </c>
    </row>
    <row r="1209" customFormat="false" ht="15" hidden="false" customHeight="false" outlineLevel="0" collapsed="false">
      <c r="A1209" s="2" t="s">
        <v>3589</v>
      </c>
      <c r="B1209" s="2" t="s">
        <v>146</v>
      </c>
      <c r="C1209" s="2" t="s">
        <v>2408</v>
      </c>
      <c r="D1209" s="2" t="s">
        <v>50</v>
      </c>
      <c r="E1209" s="2" t="s">
        <v>1194</v>
      </c>
      <c r="F1209" s="2" t="s">
        <v>1186</v>
      </c>
      <c r="G1209" s="2" t="s">
        <v>3590</v>
      </c>
    </row>
    <row r="1210" customFormat="false" ht="15" hidden="false" customHeight="false" outlineLevel="0" collapsed="false">
      <c r="A1210" s="2" t="s">
        <v>3591</v>
      </c>
      <c r="B1210" s="2" t="s">
        <v>146</v>
      </c>
      <c r="C1210" s="2" t="s">
        <v>2938</v>
      </c>
      <c r="D1210" s="2" t="s">
        <v>49</v>
      </c>
      <c r="E1210" s="2" t="s">
        <v>1563</v>
      </c>
      <c r="F1210" s="2" t="s">
        <v>1186</v>
      </c>
      <c r="G1210" s="2" t="s">
        <v>3592</v>
      </c>
    </row>
    <row r="1211" customFormat="false" ht="15" hidden="false" customHeight="false" outlineLevel="0" collapsed="false">
      <c r="A1211" s="2" t="s">
        <v>3593</v>
      </c>
      <c r="B1211" s="2" t="s">
        <v>146</v>
      </c>
      <c r="C1211" s="2" t="s">
        <v>2938</v>
      </c>
      <c r="D1211" s="2" t="s">
        <v>49</v>
      </c>
      <c r="E1211" s="2" t="s">
        <v>1563</v>
      </c>
      <c r="F1211" s="2" t="s">
        <v>1186</v>
      </c>
      <c r="G1211" s="2" t="s">
        <v>3594</v>
      </c>
    </row>
    <row r="1212" customFormat="false" ht="15" hidden="false" customHeight="false" outlineLevel="0" collapsed="false">
      <c r="A1212" s="2" t="s">
        <v>3595</v>
      </c>
      <c r="B1212" s="2" t="s">
        <v>146</v>
      </c>
      <c r="C1212" s="2" t="s">
        <v>2938</v>
      </c>
      <c r="D1212" s="2" t="s">
        <v>49</v>
      </c>
      <c r="E1212" s="2" t="s">
        <v>1563</v>
      </c>
      <c r="F1212" s="2" t="s">
        <v>1186</v>
      </c>
      <c r="G1212" s="2" t="s">
        <v>3596</v>
      </c>
    </row>
    <row r="1213" customFormat="false" ht="15" hidden="false" customHeight="false" outlineLevel="0" collapsed="false">
      <c r="A1213" s="2" t="s">
        <v>3597</v>
      </c>
      <c r="B1213" s="2" t="s">
        <v>146</v>
      </c>
      <c r="C1213" s="2" t="s">
        <v>2408</v>
      </c>
      <c r="D1213" s="2" t="s">
        <v>50</v>
      </c>
      <c r="E1213" s="2" t="s">
        <v>1194</v>
      </c>
      <c r="F1213" s="2" t="s">
        <v>1186</v>
      </c>
      <c r="G1213" s="2" t="s">
        <v>3598</v>
      </c>
    </row>
    <row r="1214" customFormat="false" ht="15" hidden="false" customHeight="false" outlineLevel="0" collapsed="false">
      <c r="A1214" s="2" t="s">
        <v>3599</v>
      </c>
      <c r="B1214" s="2" t="s">
        <v>146</v>
      </c>
      <c r="C1214" s="2" t="s">
        <v>2408</v>
      </c>
      <c r="D1214" s="2" t="s">
        <v>50</v>
      </c>
      <c r="E1214" s="2" t="s">
        <v>1194</v>
      </c>
      <c r="F1214" s="2" t="s">
        <v>1186</v>
      </c>
      <c r="G1214" s="2" t="s">
        <v>3600</v>
      </c>
    </row>
    <row r="1215" customFormat="false" ht="15" hidden="false" customHeight="false" outlineLevel="0" collapsed="false">
      <c r="A1215" s="2" t="s">
        <v>3601</v>
      </c>
      <c r="B1215" s="2" t="s">
        <v>146</v>
      </c>
      <c r="C1215" s="2" t="s">
        <v>2408</v>
      </c>
      <c r="D1215" s="2" t="s">
        <v>50</v>
      </c>
      <c r="E1215" s="2" t="s">
        <v>1194</v>
      </c>
      <c r="F1215" s="2" t="s">
        <v>1186</v>
      </c>
      <c r="G1215" s="2" t="s">
        <v>3602</v>
      </c>
    </row>
    <row r="1216" customFormat="false" ht="15" hidden="false" customHeight="false" outlineLevel="0" collapsed="false">
      <c r="A1216" s="2" t="s">
        <v>3603</v>
      </c>
      <c r="B1216" s="2" t="s">
        <v>146</v>
      </c>
      <c r="C1216" s="2" t="s">
        <v>2408</v>
      </c>
      <c r="D1216" s="2" t="s">
        <v>50</v>
      </c>
      <c r="E1216" s="2" t="s">
        <v>1194</v>
      </c>
      <c r="F1216" s="2" t="s">
        <v>1186</v>
      </c>
      <c r="G1216" s="2" t="s">
        <v>3604</v>
      </c>
    </row>
    <row r="1217" customFormat="false" ht="15" hidden="false" customHeight="false" outlineLevel="0" collapsed="false">
      <c r="A1217" s="2" t="s">
        <v>3605</v>
      </c>
      <c r="B1217" s="2" t="s">
        <v>146</v>
      </c>
      <c r="C1217" s="2" t="s">
        <v>2408</v>
      </c>
      <c r="D1217" s="2" t="s">
        <v>50</v>
      </c>
      <c r="E1217" s="2" t="s">
        <v>1194</v>
      </c>
      <c r="F1217" s="2" t="s">
        <v>1186</v>
      </c>
      <c r="G1217" s="2" t="s">
        <v>3606</v>
      </c>
    </row>
    <row r="1218" customFormat="false" ht="15" hidden="false" customHeight="false" outlineLevel="0" collapsed="false">
      <c r="A1218" s="2" t="s">
        <v>3607</v>
      </c>
      <c r="B1218" s="2" t="s">
        <v>146</v>
      </c>
      <c r="C1218" s="2" t="s">
        <v>2408</v>
      </c>
      <c r="D1218" s="2" t="s">
        <v>50</v>
      </c>
      <c r="E1218" s="2" t="s">
        <v>1194</v>
      </c>
      <c r="F1218" s="2" t="s">
        <v>1186</v>
      </c>
      <c r="G1218" s="2" t="s">
        <v>3608</v>
      </c>
    </row>
    <row r="1219" customFormat="false" ht="15" hidden="false" customHeight="false" outlineLevel="0" collapsed="false">
      <c r="A1219" s="2" t="s">
        <v>3609</v>
      </c>
      <c r="B1219" s="2" t="s">
        <v>146</v>
      </c>
      <c r="C1219" s="2" t="s">
        <v>2408</v>
      </c>
      <c r="D1219" s="2" t="s">
        <v>50</v>
      </c>
      <c r="E1219" s="2" t="s">
        <v>1194</v>
      </c>
      <c r="F1219" s="2" t="s">
        <v>1186</v>
      </c>
      <c r="G1219" s="2" t="s">
        <v>3610</v>
      </c>
    </row>
    <row r="1220" customFormat="false" ht="15" hidden="false" customHeight="false" outlineLevel="0" collapsed="false">
      <c r="A1220" s="2" t="s">
        <v>3611</v>
      </c>
      <c r="B1220" s="2" t="s">
        <v>146</v>
      </c>
      <c r="C1220" s="2" t="s">
        <v>2408</v>
      </c>
      <c r="D1220" s="2" t="s">
        <v>50</v>
      </c>
      <c r="E1220" s="2" t="s">
        <v>1194</v>
      </c>
      <c r="F1220" s="2" t="s">
        <v>1186</v>
      </c>
      <c r="G1220" s="2" t="s">
        <v>3612</v>
      </c>
    </row>
    <row r="1221" customFormat="false" ht="15" hidden="false" customHeight="false" outlineLevel="0" collapsed="false">
      <c r="A1221" s="2" t="s">
        <v>3613</v>
      </c>
      <c r="B1221" s="2" t="s">
        <v>146</v>
      </c>
      <c r="C1221" s="2" t="s">
        <v>2408</v>
      </c>
      <c r="D1221" s="2" t="s">
        <v>50</v>
      </c>
      <c r="E1221" s="2" t="s">
        <v>1194</v>
      </c>
      <c r="F1221" s="2" t="s">
        <v>1186</v>
      </c>
      <c r="G1221" s="2" t="s">
        <v>3614</v>
      </c>
    </row>
    <row r="1222" customFormat="false" ht="15" hidden="false" customHeight="false" outlineLevel="0" collapsed="false">
      <c r="A1222" s="2" t="s">
        <v>3615</v>
      </c>
      <c r="B1222" s="2" t="s">
        <v>146</v>
      </c>
      <c r="C1222" s="2" t="s">
        <v>2408</v>
      </c>
      <c r="D1222" s="2" t="s">
        <v>50</v>
      </c>
      <c r="E1222" s="2" t="s">
        <v>1194</v>
      </c>
      <c r="F1222" s="2" t="s">
        <v>1186</v>
      </c>
      <c r="G1222" s="2" t="s">
        <v>3616</v>
      </c>
    </row>
    <row r="1223" customFormat="false" ht="15" hidden="false" customHeight="false" outlineLevel="0" collapsed="false">
      <c r="A1223" s="2" t="s">
        <v>3617</v>
      </c>
      <c r="B1223" s="2" t="s">
        <v>146</v>
      </c>
      <c r="C1223" s="2" t="s">
        <v>2408</v>
      </c>
      <c r="D1223" s="2" t="s">
        <v>50</v>
      </c>
      <c r="E1223" s="2" t="s">
        <v>1194</v>
      </c>
      <c r="F1223" s="2" t="s">
        <v>1186</v>
      </c>
      <c r="G1223" s="2" t="s">
        <v>3618</v>
      </c>
    </row>
    <row r="1224" customFormat="false" ht="15" hidden="false" customHeight="false" outlineLevel="0" collapsed="false">
      <c r="A1224" s="2" t="s">
        <v>3619</v>
      </c>
      <c r="B1224" s="2" t="s">
        <v>146</v>
      </c>
      <c r="C1224" s="2" t="s">
        <v>2408</v>
      </c>
      <c r="D1224" s="2" t="s">
        <v>50</v>
      </c>
      <c r="E1224" s="2" t="s">
        <v>1194</v>
      </c>
      <c r="F1224" s="2" t="s">
        <v>1186</v>
      </c>
      <c r="G1224" s="2" t="s">
        <v>3620</v>
      </c>
    </row>
    <row r="1225" customFormat="false" ht="15" hidden="false" customHeight="false" outlineLevel="0" collapsed="false">
      <c r="A1225" s="2" t="s">
        <v>3621</v>
      </c>
      <c r="B1225" s="2" t="s">
        <v>146</v>
      </c>
      <c r="C1225" s="2" t="s">
        <v>2408</v>
      </c>
      <c r="D1225" s="2" t="s">
        <v>50</v>
      </c>
      <c r="E1225" s="2" t="s">
        <v>1194</v>
      </c>
      <c r="F1225" s="2" t="s">
        <v>1186</v>
      </c>
      <c r="G1225" s="2" t="s">
        <v>3622</v>
      </c>
    </row>
    <row r="1226" customFormat="false" ht="15" hidden="false" customHeight="false" outlineLevel="0" collapsed="false">
      <c r="A1226" s="2" t="s">
        <v>3623</v>
      </c>
      <c r="B1226" s="2" t="s">
        <v>146</v>
      </c>
      <c r="C1226" s="2" t="s">
        <v>2408</v>
      </c>
      <c r="D1226" s="2" t="s">
        <v>50</v>
      </c>
      <c r="E1226" s="2" t="s">
        <v>1194</v>
      </c>
      <c r="F1226" s="2" t="s">
        <v>1186</v>
      </c>
      <c r="G1226" s="2" t="s">
        <v>3624</v>
      </c>
    </row>
    <row r="1227" customFormat="false" ht="15" hidden="false" customHeight="false" outlineLevel="0" collapsed="false">
      <c r="A1227" s="2" t="s">
        <v>3625</v>
      </c>
      <c r="B1227" s="2" t="s">
        <v>146</v>
      </c>
      <c r="C1227" s="2" t="s">
        <v>2408</v>
      </c>
      <c r="D1227" s="2" t="s">
        <v>50</v>
      </c>
      <c r="E1227" s="2" t="s">
        <v>1194</v>
      </c>
      <c r="F1227" s="2" t="s">
        <v>1186</v>
      </c>
      <c r="G1227" s="2" t="s">
        <v>3626</v>
      </c>
    </row>
    <row r="1228" customFormat="false" ht="15" hidden="false" customHeight="false" outlineLevel="0" collapsed="false">
      <c r="A1228" s="2" t="s">
        <v>3627</v>
      </c>
      <c r="B1228" s="2" t="s">
        <v>146</v>
      </c>
      <c r="C1228" s="2" t="s">
        <v>2408</v>
      </c>
      <c r="D1228" s="2" t="s">
        <v>50</v>
      </c>
      <c r="E1228" s="2" t="s">
        <v>1194</v>
      </c>
      <c r="F1228" s="2" t="s">
        <v>1186</v>
      </c>
      <c r="G1228" s="2" t="s">
        <v>3628</v>
      </c>
    </row>
    <row r="1229" customFormat="false" ht="15" hidden="false" customHeight="false" outlineLevel="0" collapsed="false">
      <c r="A1229" s="2" t="s">
        <v>3629</v>
      </c>
      <c r="B1229" s="2" t="s">
        <v>146</v>
      </c>
      <c r="C1229" s="2" t="s">
        <v>2408</v>
      </c>
      <c r="D1229" s="2" t="s">
        <v>50</v>
      </c>
      <c r="E1229" s="2" t="s">
        <v>1194</v>
      </c>
      <c r="F1229" s="2" t="s">
        <v>1186</v>
      </c>
      <c r="G1229" s="2" t="s">
        <v>3630</v>
      </c>
    </row>
    <row r="1230" customFormat="false" ht="15" hidden="false" customHeight="false" outlineLevel="0" collapsed="false">
      <c r="A1230" s="2" t="s">
        <v>3631</v>
      </c>
      <c r="B1230" s="2" t="s">
        <v>146</v>
      </c>
      <c r="C1230" s="2" t="s">
        <v>2408</v>
      </c>
      <c r="D1230" s="2" t="s">
        <v>50</v>
      </c>
      <c r="E1230" s="2" t="s">
        <v>1194</v>
      </c>
      <c r="F1230" s="2" t="s">
        <v>1186</v>
      </c>
      <c r="G1230" s="2" t="s">
        <v>3632</v>
      </c>
    </row>
    <row r="1231" customFormat="false" ht="15" hidden="false" customHeight="false" outlineLevel="0" collapsed="false">
      <c r="A1231" s="2" t="s">
        <v>3633</v>
      </c>
      <c r="B1231" s="2" t="s">
        <v>146</v>
      </c>
      <c r="C1231" s="2" t="s">
        <v>2408</v>
      </c>
      <c r="D1231" s="2" t="s">
        <v>50</v>
      </c>
      <c r="E1231" s="2" t="s">
        <v>1194</v>
      </c>
      <c r="F1231" s="2" t="s">
        <v>1186</v>
      </c>
      <c r="G1231" s="2" t="s">
        <v>3634</v>
      </c>
    </row>
    <row r="1232" customFormat="false" ht="15" hidden="false" customHeight="false" outlineLevel="0" collapsed="false">
      <c r="A1232" s="2" t="s">
        <v>3635</v>
      </c>
      <c r="B1232" s="2" t="s">
        <v>146</v>
      </c>
      <c r="C1232" s="2" t="s">
        <v>2408</v>
      </c>
      <c r="D1232" s="2" t="s">
        <v>50</v>
      </c>
      <c r="E1232" s="2" t="s">
        <v>1194</v>
      </c>
      <c r="F1232" s="2" t="s">
        <v>1186</v>
      </c>
      <c r="G1232" s="2" t="s">
        <v>3636</v>
      </c>
    </row>
    <row r="1233" customFormat="false" ht="15" hidden="false" customHeight="false" outlineLevel="0" collapsed="false">
      <c r="A1233" s="2" t="s">
        <v>3637</v>
      </c>
      <c r="B1233" s="2" t="s">
        <v>146</v>
      </c>
      <c r="C1233" s="2" t="s">
        <v>2408</v>
      </c>
      <c r="D1233" s="2" t="s">
        <v>50</v>
      </c>
      <c r="E1233" s="2" t="s">
        <v>1194</v>
      </c>
      <c r="F1233" s="2" t="s">
        <v>1186</v>
      </c>
      <c r="G1233" s="2" t="s">
        <v>3638</v>
      </c>
    </row>
    <row r="1234" customFormat="false" ht="15" hidden="false" customHeight="false" outlineLevel="0" collapsed="false">
      <c r="A1234" s="2" t="s">
        <v>3639</v>
      </c>
      <c r="B1234" s="2" t="s">
        <v>146</v>
      </c>
      <c r="C1234" s="2" t="s">
        <v>2408</v>
      </c>
      <c r="D1234" s="2" t="s">
        <v>50</v>
      </c>
      <c r="E1234" s="2" t="s">
        <v>1194</v>
      </c>
      <c r="F1234" s="2" t="s">
        <v>1186</v>
      </c>
      <c r="G1234" s="2" t="s">
        <v>3640</v>
      </c>
    </row>
    <row r="1235" customFormat="false" ht="15" hidden="false" customHeight="false" outlineLevel="0" collapsed="false">
      <c r="A1235" s="2" t="s">
        <v>3641</v>
      </c>
      <c r="B1235" s="2" t="s">
        <v>146</v>
      </c>
      <c r="C1235" s="2" t="s">
        <v>2408</v>
      </c>
      <c r="D1235" s="2" t="s">
        <v>50</v>
      </c>
      <c r="E1235" s="2" t="s">
        <v>1194</v>
      </c>
      <c r="F1235" s="2" t="s">
        <v>1186</v>
      </c>
      <c r="G1235" s="2" t="s">
        <v>3642</v>
      </c>
    </row>
    <row r="1236" customFormat="false" ht="15" hidden="false" customHeight="false" outlineLevel="0" collapsed="false">
      <c r="A1236" s="2" t="s">
        <v>3643</v>
      </c>
      <c r="B1236" s="2" t="s">
        <v>146</v>
      </c>
      <c r="C1236" s="2" t="s">
        <v>2408</v>
      </c>
      <c r="D1236" s="2" t="s">
        <v>50</v>
      </c>
      <c r="E1236" s="2" t="s">
        <v>1194</v>
      </c>
      <c r="F1236" s="2" t="s">
        <v>1186</v>
      </c>
      <c r="G1236" s="2" t="s">
        <v>3644</v>
      </c>
    </row>
    <row r="1237" customFormat="false" ht="15" hidden="false" customHeight="false" outlineLevel="0" collapsed="false">
      <c r="A1237" s="2" t="s">
        <v>3645</v>
      </c>
      <c r="B1237" s="2" t="s">
        <v>146</v>
      </c>
      <c r="C1237" s="2" t="s">
        <v>2408</v>
      </c>
      <c r="D1237" s="2" t="s">
        <v>50</v>
      </c>
      <c r="E1237" s="2" t="s">
        <v>1194</v>
      </c>
      <c r="F1237" s="2" t="s">
        <v>1186</v>
      </c>
      <c r="G1237" s="2" t="s">
        <v>3646</v>
      </c>
    </row>
    <row r="1238" customFormat="false" ht="15" hidden="false" customHeight="false" outlineLevel="0" collapsed="false">
      <c r="A1238" s="2" t="s">
        <v>3647</v>
      </c>
      <c r="B1238" s="2" t="s">
        <v>146</v>
      </c>
      <c r="C1238" s="2" t="s">
        <v>2408</v>
      </c>
      <c r="D1238" s="2" t="s">
        <v>50</v>
      </c>
      <c r="E1238" s="2" t="s">
        <v>1194</v>
      </c>
      <c r="F1238" s="2" t="s">
        <v>1186</v>
      </c>
      <c r="G1238" s="2" t="s">
        <v>3648</v>
      </c>
    </row>
    <row r="1239" customFormat="false" ht="15" hidden="false" customHeight="false" outlineLevel="0" collapsed="false">
      <c r="A1239" s="2" t="s">
        <v>3649</v>
      </c>
      <c r="B1239" s="2" t="s">
        <v>146</v>
      </c>
      <c r="C1239" s="2" t="s">
        <v>2408</v>
      </c>
      <c r="D1239" s="2" t="s">
        <v>50</v>
      </c>
      <c r="E1239" s="2" t="s">
        <v>1194</v>
      </c>
      <c r="F1239" s="2" t="s">
        <v>1186</v>
      </c>
      <c r="G1239" s="2" t="s">
        <v>3650</v>
      </c>
    </row>
    <row r="1240" customFormat="false" ht="15" hidden="false" customHeight="false" outlineLevel="0" collapsed="false">
      <c r="A1240" s="2" t="s">
        <v>3651</v>
      </c>
      <c r="B1240" s="2" t="s">
        <v>146</v>
      </c>
      <c r="C1240" s="2" t="s">
        <v>2408</v>
      </c>
      <c r="D1240" s="2" t="s">
        <v>50</v>
      </c>
      <c r="E1240" s="2" t="s">
        <v>1194</v>
      </c>
      <c r="F1240" s="2" t="s">
        <v>1186</v>
      </c>
      <c r="G1240" s="2" t="s">
        <v>3652</v>
      </c>
    </row>
    <row r="1241" customFormat="false" ht="15" hidden="false" customHeight="false" outlineLevel="0" collapsed="false">
      <c r="A1241" s="2" t="s">
        <v>3653</v>
      </c>
      <c r="B1241" s="2" t="s">
        <v>146</v>
      </c>
      <c r="C1241" s="2" t="s">
        <v>2408</v>
      </c>
      <c r="D1241" s="2" t="s">
        <v>50</v>
      </c>
      <c r="E1241" s="2" t="s">
        <v>1194</v>
      </c>
      <c r="F1241" s="2" t="s">
        <v>1186</v>
      </c>
      <c r="G1241" s="2" t="s">
        <v>3654</v>
      </c>
    </row>
    <row r="1242" customFormat="false" ht="15" hidden="false" customHeight="false" outlineLevel="0" collapsed="false">
      <c r="A1242" s="2" t="s">
        <v>3655</v>
      </c>
      <c r="B1242" s="2" t="s">
        <v>146</v>
      </c>
      <c r="C1242" s="2" t="s">
        <v>2408</v>
      </c>
      <c r="D1242" s="2" t="s">
        <v>50</v>
      </c>
      <c r="E1242" s="2" t="s">
        <v>1194</v>
      </c>
      <c r="F1242" s="2" t="s">
        <v>1186</v>
      </c>
      <c r="G1242" s="2" t="s">
        <v>3656</v>
      </c>
    </row>
    <row r="1243" customFormat="false" ht="15" hidden="false" customHeight="false" outlineLevel="0" collapsed="false">
      <c r="A1243" s="2" t="s">
        <v>3657</v>
      </c>
      <c r="B1243" s="2" t="s">
        <v>146</v>
      </c>
      <c r="C1243" s="2" t="s">
        <v>2408</v>
      </c>
      <c r="D1243" s="2" t="s">
        <v>50</v>
      </c>
      <c r="E1243" s="2" t="s">
        <v>1194</v>
      </c>
      <c r="F1243" s="2" t="s">
        <v>1186</v>
      </c>
      <c r="G1243" s="2" t="s">
        <v>3658</v>
      </c>
    </row>
    <row r="1244" customFormat="false" ht="15" hidden="false" customHeight="false" outlineLevel="0" collapsed="false">
      <c r="A1244" s="2" t="s">
        <v>3659</v>
      </c>
      <c r="B1244" s="2" t="s">
        <v>146</v>
      </c>
      <c r="C1244" s="2" t="s">
        <v>2408</v>
      </c>
      <c r="D1244" s="2" t="s">
        <v>50</v>
      </c>
      <c r="E1244" s="2" t="s">
        <v>1194</v>
      </c>
      <c r="F1244" s="2" t="s">
        <v>1186</v>
      </c>
      <c r="G1244" s="2" t="s">
        <v>3660</v>
      </c>
    </row>
    <row r="1245" customFormat="false" ht="15" hidden="false" customHeight="false" outlineLevel="0" collapsed="false">
      <c r="A1245" s="2" t="s">
        <v>3661</v>
      </c>
      <c r="B1245" s="2" t="s">
        <v>146</v>
      </c>
      <c r="C1245" s="2" t="s">
        <v>2408</v>
      </c>
      <c r="D1245" s="2" t="s">
        <v>50</v>
      </c>
      <c r="E1245" s="2" t="s">
        <v>1194</v>
      </c>
      <c r="F1245" s="2" t="s">
        <v>1186</v>
      </c>
      <c r="G1245" s="2" t="s">
        <v>3662</v>
      </c>
    </row>
    <row r="1246" customFormat="false" ht="15" hidden="false" customHeight="false" outlineLevel="0" collapsed="false">
      <c r="A1246" s="2" t="s">
        <v>3663</v>
      </c>
      <c r="B1246" s="2" t="s">
        <v>146</v>
      </c>
      <c r="C1246" s="2" t="s">
        <v>2408</v>
      </c>
      <c r="D1246" s="2" t="s">
        <v>50</v>
      </c>
      <c r="E1246" s="2" t="s">
        <v>1194</v>
      </c>
      <c r="F1246" s="2" t="s">
        <v>1186</v>
      </c>
      <c r="G1246" s="2" t="s">
        <v>3664</v>
      </c>
    </row>
    <row r="1247" customFormat="false" ht="15" hidden="false" customHeight="false" outlineLevel="0" collapsed="false">
      <c r="A1247" s="2" t="s">
        <v>3665</v>
      </c>
      <c r="B1247" s="2" t="s">
        <v>146</v>
      </c>
      <c r="C1247" s="2" t="s">
        <v>2408</v>
      </c>
      <c r="D1247" s="2" t="s">
        <v>50</v>
      </c>
      <c r="E1247" s="2" t="s">
        <v>1194</v>
      </c>
      <c r="F1247" s="2" t="s">
        <v>1186</v>
      </c>
      <c r="G1247" s="2" t="s">
        <v>3666</v>
      </c>
    </row>
    <row r="1248" customFormat="false" ht="15" hidden="false" customHeight="false" outlineLevel="0" collapsed="false">
      <c r="A1248" s="2" t="s">
        <v>3667</v>
      </c>
      <c r="B1248" s="2" t="s">
        <v>146</v>
      </c>
      <c r="C1248" s="2" t="s">
        <v>2408</v>
      </c>
      <c r="D1248" s="2" t="s">
        <v>50</v>
      </c>
      <c r="E1248" s="2" t="s">
        <v>1194</v>
      </c>
      <c r="F1248" s="2" t="s">
        <v>1186</v>
      </c>
      <c r="G1248" s="2" t="s">
        <v>3668</v>
      </c>
    </row>
    <row r="1249" customFormat="false" ht="15" hidden="false" customHeight="false" outlineLevel="0" collapsed="false">
      <c r="A1249" s="2" t="s">
        <v>3669</v>
      </c>
      <c r="B1249" s="2" t="s">
        <v>146</v>
      </c>
      <c r="C1249" s="2" t="s">
        <v>2408</v>
      </c>
      <c r="D1249" s="2" t="s">
        <v>50</v>
      </c>
      <c r="E1249" s="2" t="s">
        <v>1194</v>
      </c>
      <c r="F1249" s="2" t="s">
        <v>1186</v>
      </c>
      <c r="G1249" s="2" t="s">
        <v>3670</v>
      </c>
    </row>
    <row r="1250" customFormat="false" ht="15" hidden="false" customHeight="false" outlineLevel="0" collapsed="false">
      <c r="A1250" s="2" t="s">
        <v>3671</v>
      </c>
      <c r="B1250" s="2" t="s">
        <v>146</v>
      </c>
      <c r="C1250" s="2" t="s">
        <v>2408</v>
      </c>
      <c r="D1250" s="2" t="s">
        <v>50</v>
      </c>
      <c r="E1250" s="2" t="s">
        <v>1194</v>
      </c>
      <c r="F1250" s="2" t="s">
        <v>1186</v>
      </c>
      <c r="G1250" s="2" t="s">
        <v>3672</v>
      </c>
    </row>
    <row r="1251" customFormat="false" ht="15" hidden="false" customHeight="false" outlineLevel="0" collapsed="false">
      <c r="A1251" s="2" t="s">
        <v>3673</v>
      </c>
      <c r="B1251" s="2" t="s">
        <v>146</v>
      </c>
      <c r="C1251" s="2" t="s">
        <v>2408</v>
      </c>
      <c r="D1251" s="2" t="s">
        <v>50</v>
      </c>
      <c r="E1251" s="2" t="s">
        <v>1194</v>
      </c>
      <c r="F1251" s="2" t="s">
        <v>1186</v>
      </c>
      <c r="G1251" s="2" t="s">
        <v>3674</v>
      </c>
    </row>
    <row r="1252" customFormat="false" ht="15" hidden="false" customHeight="false" outlineLevel="0" collapsed="false">
      <c r="A1252" s="2" t="s">
        <v>3675</v>
      </c>
      <c r="B1252" s="2" t="s">
        <v>146</v>
      </c>
      <c r="C1252" s="2" t="s">
        <v>2408</v>
      </c>
      <c r="D1252" s="2" t="s">
        <v>50</v>
      </c>
      <c r="E1252" s="2" t="s">
        <v>1194</v>
      </c>
      <c r="F1252" s="2" t="s">
        <v>1186</v>
      </c>
      <c r="G1252" s="2" t="s">
        <v>3676</v>
      </c>
    </row>
    <row r="1253" customFormat="false" ht="15" hidden="false" customHeight="false" outlineLevel="0" collapsed="false">
      <c r="A1253" s="2" t="s">
        <v>3677</v>
      </c>
      <c r="B1253" s="2" t="s">
        <v>146</v>
      </c>
      <c r="C1253" s="2" t="s">
        <v>2408</v>
      </c>
      <c r="D1253" s="2" t="s">
        <v>50</v>
      </c>
      <c r="E1253" s="2" t="s">
        <v>1194</v>
      </c>
      <c r="F1253" s="2" t="s">
        <v>1186</v>
      </c>
      <c r="G1253" s="2" t="s">
        <v>3678</v>
      </c>
    </row>
    <row r="1254" customFormat="false" ht="15" hidden="false" customHeight="false" outlineLevel="0" collapsed="false">
      <c r="A1254" s="2" t="s">
        <v>3679</v>
      </c>
      <c r="B1254" s="2" t="s">
        <v>146</v>
      </c>
      <c r="C1254" s="2" t="s">
        <v>2408</v>
      </c>
      <c r="D1254" s="2" t="s">
        <v>50</v>
      </c>
      <c r="E1254" s="2" t="s">
        <v>1194</v>
      </c>
      <c r="F1254" s="2" t="s">
        <v>1186</v>
      </c>
      <c r="G1254" s="2" t="s">
        <v>3680</v>
      </c>
    </row>
    <row r="1255" customFormat="false" ht="15" hidden="false" customHeight="false" outlineLevel="0" collapsed="false">
      <c r="A1255" s="2" t="s">
        <v>3681</v>
      </c>
      <c r="B1255" s="2" t="s">
        <v>146</v>
      </c>
      <c r="C1255" s="2" t="s">
        <v>2408</v>
      </c>
      <c r="D1255" s="2" t="s">
        <v>50</v>
      </c>
      <c r="E1255" s="2" t="s">
        <v>1194</v>
      </c>
      <c r="F1255" s="2" t="s">
        <v>1186</v>
      </c>
      <c r="G1255" s="2" t="s">
        <v>3682</v>
      </c>
    </row>
    <row r="1256" customFormat="false" ht="15" hidden="false" customHeight="false" outlineLevel="0" collapsed="false">
      <c r="A1256" s="2" t="s">
        <v>3683</v>
      </c>
      <c r="B1256" s="2" t="s">
        <v>146</v>
      </c>
      <c r="C1256" s="2" t="s">
        <v>2408</v>
      </c>
      <c r="D1256" s="2" t="s">
        <v>50</v>
      </c>
      <c r="E1256" s="2" t="s">
        <v>1194</v>
      </c>
      <c r="F1256" s="2" t="s">
        <v>1186</v>
      </c>
      <c r="G1256" s="2" t="s">
        <v>3684</v>
      </c>
    </row>
    <row r="1257" customFormat="false" ht="15" hidden="false" customHeight="false" outlineLevel="0" collapsed="false">
      <c r="A1257" s="2" t="s">
        <v>3685</v>
      </c>
      <c r="B1257" s="2" t="s">
        <v>146</v>
      </c>
      <c r="C1257" s="2" t="s">
        <v>2408</v>
      </c>
      <c r="D1257" s="2" t="s">
        <v>50</v>
      </c>
      <c r="E1257" s="2" t="s">
        <v>1194</v>
      </c>
      <c r="F1257" s="2" t="s">
        <v>1186</v>
      </c>
      <c r="G1257" s="2" t="s">
        <v>3686</v>
      </c>
    </row>
    <row r="1258" customFormat="false" ht="15" hidden="false" customHeight="false" outlineLevel="0" collapsed="false">
      <c r="A1258" s="2" t="s">
        <v>3687</v>
      </c>
      <c r="B1258" s="2" t="s">
        <v>146</v>
      </c>
      <c r="C1258" s="2" t="s">
        <v>2408</v>
      </c>
      <c r="D1258" s="2" t="s">
        <v>50</v>
      </c>
      <c r="E1258" s="2" t="s">
        <v>1194</v>
      </c>
      <c r="F1258" s="2" t="s">
        <v>1186</v>
      </c>
      <c r="G1258" s="2" t="s">
        <v>3688</v>
      </c>
    </row>
    <row r="1259" customFormat="false" ht="15" hidden="false" customHeight="false" outlineLevel="0" collapsed="false">
      <c r="A1259" s="2" t="s">
        <v>3689</v>
      </c>
      <c r="B1259" s="2" t="s">
        <v>146</v>
      </c>
      <c r="C1259" s="2" t="s">
        <v>2938</v>
      </c>
      <c r="D1259" s="2" t="s">
        <v>49</v>
      </c>
      <c r="E1259" s="2" t="s">
        <v>1563</v>
      </c>
      <c r="F1259" s="2" t="s">
        <v>1186</v>
      </c>
      <c r="G1259" s="2" t="s">
        <v>3690</v>
      </c>
    </row>
    <row r="1260" customFormat="false" ht="15" hidden="false" customHeight="false" outlineLevel="0" collapsed="false">
      <c r="A1260" s="2" t="s">
        <v>3691</v>
      </c>
      <c r="B1260" s="2" t="s">
        <v>146</v>
      </c>
      <c r="C1260" s="2" t="s">
        <v>2938</v>
      </c>
      <c r="D1260" s="2" t="s">
        <v>49</v>
      </c>
      <c r="E1260" s="2" t="s">
        <v>1563</v>
      </c>
      <c r="F1260" s="2" t="s">
        <v>1186</v>
      </c>
      <c r="G1260" s="2" t="s">
        <v>3692</v>
      </c>
    </row>
    <row r="1261" customFormat="false" ht="15" hidden="false" customHeight="false" outlineLevel="0" collapsed="false">
      <c r="A1261" s="2" t="s">
        <v>3693</v>
      </c>
      <c r="B1261" s="2" t="s">
        <v>146</v>
      </c>
      <c r="C1261" s="2" t="s">
        <v>2938</v>
      </c>
      <c r="D1261" s="2" t="s">
        <v>49</v>
      </c>
      <c r="E1261" s="2" t="s">
        <v>1563</v>
      </c>
      <c r="F1261" s="2" t="s">
        <v>1186</v>
      </c>
      <c r="G1261" s="2" t="s">
        <v>3694</v>
      </c>
    </row>
    <row r="1262" customFormat="false" ht="15" hidden="false" customHeight="false" outlineLevel="0" collapsed="false">
      <c r="A1262" s="2" t="s">
        <v>3695</v>
      </c>
      <c r="B1262" s="2" t="s">
        <v>146</v>
      </c>
      <c r="C1262" s="2" t="s">
        <v>2408</v>
      </c>
      <c r="D1262" s="2" t="s">
        <v>50</v>
      </c>
      <c r="E1262" s="2" t="s">
        <v>1194</v>
      </c>
      <c r="F1262" s="2" t="s">
        <v>1186</v>
      </c>
      <c r="G1262" s="2" t="s">
        <v>3696</v>
      </c>
    </row>
    <row r="1263" customFormat="false" ht="15" hidden="false" customHeight="false" outlineLevel="0" collapsed="false">
      <c r="A1263" s="2" t="s">
        <v>3697</v>
      </c>
      <c r="B1263" s="2" t="s">
        <v>146</v>
      </c>
      <c r="C1263" s="2" t="s">
        <v>2408</v>
      </c>
      <c r="D1263" s="2" t="s">
        <v>50</v>
      </c>
      <c r="E1263" s="2" t="s">
        <v>1194</v>
      </c>
      <c r="F1263" s="2" t="s">
        <v>1186</v>
      </c>
      <c r="G1263" s="2" t="s">
        <v>3698</v>
      </c>
    </row>
    <row r="1264" customFormat="false" ht="15" hidden="false" customHeight="false" outlineLevel="0" collapsed="false">
      <c r="A1264" s="2" t="s">
        <v>3699</v>
      </c>
      <c r="B1264" s="2" t="s">
        <v>146</v>
      </c>
      <c r="C1264" s="2" t="s">
        <v>2408</v>
      </c>
      <c r="D1264" s="2" t="s">
        <v>50</v>
      </c>
      <c r="E1264" s="2" t="s">
        <v>1194</v>
      </c>
      <c r="F1264" s="2" t="s">
        <v>1186</v>
      </c>
      <c r="G1264" s="2" t="s">
        <v>3700</v>
      </c>
    </row>
    <row r="1265" customFormat="false" ht="15" hidden="false" customHeight="false" outlineLevel="0" collapsed="false">
      <c r="A1265" s="2" t="s">
        <v>3701</v>
      </c>
      <c r="B1265" s="2" t="s">
        <v>146</v>
      </c>
      <c r="C1265" s="2" t="s">
        <v>2408</v>
      </c>
      <c r="D1265" s="2" t="s">
        <v>50</v>
      </c>
      <c r="E1265" s="2" t="s">
        <v>1194</v>
      </c>
      <c r="F1265" s="2" t="s">
        <v>1186</v>
      </c>
      <c r="G1265" s="2" t="s">
        <v>3702</v>
      </c>
    </row>
    <row r="1266" customFormat="false" ht="15" hidden="false" customHeight="false" outlineLevel="0" collapsed="false">
      <c r="A1266" s="2" t="s">
        <v>3703</v>
      </c>
      <c r="B1266" s="2" t="s">
        <v>146</v>
      </c>
      <c r="C1266" s="2" t="s">
        <v>2408</v>
      </c>
      <c r="D1266" s="2" t="s">
        <v>50</v>
      </c>
      <c r="E1266" s="2" t="s">
        <v>1194</v>
      </c>
      <c r="F1266" s="2" t="s">
        <v>1186</v>
      </c>
      <c r="G1266" s="2" t="s">
        <v>3704</v>
      </c>
    </row>
    <row r="1267" customFormat="false" ht="15" hidden="false" customHeight="false" outlineLevel="0" collapsed="false">
      <c r="A1267" s="2" t="s">
        <v>3705</v>
      </c>
      <c r="B1267" s="2" t="s">
        <v>146</v>
      </c>
      <c r="C1267" s="2" t="s">
        <v>2408</v>
      </c>
      <c r="D1267" s="2" t="s">
        <v>50</v>
      </c>
      <c r="E1267" s="2" t="s">
        <v>1194</v>
      </c>
      <c r="F1267" s="2" t="s">
        <v>1186</v>
      </c>
      <c r="G1267" s="2" t="s">
        <v>3706</v>
      </c>
    </row>
    <row r="1268" customFormat="false" ht="15" hidden="false" customHeight="false" outlineLevel="0" collapsed="false">
      <c r="A1268" s="2" t="s">
        <v>3707</v>
      </c>
      <c r="B1268" s="2" t="s">
        <v>146</v>
      </c>
      <c r="C1268" s="2" t="s">
        <v>2408</v>
      </c>
      <c r="D1268" s="2" t="s">
        <v>50</v>
      </c>
      <c r="E1268" s="2" t="s">
        <v>1194</v>
      </c>
      <c r="F1268" s="2" t="s">
        <v>1186</v>
      </c>
      <c r="G1268" s="2" t="s">
        <v>3708</v>
      </c>
    </row>
    <row r="1269" customFormat="false" ht="15" hidden="false" customHeight="false" outlineLevel="0" collapsed="false">
      <c r="A1269" s="2" t="s">
        <v>3709</v>
      </c>
      <c r="B1269" s="2" t="s">
        <v>146</v>
      </c>
      <c r="C1269" s="2" t="s">
        <v>2408</v>
      </c>
      <c r="D1269" s="2" t="s">
        <v>50</v>
      </c>
      <c r="E1269" s="2" t="s">
        <v>1194</v>
      </c>
      <c r="F1269" s="2" t="s">
        <v>1186</v>
      </c>
      <c r="G1269" s="2" t="s">
        <v>3710</v>
      </c>
    </row>
    <row r="1270" customFormat="false" ht="15" hidden="false" customHeight="false" outlineLevel="0" collapsed="false">
      <c r="A1270" s="2" t="s">
        <v>3711</v>
      </c>
      <c r="B1270" s="2" t="s">
        <v>146</v>
      </c>
      <c r="C1270" s="2" t="s">
        <v>2408</v>
      </c>
      <c r="D1270" s="2" t="s">
        <v>50</v>
      </c>
      <c r="E1270" s="2" t="s">
        <v>1194</v>
      </c>
      <c r="F1270" s="2" t="s">
        <v>1186</v>
      </c>
      <c r="G1270" s="2" t="s">
        <v>3712</v>
      </c>
    </row>
    <row r="1271" customFormat="false" ht="15" hidden="false" customHeight="false" outlineLevel="0" collapsed="false">
      <c r="A1271" s="2" t="s">
        <v>3713</v>
      </c>
      <c r="B1271" s="2" t="s">
        <v>146</v>
      </c>
      <c r="C1271" s="2" t="s">
        <v>2408</v>
      </c>
      <c r="D1271" s="2" t="s">
        <v>50</v>
      </c>
      <c r="E1271" s="2" t="s">
        <v>1194</v>
      </c>
      <c r="F1271" s="2" t="s">
        <v>1186</v>
      </c>
      <c r="G1271" s="2" t="s">
        <v>3714</v>
      </c>
    </row>
    <row r="1272" customFormat="false" ht="15" hidden="false" customHeight="false" outlineLevel="0" collapsed="false">
      <c r="A1272" s="2" t="s">
        <v>3715</v>
      </c>
      <c r="B1272" s="2" t="s">
        <v>146</v>
      </c>
      <c r="C1272" s="2" t="s">
        <v>2408</v>
      </c>
      <c r="D1272" s="2" t="s">
        <v>50</v>
      </c>
      <c r="E1272" s="2" t="s">
        <v>1194</v>
      </c>
      <c r="F1272" s="2" t="s">
        <v>1186</v>
      </c>
      <c r="G1272" s="2" t="s">
        <v>3716</v>
      </c>
    </row>
    <row r="1273" customFormat="false" ht="15" hidden="false" customHeight="false" outlineLevel="0" collapsed="false">
      <c r="A1273" s="2" t="s">
        <v>3717</v>
      </c>
      <c r="B1273" s="2" t="s">
        <v>146</v>
      </c>
      <c r="C1273" s="2" t="s">
        <v>2408</v>
      </c>
      <c r="D1273" s="2" t="s">
        <v>50</v>
      </c>
      <c r="E1273" s="2" t="s">
        <v>1194</v>
      </c>
      <c r="F1273" s="2" t="s">
        <v>1186</v>
      </c>
      <c r="G1273" s="2" t="s">
        <v>3718</v>
      </c>
    </row>
    <row r="1274" customFormat="false" ht="15" hidden="false" customHeight="false" outlineLevel="0" collapsed="false">
      <c r="A1274" s="2" t="s">
        <v>3719</v>
      </c>
      <c r="B1274" s="2" t="s">
        <v>146</v>
      </c>
      <c r="C1274" s="2" t="s">
        <v>2408</v>
      </c>
      <c r="D1274" s="2" t="s">
        <v>50</v>
      </c>
      <c r="E1274" s="2" t="s">
        <v>1194</v>
      </c>
      <c r="F1274" s="2" t="s">
        <v>1186</v>
      </c>
      <c r="G1274" s="2" t="s">
        <v>3720</v>
      </c>
    </row>
    <row r="1275" customFormat="false" ht="15" hidden="false" customHeight="false" outlineLevel="0" collapsed="false">
      <c r="A1275" s="2" t="s">
        <v>3721</v>
      </c>
      <c r="B1275" s="2" t="s">
        <v>146</v>
      </c>
      <c r="C1275" s="2" t="s">
        <v>2408</v>
      </c>
      <c r="D1275" s="2" t="s">
        <v>50</v>
      </c>
      <c r="E1275" s="2" t="s">
        <v>1194</v>
      </c>
      <c r="F1275" s="2" t="s">
        <v>1186</v>
      </c>
      <c r="G1275" s="2" t="s">
        <v>3722</v>
      </c>
    </row>
    <row r="1276" customFormat="false" ht="15" hidden="false" customHeight="false" outlineLevel="0" collapsed="false">
      <c r="A1276" s="2" t="s">
        <v>3723</v>
      </c>
      <c r="B1276" s="2" t="s">
        <v>146</v>
      </c>
      <c r="C1276" s="2" t="s">
        <v>2408</v>
      </c>
      <c r="D1276" s="2" t="s">
        <v>50</v>
      </c>
      <c r="E1276" s="2" t="s">
        <v>1194</v>
      </c>
      <c r="F1276" s="2" t="s">
        <v>1186</v>
      </c>
      <c r="G1276" s="2" t="s">
        <v>3724</v>
      </c>
    </row>
    <row r="1277" customFormat="false" ht="15" hidden="false" customHeight="false" outlineLevel="0" collapsed="false">
      <c r="A1277" s="2" t="s">
        <v>3725</v>
      </c>
      <c r="B1277" s="2" t="s">
        <v>146</v>
      </c>
      <c r="C1277" s="2" t="s">
        <v>2408</v>
      </c>
      <c r="D1277" s="2" t="s">
        <v>50</v>
      </c>
      <c r="E1277" s="2" t="s">
        <v>1194</v>
      </c>
      <c r="F1277" s="2" t="s">
        <v>1186</v>
      </c>
      <c r="G1277" s="2" t="s">
        <v>3726</v>
      </c>
    </row>
    <row r="1278" customFormat="false" ht="15" hidden="false" customHeight="false" outlineLevel="0" collapsed="false">
      <c r="A1278" s="2" t="s">
        <v>3727</v>
      </c>
      <c r="B1278" s="2" t="s">
        <v>146</v>
      </c>
      <c r="C1278" s="2" t="s">
        <v>2408</v>
      </c>
      <c r="D1278" s="2" t="s">
        <v>50</v>
      </c>
      <c r="E1278" s="2" t="s">
        <v>1194</v>
      </c>
      <c r="F1278" s="2" t="s">
        <v>1186</v>
      </c>
      <c r="G1278" s="2" t="s">
        <v>3728</v>
      </c>
    </row>
    <row r="1279" customFormat="false" ht="15" hidden="false" customHeight="false" outlineLevel="0" collapsed="false">
      <c r="A1279" s="2" t="s">
        <v>3729</v>
      </c>
      <c r="B1279" s="2" t="s">
        <v>146</v>
      </c>
      <c r="C1279" s="2" t="s">
        <v>2408</v>
      </c>
      <c r="D1279" s="2" t="s">
        <v>50</v>
      </c>
      <c r="E1279" s="2" t="s">
        <v>1194</v>
      </c>
      <c r="F1279" s="2" t="s">
        <v>1186</v>
      </c>
      <c r="G1279" s="2" t="s">
        <v>3730</v>
      </c>
    </row>
    <row r="1280" customFormat="false" ht="15" hidden="false" customHeight="false" outlineLevel="0" collapsed="false">
      <c r="A1280" s="2" t="s">
        <v>3731</v>
      </c>
      <c r="B1280" s="2" t="s">
        <v>146</v>
      </c>
      <c r="C1280" s="2" t="s">
        <v>2408</v>
      </c>
      <c r="D1280" s="2" t="s">
        <v>50</v>
      </c>
      <c r="E1280" s="2" t="s">
        <v>1194</v>
      </c>
      <c r="F1280" s="2" t="s">
        <v>1186</v>
      </c>
      <c r="G1280" s="2" t="s">
        <v>3732</v>
      </c>
    </row>
    <row r="1281" customFormat="false" ht="15" hidden="false" customHeight="false" outlineLevel="0" collapsed="false">
      <c r="A1281" s="2" t="s">
        <v>3733</v>
      </c>
      <c r="B1281" s="2" t="s">
        <v>146</v>
      </c>
      <c r="C1281" s="2" t="s">
        <v>2408</v>
      </c>
      <c r="D1281" s="2" t="s">
        <v>50</v>
      </c>
      <c r="E1281" s="2" t="s">
        <v>1194</v>
      </c>
      <c r="F1281" s="2" t="s">
        <v>1186</v>
      </c>
      <c r="G1281" s="2" t="s">
        <v>3734</v>
      </c>
    </row>
    <row r="1282" customFormat="false" ht="15" hidden="false" customHeight="false" outlineLevel="0" collapsed="false">
      <c r="A1282" s="2" t="s">
        <v>3735</v>
      </c>
      <c r="B1282" s="2" t="s">
        <v>146</v>
      </c>
      <c r="C1282" s="2" t="s">
        <v>2408</v>
      </c>
      <c r="D1282" s="2" t="s">
        <v>50</v>
      </c>
      <c r="E1282" s="2" t="s">
        <v>1194</v>
      </c>
      <c r="F1282" s="2" t="s">
        <v>1186</v>
      </c>
      <c r="G1282" s="2" t="s">
        <v>3736</v>
      </c>
    </row>
    <row r="1283" customFormat="false" ht="15" hidden="false" customHeight="false" outlineLevel="0" collapsed="false">
      <c r="A1283" s="2" t="s">
        <v>3737</v>
      </c>
      <c r="B1283" s="2" t="s">
        <v>146</v>
      </c>
      <c r="C1283" s="2" t="s">
        <v>2408</v>
      </c>
      <c r="D1283" s="2" t="s">
        <v>50</v>
      </c>
      <c r="E1283" s="2" t="s">
        <v>1194</v>
      </c>
      <c r="F1283" s="2" t="s">
        <v>1186</v>
      </c>
      <c r="G1283" s="2" t="s">
        <v>3738</v>
      </c>
    </row>
    <row r="1284" customFormat="false" ht="15" hidden="false" customHeight="false" outlineLevel="0" collapsed="false">
      <c r="A1284" s="2" t="s">
        <v>3739</v>
      </c>
      <c r="B1284" s="2" t="s">
        <v>146</v>
      </c>
      <c r="C1284" s="2" t="s">
        <v>2408</v>
      </c>
      <c r="D1284" s="2" t="s">
        <v>50</v>
      </c>
      <c r="E1284" s="2" t="s">
        <v>1194</v>
      </c>
      <c r="F1284" s="2" t="s">
        <v>1186</v>
      </c>
      <c r="G1284" s="2" t="s">
        <v>3740</v>
      </c>
    </row>
    <row r="1285" customFormat="false" ht="15" hidden="false" customHeight="false" outlineLevel="0" collapsed="false">
      <c r="A1285" s="2" t="s">
        <v>3741</v>
      </c>
      <c r="B1285" s="2" t="s">
        <v>146</v>
      </c>
      <c r="C1285" s="2" t="s">
        <v>2408</v>
      </c>
      <c r="D1285" s="2" t="s">
        <v>50</v>
      </c>
      <c r="E1285" s="2" t="s">
        <v>1194</v>
      </c>
      <c r="F1285" s="2" t="s">
        <v>1186</v>
      </c>
      <c r="G1285" s="2" t="s">
        <v>3742</v>
      </c>
    </row>
    <row r="1286" customFormat="false" ht="15" hidden="false" customHeight="false" outlineLevel="0" collapsed="false">
      <c r="A1286" s="2" t="s">
        <v>3743</v>
      </c>
      <c r="B1286" s="2" t="s">
        <v>146</v>
      </c>
      <c r="C1286" s="2" t="s">
        <v>2408</v>
      </c>
      <c r="D1286" s="2" t="s">
        <v>50</v>
      </c>
      <c r="E1286" s="2" t="s">
        <v>1194</v>
      </c>
      <c r="F1286" s="2" t="s">
        <v>1186</v>
      </c>
      <c r="G1286" s="2" t="s">
        <v>3744</v>
      </c>
    </row>
    <row r="1287" customFormat="false" ht="15" hidden="false" customHeight="false" outlineLevel="0" collapsed="false">
      <c r="A1287" s="2" t="s">
        <v>3745</v>
      </c>
      <c r="B1287" s="2" t="s">
        <v>146</v>
      </c>
      <c r="C1287" s="2" t="s">
        <v>2408</v>
      </c>
      <c r="D1287" s="2" t="s">
        <v>50</v>
      </c>
      <c r="E1287" s="2" t="s">
        <v>1194</v>
      </c>
      <c r="F1287" s="2" t="s">
        <v>1186</v>
      </c>
      <c r="G1287" s="2" t="s">
        <v>3746</v>
      </c>
    </row>
    <row r="1288" customFormat="false" ht="15" hidden="false" customHeight="false" outlineLevel="0" collapsed="false">
      <c r="A1288" s="2" t="s">
        <v>3747</v>
      </c>
      <c r="B1288" s="2" t="s">
        <v>146</v>
      </c>
      <c r="C1288" s="2" t="s">
        <v>2408</v>
      </c>
      <c r="D1288" s="2" t="s">
        <v>50</v>
      </c>
      <c r="E1288" s="2" t="s">
        <v>1194</v>
      </c>
      <c r="F1288" s="2" t="s">
        <v>1186</v>
      </c>
      <c r="G1288" s="2" t="s">
        <v>3748</v>
      </c>
    </row>
    <row r="1289" customFormat="false" ht="15" hidden="false" customHeight="false" outlineLevel="0" collapsed="false">
      <c r="A1289" s="2" t="s">
        <v>3749</v>
      </c>
      <c r="B1289" s="2" t="s">
        <v>146</v>
      </c>
      <c r="C1289" s="2" t="s">
        <v>2408</v>
      </c>
      <c r="D1289" s="2" t="s">
        <v>50</v>
      </c>
      <c r="E1289" s="2" t="s">
        <v>1194</v>
      </c>
      <c r="F1289" s="2" t="s">
        <v>1186</v>
      </c>
      <c r="G1289" s="2" t="s">
        <v>3750</v>
      </c>
    </row>
    <row r="1290" customFormat="false" ht="15" hidden="false" customHeight="false" outlineLevel="0" collapsed="false">
      <c r="A1290" s="2" t="s">
        <v>3751</v>
      </c>
      <c r="B1290" s="2" t="s">
        <v>146</v>
      </c>
      <c r="C1290" s="2" t="s">
        <v>2408</v>
      </c>
      <c r="D1290" s="2" t="s">
        <v>50</v>
      </c>
      <c r="E1290" s="2" t="s">
        <v>1194</v>
      </c>
      <c r="F1290" s="2" t="s">
        <v>1186</v>
      </c>
      <c r="G1290" s="2" t="s">
        <v>3752</v>
      </c>
    </row>
    <row r="1291" customFormat="false" ht="15" hidden="false" customHeight="false" outlineLevel="0" collapsed="false">
      <c r="A1291" s="2" t="s">
        <v>3753</v>
      </c>
      <c r="B1291" s="2" t="s">
        <v>146</v>
      </c>
      <c r="C1291" s="2" t="s">
        <v>2408</v>
      </c>
      <c r="D1291" s="2" t="s">
        <v>50</v>
      </c>
      <c r="E1291" s="2" t="s">
        <v>1194</v>
      </c>
      <c r="F1291" s="2" t="s">
        <v>1186</v>
      </c>
      <c r="G1291" s="2" t="s">
        <v>3754</v>
      </c>
    </row>
    <row r="1292" customFormat="false" ht="15" hidden="false" customHeight="false" outlineLevel="0" collapsed="false">
      <c r="A1292" s="2" t="s">
        <v>3755</v>
      </c>
      <c r="B1292" s="2" t="s">
        <v>146</v>
      </c>
      <c r="C1292" s="2" t="s">
        <v>2408</v>
      </c>
      <c r="D1292" s="2" t="s">
        <v>50</v>
      </c>
      <c r="E1292" s="2" t="s">
        <v>1194</v>
      </c>
      <c r="F1292" s="2" t="s">
        <v>1186</v>
      </c>
      <c r="G1292" s="2" t="s">
        <v>3756</v>
      </c>
    </row>
    <row r="1293" customFormat="false" ht="15" hidden="false" customHeight="false" outlineLevel="0" collapsed="false">
      <c r="A1293" s="2" t="s">
        <v>3757</v>
      </c>
      <c r="B1293" s="2" t="s">
        <v>146</v>
      </c>
      <c r="C1293" s="2" t="s">
        <v>2408</v>
      </c>
      <c r="D1293" s="2" t="s">
        <v>50</v>
      </c>
      <c r="E1293" s="2" t="s">
        <v>1194</v>
      </c>
      <c r="F1293" s="2" t="s">
        <v>1186</v>
      </c>
      <c r="G1293" s="2" t="s">
        <v>3758</v>
      </c>
    </row>
    <row r="1294" customFormat="false" ht="15" hidden="false" customHeight="false" outlineLevel="0" collapsed="false">
      <c r="A1294" s="2" t="s">
        <v>3759</v>
      </c>
      <c r="B1294" s="2" t="s">
        <v>146</v>
      </c>
      <c r="C1294" s="2" t="s">
        <v>2408</v>
      </c>
      <c r="D1294" s="2" t="s">
        <v>50</v>
      </c>
      <c r="E1294" s="2" t="s">
        <v>1194</v>
      </c>
      <c r="F1294" s="2" t="s">
        <v>1186</v>
      </c>
      <c r="G1294" s="2" t="s">
        <v>3760</v>
      </c>
    </row>
    <row r="1295" customFormat="false" ht="15" hidden="false" customHeight="false" outlineLevel="0" collapsed="false">
      <c r="A1295" s="2" t="s">
        <v>3761</v>
      </c>
      <c r="B1295" s="2" t="s">
        <v>146</v>
      </c>
      <c r="C1295" s="2" t="s">
        <v>2408</v>
      </c>
      <c r="D1295" s="2" t="s">
        <v>50</v>
      </c>
      <c r="E1295" s="2" t="s">
        <v>1194</v>
      </c>
      <c r="F1295" s="2" t="s">
        <v>1186</v>
      </c>
      <c r="G1295" s="2" t="s">
        <v>3762</v>
      </c>
    </row>
    <row r="1296" customFormat="false" ht="15" hidden="false" customHeight="false" outlineLevel="0" collapsed="false">
      <c r="A1296" s="2" t="s">
        <v>3763</v>
      </c>
      <c r="B1296" s="2" t="s">
        <v>146</v>
      </c>
      <c r="C1296" s="2" t="s">
        <v>2408</v>
      </c>
      <c r="D1296" s="2" t="s">
        <v>50</v>
      </c>
      <c r="E1296" s="2" t="s">
        <v>1194</v>
      </c>
      <c r="F1296" s="2" t="s">
        <v>1186</v>
      </c>
      <c r="G1296" s="2" t="s">
        <v>3764</v>
      </c>
    </row>
    <row r="1297" customFormat="false" ht="15" hidden="false" customHeight="false" outlineLevel="0" collapsed="false">
      <c r="A1297" s="2" t="s">
        <v>3765</v>
      </c>
      <c r="B1297" s="2" t="s">
        <v>146</v>
      </c>
      <c r="C1297" s="2" t="s">
        <v>2408</v>
      </c>
      <c r="D1297" s="2" t="s">
        <v>50</v>
      </c>
      <c r="E1297" s="2" t="s">
        <v>1194</v>
      </c>
      <c r="F1297" s="2" t="s">
        <v>1186</v>
      </c>
      <c r="G1297" s="2" t="s">
        <v>3766</v>
      </c>
    </row>
    <row r="1298" customFormat="false" ht="15" hidden="false" customHeight="false" outlineLevel="0" collapsed="false">
      <c r="A1298" s="2" t="s">
        <v>3767</v>
      </c>
      <c r="B1298" s="2" t="s">
        <v>146</v>
      </c>
      <c r="C1298" s="2" t="s">
        <v>2408</v>
      </c>
      <c r="D1298" s="2" t="s">
        <v>50</v>
      </c>
      <c r="E1298" s="2" t="s">
        <v>1194</v>
      </c>
      <c r="F1298" s="2" t="s">
        <v>1186</v>
      </c>
      <c r="G1298" s="2" t="s">
        <v>3768</v>
      </c>
    </row>
    <row r="1299" customFormat="false" ht="15" hidden="false" customHeight="false" outlineLevel="0" collapsed="false">
      <c r="A1299" s="2" t="s">
        <v>3769</v>
      </c>
      <c r="B1299" s="2" t="s">
        <v>146</v>
      </c>
      <c r="C1299" s="2" t="s">
        <v>2408</v>
      </c>
      <c r="D1299" s="2" t="s">
        <v>50</v>
      </c>
      <c r="E1299" s="2" t="s">
        <v>1194</v>
      </c>
      <c r="F1299" s="2" t="s">
        <v>1186</v>
      </c>
      <c r="G1299" s="2" t="s">
        <v>3770</v>
      </c>
    </row>
    <row r="1300" customFormat="false" ht="15" hidden="false" customHeight="false" outlineLevel="0" collapsed="false">
      <c r="A1300" s="2" t="s">
        <v>3771</v>
      </c>
      <c r="B1300" s="2" t="s">
        <v>146</v>
      </c>
      <c r="C1300" s="2" t="s">
        <v>2938</v>
      </c>
      <c r="D1300" s="2" t="s">
        <v>49</v>
      </c>
      <c r="E1300" s="2" t="s">
        <v>1563</v>
      </c>
      <c r="F1300" s="2" t="s">
        <v>1186</v>
      </c>
      <c r="G1300" s="2" t="s">
        <v>3772</v>
      </c>
    </row>
    <row r="1301" customFormat="false" ht="15" hidden="false" customHeight="false" outlineLevel="0" collapsed="false">
      <c r="A1301" s="2" t="s">
        <v>3773</v>
      </c>
      <c r="B1301" s="2" t="s">
        <v>146</v>
      </c>
      <c r="C1301" s="2" t="s">
        <v>2938</v>
      </c>
      <c r="D1301" s="2" t="s">
        <v>49</v>
      </c>
      <c r="E1301" s="2" t="s">
        <v>1563</v>
      </c>
      <c r="F1301" s="2" t="s">
        <v>1186</v>
      </c>
      <c r="G1301" s="2" t="s">
        <v>3774</v>
      </c>
    </row>
    <row r="1302" customFormat="false" ht="15" hidden="false" customHeight="false" outlineLevel="0" collapsed="false">
      <c r="A1302" s="2" t="s">
        <v>3775</v>
      </c>
      <c r="B1302" s="2" t="s">
        <v>146</v>
      </c>
      <c r="C1302" s="2" t="s">
        <v>2408</v>
      </c>
      <c r="D1302" s="2" t="s">
        <v>50</v>
      </c>
      <c r="E1302" s="2" t="s">
        <v>1194</v>
      </c>
      <c r="F1302" s="2" t="s">
        <v>1186</v>
      </c>
      <c r="G1302" s="2" t="s">
        <v>3776</v>
      </c>
    </row>
    <row r="1303" customFormat="false" ht="15" hidden="false" customHeight="false" outlineLevel="0" collapsed="false">
      <c r="A1303" s="2" t="s">
        <v>3777</v>
      </c>
      <c r="B1303" s="2" t="s">
        <v>146</v>
      </c>
      <c r="C1303" s="2" t="s">
        <v>2408</v>
      </c>
      <c r="D1303" s="2" t="s">
        <v>50</v>
      </c>
      <c r="E1303" s="2" t="s">
        <v>1194</v>
      </c>
      <c r="F1303" s="2" t="s">
        <v>1186</v>
      </c>
      <c r="G1303" s="2" t="s">
        <v>3778</v>
      </c>
    </row>
    <row r="1304" customFormat="false" ht="15" hidden="false" customHeight="false" outlineLevel="0" collapsed="false">
      <c r="A1304" s="2" t="s">
        <v>3779</v>
      </c>
      <c r="B1304" s="2" t="s">
        <v>146</v>
      </c>
      <c r="C1304" s="2" t="s">
        <v>2408</v>
      </c>
      <c r="D1304" s="2" t="s">
        <v>50</v>
      </c>
      <c r="E1304" s="2" t="s">
        <v>1194</v>
      </c>
      <c r="F1304" s="2" t="s">
        <v>1186</v>
      </c>
      <c r="G1304" s="2" t="s">
        <v>3780</v>
      </c>
    </row>
    <row r="1305" customFormat="false" ht="15" hidden="false" customHeight="false" outlineLevel="0" collapsed="false">
      <c r="A1305" s="2" t="s">
        <v>3781</v>
      </c>
      <c r="B1305" s="2" t="s">
        <v>146</v>
      </c>
      <c r="C1305" s="2" t="s">
        <v>2408</v>
      </c>
      <c r="D1305" s="2" t="s">
        <v>50</v>
      </c>
      <c r="E1305" s="2" t="s">
        <v>1194</v>
      </c>
      <c r="F1305" s="2" t="s">
        <v>1186</v>
      </c>
      <c r="G1305" s="2" t="s">
        <v>3782</v>
      </c>
    </row>
    <row r="1306" customFormat="false" ht="15" hidden="false" customHeight="false" outlineLevel="0" collapsed="false">
      <c r="A1306" s="2" t="s">
        <v>3783</v>
      </c>
      <c r="B1306" s="2" t="s">
        <v>146</v>
      </c>
      <c r="C1306" s="2" t="s">
        <v>2408</v>
      </c>
      <c r="D1306" s="2" t="s">
        <v>50</v>
      </c>
      <c r="E1306" s="2" t="s">
        <v>1194</v>
      </c>
      <c r="F1306" s="2" t="s">
        <v>1186</v>
      </c>
      <c r="G1306" s="2" t="s">
        <v>3784</v>
      </c>
    </row>
    <row r="1307" customFormat="false" ht="15" hidden="false" customHeight="false" outlineLevel="0" collapsed="false">
      <c r="A1307" s="2" t="s">
        <v>3785</v>
      </c>
      <c r="B1307" s="2" t="s">
        <v>146</v>
      </c>
      <c r="C1307" s="2" t="s">
        <v>2408</v>
      </c>
      <c r="D1307" s="2" t="s">
        <v>50</v>
      </c>
      <c r="E1307" s="2" t="s">
        <v>1194</v>
      </c>
      <c r="F1307" s="2" t="s">
        <v>1186</v>
      </c>
      <c r="G1307" s="2" t="s">
        <v>3786</v>
      </c>
    </row>
    <row r="1308" customFormat="false" ht="15" hidden="false" customHeight="false" outlineLevel="0" collapsed="false">
      <c r="A1308" s="2" t="s">
        <v>3787</v>
      </c>
      <c r="B1308" s="2" t="s">
        <v>146</v>
      </c>
      <c r="C1308" s="2" t="s">
        <v>2408</v>
      </c>
      <c r="D1308" s="2" t="s">
        <v>50</v>
      </c>
      <c r="E1308" s="2" t="s">
        <v>1194</v>
      </c>
      <c r="F1308" s="2" t="s">
        <v>1186</v>
      </c>
      <c r="G1308" s="2" t="s">
        <v>3788</v>
      </c>
    </row>
    <row r="1309" customFormat="false" ht="15" hidden="false" customHeight="false" outlineLevel="0" collapsed="false">
      <c r="A1309" s="2" t="s">
        <v>3789</v>
      </c>
      <c r="B1309" s="2" t="s">
        <v>146</v>
      </c>
      <c r="C1309" s="2" t="s">
        <v>2408</v>
      </c>
      <c r="D1309" s="2" t="s">
        <v>50</v>
      </c>
      <c r="E1309" s="2" t="s">
        <v>1194</v>
      </c>
      <c r="F1309" s="2" t="s">
        <v>1186</v>
      </c>
      <c r="G1309" s="2" t="s">
        <v>3790</v>
      </c>
    </row>
    <row r="1310" customFormat="false" ht="15" hidden="false" customHeight="false" outlineLevel="0" collapsed="false">
      <c r="A1310" s="2" t="s">
        <v>3791</v>
      </c>
      <c r="B1310" s="2" t="s">
        <v>146</v>
      </c>
      <c r="C1310" s="2" t="s">
        <v>2408</v>
      </c>
      <c r="D1310" s="2" t="s">
        <v>50</v>
      </c>
      <c r="E1310" s="2" t="s">
        <v>1194</v>
      </c>
      <c r="F1310" s="2" t="s">
        <v>1186</v>
      </c>
      <c r="G1310" s="2" t="s">
        <v>3792</v>
      </c>
    </row>
    <row r="1311" customFormat="false" ht="15" hidden="false" customHeight="false" outlineLevel="0" collapsed="false">
      <c r="A1311" s="2" t="s">
        <v>3793</v>
      </c>
      <c r="B1311" s="2" t="s">
        <v>146</v>
      </c>
      <c r="C1311" s="2" t="s">
        <v>2408</v>
      </c>
      <c r="D1311" s="2" t="s">
        <v>50</v>
      </c>
      <c r="E1311" s="2" t="s">
        <v>1194</v>
      </c>
      <c r="F1311" s="2" t="s">
        <v>1186</v>
      </c>
      <c r="G1311" s="2" t="s">
        <v>3794</v>
      </c>
    </row>
    <row r="1312" customFormat="false" ht="15" hidden="false" customHeight="false" outlineLevel="0" collapsed="false">
      <c r="A1312" s="2" t="s">
        <v>3795</v>
      </c>
      <c r="B1312" s="2" t="s">
        <v>146</v>
      </c>
      <c r="C1312" s="2" t="s">
        <v>2408</v>
      </c>
      <c r="D1312" s="2" t="s">
        <v>50</v>
      </c>
      <c r="E1312" s="2" t="s">
        <v>1194</v>
      </c>
      <c r="F1312" s="2" t="s">
        <v>1186</v>
      </c>
      <c r="G1312" s="2" t="s">
        <v>3796</v>
      </c>
    </row>
    <row r="1313" customFormat="false" ht="15" hidden="false" customHeight="false" outlineLevel="0" collapsed="false">
      <c r="A1313" s="2" t="s">
        <v>3797</v>
      </c>
      <c r="B1313" s="2" t="s">
        <v>146</v>
      </c>
      <c r="C1313" s="2" t="s">
        <v>2408</v>
      </c>
      <c r="D1313" s="2" t="s">
        <v>50</v>
      </c>
      <c r="E1313" s="2" t="s">
        <v>1194</v>
      </c>
      <c r="F1313" s="2" t="s">
        <v>1186</v>
      </c>
      <c r="G1313" s="2" t="s">
        <v>3798</v>
      </c>
    </row>
    <row r="1314" customFormat="false" ht="15" hidden="false" customHeight="false" outlineLevel="0" collapsed="false">
      <c r="A1314" s="2" t="s">
        <v>3799</v>
      </c>
      <c r="B1314" s="2" t="s">
        <v>146</v>
      </c>
      <c r="C1314" s="2" t="s">
        <v>2408</v>
      </c>
      <c r="D1314" s="2" t="s">
        <v>50</v>
      </c>
      <c r="E1314" s="2" t="s">
        <v>1194</v>
      </c>
      <c r="F1314" s="2" t="s">
        <v>1186</v>
      </c>
      <c r="G1314" s="2" t="s">
        <v>3800</v>
      </c>
    </row>
    <row r="1315" customFormat="false" ht="15" hidden="false" customHeight="false" outlineLevel="0" collapsed="false">
      <c r="A1315" s="2" t="s">
        <v>3801</v>
      </c>
      <c r="B1315" s="2" t="s">
        <v>146</v>
      </c>
      <c r="C1315" s="2" t="s">
        <v>2408</v>
      </c>
      <c r="D1315" s="2" t="s">
        <v>50</v>
      </c>
      <c r="E1315" s="2" t="s">
        <v>1194</v>
      </c>
      <c r="F1315" s="2" t="s">
        <v>1186</v>
      </c>
      <c r="G1315" s="2" t="s">
        <v>3802</v>
      </c>
    </row>
    <row r="1316" customFormat="false" ht="15" hidden="false" customHeight="false" outlineLevel="0" collapsed="false">
      <c r="A1316" s="2" t="s">
        <v>3803</v>
      </c>
      <c r="B1316" s="2" t="s">
        <v>146</v>
      </c>
      <c r="C1316" s="2" t="s">
        <v>2408</v>
      </c>
      <c r="D1316" s="2" t="s">
        <v>50</v>
      </c>
      <c r="E1316" s="2" t="s">
        <v>1194</v>
      </c>
      <c r="F1316" s="2" t="s">
        <v>1186</v>
      </c>
      <c r="G1316" s="2" t="s">
        <v>3804</v>
      </c>
    </row>
    <row r="1317" customFormat="false" ht="15" hidden="false" customHeight="false" outlineLevel="0" collapsed="false">
      <c r="A1317" s="2" t="s">
        <v>3805</v>
      </c>
      <c r="B1317" s="2" t="s">
        <v>146</v>
      </c>
      <c r="C1317" s="2" t="s">
        <v>2408</v>
      </c>
      <c r="D1317" s="2" t="s">
        <v>50</v>
      </c>
      <c r="E1317" s="2" t="s">
        <v>1194</v>
      </c>
      <c r="F1317" s="2" t="s">
        <v>1186</v>
      </c>
      <c r="G1317" s="2" t="s">
        <v>3806</v>
      </c>
    </row>
    <row r="1318" customFormat="false" ht="15" hidden="false" customHeight="false" outlineLevel="0" collapsed="false">
      <c r="A1318" s="2" t="s">
        <v>3807</v>
      </c>
      <c r="B1318" s="2" t="s">
        <v>146</v>
      </c>
      <c r="C1318" s="2" t="s">
        <v>2408</v>
      </c>
      <c r="D1318" s="2" t="s">
        <v>50</v>
      </c>
      <c r="E1318" s="2" t="s">
        <v>1194</v>
      </c>
      <c r="F1318" s="2" t="s">
        <v>1186</v>
      </c>
      <c r="G1318" s="2" t="s">
        <v>3808</v>
      </c>
    </row>
    <row r="1319" customFormat="false" ht="15" hidden="false" customHeight="false" outlineLevel="0" collapsed="false">
      <c r="A1319" s="2" t="s">
        <v>3809</v>
      </c>
      <c r="B1319" s="2" t="s">
        <v>146</v>
      </c>
      <c r="C1319" s="2" t="s">
        <v>2408</v>
      </c>
      <c r="D1319" s="2" t="s">
        <v>50</v>
      </c>
      <c r="E1319" s="2" t="s">
        <v>1194</v>
      </c>
      <c r="F1319" s="2" t="s">
        <v>1186</v>
      </c>
      <c r="G1319" s="2" t="s">
        <v>3810</v>
      </c>
    </row>
    <row r="1320" customFormat="false" ht="15" hidden="false" customHeight="false" outlineLevel="0" collapsed="false">
      <c r="A1320" s="2" t="s">
        <v>3811</v>
      </c>
      <c r="B1320" s="2" t="s">
        <v>146</v>
      </c>
      <c r="C1320" s="2" t="s">
        <v>2408</v>
      </c>
      <c r="D1320" s="2" t="s">
        <v>50</v>
      </c>
      <c r="E1320" s="2" t="s">
        <v>1194</v>
      </c>
      <c r="F1320" s="2" t="s">
        <v>1186</v>
      </c>
      <c r="G1320" s="2" t="s">
        <v>3812</v>
      </c>
    </row>
    <row r="1321" customFormat="false" ht="15" hidden="false" customHeight="false" outlineLevel="0" collapsed="false">
      <c r="A1321" s="2" t="s">
        <v>3813</v>
      </c>
      <c r="B1321" s="2" t="s">
        <v>146</v>
      </c>
      <c r="C1321" s="2" t="s">
        <v>2408</v>
      </c>
      <c r="D1321" s="2" t="s">
        <v>50</v>
      </c>
      <c r="E1321" s="2" t="s">
        <v>1194</v>
      </c>
      <c r="F1321" s="2" t="s">
        <v>1186</v>
      </c>
      <c r="G1321" s="2" t="s">
        <v>3814</v>
      </c>
    </row>
    <row r="1322" customFormat="false" ht="15" hidden="false" customHeight="false" outlineLevel="0" collapsed="false">
      <c r="A1322" s="2" t="s">
        <v>3815</v>
      </c>
      <c r="B1322" s="2" t="s">
        <v>146</v>
      </c>
      <c r="C1322" s="2" t="s">
        <v>2408</v>
      </c>
      <c r="D1322" s="2" t="s">
        <v>50</v>
      </c>
      <c r="E1322" s="2" t="s">
        <v>1194</v>
      </c>
      <c r="F1322" s="2" t="s">
        <v>1186</v>
      </c>
      <c r="G1322" s="2" t="s">
        <v>3816</v>
      </c>
    </row>
    <row r="1323" customFormat="false" ht="15" hidden="false" customHeight="false" outlineLevel="0" collapsed="false">
      <c r="A1323" s="2" t="s">
        <v>3817</v>
      </c>
      <c r="B1323" s="2" t="s">
        <v>146</v>
      </c>
      <c r="C1323" s="2" t="s">
        <v>2408</v>
      </c>
      <c r="D1323" s="2" t="s">
        <v>50</v>
      </c>
      <c r="E1323" s="2" t="s">
        <v>1194</v>
      </c>
      <c r="F1323" s="2" t="s">
        <v>1186</v>
      </c>
      <c r="G1323" s="2" t="s">
        <v>3818</v>
      </c>
    </row>
    <row r="1324" customFormat="false" ht="15" hidden="false" customHeight="false" outlineLevel="0" collapsed="false">
      <c r="A1324" s="2" t="s">
        <v>3819</v>
      </c>
      <c r="B1324" s="2" t="s">
        <v>146</v>
      </c>
      <c r="C1324" s="2" t="s">
        <v>2408</v>
      </c>
      <c r="D1324" s="2" t="s">
        <v>50</v>
      </c>
      <c r="E1324" s="2" t="s">
        <v>1194</v>
      </c>
      <c r="F1324" s="2" t="s">
        <v>1186</v>
      </c>
      <c r="G1324" s="2" t="s">
        <v>3820</v>
      </c>
    </row>
    <row r="1325" customFormat="false" ht="15" hidden="false" customHeight="false" outlineLevel="0" collapsed="false">
      <c r="A1325" s="2" t="s">
        <v>3821</v>
      </c>
      <c r="B1325" s="2" t="s">
        <v>146</v>
      </c>
      <c r="C1325" s="2" t="s">
        <v>2408</v>
      </c>
      <c r="D1325" s="2" t="s">
        <v>50</v>
      </c>
      <c r="E1325" s="2" t="s">
        <v>1194</v>
      </c>
      <c r="F1325" s="2" t="s">
        <v>1186</v>
      </c>
      <c r="G1325" s="2" t="s">
        <v>3822</v>
      </c>
    </row>
    <row r="1326" customFormat="false" ht="15" hidden="false" customHeight="false" outlineLevel="0" collapsed="false">
      <c r="A1326" s="2" t="s">
        <v>3823</v>
      </c>
      <c r="B1326" s="2" t="s">
        <v>146</v>
      </c>
      <c r="C1326" s="2" t="s">
        <v>2408</v>
      </c>
      <c r="D1326" s="2" t="s">
        <v>50</v>
      </c>
      <c r="E1326" s="2" t="s">
        <v>1194</v>
      </c>
      <c r="F1326" s="2" t="s">
        <v>1186</v>
      </c>
      <c r="G1326" s="2" t="s">
        <v>3824</v>
      </c>
    </row>
    <row r="1327" customFormat="false" ht="15" hidden="false" customHeight="false" outlineLevel="0" collapsed="false">
      <c r="A1327" s="2" t="s">
        <v>3825</v>
      </c>
      <c r="B1327" s="2" t="s">
        <v>146</v>
      </c>
      <c r="C1327" s="2" t="s">
        <v>2408</v>
      </c>
      <c r="D1327" s="2" t="s">
        <v>50</v>
      </c>
      <c r="E1327" s="2" t="s">
        <v>1194</v>
      </c>
      <c r="F1327" s="2" t="s">
        <v>1186</v>
      </c>
      <c r="G1327" s="2" t="s">
        <v>3826</v>
      </c>
    </row>
    <row r="1328" customFormat="false" ht="15" hidden="false" customHeight="false" outlineLevel="0" collapsed="false">
      <c r="A1328" s="2" t="s">
        <v>3827</v>
      </c>
      <c r="B1328" s="2" t="s">
        <v>146</v>
      </c>
      <c r="C1328" s="2" t="s">
        <v>2408</v>
      </c>
      <c r="D1328" s="2" t="s">
        <v>50</v>
      </c>
      <c r="E1328" s="2" t="s">
        <v>1194</v>
      </c>
      <c r="F1328" s="2" t="s">
        <v>1186</v>
      </c>
      <c r="G1328" s="2" t="s">
        <v>3828</v>
      </c>
    </row>
    <row r="1329" customFormat="false" ht="15" hidden="false" customHeight="false" outlineLevel="0" collapsed="false">
      <c r="A1329" s="2" t="s">
        <v>3829</v>
      </c>
      <c r="B1329" s="2" t="s">
        <v>146</v>
      </c>
      <c r="C1329" s="2" t="s">
        <v>2408</v>
      </c>
      <c r="D1329" s="2" t="s">
        <v>50</v>
      </c>
      <c r="E1329" s="2" t="s">
        <v>1194</v>
      </c>
      <c r="F1329" s="2" t="s">
        <v>1186</v>
      </c>
      <c r="G1329" s="2" t="s">
        <v>3830</v>
      </c>
    </row>
    <row r="1330" customFormat="false" ht="15" hidden="false" customHeight="false" outlineLevel="0" collapsed="false">
      <c r="A1330" s="2" t="s">
        <v>3831</v>
      </c>
      <c r="B1330" s="2" t="s">
        <v>146</v>
      </c>
      <c r="C1330" s="2" t="s">
        <v>2408</v>
      </c>
      <c r="D1330" s="2" t="s">
        <v>50</v>
      </c>
      <c r="E1330" s="2" t="s">
        <v>1194</v>
      </c>
      <c r="F1330" s="2" t="s">
        <v>1186</v>
      </c>
      <c r="G1330" s="2" t="s">
        <v>3832</v>
      </c>
    </row>
    <row r="1331" customFormat="false" ht="15" hidden="false" customHeight="false" outlineLevel="0" collapsed="false">
      <c r="A1331" s="2" t="s">
        <v>3833</v>
      </c>
      <c r="B1331" s="2" t="s">
        <v>146</v>
      </c>
      <c r="C1331" s="2" t="s">
        <v>2408</v>
      </c>
      <c r="D1331" s="2" t="s">
        <v>50</v>
      </c>
      <c r="E1331" s="2" t="s">
        <v>1194</v>
      </c>
      <c r="F1331" s="2" t="s">
        <v>1186</v>
      </c>
      <c r="G1331" s="2" t="s">
        <v>3834</v>
      </c>
    </row>
    <row r="1332" customFormat="false" ht="15" hidden="false" customHeight="false" outlineLevel="0" collapsed="false">
      <c r="A1332" s="2" t="s">
        <v>3835</v>
      </c>
      <c r="B1332" s="2" t="s">
        <v>146</v>
      </c>
      <c r="C1332" s="2" t="s">
        <v>2408</v>
      </c>
      <c r="D1332" s="2" t="s">
        <v>50</v>
      </c>
      <c r="E1332" s="2" t="s">
        <v>1194</v>
      </c>
      <c r="F1332" s="2" t="s">
        <v>1186</v>
      </c>
      <c r="G1332" s="2" t="s">
        <v>3836</v>
      </c>
    </row>
    <row r="1333" customFormat="false" ht="15" hidden="false" customHeight="false" outlineLevel="0" collapsed="false">
      <c r="A1333" s="2" t="s">
        <v>3837</v>
      </c>
      <c r="B1333" s="2" t="s">
        <v>146</v>
      </c>
      <c r="C1333" s="2" t="s">
        <v>2408</v>
      </c>
      <c r="D1333" s="2" t="s">
        <v>50</v>
      </c>
      <c r="E1333" s="2" t="s">
        <v>1194</v>
      </c>
      <c r="F1333" s="2" t="s">
        <v>1186</v>
      </c>
      <c r="G1333" s="2" t="s">
        <v>3838</v>
      </c>
    </row>
    <row r="1334" customFormat="false" ht="15" hidden="false" customHeight="false" outlineLevel="0" collapsed="false">
      <c r="A1334" s="2" t="s">
        <v>3839</v>
      </c>
      <c r="B1334" s="2" t="s">
        <v>146</v>
      </c>
      <c r="C1334" s="2" t="s">
        <v>2408</v>
      </c>
      <c r="D1334" s="2" t="s">
        <v>50</v>
      </c>
      <c r="E1334" s="2" t="s">
        <v>1194</v>
      </c>
      <c r="F1334" s="2" t="s">
        <v>1186</v>
      </c>
      <c r="G1334" s="2" t="s">
        <v>3840</v>
      </c>
    </row>
    <row r="1335" customFormat="false" ht="15" hidden="false" customHeight="false" outlineLevel="0" collapsed="false">
      <c r="A1335" s="2" t="s">
        <v>3841</v>
      </c>
      <c r="B1335" s="2" t="s">
        <v>146</v>
      </c>
      <c r="C1335" s="2" t="s">
        <v>2408</v>
      </c>
      <c r="D1335" s="2" t="s">
        <v>50</v>
      </c>
      <c r="E1335" s="2" t="s">
        <v>1194</v>
      </c>
      <c r="F1335" s="2" t="s">
        <v>1186</v>
      </c>
      <c r="G1335" s="2" t="s">
        <v>3842</v>
      </c>
    </row>
    <row r="1336" customFormat="false" ht="15" hidden="false" customHeight="false" outlineLevel="0" collapsed="false">
      <c r="A1336" s="2" t="s">
        <v>3843</v>
      </c>
      <c r="B1336" s="2" t="s">
        <v>146</v>
      </c>
      <c r="C1336" s="2" t="s">
        <v>2408</v>
      </c>
      <c r="D1336" s="2" t="s">
        <v>50</v>
      </c>
      <c r="E1336" s="2" t="s">
        <v>1194</v>
      </c>
      <c r="F1336" s="2" t="s">
        <v>1186</v>
      </c>
      <c r="G1336" s="2" t="s">
        <v>3844</v>
      </c>
    </row>
    <row r="1337" customFormat="false" ht="15" hidden="false" customHeight="false" outlineLevel="0" collapsed="false">
      <c r="A1337" s="2" t="s">
        <v>3845</v>
      </c>
      <c r="B1337" s="2" t="s">
        <v>146</v>
      </c>
      <c r="C1337" s="2" t="s">
        <v>2408</v>
      </c>
      <c r="D1337" s="2" t="s">
        <v>50</v>
      </c>
      <c r="E1337" s="2" t="s">
        <v>1194</v>
      </c>
      <c r="F1337" s="2" t="s">
        <v>1186</v>
      </c>
      <c r="G1337" s="2" t="s">
        <v>3846</v>
      </c>
    </row>
    <row r="1338" customFormat="false" ht="15" hidden="false" customHeight="false" outlineLevel="0" collapsed="false">
      <c r="A1338" s="2" t="s">
        <v>3847</v>
      </c>
      <c r="B1338" s="2" t="s">
        <v>146</v>
      </c>
      <c r="C1338" s="2" t="s">
        <v>2408</v>
      </c>
      <c r="D1338" s="2" t="s">
        <v>50</v>
      </c>
      <c r="E1338" s="2" t="s">
        <v>1194</v>
      </c>
      <c r="F1338" s="2" t="s">
        <v>1186</v>
      </c>
      <c r="G1338" s="2" t="s">
        <v>3848</v>
      </c>
    </row>
    <row r="1339" customFormat="false" ht="15" hidden="false" customHeight="false" outlineLevel="0" collapsed="false">
      <c r="A1339" s="2" t="s">
        <v>3849</v>
      </c>
      <c r="B1339" s="2" t="s">
        <v>146</v>
      </c>
      <c r="C1339" s="2" t="s">
        <v>2408</v>
      </c>
      <c r="D1339" s="2" t="s">
        <v>50</v>
      </c>
      <c r="E1339" s="2" t="s">
        <v>1194</v>
      </c>
      <c r="F1339" s="2" t="s">
        <v>1186</v>
      </c>
      <c r="G1339" s="2" t="s">
        <v>3850</v>
      </c>
    </row>
    <row r="1340" customFormat="false" ht="15" hidden="false" customHeight="false" outlineLevel="0" collapsed="false">
      <c r="A1340" s="2" t="s">
        <v>3851</v>
      </c>
      <c r="B1340" s="2" t="s">
        <v>146</v>
      </c>
      <c r="C1340" s="2" t="s">
        <v>2408</v>
      </c>
      <c r="D1340" s="2" t="s">
        <v>50</v>
      </c>
      <c r="E1340" s="2" t="s">
        <v>1194</v>
      </c>
      <c r="F1340" s="2" t="s">
        <v>1186</v>
      </c>
      <c r="G1340" s="2" t="s">
        <v>3852</v>
      </c>
    </row>
    <row r="1341" customFormat="false" ht="15" hidden="false" customHeight="false" outlineLevel="0" collapsed="false">
      <c r="A1341" s="2" t="s">
        <v>3853</v>
      </c>
      <c r="B1341" s="2" t="s">
        <v>146</v>
      </c>
      <c r="C1341" s="2" t="s">
        <v>2408</v>
      </c>
      <c r="D1341" s="2" t="s">
        <v>50</v>
      </c>
      <c r="E1341" s="2" t="s">
        <v>1194</v>
      </c>
      <c r="F1341" s="2" t="s">
        <v>1186</v>
      </c>
      <c r="G1341" s="2" t="s">
        <v>3854</v>
      </c>
    </row>
    <row r="1342" customFormat="false" ht="15" hidden="false" customHeight="false" outlineLevel="0" collapsed="false">
      <c r="A1342" s="2" t="s">
        <v>3855</v>
      </c>
      <c r="B1342" s="2" t="s">
        <v>146</v>
      </c>
      <c r="C1342" s="2" t="s">
        <v>2408</v>
      </c>
      <c r="D1342" s="2" t="s">
        <v>50</v>
      </c>
      <c r="E1342" s="2" t="s">
        <v>1194</v>
      </c>
      <c r="F1342" s="2" t="s">
        <v>1186</v>
      </c>
      <c r="G1342" s="2" t="s">
        <v>3856</v>
      </c>
    </row>
    <row r="1343" customFormat="false" ht="15" hidden="false" customHeight="false" outlineLevel="0" collapsed="false">
      <c r="A1343" s="2" t="s">
        <v>3857</v>
      </c>
      <c r="B1343" s="2" t="s">
        <v>146</v>
      </c>
      <c r="C1343" s="2" t="s">
        <v>2408</v>
      </c>
      <c r="D1343" s="2" t="s">
        <v>50</v>
      </c>
      <c r="E1343" s="2" t="s">
        <v>1194</v>
      </c>
      <c r="F1343" s="2" t="s">
        <v>1186</v>
      </c>
      <c r="G1343" s="2" t="s">
        <v>3858</v>
      </c>
    </row>
    <row r="1344" customFormat="false" ht="15" hidden="false" customHeight="false" outlineLevel="0" collapsed="false">
      <c r="A1344" s="2" t="s">
        <v>3859</v>
      </c>
      <c r="B1344" s="2" t="s">
        <v>146</v>
      </c>
      <c r="C1344" s="2" t="s">
        <v>2408</v>
      </c>
      <c r="D1344" s="2" t="s">
        <v>50</v>
      </c>
      <c r="E1344" s="2" t="s">
        <v>1194</v>
      </c>
      <c r="F1344" s="2" t="s">
        <v>1186</v>
      </c>
      <c r="G1344" s="2" t="s">
        <v>3860</v>
      </c>
    </row>
    <row r="1345" customFormat="false" ht="15" hidden="false" customHeight="false" outlineLevel="0" collapsed="false">
      <c r="A1345" s="2" t="s">
        <v>3861</v>
      </c>
      <c r="B1345" s="2" t="s">
        <v>146</v>
      </c>
      <c r="C1345" s="2" t="s">
        <v>2760</v>
      </c>
      <c r="D1345" s="2" t="s">
        <v>48</v>
      </c>
      <c r="E1345" s="2" t="s">
        <v>1185</v>
      </c>
      <c r="F1345" s="2" t="s">
        <v>1186</v>
      </c>
      <c r="G1345" s="2" t="s">
        <v>3862</v>
      </c>
    </row>
    <row r="1346" customFormat="false" ht="15" hidden="false" customHeight="false" outlineLevel="0" collapsed="false">
      <c r="A1346" s="2" t="s">
        <v>3863</v>
      </c>
      <c r="B1346" s="2" t="s">
        <v>146</v>
      </c>
      <c r="C1346" s="2" t="s">
        <v>2760</v>
      </c>
      <c r="D1346" s="2" t="s">
        <v>48</v>
      </c>
      <c r="E1346" s="2" t="s">
        <v>1185</v>
      </c>
      <c r="F1346" s="2" t="s">
        <v>1186</v>
      </c>
      <c r="G1346" s="2" t="s">
        <v>3864</v>
      </c>
    </row>
    <row r="1347" customFormat="false" ht="15" hidden="false" customHeight="false" outlineLevel="0" collapsed="false">
      <c r="A1347" s="2" t="s">
        <v>3865</v>
      </c>
      <c r="B1347" s="2" t="s">
        <v>146</v>
      </c>
      <c r="C1347" s="2" t="s">
        <v>2760</v>
      </c>
      <c r="D1347" s="2" t="s">
        <v>48</v>
      </c>
      <c r="E1347" s="2" t="s">
        <v>1185</v>
      </c>
      <c r="F1347" s="2" t="s">
        <v>1186</v>
      </c>
      <c r="G1347" s="2" t="s">
        <v>3866</v>
      </c>
    </row>
    <row r="1348" customFormat="false" ht="15" hidden="false" customHeight="false" outlineLevel="0" collapsed="false">
      <c r="A1348" s="2" t="s">
        <v>3867</v>
      </c>
      <c r="B1348" s="2" t="s">
        <v>146</v>
      </c>
      <c r="C1348" s="2" t="s">
        <v>2760</v>
      </c>
      <c r="D1348" s="2" t="s">
        <v>48</v>
      </c>
      <c r="E1348" s="2" t="s">
        <v>1185</v>
      </c>
      <c r="F1348" s="2" t="s">
        <v>1186</v>
      </c>
      <c r="G1348" s="2" t="s">
        <v>3868</v>
      </c>
    </row>
    <row r="1349" customFormat="false" ht="15" hidden="false" customHeight="false" outlineLevel="0" collapsed="false">
      <c r="A1349" s="2" t="s">
        <v>3869</v>
      </c>
      <c r="B1349" s="2" t="s">
        <v>146</v>
      </c>
      <c r="C1349" s="2" t="s">
        <v>2938</v>
      </c>
      <c r="D1349" s="2" t="s">
        <v>49</v>
      </c>
      <c r="E1349" s="2" t="s">
        <v>1563</v>
      </c>
      <c r="F1349" s="2" t="s">
        <v>1186</v>
      </c>
      <c r="G1349" s="2" t="s">
        <v>3870</v>
      </c>
    </row>
    <row r="1350" customFormat="false" ht="15" hidden="false" customHeight="false" outlineLevel="0" collapsed="false">
      <c r="A1350" s="2" t="s">
        <v>3871</v>
      </c>
      <c r="B1350" s="2" t="s">
        <v>146</v>
      </c>
      <c r="C1350" s="2" t="s">
        <v>2938</v>
      </c>
      <c r="D1350" s="2" t="s">
        <v>49</v>
      </c>
      <c r="E1350" s="2" t="s">
        <v>1563</v>
      </c>
      <c r="F1350" s="2" t="s">
        <v>1186</v>
      </c>
      <c r="G1350" s="2" t="s">
        <v>3872</v>
      </c>
    </row>
    <row r="1351" customFormat="false" ht="15" hidden="false" customHeight="false" outlineLevel="0" collapsed="false">
      <c r="A1351" s="2" t="s">
        <v>3873</v>
      </c>
      <c r="B1351" s="2" t="s">
        <v>146</v>
      </c>
      <c r="C1351" s="2" t="s">
        <v>2938</v>
      </c>
      <c r="D1351" s="2" t="s">
        <v>49</v>
      </c>
      <c r="E1351" s="2" t="s">
        <v>1563</v>
      </c>
      <c r="F1351" s="2" t="s">
        <v>1186</v>
      </c>
      <c r="G1351" s="2" t="s">
        <v>3874</v>
      </c>
    </row>
    <row r="1352" customFormat="false" ht="15" hidden="false" customHeight="false" outlineLevel="0" collapsed="false">
      <c r="A1352" s="2" t="s">
        <v>3875</v>
      </c>
      <c r="B1352" s="2" t="s">
        <v>146</v>
      </c>
      <c r="C1352" s="2" t="s">
        <v>2938</v>
      </c>
      <c r="D1352" s="2" t="s">
        <v>49</v>
      </c>
      <c r="E1352" s="2" t="s">
        <v>1563</v>
      </c>
      <c r="F1352" s="2" t="s">
        <v>1186</v>
      </c>
      <c r="G1352" s="2" t="s">
        <v>3876</v>
      </c>
    </row>
    <row r="1353" customFormat="false" ht="15" hidden="false" customHeight="false" outlineLevel="0" collapsed="false">
      <c r="A1353" s="2" t="s">
        <v>3877</v>
      </c>
      <c r="B1353" s="2" t="s">
        <v>146</v>
      </c>
      <c r="C1353" s="2" t="s">
        <v>2938</v>
      </c>
      <c r="D1353" s="2" t="s">
        <v>49</v>
      </c>
      <c r="E1353" s="2" t="s">
        <v>1563</v>
      </c>
      <c r="F1353" s="2" t="s">
        <v>1186</v>
      </c>
      <c r="G1353" s="2" t="s">
        <v>3878</v>
      </c>
    </row>
    <row r="1354" customFormat="false" ht="15" hidden="false" customHeight="false" outlineLevel="0" collapsed="false">
      <c r="A1354" s="2" t="s">
        <v>3879</v>
      </c>
      <c r="B1354" s="2" t="s">
        <v>146</v>
      </c>
      <c r="C1354" s="2" t="s">
        <v>2938</v>
      </c>
      <c r="D1354" s="2" t="s">
        <v>49</v>
      </c>
      <c r="E1354" s="2" t="s">
        <v>1563</v>
      </c>
      <c r="F1354" s="2" t="s">
        <v>1186</v>
      </c>
      <c r="G1354" s="2" t="s">
        <v>3880</v>
      </c>
    </row>
    <row r="1355" customFormat="false" ht="15" hidden="false" customHeight="false" outlineLevel="0" collapsed="false">
      <c r="A1355" s="2" t="s">
        <v>3881</v>
      </c>
      <c r="B1355" s="2" t="s">
        <v>146</v>
      </c>
      <c r="C1355" s="2" t="s">
        <v>2938</v>
      </c>
      <c r="D1355" s="2" t="s">
        <v>49</v>
      </c>
      <c r="E1355" s="2" t="s">
        <v>1563</v>
      </c>
      <c r="F1355" s="2" t="s">
        <v>1186</v>
      </c>
      <c r="G1355" s="2" t="s">
        <v>3882</v>
      </c>
    </row>
    <row r="1356" customFormat="false" ht="15" hidden="false" customHeight="false" outlineLevel="0" collapsed="false">
      <c r="A1356" s="2" t="s">
        <v>3883</v>
      </c>
      <c r="B1356" s="2" t="s">
        <v>146</v>
      </c>
      <c r="C1356" s="2" t="s">
        <v>2938</v>
      </c>
      <c r="D1356" s="2" t="s">
        <v>49</v>
      </c>
      <c r="E1356" s="2" t="s">
        <v>1563</v>
      </c>
      <c r="F1356" s="2" t="s">
        <v>1186</v>
      </c>
      <c r="G1356" s="2" t="s">
        <v>3884</v>
      </c>
    </row>
    <row r="1357" customFormat="false" ht="15" hidden="false" customHeight="false" outlineLevel="0" collapsed="false">
      <c r="A1357" s="2" t="s">
        <v>3885</v>
      </c>
      <c r="B1357" s="2" t="s">
        <v>146</v>
      </c>
      <c r="C1357" s="2" t="s">
        <v>2938</v>
      </c>
      <c r="D1357" s="2" t="s">
        <v>49</v>
      </c>
      <c r="E1357" s="2" t="s">
        <v>1563</v>
      </c>
      <c r="F1357" s="2" t="s">
        <v>1186</v>
      </c>
      <c r="G1357" s="2" t="s">
        <v>3886</v>
      </c>
    </row>
    <row r="1358" customFormat="false" ht="15" hidden="false" customHeight="false" outlineLevel="0" collapsed="false">
      <c r="A1358" s="2" t="s">
        <v>3887</v>
      </c>
      <c r="B1358" s="2" t="s">
        <v>146</v>
      </c>
      <c r="C1358" s="2" t="s">
        <v>2938</v>
      </c>
      <c r="D1358" s="2" t="s">
        <v>49</v>
      </c>
      <c r="E1358" s="2" t="s">
        <v>1563</v>
      </c>
      <c r="F1358" s="2" t="s">
        <v>1186</v>
      </c>
      <c r="G1358" s="2" t="s">
        <v>3888</v>
      </c>
    </row>
    <row r="1359" customFormat="false" ht="15" hidden="false" customHeight="false" outlineLevel="0" collapsed="false">
      <c r="A1359" s="2" t="s">
        <v>3889</v>
      </c>
      <c r="B1359" s="2" t="s">
        <v>146</v>
      </c>
      <c r="C1359" s="2" t="s">
        <v>2938</v>
      </c>
      <c r="D1359" s="2" t="s">
        <v>49</v>
      </c>
      <c r="E1359" s="2" t="s">
        <v>1563</v>
      </c>
      <c r="F1359" s="2" t="s">
        <v>1186</v>
      </c>
      <c r="G1359" s="2" t="s">
        <v>3890</v>
      </c>
    </row>
    <row r="1360" customFormat="false" ht="15" hidden="false" customHeight="false" outlineLevel="0" collapsed="false">
      <c r="A1360" s="2" t="s">
        <v>3891</v>
      </c>
      <c r="B1360" s="2" t="s">
        <v>146</v>
      </c>
      <c r="C1360" s="2" t="s">
        <v>2760</v>
      </c>
      <c r="D1360" s="2" t="s">
        <v>48</v>
      </c>
      <c r="E1360" s="2" t="s">
        <v>1185</v>
      </c>
      <c r="F1360" s="2" t="s">
        <v>1186</v>
      </c>
      <c r="G1360" s="2" t="s">
        <v>3892</v>
      </c>
    </row>
    <row r="1361" customFormat="false" ht="15" hidden="false" customHeight="false" outlineLevel="0" collapsed="false">
      <c r="A1361" s="2" t="s">
        <v>3893</v>
      </c>
      <c r="B1361" s="2" t="s">
        <v>146</v>
      </c>
      <c r="C1361" s="2" t="s">
        <v>2938</v>
      </c>
      <c r="D1361" s="2" t="s">
        <v>49</v>
      </c>
      <c r="E1361" s="2" t="s">
        <v>1563</v>
      </c>
      <c r="F1361" s="2" t="s">
        <v>1186</v>
      </c>
      <c r="G1361" s="2" t="s">
        <v>3894</v>
      </c>
    </row>
    <row r="1362" customFormat="false" ht="15" hidden="false" customHeight="false" outlineLevel="0" collapsed="false">
      <c r="A1362" s="2" t="s">
        <v>3895</v>
      </c>
      <c r="B1362" s="2" t="s">
        <v>146</v>
      </c>
      <c r="C1362" s="2" t="s">
        <v>2938</v>
      </c>
      <c r="D1362" s="2" t="s">
        <v>49</v>
      </c>
      <c r="E1362" s="2" t="s">
        <v>1563</v>
      </c>
      <c r="F1362" s="2" t="s">
        <v>1186</v>
      </c>
      <c r="G1362" s="2" t="s">
        <v>3896</v>
      </c>
    </row>
    <row r="1363" customFormat="false" ht="15" hidden="false" customHeight="false" outlineLevel="0" collapsed="false">
      <c r="A1363" s="2" t="s">
        <v>3897</v>
      </c>
      <c r="B1363" s="2" t="s">
        <v>146</v>
      </c>
      <c r="C1363" s="2" t="s">
        <v>2938</v>
      </c>
      <c r="D1363" s="2" t="s">
        <v>49</v>
      </c>
      <c r="E1363" s="2" t="s">
        <v>1563</v>
      </c>
      <c r="F1363" s="2" t="s">
        <v>1186</v>
      </c>
      <c r="G1363" s="2" t="s">
        <v>3898</v>
      </c>
    </row>
    <row r="1364" customFormat="false" ht="15" hidden="false" customHeight="false" outlineLevel="0" collapsed="false">
      <c r="A1364" s="2" t="s">
        <v>3899</v>
      </c>
      <c r="B1364" s="2" t="s">
        <v>146</v>
      </c>
      <c r="C1364" s="2" t="s">
        <v>2938</v>
      </c>
      <c r="D1364" s="2" t="s">
        <v>49</v>
      </c>
      <c r="E1364" s="2" t="s">
        <v>1563</v>
      </c>
      <c r="F1364" s="2" t="s">
        <v>1186</v>
      </c>
      <c r="G1364" s="2" t="s">
        <v>3900</v>
      </c>
    </row>
    <row r="1365" customFormat="false" ht="15" hidden="false" customHeight="false" outlineLevel="0" collapsed="false">
      <c r="A1365" s="2" t="s">
        <v>3901</v>
      </c>
      <c r="B1365" s="2" t="s">
        <v>146</v>
      </c>
      <c r="C1365" s="2" t="s">
        <v>2938</v>
      </c>
      <c r="D1365" s="2" t="s">
        <v>49</v>
      </c>
      <c r="E1365" s="2" t="s">
        <v>1563</v>
      </c>
      <c r="F1365" s="2" t="s">
        <v>1186</v>
      </c>
      <c r="G1365" s="2" t="s">
        <v>3902</v>
      </c>
    </row>
    <row r="1366" customFormat="false" ht="15" hidden="false" customHeight="false" outlineLevel="0" collapsed="false">
      <c r="A1366" s="2" t="s">
        <v>3903</v>
      </c>
      <c r="B1366" s="2" t="s">
        <v>146</v>
      </c>
      <c r="C1366" s="2" t="s">
        <v>2938</v>
      </c>
      <c r="D1366" s="2" t="s">
        <v>49</v>
      </c>
      <c r="E1366" s="2" t="s">
        <v>1563</v>
      </c>
      <c r="F1366" s="2" t="s">
        <v>1186</v>
      </c>
      <c r="G1366" s="2" t="s">
        <v>3904</v>
      </c>
    </row>
    <row r="1367" customFormat="false" ht="15" hidden="false" customHeight="false" outlineLevel="0" collapsed="false">
      <c r="A1367" s="2" t="s">
        <v>3905</v>
      </c>
      <c r="B1367" s="2" t="s">
        <v>146</v>
      </c>
      <c r="C1367" s="2" t="s">
        <v>2938</v>
      </c>
      <c r="D1367" s="2" t="s">
        <v>49</v>
      </c>
      <c r="E1367" s="2" t="s">
        <v>1563</v>
      </c>
      <c r="F1367" s="2" t="s">
        <v>1186</v>
      </c>
      <c r="G1367" s="2" t="s">
        <v>3906</v>
      </c>
    </row>
    <row r="1368" customFormat="false" ht="15" hidden="false" customHeight="false" outlineLevel="0" collapsed="false">
      <c r="A1368" s="2" t="s">
        <v>3907</v>
      </c>
      <c r="B1368" s="2" t="s">
        <v>146</v>
      </c>
      <c r="C1368" s="2" t="s">
        <v>2938</v>
      </c>
      <c r="D1368" s="2" t="s">
        <v>49</v>
      </c>
      <c r="E1368" s="2" t="s">
        <v>1563</v>
      </c>
      <c r="F1368" s="2" t="s">
        <v>1186</v>
      </c>
      <c r="G1368" s="2" t="s">
        <v>3908</v>
      </c>
    </row>
    <row r="1369" customFormat="false" ht="15" hidden="false" customHeight="false" outlineLevel="0" collapsed="false">
      <c r="A1369" s="2" t="s">
        <v>3909</v>
      </c>
      <c r="B1369" s="2" t="s">
        <v>146</v>
      </c>
      <c r="C1369" s="2" t="s">
        <v>2938</v>
      </c>
      <c r="D1369" s="2" t="s">
        <v>49</v>
      </c>
      <c r="E1369" s="2" t="s">
        <v>1563</v>
      </c>
      <c r="F1369" s="2" t="s">
        <v>1186</v>
      </c>
      <c r="G1369" s="2" t="s">
        <v>3910</v>
      </c>
    </row>
    <row r="1370" customFormat="false" ht="15" hidden="false" customHeight="false" outlineLevel="0" collapsed="false">
      <c r="A1370" s="2" t="s">
        <v>3911</v>
      </c>
      <c r="B1370" s="2" t="s">
        <v>146</v>
      </c>
      <c r="C1370" s="2" t="s">
        <v>2938</v>
      </c>
      <c r="D1370" s="2" t="s">
        <v>49</v>
      </c>
      <c r="E1370" s="2" t="s">
        <v>1563</v>
      </c>
      <c r="F1370" s="2" t="s">
        <v>1186</v>
      </c>
      <c r="G1370" s="2" t="s">
        <v>3912</v>
      </c>
    </row>
    <row r="1371" customFormat="false" ht="15" hidden="false" customHeight="false" outlineLevel="0" collapsed="false">
      <c r="A1371" s="2" t="s">
        <v>3913</v>
      </c>
      <c r="B1371" s="2" t="s">
        <v>146</v>
      </c>
      <c r="C1371" s="2" t="s">
        <v>2938</v>
      </c>
      <c r="D1371" s="2" t="s">
        <v>49</v>
      </c>
      <c r="E1371" s="2" t="s">
        <v>1563</v>
      </c>
      <c r="F1371" s="2" t="s">
        <v>1186</v>
      </c>
      <c r="G1371" s="2" t="s">
        <v>3914</v>
      </c>
    </row>
    <row r="1372" customFormat="false" ht="15" hidden="false" customHeight="false" outlineLevel="0" collapsed="false">
      <c r="A1372" s="2" t="s">
        <v>3915</v>
      </c>
      <c r="B1372" s="2" t="s">
        <v>146</v>
      </c>
      <c r="C1372" s="2" t="s">
        <v>2938</v>
      </c>
      <c r="D1372" s="2" t="s">
        <v>49</v>
      </c>
      <c r="E1372" s="2" t="s">
        <v>1563</v>
      </c>
      <c r="F1372" s="2" t="s">
        <v>1186</v>
      </c>
      <c r="G1372" s="2" t="s">
        <v>3916</v>
      </c>
    </row>
    <row r="1373" customFormat="false" ht="15" hidden="false" customHeight="false" outlineLevel="0" collapsed="false">
      <c r="A1373" s="2" t="s">
        <v>3917</v>
      </c>
      <c r="B1373" s="2" t="s">
        <v>146</v>
      </c>
      <c r="C1373" s="2" t="s">
        <v>2760</v>
      </c>
      <c r="D1373" s="2" t="s">
        <v>48</v>
      </c>
      <c r="E1373" s="2" t="s">
        <v>1185</v>
      </c>
      <c r="F1373" s="2" t="s">
        <v>1186</v>
      </c>
      <c r="G1373" s="2" t="s">
        <v>3918</v>
      </c>
    </row>
    <row r="1374" customFormat="false" ht="15" hidden="false" customHeight="false" outlineLevel="0" collapsed="false">
      <c r="A1374" s="2" t="s">
        <v>3919</v>
      </c>
      <c r="B1374" s="2" t="s">
        <v>146</v>
      </c>
      <c r="C1374" s="2" t="s">
        <v>2938</v>
      </c>
      <c r="D1374" s="2" t="s">
        <v>49</v>
      </c>
      <c r="E1374" s="2" t="s">
        <v>1563</v>
      </c>
      <c r="F1374" s="2" t="s">
        <v>1186</v>
      </c>
      <c r="G1374" s="2" t="s">
        <v>3920</v>
      </c>
    </row>
    <row r="1375" customFormat="false" ht="15" hidden="false" customHeight="false" outlineLevel="0" collapsed="false">
      <c r="A1375" s="2" t="s">
        <v>3921</v>
      </c>
      <c r="B1375" s="2" t="s">
        <v>146</v>
      </c>
      <c r="C1375" s="2" t="s">
        <v>2938</v>
      </c>
      <c r="D1375" s="2" t="s">
        <v>49</v>
      </c>
      <c r="E1375" s="2" t="s">
        <v>1563</v>
      </c>
      <c r="F1375" s="2" t="s">
        <v>1186</v>
      </c>
      <c r="G1375" s="2" t="s">
        <v>3922</v>
      </c>
    </row>
    <row r="1376" customFormat="false" ht="15" hidden="false" customHeight="false" outlineLevel="0" collapsed="false">
      <c r="A1376" s="2" t="s">
        <v>3923</v>
      </c>
      <c r="B1376" s="2" t="s">
        <v>146</v>
      </c>
      <c r="C1376" s="2" t="s">
        <v>2938</v>
      </c>
      <c r="D1376" s="2" t="s">
        <v>49</v>
      </c>
      <c r="E1376" s="2" t="s">
        <v>1563</v>
      </c>
      <c r="F1376" s="2" t="s">
        <v>1186</v>
      </c>
      <c r="G1376" s="2" t="s">
        <v>3924</v>
      </c>
    </row>
    <row r="1377" customFormat="false" ht="15" hidden="false" customHeight="false" outlineLevel="0" collapsed="false">
      <c r="A1377" s="2" t="s">
        <v>3925</v>
      </c>
      <c r="B1377" s="2" t="s">
        <v>146</v>
      </c>
      <c r="C1377" s="2" t="s">
        <v>2938</v>
      </c>
      <c r="D1377" s="2" t="s">
        <v>49</v>
      </c>
      <c r="E1377" s="2" t="s">
        <v>1563</v>
      </c>
      <c r="F1377" s="2" t="s">
        <v>1186</v>
      </c>
      <c r="G1377" s="2" t="s">
        <v>3926</v>
      </c>
    </row>
    <row r="1378" customFormat="false" ht="15" hidden="false" customHeight="false" outlineLevel="0" collapsed="false">
      <c r="A1378" s="2" t="s">
        <v>3927</v>
      </c>
      <c r="B1378" s="2" t="s">
        <v>146</v>
      </c>
      <c r="C1378" s="2" t="s">
        <v>2938</v>
      </c>
      <c r="D1378" s="2" t="s">
        <v>49</v>
      </c>
      <c r="E1378" s="2" t="s">
        <v>1563</v>
      </c>
      <c r="F1378" s="2" t="s">
        <v>1186</v>
      </c>
      <c r="G1378" s="2" t="s">
        <v>3928</v>
      </c>
    </row>
    <row r="1379" customFormat="false" ht="15" hidden="false" customHeight="false" outlineLevel="0" collapsed="false">
      <c r="A1379" s="2" t="s">
        <v>3929</v>
      </c>
      <c r="B1379" s="2" t="s">
        <v>146</v>
      </c>
      <c r="C1379" s="2" t="s">
        <v>2938</v>
      </c>
      <c r="D1379" s="2" t="s">
        <v>49</v>
      </c>
      <c r="E1379" s="2" t="s">
        <v>1563</v>
      </c>
      <c r="F1379" s="2" t="s">
        <v>1186</v>
      </c>
      <c r="G1379" s="2" t="s">
        <v>3930</v>
      </c>
    </row>
    <row r="1380" customFormat="false" ht="15" hidden="false" customHeight="false" outlineLevel="0" collapsed="false">
      <c r="A1380" s="2" t="s">
        <v>3931</v>
      </c>
      <c r="B1380" s="2" t="s">
        <v>146</v>
      </c>
      <c r="C1380" s="2" t="s">
        <v>2938</v>
      </c>
      <c r="D1380" s="2" t="s">
        <v>49</v>
      </c>
      <c r="E1380" s="2" t="s">
        <v>1563</v>
      </c>
      <c r="F1380" s="2" t="s">
        <v>1186</v>
      </c>
      <c r="G1380" s="2" t="s">
        <v>3932</v>
      </c>
    </row>
    <row r="1381" customFormat="false" ht="15" hidden="false" customHeight="false" outlineLevel="0" collapsed="false">
      <c r="A1381" s="2" t="s">
        <v>3933</v>
      </c>
      <c r="B1381" s="2" t="s">
        <v>146</v>
      </c>
      <c r="C1381" s="2" t="s">
        <v>2938</v>
      </c>
      <c r="D1381" s="2" t="s">
        <v>49</v>
      </c>
      <c r="E1381" s="2" t="s">
        <v>1563</v>
      </c>
      <c r="F1381" s="2" t="s">
        <v>1186</v>
      </c>
      <c r="G1381" s="2" t="s">
        <v>3934</v>
      </c>
    </row>
    <row r="1382" customFormat="false" ht="15" hidden="false" customHeight="false" outlineLevel="0" collapsed="false">
      <c r="A1382" s="2" t="s">
        <v>3935</v>
      </c>
      <c r="B1382" s="2" t="s">
        <v>146</v>
      </c>
      <c r="C1382" s="2" t="s">
        <v>2938</v>
      </c>
      <c r="D1382" s="2" t="s">
        <v>49</v>
      </c>
      <c r="E1382" s="2" t="s">
        <v>1563</v>
      </c>
      <c r="F1382" s="2" t="s">
        <v>1186</v>
      </c>
      <c r="G1382" s="2" t="s">
        <v>3936</v>
      </c>
    </row>
    <row r="1383" customFormat="false" ht="15" hidden="false" customHeight="false" outlineLevel="0" collapsed="false">
      <c r="A1383" s="2" t="s">
        <v>3937</v>
      </c>
      <c r="B1383" s="2" t="s">
        <v>146</v>
      </c>
      <c r="C1383" s="2" t="s">
        <v>2760</v>
      </c>
      <c r="D1383" s="2" t="s">
        <v>48</v>
      </c>
      <c r="E1383" s="2" t="s">
        <v>1185</v>
      </c>
      <c r="F1383" s="2" t="s">
        <v>1186</v>
      </c>
      <c r="G1383" s="2" t="s">
        <v>3938</v>
      </c>
    </row>
    <row r="1384" customFormat="false" ht="15" hidden="false" customHeight="false" outlineLevel="0" collapsed="false">
      <c r="A1384" s="2" t="s">
        <v>3939</v>
      </c>
      <c r="B1384" s="2" t="s">
        <v>146</v>
      </c>
      <c r="C1384" s="2" t="s">
        <v>2760</v>
      </c>
      <c r="D1384" s="2" t="s">
        <v>48</v>
      </c>
      <c r="E1384" s="2" t="s">
        <v>1185</v>
      </c>
      <c r="F1384" s="2" t="s">
        <v>1186</v>
      </c>
      <c r="G1384" s="2" t="s">
        <v>3940</v>
      </c>
    </row>
    <row r="1385" customFormat="false" ht="15" hidden="false" customHeight="false" outlineLevel="0" collapsed="false">
      <c r="A1385" s="2" t="s">
        <v>3941</v>
      </c>
      <c r="B1385" s="2" t="s">
        <v>146</v>
      </c>
      <c r="C1385" s="2" t="s">
        <v>2760</v>
      </c>
      <c r="D1385" s="2" t="s">
        <v>48</v>
      </c>
      <c r="E1385" s="2" t="s">
        <v>1185</v>
      </c>
      <c r="F1385" s="2" t="s">
        <v>1186</v>
      </c>
      <c r="G1385" s="2" t="s">
        <v>3942</v>
      </c>
    </row>
    <row r="1386" customFormat="false" ht="15" hidden="false" customHeight="false" outlineLevel="0" collapsed="false">
      <c r="A1386" s="2" t="s">
        <v>3943</v>
      </c>
      <c r="B1386" s="2" t="s">
        <v>146</v>
      </c>
      <c r="C1386" s="2" t="s">
        <v>2760</v>
      </c>
      <c r="D1386" s="2" t="s">
        <v>48</v>
      </c>
      <c r="E1386" s="2" t="s">
        <v>1185</v>
      </c>
      <c r="F1386" s="2" t="s">
        <v>1186</v>
      </c>
      <c r="G1386" s="2" t="s">
        <v>3944</v>
      </c>
    </row>
    <row r="1387" customFormat="false" ht="15" hidden="false" customHeight="false" outlineLevel="0" collapsed="false">
      <c r="A1387" s="2" t="s">
        <v>3945</v>
      </c>
      <c r="B1387" s="2" t="s">
        <v>146</v>
      </c>
      <c r="C1387" s="2" t="s">
        <v>2760</v>
      </c>
      <c r="D1387" s="2" t="s">
        <v>48</v>
      </c>
      <c r="E1387" s="2" t="s">
        <v>1185</v>
      </c>
      <c r="F1387" s="2" t="s">
        <v>1186</v>
      </c>
      <c r="G1387" s="2" t="s">
        <v>3946</v>
      </c>
    </row>
    <row r="1388" customFormat="false" ht="15" hidden="false" customHeight="false" outlineLevel="0" collapsed="false">
      <c r="A1388" s="2" t="s">
        <v>3947</v>
      </c>
      <c r="B1388" s="2" t="s">
        <v>146</v>
      </c>
      <c r="C1388" s="2" t="s">
        <v>2760</v>
      </c>
      <c r="D1388" s="2" t="s">
        <v>48</v>
      </c>
      <c r="E1388" s="2" t="s">
        <v>1185</v>
      </c>
      <c r="F1388" s="2" t="s">
        <v>1186</v>
      </c>
      <c r="G1388" s="2" t="s">
        <v>3948</v>
      </c>
    </row>
    <row r="1389" customFormat="false" ht="15" hidden="false" customHeight="false" outlineLevel="0" collapsed="false">
      <c r="A1389" s="2" t="s">
        <v>3949</v>
      </c>
      <c r="B1389" s="2" t="s">
        <v>146</v>
      </c>
      <c r="C1389" s="2" t="s">
        <v>2760</v>
      </c>
      <c r="D1389" s="2" t="s">
        <v>48</v>
      </c>
      <c r="E1389" s="2" t="s">
        <v>1185</v>
      </c>
      <c r="F1389" s="2" t="s">
        <v>1186</v>
      </c>
      <c r="G1389" s="2" t="s">
        <v>3950</v>
      </c>
    </row>
    <row r="1390" customFormat="false" ht="15" hidden="false" customHeight="false" outlineLevel="0" collapsed="false">
      <c r="A1390" s="2" t="s">
        <v>3951</v>
      </c>
      <c r="B1390" s="2" t="s">
        <v>146</v>
      </c>
      <c r="C1390" s="2" t="s">
        <v>2760</v>
      </c>
      <c r="D1390" s="2" t="s">
        <v>48</v>
      </c>
      <c r="E1390" s="2" t="s">
        <v>1185</v>
      </c>
      <c r="F1390" s="2" t="s">
        <v>1186</v>
      </c>
      <c r="G1390" s="2" t="s">
        <v>3952</v>
      </c>
    </row>
    <row r="1391" customFormat="false" ht="15" hidden="false" customHeight="false" outlineLevel="0" collapsed="false">
      <c r="A1391" s="2" t="s">
        <v>3953</v>
      </c>
      <c r="B1391" s="2" t="s">
        <v>146</v>
      </c>
      <c r="C1391" s="2" t="s">
        <v>2760</v>
      </c>
      <c r="D1391" s="2" t="s">
        <v>48</v>
      </c>
      <c r="E1391" s="2" t="s">
        <v>1185</v>
      </c>
      <c r="F1391" s="2" t="s">
        <v>1186</v>
      </c>
      <c r="G1391" s="2" t="s">
        <v>3954</v>
      </c>
    </row>
    <row r="1392" customFormat="false" ht="15" hidden="false" customHeight="false" outlineLevel="0" collapsed="false">
      <c r="A1392" s="2" t="s">
        <v>3955</v>
      </c>
      <c r="B1392" s="2" t="s">
        <v>146</v>
      </c>
      <c r="C1392" s="2" t="s">
        <v>2760</v>
      </c>
      <c r="D1392" s="2" t="s">
        <v>48</v>
      </c>
      <c r="E1392" s="2" t="s">
        <v>1185</v>
      </c>
      <c r="F1392" s="2" t="s">
        <v>1186</v>
      </c>
      <c r="G1392" s="2" t="s">
        <v>3956</v>
      </c>
    </row>
    <row r="1393" customFormat="false" ht="15" hidden="false" customHeight="false" outlineLevel="0" collapsed="false">
      <c r="A1393" s="2" t="s">
        <v>3957</v>
      </c>
      <c r="B1393" s="2" t="s">
        <v>146</v>
      </c>
      <c r="C1393" s="2" t="s">
        <v>2408</v>
      </c>
      <c r="D1393" s="2" t="s">
        <v>50</v>
      </c>
      <c r="E1393" s="2" t="s">
        <v>1194</v>
      </c>
      <c r="F1393" s="2" t="s">
        <v>1186</v>
      </c>
      <c r="G1393" s="2" t="s">
        <v>3958</v>
      </c>
    </row>
    <row r="1394" customFormat="false" ht="15" hidden="false" customHeight="false" outlineLevel="0" collapsed="false">
      <c r="A1394" s="2" t="s">
        <v>3959</v>
      </c>
      <c r="B1394" s="2" t="s">
        <v>146</v>
      </c>
      <c r="C1394" s="2" t="s">
        <v>2408</v>
      </c>
      <c r="D1394" s="2" t="s">
        <v>50</v>
      </c>
      <c r="E1394" s="2" t="s">
        <v>1194</v>
      </c>
      <c r="F1394" s="2" t="s">
        <v>1186</v>
      </c>
      <c r="G1394" s="2" t="s">
        <v>3960</v>
      </c>
    </row>
    <row r="1395" customFormat="false" ht="15" hidden="false" customHeight="false" outlineLevel="0" collapsed="false">
      <c r="A1395" s="2" t="s">
        <v>3961</v>
      </c>
      <c r="B1395" s="2" t="s">
        <v>146</v>
      </c>
      <c r="C1395" s="2" t="s">
        <v>2408</v>
      </c>
      <c r="D1395" s="2" t="s">
        <v>50</v>
      </c>
      <c r="E1395" s="2" t="s">
        <v>1194</v>
      </c>
      <c r="F1395" s="2" t="s">
        <v>1186</v>
      </c>
      <c r="G1395" s="2" t="s">
        <v>3962</v>
      </c>
    </row>
    <row r="1396" customFormat="false" ht="15" hidden="false" customHeight="false" outlineLevel="0" collapsed="false">
      <c r="A1396" s="2" t="s">
        <v>3963</v>
      </c>
      <c r="B1396" s="2" t="s">
        <v>146</v>
      </c>
      <c r="C1396" s="2" t="s">
        <v>2408</v>
      </c>
      <c r="D1396" s="2" t="s">
        <v>50</v>
      </c>
      <c r="E1396" s="2" t="s">
        <v>1194</v>
      </c>
      <c r="F1396" s="2" t="s">
        <v>1186</v>
      </c>
      <c r="G1396" s="2" t="s">
        <v>3964</v>
      </c>
    </row>
    <row r="1397" customFormat="false" ht="15" hidden="false" customHeight="false" outlineLevel="0" collapsed="false">
      <c r="A1397" s="2" t="s">
        <v>3965</v>
      </c>
      <c r="B1397" s="2" t="s">
        <v>146</v>
      </c>
      <c r="C1397" s="2" t="s">
        <v>2408</v>
      </c>
      <c r="D1397" s="2" t="s">
        <v>50</v>
      </c>
      <c r="E1397" s="2" t="s">
        <v>1194</v>
      </c>
      <c r="F1397" s="2" t="s">
        <v>1186</v>
      </c>
      <c r="G1397" s="2" t="s">
        <v>3966</v>
      </c>
    </row>
    <row r="1398" customFormat="false" ht="15" hidden="false" customHeight="false" outlineLevel="0" collapsed="false">
      <c r="A1398" s="2" t="s">
        <v>3967</v>
      </c>
      <c r="B1398" s="2" t="s">
        <v>146</v>
      </c>
      <c r="C1398" s="2" t="s">
        <v>2408</v>
      </c>
      <c r="D1398" s="2" t="s">
        <v>50</v>
      </c>
      <c r="E1398" s="2" t="s">
        <v>1194</v>
      </c>
      <c r="F1398" s="2" t="s">
        <v>1186</v>
      </c>
      <c r="G1398" s="2" t="s">
        <v>3968</v>
      </c>
    </row>
    <row r="1399" customFormat="false" ht="15" hidden="false" customHeight="false" outlineLevel="0" collapsed="false">
      <c r="A1399" s="2" t="s">
        <v>3969</v>
      </c>
      <c r="B1399" s="2" t="s">
        <v>146</v>
      </c>
      <c r="C1399" s="2" t="s">
        <v>2408</v>
      </c>
      <c r="D1399" s="2" t="s">
        <v>50</v>
      </c>
      <c r="E1399" s="2" t="s">
        <v>1194</v>
      </c>
      <c r="F1399" s="2" t="s">
        <v>1186</v>
      </c>
      <c r="G1399" s="2" t="s">
        <v>3970</v>
      </c>
    </row>
    <row r="1400" customFormat="false" ht="15" hidden="false" customHeight="false" outlineLevel="0" collapsed="false">
      <c r="A1400" s="2" t="s">
        <v>3971</v>
      </c>
      <c r="B1400" s="2" t="s">
        <v>146</v>
      </c>
      <c r="C1400" s="2" t="s">
        <v>2408</v>
      </c>
      <c r="D1400" s="2" t="s">
        <v>50</v>
      </c>
      <c r="E1400" s="2" t="s">
        <v>1194</v>
      </c>
      <c r="F1400" s="2" t="s">
        <v>1186</v>
      </c>
      <c r="G1400" s="2" t="s">
        <v>3972</v>
      </c>
    </row>
    <row r="1401" customFormat="false" ht="15" hidden="false" customHeight="false" outlineLevel="0" collapsed="false">
      <c r="A1401" s="2" t="s">
        <v>3973</v>
      </c>
      <c r="B1401" s="2" t="s">
        <v>146</v>
      </c>
      <c r="C1401" s="2" t="s">
        <v>2408</v>
      </c>
      <c r="D1401" s="2" t="s">
        <v>50</v>
      </c>
      <c r="E1401" s="2" t="s">
        <v>1194</v>
      </c>
      <c r="F1401" s="2" t="s">
        <v>1186</v>
      </c>
      <c r="G1401" s="2" t="s">
        <v>3974</v>
      </c>
    </row>
    <row r="1402" customFormat="false" ht="15" hidden="false" customHeight="false" outlineLevel="0" collapsed="false">
      <c r="A1402" s="2" t="s">
        <v>3975</v>
      </c>
      <c r="B1402" s="2" t="s">
        <v>146</v>
      </c>
      <c r="C1402" s="2" t="s">
        <v>2408</v>
      </c>
      <c r="D1402" s="2" t="s">
        <v>50</v>
      </c>
      <c r="E1402" s="2" t="s">
        <v>1194</v>
      </c>
      <c r="F1402" s="2" t="s">
        <v>1186</v>
      </c>
      <c r="G1402" s="2" t="s">
        <v>3976</v>
      </c>
    </row>
    <row r="1403" customFormat="false" ht="15" hidden="false" customHeight="false" outlineLevel="0" collapsed="false">
      <c r="A1403" s="2" t="s">
        <v>3977</v>
      </c>
      <c r="B1403" s="2" t="s">
        <v>146</v>
      </c>
      <c r="C1403" s="2" t="s">
        <v>2408</v>
      </c>
      <c r="D1403" s="2" t="s">
        <v>50</v>
      </c>
      <c r="E1403" s="2" t="s">
        <v>1194</v>
      </c>
      <c r="F1403" s="2" t="s">
        <v>1186</v>
      </c>
      <c r="G1403" s="2" t="s">
        <v>3978</v>
      </c>
    </row>
    <row r="1404" customFormat="false" ht="15" hidden="false" customHeight="false" outlineLevel="0" collapsed="false">
      <c r="A1404" s="2" t="s">
        <v>3979</v>
      </c>
      <c r="B1404" s="2" t="s">
        <v>146</v>
      </c>
      <c r="C1404" s="2" t="s">
        <v>2408</v>
      </c>
      <c r="D1404" s="2" t="s">
        <v>50</v>
      </c>
      <c r="E1404" s="2" t="s">
        <v>1194</v>
      </c>
      <c r="F1404" s="2" t="s">
        <v>1186</v>
      </c>
      <c r="G1404" s="2" t="s">
        <v>3980</v>
      </c>
    </row>
    <row r="1405" customFormat="false" ht="15" hidden="false" customHeight="false" outlineLevel="0" collapsed="false">
      <c r="A1405" s="2" t="s">
        <v>3981</v>
      </c>
      <c r="B1405" s="2" t="s">
        <v>146</v>
      </c>
      <c r="C1405" s="2" t="s">
        <v>2408</v>
      </c>
      <c r="D1405" s="2" t="s">
        <v>50</v>
      </c>
      <c r="E1405" s="2" t="s">
        <v>1194</v>
      </c>
      <c r="F1405" s="2" t="s">
        <v>1186</v>
      </c>
      <c r="G1405" s="2" t="s">
        <v>3982</v>
      </c>
    </row>
    <row r="1406" customFormat="false" ht="15" hidden="false" customHeight="false" outlineLevel="0" collapsed="false">
      <c r="A1406" s="2" t="s">
        <v>3983</v>
      </c>
      <c r="B1406" s="2" t="s">
        <v>146</v>
      </c>
      <c r="C1406" s="2" t="s">
        <v>2408</v>
      </c>
      <c r="D1406" s="2" t="s">
        <v>50</v>
      </c>
      <c r="E1406" s="2" t="s">
        <v>1194</v>
      </c>
      <c r="F1406" s="2" t="s">
        <v>1186</v>
      </c>
      <c r="G1406" s="2" t="s">
        <v>3984</v>
      </c>
    </row>
    <row r="1407" customFormat="false" ht="15" hidden="false" customHeight="false" outlineLevel="0" collapsed="false">
      <c r="A1407" s="2" t="s">
        <v>3985</v>
      </c>
      <c r="B1407" s="2" t="s">
        <v>146</v>
      </c>
      <c r="C1407" s="2" t="s">
        <v>2408</v>
      </c>
      <c r="D1407" s="2" t="s">
        <v>50</v>
      </c>
      <c r="E1407" s="2" t="s">
        <v>1194</v>
      </c>
      <c r="F1407" s="2" t="s">
        <v>1186</v>
      </c>
      <c r="G1407" s="2" t="s">
        <v>3986</v>
      </c>
    </row>
    <row r="1408" customFormat="false" ht="15" hidden="false" customHeight="false" outlineLevel="0" collapsed="false">
      <c r="A1408" s="2" t="s">
        <v>3987</v>
      </c>
      <c r="B1408" s="2" t="s">
        <v>146</v>
      </c>
      <c r="C1408" s="2" t="s">
        <v>2408</v>
      </c>
      <c r="D1408" s="2" t="s">
        <v>50</v>
      </c>
      <c r="E1408" s="2" t="s">
        <v>1194</v>
      </c>
      <c r="F1408" s="2" t="s">
        <v>1186</v>
      </c>
      <c r="G1408" s="2" t="s">
        <v>3988</v>
      </c>
    </row>
    <row r="1409" customFormat="false" ht="15" hidden="false" customHeight="false" outlineLevel="0" collapsed="false">
      <c r="A1409" s="2" t="s">
        <v>3989</v>
      </c>
      <c r="B1409" s="2" t="s">
        <v>146</v>
      </c>
      <c r="C1409" s="2" t="s">
        <v>2408</v>
      </c>
      <c r="D1409" s="2" t="s">
        <v>50</v>
      </c>
      <c r="E1409" s="2" t="s">
        <v>1194</v>
      </c>
      <c r="F1409" s="2" t="s">
        <v>1186</v>
      </c>
      <c r="G1409" s="2" t="s">
        <v>3990</v>
      </c>
    </row>
    <row r="1410" customFormat="false" ht="15" hidden="false" customHeight="false" outlineLevel="0" collapsed="false">
      <c r="A1410" s="2" t="s">
        <v>3991</v>
      </c>
      <c r="B1410" s="2" t="s">
        <v>146</v>
      </c>
      <c r="C1410" s="2" t="s">
        <v>2408</v>
      </c>
      <c r="D1410" s="2" t="s">
        <v>50</v>
      </c>
      <c r="E1410" s="2" t="s">
        <v>1194</v>
      </c>
      <c r="F1410" s="2" t="s">
        <v>1186</v>
      </c>
      <c r="G1410" s="2" t="s">
        <v>3992</v>
      </c>
    </row>
    <row r="1411" customFormat="false" ht="15" hidden="false" customHeight="false" outlineLevel="0" collapsed="false">
      <c r="A1411" s="2" t="s">
        <v>3993</v>
      </c>
      <c r="B1411" s="2" t="s">
        <v>146</v>
      </c>
      <c r="C1411" s="2" t="s">
        <v>2408</v>
      </c>
      <c r="D1411" s="2" t="s">
        <v>50</v>
      </c>
      <c r="E1411" s="2" t="s">
        <v>1194</v>
      </c>
      <c r="F1411" s="2" t="s">
        <v>1186</v>
      </c>
      <c r="G1411" s="2" t="s">
        <v>3994</v>
      </c>
    </row>
    <row r="1412" customFormat="false" ht="15" hidden="false" customHeight="false" outlineLevel="0" collapsed="false">
      <c r="A1412" s="2" t="s">
        <v>3995</v>
      </c>
      <c r="B1412" s="2" t="s">
        <v>146</v>
      </c>
      <c r="C1412" s="2" t="s">
        <v>2408</v>
      </c>
      <c r="D1412" s="2" t="s">
        <v>50</v>
      </c>
      <c r="E1412" s="2" t="s">
        <v>1194</v>
      </c>
      <c r="F1412" s="2" t="s">
        <v>1186</v>
      </c>
      <c r="G1412" s="2" t="s">
        <v>3996</v>
      </c>
    </row>
    <row r="1413" customFormat="false" ht="15" hidden="false" customHeight="false" outlineLevel="0" collapsed="false">
      <c r="A1413" s="2" t="s">
        <v>3997</v>
      </c>
      <c r="B1413" s="2" t="s">
        <v>146</v>
      </c>
      <c r="C1413" s="2" t="s">
        <v>2408</v>
      </c>
      <c r="D1413" s="2" t="s">
        <v>50</v>
      </c>
      <c r="E1413" s="2" t="s">
        <v>1194</v>
      </c>
      <c r="F1413" s="2" t="s">
        <v>1186</v>
      </c>
      <c r="G1413" s="2" t="s">
        <v>3998</v>
      </c>
    </row>
    <row r="1414" customFormat="false" ht="15" hidden="false" customHeight="false" outlineLevel="0" collapsed="false">
      <c r="A1414" s="2" t="s">
        <v>3999</v>
      </c>
      <c r="B1414" s="2" t="s">
        <v>146</v>
      </c>
      <c r="C1414" s="2" t="s">
        <v>2408</v>
      </c>
      <c r="D1414" s="2" t="s">
        <v>50</v>
      </c>
      <c r="E1414" s="2" t="s">
        <v>1194</v>
      </c>
      <c r="F1414" s="2" t="s">
        <v>1186</v>
      </c>
      <c r="G1414" s="2" t="s">
        <v>4000</v>
      </c>
    </row>
    <row r="1415" customFormat="false" ht="15" hidden="false" customHeight="false" outlineLevel="0" collapsed="false">
      <c r="A1415" s="2" t="s">
        <v>4001</v>
      </c>
      <c r="B1415" s="2" t="s">
        <v>146</v>
      </c>
      <c r="C1415" s="2" t="s">
        <v>2408</v>
      </c>
      <c r="D1415" s="2" t="s">
        <v>50</v>
      </c>
      <c r="E1415" s="2" t="s">
        <v>1194</v>
      </c>
      <c r="F1415" s="2" t="s">
        <v>1186</v>
      </c>
      <c r="G1415" s="2" t="s">
        <v>4002</v>
      </c>
    </row>
    <row r="1416" customFormat="false" ht="15" hidden="false" customHeight="false" outlineLevel="0" collapsed="false">
      <c r="A1416" s="2" t="s">
        <v>4003</v>
      </c>
      <c r="B1416" s="2" t="s">
        <v>146</v>
      </c>
      <c r="C1416" s="2" t="s">
        <v>2408</v>
      </c>
      <c r="D1416" s="2" t="s">
        <v>50</v>
      </c>
      <c r="E1416" s="2" t="s">
        <v>1194</v>
      </c>
      <c r="F1416" s="2" t="s">
        <v>1186</v>
      </c>
      <c r="G1416" s="2" t="s">
        <v>4004</v>
      </c>
    </row>
    <row r="1417" customFormat="false" ht="15" hidden="false" customHeight="false" outlineLevel="0" collapsed="false">
      <c r="A1417" s="2" t="s">
        <v>4005</v>
      </c>
      <c r="B1417" s="2" t="s">
        <v>146</v>
      </c>
      <c r="C1417" s="2" t="s">
        <v>2408</v>
      </c>
      <c r="D1417" s="2" t="s">
        <v>50</v>
      </c>
      <c r="E1417" s="2" t="s">
        <v>1194</v>
      </c>
      <c r="F1417" s="2" t="s">
        <v>1186</v>
      </c>
      <c r="G1417" s="2" t="s">
        <v>4006</v>
      </c>
    </row>
    <row r="1418" customFormat="false" ht="15" hidden="false" customHeight="false" outlineLevel="0" collapsed="false">
      <c r="A1418" s="2" t="s">
        <v>4007</v>
      </c>
      <c r="B1418" s="2" t="s">
        <v>146</v>
      </c>
      <c r="C1418" s="2" t="s">
        <v>2408</v>
      </c>
      <c r="D1418" s="2" t="s">
        <v>50</v>
      </c>
      <c r="E1418" s="2" t="s">
        <v>1194</v>
      </c>
      <c r="F1418" s="2" t="s">
        <v>1186</v>
      </c>
      <c r="G1418" s="2" t="s">
        <v>4008</v>
      </c>
    </row>
    <row r="1419" customFormat="false" ht="15" hidden="false" customHeight="false" outlineLevel="0" collapsed="false">
      <c r="A1419" s="2" t="s">
        <v>4009</v>
      </c>
      <c r="B1419" s="2" t="s">
        <v>146</v>
      </c>
      <c r="C1419" s="2" t="s">
        <v>2408</v>
      </c>
      <c r="D1419" s="2" t="s">
        <v>50</v>
      </c>
      <c r="E1419" s="2" t="s">
        <v>1194</v>
      </c>
      <c r="F1419" s="2" t="s">
        <v>1186</v>
      </c>
      <c r="G1419" s="2" t="s">
        <v>4010</v>
      </c>
    </row>
    <row r="1420" customFormat="false" ht="15" hidden="false" customHeight="false" outlineLevel="0" collapsed="false">
      <c r="A1420" s="2" t="s">
        <v>4011</v>
      </c>
      <c r="B1420" s="2" t="s">
        <v>146</v>
      </c>
      <c r="C1420" s="2" t="s">
        <v>2408</v>
      </c>
      <c r="D1420" s="2" t="s">
        <v>50</v>
      </c>
      <c r="E1420" s="2" t="s">
        <v>1194</v>
      </c>
      <c r="F1420" s="2" t="s">
        <v>1186</v>
      </c>
      <c r="G1420" s="2" t="s">
        <v>4012</v>
      </c>
    </row>
    <row r="1421" customFormat="false" ht="15" hidden="false" customHeight="false" outlineLevel="0" collapsed="false">
      <c r="A1421" s="2" t="s">
        <v>4013</v>
      </c>
      <c r="B1421" s="2" t="s">
        <v>146</v>
      </c>
      <c r="C1421" s="2" t="s">
        <v>2408</v>
      </c>
      <c r="D1421" s="2" t="s">
        <v>50</v>
      </c>
      <c r="E1421" s="2" t="s">
        <v>1194</v>
      </c>
      <c r="F1421" s="2" t="s">
        <v>1186</v>
      </c>
      <c r="G1421" s="2" t="s">
        <v>4014</v>
      </c>
    </row>
    <row r="1422" customFormat="false" ht="15" hidden="false" customHeight="false" outlineLevel="0" collapsed="false">
      <c r="A1422" s="2" t="s">
        <v>4015</v>
      </c>
      <c r="B1422" s="2" t="s">
        <v>146</v>
      </c>
      <c r="C1422" s="2" t="s">
        <v>2408</v>
      </c>
      <c r="D1422" s="2" t="s">
        <v>50</v>
      </c>
      <c r="E1422" s="2" t="s">
        <v>1194</v>
      </c>
      <c r="F1422" s="2" t="s">
        <v>1186</v>
      </c>
      <c r="G1422" s="2" t="s">
        <v>4016</v>
      </c>
    </row>
    <row r="1423" customFormat="false" ht="15" hidden="false" customHeight="false" outlineLevel="0" collapsed="false">
      <c r="A1423" s="2" t="s">
        <v>4017</v>
      </c>
      <c r="B1423" s="2" t="s">
        <v>146</v>
      </c>
      <c r="C1423" s="2" t="s">
        <v>2408</v>
      </c>
      <c r="D1423" s="2" t="s">
        <v>50</v>
      </c>
      <c r="E1423" s="2" t="s">
        <v>1194</v>
      </c>
      <c r="F1423" s="2" t="s">
        <v>1186</v>
      </c>
      <c r="G1423" s="2" t="s">
        <v>4018</v>
      </c>
    </row>
    <row r="1424" customFormat="false" ht="15" hidden="false" customHeight="false" outlineLevel="0" collapsed="false">
      <c r="A1424" s="2" t="s">
        <v>4019</v>
      </c>
      <c r="B1424" s="2" t="s">
        <v>146</v>
      </c>
      <c r="C1424" s="2" t="s">
        <v>2408</v>
      </c>
      <c r="D1424" s="2" t="s">
        <v>50</v>
      </c>
      <c r="E1424" s="2" t="s">
        <v>1194</v>
      </c>
      <c r="F1424" s="2" t="s">
        <v>1186</v>
      </c>
      <c r="G1424" s="2" t="s">
        <v>4020</v>
      </c>
    </row>
    <row r="1425" customFormat="false" ht="15" hidden="false" customHeight="false" outlineLevel="0" collapsed="false">
      <c r="A1425" s="2" t="s">
        <v>4021</v>
      </c>
      <c r="B1425" s="2" t="s">
        <v>146</v>
      </c>
      <c r="C1425" s="2" t="s">
        <v>2408</v>
      </c>
      <c r="D1425" s="2" t="s">
        <v>50</v>
      </c>
      <c r="E1425" s="2" t="s">
        <v>1194</v>
      </c>
      <c r="F1425" s="2" t="s">
        <v>1186</v>
      </c>
      <c r="G1425" s="2" t="s">
        <v>4022</v>
      </c>
    </row>
    <row r="1426" customFormat="false" ht="15" hidden="false" customHeight="false" outlineLevel="0" collapsed="false">
      <c r="A1426" s="2" t="s">
        <v>4023</v>
      </c>
      <c r="B1426" s="2" t="s">
        <v>146</v>
      </c>
      <c r="C1426" s="2" t="s">
        <v>2408</v>
      </c>
      <c r="D1426" s="2" t="s">
        <v>50</v>
      </c>
      <c r="E1426" s="2" t="s">
        <v>1194</v>
      </c>
      <c r="F1426" s="2" t="s">
        <v>1186</v>
      </c>
      <c r="G1426" s="2" t="s">
        <v>4024</v>
      </c>
    </row>
    <row r="1427" customFormat="false" ht="15" hidden="false" customHeight="false" outlineLevel="0" collapsed="false">
      <c r="A1427" s="2" t="s">
        <v>4025</v>
      </c>
      <c r="B1427" s="2" t="s">
        <v>146</v>
      </c>
      <c r="C1427" s="2" t="s">
        <v>2408</v>
      </c>
      <c r="D1427" s="2" t="s">
        <v>50</v>
      </c>
      <c r="E1427" s="2" t="s">
        <v>1194</v>
      </c>
      <c r="F1427" s="2" t="s">
        <v>1186</v>
      </c>
      <c r="G1427" s="2" t="s">
        <v>4026</v>
      </c>
    </row>
    <row r="1428" customFormat="false" ht="15" hidden="false" customHeight="false" outlineLevel="0" collapsed="false">
      <c r="A1428" s="2" t="s">
        <v>4027</v>
      </c>
      <c r="B1428" s="2" t="s">
        <v>146</v>
      </c>
      <c r="C1428" s="2" t="s">
        <v>2408</v>
      </c>
      <c r="D1428" s="2" t="s">
        <v>50</v>
      </c>
      <c r="E1428" s="2" t="s">
        <v>1194</v>
      </c>
      <c r="F1428" s="2" t="s">
        <v>1186</v>
      </c>
      <c r="G1428" s="2" t="s">
        <v>4028</v>
      </c>
    </row>
    <row r="1429" customFormat="false" ht="15" hidden="false" customHeight="false" outlineLevel="0" collapsed="false">
      <c r="A1429" s="2" t="s">
        <v>4029</v>
      </c>
      <c r="B1429" s="2" t="s">
        <v>146</v>
      </c>
      <c r="C1429" s="2" t="s">
        <v>2408</v>
      </c>
      <c r="D1429" s="2" t="s">
        <v>50</v>
      </c>
      <c r="E1429" s="2" t="s">
        <v>1194</v>
      </c>
      <c r="F1429" s="2" t="s">
        <v>1186</v>
      </c>
      <c r="G1429" s="2" t="s">
        <v>4030</v>
      </c>
    </row>
    <row r="1430" customFormat="false" ht="15" hidden="false" customHeight="false" outlineLevel="0" collapsed="false">
      <c r="A1430" s="2" t="s">
        <v>4031</v>
      </c>
      <c r="B1430" s="2" t="s">
        <v>146</v>
      </c>
      <c r="C1430" s="2" t="s">
        <v>2408</v>
      </c>
      <c r="D1430" s="2" t="s">
        <v>50</v>
      </c>
      <c r="E1430" s="2" t="s">
        <v>1194</v>
      </c>
      <c r="F1430" s="2" t="s">
        <v>1186</v>
      </c>
      <c r="G1430" s="2" t="s">
        <v>4032</v>
      </c>
    </row>
    <row r="1431" customFormat="false" ht="15" hidden="false" customHeight="false" outlineLevel="0" collapsed="false">
      <c r="A1431" s="2" t="s">
        <v>4033</v>
      </c>
      <c r="B1431" s="2" t="s">
        <v>146</v>
      </c>
      <c r="C1431" s="2" t="s">
        <v>2408</v>
      </c>
      <c r="D1431" s="2" t="s">
        <v>50</v>
      </c>
      <c r="E1431" s="2" t="s">
        <v>1194</v>
      </c>
      <c r="F1431" s="2" t="s">
        <v>1186</v>
      </c>
      <c r="G1431" s="2" t="s">
        <v>4034</v>
      </c>
    </row>
    <row r="1432" customFormat="false" ht="15" hidden="false" customHeight="false" outlineLevel="0" collapsed="false">
      <c r="A1432" s="2" t="s">
        <v>4035</v>
      </c>
      <c r="B1432" s="2" t="s">
        <v>146</v>
      </c>
      <c r="C1432" s="2" t="s">
        <v>2408</v>
      </c>
      <c r="D1432" s="2" t="s">
        <v>50</v>
      </c>
      <c r="E1432" s="2" t="s">
        <v>1194</v>
      </c>
      <c r="F1432" s="2" t="s">
        <v>1186</v>
      </c>
      <c r="G1432" s="2" t="s">
        <v>4036</v>
      </c>
    </row>
    <row r="1433" customFormat="false" ht="15" hidden="false" customHeight="false" outlineLevel="0" collapsed="false">
      <c r="A1433" s="2" t="s">
        <v>4037</v>
      </c>
      <c r="B1433" s="2" t="s">
        <v>146</v>
      </c>
      <c r="C1433" s="2" t="s">
        <v>2408</v>
      </c>
      <c r="D1433" s="2" t="s">
        <v>50</v>
      </c>
      <c r="E1433" s="2" t="s">
        <v>1194</v>
      </c>
      <c r="F1433" s="2" t="s">
        <v>1186</v>
      </c>
      <c r="G1433" s="2" t="s">
        <v>4038</v>
      </c>
    </row>
    <row r="1434" customFormat="false" ht="15" hidden="false" customHeight="false" outlineLevel="0" collapsed="false">
      <c r="A1434" s="2" t="s">
        <v>4039</v>
      </c>
      <c r="B1434" s="2" t="s">
        <v>146</v>
      </c>
      <c r="C1434" s="2" t="s">
        <v>2408</v>
      </c>
      <c r="D1434" s="2" t="s">
        <v>50</v>
      </c>
      <c r="E1434" s="2" t="s">
        <v>1194</v>
      </c>
      <c r="F1434" s="2" t="s">
        <v>1186</v>
      </c>
      <c r="G1434" s="2" t="s">
        <v>4040</v>
      </c>
    </row>
    <row r="1435" customFormat="false" ht="15" hidden="false" customHeight="false" outlineLevel="0" collapsed="false">
      <c r="A1435" s="2" t="s">
        <v>4041</v>
      </c>
      <c r="B1435" s="2" t="s">
        <v>146</v>
      </c>
      <c r="C1435" s="2" t="s">
        <v>2408</v>
      </c>
      <c r="D1435" s="2" t="s">
        <v>50</v>
      </c>
      <c r="E1435" s="2" t="s">
        <v>1194</v>
      </c>
      <c r="F1435" s="2" t="s">
        <v>1186</v>
      </c>
      <c r="G1435" s="2" t="s">
        <v>4042</v>
      </c>
    </row>
    <row r="1436" customFormat="false" ht="15" hidden="false" customHeight="false" outlineLevel="0" collapsed="false">
      <c r="A1436" s="2" t="s">
        <v>4043</v>
      </c>
      <c r="B1436" s="2" t="s">
        <v>146</v>
      </c>
      <c r="C1436" s="2" t="s">
        <v>2408</v>
      </c>
      <c r="D1436" s="2" t="s">
        <v>50</v>
      </c>
      <c r="E1436" s="2" t="s">
        <v>1194</v>
      </c>
      <c r="F1436" s="2" t="s">
        <v>1186</v>
      </c>
      <c r="G1436" s="2" t="s">
        <v>4044</v>
      </c>
    </row>
    <row r="1437" customFormat="false" ht="15" hidden="false" customHeight="false" outlineLevel="0" collapsed="false">
      <c r="A1437" s="2" t="s">
        <v>4045</v>
      </c>
      <c r="B1437" s="2" t="s">
        <v>146</v>
      </c>
      <c r="C1437" s="2" t="s">
        <v>2408</v>
      </c>
      <c r="D1437" s="2" t="s">
        <v>50</v>
      </c>
      <c r="E1437" s="2" t="s">
        <v>1194</v>
      </c>
      <c r="F1437" s="2" t="s">
        <v>1186</v>
      </c>
      <c r="G1437" s="2" t="s">
        <v>4046</v>
      </c>
    </row>
    <row r="1438" customFormat="false" ht="15" hidden="false" customHeight="false" outlineLevel="0" collapsed="false">
      <c r="A1438" s="2" t="s">
        <v>4047</v>
      </c>
      <c r="B1438" s="2" t="s">
        <v>146</v>
      </c>
      <c r="C1438" s="2" t="s">
        <v>2408</v>
      </c>
      <c r="D1438" s="2" t="s">
        <v>50</v>
      </c>
      <c r="E1438" s="2" t="s">
        <v>1194</v>
      </c>
      <c r="F1438" s="2" t="s">
        <v>1186</v>
      </c>
      <c r="G1438" s="2" t="s">
        <v>4048</v>
      </c>
    </row>
    <row r="1439" customFormat="false" ht="15" hidden="false" customHeight="false" outlineLevel="0" collapsed="false">
      <c r="A1439" s="2" t="s">
        <v>4049</v>
      </c>
      <c r="B1439" s="2" t="s">
        <v>146</v>
      </c>
      <c r="C1439" s="2" t="s">
        <v>2408</v>
      </c>
      <c r="D1439" s="2" t="s">
        <v>50</v>
      </c>
      <c r="E1439" s="2" t="s">
        <v>1194</v>
      </c>
      <c r="F1439" s="2" t="s">
        <v>1186</v>
      </c>
      <c r="G1439" s="2" t="s">
        <v>4050</v>
      </c>
    </row>
    <row r="1440" customFormat="false" ht="15" hidden="false" customHeight="false" outlineLevel="0" collapsed="false">
      <c r="A1440" s="2" t="s">
        <v>4051</v>
      </c>
      <c r="B1440" s="2" t="s">
        <v>146</v>
      </c>
      <c r="C1440" s="2" t="s">
        <v>2408</v>
      </c>
      <c r="D1440" s="2" t="s">
        <v>50</v>
      </c>
      <c r="E1440" s="2" t="s">
        <v>1194</v>
      </c>
      <c r="F1440" s="2" t="s">
        <v>1186</v>
      </c>
      <c r="G1440" s="2" t="s">
        <v>4052</v>
      </c>
    </row>
    <row r="1441" customFormat="false" ht="15" hidden="false" customHeight="false" outlineLevel="0" collapsed="false">
      <c r="A1441" s="2" t="s">
        <v>4053</v>
      </c>
      <c r="B1441" s="2" t="s">
        <v>146</v>
      </c>
      <c r="C1441" s="2" t="s">
        <v>2408</v>
      </c>
      <c r="D1441" s="2" t="s">
        <v>50</v>
      </c>
      <c r="E1441" s="2" t="s">
        <v>1194</v>
      </c>
      <c r="F1441" s="2" t="s">
        <v>1186</v>
      </c>
      <c r="G1441" s="2" t="s">
        <v>4054</v>
      </c>
    </row>
    <row r="1442" customFormat="false" ht="15" hidden="false" customHeight="false" outlineLevel="0" collapsed="false">
      <c r="A1442" s="2" t="s">
        <v>4055</v>
      </c>
      <c r="B1442" s="2" t="s">
        <v>146</v>
      </c>
      <c r="C1442" s="2" t="s">
        <v>2408</v>
      </c>
      <c r="D1442" s="2" t="s">
        <v>50</v>
      </c>
      <c r="E1442" s="2" t="s">
        <v>1194</v>
      </c>
      <c r="F1442" s="2" t="s">
        <v>1186</v>
      </c>
      <c r="G1442" s="2" t="s">
        <v>4056</v>
      </c>
    </row>
    <row r="1443" customFormat="false" ht="15" hidden="false" customHeight="false" outlineLevel="0" collapsed="false">
      <c r="A1443" s="2" t="s">
        <v>4057</v>
      </c>
      <c r="B1443" s="2" t="s">
        <v>146</v>
      </c>
      <c r="C1443" s="2" t="s">
        <v>2408</v>
      </c>
      <c r="D1443" s="2" t="s">
        <v>50</v>
      </c>
      <c r="E1443" s="2" t="s">
        <v>1194</v>
      </c>
      <c r="F1443" s="2" t="s">
        <v>1186</v>
      </c>
      <c r="G1443" s="2" t="s">
        <v>4058</v>
      </c>
    </row>
    <row r="1444" customFormat="false" ht="15" hidden="false" customHeight="false" outlineLevel="0" collapsed="false">
      <c r="A1444" s="2" t="s">
        <v>4059</v>
      </c>
      <c r="B1444" s="2" t="s">
        <v>146</v>
      </c>
      <c r="C1444" s="2" t="s">
        <v>2408</v>
      </c>
      <c r="D1444" s="2" t="s">
        <v>50</v>
      </c>
      <c r="E1444" s="2" t="s">
        <v>1194</v>
      </c>
      <c r="F1444" s="2" t="s">
        <v>1186</v>
      </c>
      <c r="G1444" s="2" t="s">
        <v>4060</v>
      </c>
    </row>
    <row r="1445" customFormat="false" ht="15" hidden="false" customHeight="false" outlineLevel="0" collapsed="false">
      <c r="A1445" s="2" t="s">
        <v>4061</v>
      </c>
      <c r="B1445" s="2" t="s">
        <v>146</v>
      </c>
      <c r="C1445" s="2" t="s">
        <v>2408</v>
      </c>
      <c r="D1445" s="2" t="s">
        <v>50</v>
      </c>
      <c r="E1445" s="2" t="s">
        <v>1194</v>
      </c>
      <c r="F1445" s="2" t="s">
        <v>1186</v>
      </c>
      <c r="G1445" s="2" t="s">
        <v>4062</v>
      </c>
    </row>
    <row r="1446" customFormat="false" ht="15" hidden="false" customHeight="false" outlineLevel="0" collapsed="false">
      <c r="A1446" s="2" t="s">
        <v>4063</v>
      </c>
      <c r="B1446" s="2" t="s">
        <v>146</v>
      </c>
      <c r="C1446" s="2" t="s">
        <v>2408</v>
      </c>
      <c r="D1446" s="2" t="s">
        <v>50</v>
      </c>
      <c r="E1446" s="2" t="s">
        <v>1194</v>
      </c>
      <c r="F1446" s="2" t="s">
        <v>1186</v>
      </c>
      <c r="G1446" s="2" t="s">
        <v>4064</v>
      </c>
    </row>
    <row r="1447" customFormat="false" ht="15" hidden="false" customHeight="false" outlineLevel="0" collapsed="false">
      <c r="A1447" s="2" t="s">
        <v>4065</v>
      </c>
      <c r="B1447" s="2" t="s">
        <v>146</v>
      </c>
      <c r="C1447" s="2" t="s">
        <v>2408</v>
      </c>
      <c r="D1447" s="2" t="s">
        <v>50</v>
      </c>
      <c r="E1447" s="2" t="s">
        <v>1194</v>
      </c>
      <c r="F1447" s="2" t="s">
        <v>1186</v>
      </c>
      <c r="G1447" s="2" t="s">
        <v>4066</v>
      </c>
    </row>
    <row r="1448" customFormat="false" ht="15" hidden="false" customHeight="false" outlineLevel="0" collapsed="false">
      <c r="A1448" s="2" t="s">
        <v>4067</v>
      </c>
      <c r="B1448" s="2" t="s">
        <v>146</v>
      </c>
      <c r="C1448" s="2" t="s">
        <v>2408</v>
      </c>
      <c r="D1448" s="2" t="s">
        <v>50</v>
      </c>
      <c r="E1448" s="2" t="s">
        <v>1194</v>
      </c>
      <c r="F1448" s="2" t="s">
        <v>1186</v>
      </c>
      <c r="G1448" s="2" t="s">
        <v>4068</v>
      </c>
    </row>
    <row r="1449" customFormat="false" ht="15" hidden="false" customHeight="false" outlineLevel="0" collapsed="false">
      <c r="A1449" s="2" t="s">
        <v>4069</v>
      </c>
      <c r="B1449" s="2" t="s">
        <v>146</v>
      </c>
      <c r="C1449" s="2" t="s">
        <v>2408</v>
      </c>
      <c r="D1449" s="2" t="s">
        <v>50</v>
      </c>
      <c r="E1449" s="2" t="s">
        <v>1194</v>
      </c>
      <c r="F1449" s="2" t="s">
        <v>1186</v>
      </c>
      <c r="G1449" s="2" t="s">
        <v>4070</v>
      </c>
    </row>
    <row r="1450" customFormat="false" ht="15" hidden="false" customHeight="false" outlineLevel="0" collapsed="false">
      <c r="A1450" s="2" t="s">
        <v>4071</v>
      </c>
      <c r="B1450" s="2" t="s">
        <v>146</v>
      </c>
      <c r="C1450" s="2" t="s">
        <v>2408</v>
      </c>
      <c r="D1450" s="2" t="s">
        <v>50</v>
      </c>
      <c r="E1450" s="2" t="s">
        <v>1194</v>
      </c>
      <c r="F1450" s="2" t="s">
        <v>1186</v>
      </c>
      <c r="G1450" s="2" t="s">
        <v>4072</v>
      </c>
    </row>
    <row r="1451" customFormat="false" ht="15" hidden="false" customHeight="false" outlineLevel="0" collapsed="false">
      <c r="A1451" s="2" t="s">
        <v>4073</v>
      </c>
      <c r="B1451" s="2" t="s">
        <v>146</v>
      </c>
      <c r="C1451" s="2" t="s">
        <v>2408</v>
      </c>
      <c r="D1451" s="2" t="s">
        <v>50</v>
      </c>
      <c r="E1451" s="2" t="s">
        <v>1194</v>
      </c>
      <c r="F1451" s="2" t="s">
        <v>1186</v>
      </c>
      <c r="G1451" s="2" t="s">
        <v>4074</v>
      </c>
    </row>
    <row r="1452" customFormat="false" ht="15" hidden="false" customHeight="false" outlineLevel="0" collapsed="false">
      <c r="A1452" s="2" t="s">
        <v>4075</v>
      </c>
      <c r="B1452" s="2" t="s">
        <v>146</v>
      </c>
      <c r="C1452" s="2" t="s">
        <v>2408</v>
      </c>
      <c r="D1452" s="2" t="s">
        <v>50</v>
      </c>
      <c r="E1452" s="2" t="s">
        <v>1194</v>
      </c>
      <c r="F1452" s="2" t="s">
        <v>1186</v>
      </c>
      <c r="G1452" s="2" t="s">
        <v>4076</v>
      </c>
    </row>
    <row r="1453" customFormat="false" ht="15" hidden="false" customHeight="false" outlineLevel="0" collapsed="false">
      <c r="A1453" s="2" t="s">
        <v>4077</v>
      </c>
      <c r="B1453" s="2" t="s">
        <v>146</v>
      </c>
      <c r="C1453" s="2" t="s">
        <v>2938</v>
      </c>
      <c r="D1453" s="2" t="s">
        <v>49</v>
      </c>
      <c r="E1453" s="2" t="s">
        <v>1563</v>
      </c>
      <c r="F1453" s="2" t="s">
        <v>1186</v>
      </c>
      <c r="G1453" s="2" t="s">
        <v>4078</v>
      </c>
    </row>
    <row r="1454" customFormat="false" ht="15" hidden="false" customHeight="false" outlineLevel="0" collapsed="false">
      <c r="A1454" s="2" t="s">
        <v>4079</v>
      </c>
      <c r="B1454" s="2" t="s">
        <v>146</v>
      </c>
      <c r="C1454" s="2" t="s">
        <v>2938</v>
      </c>
      <c r="D1454" s="2" t="s">
        <v>49</v>
      </c>
      <c r="E1454" s="2" t="s">
        <v>1563</v>
      </c>
      <c r="F1454" s="2" t="s">
        <v>1186</v>
      </c>
      <c r="G1454" s="2" t="s">
        <v>4080</v>
      </c>
    </row>
    <row r="1455" customFormat="false" ht="15" hidden="false" customHeight="false" outlineLevel="0" collapsed="false">
      <c r="A1455" s="2" t="s">
        <v>4081</v>
      </c>
      <c r="B1455" s="2" t="s">
        <v>146</v>
      </c>
      <c r="C1455" s="2" t="s">
        <v>2938</v>
      </c>
      <c r="D1455" s="2" t="s">
        <v>49</v>
      </c>
      <c r="E1455" s="2" t="s">
        <v>1563</v>
      </c>
      <c r="F1455" s="2" t="s">
        <v>1186</v>
      </c>
      <c r="G1455" s="2" t="s">
        <v>4082</v>
      </c>
    </row>
    <row r="1456" customFormat="false" ht="15" hidden="false" customHeight="false" outlineLevel="0" collapsed="false">
      <c r="A1456" s="2" t="s">
        <v>4083</v>
      </c>
      <c r="B1456" s="2" t="s">
        <v>146</v>
      </c>
      <c r="C1456" s="2" t="s">
        <v>2938</v>
      </c>
      <c r="D1456" s="2" t="s">
        <v>49</v>
      </c>
      <c r="E1456" s="2" t="s">
        <v>1563</v>
      </c>
      <c r="F1456" s="2" t="s">
        <v>1186</v>
      </c>
      <c r="G1456" s="2" t="s">
        <v>4084</v>
      </c>
    </row>
    <row r="1457" customFormat="false" ht="15" hidden="false" customHeight="false" outlineLevel="0" collapsed="false">
      <c r="A1457" s="2" t="s">
        <v>4085</v>
      </c>
      <c r="B1457" s="2" t="s">
        <v>146</v>
      </c>
      <c r="C1457" s="2" t="s">
        <v>2938</v>
      </c>
      <c r="D1457" s="2" t="s">
        <v>49</v>
      </c>
      <c r="E1457" s="2" t="s">
        <v>1563</v>
      </c>
      <c r="F1457" s="2" t="s">
        <v>1186</v>
      </c>
      <c r="G1457" s="2" t="s">
        <v>4086</v>
      </c>
    </row>
    <row r="1458" customFormat="false" ht="15" hidden="false" customHeight="false" outlineLevel="0" collapsed="false">
      <c r="A1458" s="2" t="s">
        <v>4087</v>
      </c>
      <c r="B1458" s="2" t="s">
        <v>146</v>
      </c>
      <c r="C1458" s="2" t="s">
        <v>2938</v>
      </c>
      <c r="D1458" s="2" t="s">
        <v>49</v>
      </c>
      <c r="E1458" s="2" t="s">
        <v>1563</v>
      </c>
      <c r="F1458" s="2" t="s">
        <v>1186</v>
      </c>
      <c r="G1458" s="2" t="s">
        <v>4088</v>
      </c>
    </row>
    <row r="1459" customFormat="false" ht="15" hidden="false" customHeight="false" outlineLevel="0" collapsed="false">
      <c r="A1459" s="2" t="s">
        <v>4089</v>
      </c>
      <c r="B1459" s="2" t="s">
        <v>146</v>
      </c>
      <c r="C1459" s="2" t="s">
        <v>2938</v>
      </c>
      <c r="D1459" s="2" t="s">
        <v>49</v>
      </c>
      <c r="E1459" s="2" t="s">
        <v>1563</v>
      </c>
      <c r="F1459" s="2" t="s">
        <v>1186</v>
      </c>
      <c r="G1459" s="2" t="s">
        <v>4090</v>
      </c>
    </row>
    <row r="1460" customFormat="false" ht="15" hidden="false" customHeight="false" outlineLevel="0" collapsed="false">
      <c r="A1460" s="2" t="s">
        <v>4091</v>
      </c>
      <c r="B1460" s="2" t="s">
        <v>146</v>
      </c>
      <c r="C1460" s="2" t="s">
        <v>2938</v>
      </c>
      <c r="D1460" s="2" t="s">
        <v>49</v>
      </c>
      <c r="E1460" s="2" t="s">
        <v>1563</v>
      </c>
      <c r="F1460" s="2" t="s">
        <v>1186</v>
      </c>
      <c r="G1460" s="2" t="s">
        <v>4092</v>
      </c>
    </row>
    <row r="1461" customFormat="false" ht="15" hidden="false" customHeight="false" outlineLevel="0" collapsed="false">
      <c r="A1461" s="2" t="s">
        <v>4093</v>
      </c>
      <c r="B1461" s="2" t="s">
        <v>146</v>
      </c>
      <c r="C1461" s="2" t="s">
        <v>2938</v>
      </c>
      <c r="D1461" s="2" t="s">
        <v>49</v>
      </c>
      <c r="E1461" s="2" t="s">
        <v>1563</v>
      </c>
      <c r="F1461" s="2" t="s">
        <v>1186</v>
      </c>
      <c r="G1461" s="2" t="s">
        <v>4094</v>
      </c>
    </row>
    <row r="1462" customFormat="false" ht="15" hidden="false" customHeight="false" outlineLevel="0" collapsed="false">
      <c r="A1462" s="2" t="s">
        <v>4095</v>
      </c>
      <c r="B1462" s="2" t="s">
        <v>146</v>
      </c>
      <c r="C1462" s="2" t="s">
        <v>2408</v>
      </c>
      <c r="D1462" s="2" t="s">
        <v>50</v>
      </c>
      <c r="E1462" s="2" t="s">
        <v>1194</v>
      </c>
      <c r="F1462" s="2" t="s">
        <v>1186</v>
      </c>
      <c r="G1462" s="2" t="s">
        <v>4096</v>
      </c>
    </row>
    <row r="1463" customFormat="false" ht="15" hidden="false" customHeight="false" outlineLevel="0" collapsed="false">
      <c r="A1463" s="2" t="s">
        <v>4097</v>
      </c>
      <c r="B1463" s="2" t="s">
        <v>146</v>
      </c>
      <c r="C1463" s="2" t="s">
        <v>2408</v>
      </c>
      <c r="D1463" s="2" t="s">
        <v>50</v>
      </c>
      <c r="E1463" s="2" t="s">
        <v>1194</v>
      </c>
      <c r="F1463" s="2" t="s">
        <v>1186</v>
      </c>
      <c r="G1463" s="2" t="s">
        <v>4098</v>
      </c>
    </row>
    <row r="1464" customFormat="false" ht="15" hidden="false" customHeight="false" outlineLevel="0" collapsed="false">
      <c r="A1464" s="2" t="s">
        <v>4099</v>
      </c>
      <c r="B1464" s="2" t="s">
        <v>146</v>
      </c>
      <c r="C1464" s="2" t="s">
        <v>2408</v>
      </c>
      <c r="D1464" s="2" t="s">
        <v>50</v>
      </c>
      <c r="E1464" s="2" t="s">
        <v>1194</v>
      </c>
      <c r="F1464" s="2" t="s">
        <v>1186</v>
      </c>
      <c r="G1464" s="2" t="s">
        <v>4100</v>
      </c>
    </row>
    <row r="1465" customFormat="false" ht="15" hidden="false" customHeight="false" outlineLevel="0" collapsed="false">
      <c r="A1465" s="2" t="s">
        <v>4101</v>
      </c>
      <c r="B1465" s="2" t="s">
        <v>146</v>
      </c>
      <c r="C1465" s="2" t="s">
        <v>2408</v>
      </c>
      <c r="D1465" s="2" t="s">
        <v>50</v>
      </c>
      <c r="E1465" s="2" t="s">
        <v>1194</v>
      </c>
      <c r="F1465" s="2" t="s">
        <v>1186</v>
      </c>
      <c r="G1465" s="2" t="s">
        <v>4102</v>
      </c>
    </row>
    <row r="1466" customFormat="false" ht="15" hidden="false" customHeight="false" outlineLevel="0" collapsed="false">
      <c r="A1466" s="2" t="s">
        <v>4103</v>
      </c>
      <c r="B1466" s="2" t="s">
        <v>146</v>
      </c>
      <c r="C1466" s="2" t="s">
        <v>2938</v>
      </c>
      <c r="D1466" s="2" t="s">
        <v>49</v>
      </c>
      <c r="E1466" s="2" t="s">
        <v>1563</v>
      </c>
      <c r="F1466" s="2" t="s">
        <v>1186</v>
      </c>
      <c r="G1466" s="2" t="s">
        <v>4104</v>
      </c>
    </row>
    <row r="1467" customFormat="false" ht="15" hidden="false" customHeight="false" outlineLevel="0" collapsed="false">
      <c r="A1467" s="2" t="s">
        <v>4105</v>
      </c>
      <c r="B1467" s="2" t="s">
        <v>146</v>
      </c>
      <c r="C1467" s="2" t="s">
        <v>2938</v>
      </c>
      <c r="D1467" s="2" t="s">
        <v>49</v>
      </c>
      <c r="E1467" s="2" t="s">
        <v>1563</v>
      </c>
      <c r="F1467" s="2" t="s">
        <v>1186</v>
      </c>
      <c r="G1467" s="2" t="s">
        <v>4106</v>
      </c>
    </row>
    <row r="1468" customFormat="false" ht="15" hidden="false" customHeight="false" outlineLevel="0" collapsed="false">
      <c r="A1468" s="2" t="s">
        <v>4107</v>
      </c>
      <c r="B1468" s="2" t="s">
        <v>146</v>
      </c>
      <c r="C1468" s="2" t="s">
        <v>2938</v>
      </c>
      <c r="D1468" s="2" t="s">
        <v>49</v>
      </c>
      <c r="E1468" s="2" t="s">
        <v>1563</v>
      </c>
      <c r="F1468" s="2" t="s">
        <v>1186</v>
      </c>
      <c r="G1468" s="2" t="s">
        <v>4108</v>
      </c>
    </row>
    <row r="1469" customFormat="false" ht="15" hidden="false" customHeight="false" outlineLevel="0" collapsed="false">
      <c r="A1469" s="2" t="s">
        <v>4109</v>
      </c>
      <c r="B1469" s="2" t="s">
        <v>146</v>
      </c>
      <c r="C1469" s="2" t="s">
        <v>2938</v>
      </c>
      <c r="D1469" s="2" t="s">
        <v>49</v>
      </c>
      <c r="E1469" s="2" t="s">
        <v>1563</v>
      </c>
      <c r="F1469" s="2" t="s">
        <v>1186</v>
      </c>
      <c r="G1469" s="2" t="s">
        <v>4110</v>
      </c>
    </row>
    <row r="1470" customFormat="false" ht="15" hidden="false" customHeight="false" outlineLevel="0" collapsed="false">
      <c r="A1470" s="2" t="s">
        <v>4111</v>
      </c>
      <c r="B1470" s="2" t="s">
        <v>146</v>
      </c>
      <c r="C1470" s="2" t="s">
        <v>2760</v>
      </c>
      <c r="D1470" s="2" t="s">
        <v>48</v>
      </c>
      <c r="E1470" s="2" t="s">
        <v>1185</v>
      </c>
      <c r="F1470" s="2" t="s">
        <v>1186</v>
      </c>
      <c r="G1470" s="2" t="s">
        <v>4112</v>
      </c>
    </row>
    <row r="1471" customFormat="false" ht="15" hidden="false" customHeight="false" outlineLevel="0" collapsed="false">
      <c r="A1471" s="2" t="s">
        <v>4113</v>
      </c>
      <c r="B1471" s="2" t="s">
        <v>146</v>
      </c>
      <c r="C1471" s="2" t="s">
        <v>2938</v>
      </c>
      <c r="D1471" s="2" t="s">
        <v>49</v>
      </c>
      <c r="E1471" s="2" t="s">
        <v>1563</v>
      </c>
      <c r="F1471" s="2" t="s">
        <v>1186</v>
      </c>
      <c r="G1471" s="2" t="s">
        <v>4114</v>
      </c>
    </row>
    <row r="1472" customFormat="false" ht="15" hidden="false" customHeight="false" outlineLevel="0" collapsed="false">
      <c r="A1472" s="2" t="s">
        <v>4115</v>
      </c>
      <c r="B1472" s="2" t="s">
        <v>146</v>
      </c>
      <c r="C1472" s="2" t="s">
        <v>2938</v>
      </c>
      <c r="D1472" s="2" t="s">
        <v>49</v>
      </c>
      <c r="E1472" s="2" t="s">
        <v>1563</v>
      </c>
      <c r="F1472" s="2" t="s">
        <v>1186</v>
      </c>
      <c r="G1472" s="2" t="s">
        <v>4116</v>
      </c>
    </row>
    <row r="1473" customFormat="false" ht="15" hidden="false" customHeight="false" outlineLevel="0" collapsed="false">
      <c r="A1473" s="2" t="s">
        <v>4117</v>
      </c>
      <c r="B1473" s="2" t="s">
        <v>146</v>
      </c>
      <c r="C1473" s="2" t="s">
        <v>2938</v>
      </c>
      <c r="D1473" s="2" t="s">
        <v>49</v>
      </c>
      <c r="E1473" s="2" t="s">
        <v>1563</v>
      </c>
      <c r="F1473" s="2" t="s">
        <v>1186</v>
      </c>
      <c r="G1473" s="2" t="s">
        <v>4118</v>
      </c>
    </row>
    <row r="1474" customFormat="false" ht="15" hidden="false" customHeight="false" outlineLevel="0" collapsed="false">
      <c r="A1474" s="2" t="s">
        <v>4119</v>
      </c>
      <c r="B1474" s="2" t="s">
        <v>146</v>
      </c>
      <c r="C1474" s="2" t="s">
        <v>2938</v>
      </c>
      <c r="D1474" s="2" t="s">
        <v>49</v>
      </c>
      <c r="E1474" s="2" t="s">
        <v>1563</v>
      </c>
      <c r="F1474" s="2" t="s">
        <v>1186</v>
      </c>
      <c r="G1474" s="2" t="s">
        <v>4120</v>
      </c>
    </row>
    <row r="1475" customFormat="false" ht="15" hidden="false" customHeight="false" outlineLevel="0" collapsed="false">
      <c r="A1475" s="2" t="s">
        <v>4121</v>
      </c>
      <c r="B1475" s="2" t="s">
        <v>146</v>
      </c>
      <c r="C1475" s="2" t="s">
        <v>2938</v>
      </c>
      <c r="D1475" s="2" t="s">
        <v>49</v>
      </c>
      <c r="E1475" s="2" t="s">
        <v>1563</v>
      </c>
      <c r="F1475" s="2" t="s">
        <v>1186</v>
      </c>
      <c r="G1475" s="2" t="s">
        <v>4122</v>
      </c>
    </row>
    <row r="1476" customFormat="false" ht="15" hidden="false" customHeight="false" outlineLevel="0" collapsed="false">
      <c r="A1476" s="2" t="s">
        <v>4123</v>
      </c>
      <c r="B1476" s="2" t="s">
        <v>146</v>
      </c>
      <c r="C1476" s="2" t="s">
        <v>2938</v>
      </c>
      <c r="D1476" s="2" t="s">
        <v>49</v>
      </c>
      <c r="E1476" s="2" t="s">
        <v>1563</v>
      </c>
      <c r="F1476" s="2" t="s">
        <v>1186</v>
      </c>
      <c r="G1476" s="2" t="s">
        <v>4124</v>
      </c>
    </row>
    <row r="1477" customFormat="false" ht="15" hidden="false" customHeight="false" outlineLevel="0" collapsed="false">
      <c r="A1477" s="2" t="s">
        <v>4125</v>
      </c>
      <c r="B1477" s="2" t="s">
        <v>146</v>
      </c>
      <c r="C1477" s="2" t="s">
        <v>2938</v>
      </c>
      <c r="D1477" s="2" t="s">
        <v>49</v>
      </c>
      <c r="E1477" s="2" t="s">
        <v>1563</v>
      </c>
      <c r="F1477" s="2" t="s">
        <v>1186</v>
      </c>
      <c r="G1477" s="2" t="s">
        <v>4126</v>
      </c>
    </row>
    <row r="1478" customFormat="false" ht="15" hidden="false" customHeight="false" outlineLevel="0" collapsed="false">
      <c r="A1478" s="2" t="s">
        <v>4127</v>
      </c>
      <c r="B1478" s="2" t="s">
        <v>146</v>
      </c>
      <c r="C1478" s="2" t="s">
        <v>2938</v>
      </c>
      <c r="D1478" s="2" t="s">
        <v>49</v>
      </c>
      <c r="E1478" s="2" t="s">
        <v>1563</v>
      </c>
      <c r="F1478" s="2" t="s">
        <v>1186</v>
      </c>
      <c r="G1478" s="2" t="s">
        <v>4128</v>
      </c>
    </row>
    <row r="1479" customFormat="false" ht="15" hidden="false" customHeight="false" outlineLevel="0" collapsed="false">
      <c r="A1479" s="2" t="s">
        <v>4129</v>
      </c>
      <c r="B1479" s="2" t="s">
        <v>146</v>
      </c>
      <c r="C1479" s="2" t="s">
        <v>2938</v>
      </c>
      <c r="D1479" s="2" t="s">
        <v>49</v>
      </c>
      <c r="E1479" s="2" t="s">
        <v>1563</v>
      </c>
      <c r="F1479" s="2" t="s">
        <v>1186</v>
      </c>
      <c r="G1479" s="2" t="s">
        <v>4130</v>
      </c>
    </row>
    <row r="1480" customFormat="false" ht="15" hidden="false" customHeight="false" outlineLevel="0" collapsed="false">
      <c r="A1480" s="2" t="s">
        <v>4131</v>
      </c>
      <c r="B1480" s="2" t="s">
        <v>146</v>
      </c>
      <c r="C1480" s="2" t="s">
        <v>2938</v>
      </c>
      <c r="D1480" s="2" t="s">
        <v>49</v>
      </c>
      <c r="E1480" s="2" t="s">
        <v>1563</v>
      </c>
      <c r="F1480" s="2" t="s">
        <v>1186</v>
      </c>
      <c r="G1480" s="2" t="s">
        <v>4132</v>
      </c>
    </row>
    <row r="1481" customFormat="false" ht="15" hidden="false" customHeight="false" outlineLevel="0" collapsed="false">
      <c r="A1481" s="2" t="s">
        <v>4133</v>
      </c>
      <c r="B1481" s="2" t="s">
        <v>146</v>
      </c>
      <c r="C1481" s="2" t="s">
        <v>2938</v>
      </c>
      <c r="D1481" s="2" t="s">
        <v>49</v>
      </c>
      <c r="E1481" s="2" t="s">
        <v>1563</v>
      </c>
      <c r="F1481" s="2" t="s">
        <v>1186</v>
      </c>
      <c r="G1481" s="2" t="s">
        <v>4134</v>
      </c>
    </row>
    <row r="1482" customFormat="false" ht="15" hidden="false" customHeight="false" outlineLevel="0" collapsed="false">
      <c r="A1482" s="2" t="s">
        <v>4135</v>
      </c>
      <c r="B1482" s="2" t="s">
        <v>146</v>
      </c>
      <c r="C1482" s="2" t="s">
        <v>2938</v>
      </c>
      <c r="D1482" s="2" t="s">
        <v>49</v>
      </c>
      <c r="E1482" s="2" t="s">
        <v>1563</v>
      </c>
      <c r="F1482" s="2" t="s">
        <v>1186</v>
      </c>
      <c r="G1482" s="2" t="s">
        <v>4136</v>
      </c>
    </row>
    <row r="1483" customFormat="false" ht="15" hidden="false" customHeight="false" outlineLevel="0" collapsed="false">
      <c r="A1483" s="2" t="s">
        <v>4137</v>
      </c>
      <c r="B1483" s="2" t="s">
        <v>146</v>
      </c>
      <c r="C1483" s="2" t="s">
        <v>2408</v>
      </c>
      <c r="D1483" s="2" t="s">
        <v>50</v>
      </c>
      <c r="E1483" s="2" t="s">
        <v>1194</v>
      </c>
      <c r="F1483" s="2" t="s">
        <v>1186</v>
      </c>
      <c r="G1483" s="2" t="s">
        <v>4138</v>
      </c>
    </row>
    <row r="1484" customFormat="false" ht="15" hidden="false" customHeight="false" outlineLevel="0" collapsed="false">
      <c r="A1484" s="2" t="s">
        <v>4139</v>
      </c>
      <c r="B1484" s="2" t="s">
        <v>146</v>
      </c>
      <c r="C1484" s="2" t="s">
        <v>2408</v>
      </c>
      <c r="D1484" s="2" t="s">
        <v>50</v>
      </c>
      <c r="E1484" s="2" t="s">
        <v>1194</v>
      </c>
      <c r="F1484" s="2" t="s">
        <v>1186</v>
      </c>
      <c r="G1484" s="2" t="s">
        <v>4140</v>
      </c>
    </row>
    <row r="1485" customFormat="false" ht="15" hidden="false" customHeight="false" outlineLevel="0" collapsed="false">
      <c r="A1485" s="2" t="s">
        <v>4141</v>
      </c>
      <c r="B1485" s="2" t="s">
        <v>146</v>
      </c>
      <c r="C1485" s="2" t="s">
        <v>2408</v>
      </c>
      <c r="D1485" s="2" t="s">
        <v>50</v>
      </c>
      <c r="E1485" s="2" t="s">
        <v>1194</v>
      </c>
      <c r="F1485" s="2" t="s">
        <v>1186</v>
      </c>
      <c r="G1485" s="2" t="s">
        <v>4142</v>
      </c>
    </row>
    <row r="1486" customFormat="false" ht="15" hidden="false" customHeight="false" outlineLevel="0" collapsed="false">
      <c r="A1486" s="2" t="s">
        <v>4143</v>
      </c>
      <c r="B1486" s="2" t="s">
        <v>146</v>
      </c>
      <c r="C1486" s="2" t="s">
        <v>2408</v>
      </c>
      <c r="D1486" s="2" t="s">
        <v>50</v>
      </c>
      <c r="E1486" s="2" t="s">
        <v>1194</v>
      </c>
      <c r="F1486" s="2" t="s">
        <v>1186</v>
      </c>
      <c r="G1486" s="2" t="s">
        <v>4144</v>
      </c>
    </row>
    <row r="1487" customFormat="false" ht="15" hidden="false" customHeight="false" outlineLevel="0" collapsed="false">
      <c r="A1487" s="2" t="s">
        <v>4145</v>
      </c>
      <c r="B1487" s="2" t="s">
        <v>146</v>
      </c>
      <c r="C1487" s="2" t="s">
        <v>2408</v>
      </c>
      <c r="D1487" s="2" t="s">
        <v>50</v>
      </c>
      <c r="E1487" s="2" t="s">
        <v>1194</v>
      </c>
      <c r="F1487" s="2" t="s">
        <v>1186</v>
      </c>
      <c r="G1487" s="2" t="s">
        <v>4146</v>
      </c>
    </row>
    <row r="1488" customFormat="false" ht="15" hidden="false" customHeight="false" outlineLevel="0" collapsed="false">
      <c r="A1488" s="2" t="s">
        <v>4147</v>
      </c>
      <c r="B1488" s="2" t="s">
        <v>146</v>
      </c>
      <c r="C1488" s="2" t="s">
        <v>2408</v>
      </c>
      <c r="D1488" s="2" t="s">
        <v>50</v>
      </c>
      <c r="E1488" s="2" t="s">
        <v>1194</v>
      </c>
      <c r="F1488" s="2" t="s">
        <v>1186</v>
      </c>
      <c r="G1488" s="2" t="s">
        <v>4148</v>
      </c>
    </row>
    <row r="1489" customFormat="false" ht="15" hidden="false" customHeight="false" outlineLevel="0" collapsed="false">
      <c r="A1489" s="2" t="s">
        <v>4149</v>
      </c>
      <c r="B1489" s="2" t="s">
        <v>146</v>
      </c>
      <c r="C1489" s="2" t="s">
        <v>2408</v>
      </c>
      <c r="D1489" s="2" t="s">
        <v>50</v>
      </c>
      <c r="E1489" s="2" t="s">
        <v>1194</v>
      </c>
      <c r="F1489" s="2" t="s">
        <v>1186</v>
      </c>
      <c r="G1489" s="2" t="s">
        <v>4150</v>
      </c>
    </row>
    <row r="1490" customFormat="false" ht="15" hidden="false" customHeight="false" outlineLevel="0" collapsed="false">
      <c r="A1490" s="2" t="s">
        <v>4151</v>
      </c>
      <c r="B1490" s="2" t="s">
        <v>146</v>
      </c>
      <c r="C1490" s="2" t="s">
        <v>2408</v>
      </c>
      <c r="D1490" s="2" t="s">
        <v>50</v>
      </c>
      <c r="E1490" s="2" t="s">
        <v>1194</v>
      </c>
      <c r="F1490" s="2" t="s">
        <v>1186</v>
      </c>
      <c r="G1490" s="2" t="s">
        <v>4152</v>
      </c>
    </row>
    <row r="1491" customFormat="false" ht="15" hidden="false" customHeight="false" outlineLevel="0" collapsed="false">
      <c r="A1491" s="2" t="s">
        <v>4153</v>
      </c>
      <c r="B1491" s="2" t="s">
        <v>146</v>
      </c>
      <c r="C1491" s="2" t="s">
        <v>2408</v>
      </c>
      <c r="D1491" s="2" t="s">
        <v>50</v>
      </c>
      <c r="E1491" s="2" t="s">
        <v>1194</v>
      </c>
      <c r="F1491" s="2" t="s">
        <v>1186</v>
      </c>
      <c r="G1491" s="2" t="s">
        <v>4154</v>
      </c>
    </row>
    <row r="1492" customFormat="false" ht="15" hidden="false" customHeight="false" outlineLevel="0" collapsed="false">
      <c r="A1492" s="2" t="s">
        <v>4155</v>
      </c>
      <c r="B1492" s="2" t="s">
        <v>146</v>
      </c>
      <c r="C1492" s="2" t="s">
        <v>2408</v>
      </c>
      <c r="D1492" s="2" t="s">
        <v>50</v>
      </c>
      <c r="E1492" s="2" t="s">
        <v>1194</v>
      </c>
      <c r="F1492" s="2" t="s">
        <v>1186</v>
      </c>
      <c r="G1492" s="2" t="s">
        <v>4156</v>
      </c>
    </row>
    <row r="1493" customFormat="false" ht="15" hidden="false" customHeight="false" outlineLevel="0" collapsed="false">
      <c r="A1493" s="2" t="s">
        <v>4157</v>
      </c>
      <c r="B1493" s="2" t="s">
        <v>146</v>
      </c>
      <c r="C1493" s="2" t="s">
        <v>2408</v>
      </c>
      <c r="D1493" s="2" t="s">
        <v>50</v>
      </c>
      <c r="E1493" s="2" t="s">
        <v>1194</v>
      </c>
      <c r="F1493" s="2" t="s">
        <v>1186</v>
      </c>
      <c r="G1493" s="2" t="s">
        <v>4158</v>
      </c>
    </row>
    <row r="1494" customFormat="false" ht="15" hidden="false" customHeight="false" outlineLevel="0" collapsed="false">
      <c r="A1494" s="2" t="s">
        <v>4159</v>
      </c>
      <c r="B1494" s="2" t="s">
        <v>146</v>
      </c>
      <c r="C1494" s="2" t="s">
        <v>2408</v>
      </c>
      <c r="D1494" s="2" t="s">
        <v>50</v>
      </c>
      <c r="E1494" s="2" t="s">
        <v>1194</v>
      </c>
      <c r="F1494" s="2" t="s">
        <v>1186</v>
      </c>
      <c r="G1494" s="2" t="s">
        <v>4160</v>
      </c>
    </row>
    <row r="1495" customFormat="false" ht="15" hidden="false" customHeight="false" outlineLevel="0" collapsed="false">
      <c r="A1495" s="2" t="s">
        <v>4161</v>
      </c>
      <c r="B1495" s="2" t="s">
        <v>146</v>
      </c>
      <c r="C1495" s="2" t="s">
        <v>2408</v>
      </c>
      <c r="D1495" s="2" t="s">
        <v>50</v>
      </c>
      <c r="E1495" s="2" t="s">
        <v>1194</v>
      </c>
      <c r="F1495" s="2" t="s">
        <v>1186</v>
      </c>
      <c r="G1495" s="2" t="s">
        <v>4162</v>
      </c>
    </row>
    <row r="1496" customFormat="false" ht="15" hidden="false" customHeight="false" outlineLevel="0" collapsed="false">
      <c r="A1496" s="2" t="s">
        <v>4163</v>
      </c>
      <c r="B1496" s="2" t="s">
        <v>146</v>
      </c>
      <c r="C1496" s="2" t="s">
        <v>2408</v>
      </c>
      <c r="D1496" s="2" t="s">
        <v>50</v>
      </c>
      <c r="E1496" s="2" t="s">
        <v>1194</v>
      </c>
      <c r="F1496" s="2" t="s">
        <v>1186</v>
      </c>
      <c r="G1496" s="2" t="s">
        <v>4164</v>
      </c>
    </row>
    <row r="1497" customFormat="false" ht="15" hidden="false" customHeight="false" outlineLevel="0" collapsed="false">
      <c r="A1497" s="2" t="s">
        <v>4165</v>
      </c>
      <c r="B1497" s="2" t="s">
        <v>146</v>
      </c>
      <c r="C1497" s="2" t="s">
        <v>2408</v>
      </c>
      <c r="D1497" s="2" t="s">
        <v>50</v>
      </c>
      <c r="E1497" s="2" t="s">
        <v>1194</v>
      </c>
      <c r="F1497" s="2" t="s">
        <v>1186</v>
      </c>
      <c r="G1497" s="2" t="s">
        <v>4166</v>
      </c>
    </row>
    <row r="1498" customFormat="false" ht="15" hidden="false" customHeight="false" outlineLevel="0" collapsed="false">
      <c r="A1498" s="2" t="s">
        <v>4167</v>
      </c>
      <c r="B1498" s="2" t="s">
        <v>146</v>
      </c>
      <c r="C1498" s="2" t="s">
        <v>2408</v>
      </c>
      <c r="D1498" s="2" t="s">
        <v>50</v>
      </c>
      <c r="E1498" s="2" t="s">
        <v>1194</v>
      </c>
      <c r="F1498" s="2" t="s">
        <v>1186</v>
      </c>
      <c r="G1498" s="2" t="s">
        <v>4168</v>
      </c>
    </row>
    <row r="1499" customFormat="false" ht="15" hidden="false" customHeight="false" outlineLevel="0" collapsed="false">
      <c r="A1499" s="2" t="s">
        <v>4169</v>
      </c>
      <c r="B1499" s="2" t="s">
        <v>146</v>
      </c>
      <c r="C1499" s="2" t="s">
        <v>2408</v>
      </c>
      <c r="D1499" s="2" t="s">
        <v>50</v>
      </c>
      <c r="E1499" s="2" t="s">
        <v>1194</v>
      </c>
      <c r="F1499" s="2" t="s">
        <v>1186</v>
      </c>
      <c r="G1499" s="2" t="s">
        <v>4170</v>
      </c>
    </row>
    <row r="1500" customFormat="false" ht="15" hidden="false" customHeight="false" outlineLevel="0" collapsed="false">
      <c r="A1500" s="2" t="s">
        <v>4171</v>
      </c>
      <c r="B1500" s="2" t="s">
        <v>146</v>
      </c>
      <c r="C1500" s="2" t="s">
        <v>2760</v>
      </c>
      <c r="D1500" s="2" t="s">
        <v>48</v>
      </c>
      <c r="E1500" s="2" t="s">
        <v>1185</v>
      </c>
      <c r="F1500" s="2" t="s">
        <v>1186</v>
      </c>
      <c r="G1500" s="2" t="s">
        <v>4172</v>
      </c>
    </row>
    <row r="1501" customFormat="false" ht="15" hidden="false" customHeight="false" outlineLevel="0" collapsed="false">
      <c r="A1501" s="2" t="s">
        <v>4173</v>
      </c>
      <c r="B1501" s="2" t="s">
        <v>146</v>
      </c>
      <c r="C1501" s="2" t="s">
        <v>2760</v>
      </c>
      <c r="D1501" s="2" t="s">
        <v>48</v>
      </c>
      <c r="E1501" s="2" t="s">
        <v>1185</v>
      </c>
      <c r="F1501" s="2" t="s">
        <v>1186</v>
      </c>
      <c r="G1501" s="2" t="s">
        <v>4174</v>
      </c>
    </row>
    <row r="1502" customFormat="false" ht="15" hidden="false" customHeight="false" outlineLevel="0" collapsed="false">
      <c r="A1502" s="2" t="s">
        <v>4175</v>
      </c>
      <c r="B1502" s="2" t="s">
        <v>146</v>
      </c>
      <c r="C1502" s="2" t="s">
        <v>2938</v>
      </c>
      <c r="D1502" s="2" t="s">
        <v>49</v>
      </c>
      <c r="E1502" s="2" t="s">
        <v>1563</v>
      </c>
      <c r="F1502" s="2" t="s">
        <v>1186</v>
      </c>
      <c r="G1502" s="2" t="s">
        <v>4176</v>
      </c>
    </row>
    <row r="1503" customFormat="false" ht="15" hidden="false" customHeight="false" outlineLevel="0" collapsed="false">
      <c r="A1503" s="2" t="s">
        <v>4177</v>
      </c>
      <c r="B1503" s="2" t="s">
        <v>146</v>
      </c>
      <c r="C1503" s="2" t="s">
        <v>2938</v>
      </c>
      <c r="D1503" s="2" t="s">
        <v>49</v>
      </c>
      <c r="E1503" s="2" t="s">
        <v>1563</v>
      </c>
      <c r="F1503" s="2" t="s">
        <v>1186</v>
      </c>
      <c r="G1503" s="2" t="s">
        <v>4178</v>
      </c>
    </row>
    <row r="1504" customFormat="false" ht="15" hidden="false" customHeight="false" outlineLevel="0" collapsed="false">
      <c r="A1504" s="2" t="s">
        <v>4179</v>
      </c>
      <c r="B1504" s="2" t="s">
        <v>146</v>
      </c>
      <c r="C1504" s="2" t="s">
        <v>2408</v>
      </c>
      <c r="D1504" s="2" t="s">
        <v>50</v>
      </c>
      <c r="E1504" s="2" t="s">
        <v>1194</v>
      </c>
      <c r="F1504" s="2" t="s">
        <v>1186</v>
      </c>
      <c r="G1504" s="2" t="s">
        <v>4180</v>
      </c>
    </row>
    <row r="1505" customFormat="false" ht="15" hidden="false" customHeight="false" outlineLevel="0" collapsed="false">
      <c r="A1505" s="2" t="s">
        <v>4181</v>
      </c>
      <c r="B1505" s="2" t="s">
        <v>146</v>
      </c>
      <c r="C1505" s="2" t="s">
        <v>2938</v>
      </c>
      <c r="D1505" s="2" t="s">
        <v>49</v>
      </c>
      <c r="E1505" s="2" t="s">
        <v>1563</v>
      </c>
      <c r="F1505" s="2" t="s">
        <v>1186</v>
      </c>
      <c r="G1505" s="2" t="s">
        <v>4182</v>
      </c>
    </row>
    <row r="1506" customFormat="false" ht="15" hidden="false" customHeight="false" outlineLevel="0" collapsed="false">
      <c r="A1506" s="2" t="s">
        <v>4183</v>
      </c>
      <c r="B1506" s="2" t="s">
        <v>146</v>
      </c>
      <c r="C1506" s="2" t="s">
        <v>2938</v>
      </c>
      <c r="D1506" s="2" t="s">
        <v>49</v>
      </c>
      <c r="E1506" s="2" t="s">
        <v>1563</v>
      </c>
      <c r="F1506" s="2" t="s">
        <v>1186</v>
      </c>
      <c r="G1506" s="2" t="s">
        <v>4184</v>
      </c>
    </row>
    <row r="1507" customFormat="false" ht="15" hidden="false" customHeight="false" outlineLevel="0" collapsed="false">
      <c r="A1507" s="2" t="s">
        <v>4185</v>
      </c>
      <c r="B1507" s="2" t="s">
        <v>146</v>
      </c>
      <c r="C1507" s="2" t="s">
        <v>2408</v>
      </c>
      <c r="D1507" s="2" t="s">
        <v>50</v>
      </c>
      <c r="E1507" s="2" t="s">
        <v>1194</v>
      </c>
      <c r="F1507" s="2" t="s">
        <v>1186</v>
      </c>
      <c r="G1507" s="2" t="s">
        <v>4186</v>
      </c>
    </row>
    <row r="1508" customFormat="false" ht="15" hidden="false" customHeight="false" outlineLevel="0" collapsed="false">
      <c r="A1508" s="2" t="s">
        <v>4187</v>
      </c>
      <c r="B1508" s="2" t="s">
        <v>146</v>
      </c>
      <c r="C1508" s="2" t="s">
        <v>2408</v>
      </c>
      <c r="D1508" s="2" t="s">
        <v>50</v>
      </c>
      <c r="E1508" s="2" t="s">
        <v>1194</v>
      </c>
      <c r="F1508" s="2" t="s">
        <v>1186</v>
      </c>
      <c r="G1508" s="2" t="s">
        <v>4188</v>
      </c>
    </row>
    <row r="1509" customFormat="false" ht="15" hidden="false" customHeight="false" outlineLevel="0" collapsed="false">
      <c r="A1509" s="2" t="s">
        <v>4189</v>
      </c>
      <c r="B1509" s="2" t="s">
        <v>146</v>
      </c>
      <c r="C1509" s="2" t="s">
        <v>2408</v>
      </c>
      <c r="D1509" s="2" t="s">
        <v>50</v>
      </c>
      <c r="E1509" s="2" t="s">
        <v>1194</v>
      </c>
      <c r="F1509" s="2" t="s">
        <v>1186</v>
      </c>
      <c r="G1509" s="2" t="s">
        <v>4190</v>
      </c>
    </row>
    <row r="1510" customFormat="false" ht="15" hidden="false" customHeight="false" outlineLevel="0" collapsed="false">
      <c r="A1510" s="2" t="s">
        <v>4191</v>
      </c>
      <c r="B1510" s="2" t="s">
        <v>146</v>
      </c>
      <c r="C1510" s="2" t="s">
        <v>2408</v>
      </c>
      <c r="D1510" s="2" t="s">
        <v>50</v>
      </c>
      <c r="E1510" s="2" t="s">
        <v>1194</v>
      </c>
      <c r="F1510" s="2" t="s">
        <v>1186</v>
      </c>
      <c r="G1510" s="2" t="s">
        <v>4192</v>
      </c>
    </row>
    <row r="1511" customFormat="false" ht="15" hidden="false" customHeight="false" outlineLevel="0" collapsed="false">
      <c r="A1511" s="2" t="s">
        <v>4193</v>
      </c>
      <c r="B1511" s="2" t="s">
        <v>146</v>
      </c>
      <c r="C1511" s="2" t="s">
        <v>2408</v>
      </c>
      <c r="D1511" s="2" t="s">
        <v>50</v>
      </c>
      <c r="E1511" s="2" t="s">
        <v>1194</v>
      </c>
      <c r="F1511" s="2" t="s">
        <v>1186</v>
      </c>
      <c r="G1511" s="2" t="s">
        <v>4194</v>
      </c>
    </row>
    <row r="1512" customFormat="false" ht="15" hidden="false" customHeight="false" outlineLevel="0" collapsed="false">
      <c r="A1512" s="2" t="s">
        <v>4195</v>
      </c>
      <c r="B1512" s="2" t="s">
        <v>146</v>
      </c>
      <c r="C1512" s="2" t="s">
        <v>2408</v>
      </c>
      <c r="D1512" s="2" t="s">
        <v>50</v>
      </c>
      <c r="E1512" s="2" t="s">
        <v>1194</v>
      </c>
      <c r="F1512" s="2" t="s">
        <v>1186</v>
      </c>
      <c r="G1512" s="2" t="s">
        <v>4196</v>
      </c>
    </row>
    <row r="1513" customFormat="false" ht="15" hidden="false" customHeight="false" outlineLevel="0" collapsed="false">
      <c r="A1513" s="2" t="s">
        <v>4197</v>
      </c>
      <c r="B1513" s="2" t="s">
        <v>146</v>
      </c>
      <c r="C1513" s="2" t="s">
        <v>2408</v>
      </c>
      <c r="D1513" s="2" t="s">
        <v>50</v>
      </c>
      <c r="E1513" s="2" t="s">
        <v>1194</v>
      </c>
      <c r="F1513" s="2" t="s">
        <v>1186</v>
      </c>
      <c r="G1513" s="2" t="s">
        <v>4198</v>
      </c>
    </row>
    <row r="1514" customFormat="false" ht="15" hidden="false" customHeight="false" outlineLevel="0" collapsed="false">
      <c r="A1514" s="2" t="s">
        <v>4199</v>
      </c>
      <c r="B1514" s="2" t="s">
        <v>146</v>
      </c>
      <c r="C1514" s="2" t="s">
        <v>2408</v>
      </c>
      <c r="D1514" s="2" t="s">
        <v>50</v>
      </c>
      <c r="E1514" s="2" t="s">
        <v>1194</v>
      </c>
      <c r="F1514" s="2" t="s">
        <v>1186</v>
      </c>
      <c r="G1514" s="2" t="s">
        <v>4200</v>
      </c>
    </row>
    <row r="1515" customFormat="false" ht="15" hidden="false" customHeight="false" outlineLevel="0" collapsed="false">
      <c r="A1515" s="2" t="s">
        <v>4201</v>
      </c>
      <c r="B1515" s="2" t="s">
        <v>146</v>
      </c>
      <c r="C1515" s="2" t="s">
        <v>2408</v>
      </c>
      <c r="D1515" s="2" t="s">
        <v>50</v>
      </c>
      <c r="E1515" s="2" t="s">
        <v>1194</v>
      </c>
      <c r="F1515" s="2" t="s">
        <v>1186</v>
      </c>
      <c r="G1515" s="2" t="s">
        <v>4202</v>
      </c>
    </row>
    <row r="1516" customFormat="false" ht="15" hidden="false" customHeight="false" outlineLevel="0" collapsed="false">
      <c r="A1516" s="2" t="s">
        <v>4203</v>
      </c>
      <c r="B1516" s="2" t="s">
        <v>126</v>
      </c>
      <c r="C1516" s="2" t="s">
        <v>4204</v>
      </c>
      <c r="D1516" s="2" t="s">
        <v>48</v>
      </c>
      <c r="E1516" s="2" t="s">
        <v>1185</v>
      </c>
      <c r="F1516" s="2" t="s">
        <v>1186</v>
      </c>
      <c r="G1516" s="2" t="s">
        <v>4205</v>
      </c>
    </row>
    <row r="1517" customFormat="false" ht="15" hidden="false" customHeight="false" outlineLevel="0" collapsed="false">
      <c r="A1517" s="2" t="s">
        <v>4206</v>
      </c>
      <c r="B1517" s="2" t="s">
        <v>126</v>
      </c>
      <c r="C1517" s="2" t="s">
        <v>4204</v>
      </c>
      <c r="D1517" s="2" t="s">
        <v>48</v>
      </c>
      <c r="E1517" s="2" t="s">
        <v>1185</v>
      </c>
      <c r="F1517" s="2" t="s">
        <v>1186</v>
      </c>
      <c r="G1517" s="2" t="s">
        <v>4207</v>
      </c>
    </row>
    <row r="1518" customFormat="false" ht="15" hidden="false" customHeight="false" outlineLevel="0" collapsed="false">
      <c r="A1518" s="2" t="s">
        <v>4208</v>
      </c>
      <c r="B1518" s="2" t="s">
        <v>126</v>
      </c>
      <c r="C1518" s="2" t="s">
        <v>4204</v>
      </c>
      <c r="D1518" s="2" t="s">
        <v>48</v>
      </c>
      <c r="E1518" s="2" t="s">
        <v>1185</v>
      </c>
      <c r="F1518" s="2" t="s">
        <v>1186</v>
      </c>
      <c r="G1518" s="2" t="s">
        <v>4209</v>
      </c>
    </row>
    <row r="1519" customFormat="false" ht="15" hidden="false" customHeight="false" outlineLevel="0" collapsed="false">
      <c r="A1519" s="2" t="s">
        <v>4210</v>
      </c>
      <c r="B1519" s="2" t="s">
        <v>126</v>
      </c>
      <c r="C1519" s="2" t="s">
        <v>4204</v>
      </c>
      <c r="D1519" s="2" t="s">
        <v>48</v>
      </c>
      <c r="E1519" s="2" t="s">
        <v>1185</v>
      </c>
      <c r="F1519" s="2" t="s">
        <v>1186</v>
      </c>
      <c r="G1519" s="2" t="s">
        <v>4211</v>
      </c>
    </row>
    <row r="1520" customFormat="false" ht="15" hidden="false" customHeight="false" outlineLevel="0" collapsed="false">
      <c r="A1520" s="2" t="s">
        <v>4212</v>
      </c>
      <c r="B1520" s="2" t="s">
        <v>126</v>
      </c>
      <c r="C1520" s="2" t="s">
        <v>4204</v>
      </c>
      <c r="D1520" s="2" t="s">
        <v>48</v>
      </c>
      <c r="E1520" s="2" t="s">
        <v>1185</v>
      </c>
      <c r="F1520" s="2" t="s">
        <v>1186</v>
      </c>
      <c r="G1520" s="2" t="s">
        <v>4213</v>
      </c>
    </row>
    <row r="1521" customFormat="false" ht="15" hidden="false" customHeight="false" outlineLevel="0" collapsed="false">
      <c r="A1521" s="2" t="s">
        <v>4214</v>
      </c>
      <c r="B1521" s="2" t="s">
        <v>126</v>
      </c>
      <c r="C1521" s="2" t="s">
        <v>4204</v>
      </c>
      <c r="D1521" s="2" t="s">
        <v>48</v>
      </c>
      <c r="E1521" s="2" t="s">
        <v>1185</v>
      </c>
      <c r="F1521" s="2" t="s">
        <v>1186</v>
      </c>
      <c r="G1521" s="2" t="s">
        <v>4215</v>
      </c>
    </row>
    <row r="1522" customFormat="false" ht="15" hidden="false" customHeight="false" outlineLevel="0" collapsed="false">
      <c r="A1522" s="2" t="s">
        <v>4216</v>
      </c>
      <c r="B1522" s="2" t="s">
        <v>126</v>
      </c>
      <c r="C1522" s="2" t="s">
        <v>4204</v>
      </c>
      <c r="D1522" s="2" t="s">
        <v>48</v>
      </c>
      <c r="E1522" s="2" t="s">
        <v>1185</v>
      </c>
      <c r="F1522" s="2" t="s">
        <v>1186</v>
      </c>
      <c r="G1522" s="2" t="s">
        <v>4217</v>
      </c>
    </row>
    <row r="1523" customFormat="false" ht="15" hidden="false" customHeight="false" outlineLevel="0" collapsed="false">
      <c r="A1523" s="2" t="s">
        <v>4218</v>
      </c>
      <c r="B1523" s="2" t="s">
        <v>126</v>
      </c>
      <c r="C1523" s="2" t="s">
        <v>4204</v>
      </c>
      <c r="D1523" s="2" t="s">
        <v>48</v>
      </c>
      <c r="E1523" s="2" t="s">
        <v>1185</v>
      </c>
      <c r="F1523" s="2" t="s">
        <v>1186</v>
      </c>
      <c r="G1523" s="2" t="s">
        <v>4219</v>
      </c>
    </row>
    <row r="1524" customFormat="false" ht="15" hidden="false" customHeight="false" outlineLevel="0" collapsed="false">
      <c r="A1524" s="2" t="s">
        <v>4220</v>
      </c>
      <c r="B1524" s="2" t="s">
        <v>126</v>
      </c>
      <c r="C1524" s="2" t="s">
        <v>4204</v>
      </c>
      <c r="D1524" s="2" t="s">
        <v>48</v>
      </c>
      <c r="E1524" s="2" t="s">
        <v>1185</v>
      </c>
      <c r="F1524" s="2" t="s">
        <v>1186</v>
      </c>
      <c r="G1524" s="2" t="s">
        <v>4221</v>
      </c>
    </row>
    <row r="1525" customFormat="false" ht="15" hidden="false" customHeight="false" outlineLevel="0" collapsed="false">
      <c r="A1525" s="2" t="s">
        <v>4222</v>
      </c>
      <c r="B1525" s="2" t="s">
        <v>126</v>
      </c>
      <c r="C1525" s="2" t="s">
        <v>4204</v>
      </c>
      <c r="D1525" s="2" t="s">
        <v>48</v>
      </c>
      <c r="E1525" s="2" t="s">
        <v>1185</v>
      </c>
      <c r="F1525" s="2" t="s">
        <v>1186</v>
      </c>
      <c r="G1525" s="2" t="s">
        <v>4223</v>
      </c>
    </row>
    <row r="1526" customFormat="false" ht="15" hidden="false" customHeight="false" outlineLevel="0" collapsed="false">
      <c r="A1526" s="2" t="s">
        <v>4224</v>
      </c>
      <c r="B1526" s="2" t="s">
        <v>126</v>
      </c>
      <c r="C1526" s="2" t="s">
        <v>4204</v>
      </c>
      <c r="D1526" s="2" t="s">
        <v>48</v>
      </c>
      <c r="E1526" s="2" t="s">
        <v>1185</v>
      </c>
      <c r="F1526" s="2" t="s">
        <v>1186</v>
      </c>
      <c r="G1526" s="2" t="s">
        <v>4225</v>
      </c>
    </row>
    <row r="1527" customFormat="false" ht="15" hidden="false" customHeight="false" outlineLevel="0" collapsed="false">
      <c r="A1527" s="2" t="s">
        <v>4226</v>
      </c>
      <c r="B1527" s="2" t="s">
        <v>126</v>
      </c>
      <c r="C1527" s="2" t="s">
        <v>4204</v>
      </c>
      <c r="D1527" s="2" t="s">
        <v>48</v>
      </c>
      <c r="E1527" s="2" t="s">
        <v>1185</v>
      </c>
      <c r="F1527" s="2" t="s">
        <v>1186</v>
      </c>
      <c r="G1527" s="2" t="s">
        <v>4227</v>
      </c>
    </row>
    <row r="1528" customFormat="false" ht="15" hidden="false" customHeight="false" outlineLevel="0" collapsed="false">
      <c r="A1528" s="2" t="s">
        <v>4228</v>
      </c>
      <c r="B1528" s="2" t="s">
        <v>126</v>
      </c>
      <c r="C1528" s="2" t="s">
        <v>4204</v>
      </c>
      <c r="D1528" s="2" t="s">
        <v>48</v>
      </c>
      <c r="E1528" s="2" t="s">
        <v>1185</v>
      </c>
      <c r="F1528" s="2" t="s">
        <v>1186</v>
      </c>
      <c r="G1528" s="2" t="s">
        <v>4229</v>
      </c>
    </row>
    <row r="1529" customFormat="false" ht="15" hidden="false" customHeight="false" outlineLevel="0" collapsed="false">
      <c r="A1529" s="2" t="s">
        <v>4230</v>
      </c>
      <c r="B1529" s="2" t="s">
        <v>126</v>
      </c>
      <c r="C1529" s="2" t="s">
        <v>4204</v>
      </c>
      <c r="D1529" s="2" t="s">
        <v>48</v>
      </c>
      <c r="E1529" s="2" t="s">
        <v>1185</v>
      </c>
      <c r="F1529" s="2" t="s">
        <v>1186</v>
      </c>
      <c r="G1529" s="2" t="s">
        <v>4231</v>
      </c>
    </row>
    <row r="1530" customFormat="false" ht="15" hidden="false" customHeight="false" outlineLevel="0" collapsed="false">
      <c r="A1530" s="2" t="s">
        <v>4232</v>
      </c>
      <c r="B1530" s="2" t="s">
        <v>126</v>
      </c>
      <c r="C1530" s="2" t="s">
        <v>4204</v>
      </c>
      <c r="D1530" s="2" t="s">
        <v>48</v>
      </c>
      <c r="E1530" s="2" t="s">
        <v>1185</v>
      </c>
      <c r="F1530" s="2" t="s">
        <v>1186</v>
      </c>
      <c r="G1530" s="2" t="s">
        <v>4233</v>
      </c>
    </row>
    <row r="1531" customFormat="false" ht="15" hidden="false" customHeight="false" outlineLevel="0" collapsed="false">
      <c r="A1531" s="2" t="s">
        <v>4234</v>
      </c>
      <c r="B1531" s="2" t="s">
        <v>126</v>
      </c>
      <c r="C1531" s="2" t="s">
        <v>4204</v>
      </c>
      <c r="D1531" s="2" t="s">
        <v>48</v>
      </c>
      <c r="E1531" s="2" t="s">
        <v>1185</v>
      </c>
      <c r="F1531" s="2" t="s">
        <v>1186</v>
      </c>
      <c r="G1531" s="2" t="s">
        <v>4235</v>
      </c>
    </row>
    <row r="1532" customFormat="false" ht="15" hidden="false" customHeight="false" outlineLevel="0" collapsed="false">
      <c r="A1532" s="2" t="s">
        <v>4236</v>
      </c>
      <c r="B1532" s="2" t="s">
        <v>126</v>
      </c>
      <c r="C1532" s="2" t="s">
        <v>4204</v>
      </c>
      <c r="D1532" s="2" t="s">
        <v>48</v>
      </c>
      <c r="E1532" s="2" t="s">
        <v>1185</v>
      </c>
      <c r="F1532" s="2" t="s">
        <v>1186</v>
      </c>
      <c r="G1532" s="2" t="s">
        <v>4237</v>
      </c>
    </row>
    <row r="1533" customFormat="false" ht="15" hidden="false" customHeight="false" outlineLevel="0" collapsed="false">
      <c r="A1533" s="2" t="s">
        <v>4238</v>
      </c>
      <c r="B1533" s="2" t="s">
        <v>126</v>
      </c>
      <c r="C1533" s="2" t="s">
        <v>4204</v>
      </c>
      <c r="D1533" s="2" t="s">
        <v>48</v>
      </c>
      <c r="E1533" s="2" t="s">
        <v>1185</v>
      </c>
      <c r="F1533" s="2" t="s">
        <v>1186</v>
      </c>
      <c r="G1533" s="2" t="s">
        <v>4239</v>
      </c>
    </row>
    <row r="1534" customFormat="false" ht="15" hidden="false" customHeight="false" outlineLevel="0" collapsed="false">
      <c r="A1534" s="2" t="s">
        <v>4240</v>
      </c>
      <c r="B1534" s="2" t="s">
        <v>126</v>
      </c>
      <c r="C1534" s="2" t="s">
        <v>4204</v>
      </c>
      <c r="D1534" s="2" t="s">
        <v>48</v>
      </c>
      <c r="E1534" s="2" t="s">
        <v>1185</v>
      </c>
      <c r="F1534" s="2" t="s">
        <v>1186</v>
      </c>
      <c r="G1534" s="2" t="s">
        <v>4241</v>
      </c>
    </row>
    <row r="1535" customFormat="false" ht="15" hidden="false" customHeight="false" outlineLevel="0" collapsed="false">
      <c r="A1535" s="2" t="s">
        <v>4242</v>
      </c>
      <c r="B1535" s="2" t="s">
        <v>126</v>
      </c>
      <c r="C1535" s="2" t="s">
        <v>4204</v>
      </c>
      <c r="D1535" s="2" t="s">
        <v>48</v>
      </c>
      <c r="E1535" s="2" t="s">
        <v>1185</v>
      </c>
      <c r="F1535" s="2" t="s">
        <v>1186</v>
      </c>
      <c r="G1535" s="2" t="s">
        <v>4243</v>
      </c>
    </row>
    <row r="1536" customFormat="false" ht="15" hidden="false" customHeight="false" outlineLevel="0" collapsed="false">
      <c r="A1536" s="2" t="s">
        <v>4244</v>
      </c>
      <c r="B1536" s="2" t="s">
        <v>126</v>
      </c>
      <c r="C1536" s="2" t="s">
        <v>4204</v>
      </c>
      <c r="D1536" s="2" t="s">
        <v>48</v>
      </c>
      <c r="E1536" s="2" t="s">
        <v>1185</v>
      </c>
      <c r="F1536" s="2" t="s">
        <v>1186</v>
      </c>
      <c r="G1536" s="2" t="s">
        <v>4245</v>
      </c>
    </row>
    <row r="1537" customFormat="false" ht="15" hidden="false" customHeight="false" outlineLevel="0" collapsed="false">
      <c r="A1537" s="2" t="s">
        <v>4246</v>
      </c>
      <c r="B1537" s="2" t="s">
        <v>126</v>
      </c>
      <c r="C1537" s="2" t="s">
        <v>2179</v>
      </c>
      <c r="D1537" s="2" t="s">
        <v>49</v>
      </c>
      <c r="E1537" s="2" t="s">
        <v>1563</v>
      </c>
      <c r="F1537" s="2" t="s">
        <v>1186</v>
      </c>
      <c r="G1537" s="2" t="s">
        <v>4247</v>
      </c>
    </row>
    <row r="1538" customFormat="false" ht="15" hidden="false" customHeight="false" outlineLevel="0" collapsed="false">
      <c r="A1538" s="2" t="s">
        <v>4248</v>
      </c>
      <c r="B1538" s="2" t="s">
        <v>126</v>
      </c>
      <c r="C1538" s="2" t="s">
        <v>4204</v>
      </c>
      <c r="D1538" s="2" t="s">
        <v>48</v>
      </c>
      <c r="E1538" s="2" t="s">
        <v>1185</v>
      </c>
      <c r="F1538" s="2" t="s">
        <v>1186</v>
      </c>
      <c r="G1538" s="2" t="s">
        <v>4249</v>
      </c>
    </row>
    <row r="1539" customFormat="false" ht="15" hidden="false" customHeight="false" outlineLevel="0" collapsed="false">
      <c r="A1539" s="2" t="s">
        <v>4250</v>
      </c>
      <c r="B1539" s="2" t="s">
        <v>126</v>
      </c>
      <c r="C1539" s="2" t="s">
        <v>4204</v>
      </c>
      <c r="D1539" s="2" t="s">
        <v>48</v>
      </c>
      <c r="E1539" s="2" t="s">
        <v>1185</v>
      </c>
      <c r="F1539" s="2" t="s">
        <v>1186</v>
      </c>
      <c r="G1539" s="2" t="s">
        <v>4251</v>
      </c>
    </row>
    <row r="1540" customFormat="false" ht="15" hidden="false" customHeight="false" outlineLevel="0" collapsed="false">
      <c r="A1540" s="2" t="s">
        <v>4252</v>
      </c>
      <c r="B1540" s="2" t="s">
        <v>126</v>
      </c>
      <c r="C1540" s="2" t="s">
        <v>4204</v>
      </c>
      <c r="D1540" s="2" t="s">
        <v>48</v>
      </c>
      <c r="E1540" s="2" t="s">
        <v>1185</v>
      </c>
      <c r="F1540" s="2" t="s">
        <v>1186</v>
      </c>
      <c r="G1540" s="2" t="s">
        <v>4253</v>
      </c>
    </row>
    <row r="1541" customFormat="false" ht="15" hidden="false" customHeight="false" outlineLevel="0" collapsed="false">
      <c r="A1541" s="2" t="s">
        <v>4254</v>
      </c>
      <c r="B1541" s="2" t="s">
        <v>126</v>
      </c>
      <c r="C1541" s="2" t="s">
        <v>4204</v>
      </c>
      <c r="D1541" s="2" t="s">
        <v>48</v>
      </c>
      <c r="E1541" s="2" t="s">
        <v>1185</v>
      </c>
      <c r="F1541" s="2" t="s">
        <v>1186</v>
      </c>
      <c r="G1541" s="2" t="s">
        <v>4255</v>
      </c>
    </row>
    <row r="1542" customFormat="false" ht="15" hidden="false" customHeight="false" outlineLevel="0" collapsed="false">
      <c r="A1542" s="2" t="s">
        <v>4256</v>
      </c>
      <c r="B1542" s="2" t="s">
        <v>126</v>
      </c>
      <c r="C1542" s="2" t="s">
        <v>4204</v>
      </c>
      <c r="D1542" s="2" t="s">
        <v>48</v>
      </c>
      <c r="E1542" s="2" t="s">
        <v>1185</v>
      </c>
      <c r="F1542" s="2" t="s">
        <v>1186</v>
      </c>
      <c r="G1542" s="2" t="s">
        <v>4257</v>
      </c>
    </row>
    <row r="1543" customFormat="false" ht="15" hidden="false" customHeight="false" outlineLevel="0" collapsed="false">
      <c r="A1543" s="2" t="s">
        <v>4258</v>
      </c>
      <c r="B1543" s="2" t="s">
        <v>126</v>
      </c>
      <c r="C1543" s="2" t="s">
        <v>4204</v>
      </c>
      <c r="D1543" s="2" t="s">
        <v>48</v>
      </c>
      <c r="E1543" s="2" t="s">
        <v>1185</v>
      </c>
      <c r="F1543" s="2" t="s">
        <v>1186</v>
      </c>
      <c r="G1543" s="2" t="s">
        <v>4259</v>
      </c>
    </row>
    <row r="1544" customFormat="false" ht="15" hidden="false" customHeight="false" outlineLevel="0" collapsed="false">
      <c r="A1544" s="2" t="s">
        <v>4260</v>
      </c>
      <c r="B1544" s="2" t="s">
        <v>126</v>
      </c>
      <c r="C1544" s="2" t="s">
        <v>4204</v>
      </c>
      <c r="D1544" s="2" t="s">
        <v>48</v>
      </c>
      <c r="E1544" s="2" t="s">
        <v>1185</v>
      </c>
      <c r="F1544" s="2" t="s">
        <v>1186</v>
      </c>
      <c r="G1544" s="2" t="s">
        <v>4261</v>
      </c>
    </row>
    <row r="1545" customFormat="false" ht="15" hidden="false" customHeight="false" outlineLevel="0" collapsed="false">
      <c r="A1545" s="2" t="s">
        <v>4262</v>
      </c>
      <c r="B1545" s="2" t="s">
        <v>126</v>
      </c>
      <c r="C1545" s="2" t="s">
        <v>4204</v>
      </c>
      <c r="D1545" s="2" t="s">
        <v>48</v>
      </c>
      <c r="E1545" s="2" t="s">
        <v>1185</v>
      </c>
      <c r="F1545" s="2" t="s">
        <v>1186</v>
      </c>
      <c r="G1545" s="2" t="s">
        <v>4263</v>
      </c>
    </row>
    <row r="1546" customFormat="false" ht="15" hidden="false" customHeight="false" outlineLevel="0" collapsed="false">
      <c r="A1546" s="2" t="s">
        <v>4264</v>
      </c>
      <c r="B1546" s="2" t="s">
        <v>126</v>
      </c>
      <c r="C1546" s="2" t="s">
        <v>4204</v>
      </c>
      <c r="D1546" s="2" t="s">
        <v>48</v>
      </c>
      <c r="E1546" s="2" t="s">
        <v>1185</v>
      </c>
      <c r="F1546" s="2" t="s">
        <v>1186</v>
      </c>
      <c r="G1546" s="2" t="s">
        <v>4265</v>
      </c>
    </row>
    <row r="1547" customFormat="false" ht="15" hidden="false" customHeight="false" outlineLevel="0" collapsed="false">
      <c r="A1547" s="2" t="s">
        <v>4266</v>
      </c>
      <c r="B1547" s="2" t="s">
        <v>126</v>
      </c>
      <c r="C1547" s="2" t="s">
        <v>4204</v>
      </c>
      <c r="D1547" s="2" t="s">
        <v>48</v>
      </c>
      <c r="E1547" s="2" t="s">
        <v>1185</v>
      </c>
      <c r="F1547" s="2" t="s">
        <v>1186</v>
      </c>
      <c r="G1547" s="2" t="s">
        <v>4267</v>
      </c>
    </row>
    <row r="1548" customFormat="false" ht="15" hidden="false" customHeight="false" outlineLevel="0" collapsed="false">
      <c r="A1548" s="2" t="s">
        <v>4268</v>
      </c>
      <c r="B1548" s="2" t="s">
        <v>126</v>
      </c>
      <c r="C1548" s="2" t="s">
        <v>4204</v>
      </c>
      <c r="D1548" s="2" t="s">
        <v>48</v>
      </c>
      <c r="E1548" s="2" t="s">
        <v>1185</v>
      </c>
      <c r="F1548" s="2" t="s">
        <v>1186</v>
      </c>
      <c r="G1548" s="2" t="s">
        <v>4269</v>
      </c>
    </row>
    <row r="1549" customFormat="false" ht="15" hidden="false" customHeight="false" outlineLevel="0" collapsed="false">
      <c r="A1549" s="2" t="s">
        <v>4270</v>
      </c>
      <c r="B1549" s="2" t="s">
        <v>126</v>
      </c>
      <c r="C1549" s="2" t="s">
        <v>4204</v>
      </c>
      <c r="D1549" s="2" t="s">
        <v>48</v>
      </c>
      <c r="E1549" s="2" t="s">
        <v>1185</v>
      </c>
      <c r="F1549" s="2" t="s">
        <v>1186</v>
      </c>
      <c r="G1549" s="2" t="s">
        <v>4271</v>
      </c>
    </row>
    <row r="1550" customFormat="false" ht="15" hidden="false" customHeight="false" outlineLevel="0" collapsed="false">
      <c r="A1550" s="2" t="s">
        <v>4272</v>
      </c>
      <c r="B1550" s="2" t="s">
        <v>126</v>
      </c>
      <c r="C1550" s="2" t="s">
        <v>4204</v>
      </c>
      <c r="D1550" s="2" t="s">
        <v>48</v>
      </c>
      <c r="E1550" s="2" t="s">
        <v>1185</v>
      </c>
      <c r="F1550" s="2" t="s">
        <v>1186</v>
      </c>
      <c r="G1550" s="2" t="s">
        <v>4273</v>
      </c>
    </row>
    <row r="1551" customFormat="false" ht="15" hidden="false" customHeight="false" outlineLevel="0" collapsed="false">
      <c r="A1551" s="2" t="s">
        <v>4274</v>
      </c>
      <c r="B1551" s="2" t="s">
        <v>126</v>
      </c>
      <c r="C1551" s="2" t="s">
        <v>4204</v>
      </c>
      <c r="D1551" s="2" t="s">
        <v>48</v>
      </c>
      <c r="E1551" s="2" t="s">
        <v>1185</v>
      </c>
      <c r="F1551" s="2" t="s">
        <v>1186</v>
      </c>
      <c r="G1551" s="2" t="s">
        <v>4275</v>
      </c>
    </row>
    <row r="1552" customFormat="false" ht="15" hidden="false" customHeight="false" outlineLevel="0" collapsed="false">
      <c r="A1552" s="2" t="s">
        <v>4276</v>
      </c>
      <c r="B1552" s="2" t="s">
        <v>126</v>
      </c>
      <c r="C1552" s="2" t="s">
        <v>4204</v>
      </c>
      <c r="D1552" s="2" t="s">
        <v>48</v>
      </c>
      <c r="E1552" s="2" t="s">
        <v>1185</v>
      </c>
      <c r="F1552" s="2" t="s">
        <v>1186</v>
      </c>
      <c r="G1552" s="2" t="s">
        <v>4277</v>
      </c>
    </row>
    <row r="1553" customFormat="false" ht="15" hidden="false" customHeight="false" outlineLevel="0" collapsed="false">
      <c r="A1553" s="2" t="s">
        <v>4278</v>
      </c>
      <c r="B1553" s="2" t="s">
        <v>126</v>
      </c>
      <c r="C1553" s="2" t="s">
        <v>4204</v>
      </c>
      <c r="D1553" s="2" t="s">
        <v>48</v>
      </c>
      <c r="E1553" s="2" t="s">
        <v>1185</v>
      </c>
      <c r="F1553" s="2" t="s">
        <v>1186</v>
      </c>
      <c r="G1553" s="2" t="s">
        <v>4279</v>
      </c>
    </row>
    <row r="1554" customFormat="false" ht="15" hidden="false" customHeight="false" outlineLevel="0" collapsed="false">
      <c r="A1554" s="2" t="s">
        <v>4280</v>
      </c>
      <c r="B1554" s="2" t="s">
        <v>126</v>
      </c>
      <c r="C1554" s="2" t="s">
        <v>4204</v>
      </c>
      <c r="D1554" s="2" t="s">
        <v>48</v>
      </c>
      <c r="E1554" s="2" t="s">
        <v>1185</v>
      </c>
      <c r="F1554" s="2" t="s">
        <v>1186</v>
      </c>
      <c r="G1554" s="2" t="s">
        <v>4281</v>
      </c>
    </row>
    <row r="1555" customFormat="false" ht="15" hidden="false" customHeight="false" outlineLevel="0" collapsed="false">
      <c r="A1555" s="2" t="s">
        <v>4282</v>
      </c>
      <c r="B1555" s="2" t="s">
        <v>126</v>
      </c>
      <c r="C1555" s="2" t="s">
        <v>4204</v>
      </c>
      <c r="D1555" s="2" t="s">
        <v>48</v>
      </c>
      <c r="E1555" s="2" t="s">
        <v>1185</v>
      </c>
      <c r="F1555" s="2" t="s">
        <v>1186</v>
      </c>
      <c r="G1555" s="2" t="s">
        <v>4283</v>
      </c>
    </row>
    <row r="1556" customFormat="false" ht="15" hidden="false" customHeight="false" outlineLevel="0" collapsed="false">
      <c r="A1556" s="2" t="s">
        <v>4284</v>
      </c>
      <c r="B1556" s="2" t="s">
        <v>126</v>
      </c>
      <c r="C1556" s="2" t="s">
        <v>4204</v>
      </c>
      <c r="D1556" s="2" t="s">
        <v>48</v>
      </c>
      <c r="E1556" s="2" t="s">
        <v>1185</v>
      </c>
      <c r="F1556" s="2" t="s">
        <v>1186</v>
      </c>
      <c r="G1556" s="2" t="s">
        <v>4285</v>
      </c>
    </row>
    <row r="1557" customFormat="false" ht="15" hidden="false" customHeight="false" outlineLevel="0" collapsed="false">
      <c r="A1557" s="2" t="s">
        <v>4286</v>
      </c>
      <c r="B1557" s="2" t="s">
        <v>126</v>
      </c>
      <c r="C1557" s="2" t="s">
        <v>4204</v>
      </c>
      <c r="D1557" s="2" t="s">
        <v>48</v>
      </c>
      <c r="E1557" s="2" t="s">
        <v>1185</v>
      </c>
      <c r="F1557" s="2" t="s">
        <v>1186</v>
      </c>
      <c r="G1557" s="2" t="s">
        <v>4287</v>
      </c>
    </row>
    <row r="1558" customFormat="false" ht="15" hidden="false" customHeight="false" outlineLevel="0" collapsed="false">
      <c r="A1558" s="2" t="s">
        <v>4288</v>
      </c>
      <c r="B1558" s="2" t="s">
        <v>126</v>
      </c>
      <c r="C1558" s="2" t="s">
        <v>4204</v>
      </c>
      <c r="D1558" s="2" t="s">
        <v>48</v>
      </c>
      <c r="E1558" s="2" t="s">
        <v>1185</v>
      </c>
      <c r="F1558" s="2" t="s">
        <v>1186</v>
      </c>
      <c r="G1558" s="2" t="s">
        <v>4289</v>
      </c>
    </row>
    <row r="1559" customFormat="false" ht="15" hidden="false" customHeight="false" outlineLevel="0" collapsed="false">
      <c r="A1559" s="2" t="s">
        <v>4290</v>
      </c>
      <c r="B1559" s="2" t="s">
        <v>126</v>
      </c>
      <c r="C1559" s="2" t="s">
        <v>4204</v>
      </c>
      <c r="D1559" s="2" t="s">
        <v>48</v>
      </c>
      <c r="E1559" s="2" t="s">
        <v>1185</v>
      </c>
      <c r="F1559" s="2" t="s">
        <v>1186</v>
      </c>
      <c r="G1559" s="2" t="s">
        <v>4291</v>
      </c>
    </row>
    <row r="1560" customFormat="false" ht="15" hidden="false" customHeight="false" outlineLevel="0" collapsed="false">
      <c r="A1560" s="2" t="s">
        <v>4292</v>
      </c>
      <c r="B1560" s="2" t="s">
        <v>126</v>
      </c>
      <c r="C1560" s="2" t="s">
        <v>4204</v>
      </c>
      <c r="D1560" s="2" t="s">
        <v>48</v>
      </c>
      <c r="E1560" s="2" t="s">
        <v>1185</v>
      </c>
      <c r="F1560" s="2" t="s">
        <v>1186</v>
      </c>
      <c r="G1560" s="2" t="s">
        <v>4293</v>
      </c>
    </row>
    <row r="1561" customFormat="false" ht="15" hidden="false" customHeight="false" outlineLevel="0" collapsed="false">
      <c r="A1561" s="2" t="s">
        <v>4294</v>
      </c>
      <c r="B1561" s="2" t="s">
        <v>126</v>
      </c>
      <c r="C1561" s="2" t="s">
        <v>4204</v>
      </c>
      <c r="D1561" s="2" t="s">
        <v>48</v>
      </c>
      <c r="E1561" s="2" t="s">
        <v>1185</v>
      </c>
      <c r="F1561" s="2" t="s">
        <v>1186</v>
      </c>
      <c r="G1561" s="2" t="s">
        <v>4295</v>
      </c>
    </row>
    <row r="1562" customFormat="false" ht="15" hidden="false" customHeight="false" outlineLevel="0" collapsed="false">
      <c r="A1562" s="2" t="s">
        <v>4296</v>
      </c>
      <c r="B1562" s="2" t="s">
        <v>126</v>
      </c>
      <c r="C1562" s="2" t="s">
        <v>4204</v>
      </c>
      <c r="D1562" s="2" t="s">
        <v>48</v>
      </c>
      <c r="E1562" s="2" t="s">
        <v>1185</v>
      </c>
      <c r="F1562" s="2" t="s">
        <v>1186</v>
      </c>
      <c r="G1562" s="2" t="s">
        <v>4297</v>
      </c>
    </row>
    <row r="1563" customFormat="false" ht="15" hidden="false" customHeight="false" outlineLevel="0" collapsed="false">
      <c r="A1563" s="2" t="s">
        <v>4298</v>
      </c>
      <c r="B1563" s="2" t="s">
        <v>126</v>
      </c>
      <c r="C1563" s="2" t="s">
        <v>4204</v>
      </c>
      <c r="D1563" s="2" t="s">
        <v>48</v>
      </c>
      <c r="E1563" s="2" t="s">
        <v>1185</v>
      </c>
      <c r="F1563" s="2" t="s">
        <v>1186</v>
      </c>
      <c r="G1563" s="2" t="s">
        <v>4299</v>
      </c>
    </row>
    <row r="1564" customFormat="false" ht="15" hidden="false" customHeight="false" outlineLevel="0" collapsed="false">
      <c r="A1564" s="2" t="s">
        <v>4300</v>
      </c>
      <c r="B1564" s="2" t="s">
        <v>126</v>
      </c>
      <c r="C1564" s="2" t="s">
        <v>4204</v>
      </c>
      <c r="D1564" s="2" t="s">
        <v>48</v>
      </c>
      <c r="E1564" s="2" t="s">
        <v>1185</v>
      </c>
      <c r="F1564" s="2" t="s">
        <v>1186</v>
      </c>
      <c r="G1564" s="2" t="s">
        <v>4301</v>
      </c>
    </row>
    <row r="1565" customFormat="false" ht="15" hidden="false" customHeight="false" outlineLevel="0" collapsed="false">
      <c r="A1565" s="2" t="s">
        <v>4302</v>
      </c>
      <c r="B1565" s="2" t="s">
        <v>126</v>
      </c>
      <c r="C1565" s="2" t="s">
        <v>4204</v>
      </c>
      <c r="D1565" s="2" t="s">
        <v>48</v>
      </c>
      <c r="E1565" s="2" t="s">
        <v>1185</v>
      </c>
      <c r="F1565" s="2" t="s">
        <v>1186</v>
      </c>
      <c r="G1565" s="2" t="s">
        <v>4303</v>
      </c>
    </row>
    <row r="1566" customFormat="false" ht="15" hidden="false" customHeight="false" outlineLevel="0" collapsed="false">
      <c r="A1566" s="2" t="s">
        <v>4304</v>
      </c>
      <c r="B1566" s="2" t="s">
        <v>126</v>
      </c>
      <c r="C1566" s="2" t="s">
        <v>4204</v>
      </c>
      <c r="D1566" s="2" t="s">
        <v>48</v>
      </c>
      <c r="E1566" s="2" t="s">
        <v>1185</v>
      </c>
      <c r="F1566" s="2" t="s">
        <v>1186</v>
      </c>
      <c r="G1566" s="2" t="s">
        <v>4305</v>
      </c>
    </row>
    <row r="1567" customFormat="false" ht="15" hidden="false" customHeight="false" outlineLevel="0" collapsed="false">
      <c r="A1567" s="2" t="s">
        <v>4306</v>
      </c>
      <c r="B1567" s="2" t="s">
        <v>126</v>
      </c>
      <c r="C1567" s="2" t="s">
        <v>4204</v>
      </c>
      <c r="D1567" s="2" t="s">
        <v>48</v>
      </c>
      <c r="E1567" s="2" t="s">
        <v>1185</v>
      </c>
      <c r="F1567" s="2" t="s">
        <v>1186</v>
      </c>
      <c r="G1567" s="2" t="s">
        <v>4307</v>
      </c>
    </row>
    <row r="1568" customFormat="false" ht="15" hidden="false" customHeight="false" outlineLevel="0" collapsed="false">
      <c r="A1568" s="2" t="s">
        <v>4308</v>
      </c>
      <c r="B1568" s="2" t="s">
        <v>126</v>
      </c>
      <c r="C1568" s="2" t="s">
        <v>4204</v>
      </c>
      <c r="D1568" s="2" t="s">
        <v>48</v>
      </c>
      <c r="E1568" s="2" t="s">
        <v>1185</v>
      </c>
      <c r="F1568" s="2" t="s">
        <v>1186</v>
      </c>
      <c r="G1568" s="2" t="s">
        <v>4309</v>
      </c>
    </row>
    <row r="1569" customFormat="false" ht="15" hidden="false" customHeight="false" outlineLevel="0" collapsed="false">
      <c r="A1569" s="2" t="s">
        <v>4310</v>
      </c>
      <c r="B1569" s="2" t="s">
        <v>126</v>
      </c>
      <c r="C1569" s="2" t="s">
        <v>4204</v>
      </c>
      <c r="D1569" s="2" t="s">
        <v>48</v>
      </c>
      <c r="E1569" s="2" t="s">
        <v>1185</v>
      </c>
      <c r="F1569" s="2" t="s">
        <v>1186</v>
      </c>
      <c r="G1569" s="2" t="s">
        <v>4311</v>
      </c>
    </row>
    <row r="1570" customFormat="false" ht="15" hidden="false" customHeight="false" outlineLevel="0" collapsed="false">
      <c r="A1570" s="2" t="s">
        <v>4312</v>
      </c>
      <c r="B1570" s="2" t="s">
        <v>126</v>
      </c>
      <c r="C1570" s="2" t="s">
        <v>4204</v>
      </c>
      <c r="D1570" s="2" t="s">
        <v>48</v>
      </c>
      <c r="E1570" s="2" t="s">
        <v>1185</v>
      </c>
      <c r="F1570" s="2" t="s">
        <v>1186</v>
      </c>
      <c r="G1570" s="2" t="s">
        <v>4313</v>
      </c>
    </row>
    <row r="1571" customFormat="false" ht="15" hidden="false" customHeight="false" outlineLevel="0" collapsed="false">
      <c r="A1571" s="2" t="s">
        <v>4314</v>
      </c>
      <c r="B1571" s="2" t="s">
        <v>126</v>
      </c>
      <c r="C1571" s="2" t="s">
        <v>4204</v>
      </c>
      <c r="D1571" s="2" t="s">
        <v>48</v>
      </c>
      <c r="E1571" s="2" t="s">
        <v>1185</v>
      </c>
      <c r="F1571" s="2" t="s">
        <v>1186</v>
      </c>
      <c r="G1571" s="2" t="s">
        <v>4315</v>
      </c>
    </row>
    <row r="1572" customFormat="false" ht="15" hidden="false" customHeight="false" outlineLevel="0" collapsed="false">
      <c r="A1572" s="2" t="s">
        <v>4316</v>
      </c>
      <c r="B1572" s="2" t="s">
        <v>126</v>
      </c>
      <c r="C1572" s="2" t="s">
        <v>4204</v>
      </c>
      <c r="D1572" s="2" t="s">
        <v>48</v>
      </c>
      <c r="E1572" s="2" t="s">
        <v>1185</v>
      </c>
      <c r="F1572" s="2" t="s">
        <v>1186</v>
      </c>
      <c r="G1572" s="2" t="s">
        <v>4317</v>
      </c>
    </row>
    <row r="1573" customFormat="false" ht="15" hidden="false" customHeight="false" outlineLevel="0" collapsed="false">
      <c r="A1573" s="2" t="s">
        <v>4318</v>
      </c>
      <c r="B1573" s="2" t="s">
        <v>126</v>
      </c>
      <c r="C1573" s="2" t="s">
        <v>4204</v>
      </c>
      <c r="D1573" s="2" t="s">
        <v>48</v>
      </c>
      <c r="E1573" s="2" t="s">
        <v>1185</v>
      </c>
      <c r="F1573" s="2" t="s">
        <v>1186</v>
      </c>
      <c r="G1573" s="2" t="s">
        <v>4319</v>
      </c>
    </row>
    <row r="1574" customFormat="false" ht="15" hidden="false" customHeight="false" outlineLevel="0" collapsed="false">
      <c r="A1574" s="2" t="s">
        <v>4320</v>
      </c>
      <c r="B1574" s="2" t="s">
        <v>126</v>
      </c>
      <c r="C1574" s="2" t="s">
        <v>4204</v>
      </c>
      <c r="D1574" s="2" t="s">
        <v>48</v>
      </c>
      <c r="E1574" s="2" t="s">
        <v>1185</v>
      </c>
      <c r="F1574" s="2" t="s">
        <v>1186</v>
      </c>
      <c r="G1574" s="2" t="s">
        <v>4321</v>
      </c>
    </row>
    <row r="1575" customFormat="false" ht="15" hidden="false" customHeight="false" outlineLevel="0" collapsed="false">
      <c r="A1575" s="2" t="s">
        <v>4322</v>
      </c>
      <c r="B1575" s="2" t="s">
        <v>126</v>
      </c>
      <c r="C1575" s="2" t="s">
        <v>4204</v>
      </c>
      <c r="D1575" s="2" t="s">
        <v>48</v>
      </c>
      <c r="E1575" s="2" t="s">
        <v>1185</v>
      </c>
      <c r="F1575" s="2" t="s">
        <v>1186</v>
      </c>
      <c r="G1575" s="2" t="s">
        <v>4323</v>
      </c>
    </row>
    <row r="1576" customFormat="false" ht="15" hidden="false" customHeight="false" outlineLevel="0" collapsed="false">
      <c r="A1576" s="2" t="s">
        <v>4324</v>
      </c>
      <c r="B1576" s="2" t="s">
        <v>126</v>
      </c>
      <c r="C1576" s="2" t="s">
        <v>4204</v>
      </c>
      <c r="D1576" s="2" t="s">
        <v>48</v>
      </c>
      <c r="E1576" s="2" t="s">
        <v>1185</v>
      </c>
      <c r="F1576" s="2" t="s">
        <v>1186</v>
      </c>
      <c r="G1576" s="2" t="s">
        <v>4325</v>
      </c>
    </row>
    <row r="1577" customFormat="false" ht="15" hidden="false" customHeight="false" outlineLevel="0" collapsed="false">
      <c r="A1577" s="2" t="s">
        <v>4326</v>
      </c>
      <c r="B1577" s="2" t="s">
        <v>126</v>
      </c>
      <c r="C1577" s="2" t="s">
        <v>4204</v>
      </c>
      <c r="D1577" s="2" t="s">
        <v>48</v>
      </c>
      <c r="E1577" s="2" t="s">
        <v>1185</v>
      </c>
      <c r="F1577" s="2" t="s">
        <v>1186</v>
      </c>
      <c r="G1577" s="2" t="s">
        <v>4327</v>
      </c>
    </row>
    <row r="1578" customFormat="false" ht="15" hidden="false" customHeight="false" outlineLevel="0" collapsed="false">
      <c r="A1578" s="2" t="s">
        <v>4328</v>
      </c>
      <c r="B1578" s="2" t="s">
        <v>126</v>
      </c>
      <c r="C1578" s="2" t="s">
        <v>4204</v>
      </c>
      <c r="D1578" s="2" t="s">
        <v>48</v>
      </c>
      <c r="E1578" s="2" t="s">
        <v>1185</v>
      </c>
      <c r="F1578" s="2" t="s">
        <v>1186</v>
      </c>
      <c r="G1578" s="2" t="s">
        <v>4329</v>
      </c>
    </row>
    <row r="1579" customFormat="false" ht="15" hidden="false" customHeight="false" outlineLevel="0" collapsed="false">
      <c r="A1579" s="2" t="s">
        <v>4330</v>
      </c>
      <c r="B1579" s="2" t="s">
        <v>126</v>
      </c>
      <c r="C1579" s="2" t="s">
        <v>4204</v>
      </c>
      <c r="D1579" s="2" t="s">
        <v>48</v>
      </c>
      <c r="E1579" s="2" t="s">
        <v>1185</v>
      </c>
      <c r="F1579" s="2" t="s">
        <v>1186</v>
      </c>
      <c r="G1579" s="2" t="s">
        <v>4331</v>
      </c>
    </row>
    <row r="1580" customFormat="false" ht="15" hidden="false" customHeight="false" outlineLevel="0" collapsed="false">
      <c r="A1580" s="2" t="s">
        <v>4332</v>
      </c>
      <c r="B1580" s="2" t="s">
        <v>126</v>
      </c>
      <c r="C1580" s="2" t="s">
        <v>4204</v>
      </c>
      <c r="D1580" s="2" t="s">
        <v>48</v>
      </c>
      <c r="E1580" s="2" t="s">
        <v>1185</v>
      </c>
      <c r="F1580" s="2" t="s">
        <v>1186</v>
      </c>
      <c r="G1580" s="2" t="s">
        <v>4333</v>
      </c>
    </row>
    <row r="1581" customFormat="false" ht="15" hidden="false" customHeight="false" outlineLevel="0" collapsed="false">
      <c r="A1581" s="2" t="s">
        <v>4334</v>
      </c>
      <c r="B1581" s="2" t="s">
        <v>126</v>
      </c>
      <c r="C1581" s="2" t="s">
        <v>4204</v>
      </c>
      <c r="D1581" s="2" t="s">
        <v>48</v>
      </c>
      <c r="E1581" s="2" t="s">
        <v>1185</v>
      </c>
      <c r="F1581" s="2" t="s">
        <v>1186</v>
      </c>
      <c r="G1581" s="2" t="s">
        <v>4335</v>
      </c>
    </row>
    <row r="1582" customFormat="false" ht="15" hidden="false" customHeight="false" outlineLevel="0" collapsed="false">
      <c r="A1582" s="2" t="s">
        <v>4336</v>
      </c>
      <c r="B1582" s="2" t="s">
        <v>126</v>
      </c>
      <c r="C1582" s="2" t="s">
        <v>4204</v>
      </c>
      <c r="D1582" s="2" t="s">
        <v>48</v>
      </c>
      <c r="E1582" s="2" t="s">
        <v>1185</v>
      </c>
      <c r="F1582" s="2" t="s">
        <v>1186</v>
      </c>
      <c r="G1582" s="2" t="s">
        <v>4337</v>
      </c>
    </row>
    <row r="1583" customFormat="false" ht="15" hidden="false" customHeight="false" outlineLevel="0" collapsed="false">
      <c r="A1583" s="2" t="s">
        <v>4338</v>
      </c>
      <c r="B1583" s="2" t="s">
        <v>126</v>
      </c>
      <c r="C1583" s="2" t="s">
        <v>4204</v>
      </c>
      <c r="D1583" s="2" t="s">
        <v>48</v>
      </c>
      <c r="E1583" s="2" t="s">
        <v>1185</v>
      </c>
      <c r="F1583" s="2" t="s">
        <v>1186</v>
      </c>
      <c r="G1583" s="2" t="s">
        <v>4339</v>
      </c>
    </row>
    <row r="1584" customFormat="false" ht="15" hidden="false" customHeight="false" outlineLevel="0" collapsed="false">
      <c r="A1584" s="2" t="s">
        <v>4340</v>
      </c>
      <c r="B1584" s="2" t="s">
        <v>126</v>
      </c>
      <c r="C1584" s="2" t="s">
        <v>4204</v>
      </c>
      <c r="D1584" s="2" t="s">
        <v>48</v>
      </c>
      <c r="E1584" s="2" t="s">
        <v>1185</v>
      </c>
      <c r="F1584" s="2" t="s">
        <v>1186</v>
      </c>
      <c r="G1584" s="2" t="s">
        <v>4341</v>
      </c>
    </row>
    <row r="1585" customFormat="false" ht="15" hidden="false" customHeight="false" outlineLevel="0" collapsed="false">
      <c r="A1585" s="2" t="s">
        <v>4342</v>
      </c>
      <c r="B1585" s="2" t="s">
        <v>126</v>
      </c>
      <c r="C1585" s="2" t="s">
        <v>4204</v>
      </c>
      <c r="D1585" s="2" t="s">
        <v>48</v>
      </c>
      <c r="E1585" s="2" t="s">
        <v>1185</v>
      </c>
      <c r="F1585" s="2" t="s">
        <v>1186</v>
      </c>
      <c r="G1585" s="2" t="s">
        <v>4343</v>
      </c>
    </row>
    <row r="1586" customFormat="false" ht="15" hidden="false" customHeight="false" outlineLevel="0" collapsed="false">
      <c r="A1586" s="2" t="s">
        <v>4344</v>
      </c>
      <c r="B1586" s="2" t="s">
        <v>126</v>
      </c>
      <c r="C1586" s="2" t="s">
        <v>4204</v>
      </c>
      <c r="D1586" s="2" t="s">
        <v>48</v>
      </c>
      <c r="E1586" s="2" t="s">
        <v>1185</v>
      </c>
      <c r="F1586" s="2" t="s">
        <v>1186</v>
      </c>
      <c r="G1586" s="2" t="s">
        <v>4345</v>
      </c>
    </row>
    <row r="1587" customFormat="false" ht="15" hidden="false" customHeight="false" outlineLevel="0" collapsed="false">
      <c r="A1587" s="2" t="s">
        <v>4346</v>
      </c>
      <c r="B1587" s="2" t="s">
        <v>126</v>
      </c>
      <c r="C1587" s="2" t="s">
        <v>4204</v>
      </c>
      <c r="D1587" s="2" t="s">
        <v>48</v>
      </c>
      <c r="E1587" s="2" t="s">
        <v>1185</v>
      </c>
      <c r="F1587" s="2" t="s">
        <v>1186</v>
      </c>
      <c r="G1587" s="2" t="s">
        <v>4347</v>
      </c>
    </row>
    <row r="1588" customFormat="false" ht="15" hidden="false" customHeight="false" outlineLevel="0" collapsed="false">
      <c r="A1588" s="2" t="s">
        <v>4348</v>
      </c>
      <c r="B1588" s="2" t="s">
        <v>126</v>
      </c>
      <c r="C1588" s="2" t="s">
        <v>4204</v>
      </c>
      <c r="D1588" s="2" t="s">
        <v>48</v>
      </c>
      <c r="E1588" s="2" t="s">
        <v>1185</v>
      </c>
      <c r="F1588" s="2" t="s">
        <v>1186</v>
      </c>
      <c r="G1588" s="2" t="s">
        <v>4349</v>
      </c>
    </row>
    <row r="1589" customFormat="false" ht="15" hidden="false" customHeight="false" outlineLevel="0" collapsed="false">
      <c r="A1589" s="2" t="s">
        <v>4350</v>
      </c>
      <c r="B1589" s="2" t="s">
        <v>126</v>
      </c>
      <c r="C1589" s="2" t="s">
        <v>4204</v>
      </c>
      <c r="D1589" s="2" t="s">
        <v>48</v>
      </c>
      <c r="E1589" s="2" t="s">
        <v>1185</v>
      </c>
      <c r="F1589" s="2" t="s">
        <v>1186</v>
      </c>
      <c r="G1589" s="2" t="s">
        <v>4351</v>
      </c>
    </row>
    <row r="1590" customFormat="false" ht="15" hidden="false" customHeight="false" outlineLevel="0" collapsed="false">
      <c r="A1590" s="2" t="s">
        <v>4352</v>
      </c>
      <c r="B1590" s="2" t="s">
        <v>126</v>
      </c>
      <c r="C1590" s="2" t="s">
        <v>4204</v>
      </c>
      <c r="D1590" s="2" t="s">
        <v>48</v>
      </c>
      <c r="E1590" s="2" t="s">
        <v>1185</v>
      </c>
      <c r="F1590" s="2" t="s">
        <v>1186</v>
      </c>
      <c r="G1590" s="2" t="s">
        <v>4353</v>
      </c>
    </row>
    <row r="1591" customFormat="false" ht="15" hidden="false" customHeight="false" outlineLevel="0" collapsed="false">
      <c r="A1591" s="2" t="s">
        <v>4354</v>
      </c>
      <c r="B1591" s="2" t="s">
        <v>126</v>
      </c>
      <c r="C1591" s="2" t="s">
        <v>4204</v>
      </c>
      <c r="D1591" s="2" t="s">
        <v>48</v>
      </c>
      <c r="E1591" s="2" t="s">
        <v>1185</v>
      </c>
      <c r="F1591" s="2" t="s">
        <v>1186</v>
      </c>
      <c r="G1591" s="2" t="s">
        <v>4355</v>
      </c>
    </row>
    <row r="1592" customFormat="false" ht="15" hidden="false" customHeight="false" outlineLevel="0" collapsed="false">
      <c r="A1592" s="2" t="s">
        <v>4356</v>
      </c>
      <c r="B1592" s="2" t="s">
        <v>126</v>
      </c>
      <c r="C1592" s="2" t="s">
        <v>4204</v>
      </c>
      <c r="D1592" s="2" t="s">
        <v>48</v>
      </c>
      <c r="E1592" s="2" t="s">
        <v>1185</v>
      </c>
      <c r="F1592" s="2" t="s">
        <v>1186</v>
      </c>
      <c r="G1592" s="2" t="s">
        <v>4357</v>
      </c>
    </row>
    <row r="1593" customFormat="false" ht="15" hidden="false" customHeight="false" outlineLevel="0" collapsed="false">
      <c r="A1593" s="2" t="s">
        <v>4358</v>
      </c>
      <c r="B1593" s="2" t="s">
        <v>126</v>
      </c>
      <c r="C1593" s="2" t="s">
        <v>4204</v>
      </c>
      <c r="D1593" s="2" t="s">
        <v>48</v>
      </c>
      <c r="E1593" s="2" t="s">
        <v>1185</v>
      </c>
      <c r="F1593" s="2" t="s">
        <v>1186</v>
      </c>
      <c r="G1593" s="2" t="s">
        <v>4359</v>
      </c>
    </row>
    <row r="1594" customFormat="false" ht="15" hidden="false" customHeight="false" outlineLevel="0" collapsed="false">
      <c r="A1594" s="2" t="s">
        <v>4360</v>
      </c>
      <c r="B1594" s="2" t="s">
        <v>126</v>
      </c>
      <c r="C1594" s="2" t="s">
        <v>4204</v>
      </c>
      <c r="D1594" s="2" t="s">
        <v>48</v>
      </c>
      <c r="E1594" s="2" t="s">
        <v>1185</v>
      </c>
      <c r="F1594" s="2" t="s">
        <v>1186</v>
      </c>
      <c r="G1594" s="2" t="s">
        <v>4361</v>
      </c>
    </row>
    <row r="1595" customFormat="false" ht="15" hidden="false" customHeight="false" outlineLevel="0" collapsed="false">
      <c r="A1595" s="2" t="s">
        <v>4362</v>
      </c>
      <c r="B1595" s="2" t="s">
        <v>126</v>
      </c>
      <c r="C1595" s="2" t="s">
        <v>4204</v>
      </c>
      <c r="D1595" s="2" t="s">
        <v>48</v>
      </c>
      <c r="E1595" s="2" t="s">
        <v>1185</v>
      </c>
      <c r="F1595" s="2" t="s">
        <v>1186</v>
      </c>
      <c r="G1595" s="2" t="s">
        <v>4363</v>
      </c>
    </row>
    <row r="1596" customFormat="false" ht="15" hidden="false" customHeight="false" outlineLevel="0" collapsed="false">
      <c r="A1596" s="2" t="s">
        <v>4364</v>
      </c>
      <c r="B1596" s="2" t="s">
        <v>126</v>
      </c>
      <c r="C1596" s="2" t="s">
        <v>4204</v>
      </c>
      <c r="D1596" s="2" t="s">
        <v>48</v>
      </c>
      <c r="E1596" s="2" t="s">
        <v>1185</v>
      </c>
      <c r="F1596" s="2" t="s">
        <v>1186</v>
      </c>
      <c r="G1596" s="2" t="s">
        <v>4365</v>
      </c>
    </row>
    <row r="1597" customFormat="false" ht="15" hidden="false" customHeight="false" outlineLevel="0" collapsed="false">
      <c r="A1597" s="2" t="s">
        <v>4366</v>
      </c>
      <c r="B1597" s="2" t="s">
        <v>126</v>
      </c>
      <c r="C1597" s="2" t="s">
        <v>4204</v>
      </c>
      <c r="D1597" s="2" t="s">
        <v>48</v>
      </c>
      <c r="E1597" s="2" t="s">
        <v>1185</v>
      </c>
      <c r="F1597" s="2" t="s">
        <v>1186</v>
      </c>
      <c r="G1597" s="2" t="s">
        <v>4367</v>
      </c>
    </row>
    <row r="1598" customFormat="false" ht="15" hidden="false" customHeight="false" outlineLevel="0" collapsed="false">
      <c r="A1598" s="2" t="s">
        <v>4368</v>
      </c>
      <c r="B1598" s="2" t="s">
        <v>126</v>
      </c>
      <c r="C1598" s="2" t="s">
        <v>4204</v>
      </c>
      <c r="D1598" s="2" t="s">
        <v>48</v>
      </c>
      <c r="E1598" s="2" t="s">
        <v>1185</v>
      </c>
      <c r="F1598" s="2" t="s">
        <v>1186</v>
      </c>
      <c r="G1598" s="2" t="s">
        <v>4369</v>
      </c>
    </row>
    <row r="1599" customFormat="false" ht="15" hidden="false" customHeight="false" outlineLevel="0" collapsed="false">
      <c r="A1599" s="2" t="s">
        <v>4370</v>
      </c>
      <c r="B1599" s="2" t="s">
        <v>126</v>
      </c>
      <c r="C1599" s="2" t="s">
        <v>4204</v>
      </c>
      <c r="D1599" s="2" t="s">
        <v>48</v>
      </c>
      <c r="E1599" s="2" t="s">
        <v>1185</v>
      </c>
      <c r="F1599" s="2" t="s">
        <v>1186</v>
      </c>
      <c r="G1599" s="2" t="s">
        <v>4371</v>
      </c>
    </row>
    <row r="1600" customFormat="false" ht="15" hidden="false" customHeight="false" outlineLevel="0" collapsed="false">
      <c r="A1600" s="2" t="s">
        <v>4372</v>
      </c>
      <c r="B1600" s="2" t="s">
        <v>126</v>
      </c>
      <c r="C1600" s="2" t="s">
        <v>4204</v>
      </c>
      <c r="D1600" s="2" t="s">
        <v>48</v>
      </c>
      <c r="E1600" s="2" t="s">
        <v>1185</v>
      </c>
      <c r="F1600" s="2" t="s">
        <v>1186</v>
      </c>
      <c r="G1600" s="2" t="s">
        <v>4373</v>
      </c>
    </row>
    <row r="1601" customFormat="false" ht="15" hidden="false" customHeight="false" outlineLevel="0" collapsed="false">
      <c r="A1601" s="2" t="s">
        <v>4374</v>
      </c>
      <c r="B1601" s="2" t="s">
        <v>126</v>
      </c>
      <c r="C1601" s="2" t="s">
        <v>4204</v>
      </c>
      <c r="D1601" s="2" t="s">
        <v>48</v>
      </c>
      <c r="E1601" s="2" t="s">
        <v>1185</v>
      </c>
      <c r="F1601" s="2" t="s">
        <v>1186</v>
      </c>
      <c r="G1601" s="2" t="s">
        <v>4375</v>
      </c>
    </row>
    <row r="1602" customFormat="false" ht="15" hidden="false" customHeight="false" outlineLevel="0" collapsed="false">
      <c r="A1602" s="2" t="s">
        <v>4376</v>
      </c>
      <c r="B1602" s="2" t="s">
        <v>126</v>
      </c>
      <c r="C1602" s="2" t="s">
        <v>4204</v>
      </c>
      <c r="D1602" s="2" t="s">
        <v>48</v>
      </c>
      <c r="E1602" s="2" t="s">
        <v>1185</v>
      </c>
      <c r="F1602" s="2" t="s">
        <v>1186</v>
      </c>
      <c r="G1602" s="2" t="s">
        <v>4377</v>
      </c>
    </row>
    <row r="1603" customFormat="false" ht="15" hidden="false" customHeight="false" outlineLevel="0" collapsed="false">
      <c r="A1603" s="2" t="s">
        <v>4378</v>
      </c>
      <c r="B1603" s="2" t="s">
        <v>126</v>
      </c>
      <c r="C1603" s="2" t="s">
        <v>4204</v>
      </c>
      <c r="D1603" s="2" t="s">
        <v>48</v>
      </c>
      <c r="E1603" s="2" t="s">
        <v>1185</v>
      </c>
      <c r="F1603" s="2" t="s">
        <v>1186</v>
      </c>
      <c r="G1603" s="2" t="s">
        <v>4379</v>
      </c>
    </row>
    <row r="1604" customFormat="false" ht="15" hidden="false" customHeight="false" outlineLevel="0" collapsed="false">
      <c r="A1604" s="2" t="s">
        <v>4380</v>
      </c>
      <c r="B1604" s="2" t="s">
        <v>126</v>
      </c>
      <c r="C1604" s="2" t="s">
        <v>4204</v>
      </c>
      <c r="D1604" s="2" t="s">
        <v>48</v>
      </c>
      <c r="E1604" s="2" t="s">
        <v>1185</v>
      </c>
      <c r="F1604" s="2" t="s">
        <v>1186</v>
      </c>
      <c r="G1604" s="2" t="s">
        <v>4381</v>
      </c>
    </row>
    <row r="1605" customFormat="false" ht="15" hidden="false" customHeight="false" outlineLevel="0" collapsed="false">
      <c r="A1605" s="2" t="s">
        <v>4382</v>
      </c>
      <c r="B1605" s="2" t="s">
        <v>126</v>
      </c>
      <c r="C1605" s="2" t="s">
        <v>4204</v>
      </c>
      <c r="D1605" s="2" t="s">
        <v>48</v>
      </c>
      <c r="E1605" s="2" t="s">
        <v>1185</v>
      </c>
      <c r="F1605" s="2" t="s">
        <v>1186</v>
      </c>
      <c r="G1605" s="2" t="s">
        <v>4383</v>
      </c>
    </row>
    <row r="1606" customFormat="false" ht="15" hidden="false" customHeight="false" outlineLevel="0" collapsed="false">
      <c r="A1606" s="2" t="s">
        <v>4384</v>
      </c>
      <c r="B1606" s="2" t="s">
        <v>126</v>
      </c>
      <c r="C1606" s="2" t="s">
        <v>4204</v>
      </c>
      <c r="D1606" s="2" t="s">
        <v>48</v>
      </c>
      <c r="E1606" s="2" t="s">
        <v>1185</v>
      </c>
      <c r="F1606" s="2" t="s">
        <v>1186</v>
      </c>
      <c r="G1606" s="2" t="s">
        <v>4385</v>
      </c>
    </row>
    <row r="1607" customFormat="false" ht="15" hidden="false" customHeight="false" outlineLevel="0" collapsed="false">
      <c r="A1607" s="2" t="s">
        <v>4386</v>
      </c>
      <c r="B1607" s="2" t="s">
        <v>126</v>
      </c>
      <c r="C1607" s="2" t="s">
        <v>4204</v>
      </c>
      <c r="D1607" s="2" t="s">
        <v>48</v>
      </c>
      <c r="E1607" s="2" t="s">
        <v>1185</v>
      </c>
      <c r="F1607" s="2" t="s">
        <v>1186</v>
      </c>
      <c r="G1607" s="2" t="s">
        <v>4387</v>
      </c>
    </row>
    <row r="1608" customFormat="false" ht="15" hidden="false" customHeight="false" outlineLevel="0" collapsed="false">
      <c r="A1608" s="2" t="s">
        <v>4388</v>
      </c>
      <c r="B1608" s="2" t="s">
        <v>126</v>
      </c>
      <c r="C1608" s="2" t="s">
        <v>4204</v>
      </c>
      <c r="D1608" s="2" t="s">
        <v>48</v>
      </c>
      <c r="E1608" s="2" t="s">
        <v>1185</v>
      </c>
      <c r="F1608" s="2" t="s">
        <v>1186</v>
      </c>
      <c r="G1608" s="2" t="s">
        <v>4389</v>
      </c>
    </row>
    <row r="1609" customFormat="false" ht="15" hidden="false" customHeight="false" outlineLevel="0" collapsed="false">
      <c r="A1609" s="2" t="s">
        <v>4390</v>
      </c>
      <c r="B1609" s="2" t="s">
        <v>126</v>
      </c>
      <c r="C1609" s="2" t="s">
        <v>4204</v>
      </c>
      <c r="D1609" s="2" t="s">
        <v>48</v>
      </c>
      <c r="E1609" s="2" t="s">
        <v>1185</v>
      </c>
      <c r="F1609" s="2" t="s">
        <v>1186</v>
      </c>
      <c r="G1609" s="2" t="s">
        <v>4391</v>
      </c>
    </row>
    <row r="1610" customFormat="false" ht="15" hidden="false" customHeight="false" outlineLevel="0" collapsed="false">
      <c r="A1610" s="2" t="s">
        <v>4392</v>
      </c>
      <c r="B1610" s="2" t="s">
        <v>126</v>
      </c>
      <c r="C1610" s="2" t="s">
        <v>4204</v>
      </c>
      <c r="D1610" s="2" t="s">
        <v>48</v>
      </c>
      <c r="E1610" s="2" t="s">
        <v>1185</v>
      </c>
      <c r="F1610" s="2" t="s">
        <v>1186</v>
      </c>
      <c r="G1610" s="2" t="s">
        <v>4393</v>
      </c>
    </row>
    <row r="1611" customFormat="false" ht="15" hidden="false" customHeight="false" outlineLevel="0" collapsed="false">
      <c r="A1611" s="2" t="s">
        <v>4394</v>
      </c>
      <c r="B1611" s="2" t="s">
        <v>126</v>
      </c>
      <c r="C1611" s="2" t="s">
        <v>4204</v>
      </c>
      <c r="D1611" s="2" t="s">
        <v>48</v>
      </c>
      <c r="E1611" s="2" t="s">
        <v>1185</v>
      </c>
      <c r="F1611" s="2" t="s">
        <v>1186</v>
      </c>
      <c r="G1611" s="2" t="s">
        <v>4395</v>
      </c>
    </row>
    <row r="1612" customFormat="false" ht="15" hidden="false" customHeight="false" outlineLevel="0" collapsed="false">
      <c r="A1612" s="2" t="s">
        <v>4396</v>
      </c>
      <c r="B1612" s="2" t="s">
        <v>126</v>
      </c>
      <c r="C1612" s="2" t="s">
        <v>4204</v>
      </c>
      <c r="D1612" s="2" t="s">
        <v>48</v>
      </c>
      <c r="E1612" s="2" t="s">
        <v>1185</v>
      </c>
      <c r="F1612" s="2" t="s">
        <v>1186</v>
      </c>
      <c r="G1612" s="2" t="s">
        <v>4397</v>
      </c>
    </row>
    <row r="1613" customFormat="false" ht="15" hidden="false" customHeight="false" outlineLevel="0" collapsed="false">
      <c r="A1613" s="2" t="s">
        <v>4398</v>
      </c>
      <c r="B1613" s="2" t="s">
        <v>126</v>
      </c>
      <c r="C1613" s="2" t="s">
        <v>4204</v>
      </c>
      <c r="D1613" s="2" t="s">
        <v>48</v>
      </c>
      <c r="E1613" s="2" t="s">
        <v>1185</v>
      </c>
      <c r="F1613" s="2" t="s">
        <v>1186</v>
      </c>
      <c r="G1613" s="2" t="s">
        <v>4399</v>
      </c>
    </row>
    <row r="1614" customFormat="false" ht="15" hidden="false" customHeight="false" outlineLevel="0" collapsed="false">
      <c r="A1614" s="2" t="s">
        <v>4400</v>
      </c>
      <c r="B1614" s="2" t="s">
        <v>126</v>
      </c>
      <c r="C1614" s="2" t="s">
        <v>4204</v>
      </c>
      <c r="D1614" s="2" t="s">
        <v>48</v>
      </c>
      <c r="E1614" s="2" t="s">
        <v>1185</v>
      </c>
      <c r="F1614" s="2" t="s">
        <v>1186</v>
      </c>
      <c r="G1614" s="2" t="s">
        <v>4401</v>
      </c>
    </row>
    <row r="1615" customFormat="false" ht="15" hidden="false" customHeight="false" outlineLevel="0" collapsed="false">
      <c r="A1615" s="2" t="s">
        <v>4402</v>
      </c>
      <c r="B1615" s="2" t="s">
        <v>126</v>
      </c>
      <c r="C1615" s="2" t="s">
        <v>4204</v>
      </c>
      <c r="D1615" s="2" t="s">
        <v>48</v>
      </c>
      <c r="E1615" s="2" t="s">
        <v>1185</v>
      </c>
      <c r="F1615" s="2" t="s">
        <v>1186</v>
      </c>
      <c r="G1615" s="2" t="s">
        <v>4403</v>
      </c>
    </row>
    <row r="1616" customFormat="false" ht="15" hidden="false" customHeight="false" outlineLevel="0" collapsed="false">
      <c r="A1616" s="2" t="s">
        <v>4404</v>
      </c>
      <c r="B1616" s="2" t="s">
        <v>126</v>
      </c>
      <c r="C1616" s="2" t="s">
        <v>4204</v>
      </c>
      <c r="D1616" s="2" t="s">
        <v>48</v>
      </c>
      <c r="E1616" s="2" t="s">
        <v>1185</v>
      </c>
      <c r="F1616" s="2" t="s">
        <v>1186</v>
      </c>
      <c r="G1616" s="2" t="s">
        <v>4405</v>
      </c>
    </row>
    <row r="1617" customFormat="false" ht="15" hidden="false" customHeight="false" outlineLevel="0" collapsed="false">
      <c r="A1617" s="2" t="s">
        <v>4406</v>
      </c>
      <c r="B1617" s="2" t="s">
        <v>126</v>
      </c>
      <c r="C1617" s="2" t="s">
        <v>4204</v>
      </c>
      <c r="D1617" s="2" t="s">
        <v>48</v>
      </c>
      <c r="E1617" s="2" t="s">
        <v>1185</v>
      </c>
      <c r="F1617" s="2" t="s">
        <v>1186</v>
      </c>
      <c r="G1617" s="2" t="s">
        <v>4407</v>
      </c>
    </row>
    <row r="1618" customFormat="false" ht="15" hidden="false" customHeight="false" outlineLevel="0" collapsed="false">
      <c r="A1618" s="2" t="s">
        <v>4408</v>
      </c>
      <c r="B1618" s="2" t="s">
        <v>126</v>
      </c>
      <c r="C1618" s="2" t="s">
        <v>4204</v>
      </c>
      <c r="D1618" s="2" t="s">
        <v>48</v>
      </c>
      <c r="E1618" s="2" t="s">
        <v>1185</v>
      </c>
      <c r="F1618" s="2" t="s">
        <v>1186</v>
      </c>
      <c r="G1618" s="2" t="s">
        <v>4409</v>
      </c>
    </row>
    <row r="1619" customFormat="false" ht="15" hidden="false" customHeight="false" outlineLevel="0" collapsed="false">
      <c r="A1619" s="2" t="s">
        <v>4410</v>
      </c>
      <c r="B1619" s="2" t="s">
        <v>126</v>
      </c>
      <c r="C1619" s="2" t="s">
        <v>4204</v>
      </c>
      <c r="D1619" s="2" t="s">
        <v>48</v>
      </c>
      <c r="E1619" s="2" t="s">
        <v>1185</v>
      </c>
      <c r="F1619" s="2" t="s">
        <v>1186</v>
      </c>
      <c r="G1619" s="2" t="s">
        <v>4411</v>
      </c>
    </row>
    <row r="1620" customFormat="false" ht="15" hidden="false" customHeight="false" outlineLevel="0" collapsed="false">
      <c r="A1620" s="2" t="s">
        <v>4412</v>
      </c>
      <c r="B1620" s="2" t="s">
        <v>126</v>
      </c>
      <c r="C1620" s="2" t="s">
        <v>4204</v>
      </c>
      <c r="D1620" s="2" t="s">
        <v>48</v>
      </c>
      <c r="E1620" s="2" t="s">
        <v>1185</v>
      </c>
      <c r="F1620" s="2" t="s">
        <v>1186</v>
      </c>
      <c r="G1620" s="2" t="s">
        <v>4413</v>
      </c>
    </row>
    <row r="1621" customFormat="false" ht="15" hidden="false" customHeight="false" outlineLevel="0" collapsed="false">
      <c r="A1621" s="2" t="s">
        <v>4414</v>
      </c>
      <c r="B1621" s="2" t="s">
        <v>126</v>
      </c>
      <c r="C1621" s="2" t="s">
        <v>2179</v>
      </c>
      <c r="D1621" s="2" t="s">
        <v>49</v>
      </c>
      <c r="E1621" s="2" t="s">
        <v>1563</v>
      </c>
      <c r="F1621" s="2" t="s">
        <v>1186</v>
      </c>
      <c r="G1621" s="2" t="s">
        <v>4415</v>
      </c>
    </row>
    <row r="1622" customFormat="false" ht="15" hidden="false" customHeight="false" outlineLevel="0" collapsed="false">
      <c r="A1622" s="2" t="s">
        <v>4416</v>
      </c>
      <c r="B1622" s="2" t="s">
        <v>126</v>
      </c>
      <c r="C1622" s="2" t="s">
        <v>2179</v>
      </c>
      <c r="D1622" s="2" t="s">
        <v>49</v>
      </c>
      <c r="E1622" s="2" t="s">
        <v>1563</v>
      </c>
      <c r="F1622" s="2" t="s">
        <v>1186</v>
      </c>
      <c r="G1622" s="2" t="s">
        <v>4417</v>
      </c>
    </row>
    <row r="1623" customFormat="false" ht="15" hidden="false" customHeight="false" outlineLevel="0" collapsed="false">
      <c r="A1623" s="2" t="s">
        <v>4418</v>
      </c>
      <c r="B1623" s="2" t="s">
        <v>126</v>
      </c>
      <c r="C1623" s="2" t="s">
        <v>4204</v>
      </c>
      <c r="D1623" s="2" t="s">
        <v>48</v>
      </c>
      <c r="E1623" s="2" t="s">
        <v>1185</v>
      </c>
      <c r="F1623" s="2" t="s">
        <v>1186</v>
      </c>
      <c r="G1623" s="2" t="s">
        <v>4419</v>
      </c>
    </row>
    <row r="1624" customFormat="false" ht="15" hidden="false" customHeight="false" outlineLevel="0" collapsed="false">
      <c r="A1624" s="2" t="s">
        <v>4420</v>
      </c>
      <c r="B1624" s="2" t="s">
        <v>126</v>
      </c>
      <c r="C1624" s="2" t="s">
        <v>2179</v>
      </c>
      <c r="D1624" s="2" t="s">
        <v>49</v>
      </c>
      <c r="E1624" s="2" t="s">
        <v>1563</v>
      </c>
      <c r="F1624" s="2" t="s">
        <v>1186</v>
      </c>
      <c r="G1624" s="2" t="s">
        <v>4421</v>
      </c>
    </row>
    <row r="1625" customFormat="false" ht="15" hidden="false" customHeight="false" outlineLevel="0" collapsed="false">
      <c r="A1625" s="2" t="s">
        <v>4422</v>
      </c>
      <c r="B1625" s="2" t="s">
        <v>126</v>
      </c>
      <c r="C1625" s="2" t="s">
        <v>2179</v>
      </c>
      <c r="D1625" s="2" t="s">
        <v>49</v>
      </c>
      <c r="E1625" s="2" t="s">
        <v>1563</v>
      </c>
      <c r="F1625" s="2" t="s">
        <v>1186</v>
      </c>
      <c r="G1625" s="2" t="s">
        <v>4423</v>
      </c>
    </row>
    <row r="1626" customFormat="false" ht="15" hidden="false" customHeight="false" outlineLevel="0" collapsed="false">
      <c r="A1626" s="2" t="s">
        <v>4424</v>
      </c>
      <c r="B1626" s="2" t="s">
        <v>126</v>
      </c>
      <c r="C1626" s="2" t="s">
        <v>2179</v>
      </c>
      <c r="D1626" s="2" t="s">
        <v>49</v>
      </c>
      <c r="E1626" s="2" t="s">
        <v>1563</v>
      </c>
      <c r="F1626" s="2" t="s">
        <v>1186</v>
      </c>
      <c r="G1626" s="2" t="s">
        <v>4425</v>
      </c>
    </row>
    <row r="1627" customFormat="false" ht="15" hidden="false" customHeight="false" outlineLevel="0" collapsed="false">
      <c r="A1627" s="2" t="s">
        <v>4426</v>
      </c>
      <c r="B1627" s="2" t="s">
        <v>126</v>
      </c>
      <c r="C1627" s="2" t="s">
        <v>2179</v>
      </c>
      <c r="D1627" s="2" t="s">
        <v>49</v>
      </c>
      <c r="E1627" s="2" t="s">
        <v>1563</v>
      </c>
      <c r="F1627" s="2" t="s">
        <v>1186</v>
      </c>
      <c r="G1627" s="2" t="s">
        <v>4427</v>
      </c>
    </row>
    <row r="1628" customFormat="false" ht="15" hidden="false" customHeight="false" outlineLevel="0" collapsed="false">
      <c r="A1628" s="2" t="s">
        <v>4428</v>
      </c>
      <c r="B1628" s="2" t="s">
        <v>126</v>
      </c>
      <c r="C1628" s="2" t="s">
        <v>2179</v>
      </c>
      <c r="D1628" s="2" t="s">
        <v>49</v>
      </c>
      <c r="E1628" s="2" t="s">
        <v>1563</v>
      </c>
      <c r="F1628" s="2" t="s">
        <v>1186</v>
      </c>
      <c r="G1628" s="2" t="s">
        <v>4429</v>
      </c>
    </row>
    <row r="1629" customFormat="false" ht="15" hidden="false" customHeight="false" outlineLevel="0" collapsed="false">
      <c r="A1629" s="2" t="s">
        <v>4430</v>
      </c>
      <c r="B1629" s="2" t="s">
        <v>126</v>
      </c>
      <c r="C1629" s="2" t="s">
        <v>2179</v>
      </c>
      <c r="D1629" s="2" t="s">
        <v>49</v>
      </c>
      <c r="E1629" s="2" t="s">
        <v>1563</v>
      </c>
      <c r="F1629" s="2" t="s">
        <v>1186</v>
      </c>
      <c r="G1629" s="2" t="s">
        <v>4431</v>
      </c>
    </row>
    <row r="1630" customFormat="false" ht="15" hidden="false" customHeight="false" outlineLevel="0" collapsed="false">
      <c r="A1630" s="2" t="s">
        <v>4432</v>
      </c>
      <c r="B1630" s="2" t="s">
        <v>126</v>
      </c>
      <c r="C1630" s="2" t="s">
        <v>2179</v>
      </c>
      <c r="D1630" s="2" t="s">
        <v>49</v>
      </c>
      <c r="E1630" s="2" t="s">
        <v>1563</v>
      </c>
      <c r="F1630" s="2" t="s">
        <v>1186</v>
      </c>
      <c r="G1630" s="2" t="s">
        <v>4433</v>
      </c>
    </row>
    <row r="1631" customFormat="false" ht="15" hidden="false" customHeight="false" outlineLevel="0" collapsed="false">
      <c r="A1631" s="2" t="s">
        <v>4434</v>
      </c>
      <c r="B1631" s="2" t="s">
        <v>126</v>
      </c>
      <c r="C1631" s="2" t="s">
        <v>2179</v>
      </c>
      <c r="D1631" s="2" t="s">
        <v>49</v>
      </c>
      <c r="E1631" s="2" t="s">
        <v>1563</v>
      </c>
      <c r="F1631" s="2" t="s">
        <v>1186</v>
      </c>
      <c r="G1631" s="2" t="s">
        <v>4435</v>
      </c>
    </row>
    <row r="1632" customFormat="false" ht="15" hidden="false" customHeight="false" outlineLevel="0" collapsed="false">
      <c r="A1632" s="2" t="s">
        <v>4436</v>
      </c>
      <c r="B1632" s="2" t="s">
        <v>126</v>
      </c>
      <c r="C1632" s="2" t="s">
        <v>2179</v>
      </c>
      <c r="D1632" s="2" t="s">
        <v>49</v>
      </c>
      <c r="E1632" s="2" t="s">
        <v>1563</v>
      </c>
      <c r="F1632" s="2" t="s">
        <v>1186</v>
      </c>
      <c r="G1632" s="2" t="s">
        <v>4437</v>
      </c>
    </row>
    <row r="1633" customFormat="false" ht="15" hidden="false" customHeight="false" outlineLevel="0" collapsed="false">
      <c r="A1633" s="2" t="s">
        <v>4438</v>
      </c>
      <c r="B1633" s="2" t="s">
        <v>126</v>
      </c>
      <c r="C1633" s="2" t="s">
        <v>2179</v>
      </c>
      <c r="D1633" s="2" t="s">
        <v>49</v>
      </c>
      <c r="E1633" s="2" t="s">
        <v>1563</v>
      </c>
      <c r="F1633" s="2" t="s">
        <v>1186</v>
      </c>
      <c r="G1633" s="2" t="s">
        <v>4439</v>
      </c>
    </row>
    <row r="1634" customFormat="false" ht="15" hidden="false" customHeight="false" outlineLevel="0" collapsed="false">
      <c r="A1634" s="2" t="s">
        <v>4440</v>
      </c>
      <c r="B1634" s="2" t="s">
        <v>126</v>
      </c>
      <c r="C1634" s="2" t="s">
        <v>2179</v>
      </c>
      <c r="D1634" s="2" t="s">
        <v>49</v>
      </c>
      <c r="E1634" s="2" t="s">
        <v>1563</v>
      </c>
      <c r="F1634" s="2" t="s">
        <v>1186</v>
      </c>
      <c r="G1634" s="2" t="s">
        <v>4441</v>
      </c>
    </row>
    <row r="1635" customFormat="false" ht="15" hidden="false" customHeight="false" outlineLevel="0" collapsed="false">
      <c r="A1635" s="2" t="s">
        <v>4442</v>
      </c>
      <c r="B1635" s="2" t="s">
        <v>126</v>
      </c>
      <c r="C1635" s="2" t="s">
        <v>2179</v>
      </c>
      <c r="D1635" s="2" t="s">
        <v>49</v>
      </c>
      <c r="E1635" s="2" t="s">
        <v>1563</v>
      </c>
      <c r="F1635" s="2" t="s">
        <v>1186</v>
      </c>
      <c r="G1635" s="2" t="s">
        <v>4443</v>
      </c>
    </row>
    <row r="1636" customFormat="false" ht="15" hidden="false" customHeight="false" outlineLevel="0" collapsed="false">
      <c r="A1636" s="2" t="s">
        <v>4444</v>
      </c>
      <c r="B1636" s="2" t="s">
        <v>126</v>
      </c>
      <c r="C1636" s="2" t="s">
        <v>2179</v>
      </c>
      <c r="D1636" s="2" t="s">
        <v>49</v>
      </c>
      <c r="E1636" s="2" t="s">
        <v>1563</v>
      </c>
      <c r="F1636" s="2" t="s">
        <v>1186</v>
      </c>
      <c r="G1636" s="2" t="s">
        <v>4445</v>
      </c>
    </row>
    <row r="1637" customFormat="false" ht="15" hidden="false" customHeight="false" outlineLevel="0" collapsed="false">
      <c r="A1637" s="2" t="s">
        <v>4446</v>
      </c>
      <c r="B1637" s="2" t="s">
        <v>126</v>
      </c>
      <c r="C1637" s="2" t="s">
        <v>2179</v>
      </c>
      <c r="D1637" s="2" t="s">
        <v>49</v>
      </c>
      <c r="E1637" s="2" t="s">
        <v>1563</v>
      </c>
      <c r="F1637" s="2" t="s">
        <v>1186</v>
      </c>
      <c r="G1637" s="2" t="s">
        <v>4447</v>
      </c>
    </row>
    <row r="1638" customFormat="false" ht="15" hidden="false" customHeight="false" outlineLevel="0" collapsed="false">
      <c r="A1638" s="2" t="s">
        <v>4448</v>
      </c>
      <c r="B1638" s="2" t="s">
        <v>126</v>
      </c>
      <c r="C1638" s="2" t="s">
        <v>2179</v>
      </c>
      <c r="D1638" s="2" t="s">
        <v>49</v>
      </c>
      <c r="E1638" s="2" t="s">
        <v>1563</v>
      </c>
      <c r="F1638" s="2" t="s">
        <v>1186</v>
      </c>
      <c r="G1638" s="2" t="s">
        <v>4449</v>
      </c>
    </row>
    <row r="1639" customFormat="false" ht="15" hidden="false" customHeight="false" outlineLevel="0" collapsed="false">
      <c r="A1639" s="2" t="s">
        <v>4450</v>
      </c>
      <c r="B1639" s="2" t="s">
        <v>126</v>
      </c>
      <c r="C1639" s="2" t="s">
        <v>2179</v>
      </c>
      <c r="D1639" s="2" t="s">
        <v>49</v>
      </c>
      <c r="E1639" s="2" t="s">
        <v>1563</v>
      </c>
      <c r="F1639" s="2" t="s">
        <v>1186</v>
      </c>
      <c r="G1639" s="2" t="s">
        <v>4451</v>
      </c>
    </row>
    <row r="1640" customFormat="false" ht="15" hidden="false" customHeight="false" outlineLevel="0" collapsed="false">
      <c r="A1640" s="2" t="s">
        <v>4452</v>
      </c>
      <c r="B1640" s="2" t="s">
        <v>126</v>
      </c>
      <c r="C1640" s="2" t="s">
        <v>2179</v>
      </c>
      <c r="D1640" s="2" t="s">
        <v>49</v>
      </c>
      <c r="E1640" s="2" t="s">
        <v>1563</v>
      </c>
      <c r="F1640" s="2" t="s">
        <v>1186</v>
      </c>
      <c r="G1640" s="2" t="s">
        <v>4453</v>
      </c>
    </row>
    <row r="1641" customFormat="false" ht="15" hidden="false" customHeight="false" outlineLevel="0" collapsed="false">
      <c r="A1641" s="2" t="s">
        <v>4454</v>
      </c>
      <c r="B1641" s="2" t="s">
        <v>126</v>
      </c>
      <c r="C1641" s="2" t="s">
        <v>2179</v>
      </c>
      <c r="D1641" s="2" t="s">
        <v>49</v>
      </c>
      <c r="E1641" s="2" t="s">
        <v>1563</v>
      </c>
      <c r="F1641" s="2" t="s">
        <v>1186</v>
      </c>
      <c r="G1641" s="2" t="s">
        <v>4455</v>
      </c>
    </row>
    <row r="1642" customFormat="false" ht="15" hidden="false" customHeight="false" outlineLevel="0" collapsed="false">
      <c r="A1642" s="2" t="s">
        <v>4456</v>
      </c>
      <c r="B1642" s="2" t="s">
        <v>126</v>
      </c>
      <c r="C1642" s="2" t="s">
        <v>2179</v>
      </c>
      <c r="D1642" s="2" t="s">
        <v>49</v>
      </c>
      <c r="E1642" s="2" t="s">
        <v>1563</v>
      </c>
      <c r="F1642" s="2" t="s">
        <v>1186</v>
      </c>
      <c r="G1642" s="2" t="s">
        <v>4457</v>
      </c>
    </row>
    <row r="1643" customFormat="false" ht="15" hidden="false" customHeight="false" outlineLevel="0" collapsed="false">
      <c r="A1643" s="2" t="s">
        <v>4458</v>
      </c>
      <c r="B1643" s="2" t="s">
        <v>126</v>
      </c>
      <c r="C1643" s="2" t="s">
        <v>2179</v>
      </c>
      <c r="D1643" s="2" t="s">
        <v>49</v>
      </c>
      <c r="E1643" s="2" t="s">
        <v>1563</v>
      </c>
      <c r="F1643" s="2" t="s">
        <v>1186</v>
      </c>
      <c r="G1643" s="2" t="s">
        <v>4459</v>
      </c>
    </row>
    <row r="1644" customFormat="false" ht="15" hidden="false" customHeight="false" outlineLevel="0" collapsed="false">
      <c r="A1644" s="2" t="s">
        <v>4460</v>
      </c>
      <c r="B1644" s="2" t="s">
        <v>126</v>
      </c>
      <c r="C1644" s="2" t="s">
        <v>2179</v>
      </c>
      <c r="D1644" s="2" t="s">
        <v>49</v>
      </c>
      <c r="E1644" s="2" t="s">
        <v>1563</v>
      </c>
      <c r="F1644" s="2" t="s">
        <v>1186</v>
      </c>
      <c r="G1644" s="2" t="s">
        <v>4461</v>
      </c>
    </row>
    <row r="1645" customFormat="false" ht="15" hidden="false" customHeight="false" outlineLevel="0" collapsed="false">
      <c r="A1645" s="2" t="s">
        <v>4462</v>
      </c>
      <c r="B1645" s="2" t="s">
        <v>126</v>
      </c>
      <c r="C1645" s="2" t="s">
        <v>2179</v>
      </c>
      <c r="D1645" s="2" t="s">
        <v>49</v>
      </c>
      <c r="E1645" s="2" t="s">
        <v>1563</v>
      </c>
      <c r="F1645" s="2" t="s">
        <v>1186</v>
      </c>
      <c r="G1645" s="2" t="s">
        <v>4463</v>
      </c>
    </row>
    <row r="1646" customFormat="false" ht="15" hidden="false" customHeight="false" outlineLevel="0" collapsed="false">
      <c r="A1646" s="2" t="s">
        <v>4464</v>
      </c>
      <c r="B1646" s="2" t="s">
        <v>126</v>
      </c>
      <c r="C1646" s="2" t="s">
        <v>2179</v>
      </c>
      <c r="D1646" s="2" t="s">
        <v>49</v>
      </c>
      <c r="E1646" s="2" t="s">
        <v>1563</v>
      </c>
      <c r="F1646" s="2" t="s">
        <v>1186</v>
      </c>
      <c r="G1646" s="2" t="s">
        <v>4465</v>
      </c>
    </row>
    <row r="1647" customFormat="false" ht="15" hidden="false" customHeight="false" outlineLevel="0" collapsed="false">
      <c r="A1647" s="2" t="s">
        <v>4466</v>
      </c>
      <c r="B1647" s="2" t="s">
        <v>126</v>
      </c>
      <c r="C1647" s="2" t="s">
        <v>2179</v>
      </c>
      <c r="D1647" s="2" t="s">
        <v>49</v>
      </c>
      <c r="E1647" s="2" t="s">
        <v>1563</v>
      </c>
      <c r="F1647" s="2" t="s">
        <v>1186</v>
      </c>
      <c r="G1647" s="2" t="s">
        <v>4467</v>
      </c>
    </row>
    <row r="1648" customFormat="false" ht="15" hidden="false" customHeight="false" outlineLevel="0" collapsed="false">
      <c r="A1648" s="2" t="s">
        <v>4468</v>
      </c>
      <c r="B1648" s="2" t="s">
        <v>126</v>
      </c>
      <c r="C1648" s="2" t="s">
        <v>2179</v>
      </c>
      <c r="D1648" s="2" t="s">
        <v>49</v>
      </c>
      <c r="E1648" s="2" t="s">
        <v>1563</v>
      </c>
      <c r="F1648" s="2" t="s">
        <v>1186</v>
      </c>
      <c r="G1648" s="2" t="s">
        <v>4469</v>
      </c>
    </row>
    <row r="1649" customFormat="false" ht="15" hidden="false" customHeight="false" outlineLevel="0" collapsed="false">
      <c r="A1649" s="2" t="s">
        <v>4470</v>
      </c>
      <c r="B1649" s="2" t="s">
        <v>126</v>
      </c>
      <c r="C1649" s="2" t="s">
        <v>2179</v>
      </c>
      <c r="D1649" s="2" t="s">
        <v>49</v>
      </c>
      <c r="E1649" s="2" t="s">
        <v>1563</v>
      </c>
      <c r="F1649" s="2" t="s">
        <v>1186</v>
      </c>
      <c r="G1649" s="2" t="s">
        <v>4471</v>
      </c>
    </row>
    <row r="1650" customFormat="false" ht="15" hidden="false" customHeight="false" outlineLevel="0" collapsed="false">
      <c r="A1650" s="2" t="s">
        <v>4472</v>
      </c>
      <c r="B1650" s="2" t="s">
        <v>126</v>
      </c>
      <c r="C1650" s="2" t="s">
        <v>2179</v>
      </c>
      <c r="D1650" s="2" t="s">
        <v>49</v>
      </c>
      <c r="E1650" s="2" t="s">
        <v>1563</v>
      </c>
      <c r="F1650" s="2" t="s">
        <v>1186</v>
      </c>
      <c r="G1650" s="2" t="s">
        <v>4473</v>
      </c>
    </row>
    <row r="1651" customFormat="false" ht="15" hidden="false" customHeight="false" outlineLevel="0" collapsed="false">
      <c r="A1651" s="2" t="s">
        <v>4474</v>
      </c>
      <c r="B1651" s="2" t="s">
        <v>126</v>
      </c>
      <c r="C1651" s="2" t="s">
        <v>2179</v>
      </c>
      <c r="D1651" s="2" t="s">
        <v>49</v>
      </c>
      <c r="E1651" s="2" t="s">
        <v>1563</v>
      </c>
      <c r="F1651" s="2" t="s">
        <v>1186</v>
      </c>
      <c r="G1651" s="2" t="s">
        <v>4475</v>
      </c>
    </row>
    <row r="1652" customFormat="false" ht="15" hidden="false" customHeight="false" outlineLevel="0" collapsed="false">
      <c r="A1652" s="2" t="s">
        <v>4476</v>
      </c>
      <c r="B1652" s="2" t="s">
        <v>126</v>
      </c>
      <c r="C1652" s="2" t="s">
        <v>2179</v>
      </c>
      <c r="D1652" s="2" t="s">
        <v>49</v>
      </c>
      <c r="E1652" s="2" t="s">
        <v>1563</v>
      </c>
      <c r="F1652" s="2" t="s">
        <v>1186</v>
      </c>
      <c r="G1652" s="2" t="s">
        <v>4477</v>
      </c>
    </row>
    <row r="1653" customFormat="false" ht="15" hidden="false" customHeight="false" outlineLevel="0" collapsed="false">
      <c r="A1653" s="2" t="s">
        <v>4478</v>
      </c>
      <c r="B1653" s="2" t="s">
        <v>126</v>
      </c>
      <c r="C1653" s="2" t="s">
        <v>2179</v>
      </c>
      <c r="D1653" s="2" t="s">
        <v>49</v>
      </c>
      <c r="E1653" s="2" t="s">
        <v>1563</v>
      </c>
      <c r="F1653" s="2" t="s">
        <v>1186</v>
      </c>
      <c r="G1653" s="2" t="s">
        <v>4479</v>
      </c>
    </row>
    <row r="1654" customFormat="false" ht="15" hidden="false" customHeight="false" outlineLevel="0" collapsed="false">
      <c r="A1654" s="2" t="s">
        <v>4480</v>
      </c>
      <c r="B1654" s="2" t="s">
        <v>126</v>
      </c>
      <c r="C1654" s="2" t="s">
        <v>4204</v>
      </c>
      <c r="D1654" s="2" t="s">
        <v>48</v>
      </c>
      <c r="E1654" s="2" t="s">
        <v>1185</v>
      </c>
      <c r="F1654" s="2" t="s">
        <v>1186</v>
      </c>
      <c r="G1654" s="2" t="s">
        <v>4481</v>
      </c>
    </row>
    <row r="1655" customFormat="false" ht="15" hidden="false" customHeight="false" outlineLevel="0" collapsed="false">
      <c r="A1655" s="2" t="s">
        <v>4482</v>
      </c>
      <c r="B1655" s="2" t="s">
        <v>126</v>
      </c>
      <c r="C1655" s="2" t="s">
        <v>4204</v>
      </c>
      <c r="D1655" s="2" t="s">
        <v>48</v>
      </c>
      <c r="E1655" s="2" t="s">
        <v>1185</v>
      </c>
      <c r="F1655" s="2" t="s">
        <v>1186</v>
      </c>
      <c r="G1655" s="2" t="s">
        <v>4483</v>
      </c>
    </row>
    <row r="1656" customFormat="false" ht="15" hidden="false" customHeight="false" outlineLevel="0" collapsed="false">
      <c r="A1656" s="2" t="s">
        <v>4484</v>
      </c>
      <c r="B1656" s="2" t="s">
        <v>126</v>
      </c>
      <c r="C1656" s="2" t="s">
        <v>4204</v>
      </c>
      <c r="D1656" s="2" t="s">
        <v>48</v>
      </c>
      <c r="E1656" s="2" t="s">
        <v>1185</v>
      </c>
      <c r="F1656" s="2" t="s">
        <v>1186</v>
      </c>
      <c r="G1656" s="2" t="s">
        <v>4485</v>
      </c>
    </row>
    <row r="1657" customFormat="false" ht="15" hidden="false" customHeight="false" outlineLevel="0" collapsed="false">
      <c r="A1657" s="2" t="s">
        <v>4486</v>
      </c>
      <c r="B1657" s="2" t="s">
        <v>126</v>
      </c>
      <c r="C1657" s="2" t="s">
        <v>4204</v>
      </c>
      <c r="D1657" s="2" t="s">
        <v>48</v>
      </c>
      <c r="E1657" s="2" t="s">
        <v>1185</v>
      </c>
      <c r="F1657" s="2" t="s">
        <v>1186</v>
      </c>
      <c r="G1657" s="2" t="s">
        <v>4487</v>
      </c>
    </row>
    <row r="1658" customFormat="false" ht="15" hidden="false" customHeight="false" outlineLevel="0" collapsed="false">
      <c r="A1658" s="2" t="s">
        <v>4488</v>
      </c>
      <c r="B1658" s="2" t="s">
        <v>126</v>
      </c>
      <c r="C1658" s="2" t="s">
        <v>2179</v>
      </c>
      <c r="D1658" s="2" t="s">
        <v>49</v>
      </c>
      <c r="E1658" s="2" t="s">
        <v>1563</v>
      </c>
      <c r="F1658" s="2" t="s">
        <v>1186</v>
      </c>
      <c r="G1658" s="2" t="s">
        <v>4489</v>
      </c>
    </row>
    <row r="1659" customFormat="false" ht="15" hidden="false" customHeight="false" outlineLevel="0" collapsed="false">
      <c r="A1659" s="2" t="s">
        <v>4490</v>
      </c>
      <c r="B1659" s="2" t="s">
        <v>126</v>
      </c>
      <c r="C1659" s="2" t="s">
        <v>2179</v>
      </c>
      <c r="D1659" s="2" t="s">
        <v>49</v>
      </c>
      <c r="E1659" s="2" t="s">
        <v>1563</v>
      </c>
      <c r="F1659" s="2" t="s">
        <v>1186</v>
      </c>
      <c r="G1659" s="2" t="s">
        <v>4491</v>
      </c>
    </row>
    <row r="1660" customFormat="false" ht="15" hidden="false" customHeight="false" outlineLevel="0" collapsed="false">
      <c r="A1660" s="2" t="s">
        <v>4492</v>
      </c>
      <c r="B1660" s="2" t="s">
        <v>126</v>
      </c>
      <c r="C1660" s="2" t="s">
        <v>2179</v>
      </c>
      <c r="D1660" s="2" t="s">
        <v>49</v>
      </c>
      <c r="E1660" s="2" t="s">
        <v>1563</v>
      </c>
      <c r="F1660" s="2" t="s">
        <v>1186</v>
      </c>
      <c r="G1660" s="2" t="s">
        <v>4493</v>
      </c>
    </row>
    <row r="1661" customFormat="false" ht="15" hidden="false" customHeight="false" outlineLevel="0" collapsed="false">
      <c r="A1661" s="2" t="s">
        <v>4494</v>
      </c>
      <c r="B1661" s="2" t="s">
        <v>126</v>
      </c>
      <c r="C1661" s="2" t="s">
        <v>4495</v>
      </c>
      <c r="D1661" s="2" t="s">
        <v>50</v>
      </c>
      <c r="E1661" s="2" t="s">
        <v>1194</v>
      </c>
      <c r="F1661" s="2" t="s">
        <v>1186</v>
      </c>
      <c r="G1661" s="2" t="s">
        <v>4496</v>
      </c>
    </row>
    <row r="1662" customFormat="false" ht="15" hidden="false" customHeight="false" outlineLevel="0" collapsed="false">
      <c r="A1662" s="2" t="s">
        <v>4497</v>
      </c>
      <c r="B1662" s="2" t="s">
        <v>126</v>
      </c>
      <c r="C1662" s="2" t="s">
        <v>4495</v>
      </c>
      <c r="D1662" s="2" t="s">
        <v>50</v>
      </c>
      <c r="E1662" s="2" t="s">
        <v>1194</v>
      </c>
      <c r="F1662" s="2" t="s">
        <v>1186</v>
      </c>
      <c r="G1662" s="2" t="s">
        <v>4498</v>
      </c>
    </row>
    <row r="1663" customFormat="false" ht="15" hidden="false" customHeight="false" outlineLevel="0" collapsed="false">
      <c r="A1663" s="2" t="s">
        <v>4499</v>
      </c>
      <c r="B1663" s="2" t="s">
        <v>126</v>
      </c>
      <c r="C1663" s="2" t="s">
        <v>4495</v>
      </c>
      <c r="D1663" s="2" t="s">
        <v>50</v>
      </c>
      <c r="E1663" s="2" t="s">
        <v>1194</v>
      </c>
      <c r="F1663" s="2" t="s">
        <v>1186</v>
      </c>
      <c r="G1663" s="2" t="s">
        <v>4500</v>
      </c>
    </row>
    <row r="1664" customFormat="false" ht="15" hidden="false" customHeight="false" outlineLevel="0" collapsed="false">
      <c r="A1664" s="2" t="s">
        <v>4501</v>
      </c>
      <c r="B1664" s="2" t="s">
        <v>126</v>
      </c>
      <c r="C1664" s="2" t="s">
        <v>4495</v>
      </c>
      <c r="D1664" s="2" t="s">
        <v>50</v>
      </c>
      <c r="E1664" s="2" t="s">
        <v>1194</v>
      </c>
      <c r="F1664" s="2" t="s">
        <v>1186</v>
      </c>
      <c r="G1664" s="2" t="s">
        <v>4502</v>
      </c>
    </row>
    <row r="1665" customFormat="false" ht="15" hidden="false" customHeight="false" outlineLevel="0" collapsed="false">
      <c r="A1665" s="2" t="s">
        <v>4503</v>
      </c>
      <c r="B1665" s="2" t="s">
        <v>126</v>
      </c>
      <c r="C1665" s="2" t="s">
        <v>4495</v>
      </c>
      <c r="D1665" s="2" t="s">
        <v>50</v>
      </c>
      <c r="E1665" s="2" t="s">
        <v>1194</v>
      </c>
      <c r="F1665" s="2" t="s">
        <v>1186</v>
      </c>
      <c r="G1665" s="2" t="s">
        <v>4504</v>
      </c>
    </row>
    <row r="1666" customFormat="false" ht="15" hidden="false" customHeight="false" outlineLevel="0" collapsed="false">
      <c r="A1666" s="2" t="s">
        <v>4505</v>
      </c>
      <c r="B1666" s="2" t="s">
        <v>126</v>
      </c>
      <c r="C1666" s="2" t="s">
        <v>4495</v>
      </c>
      <c r="D1666" s="2" t="s">
        <v>50</v>
      </c>
      <c r="E1666" s="2" t="s">
        <v>1194</v>
      </c>
      <c r="F1666" s="2" t="s">
        <v>1186</v>
      </c>
      <c r="G1666" s="2" t="s">
        <v>4506</v>
      </c>
    </row>
    <row r="1667" customFormat="false" ht="15" hidden="false" customHeight="false" outlineLevel="0" collapsed="false">
      <c r="A1667" s="2" t="s">
        <v>4507</v>
      </c>
      <c r="B1667" s="2" t="s">
        <v>126</v>
      </c>
      <c r="C1667" s="2" t="s">
        <v>4495</v>
      </c>
      <c r="D1667" s="2" t="s">
        <v>50</v>
      </c>
      <c r="E1667" s="2" t="s">
        <v>1194</v>
      </c>
      <c r="F1667" s="2" t="s">
        <v>1186</v>
      </c>
      <c r="G1667" s="2" t="s">
        <v>4508</v>
      </c>
    </row>
    <row r="1668" customFormat="false" ht="15" hidden="false" customHeight="false" outlineLevel="0" collapsed="false">
      <c r="A1668" s="2" t="s">
        <v>4509</v>
      </c>
      <c r="B1668" s="2" t="s">
        <v>126</v>
      </c>
      <c r="C1668" s="2" t="s">
        <v>4495</v>
      </c>
      <c r="D1668" s="2" t="s">
        <v>50</v>
      </c>
      <c r="E1668" s="2" t="s">
        <v>1194</v>
      </c>
      <c r="F1668" s="2" t="s">
        <v>1186</v>
      </c>
      <c r="G1668" s="2" t="s">
        <v>4510</v>
      </c>
    </row>
    <row r="1669" customFormat="false" ht="15" hidden="false" customHeight="false" outlineLevel="0" collapsed="false">
      <c r="A1669" s="2" t="s">
        <v>4511</v>
      </c>
      <c r="B1669" s="2" t="s">
        <v>126</v>
      </c>
      <c r="C1669" s="2" t="s">
        <v>4495</v>
      </c>
      <c r="D1669" s="2" t="s">
        <v>50</v>
      </c>
      <c r="E1669" s="2" t="s">
        <v>1194</v>
      </c>
      <c r="F1669" s="2" t="s">
        <v>1186</v>
      </c>
      <c r="G1669" s="2" t="s">
        <v>4512</v>
      </c>
    </row>
    <row r="1670" customFormat="false" ht="15" hidden="false" customHeight="false" outlineLevel="0" collapsed="false">
      <c r="A1670" s="2" t="s">
        <v>4513</v>
      </c>
      <c r="B1670" s="2" t="s">
        <v>126</v>
      </c>
      <c r="C1670" s="2" t="s">
        <v>2179</v>
      </c>
      <c r="D1670" s="2" t="s">
        <v>49</v>
      </c>
      <c r="E1670" s="2" t="s">
        <v>1563</v>
      </c>
      <c r="F1670" s="2" t="s">
        <v>1186</v>
      </c>
      <c r="G1670" s="2" t="s">
        <v>4514</v>
      </c>
    </row>
    <row r="1671" customFormat="false" ht="15" hidden="false" customHeight="false" outlineLevel="0" collapsed="false">
      <c r="A1671" s="2" t="s">
        <v>4515</v>
      </c>
      <c r="B1671" s="2" t="s">
        <v>126</v>
      </c>
      <c r="C1671" s="2" t="s">
        <v>2179</v>
      </c>
      <c r="D1671" s="2" t="s">
        <v>49</v>
      </c>
      <c r="E1671" s="2" t="s">
        <v>1563</v>
      </c>
      <c r="F1671" s="2" t="s">
        <v>1186</v>
      </c>
      <c r="G1671" s="2" t="s">
        <v>4516</v>
      </c>
    </row>
    <row r="1672" customFormat="false" ht="15" hidden="false" customHeight="false" outlineLevel="0" collapsed="false">
      <c r="A1672" s="2" t="s">
        <v>4517</v>
      </c>
      <c r="B1672" s="2" t="s">
        <v>126</v>
      </c>
      <c r="C1672" s="2" t="s">
        <v>2179</v>
      </c>
      <c r="D1672" s="2" t="s">
        <v>49</v>
      </c>
      <c r="E1672" s="2" t="s">
        <v>1563</v>
      </c>
      <c r="F1672" s="2" t="s">
        <v>1186</v>
      </c>
      <c r="G1672" s="2" t="s">
        <v>4518</v>
      </c>
    </row>
    <row r="1673" customFormat="false" ht="15" hidden="false" customHeight="false" outlineLevel="0" collapsed="false">
      <c r="A1673" s="2" t="s">
        <v>4519</v>
      </c>
      <c r="B1673" s="2" t="s">
        <v>126</v>
      </c>
      <c r="C1673" s="2" t="s">
        <v>2179</v>
      </c>
      <c r="D1673" s="2" t="s">
        <v>49</v>
      </c>
      <c r="E1673" s="2" t="s">
        <v>1563</v>
      </c>
      <c r="F1673" s="2" t="s">
        <v>1186</v>
      </c>
      <c r="G1673" s="2" t="s">
        <v>4520</v>
      </c>
    </row>
    <row r="1674" customFormat="false" ht="15" hidden="false" customHeight="false" outlineLevel="0" collapsed="false">
      <c r="A1674" s="2" t="s">
        <v>4521</v>
      </c>
      <c r="B1674" s="2" t="s">
        <v>126</v>
      </c>
      <c r="C1674" s="2" t="s">
        <v>2179</v>
      </c>
      <c r="D1674" s="2" t="s">
        <v>49</v>
      </c>
      <c r="E1674" s="2" t="s">
        <v>1563</v>
      </c>
      <c r="F1674" s="2" t="s">
        <v>1186</v>
      </c>
      <c r="G1674" s="2" t="s">
        <v>4522</v>
      </c>
    </row>
    <row r="1675" customFormat="false" ht="15" hidden="false" customHeight="false" outlineLevel="0" collapsed="false">
      <c r="A1675" s="2" t="s">
        <v>4523</v>
      </c>
      <c r="B1675" s="2" t="s">
        <v>126</v>
      </c>
      <c r="C1675" s="2" t="s">
        <v>2179</v>
      </c>
      <c r="D1675" s="2" t="s">
        <v>49</v>
      </c>
      <c r="E1675" s="2" t="s">
        <v>1563</v>
      </c>
      <c r="F1675" s="2" t="s">
        <v>1186</v>
      </c>
      <c r="G1675" s="2" t="s">
        <v>4524</v>
      </c>
    </row>
    <row r="1676" customFormat="false" ht="15" hidden="false" customHeight="false" outlineLevel="0" collapsed="false">
      <c r="A1676" s="2" t="s">
        <v>4525</v>
      </c>
      <c r="B1676" s="2" t="s">
        <v>126</v>
      </c>
      <c r="C1676" s="2" t="s">
        <v>4495</v>
      </c>
      <c r="D1676" s="2" t="s">
        <v>50</v>
      </c>
      <c r="E1676" s="2" t="s">
        <v>1194</v>
      </c>
      <c r="F1676" s="2" t="s">
        <v>1186</v>
      </c>
      <c r="G1676" s="2" t="s">
        <v>4526</v>
      </c>
    </row>
    <row r="1677" customFormat="false" ht="15" hidden="false" customHeight="false" outlineLevel="0" collapsed="false">
      <c r="A1677" s="2" t="s">
        <v>4527</v>
      </c>
      <c r="B1677" s="2" t="s">
        <v>126</v>
      </c>
      <c r="C1677" s="2" t="s">
        <v>4495</v>
      </c>
      <c r="D1677" s="2" t="s">
        <v>50</v>
      </c>
      <c r="E1677" s="2" t="s">
        <v>1194</v>
      </c>
      <c r="F1677" s="2" t="s">
        <v>1186</v>
      </c>
      <c r="G1677" s="2" t="s">
        <v>4528</v>
      </c>
    </row>
    <row r="1678" customFormat="false" ht="15" hidden="false" customHeight="false" outlineLevel="0" collapsed="false">
      <c r="A1678" s="2" t="s">
        <v>4529</v>
      </c>
      <c r="B1678" s="2" t="s">
        <v>126</v>
      </c>
      <c r="C1678" s="2" t="s">
        <v>4495</v>
      </c>
      <c r="D1678" s="2" t="s">
        <v>50</v>
      </c>
      <c r="E1678" s="2" t="s">
        <v>1194</v>
      </c>
      <c r="F1678" s="2" t="s">
        <v>1186</v>
      </c>
      <c r="G1678" s="2" t="s">
        <v>4530</v>
      </c>
    </row>
    <row r="1679" customFormat="false" ht="15" hidden="false" customHeight="false" outlineLevel="0" collapsed="false">
      <c r="A1679" s="2" t="s">
        <v>4531</v>
      </c>
      <c r="B1679" s="2" t="s">
        <v>126</v>
      </c>
      <c r="C1679" s="2" t="s">
        <v>4495</v>
      </c>
      <c r="D1679" s="2" t="s">
        <v>50</v>
      </c>
      <c r="E1679" s="2" t="s">
        <v>1194</v>
      </c>
      <c r="F1679" s="2" t="s">
        <v>1186</v>
      </c>
      <c r="G1679" s="2" t="s">
        <v>4532</v>
      </c>
    </row>
    <row r="1680" customFormat="false" ht="15" hidden="false" customHeight="false" outlineLevel="0" collapsed="false">
      <c r="A1680" s="2" t="s">
        <v>4533</v>
      </c>
      <c r="B1680" s="2" t="s">
        <v>126</v>
      </c>
      <c r="C1680" s="2" t="s">
        <v>4495</v>
      </c>
      <c r="D1680" s="2" t="s">
        <v>50</v>
      </c>
      <c r="E1680" s="2" t="s">
        <v>1194</v>
      </c>
      <c r="F1680" s="2" t="s">
        <v>1186</v>
      </c>
      <c r="G1680" s="2" t="s">
        <v>4534</v>
      </c>
    </row>
    <row r="1681" customFormat="false" ht="15" hidden="false" customHeight="false" outlineLevel="0" collapsed="false">
      <c r="A1681" s="2" t="s">
        <v>4535</v>
      </c>
      <c r="B1681" s="2" t="s">
        <v>126</v>
      </c>
      <c r="C1681" s="2" t="s">
        <v>4495</v>
      </c>
      <c r="D1681" s="2" t="s">
        <v>50</v>
      </c>
      <c r="E1681" s="2" t="s">
        <v>1194</v>
      </c>
      <c r="F1681" s="2" t="s">
        <v>1186</v>
      </c>
      <c r="G1681" s="2" t="s">
        <v>4536</v>
      </c>
    </row>
    <row r="1682" customFormat="false" ht="15" hidden="false" customHeight="false" outlineLevel="0" collapsed="false">
      <c r="A1682" s="2" t="s">
        <v>4537</v>
      </c>
      <c r="B1682" s="2" t="s">
        <v>126</v>
      </c>
      <c r="C1682" s="2" t="s">
        <v>4495</v>
      </c>
      <c r="D1682" s="2" t="s">
        <v>50</v>
      </c>
      <c r="E1682" s="2" t="s">
        <v>1194</v>
      </c>
      <c r="F1682" s="2" t="s">
        <v>1186</v>
      </c>
      <c r="G1682" s="2" t="s">
        <v>4538</v>
      </c>
    </row>
    <row r="1683" customFormat="false" ht="15" hidden="false" customHeight="false" outlineLevel="0" collapsed="false">
      <c r="A1683" s="2" t="s">
        <v>4539</v>
      </c>
      <c r="B1683" s="2" t="s">
        <v>126</v>
      </c>
      <c r="C1683" s="2" t="s">
        <v>4495</v>
      </c>
      <c r="D1683" s="2" t="s">
        <v>50</v>
      </c>
      <c r="E1683" s="2" t="s">
        <v>1194</v>
      </c>
      <c r="F1683" s="2" t="s">
        <v>1186</v>
      </c>
      <c r="G1683" s="2" t="s">
        <v>4540</v>
      </c>
    </row>
    <row r="1684" customFormat="false" ht="15" hidden="false" customHeight="false" outlineLevel="0" collapsed="false">
      <c r="A1684" s="2" t="s">
        <v>4541</v>
      </c>
      <c r="B1684" s="2" t="s">
        <v>126</v>
      </c>
      <c r="C1684" s="2" t="s">
        <v>4495</v>
      </c>
      <c r="D1684" s="2" t="s">
        <v>50</v>
      </c>
      <c r="E1684" s="2" t="s">
        <v>1194</v>
      </c>
      <c r="F1684" s="2" t="s">
        <v>1186</v>
      </c>
      <c r="G1684" s="2" t="s">
        <v>4542</v>
      </c>
    </row>
    <row r="1685" customFormat="false" ht="15" hidden="false" customHeight="false" outlineLevel="0" collapsed="false">
      <c r="A1685" s="2" t="s">
        <v>4543</v>
      </c>
      <c r="B1685" s="2" t="s">
        <v>126</v>
      </c>
      <c r="C1685" s="2" t="s">
        <v>4495</v>
      </c>
      <c r="D1685" s="2" t="s">
        <v>50</v>
      </c>
      <c r="E1685" s="2" t="s">
        <v>1194</v>
      </c>
      <c r="F1685" s="2" t="s">
        <v>1186</v>
      </c>
      <c r="G1685" s="2" t="s">
        <v>4544</v>
      </c>
    </row>
    <row r="1686" customFormat="false" ht="15" hidden="false" customHeight="false" outlineLevel="0" collapsed="false">
      <c r="A1686" s="2" t="s">
        <v>4545</v>
      </c>
      <c r="B1686" s="2" t="s">
        <v>126</v>
      </c>
      <c r="C1686" s="2" t="s">
        <v>4495</v>
      </c>
      <c r="D1686" s="2" t="s">
        <v>50</v>
      </c>
      <c r="E1686" s="2" t="s">
        <v>1194</v>
      </c>
      <c r="F1686" s="2" t="s">
        <v>1186</v>
      </c>
      <c r="G1686" s="2" t="s">
        <v>4546</v>
      </c>
    </row>
    <row r="1687" customFormat="false" ht="15" hidden="false" customHeight="false" outlineLevel="0" collapsed="false">
      <c r="A1687" s="2" t="s">
        <v>4547</v>
      </c>
      <c r="B1687" s="2" t="s">
        <v>126</v>
      </c>
      <c r="C1687" s="2" t="s">
        <v>4495</v>
      </c>
      <c r="D1687" s="2" t="s">
        <v>50</v>
      </c>
      <c r="E1687" s="2" t="s">
        <v>1194</v>
      </c>
      <c r="F1687" s="2" t="s">
        <v>1186</v>
      </c>
      <c r="G1687" s="2" t="s">
        <v>4548</v>
      </c>
    </row>
    <row r="1688" customFormat="false" ht="15" hidden="false" customHeight="false" outlineLevel="0" collapsed="false">
      <c r="A1688" s="2" t="s">
        <v>4549</v>
      </c>
      <c r="B1688" s="2" t="s">
        <v>126</v>
      </c>
      <c r="C1688" s="2" t="s">
        <v>4495</v>
      </c>
      <c r="D1688" s="2" t="s">
        <v>50</v>
      </c>
      <c r="E1688" s="2" t="s">
        <v>1194</v>
      </c>
      <c r="F1688" s="2" t="s">
        <v>1186</v>
      </c>
      <c r="G1688" s="2" t="s">
        <v>4550</v>
      </c>
    </row>
    <row r="1689" customFormat="false" ht="15" hidden="false" customHeight="false" outlineLevel="0" collapsed="false">
      <c r="A1689" s="2" t="s">
        <v>4551</v>
      </c>
      <c r="B1689" s="2" t="s">
        <v>126</v>
      </c>
      <c r="C1689" s="2" t="s">
        <v>4495</v>
      </c>
      <c r="D1689" s="2" t="s">
        <v>50</v>
      </c>
      <c r="E1689" s="2" t="s">
        <v>1194</v>
      </c>
      <c r="F1689" s="2" t="s">
        <v>1186</v>
      </c>
      <c r="G1689" s="2" t="s">
        <v>4552</v>
      </c>
    </row>
    <row r="1690" customFormat="false" ht="15" hidden="false" customHeight="false" outlineLevel="0" collapsed="false">
      <c r="A1690" s="2" t="s">
        <v>4553</v>
      </c>
      <c r="B1690" s="2" t="s">
        <v>126</v>
      </c>
      <c r="C1690" s="2" t="s">
        <v>4495</v>
      </c>
      <c r="D1690" s="2" t="s">
        <v>50</v>
      </c>
      <c r="E1690" s="2" t="s">
        <v>1194</v>
      </c>
      <c r="F1690" s="2" t="s">
        <v>1186</v>
      </c>
      <c r="G1690" s="2" t="s">
        <v>4554</v>
      </c>
    </row>
    <row r="1691" customFormat="false" ht="15" hidden="false" customHeight="false" outlineLevel="0" collapsed="false">
      <c r="A1691" s="2" t="s">
        <v>4555</v>
      </c>
      <c r="B1691" s="2" t="s">
        <v>126</v>
      </c>
      <c r="C1691" s="2" t="s">
        <v>4495</v>
      </c>
      <c r="D1691" s="2" t="s">
        <v>50</v>
      </c>
      <c r="E1691" s="2" t="s">
        <v>1194</v>
      </c>
      <c r="F1691" s="2" t="s">
        <v>1186</v>
      </c>
      <c r="G1691" s="2" t="s">
        <v>4556</v>
      </c>
    </row>
    <row r="1692" customFormat="false" ht="15" hidden="false" customHeight="false" outlineLevel="0" collapsed="false">
      <c r="A1692" s="2" t="s">
        <v>4557</v>
      </c>
      <c r="B1692" s="2" t="s">
        <v>126</v>
      </c>
      <c r="C1692" s="2" t="s">
        <v>4495</v>
      </c>
      <c r="D1692" s="2" t="s">
        <v>50</v>
      </c>
      <c r="E1692" s="2" t="s">
        <v>1194</v>
      </c>
      <c r="F1692" s="2" t="s">
        <v>1186</v>
      </c>
      <c r="G1692" s="2" t="s">
        <v>4558</v>
      </c>
    </row>
    <row r="1693" customFormat="false" ht="15" hidden="false" customHeight="false" outlineLevel="0" collapsed="false">
      <c r="A1693" s="2" t="s">
        <v>4559</v>
      </c>
      <c r="B1693" s="2" t="s">
        <v>126</v>
      </c>
      <c r="C1693" s="2" t="s">
        <v>4495</v>
      </c>
      <c r="D1693" s="2" t="s">
        <v>50</v>
      </c>
      <c r="E1693" s="2" t="s">
        <v>1194</v>
      </c>
      <c r="F1693" s="2" t="s">
        <v>1186</v>
      </c>
      <c r="G1693" s="2" t="s">
        <v>4560</v>
      </c>
    </row>
    <row r="1694" customFormat="false" ht="15" hidden="false" customHeight="false" outlineLevel="0" collapsed="false">
      <c r="A1694" s="2" t="s">
        <v>4561</v>
      </c>
      <c r="B1694" s="2" t="s">
        <v>126</v>
      </c>
      <c r="C1694" s="2" t="s">
        <v>4495</v>
      </c>
      <c r="D1694" s="2" t="s">
        <v>50</v>
      </c>
      <c r="E1694" s="2" t="s">
        <v>1194</v>
      </c>
      <c r="F1694" s="2" t="s">
        <v>1186</v>
      </c>
      <c r="G1694" s="2" t="s">
        <v>4562</v>
      </c>
    </row>
    <row r="1695" customFormat="false" ht="15" hidden="false" customHeight="false" outlineLevel="0" collapsed="false">
      <c r="A1695" s="2" t="s">
        <v>4563</v>
      </c>
      <c r="B1695" s="2" t="s">
        <v>126</v>
      </c>
      <c r="C1695" s="2" t="s">
        <v>2179</v>
      </c>
      <c r="D1695" s="2" t="s">
        <v>49</v>
      </c>
      <c r="E1695" s="2" t="s">
        <v>1563</v>
      </c>
      <c r="F1695" s="2" t="s">
        <v>1186</v>
      </c>
      <c r="G1695" s="2" t="s">
        <v>4564</v>
      </c>
    </row>
    <row r="1696" customFormat="false" ht="15" hidden="false" customHeight="false" outlineLevel="0" collapsed="false">
      <c r="A1696" s="2" t="s">
        <v>4565</v>
      </c>
      <c r="B1696" s="2" t="s">
        <v>126</v>
      </c>
      <c r="C1696" s="2" t="s">
        <v>2179</v>
      </c>
      <c r="D1696" s="2" t="s">
        <v>49</v>
      </c>
      <c r="E1696" s="2" t="s">
        <v>1563</v>
      </c>
      <c r="F1696" s="2" t="s">
        <v>1186</v>
      </c>
      <c r="G1696" s="2" t="s">
        <v>4566</v>
      </c>
    </row>
    <row r="1697" customFormat="false" ht="15" hidden="false" customHeight="false" outlineLevel="0" collapsed="false">
      <c r="A1697" s="2" t="s">
        <v>4567</v>
      </c>
      <c r="B1697" s="2" t="s">
        <v>126</v>
      </c>
      <c r="C1697" s="2" t="s">
        <v>4495</v>
      </c>
      <c r="D1697" s="2" t="s">
        <v>50</v>
      </c>
      <c r="E1697" s="2" t="s">
        <v>1194</v>
      </c>
      <c r="F1697" s="2" t="s">
        <v>1186</v>
      </c>
      <c r="G1697" s="2" t="s">
        <v>4568</v>
      </c>
    </row>
    <row r="1698" customFormat="false" ht="15" hidden="false" customHeight="false" outlineLevel="0" collapsed="false">
      <c r="A1698" s="2" t="s">
        <v>4569</v>
      </c>
      <c r="B1698" s="2" t="s">
        <v>126</v>
      </c>
      <c r="C1698" s="2" t="s">
        <v>4495</v>
      </c>
      <c r="D1698" s="2" t="s">
        <v>50</v>
      </c>
      <c r="E1698" s="2" t="s">
        <v>1194</v>
      </c>
      <c r="F1698" s="2" t="s">
        <v>1186</v>
      </c>
      <c r="G1698" s="2" t="s">
        <v>4570</v>
      </c>
    </row>
    <row r="1699" customFormat="false" ht="15" hidden="false" customHeight="false" outlineLevel="0" collapsed="false">
      <c r="A1699" s="2" t="s">
        <v>4571</v>
      </c>
      <c r="B1699" s="2" t="s">
        <v>126</v>
      </c>
      <c r="C1699" s="2" t="s">
        <v>2179</v>
      </c>
      <c r="D1699" s="2" t="s">
        <v>49</v>
      </c>
      <c r="E1699" s="2" t="s">
        <v>1563</v>
      </c>
      <c r="F1699" s="2" t="s">
        <v>1186</v>
      </c>
      <c r="G1699" s="2" t="s">
        <v>4572</v>
      </c>
    </row>
    <row r="1700" customFormat="false" ht="15" hidden="false" customHeight="false" outlineLevel="0" collapsed="false">
      <c r="A1700" s="2" t="s">
        <v>4573</v>
      </c>
      <c r="B1700" s="2" t="s">
        <v>126</v>
      </c>
      <c r="C1700" s="2" t="s">
        <v>2179</v>
      </c>
      <c r="D1700" s="2" t="s">
        <v>49</v>
      </c>
      <c r="E1700" s="2" t="s">
        <v>1563</v>
      </c>
      <c r="F1700" s="2" t="s">
        <v>1186</v>
      </c>
      <c r="G1700" s="2" t="s">
        <v>4574</v>
      </c>
    </row>
    <row r="1701" customFormat="false" ht="15" hidden="false" customHeight="false" outlineLevel="0" collapsed="false">
      <c r="A1701" s="2" t="s">
        <v>4575</v>
      </c>
      <c r="B1701" s="2" t="s">
        <v>126</v>
      </c>
      <c r="C1701" s="2" t="s">
        <v>4495</v>
      </c>
      <c r="D1701" s="2" t="s">
        <v>50</v>
      </c>
      <c r="E1701" s="2" t="s">
        <v>1194</v>
      </c>
      <c r="F1701" s="2" t="s">
        <v>1186</v>
      </c>
      <c r="G1701" s="2" t="s">
        <v>4576</v>
      </c>
    </row>
    <row r="1702" customFormat="false" ht="15" hidden="false" customHeight="false" outlineLevel="0" collapsed="false">
      <c r="A1702" s="2" t="s">
        <v>4577</v>
      </c>
      <c r="B1702" s="2" t="s">
        <v>126</v>
      </c>
      <c r="C1702" s="2" t="s">
        <v>4495</v>
      </c>
      <c r="D1702" s="2" t="s">
        <v>50</v>
      </c>
      <c r="E1702" s="2" t="s">
        <v>1194</v>
      </c>
      <c r="F1702" s="2" t="s">
        <v>1186</v>
      </c>
      <c r="G1702" s="2" t="s">
        <v>4578</v>
      </c>
    </row>
    <row r="1703" customFormat="false" ht="15" hidden="false" customHeight="false" outlineLevel="0" collapsed="false">
      <c r="A1703" s="2" t="s">
        <v>4579</v>
      </c>
      <c r="B1703" s="2" t="s">
        <v>126</v>
      </c>
      <c r="C1703" s="2" t="s">
        <v>4495</v>
      </c>
      <c r="D1703" s="2" t="s">
        <v>50</v>
      </c>
      <c r="E1703" s="2" t="s">
        <v>1194</v>
      </c>
      <c r="F1703" s="2" t="s">
        <v>1186</v>
      </c>
      <c r="G1703" s="2" t="s">
        <v>4580</v>
      </c>
    </row>
    <row r="1704" customFormat="false" ht="15" hidden="false" customHeight="false" outlineLevel="0" collapsed="false">
      <c r="A1704" s="2" t="s">
        <v>4581</v>
      </c>
      <c r="B1704" s="2" t="s">
        <v>126</v>
      </c>
      <c r="C1704" s="2" t="s">
        <v>4495</v>
      </c>
      <c r="D1704" s="2" t="s">
        <v>50</v>
      </c>
      <c r="E1704" s="2" t="s">
        <v>1194</v>
      </c>
      <c r="F1704" s="2" t="s">
        <v>1186</v>
      </c>
      <c r="G1704" s="2" t="s">
        <v>4582</v>
      </c>
    </row>
    <row r="1705" customFormat="false" ht="15" hidden="false" customHeight="false" outlineLevel="0" collapsed="false">
      <c r="A1705" s="2" t="s">
        <v>4583</v>
      </c>
      <c r="B1705" s="2" t="s">
        <v>126</v>
      </c>
      <c r="C1705" s="2" t="s">
        <v>4495</v>
      </c>
      <c r="D1705" s="2" t="s">
        <v>50</v>
      </c>
      <c r="E1705" s="2" t="s">
        <v>1194</v>
      </c>
      <c r="F1705" s="2" t="s">
        <v>1186</v>
      </c>
      <c r="G1705" s="2" t="s">
        <v>4584</v>
      </c>
    </row>
    <row r="1706" customFormat="false" ht="15" hidden="false" customHeight="false" outlineLevel="0" collapsed="false">
      <c r="A1706" s="2" t="s">
        <v>4585</v>
      </c>
      <c r="B1706" s="2" t="s">
        <v>126</v>
      </c>
      <c r="C1706" s="2" t="s">
        <v>4495</v>
      </c>
      <c r="D1706" s="2" t="s">
        <v>50</v>
      </c>
      <c r="E1706" s="2" t="s">
        <v>1194</v>
      </c>
      <c r="F1706" s="2" t="s">
        <v>1186</v>
      </c>
      <c r="G1706" s="2" t="s">
        <v>4586</v>
      </c>
    </row>
    <row r="1707" customFormat="false" ht="15" hidden="false" customHeight="false" outlineLevel="0" collapsed="false">
      <c r="A1707" s="2" t="s">
        <v>4587</v>
      </c>
      <c r="B1707" s="2" t="s">
        <v>126</v>
      </c>
      <c r="C1707" s="2" t="s">
        <v>4495</v>
      </c>
      <c r="D1707" s="2" t="s">
        <v>50</v>
      </c>
      <c r="E1707" s="2" t="s">
        <v>1194</v>
      </c>
      <c r="F1707" s="2" t="s">
        <v>1186</v>
      </c>
      <c r="G1707" s="2" t="s">
        <v>4588</v>
      </c>
    </row>
    <row r="1708" customFormat="false" ht="15" hidden="false" customHeight="false" outlineLevel="0" collapsed="false">
      <c r="A1708" s="2" t="s">
        <v>4589</v>
      </c>
      <c r="B1708" s="2" t="s">
        <v>126</v>
      </c>
      <c r="C1708" s="2" t="s">
        <v>2179</v>
      </c>
      <c r="D1708" s="2" t="s">
        <v>49</v>
      </c>
      <c r="E1708" s="2" t="s">
        <v>1563</v>
      </c>
      <c r="F1708" s="2" t="s">
        <v>1186</v>
      </c>
      <c r="G1708" s="2" t="s">
        <v>4590</v>
      </c>
    </row>
    <row r="1709" customFormat="false" ht="15" hidden="false" customHeight="false" outlineLevel="0" collapsed="false">
      <c r="A1709" s="2" t="s">
        <v>4591</v>
      </c>
      <c r="B1709" s="2" t="s">
        <v>126</v>
      </c>
      <c r="C1709" s="2" t="s">
        <v>4495</v>
      </c>
      <c r="D1709" s="2" t="s">
        <v>50</v>
      </c>
      <c r="E1709" s="2" t="s">
        <v>1194</v>
      </c>
      <c r="F1709" s="2" t="s">
        <v>1186</v>
      </c>
      <c r="G1709" s="2" t="s">
        <v>4592</v>
      </c>
    </row>
    <row r="1710" customFormat="false" ht="15" hidden="false" customHeight="false" outlineLevel="0" collapsed="false">
      <c r="A1710" s="2" t="s">
        <v>4593</v>
      </c>
      <c r="B1710" s="2" t="s">
        <v>126</v>
      </c>
      <c r="C1710" s="2" t="s">
        <v>4495</v>
      </c>
      <c r="D1710" s="2" t="s">
        <v>50</v>
      </c>
      <c r="E1710" s="2" t="s">
        <v>1194</v>
      </c>
      <c r="F1710" s="2" t="s">
        <v>1186</v>
      </c>
      <c r="G1710" s="2" t="s">
        <v>4594</v>
      </c>
    </row>
    <row r="1711" customFormat="false" ht="15" hidden="false" customHeight="false" outlineLevel="0" collapsed="false">
      <c r="A1711" s="2" t="s">
        <v>4595</v>
      </c>
      <c r="B1711" s="2" t="s">
        <v>126</v>
      </c>
      <c r="C1711" s="2" t="s">
        <v>4495</v>
      </c>
      <c r="D1711" s="2" t="s">
        <v>50</v>
      </c>
      <c r="E1711" s="2" t="s">
        <v>1194</v>
      </c>
      <c r="F1711" s="2" t="s">
        <v>1186</v>
      </c>
      <c r="G1711" s="2" t="s">
        <v>4596</v>
      </c>
    </row>
    <row r="1712" customFormat="false" ht="15" hidden="false" customHeight="false" outlineLevel="0" collapsed="false">
      <c r="A1712" s="2" t="s">
        <v>4597</v>
      </c>
      <c r="B1712" s="2" t="s">
        <v>126</v>
      </c>
      <c r="C1712" s="2" t="s">
        <v>4495</v>
      </c>
      <c r="D1712" s="2" t="s">
        <v>50</v>
      </c>
      <c r="E1712" s="2" t="s">
        <v>1194</v>
      </c>
      <c r="F1712" s="2" t="s">
        <v>1186</v>
      </c>
      <c r="G1712" s="2" t="s">
        <v>4598</v>
      </c>
    </row>
    <row r="1713" customFormat="false" ht="15" hidden="false" customHeight="false" outlineLevel="0" collapsed="false">
      <c r="A1713" s="2" t="s">
        <v>4599</v>
      </c>
      <c r="B1713" s="2" t="s">
        <v>126</v>
      </c>
      <c r="C1713" s="2" t="s">
        <v>4495</v>
      </c>
      <c r="D1713" s="2" t="s">
        <v>50</v>
      </c>
      <c r="E1713" s="2" t="s">
        <v>1194</v>
      </c>
      <c r="F1713" s="2" t="s">
        <v>1186</v>
      </c>
      <c r="G1713" s="2" t="s">
        <v>4600</v>
      </c>
    </row>
    <row r="1714" customFormat="false" ht="15" hidden="false" customHeight="false" outlineLevel="0" collapsed="false">
      <c r="A1714" s="2" t="s">
        <v>4601</v>
      </c>
      <c r="B1714" s="2" t="s">
        <v>126</v>
      </c>
      <c r="C1714" s="2" t="s">
        <v>4495</v>
      </c>
      <c r="D1714" s="2" t="s">
        <v>50</v>
      </c>
      <c r="E1714" s="2" t="s">
        <v>1194</v>
      </c>
      <c r="F1714" s="2" t="s">
        <v>1186</v>
      </c>
      <c r="G1714" s="2" t="s">
        <v>4602</v>
      </c>
    </row>
    <row r="1715" customFormat="false" ht="15" hidden="false" customHeight="false" outlineLevel="0" collapsed="false">
      <c r="A1715" s="2" t="s">
        <v>4603</v>
      </c>
      <c r="B1715" s="2" t="s">
        <v>126</v>
      </c>
      <c r="C1715" s="2" t="s">
        <v>4495</v>
      </c>
      <c r="D1715" s="2" t="s">
        <v>50</v>
      </c>
      <c r="E1715" s="2" t="s">
        <v>1194</v>
      </c>
      <c r="F1715" s="2" t="s">
        <v>1186</v>
      </c>
      <c r="G1715" s="2" t="s">
        <v>4604</v>
      </c>
    </row>
    <row r="1716" customFormat="false" ht="15" hidden="false" customHeight="false" outlineLevel="0" collapsed="false">
      <c r="A1716" s="2" t="s">
        <v>4605</v>
      </c>
      <c r="B1716" s="2" t="s">
        <v>126</v>
      </c>
      <c r="C1716" s="2" t="s">
        <v>4495</v>
      </c>
      <c r="D1716" s="2" t="s">
        <v>50</v>
      </c>
      <c r="E1716" s="2" t="s">
        <v>1194</v>
      </c>
      <c r="F1716" s="2" t="s">
        <v>1186</v>
      </c>
      <c r="G1716" s="2" t="s">
        <v>4606</v>
      </c>
    </row>
    <row r="1717" customFormat="false" ht="15" hidden="false" customHeight="false" outlineLevel="0" collapsed="false">
      <c r="A1717" s="2" t="s">
        <v>4607</v>
      </c>
      <c r="B1717" s="2" t="s">
        <v>126</v>
      </c>
      <c r="C1717" s="2" t="s">
        <v>4495</v>
      </c>
      <c r="D1717" s="2" t="s">
        <v>50</v>
      </c>
      <c r="E1717" s="2" t="s">
        <v>1194</v>
      </c>
      <c r="F1717" s="2" t="s">
        <v>1186</v>
      </c>
      <c r="G1717" s="2" t="s">
        <v>4608</v>
      </c>
    </row>
    <row r="1718" customFormat="false" ht="15" hidden="false" customHeight="false" outlineLevel="0" collapsed="false">
      <c r="A1718" s="2" t="s">
        <v>4609</v>
      </c>
      <c r="B1718" s="2" t="s">
        <v>126</v>
      </c>
      <c r="C1718" s="2" t="s">
        <v>4495</v>
      </c>
      <c r="D1718" s="2" t="s">
        <v>50</v>
      </c>
      <c r="E1718" s="2" t="s">
        <v>1194</v>
      </c>
      <c r="F1718" s="2" t="s">
        <v>1186</v>
      </c>
      <c r="G1718" s="2" t="s">
        <v>4610</v>
      </c>
    </row>
    <row r="1719" customFormat="false" ht="15" hidden="false" customHeight="false" outlineLevel="0" collapsed="false">
      <c r="A1719" s="2" t="s">
        <v>4611</v>
      </c>
      <c r="B1719" s="2" t="s">
        <v>126</v>
      </c>
      <c r="C1719" s="2" t="s">
        <v>4495</v>
      </c>
      <c r="D1719" s="2" t="s">
        <v>50</v>
      </c>
      <c r="E1719" s="2" t="s">
        <v>1194</v>
      </c>
      <c r="F1719" s="2" t="s">
        <v>1186</v>
      </c>
      <c r="G1719" s="2" t="s">
        <v>4612</v>
      </c>
    </row>
    <row r="1720" customFormat="false" ht="15" hidden="false" customHeight="false" outlineLevel="0" collapsed="false">
      <c r="A1720" s="2" t="s">
        <v>4613</v>
      </c>
      <c r="B1720" s="2" t="s">
        <v>126</v>
      </c>
      <c r="C1720" s="2" t="s">
        <v>4495</v>
      </c>
      <c r="D1720" s="2" t="s">
        <v>50</v>
      </c>
      <c r="E1720" s="2" t="s">
        <v>1194</v>
      </c>
      <c r="F1720" s="2" t="s">
        <v>1186</v>
      </c>
      <c r="G1720" s="2" t="s">
        <v>4614</v>
      </c>
    </row>
    <row r="1721" customFormat="false" ht="15" hidden="false" customHeight="false" outlineLevel="0" collapsed="false">
      <c r="A1721" s="2" t="s">
        <v>4615</v>
      </c>
      <c r="B1721" s="2" t="s">
        <v>126</v>
      </c>
      <c r="C1721" s="2" t="s">
        <v>4495</v>
      </c>
      <c r="D1721" s="2" t="s">
        <v>50</v>
      </c>
      <c r="E1721" s="2" t="s">
        <v>1194</v>
      </c>
      <c r="F1721" s="2" t="s">
        <v>1186</v>
      </c>
      <c r="G1721" s="2" t="s">
        <v>4616</v>
      </c>
    </row>
    <row r="1722" customFormat="false" ht="15" hidden="false" customHeight="false" outlineLevel="0" collapsed="false">
      <c r="A1722" s="2" t="s">
        <v>4617</v>
      </c>
      <c r="B1722" s="2" t="s">
        <v>126</v>
      </c>
      <c r="C1722" s="2" t="s">
        <v>4495</v>
      </c>
      <c r="D1722" s="2" t="s">
        <v>50</v>
      </c>
      <c r="E1722" s="2" t="s">
        <v>1194</v>
      </c>
      <c r="F1722" s="2" t="s">
        <v>1186</v>
      </c>
      <c r="G1722" s="2" t="s">
        <v>4618</v>
      </c>
    </row>
    <row r="1723" customFormat="false" ht="15" hidden="false" customHeight="false" outlineLevel="0" collapsed="false">
      <c r="A1723" s="2" t="s">
        <v>4619</v>
      </c>
      <c r="B1723" s="2" t="s">
        <v>126</v>
      </c>
      <c r="C1723" s="2" t="s">
        <v>4495</v>
      </c>
      <c r="D1723" s="2" t="s">
        <v>50</v>
      </c>
      <c r="E1723" s="2" t="s">
        <v>1194</v>
      </c>
      <c r="F1723" s="2" t="s">
        <v>1186</v>
      </c>
      <c r="G1723" s="2" t="s">
        <v>4620</v>
      </c>
    </row>
    <row r="1724" customFormat="false" ht="15" hidden="false" customHeight="false" outlineLevel="0" collapsed="false">
      <c r="A1724" s="2" t="s">
        <v>4621</v>
      </c>
      <c r="B1724" s="2" t="s">
        <v>126</v>
      </c>
      <c r="C1724" s="2" t="s">
        <v>4495</v>
      </c>
      <c r="D1724" s="2" t="s">
        <v>50</v>
      </c>
      <c r="E1724" s="2" t="s">
        <v>1194</v>
      </c>
      <c r="F1724" s="2" t="s">
        <v>1186</v>
      </c>
      <c r="G1724" s="2" t="s">
        <v>4622</v>
      </c>
    </row>
    <row r="1725" customFormat="false" ht="15" hidden="false" customHeight="false" outlineLevel="0" collapsed="false">
      <c r="A1725" s="2" t="s">
        <v>4623</v>
      </c>
      <c r="B1725" s="2" t="s">
        <v>126</v>
      </c>
      <c r="C1725" s="2" t="s">
        <v>4495</v>
      </c>
      <c r="D1725" s="2" t="s">
        <v>50</v>
      </c>
      <c r="E1725" s="2" t="s">
        <v>1194</v>
      </c>
      <c r="F1725" s="2" t="s">
        <v>1186</v>
      </c>
      <c r="G1725" s="2" t="s">
        <v>4624</v>
      </c>
    </row>
    <row r="1726" customFormat="false" ht="15" hidden="false" customHeight="false" outlineLevel="0" collapsed="false">
      <c r="A1726" s="2" t="s">
        <v>4625</v>
      </c>
      <c r="B1726" s="2" t="s">
        <v>126</v>
      </c>
      <c r="C1726" s="2" t="s">
        <v>4495</v>
      </c>
      <c r="D1726" s="2" t="s">
        <v>50</v>
      </c>
      <c r="E1726" s="2" t="s">
        <v>1194</v>
      </c>
      <c r="F1726" s="2" t="s">
        <v>1186</v>
      </c>
      <c r="G1726" s="2" t="s">
        <v>4626</v>
      </c>
    </row>
    <row r="1727" customFormat="false" ht="15" hidden="false" customHeight="false" outlineLevel="0" collapsed="false">
      <c r="A1727" s="2" t="s">
        <v>4627</v>
      </c>
      <c r="B1727" s="2" t="s">
        <v>126</v>
      </c>
      <c r="C1727" s="2" t="s">
        <v>4495</v>
      </c>
      <c r="D1727" s="2" t="s">
        <v>50</v>
      </c>
      <c r="E1727" s="2" t="s">
        <v>1194</v>
      </c>
      <c r="F1727" s="2" t="s">
        <v>1186</v>
      </c>
      <c r="G1727" s="2" t="s">
        <v>4628</v>
      </c>
    </row>
    <row r="1728" customFormat="false" ht="15" hidden="false" customHeight="false" outlineLevel="0" collapsed="false">
      <c r="A1728" s="2" t="s">
        <v>4629</v>
      </c>
      <c r="B1728" s="2" t="s">
        <v>126</v>
      </c>
      <c r="C1728" s="2" t="s">
        <v>4495</v>
      </c>
      <c r="D1728" s="2" t="s">
        <v>50</v>
      </c>
      <c r="E1728" s="2" t="s">
        <v>1194</v>
      </c>
      <c r="F1728" s="2" t="s">
        <v>1186</v>
      </c>
      <c r="G1728" s="2" t="s">
        <v>4630</v>
      </c>
    </row>
    <row r="1729" customFormat="false" ht="15" hidden="false" customHeight="false" outlineLevel="0" collapsed="false">
      <c r="A1729" s="2" t="s">
        <v>4631</v>
      </c>
      <c r="B1729" s="2" t="s">
        <v>126</v>
      </c>
      <c r="C1729" s="2" t="s">
        <v>4495</v>
      </c>
      <c r="D1729" s="2" t="s">
        <v>50</v>
      </c>
      <c r="E1729" s="2" t="s">
        <v>1194</v>
      </c>
      <c r="F1729" s="2" t="s">
        <v>1186</v>
      </c>
      <c r="G1729" s="2" t="s">
        <v>4632</v>
      </c>
    </row>
    <row r="1730" customFormat="false" ht="15" hidden="false" customHeight="false" outlineLevel="0" collapsed="false">
      <c r="A1730" s="2" t="s">
        <v>4633</v>
      </c>
      <c r="B1730" s="2" t="s">
        <v>126</v>
      </c>
      <c r="C1730" s="2" t="s">
        <v>4495</v>
      </c>
      <c r="D1730" s="2" t="s">
        <v>50</v>
      </c>
      <c r="E1730" s="2" t="s">
        <v>1194</v>
      </c>
      <c r="F1730" s="2" t="s">
        <v>1186</v>
      </c>
      <c r="G1730" s="2" t="s">
        <v>4634</v>
      </c>
    </row>
    <row r="1731" customFormat="false" ht="15" hidden="false" customHeight="false" outlineLevel="0" collapsed="false">
      <c r="A1731" s="2" t="s">
        <v>4635</v>
      </c>
      <c r="B1731" s="2" t="s">
        <v>126</v>
      </c>
      <c r="C1731" s="2" t="s">
        <v>4495</v>
      </c>
      <c r="D1731" s="2" t="s">
        <v>50</v>
      </c>
      <c r="E1731" s="2" t="s">
        <v>1194</v>
      </c>
      <c r="F1731" s="2" t="s">
        <v>1186</v>
      </c>
      <c r="G1731" s="2" t="s">
        <v>4636</v>
      </c>
    </row>
    <row r="1732" customFormat="false" ht="15" hidden="false" customHeight="false" outlineLevel="0" collapsed="false">
      <c r="A1732" s="2" t="s">
        <v>4637</v>
      </c>
      <c r="B1732" s="2" t="s">
        <v>126</v>
      </c>
      <c r="C1732" s="2" t="s">
        <v>4495</v>
      </c>
      <c r="D1732" s="2" t="s">
        <v>50</v>
      </c>
      <c r="E1732" s="2" t="s">
        <v>1194</v>
      </c>
      <c r="F1732" s="2" t="s">
        <v>1186</v>
      </c>
      <c r="G1732" s="2" t="s">
        <v>4638</v>
      </c>
    </row>
    <row r="1733" customFormat="false" ht="15" hidden="false" customHeight="false" outlineLevel="0" collapsed="false">
      <c r="A1733" s="2" t="s">
        <v>4639</v>
      </c>
      <c r="B1733" s="2" t="s">
        <v>126</v>
      </c>
      <c r="C1733" s="2" t="s">
        <v>4495</v>
      </c>
      <c r="D1733" s="2" t="s">
        <v>50</v>
      </c>
      <c r="E1733" s="2" t="s">
        <v>1194</v>
      </c>
      <c r="F1733" s="2" t="s">
        <v>1186</v>
      </c>
      <c r="G1733" s="2" t="s">
        <v>4640</v>
      </c>
    </row>
    <row r="1734" customFormat="false" ht="15" hidden="false" customHeight="false" outlineLevel="0" collapsed="false">
      <c r="A1734" s="2" t="s">
        <v>4641</v>
      </c>
      <c r="B1734" s="2" t="s">
        <v>126</v>
      </c>
      <c r="C1734" s="2" t="s">
        <v>4495</v>
      </c>
      <c r="D1734" s="2" t="s">
        <v>50</v>
      </c>
      <c r="E1734" s="2" t="s">
        <v>1194</v>
      </c>
      <c r="F1734" s="2" t="s">
        <v>1186</v>
      </c>
      <c r="G1734" s="2" t="s">
        <v>4642</v>
      </c>
    </row>
    <row r="1735" customFormat="false" ht="15" hidden="false" customHeight="false" outlineLevel="0" collapsed="false">
      <c r="A1735" s="2" t="s">
        <v>4643</v>
      </c>
      <c r="B1735" s="2" t="s">
        <v>126</v>
      </c>
      <c r="C1735" s="2" t="s">
        <v>4495</v>
      </c>
      <c r="D1735" s="2" t="s">
        <v>50</v>
      </c>
      <c r="E1735" s="2" t="s">
        <v>1194</v>
      </c>
      <c r="F1735" s="2" t="s">
        <v>1186</v>
      </c>
      <c r="G1735" s="2" t="s">
        <v>4644</v>
      </c>
    </row>
    <row r="1736" customFormat="false" ht="15" hidden="false" customHeight="false" outlineLevel="0" collapsed="false">
      <c r="A1736" s="2" t="s">
        <v>4645</v>
      </c>
      <c r="B1736" s="2" t="s">
        <v>126</v>
      </c>
      <c r="C1736" s="2" t="s">
        <v>4495</v>
      </c>
      <c r="D1736" s="2" t="s">
        <v>50</v>
      </c>
      <c r="E1736" s="2" t="s">
        <v>1194</v>
      </c>
      <c r="F1736" s="2" t="s">
        <v>1186</v>
      </c>
      <c r="G1736" s="2" t="s">
        <v>4646</v>
      </c>
    </row>
    <row r="1737" customFormat="false" ht="15" hidden="false" customHeight="false" outlineLevel="0" collapsed="false">
      <c r="A1737" s="2" t="s">
        <v>4647</v>
      </c>
      <c r="B1737" s="2" t="s">
        <v>126</v>
      </c>
      <c r="C1737" s="2" t="s">
        <v>4495</v>
      </c>
      <c r="D1737" s="2" t="s">
        <v>50</v>
      </c>
      <c r="E1737" s="2" t="s">
        <v>1194</v>
      </c>
      <c r="F1737" s="2" t="s">
        <v>1186</v>
      </c>
      <c r="G1737" s="2" t="s">
        <v>4648</v>
      </c>
    </row>
    <row r="1738" customFormat="false" ht="15" hidden="false" customHeight="false" outlineLevel="0" collapsed="false">
      <c r="A1738" s="2" t="s">
        <v>4649</v>
      </c>
      <c r="B1738" s="2" t="s">
        <v>126</v>
      </c>
      <c r="C1738" s="2" t="s">
        <v>4495</v>
      </c>
      <c r="D1738" s="2" t="s">
        <v>50</v>
      </c>
      <c r="E1738" s="2" t="s">
        <v>1194</v>
      </c>
      <c r="F1738" s="2" t="s">
        <v>1186</v>
      </c>
      <c r="G1738" s="2" t="s">
        <v>4650</v>
      </c>
    </row>
    <row r="1739" customFormat="false" ht="15" hidden="false" customHeight="false" outlineLevel="0" collapsed="false">
      <c r="A1739" s="2" t="s">
        <v>4651</v>
      </c>
      <c r="B1739" s="2" t="s">
        <v>126</v>
      </c>
      <c r="C1739" s="2" t="s">
        <v>4495</v>
      </c>
      <c r="D1739" s="2" t="s">
        <v>50</v>
      </c>
      <c r="E1739" s="2" t="s">
        <v>1194</v>
      </c>
      <c r="F1739" s="2" t="s">
        <v>1186</v>
      </c>
      <c r="G1739" s="2" t="s">
        <v>4652</v>
      </c>
    </row>
    <row r="1740" customFormat="false" ht="15" hidden="false" customHeight="false" outlineLevel="0" collapsed="false">
      <c r="A1740" s="2" t="s">
        <v>4653</v>
      </c>
      <c r="B1740" s="2" t="s">
        <v>126</v>
      </c>
      <c r="C1740" s="2" t="s">
        <v>4495</v>
      </c>
      <c r="D1740" s="2" t="s">
        <v>50</v>
      </c>
      <c r="E1740" s="2" t="s">
        <v>1194</v>
      </c>
      <c r="F1740" s="2" t="s">
        <v>1186</v>
      </c>
      <c r="G1740" s="2" t="s">
        <v>4654</v>
      </c>
    </row>
    <row r="1741" customFormat="false" ht="15" hidden="false" customHeight="false" outlineLevel="0" collapsed="false">
      <c r="A1741" s="2" t="s">
        <v>4655</v>
      </c>
      <c r="B1741" s="2" t="s">
        <v>126</v>
      </c>
      <c r="C1741" s="2" t="s">
        <v>4495</v>
      </c>
      <c r="D1741" s="2" t="s">
        <v>50</v>
      </c>
      <c r="E1741" s="2" t="s">
        <v>1194</v>
      </c>
      <c r="F1741" s="2" t="s">
        <v>1186</v>
      </c>
      <c r="G1741" s="2" t="s">
        <v>4656</v>
      </c>
    </row>
    <row r="1742" customFormat="false" ht="15" hidden="false" customHeight="false" outlineLevel="0" collapsed="false">
      <c r="A1742" s="2" t="s">
        <v>4657</v>
      </c>
      <c r="B1742" s="2" t="s">
        <v>126</v>
      </c>
      <c r="C1742" s="2" t="s">
        <v>4495</v>
      </c>
      <c r="D1742" s="2" t="s">
        <v>50</v>
      </c>
      <c r="E1742" s="2" t="s">
        <v>1194</v>
      </c>
      <c r="F1742" s="2" t="s">
        <v>1186</v>
      </c>
      <c r="G1742" s="2" t="s">
        <v>4658</v>
      </c>
    </row>
    <row r="1743" customFormat="false" ht="15" hidden="false" customHeight="false" outlineLevel="0" collapsed="false">
      <c r="A1743" s="2" t="s">
        <v>4659</v>
      </c>
      <c r="B1743" s="2" t="s">
        <v>126</v>
      </c>
      <c r="C1743" s="2" t="s">
        <v>4495</v>
      </c>
      <c r="D1743" s="2" t="s">
        <v>50</v>
      </c>
      <c r="E1743" s="2" t="s">
        <v>1194</v>
      </c>
      <c r="F1743" s="2" t="s">
        <v>1186</v>
      </c>
      <c r="G1743" s="2" t="s">
        <v>4660</v>
      </c>
    </row>
    <row r="1744" customFormat="false" ht="15" hidden="false" customHeight="false" outlineLevel="0" collapsed="false">
      <c r="A1744" s="2" t="s">
        <v>4661</v>
      </c>
      <c r="B1744" s="2" t="s">
        <v>126</v>
      </c>
      <c r="C1744" s="2" t="s">
        <v>4495</v>
      </c>
      <c r="D1744" s="2" t="s">
        <v>50</v>
      </c>
      <c r="E1744" s="2" t="s">
        <v>1194</v>
      </c>
      <c r="F1744" s="2" t="s">
        <v>1186</v>
      </c>
      <c r="G1744" s="2" t="s">
        <v>4662</v>
      </c>
    </row>
    <row r="1745" customFormat="false" ht="15" hidden="false" customHeight="false" outlineLevel="0" collapsed="false">
      <c r="A1745" s="2" t="s">
        <v>4663</v>
      </c>
      <c r="B1745" s="2" t="s">
        <v>126</v>
      </c>
      <c r="C1745" s="2" t="s">
        <v>4495</v>
      </c>
      <c r="D1745" s="2" t="s">
        <v>50</v>
      </c>
      <c r="E1745" s="2" t="s">
        <v>1194</v>
      </c>
      <c r="F1745" s="2" t="s">
        <v>1186</v>
      </c>
      <c r="G1745" s="2" t="s">
        <v>4664</v>
      </c>
    </row>
    <row r="1746" customFormat="false" ht="15" hidden="false" customHeight="false" outlineLevel="0" collapsed="false">
      <c r="A1746" s="2" t="s">
        <v>4665</v>
      </c>
      <c r="B1746" s="2" t="s">
        <v>126</v>
      </c>
      <c r="C1746" s="2" t="s">
        <v>4495</v>
      </c>
      <c r="D1746" s="2" t="s">
        <v>50</v>
      </c>
      <c r="E1746" s="2" t="s">
        <v>1194</v>
      </c>
      <c r="F1746" s="2" t="s">
        <v>1186</v>
      </c>
      <c r="G1746" s="2" t="s">
        <v>4666</v>
      </c>
    </row>
    <row r="1747" customFormat="false" ht="15" hidden="false" customHeight="false" outlineLevel="0" collapsed="false">
      <c r="A1747" s="2" t="s">
        <v>4667</v>
      </c>
      <c r="B1747" s="2" t="s">
        <v>126</v>
      </c>
      <c r="C1747" s="2" t="s">
        <v>4495</v>
      </c>
      <c r="D1747" s="2" t="s">
        <v>50</v>
      </c>
      <c r="E1747" s="2" t="s">
        <v>1194</v>
      </c>
      <c r="F1747" s="2" t="s">
        <v>1186</v>
      </c>
      <c r="G1747" s="2" t="s">
        <v>4668</v>
      </c>
    </row>
    <row r="1748" customFormat="false" ht="15" hidden="false" customHeight="false" outlineLevel="0" collapsed="false">
      <c r="A1748" s="2" t="s">
        <v>4669</v>
      </c>
      <c r="B1748" s="2" t="s">
        <v>126</v>
      </c>
      <c r="C1748" s="2" t="s">
        <v>4495</v>
      </c>
      <c r="D1748" s="2" t="s">
        <v>50</v>
      </c>
      <c r="E1748" s="2" t="s">
        <v>1194</v>
      </c>
      <c r="F1748" s="2" t="s">
        <v>1186</v>
      </c>
      <c r="G1748" s="2" t="s">
        <v>4670</v>
      </c>
    </row>
    <row r="1749" customFormat="false" ht="15" hidden="false" customHeight="false" outlineLevel="0" collapsed="false">
      <c r="A1749" s="2" t="s">
        <v>4671</v>
      </c>
      <c r="B1749" s="2" t="s">
        <v>126</v>
      </c>
      <c r="C1749" s="2" t="s">
        <v>4495</v>
      </c>
      <c r="D1749" s="2" t="s">
        <v>50</v>
      </c>
      <c r="E1749" s="2" t="s">
        <v>1194</v>
      </c>
      <c r="F1749" s="2" t="s">
        <v>1186</v>
      </c>
      <c r="G1749" s="2" t="s">
        <v>4672</v>
      </c>
    </row>
    <row r="1750" customFormat="false" ht="15" hidden="false" customHeight="false" outlineLevel="0" collapsed="false">
      <c r="A1750" s="2" t="s">
        <v>4673</v>
      </c>
      <c r="B1750" s="2" t="s">
        <v>126</v>
      </c>
      <c r="C1750" s="2" t="s">
        <v>4495</v>
      </c>
      <c r="D1750" s="2" t="s">
        <v>50</v>
      </c>
      <c r="E1750" s="2" t="s">
        <v>1194</v>
      </c>
      <c r="F1750" s="2" t="s">
        <v>1186</v>
      </c>
      <c r="G1750" s="2" t="s">
        <v>4674</v>
      </c>
    </row>
    <row r="1751" customFormat="false" ht="15" hidden="false" customHeight="false" outlineLevel="0" collapsed="false">
      <c r="A1751" s="2" t="s">
        <v>4675</v>
      </c>
      <c r="B1751" s="2" t="s">
        <v>126</v>
      </c>
      <c r="C1751" s="2" t="s">
        <v>4495</v>
      </c>
      <c r="D1751" s="2" t="s">
        <v>50</v>
      </c>
      <c r="E1751" s="2" t="s">
        <v>1194</v>
      </c>
      <c r="F1751" s="2" t="s">
        <v>1186</v>
      </c>
      <c r="G1751" s="2" t="s">
        <v>4676</v>
      </c>
    </row>
    <row r="1752" customFormat="false" ht="15" hidden="false" customHeight="false" outlineLevel="0" collapsed="false">
      <c r="A1752" s="2" t="s">
        <v>4677</v>
      </c>
      <c r="B1752" s="2" t="s">
        <v>126</v>
      </c>
      <c r="C1752" s="2" t="s">
        <v>4495</v>
      </c>
      <c r="D1752" s="2" t="s">
        <v>50</v>
      </c>
      <c r="E1752" s="2" t="s">
        <v>1194</v>
      </c>
      <c r="F1752" s="2" t="s">
        <v>1186</v>
      </c>
      <c r="G1752" s="2" t="s">
        <v>4678</v>
      </c>
    </row>
    <row r="1753" customFormat="false" ht="15" hidden="false" customHeight="false" outlineLevel="0" collapsed="false">
      <c r="A1753" s="2" t="s">
        <v>4679</v>
      </c>
      <c r="B1753" s="2" t="s">
        <v>126</v>
      </c>
      <c r="C1753" s="2" t="s">
        <v>4495</v>
      </c>
      <c r="D1753" s="2" t="s">
        <v>50</v>
      </c>
      <c r="E1753" s="2" t="s">
        <v>1194</v>
      </c>
      <c r="F1753" s="2" t="s">
        <v>1186</v>
      </c>
      <c r="G1753" s="2" t="s">
        <v>4680</v>
      </c>
    </row>
    <row r="1754" customFormat="false" ht="15" hidden="false" customHeight="false" outlineLevel="0" collapsed="false">
      <c r="A1754" s="2" t="s">
        <v>4681</v>
      </c>
      <c r="B1754" s="2" t="s">
        <v>126</v>
      </c>
      <c r="C1754" s="2" t="s">
        <v>4495</v>
      </c>
      <c r="D1754" s="2" t="s">
        <v>50</v>
      </c>
      <c r="E1754" s="2" t="s">
        <v>1194</v>
      </c>
      <c r="F1754" s="2" t="s">
        <v>1186</v>
      </c>
      <c r="G1754" s="2" t="s">
        <v>4682</v>
      </c>
    </row>
    <row r="1755" customFormat="false" ht="15" hidden="false" customHeight="false" outlineLevel="0" collapsed="false">
      <c r="A1755" s="2" t="s">
        <v>4683</v>
      </c>
      <c r="B1755" s="2" t="s">
        <v>126</v>
      </c>
      <c r="C1755" s="2" t="s">
        <v>4495</v>
      </c>
      <c r="D1755" s="2" t="s">
        <v>50</v>
      </c>
      <c r="E1755" s="2" t="s">
        <v>1194</v>
      </c>
      <c r="F1755" s="2" t="s">
        <v>1186</v>
      </c>
      <c r="G1755" s="2" t="s">
        <v>4684</v>
      </c>
    </row>
    <row r="1756" customFormat="false" ht="15" hidden="false" customHeight="false" outlineLevel="0" collapsed="false">
      <c r="A1756" s="2" t="s">
        <v>4685</v>
      </c>
      <c r="B1756" s="2" t="s">
        <v>126</v>
      </c>
      <c r="C1756" s="2" t="s">
        <v>4495</v>
      </c>
      <c r="D1756" s="2" t="s">
        <v>50</v>
      </c>
      <c r="E1756" s="2" t="s">
        <v>1194</v>
      </c>
      <c r="F1756" s="2" t="s">
        <v>1186</v>
      </c>
      <c r="G1756" s="2" t="s">
        <v>4686</v>
      </c>
    </row>
    <row r="1757" customFormat="false" ht="15" hidden="false" customHeight="false" outlineLevel="0" collapsed="false">
      <c r="A1757" s="2" t="s">
        <v>4687</v>
      </c>
      <c r="B1757" s="2" t="s">
        <v>126</v>
      </c>
      <c r="C1757" s="2" t="s">
        <v>4495</v>
      </c>
      <c r="D1757" s="2" t="s">
        <v>50</v>
      </c>
      <c r="E1757" s="2" t="s">
        <v>1194</v>
      </c>
      <c r="F1757" s="2" t="s">
        <v>1186</v>
      </c>
      <c r="G1757" s="2" t="s">
        <v>4688</v>
      </c>
    </row>
    <row r="1758" customFormat="false" ht="15" hidden="false" customHeight="false" outlineLevel="0" collapsed="false">
      <c r="A1758" s="2" t="s">
        <v>4689</v>
      </c>
      <c r="B1758" s="2" t="s">
        <v>126</v>
      </c>
      <c r="C1758" s="2" t="s">
        <v>4495</v>
      </c>
      <c r="D1758" s="2" t="s">
        <v>50</v>
      </c>
      <c r="E1758" s="2" t="s">
        <v>1194</v>
      </c>
      <c r="F1758" s="2" t="s">
        <v>1186</v>
      </c>
      <c r="G1758" s="2" t="s">
        <v>4690</v>
      </c>
    </row>
    <row r="1759" customFormat="false" ht="15" hidden="false" customHeight="false" outlineLevel="0" collapsed="false">
      <c r="A1759" s="2" t="s">
        <v>4691</v>
      </c>
      <c r="B1759" s="2" t="s">
        <v>126</v>
      </c>
      <c r="C1759" s="2" t="s">
        <v>4495</v>
      </c>
      <c r="D1759" s="2" t="s">
        <v>50</v>
      </c>
      <c r="E1759" s="2" t="s">
        <v>1194</v>
      </c>
      <c r="F1759" s="2" t="s">
        <v>1186</v>
      </c>
      <c r="G1759" s="2" t="s">
        <v>4692</v>
      </c>
    </row>
    <row r="1760" customFormat="false" ht="15" hidden="false" customHeight="false" outlineLevel="0" collapsed="false">
      <c r="A1760" s="2" t="s">
        <v>4693</v>
      </c>
      <c r="B1760" s="2" t="s">
        <v>126</v>
      </c>
      <c r="C1760" s="2" t="s">
        <v>4495</v>
      </c>
      <c r="D1760" s="2" t="s">
        <v>50</v>
      </c>
      <c r="E1760" s="2" t="s">
        <v>1194</v>
      </c>
      <c r="F1760" s="2" t="s">
        <v>1186</v>
      </c>
      <c r="G1760" s="2" t="s">
        <v>4694</v>
      </c>
    </row>
    <row r="1761" customFormat="false" ht="15" hidden="false" customHeight="false" outlineLevel="0" collapsed="false">
      <c r="A1761" s="2" t="s">
        <v>4695</v>
      </c>
      <c r="B1761" s="2" t="s">
        <v>126</v>
      </c>
      <c r="C1761" s="2" t="s">
        <v>4495</v>
      </c>
      <c r="D1761" s="2" t="s">
        <v>50</v>
      </c>
      <c r="E1761" s="2" t="s">
        <v>1194</v>
      </c>
      <c r="F1761" s="2" t="s">
        <v>1186</v>
      </c>
      <c r="G1761" s="2" t="s">
        <v>4696</v>
      </c>
    </row>
    <row r="1762" customFormat="false" ht="15" hidden="false" customHeight="false" outlineLevel="0" collapsed="false">
      <c r="A1762" s="2" t="s">
        <v>4697</v>
      </c>
      <c r="B1762" s="2" t="s">
        <v>126</v>
      </c>
      <c r="C1762" s="2" t="s">
        <v>4495</v>
      </c>
      <c r="D1762" s="2" t="s">
        <v>50</v>
      </c>
      <c r="E1762" s="2" t="s">
        <v>1194</v>
      </c>
      <c r="F1762" s="2" t="s">
        <v>1186</v>
      </c>
      <c r="G1762" s="2" t="s">
        <v>4698</v>
      </c>
    </row>
    <row r="1763" customFormat="false" ht="15" hidden="false" customHeight="false" outlineLevel="0" collapsed="false">
      <c r="A1763" s="2" t="s">
        <v>4699</v>
      </c>
      <c r="B1763" s="2" t="s">
        <v>126</v>
      </c>
      <c r="C1763" s="2" t="s">
        <v>4495</v>
      </c>
      <c r="D1763" s="2" t="s">
        <v>50</v>
      </c>
      <c r="E1763" s="2" t="s">
        <v>1194</v>
      </c>
      <c r="F1763" s="2" t="s">
        <v>1186</v>
      </c>
      <c r="G1763" s="2" t="s">
        <v>4700</v>
      </c>
    </row>
    <row r="1764" customFormat="false" ht="15" hidden="false" customHeight="false" outlineLevel="0" collapsed="false">
      <c r="A1764" s="2" t="s">
        <v>4701</v>
      </c>
      <c r="B1764" s="2" t="s">
        <v>126</v>
      </c>
      <c r="C1764" s="2" t="s">
        <v>4495</v>
      </c>
      <c r="D1764" s="2" t="s">
        <v>50</v>
      </c>
      <c r="E1764" s="2" t="s">
        <v>1194</v>
      </c>
      <c r="F1764" s="2" t="s">
        <v>1186</v>
      </c>
      <c r="G1764" s="2" t="s">
        <v>4702</v>
      </c>
    </row>
    <row r="1765" customFormat="false" ht="15" hidden="false" customHeight="false" outlineLevel="0" collapsed="false">
      <c r="A1765" s="2" t="s">
        <v>4703</v>
      </c>
      <c r="B1765" s="2" t="s">
        <v>126</v>
      </c>
      <c r="C1765" s="2" t="s">
        <v>4204</v>
      </c>
      <c r="D1765" s="2" t="s">
        <v>48</v>
      </c>
      <c r="E1765" s="2" t="s">
        <v>1185</v>
      </c>
      <c r="F1765" s="2" t="s">
        <v>1186</v>
      </c>
      <c r="G1765" s="2" t="s">
        <v>4704</v>
      </c>
    </row>
    <row r="1766" customFormat="false" ht="15" hidden="false" customHeight="false" outlineLevel="0" collapsed="false">
      <c r="A1766" s="2" t="s">
        <v>4705</v>
      </c>
      <c r="B1766" s="2" t="s">
        <v>126</v>
      </c>
      <c r="C1766" s="2" t="s">
        <v>4204</v>
      </c>
      <c r="D1766" s="2" t="s">
        <v>48</v>
      </c>
      <c r="E1766" s="2" t="s">
        <v>1185</v>
      </c>
      <c r="F1766" s="2" t="s">
        <v>1186</v>
      </c>
      <c r="G1766" s="2" t="s">
        <v>4706</v>
      </c>
    </row>
    <row r="1767" customFormat="false" ht="15" hidden="false" customHeight="false" outlineLevel="0" collapsed="false">
      <c r="A1767" s="2" t="s">
        <v>4707</v>
      </c>
      <c r="B1767" s="2" t="s">
        <v>126</v>
      </c>
      <c r="C1767" s="2" t="s">
        <v>4204</v>
      </c>
      <c r="D1767" s="2" t="s">
        <v>48</v>
      </c>
      <c r="E1767" s="2" t="s">
        <v>1185</v>
      </c>
      <c r="F1767" s="2" t="s">
        <v>1186</v>
      </c>
      <c r="G1767" s="2" t="s">
        <v>4708</v>
      </c>
    </row>
    <row r="1768" customFormat="false" ht="15" hidden="false" customHeight="false" outlineLevel="0" collapsed="false">
      <c r="A1768" s="2" t="s">
        <v>4709</v>
      </c>
      <c r="B1768" s="2" t="s">
        <v>126</v>
      </c>
      <c r="C1768" s="2" t="s">
        <v>4204</v>
      </c>
      <c r="D1768" s="2" t="s">
        <v>48</v>
      </c>
      <c r="E1768" s="2" t="s">
        <v>1185</v>
      </c>
      <c r="F1768" s="2" t="s">
        <v>1186</v>
      </c>
      <c r="G1768" s="2" t="s">
        <v>4710</v>
      </c>
    </row>
    <row r="1769" customFormat="false" ht="15" hidden="false" customHeight="false" outlineLevel="0" collapsed="false">
      <c r="A1769" s="2" t="s">
        <v>4711</v>
      </c>
      <c r="B1769" s="2" t="s">
        <v>126</v>
      </c>
      <c r="C1769" s="2" t="s">
        <v>4204</v>
      </c>
      <c r="D1769" s="2" t="s">
        <v>48</v>
      </c>
      <c r="E1769" s="2" t="s">
        <v>1185</v>
      </c>
      <c r="F1769" s="2" t="s">
        <v>1186</v>
      </c>
      <c r="G1769" s="2" t="s">
        <v>4712</v>
      </c>
    </row>
    <row r="1770" customFormat="false" ht="15" hidden="false" customHeight="false" outlineLevel="0" collapsed="false">
      <c r="A1770" s="2" t="s">
        <v>4713</v>
      </c>
      <c r="B1770" s="2" t="s">
        <v>126</v>
      </c>
      <c r="C1770" s="2" t="s">
        <v>4204</v>
      </c>
      <c r="D1770" s="2" t="s">
        <v>48</v>
      </c>
      <c r="E1770" s="2" t="s">
        <v>1185</v>
      </c>
      <c r="F1770" s="2" t="s">
        <v>1186</v>
      </c>
      <c r="G1770" s="2" t="s">
        <v>4714</v>
      </c>
    </row>
    <row r="1771" customFormat="false" ht="15" hidden="false" customHeight="false" outlineLevel="0" collapsed="false">
      <c r="A1771" s="2" t="s">
        <v>4715</v>
      </c>
      <c r="B1771" s="2" t="s">
        <v>126</v>
      </c>
      <c r="C1771" s="2" t="s">
        <v>4204</v>
      </c>
      <c r="D1771" s="2" t="s">
        <v>48</v>
      </c>
      <c r="E1771" s="2" t="s">
        <v>1185</v>
      </c>
      <c r="F1771" s="2" t="s">
        <v>1186</v>
      </c>
      <c r="G1771" s="2" t="s">
        <v>4716</v>
      </c>
    </row>
    <row r="1772" customFormat="false" ht="15" hidden="false" customHeight="false" outlineLevel="0" collapsed="false">
      <c r="A1772" s="2" t="s">
        <v>4717</v>
      </c>
      <c r="B1772" s="2" t="s">
        <v>126</v>
      </c>
      <c r="C1772" s="2" t="s">
        <v>2179</v>
      </c>
      <c r="D1772" s="2" t="s">
        <v>49</v>
      </c>
      <c r="E1772" s="2" t="s">
        <v>1563</v>
      </c>
      <c r="F1772" s="2" t="s">
        <v>1186</v>
      </c>
      <c r="G1772" s="2" t="s">
        <v>4718</v>
      </c>
    </row>
    <row r="1773" customFormat="false" ht="15" hidden="false" customHeight="false" outlineLevel="0" collapsed="false">
      <c r="A1773" s="2" t="s">
        <v>4719</v>
      </c>
      <c r="B1773" s="2" t="s">
        <v>126</v>
      </c>
      <c r="C1773" s="2" t="s">
        <v>4204</v>
      </c>
      <c r="D1773" s="2" t="s">
        <v>48</v>
      </c>
      <c r="E1773" s="2" t="s">
        <v>1185</v>
      </c>
      <c r="F1773" s="2" t="s">
        <v>1186</v>
      </c>
      <c r="G1773" s="2" t="s">
        <v>4720</v>
      </c>
    </row>
    <row r="1774" customFormat="false" ht="15" hidden="false" customHeight="false" outlineLevel="0" collapsed="false">
      <c r="A1774" s="2" t="s">
        <v>4721</v>
      </c>
      <c r="B1774" s="2" t="s">
        <v>126</v>
      </c>
      <c r="C1774" s="2" t="s">
        <v>4204</v>
      </c>
      <c r="D1774" s="2" t="s">
        <v>48</v>
      </c>
      <c r="E1774" s="2" t="s">
        <v>1185</v>
      </c>
      <c r="F1774" s="2" t="s">
        <v>1186</v>
      </c>
      <c r="G1774" s="2" t="s">
        <v>4722</v>
      </c>
    </row>
    <row r="1775" customFormat="false" ht="15" hidden="false" customHeight="false" outlineLevel="0" collapsed="false">
      <c r="A1775" s="2" t="s">
        <v>4723</v>
      </c>
      <c r="B1775" s="2" t="s">
        <v>126</v>
      </c>
      <c r="C1775" s="2" t="s">
        <v>4204</v>
      </c>
      <c r="D1775" s="2" t="s">
        <v>48</v>
      </c>
      <c r="E1775" s="2" t="s">
        <v>1185</v>
      </c>
      <c r="F1775" s="2" t="s">
        <v>1186</v>
      </c>
      <c r="G1775" s="2" t="s">
        <v>4724</v>
      </c>
    </row>
    <row r="1776" customFormat="false" ht="15" hidden="false" customHeight="false" outlineLevel="0" collapsed="false">
      <c r="A1776" s="2" t="s">
        <v>4725</v>
      </c>
      <c r="B1776" s="2" t="s">
        <v>126</v>
      </c>
      <c r="C1776" s="2" t="s">
        <v>4204</v>
      </c>
      <c r="D1776" s="2" t="s">
        <v>48</v>
      </c>
      <c r="E1776" s="2" t="s">
        <v>1185</v>
      </c>
      <c r="F1776" s="2" t="s">
        <v>1186</v>
      </c>
      <c r="G1776" s="2" t="s">
        <v>4726</v>
      </c>
    </row>
    <row r="1777" customFormat="false" ht="15" hidden="false" customHeight="false" outlineLevel="0" collapsed="false">
      <c r="A1777" s="2" t="s">
        <v>4727</v>
      </c>
      <c r="B1777" s="2" t="s">
        <v>126</v>
      </c>
      <c r="C1777" s="2" t="s">
        <v>2179</v>
      </c>
      <c r="D1777" s="2" t="s">
        <v>49</v>
      </c>
      <c r="E1777" s="2" t="s">
        <v>1563</v>
      </c>
      <c r="F1777" s="2" t="s">
        <v>1186</v>
      </c>
      <c r="G1777" s="2" t="s">
        <v>4728</v>
      </c>
    </row>
    <row r="1778" customFormat="false" ht="15" hidden="false" customHeight="false" outlineLevel="0" collapsed="false">
      <c r="A1778" s="2" t="s">
        <v>4729</v>
      </c>
      <c r="B1778" s="2" t="s">
        <v>126</v>
      </c>
      <c r="C1778" s="2" t="s">
        <v>2179</v>
      </c>
      <c r="D1778" s="2" t="s">
        <v>49</v>
      </c>
      <c r="E1778" s="2" t="s">
        <v>1563</v>
      </c>
      <c r="F1778" s="2" t="s">
        <v>1186</v>
      </c>
      <c r="G1778" s="2" t="s">
        <v>4730</v>
      </c>
    </row>
    <row r="1779" customFormat="false" ht="15" hidden="false" customHeight="false" outlineLevel="0" collapsed="false">
      <c r="A1779" s="2" t="s">
        <v>4731</v>
      </c>
      <c r="B1779" s="2" t="s">
        <v>126</v>
      </c>
      <c r="C1779" s="2" t="s">
        <v>2179</v>
      </c>
      <c r="D1779" s="2" t="s">
        <v>49</v>
      </c>
      <c r="E1779" s="2" t="s">
        <v>1563</v>
      </c>
      <c r="F1779" s="2" t="s">
        <v>1186</v>
      </c>
      <c r="G1779" s="2" t="s">
        <v>4732</v>
      </c>
    </row>
    <row r="1780" customFormat="false" ht="15" hidden="false" customHeight="false" outlineLevel="0" collapsed="false">
      <c r="A1780" s="2" t="s">
        <v>4733</v>
      </c>
      <c r="B1780" s="2" t="s">
        <v>126</v>
      </c>
      <c r="C1780" s="2" t="s">
        <v>2179</v>
      </c>
      <c r="D1780" s="2" t="s">
        <v>49</v>
      </c>
      <c r="E1780" s="2" t="s">
        <v>1563</v>
      </c>
      <c r="F1780" s="2" t="s">
        <v>1186</v>
      </c>
      <c r="G1780" s="2" t="s">
        <v>4734</v>
      </c>
    </row>
    <row r="1781" customFormat="false" ht="15" hidden="false" customHeight="false" outlineLevel="0" collapsed="false">
      <c r="A1781" s="2" t="s">
        <v>4735</v>
      </c>
      <c r="B1781" s="2" t="s">
        <v>126</v>
      </c>
      <c r="C1781" s="2" t="s">
        <v>2179</v>
      </c>
      <c r="D1781" s="2" t="s">
        <v>49</v>
      </c>
      <c r="E1781" s="2" t="s">
        <v>1563</v>
      </c>
      <c r="F1781" s="2" t="s">
        <v>1186</v>
      </c>
      <c r="G1781" s="2" t="s">
        <v>4736</v>
      </c>
    </row>
    <row r="1782" customFormat="false" ht="15" hidden="false" customHeight="false" outlineLevel="0" collapsed="false">
      <c r="A1782" s="2" t="s">
        <v>4737</v>
      </c>
      <c r="B1782" s="2" t="s">
        <v>126</v>
      </c>
      <c r="C1782" s="2" t="s">
        <v>2179</v>
      </c>
      <c r="D1782" s="2" t="s">
        <v>49</v>
      </c>
      <c r="E1782" s="2" t="s">
        <v>1563</v>
      </c>
      <c r="F1782" s="2" t="s">
        <v>1186</v>
      </c>
      <c r="G1782" s="2" t="s">
        <v>4738</v>
      </c>
    </row>
    <row r="1783" customFormat="false" ht="15" hidden="false" customHeight="false" outlineLevel="0" collapsed="false">
      <c r="A1783" s="2" t="s">
        <v>4739</v>
      </c>
      <c r="B1783" s="2" t="s">
        <v>126</v>
      </c>
      <c r="C1783" s="2" t="s">
        <v>2179</v>
      </c>
      <c r="D1783" s="2" t="s">
        <v>49</v>
      </c>
      <c r="E1783" s="2" t="s">
        <v>1563</v>
      </c>
      <c r="F1783" s="2" t="s">
        <v>1186</v>
      </c>
      <c r="G1783" s="2" t="s">
        <v>4740</v>
      </c>
    </row>
    <row r="1784" customFormat="false" ht="15" hidden="false" customHeight="false" outlineLevel="0" collapsed="false">
      <c r="A1784" s="2" t="s">
        <v>4741</v>
      </c>
      <c r="B1784" s="2" t="s">
        <v>126</v>
      </c>
      <c r="C1784" s="2" t="s">
        <v>2179</v>
      </c>
      <c r="D1784" s="2" t="s">
        <v>49</v>
      </c>
      <c r="E1784" s="2" t="s">
        <v>1563</v>
      </c>
      <c r="F1784" s="2" t="s">
        <v>1186</v>
      </c>
      <c r="G1784" s="2" t="s">
        <v>4742</v>
      </c>
    </row>
    <row r="1785" customFormat="false" ht="15" hidden="false" customHeight="false" outlineLevel="0" collapsed="false">
      <c r="A1785" s="2" t="s">
        <v>4743</v>
      </c>
      <c r="B1785" s="2" t="s">
        <v>126</v>
      </c>
      <c r="C1785" s="2" t="s">
        <v>4204</v>
      </c>
      <c r="D1785" s="2" t="s">
        <v>48</v>
      </c>
      <c r="E1785" s="2" t="s">
        <v>1185</v>
      </c>
      <c r="F1785" s="2" t="s">
        <v>1186</v>
      </c>
      <c r="G1785" s="2" t="s">
        <v>4744</v>
      </c>
    </row>
    <row r="1786" customFormat="false" ht="15" hidden="false" customHeight="false" outlineLevel="0" collapsed="false">
      <c r="A1786" s="2" t="s">
        <v>4745</v>
      </c>
      <c r="B1786" s="2" t="s">
        <v>126</v>
      </c>
      <c r="C1786" s="2" t="s">
        <v>2179</v>
      </c>
      <c r="D1786" s="2" t="s">
        <v>49</v>
      </c>
      <c r="E1786" s="2" t="s">
        <v>1563</v>
      </c>
      <c r="F1786" s="2" t="s">
        <v>1186</v>
      </c>
      <c r="G1786" s="2" t="s">
        <v>4746</v>
      </c>
    </row>
    <row r="1787" customFormat="false" ht="15" hidden="false" customHeight="false" outlineLevel="0" collapsed="false">
      <c r="A1787" s="2" t="s">
        <v>4747</v>
      </c>
      <c r="B1787" s="2" t="s">
        <v>126</v>
      </c>
      <c r="C1787" s="2" t="s">
        <v>2179</v>
      </c>
      <c r="D1787" s="2" t="s">
        <v>49</v>
      </c>
      <c r="E1787" s="2" t="s">
        <v>1563</v>
      </c>
      <c r="F1787" s="2" t="s">
        <v>1186</v>
      </c>
      <c r="G1787" s="2" t="s">
        <v>4748</v>
      </c>
    </row>
    <row r="1788" customFormat="false" ht="15" hidden="false" customHeight="false" outlineLevel="0" collapsed="false">
      <c r="A1788" s="2" t="s">
        <v>4749</v>
      </c>
      <c r="B1788" s="2" t="s">
        <v>126</v>
      </c>
      <c r="C1788" s="2" t="s">
        <v>2179</v>
      </c>
      <c r="D1788" s="2" t="s">
        <v>49</v>
      </c>
      <c r="E1788" s="2" t="s">
        <v>1563</v>
      </c>
      <c r="F1788" s="2" t="s">
        <v>1186</v>
      </c>
      <c r="G1788" s="2" t="s">
        <v>4750</v>
      </c>
    </row>
    <row r="1789" customFormat="false" ht="15" hidden="false" customHeight="false" outlineLevel="0" collapsed="false">
      <c r="A1789" s="2" t="s">
        <v>4751</v>
      </c>
      <c r="B1789" s="2" t="s">
        <v>126</v>
      </c>
      <c r="C1789" s="2" t="s">
        <v>2179</v>
      </c>
      <c r="D1789" s="2" t="s">
        <v>49</v>
      </c>
      <c r="E1789" s="2" t="s">
        <v>1563</v>
      </c>
      <c r="F1789" s="2" t="s">
        <v>1186</v>
      </c>
      <c r="G1789" s="2" t="s">
        <v>4752</v>
      </c>
    </row>
    <row r="1790" customFormat="false" ht="15" hidden="false" customHeight="false" outlineLevel="0" collapsed="false">
      <c r="A1790" s="2" t="s">
        <v>4753</v>
      </c>
      <c r="B1790" s="2" t="s">
        <v>126</v>
      </c>
      <c r="C1790" s="2" t="s">
        <v>2179</v>
      </c>
      <c r="D1790" s="2" t="s">
        <v>49</v>
      </c>
      <c r="E1790" s="2" t="s">
        <v>1563</v>
      </c>
      <c r="F1790" s="2" t="s">
        <v>1186</v>
      </c>
      <c r="G1790" s="2" t="s">
        <v>4754</v>
      </c>
    </row>
    <row r="1791" customFormat="false" ht="15" hidden="false" customHeight="false" outlineLevel="0" collapsed="false">
      <c r="A1791" s="2" t="s">
        <v>4755</v>
      </c>
      <c r="B1791" s="2" t="s">
        <v>126</v>
      </c>
      <c r="C1791" s="2" t="s">
        <v>2179</v>
      </c>
      <c r="D1791" s="2" t="s">
        <v>49</v>
      </c>
      <c r="E1791" s="2" t="s">
        <v>1563</v>
      </c>
      <c r="F1791" s="2" t="s">
        <v>1186</v>
      </c>
      <c r="G1791" s="2" t="s">
        <v>4756</v>
      </c>
    </row>
    <row r="1792" customFormat="false" ht="15" hidden="false" customHeight="false" outlineLevel="0" collapsed="false">
      <c r="A1792" s="2" t="s">
        <v>4757</v>
      </c>
      <c r="B1792" s="2" t="s">
        <v>126</v>
      </c>
      <c r="C1792" s="2" t="s">
        <v>2179</v>
      </c>
      <c r="D1792" s="2" t="s">
        <v>49</v>
      </c>
      <c r="E1792" s="2" t="s">
        <v>1563</v>
      </c>
      <c r="F1792" s="2" t="s">
        <v>1186</v>
      </c>
      <c r="G1792" s="2" t="s">
        <v>4758</v>
      </c>
    </row>
    <row r="1793" customFormat="false" ht="15" hidden="false" customHeight="false" outlineLevel="0" collapsed="false">
      <c r="A1793" s="2" t="s">
        <v>4759</v>
      </c>
      <c r="B1793" s="2" t="s">
        <v>126</v>
      </c>
      <c r="C1793" s="2" t="s">
        <v>2179</v>
      </c>
      <c r="D1793" s="2" t="s">
        <v>49</v>
      </c>
      <c r="E1793" s="2" t="s">
        <v>1563</v>
      </c>
      <c r="F1793" s="2" t="s">
        <v>1186</v>
      </c>
      <c r="G1793" s="2" t="s">
        <v>4760</v>
      </c>
    </row>
    <row r="1794" customFormat="false" ht="15" hidden="false" customHeight="false" outlineLevel="0" collapsed="false">
      <c r="A1794" s="2" t="s">
        <v>4761</v>
      </c>
      <c r="B1794" s="2" t="s">
        <v>126</v>
      </c>
      <c r="C1794" s="2" t="s">
        <v>2179</v>
      </c>
      <c r="D1794" s="2" t="s">
        <v>49</v>
      </c>
      <c r="E1794" s="2" t="s">
        <v>1563</v>
      </c>
      <c r="F1794" s="2" t="s">
        <v>1186</v>
      </c>
      <c r="G1794" s="2" t="s">
        <v>4762</v>
      </c>
    </row>
    <row r="1795" customFormat="false" ht="15" hidden="false" customHeight="false" outlineLevel="0" collapsed="false">
      <c r="A1795" s="2" t="s">
        <v>4763</v>
      </c>
      <c r="B1795" s="2" t="s">
        <v>126</v>
      </c>
      <c r="C1795" s="2" t="s">
        <v>2179</v>
      </c>
      <c r="D1795" s="2" t="s">
        <v>49</v>
      </c>
      <c r="E1795" s="2" t="s">
        <v>1563</v>
      </c>
      <c r="F1795" s="2" t="s">
        <v>1186</v>
      </c>
      <c r="G1795" s="2" t="s">
        <v>4764</v>
      </c>
    </row>
    <row r="1796" customFormat="false" ht="15" hidden="false" customHeight="false" outlineLevel="0" collapsed="false">
      <c r="A1796" s="2" t="s">
        <v>4765</v>
      </c>
      <c r="B1796" s="2" t="s">
        <v>126</v>
      </c>
      <c r="C1796" s="2" t="s">
        <v>2179</v>
      </c>
      <c r="D1796" s="2" t="s">
        <v>49</v>
      </c>
      <c r="E1796" s="2" t="s">
        <v>1563</v>
      </c>
      <c r="F1796" s="2" t="s">
        <v>1186</v>
      </c>
      <c r="G1796" s="2" t="s">
        <v>4766</v>
      </c>
    </row>
    <row r="1797" customFormat="false" ht="15" hidden="false" customHeight="false" outlineLevel="0" collapsed="false">
      <c r="A1797" s="2" t="s">
        <v>4767</v>
      </c>
      <c r="B1797" s="2" t="s">
        <v>126</v>
      </c>
      <c r="C1797" s="2" t="s">
        <v>2179</v>
      </c>
      <c r="D1797" s="2" t="s">
        <v>49</v>
      </c>
      <c r="E1797" s="2" t="s">
        <v>1563</v>
      </c>
      <c r="F1797" s="2" t="s">
        <v>1186</v>
      </c>
      <c r="G1797" s="2" t="s">
        <v>4768</v>
      </c>
    </row>
    <row r="1798" customFormat="false" ht="15" hidden="false" customHeight="false" outlineLevel="0" collapsed="false">
      <c r="A1798" s="2" t="s">
        <v>4769</v>
      </c>
      <c r="B1798" s="2" t="s">
        <v>126</v>
      </c>
      <c r="C1798" s="2" t="s">
        <v>2179</v>
      </c>
      <c r="D1798" s="2" t="s">
        <v>49</v>
      </c>
      <c r="E1798" s="2" t="s">
        <v>1563</v>
      </c>
      <c r="F1798" s="2" t="s">
        <v>1186</v>
      </c>
      <c r="G1798" s="2" t="s">
        <v>4770</v>
      </c>
    </row>
    <row r="1799" customFormat="false" ht="15" hidden="false" customHeight="false" outlineLevel="0" collapsed="false">
      <c r="A1799" s="2" t="s">
        <v>4771</v>
      </c>
      <c r="B1799" s="2" t="s">
        <v>126</v>
      </c>
      <c r="C1799" s="2" t="s">
        <v>2179</v>
      </c>
      <c r="D1799" s="2" t="s">
        <v>49</v>
      </c>
      <c r="E1799" s="2" t="s">
        <v>1563</v>
      </c>
      <c r="F1799" s="2" t="s">
        <v>1186</v>
      </c>
      <c r="G1799" s="2" t="s">
        <v>4772</v>
      </c>
    </row>
    <row r="1800" customFormat="false" ht="15" hidden="false" customHeight="false" outlineLevel="0" collapsed="false">
      <c r="A1800" s="2" t="s">
        <v>4773</v>
      </c>
      <c r="B1800" s="2" t="s">
        <v>126</v>
      </c>
      <c r="C1800" s="2" t="s">
        <v>2179</v>
      </c>
      <c r="D1800" s="2" t="s">
        <v>49</v>
      </c>
      <c r="E1800" s="2" t="s">
        <v>1563</v>
      </c>
      <c r="F1800" s="2" t="s">
        <v>1186</v>
      </c>
      <c r="G1800" s="2" t="s">
        <v>4774</v>
      </c>
    </row>
    <row r="1801" customFormat="false" ht="15" hidden="false" customHeight="false" outlineLevel="0" collapsed="false">
      <c r="A1801" s="2" t="s">
        <v>4775</v>
      </c>
      <c r="B1801" s="2" t="s">
        <v>126</v>
      </c>
      <c r="C1801" s="2" t="s">
        <v>2179</v>
      </c>
      <c r="D1801" s="2" t="s">
        <v>49</v>
      </c>
      <c r="E1801" s="2" t="s">
        <v>1563</v>
      </c>
      <c r="F1801" s="2" t="s">
        <v>1186</v>
      </c>
      <c r="G1801" s="2" t="s">
        <v>4776</v>
      </c>
    </row>
    <row r="1802" customFormat="false" ht="15" hidden="false" customHeight="false" outlineLevel="0" collapsed="false">
      <c r="A1802" s="2" t="s">
        <v>4777</v>
      </c>
      <c r="B1802" s="2" t="s">
        <v>126</v>
      </c>
      <c r="C1802" s="2" t="s">
        <v>2179</v>
      </c>
      <c r="D1802" s="2" t="s">
        <v>49</v>
      </c>
      <c r="E1802" s="2" t="s">
        <v>1563</v>
      </c>
      <c r="F1802" s="2" t="s">
        <v>1186</v>
      </c>
      <c r="G1802" s="2" t="s">
        <v>4778</v>
      </c>
    </row>
    <row r="1803" customFormat="false" ht="15" hidden="false" customHeight="false" outlineLevel="0" collapsed="false">
      <c r="A1803" s="2" t="s">
        <v>4779</v>
      </c>
      <c r="B1803" s="2" t="s">
        <v>126</v>
      </c>
      <c r="C1803" s="2" t="s">
        <v>2179</v>
      </c>
      <c r="D1803" s="2" t="s">
        <v>49</v>
      </c>
      <c r="E1803" s="2" t="s">
        <v>1563</v>
      </c>
      <c r="F1803" s="2" t="s">
        <v>1186</v>
      </c>
      <c r="G1803" s="2" t="s">
        <v>4780</v>
      </c>
    </row>
    <row r="1804" customFormat="false" ht="15" hidden="false" customHeight="false" outlineLevel="0" collapsed="false">
      <c r="A1804" s="2" t="s">
        <v>4781</v>
      </c>
      <c r="B1804" s="2" t="s">
        <v>126</v>
      </c>
      <c r="C1804" s="2" t="s">
        <v>2179</v>
      </c>
      <c r="D1804" s="2" t="s">
        <v>49</v>
      </c>
      <c r="E1804" s="2" t="s">
        <v>1563</v>
      </c>
      <c r="F1804" s="2" t="s">
        <v>1186</v>
      </c>
      <c r="G1804" s="2" t="s">
        <v>4782</v>
      </c>
    </row>
    <row r="1805" customFormat="false" ht="15" hidden="false" customHeight="false" outlineLevel="0" collapsed="false">
      <c r="A1805" s="2" t="s">
        <v>4783</v>
      </c>
      <c r="B1805" s="2" t="s">
        <v>126</v>
      </c>
      <c r="C1805" s="2" t="s">
        <v>2179</v>
      </c>
      <c r="D1805" s="2" t="s">
        <v>49</v>
      </c>
      <c r="E1805" s="2" t="s">
        <v>1563</v>
      </c>
      <c r="F1805" s="2" t="s">
        <v>1186</v>
      </c>
      <c r="G1805" s="2" t="s">
        <v>4784</v>
      </c>
    </row>
    <row r="1806" customFormat="false" ht="15" hidden="false" customHeight="false" outlineLevel="0" collapsed="false">
      <c r="A1806" s="2" t="s">
        <v>4785</v>
      </c>
      <c r="B1806" s="2" t="s">
        <v>126</v>
      </c>
      <c r="C1806" s="2" t="s">
        <v>2179</v>
      </c>
      <c r="D1806" s="2" t="s">
        <v>49</v>
      </c>
      <c r="E1806" s="2" t="s">
        <v>1563</v>
      </c>
      <c r="F1806" s="2" t="s">
        <v>1186</v>
      </c>
      <c r="G1806" s="2" t="s">
        <v>4786</v>
      </c>
    </row>
    <row r="1807" customFormat="false" ht="15" hidden="false" customHeight="false" outlineLevel="0" collapsed="false">
      <c r="A1807" s="2" t="s">
        <v>4787</v>
      </c>
      <c r="B1807" s="2" t="s">
        <v>126</v>
      </c>
      <c r="C1807" s="2" t="s">
        <v>2179</v>
      </c>
      <c r="D1807" s="2" t="s">
        <v>49</v>
      </c>
      <c r="E1807" s="2" t="s">
        <v>1563</v>
      </c>
      <c r="F1807" s="2" t="s">
        <v>1186</v>
      </c>
      <c r="G1807" s="2" t="s">
        <v>4788</v>
      </c>
    </row>
    <row r="1808" customFormat="false" ht="15" hidden="false" customHeight="false" outlineLevel="0" collapsed="false">
      <c r="A1808" s="2" t="s">
        <v>4789</v>
      </c>
      <c r="B1808" s="2" t="s">
        <v>126</v>
      </c>
      <c r="C1808" s="2" t="s">
        <v>2179</v>
      </c>
      <c r="D1808" s="2" t="s">
        <v>49</v>
      </c>
      <c r="E1808" s="2" t="s">
        <v>1563</v>
      </c>
      <c r="F1808" s="2" t="s">
        <v>1186</v>
      </c>
      <c r="G1808" s="2" t="s">
        <v>4790</v>
      </c>
    </row>
    <row r="1809" customFormat="false" ht="15" hidden="false" customHeight="false" outlineLevel="0" collapsed="false">
      <c r="A1809" s="2" t="s">
        <v>4791</v>
      </c>
      <c r="B1809" s="2" t="s">
        <v>126</v>
      </c>
      <c r="C1809" s="2" t="s">
        <v>2179</v>
      </c>
      <c r="D1809" s="2" t="s">
        <v>49</v>
      </c>
      <c r="E1809" s="2" t="s">
        <v>1563</v>
      </c>
      <c r="F1809" s="2" t="s">
        <v>1186</v>
      </c>
      <c r="G1809" s="2" t="s">
        <v>4792</v>
      </c>
    </row>
    <row r="1810" customFormat="false" ht="15" hidden="false" customHeight="false" outlineLevel="0" collapsed="false">
      <c r="A1810" s="2" t="s">
        <v>4793</v>
      </c>
      <c r="B1810" s="2" t="s">
        <v>126</v>
      </c>
      <c r="C1810" s="2" t="s">
        <v>2179</v>
      </c>
      <c r="D1810" s="2" t="s">
        <v>49</v>
      </c>
      <c r="E1810" s="2" t="s">
        <v>1563</v>
      </c>
      <c r="F1810" s="2" t="s">
        <v>1186</v>
      </c>
      <c r="G1810" s="2" t="s">
        <v>4794</v>
      </c>
    </row>
    <row r="1811" customFormat="false" ht="15" hidden="false" customHeight="false" outlineLevel="0" collapsed="false">
      <c r="A1811" s="2" t="s">
        <v>4795</v>
      </c>
      <c r="B1811" s="2" t="s">
        <v>126</v>
      </c>
      <c r="C1811" s="2" t="s">
        <v>2179</v>
      </c>
      <c r="D1811" s="2" t="s">
        <v>49</v>
      </c>
      <c r="E1811" s="2" t="s">
        <v>1563</v>
      </c>
      <c r="F1811" s="2" t="s">
        <v>1186</v>
      </c>
      <c r="G1811" s="2" t="s">
        <v>4796</v>
      </c>
    </row>
    <row r="1812" customFormat="false" ht="15" hidden="false" customHeight="false" outlineLevel="0" collapsed="false">
      <c r="A1812" s="2" t="s">
        <v>4797</v>
      </c>
      <c r="B1812" s="2" t="s">
        <v>126</v>
      </c>
      <c r="C1812" s="2" t="s">
        <v>2179</v>
      </c>
      <c r="D1812" s="2" t="s">
        <v>49</v>
      </c>
      <c r="E1812" s="2" t="s">
        <v>1563</v>
      </c>
      <c r="F1812" s="2" t="s">
        <v>1186</v>
      </c>
      <c r="G1812" s="2" t="s">
        <v>4798</v>
      </c>
    </row>
    <row r="1813" customFormat="false" ht="15" hidden="false" customHeight="false" outlineLevel="0" collapsed="false">
      <c r="A1813" s="2" t="s">
        <v>4799</v>
      </c>
      <c r="B1813" s="2" t="s">
        <v>126</v>
      </c>
      <c r="C1813" s="2" t="s">
        <v>4495</v>
      </c>
      <c r="D1813" s="2" t="s">
        <v>50</v>
      </c>
      <c r="E1813" s="2" t="s">
        <v>1194</v>
      </c>
      <c r="F1813" s="2" t="s">
        <v>1186</v>
      </c>
      <c r="G1813" s="2" t="s">
        <v>4800</v>
      </c>
    </row>
    <row r="1814" customFormat="false" ht="15" hidden="false" customHeight="false" outlineLevel="0" collapsed="false">
      <c r="A1814" s="2" t="s">
        <v>4801</v>
      </c>
      <c r="B1814" s="2" t="s">
        <v>126</v>
      </c>
      <c r="C1814" s="2" t="s">
        <v>4495</v>
      </c>
      <c r="D1814" s="2" t="s">
        <v>50</v>
      </c>
      <c r="E1814" s="2" t="s">
        <v>1194</v>
      </c>
      <c r="F1814" s="2" t="s">
        <v>1186</v>
      </c>
      <c r="G1814" s="2" t="s">
        <v>4802</v>
      </c>
    </row>
    <row r="1815" customFormat="false" ht="15" hidden="false" customHeight="false" outlineLevel="0" collapsed="false">
      <c r="A1815" s="2" t="s">
        <v>4803</v>
      </c>
      <c r="B1815" s="2" t="s">
        <v>126</v>
      </c>
      <c r="C1815" s="2" t="s">
        <v>4495</v>
      </c>
      <c r="D1815" s="2" t="s">
        <v>50</v>
      </c>
      <c r="E1815" s="2" t="s">
        <v>1194</v>
      </c>
      <c r="F1815" s="2" t="s">
        <v>1186</v>
      </c>
      <c r="G1815" s="2" t="s">
        <v>4804</v>
      </c>
    </row>
    <row r="1816" customFormat="false" ht="15" hidden="false" customHeight="false" outlineLevel="0" collapsed="false">
      <c r="A1816" s="2" t="s">
        <v>4805</v>
      </c>
      <c r="B1816" s="2" t="s">
        <v>126</v>
      </c>
      <c r="C1816" s="2" t="s">
        <v>4495</v>
      </c>
      <c r="D1816" s="2" t="s">
        <v>50</v>
      </c>
      <c r="E1816" s="2" t="s">
        <v>1194</v>
      </c>
      <c r="F1816" s="2" t="s">
        <v>1186</v>
      </c>
      <c r="G1816" s="2" t="s">
        <v>4806</v>
      </c>
    </row>
    <row r="1817" customFormat="false" ht="15" hidden="false" customHeight="false" outlineLevel="0" collapsed="false">
      <c r="A1817" s="2" t="s">
        <v>4807</v>
      </c>
      <c r="B1817" s="2" t="s">
        <v>126</v>
      </c>
      <c r="C1817" s="2" t="s">
        <v>4495</v>
      </c>
      <c r="D1817" s="2" t="s">
        <v>50</v>
      </c>
      <c r="E1817" s="2" t="s">
        <v>1194</v>
      </c>
      <c r="F1817" s="2" t="s">
        <v>1186</v>
      </c>
      <c r="G1817" s="2" t="s">
        <v>4808</v>
      </c>
    </row>
    <row r="1818" customFormat="false" ht="15" hidden="false" customHeight="false" outlineLevel="0" collapsed="false">
      <c r="A1818" s="2" t="s">
        <v>4809</v>
      </c>
      <c r="B1818" s="2" t="s">
        <v>126</v>
      </c>
      <c r="C1818" s="2" t="s">
        <v>4495</v>
      </c>
      <c r="D1818" s="2" t="s">
        <v>50</v>
      </c>
      <c r="E1818" s="2" t="s">
        <v>1194</v>
      </c>
      <c r="F1818" s="2" t="s">
        <v>1186</v>
      </c>
      <c r="G1818" s="2" t="s">
        <v>4810</v>
      </c>
    </row>
    <row r="1819" customFormat="false" ht="15" hidden="false" customHeight="false" outlineLevel="0" collapsed="false">
      <c r="A1819" s="2" t="s">
        <v>4811</v>
      </c>
      <c r="B1819" s="2" t="s">
        <v>126</v>
      </c>
      <c r="C1819" s="2" t="s">
        <v>4495</v>
      </c>
      <c r="D1819" s="2" t="s">
        <v>50</v>
      </c>
      <c r="E1819" s="2" t="s">
        <v>1194</v>
      </c>
      <c r="F1819" s="2" t="s">
        <v>1186</v>
      </c>
      <c r="G1819" s="2" t="s">
        <v>4812</v>
      </c>
    </row>
    <row r="1820" customFormat="false" ht="15" hidden="false" customHeight="false" outlineLevel="0" collapsed="false">
      <c r="A1820" s="2" t="s">
        <v>4813</v>
      </c>
      <c r="B1820" s="2" t="s">
        <v>126</v>
      </c>
      <c r="C1820" s="2" t="s">
        <v>4495</v>
      </c>
      <c r="D1820" s="2" t="s">
        <v>50</v>
      </c>
      <c r="E1820" s="2" t="s">
        <v>1194</v>
      </c>
      <c r="F1820" s="2" t="s">
        <v>1186</v>
      </c>
      <c r="G1820" s="2" t="s">
        <v>4814</v>
      </c>
    </row>
    <row r="1821" customFormat="false" ht="15" hidden="false" customHeight="false" outlineLevel="0" collapsed="false">
      <c r="A1821" s="2" t="s">
        <v>4815</v>
      </c>
      <c r="B1821" s="2" t="s">
        <v>126</v>
      </c>
      <c r="C1821" s="2" t="s">
        <v>4495</v>
      </c>
      <c r="D1821" s="2" t="s">
        <v>50</v>
      </c>
      <c r="E1821" s="2" t="s">
        <v>1194</v>
      </c>
      <c r="F1821" s="2" t="s">
        <v>1186</v>
      </c>
      <c r="G1821" s="2" t="s">
        <v>4816</v>
      </c>
    </row>
    <row r="1822" customFormat="false" ht="15" hidden="false" customHeight="false" outlineLevel="0" collapsed="false">
      <c r="A1822" s="2" t="s">
        <v>4817</v>
      </c>
      <c r="B1822" s="2" t="s">
        <v>126</v>
      </c>
      <c r="C1822" s="2" t="s">
        <v>4495</v>
      </c>
      <c r="D1822" s="2" t="s">
        <v>50</v>
      </c>
      <c r="E1822" s="2" t="s">
        <v>1194</v>
      </c>
      <c r="F1822" s="2" t="s">
        <v>1186</v>
      </c>
      <c r="G1822" s="2" t="s">
        <v>4818</v>
      </c>
    </row>
    <row r="1823" customFormat="false" ht="15" hidden="false" customHeight="false" outlineLevel="0" collapsed="false">
      <c r="A1823" s="2" t="s">
        <v>4819</v>
      </c>
      <c r="B1823" s="2" t="s">
        <v>126</v>
      </c>
      <c r="C1823" s="2" t="s">
        <v>4495</v>
      </c>
      <c r="D1823" s="2" t="s">
        <v>50</v>
      </c>
      <c r="E1823" s="2" t="s">
        <v>1194</v>
      </c>
      <c r="F1823" s="2" t="s">
        <v>1186</v>
      </c>
      <c r="G1823" s="2" t="s">
        <v>4820</v>
      </c>
    </row>
    <row r="1824" customFormat="false" ht="15" hidden="false" customHeight="false" outlineLevel="0" collapsed="false">
      <c r="A1824" s="2" t="s">
        <v>4821</v>
      </c>
      <c r="B1824" s="2" t="s">
        <v>126</v>
      </c>
      <c r="C1824" s="2" t="s">
        <v>4495</v>
      </c>
      <c r="D1824" s="2" t="s">
        <v>50</v>
      </c>
      <c r="E1824" s="2" t="s">
        <v>1194</v>
      </c>
      <c r="F1824" s="2" t="s">
        <v>1186</v>
      </c>
      <c r="G1824" s="2" t="s">
        <v>4822</v>
      </c>
    </row>
    <row r="1825" customFormat="false" ht="15" hidden="false" customHeight="false" outlineLevel="0" collapsed="false">
      <c r="A1825" s="2" t="s">
        <v>4823</v>
      </c>
      <c r="B1825" s="2" t="s">
        <v>126</v>
      </c>
      <c r="C1825" s="2" t="s">
        <v>4495</v>
      </c>
      <c r="D1825" s="2" t="s">
        <v>50</v>
      </c>
      <c r="E1825" s="2" t="s">
        <v>1194</v>
      </c>
      <c r="F1825" s="2" t="s">
        <v>1186</v>
      </c>
      <c r="G1825" s="2" t="s">
        <v>4824</v>
      </c>
    </row>
    <row r="1826" customFormat="false" ht="15" hidden="false" customHeight="false" outlineLevel="0" collapsed="false">
      <c r="A1826" s="2" t="s">
        <v>4825</v>
      </c>
      <c r="B1826" s="2" t="s">
        <v>126</v>
      </c>
      <c r="C1826" s="2" t="s">
        <v>4495</v>
      </c>
      <c r="D1826" s="2" t="s">
        <v>50</v>
      </c>
      <c r="E1826" s="2" t="s">
        <v>1194</v>
      </c>
      <c r="F1826" s="2" t="s">
        <v>1186</v>
      </c>
      <c r="G1826" s="2" t="s">
        <v>4826</v>
      </c>
    </row>
    <row r="1827" customFormat="false" ht="15" hidden="false" customHeight="false" outlineLevel="0" collapsed="false">
      <c r="A1827" s="2" t="s">
        <v>4827</v>
      </c>
      <c r="B1827" s="2" t="s">
        <v>126</v>
      </c>
      <c r="C1827" s="2" t="s">
        <v>4495</v>
      </c>
      <c r="D1827" s="2" t="s">
        <v>50</v>
      </c>
      <c r="E1827" s="2" t="s">
        <v>1194</v>
      </c>
      <c r="F1827" s="2" t="s">
        <v>1186</v>
      </c>
      <c r="G1827" s="2" t="s">
        <v>4828</v>
      </c>
    </row>
    <row r="1828" customFormat="false" ht="15" hidden="false" customHeight="false" outlineLevel="0" collapsed="false">
      <c r="A1828" s="2" t="s">
        <v>4829</v>
      </c>
      <c r="B1828" s="2" t="s">
        <v>126</v>
      </c>
      <c r="C1828" s="2" t="s">
        <v>4495</v>
      </c>
      <c r="D1828" s="2" t="s">
        <v>50</v>
      </c>
      <c r="E1828" s="2" t="s">
        <v>1194</v>
      </c>
      <c r="F1828" s="2" t="s">
        <v>1186</v>
      </c>
      <c r="G1828" s="2" t="s">
        <v>4830</v>
      </c>
    </row>
    <row r="1829" customFormat="false" ht="15" hidden="false" customHeight="false" outlineLevel="0" collapsed="false">
      <c r="A1829" s="2" t="s">
        <v>4831</v>
      </c>
      <c r="B1829" s="2" t="s">
        <v>126</v>
      </c>
      <c r="C1829" s="2" t="s">
        <v>4495</v>
      </c>
      <c r="D1829" s="2" t="s">
        <v>50</v>
      </c>
      <c r="E1829" s="2" t="s">
        <v>1194</v>
      </c>
      <c r="F1829" s="2" t="s">
        <v>1186</v>
      </c>
      <c r="G1829" s="2" t="s">
        <v>4832</v>
      </c>
    </row>
    <row r="1830" customFormat="false" ht="15" hidden="false" customHeight="false" outlineLevel="0" collapsed="false">
      <c r="A1830" s="2" t="s">
        <v>4833</v>
      </c>
      <c r="B1830" s="2" t="s">
        <v>126</v>
      </c>
      <c r="C1830" s="2" t="s">
        <v>4495</v>
      </c>
      <c r="D1830" s="2" t="s">
        <v>50</v>
      </c>
      <c r="E1830" s="2" t="s">
        <v>1194</v>
      </c>
      <c r="F1830" s="2" t="s">
        <v>1186</v>
      </c>
      <c r="G1830" s="2" t="s">
        <v>4834</v>
      </c>
    </row>
    <row r="1831" customFormat="false" ht="15" hidden="false" customHeight="false" outlineLevel="0" collapsed="false">
      <c r="A1831" s="2" t="s">
        <v>4835</v>
      </c>
      <c r="B1831" s="2" t="s">
        <v>126</v>
      </c>
      <c r="C1831" s="2" t="s">
        <v>4495</v>
      </c>
      <c r="D1831" s="2" t="s">
        <v>50</v>
      </c>
      <c r="E1831" s="2" t="s">
        <v>1194</v>
      </c>
      <c r="F1831" s="2" t="s">
        <v>1186</v>
      </c>
      <c r="G1831" s="2" t="s">
        <v>4836</v>
      </c>
    </row>
    <row r="1832" customFormat="false" ht="15" hidden="false" customHeight="false" outlineLevel="0" collapsed="false">
      <c r="A1832" s="2" t="s">
        <v>4837</v>
      </c>
      <c r="B1832" s="2" t="s">
        <v>126</v>
      </c>
      <c r="C1832" s="2" t="s">
        <v>4495</v>
      </c>
      <c r="D1832" s="2" t="s">
        <v>50</v>
      </c>
      <c r="E1832" s="2" t="s">
        <v>1194</v>
      </c>
      <c r="F1832" s="2" t="s">
        <v>1186</v>
      </c>
      <c r="G1832" s="2" t="s">
        <v>4838</v>
      </c>
    </row>
    <row r="1833" customFormat="false" ht="15" hidden="false" customHeight="false" outlineLevel="0" collapsed="false">
      <c r="A1833" s="2" t="s">
        <v>4839</v>
      </c>
      <c r="B1833" s="2" t="s">
        <v>126</v>
      </c>
      <c r="C1833" s="2" t="s">
        <v>2179</v>
      </c>
      <c r="D1833" s="2" t="s">
        <v>49</v>
      </c>
      <c r="E1833" s="2" t="s">
        <v>1563</v>
      </c>
      <c r="F1833" s="2" t="s">
        <v>1186</v>
      </c>
      <c r="G1833" s="2" t="s">
        <v>4840</v>
      </c>
    </row>
    <row r="1834" customFormat="false" ht="15" hidden="false" customHeight="false" outlineLevel="0" collapsed="false">
      <c r="A1834" s="2" t="s">
        <v>4841</v>
      </c>
      <c r="B1834" s="2" t="s">
        <v>126</v>
      </c>
      <c r="C1834" s="2" t="s">
        <v>4495</v>
      </c>
      <c r="D1834" s="2" t="s">
        <v>50</v>
      </c>
      <c r="E1834" s="2" t="s">
        <v>1194</v>
      </c>
      <c r="F1834" s="2" t="s">
        <v>1186</v>
      </c>
      <c r="G1834" s="2" t="s">
        <v>4842</v>
      </c>
    </row>
    <row r="1835" customFormat="false" ht="15" hidden="false" customHeight="false" outlineLevel="0" collapsed="false">
      <c r="A1835" s="2" t="s">
        <v>4843</v>
      </c>
      <c r="B1835" s="2" t="s">
        <v>126</v>
      </c>
      <c r="C1835" s="2" t="s">
        <v>4495</v>
      </c>
      <c r="D1835" s="2" t="s">
        <v>50</v>
      </c>
      <c r="E1835" s="2" t="s">
        <v>1194</v>
      </c>
      <c r="F1835" s="2" t="s">
        <v>1186</v>
      </c>
      <c r="G1835" s="2" t="s">
        <v>4844</v>
      </c>
    </row>
    <row r="1836" customFormat="false" ht="15" hidden="false" customHeight="false" outlineLevel="0" collapsed="false">
      <c r="A1836" s="2" t="s">
        <v>4845</v>
      </c>
      <c r="B1836" s="2" t="s">
        <v>126</v>
      </c>
      <c r="C1836" s="2" t="s">
        <v>4495</v>
      </c>
      <c r="D1836" s="2" t="s">
        <v>50</v>
      </c>
      <c r="E1836" s="2" t="s">
        <v>1194</v>
      </c>
      <c r="F1836" s="2" t="s">
        <v>1186</v>
      </c>
      <c r="G1836" s="2" t="s">
        <v>4846</v>
      </c>
    </row>
    <row r="1837" customFormat="false" ht="15" hidden="false" customHeight="false" outlineLevel="0" collapsed="false">
      <c r="A1837" s="2" t="s">
        <v>4847</v>
      </c>
      <c r="B1837" s="2" t="s">
        <v>126</v>
      </c>
      <c r="C1837" s="2" t="s">
        <v>4495</v>
      </c>
      <c r="D1837" s="2" t="s">
        <v>50</v>
      </c>
      <c r="E1837" s="2" t="s">
        <v>1194</v>
      </c>
      <c r="F1837" s="2" t="s">
        <v>1186</v>
      </c>
      <c r="G1837" s="2" t="s">
        <v>4848</v>
      </c>
    </row>
    <row r="1838" customFormat="false" ht="15" hidden="false" customHeight="false" outlineLevel="0" collapsed="false">
      <c r="A1838" s="2" t="s">
        <v>4849</v>
      </c>
      <c r="B1838" s="2" t="s">
        <v>126</v>
      </c>
      <c r="C1838" s="2" t="s">
        <v>4495</v>
      </c>
      <c r="D1838" s="2" t="s">
        <v>50</v>
      </c>
      <c r="E1838" s="2" t="s">
        <v>1194</v>
      </c>
      <c r="F1838" s="2" t="s">
        <v>1186</v>
      </c>
      <c r="G1838" s="2" t="s">
        <v>4850</v>
      </c>
    </row>
    <row r="1839" customFormat="false" ht="15" hidden="false" customHeight="false" outlineLevel="0" collapsed="false">
      <c r="A1839" s="2" t="s">
        <v>4851</v>
      </c>
      <c r="B1839" s="2" t="s">
        <v>126</v>
      </c>
      <c r="C1839" s="2" t="s">
        <v>4495</v>
      </c>
      <c r="D1839" s="2" t="s">
        <v>50</v>
      </c>
      <c r="E1839" s="2" t="s">
        <v>1194</v>
      </c>
      <c r="F1839" s="2" t="s">
        <v>1186</v>
      </c>
      <c r="G1839" s="2" t="s">
        <v>4852</v>
      </c>
    </row>
    <row r="1840" customFormat="false" ht="15" hidden="false" customHeight="false" outlineLevel="0" collapsed="false">
      <c r="A1840" s="2" t="s">
        <v>4853</v>
      </c>
      <c r="B1840" s="2" t="s">
        <v>126</v>
      </c>
      <c r="C1840" s="2" t="s">
        <v>4495</v>
      </c>
      <c r="D1840" s="2" t="s">
        <v>50</v>
      </c>
      <c r="E1840" s="2" t="s">
        <v>1194</v>
      </c>
      <c r="F1840" s="2" t="s">
        <v>1186</v>
      </c>
      <c r="G1840" s="2" t="s">
        <v>4854</v>
      </c>
    </row>
    <row r="1841" customFormat="false" ht="15" hidden="false" customHeight="false" outlineLevel="0" collapsed="false">
      <c r="A1841" s="2" t="s">
        <v>4855</v>
      </c>
      <c r="B1841" s="2" t="s">
        <v>126</v>
      </c>
      <c r="C1841" s="2" t="s">
        <v>4495</v>
      </c>
      <c r="D1841" s="2" t="s">
        <v>50</v>
      </c>
      <c r="E1841" s="2" t="s">
        <v>1194</v>
      </c>
      <c r="F1841" s="2" t="s">
        <v>1186</v>
      </c>
      <c r="G1841" s="2" t="s">
        <v>4856</v>
      </c>
    </row>
    <row r="1842" customFormat="false" ht="15" hidden="false" customHeight="false" outlineLevel="0" collapsed="false">
      <c r="A1842" s="2" t="s">
        <v>4857</v>
      </c>
      <c r="B1842" s="2" t="s">
        <v>126</v>
      </c>
      <c r="C1842" s="2" t="s">
        <v>4495</v>
      </c>
      <c r="D1842" s="2" t="s">
        <v>50</v>
      </c>
      <c r="E1842" s="2" t="s">
        <v>1194</v>
      </c>
      <c r="F1842" s="2" t="s">
        <v>1186</v>
      </c>
      <c r="G1842" s="2" t="s">
        <v>4858</v>
      </c>
    </row>
    <row r="1843" customFormat="false" ht="15" hidden="false" customHeight="false" outlineLevel="0" collapsed="false">
      <c r="A1843" s="2" t="s">
        <v>4859</v>
      </c>
      <c r="B1843" s="2" t="s">
        <v>126</v>
      </c>
      <c r="C1843" s="2" t="s">
        <v>4495</v>
      </c>
      <c r="D1843" s="2" t="s">
        <v>50</v>
      </c>
      <c r="E1843" s="2" t="s">
        <v>1194</v>
      </c>
      <c r="F1843" s="2" t="s">
        <v>1186</v>
      </c>
      <c r="G1843" s="2" t="s">
        <v>4860</v>
      </c>
    </row>
    <row r="1844" customFormat="false" ht="15" hidden="false" customHeight="false" outlineLevel="0" collapsed="false">
      <c r="A1844" s="2" t="s">
        <v>4861</v>
      </c>
      <c r="B1844" s="2" t="s">
        <v>126</v>
      </c>
      <c r="C1844" s="2" t="s">
        <v>4495</v>
      </c>
      <c r="D1844" s="2" t="s">
        <v>50</v>
      </c>
      <c r="E1844" s="2" t="s">
        <v>1194</v>
      </c>
      <c r="F1844" s="2" t="s">
        <v>1186</v>
      </c>
      <c r="G1844" s="2" t="s">
        <v>4862</v>
      </c>
    </row>
    <row r="1845" customFormat="false" ht="15" hidden="false" customHeight="false" outlineLevel="0" collapsed="false">
      <c r="A1845" s="2" t="s">
        <v>4863</v>
      </c>
      <c r="B1845" s="2" t="s">
        <v>126</v>
      </c>
      <c r="C1845" s="2" t="s">
        <v>4495</v>
      </c>
      <c r="D1845" s="2" t="s">
        <v>50</v>
      </c>
      <c r="E1845" s="2" t="s">
        <v>1194</v>
      </c>
      <c r="F1845" s="2" t="s">
        <v>1186</v>
      </c>
      <c r="G1845" s="2" t="s">
        <v>4864</v>
      </c>
    </row>
    <row r="1846" customFormat="false" ht="15" hidden="false" customHeight="false" outlineLevel="0" collapsed="false">
      <c r="A1846" s="2" t="s">
        <v>4865</v>
      </c>
      <c r="B1846" s="2" t="s">
        <v>126</v>
      </c>
      <c r="C1846" s="2" t="s">
        <v>4495</v>
      </c>
      <c r="D1846" s="2" t="s">
        <v>50</v>
      </c>
      <c r="E1846" s="2" t="s">
        <v>1194</v>
      </c>
      <c r="F1846" s="2" t="s">
        <v>1186</v>
      </c>
      <c r="G1846" s="2" t="s">
        <v>4866</v>
      </c>
    </row>
    <row r="1847" customFormat="false" ht="15" hidden="false" customHeight="false" outlineLevel="0" collapsed="false">
      <c r="A1847" s="2" t="s">
        <v>4867</v>
      </c>
      <c r="B1847" s="2" t="s">
        <v>126</v>
      </c>
      <c r="C1847" s="2" t="s">
        <v>4495</v>
      </c>
      <c r="D1847" s="2" t="s">
        <v>50</v>
      </c>
      <c r="E1847" s="2" t="s">
        <v>1194</v>
      </c>
      <c r="F1847" s="2" t="s">
        <v>1186</v>
      </c>
      <c r="G1847" s="2" t="s">
        <v>4868</v>
      </c>
    </row>
    <row r="1848" customFormat="false" ht="15" hidden="false" customHeight="false" outlineLevel="0" collapsed="false">
      <c r="A1848" s="2" t="s">
        <v>4869</v>
      </c>
      <c r="B1848" s="2" t="s">
        <v>126</v>
      </c>
      <c r="C1848" s="2" t="s">
        <v>4495</v>
      </c>
      <c r="D1848" s="2" t="s">
        <v>50</v>
      </c>
      <c r="E1848" s="2" t="s">
        <v>1194</v>
      </c>
      <c r="F1848" s="2" t="s">
        <v>1186</v>
      </c>
      <c r="G1848" s="2" t="s">
        <v>4870</v>
      </c>
    </row>
    <row r="1849" customFormat="false" ht="15" hidden="false" customHeight="false" outlineLevel="0" collapsed="false">
      <c r="A1849" s="2" t="s">
        <v>4871</v>
      </c>
      <c r="B1849" s="2" t="s">
        <v>126</v>
      </c>
      <c r="C1849" s="2" t="s">
        <v>2179</v>
      </c>
      <c r="D1849" s="2" t="s">
        <v>49</v>
      </c>
      <c r="E1849" s="2" t="s">
        <v>1563</v>
      </c>
      <c r="F1849" s="2" t="s">
        <v>1186</v>
      </c>
      <c r="G1849" s="2" t="s">
        <v>4872</v>
      </c>
    </row>
    <row r="1850" customFormat="false" ht="15" hidden="false" customHeight="false" outlineLevel="0" collapsed="false">
      <c r="A1850" s="2" t="s">
        <v>4873</v>
      </c>
      <c r="B1850" s="2" t="s">
        <v>126</v>
      </c>
      <c r="C1850" s="2" t="s">
        <v>2179</v>
      </c>
      <c r="D1850" s="2" t="s">
        <v>49</v>
      </c>
      <c r="E1850" s="2" t="s">
        <v>1563</v>
      </c>
      <c r="F1850" s="2" t="s">
        <v>1186</v>
      </c>
      <c r="G1850" s="2" t="s">
        <v>4874</v>
      </c>
    </row>
    <row r="1851" customFormat="false" ht="15" hidden="false" customHeight="false" outlineLevel="0" collapsed="false">
      <c r="A1851" s="2" t="s">
        <v>4875</v>
      </c>
      <c r="B1851" s="2" t="s">
        <v>126</v>
      </c>
      <c r="C1851" s="2" t="s">
        <v>4495</v>
      </c>
      <c r="D1851" s="2" t="s">
        <v>50</v>
      </c>
      <c r="E1851" s="2" t="s">
        <v>1194</v>
      </c>
      <c r="F1851" s="2" t="s">
        <v>1186</v>
      </c>
      <c r="G1851" s="2" t="s">
        <v>4876</v>
      </c>
    </row>
    <row r="1852" customFormat="false" ht="15" hidden="false" customHeight="false" outlineLevel="0" collapsed="false">
      <c r="A1852" s="2" t="s">
        <v>4877</v>
      </c>
      <c r="B1852" s="2" t="s">
        <v>126</v>
      </c>
      <c r="C1852" s="2" t="s">
        <v>2179</v>
      </c>
      <c r="D1852" s="2" t="s">
        <v>49</v>
      </c>
      <c r="E1852" s="2" t="s">
        <v>1563</v>
      </c>
      <c r="F1852" s="2" t="s">
        <v>1186</v>
      </c>
      <c r="G1852" s="2" t="s">
        <v>4878</v>
      </c>
    </row>
    <row r="1853" customFormat="false" ht="15" hidden="false" customHeight="false" outlineLevel="0" collapsed="false">
      <c r="A1853" s="2" t="s">
        <v>4879</v>
      </c>
      <c r="B1853" s="2" t="s">
        <v>126</v>
      </c>
      <c r="C1853" s="2" t="s">
        <v>4495</v>
      </c>
      <c r="D1853" s="2" t="s">
        <v>50</v>
      </c>
      <c r="E1853" s="2" t="s">
        <v>1194</v>
      </c>
      <c r="F1853" s="2" t="s">
        <v>1186</v>
      </c>
      <c r="G1853" s="2" t="s">
        <v>4880</v>
      </c>
    </row>
    <row r="1854" customFormat="false" ht="15" hidden="false" customHeight="false" outlineLevel="0" collapsed="false">
      <c r="A1854" s="2" t="s">
        <v>4881</v>
      </c>
      <c r="B1854" s="2" t="s">
        <v>126</v>
      </c>
      <c r="C1854" s="2" t="s">
        <v>4495</v>
      </c>
      <c r="D1854" s="2" t="s">
        <v>50</v>
      </c>
      <c r="E1854" s="2" t="s">
        <v>1194</v>
      </c>
      <c r="F1854" s="2" t="s">
        <v>1186</v>
      </c>
      <c r="G1854" s="2" t="s">
        <v>4882</v>
      </c>
    </row>
    <row r="1855" customFormat="false" ht="15" hidden="false" customHeight="false" outlineLevel="0" collapsed="false">
      <c r="A1855" s="2" t="s">
        <v>4883</v>
      </c>
      <c r="B1855" s="2" t="s">
        <v>126</v>
      </c>
      <c r="C1855" s="2" t="s">
        <v>4495</v>
      </c>
      <c r="D1855" s="2" t="s">
        <v>50</v>
      </c>
      <c r="E1855" s="2" t="s">
        <v>1194</v>
      </c>
      <c r="F1855" s="2" t="s">
        <v>1186</v>
      </c>
      <c r="G1855" s="2" t="s">
        <v>4884</v>
      </c>
    </row>
    <row r="1856" customFormat="false" ht="15" hidden="false" customHeight="false" outlineLevel="0" collapsed="false">
      <c r="A1856" s="2" t="s">
        <v>4885</v>
      </c>
      <c r="B1856" s="2" t="s">
        <v>126</v>
      </c>
      <c r="C1856" s="2" t="s">
        <v>4495</v>
      </c>
      <c r="D1856" s="2" t="s">
        <v>50</v>
      </c>
      <c r="E1856" s="2" t="s">
        <v>1194</v>
      </c>
      <c r="F1856" s="2" t="s">
        <v>1186</v>
      </c>
      <c r="G1856" s="2" t="s">
        <v>4886</v>
      </c>
    </row>
    <row r="1857" customFormat="false" ht="15" hidden="false" customHeight="false" outlineLevel="0" collapsed="false">
      <c r="A1857" s="2" t="s">
        <v>4887</v>
      </c>
      <c r="B1857" s="2" t="s">
        <v>126</v>
      </c>
      <c r="C1857" s="2" t="s">
        <v>4495</v>
      </c>
      <c r="D1857" s="2" t="s">
        <v>50</v>
      </c>
      <c r="E1857" s="2" t="s">
        <v>1194</v>
      </c>
      <c r="F1857" s="2" t="s">
        <v>1186</v>
      </c>
      <c r="G1857" s="2" t="s">
        <v>4888</v>
      </c>
    </row>
    <row r="1858" customFormat="false" ht="15" hidden="false" customHeight="false" outlineLevel="0" collapsed="false">
      <c r="A1858" s="2" t="s">
        <v>4889</v>
      </c>
      <c r="B1858" s="2" t="s">
        <v>126</v>
      </c>
      <c r="C1858" s="2" t="s">
        <v>4495</v>
      </c>
      <c r="D1858" s="2" t="s">
        <v>50</v>
      </c>
      <c r="E1858" s="2" t="s">
        <v>1194</v>
      </c>
      <c r="F1858" s="2" t="s">
        <v>1186</v>
      </c>
      <c r="G1858" s="2" t="s">
        <v>4890</v>
      </c>
    </row>
    <row r="1859" customFormat="false" ht="15" hidden="false" customHeight="false" outlineLevel="0" collapsed="false">
      <c r="A1859" s="2" t="s">
        <v>4891</v>
      </c>
      <c r="B1859" s="2" t="s">
        <v>126</v>
      </c>
      <c r="C1859" s="2" t="s">
        <v>4495</v>
      </c>
      <c r="D1859" s="2" t="s">
        <v>50</v>
      </c>
      <c r="E1859" s="2" t="s">
        <v>1194</v>
      </c>
      <c r="F1859" s="2" t="s">
        <v>1186</v>
      </c>
      <c r="G1859" s="2" t="s">
        <v>4892</v>
      </c>
    </row>
    <row r="1860" customFormat="false" ht="15" hidden="false" customHeight="false" outlineLevel="0" collapsed="false">
      <c r="A1860" s="2" t="s">
        <v>4893</v>
      </c>
      <c r="B1860" s="2" t="s">
        <v>126</v>
      </c>
      <c r="C1860" s="2" t="s">
        <v>4495</v>
      </c>
      <c r="D1860" s="2" t="s">
        <v>50</v>
      </c>
      <c r="E1860" s="2" t="s">
        <v>1194</v>
      </c>
      <c r="F1860" s="2" t="s">
        <v>1186</v>
      </c>
      <c r="G1860" s="2" t="s">
        <v>4894</v>
      </c>
    </row>
    <row r="1861" customFormat="false" ht="15" hidden="false" customHeight="false" outlineLevel="0" collapsed="false">
      <c r="A1861" s="2" t="s">
        <v>4895</v>
      </c>
      <c r="B1861" s="2" t="s">
        <v>126</v>
      </c>
      <c r="C1861" s="2" t="s">
        <v>4495</v>
      </c>
      <c r="D1861" s="2" t="s">
        <v>50</v>
      </c>
      <c r="E1861" s="2" t="s">
        <v>1194</v>
      </c>
      <c r="F1861" s="2" t="s">
        <v>1186</v>
      </c>
      <c r="G1861" s="2" t="s">
        <v>4896</v>
      </c>
    </row>
    <row r="1862" customFormat="false" ht="15" hidden="false" customHeight="false" outlineLevel="0" collapsed="false">
      <c r="A1862" s="2" t="s">
        <v>4897</v>
      </c>
      <c r="B1862" s="2" t="s">
        <v>126</v>
      </c>
      <c r="C1862" s="2" t="s">
        <v>4495</v>
      </c>
      <c r="D1862" s="2" t="s">
        <v>50</v>
      </c>
      <c r="E1862" s="2" t="s">
        <v>1194</v>
      </c>
      <c r="F1862" s="2" t="s">
        <v>1186</v>
      </c>
      <c r="G1862" s="2" t="s">
        <v>4898</v>
      </c>
    </row>
    <row r="1863" customFormat="false" ht="15" hidden="false" customHeight="false" outlineLevel="0" collapsed="false">
      <c r="A1863" s="2" t="s">
        <v>4899</v>
      </c>
      <c r="B1863" s="2" t="s">
        <v>126</v>
      </c>
      <c r="C1863" s="2" t="s">
        <v>4495</v>
      </c>
      <c r="D1863" s="2" t="s">
        <v>50</v>
      </c>
      <c r="E1863" s="2" t="s">
        <v>1194</v>
      </c>
      <c r="F1863" s="2" t="s">
        <v>1186</v>
      </c>
      <c r="G1863" s="2" t="s">
        <v>4900</v>
      </c>
    </row>
    <row r="1864" customFormat="false" ht="15" hidden="false" customHeight="false" outlineLevel="0" collapsed="false">
      <c r="A1864" s="2" t="s">
        <v>4901</v>
      </c>
      <c r="B1864" s="2" t="s">
        <v>126</v>
      </c>
      <c r="C1864" s="2" t="s">
        <v>4495</v>
      </c>
      <c r="D1864" s="2" t="s">
        <v>50</v>
      </c>
      <c r="E1864" s="2" t="s">
        <v>1194</v>
      </c>
      <c r="F1864" s="2" t="s">
        <v>1186</v>
      </c>
      <c r="G1864" s="2" t="s">
        <v>4902</v>
      </c>
    </row>
    <row r="1865" customFormat="false" ht="15" hidden="false" customHeight="false" outlineLevel="0" collapsed="false">
      <c r="A1865" s="2" t="s">
        <v>4903</v>
      </c>
      <c r="B1865" s="2" t="s">
        <v>126</v>
      </c>
      <c r="C1865" s="2" t="s">
        <v>4495</v>
      </c>
      <c r="D1865" s="2" t="s">
        <v>50</v>
      </c>
      <c r="E1865" s="2" t="s">
        <v>1194</v>
      </c>
      <c r="F1865" s="2" t="s">
        <v>1186</v>
      </c>
      <c r="G1865" s="2" t="s">
        <v>4904</v>
      </c>
    </row>
    <row r="1866" customFormat="false" ht="15" hidden="false" customHeight="false" outlineLevel="0" collapsed="false">
      <c r="A1866" s="2" t="s">
        <v>4905</v>
      </c>
      <c r="B1866" s="2" t="s">
        <v>126</v>
      </c>
      <c r="C1866" s="2" t="s">
        <v>4495</v>
      </c>
      <c r="D1866" s="2" t="s">
        <v>50</v>
      </c>
      <c r="E1866" s="2" t="s">
        <v>1194</v>
      </c>
      <c r="F1866" s="2" t="s">
        <v>1186</v>
      </c>
      <c r="G1866" s="2" t="s">
        <v>4906</v>
      </c>
    </row>
    <row r="1867" customFormat="false" ht="15" hidden="false" customHeight="false" outlineLevel="0" collapsed="false">
      <c r="A1867" s="2" t="s">
        <v>4907</v>
      </c>
      <c r="B1867" s="2" t="s">
        <v>126</v>
      </c>
      <c r="C1867" s="2" t="s">
        <v>4495</v>
      </c>
      <c r="D1867" s="2" t="s">
        <v>50</v>
      </c>
      <c r="E1867" s="2" t="s">
        <v>1194</v>
      </c>
      <c r="F1867" s="2" t="s">
        <v>1186</v>
      </c>
      <c r="G1867" s="2" t="s">
        <v>4908</v>
      </c>
    </row>
    <row r="1868" customFormat="false" ht="15" hidden="false" customHeight="false" outlineLevel="0" collapsed="false">
      <c r="A1868" s="2" t="s">
        <v>4909</v>
      </c>
      <c r="B1868" s="2" t="s">
        <v>126</v>
      </c>
      <c r="C1868" s="2" t="s">
        <v>4495</v>
      </c>
      <c r="D1868" s="2" t="s">
        <v>50</v>
      </c>
      <c r="E1868" s="2" t="s">
        <v>1194</v>
      </c>
      <c r="F1868" s="2" t="s">
        <v>1186</v>
      </c>
      <c r="G1868" s="2" t="s">
        <v>4910</v>
      </c>
    </row>
    <row r="1869" customFormat="false" ht="15" hidden="false" customHeight="false" outlineLevel="0" collapsed="false">
      <c r="A1869" s="2" t="s">
        <v>4911</v>
      </c>
      <c r="B1869" s="2" t="s">
        <v>126</v>
      </c>
      <c r="C1869" s="2" t="s">
        <v>4495</v>
      </c>
      <c r="D1869" s="2" t="s">
        <v>50</v>
      </c>
      <c r="E1869" s="2" t="s">
        <v>1194</v>
      </c>
      <c r="F1869" s="2" t="s">
        <v>1186</v>
      </c>
      <c r="G1869" s="2" t="s">
        <v>4912</v>
      </c>
    </row>
    <row r="1870" customFormat="false" ht="15" hidden="false" customHeight="false" outlineLevel="0" collapsed="false">
      <c r="A1870" s="2" t="s">
        <v>4913</v>
      </c>
      <c r="B1870" s="2" t="s">
        <v>126</v>
      </c>
      <c r="C1870" s="2" t="s">
        <v>4495</v>
      </c>
      <c r="D1870" s="2" t="s">
        <v>50</v>
      </c>
      <c r="E1870" s="2" t="s">
        <v>1194</v>
      </c>
      <c r="F1870" s="2" t="s">
        <v>1186</v>
      </c>
      <c r="G1870" s="2" t="s">
        <v>4914</v>
      </c>
    </row>
    <row r="1871" customFormat="false" ht="15" hidden="false" customHeight="false" outlineLevel="0" collapsed="false">
      <c r="A1871" s="2" t="s">
        <v>4915</v>
      </c>
      <c r="B1871" s="2" t="s">
        <v>126</v>
      </c>
      <c r="C1871" s="2" t="s">
        <v>4495</v>
      </c>
      <c r="D1871" s="2" t="s">
        <v>50</v>
      </c>
      <c r="E1871" s="2" t="s">
        <v>1194</v>
      </c>
      <c r="F1871" s="2" t="s">
        <v>1186</v>
      </c>
      <c r="G1871" s="2" t="s">
        <v>4916</v>
      </c>
    </row>
    <row r="1872" customFormat="false" ht="15" hidden="false" customHeight="false" outlineLevel="0" collapsed="false">
      <c r="A1872" s="2" t="s">
        <v>4917</v>
      </c>
      <c r="B1872" s="2" t="s">
        <v>126</v>
      </c>
      <c r="C1872" s="2" t="s">
        <v>4495</v>
      </c>
      <c r="D1872" s="2" t="s">
        <v>50</v>
      </c>
      <c r="E1872" s="2" t="s">
        <v>1194</v>
      </c>
      <c r="F1872" s="2" t="s">
        <v>1186</v>
      </c>
      <c r="G1872" s="2" t="s">
        <v>4918</v>
      </c>
    </row>
    <row r="1873" customFormat="false" ht="15" hidden="false" customHeight="false" outlineLevel="0" collapsed="false">
      <c r="A1873" s="2" t="s">
        <v>4919</v>
      </c>
      <c r="B1873" s="2" t="s">
        <v>126</v>
      </c>
      <c r="C1873" s="2" t="s">
        <v>4495</v>
      </c>
      <c r="D1873" s="2" t="s">
        <v>50</v>
      </c>
      <c r="E1873" s="2" t="s">
        <v>1194</v>
      </c>
      <c r="F1873" s="2" t="s">
        <v>1186</v>
      </c>
      <c r="G1873" s="2" t="s">
        <v>4920</v>
      </c>
    </row>
    <row r="1874" customFormat="false" ht="15" hidden="false" customHeight="false" outlineLevel="0" collapsed="false">
      <c r="A1874" s="2" t="s">
        <v>4921</v>
      </c>
      <c r="B1874" s="2" t="s">
        <v>126</v>
      </c>
      <c r="C1874" s="2" t="s">
        <v>4495</v>
      </c>
      <c r="D1874" s="2" t="s">
        <v>50</v>
      </c>
      <c r="E1874" s="2" t="s">
        <v>1194</v>
      </c>
      <c r="F1874" s="2" t="s">
        <v>1186</v>
      </c>
      <c r="G1874" s="2" t="s">
        <v>4922</v>
      </c>
    </row>
    <row r="1875" customFormat="false" ht="15" hidden="false" customHeight="false" outlineLevel="0" collapsed="false">
      <c r="A1875" s="2" t="s">
        <v>4923</v>
      </c>
      <c r="B1875" s="2" t="s">
        <v>126</v>
      </c>
      <c r="C1875" s="2" t="s">
        <v>4495</v>
      </c>
      <c r="D1875" s="2" t="s">
        <v>50</v>
      </c>
      <c r="E1875" s="2" t="s">
        <v>1194</v>
      </c>
      <c r="F1875" s="2" t="s">
        <v>1186</v>
      </c>
      <c r="G1875" s="2" t="s">
        <v>4924</v>
      </c>
    </row>
    <row r="1876" customFormat="false" ht="15" hidden="false" customHeight="false" outlineLevel="0" collapsed="false">
      <c r="A1876" s="2" t="s">
        <v>4925</v>
      </c>
      <c r="B1876" s="2" t="s">
        <v>126</v>
      </c>
      <c r="C1876" s="2" t="s">
        <v>4495</v>
      </c>
      <c r="D1876" s="2" t="s">
        <v>50</v>
      </c>
      <c r="E1876" s="2" t="s">
        <v>1194</v>
      </c>
      <c r="F1876" s="2" t="s">
        <v>1186</v>
      </c>
      <c r="G1876" s="2" t="s">
        <v>4926</v>
      </c>
    </row>
    <row r="1877" customFormat="false" ht="15" hidden="false" customHeight="false" outlineLevel="0" collapsed="false">
      <c r="A1877" s="2" t="s">
        <v>4927</v>
      </c>
      <c r="B1877" s="2" t="s">
        <v>126</v>
      </c>
      <c r="C1877" s="2" t="s">
        <v>4495</v>
      </c>
      <c r="D1877" s="2" t="s">
        <v>50</v>
      </c>
      <c r="E1877" s="2" t="s">
        <v>1194</v>
      </c>
      <c r="F1877" s="2" t="s">
        <v>1186</v>
      </c>
      <c r="G1877" s="2" t="s">
        <v>4928</v>
      </c>
    </row>
    <row r="1878" customFormat="false" ht="15" hidden="false" customHeight="false" outlineLevel="0" collapsed="false">
      <c r="A1878" s="2" t="s">
        <v>4929</v>
      </c>
      <c r="B1878" s="2" t="s">
        <v>126</v>
      </c>
      <c r="C1878" s="2" t="s">
        <v>4495</v>
      </c>
      <c r="D1878" s="2" t="s">
        <v>50</v>
      </c>
      <c r="E1878" s="2" t="s">
        <v>1194</v>
      </c>
      <c r="F1878" s="2" t="s">
        <v>1186</v>
      </c>
      <c r="G1878" s="2" t="s">
        <v>4930</v>
      </c>
    </row>
    <row r="1879" customFormat="false" ht="15" hidden="false" customHeight="false" outlineLevel="0" collapsed="false">
      <c r="A1879" s="2" t="s">
        <v>4931</v>
      </c>
      <c r="B1879" s="2" t="s">
        <v>126</v>
      </c>
      <c r="C1879" s="2" t="s">
        <v>4495</v>
      </c>
      <c r="D1879" s="2" t="s">
        <v>50</v>
      </c>
      <c r="E1879" s="2" t="s">
        <v>1194</v>
      </c>
      <c r="F1879" s="2" t="s">
        <v>1186</v>
      </c>
      <c r="G1879" s="2" t="s">
        <v>4932</v>
      </c>
    </row>
    <row r="1880" customFormat="false" ht="15" hidden="false" customHeight="false" outlineLevel="0" collapsed="false">
      <c r="A1880" s="2" t="s">
        <v>4933</v>
      </c>
      <c r="B1880" s="2" t="s">
        <v>126</v>
      </c>
      <c r="C1880" s="2" t="s">
        <v>4495</v>
      </c>
      <c r="D1880" s="2" t="s">
        <v>50</v>
      </c>
      <c r="E1880" s="2" t="s">
        <v>1194</v>
      </c>
      <c r="F1880" s="2" t="s">
        <v>1186</v>
      </c>
      <c r="G1880" s="2" t="s">
        <v>4934</v>
      </c>
    </row>
    <row r="1881" customFormat="false" ht="15" hidden="false" customHeight="false" outlineLevel="0" collapsed="false">
      <c r="A1881" s="2" t="s">
        <v>4935</v>
      </c>
      <c r="B1881" s="2" t="s">
        <v>126</v>
      </c>
      <c r="C1881" s="2" t="s">
        <v>4495</v>
      </c>
      <c r="D1881" s="2" t="s">
        <v>50</v>
      </c>
      <c r="E1881" s="2" t="s">
        <v>1194</v>
      </c>
      <c r="F1881" s="2" t="s">
        <v>1186</v>
      </c>
      <c r="G1881" s="2" t="s">
        <v>4936</v>
      </c>
    </row>
    <row r="1882" customFormat="false" ht="15" hidden="false" customHeight="false" outlineLevel="0" collapsed="false">
      <c r="A1882" s="2" t="s">
        <v>4937</v>
      </c>
      <c r="B1882" s="2" t="s">
        <v>126</v>
      </c>
      <c r="C1882" s="2" t="s">
        <v>4495</v>
      </c>
      <c r="D1882" s="2" t="s">
        <v>50</v>
      </c>
      <c r="E1882" s="2" t="s">
        <v>1194</v>
      </c>
      <c r="F1882" s="2" t="s">
        <v>1186</v>
      </c>
      <c r="G1882" s="2" t="s">
        <v>4938</v>
      </c>
    </row>
    <row r="1883" customFormat="false" ht="15" hidden="false" customHeight="false" outlineLevel="0" collapsed="false">
      <c r="A1883" s="2" t="s">
        <v>4939</v>
      </c>
      <c r="B1883" s="2" t="s">
        <v>126</v>
      </c>
      <c r="C1883" s="2" t="s">
        <v>4495</v>
      </c>
      <c r="D1883" s="2" t="s">
        <v>50</v>
      </c>
      <c r="E1883" s="2" t="s">
        <v>1194</v>
      </c>
      <c r="F1883" s="2" t="s">
        <v>1186</v>
      </c>
      <c r="G1883" s="2" t="s">
        <v>4940</v>
      </c>
    </row>
    <row r="1884" customFormat="false" ht="15" hidden="false" customHeight="false" outlineLevel="0" collapsed="false">
      <c r="A1884" s="2" t="s">
        <v>4941</v>
      </c>
      <c r="B1884" s="2" t="s">
        <v>126</v>
      </c>
      <c r="C1884" s="2" t="s">
        <v>4495</v>
      </c>
      <c r="D1884" s="2" t="s">
        <v>50</v>
      </c>
      <c r="E1884" s="2" t="s">
        <v>1194</v>
      </c>
      <c r="F1884" s="2" t="s">
        <v>1186</v>
      </c>
      <c r="G1884" s="2" t="s">
        <v>4942</v>
      </c>
    </row>
    <row r="1885" customFormat="false" ht="15" hidden="false" customHeight="false" outlineLevel="0" collapsed="false">
      <c r="A1885" s="2" t="s">
        <v>4943</v>
      </c>
      <c r="B1885" s="2" t="s">
        <v>126</v>
      </c>
      <c r="C1885" s="2" t="s">
        <v>4495</v>
      </c>
      <c r="D1885" s="2" t="s">
        <v>50</v>
      </c>
      <c r="E1885" s="2" t="s">
        <v>1194</v>
      </c>
      <c r="F1885" s="2" t="s">
        <v>1186</v>
      </c>
      <c r="G1885" s="2" t="s">
        <v>4944</v>
      </c>
    </row>
    <row r="1886" customFormat="false" ht="15" hidden="false" customHeight="false" outlineLevel="0" collapsed="false">
      <c r="A1886" s="2" t="s">
        <v>4945</v>
      </c>
      <c r="B1886" s="2" t="s">
        <v>126</v>
      </c>
      <c r="C1886" s="2" t="s">
        <v>2179</v>
      </c>
      <c r="D1886" s="2" t="s">
        <v>49</v>
      </c>
      <c r="E1886" s="2" t="s">
        <v>1563</v>
      </c>
      <c r="F1886" s="2" t="s">
        <v>1186</v>
      </c>
      <c r="G1886" s="2" t="s">
        <v>4946</v>
      </c>
    </row>
    <row r="1887" customFormat="false" ht="15" hidden="false" customHeight="false" outlineLevel="0" collapsed="false">
      <c r="A1887" s="2" t="s">
        <v>4947</v>
      </c>
      <c r="B1887" s="2" t="s">
        <v>126</v>
      </c>
      <c r="C1887" s="2" t="s">
        <v>4495</v>
      </c>
      <c r="D1887" s="2" t="s">
        <v>50</v>
      </c>
      <c r="E1887" s="2" t="s">
        <v>1194</v>
      </c>
      <c r="F1887" s="2" t="s">
        <v>1186</v>
      </c>
      <c r="G1887" s="2" t="s">
        <v>4948</v>
      </c>
    </row>
    <row r="1888" customFormat="false" ht="15" hidden="false" customHeight="false" outlineLevel="0" collapsed="false">
      <c r="A1888" s="2" t="s">
        <v>4949</v>
      </c>
      <c r="B1888" s="2" t="s">
        <v>126</v>
      </c>
      <c r="C1888" s="2" t="s">
        <v>4495</v>
      </c>
      <c r="D1888" s="2" t="s">
        <v>50</v>
      </c>
      <c r="E1888" s="2" t="s">
        <v>1194</v>
      </c>
      <c r="F1888" s="2" t="s">
        <v>1186</v>
      </c>
      <c r="G1888" s="2" t="s">
        <v>4950</v>
      </c>
    </row>
    <row r="1889" customFormat="false" ht="15" hidden="false" customHeight="false" outlineLevel="0" collapsed="false">
      <c r="A1889" s="2" t="s">
        <v>4951</v>
      </c>
      <c r="B1889" s="2" t="s">
        <v>126</v>
      </c>
      <c r="C1889" s="2" t="s">
        <v>4495</v>
      </c>
      <c r="D1889" s="2" t="s">
        <v>50</v>
      </c>
      <c r="E1889" s="2" t="s">
        <v>1194</v>
      </c>
      <c r="F1889" s="2" t="s">
        <v>1186</v>
      </c>
      <c r="G1889" s="2" t="s">
        <v>4952</v>
      </c>
    </row>
    <row r="1890" customFormat="false" ht="15" hidden="false" customHeight="false" outlineLevel="0" collapsed="false">
      <c r="A1890" s="2" t="s">
        <v>4953</v>
      </c>
      <c r="B1890" s="2" t="s">
        <v>126</v>
      </c>
      <c r="C1890" s="2" t="s">
        <v>4495</v>
      </c>
      <c r="D1890" s="2" t="s">
        <v>50</v>
      </c>
      <c r="E1890" s="2" t="s">
        <v>1194</v>
      </c>
      <c r="F1890" s="2" t="s">
        <v>1186</v>
      </c>
      <c r="G1890" s="2" t="s">
        <v>4954</v>
      </c>
    </row>
    <row r="1891" customFormat="false" ht="15" hidden="false" customHeight="false" outlineLevel="0" collapsed="false">
      <c r="A1891" s="2" t="s">
        <v>4955</v>
      </c>
      <c r="B1891" s="2" t="s">
        <v>126</v>
      </c>
      <c r="C1891" s="2" t="s">
        <v>4495</v>
      </c>
      <c r="D1891" s="2" t="s">
        <v>50</v>
      </c>
      <c r="E1891" s="2" t="s">
        <v>1194</v>
      </c>
      <c r="F1891" s="2" t="s">
        <v>1186</v>
      </c>
      <c r="G1891" s="2" t="s">
        <v>4956</v>
      </c>
    </row>
    <row r="1892" customFormat="false" ht="15" hidden="false" customHeight="false" outlineLevel="0" collapsed="false">
      <c r="A1892" s="2" t="s">
        <v>4957</v>
      </c>
      <c r="B1892" s="2" t="s">
        <v>126</v>
      </c>
      <c r="C1892" s="2" t="s">
        <v>4495</v>
      </c>
      <c r="D1892" s="2" t="s">
        <v>50</v>
      </c>
      <c r="E1892" s="2" t="s">
        <v>1194</v>
      </c>
      <c r="F1892" s="2" t="s">
        <v>1186</v>
      </c>
      <c r="G1892" s="2" t="s">
        <v>4958</v>
      </c>
    </row>
    <row r="1893" customFormat="false" ht="15" hidden="false" customHeight="false" outlineLevel="0" collapsed="false">
      <c r="A1893" s="2" t="s">
        <v>4959</v>
      </c>
      <c r="B1893" s="2" t="s">
        <v>126</v>
      </c>
      <c r="C1893" s="2" t="s">
        <v>2179</v>
      </c>
      <c r="D1893" s="2" t="s">
        <v>49</v>
      </c>
      <c r="E1893" s="2" t="s">
        <v>1563</v>
      </c>
      <c r="F1893" s="2" t="s">
        <v>1186</v>
      </c>
      <c r="G1893" s="2" t="s">
        <v>4960</v>
      </c>
    </row>
    <row r="1894" customFormat="false" ht="15" hidden="false" customHeight="false" outlineLevel="0" collapsed="false">
      <c r="A1894" s="2" t="s">
        <v>4961</v>
      </c>
      <c r="B1894" s="2" t="s">
        <v>126</v>
      </c>
      <c r="C1894" s="2" t="s">
        <v>2179</v>
      </c>
      <c r="D1894" s="2" t="s">
        <v>49</v>
      </c>
      <c r="E1894" s="2" t="s">
        <v>1563</v>
      </c>
      <c r="F1894" s="2" t="s">
        <v>1186</v>
      </c>
      <c r="G1894" s="2" t="s">
        <v>4962</v>
      </c>
    </row>
    <row r="1895" customFormat="false" ht="15" hidden="false" customHeight="false" outlineLevel="0" collapsed="false">
      <c r="A1895" s="2" t="s">
        <v>4963</v>
      </c>
      <c r="B1895" s="2" t="s">
        <v>126</v>
      </c>
      <c r="C1895" s="2" t="s">
        <v>4495</v>
      </c>
      <c r="D1895" s="2" t="s">
        <v>50</v>
      </c>
      <c r="E1895" s="2" t="s">
        <v>1194</v>
      </c>
      <c r="F1895" s="2" t="s">
        <v>1186</v>
      </c>
      <c r="G1895" s="2" t="s">
        <v>4964</v>
      </c>
    </row>
    <row r="1896" customFormat="false" ht="15" hidden="false" customHeight="false" outlineLevel="0" collapsed="false">
      <c r="A1896" s="2" t="s">
        <v>4965</v>
      </c>
      <c r="B1896" s="2" t="s">
        <v>126</v>
      </c>
      <c r="C1896" s="2" t="s">
        <v>4495</v>
      </c>
      <c r="D1896" s="2" t="s">
        <v>50</v>
      </c>
      <c r="E1896" s="2" t="s">
        <v>1194</v>
      </c>
      <c r="F1896" s="2" t="s">
        <v>1186</v>
      </c>
      <c r="G1896" s="2" t="s">
        <v>4966</v>
      </c>
    </row>
    <row r="1897" customFormat="false" ht="15" hidden="false" customHeight="false" outlineLevel="0" collapsed="false">
      <c r="A1897" s="2" t="s">
        <v>4967</v>
      </c>
      <c r="B1897" s="2" t="s">
        <v>126</v>
      </c>
      <c r="C1897" s="2" t="s">
        <v>4495</v>
      </c>
      <c r="D1897" s="2" t="s">
        <v>50</v>
      </c>
      <c r="E1897" s="2" t="s">
        <v>1194</v>
      </c>
      <c r="F1897" s="2" t="s">
        <v>1186</v>
      </c>
      <c r="G1897" s="2" t="s">
        <v>4968</v>
      </c>
    </row>
    <row r="1898" customFormat="false" ht="15" hidden="false" customHeight="false" outlineLevel="0" collapsed="false">
      <c r="A1898" s="2" t="s">
        <v>4969</v>
      </c>
      <c r="B1898" s="2" t="s">
        <v>126</v>
      </c>
      <c r="C1898" s="2" t="s">
        <v>4495</v>
      </c>
      <c r="D1898" s="2" t="s">
        <v>50</v>
      </c>
      <c r="E1898" s="2" t="s">
        <v>1194</v>
      </c>
      <c r="F1898" s="2" t="s">
        <v>1186</v>
      </c>
      <c r="G1898" s="2" t="s">
        <v>4970</v>
      </c>
    </row>
    <row r="1899" customFormat="false" ht="15" hidden="false" customHeight="false" outlineLevel="0" collapsed="false">
      <c r="A1899" s="2" t="s">
        <v>4971</v>
      </c>
      <c r="B1899" s="2" t="s">
        <v>126</v>
      </c>
      <c r="C1899" s="2" t="s">
        <v>4495</v>
      </c>
      <c r="D1899" s="2" t="s">
        <v>50</v>
      </c>
      <c r="E1899" s="2" t="s">
        <v>1194</v>
      </c>
      <c r="F1899" s="2" t="s">
        <v>1186</v>
      </c>
      <c r="G1899" s="2" t="s">
        <v>4972</v>
      </c>
    </row>
    <row r="1900" customFormat="false" ht="15" hidden="false" customHeight="false" outlineLevel="0" collapsed="false">
      <c r="A1900" s="2" t="s">
        <v>4973</v>
      </c>
      <c r="B1900" s="2" t="s">
        <v>126</v>
      </c>
      <c r="C1900" s="2" t="s">
        <v>4495</v>
      </c>
      <c r="D1900" s="2" t="s">
        <v>50</v>
      </c>
      <c r="E1900" s="2" t="s">
        <v>1194</v>
      </c>
      <c r="F1900" s="2" t="s">
        <v>1186</v>
      </c>
      <c r="G1900" s="2" t="s">
        <v>4974</v>
      </c>
    </row>
    <row r="1901" customFormat="false" ht="15" hidden="false" customHeight="false" outlineLevel="0" collapsed="false">
      <c r="A1901" s="2" t="s">
        <v>4975</v>
      </c>
      <c r="B1901" s="2" t="s">
        <v>126</v>
      </c>
      <c r="C1901" s="2" t="s">
        <v>4495</v>
      </c>
      <c r="D1901" s="2" t="s">
        <v>50</v>
      </c>
      <c r="E1901" s="2" t="s">
        <v>1194</v>
      </c>
      <c r="F1901" s="2" t="s">
        <v>1186</v>
      </c>
      <c r="G1901" s="2" t="s">
        <v>4976</v>
      </c>
    </row>
    <row r="1902" customFormat="false" ht="15" hidden="false" customHeight="false" outlineLevel="0" collapsed="false">
      <c r="A1902" s="2" t="s">
        <v>4977</v>
      </c>
      <c r="B1902" s="2" t="s">
        <v>126</v>
      </c>
      <c r="C1902" s="2" t="s">
        <v>4495</v>
      </c>
      <c r="D1902" s="2" t="s">
        <v>50</v>
      </c>
      <c r="E1902" s="2" t="s">
        <v>1194</v>
      </c>
      <c r="F1902" s="2" t="s">
        <v>1186</v>
      </c>
      <c r="G1902" s="2" t="s">
        <v>4978</v>
      </c>
    </row>
    <row r="1903" customFormat="false" ht="15" hidden="false" customHeight="false" outlineLevel="0" collapsed="false">
      <c r="A1903" s="2" t="s">
        <v>4979</v>
      </c>
      <c r="B1903" s="2" t="s">
        <v>126</v>
      </c>
      <c r="C1903" s="2" t="s">
        <v>4495</v>
      </c>
      <c r="D1903" s="2" t="s">
        <v>50</v>
      </c>
      <c r="E1903" s="2" t="s">
        <v>1194</v>
      </c>
      <c r="F1903" s="2" t="s">
        <v>1186</v>
      </c>
      <c r="G1903" s="2" t="s">
        <v>4980</v>
      </c>
    </row>
    <row r="1904" customFormat="false" ht="15" hidden="false" customHeight="false" outlineLevel="0" collapsed="false">
      <c r="A1904" s="2" t="s">
        <v>4981</v>
      </c>
      <c r="B1904" s="2" t="s">
        <v>126</v>
      </c>
      <c r="C1904" s="2" t="s">
        <v>4495</v>
      </c>
      <c r="D1904" s="2" t="s">
        <v>50</v>
      </c>
      <c r="E1904" s="2" t="s">
        <v>1194</v>
      </c>
      <c r="F1904" s="2" t="s">
        <v>1186</v>
      </c>
      <c r="G1904" s="2" t="s">
        <v>4982</v>
      </c>
    </row>
    <row r="1905" customFormat="false" ht="15" hidden="false" customHeight="false" outlineLevel="0" collapsed="false">
      <c r="A1905" s="2" t="s">
        <v>4983</v>
      </c>
      <c r="B1905" s="2" t="s">
        <v>126</v>
      </c>
      <c r="C1905" s="2" t="s">
        <v>4495</v>
      </c>
      <c r="D1905" s="2" t="s">
        <v>50</v>
      </c>
      <c r="E1905" s="2" t="s">
        <v>1194</v>
      </c>
      <c r="F1905" s="2" t="s">
        <v>1186</v>
      </c>
      <c r="G1905" s="2" t="s">
        <v>4984</v>
      </c>
    </row>
    <row r="1906" customFormat="false" ht="15" hidden="false" customHeight="false" outlineLevel="0" collapsed="false">
      <c r="A1906" s="2" t="s">
        <v>4985</v>
      </c>
      <c r="B1906" s="2" t="s">
        <v>126</v>
      </c>
      <c r="C1906" s="2" t="s">
        <v>4495</v>
      </c>
      <c r="D1906" s="2" t="s">
        <v>50</v>
      </c>
      <c r="E1906" s="2" t="s">
        <v>1194</v>
      </c>
      <c r="F1906" s="2" t="s">
        <v>1186</v>
      </c>
      <c r="G1906" s="2" t="s">
        <v>4986</v>
      </c>
    </row>
    <row r="1907" customFormat="false" ht="15" hidden="false" customHeight="false" outlineLevel="0" collapsed="false">
      <c r="A1907" s="2" t="s">
        <v>4987</v>
      </c>
      <c r="B1907" s="2" t="s">
        <v>126</v>
      </c>
      <c r="C1907" s="2" t="s">
        <v>4495</v>
      </c>
      <c r="D1907" s="2" t="s">
        <v>50</v>
      </c>
      <c r="E1907" s="2" t="s">
        <v>1194</v>
      </c>
      <c r="F1907" s="2" t="s">
        <v>1186</v>
      </c>
      <c r="G1907" s="2" t="s">
        <v>4988</v>
      </c>
    </row>
    <row r="1908" customFormat="false" ht="15" hidden="false" customHeight="false" outlineLevel="0" collapsed="false">
      <c r="A1908" s="2" t="s">
        <v>4989</v>
      </c>
      <c r="B1908" s="2" t="s">
        <v>126</v>
      </c>
      <c r="C1908" s="2" t="s">
        <v>4495</v>
      </c>
      <c r="D1908" s="2" t="s">
        <v>50</v>
      </c>
      <c r="E1908" s="2" t="s">
        <v>1194</v>
      </c>
      <c r="F1908" s="2" t="s">
        <v>1186</v>
      </c>
      <c r="G1908" s="2" t="s">
        <v>4990</v>
      </c>
    </row>
    <row r="1909" customFormat="false" ht="15" hidden="false" customHeight="false" outlineLevel="0" collapsed="false">
      <c r="A1909" s="2" t="s">
        <v>4991</v>
      </c>
      <c r="B1909" s="2" t="s">
        <v>126</v>
      </c>
      <c r="C1909" s="2" t="s">
        <v>4495</v>
      </c>
      <c r="D1909" s="2" t="s">
        <v>50</v>
      </c>
      <c r="E1909" s="2" t="s">
        <v>1194</v>
      </c>
      <c r="F1909" s="2" t="s">
        <v>1186</v>
      </c>
      <c r="G1909" s="2" t="s">
        <v>4992</v>
      </c>
    </row>
    <row r="1910" customFormat="false" ht="15" hidden="false" customHeight="false" outlineLevel="0" collapsed="false">
      <c r="A1910" s="2" t="s">
        <v>4993</v>
      </c>
      <c r="B1910" s="2" t="s">
        <v>126</v>
      </c>
      <c r="C1910" s="2" t="s">
        <v>4495</v>
      </c>
      <c r="D1910" s="2" t="s">
        <v>50</v>
      </c>
      <c r="E1910" s="2" t="s">
        <v>1194</v>
      </c>
      <c r="F1910" s="2" t="s">
        <v>1186</v>
      </c>
      <c r="G1910" s="2" t="s">
        <v>4994</v>
      </c>
    </row>
    <row r="1911" customFormat="false" ht="15" hidden="false" customHeight="false" outlineLevel="0" collapsed="false">
      <c r="A1911" s="2" t="s">
        <v>4995</v>
      </c>
      <c r="B1911" s="2" t="s">
        <v>126</v>
      </c>
      <c r="C1911" s="2" t="s">
        <v>2179</v>
      </c>
      <c r="D1911" s="2" t="s">
        <v>49</v>
      </c>
      <c r="E1911" s="2" t="s">
        <v>1563</v>
      </c>
      <c r="F1911" s="2" t="s">
        <v>1186</v>
      </c>
      <c r="G1911" s="2" t="s">
        <v>4996</v>
      </c>
    </row>
    <row r="1912" customFormat="false" ht="15" hidden="false" customHeight="false" outlineLevel="0" collapsed="false">
      <c r="A1912" s="2" t="s">
        <v>4997</v>
      </c>
      <c r="B1912" s="2" t="s">
        <v>126</v>
      </c>
      <c r="C1912" s="2" t="s">
        <v>2179</v>
      </c>
      <c r="D1912" s="2" t="s">
        <v>49</v>
      </c>
      <c r="E1912" s="2" t="s">
        <v>1563</v>
      </c>
      <c r="F1912" s="2" t="s">
        <v>1186</v>
      </c>
      <c r="G1912" s="2" t="s">
        <v>4998</v>
      </c>
    </row>
    <row r="1913" customFormat="false" ht="15" hidden="false" customHeight="false" outlineLevel="0" collapsed="false">
      <c r="A1913" s="2" t="s">
        <v>4999</v>
      </c>
      <c r="B1913" s="2" t="s">
        <v>126</v>
      </c>
      <c r="C1913" s="2" t="s">
        <v>2179</v>
      </c>
      <c r="D1913" s="2" t="s">
        <v>49</v>
      </c>
      <c r="E1913" s="2" t="s">
        <v>1563</v>
      </c>
      <c r="F1913" s="2" t="s">
        <v>1186</v>
      </c>
      <c r="G1913" s="2" t="s">
        <v>5000</v>
      </c>
    </row>
    <row r="1914" customFormat="false" ht="15" hidden="false" customHeight="false" outlineLevel="0" collapsed="false">
      <c r="A1914" s="2" t="s">
        <v>5001</v>
      </c>
      <c r="B1914" s="2" t="s">
        <v>126</v>
      </c>
      <c r="C1914" s="2" t="s">
        <v>4495</v>
      </c>
      <c r="D1914" s="2" t="s">
        <v>50</v>
      </c>
      <c r="E1914" s="2" t="s">
        <v>1194</v>
      </c>
      <c r="F1914" s="2" t="s">
        <v>1186</v>
      </c>
      <c r="G1914" s="2" t="s">
        <v>5002</v>
      </c>
    </row>
    <row r="1915" customFormat="false" ht="15" hidden="false" customHeight="false" outlineLevel="0" collapsed="false">
      <c r="A1915" s="2" t="s">
        <v>5003</v>
      </c>
      <c r="B1915" s="2" t="s">
        <v>126</v>
      </c>
      <c r="C1915" s="2" t="s">
        <v>2179</v>
      </c>
      <c r="D1915" s="2" t="s">
        <v>49</v>
      </c>
      <c r="E1915" s="2" t="s">
        <v>1563</v>
      </c>
      <c r="F1915" s="2" t="s">
        <v>1186</v>
      </c>
      <c r="G1915" s="2" t="s">
        <v>5004</v>
      </c>
    </row>
    <row r="1916" customFormat="false" ht="15" hidden="false" customHeight="false" outlineLevel="0" collapsed="false">
      <c r="A1916" s="2" t="s">
        <v>5005</v>
      </c>
      <c r="B1916" s="2" t="s">
        <v>126</v>
      </c>
      <c r="C1916" s="2" t="s">
        <v>2179</v>
      </c>
      <c r="D1916" s="2" t="s">
        <v>49</v>
      </c>
      <c r="E1916" s="2" t="s">
        <v>1563</v>
      </c>
      <c r="F1916" s="2" t="s">
        <v>1186</v>
      </c>
      <c r="G1916" s="2" t="s">
        <v>5006</v>
      </c>
    </row>
    <row r="1917" customFormat="false" ht="15" hidden="false" customHeight="false" outlineLevel="0" collapsed="false">
      <c r="A1917" s="2" t="s">
        <v>5007</v>
      </c>
      <c r="B1917" s="2" t="s">
        <v>126</v>
      </c>
      <c r="C1917" s="2" t="s">
        <v>4495</v>
      </c>
      <c r="D1917" s="2" t="s">
        <v>50</v>
      </c>
      <c r="E1917" s="2" t="s">
        <v>1194</v>
      </c>
      <c r="F1917" s="2" t="s">
        <v>1186</v>
      </c>
      <c r="G1917" s="2" t="s">
        <v>5008</v>
      </c>
    </row>
    <row r="1918" customFormat="false" ht="15" hidden="false" customHeight="false" outlineLevel="0" collapsed="false">
      <c r="A1918" s="2" t="s">
        <v>5009</v>
      </c>
      <c r="B1918" s="2" t="s">
        <v>126</v>
      </c>
      <c r="C1918" s="2" t="s">
        <v>2179</v>
      </c>
      <c r="D1918" s="2" t="s">
        <v>49</v>
      </c>
      <c r="E1918" s="2" t="s">
        <v>1563</v>
      </c>
      <c r="F1918" s="2" t="s">
        <v>1186</v>
      </c>
      <c r="G1918" s="2" t="s">
        <v>5010</v>
      </c>
    </row>
    <row r="1919" customFormat="false" ht="15" hidden="false" customHeight="false" outlineLevel="0" collapsed="false">
      <c r="A1919" s="2" t="s">
        <v>5011</v>
      </c>
      <c r="B1919" s="2" t="s">
        <v>126</v>
      </c>
      <c r="C1919" s="2" t="s">
        <v>2179</v>
      </c>
      <c r="D1919" s="2" t="s">
        <v>49</v>
      </c>
      <c r="E1919" s="2" t="s">
        <v>1563</v>
      </c>
      <c r="F1919" s="2" t="s">
        <v>1186</v>
      </c>
      <c r="G1919" s="2" t="s">
        <v>5012</v>
      </c>
    </row>
    <row r="1920" customFormat="false" ht="15" hidden="false" customHeight="false" outlineLevel="0" collapsed="false">
      <c r="A1920" s="2" t="s">
        <v>5013</v>
      </c>
      <c r="B1920" s="2" t="s">
        <v>126</v>
      </c>
      <c r="C1920" s="2" t="s">
        <v>4495</v>
      </c>
      <c r="D1920" s="2" t="s">
        <v>50</v>
      </c>
      <c r="E1920" s="2" t="s">
        <v>1194</v>
      </c>
      <c r="F1920" s="2" t="s">
        <v>1186</v>
      </c>
      <c r="G1920" s="2" t="s">
        <v>5014</v>
      </c>
    </row>
    <row r="1921" customFormat="false" ht="15" hidden="false" customHeight="false" outlineLevel="0" collapsed="false">
      <c r="A1921" s="2" t="s">
        <v>5015</v>
      </c>
      <c r="B1921" s="2" t="s">
        <v>126</v>
      </c>
      <c r="C1921" s="2" t="s">
        <v>4495</v>
      </c>
      <c r="D1921" s="2" t="s">
        <v>50</v>
      </c>
      <c r="E1921" s="2" t="s">
        <v>1194</v>
      </c>
      <c r="F1921" s="2" t="s">
        <v>1186</v>
      </c>
      <c r="G1921" s="2" t="s">
        <v>5016</v>
      </c>
    </row>
    <row r="1922" customFormat="false" ht="15" hidden="false" customHeight="false" outlineLevel="0" collapsed="false">
      <c r="A1922" s="2" t="s">
        <v>5017</v>
      </c>
      <c r="B1922" s="2" t="s">
        <v>126</v>
      </c>
      <c r="C1922" s="2" t="s">
        <v>4495</v>
      </c>
      <c r="D1922" s="2" t="s">
        <v>50</v>
      </c>
      <c r="E1922" s="2" t="s">
        <v>1194</v>
      </c>
      <c r="F1922" s="2" t="s">
        <v>1186</v>
      </c>
      <c r="G1922" s="2" t="s">
        <v>5018</v>
      </c>
    </row>
    <row r="1923" customFormat="false" ht="15" hidden="false" customHeight="false" outlineLevel="0" collapsed="false">
      <c r="A1923" s="2" t="s">
        <v>5019</v>
      </c>
      <c r="B1923" s="2" t="s">
        <v>126</v>
      </c>
      <c r="C1923" s="2" t="s">
        <v>4495</v>
      </c>
      <c r="D1923" s="2" t="s">
        <v>50</v>
      </c>
      <c r="E1923" s="2" t="s">
        <v>1194</v>
      </c>
      <c r="F1923" s="2" t="s">
        <v>1186</v>
      </c>
      <c r="G1923" s="2" t="s">
        <v>5020</v>
      </c>
    </row>
    <row r="1924" customFormat="false" ht="15" hidden="false" customHeight="false" outlineLevel="0" collapsed="false">
      <c r="A1924" s="2" t="s">
        <v>5021</v>
      </c>
      <c r="B1924" s="2" t="s">
        <v>126</v>
      </c>
      <c r="C1924" s="2" t="s">
        <v>4495</v>
      </c>
      <c r="D1924" s="2" t="s">
        <v>50</v>
      </c>
      <c r="E1924" s="2" t="s">
        <v>1194</v>
      </c>
      <c r="F1924" s="2" t="s">
        <v>1186</v>
      </c>
      <c r="G1924" s="2" t="s">
        <v>5022</v>
      </c>
    </row>
    <row r="1925" customFormat="false" ht="15" hidden="false" customHeight="false" outlineLevel="0" collapsed="false">
      <c r="A1925" s="2" t="s">
        <v>5023</v>
      </c>
      <c r="B1925" s="2" t="s">
        <v>126</v>
      </c>
      <c r="C1925" s="2" t="s">
        <v>4495</v>
      </c>
      <c r="D1925" s="2" t="s">
        <v>50</v>
      </c>
      <c r="E1925" s="2" t="s">
        <v>1194</v>
      </c>
      <c r="F1925" s="2" t="s">
        <v>1186</v>
      </c>
      <c r="G1925" s="2" t="s">
        <v>5024</v>
      </c>
    </row>
    <row r="1926" customFormat="false" ht="15" hidden="false" customHeight="false" outlineLevel="0" collapsed="false">
      <c r="A1926" s="2" t="s">
        <v>5025</v>
      </c>
      <c r="B1926" s="2" t="s">
        <v>126</v>
      </c>
      <c r="C1926" s="2" t="s">
        <v>4495</v>
      </c>
      <c r="D1926" s="2" t="s">
        <v>50</v>
      </c>
      <c r="E1926" s="2" t="s">
        <v>1194</v>
      </c>
      <c r="F1926" s="2" t="s">
        <v>1186</v>
      </c>
      <c r="G1926" s="2" t="s">
        <v>5026</v>
      </c>
    </row>
    <row r="1927" customFormat="false" ht="15" hidden="false" customHeight="false" outlineLevel="0" collapsed="false">
      <c r="A1927" s="2" t="s">
        <v>5027</v>
      </c>
      <c r="B1927" s="2" t="s">
        <v>126</v>
      </c>
      <c r="C1927" s="2" t="s">
        <v>4495</v>
      </c>
      <c r="D1927" s="2" t="s">
        <v>50</v>
      </c>
      <c r="E1927" s="2" t="s">
        <v>1194</v>
      </c>
      <c r="F1927" s="2" t="s">
        <v>1186</v>
      </c>
      <c r="G1927" s="2" t="s">
        <v>5028</v>
      </c>
    </row>
    <row r="1928" customFormat="false" ht="15" hidden="false" customHeight="false" outlineLevel="0" collapsed="false">
      <c r="A1928" s="2" t="s">
        <v>5029</v>
      </c>
      <c r="B1928" s="2" t="s">
        <v>126</v>
      </c>
      <c r="C1928" s="2" t="s">
        <v>4495</v>
      </c>
      <c r="D1928" s="2" t="s">
        <v>50</v>
      </c>
      <c r="E1928" s="2" t="s">
        <v>1194</v>
      </c>
      <c r="F1928" s="2" t="s">
        <v>1186</v>
      </c>
      <c r="G1928" s="2" t="s">
        <v>5030</v>
      </c>
    </row>
    <row r="1929" customFormat="false" ht="15" hidden="false" customHeight="false" outlineLevel="0" collapsed="false">
      <c r="A1929" s="2" t="s">
        <v>5031</v>
      </c>
      <c r="B1929" s="2" t="s">
        <v>126</v>
      </c>
      <c r="C1929" s="2" t="s">
        <v>4495</v>
      </c>
      <c r="D1929" s="2" t="s">
        <v>50</v>
      </c>
      <c r="E1929" s="2" t="s">
        <v>1194</v>
      </c>
      <c r="F1929" s="2" t="s">
        <v>1186</v>
      </c>
      <c r="G1929" s="2" t="s">
        <v>5032</v>
      </c>
    </row>
    <row r="1930" customFormat="false" ht="15" hidden="false" customHeight="false" outlineLevel="0" collapsed="false">
      <c r="A1930" s="2" t="s">
        <v>5033</v>
      </c>
      <c r="B1930" s="2" t="s">
        <v>126</v>
      </c>
      <c r="C1930" s="2" t="s">
        <v>4495</v>
      </c>
      <c r="D1930" s="2" t="s">
        <v>50</v>
      </c>
      <c r="E1930" s="2" t="s">
        <v>1194</v>
      </c>
      <c r="F1930" s="2" t="s">
        <v>1186</v>
      </c>
      <c r="G1930" s="2" t="s">
        <v>5034</v>
      </c>
    </row>
    <row r="1931" customFormat="false" ht="15" hidden="false" customHeight="false" outlineLevel="0" collapsed="false">
      <c r="A1931" s="2" t="s">
        <v>5035</v>
      </c>
      <c r="B1931" s="2" t="s">
        <v>126</v>
      </c>
      <c r="C1931" s="2" t="s">
        <v>4495</v>
      </c>
      <c r="D1931" s="2" t="s">
        <v>50</v>
      </c>
      <c r="E1931" s="2" t="s">
        <v>1194</v>
      </c>
      <c r="F1931" s="2" t="s">
        <v>1186</v>
      </c>
      <c r="G1931" s="2" t="s">
        <v>5036</v>
      </c>
    </row>
    <row r="1932" customFormat="false" ht="15" hidden="false" customHeight="false" outlineLevel="0" collapsed="false">
      <c r="A1932" s="2" t="s">
        <v>5037</v>
      </c>
      <c r="B1932" s="2" t="s">
        <v>126</v>
      </c>
      <c r="C1932" s="2" t="s">
        <v>4495</v>
      </c>
      <c r="D1932" s="2" t="s">
        <v>50</v>
      </c>
      <c r="E1932" s="2" t="s">
        <v>1194</v>
      </c>
      <c r="F1932" s="2" t="s">
        <v>1186</v>
      </c>
      <c r="G1932" s="2" t="s">
        <v>5038</v>
      </c>
    </row>
    <row r="1933" customFormat="false" ht="15" hidden="false" customHeight="false" outlineLevel="0" collapsed="false">
      <c r="A1933" s="2" t="s">
        <v>5039</v>
      </c>
      <c r="B1933" s="2" t="s">
        <v>126</v>
      </c>
      <c r="C1933" s="2" t="s">
        <v>4495</v>
      </c>
      <c r="D1933" s="2" t="s">
        <v>50</v>
      </c>
      <c r="E1933" s="2" t="s">
        <v>1194</v>
      </c>
      <c r="F1933" s="2" t="s">
        <v>1186</v>
      </c>
      <c r="G1933" s="2" t="s">
        <v>5040</v>
      </c>
    </row>
    <row r="1934" customFormat="false" ht="15" hidden="false" customHeight="false" outlineLevel="0" collapsed="false">
      <c r="A1934" s="2" t="s">
        <v>5041</v>
      </c>
      <c r="B1934" s="2" t="s">
        <v>126</v>
      </c>
      <c r="C1934" s="2" t="s">
        <v>4495</v>
      </c>
      <c r="D1934" s="2" t="s">
        <v>50</v>
      </c>
      <c r="E1934" s="2" t="s">
        <v>1194</v>
      </c>
      <c r="F1934" s="2" t="s">
        <v>1186</v>
      </c>
      <c r="G1934" s="2" t="s">
        <v>5042</v>
      </c>
    </row>
    <row r="1935" customFormat="false" ht="15" hidden="false" customHeight="false" outlineLevel="0" collapsed="false">
      <c r="A1935" s="2" t="s">
        <v>5043</v>
      </c>
      <c r="B1935" s="2" t="s">
        <v>126</v>
      </c>
      <c r="C1935" s="2" t="s">
        <v>4495</v>
      </c>
      <c r="D1935" s="2" t="s">
        <v>50</v>
      </c>
      <c r="E1935" s="2" t="s">
        <v>1194</v>
      </c>
      <c r="F1935" s="2" t="s">
        <v>1186</v>
      </c>
      <c r="G1935" s="2" t="s">
        <v>5044</v>
      </c>
    </row>
    <row r="1936" customFormat="false" ht="15" hidden="false" customHeight="false" outlineLevel="0" collapsed="false">
      <c r="A1936" s="2" t="s">
        <v>5045</v>
      </c>
      <c r="B1936" s="2" t="s">
        <v>126</v>
      </c>
      <c r="C1936" s="2" t="s">
        <v>4495</v>
      </c>
      <c r="D1936" s="2" t="s">
        <v>50</v>
      </c>
      <c r="E1936" s="2" t="s">
        <v>1194</v>
      </c>
      <c r="F1936" s="2" t="s">
        <v>1186</v>
      </c>
      <c r="G1936" s="2" t="s">
        <v>5046</v>
      </c>
    </row>
    <row r="1937" customFormat="false" ht="15" hidden="false" customHeight="false" outlineLevel="0" collapsed="false">
      <c r="A1937" s="2" t="s">
        <v>5047</v>
      </c>
      <c r="B1937" s="2" t="s">
        <v>126</v>
      </c>
      <c r="C1937" s="2" t="s">
        <v>4495</v>
      </c>
      <c r="D1937" s="2" t="s">
        <v>50</v>
      </c>
      <c r="E1937" s="2" t="s">
        <v>1194</v>
      </c>
      <c r="F1937" s="2" t="s">
        <v>1186</v>
      </c>
      <c r="G1937" s="2" t="s">
        <v>5048</v>
      </c>
    </row>
    <row r="1938" customFormat="false" ht="15" hidden="false" customHeight="false" outlineLevel="0" collapsed="false">
      <c r="A1938" s="2" t="s">
        <v>5049</v>
      </c>
      <c r="B1938" s="2" t="s">
        <v>126</v>
      </c>
      <c r="C1938" s="2" t="s">
        <v>4495</v>
      </c>
      <c r="D1938" s="2" t="s">
        <v>50</v>
      </c>
      <c r="E1938" s="2" t="s">
        <v>1194</v>
      </c>
      <c r="F1938" s="2" t="s">
        <v>1186</v>
      </c>
      <c r="G1938" s="2" t="s">
        <v>5050</v>
      </c>
    </row>
    <row r="1939" customFormat="false" ht="15" hidden="false" customHeight="false" outlineLevel="0" collapsed="false">
      <c r="A1939" s="2" t="s">
        <v>5051</v>
      </c>
      <c r="B1939" s="2" t="s">
        <v>126</v>
      </c>
      <c r="C1939" s="2" t="s">
        <v>4495</v>
      </c>
      <c r="D1939" s="2" t="s">
        <v>50</v>
      </c>
      <c r="E1939" s="2" t="s">
        <v>1194</v>
      </c>
      <c r="F1939" s="2" t="s">
        <v>1186</v>
      </c>
      <c r="G1939" s="2" t="s">
        <v>5052</v>
      </c>
    </row>
    <row r="1940" customFormat="false" ht="15" hidden="false" customHeight="false" outlineLevel="0" collapsed="false">
      <c r="A1940" s="2" t="s">
        <v>5053</v>
      </c>
      <c r="B1940" s="2" t="s">
        <v>126</v>
      </c>
      <c r="C1940" s="2" t="s">
        <v>4495</v>
      </c>
      <c r="D1940" s="2" t="s">
        <v>50</v>
      </c>
      <c r="E1940" s="2" t="s">
        <v>1194</v>
      </c>
      <c r="F1940" s="2" t="s">
        <v>1186</v>
      </c>
      <c r="G1940" s="2" t="s">
        <v>5054</v>
      </c>
    </row>
    <row r="1941" customFormat="false" ht="15" hidden="false" customHeight="false" outlineLevel="0" collapsed="false">
      <c r="A1941" s="2" t="s">
        <v>5055</v>
      </c>
      <c r="B1941" s="2" t="s">
        <v>126</v>
      </c>
      <c r="C1941" s="2" t="s">
        <v>4495</v>
      </c>
      <c r="D1941" s="2" t="s">
        <v>50</v>
      </c>
      <c r="E1941" s="2" t="s">
        <v>1194</v>
      </c>
      <c r="F1941" s="2" t="s">
        <v>1186</v>
      </c>
      <c r="G1941" s="2" t="s">
        <v>5056</v>
      </c>
    </row>
    <row r="1942" customFormat="false" ht="15" hidden="false" customHeight="false" outlineLevel="0" collapsed="false">
      <c r="A1942" s="2" t="s">
        <v>5057</v>
      </c>
      <c r="B1942" s="2" t="s">
        <v>126</v>
      </c>
      <c r="C1942" s="2" t="s">
        <v>2179</v>
      </c>
      <c r="D1942" s="2" t="s">
        <v>49</v>
      </c>
      <c r="E1942" s="2" t="s">
        <v>1563</v>
      </c>
      <c r="F1942" s="2" t="s">
        <v>1186</v>
      </c>
      <c r="G1942" s="2" t="s">
        <v>5058</v>
      </c>
    </row>
    <row r="1943" customFormat="false" ht="15" hidden="false" customHeight="false" outlineLevel="0" collapsed="false">
      <c r="A1943" s="2" t="s">
        <v>5059</v>
      </c>
      <c r="B1943" s="2" t="s">
        <v>126</v>
      </c>
      <c r="C1943" s="2" t="s">
        <v>2179</v>
      </c>
      <c r="D1943" s="2" t="s">
        <v>49</v>
      </c>
      <c r="E1943" s="2" t="s">
        <v>1563</v>
      </c>
      <c r="F1943" s="2" t="s">
        <v>1186</v>
      </c>
      <c r="G1943" s="2" t="s">
        <v>5060</v>
      </c>
    </row>
    <row r="1944" customFormat="false" ht="15" hidden="false" customHeight="false" outlineLevel="0" collapsed="false">
      <c r="A1944" s="2" t="s">
        <v>5061</v>
      </c>
      <c r="B1944" s="2" t="s">
        <v>126</v>
      </c>
      <c r="C1944" s="2" t="s">
        <v>2179</v>
      </c>
      <c r="D1944" s="2" t="s">
        <v>49</v>
      </c>
      <c r="E1944" s="2" t="s">
        <v>1563</v>
      </c>
      <c r="F1944" s="2" t="s">
        <v>1186</v>
      </c>
      <c r="G1944" s="2" t="s">
        <v>5062</v>
      </c>
    </row>
    <row r="1945" customFormat="false" ht="15" hidden="false" customHeight="false" outlineLevel="0" collapsed="false">
      <c r="A1945" s="2" t="s">
        <v>5063</v>
      </c>
      <c r="B1945" s="2" t="s">
        <v>126</v>
      </c>
      <c r="C1945" s="2" t="s">
        <v>4495</v>
      </c>
      <c r="D1945" s="2" t="s">
        <v>50</v>
      </c>
      <c r="E1945" s="2" t="s">
        <v>1194</v>
      </c>
      <c r="F1945" s="2" t="s">
        <v>1186</v>
      </c>
      <c r="G1945" s="2" t="s">
        <v>5064</v>
      </c>
    </row>
    <row r="1946" customFormat="false" ht="15" hidden="false" customHeight="false" outlineLevel="0" collapsed="false">
      <c r="A1946" s="2" t="s">
        <v>5065</v>
      </c>
      <c r="B1946" s="2" t="s">
        <v>126</v>
      </c>
      <c r="C1946" s="2" t="s">
        <v>4495</v>
      </c>
      <c r="D1946" s="2" t="s">
        <v>50</v>
      </c>
      <c r="E1946" s="2" t="s">
        <v>1194</v>
      </c>
      <c r="F1946" s="2" t="s">
        <v>1186</v>
      </c>
      <c r="G1946" s="2" t="s">
        <v>5066</v>
      </c>
    </row>
    <row r="1947" customFormat="false" ht="15" hidden="false" customHeight="false" outlineLevel="0" collapsed="false">
      <c r="A1947" s="2" t="s">
        <v>5067</v>
      </c>
      <c r="B1947" s="2" t="s">
        <v>126</v>
      </c>
      <c r="C1947" s="2" t="s">
        <v>4495</v>
      </c>
      <c r="D1947" s="2" t="s">
        <v>50</v>
      </c>
      <c r="E1947" s="2" t="s">
        <v>1194</v>
      </c>
      <c r="F1947" s="2" t="s">
        <v>1186</v>
      </c>
      <c r="G1947" s="2" t="s">
        <v>5068</v>
      </c>
    </row>
    <row r="1948" customFormat="false" ht="15" hidden="false" customHeight="false" outlineLevel="0" collapsed="false">
      <c r="A1948" s="2" t="s">
        <v>5069</v>
      </c>
      <c r="B1948" s="2" t="s">
        <v>126</v>
      </c>
      <c r="C1948" s="2" t="s">
        <v>4495</v>
      </c>
      <c r="D1948" s="2" t="s">
        <v>50</v>
      </c>
      <c r="E1948" s="2" t="s">
        <v>1194</v>
      </c>
      <c r="F1948" s="2" t="s">
        <v>1186</v>
      </c>
      <c r="G1948" s="2" t="s">
        <v>5070</v>
      </c>
    </row>
    <row r="1949" customFormat="false" ht="15" hidden="false" customHeight="false" outlineLevel="0" collapsed="false">
      <c r="A1949" s="2" t="s">
        <v>5071</v>
      </c>
      <c r="B1949" s="2" t="s">
        <v>126</v>
      </c>
      <c r="C1949" s="2" t="s">
        <v>4495</v>
      </c>
      <c r="D1949" s="2" t="s">
        <v>50</v>
      </c>
      <c r="E1949" s="2" t="s">
        <v>1194</v>
      </c>
      <c r="F1949" s="2" t="s">
        <v>1186</v>
      </c>
      <c r="G1949" s="2" t="s">
        <v>5072</v>
      </c>
    </row>
    <row r="1950" customFormat="false" ht="15" hidden="false" customHeight="false" outlineLevel="0" collapsed="false">
      <c r="A1950" s="2" t="s">
        <v>5073</v>
      </c>
      <c r="B1950" s="2" t="s">
        <v>126</v>
      </c>
      <c r="C1950" s="2" t="s">
        <v>4495</v>
      </c>
      <c r="D1950" s="2" t="s">
        <v>50</v>
      </c>
      <c r="E1950" s="2" t="s">
        <v>1194</v>
      </c>
      <c r="F1950" s="2" t="s">
        <v>1186</v>
      </c>
      <c r="G1950" s="2" t="s">
        <v>5074</v>
      </c>
    </row>
    <row r="1951" customFormat="false" ht="15" hidden="false" customHeight="false" outlineLevel="0" collapsed="false">
      <c r="A1951" s="2" t="s">
        <v>5075</v>
      </c>
      <c r="B1951" s="2" t="s">
        <v>126</v>
      </c>
      <c r="C1951" s="2" t="s">
        <v>4495</v>
      </c>
      <c r="D1951" s="2" t="s">
        <v>50</v>
      </c>
      <c r="E1951" s="2" t="s">
        <v>1194</v>
      </c>
      <c r="F1951" s="2" t="s">
        <v>1186</v>
      </c>
      <c r="G1951" s="2" t="s">
        <v>5076</v>
      </c>
    </row>
    <row r="1952" customFormat="false" ht="15" hidden="false" customHeight="false" outlineLevel="0" collapsed="false">
      <c r="A1952" s="2" t="s">
        <v>5077</v>
      </c>
      <c r="B1952" s="2" t="s">
        <v>126</v>
      </c>
      <c r="C1952" s="2" t="s">
        <v>2179</v>
      </c>
      <c r="D1952" s="2" t="s">
        <v>49</v>
      </c>
      <c r="E1952" s="2" t="s">
        <v>1563</v>
      </c>
      <c r="F1952" s="2" t="s">
        <v>1186</v>
      </c>
      <c r="G1952" s="2" t="s">
        <v>5078</v>
      </c>
    </row>
    <row r="1953" customFormat="false" ht="15" hidden="false" customHeight="false" outlineLevel="0" collapsed="false">
      <c r="A1953" s="2" t="s">
        <v>5079</v>
      </c>
      <c r="B1953" s="2" t="s">
        <v>126</v>
      </c>
      <c r="C1953" s="2" t="s">
        <v>2179</v>
      </c>
      <c r="D1953" s="2" t="s">
        <v>49</v>
      </c>
      <c r="E1953" s="2" t="s">
        <v>1563</v>
      </c>
      <c r="F1953" s="2" t="s">
        <v>1186</v>
      </c>
      <c r="G1953" s="2" t="s">
        <v>5080</v>
      </c>
    </row>
    <row r="1954" customFormat="false" ht="15" hidden="false" customHeight="false" outlineLevel="0" collapsed="false">
      <c r="A1954" s="2" t="s">
        <v>5081</v>
      </c>
      <c r="B1954" s="2" t="s">
        <v>126</v>
      </c>
      <c r="C1954" s="2" t="s">
        <v>4495</v>
      </c>
      <c r="D1954" s="2" t="s">
        <v>50</v>
      </c>
      <c r="E1954" s="2" t="s">
        <v>1194</v>
      </c>
      <c r="F1954" s="2" t="s">
        <v>1186</v>
      </c>
      <c r="G1954" s="2" t="s">
        <v>5082</v>
      </c>
    </row>
    <row r="1955" customFormat="false" ht="15" hidden="false" customHeight="false" outlineLevel="0" collapsed="false">
      <c r="A1955" s="2" t="s">
        <v>5083</v>
      </c>
      <c r="B1955" s="2" t="s">
        <v>126</v>
      </c>
      <c r="C1955" s="2" t="s">
        <v>4495</v>
      </c>
      <c r="D1955" s="2" t="s">
        <v>50</v>
      </c>
      <c r="E1955" s="2" t="s">
        <v>1194</v>
      </c>
      <c r="F1955" s="2" t="s">
        <v>1186</v>
      </c>
      <c r="G1955" s="2" t="s">
        <v>5084</v>
      </c>
    </row>
    <row r="1956" customFormat="false" ht="15" hidden="false" customHeight="false" outlineLevel="0" collapsed="false">
      <c r="A1956" s="2" t="s">
        <v>5085</v>
      </c>
      <c r="B1956" s="2" t="s">
        <v>126</v>
      </c>
      <c r="C1956" s="2" t="s">
        <v>4495</v>
      </c>
      <c r="D1956" s="2" t="s">
        <v>50</v>
      </c>
      <c r="E1956" s="2" t="s">
        <v>1194</v>
      </c>
      <c r="F1956" s="2" t="s">
        <v>1186</v>
      </c>
      <c r="G1956" s="2" t="s">
        <v>5086</v>
      </c>
    </row>
    <row r="1957" customFormat="false" ht="15" hidden="false" customHeight="false" outlineLevel="0" collapsed="false">
      <c r="A1957" s="2" t="s">
        <v>5087</v>
      </c>
      <c r="B1957" s="2" t="s">
        <v>126</v>
      </c>
      <c r="C1957" s="2" t="s">
        <v>4495</v>
      </c>
      <c r="D1957" s="2" t="s">
        <v>50</v>
      </c>
      <c r="E1957" s="2" t="s">
        <v>1194</v>
      </c>
      <c r="F1957" s="2" t="s">
        <v>1186</v>
      </c>
      <c r="G1957" s="2" t="s">
        <v>5088</v>
      </c>
    </row>
    <row r="1958" customFormat="false" ht="15" hidden="false" customHeight="false" outlineLevel="0" collapsed="false">
      <c r="A1958" s="2" t="s">
        <v>5089</v>
      </c>
      <c r="B1958" s="2" t="s">
        <v>126</v>
      </c>
      <c r="C1958" s="2" t="s">
        <v>4495</v>
      </c>
      <c r="D1958" s="2" t="s">
        <v>50</v>
      </c>
      <c r="E1958" s="2" t="s">
        <v>1194</v>
      </c>
      <c r="F1958" s="2" t="s">
        <v>1186</v>
      </c>
      <c r="G1958" s="2" t="s">
        <v>5090</v>
      </c>
    </row>
    <row r="1959" customFormat="false" ht="15" hidden="false" customHeight="false" outlineLevel="0" collapsed="false">
      <c r="A1959" s="2" t="s">
        <v>5091</v>
      </c>
      <c r="B1959" s="2" t="s">
        <v>126</v>
      </c>
      <c r="C1959" s="2" t="s">
        <v>4495</v>
      </c>
      <c r="D1959" s="2" t="s">
        <v>50</v>
      </c>
      <c r="E1959" s="2" t="s">
        <v>1194</v>
      </c>
      <c r="F1959" s="2" t="s">
        <v>1186</v>
      </c>
      <c r="G1959" s="2" t="s">
        <v>5092</v>
      </c>
    </row>
    <row r="1960" customFormat="false" ht="15" hidden="false" customHeight="false" outlineLevel="0" collapsed="false">
      <c r="A1960" s="2" t="s">
        <v>5093</v>
      </c>
      <c r="B1960" s="2" t="s">
        <v>126</v>
      </c>
      <c r="C1960" s="2" t="s">
        <v>4495</v>
      </c>
      <c r="D1960" s="2" t="s">
        <v>50</v>
      </c>
      <c r="E1960" s="2" t="s">
        <v>1194</v>
      </c>
      <c r="F1960" s="2" t="s">
        <v>1186</v>
      </c>
      <c r="G1960" s="2" t="s">
        <v>5094</v>
      </c>
    </row>
    <row r="1961" customFormat="false" ht="15" hidden="false" customHeight="false" outlineLevel="0" collapsed="false">
      <c r="A1961" s="2" t="s">
        <v>5095</v>
      </c>
      <c r="B1961" s="2" t="s">
        <v>126</v>
      </c>
      <c r="C1961" s="2" t="s">
        <v>4495</v>
      </c>
      <c r="D1961" s="2" t="s">
        <v>50</v>
      </c>
      <c r="E1961" s="2" t="s">
        <v>1194</v>
      </c>
      <c r="F1961" s="2" t="s">
        <v>1186</v>
      </c>
      <c r="G1961" s="2" t="s">
        <v>5096</v>
      </c>
    </row>
    <row r="1962" customFormat="false" ht="15" hidden="false" customHeight="false" outlineLevel="0" collapsed="false">
      <c r="A1962" s="2" t="s">
        <v>5097</v>
      </c>
      <c r="B1962" s="2" t="s">
        <v>126</v>
      </c>
      <c r="C1962" s="2" t="s">
        <v>4495</v>
      </c>
      <c r="D1962" s="2" t="s">
        <v>50</v>
      </c>
      <c r="E1962" s="2" t="s">
        <v>1194</v>
      </c>
      <c r="F1962" s="2" t="s">
        <v>1186</v>
      </c>
      <c r="G1962" s="2" t="s">
        <v>5098</v>
      </c>
    </row>
    <row r="1963" customFormat="false" ht="15" hidden="false" customHeight="false" outlineLevel="0" collapsed="false">
      <c r="A1963" s="2" t="s">
        <v>5099</v>
      </c>
      <c r="B1963" s="2" t="s">
        <v>126</v>
      </c>
      <c r="C1963" s="2" t="s">
        <v>4495</v>
      </c>
      <c r="D1963" s="2" t="s">
        <v>50</v>
      </c>
      <c r="E1963" s="2" t="s">
        <v>1194</v>
      </c>
      <c r="F1963" s="2" t="s">
        <v>1186</v>
      </c>
      <c r="G1963" s="2" t="s">
        <v>5100</v>
      </c>
    </row>
    <row r="1964" customFormat="false" ht="15" hidden="false" customHeight="false" outlineLevel="0" collapsed="false">
      <c r="A1964" s="2" t="s">
        <v>5101</v>
      </c>
      <c r="B1964" s="2" t="s">
        <v>126</v>
      </c>
      <c r="C1964" s="2" t="s">
        <v>4495</v>
      </c>
      <c r="D1964" s="2" t="s">
        <v>50</v>
      </c>
      <c r="E1964" s="2" t="s">
        <v>1194</v>
      </c>
      <c r="F1964" s="2" t="s">
        <v>1186</v>
      </c>
      <c r="G1964" s="2" t="s">
        <v>5102</v>
      </c>
    </row>
    <row r="1965" customFormat="false" ht="15" hidden="false" customHeight="false" outlineLevel="0" collapsed="false">
      <c r="A1965" s="2" t="s">
        <v>5103</v>
      </c>
      <c r="B1965" s="2" t="s">
        <v>126</v>
      </c>
      <c r="C1965" s="2" t="s">
        <v>4495</v>
      </c>
      <c r="D1965" s="2" t="s">
        <v>50</v>
      </c>
      <c r="E1965" s="2" t="s">
        <v>1194</v>
      </c>
      <c r="F1965" s="2" t="s">
        <v>1186</v>
      </c>
      <c r="G1965" s="2" t="s">
        <v>5104</v>
      </c>
    </row>
    <row r="1966" customFormat="false" ht="15" hidden="false" customHeight="false" outlineLevel="0" collapsed="false">
      <c r="A1966" s="2" t="s">
        <v>5105</v>
      </c>
      <c r="B1966" s="2" t="s">
        <v>126</v>
      </c>
      <c r="C1966" s="2" t="s">
        <v>4495</v>
      </c>
      <c r="D1966" s="2" t="s">
        <v>50</v>
      </c>
      <c r="E1966" s="2" t="s">
        <v>1194</v>
      </c>
      <c r="F1966" s="2" t="s">
        <v>1186</v>
      </c>
      <c r="G1966" s="2" t="s">
        <v>5106</v>
      </c>
    </row>
    <row r="1967" customFormat="false" ht="15" hidden="false" customHeight="false" outlineLevel="0" collapsed="false">
      <c r="A1967" s="2" t="s">
        <v>5107</v>
      </c>
      <c r="B1967" s="2" t="s">
        <v>165</v>
      </c>
      <c r="C1967" s="2" t="s">
        <v>5108</v>
      </c>
      <c r="D1967" s="2" t="s">
        <v>48</v>
      </c>
      <c r="E1967" s="2" t="s">
        <v>1185</v>
      </c>
      <c r="F1967" s="2" t="s">
        <v>1186</v>
      </c>
      <c r="G1967" s="2" t="s">
        <v>5109</v>
      </c>
    </row>
    <row r="1968" customFormat="false" ht="15" hidden="false" customHeight="false" outlineLevel="0" collapsed="false">
      <c r="A1968" s="2" t="s">
        <v>5110</v>
      </c>
      <c r="B1968" s="2" t="s">
        <v>165</v>
      </c>
      <c r="C1968" s="2" t="s">
        <v>5108</v>
      </c>
      <c r="D1968" s="2" t="s">
        <v>48</v>
      </c>
      <c r="E1968" s="2" t="s">
        <v>1185</v>
      </c>
      <c r="F1968" s="2" t="s">
        <v>1186</v>
      </c>
      <c r="G1968" s="2" t="s">
        <v>5111</v>
      </c>
    </row>
    <row r="1969" customFormat="false" ht="15" hidden="false" customHeight="false" outlineLevel="0" collapsed="false">
      <c r="A1969" s="2" t="s">
        <v>5112</v>
      </c>
      <c r="B1969" s="2" t="s">
        <v>165</v>
      </c>
      <c r="C1969" s="2" t="s">
        <v>5108</v>
      </c>
      <c r="D1969" s="2" t="s">
        <v>48</v>
      </c>
      <c r="E1969" s="2" t="s">
        <v>1185</v>
      </c>
      <c r="F1969" s="2" t="s">
        <v>1186</v>
      </c>
      <c r="G1969" s="2" t="s">
        <v>5113</v>
      </c>
    </row>
    <row r="1970" customFormat="false" ht="15" hidden="false" customHeight="false" outlineLevel="0" collapsed="false">
      <c r="A1970" s="2" t="s">
        <v>5114</v>
      </c>
      <c r="B1970" s="2" t="s">
        <v>165</v>
      </c>
      <c r="C1970" s="2" t="s">
        <v>5108</v>
      </c>
      <c r="D1970" s="2" t="s">
        <v>48</v>
      </c>
      <c r="E1970" s="2" t="s">
        <v>1185</v>
      </c>
      <c r="F1970" s="2" t="s">
        <v>1186</v>
      </c>
      <c r="G1970" s="2" t="s">
        <v>5115</v>
      </c>
    </row>
    <row r="1971" customFormat="false" ht="15" hidden="false" customHeight="false" outlineLevel="0" collapsed="false">
      <c r="A1971" s="2" t="s">
        <v>5116</v>
      </c>
      <c r="B1971" s="2" t="s">
        <v>165</v>
      </c>
      <c r="C1971" s="2" t="s">
        <v>5108</v>
      </c>
      <c r="D1971" s="2" t="s">
        <v>48</v>
      </c>
      <c r="E1971" s="2" t="s">
        <v>1185</v>
      </c>
      <c r="F1971" s="2" t="s">
        <v>1186</v>
      </c>
      <c r="G1971" s="2" t="s">
        <v>5117</v>
      </c>
    </row>
    <row r="1972" customFormat="false" ht="15" hidden="false" customHeight="false" outlineLevel="0" collapsed="false">
      <c r="A1972" s="2" t="s">
        <v>5118</v>
      </c>
      <c r="B1972" s="2" t="s">
        <v>165</v>
      </c>
      <c r="C1972" s="2" t="s">
        <v>5108</v>
      </c>
      <c r="D1972" s="2" t="s">
        <v>48</v>
      </c>
      <c r="E1972" s="2" t="s">
        <v>1185</v>
      </c>
      <c r="F1972" s="2" t="s">
        <v>1186</v>
      </c>
      <c r="G1972" s="2" t="s">
        <v>5119</v>
      </c>
    </row>
    <row r="1973" customFormat="false" ht="15" hidden="false" customHeight="false" outlineLevel="0" collapsed="false">
      <c r="A1973" s="2" t="s">
        <v>5120</v>
      </c>
      <c r="B1973" s="2" t="s">
        <v>165</v>
      </c>
      <c r="C1973" s="2" t="s">
        <v>5108</v>
      </c>
      <c r="D1973" s="2" t="s">
        <v>48</v>
      </c>
      <c r="E1973" s="2" t="s">
        <v>1185</v>
      </c>
      <c r="F1973" s="2" t="s">
        <v>1186</v>
      </c>
      <c r="G1973" s="2" t="s">
        <v>5121</v>
      </c>
    </row>
    <row r="1974" customFormat="false" ht="15" hidden="false" customHeight="false" outlineLevel="0" collapsed="false">
      <c r="A1974" s="2" t="s">
        <v>5122</v>
      </c>
      <c r="B1974" s="2" t="s">
        <v>165</v>
      </c>
      <c r="C1974" s="2" t="s">
        <v>5108</v>
      </c>
      <c r="D1974" s="2" t="s">
        <v>48</v>
      </c>
      <c r="E1974" s="2" t="s">
        <v>1185</v>
      </c>
      <c r="F1974" s="2" t="s">
        <v>1186</v>
      </c>
      <c r="G1974" s="2" t="s">
        <v>5123</v>
      </c>
    </row>
    <row r="1975" customFormat="false" ht="15" hidden="false" customHeight="false" outlineLevel="0" collapsed="false">
      <c r="A1975" s="2" t="s">
        <v>5124</v>
      </c>
      <c r="B1975" s="2" t="s">
        <v>165</v>
      </c>
      <c r="C1975" s="2" t="s">
        <v>5108</v>
      </c>
      <c r="D1975" s="2" t="s">
        <v>48</v>
      </c>
      <c r="E1975" s="2" t="s">
        <v>1185</v>
      </c>
      <c r="F1975" s="2" t="s">
        <v>1186</v>
      </c>
      <c r="G1975" s="2" t="s">
        <v>5125</v>
      </c>
    </row>
    <row r="1976" customFormat="false" ht="15" hidden="false" customHeight="false" outlineLevel="0" collapsed="false">
      <c r="A1976" s="2" t="s">
        <v>5126</v>
      </c>
      <c r="B1976" s="2" t="s">
        <v>165</v>
      </c>
      <c r="C1976" s="2" t="s">
        <v>5108</v>
      </c>
      <c r="D1976" s="2" t="s">
        <v>48</v>
      </c>
      <c r="E1976" s="2" t="s">
        <v>1185</v>
      </c>
      <c r="F1976" s="2" t="s">
        <v>1186</v>
      </c>
      <c r="G1976" s="2" t="s">
        <v>5127</v>
      </c>
    </row>
    <row r="1977" customFormat="false" ht="15" hidden="false" customHeight="false" outlineLevel="0" collapsed="false">
      <c r="A1977" s="2" t="s">
        <v>5128</v>
      </c>
      <c r="B1977" s="2" t="s">
        <v>165</v>
      </c>
      <c r="C1977" s="2" t="s">
        <v>5108</v>
      </c>
      <c r="D1977" s="2" t="s">
        <v>48</v>
      </c>
      <c r="E1977" s="2" t="s">
        <v>1185</v>
      </c>
      <c r="F1977" s="2" t="s">
        <v>1186</v>
      </c>
      <c r="G1977" s="2" t="s">
        <v>5129</v>
      </c>
    </row>
    <row r="1978" customFormat="false" ht="15" hidden="false" customHeight="false" outlineLevel="0" collapsed="false">
      <c r="A1978" s="2" t="s">
        <v>5130</v>
      </c>
      <c r="B1978" s="2" t="s">
        <v>165</v>
      </c>
      <c r="C1978" s="2" t="s">
        <v>5108</v>
      </c>
      <c r="D1978" s="2" t="s">
        <v>48</v>
      </c>
      <c r="E1978" s="2" t="s">
        <v>1185</v>
      </c>
      <c r="F1978" s="2" t="s">
        <v>1186</v>
      </c>
      <c r="G1978" s="2" t="s">
        <v>5131</v>
      </c>
    </row>
    <row r="1979" customFormat="false" ht="15" hidden="false" customHeight="false" outlineLevel="0" collapsed="false">
      <c r="A1979" s="2" t="s">
        <v>5132</v>
      </c>
      <c r="B1979" s="2" t="s">
        <v>165</v>
      </c>
      <c r="C1979" s="2" t="s">
        <v>5108</v>
      </c>
      <c r="D1979" s="2" t="s">
        <v>48</v>
      </c>
      <c r="E1979" s="2" t="s">
        <v>1185</v>
      </c>
      <c r="F1979" s="2" t="s">
        <v>1186</v>
      </c>
      <c r="G1979" s="2" t="s">
        <v>5133</v>
      </c>
    </row>
    <row r="1980" customFormat="false" ht="15" hidden="false" customHeight="false" outlineLevel="0" collapsed="false">
      <c r="A1980" s="2" t="s">
        <v>5134</v>
      </c>
      <c r="B1980" s="2" t="s">
        <v>165</v>
      </c>
      <c r="C1980" s="2" t="s">
        <v>5108</v>
      </c>
      <c r="D1980" s="2" t="s">
        <v>48</v>
      </c>
      <c r="E1980" s="2" t="s">
        <v>1185</v>
      </c>
      <c r="F1980" s="2" t="s">
        <v>1186</v>
      </c>
      <c r="G1980" s="2" t="s">
        <v>5135</v>
      </c>
    </row>
    <row r="1981" customFormat="false" ht="15" hidden="false" customHeight="false" outlineLevel="0" collapsed="false">
      <c r="A1981" s="2" t="s">
        <v>5136</v>
      </c>
      <c r="B1981" s="2" t="s">
        <v>165</v>
      </c>
      <c r="C1981" s="2" t="s">
        <v>5108</v>
      </c>
      <c r="D1981" s="2" t="s">
        <v>48</v>
      </c>
      <c r="E1981" s="2" t="s">
        <v>1185</v>
      </c>
      <c r="F1981" s="2" t="s">
        <v>1186</v>
      </c>
      <c r="G1981" s="2" t="s">
        <v>5137</v>
      </c>
    </row>
    <row r="1982" customFormat="false" ht="15" hidden="false" customHeight="false" outlineLevel="0" collapsed="false">
      <c r="A1982" s="2" t="s">
        <v>5138</v>
      </c>
      <c r="B1982" s="2" t="s">
        <v>165</v>
      </c>
      <c r="C1982" s="2" t="s">
        <v>5108</v>
      </c>
      <c r="D1982" s="2" t="s">
        <v>48</v>
      </c>
      <c r="E1982" s="2" t="s">
        <v>1185</v>
      </c>
      <c r="F1982" s="2" t="s">
        <v>1186</v>
      </c>
      <c r="G1982" s="2" t="s">
        <v>5139</v>
      </c>
    </row>
    <row r="1983" customFormat="false" ht="15" hidden="false" customHeight="false" outlineLevel="0" collapsed="false">
      <c r="A1983" s="2" t="s">
        <v>5140</v>
      </c>
      <c r="B1983" s="2" t="s">
        <v>165</v>
      </c>
      <c r="C1983" s="2" t="s">
        <v>5108</v>
      </c>
      <c r="D1983" s="2" t="s">
        <v>48</v>
      </c>
      <c r="E1983" s="2" t="s">
        <v>1185</v>
      </c>
      <c r="F1983" s="2" t="s">
        <v>1186</v>
      </c>
      <c r="G1983" s="2" t="s">
        <v>5141</v>
      </c>
    </row>
    <row r="1984" customFormat="false" ht="15" hidden="false" customHeight="false" outlineLevel="0" collapsed="false">
      <c r="A1984" s="2" t="s">
        <v>5142</v>
      </c>
      <c r="B1984" s="2" t="s">
        <v>165</v>
      </c>
      <c r="C1984" s="2" t="s">
        <v>5108</v>
      </c>
      <c r="D1984" s="2" t="s">
        <v>48</v>
      </c>
      <c r="E1984" s="2" t="s">
        <v>1185</v>
      </c>
      <c r="F1984" s="2" t="s">
        <v>1186</v>
      </c>
      <c r="G1984" s="2" t="s">
        <v>5143</v>
      </c>
    </row>
    <row r="1985" customFormat="false" ht="15" hidden="false" customHeight="false" outlineLevel="0" collapsed="false">
      <c r="A1985" s="2" t="s">
        <v>5144</v>
      </c>
      <c r="B1985" s="2" t="s">
        <v>165</v>
      </c>
      <c r="C1985" s="2" t="s">
        <v>5108</v>
      </c>
      <c r="D1985" s="2" t="s">
        <v>48</v>
      </c>
      <c r="E1985" s="2" t="s">
        <v>1185</v>
      </c>
      <c r="F1985" s="2" t="s">
        <v>1186</v>
      </c>
      <c r="G1985" s="2" t="s">
        <v>5145</v>
      </c>
    </row>
    <row r="1986" customFormat="false" ht="15" hidden="false" customHeight="false" outlineLevel="0" collapsed="false">
      <c r="A1986" s="2" t="s">
        <v>5146</v>
      </c>
      <c r="B1986" s="2" t="s">
        <v>165</v>
      </c>
      <c r="C1986" s="2" t="s">
        <v>5108</v>
      </c>
      <c r="D1986" s="2" t="s">
        <v>48</v>
      </c>
      <c r="E1986" s="2" t="s">
        <v>1185</v>
      </c>
      <c r="F1986" s="2" t="s">
        <v>1186</v>
      </c>
      <c r="G1986" s="2" t="s">
        <v>5147</v>
      </c>
    </row>
    <row r="1987" customFormat="false" ht="15" hidden="false" customHeight="false" outlineLevel="0" collapsed="false">
      <c r="A1987" s="2" t="s">
        <v>5148</v>
      </c>
      <c r="B1987" s="2" t="s">
        <v>165</v>
      </c>
      <c r="C1987" s="2" t="s">
        <v>5108</v>
      </c>
      <c r="D1987" s="2" t="s">
        <v>48</v>
      </c>
      <c r="E1987" s="2" t="s">
        <v>1185</v>
      </c>
      <c r="F1987" s="2" t="s">
        <v>1186</v>
      </c>
      <c r="G1987" s="2" t="s">
        <v>5149</v>
      </c>
    </row>
    <row r="1988" customFormat="false" ht="15" hidden="false" customHeight="false" outlineLevel="0" collapsed="false">
      <c r="A1988" s="2" t="s">
        <v>5150</v>
      </c>
      <c r="B1988" s="2" t="s">
        <v>165</v>
      </c>
      <c r="C1988" s="2" t="s">
        <v>5108</v>
      </c>
      <c r="D1988" s="2" t="s">
        <v>48</v>
      </c>
      <c r="E1988" s="2" t="s">
        <v>1185</v>
      </c>
      <c r="F1988" s="2" t="s">
        <v>1186</v>
      </c>
      <c r="G1988" s="2" t="s">
        <v>5151</v>
      </c>
    </row>
    <row r="1989" customFormat="false" ht="15" hidden="false" customHeight="false" outlineLevel="0" collapsed="false">
      <c r="A1989" s="2" t="s">
        <v>5152</v>
      </c>
      <c r="B1989" s="2" t="s">
        <v>165</v>
      </c>
      <c r="C1989" s="2" t="s">
        <v>5108</v>
      </c>
      <c r="D1989" s="2" t="s">
        <v>48</v>
      </c>
      <c r="E1989" s="2" t="s">
        <v>1185</v>
      </c>
      <c r="F1989" s="2" t="s">
        <v>1186</v>
      </c>
      <c r="G1989" s="2" t="s">
        <v>5153</v>
      </c>
    </row>
    <row r="1990" customFormat="false" ht="15" hidden="false" customHeight="false" outlineLevel="0" collapsed="false">
      <c r="A1990" s="2" t="s">
        <v>5154</v>
      </c>
      <c r="B1990" s="2" t="s">
        <v>165</v>
      </c>
      <c r="C1990" s="2" t="s">
        <v>5108</v>
      </c>
      <c r="D1990" s="2" t="s">
        <v>48</v>
      </c>
      <c r="E1990" s="2" t="s">
        <v>1185</v>
      </c>
      <c r="F1990" s="2" t="s">
        <v>1186</v>
      </c>
      <c r="G1990" s="2" t="s">
        <v>5155</v>
      </c>
    </row>
    <row r="1991" customFormat="false" ht="15" hidden="false" customHeight="false" outlineLevel="0" collapsed="false">
      <c r="A1991" s="2" t="s">
        <v>5156</v>
      </c>
      <c r="B1991" s="2" t="s">
        <v>165</v>
      </c>
      <c r="C1991" s="2" t="s">
        <v>5108</v>
      </c>
      <c r="D1991" s="2" t="s">
        <v>48</v>
      </c>
      <c r="E1991" s="2" t="s">
        <v>1185</v>
      </c>
      <c r="F1991" s="2" t="s">
        <v>1186</v>
      </c>
      <c r="G1991" s="2" t="s">
        <v>5157</v>
      </c>
    </row>
    <row r="1992" customFormat="false" ht="15" hidden="false" customHeight="false" outlineLevel="0" collapsed="false">
      <c r="A1992" s="2" t="s">
        <v>5158</v>
      </c>
      <c r="B1992" s="2" t="s">
        <v>165</v>
      </c>
      <c r="C1992" s="2" t="s">
        <v>5108</v>
      </c>
      <c r="D1992" s="2" t="s">
        <v>48</v>
      </c>
      <c r="E1992" s="2" t="s">
        <v>1185</v>
      </c>
      <c r="F1992" s="2" t="s">
        <v>1186</v>
      </c>
      <c r="G1992" s="2" t="s">
        <v>5159</v>
      </c>
    </row>
    <row r="1993" customFormat="false" ht="15" hidden="false" customHeight="false" outlineLevel="0" collapsed="false">
      <c r="A1993" s="2" t="s">
        <v>5160</v>
      </c>
      <c r="B1993" s="2" t="s">
        <v>165</v>
      </c>
      <c r="C1993" s="2" t="s">
        <v>5108</v>
      </c>
      <c r="D1993" s="2" t="s">
        <v>48</v>
      </c>
      <c r="E1993" s="2" t="s">
        <v>1185</v>
      </c>
      <c r="F1993" s="2" t="s">
        <v>1186</v>
      </c>
      <c r="G1993" s="2" t="s">
        <v>5161</v>
      </c>
    </row>
    <row r="1994" customFormat="false" ht="15" hidden="false" customHeight="false" outlineLevel="0" collapsed="false">
      <c r="A1994" s="2" t="s">
        <v>5162</v>
      </c>
      <c r="B1994" s="2" t="s">
        <v>165</v>
      </c>
      <c r="C1994" s="2" t="s">
        <v>5108</v>
      </c>
      <c r="D1994" s="2" t="s">
        <v>48</v>
      </c>
      <c r="E1994" s="2" t="s">
        <v>1185</v>
      </c>
      <c r="F1994" s="2" t="s">
        <v>1186</v>
      </c>
      <c r="G1994" s="2" t="s">
        <v>5163</v>
      </c>
    </row>
    <row r="1995" customFormat="false" ht="15" hidden="false" customHeight="false" outlineLevel="0" collapsed="false">
      <c r="A1995" s="2" t="s">
        <v>5164</v>
      </c>
      <c r="B1995" s="2" t="s">
        <v>165</v>
      </c>
      <c r="C1995" s="2" t="s">
        <v>5108</v>
      </c>
      <c r="D1995" s="2" t="s">
        <v>48</v>
      </c>
      <c r="E1995" s="2" t="s">
        <v>1185</v>
      </c>
      <c r="F1995" s="2" t="s">
        <v>1186</v>
      </c>
      <c r="G1995" s="2" t="s">
        <v>5165</v>
      </c>
    </row>
    <row r="1996" customFormat="false" ht="15" hidden="false" customHeight="false" outlineLevel="0" collapsed="false">
      <c r="A1996" s="2" t="s">
        <v>5166</v>
      </c>
      <c r="B1996" s="2" t="s">
        <v>165</v>
      </c>
      <c r="C1996" s="2" t="s">
        <v>5108</v>
      </c>
      <c r="D1996" s="2" t="s">
        <v>48</v>
      </c>
      <c r="E1996" s="2" t="s">
        <v>1185</v>
      </c>
      <c r="F1996" s="2" t="s">
        <v>1186</v>
      </c>
      <c r="G1996" s="2" t="s">
        <v>5167</v>
      </c>
    </row>
    <row r="1997" customFormat="false" ht="15" hidden="false" customHeight="false" outlineLevel="0" collapsed="false">
      <c r="A1997" s="2" t="s">
        <v>5168</v>
      </c>
      <c r="B1997" s="2" t="s">
        <v>165</v>
      </c>
      <c r="C1997" s="2" t="s">
        <v>5108</v>
      </c>
      <c r="D1997" s="2" t="s">
        <v>48</v>
      </c>
      <c r="E1997" s="2" t="s">
        <v>1185</v>
      </c>
      <c r="F1997" s="2" t="s">
        <v>1186</v>
      </c>
      <c r="G1997" s="2" t="s">
        <v>5169</v>
      </c>
    </row>
    <row r="1998" customFormat="false" ht="15" hidden="false" customHeight="false" outlineLevel="0" collapsed="false">
      <c r="A1998" s="2" t="s">
        <v>5170</v>
      </c>
      <c r="B1998" s="2" t="s">
        <v>165</v>
      </c>
      <c r="C1998" s="2" t="s">
        <v>5108</v>
      </c>
      <c r="D1998" s="2" t="s">
        <v>48</v>
      </c>
      <c r="E1998" s="2" t="s">
        <v>1185</v>
      </c>
      <c r="F1998" s="2" t="s">
        <v>1186</v>
      </c>
      <c r="G1998" s="2" t="s">
        <v>5171</v>
      </c>
    </row>
    <row r="1999" customFormat="false" ht="15" hidden="false" customHeight="false" outlineLevel="0" collapsed="false">
      <c r="A1999" s="2" t="s">
        <v>5172</v>
      </c>
      <c r="B1999" s="2" t="s">
        <v>165</v>
      </c>
      <c r="C1999" s="2" t="s">
        <v>5108</v>
      </c>
      <c r="D1999" s="2" t="s">
        <v>48</v>
      </c>
      <c r="E1999" s="2" t="s">
        <v>1185</v>
      </c>
      <c r="F1999" s="2" t="s">
        <v>1186</v>
      </c>
      <c r="G1999" s="2" t="s">
        <v>5173</v>
      </c>
    </row>
    <row r="2000" customFormat="false" ht="15" hidden="false" customHeight="false" outlineLevel="0" collapsed="false">
      <c r="A2000" s="2" t="s">
        <v>5174</v>
      </c>
      <c r="B2000" s="2" t="s">
        <v>165</v>
      </c>
      <c r="C2000" s="2" t="s">
        <v>5108</v>
      </c>
      <c r="D2000" s="2" t="s">
        <v>48</v>
      </c>
      <c r="E2000" s="2" t="s">
        <v>1185</v>
      </c>
      <c r="F2000" s="2" t="s">
        <v>1186</v>
      </c>
      <c r="G2000" s="2" t="s">
        <v>5175</v>
      </c>
    </row>
    <row r="2001" customFormat="false" ht="15" hidden="false" customHeight="false" outlineLevel="0" collapsed="false">
      <c r="A2001" s="2" t="s">
        <v>5176</v>
      </c>
      <c r="B2001" s="2" t="s">
        <v>165</v>
      </c>
      <c r="C2001" s="2" t="s">
        <v>5108</v>
      </c>
      <c r="D2001" s="2" t="s">
        <v>48</v>
      </c>
      <c r="E2001" s="2" t="s">
        <v>1185</v>
      </c>
      <c r="F2001" s="2" t="s">
        <v>1186</v>
      </c>
      <c r="G2001" s="2" t="s">
        <v>5177</v>
      </c>
    </row>
    <row r="2002" customFormat="false" ht="15" hidden="false" customHeight="false" outlineLevel="0" collapsed="false">
      <c r="A2002" s="2" t="s">
        <v>5178</v>
      </c>
      <c r="B2002" s="2" t="s">
        <v>165</v>
      </c>
      <c r="C2002" s="2" t="s">
        <v>5108</v>
      </c>
      <c r="D2002" s="2" t="s">
        <v>48</v>
      </c>
      <c r="E2002" s="2" t="s">
        <v>1185</v>
      </c>
      <c r="F2002" s="2" t="s">
        <v>1186</v>
      </c>
      <c r="G2002" s="2" t="s">
        <v>5179</v>
      </c>
    </row>
    <row r="2003" customFormat="false" ht="15" hidden="false" customHeight="false" outlineLevel="0" collapsed="false">
      <c r="A2003" s="2" t="s">
        <v>5180</v>
      </c>
      <c r="B2003" s="2" t="s">
        <v>165</v>
      </c>
      <c r="C2003" s="2" t="s">
        <v>5108</v>
      </c>
      <c r="D2003" s="2" t="s">
        <v>48</v>
      </c>
      <c r="E2003" s="2" t="s">
        <v>1185</v>
      </c>
      <c r="F2003" s="2" t="s">
        <v>1186</v>
      </c>
      <c r="G2003" s="2" t="s">
        <v>5181</v>
      </c>
    </row>
    <row r="2004" customFormat="false" ht="15" hidden="false" customHeight="false" outlineLevel="0" collapsed="false">
      <c r="A2004" s="2" t="s">
        <v>5182</v>
      </c>
      <c r="B2004" s="2" t="s">
        <v>165</v>
      </c>
      <c r="C2004" s="2" t="s">
        <v>5108</v>
      </c>
      <c r="D2004" s="2" t="s">
        <v>48</v>
      </c>
      <c r="E2004" s="2" t="s">
        <v>1185</v>
      </c>
      <c r="F2004" s="2" t="s">
        <v>1186</v>
      </c>
      <c r="G2004" s="2" t="s">
        <v>5183</v>
      </c>
    </row>
    <row r="2005" customFormat="false" ht="15" hidden="false" customHeight="false" outlineLevel="0" collapsed="false">
      <c r="A2005" s="2" t="s">
        <v>5184</v>
      </c>
      <c r="B2005" s="2" t="s">
        <v>165</v>
      </c>
      <c r="C2005" s="2" t="s">
        <v>5108</v>
      </c>
      <c r="D2005" s="2" t="s">
        <v>48</v>
      </c>
      <c r="E2005" s="2" t="s">
        <v>1185</v>
      </c>
      <c r="F2005" s="2" t="s">
        <v>1186</v>
      </c>
      <c r="G2005" s="2" t="s">
        <v>5185</v>
      </c>
    </row>
    <row r="2006" customFormat="false" ht="15" hidden="false" customHeight="false" outlineLevel="0" collapsed="false">
      <c r="A2006" s="2" t="s">
        <v>5186</v>
      </c>
      <c r="B2006" s="2" t="s">
        <v>165</v>
      </c>
      <c r="C2006" s="2" t="s">
        <v>5108</v>
      </c>
      <c r="D2006" s="2" t="s">
        <v>48</v>
      </c>
      <c r="E2006" s="2" t="s">
        <v>1185</v>
      </c>
      <c r="F2006" s="2" t="s">
        <v>1186</v>
      </c>
      <c r="G2006" s="2" t="s">
        <v>5187</v>
      </c>
    </row>
    <row r="2007" customFormat="false" ht="15" hidden="false" customHeight="false" outlineLevel="0" collapsed="false">
      <c r="A2007" s="2" t="s">
        <v>5188</v>
      </c>
      <c r="B2007" s="2" t="s">
        <v>165</v>
      </c>
      <c r="C2007" s="2" t="s">
        <v>5108</v>
      </c>
      <c r="D2007" s="2" t="s">
        <v>48</v>
      </c>
      <c r="E2007" s="2" t="s">
        <v>1185</v>
      </c>
      <c r="F2007" s="2" t="s">
        <v>1186</v>
      </c>
      <c r="G2007" s="2" t="s">
        <v>5189</v>
      </c>
    </row>
    <row r="2008" customFormat="false" ht="15" hidden="false" customHeight="false" outlineLevel="0" collapsed="false">
      <c r="A2008" s="2" t="s">
        <v>5190</v>
      </c>
      <c r="B2008" s="2" t="s">
        <v>165</v>
      </c>
      <c r="C2008" s="2" t="s">
        <v>5108</v>
      </c>
      <c r="D2008" s="2" t="s">
        <v>48</v>
      </c>
      <c r="E2008" s="2" t="s">
        <v>1185</v>
      </c>
      <c r="F2008" s="2" t="s">
        <v>1186</v>
      </c>
      <c r="G2008" s="2" t="s">
        <v>5191</v>
      </c>
    </row>
    <row r="2009" customFormat="false" ht="15" hidden="false" customHeight="false" outlineLevel="0" collapsed="false">
      <c r="A2009" s="2" t="s">
        <v>5192</v>
      </c>
      <c r="B2009" s="2" t="s">
        <v>165</v>
      </c>
      <c r="C2009" s="2" t="s">
        <v>5108</v>
      </c>
      <c r="D2009" s="2" t="s">
        <v>48</v>
      </c>
      <c r="E2009" s="2" t="s">
        <v>1185</v>
      </c>
      <c r="F2009" s="2" t="s">
        <v>1186</v>
      </c>
      <c r="G2009" s="2" t="s">
        <v>5193</v>
      </c>
    </row>
    <row r="2010" customFormat="false" ht="15" hidden="false" customHeight="false" outlineLevel="0" collapsed="false">
      <c r="A2010" s="2" t="s">
        <v>5194</v>
      </c>
      <c r="B2010" s="2" t="s">
        <v>165</v>
      </c>
      <c r="C2010" s="2" t="s">
        <v>5108</v>
      </c>
      <c r="D2010" s="2" t="s">
        <v>48</v>
      </c>
      <c r="E2010" s="2" t="s">
        <v>1185</v>
      </c>
      <c r="F2010" s="2" t="s">
        <v>1186</v>
      </c>
      <c r="G2010" s="2" t="s">
        <v>5195</v>
      </c>
    </row>
    <row r="2011" customFormat="false" ht="15" hidden="false" customHeight="false" outlineLevel="0" collapsed="false">
      <c r="A2011" s="2" t="s">
        <v>5196</v>
      </c>
      <c r="B2011" s="2" t="s">
        <v>165</v>
      </c>
      <c r="C2011" s="2" t="s">
        <v>5108</v>
      </c>
      <c r="D2011" s="2" t="s">
        <v>48</v>
      </c>
      <c r="E2011" s="2" t="s">
        <v>1185</v>
      </c>
      <c r="F2011" s="2" t="s">
        <v>1186</v>
      </c>
      <c r="G2011" s="2" t="s">
        <v>5197</v>
      </c>
    </row>
    <row r="2012" customFormat="false" ht="15" hidden="false" customHeight="false" outlineLevel="0" collapsed="false">
      <c r="A2012" s="2" t="s">
        <v>5198</v>
      </c>
      <c r="B2012" s="2" t="s">
        <v>165</v>
      </c>
      <c r="C2012" s="2" t="s">
        <v>5108</v>
      </c>
      <c r="D2012" s="2" t="s">
        <v>48</v>
      </c>
      <c r="E2012" s="2" t="s">
        <v>1185</v>
      </c>
      <c r="F2012" s="2" t="s">
        <v>1186</v>
      </c>
      <c r="G2012" s="2" t="s">
        <v>5199</v>
      </c>
    </row>
    <row r="2013" customFormat="false" ht="15" hidden="false" customHeight="false" outlineLevel="0" collapsed="false">
      <c r="A2013" s="2" t="s">
        <v>5200</v>
      </c>
      <c r="B2013" s="2" t="s">
        <v>165</v>
      </c>
      <c r="C2013" s="2" t="s">
        <v>5108</v>
      </c>
      <c r="D2013" s="2" t="s">
        <v>48</v>
      </c>
      <c r="E2013" s="2" t="s">
        <v>1185</v>
      </c>
      <c r="F2013" s="2" t="s">
        <v>1186</v>
      </c>
      <c r="G2013" s="2" t="s">
        <v>5201</v>
      </c>
    </row>
    <row r="2014" customFormat="false" ht="15" hidden="false" customHeight="false" outlineLevel="0" collapsed="false">
      <c r="A2014" s="2" t="s">
        <v>5202</v>
      </c>
      <c r="B2014" s="2" t="s">
        <v>165</v>
      </c>
      <c r="C2014" s="2" t="s">
        <v>5108</v>
      </c>
      <c r="D2014" s="2" t="s">
        <v>48</v>
      </c>
      <c r="E2014" s="2" t="s">
        <v>1185</v>
      </c>
      <c r="F2014" s="2" t="s">
        <v>1186</v>
      </c>
      <c r="G2014" s="2" t="s">
        <v>5203</v>
      </c>
    </row>
    <row r="2015" customFormat="false" ht="15" hidden="false" customHeight="false" outlineLevel="0" collapsed="false">
      <c r="A2015" s="2" t="s">
        <v>5204</v>
      </c>
      <c r="B2015" s="2" t="s">
        <v>165</v>
      </c>
      <c r="C2015" s="2" t="s">
        <v>5108</v>
      </c>
      <c r="D2015" s="2" t="s">
        <v>48</v>
      </c>
      <c r="E2015" s="2" t="s">
        <v>1185</v>
      </c>
      <c r="F2015" s="2" t="s">
        <v>1186</v>
      </c>
      <c r="G2015" s="2" t="s">
        <v>5205</v>
      </c>
    </row>
    <row r="2016" customFormat="false" ht="15" hidden="false" customHeight="false" outlineLevel="0" collapsed="false">
      <c r="A2016" s="2" t="s">
        <v>5206</v>
      </c>
      <c r="B2016" s="2" t="s">
        <v>165</v>
      </c>
      <c r="C2016" s="2" t="s">
        <v>5108</v>
      </c>
      <c r="D2016" s="2" t="s">
        <v>48</v>
      </c>
      <c r="E2016" s="2" t="s">
        <v>1185</v>
      </c>
      <c r="F2016" s="2" t="s">
        <v>1186</v>
      </c>
      <c r="G2016" s="2" t="s">
        <v>5207</v>
      </c>
    </row>
    <row r="2017" customFormat="false" ht="15" hidden="false" customHeight="false" outlineLevel="0" collapsed="false">
      <c r="A2017" s="2" t="s">
        <v>5208</v>
      </c>
      <c r="B2017" s="2" t="s">
        <v>165</v>
      </c>
      <c r="C2017" s="2" t="s">
        <v>5108</v>
      </c>
      <c r="D2017" s="2" t="s">
        <v>48</v>
      </c>
      <c r="E2017" s="2" t="s">
        <v>1185</v>
      </c>
      <c r="F2017" s="2" t="s">
        <v>1186</v>
      </c>
      <c r="G2017" s="2" t="s">
        <v>5209</v>
      </c>
    </row>
    <row r="2018" customFormat="false" ht="15" hidden="false" customHeight="false" outlineLevel="0" collapsed="false">
      <c r="A2018" s="2" t="s">
        <v>5210</v>
      </c>
      <c r="B2018" s="2" t="s">
        <v>165</v>
      </c>
      <c r="C2018" s="2" t="s">
        <v>5108</v>
      </c>
      <c r="D2018" s="2" t="s">
        <v>48</v>
      </c>
      <c r="E2018" s="2" t="s">
        <v>1185</v>
      </c>
      <c r="F2018" s="2" t="s">
        <v>1186</v>
      </c>
      <c r="G2018" s="2" t="s">
        <v>5211</v>
      </c>
    </row>
    <row r="2019" customFormat="false" ht="15" hidden="false" customHeight="false" outlineLevel="0" collapsed="false">
      <c r="A2019" s="2" t="s">
        <v>5212</v>
      </c>
      <c r="B2019" s="2" t="s">
        <v>165</v>
      </c>
      <c r="C2019" s="2" t="s">
        <v>5108</v>
      </c>
      <c r="D2019" s="2" t="s">
        <v>48</v>
      </c>
      <c r="E2019" s="2" t="s">
        <v>1185</v>
      </c>
      <c r="F2019" s="2" t="s">
        <v>1186</v>
      </c>
      <c r="G2019" s="2" t="s">
        <v>5213</v>
      </c>
    </row>
    <row r="2020" customFormat="false" ht="15" hidden="false" customHeight="false" outlineLevel="0" collapsed="false">
      <c r="A2020" s="2" t="s">
        <v>5214</v>
      </c>
      <c r="B2020" s="2" t="s">
        <v>165</v>
      </c>
      <c r="C2020" s="2" t="s">
        <v>5108</v>
      </c>
      <c r="D2020" s="2" t="s">
        <v>48</v>
      </c>
      <c r="E2020" s="2" t="s">
        <v>1185</v>
      </c>
      <c r="F2020" s="2" t="s">
        <v>1186</v>
      </c>
      <c r="G2020" s="2" t="s">
        <v>5215</v>
      </c>
    </row>
    <row r="2021" customFormat="false" ht="15" hidden="false" customHeight="false" outlineLevel="0" collapsed="false">
      <c r="A2021" s="2" t="s">
        <v>5216</v>
      </c>
      <c r="B2021" s="2" t="s">
        <v>165</v>
      </c>
      <c r="C2021" s="2" t="s">
        <v>5108</v>
      </c>
      <c r="D2021" s="2" t="s">
        <v>48</v>
      </c>
      <c r="E2021" s="2" t="s">
        <v>1185</v>
      </c>
      <c r="F2021" s="2" t="s">
        <v>1186</v>
      </c>
      <c r="G2021" s="2" t="s">
        <v>5217</v>
      </c>
    </row>
    <row r="2022" customFormat="false" ht="15" hidden="false" customHeight="false" outlineLevel="0" collapsed="false">
      <c r="A2022" s="2" t="s">
        <v>5218</v>
      </c>
      <c r="B2022" s="2" t="s">
        <v>165</v>
      </c>
      <c r="C2022" s="2" t="s">
        <v>5108</v>
      </c>
      <c r="D2022" s="2" t="s">
        <v>48</v>
      </c>
      <c r="E2022" s="2" t="s">
        <v>1185</v>
      </c>
      <c r="F2022" s="2" t="s">
        <v>1186</v>
      </c>
      <c r="G2022" s="2" t="s">
        <v>5219</v>
      </c>
    </row>
    <row r="2023" customFormat="false" ht="15" hidden="false" customHeight="false" outlineLevel="0" collapsed="false">
      <c r="A2023" s="2" t="s">
        <v>5220</v>
      </c>
      <c r="B2023" s="2" t="s">
        <v>165</v>
      </c>
      <c r="C2023" s="2" t="s">
        <v>5108</v>
      </c>
      <c r="D2023" s="2" t="s">
        <v>48</v>
      </c>
      <c r="E2023" s="2" t="s">
        <v>1185</v>
      </c>
      <c r="F2023" s="2" t="s">
        <v>1186</v>
      </c>
      <c r="G2023" s="2" t="s">
        <v>5221</v>
      </c>
    </row>
    <row r="2024" customFormat="false" ht="15" hidden="false" customHeight="false" outlineLevel="0" collapsed="false">
      <c r="A2024" s="2" t="s">
        <v>5222</v>
      </c>
      <c r="B2024" s="2" t="s">
        <v>165</v>
      </c>
      <c r="C2024" s="2" t="s">
        <v>5108</v>
      </c>
      <c r="D2024" s="2" t="s">
        <v>48</v>
      </c>
      <c r="E2024" s="2" t="s">
        <v>1185</v>
      </c>
      <c r="F2024" s="2" t="s">
        <v>1186</v>
      </c>
      <c r="G2024" s="2" t="s">
        <v>5223</v>
      </c>
    </row>
    <row r="2025" customFormat="false" ht="15" hidden="false" customHeight="false" outlineLevel="0" collapsed="false">
      <c r="A2025" s="2" t="s">
        <v>5224</v>
      </c>
      <c r="B2025" s="2" t="s">
        <v>165</v>
      </c>
      <c r="C2025" s="2" t="s">
        <v>5108</v>
      </c>
      <c r="D2025" s="2" t="s">
        <v>48</v>
      </c>
      <c r="E2025" s="2" t="s">
        <v>1185</v>
      </c>
      <c r="F2025" s="2" t="s">
        <v>1186</v>
      </c>
      <c r="G2025" s="2" t="s">
        <v>5225</v>
      </c>
    </row>
    <row r="2026" customFormat="false" ht="15" hidden="false" customHeight="false" outlineLevel="0" collapsed="false">
      <c r="A2026" s="2" t="s">
        <v>5226</v>
      </c>
      <c r="B2026" s="2" t="s">
        <v>165</v>
      </c>
      <c r="C2026" s="2" t="s">
        <v>5108</v>
      </c>
      <c r="D2026" s="2" t="s">
        <v>48</v>
      </c>
      <c r="E2026" s="2" t="s">
        <v>1185</v>
      </c>
      <c r="F2026" s="2" t="s">
        <v>1186</v>
      </c>
      <c r="G2026" s="2" t="s">
        <v>5227</v>
      </c>
    </row>
    <row r="2027" customFormat="false" ht="15" hidden="false" customHeight="false" outlineLevel="0" collapsed="false">
      <c r="A2027" s="2" t="s">
        <v>5228</v>
      </c>
      <c r="B2027" s="2" t="s">
        <v>165</v>
      </c>
      <c r="C2027" s="2" t="s">
        <v>5108</v>
      </c>
      <c r="D2027" s="2" t="s">
        <v>48</v>
      </c>
      <c r="E2027" s="2" t="s">
        <v>1185</v>
      </c>
      <c r="F2027" s="2" t="s">
        <v>1186</v>
      </c>
      <c r="G2027" s="2" t="s">
        <v>5229</v>
      </c>
    </row>
    <row r="2028" customFormat="false" ht="15" hidden="false" customHeight="false" outlineLevel="0" collapsed="false">
      <c r="A2028" s="2" t="s">
        <v>5230</v>
      </c>
      <c r="B2028" s="2" t="s">
        <v>165</v>
      </c>
      <c r="C2028" s="2" t="s">
        <v>5108</v>
      </c>
      <c r="D2028" s="2" t="s">
        <v>48</v>
      </c>
      <c r="E2028" s="2" t="s">
        <v>1185</v>
      </c>
      <c r="F2028" s="2" t="s">
        <v>1186</v>
      </c>
      <c r="G2028" s="2" t="s">
        <v>5231</v>
      </c>
    </row>
    <row r="2029" customFormat="false" ht="15" hidden="false" customHeight="false" outlineLevel="0" collapsed="false">
      <c r="A2029" s="2" t="s">
        <v>5232</v>
      </c>
      <c r="B2029" s="2" t="s">
        <v>165</v>
      </c>
      <c r="C2029" s="2" t="s">
        <v>5108</v>
      </c>
      <c r="D2029" s="2" t="s">
        <v>48</v>
      </c>
      <c r="E2029" s="2" t="s">
        <v>1185</v>
      </c>
      <c r="F2029" s="2" t="s">
        <v>1186</v>
      </c>
      <c r="G2029" s="2" t="s">
        <v>5233</v>
      </c>
    </row>
    <row r="2030" customFormat="false" ht="15" hidden="false" customHeight="false" outlineLevel="0" collapsed="false">
      <c r="A2030" s="2" t="s">
        <v>5234</v>
      </c>
      <c r="B2030" s="2" t="s">
        <v>165</v>
      </c>
      <c r="C2030" s="2" t="s">
        <v>5108</v>
      </c>
      <c r="D2030" s="2" t="s">
        <v>48</v>
      </c>
      <c r="E2030" s="2" t="s">
        <v>1185</v>
      </c>
      <c r="F2030" s="2" t="s">
        <v>1186</v>
      </c>
      <c r="G2030" s="2" t="s">
        <v>5235</v>
      </c>
    </row>
    <row r="2031" customFormat="false" ht="15" hidden="false" customHeight="false" outlineLevel="0" collapsed="false">
      <c r="A2031" s="2" t="s">
        <v>5236</v>
      </c>
      <c r="B2031" s="2" t="s">
        <v>165</v>
      </c>
      <c r="C2031" s="2" t="s">
        <v>5108</v>
      </c>
      <c r="D2031" s="2" t="s">
        <v>48</v>
      </c>
      <c r="E2031" s="2" t="s">
        <v>1185</v>
      </c>
      <c r="F2031" s="2" t="s">
        <v>1186</v>
      </c>
      <c r="G2031" s="2" t="s">
        <v>5237</v>
      </c>
    </row>
    <row r="2032" customFormat="false" ht="15" hidden="false" customHeight="false" outlineLevel="0" collapsed="false">
      <c r="A2032" s="2" t="s">
        <v>5238</v>
      </c>
      <c r="B2032" s="2" t="s">
        <v>165</v>
      </c>
      <c r="C2032" s="2" t="s">
        <v>5108</v>
      </c>
      <c r="D2032" s="2" t="s">
        <v>48</v>
      </c>
      <c r="E2032" s="2" t="s">
        <v>1185</v>
      </c>
      <c r="F2032" s="2" t="s">
        <v>1186</v>
      </c>
      <c r="G2032" s="2" t="s">
        <v>5239</v>
      </c>
    </row>
    <row r="2033" customFormat="false" ht="15" hidden="false" customHeight="false" outlineLevel="0" collapsed="false">
      <c r="A2033" s="2" t="s">
        <v>5240</v>
      </c>
      <c r="B2033" s="2" t="s">
        <v>165</v>
      </c>
      <c r="C2033" s="2" t="s">
        <v>5108</v>
      </c>
      <c r="D2033" s="2" t="s">
        <v>48</v>
      </c>
      <c r="E2033" s="2" t="s">
        <v>1185</v>
      </c>
      <c r="F2033" s="2" t="s">
        <v>1186</v>
      </c>
      <c r="G2033" s="2" t="s">
        <v>5241</v>
      </c>
    </row>
    <row r="2034" customFormat="false" ht="15" hidden="false" customHeight="false" outlineLevel="0" collapsed="false">
      <c r="A2034" s="2" t="s">
        <v>5242</v>
      </c>
      <c r="B2034" s="2" t="s">
        <v>165</v>
      </c>
      <c r="C2034" s="2" t="s">
        <v>5108</v>
      </c>
      <c r="D2034" s="2" t="s">
        <v>48</v>
      </c>
      <c r="E2034" s="2" t="s">
        <v>1185</v>
      </c>
      <c r="F2034" s="2" t="s">
        <v>1186</v>
      </c>
      <c r="G2034" s="2" t="s">
        <v>5243</v>
      </c>
    </row>
    <row r="2035" customFormat="false" ht="15" hidden="false" customHeight="false" outlineLevel="0" collapsed="false">
      <c r="A2035" s="2" t="s">
        <v>5244</v>
      </c>
      <c r="B2035" s="2" t="s">
        <v>165</v>
      </c>
      <c r="C2035" s="2" t="s">
        <v>5108</v>
      </c>
      <c r="D2035" s="2" t="s">
        <v>48</v>
      </c>
      <c r="E2035" s="2" t="s">
        <v>1185</v>
      </c>
      <c r="F2035" s="2" t="s">
        <v>1186</v>
      </c>
      <c r="G2035" s="2" t="s">
        <v>5245</v>
      </c>
    </row>
    <row r="2036" customFormat="false" ht="15" hidden="false" customHeight="false" outlineLevel="0" collapsed="false">
      <c r="A2036" s="2" t="s">
        <v>5246</v>
      </c>
      <c r="B2036" s="2" t="s">
        <v>165</v>
      </c>
      <c r="C2036" s="2" t="s">
        <v>5108</v>
      </c>
      <c r="D2036" s="2" t="s">
        <v>48</v>
      </c>
      <c r="E2036" s="2" t="s">
        <v>1185</v>
      </c>
      <c r="F2036" s="2" t="s">
        <v>1186</v>
      </c>
      <c r="G2036" s="2" t="s">
        <v>5247</v>
      </c>
    </row>
    <row r="2037" customFormat="false" ht="15" hidden="false" customHeight="false" outlineLevel="0" collapsed="false">
      <c r="A2037" s="2" t="s">
        <v>5248</v>
      </c>
      <c r="B2037" s="2" t="s">
        <v>165</v>
      </c>
      <c r="C2037" s="2" t="s">
        <v>5108</v>
      </c>
      <c r="D2037" s="2" t="s">
        <v>48</v>
      </c>
      <c r="E2037" s="2" t="s">
        <v>1185</v>
      </c>
      <c r="F2037" s="2" t="s">
        <v>1186</v>
      </c>
      <c r="G2037" s="2" t="s">
        <v>5249</v>
      </c>
    </row>
    <row r="2038" customFormat="false" ht="15" hidden="false" customHeight="false" outlineLevel="0" collapsed="false">
      <c r="A2038" s="2" t="s">
        <v>5250</v>
      </c>
      <c r="B2038" s="2" t="s">
        <v>165</v>
      </c>
      <c r="C2038" s="2" t="s">
        <v>5108</v>
      </c>
      <c r="D2038" s="2" t="s">
        <v>48</v>
      </c>
      <c r="E2038" s="2" t="s">
        <v>1185</v>
      </c>
      <c r="F2038" s="2" t="s">
        <v>1186</v>
      </c>
      <c r="G2038" s="2" t="s">
        <v>5251</v>
      </c>
    </row>
    <row r="2039" customFormat="false" ht="15" hidden="false" customHeight="false" outlineLevel="0" collapsed="false">
      <c r="A2039" s="2" t="s">
        <v>5252</v>
      </c>
      <c r="B2039" s="2" t="s">
        <v>165</v>
      </c>
      <c r="C2039" s="2" t="s">
        <v>5108</v>
      </c>
      <c r="D2039" s="2" t="s">
        <v>48</v>
      </c>
      <c r="E2039" s="2" t="s">
        <v>1185</v>
      </c>
      <c r="F2039" s="2" t="s">
        <v>1186</v>
      </c>
      <c r="G2039" s="2" t="s">
        <v>5253</v>
      </c>
    </row>
    <row r="2040" customFormat="false" ht="15" hidden="false" customHeight="false" outlineLevel="0" collapsed="false">
      <c r="A2040" s="2" t="s">
        <v>5254</v>
      </c>
      <c r="B2040" s="2" t="s">
        <v>165</v>
      </c>
      <c r="C2040" s="2" t="s">
        <v>5108</v>
      </c>
      <c r="D2040" s="2" t="s">
        <v>48</v>
      </c>
      <c r="E2040" s="2" t="s">
        <v>1185</v>
      </c>
      <c r="F2040" s="2" t="s">
        <v>1186</v>
      </c>
      <c r="G2040" s="2" t="s">
        <v>5255</v>
      </c>
    </row>
    <row r="2041" customFormat="false" ht="15" hidden="false" customHeight="false" outlineLevel="0" collapsed="false">
      <c r="A2041" s="2" t="s">
        <v>5256</v>
      </c>
      <c r="B2041" s="2" t="s">
        <v>165</v>
      </c>
      <c r="C2041" s="2" t="s">
        <v>5108</v>
      </c>
      <c r="D2041" s="2" t="s">
        <v>48</v>
      </c>
      <c r="E2041" s="2" t="s">
        <v>1185</v>
      </c>
      <c r="F2041" s="2" t="s">
        <v>1186</v>
      </c>
      <c r="G2041" s="2" t="s">
        <v>5257</v>
      </c>
    </row>
    <row r="2042" customFormat="false" ht="15" hidden="false" customHeight="false" outlineLevel="0" collapsed="false">
      <c r="A2042" s="2" t="s">
        <v>5258</v>
      </c>
      <c r="B2042" s="2" t="s">
        <v>165</v>
      </c>
      <c r="C2042" s="2" t="s">
        <v>5108</v>
      </c>
      <c r="D2042" s="2" t="s">
        <v>48</v>
      </c>
      <c r="E2042" s="2" t="s">
        <v>1185</v>
      </c>
      <c r="F2042" s="2" t="s">
        <v>1186</v>
      </c>
      <c r="G2042" s="2" t="s">
        <v>5259</v>
      </c>
    </row>
    <row r="2043" customFormat="false" ht="15" hidden="false" customHeight="false" outlineLevel="0" collapsed="false">
      <c r="A2043" s="2" t="s">
        <v>5260</v>
      </c>
      <c r="B2043" s="2" t="s">
        <v>165</v>
      </c>
      <c r="C2043" s="2" t="s">
        <v>5108</v>
      </c>
      <c r="D2043" s="2" t="s">
        <v>48</v>
      </c>
      <c r="E2043" s="2" t="s">
        <v>1185</v>
      </c>
      <c r="F2043" s="2" t="s">
        <v>1186</v>
      </c>
      <c r="G2043" s="2" t="s">
        <v>5261</v>
      </c>
    </row>
    <row r="2044" customFormat="false" ht="15" hidden="false" customHeight="false" outlineLevel="0" collapsed="false">
      <c r="A2044" s="2" t="s">
        <v>5262</v>
      </c>
      <c r="B2044" s="2" t="s">
        <v>165</v>
      </c>
      <c r="C2044" s="2" t="s">
        <v>5108</v>
      </c>
      <c r="D2044" s="2" t="s">
        <v>48</v>
      </c>
      <c r="E2044" s="2" t="s">
        <v>1185</v>
      </c>
      <c r="F2044" s="2" t="s">
        <v>1186</v>
      </c>
      <c r="G2044" s="2" t="s">
        <v>5263</v>
      </c>
    </row>
    <row r="2045" customFormat="false" ht="15" hidden="false" customHeight="false" outlineLevel="0" collapsed="false">
      <c r="A2045" s="2" t="s">
        <v>5264</v>
      </c>
      <c r="B2045" s="2" t="s">
        <v>165</v>
      </c>
      <c r="C2045" s="2" t="s">
        <v>5108</v>
      </c>
      <c r="D2045" s="2" t="s">
        <v>48</v>
      </c>
      <c r="E2045" s="2" t="s">
        <v>1185</v>
      </c>
      <c r="F2045" s="2" t="s">
        <v>1186</v>
      </c>
      <c r="G2045" s="2" t="s">
        <v>5265</v>
      </c>
    </row>
    <row r="2046" customFormat="false" ht="15" hidden="false" customHeight="false" outlineLevel="0" collapsed="false">
      <c r="A2046" s="2" t="s">
        <v>5266</v>
      </c>
      <c r="B2046" s="2" t="s">
        <v>165</v>
      </c>
      <c r="C2046" s="2" t="s">
        <v>5108</v>
      </c>
      <c r="D2046" s="2" t="s">
        <v>48</v>
      </c>
      <c r="E2046" s="2" t="s">
        <v>1185</v>
      </c>
      <c r="F2046" s="2" t="s">
        <v>1186</v>
      </c>
      <c r="G2046" s="2" t="s">
        <v>5267</v>
      </c>
    </row>
    <row r="2047" customFormat="false" ht="15" hidden="false" customHeight="false" outlineLevel="0" collapsed="false">
      <c r="A2047" s="2" t="s">
        <v>5268</v>
      </c>
      <c r="B2047" s="2" t="s">
        <v>165</v>
      </c>
      <c r="C2047" s="2" t="s">
        <v>5108</v>
      </c>
      <c r="D2047" s="2" t="s">
        <v>48</v>
      </c>
      <c r="E2047" s="2" t="s">
        <v>1185</v>
      </c>
      <c r="F2047" s="2" t="s">
        <v>1186</v>
      </c>
      <c r="G2047" s="2" t="s">
        <v>5269</v>
      </c>
    </row>
    <row r="2048" customFormat="false" ht="15" hidden="false" customHeight="false" outlineLevel="0" collapsed="false">
      <c r="A2048" s="2" t="s">
        <v>5270</v>
      </c>
      <c r="B2048" s="2" t="s">
        <v>165</v>
      </c>
      <c r="C2048" s="2" t="s">
        <v>5108</v>
      </c>
      <c r="D2048" s="2" t="s">
        <v>48</v>
      </c>
      <c r="E2048" s="2" t="s">
        <v>1185</v>
      </c>
      <c r="F2048" s="2" t="s">
        <v>1186</v>
      </c>
      <c r="G2048" s="2" t="s">
        <v>5271</v>
      </c>
    </row>
    <row r="2049" customFormat="false" ht="15" hidden="false" customHeight="false" outlineLevel="0" collapsed="false">
      <c r="A2049" s="2" t="s">
        <v>5272</v>
      </c>
      <c r="B2049" s="2" t="s">
        <v>165</v>
      </c>
      <c r="C2049" s="2" t="s">
        <v>5108</v>
      </c>
      <c r="D2049" s="2" t="s">
        <v>48</v>
      </c>
      <c r="E2049" s="2" t="s">
        <v>1185</v>
      </c>
      <c r="F2049" s="2" t="s">
        <v>1186</v>
      </c>
      <c r="G2049" s="2" t="s">
        <v>5273</v>
      </c>
    </row>
    <row r="2050" customFormat="false" ht="15" hidden="false" customHeight="false" outlineLevel="0" collapsed="false">
      <c r="A2050" s="2" t="s">
        <v>5274</v>
      </c>
      <c r="B2050" s="2" t="s">
        <v>165</v>
      </c>
      <c r="C2050" s="2" t="s">
        <v>5108</v>
      </c>
      <c r="D2050" s="2" t="s">
        <v>48</v>
      </c>
      <c r="E2050" s="2" t="s">
        <v>1185</v>
      </c>
      <c r="F2050" s="2" t="s">
        <v>1186</v>
      </c>
      <c r="G2050" s="2" t="s">
        <v>5275</v>
      </c>
    </row>
    <row r="2051" customFormat="false" ht="15" hidden="false" customHeight="false" outlineLevel="0" collapsed="false">
      <c r="A2051" s="2" t="s">
        <v>5276</v>
      </c>
      <c r="B2051" s="2" t="s">
        <v>165</v>
      </c>
      <c r="C2051" s="2" t="s">
        <v>5108</v>
      </c>
      <c r="D2051" s="2" t="s">
        <v>48</v>
      </c>
      <c r="E2051" s="2" t="s">
        <v>1185</v>
      </c>
      <c r="F2051" s="2" t="s">
        <v>1186</v>
      </c>
      <c r="G2051" s="2" t="s">
        <v>5277</v>
      </c>
    </row>
    <row r="2052" customFormat="false" ht="15" hidden="false" customHeight="false" outlineLevel="0" collapsed="false">
      <c r="A2052" s="2" t="s">
        <v>5278</v>
      </c>
      <c r="B2052" s="2" t="s">
        <v>165</v>
      </c>
      <c r="C2052" s="2" t="s">
        <v>5108</v>
      </c>
      <c r="D2052" s="2" t="s">
        <v>48</v>
      </c>
      <c r="E2052" s="2" t="s">
        <v>1185</v>
      </c>
      <c r="F2052" s="2" t="s">
        <v>1186</v>
      </c>
      <c r="G2052" s="2" t="s">
        <v>5279</v>
      </c>
    </row>
    <row r="2053" customFormat="false" ht="15" hidden="false" customHeight="false" outlineLevel="0" collapsed="false">
      <c r="A2053" s="2" t="s">
        <v>5280</v>
      </c>
      <c r="B2053" s="2" t="s">
        <v>165</v>
      </c>
      <c r="C2053" s="2" t="s">
        <v>5108</v>
      </c>
      <c r="D2053" s="2" t="s">
        <v>48</v>
      </c>
      <c r="E2053" s="2" t="s">
        <v>1185</v>
      </c>
      <c r="F2053" s="2" t="s">
        <v>1186</v>
      </c>
      <c r="G2053" s="2" t="s">
        <v>5281</v>
      </c>
    </row>
    <row r="2054" customFormat="false" ht="15" hidden="false" customHeight="false" outlineLevel="0" collapsed="false">
      <c r="A2054" s="2" t="s">
        <v>5282</v>
      </c>
      <c r="B2054" s="2" t="s">
        <v>165</v>
      </c>
      <c r="C2054" s="2" t="s">
        <v>5108</v>
      </c>
      <c r="D2054" s="2" t="s">
        <v>48</v>
      </c>
      <c r="E2054" s="2" t="s">
        <v>1185</v>
      </c>
      <c r="F2054" s="2" t="s">
        <v>1186</v>
      </c>
      <c r="G2054" s="2" t="s">
        <v>5283</v>
      </c>
    </row>
    <row r="2055" customFormat="false" ht="15" hidden="false" customHeight="false" outlineLevel="0" collapsed="false">
      <c r="A2055" s="2" t="s">
        <v>5284</v>
      </c>
      <c r="B2055" s="2" t="s">
        <v>165</v>
      </c>
      <c r="C2055" s="2" t="s">
        <v>5108</v>
      </c>
      <c r="D2055" s="2" t="s">
        <v>48</v>
      </c>
      <c r="E2055" s="2" t="s">
        <v>1185</v>
      </c>
      <c r="F2055" s="2" t="s">
        <v>1186</v>
      </c>
      <c r="G2055" s="2" t="s">
        <v>5285</v>
      </c>
    </row>
    <row r="2056" customFormat="false" ht="15" hidden="false" customHeight="false" outlineLevel="0" collapsed="false">
      <c r="A2056" s="2" t="s">
        <v>5286</v>
      </c>
      <c r="B2056" s="2" t="s">
        <v>165</v>
      </c>
      <c r="C2056" s="2" t="s">
        <v>5108</v>
      </c>
      <c r="D2056" s="2" t="s">
        <v>48</v>
      </c>
      <c r="E2056" s="2" t="s">
        <v>1185</v>
      </c>
      <c r="F2056" s="2" t="s">
        <v>1186</v>
      </c>
      <c r="G2056" s="2" t="s">
        <v>5287</v>
      </c>
    </row>
    <row r="2057" customFormat="false" ht="15" hidden="false" customHeight="false" outlineLevel="0" collapsed="false">
      <c r="A2057" s="2" t="s">
        <v>5288</v>
      </c>
      <c r="B2057" s="2" t="s">
        <v>165</v>
      </c>
      <c r="C2057" s="2" t="s">
        <v>5108</v>
      </c>
      <c r="D2057" s="2" t="s">
        <v>48</v>
      </c>
      <c r="E2057" s="2" t="s">
        <v>1185</v>
      </c>
      <c r="F2057" s="2" t="s">
        <v>1186</v>
      </c>
      <c r="G2057" s="2" t="s">
        <v>5289</v>
      </c>
    </row>
    <row r="2058" customFormat="false" ht="15" hidden="false" customHeight="false" outlineLevel="0" collapsed="false">
      <c r="A2058" s="2" t="s">
        <v>5290</v>
      </c>
      <c r="B2058" s="2" t="s">
        <v>165</v>
      </c>
      <c r="C2058" s="2" t="s">
        <v>5108</v>
      </c>
      <c r="D2058" s="2" t="s">
        <v>48</v>
      </c>
      <c r="E2058" s="2" t="s">
        <v>1185</v>
      </c>
      <c r="F2058" s="2" t="s">
        <v>1186</v>
      </c>
      <c r="G2058" s="2" t="s">
        <v>5291</v>
      </c>
    </row>
    <row r="2059" customFormat="false" ht="15" hidden="false" customHeight="false" outlineLevel="0" collapsed="false">
      <c r="A2059" s="2" t="s">
        <v>5292</v>
      </c>
      <c r="B2059" s="2" t="s">
        <v>165</v>
      </c>
      <c r="C2059" s="2" t="s">
        <v>5108</v>
      </c>
      <c r="D2059" s="2" t="s">
        <v>48</v>
      </c>
      <c r="E2059" s="2" t="s">
        <v>1185</v>
      </c>
      <c r="F2059" s="2" t="s">
        <v>1186</v>
      </c>
      <c r="G2059" s="2" t="s">
        <v>5293</v>
      </c>
    </row>
    <row r="2060" customFormat="false" ht="15" hidden="false" customHeight="false" outlineLevel="0" collapsed="false">
      <c r="A2060" s="2" t="s">
        <v>5294</v>
      </c>
      <c r="B2060" s="2" t="s">
        <v>165</v>
      </c>
      <c r="C2060" s="2" t="s">
        <v>5108</v>
      </c>
      <c r="D2060" s="2" t="s">
        <v>48</v>
      </c>
      <c r="E2060" s="2" t="s">
        <v>1185</v>
      </c>
      <c r="F2060" s="2" t="s">
        <v>1186</v>
      </c>
      <c r="G2060" s="2" t="s">
        <v>5295</v>
      </c>
    </row>
    <row r="2061" customFormat="false" ht="15" hidden="false" customHeight="false" outlineLevel="0" collapsed="false">
      <c r="A2061" s="2" t="s">
        <v>5296</v>
      </c>
      <c r="B2061" s="2" t="s">
        <v>165</v>
      </c>
      <c r="C2061" s="2" t="s">
        <v>5108</v>
      </c>
      <c r="D2061" s="2" t="s">
        <v>48</v>
      </c>
      <c r="E2061" s="2" t="s">
        <v>1185</v>
      </c>
      <c r="F2061" s="2" t="s">
        <v>1186</v>
      </c>
      <c r="G2061" s="2" t="s">
        <v>5297</v>
      </c>
    </row>
    <row r="2062" customFormat="false" ht="15" hidden="false" customHeight="false" outlineLevel="0" collapsed="false">
      <c r="A2062" s="2" t="s">
        <v>5298</v>
      </c>
      <c r="B2062" s="2" t="s">
        <v>165</v>
      </c>
      <c r="C2062" s="2" t="s">
        <v>5108</v>
      </c>
      <c r="D2062" s="2" t="s">
        <v>48</v>
      </c>
      <c r="E2062" s="2" t="s">
        <v>1185</v>
      </c>
      <c r="F2062" s="2" t="s">
        <v>1186</v>
      </c>
      <c r="G2062" s="2" t="s">
        <v>5299</v>
      </c>
    </row>
    <row r="2063" customFormat="false" ht="15" hidden="false" customHeight="false" outlineLevel="0" collapsed="false">
      <c r="A2063" s="2" t="s">
        <v>5300</v>
      </c>
      <c r="B2063" s="2" t="s">
        <v>165</v>
      </c>
      <c r="C2063" s="2" t="s">
        <v>5108</v>
      </c>
      <c r="D2063" s="2" t="s">
        <v>48</v>
      </c>
      <c r="E2063" s="2" t="s">
        <v>1185</v>
      </c>
      <c r="F2063" s="2" t="s">
        <v>1186</v>
      </c>
      <c r="G2063" s="2" t="s">
        <v>5301</v>
      </c>
    </row>
    <row r="2064" customFormat="false" ht="15" hidden="false" customHeight="false" outlineLevel="0" collapsed="false">
      <c r="A2064" s="2" t="s">
        <v>5302</v>
      </c>
      <c r="B2064" s="2" t="s">
        <v>165</v>
      </c>
      <c r="C2064" s="2" t="s">
        <v>5108</v>
      </c>
      <c r="D2064" s="2" t="s">
        <v>48</v>
      </c>
      <c r="E2064" s="2" t="s">
        <v>1185</v>
      </c>
      <c r="F2064" s="2" t="s">
        <v>1186</v>
      </c>
      <c r="G2064" s="2" t="s">
        <v>5303</v>
      </c>
    </row>
    <row r="2065" customFormat="false" ht="15" hidden="false" customHeight="false" outlineLevel="0" collapsed="false">
      <c r="A2065" s="2" t="s">
        <v>5304</v>
      </c>
      <c r="B2065" s="2" t="s">
        <v>165</v>
      </c>
      <c r="C2065" s="2" t="s">
        <v>5108</v>
      </c>
      <c r="D2065" s="2" t="s">
        <v>48</v>
      </c>
      <c r="E2065" s="2" t="s">
        <v>1185</v>
      </c>
      <c r="F2065" s="2" t="s">
        <v>1186</v>
      </c>
      <c r="G2065" s="2" t="s">
        <v>5305</v>
      </c>
    </row>
    <row r="2066" customFormat="false" ht="15" hidden="false" customHeight="false" outlineLevel="0" collapsed="false">
      <c r="A2066" s="2" t="s">
        <v>5306</v>
      </c>
      <c r="B2066" s="2" t="s">
        <v>165</v>
      </c>
      <c r="C2066" s="2" t="s">
        <v>5307</v>
      </c>
      <c r="D2066" s="2" t="s">
        <v>49</v>
      </c>
      <c r="E2066" s="2" t="s">
        <v>1563</v>
      </c>
      <c r="F2066" s="2" t="s">
        <v>1186</v>
      </c>
      <c r="G2066" s="2" t="s">
        <v>5308</v>
      </c>
    </row>
    <row r="2067" customFormat="false" ht="15" hidden="false" customHeight="false" outlineLevel="0" collapsed="false">
      <c r="A2067" s="2" t="s">
        <v>5309</v>
      </c>
      <c r="B2067" s="2" t="s">
        <v>165</v>
      </c>
      <c r="C2067" s="2" t="s">
        <v>5307</v>
      </c>
      <c r="D2067" s="2" t="s">
        <v>49</v>
      </c>
      <c r="E2067" s="2" t="s">
        <v>1563</v>
      </c>
      <c r="F2067" s="2" t="s">
        <v>1186</v>
      </c>
      <c r="G2067" s="2" t="s">
        <v>5310</v>
      </c>
    </row>
    <row r="2068" customFormat="false" ht="15" hidden="false" customHeight="false" outlineLevel="0" collapsed="false">
      <c r="A2068" s="2" t="s">
        <v>5311</v>
      </c>
      <c r="B2068" s="2" t="s">
        <v>165</v>
      </c>
      <c r="C2068" s="2" t="s">
        <v>5307</v>
      </c>
      <c r="D2068" s="2" t="s">
        <v>49</v>
      </c>
      <c r="E2068" s="2" t="s">
        <v>1563</v>
      </c>
      <c r="F2068" s="2" t="s">
        <v>1186</v>
      </c>
      <c r="G2068" s="2" t="s">
        <v>5312</v>
      </c>
    </row>
    <row r="2069" customFormat="false" ht="15" hidden="false" customHeight="false" outlineLevel="0" collapsed="false">
      <c r="A2069" s="2" t="s">
        <v>5313</v>
      </c>
      <c r="B2069" s="2" t="s">
        <v>165</v>
      </c>
      <c r="C2069" s="2" t="s">
        <v>5307</v>
      </c>
      <c r="D2069" s="2" t="s">
        <v>49</v>
      </c>
      <c r="E2069" s="2" t="s">
        <v>1563</v>
      </c>
      <c r="F2069" s="2" t="s">
        <v>1186</v>
      </c>
      <c r="G2069" s="2" t="s">
        <v>5314</v>
      </c>
    </row>
    <row r="2070" customFormat="false" ht="15" hidden="false" customHeight="false" outlineLevel="0" collapsed="false">
      <c r="A2070" s="2" t="s">
        <v>5315</v>
      </c>
      <c r="B2070" s="2" t="s">
        <v>165</v>
      </c>
      <c r="C2070" s="2" t="s">
        <v>5307</v>
      </c>
      <c r="D2070" s="2" t="s">
        <v>49</v>
      </c>
      <c r="E2070" s="2" t="s">
        <v>1563</v>
      </c>
      <c r="F2070" s="2" t="s">
        <v>1186</v>
      </c>
      <c r="G2070" s="2" t="s">
        <v>5316</v>
      </c>
    </row>
    <row r="2071" customFormat="false" ht="15" hidden="false" customHeight="false" outlineLevel="0" collapsed="false">
      <c r="A2071" s="2" t="s">
        <v>5317</v>
      </c>
      <c r="B2071" s="2" t="s">
        <v>165</v>
      </c>
      <c r="C2071" s="2" t="s">
        <v>5307</v>
      </c>
      <c r="D2071" s="2" t="s">
        <v>49</v>
      </c>
      <c r="E2071" s="2" t="s">
        <v>1563</v>
      </c>
      <c r="F2071" s="2" t="s">
        <v>1186</v>
      </c>
      <c r="G2071" s="2" t="s">
        <v>5318</v>
      </c>
    </row>
    <row r="2072" customFormat="false" ht="15" hidden="false" customHeight="false" outlineLevel="0" collapsed="false">
      <c r="A2072" s="2" t="s">
        <v>5319</v>
      </c>
      <c r="B2072" s="2" t="s">
        <v>165</v>
      </c>
      <c r="C2072" s="2" t="s">
        <v>5307</v>
      </c>
      <c r="D2072" s="2" t="s">
        <v>49</v>
      </c>
      <c r="E2072" s="2" t="s">
        <v>1563</v>
      </c>
      <c r="F2072" s="2" t="s">
        <v>1186</v>
      </c>
      <c r="G2072" s="2" t="s">
        <v>5320</v>
      </c>
    </row>
    <row r="2073" customFormat="false" ht="15" hidden="false" customHeight="false" outlineLevel="0" collapsed="false">
      <c r="A2073" s="2" t="s">
        <v>5321</v>
      </c>
      <c r="B2073" s="2" t="s">
        <v>165</v>
      </c>
      <c r="C2073" s="2" t="s">
        <v>5307</v>
      </c>
      <c r="D2073" s="2" t="s">
        <v>49</v>
      </c>
      <c r="E2073" s="2" t="s">
        <v>1563</v>
      </c>
      <c r="F2073" s="2" t="s">
        <v>1186</v>
      </c>
      <c r="G2073" s="2" t="s">
        <v>5322</v>
      </c>
    </row>
    <row r="2074" customFormat="false" ht="15" hidden="false" customHeight="false" outlineLevel="0" collapsed="false">
      <c r="A2074" s="2" t="s">
        <v>5323</v>
      </c>
      <c r="B2074" s="2" t="s">
        <v>165</v>
      </c>
      <c r="C2074" s="2" t="s">
        <v>5307</v>
      </c>
      <c r="D2074" s="2" t="s">
        <v>49</v>
      </c>
      <c r="E2074" s="2" t="s">
        <v>1563</v>
      </c>
      <c r="F2074" s="2" t="s">
        <v>1186</v>
      </c>
      <c r="G2074" s="2" t="s">
        <v>5324</v>
      </c>
    </row>
    <row r="2075" customFormat="false" ht="15" hidden="false" customHeight="false" outlineLevel="0" collapsed="false">
      <c r="A2075" s="2" t="s">
        <v>5325</v>
      </c>
      <c r="B2075" s="2" t="s">
        <v>165</v>
      </c>
      <c r="C2075" s="2" t="s">
        <v>5108</v>
      </c>
      <c r="D2075" s="2" t="s">
        <v>48</v>
      </c>
      <c r="E2075" s="2" t="s">
        <v>1185</v>
      </c>
      <c r="F2075" s="2" t="s">
        <v>1186</v>
      </c>
      <c r="G2075" s="2" t="s">
        <v>5326</v>
      </c>
    </row>
    <row r="2076" customFormat="false" ht="15" hidden="false" customHeight="false" outlineLevel="0" collapsed="false">
      <c r="A2076" s="2" t="s">
        <v>5327</v>
      </c>
      <c r="B2076" s="2" t="s">
        <v>165</v>
      </c>
      <c r="C2076" s="2" t="s">
        <v>5307</v>
      </c>
      <c r="D2076" s="2" t="s">
        <v>49</v>
      </c>
      <c r="E2076" s="2" t="s">
        <v>1563</v>
      </c>
      <c r="F2076" s="2" t="s">
        <v>1186</v>
      </c>
      <c r="G2076" s="2" t="s">
        <v>5328</v>
      </c>
    </row>
    <row r="2077" customFormat="false" ht="15" hidden="false" customHeight="false" outlineLevel="0" collapsed="false">
      <c r="A2077" s="2" t="s">
        <v>5329</v>
      </c>
      <c r="B2077" s="2" t="s">
        <v>165</v>
      </c>
      <c r="C2077" s="2" t="s">
        <v>5307</v>
      </c>
      <c r="D2077" s="2" t="s">
        <v>49</v>
      </c>
      <c r="E2077" s="2" t="s">
        <v>1563</v>
      </c>
      <c r="F2077" s="2" t="s">
        <v>1186</v>
      </c>
      <c r="G2077" s="2" t="s">
        <v>5330</v>
      </c>
    </row>
    <row r="2078" customFormat="false" ht="15" hidden="false" customHeight="false" outlineLevel="0" collapsed="false">
      <c r="A2078" s="2" t="s">
        <v>5331</v>
      </c>
      <c r="B2078" s="2" t="s">
        <v>165</v>
      </c>
      <c r="C2078" s="2" t="s">
        <v>5307</v>
      </c>
      <c r="D2078" s="2" t="s">
        <v>49</v>
      </c>
      <c r="E2078" s="2" t="s">
        <v>1563</v>
      </c>
      <c r="F2078" s="2" t="s">
        <v>1186</v>
      </c>
      <c r="G2078" s="2" t="s">
        <v>5332</v>
      </c>
    </row>
    <row r="2079" customFormat="false" ht="15" hidden="false" customHeight="false" outlineLevel="0" collapsed="false">
      <c r="A2079" s="2" t="s">
        <v>5333</v>
      </c>
      <c r="B2079" s="2" t="s">
        <v>165</v>
      </c>
      <c r="C2079" s="2" t="s">
        <v>5307</v>
      </c>
      <c r="D2079" s="2" t="s">
        <v>49</v>
      </c>
      <c r="E2079" s="2" t="s">
        <v>1563</v>
      </c>
      <c r="F2079" s="2" t="s">
        <v>1186</v>
      </c>
      <c r="G2079" s="2" t="s">
        <v>5334</v>
      </c>
    </row>
    <row r="2080" customFormat="false" ht="15" hidden="false" customHeight="false" outlineLevel="0" collapsed="false">
      <c r="A2080" s="2" t="s">
        <v>5335</v>
      </c>
      <c r="B2080" s="2" t="s">
        <v>165</v>
      </c>
      <c r="C2080" s="2" t="s">
        <v>5307</v>
      </c>
      <c r="D2080" s="2" t="s">
        <v>49</v>
      </c>
      <c r="E2080" s="2" t="s">
        <v>1563</v>
      </c>
      <c r="F2080" s="2" t="s">
        <v>1186</v>
      </c>
      <c r="G2080" s="2" t="s">
        <v>5336</v>
      </c>
    </row>
    <row r="2081" customFormat="false" ht="15" hidden="false" customHeight="false" outlineLevel="0" collapsed="false">
      <c r="A2081" s="2" t="s">
        <v>5337</v>
      </c>
      <c r="B2081" s="2" t="s">
        <v>165</v>
      </c>
      <c r="C2081" s="2" t="s">
        <v>5108</v>
      </c>
      <c r="D2081" s="2" t="s">
        <v>48</v>
      </c>
      <c r="E2081" s="2" t="s">
        <v>1185</v>
      </c>
      <c r="F2081" s="2" t="s">
        <v>1186</v>
      </c>
      <c r="G2081" s="2" t="s">
        <v>5338</v>
      </c>
    </row>
    <row r="2082" customFormat="false" ht="15" hidden="false" customHeight="false" outlineLevel="0" collapsed="false">
      <c r="A2082" s="2" t="s">
        <v>5339</v>
      </c>
      <c r="B2082" s="2" t="s">
        <v>165</v>
      </c>
      <c r="C2082" s="2" t="s">
        <v>5307</v>
      </c>
      <c r="D2082" s="2" t="s">
        <v>49</v>
      </c>
      <c r="E2082" s="2" t="s">
        <v>1563</v>
      </c>
      <c r="F2082" s="2" t="s">
        <v>1186</v>
      </c>
      <c r="G2082" s="2" t="s">
        <v>5340</v>
      </c>
    </row>
    <row r="2083" customFormat="false" ht="15" hidden="false" customHeight="false" outlineLevel="0" collapsed="false">
      <c r="A2083" s="2" t="s">
        <v>5341</v>
      </c>
      <c r="B2083" s="2" t="s">
        <v>165</v>
      </c>
      <c r="C2083" s="2" t="s">
        <v>5108</v>
      </c>
      <c r="D2083" s="2" t="s">
        <v>48</v>
      </c>
      <c r="E2083" s="2" t="s">
        <v>1185</v>
      </c>
      <c r="F2083" s="2" t="s">
        <v>1186</v>
      </c>
      <c r="G2083" s="2" t="s">
        <v>5342</v>
      </c>
    </row>
    <row r="2084" customFormat="false" ht="15" hidden="false" customHeight="false" outlineLevel="0" collapsed="false">
      <c r="A2084" s="2" t="s">
        <v>5343</v>
      </c>
      <c r="B2084" s="2" t="s">
        <v>165</v>
      </c>
      <c r="C2084" s="2" t="s">
        <v>5108</v>
      </c>
      <c r="D2084" s="2" t="s">
        <v>48</v>
      </c>
      <c r="E2084" s="2" t="s">
        <v>1185</v>
      </c>
      <c r="F2084" s="2" t="s">
        <v>1186</v>
      </c>
      <c r="G2084" s="2" t="s">
        <v>5344</v>
      </c>
    </row>
    <row r="2085" customFormat="false" ht="15" hidden="false" customHeight="false" outlineLevel="0" collapsed="false">
      <c r="A2085" s="2" t="s">
        <v>5345</v>
      </c>
      <c r="B2085" s="2" t="s">
        <v>165</v>
      </c>
      <c r="C2085" s="2" t="s">
        <v>5108</v>
      </c>
      <c r="D2085" s="2" t="s">
        <v>48</v>
      </c>
      <c r="E2085" s="2" t="s">
        <v>1185</v>
      </c>
      <c r="F2085" s="2" t="s">
        <v>1186</v>
      </c>
      <c r="G2085" s="2" t="s">
        <v>5346</v>
      </c>
    </row>
    <row r="2086" customFormat="false" ht="15" hidden="false" customHeight="false" outlineLevel="0" collapsed="false">
      <c r="A2086" s="2" t="s">
        <v>5347</v>
      </c>
      <c r="B2086" s="2" t="s">
        <v>165</v>
      </c>
      <c r="C2086" s="2" t="s">
        <v>5108</v>
      </c>
      <c r="D2086" s="2" t="s">
        <v>48</v>
      </c>
      <c r="E2086" s="2" t="s">
        <v>1185</v>
      </c>
      <c r="F2086" s="2" t="s">
        <v>1186</v>
      </c>
      <c r="G2086" s="2" t="s">
        <v>5348</v>
      </c>
    </row>
    <row r="2087" customFormat="false" ht="15" hidden="false" customHeight="false" outlineLevel="0" collapsed="false">
      <c r="A2087" s="2" t="s">
        <v>5349</v>
      </c>
      <c r="B2087" s="2" t="s">
        <v>165</v>
      </c>
      <c r="C2087" s="2" t="s">
        <v>5108</v>
      </c>
      <c r="D2087" s="2" t="s">
        <v>48</v>
      </c>
      <c r="E2087" s="2" t="s">
        <v>1185</v>
      </c>
      <c r="F2087" s="2" t="s">
        <v>1186</v>
      </c>
      <c r="G2087" s="2" t="s">
        <v>5350</v>
      </c>
    </row>
    <row r="2088" customFormat="false" ht="15" hidden="false" customHeight="false" outlineLevel="0" collapsed="false">
      <c r="A2088" s="2" t="s">
        <v>5351</v>
      </c>
      <c r="B2088" s="2" t="s">
        <v>165</v>
      </c>
      <c r="C2088" s="2" t="s">
        <v>5108</v>
      </c>
      <c r="D2088" s="2" t="s">
        <v>48</v>
      </c>
      <c r="E2088" s="2" t="s">
        <v>1185</v>
      </c>
      <c r="F2088" s="2" t="s">
        <v>1186</v>
      </c>
      <c r="G2088" s="2" t="s">
        <v>5352</v>
      </c>
    </row>
    <row r="2089" customFormat="false" ht="15" hidden="false" customHeight="false" outlineLevel="0" collapsed="false">
      <c r="A2089" s="2" t="s">
        <v>5353</v>
      </c>
      <c r="B2089" s="2" t="s">
        <v>165</v>
      </c>
      <c r="C2089" s="2" t="s">
        <v>5108</v>
      </c>
      <c r="D2089" s="2" t="s">
        <v>48</v>
      </c>
      <c r="E2089" s="2" t="s">
        <v>1185</v>
      </c>
      <c r="F2089" s="2" t="s">
        <v>1186</v>
      </c>
      <c r="G2089" s="2" t="s">
        <v>5354</v>
      </c>
    </row>
    <row r="2090" customFormat="false" ht="15" hidden="false" customHeight="false" outlineLevel="0" collapsed="false">
      <c r="A2090" s="2" t="s">
        <v>5355</v>
      </c>
      <c r="B2090" s="2" t="s">
        <v>165</v>
      </c>
      <c r="C2090" s="2" t="s">
        <v>5108</v>
      </c>
      <c r="D2090" s="2" t="s">
        <v>48</v>
      </c>
      <c r="E2090" s="2" t="s">
        <v>1185</v>
      </c>
      <c r="F2090" s="2" t="s">
        <v>1186</v>
      </c>
      <c r="G2090" s="2" t="s">
        <v>5356</v>
      </c>
    </row>
    <row r="2091" customFormat="false" ht="15" hidden="false" customHeight="false" outlineLevel="0" collapsed="false">
      <c r="A2091" s="2" t="s">
        <v>5357</v>
      </c>
      <c r="B2091" s="2" t="s">
        <v>165</v>
      </c>
      <c r="C2091" s="2" t="s">
        <v>5108</v>
      </c>
      <c r="D2091" s="2" t="s">
        <v>48</v>
      </c>
      <c r="E2091" s="2" t="s">
        <v>1185</v>
      </c>
      <c r="F2091" s="2" t="s">
        <v>1186</v>
      </c>
      <c r="G2091" s="2" t="s">
        <v>5358</v>
      </c>
    </row>
    <row r="2092" customFormat="false" ht="15" hidden="false" customHeight="false" outlineLevel="0" collapsed="false">
      <c r="A2092" s="2" t="s">
        <v>5359</v>
      </c>
      <c r="B2092" s="2" t="s">
        <v>165</v>
      </c>
      <c r="C2092" s="2" t="s">
        <v>5108</v>
      </c>
      <c r="D2092" s="2" t="s">
        <v>48</v>
      </c>
      <c r="E2092" s="2" t="s">
        <v>1185</v>
      </c>
      <c r="F2092" s="2" t="s">
        <v>1186</v>
      </c>
      <c r="G2092" s="2" t="s">
        <v>5360</v>
      </c>
    </row>
    <row r="2093" customFormat="false" ht="15" hidden="false" customHeight="false" outlineLevel="0" collapsed="false">
      <c r="A2093" s="2" t="s">
        <v>5361</v>
      </c>
      <c r="B2093" s="2" t="s">
        <v>165</v>
      </c>
      <c r="C2093" s="2" t="s">
        <v>5108</v>
      </c>
      <c r="D2093" s="2" t="s">
        <v>48</v>
      </c>
      <c r="E2093" s="2" t="s">
        <v>1185</v>
      </c>
      <c r="F2093" s="2" t="s">
        <v>1186</v>
      </c>
      <c r="G2093" s="2" t="s">
        <v>5362</v>
      </c>
    </row>
    <row r="2094" customFormat="false" ht="15" hidden="false" customHeight="false" outlineLevel="0" collapsed="false">
      <c r="A2094" s="2" t="s">
        <v>5363</v>
      </c>
      <c r="B2094" s="2" t="s">
        <v>165</v>
      </c>
      <c r="C2094" s="2" t="s">
        <v>5108</v>
      </c>
      <c r="D2094" s="2" t="s">
        <v>48</v>
      </c>
      <c r="E2094" s="2" t="s">
        <v>1185</v>
      </c>
      <c r="F2094" s="2" t="s">
        <v>1186</v>
      </c>
      <c r="G2094" s="2" t="s">
        <v>5364</v>
      </c>
    </row>
    <row r="2095" customFormat="false" ht="15" hidden="false" customHeight="false" outlineLevel="0" collapsed="false">
      <c r="A2095" s="2" t="s">
        <v>5365</v>
      </c>
      <c r="B2095" s="2" t="s">
        <v>165</v>
      </c>
      <c r="C2095" s="2" t="s">
        <v>5108</v>
      </c>
      <c r="D2095" s="2" t="s">
        <v>48</v>
      </c>
      <c r="E2095" s="2" t="s">
        <v>1185</v>
      </c>
      <c r="F2095" s="2" t="s">
        <v>1186</v>
      </c>
      <c r="G2095" s="2" t="s">
        <v>5366</v>
      </c>
    </row>
    <row r="2096" customFormat="false" ht="15" hidden="false" customHeight="false" outlineLevel="0" collapsed="false">
      <c r="A2096" s="2" t="s">
        <v>5367</v>
      </c>
      <c r="B2096" s="2" t="s">
        <v>165</v>
      </c>
      <c r="C2096" s="2" t="s">
        <v>5307</v>
      </c>
      <c r="D2096" s="2" t="s">
        <v>49</v>
      </c>
      <c r="E2096" s="2" t="s">
        <v>1563</v>
      </c>
      <c r="F2096" s="2" t="s">
        <v>1186</v>
      </c>
      <c r="G2096" s="2" t="s">
        <v>5368</v>
      </c>
    </row>
    <row r="2097" customFormat="false" ht="15" hidden="false" customHeight="false" outlineLevel="0" collapsed="false">
      <c r="A2097" s="2" t="s">
        <v>5369</v>
      </c>
      <c r="B2097" s="2" t="s">
        <v>165</v>
      </c>
      <c r="C2097" s="2" t="s">
        <v>5307</v>
      </c>
      <c r="D2097" s="2" t="s">
        <v>49</v>
      </c>
      <c r="E2097" s="2" t="s">
        <v>1563</v>
      </c>
      <c r="F2097" s="2" t="s">
        <v>1186</v>
      </c>
      <c r="G2097" s="2" t="s">
        <v>5370</v>
      </c>
    </row>
    <row r="2098" customFormat="false" ht="15" hidden="false" customHeight="false" outlineLevel="0" collapsed="false">
      <c r="A2098" s="2" t="s">
        <v>5371</v>
      </c>
      <c r="B2098" s="2" t="s">
        <v>165</v>
      </c>
      <c r="C2098" s="2" t="s">
        <v>5108</v>
      </c>
      <c r="D2098" s="2" t="s">
        <v>48</v>
      </c>
      <c r="E2098" s="2" t="s">
        <v>1185</v>
      </c>
      <c r="F2098" s="2" t="s">
        <v>1186</v>
      </c>
      <c r="G2098" s="2" t="s">
        <v>5372</v>
      </c>
    </row>
    <row r="2099" customFormat="false" ht="15" hidden="false" customHeight="false" outlineLevel="0" collapsed="false">
      <c r="A2099" s="2" t="s">
        <v>5373</v>
      </c>
      <c r="B2099" s="2" t="s">
        <v>165</v>
      </c>
      <c r="C2099" s="2" t="s">
        <v>5108</v>
      </c>
      <c r="D2099" s="2" t="s">
        <v>48</v>
      </c>
      <c r="E2099" s="2" t="s">
        <v>1185</v>
      </c>
      <c r="F2099" s="2" t="s">
        <v>1186</v>
      </c>
      <c r="G2099" s="2" t="s">
        <v>5374</v>
      </c>
    </row>
    <row r="2100" customFormat="false" ht="15" hidden="false" customHeight="false" outlineLevel="0" collapsed="false">
      <c r="A2100" s="2" t="s">
        <v>5375</v>
      </c>
      <c r="B2100" s="2" t="s">
        <v>165</v>
      </c>
      <c r="C2100" s="2" t="s">
        <v>5307</v>
      </c>
      <c r="D2100" s="2" t="s">
        <v>49</v>
      </c>
      <c r="E2100" s="2" t="s">
        <v>1563</v>
      </c>
      <c r="F2100" s="2" t="s">
        <v>1186</v>
      </c>
      <c r="G2100" s="2" t="s">
        <v>5376</v>
      </c>
    </row>
    <row r="2101" customFormat="false" ht="15" hidden="false" customHeight="false" outlineLevel="0" collapsed="false">
      <c r="A2101" s="2" t="s">
        <v>5377</v>
      </c>
      <c r="B2101" s="2" t="s">
        <v>165</v>
      </c>
      <c r="C2101" s="2" t="s">
        <v>2725</v>
      </c>
      <c r="D2101" s="2" t="s">
        <v>50</v>
      </c>
      <c r="E2101" s="2" t="s">
        <v>1194</v>
      </c>
      <c r="F2101" s="2" t="s">
        <v>1186</v>
      </c>
      <c r="G2101" s="2" t="s">
        <v>5378</v>
      </c>
    </row>
    <row r="2102" customFormat="false" ht="15" hidden="false" customHeight="false" outlineLevel="0" collapsed="false">
      <c r="A2102" s="2" t="s">
        <v>5379</v>
      </c>
      <c r="B2102" s="2" t="s">
        <v>165</v>
      </c>
      <c r="C2102" s="2" t="s">
        <v>2725</v>
      </c>
      <c r="D2102" s="2" t="s">
        <v>50</v>
      </c>
      <c r="E2102" s="2" t="s">
        <v>1194</v>
      </c>
      <c r="F2102" s="2" t="s">
        <v>1186</v>
      </c>
      <c r="G2102" s="2" t="s">
        <v>5380</v>
      </c>
    </row>
    <row r="2103" customFormat="false" ht="15" hidden="false" customHeight="false" outlineLevel="0" collapsed="false">
      <c r="A2103" s="2" t="s">
        <v>5381</v>
      </c>
      <c r="B2103" s="2" t="s">
        <v>165</v>
      </c>
      <c r="C2103" s="2" t="s">
        <v>2725</v>
      </c>
      <c r="D2103" s="2" t="s">
        <v>50</v>
      </c>
      <c r="E2103" s="2" t="s">
        <v>1194</v>
      </c>
      <c r="F2103" s="2" t="s">
        <v>1186</v>
      </c>
      <c r="G2103" s="2" t="s">
        <v>5382</v>
      </c>
    </row>
    <row r="2104" customFormat="false" ht="15" hidden="false" customHeight="false" outlineLevel="0" collapsed="false">
      <c r="A2104" s="2" t="s">
        <v>5383</v>
      </c>
      <c r="B2104" s="2" t="s">
        <v>165</v>
      </c>
      <c r="C2104" s="2" t="s">
        <v>2725</v>
      </c>
      <c r="D2104" s="2" t="s">
        <v>50</v>
      </c>
      <c r="E2104" s="2" t="s">
        <v>1194</v>
      </c>
      <c r="F2104" s="2" t="s">
        <v>1186</v>
      </c>
      <c r="G2104" s="2" t="s">
        <v>5384</v>
      </c>
    </row>
    <row r="2105" customFormat="false" ht="15" hidden="false" customHeight="false" outlineLevel="0" collapsed="false">
      <c r="A2105" s="2" t="s">
        <v>5385</v>
      </c>
      <c r="B2105" s="2" t="s">
        <v>165</v>
      </c>
      <c r="C2105" s="2" t="s">
        <v>2725</v>
      </c>
      <c r="D2105" s="2" t="s">
        <v>50</v>
      </c>
      <c r="E2105" s="2" t="s">
        <v>1194</v>
      </c>
      <c r="F2105" s="2" t="s">
        <v>1186</v>
      </c>
      <c r="G2105" s="2" t="s">
        <v>5386</v>
      </c>
    </row>
    <row r="2106" customFormat="false" ht="15" hidden="false" customHeight="false" outlineLevel="0" collapsed="false">
      <c r="A2106" s="2" t="s">
        <v>5387</v>
      </c>
      <c r="B2106" s="2" t="s">
        <v>165</v>
      </c>
      <c r="C2106" s="2" t="s">
        <v>2725</v>
      </c>
      <c r="D2106" s="2" t="s">
        <v>50</v>
      </c>
      <c r="E2106" s="2" t="s">
        <v>1194</v>
      </c>
      <c r="F2106" s="2" t="s">
        <v>1186</v>
      </c>
      <c r="G2106" s="2" t="s">
        <v>5388</v>
      </c>
    </row>
    <row r="2107" customFormat="false" ht="15" hidden="false" customHeight="false" outlineLevel="0" collapsed="false">
      <c r="A2107" s="2" t="s">
        <v>5389</v>
      </c>
      <c r="B2107" s="2" t="s">
        <v>165</v>
      </c>
      <c r="C2107" s="2" t="s">
        <v>2725</v>
      </c>
      <c r="D2107" s="2" t="s">
        <v>50</v>
      </c>
      <c r="E2107" s="2" t="s">
        <v>1194</v>
      </c>
      <c r="F2107" s="2" t="s">
        <v>1186</v>
      </c>
      <c r="G2107" s="2" t="s">
        <v>5390</v>
      </c>
    </row>
    <row r="2108" customFormat="false" ht="15" hidden="false" customHeight="false" outlineLevel="0" collapsed="false">
      <c r="A2108" s="2" t="s">
        <v>5391</v>
      </c>
      <c r="B2108" s="2" t="s">
        <v>165</v>
      </c>
      <c r="C2108" s="2" t="s">
        <v>2725</v>
      </c>
      <c r="D2108" s="2" t="s">
        <v>50</v>
      </c>
      <c r="E2108" s="2" t="s">
        <v>1194</v>
      </c>
      <c r="F2108" s="2" t="s">
        <v>1186</v>
      </c>
      <c r="G2108" s="2" t="s">
        <v>5392</v>
      </c>
    </row>
    <row r="2109" customFormat="false" ht="15" hidden="false" customHeight="false" outlineLevel="0" collapsed="false">
      <c r="A2109" s="2" t="s">
        <v>5393</v>
      </c>
      <c r="B2109" s="2" t="s">
        <v>165</v>
      </c>
      <c r="C2109" s="2" t="s">
        <v>2725</v>
      </c>
      <c r="D2109" s="2" t="s">
        <v>50</v>
      </c>
      <c r="E2109" s="2" t="s">
        <v>1194</v>
      </c>
      <c r="F2109" s="2" t="s">
        <v>1186</v>
      </c>
      <c r="G2109" s="2" t="s">
        <v>5394</v>
      </c>
    </row>
    <row r="2110" customFormat="false" ht="15" hidden="false" customHeight="false" outlineLevel="0" collapsed="false">
      <c r="A2110" s="2" t="s">
        <v>5395</v>
      </c>
      <c r="B2110" s="2" t="s">
        <v>165</v>
      </c>
      <c r="C2110" s="2" t="s">
        <v>2725</v>
      </c>
      <c r="D2110" s="2" t="s">
        <v>50</v>
      </c>
      <c r="E2110" s="2" t="s">
        <v>1194</v>
      </c>
      <c r="F2110" s="2" t="s">
        <v>1186</v>
      </c>
      <c r="G2110" s="2" t="s">
        <v>5396</v>
      </c>
    </row>
    <row r="2111" customFormat="false" ht="15" hidden="false" customHeight="false" outlineLevel="0" collapsed="false">
      <c r="A2111" s="2" t="s">
        <v>5397</v>
      </c>
      <c r="B2111" s="2" t="s">
        <v>165</v>
      </c>
      <c r="C2111" s="2" t="s">
        <v>2725</v>
      </c>
      <c r="D2111" s="2" t="s">
        <v>50</v>
      </c>
      <c r="E2111" s="2" t="s">
        <v>1194</v>
      </c>
      <c r="F2111" s="2" t="s">
        <v>1186</v>
      </c>
      <c r="G2111" s="2" t="s">
        <v>5398</v>
      </c>
    </row>
    <row r="2112" customFormat="false" ht="15" hidden="false" customHeight="false" outlineLevel="0" collapsed="false">
      <c r="A2112" s="2" t="s">
        <v>5399</v>
      </c>
      <c r="B2112" s="2" t="s">
        <v>165</v>
      </c>
      <c r="C2112" s="2" t="s">
        <v>2725</v>
      </c>
      <c r="D2112" s="2" t="s">
        <v>50</v>
      </c>
      <c r="E2112" s="2" t="s">
        <v>1194</v>
      </c>
      <c r="F2112" s="2" t="s">
        <v>1186</v>
      </c>
      <c r="G2112" s="2" t="s">
        <v>5400</v>
      </c>
    </row>
    <row r="2113" customFormat="false" ht="15" hidden="false" customHeight="false" outlineLevel="0" collapsed="false">
      <c r="A2113" s="2" t="s">
        <v>5401</v>
      </c>
      <c r="B2113" s="2" t="s">
        <v>165</v>
      </c>
      <c r="C2113" s="2" t="s">
        <v>2725</v>
      </c>
      <c r="D2113" s="2" t="s">
        <v>50</v>
      </c>
      <c r="E2113" s="2" t="s">
        <v>1194</v>
      </c>
      <c r="F2113" s="2" t="s">
        <v>1186</v>
      </c>
      <c r="G2113" s="2" t="s">
        <v>5402</v>
      </c>
    </row>
    <row r="2114" customFormat="false" ht="15" hidden="false" customHeight="false" outlineLevel="0" collapsed="false">
      <c r="A2114" s="2" t="s">
        <v>5403</v>
      </c>
      <c r="B2114" s="2" t="s">
        <v>165</v>
      </c>
      <c r="C2114" s="2" t="s">
        <v>2725</v>
      </c>
      <c r="D2114" s="2" t="s">
        <v>50</v>
      </c>
      <c r="E2114" s="2" t="s">
        <v>1194</v>
      </c>
      <c r="F2114" s="2" t="s">
        <v>1186</v>
      </c>
      <c r="G2114" s="2" t="s">
        <v>5404</v>
      </c>
    </row>
    <row r="2115" customFormat="false" ht="15" hidden="false" customHeight="false" outlineLevel="0" collapsed="false">
      <c r="A2115" s="2" t="s">
        <v>5405</v>
      </c>
      <c r="B2115" s="2" t="s">
        <v>165</v>
      </c>
      <c r="C2115" s="2" t="s">
        <v>2725</v>
      </c>
      <c r="D2115" s="2" t="s">
        <v>50</v>
      </c>
      <c r="E2115" s="2" t="s">
        <v>1194</v>
      </c>
      <c r="F2115" s="2" t="s">
        <v>1186</v>
      </c>
      <c r="G2115" s="2" t="s">
        <v>5406</v>
      </c>
    </row>
    <row r="2116" customFormat="false" ht="15" hidden="false" customHeight="false" outlineLevel="0" collapsed="false">
      <c r="A2116" s="2" t="s">
        <v>5407</v>
      </c>
      <c r="B2116" s="2" t="s">
        <v>165</v>
      </c>
      <c r="C2116" s="2" t="s">
        <v>2725</v>
      </c>
      <c r="D2116" s="2" t="s">
        <v>50</v>
      </c>
      <c r="E2116" s="2" t="s">
        <v>1194</v>
      </c>
      <c r="F2116" s="2" t="s">
        <v>1186</v>
      </c>
      <c r="G2116" s="2" t="s">
        <v>5408</v>
      </c>
    </row>
    <row r="2117" customFormat="false" ht="15" hidden="false" customHeight="false" outlineLevel="0" collapsed="false">
      <c r="A2117" s="2" t="s">
        <v>5409</v>
      </c>
      <c r="B2117" s="2" t="s">
        <v>165</v>
      </c>
      <c r="C2117" s="2" t="s">
        <v>2725</v>
      </c>
      <c r="D2117" s="2" t="s">
        <v>50</v>
      </c>
      <c r="E2117" s="2" t="s">
        <v>1194</v>
      </c>
      <c r="F2117" s="2" t="s">
        <v>1186</v>
      </c>
      <c r="G2117" s="2" t="s">
        <v>5410</v>
      </c>
    </row>
    <row r="2118" customFormat="false" ht="15" hidden="false" customHeight="false" outlineLevel="0" collapsed="false">
      <c r="A2118" s="2" t="s">
        <v>5411</v>
      </c>
      <c r="B2118" s="2" t="s">
        <v>165</v>
      </c>
      <c r="C2118" s="2" t="s">
        <v>2725</v>
      </c>
      <c r="D2118" s="2" t="s">
        <v>50</v>
      </c>
      <c r="E2118" s="2" t="s">
        <v>1194</v>
      </c>
      <c r="F2118" s="2" t="s">
        <v>1186</v>
      </c>
      <c r="G2118" s="2" t="s">
        <v>5412</v>
      </c>
    </row>
    <row r="2119" customFormat="false" ht="15" hidden="false" customHeight="false" outlineLevel="0" collapsed="false">
      <c r="A2119" s="2" t="s">
        <v>5413</v>
      </c>
      <c r="B2119" s="2" t="s">
        <v>165</v>
      </c>
      <c r="C2119" s="2" t="s">
        <v>2725</v>
      </c>
      <c r="D2119" s="2" t="s">
        <v>50</v>
      </c>
      <c r="E2119" s="2" t="s">
        <v>1194</v>
      </c>
      <c r="F2119" s="2" t="s">
        <v>1186</v>
      </c>
      <c r="G2119" s="2" t="s">
        <v>5414</v>
      </c>
    </row>
    <row r="2120" customFormat="false" ht="15" hidden="false" customHeight="false" outlineLevel="0" collapsed="false">
      <c r="A2120" s="2" t="s">
        <v>5415</v>
      </c>
      <c r="B2120" s="2" t="s">
        <v>165</v>
      </c>
      <c r="C2120" s="2" t="s">
        <v>2725</v>
      </c>
      <c r="D2120" s="2" t="s">
        <v>50</v>
      </c>
      <c r="E2120" s="2" t="s">
        <v>1194</v>
      </c>
      <c r="F2120" s="2" t="s">
        <v>1186</v>
      </c>
      <c r="G2120" s="2" t="s">
        <v>5416</v>
      </c>
    </row>
    <row r="2121" customFormat="false" ht="15" hidden="false" customHeight="false" outlineLevel="0" collapsed="false">
      <c r="A2121" s="2" t="s">
        <v>5417</v>
      </c>
      <c r="B2121" s="2" t="s">
        <v>165</v>
      </c>
      <c r="C2121" s="2" t="s">
        <v>2725</v>
      </c>
      <c r="D2121" s="2" t="s">
        <v>50</v>
      </c>
      <c r="E2121" s="2" t="s">
        <v>1194</v>
      </c>
      <c r="F2121" s="2" t="s">
        <v>1186</v>
      </c>
      <c r="G2121" s="2" t="s">
        <v>5418</v>
      </c>
    </row>
    <row r="2122" customFormat="false" ht="15" hidden="false" customHeight="false" outlineLevel="0" collapsed="false">
      <c r="A2122" s="2" t="s">
        <v>5419</v>
      </c>
      <c r="B2122" s="2" t="s">
        <v>165</v>
      </c>
      <c r="C2122" s="2" t="s">
        <v>2725</v>
      </c>
      <c r="D2122" s="2" t="s">
        <v>50</v>
      </c>
      <c r="E2122" s="2" t="s">
        <v>1194</v>
      </c>
      <c r="F2122" s="2" t="s">
        <v>1186</v>
      </c>
      <c r="G2122" s="2" t="s">
        <v>5420</v>
      </c>
    </row>
    <row r="2123" customFormat="false" ht="15" hidden="false" customHeight="false" outlineLevel="0" collapsed="false">
      <c r="A2123" s="2" t="s">
        <v>5421</v>
      </c>
      <c r="B2123" s="2" t="s">
        <v>165</v>
      </c>
      <c r="C2123" s="2" t="s">
        <v>2725</v>
      </c>
      <c r="D2123" s="2" t="s">
        <v>50</v>
      </c>
      <c r="E2123" s="2" t="s">
        <v>1194</v>
      </c>
      <c r="F2123" s="2" t="s">
        <v>1186</v>
      </c>
      <c r="G2123" s="2" t="s">
        <v>5422</v>
      </c>
    </row>
    <row r="2124" customFormat="false" ht="15" hidden="false" customHeight="false" outlineLevel="0" collapsed="false">
      <c r="A2124" s="2" t="s">
        <v>5423</v>
      </c>
      <c r="B2124" s="2" t="s">
        <v>165</v>
      </c>
      <c r="C2124" s="2" t="s">
        <v>2725</v>
      </c>
      <c r="D2124" s="2" t="s">
        <v>50</v>
      </c>
      <c r="E2124" s="2" t="s">
        <v>1194</v>
      </c>
      <c r="F2124" s="2" t="s">
        <v>1186</v>
      </c>
      <c r="G2124" s="2" t="s">
        <v>5424</v>
      </c>
    </row>
    <row r="2125" customFormat="false" ht="15" hidden="false" customHeight="false" outlineLevel="0" collapsed="false">
      <c r="A2125" s="2" t="s">
        <v>5425</v>
      </c>
      <c r="B2125" s="2" t="s">
        <v>165</v>
      </c>
      <c r="C2125" s="2" t="s">
        <v>2725</v>
      </c>
      <c r="D2125" s="2" t="s">
        <v>50</v>
      </c>
      <c r="E2125" s="2" t="s">
        <v>1194</v>
      </c>
      <c r="F2125" s="2" t="s">
        <v>1186</v>
      </c>
      <c r="G2125" s="2" t="s">
        <v>5426</v>
      </c>
    </row>
    <row r="2126" customFormat="false" ht="15" hidden="false" customHeight="false" outlineLevel="0" collapsed="false">
      <c r="A2126" s="2" t="s">
        <v>5427</v>
      </c>
      <c r="B2126" s="2" t="s">
        <v>165</v>
      </c>
      <c r="C2126" s="2" t="s">
        <v>5307</v>
      </c>
      <c r="D2126" s="2" t="s">
        <v>49</v>
      </c>
      <c r="E2126" s="2" t="s">
        <v>1563</v>
      </c>
      <c r="F2126" s="2" t="s">
        <v>1186</v>
      </c>
      <c r="G2126" s="2" t="s">
        <v>5428</v>
      </c>
    </row>
    <row r="2127" customFormat="false" ht="15" hidden="false" customHeight="false" outlineLevel="0" collapsed="false">
      <c r="A2127" s="2" t="s">
        <v>5429</v>
      </c>
      <c r="B2127" s="2" t="s">
        <v>165</v>
      </c>
      <c r="C2127" s="2" t="s">
        <v>2725</v>
      </c>
      <c r="D2127" s="2" t="s">
        <v>50</v>
      </c>
      <c r="E2127" s="2" t="s">
        <v>1194</v>
      </c>
      <c r="F2127" s="2" t="s">
        <v>1186</v>
      </c>
      <c r="G2127" s="2" t="s">
        <v>5430</v>
      </c>
    </row>
    <row r="2128" customFormat="false" ht="15" hidden="false" customHeight="false" outlineLevel="0" collapsed="false">
      <c r="A2128" s="2" t="s">
        <v>5431</v>
      </c>
      <c r="B2128" s="2" t="s">
        <v>165</v>
      </c>
      <c r="C2128" s="2" t="s">
        <v>2725</v>
      </c>
      <c r="D2128" s="2" t="s">
        <v>50</v>
      </c>
      <c r="E2128" s="2" t="s">
        <v>1194</v>
      </c>
      <c r="F2128" s="2" t="s">
        <v>1186</v>
      </c>
      <c r="G2128" s="2" t="s">
        <v>5432</v>
      </c>
    </row>
    <row r="2129" customFormat="false" ht="15" hidden="false" customHeight="false" outlineLevel="0" collapsed="false">
      <c r="A2129" s="2" t="s">
        <v>5433</v>
      </c>
      <c r="B2129" s="2" t="s">
        <v>165</v>
      </c>
      <c r="C2129" s="2" t="s">
        <v>2725</v>
      </c>
      <c r="D2129" s="2" t="s">
        <v>50</v>
      </c>
      <c r="E2129" s="2" t="s">
        <v>1194</v>
      </c>
      <c r="F2129" s="2" t="s">
        <v>1186</v>
      </c>
      <c r="G2129" s="2" t="s">
        <v>5434</v>
      </c>
    </row>
    <row r="2130" customFormat="false" ht="15" hidden="false" customHeight="false" outlineLevel="0" collapsed="false">
      <c r="A2130" s="2" t="s">
        <v>5435</v>
      </c>
      <c r="B2130" s="2" t="s">
        <v>165</v>
      </c>
      <c r="C2130" s="2" t="s">
        <v>2725</v>
      </c>
      <c r="D2130" s="2" t="s">
        <v>50</v>
      </c>
      <c r="E2130" s="2" t="s">
        <v>1194</v>
      </c>
      <c r="F2130" s="2" t="s">
        <v>1186</v>
      </c>
      <c r="G2130" s="2" t="s">
        <v>5436</v>
      </c>
    </row>
    <row r="2131" customFormat="false" ht="15" hidden="false" customHeight="false" outlineLevel="0" collapsed="false">
      <c r="A2131" s="2" t="s">
        <v>5437</v>
      </c>
      <c r="B2131" s="2" t="s">
        <v>165</v>
      </c>
      <c r="C2131" s="2" t="s">
        <v>2725</v>
      </c>
      <c r="D2131" s="2" t="s">
        <v>50</v>
      </c>
      <c r="E2131" s="2" t="s">
        <v>1194</v>
      </c>
      <c r="F2131" s="2" t="s">
        <v>1186</v>
      </c>
      <c r="G2131" s="2" t="s">
        <v>5438</v>
      </c>
    </row>
    <row r="2132" customFormat="false" ht="15" hidden="false" customHeight="false" outlineLevel="0" collapsed="false">
      <c r="A2132" s="2" t="s">
        <v>5439</v>
      </c>
      <c r="B2132" s="2" t="s">
        <v>165</v>
      </c>
      <c r="C2132" s="2" t="s">
        <v>2725</v>
      </c>
      <c r="D2132" s="2" t="s">
        <v>50</v>
      </c>
      <c r="E2132" s="2" t="s">
        <v>1194</v>
      </c>
      <c r="F2132" s="2" t="s">
        <v>1186</v>
      </c>
      <c r="G2132" s="2" t="s">
        <v>5440</v>
      </c>
    </row>
    <row r="2133" customFormat="false" ht="15" hidden="false" customHeight="false" outlineLevel="0" collapsed="false">
      <c r="A2133" s="2" t="s">
        <v>5441</v>
      </c>
      <c r="B2133" s="2" t="s">
        <v>165</v>
      </c>
      <c r="C2133" s="2" t="s">
        <v>2725</v>
      </c>
      <c r="D2133" s="2" t="s">
        <v>50</v>
      </c>
      <c r="E2133" s="2" t="s">
        <v>1194</v>
      </c>
      <c r="F2133" s="2" t="s">
        <v>1186</v>
      </c>
      <c r="G2133" s="2" t="s">
        <v>5442</v>
      </c>
    </row>
    <row r="2134" customFormat="false" ht="15" hidden="false" customHeight="false" outlineLevel="0" collapsed="false">
      <c r="A2134" s="2" t="s">
        <v>5443</v>
      </c>
      <c r="B2134" s="2" t="s">
        <v>165</v>
      </c>
      <c r="C2134" s="2" t="s">
        <v>2725</v>
      </c>
      <c r="D2134" s="2" t="s">
        <v>50</v>
      </c>
      <c r="E2134" s="2" t="s">
        <v>1194</v>
      </c>
      <c r="F2134" s="2" t="s">
        <v>1186</v>
      </c>
      <c r="G2134" s="2" t="s">
        <v>5444</v>
      </c>
    </row>
    <row r="2135" customFormat="false" ht="15" hidden="false" customHeight="false" outlineLevel="0" collapsed="false">
      <c r="A2135" s="2" t="s">
        <v>5445</v>
      </c>
      <c r="B2135" s="2" t="s">
        <v>165</v>
      </c>
      <c r="C2135" s="2" t="s">
        <v>2725</v>
      </c>
      <c r="D2135" s="2" t="s">
        <v>50</v>
      </c>
      <c r="E2135" s="2" t="s">
        <v>1194</v>
      </c>
      <c r="F2135" s="2" t="s">
        <v>1186</v>
      </c>
      <c r="G2135" s="2" t="s">
        <v>5446</v>
      </c>
    </row>
    <row r="2136" customFormat="false" ht="15" hidden="false" customHeight="false" outlineLevel="0" collapsed="false">
      <c r="A2136" s="2" t="s">
        <v>5447</v>
      </c>
      <c r="B2136" s="2" t="s">
        <v>165</v>
      </c>
      <c r="C2136" s="2" t="s">
        <v>2725</v>
      </c>
      <c r="D2136" s="2" t="s">
        <v>50</v>
      </c>
      <c r="E2136" s="2" t="s">
        <v>1194</v>
      </c>
      <c r="F2136" s="2" t="s">
        <v>1186</v>
      </c>
      <c r="G2136" s="2" t="s">
        <v>5448</v>
      </c>
    </row>
    <row r="2137" customFormat="false" ht="15" hidden="false" customHeight="false" outlineLevel="0" collapsed="false">
      <c r="A2137" s="2" t="s">
        <v>5449</v>
      </c>
      <c r="B2137" s="2" t="s">
        <v>165</v>
      </c>
      <c r="C2137" s="2" t="s">
        <v>2725</v>
      </c>
      <c r="D2137" s="2" t="s">
        <v>50</v>
      </c>
      <c r="E2137" s="2" t="s">
        <v>1194</v>
      </c>
      <c r="F2137" s="2" t="s">
        <v>1186</v>
      </c>
      <c r="G2137" s="2" t="s">
        <v>5450</v>
      </c>
    </row>
    <row r="2138" customFormat="false" ht="15" hidden="false" customHeight="false" outlineLevel="0" collapsed="false">
      <c r="A2138" s="2" t="s">
        <v>5451</v>
      </c>
      <c r="B2138" s="2" t="s">
        <v>165</v>
      </c>
      <c r="C2138" s="2" t="s">
        <v>2725</v>
      </c>
      <c r="D2138" s="2" t="s">
        <v>50</v>
      </c>
      <c r="E2138" s="2" t="s">
        <v>1194</v>
      </c>
      <c r="F2138" s="2" t="s">
        <v>1186</v>
      </c>
      <c r="G2138" s="2" t="s">
        <v>5452</v>
      </c>
    </row>
    <row r="2139" customFormat="false" ht="15" hidden="false" customHeight="false" outlineLevel="0" collapsed="false">
      <c r="A2139" s="2" t="s">
        <v>5453</v>
      </c>
      <c r="B2139" s="2" t="s">
        <v>165</v>
      </c>
      <c r="C2139" s="2" t="s">
        <v>2725</v>
      </c>
      <c r="D2139" s="2" t="s">
        <v>50</v>
      </c>
      <c r="E2139" s="2" t="s">
        <v>1194</v>
      </c>
      <c r="F2139" s="2" t="s">
        <v>1186</v>
      </c>
      <c r="G2139" s="2" t="s">
        <v>5454</v>
      </c>
    </row>
    <row r="2140" customFormat="false" ht="15" hidden="false" customHeight="false" outlineLevel="0" collapsed="false">
      <c r="A2140" s="2" t="s">
        <v>5455</v>
      </c>
      <c r="B2140" s="2" t="s">
        <v>165</v>
      </c>
      <c r="C2140" s="2" t="s">
        <v>2725</v>
      </c>
      <c r="D2140" s="2" t="s">
        <v>50</v>
      </c>
      <c r="E2140" s="2" t="s">
        <v>1194</v>
      </c>
      <c r="F2140" s="2" t="s">
        <v>1186</v>
      </c>
      <c r="G2140" s="2" t="s">
        <v>5456</v>
      </c>
    </row>
    <row r="2141" customFormat="false" ht="15" hidden="false" customHeight="false" outlineLevel="0" collapsed="false">
      <c r="A2141" s="2" t="s">
        <v>5457</v>
      </c>
      <c r="B2141" s="2" t="s">
        <v>165</v>
      </c>
      <c r="C2141" s="2" t="s">
        <v>2725</v>
      </c>
      <c r="D2141" s="2" t="s">
        <v>50</v>
      </c>
      <c r="E2141" s="2" t="s">
        <v>1194</v>
      </c>
      <c r="F2141" s="2" t="s">
        <v>1186</v>
      </c>
      <c r="G2141" s="2" t="s">
        <v>5458</v>
      </c>
    </row>
    <row r="2142" customFormat="false" ht="15" hidden="false" customHeight="false" outlineLevel="0" collapsed="false">
      <c r="A2142" s="2" t="s">
        <v>5459</v>
      </c>
      <c r="B2142" s="2" t="s">
        <v>165</v>
      </c>
      <c r="C2142" s="2" t="s">
        <v>2725</v>
      </c>
      <c r="D2142" s="2" t="s">
        <v>50</v>
      </c>
      <c r="E2142" s="2" t="s">
        <v>1194</v>
      </c>
      <c r="F2142" s="2" t="s">
        <v>1186</v>
      </c>
      <c r="G2142" s="2" t="s">
        <v>5460</v>
      </c>
    </row>
    <row r="2143" customFormat="false" ht="15" hidden="false" customHeight="false" outlineLevel="0" collapsed="false">
      <c r="A2143" s="2" t="s">
        <v>5461</v>
      </c>
      <c r="B2143" s="2" t="s">
        <v>165</v>
      </c>
      <c r="C2143" s="2" t="s">
        <v>2725</v>
      </c>
      <c r="D2143" s="2" t="s">
        <v>50</v>
      </c>
      <c r="E2143" s="2" t="s">
        <v>1194</v>
      </c>
      <c r="F2143" s="2" t="s">
        <v>1186</v>
      </c>
      <c r="G2143" s="2" t="s">
        <v>5462</v>
      </c>
    </row>
    <row r="2144" customFormat="false" ht="15" hidden="false" customHeight="false" outlineLevel="0" collapsed="false">
      <c r="A2144" s="2" t="s">
        <v>5463</v>
      </c>
      <c r="B2144" s="2" t="s">
        <v>165</v>
      </c>
      <c r="C2144" s="2" t="s">
        <v>2725</v>
      </c>
      <c r="D2144" s="2" t="s">
        <v>50</v>
      </c>
      <c r="E2144" s="2" t="s">
        <v>1194</v>
      </c>
      <c r="F2144" s="2" t="s">
        <v>1186</v>
      </c>
      <c r="G2144" s="2" t="s">
        <v>5464</v>
      </c>
    </row>
    <row r="2145" customFormat="false" ht="15" hidden="false" customHeight="false" outlineLevel="0" collapsed="false">
      <c r="A2145" s="2" t="s">
        <v>5465</v>
      </c>
      <c r="B2145" s="2" t="s">
        <v>165</v>
      </c>
      <c r="C2145" s="2" t="s">
        <v>2725</v>
      </c>
      <c r="D2145" s="2" t="s">
        <v>50</v>
      </c>
      <c r="E2145" s="2" t="s">
        <v>1194</v>
      </c>
      <c r="F2145" s="2" t="s">
        <v>1186</v>
      </c>
      <c r="G2145" s="2" t="s">
        <v>5466</v>
      </c>
    </row>
    <row r="2146" customFormat="false" ht="15" hidden="false" customHeight="false" outlineLevel="0" collapsed="false">
      <c r="A2146" s="2" t="s">
        <v>5467</v>
      </c>
      <c r="B2146" s="2" t="s">
        <v>165</v>
      </c>
      <c r="C2146" s="2" t="s">
        <v>2725</v>
      </c>
      <c r="D2146" s="2" t="s">
        <v>50</v>
      </c>
      <c r="E2146" s="2" t="s">
        <v>1194</v>
      </c>
      <c r="F2146" s="2" t="s">
        <v>1186</v>
      </c>
      <c r="G2146" s="2" t="s">
        <v>5468</v>
      </c>
    </row>
    <row r="2147" customFormat="false" ht="15" hidden="false" customHeight="false" outlineLevel="0" collapsed="false">
      <c r="A2147" s="2" t="s">
        <v>5469</v>
      </c>
      <c r="B2147" s="2" t="s">
        <v>165</v>
      </c>
      <c r="C2147" s="2" t="s">
        <v>2725</v>
      </c>
      <c r="D2147" s="2" t="s">
        <v>50</v>
      </c>
      <c r="E2147" s="2" t="s">
        <v>1194</v>
      </c>
      <c r="F2147" s="2" t="s">
        <v>1186</v>
      </c>
      <c r="G2147" s="2" t="s">
        <v>5470</v>
      </c>
    </row>
    <row r="2148" customFormat="false" ht="15" hidden="false" customHeight="false" outlineLevel="0" collapsed="false">
      <c r="A2148" s="2" t="s">
        <v>5471</v>
      </c>
      <c r="B2148" s="2" t="s">
        <v>165</v>
      </c>
      <c r="C2148" s="2" t="s">
        <v>2725</v>
      </c>
      <c r="D2148" s="2" t="s">
        <v>50</v>
      </c>
      <c r="E2148" s="2" t="s">
        <v>1194</v>
      </c>
      <c r="F2148" s="2" t="s">
        <v>1186</v>
      </c>
      <c r="G2148" s="2" t="s">
        <v>5472</v>
      </c>
    </row>
    <row r="2149" customFormat="false" ht="15" hidden="false" customHeight="false" outlineLevel="0" collapsed="false">
      <c r="A2149" s="2" t="s">
        <v>5473</v>
      </c>
      <c r="B2149" s="2" t="s">
        <v>165</v>
      </c>
      <c r="C2149" s="2" t="s">
        <v>2725</v>
      </c>
      <c r="D2149" s="2" t="s">
        <v>50</v>
      </c>
      <c r="E2149" s="2" t="s">
        <v>1194</v>
      </c>
      <c r="F2149" s="2" t="s">
        <v>1186</v>
      </c>
      <c r="G2149" s="2" t="s">
        <v>5474</v>
      </c>
    </row>
    <row r="2150" customFormat="false" ht="15" hidden="false" customHeight="false" outlineLevel="0" collapsed="false">
      <c r="A2150" s="2" t="s">
        <v>5475</v>
      </c>
      <c r="B2150" s="2" t="s">
        <v>165</v>
      </c>
      <c r="C2150" s="2" t="s">
        <v>2725</v>
      </c>
      <c r="D2150" s="2" t="s">
        <v>50</v>
      </c>
      <c r="E2150" s="2" t="s">
        <v>1194</v>
      </c>
      <c r="F2150" s="2" t="s">
        <v>1186</v>
      </c>
      <c r="G2150" s="2" t="s">
        <v>5476</v>
      </c>
    </row>
    <row r="2151" customFormat="false" ht="15" hidden="false" customHeight="false" outlineLevel="0" collapsed="false">
      <c r="A2151" s="2" t="s">
        <v>5477</v>
      </c>
      <c r="B2151" s="2" t="s">
        <v>165</v>
      </c>
      <c r="C2151" s="2" t="s">
        <v>2725</v>
      </c>
      <c r="D2151" s="2" t="s">
        <v>50</v>
      </c>
      <c r="E2151" s="2" t="s">
        <v>1194</v>
      </c>
      <c r="F2151" s="2" t="s">
        <v>1186</v>
      </c>
      <c r="G2151" s="2" t="s">
        <v>5478</v>
      </c>
    </row>
    <row r="2152" customFormat="false" ht="15" hidden="false" customHeight="false" outlineLevel="0" collapsed="false">
      <c r="A2152" s="2" t="s">
        <v>5479</v>
      </c>
      <c r="B2152" s="2" t="s">
        <v>165</v>
      </c>
      <c r="C2152" s="2" t="s">
        <v>2725</v>
      </c>
      <c r="D2152" s="2" t="s">
        <v>50</v>
      </c>
      <c r="E2152" s="2" t="s">
        <v>1194</v>
      </c>
      <c r="F2152" s="2" t="s">
        <v>1186</v>
      </c>
      <c r="G2152" s="2" t="s">
        <v>5480</v>
      </c>
    </row>
    <row r="2153" customFormat="false" ht="15" hidden="false" customHeight="false" outlineLevel="0" collapsed="false">
      <c r="A2153" s="2" t="s">
        <v>5481</v>
      </c>
      <c r="B2153" s="2" t="s">
        <v>165</v>
      </c>
      <c r="C2153" s="2" t="s">
        <v>2725</v>
      </c>
      <c r="D2153" s="2" t="s">
        <v>50</v>
      </c>
      <c r="E2153" s="2" t="s">
        <v>1194</v>
      </c>
      <c r="F2153" s="2" t="s">
        <v>1186</v>
      </c>
      <c r="G2153" s="2" t="s">
        <v>5482</v>
      </c>
    </row>
    <row r="2154" customFormat="false" ht="15" hidden="false" customHeight="false" outlineLevel="0" collapsed="false">
      <c r="A2154" s="2" t="s">
        <v>5483</v>
      </c>
      <c r="B2154" s="2" t="s">
        <v>165</v>
      </c>
      <c r="C2154" s="2" t="s">
        <v>2725</v>
      </c>
      <c r="D2154" s="2" t="s">
        <v>50</v>
      </c>
      <c r="E2154" s="2" t="s">
        <v>1194</v>
      </c>
      <c r="F2154" s="2" t="s">
        <v>1186</v>
      </c>
      <c r="G2154" s="2" t="s">
        <v>5484</v>
      </c>
    </row>
    <row r="2155" customFormat="false" ht="15" hidden="false" customHeight="false" outlineLevel="0" collapsed="false">
      <c r="A2155" s="2" t="s">
        <v>5485</v>
      </c>
      <c r="B2155" s="2" t="s">
        <v>165</v>
      </c>
      <c r="C2155" s="2" t="s">
        <v>2725</v>
      </c>
      <c r="D2155" s="2" t="s">
        <v>50</v>
      </c>
      <c r="E2155" s="2" t="s">
        <v>1194</v>
      </c>
      <c r="F2155" s="2" t="s">
        <v>1186</v>
      </c>
      <c r="G2155" s="2" t="s">
        <v>5486</v>
      </c>
    </row>
    <row r="2156" customFormat="false" ht="15" hidden="false" customHeight="false" outlineLevel="0" collapsed="false">
      <c r="A2156" s="2" t="s">
        <v>5487</v>
      </c>
      <c r="B2156" s="2" t="s">
        <v>165</v>
      </c>
      <c r="C2156" s="2" t="s">
        <v>2725</v>
      </c>
      <c r="D2156" s="2" t="s">
        <v>50</v>
      </c>
      <c r="E2156" s="2" t="s">
        <v>1194</v>
      </c>
      <c r="F2156" s="2" t="s">
        <v>1186</v>
      </c>
      <c r="G2156" s="2" t="s">
        <v>5488</v>
      </c>
    </row>
    <row r="2157" customFormat="false" ht="15" hidden="false" customHeight="false" outlineLevel="0" collapsed="false">
      <c r="A2157" s="2" t="s">
        <v>5489</v>
      </c>
      <c r="B2157" s="2" t="s">
        <v>165</v>
      </c>
      <c r="C2157" s="2" t="s">
        <v>2725</v>
      </c>
      <c r="D2157" s="2" t="s">
        <v>50</v>
      </c>
      <c r="E2157" s="2" t="s">
        <v>1194</v>
      </c>
      <c r="F2157" s="2" t="s">
        <v>1186</v>
      </c>
      <c r="G2157" s="2" t="s">
        <v>5490</v>
      </c>
    </row>
    <row r="2158" customFormat="false" ht="15" hidden="false" customHeight="false" outlineLevel="0" collapsed="false">
      <c r="A2158" s="2" t="s">
        <v>5491</v>
      </c>
      <c r="B2158" s="2" t="s">
        <v>165</v>
      </c>
      <c r="C2158" s="2" t="s">
        <v>2725</v>
      </c>
      <c r="D2158" s="2" t="s">
        <v>50</v>
      </c>
      <c r="E2158" s="2" t="s">
        <v>1194</v>
      </c>
      <c r="F2158" s="2" t="s">
        <v>1186</v>
      </c>
      <c r="G2158" s="2" t="s">
        <v>5492</v>
      </c>
    </row>
    <row r="2159" customFormat="false" ht="15" hidden="false" customHeight="false" outlineLevel="0" collapsed="false">
      <c r="A2159" s="2" t="s">
        <v>5493</v>
      </c>
      <c r="B2159" s="2" t="s">
        <v>165</v>
      </c>
      <c r="C2159" s="2" t="s">
        <v>2725</v>
      </c>
      <c r="D2159" s="2" t="s">
        <v>50</v>
      </c>
      <c r="E2159" s="2" t="s">
        <v>1194</v>
      </c>
      <c r="F2159" s="2" t="s">
        <v>1186</v>
      </c>
      <c r="G2159" s="2" t="s">
        <v>5494</v>
      </c>
    </row>
    <row r="2160" customFormat="false" ht="15" hidden="false" customHeight="false" outlineLevel="0" collapsed="false">
      <c r="A2160" s="2" t="s">
        <v>5495</v>
      </c>
      <c r="B2160" s="2" t="s">
        <v>165</v>
      </c>
      <c r="C2160" s="2" t="s">
        <v>2725</v>
      </c>
      <c r="D2160" s="2" t="s">
        <v>50</v>
      </c>
      <c r="E2160" s="2" t="s">
        <v>1194</v>
      </c>
      <c r="F2160" s="2" t="s">
        <v>1186</v>
      </c>
      <c r="G2160" s="2" t="s">
        <v>5496</v>
      </c>
    </row>
    <row r="2161" customFormat="false" ht="15" hidden="false" customHeight="false" outlineLevel="0" collapsed="false">
      <c r="A2161" s="2" t="s">
        <v>5497</v>
      </c>
      <c r="B2161" s="2" t="s">
        <v>165</v>
      </c>
      <c r="C2161" s="2" t="s">
        <v>2725</v>
      </c>
      <c r="D2161" s="2" t="s">
        <v>50</v>
      </c>
      <c r="E2161" s="2" t="s">
        <v>1194</v>
      </c>
      <c r="F2161" s="2" t="s">
        <v>1186</v>
      </c>
      <c r="G2161" s="2" t="s">
        <v>5498</v>
      </c>
    </row>
    <row r="2162" customFormat="false" ht="15" hidden="false" customHeight="false" outlineLevel="0" collapsed="false">
      <c r="A2162" s="2" t="s">
        <v>5499</v>
      </c>
      <c r="B2162" s="2" t="s">
        <v>165</v>
      </c>
      <c r="C2162" s="2" t="s">
        <v>2725</v>
      </c>
      <c r="D2162" s="2" t="s">
        <v>50</v>
      </c>
      <c r="E2162" s="2" t="s">
        <v>1194</v>
      </c>
      <c r="F2162" s="2" t="s">
        <v>1186</v>
      </c>
      <c r="G2162" s="2" t="s">
        <v>5500</v>
      </c>
    </row>
    <row r="2163" customFormat="false" ht="15" hidden="false" customHeight="false" outlineLevel="0" collapsed="false">
      <c r="A2163" s="2" t="s">
        <v>5501</v>
      </c>
      <c r="B2163" s="2" t="s">
        <v>165</v>
      </c>
      <c r="C2163" s="2" t="s">
        <v>2725</v>
      </c>
      <c r="D2163" s="2" t="s">
        <v>50</v>
      </c>
      <c r="E2163" s="2" t="s">
        <v>1194</v>
      </c>
      <c r="F2163" s="2" t="s">
        <v>1186</v>
      </c>
      <c r="G2163" s="2" t="s">
        <v>5502</v>
      </c>
    </row>
    <row r="2164" customFormat="false" ht="15" hidden="false" customHeight="false" outlineLevel="0" collapsed="false">
      <c r="A2164" s="2" t="s">
        <v>5503</v>
      </c>
      <c r="B2164" s="2" t="s">
        <v>165</v>
      </c>
      <c r="C2164" s="2" t="s">
        <v>2725</v>
      </c>
      <c r="D2164" s="2" t="s">
        <v>50</v>
      </c>
      <c r="E2164" s="2" t="s">
        <v>1194</v>
      </c>
      <c r="F2164" s="2" t="s">
        <v>1186</v>
      </c>
      <c r="G2164" s="2" t="s">
        <v>5504</v>
      </c>
    </row>
    <row r="2165" customFormat="false" ht="15" hidden="false" customHeight="false" outlineLevel="0" collapsed="false">
      <c r="A2165" s="2" t="s">
        <v>5505</v>
      </c>
      <c r="B2165" s="2" t="s">
        <v>165</v>
      </c>
      <c r="C2165" s="2" t="s">
        <v>2725</v>
      </c>
      <c r="D2165" s="2" t="s">
        <v>50</v>
      </c>
      <c r="E2165" s="2" t="s">
        <v>1194</v>
      </c>
      <c r="F2165" s="2" t="s">
        <v>1186</v>
      </c>
      <c r="G2165" s="2" t="s">
        <v>5506</v>
      </c>
    </row>
    <row r="2166" customFormat="false" ht="15" hidden="false" customHeight="false" outlineLevel="0" collapsed="false">
      <c r="A2166" s="2" t="s">
        <v>5507</v>
      </c>
      <c r="B2166" s="2" t="s">
        <v>165</v>
      </c>
      <c r="C2166" s="2" t="s">
        <v>2725</v>
      </c>
      <c r="D2166" s="2" t="s">
        <v>50</v>
      </c>
      <c r="E2166" s="2" t="s">
        <v>1194</v>
      </c>
      <c r="F2166" s="2" t="s">
        <v>1186</v>
      </c>
      <c r="G2166" s="2" t="s">
        <v>5508</v>
      </c>
    </row>
    <row r="2167" customFormat="false" ht="15" hidden="false" customHeight="false" outlineLevel="0" collapsed="false">
      <c r="A2167" s="2" t="s">
        <v>5509</v>
      </c>
      <c r="B2167" s="2" t="s">
        <v>165</v>
      </c>
      <c r="C2167" s="2" t="s">
        <v>2725</v>
      </c>
      <c r="D2167" s="2" t="s">
        <v>50</v>
      </c>
      <c r="E2167" s="2" t="s">
        <v>1194</v>
      </c>
      <c r="F2167" s="2" t="s">
        <v>1186</v>
      </c>
      <c r="G2167" s="2" t="s">
        <v>5510</v>
      </c>
    </row>
    <row r="2168" customFormat="false" ht="15" hidden="false" customHeight="false" outlineLevel="0" collapsed="false">
      <c r="A2168" s="2" t="s">
        <v>5511</v>
      </c>
      <c r="B2168" s="2" t="s">
        <v>165</v>
      </c>
      <c r="C2168" s="2" t="s">
        <v>2725</v>
      </c>
      <c r="D2168" s="2" t="s">
        <v>50</v>
      </c>
      <c r="E2168" s="2" t="s">
        <v>1194</v>
      </c>
      <c r="F2168" s="2" t="s">
        <v>1186</v>
      </c>
      <c r="G2168" s="2" t="s">
        <v>5512</v>
      </c>
    </row>
    <row r="2169" customFormat="false" ht="15" hidden="false" customHeight="false" outlineLevel="0" collapsed="false">
      <c r="A2169" s="2" t="s">
        <v>5513</v>
      </c>
      <c r="B2169" s="2" t="s">
        <v>165</v>
      </c>
      <c r="C2169" s="2" t="s">
        <v>2725</v>
      </c>
      <c r="D2169" s="2" t="s">
        <v>50</v>
      </c>
      <c r="E2169" s="2" t="s">
        <v>1194</v>
      </c>
      <c r="F2169" s="2" t="s">
        <v>1186</v>
      </c>
      <c r="G2169" s="2" t="s">
        <v>5514</v>
      </c>
    </row>
    <row r="2170" customFormat="false" ht="15" hidden="false" customHeight="false" outlineLevel="0" collapsed="false">
      <c r="A2170" s="2" t="s">
        <v>5515</v>
      </c>
      <c r="B2170" s="2" t="s">
        <v>165</v>
      </c>
      <c r="C2170" s="2" t="s">
        <v>2725</v>
      </c>
      <c r="D2170" s="2" t="s">
        <v>50</v>
      </c>
      <c r="E2170" s="2" t="s">
        <v>1194</v>
      </c>
      <c r="F2170" s="2" t="s">
        <v>1186</v>
      </c>
      <c r="G2170" s="2" t="s">
        <v>5516</v>
      </c>
    </row>
    <row r="2171" customFormat="false" ht="15" hidden="false" customHeight="false" outlineLevel="0" collapsed="false">
      <c r="A2171" s="2" t="s">
        <v>5517</v>
      </c>
      <c r="B2171" s="2" t="s">
        <v>165</v>
      </c>
      <c r="C2171" s="2" t="s">
        <v>2725</v>
      </c>
      <c r="D2171" s="2" t="s">
        <v>50</v>
      </c>
      <c r="E2171" s="2" t="s">
        <v>1194</v>
      </c>
      <c r="F2171" s="2" t="s">
        <v>1186</v>
      </c>
      <c r="G2171" s="2" t="s">
        <v>5518</v>
      </c>
    </row>
    <row r="2172" customFormat="false" ht="15" hidden="false" customHeight="false" outlineLevel="0" collapsed="false">
      <c r="A2172" s="2" t="s">
        <v>5519</v>
      </c>
      <c r="B2172" s="2" t="s">
        <v>165</v>
      </c>
      <c r="C2172" s="2" t="s">
        <v>2725</v>
      </c>
      <c r="D2172" s="2" t="s">
        <v>50</v>
      </c>
      <c r="E2172" s="2" t="s">
        <v>1194</v>
      </c>
      <c r="F2172" s="2" t="s">
        <v>1186</v>
      </c>
      <c r="G2172" s="2" t="s">
        <v>5520</v>
      </c>
    </row>
    <row r="2173" customFormat="false" ht="15" hidden="false" customHeight="false" outlineLevel="0" collapsed="false">
      <c r="A2173" s="2" t="s">
        <v>5521</v>
      </c>
      <c r="B2173" s="2" t="s">
        <v>165</v>
      </c>
      <c r="C2173" s="2" t="s">
        <v>2725</v>
      </c>
      <c r="D2173" s="2" t="s">
        <v>50</v>
      </c>
      <c r="E2173" s="2" t="s">
        <v>1194</v>
      </c>
      <c r="F2173" s="2" t="s">
        <v>1186</v>
      </c>
      <c r="G2173" s="2" t="s">
        <v>5522</v>
      </c>
    </row>
    <row r="2174" customFormat="false" ht="15" hidden="false" customHeight="false" outlineLevel="0" collapsed="false">
      <c r="A2174" s="2" t="s">
        <v>5523</v>
      </c>
      <c r="B2174" s="2" t="s">
        <v>165</v>
      </c>
      <c r="C2174" s="2" t="s">
        <v>2725</v>
      </c>
      <c r="D2174" s="2" t="s">
        <v>50</v>
      </c>
      <c r="E2174" s="2" t="s">
        <v>1194</v>
      </c>
      <c r="F2174" s="2" t="s">
        <v>1186</v>
      </c>
      <c r="G2174" s="2" t="s">
        <v>5524</v>
      </c>
    </row>
    <row r="2175" customFormat="false" ht="15" hidden="false" customHeight="false" outlineLevel="0" collapsed="false">
      <c r="A2175" s="2" t="s">
        <v>5525</v>
      </c>
      <c r="B2175" s="2" t="s">
        <v>165</v>
      </c>
      <c r="C2175" s="2" t="s">
        <v>2725</v>
      </c>
      <c r="D2175" s="2" t="s">
        <v>50</v>
      </c>
      <c r="E2175" s="2" t="s">
        <v>1194</v>
      </c>
      <c r="F2175" s="2" t="s">
        <v>1186</v>
      </c>
      <c r="G2175" s="2" t="s">
        <v>5526</v>
      </c>
    </row>
    <row r="2176" customFormat="false" ht="15" hidden="false" customHeight="false" outlineLevel="0" collapsed="false">
      <c r="A2176" s="2" t="s">
        <v>5527</v>
      </c>
      <c r="B2176" s="2" t="s">
        <v>165</v>
      </c>
      <c r="C2176" s="2" t="s">
        <v>2725</v>
      </c>
      <c r="D2176" s="2" t="s">
        <v>50</v>
      </c>
      <c r="E2176" s="2" t="s">
        <v>1194</v>
      </c>
      <c r="F2176" s="2" t="s">
        <v>1186</v>
      </c>
      <c r="G2176" s="2" t="s">
        <v>5528</v>
      </c>
    </row>
    <row r="2177" customFormat="false" ht="15" hidden="false" customHeight="false" outlineLevel="0" collapsed="false">
      <c r="A2177" s="2" t="s">
        <v>5529</v>
      </c>
      <c r="B2177" s="2" t="s">
        <v>165</v>
      </c>
      <c r="C2177" s="2" t="s">
        <v>2725</v>
      </c>
      <c r="D2177" s="2" t="s">
        <v>50</v>
      </c>
      <c r="E2177" s="2" t="s">
        <v>1194</v>
      </c>
      <c r="F2177" s="2" t="s">
        <v>1186</v>
      </c>
      <c r="G2177" s="2" t="s">
        <v>5530</v>
      </c>
    </row>
    <row r="2178" customFormat="false" ht="15" hidden="false" customHeight="false" outlineLevel="0" collapsed="false">
      <c r="A2178" s="2" t="s">
        <v>5531</v>
      </c>
      <c r="B2178" s="2" t="s">
        <v>165</v>
      </c>
      <c r="C2178" s="2" t="s">
        <v>2725</v>
      </c>
      <c r="D2178" s="2" t="s">
        <v>50</v>
      </c>
      <c r="E2178" s="2" t="s">
        <v>1194</v>
      </c>
      <c r="F2178" s="2" t="s">
        <v>1186</v>
      </c>
      <c r="G2178" s="2" t="s">
        <v>5532</v>
      </c>
    </row>
    <row r="2179" customFormat="false" ht="15" hidden="false" customHeight="false" outlineLevel="0" collapsed="false">
      <c r="A2179" s="2" t="s">
        <v>5533</v>
      </c>
      <c r="B2179" s="2" t="s">
        <v>165</v>
      </c>
      <c r="C2179" s="2" t="s">
        <v>2725</v>
      </c>
      <c r="D2179" s="2" t="s">
        <v>50</v>
      </c>
      <c r="E2179" s="2" t="s">
        <v>1194</v>
      </c>
      <c r="F2179" s="2" t="s">
        <v>1186</v>
      </c>
      <c r="G2179" s="2" t="s">
        <v>5534</v>
      </c>
    </row>
    <row r="2180" customFormat="false" ht="15" hidden="false" customHeight="false" outlineLevel="0" collapsed="false">
      <c r="A2180" s="2" t="s">
        <v>5535</v>
      </c>
      <c r="B2180" s="2" t="s">
        <v>165</v>
      </c>
      <c r="C2180" s="2" t="s">
        <v>2725</v>
      </c>
      <c r="D2180" s="2" t="s">
        <v>50</v>
      </c>
      <c r="E2180" s="2" t="s">
        <v>1194</v>
      </c>
      <c r="F2180" s="2" t="s">
        <v>1186</v>
      </c>
      <c r="G2180" s="2" t="s">
        <v>5536</v>
      </c>
    </row>
    <row r="2181" customFormat="false" ht="15" hidden="false" customHeight="false" outlineLevel="0" collapsed="false">
      <c r="A2181" s="2" t="s">
        <v>5537</v>
      </c>
      <c r="B2181" s="2" t="s">
        <v>165</v>
      </c>
      <c r="C2181" s="2" t="s">
        <v>2725</v>
      </c>
      <c r="D2181" s="2" t="s">
        <v>50</v>
      </c>
      <c r="E2181" s="2" t="s">
        <v>1194</v>
      </c>
      <c r="F2181" s="2" t="s">
        <v>1186</v>
      </c>
      <c r="G2181" s="2" t="s">
        <v>5538</v>
      </c>
    </row>
    <row r="2182" customFormat="false" ht="15" hidden="false" customHeight="false" outlineLevel="0" collapsed="false">
      <c r="A2182" s="2" t="s">
        <v>5539</v>
      </c>
      <c r="B2182" s="2" t="s">
        <v>165</v>
      </c>
      <c r="C2182" s="2" t="s">
        <v>2725</v>
      </c>
      <c r="D2182" s="2" t="s">
        <v>50</v>
      </c>
      <c r="E2182" s="2" t="s">
        <v>1194</v>
      </c>
      <c r="F2182" s="2" t="s">
        <v>1186</v>
      </c>
      <c r="G2182" s="2" t="s">
        <v>5540</v>
      </c>
    </row>
    <row r="2183" customFormat="false" ht="15" hidden="false" customHeight="false" outlineLevel="0" collapsed="false">
      <c r="A2183" s="2" t="s">
        <v>5541</v>
      </c>
      <c r="B2183" s="2" t="s">
        <v>165</v>
      </c>
      <c r="C2183" s="2" t="s">
        <v>5307</v>
      </c>
      <c r="D2183" s="2" t="s">
        <v>49</v>
      </c>
      <c r="E2183" s="2" t="s">
        <v>1563</v>
      </c>
      <c r="F2183" s="2" t="s">
        <v>1186</v>
      </c>
      <c r="G2183" s="2" t="s">
        <v>5542</v>
      </c>
    </row>
    <row r="2184" customFormat="false" ht="15" hidden="false" customHeight="false" outlineLevel="0" collapsed="false">
      <c r="A2184" s="2" t="s">
        <v>5543</v>
      </c>
      <c r="B2184" s="2" t="s">
        <v>165</v>
      </c>
      <c r="C2184" s="2" t="s">
        <v>2725</v>
      </c>
      <c r="D2184" s="2" t="s">
        <v>50</v>
      </c>
      <c r="E2184" s="2" t="s">
        <v>1194</v>
      </c>
      <c r="F2184" s="2" t="s">
        <v>1186</v>
      </c>
      <c r="G2184" s="2" t="s">
        <v>5544</v>
      </c>
    </row>
    <row r="2185" customFormat="false" ht="15" hidden="false" customHeight="false" outlineLevel="0" collapsed="false">
      <c r="A2185" s="2" t="s">
        <v>5545</v>
      </c>
      <c r="B2185" s="2" t="s">
        <v>165</v>
      </c>
      <c r="C2185" s="2" t="s">
        <v>2725</v>
      </c>
      <c r="D2185" s="2" t="s">
        <v>50</v>
      </c>
      <c r="E2185" s="2" t="s">
        <v>1194</v>
      </c>
      <c r="F2185" s="2" t="s">
        <v>1186</v>
      </c>
      <c r="G2185" s="2" t="s">
        <v>5546</v>
      </c>
    </row>
    <row r="2186" customFormat="false" ht="15" hidden="false" customHeight="false" outlineLevel="0" collapsed="false">
      <c r="A2186" s="2" t="s">
        <v>5547</v>
      </c>
      <c r="B2186" s="2" t="s">
        <v>165</v>
      </c>
      <c r="C2186" s="2" t="s">
        <v>5307</v>
      </c>
      <c r="D2186" s="2" t="s">
        <v>49</v>
      </c>
      <c r="E2186" s="2" t="s">
        <v>1563</v>
      </c>
      <c r="F2186" s="2" t="s">
        <v>1186</v>
      </c>
      <c r="G2186" s="2" t="s">
        <v>5548</v>
      </c>
    </row>
    <row r="2187" customFormat="false" ht="15" hidden="false" customHeight="false" outlineLevel="0" collapsed="false">
      <c r="A2187" s="2" t="s">
        <v>5549</v>
      </c>
      <c r="B2187" s="2" t="s">
        <v>165</v>
      </c>
      <c r="C2187" s="2" t="s">
        <v>2725</v>
      </c>
      <c r="D2187" s="2" t="s">
        <v>50</v>
      </c>
      <c r="E2187" s="2" t="s">
        <v>1194</v>
      </c>
      <c r="F2187" s="2" t="s">
        <v>1186</v>
      </c>
      <c r="G2187" s="2" t="s">
        <v>5550</v>
      </c>
    </row>
    <row r="2188" customFormat="false" ht="15" hidden="false" customHeight="false" outlineLevel="0" collapsed="false">
      <c r="A2188" s="2" t="s">
        <v>5551</v>
      </c>
      <c r="B2188" s="2" t="s">
        <v>165</v>
      </c>
      <c r="C2188" s="2" t="s">
        <v>2725</v>
      </c>
      <c r="D2188" s="2" t="s">
        <v>50</v>
      </c>
      <c r="E2188" s="2" t="s">
        <v>1194</v>
      </c>
      <c r="F2188" s="2" t="s">
        <v>1186</v>
      </c>
      <c r="G2188" s="2" t="s">
        <v>5552</v>
      </c>
    </row>
    <row r="2189" customFormat="false" ht="15" hidden="false" customHeight="false" outlineLevel="0" collapsed="false">
      <c r="A2189" s="2" t="s">
        <v>5553</v>
      </c>
      <c r="B2189" s="2" t="s">
        <v>165</v>
      </c>
      <c r="C2189" s="2" t="s">
        <v>2725</v>
      </c>
      <c r="D2189" s="2" t="s">
        <v>50</v>
      </c>
      <c r="E2189" s="2" t="s">
        <v>1194</v>
      </c>
      <c r="F2189" s="2" t="s">
        <v>1186</v>
      </c>
      <c r="G2189" s="2" t="s">
        <v>5554</v>
      </c>
    </row>
    <row r="2190" customFormat="false" ht="15" hidden="false" customHeight="false" outlineLevel="0" collapsed="false">
      <c r="A2190" s="2" t="s">
        <v>5555</v>
      </c>
      <c r="B2190" s="2" t="s">
        <v>165</v>
      </c>
      <c r="C2190" s="2" t="s">
        <v>2725</v>
      </c>
      <c r="D2190" s="2" t="s">
        <v>50</v>
      </c>
      <c r="E2190" s="2" t="s">
        <v>1194</v>
      </c>
      <c r="F2190" s="2" t="s">
        <v>1186</v>
      </c>
      <c r="G2190" s="2" t="s">
        <v>5556</v>
      </c>
    </row>
    <row r="2191" customFormat="false" ht="15" hidden="false" customHeight="false" outlineLevel="0" collapsed="false">
      <c r="A2191" s="2" t="s">
        <v>5557</v>
      </c>
      <c r="B2191" s="2" t="s">
        <v>165</v>
      </c>
      <c r="C2191" s="2" t="s">
        <v>2725</v>
      </c>
      <c r="D2191" s="2" t="s">
        <v>50</v>
      </c>
      <c r="E2191" s="2" t="s">
        <v>1194</v>
      </c>
      <c r="F2191" s="2" t="s">
        <v>1186</v>
      </c>
      <c r="G2191" s="2" t="s">
        <v>5558</v>
      </c>
    </row>
    <row r="2192" customFormat="false" ht="15" hidden="false" customHeight="false" outlineLevel="0" collapsed="false">
      <c r="A2192" s="2" t="s">
        <v>5559</v>
      </c>
      <c r="B2192" s="2" t="s">
        <v>165</v>
      </c>
      <c r="C2192" s="2" t="s">
        <v>2725</v>
      </c>
      <c r="D2192" s="2" t="s">
        <v>50</v>
      </c>
      <c r="E2192" s="2" t="s">
        <v>1194</v>
      </c>
      <c r="F2192" s="2" t="s">
        <v>1186</v>
      </c>
      <c r="G2192" s="2" t="s">
        <v>5560</v>
      </c>
    </row>
    <row r="2193" customFormat="false" ht="15" hidden="false" customHeight="false" outlineLevel="0" collapsed="false">
      <c r="A2193" s="2" t="s">
        <v>5561</v>
      </c>
      <c r="B2193" s="2" t="s">
        <v>165</v>
      </c>
      <c r="C2193" s="2" t="s">
        <v>2725</v>
      </c>
      <c r="D2193" s="2" t="s">
        <v>50</v>
      </c>
      <c r="E2193" s="2" t="s">
        <v>1194</v>
      </c>
      <c r="F2193" s="2" t="s">
        <v>1186</v>
      </c>
      <c r="G2193" s="2" t="s">
        <v>5562</v>
      </c>
    </row>
    <row r="2194" customFormat="false" ht="15" hidden="false" customHeight="false" outlineLevel="0" collapsed="false">
      <c r="A2194" s="2" t="s">
        <v>5563</v>
      </c>
      <c r="B2194" s="2" t="s">
        <v>165</v>
      </c>
      <c r="C2194" s="2" t="s">
        <v>2725</v>
      </c>
      <c r="D2194" s="2" t="s">
        <v>50</v>
      </c>
      <c r="E2194" s="2" t="s">
        <v>1194</v>
      </c>
      <c r="F2194" s="2" t="s">
        <v>1186</v>
      </c>
      <c r="G2194" s="2" t="s">
        <v>5564</v>
      </c>
    </row>
    <row r="2195" customFormat="false" ht="15" hidden="false" customHeight="false" outlineLevel="0" collapsed="false">
      <c r="A2195" s="2" t="s">
        <v>5565</v>
      </c>
      <c r="B2195" s="2" t="s">
        <v>165</v>
      </c>
      <c r="C2195" s="2" t="s">
        <v>2725</v>
      </c>
      <c r="D2195" s="2" t="s">
        <v>50</v>
      </c>
      <c r="E2195" s="2" t="s">
        <v>1194</v>
      </c>
      <c r="F2195" s="2" t="s">
        <v>1186</v>
      </c>
      <c r="G2195" s="2" t="s">
        <v>5566</v>
      </c>
    </row>
    <row r="2196" customFormat="false" ht="15" hidden="false" customHeight="false" outlineLevel="0" collapsed="false">
      <c r="A2196" s="2" t="s">
        <v>5567</v>
      </c>
      <c r="B2196" s="2" t="s">
        <v>165</v>
      </c>
      <c r="C2196" s="2" t="s">
        <v>2725</v>
      </c>
      <c r="D2196" s="2" t="s">
        <v>50</v>
      </c>
      <c r="E2196" s="2" t="s">
        <v>1194</v>
      </c>
      <c r="F2196" s="2" t="s">
        <v>1186</v>
      </c>
      <c r="G2196" s="2" t="s">
        <v>5568</v>
      </c>
    </row>
    <row r="2197" customFormat="false" ht="15" hidden="false" customHeight="false" outlineLevel="0" collapsed="false">
      <c r="A2197" s="2" t="s">
        <v>5569</v>
      </c>
      <c r="B2197" s="2" t="s">
        <v>165</v>
      </c>
      <c r="C2197" s="2" t="s">
        <v>2725</v>
      </c>
      <c r="D2197" s="2" t="s">
        <v>50</v>
      </c>
      <c r="E2197" s="2" t="s">
        <v>1194</v>
      </c>
      <c r="F2197" s="2" t="s">
        <v>1186</v>
      </c>
      <c r="G2197" s="2" t="s">
        <v>5570</v>
      </c>
    </row>
    <row r="2198" customFormat="false" ht="15" hidden="false" customHeight="false" outlineLevel="0" collapsed="false">
      <c r="A2198" s="2" t="s">
        <v>5571</v>
      </c>
      <c r="B2198" s="2" t="s">
        <v>165</v>
      </c>
      <c r="C2198" s="2" t="s">
        <v>2725</v>
      </c>
      <c r="D2198" s="2" t="s">
        <v>50</v>
      </c>
      <c r="E2198" s="2" t="s">
        <v>1194</v>
      </c>
      <c r="F2198" s="2" t="s">
        <v>1186</v>
      </c>
      <c r="G2198" s="2" t="s">
        <v>5572</v>
      </c>
    </row>
    <row r="2199" customFormat="false" ht="15" hidden="false" customHeight="false" outlineLevel="0" collapsed="false">
      <c r="A2199" s="2" t="s">
        <v>5573</v>
      </c>
      <c r="B2199" s="2" t="s">
        <v>165</v>
      </c>
      <c r="C2199" s="2" t="s">
        <v>2725</v>
      </c>
      <c r="D2199" s="2" t="s">
        <v>50</v>
      </c>
      <c r="E2199" s="2" t="s">
        <v>1194</v>
      </c>
      <c r="F2199" s="2" t="s">
        <v>1186</v>
      </c>
      <c r="G2199" s="2" t="s">
        <v>5574</v>
      </c>
    </row>
    <row r="2200" customFormat="false" ht="15" hidden="false" customHeight="false" outlineLevel="0" collapsed="false">
      <c r="A2200" s="2" t="s">
        <v>5575</v>
      </c>
      <c r="B2200" s="2" t="s">
        <v>165</v>
      </c>
      <c r="C2200" s="2" t="s">
        <v>2725</v>
      </c>
      <c r="D2200" s="2" t="s">
        <v>50</v>
      </c>
      <c r="E2200" s="2" t="s">
        <v>1194</v>
      </c>
      <c r="F2200" s="2" t="s">
        <v>1186</v>
      </c>
      <c r="G2200" s="2" t="s">
        <v>5576</v>
      </c>
    </row>
    <row r="2201" customFormat="false" ht="15" hidden="false" customHeight="false" outlineLevel="0" collapsed="false">
      <c r="A2201" s="2" t="s">
        <v>5577</v>
      </c>
      <c r="B2201" s="2" t="s">
        <v>165</v>
      </c>
      <c r="C2201" s="2" t="s">
        <v>2725</v>
      </c>
      <c r="D2201" s="2" t="s">
        <v>50</v>
      </c>
      <c r="E2201" s="2" t="s">
        <v>1194</v>
      </c>
      <c r="F2201" s="2" t="s">
        <v>1186</v>
      </c>
      <c r="G2201" s="2" t="s">
        <v>5578</v>
      </c>
    </row>
    <row r="2202" customFormat="false" ht="15" hidden="false" customHeight="false" outlineLevel="0" collapsed="false">
      <c r="A2202" s="2" t="s">
        <v>5579</v>
      </c>
      <c r="B2202" s="2" t="s">
        <v>165</v>
      </c>
      <c r="C2202" s="2" t="s">
        <v>2725</v>
      </c>
      <c r="D2202" s="2" t="s">
        <v>50</v>
      </c>
      <c r="E2202" s="2" t="s">
        <v>1194</v>
      </c>
      <c r="F2202" s="2" t="s">
        <v>1186</v>
      </c>
      <c r="G2202" s="2" t="s">
        <v>5580</v>
      </c>
    </row>
    <row r="2203" customFormat="false" ht="15" hidden="false" customHeight="false" outlineLevel="0" collapsed="false">
      <c r="A2203" s="2" t="s">
        <v>5581</v>
      </c>
      <c r="B2203" s="2" t="s">
        <v>165</v>
      </c>
      <c r="C2203" s="2" t="s">
        <v>2725</v>
      </c>
      <c r="D2203" s="2" t="s">
        <v>50</v>
      </c>
      <c r="E2203" s="2" t="s">
        <v>1194</v>
      </c>
      <c r="F2203" s="2" t="s">
        <v>1186</v>
      </c>
      <c r="G2203" s="2" t="s">
        <v>5582</v>
      </c>
    </row>
    <row r="2204" customFormat="false" ht="15" hidden="false" customHeight="false" outlineLevel="0" collapsed="false">
      <c r="A2204" s="2" t="s">
        <v>5583</v>
      </c>
      <c r="B2204" s="2" t="s">
        <v>165</v>
      </c>
      <c r="C2204" s="2" t="s">
        <v>2725</v>
      </c>
      <c r="D2204" s="2" t="s">
        <v>50</v>
      </c>
      <c r="E2204" s="2" t="s">
        <v>1194</v>
      </c>
      <c r="F2204" s="2" t="s">
        <v>1186</v>
      </c>
      <c r="G2204" s="2" t="s">
        <v>5584</v>
      </c>
    </row>
    <row r="2205" customFormat="false" ht="15" hidden="false" customHeight="false" outlineLevel="0" collapsed="false">
      <c r="A2205" s="2" t="s">
        <v>5585</v>
      </c>
      <c r="B2205" s="2" t="s">
        <v>165</v>
      </c>
      <c r="C2205" s="2" t="s">
        <v>2725</v>
      </c>
      <c r="D2205" s="2" t="s">
        <v>50</v>
      </c>
      <c r="E2205" s="2" t="s">
        <v>1194</v>
      </c>
      <c r="F2205" s="2" t="s">
        <v>1186</v>
      </c>
      <c r="G2205" s="2" t="s">
        <v>5586</v>
      </c>
    </row>
    <row r="2206" customFormat="false" ht="15" hidden="false" customHeight="false" outlineLevel="0" collapsed="false">
      <c r="A2206" s="2" t="s">
        <v>5587</v>
      </c>
      <c r="B2206" s="2" t="s">
        <v>165</v>
      </c>
      <c r="C2206" s="2" t="s">
        <v>2725</v>
      </c>
      <c r="D2206" s="2" t="s">
        <v>50</v>
      </c>
      <c r="E2206" s="2" t="s">
        <v>1194</v>
      </c>
      <c r="F2206" s="2" t="s">
        <v>1186</v>
      </c>
      <c r="G2206" s="2" t="s">
        <v>5588</v>
      </c>
    </row>
    <row r="2207" customFormat="false" ht="15" hidden="false" customHeight="false" outlineLevel="0" collapsed="false">
      <c r="A2207" s="2" t="s">
        <v>5589</v>
      </c>
      <c r="B2207" s="2" t="s">
        <v>165</v>
      </c>
      <c r="C2207" s="2" t="s">
        <v>2725</v>
      </c>
      <c r="D2207" s="2" t="s">
        <v>50</v>
      </c>
      <c r="E2207" s="2" t="s">
        <v>1194</v>
      </c>
      <c r="F2207" s="2" t="s">
        <v>1186</v>
      </c>
      <c r="G2207" s="2" t="s">
        <v>5590</v>
      </c>
    </row>
    <row r="2208" customFormat="false" ht="15" hidden="false" customHeight="false" outlineLevel="0" collapsed="false">
      <c r="A2208" s="2" t="s">
        <v>5591</v>
      </c>
      <c r="B2208" s="2" t="s">
        <v>165</v>
      </c>
      <c r="C2208" s="2" t="s">
        <v>2725</v>
      </c>
      <c r="D2208" s="2" t="s">
        <v>50</v>
      </c>
      <c r="E2208" s="2" t="s">
        <v>1194</v>
      </c>
      <c r="F2208" s="2" t="s">
        <v>1186</v>
      </c>
      <c r="G2208" s="2" t="s">
        <v>5592</v>
      </c>
    </row>
    <row r="2209" customFormat="false" ht="15" hidden="false" customHeight="false" outlineLevel="0" collapsed="false">
      <c r="A2209" s="2" t="s">
        <v>5593</v>
      </c>
      <c r="B2209" s="2" t="s">
        <v>165</v>
      </c>
      <c r="C2209" s="2" t="s">
        <v>2725</v>
      </c>
      <c r="D2209" s="2" t="s">
        <v>50</v>
      </c>
      <c r="E2209" s="2" t="s">
        <v>1194</v>
      </c>
      <c r="F2209" s="2" t="s">
        <v>1186</v>
      </c>
      <c r="G2209" s="2" t="s">
        <v>5594</v>
      </c>
    </row>
    <row r="2210" customFormat="false" ht="15" hidden="false" customHeight="false" outlineLevel="0" collapsed="false">
      <c r="A2210" s="2" t="s">
        <v>5595</v>
      </c>
      <c r="B2210" s="2" t="s">
        <v>165</v>
      </c>
      <c r="C2210" s="2" t="s">
        <v>2725</v>
      </c>
      <c r="D2210" s="2" t="s">
        <v>50</v>
      </c>
      <c r="E2210" s="2" t="s">
        <v>1194</v>
      </c>
      <c r="F2210" s="2" t="s">
        <v>1186</v>
      </c>
      <c r="G2210" s="2" t="s">
        <v>5596</v>
      </c>
    </row>
    <row r="2211" customFormat="false" ht="15" hidden="false" customHeight="false" outlineLevel="0" collapsed="false">
      <c r="A2211" s="2" t="s">
        <v>5597</v>
      </c>
      <c r="B2211" s="2" t="s">
        <v>165</v>
      </c>
      <c r="C2211" s="2" t="s">
        <v>2725</v>
      </c>
      <c r="D2211" s="2" t="s">
        <v>50</v>
      </c>
      <c r="E2211" s="2" t="s">
        <v>1194</v>
      </c>
      <c r="F2211" s="2" t="s">
        <v>1186</v>
      </c>
      <c r="G2211" s="2" t="s">
        <v>5598</v>
      </c>
    </row>
    <row r="2212" customFormat="false" ht="15" hidden="false" customHeight="false" outlineLevel="0" collapsed="false">
      <c r="A2212" s="2" t="s">
        <v>5599</v>
      </c>
      <c r="B2212" s="2" t="s">
        <v>165</v>
      </c>
      <c r="C2212" s="2" t="s">
        <v>2725</v>
      </c>
      <c r="D2212" s="2" t="s">
        <v>50</v>
      </c>
      <c r="E2212" s="2" t="s">
        <v>1194</v>
      </c>
      <c r="F2212" s="2" t="s">
        <v>1186</v>
      </c>
      <c r="G2212" s="2" t="s">
        <v>5600</v>
      </c>
    </row>
    <row r="2213" customFormat="false" ht="15" hidden="false" customHeight="false" outlineLevel="0" collapsed="false">
      <c r="A2213" s="2" t="s">
        <v>5601</v>
      </c>
      <c r="B2213" s="2" t="s">
        <v>165</v>
      </c>
      <c r="C2213" s="2" t="s">
        <v>2725</v>
      </c>
      <c r="D2213" s="2" t="s">
        <v>50</v>
      </c>
      <c r="E2213" s="2" t="s">
        <v>1194</v>
      </c>
      <c r="F2213" s="2" t="s">
        <v>1186</v>
      </c>
      <c r="G2213" s="2" t="s">
        <v>5602</v>
      </c>
    </row>
    <row r="2214" customFormat="false" ht="15" hidden="false" customHeight="false" outlineLevel="0" collapsed="false">
      <c r="A2214" s="2" t="s">
        <v>5603</v>
      </c>
      <c r="B2214" s="2" t="s">
        <v>165</v>
      </c>
      <c r="C2214" s="2" t="s">
        <v>2725</v>
      </c>
      <c r="D2214" s="2" t="s">
        <v>50</v>
      </c>
      <c r="E2214" s="2" t="s">
        <v>1194</v>
      </c>
      <c r="F2214" s="2" t="s">
        <v>1186</v>
      </c>
      <c r="G2214" s="2" t="s">
        <v>5604</v>
      </c>
    </row>
    <row r="2215" customFormat="false" ht="15" hidden="false" customHeight="false" outlineLevel="0" collapsed="false">
      <c r="A2215" s="2" t="s">
        <v>5605</v>
      </c>
      <c r="B2215" s="2" t="s">
        <v>165</v>
      </c>
      <c r="C2215" s="2" t="s">
        <v>2725</v>
      </c>
      <c r="D2215" s="2" t="s">
        <v>50</v>
      </c>
      <c r="E2215" s="2" t="s">
        <v>1194</v>
      </c>
      <c r="F2215" s="2" t="s">
        <v>1186</v>
      </c>
      <c r="G2215" s="2" t="s">
        <v>5606</v>
      </c>
    </row>
    <row r="2216" customFormat="false" ht="15" hidden="false" customHeight="false" outlineLevel="0" collapsed="false">
      <c r="A2216" s="2" t="s">
        <v>5607</v>
      </c>
      <c r="B2216" s="2" t="s">
        <v>165</v>
      </c>
      <c r="C2216" s="2" t="s">
        <v>2725</v>
      </c>
      <c r="D2216" s="2" t="s">
        <v>50</v>
      </c>
      <c r="E2216" s="2" t="s">
        <v>1194</v>
      </c>
      <c r="F2216" s="2" t="s">
        <v>1186</v>
      </c>
      <c r="G2216" s="2" t="s">
        <v>5608</v>
      </c>
    </row>
    <row r="2217" customFormat="false" ht="15" hidden="false" customHeight="false" outlineLevel="0" collapsed="false">
      <c r="A2217" s="2" t="s">
        <v>5609</v>
      </c>
      <c r="B2217" s="2" t="s">
        <v>165</v>
      </c>
      <c r="C2217" s="2" t="s">
        <v>2725</v>
      </c>
      <c r="D2217" s="2" t="s">
        <v>50</v>
      </c>
      <c r="E2217" s="2" t="s">
        <v>1194</v>
      </c>
      <c r="F2217" s="2" t="s">
        <v>1186</v>
      </c>
      <c r="G2217" s="2" t="s">
        <v>5610</v>
      </c>
    </row>
    <row r="2218" customFormat="false" ht="15" hidden="false" customHeight="false" outlineLevel="0" collapsed="false">
      <c r="A2218" s="2" t="s">
        <v>5611</v>
      </c>
      <c r="B2218" s="2" t="s">
        <v>165</v>
      </c>
      <c r="C2218" s="2" t="s">
        <v>2725</v>
      </c>
      <c r="D2218" s="2" t="s">
        <v>50</v>
      </c>
      <c r="E2218" s="2" t="s">
        <v>1194</v>
      </c>
      <c r="F2218" s="2" t="s">
        <v>1186</v>
      </c>
      <c r="G2218" s="2" t="s">
        <v>5612</v>
      </c>
    </row>
    <row r="2219" customFormat="false" ht="15" hidden="false" customHeight="false" outlineLevel="0" collapsed="false">
      <c r="A2219" s="2" t="s">
        <v>5613</v>
      </c>
      <c r="B2219" s="2" t="s">
        <v>165</v>
      </c>
      <c r="C2219" s="2" t="s">
        <v>2725</v>
      </c>
      <c r="D2219" s="2" t="s">
        <v>50</v>
      </c>
      <c r="E2219" s="2" t="s">
        <v>1194</v>
      </c>
      <c r="F2219" s="2" t="s">
        <v>1186</v>
      </c>
      <c r="G2219" s="2" t="s">
        <v>5614</v>
      </c>
    </row>
    <row r="2220" customFormat="false" ht="15" hidden="false" customHeight="false" outlineLevel="0" collapsed="false">
      <c r="A2220" s="2" t="s">
        <v>5615</v>
      </c>
      <c r="B2220" s="2" t="s">
        <v>165</v>
      </c>
      <c r="C2220" s="2" t="s">
        <v>2725</v>
      </c>
      <c r="D2220" s="2" t="s">
        <v>50</v>
      </c>
      <c r="E2220" s="2" t="s">
        <v>1194</v>
      </c>
      <c r="F2220" s="2" t="s">
        <v>1186</v>
      </c>
      <c r="G2220" s="2" t="s">
        <v>5616</v>
      </c>
    </row>
    <row r="2221" customFormat="false" ht="15" hidden="false" customHeight="false" outlineLevel="0" collapsed="false">
      <c r="A2221" s="2" t="s">
        <v>5617</v>
      </c>
      <c r="B2221" s="2" t="s">
        <v>165</v>
      </c>
      <c r="C2221" s="2" t="s">
        <v>2725</v>
      </c>
      <c r="D2221" s="2" t="s">
        <v>50</v>
      </c>
      <c r="E2221" s="2" t="s">
        <v>1194</v>
      </c>
      <c r="F2221" s="2" t="s">
        <v>1186</v>
      </c>
      <c r="G2221" s="2" t="s">
        <v>5618</v>
      </c>
    </row>
    <row r="2222" customFormat="false" ht="15" hidden="false" customHeight="false" outlineLevel="0" collapsed="false">
      <c r="A2222" s="2" t="s">
        <v>5619</v>
      </c>
      <c r="B2222" s="2" t="s">
        <v>165</v>
      </c>
      <c r="C2222" s="2" t="s">
        <v>2725</v>
      </c>
      <c r="D2222" s="2" t="s">
        <v>50</v>
      </c>
      <c r="E2222" s="2" t="s">
        <v>1194</v>
      </c>
      <c r="F2222" s="2" t="s">
        <v>1186</v>
      </c>
      <c r="G2222" s="2" t="s">
        <v>5620</v>
      </c>
    </row>
    <row r="2223" customFormat="false" ht="15" hidden="false" customHeight="false" outlineLevel="0" collapsed="false">
      <c r="A2223" s="2" t="s">
        <v>5621</v>
      </c>
      <c r="B2223" s="2" t="s">
        <v>165</v>
      </c>
      <c r="C2223" s="2" t="s">
        <v>2725</v>
      </c>
      <c r="D2223" s="2" t="s">
        <v>50</v>
      </c>
      <c r="E2223" s="2" t="s">
        <v>1194</v>
      </c>
      <c r="F2223" s="2" t="s">
        <v>1186</v>
      </c>
      <c r="G2223" s="2" t="s">
        <v>5622</v>
      </c>
    </row>
    <row r="2224" customFormat="false" ht="15" hidden="false" customHeight="false" outlineLevel="0" collapsed="false">
      <c r="A2224" s="2" t="s">
        <v>5623</v>
      </c>
      <c r="B2224" s="2" t="s">
        <v>165</v>
      </c>
      <c r="C2224" s="2" t="s">
        <v>2725</v>
      </c>
      <c r="D2224" s="2" t="s">
        <v>50</v>
      </c>
      <c r="E2224" s="2" t="s">
        <v>1194</v>
      </c>
      <c r="F2224" s="2" t="s">
        <v>1186</v>
      </c>
      <c r="G2224" s="2" t="s">
        <v>5624</v>
      </c>
    </row>
    <row r="2225" customFormat="false" ht="15" hidden="false" customHeight="false" outlineLevel="0" collapsed="false">
      <c r="A2225" s="2" t="s">
        <v>5625</v>
      </c>
      <c r="B2225" s="2" t="s">
        <v>165</v>
      </c>
      <c r="C2225" s="2" t="s">
        <v>2725</v>
      </c>
      <c r="D2225" s="2" t="s">
        <v>50</v>
      </c>
      <c r="E2225" s="2" t="s">
        <v>1194</v>
      </c>
      <c r="F2225" s="2" t="s">
        <v>1186</v>
      </c>
      <c r="G2225" s="2" t="s">
        <v>5626</v>
      </c>
    </row>
    <row r="2226" customFormat="false" ht="15" hidden="false" customHeight="false" outlineLevel="0" collapsed="false">
      <c r="A2226" s="2" t="s">
        <v>5627</v>
      </c>
      <c r="B2226" s="2" t="s">
        <v>165</v>
      </c>
      <c r="C2226" s="2" t="s">
        <v>2725</v>
      </c>
      <c r="D2226" s="2" t="s">
        <v>50</v>
      </c>
      <c r="E2226" s="2" t="s">
        <v>1194</v>
      </c>
      <c r="F2226" s="2" t="s">
        <v>1186</v>
      </c>
      <c r="G2226" s="2" t="s">
        <v>5628</v>
      </c>
    </row>
    <row r="2227" customFormat="false" ht="15" hidden="false" customHeight="false" outlineLevel="0" collapsed="false">
      <c r="A2227" s="2" t="s">
        <v>5629</v>
      </c>
      <c r="B2227" s="2" t="s">
        <v>165</v>
      </c>
      <c r="C2227" s="2" t="s">
        <v>2725</v>
      </c>
      <c r="D2227" s="2" t="s">
        <v>50</v>
      </c>
      <c r="E2227" s="2" t="s">
        <v>1194</v>
      </c>
      <c r="F2227" s="2" t="s">
        <v>1186</v>
      </c>
      <c r="G2227" s="2" t="s">
        <v>5630</v>
      </c>
    </row>
    <row r="2228" customFormat="false" ht="15" hidden="false" customHeight="false" outlineLevel="0" collapsed="false">
      <c r="A2228" s="2" t="s">
        <v>5631</v>
      </c>
      <c r="B2228" s="2" t="s">
        <v>165</v>
      </c>
      <c r="C2228" s="2" t="s">
        <v>2725</v>
      </c>
      <c r="D2228" s="2" t="s">
        <v>50</v>
      </c>
      <c r="E2228" s="2" t="s">
        <v>1194</v>
      </c>
      <c r="F2228" s="2" t="s">
        <v>1186</v>
      </c>
      <c r="G2228" s="2" t="s">
        <v>5632</v>
      </c>
    </row>
    <row r="2229" customFormat="false" ht="15" hidden="false" customHeight="false" outlineLevel="0" collapsed="false">
      <c r="A2229" s="2" t="s">
        <v>5633</v>
      </c>
      <c r="B2229" s="2" t="s">
        <v>165</v>
      </c>
      <c r="C2229" s="2" t="s">
        <v>2725</v>
      </c>
      <c r="D2229" s="2" t="s">
        <v>50</v>
      </c>
      <c r="E2229" s="2" t="s">
        <v>1194</v>
      </c>
      <c r="F2229" s="2" t="s">
        <v>1186</v>
      </c>
      <c r="G2229" s="2" t="s">
        <v>5634</v>
      </c>
    </row>
    <row r="2230" customFormat="false" ht="15" hidden="false" customHeight="false" outlineLevel="0" collapsed="false">
      <c r="A2230" s="2" t="s">
        <v>5635</v>
      </c>
      <c r="B2230" s="2" t="s">
        <v>165</v>
      </c>
      <c r="C2230" s="2" t="s">
        <v>2725</v>
      </c>
      <c r="D2230" s="2" t="s">
        <v>50</v>
      </c>
      <c r="E2230" s="2" t="s">
        <v>1194</v>
      </c>
      <c r="F2230" s="2" t="s">
        <v>1186</v>
      </c>
      <c r="G2230" s="2" t="s">
        <v>5636</v>
      </c>
    </row>
    <row r="2231" customFormat="false" ht="15" hidden="false" customHeight="false" outlineLevel="0" collapsed="false">
      <c r="A2231" s="2" t="s">
        <v>5637</v>
      </c>
      <c r="B2231" s="2" t="s">
        <v>165</v>
      </c>
      <c r="C2231" s="2" t="s">
        <v>2725</v>
      </c>
      <c r="D2231" s="2" t="s">
        <v>50</v>
      </c>
      <c r="E2231" s="2" t="s">
        <v>1194</v>
      </c>
      <c r="F2231" s="2" t="s">
        <v>1186</v>
      </c>
      <c r="G2231" s="2" t="s">
        <v>5638</v>
      </c>
    </row>
    <row r="2232" customFormat="false" ht="15" hidden="false" customHeight="false" outlineLevel="0" collapsed="false">
      <c r="A2232" s="2" t="s">
        <v>5639</v>
      </c>
      <c r="B2232" s="2" t="s">
        <v>165</v>
      </c>
      <c r="C2232" s="2" t="s">
        <v>2725</v>
      </c>
      <c r="D2232" s="2" t="s">
        <v>50</v>
      </c>
      <c r="E2232" s="2" t="s">
        <v>1194</v>
      </c>
      <c r="F2232" s="2" t="s">
        <v>1186</v>
      </c>
      <c r="G2232" s="2" t="s">
        <v>5640</v>
      </c>
    </row>
    <row r="2233" customFormat="false" ht="15" hidden="false" customHeight="false" outlineLevel="0" collapsed="false">
      <c r="A2233" s="2" t="s">
        <v>5641</v>
      </c>
      <c r="B2233" s="2" t="s">
        <v>165</v>
      </c>
      <c r="C2233" s="2" t="s">
        <v>2725</v>
      </c>
      <c r="D2233" s="2" t="s">
        <v>50</v>
      </c>
      <c r="E2233" s="2" t="s">
        <v>1194</v>
      </c>
      <c r="F2233" s="2" t="s">
        <v>1186</v>
      </c>
      <c r="G2233" s="2" t="s">
        <v>5642</v>
      </c>
    </row>
    <row r="2234" customFormat="false" ht="15" hidden="false" customHeight="false" outlineLevel="0" collapsed="false">
      <c r="A2234" s="2" t="s">
        <v>5643</v>
      </c>
      <c r="B2234" s="2" t="s">
        <v>165</v>
      </c>
      <c r="C2234" s="2" t="s">
        <v>2725</v>
      </c>
      <c r="D2234" s="2" t="s">
        <v>50</v>
      </c>
      <c r="E2234" s="2" t="s">
        <v>1194</v>
      </c>
      <c r="F2234" s="2" t="s">
        <v>1186</v>
      </c>
      <c r="G2234" s="2" t="s">
        <v>5644</v>
      </c>
    </row>
    <row r="2235" customFormat="false" ht="15" hidden="false" customHeight="false" outlineLevel="0" collapsed="false">
      <c r="A2235" s="2" t="s">
        <v>5645</v>
      </c>
      <c r="B2235" s="2" t="s">
        <v>165</v>
      </c>
      <c r="C2235" s="2" t="s">
        <v>2725</v>
      </c>
      <c r="D2235" s="2" t="s">
        <v>50</v>
      </c>
      <c r="E2235" s="2" t="s">
        <v>1194</v>
      </c>
      <c r="F2235" s="2" t="s">
        <v>1186</v>
      </c>
      <c r="G2235" s="2" t="s">
        <v>5646</v>
      </c>
    </row>
    <row r="2236" customFormat="false" ht="15" hidden="false" customHeight="false" outlineLevel="0" collapsed="false">
      <c r="A2236" s="2" t="s">
        <v>5647</v>
      </c>
      <c r="B2236" s="2" t="s">
        <v>165</v>
      </c>
      <c r="C2236" s="2" t="s">
        <v>2725</v>
      </c>
      <c r="D2236" s="2" t="s">
        <v>50</v>
      </c>
      <c r="E2236" s="2" t="s">
        <v>1194</v>
      </c>
      <c r="F2236" s="2" t="s">
        <v>1186</v>
      </c>
      <c r="G2236" s="2" t="s">
        <v>5648</v>
      </c>
    </row>
    <row r="2237" customFormat="false" ht="15" hidden="false" customHeight="false" outlineLevel="0" collapsed="false">
      <c r="A2237" s="2" t="s">
        <v>5649</v>
      </c>
      <c r="B2237" s="2" t="s">
        <v>165</v>
      </c>
      <c r="C2237" s="2" t="s">
        <v>2725</v>
      </c>
      <c r="D2237" s="2" t="s">
        <v>50</v>
      </c>
      <c r="E2237" s="2" t="s">
        <v>1194</v>
      </c>
      <c r="F2237" s="2" t="s">
        <v>1186</v>
      </c>
      <c r="G2237" s="2" t="s">
        <v>5650</v>
      </c>
    </row>
    <row r="2238" customFormat="false" ht="15" hidden="false" customHeight="false" outlineLevel="0" collapsed="false">
      <c r="A2238" s="2" t="s">
        <v>5651</v>
      </c>
      <c r="B2238" s="2" t="s">
        <v>165</v>
      </c>
      <c r="C2238" s="2" t="s">
        <v>2725</v>
      </c>
      <c r="D2238" s="2" t="s">
        <v>50</v>
      </c>
      <c r="E2238" s="2" t="s">
        <v>1194</v>
      </c>
      <c r="F2238" s="2" t="s">
        <v>1186</v>
      </c>
      <c r="G2238" s="2" t="s">
        <v>5652</v>
      </c>
    </row>
    <row r="2239" customFormat="false" ht="15" hidden="false" customHeight="false" outlineLevel="0" collapsed="false">
      <c r="A2239" s="2" t="s">
        <v>5653</v>
      </c>
      <c r="B2239" s="2" t="s">
        <v>165</v>
      </c>
      <c r="C2239" s="2" t="s">
        <v>2725</v>
      </c>
      <c r="D2239" s="2" t="s">
        <v>50</v>
      </c>
      <c r="E2239" s="2" t="s">
        <v>1194</v>
      </c>
      <c r="F2239" s="2" t="s">
        <v>1186</v>
      </c>
      <c r="G2239" s="2" t="s">
        <v>5654</v>
      </c>
    </row>
    <row r="2240" customFormat="false" ht="15" hidden="false" customHeight="false" outlineLevel="0" collapsed="false">
      <c r="A2240" s="2" t="s">
        <v>5655</v>
      </c>
      <c r="B2240" s="2" t="s">
        <v>165</v>
      </c>
      <c r="C2240" s="2" t="s">
        <v>2725</v>
      </c>
      <c r="D2240" s="2" t="s">
        <v>50</v>
      </c>
      <c r="E2240" s="2" t="s">
        <v>1194</v>
      </c>
      <c r="F2240" s="2" t="s">
        <v>1186</v>
      </c>
      <c r="G2240" s="2" t="s">
        <v>5656</v>
      </c>
    </row>
    <row r="2241" customFormat="false" ht="15" hidden="false" customHeight="false" outlineLevel="0" collapsed="false">
      <c r="A2241" s="2" t="s">
        <v>5657</v>
      </c>
      <c r="B2241" s="2" t="s">
        <v>165</v>
      </c>
      <c r="C2241" s="2" t="s">
        <v>2725</v>
      </c>
      <c r="D2241" s="2" t="s">
        <v>50</v>
      </c>
      <c r="E2241" s="2" t="s">
        <v>1194</v>
      </c>
      <c r="F2241" s="2" t="s">
        <v>1186</v>
      </c>
      <c r="G2241" s="2" t="s">
        <v>5658</v>
      </c>
    </row>
    <row r="2242" customFormat="false" ht="15" hidden="false" customHeight="false" outlineLevel="0" collapsed="false">
      <c r="A2242" s="2" t="s">
        <v>5659</v>
      </c>
      <c r="B2242" s="2" t="s">
        <v>165</v>
      </c>
      <c r="C2242" s="2" t="s">
        <v>2725</v>
      </c>
      <c r="D2242" s="2" t="s">
        <v>50</v>
      </c>
      <c r="E2242" s="2" t="s">
        <v>1194</v>
      </c>
      <c r="F2242" s="2" t="s">
        <v>1186</v>
      </c>
      <c r="G2242" s="2" t="s">
        <v>5660</v>
      </c>
    </row>
    <row r="2243" customFormat="false" ht="15" hidden="false" customHeight="false" outlineLevel="0" collapsed="false">
      <c r="A2243" s="2" t="s">
        <v>5661</v>
      </c>
      <c r="B2243" s="2" t="s">
        <v>165</v>
      </c>
      <c r="C2243" s="2" t="s">
        <v>2725</v>
      </c>
      <c r="D2243" s="2" t="s">
        <v>50</v>
      </c>
      <c r="E2243" s="2" t="s">
        <v>1194</v>
      </c>
      <c r="F2243" s="2" t="s">
        <v>1186</v>
      </c>
      <c r="G2243" s="2" t="s">
        <v>5662</v>
      </c>
    </row>
    <row r="2244" customFormat="false" ht="15" hidden="false" customHeight="false" outlineLevel="0" collapsed="false">
      <c r="A2244" s="2" t="s">
        <v>5663</v>
      </c>
      <c r="B2244" s="2" t="s">
        <v>165</v>
      </c>
      <c r="C2244" s="2" t="s">
        <v>2725</v>
      </c>
      <c r="D2244" s="2" t="s">
        <v>50</v>
      </c>
      <c r="E2244" s="2" t="s">
        <v>1194</v>
      </c>
      <c r="F2244" s="2" t="s">
        <v>1186</v>
      </c>
      <c r="G2244" s="2" t="s">
        <v>5664</v>
      </c>
    </row>
    <row r="2245" customFormat="false" ht="15" hidden="false" customHeight="false" outlineLevel="0" collapsed="false">
      <c r="A2245" s="2" t="s">
        <v>5665</v>
      </c>
      <c r="B2245" s="2" t="s">
        <v>165</v>
      </c>
      <c r="C2245" s="2" t="s">
        <v>2725</v>
      </c>
      <c r="D2245" s="2" t="s">
        <v>50</v>
      </c>
      <c r="E2245" s="2" t="s">
        <v>1194</v>
      </c>
      <c r="F2245" s="2" t="s">
        <v>1186</v>
      </c>
      <c r="G2245" s="2" t="s">
        <v>5666</v>
      </c>
    </row>
    <row r="2246" customFormat="false" ht="15" hidden="false" customHeight="false" outlineLevel="0" collapsed="false">
      <c r="A2246" s="2" t="s">
        <v>5667</v>
      </c>
      <c r="B2246" s="2" t="s">
        <v>165</v>
      </c>
      <c r="C2246" s="2" t="s">
        <v>2725</v>
      </c>
      <c r="D2246" s="2" t="s">
        <v>50</v>
      </c>
      <c r="E2246" s="2" t="s">
        <v>1194</v>
      </c>
      <c r="F2246" s="2" t="s">
        <v>1186</v>
      </c>
      <c r="G2246" s="2" t="s">
        <v>5668</v>
      </c>
    </row>
    <row r="2247" customFormat="false" ht="15" hidden="false" customHeight="false" outlineLevel="0" collapsed="false">
      <c r="A2247" s="2" t="s">
        <v>5669</v>
      </c>
      <c r="B2247" s="2" t="s">
        <v>165</v>
      </c>
      <c r="C2247" s="2" t="s">
        <v>2725</v>
      </c>
      <c r="D2247" s="2" t="s">
        <v>50</v>
      </c>
      <c r="E2247" s="2" t="s">
        <v>1194</v>
      </c>
      <c r="F2247" s="2" t="s">
        <v>1186</v>
      </c>
      <c r="G2247" s="2" t="s">
        <v>5670</v>
      </c>
    </row>
    <row r="2248" customFormat="false" ht="15" hidden="false" customHeight="false" outlineLevel="0" collapsed="false">
      <c r="A2248" s="2" t="s">
        <v>5671</v>
      </c>
      <c r="B2248" s="2" t="s">
        <v>165</v>
      </c>
      <c r="C2248" s="2" t="s">
        <v>2725</v>
      </c>
      <c r="D2248" s="2" t="s">
        <v>50</v>
      </c>
      <c r="E2248" s="2" t="s">
        <v>1194</v>
      </c>
      <c r="F2248" s="2" t="s">
        <v>1186</v>
      </c>
      <c r="G2248" s="2" t="s">
        <v>5672</v>
      </c>
    </row>
    <row r="2249" customFormat="false" ht="15" hidden="false" customHeight="false" outlineLevel="0" collapsed="false">
      <c r="A2249" s="2" t="s">
        <v>5673</v>
      </c>
      <c r="B2249" s="2" t="s">
        <v>165</v>
      </c>
      <c r="C2249" s="2" t="s">
        <v>2725</v>
      </c>
      <c r="D2249" s="2" t="s">
        <v>50</v>
      </c>
      <c r="E2249" s="2" t="s">
        <v>1194</v>
      </c>
      <c r="F2249" s="2" t="s">
        <v>1186</v>
      </c>
      <c r="G2249" s="2" t="s">
        <v>5674</v>
      </c>
    </row>
    <row r="2250" customFormat="false" ht="15" hidden="false" customHeight="false" outlineLevel="0" collapsed="false">
      <c r="A2250" s="2" t="s">
        <v>5675</v>
      </c>
      <c r="B2250" s="2" t="s">
        <v>165</v>
      </c>
      <c r="C2250" s="2" t="s">
        <v>2725</v>
      </c>
      <c r="D2250" s="2" t="s">
        <v>50</v>
      </c>
      <c r="E2250" s="2" t="s">
        <v>1194</v>
      </c>
      <c r="F2250" s="2" t="s">
        <v>1186</v>
      </c>
      <c r="G2250" s="2" t="s">
        <v>5676</v>
      </c>
    </row>
    <row r="2251" customFormat="false" ht="15" hidden="false" customHeight="false" outlineLevel="0" collapsed="false">
      <c r="A2251" s="2" t="s">
        <v>5677</v>
      </c>
      <c r="B2251" s="2" t="s">
        <v>165</v>
      </c>
      <c r="C2251" s="2" t="s">
        <v>2725</v>
      </c>
      <c r="D2251" s="2" t="s">
        <v>50</v>
      </c>
      <c r="E2251" s="2" t="s">
        <v>1194</v>
      </c>
      <c r="F2251" s="2" t="s">
        <v>1186</v>
      </c>
      <c r="G2251" s="2" t="s">
        <v>5678</v>
      </c>
    </row>
    <row r="2252" customFormat="false" ht="15" hidden="false" customHeight="false" outlineLevel="0" collapsed="false">
      <c r="A2252" s="2" t="s">
        <v>5679</v>
      </c>
      <c r="B2252" s="2" t="s">
        <v>165</v>
      </c>
      <c r="C2252" s="2" t="s">
        <v>2725</v>
      </c>
      <c r="D2252" s="2" t="s">
        <v>50</v>
      </c>
      <c r="E2252" s="2" t="s">
        <v>1194</v>
      </c>
      <c r="F2252" s="2" t="s">
        <v>1186</v>
      </c>
      <c r="G2252" s="2" t="s">
        <v>5680</v>
      </c>
    </row>
    <row r="2253" customFormat="false" ht="15" hidden="false" customHeight="false" outlineLevel="0" collapsed="false">
      <c r="A2253" s="2" t="s">
        <v>5681</v>
      </c>
      <c r="B2253" s="2" t="s">
        <v>165</v>
      </c>
      <c r="C2253" s="2" t="s">
        <v>2725</v>
      </c>
      <c r="D2253" s="2" t="s">
        <v>50</v>
      </c>
      <c r="E2253" s="2" t="s">
        <v>1194</v>
      </c>
      <c r="F2253" s="2" t="s">
        <v>1186</v>
      </c>
      <c r="G2253" s="2" t="s">
        <v>5682</v>
      </c>
    </row>
    <row r="2254" customFormat="false" ht="15" hidden="false" customHeight="false" outlineLevel="0" collapsed="false">
      <c r="A2254" s="2" t="s">
        <v>5683</v>
      </c>
      <c r="B2254" s="2" t="s">
        <v>165</v>
      </c>
      <c r="C2254" s="2" t="s">
        <v>2725</v>
      </c>
      <c r="D2254" s="2" t="s">
        <v>50</v>
      </c>
      <c r="E2254" s="2" t="s">
        <v>1194</v>
      </c>
      <c r="F2254" s="2" t="s">
        <v>1186</v>
      </c>
      <c r="G2254" s="2" t="s">
        <v>5684</v>
      </c>
    </row>
    <row r="2255" customFormat="false" ht="15" hidden="false" customHeight="false" outlineLevel="0" collapsed="false">
      <c r="A2255" s="2" t="s">
        <v>5685</v>
      </c>
      <c r="B2255" s="2" t="s">
        <v>165</v>
      </c>
      <c r="C2255" s="2" t="s">
        <v>2725</v>
      </c>
      <c r="D2255" s="2" t="s">
        <v>50</v>
      </c>
      <c r="E2255" s="2" t="s">
        <v>1194</v>
      </c>
      <c r="F2255" s="2" t="s">
        <v>1186</v>
      </c>
      <c r="G2255" s="2" t="s">
        <v>5686</v>
      </c>
    </row>
    <row r="2256" customFormat="false" ht="15" hidden="false" customHeight="false" outlineLevel="0" collapsed="false">
      <c r="A2256" s="2" t="s">
        <v>5687</v>
      </c>
      <c r="B2256" s="2" t="s">
        <v>165</v>
      </c>
      <c r="C2256" s="2" t="s">
        <v>2725</v>
      </c>
      <c r="D2256" s="2" t="s">
        <v>50</v>
      </c>
      <c r="E2256" s="2" t="s">
        <v>1194</v>
      </c>
      <c r="F2256" s="2" t="s">
        <v>1186</v>
      </c>
      <c r="G2256" s="2" t="s">
        <v>5688</v>
      </c>
    </row>
    <row r="2257" customFormat="false" ht="15" hidden="false" customHeight="false" outlineLevel="0" collapsed="false">
      <c r="A2257" s="2" t="s">
        <v>5689</v>
      </c>
      <c r="B2257" s="2" t="s">
        <v>165</v>
      </c>
      <c r="C2257" s="2" t="s">
        <v>2725</v>
      </c>
      <c r="D2257" s="2" t="s">
        <v>50</v>
      </c>
      <c r="E2257" s="2" t="s">
        <v>1194</v>
      </c>
      <c r="F2257" s="2" t="s">
        <v>1186</v>
      </c>
      <c r="G2257" s="2" t="s">
        <v>5690</v>
      </c>
    </row>
    <row r="2258" customFormat="false" ht="15" hidden="false" customHeight="false" outlineLevel="0" collapsed="false">
      <c r="A2258" s="2" t="s">
        <v>5691</v>
      </c>
      <c r="B2258" s="2" t="s">
        <v>165</v>
      </c>
      <c r="C2258" s="2" t="s">
        <v>2725</v>
      </c>
      <c r="D2258" s="2" t="s">
        <v>50</v>
      </c>
      <c r="E2258" s="2" t="s">
        <v>1194</v>
      </c>
      <c r="F2258" s="2" t="s">
        <v>1186</v>
      </c>
      <c r="G2258" s="2" t="s">
        <v>5692</v>
      </c>
    </row>
    <row r="2259" customFormat="false" ht="15" hidden="false" customHeight="false" outlineLevel="0" collapsed="false">
      <c r="A2259" s="2" t="s">
        <v>5693</v>
      </c>
      <c r="B2259" s="2" t="s">
        <v>165</v>
      </c>
      <c r="C2259" s="2" t="s">
        <v>2725</v>
      </c>
      <c r="D2259" s="2" t="s">
        <v>50</v>
      </c>
      <c r="E2259" s="2" t="s">
        <v>1194</v>
      </c>
      <c r="F2259" s="2" t="s">
        <v>1186</v>
      </c>
      <c r="G2259" s="2" t="s">
        <v>5694</v>
      </c>
    </row>
    <row r="2260" customFormat="false" ht="15" hidden="false" customHeight="false" outlineLevel="0" collapsed="false">
      <c r="A2260" s="2" t="s">
        <v>5695</v>
      </c>
      <c r="B2260" s="2" t="s">
        <v>165</v>
      </c>
      <c r="C2260" s="2" t="s">
        <v>2725</v>
      </c>
      <c r="D2260" s="2" t="s">
        <v>50</v>
      </c>
      <c r="E2260" s="2" t="s">
        <v>1194</v>
      </c>
      <c r="F2260" s="2" t="s">
        <v>1186</v>
      </c>
      <c r="G2260" s="2" t="s">
        <v>5696</v>
      </c>
    </row>
    <row r="2261" customFormat="false" ht="15" hidden="false" customHeight="false" outlineLevel="0" collapsed="false">
      <c r="A2261" s="2" t="s">
        <v>5697</v>
      </c>
      <c r="B2261" s="2" t="s">
        <v>165</v>
      </c>
      <c r="C2261" s="2" t="s">
        <v>2725</v>
      </c>
      <c r="D2261" s="2" t="s">
        <v>50</v>
      </c>
      <c r="E2261" s="2" t="s">
        <v>1194</v>
      </c>
      <c r="F2261" s="2" t="s">
        <v>1186</v>
      </c>
      <c r="G2261" s="2" t="s">
        <v>5698</v>
      </c>
    </row>
    <row r="2262" customFormat="false" ht="15" hidden="false" customHeight="false" outlineLevel="0" collapsed="false">
      <c r="A2262" s="2" t="s">
        <v>5699</v>
      </c>
      <c r="B2262" s="2" t="s">
        <v>165</v>
      </c>
      <c r="C2262" s="2" t="s">
        <v>2725</v>
      </c>
      <c r="D2262" s="2" t="s">
        <v>50</v>
      </c>
      <c r="E2262" s="2" t="s">
        <v>1194</v>
      </c>
      <c r="F2262" s="2" t="s">
        <v>1186</v>
      </c>
      <c r="G2262" s="2" t="s">
        <v>5700</v>
      </c>
    </row>
    <row r="2263" customFormat="false" ht="15" hidden="false" customHeight="false" outlineLevel="0" collapsed="false">
      <c r="A2263" s="2" t="s">
        <v>5701</v>
      </c>
      <c r="B2263" s="2" t="s">
        <v>165</v>
      </c>
      <c r="C2263" s="2" t="s">
        <v>2725</v>
      </c>
      <c r="D2263" s="2" t="s">
        <v>50</v>
      </c>
      <c r="E2263" s="2" t="s">
        <v>1194</v>
      </c>
      <c r="F2263" s="2" t="s">
        <v>1186</v>
      </c>
      <c r="G2263" s="2" t="s">
        <v>5702</v>
      </c>
    </row>
    <row r="2264" customFormat="false" ht="15" hidden="false" customHeight="false" outlineLevel="0" collapsed="false">
      <c r="A2264" s="2" t="s">
        <v>5703</v>
      </c>
      <c r="B2264" s="2" t="s">
        <v>165</v>
      </c>
      <c r="C2264" s="2" t="s">
        <v>2725</v>
      </c>
      <c r="D2264" s="2" t="s">
        <v>50</v>
      </c>
      <c r="E2264" s="2" t="s">
        <v>1194</v>
      </c>
      <c r="F2264" s="2" t="s">
        <v>1186</v>
      </c>
      <c r="G2264" s="2" t="s">
        <v>5704</v>
      </c>
    </row>
    <row r="2265" customFormat="false" ht="15" hidden="false" customHeight="false" outlineLevel="0" collapsed="false">
      <c r="A2265" s="2" t="s">
        <v>5705</v>
      </c>
      <c r="B2265" s="2" t="s">
        <v>165</v>
      </c>
      <c r="C2265" s="2" t="s">
        <v>2725</v>
      </c>
      <c r="D2265" s="2" t="s">
        <v>50</v>
      </c>
      <c r="E2265" s="2" t="s">
        <v>1194</v>
      </c>
      <c r="F2265" s="2" t="s">
        <v>1186</v>
      </c>
      <c r="G2265" s="2" t="s">
        <v>5706</v>
      </c>
    </row>
    <row r="2266" customFormat="false" ht="15" hidden="false" customHeight="false" outlineLevel="0" collapsed="false">
      <c r="A2266" s="2" t="s">
        <v>5707</v>
      </c>
      <c r="B2266" s="2" t="s">
        <v>165</v>
      </c>
      <c r="C2266" s="2" t="s">
        <v>2725</v>
      </c>
      <c r="D2266" s="2" t="s">
        <v>50</v>
      </c>
      <c r="E2266" s="2" t="s">
        <v>1194</v>
      </c>
      <c r="F2266" s="2" t="s">
        <v>1186</v>
      </c>
      <c r="G2266" s="2" t="s">
        <v>5708</v>
      </c>
    </row>
    <row r="2267" customFormat="false" ht="15" hidden="false" customHeight="false" outlineLevel="0" collapsed="false">
      <c r="A2267" s="2" t="s">
        <v>5709</v>
      </c>
      <c r="B2267" s="2" t="s">
        <v>165</v>
      </c>
      <c r="C2267" s="2" t="s">
        <v>2725</v>
      </c>
      <c r="D2267" s="2" t="s">
        <v>50</v>
      </c>
      <c r="E2267" s="2" t="s">
        <v>1194</v>
      </c>
      <c r="F2267" s="2" t="s">
        <v>1186</v>
      </c>
      <c r="G2267" s="2" t="s">
        <v>5710</v>
      </c>
    </row>
    <row r="2268" customFormat="false" ht="15" hidden="false" customHeight="false" outlineLevel="0" collapsed="false">
      <c r="A2268" s="2" t="s">
        <v>5711</v>
      </c>
      <c r="B2268" s="2" t="s">
        <v>165</v>
      </c>
      <c r="C2268" s="2" t="s">
        <v>2725</v>
      </c>
      <c r="D2268" s="2" t="s">
        <v>50</v>
      </c>
      <c r="E2268" s="2" t="s">
        <v>1194</v>
      </c>
      <c r="F2268" s="2" t="s">
        <v>1186</v>
      </c>
      <c r="G2268" s="2" t="s">
        <v>5712</v>
      </c>
    </row>
    <row r="2269" customFormat="false" ht="15" hidden="false" customHeight="false" outlineLevel="0" collapsed="false">
      <c r="A2269" s="2" t="s">
        <v>5713</v>
      </c>
      <c r="B2269" s="2" t="s">
        <v>165</v>
      </c>
      <c r="C2269" s="2" t="s">
        <v>2725</v>
      </c>
      <c r="D2269" s="2" t="s">
        <v>50</v>
      </c>
      <c r="E2269" s="2" t="s">
        <v>1194</v>
      </c>
      <c r="F2269" s="2" t="s">
        <v>1186</v>
      </c>
      <c r="G2269" s="2" t="s">
        <v>5714</v>
      </c>
    </row>
    <row r="2270" customFormat="false" ht="15" hidden="false" customHeight="false" outlineLevel="0" collapsed="false">
      <c r="A2270" s="2" t="s">
        <v>5715</v>
      </c>
      <c r="B2270" s="2" t="s">
        <v>165</v>
      </c>
      <c r="C2270" s="2" t="s">
        <v>2725</v>
      </c>
      <c r="D2270" s="2" t="s">
        <v>50</v>
      </c>
      <c r="E2270" s="2" t="s">
        <v>1194</v>
      </c>
      <c r="F2270" s="2" t="s">
        <v>1186</v>
      </c>
      <c r="G2270" s="2" t="s">
        <v>5716</v>
      </c>
    </row>
    <row r="2271" customFormat="false" ht="15" hidden="false" customHeight="false" outlineLevel="0" collapsed="false">
      <c r="A2271" s="2" t="s">
        <v>5717</v>
      </c>
      <c r="B2271" s="2" t="s">
        <v>165</v>
      </c>
      <c r="C2271" s="2" t="s">
        <v>2725</v>
      </c>
      <c r="D2271" s="2" t="s">
        <v>50</v>
      </c>
      <c r="E2271" s="2" t="s">
        <v>1194</v>
      </c>
      <c r="F2271" s="2" t="s">
        <v>1186</v>
      </c>
      <c r="G2271" s="2" t="s">
        <v>5718</v>
      </c>
    </row>
    <row r="2272" customFormat="false" ht="15" hidden="false" customHeight="false" outlineLevel="0" collapsed="false">
      <c r="A2272" s="2" t="s">
        <v>5719</v>
      </c>
      <c r="B2272" s="2" t="s">
        <v>165</v>
      </c>
      <c r="C2272" s="2" t="s">
        <v>2725</v>
      </c>
      <c r="D2272" s="2" t="s">
        <v>50</v>
      </c>
      <c r="E2272" s="2" t="s">
        <v>1194</v>
      </c>
      <c r="F2272" s="2" t="s">
        <v>1186</v>
      </c>
      <c r="G2272" s="2" t="s">
        <v>5720</v>
      </c>
    </row>
    <row r="2273" customFormat="false" ht="15" hidden="false" customHeight="false" outlineLevel="0" collapsed="false">
      <c r="A2273" s="2" t="s">
        <v>5721</v>
      </c>
      <c r="B2273" s="2" t="s">
        <v>165</v>
      </c>
      <c r="C2273" s="2" t="s">
        <v>2725</v>
      </c>
      <c r="D2273" s="2" t="s">
        <v>50</v>
      </c>
      <c r="E2273" s="2" t="s">
        <v>1194</v>
      </c>
      <c r="F2273" s="2" t="s">
        <v>1186</v>
      </c>
      <c r="G2273" s="2" t="s">
        <v>5722</v>
      </c>
    </row>
    <row r="2274" customFormat="false" ht="15" hidden="false" customHeight="false" outlineLevel="0" collapsed="false">
      <c r="A2274" s="2" t="s">
        <v>5723</v>
      </c>
      <c r="B2274" s="2" t="s">
        <v>165</v>
      </c>
      <c r="C2274" s="2" t="s">
        <v>2725</v>
      </c>
      <c r="D2274" s="2" t="s">
        <v>50</v>
      </c>
      <c r="E2274" s="2" t="s">
        <v>1194</v>
      </c>
      <c r="F2274" s="2" t="s">
        <v>1186</v>
      </c>
      <c r="G2274" s="2" t="s">
        <v>5724</v>
      </c>
    </row>
    <row r="2275" customFormat="false" ht="15" hidden="false" customHeight="false" outlineLevel="0" collapsed="false">
      <c r="A2275" s="2" t="s">
        <v>5725</v>
      </c>
      <c r="B2275" s="2" t="s">
        <v>165</v>
      </c>
      <c r="C2275" s="2" t="s">
        <v>2725</v>
      </c>
      <c r="D2275" s="2" t="s">
        <v>50</v>
      </c>
      <c r="E2275" s="2" t="s">
        <v>1194</v>
      </c>
      <c r="F2275" s="2" t="s">
        <v>1186</v>
      </c>
      <c r="G2275" s="2" t="s">
        <v>5726</v>
      </c>
    </row>
    <row r="2276" customFormat="false" ht="15" hidden="false" customHeight="false" outlineLevel="0" collapsed="false">
      <c r="A2276" s="2" t="s">
        <v>5727</v>
      </c>
      <c r="B2276" s="2" t="s">
        <v>165</v>
      </c>
      <c r="C2276" s="2" t="s">
        <v>2725</v>
      </c>
      <c r="D2276" s="2" t="s">
        <v>50</v>
      </c>
      <c r="E2276" s="2" t="s">
        <v>1194</v>
      </c>
      <c r="F2276" s="2" t="s">
        <v>1186</v>
      </c>
      <c r="G2276" s="2" t="s">
        <v>5728</v>
      </c>
    </row>
    <row r="2277" customFormat="false" ht="15" hidden="false" customHeight="false" outlineLevel="0" collapsed="false">
      <c r="A2277" s="2" t="s">
        <v>5729</v>
      </c>
      <c r="B2277" s="2" t="s">
        <v>165</v>
      </c>
      <c r="C2277" s="2" t="s">
        <v>2725</v>
      </c>
      <c r="D2277" s="2" t="s">
        <v>50</v>
      </c>
      <c r="E2277" s="2" t="s">
        <v>1194</v>
      </c>
      <c r="F2277" s="2" t="s">
        <v>1186</v>
      </c>
      <c r="G2277" s="2" t="s">
        <v>5730</v>
      </c>
    </row>
    <row r="2278" customFormat="false" ht="15" hidden="false" customHeight="false" outlineLevel="0" collapsed="false">
      <c r="A2278" s="2" t="s">
        <v>5731</v>
      </c>
      <c r="B2278" s="2" t="s">
        <v>165</v>
      </c>
      <c r="C2278" s="2" t="s">
        <v>2725</v>
      </c>
      <c r="D2278" s="2" t="s">
        <v>50</v>
      </c>
      <c r="E2278" s="2" t="s">
        <v>1194</v>
      </c>
      <c r="F2278" s="2" t="s">
        <v>1186</v>
      </c>
      <c r="G2278" s="2" t="s">
        <v>5732</v>
      </c>
    </row>
    <row r="2279" customFormat="false" ht="15" hidden="false" customHeight="false" outlineLevel="0" collapsed="false">
      <c r="A2279" s="2" t="s">
        <v>5733</v>
      </c>
      <c r="B2279" s="2" t="s">
        <v>165</v>
      </c>
      <c r="C2279" s="2" t="s">
        <v>2725</v>
      </c>
      <c r="D2279" s="2" t="s">
        <v>50</v>
      </c>
      <c r="E2279" s="2" t="s">
        <v>1194</v>
      </c>
      <c r="F2279" s="2" t="s">
        <v>1186</v>
      </c>
      <c r="G2279" s="2" t="s">
        <v>5734</v>
      </c>
    </row>
    <row r="2280" customFormat="false" ht="15" hidden="false" customHeight="false" outlineLevel="0" collapsed="false">
      <c r="A2280" s="2" t="s">
        <v>5735</v>
      </c>
      <c r="B2280" s="2" t="s">
        <v>165</v>
      </c>
      <c r="C2280" s="2" t="s">
        <v>2725</v>
      </c>
      <c r="D2280" s="2" t="s">
        <v>50</v>
      </c>
      <c r="E2280" s="2" t="s">
        <v>1194</v>
      </c>
      <c r="F2280" s="2" t="s">
        <v>1186</v>
      </c>
      <c r="G2280" s="2" t="s">
        <v>5736</v>
      </c>
    </row>
    <row r="2281" customFormat="false" ht="15" hidden="false" customHeight="false" outlineLevel="0" collapsed="false">
      <c r="A2281" s="2" t="s">
        <v>5737</v>
      </c>
      <c r="B2281" s="2" t="s">
        <v>165</v>
      </c>
      <c r="C2281" s="2" t="s">
        <v>2725</v>
      </c>
      <c r="D2281" s="2" t="s">
        <v>50</v>
      </c>
      <c r="E2281" s="2" t="s">
        <v>1194</v>
      </c>
      <c r="F2281" s="2" t="s">
        <v>1186</v>
      </c>
      <c r="G2281" s="2" t="s">
        <v>5738</v>
      </c>
    </row>
    <row r="2282" customFormat="false" ht="15" hidden="false" customHeight="false" outlineLevel="0" collapsed="false">
      <c r="A2282" s="2" t="s">
        <v>5739</v>
      </c>
      <c r="B2282" s="2" t="s">
        <v>165</v>
      </c>
      <c r="C2282" s="2" t="s">
        <v>2725</v>
      </c>
      <c r="D2282" s="2" t="s">
        <v>50</v>
      </c>
      <c r="E2282" s="2" t="s">
        <v>1194</v>
      </c>
      <c r="F2282" s="2" t="s">
        <v>1186</v>
      </c>
      <c r="G2282" s="2" t="s">
        <v>5740</v>
      </c>
    </row>
    <row r="2283" customFormat="false" ht="15" hidden="false" customHeight="false" outlineLevel="0" collapsed="false">
      <c r="A2283" s="2" t="s">
        <v>5741</v>
      </c>
      <c r="B2283" s="2" t="s">
        <v>165</v>
      </c>
      <c r="C2283" s="2" t="s">
        <v>2725</v>
      </c>
      <c r="D2283" s="2" t="s">
        <v>50</v>
      </c>
      <c r="E2283" s="2" t="s">
        <v>1194</v>
      </c>
      <c r="F2283" s="2" t="s">
        <v>1186</v>
      </c>
      <c r="G2283" s="2" t="s">
        <v>5742</v>
      </c>
    </row>
    <row r="2284" customFormat="false" ht="15" hidden="false" customHeight="false" outlineLevel="0" collapsed="false">
      <c r="A2284" s="2" t="s">
        <v>5743</v>
      </c>
      <c r="B2284" s="2" t="s">
        <v>165</v>
      </c>
      <c r="C2284" s="2" t="s">
        <v>2725</v>
      </c>
      <c r="D2284" s="2" t="s">
        <v>50</v>
      </c>
      <c r="E2284" s="2" t="s">
        <v>1194</v>
      </c>
      <c r="F2284" s="2" t="s">
        <v>1186</v>
      </c>
      <c r="G2284" s="2" t="s">
        <v>5744</v>
      </c>
    </row>
    <row r="2285" customFormat="false" ht="15" hidden="false" customHeight="false" outlineLevel="0" collapsed="false">
      <c r="A2285" s="2" t="s">
        <v>5745</v>
      </c>
      <c r="B2285" s="2" t="s">
        <v>165</v>
      </c>
      <c r="C2285" s="2" t="s">
        <v>2725</v>
      </c>
      <c r="D2285" s="2" t="s">
        <v>50</v>
      </c>
      <c r="E2285" s="2" t="s">
        <v>1194</v>
      </c>
      <c r="F2285" s="2" t="s">
        <v>1186</v>
      </c>
      <c r="G2285" s="2" t="s">
        <v>5746</v>
      </c>
    </row>
    <row r="2286" customFormat="false" ht="15" hidden="false" customHeight="false" outlineLevel="0" collapsed="false">
      <c r="A2286" s="2" t="s">
        <v>5747</v>
      </c>
      <c r="B2286" s="2" t="s">
        <v>165</v>
      </c>
      <c r="C2286" s="2" t="s">
        <v>2725</v>
      </c>
      <c r="D2286" s="2" t="s">
        <v>50</v>
      </c>
      <c r="E2286" s="2" t="s">
        <v>1194</v>
      </c>
      <c r="F2286" s="2" t="s">
        <v>1186</v>
      </c>
      <c r="G2286" s="2" t="s">
        <v>5748</v>
      </c>
    </row>
    <row r="2287" customFormat="false" ht="15" hidden="false" customHeight="false" outlineLevel="0" collapsed="false">
      <c r="A2287" s="2" t="s">
        <v>5749</v>
      </c>
      <c r="B2287" s="2" t="s">
        <v>165</v>
      </c>
      <c r="C2287" s="2" t="s">
        <v>2725</v>
      </c>
      <c r="D2287" s="2" t="s">
        <v>50</v>
      </c>
      <c r="E2287" s="2" t="s">
        <v>1194</v>
      </c>
      <c r="F2287" s="2" t="s">
        <v>1186</v>
      </c>
      <c r="G2287" s="2" t="s">
        <v>5750</v>
      </c>
    </row>
    <row r="2288" customFormat="false" ht="15" hidden="false" customHeight="false" outlineLevel="0" collapsed="false">
      <c r="A2288" s="2" t="s">
        <v>5751</v>
      </c>
      <c r="B2288" s="2" t="s">
        <v>165</v>
      </c>
      <c r="C2288" s="2" t="s">
        <v>2725</v>
      </c>
      <c r="D2288" s="2" t="s">
        <v>50</v>
      </c>
      <c r="E2288" s="2" t="s">
        <v>1194</v>
      </c>
      <c r="F2288" s="2" t="s">
        <v>1186</v>
      </c>
      <c r="G2288" s="2" t="s">
        <v>5752</v>
      </c>
    </row>
    <row r="2289" customFormat="false" ht="15" hidden="false" customHeight="false" outlineLevel="0" collapsed="false">
      <c r="A2289" s="2" t="s">
        <v>5753</v>
      </c>
      <c r="B2289" s="2" t="s">
        <v>165</v>
      </c>
      <c r="C2289" s="2" t="s">
        <v>2725</v>
      </c>
      <c r="D2289" s="2" t="s">
        <v>50</v>
      </c>
      <c r="E2289" s="2" t="s">
        <v>1194</v>
      </c>
      <c r="F2289" s="2" t="s">
        <v>1186</v>
      </c>
      <c r="G2289" s="2" t="s">
        <v>5754</v>
      </c>
    </row>
    <row r="2290" customFormat="false" ht="15" hidden="false" customHeight="false" outlineLevel="0" collapsed="false">
      <c r="A2290" s="2" t="s">
        <v>5755</v>
      </c>
      <c r="B2290" s="2" t="s">
        <v>165</v>
      </c>
      <c r="C2290" s="2" t="s">
        <v>2725</v>
      </c>
      <c r="D2290" s="2" t="s">
        <v>50</v>
      </c>
      <c r="E2290" s="2" t="s">
        <v>1194</v>
      </c>
      <c r="F2290" s="2" t="s">
        <v>1186</v>
      </c>
      <c r="G2290" s="2" t="s">
        <v>5756</v>
      </c>
    </row>
    <row r="2291" customFormat="false" ht="15" hidden="false" customHeight="false" outlineLevel="0" collapsed="false">
      <c r="A2291" s="2" t="s">
        <v>5757</v>
      </c>
      <c r="B2291" s="2" t="s">
        <v>165</v>
      </c>
      <c r="C2291" s="2" t="s">
        <v>2725</v>
      </c>
      <c r="D2291" s="2" t="s">
        <v>50</v>
      </c>
      <c r="E2291" s="2" t="s">
        <v>1194</v>
      </c>
      <c r="F2291" s="2" t="s">
        <v>1186</v>
      </c>
      <c r="G2291" s="2" t="s">
        <v>5758</v>
      </c>
    </row>
    <row r="2292" customFormat="false" ht="15" hidden="false" customHeight="false" outlineLevel="0" collapsed="false">
      <c r="A2292" s="2" t="s">
        <v>5759</v>
      </c>
      <c r="B2292" s="2" t="s">
        <v>165</v>
      </c>
      <c r="C2292" s="2" t="s">
        <v>2725</v>
      </c>
      <c r="D2292" s="2" t="s">
        <v>50</v>
      </c>
      <c r="E2292" s="2" t="s">
        <v>1194</v>
      </c>
      <c r="F2292" s="2" t="s">
        <v>1186</v>
      </c>
      <c r="G2292" s="2" t="s">
        <v>5760</v>
      </c>
    </row>
    <row r="2293" customFormat="false" ht="15" hidden="false" customHeight="false" outlineLevel="0" collapsed="false">
      <c r="A2293" s="2" t="s">
        <v>5761</v>
      </c>
      <c r="B2293" s="2" t="s">
        <v>165</v>
      </c>
      <c r="C2293" s="2" t="s">
        <v>2725</v>
      </c>
      <c r="D2293" s="2" t="s">
        <v>50</v>
      </c>
      <c r="E2293" s="2" t="s">
        <v>1194</v>
      </c>
      <c r="F2293" s="2" t="s">
        <v>1186</v>
      </c>
      <c r="G2293" s="2" t="s">
        <v>5762</v>
      </c>
    </row>
    <row r="2294" customFormat="false" ht="15" hidden="false" customHeight="false" outlineLevel="0" collapsed="false">
      <c r="A2294" s="2" t="s">
        <v>5763</v>
      </c>
      <c r="B2294" s="2" t="s">
        <v>165</v>
      </c>
      <c r="C2294" s="2" t="s">
        <v>2725</v>
      </c>
      <c r="D2294" s="2" t="s">
        <v>50</v>
      </c>
      <c r="E2294" s="2" t="s">
        <v>1194</v>
      </c>
      <c r="F2294" s="2" t="s">
        <v>1186</v>
      </c>
      <c r="G2294" s="2" t="s">
        <v>5764</v>
      </c>
    </row>
    <row r="2295" customFormat="false" ht="15" hidden="false" customHeight="false" outlineLevel="0" collapsed="false">
      <c r="A2295" s="2" t="s">
        <v>5765</v>
      </c>
      <c r="B2295" s="2" t="s">
        <v>165</v>
      </c>
      <c r="C2295" s="2" t="s">
        <v>2725</v>
      </c>
      <c r="D2295" s="2" t="s">
        <v>50</v>
      </c>
      <c r="E2295" s="2" t="s">
        <v>1194</v>
      </c>
      <c r="F2295" s="2" t="s">
        <v>1186</v>
      </c>
      <c r="G2295" s="2" t="s">
        <v>5766</v>
      </c>
    </row>
    <row r="2296" customFormat="false" ht="15" hidden="false" customHeight="false" outlineLevel="0" collapsed="false">
      <c r="A2296" s="2" t="s">
        <v>5767</v>
      </c>
      <c r="B2296" s="2" t="s">
        <v>165</v>
      </c>
      <c r="C2296" s="2" t="s">
        <v>2725</v>
      </c>
      <c r="D2296" s="2" t="s">
        <v>50</v>
      </c>
      <c r="E2296" s="2" t="s">
        <v>1194</v>
      </c>
      <c r="F2296" s="2" t="s">
        <v>1186</v>
      </c>
      <c r="G2296" s="2" t="s">
        <v>5768</v>
      </c>
    </row>
    <row r="2297" customFormat="false" ht="15" hidden="false" customHeight="false" outlineLevel="0" collapsed="false">
      <c r="A2297" s="2" t="s">
        <v>5769</v>
      </c>
      <c r="B2297" s="2" t="s">
        <v>165</v>
      </c>
      <c r="C2297" s="2" t="s">
        <v>2725</v>
      </c>
      <c r="D2297" s="2" t="s">
        <v>50</v>
      </c>
      <c r="E2297" s="2" t="s">
        <v>1194</v>
      </c>
      <c r="F2297" s="2" t="s">
        <v>1186</v>
      </c>
      <c r="G2297" s="2" t="s">
        <v>5770</v>
      </c>
    </row>
    <row r="2298" customFormat="false" ht="15" hidden="false" customHeight="false" outlineLevel="0" collapsed="false">
      <c r="A2298" s="2" t="s">
        <v>5771</v>
      </c>
      <c r="B2298" s="2" t="s">
        <v>165</v>
      </c>
      <c r="C2298" s="2" t="s">
        <v>2725</v>
      </c>
      <c r="D2298" s="2" t="s">
        <v>50</v>
      </c>
      <c r="E2298" s="2" t="s">
        <v>1194</v>
      </c>
      <c r="F2298" s="2" t="s">
        <v>1186</v>
      </c>
      <c r="G2298" s="2" t="s">
        <v>5772</v>
      </c>
    </row>
    <row r="2299" customFormat="false" ht="15" hidden="false" customHeight="false" outlineLevel="0" collapsed="false">
      <c r="A2299" s="2" t="s">
        <v>5773</v>
      </c>
      <c r="B2299" s="2" t="s">
        <v>165</v>
      </c>
      <c r="C2299" s="2" t="s">
        <v>2725</v>
      </c>
      <c r="D2299" s="2" t="s">
        <v>50</v>
      </c>
      <c r="E2299" s="2" t="s">
        <v>1194</v>
      </c>
      <c r="F2299" s="2" t="s">
        <v>1186</v>
      </c>
      <c r="G2299" s="2" t="s">
        <v>5774</v>
      </c>
    </row>
    <row r="2300" customFormat="false" ht="15" hidden="false" customHeight="false" outlineLevel="0" collapsed="false">
      <c r="A2300" s="2" t="s">
        <v>5775</v>
      </c>
      <c r="B2300" s="2" t="s">
        <v>165</v>
      </c>
      <c r="C2300" s="2" t="s">
        <v>2725</v>
      </c>
      <c r="D2300" s="2" t="s">
        <v>50</v>
      </c>
      <c r="E2300" s="2" t="s">
        <v>1194</v>
      </c>
      <c r="F2300" s="2" t="s">
        <v>1186</v>
      </c>
      <c r="G2300" s="2" t="s">
        <v>5776</v>
      </c>
    </row>
    <row r="2301" customFormat="false" ht="15" hidden="false" customHeight="false" outlineLevel="0" collapsed="false">
      <c r="A2301" s="2" t="s">
        <v>5777</v>
      </c>
      <c r="B2301" s="2" t="s">
        <v>165</v>
      </c>
      <c r="C2301" s="2" t="s">
        <v>2725</v>
      </c>
      <c r="D2301" s="2" t="s">
        <v>50</v>
      </c>
      <c r="E2301" s="2" t="s">
        <v>1194</v>
      </c>
      <c r="F2301" s="2" t="s">
        <v>1186</v>
      </c>
      <c r="G2301" s="2" t="s">
        <v>5778</v>
      </c>
    </row>
    <row r="2302" customFormat="false" ht="15" hidden="false" customHeight="false" outlineLevel="0" collapsed="false">
      <c r="A2302" s="2" t="s">
        <v>5779</v>
      </c>
      <c r="B2302" s="2" t="s">
        <v>165</v>
      </c>
      <c r="C2302" s="2" t="s">
        <v>2725</v>
      </c>
      <c r="D2302" s="2" t="s">
        <v>50</v>
      </c>
      <c r="E2302" s="2" t="s">
        <v>1194</v>
      </c>
      <c r="F2302" s="2" t="s">
        <v>1186</v>
      </c>
      <c r="G2302" s="2" t="s">
        <v>5780</v>
      </c>
    </row>
    <row r="2303" customFormat="false" ht="15" hidden="false" customHeight="false" outlineLevel="0" collapsed="false">
      <c r="A2303" s="2" t="s">
        <v>5781</v>
      </c>
      <c r="B2303" s="2" t="s">
        <v>165</v>
      </c>
      <c r="C2303" s="2" t="s">
        <v>2725</v>
      </c>
      <c r="D2303" s="2" t="s">
        <v>50</v>
      </c>
      <c r="E2303" s="2" t="s">
        <v>1194</v>
      </c>
      <c r="F2303" s="2" t="s">
        <v>1186</v>
      </c>
      <c r="G2303" s="2" t="s">
        <v>5782</v>
      </c>
    </row>
    <row r="2304" customFormat="false" ht="15" hidden="false" customHeight="false" outlineLevel="0" collapsed="false">
      <c r="A2304" s="2" t="s">
        <v>5783</v>
      </c>
      <c r="B2304" s="2" t="s">
        <v>165</v>
      </c>
      <c r="C2304" s="2" t="s">
        <v>2725</v>
      </c>
      <c r="D2304" s="2" t="s">
        <v>50</v>
      </c>
      <c r="E2304" s="2" t="s">
        <v>1194</v>
      </c>
      <c r="F2304" s="2" t="s">
        <v>1186</v>
      </c>
      <c r="G2304" s="2" t="s">
        <v>5784</v>
      </c>
    </row>
    <row r="2305" customFormat="false" ht="15" hidden="false" customHeight="false" outlineLevel="0" collapsed="false">
      <c r="A2305" s="2" t="s">
        <v>5785</v>
      </c>
      <c r="B2305" s="2" t="s">
        <v>165</v>
      </c>
      <c r="C2305" s="2" t="s">
        <v>2725</v>
      </c>
      <c r="D2305" s="2" t="s">
        <v>50</v>
      </c>
      <c r="E2305" s="2" t="s">
        <v>1194</v>
      </c>
      <c r="F2305" s="2" t="s">
        <v>1186</v>
      </c>
      <c r="G2305" s="2" t="s">
        <v>5786</v>
      </c>
    </row>
    <row r="2306" customFormat="false" ht="15" hidden="false" customHeight="false" outlineLevel="0" collapsed="false">
      <c r="A2306" s="2" t="s">
        <v>5787</v>
      </c>
      <c r="B2306" s="2" t="s">
        <v>165</v>
      </c>
      <c r="C2306" s="2" t="s">
        <v>2725</v>
      </c>
      <c r="D2306" s="2" t="s">
        <v>50</v>
      </c>
      <c r="E2306" s="2" t="s">
        <v>1194</v>
      </c>
      <c r="F2306" s="2" t="s">
        <v>1186</v>
      </c>
      <c r="G2306" s="2" t="s">
        <v>5788</v>
      </c>
    </row>
    <row r="2307" customFormat="false" ht="15" hidden="false" customHeight="false" outlineLevel="0" collapsed="false">
      <c r="A2307" s="2" t="s">
        <v>5789</v>
      </c>
      <c r="B2307" s="2" t="s">
        <v>165</v>
      </c>
      <c r="C2307" s="2" t="s">
        <v>2725</v>
      </c>
      <c r="D2307" s="2" t="s">
        <v>50</v>
      </c>
      <c r="E2307" s="2" t="s">
        <v>1194</v>
      </c>
      <c r="F2307" s="2" t="s">
        <v>1186</v>
      </c>
      <c r="G2307" s="2" t="s">
        <v>5790</v>
      </c>
    </row>
    <row r="2308" customFormat="false" ht="15" hidden="false" customHeight="false" outlineLevel="0" collapsed="false">
      <c r="A2308" s="2" t="s">
        <v>5791</v>
      </c>
      <c r="B2308" s="2" t="s">
        <v>165</v>
      </c>
      <c r="C2308" s="2" t="s">
        <v>2725</v>
      </c>
      <c r="D2308" s="2" t="s">
        <v>50</v>
      </c>
      <c r="E2308" s="2" t="s">
        <v>1194</v>
      </c>
      <c r="F2308" s="2" t="s">
        <v>1186</v>
      </c>
      <c r="G2308" s="2" t="s">
        <v>5792</v>
      </c>
    </row>
    <row r="2309" customFormat="false" ht="15" hidden="false" customHeight="false" outlineLevel="0" collapsed="false">
      <c r="A2309" s="2" t="s">
        <v>5793</v>
      </c>
      <c r="B2309" s="2" t="s">
        <v>165</v>
      </c>
      <c r="C2309" s="2" t="s">
        <v>2725</v>
      </c>
      <c r="D2309" s="2" t="s">
        <v>50</v>
      </c>
      <c r="E2309" s="2" t="s">
        <v>1194</v>
      </c>
      <c r="F2309" s="2" t="s">
        <v>1186</v>
      </c>
      <c r="G2309" s="2" t="s">
        <v>5794</v>
      </c>
    </row>
    <row r="2310" customFormat="false" ht="15" hidden="false" customHeight="false" outlineLevel="0" collapsed="false">
      <c r="A2310" s="2" t="s">
        <v>5795</v>
      </c>
      <c r="B2310" s="2" t="s">
        <v>165</v>
      </c>
      <c r="C2310" s="2" t="s">
        <v>5108</v>
      </c>
      <c r="D2310" s="2" t="s">
        <v>48</v>
      </c>
      <c r="E2310" s="2" t="s">
        <v>1185</v>
      </c>
      <c r="F2310" s="2" t="s">
        <v>1186</v>
      </c>
      <c r="G2310" s="2" t="s">
        <v>5111</v>
      </c>
    </row>
    <row r="2311" customFormat="false" ht="15" hidden="false" customHeight="false" outlineLevel="0" collapsed="false">
      <c r="A2311" s="2" t="s">
        <v>5796</v>
      </c>
      <c r="B2311" s="2" t="s">
        <v>165</v>
      </c>
      <c r="C2311" s="2" t="s">
        <v>5108</v>
      </c>
      <c r="D2311" s="2" t="s">
        <v>48</v>
      </c>
      <c r="E2311" s="2" t="s">
        <v>1185</v>
      </c>
      <c r="F2311" s="2" t="s">
        <v>1186</v>
      </c>
      <c r="G2311" s="2" t="s">
        <v>5111</v>
      </c>
    </row>
    <row r="2312" customFormat="false" ht="15" hidden="false" customHeight="false" outlineLevel="0" collapsed="false">
      <c r="A2312" s="2" t="s">
        <v>5797</v>
      </c>
      <c r="B2312" s="2" t="s">
        <v>165</v>
      </c>
      <c r="C2312" s="2" t="s">
        <v>5108</v>
      </c>
      <c r="D2312" s="2" t="s">
        <v>48</v>
      </c>
      <c r="E2312" s="2" t="s">
        <v>1185</v>
      </c>
      <c r="F2312" s="2" t="s">
        <v>1186</v>
      </c>
      <c r="G2312" s="2" t="s">
        <v>5111</v>
      </c>
    </row>
    <row r="2313" customFormat="false" ht="15" hidden="false" customHeight="false" outlineLevel="0" collapsed="false">
      <c r="A2313" s="2" t="s">
        <v>5798</v>
      </c>
      <c r="B2313" s="2" t="s">
        <v>165</v>
      </c>
      <c r="C2313" s="2" t="s">
        <v>5108</v>
      </c>
      <c r="D2313" s="2" t="s">
        <v>48</v>
      </c>
      <c r="E2313" s="2" t="s">
        <v>1185</v>
      </c>
      <c r="F2313" s="2" t="s">
        <v>1186</v>
      </c>
      <c r="G2313" s="2" t="s">
        <v>5799</v>
      </c>
    </row>
    <row r="2314" customFormat="false" ht="15" hidden="false" customHeight="false" outlineLevel="0" collapsed="false">
      <c r="A2314" s="2" t="s">
        <v>5800</v>
      </c>
      <c r="B2314" s="2" t="s">
        <v>240</v>
      </c>
      <c r="C2314" s="2" t="s">
        <v>5801</v>
      </c>
      <c r="D2314" s="2" t="s">
        <v>48</v>
      </c>
      <c r="E2314" s="2" t="s">
        <v>1185</v>
      </c>
      <c r="F2314" s="2" t="s">
        <v>1186</v>
      </c>
      <c r="G2314" s="2" t="s">
        <v>5802</v>
      </c>
    </row>
    <row r="2315" customFormat="false" ht="15" hidden="false" customHeight="false" outlineLevel="0" collapsed="false">
      <c r="A2315" s="2" t="s">
        <v>5803</v>
      </c>
      <c r="B2315" s="2" t="s">
        <v>240</v>
      </c>
      <c r="C2315" s="2" t="s">
        <v>5801</v>
      </c>
      <c r="D2315" s="2" t="s">
        <v>48</v>
      </c>
      <c r="E2315" s="2" t="s">
        <v>1185</v>
      </c>
      <c r="F2315" s="2" t="s">
        <v>1186</v>
      </c>
      <c r="G2315" s="2" t="s">
        <v>5804</v>
      </c>
    </row>
    <row r="2316" customFormat="false" ht="15" hidden="false" customHeight="false" outlineLevel="0" collapsed="false">
      <c r="A2316" s="2" t="s">
        <v>5805</v>
      </c>
      <c r="B2316" s="2" t="s">
        <v>240</v>
      </c>
      <c r="C2316" s="2" t="s">
        <v>5801</v>
      </c>
      <c r="D2316" s="2" t="s">
        <v>48</v>
      </c>
      <c r="E2316" s="2" t="s">
        <v>1185</v>
      </c>
      <c r="F2316" s="2" t="s">
        <v>1186</v>
      </c>
      <c r="G2316" s="2" t="s">
        <v>5806</v>
      </c>
    </row>
    <row r="2317" customFormat="false" ht="15" hidden="false" customHeight="false" outlineLevel="0" collapsed="false">
      <c r="A2317" s="2" t="s">
        <v>5807</v>
      </c>
      <c r="B2317" s="2" t="s">
        <v>240</v>
      </c>
      <c r="C2317" s="2" t="s">
        <v>5801</v>
      </c>
      <c r="D2317" s="2" t="s">
        <v>48</v>
      </c>
      <c r="E2317" s="2" t="s">
        <v>1185</v>
      </c>
      <c r="F2317" s="2" t="s">
        <v>1186</v>
      </c>
      <c r="G2317" s="2" t="s">
        <v>5808</v>
      </c>
    </row>
    <row r="2318" customFormat="false" ht="15" hidden="false" customHeight="false" outlineLevel="0" collapsed="false">
      <c r="A2318" s="2" t="s">
        <v>5809</v>
      </c>
      <c r="B2318" s="2" t="s">
        <v>240</v>
      </c>
      <c r="C2318" s="2" t="s">
        <v>5801</v>
      </c>
      <c r="D2318" s="2" t="s">
        <v>48</v>
      </c>
      <c r="E2318" s="2" t="s">
        <v>1185</v>
      </c>
      <c r="F2318" s="2" t="s">
        <v>1186</v>
      </c>
      <c r="G2318" s="2" t="s">
        <v>5810</v>
      </c>
    </row>
    <row r="2319" customFormat="false" ht="15" hidden="false" customHeight="false" outlineLevel="0" collapsed="false">
      <c r="A2319" s="2" t="s">
        <v>5811</v>
      </c>
      <c r="B2319" s="2" t="s">
        <v>240</v>
      </c>
      <c r="C2319" s="2" t="s">
        <v>5801</v>
      </c>
      <c r="D2319" s="2" t="s">
        <v>48</v>
      </c>
      <c r="E2319" s="2" t="s">
        <v>1185</v>
      </c>
      <c r="F2319" s="2" t="s">
        <v>1186</v>
      </c>
      <c r="G2319" s="2" t="s">
        <v>5812</v>
      </c>
    </row>
    <row r="2320" customFormat="false" ht="15" hidden="false" customHeight="false" outlineLevel="0" collapsed="false">
      <c r="A2320" s="2" t="s">
        <v>5813</v>
      </c>
      <c r="B2320" s="2" t="s">
        <v>240</v>
      </c>
      <c r="C2320" s="2" t="s">
        <v>5801</v>
      </c>
      <c r="D2320" s="2" t="s">
        <v>48</v>
      </c>
      <c r="E2320" s="2" t="s">
        <v>1185</v>
      </c>
      <c r="F2320" s="2" t="s">
        <v>1186</v>
      </c>
      <c r="G2320" s="2" t="s">
        <v>5814</v>
      </c>
    </row>
    <row r="2321" customFormat="false" ht="15" hidden="false" customHeight="false" outlineLevel="0" collapsed="false">
      <c r="A2321" s="2" t="s">
        <v>5815</v>
      </c>
      <c r="B2321" s="2" t="s">
        <v>240</v>
      </c>
      <c r="C2321" s="2" t="s">
        <v>5801</v>
      </c>
      <c r="D2321" s="2" t="s">
        <v>48</v>
      </c>
      <c r="E2321" s="2" t="s">
        <v>1185</v>
      </c>
      <c r="F2321" s="2" t="s">
        <v>1186</v>
      </c>
      <c r="G2321" s="2" t="s">
        <v>5816</v>
      </c>
    </row>
    <row r="2322" customFormat="false" ht="15" hidden="false" customHeight="false" outlineLevel="0" collapsed="false">
      <c r="A2322" s="2" t="s">
        <v>5817</v>
      </c>
      <c r="B2322" s="2" t="s">
        <v>240</v>
      </c>
      <c r="C2322" s="2" t="s">
        <v>5801</v>
      </c>
      <c r="D2322" s="2" t="s">
        <v>48</v>
      </c>
      <c r="E2322" s="2" t="s">
        <v>1185</v>
      </c>
      <c r="F2322" s="2" t="s">
        <v>1186</v>
      </c>
      <c r="G2322" s="2" t="s">
        <v>5818</v>
      </c>
    </row>
    <row r="2323" customFormat="false" ht="15" hidden="false" customHeight="false" outlineLevel="0" collapsed="false">
      <c r="A2323" s="2" t="s">
        <v>5819</v>
      </c>
      <c r="B2323" s="2" t="s">
        <v>240</v>
      </c>
      <c r="C2323" s="2" t="s">
        <v>5801</v>
      </c>
      <c r="D2323" s="2" t="s">
        <v>48</v>
      </c>
      <c r="E2323" s="2" t="s">
        <v>1185</v>
      </c>
      <c r="F2323" s="2" t="s">
        <v>1186</v>
      </c>
      <c r="G2323" s="2" t="s">
        <v>5820</v>
      </c>
    </row>
    <row r="2324" customFormat="false" ht="15" hidden="false" customHeight="false" outlineLevel="0" collapsed="false">
      <c r="A2324" s="2" t="s">
        <v>5821</v>
      </c>
      <c r="B2324" s="2" t="s">
        <v>240</v>
      </c>
      <c r="C2324" s="2" t="s">
        <v>5801</v>
      </c>
      <c r="D2324" s="2" t="s">
        <v>48</v>
      </c>
      <c r="E2324" s="2" t="s">
        <v>1185</v>
      </c>
      <c r="F2324" s="2" t="s">
        <v>1186</v>
      </c>
      <c r="G2324" s="2" t="s">
        <v>5822</v>
      </c>
    </row>
    <row r="2325" customFormat="false" ht="15" hidden="false" customHeight="false" outlineLevel="0" collapsed="false">
      <c r="A2325" s="2" t="s">
        <v>5823</v>
      </c>
      <c r="B2325" s="2" t="s">
        <v>240</v>
      </c>
      <c r="C2325" s="2" t="s">
        <v>5801</v>
      </c>
      <c r="D2325" s="2" t="s">
        <v>48</v>
      </c>
      <c r="E2325" s="2" t="s">
        <v>1185</v>
      </c>
      <c r="F2325" s="2" t="s">
        <v>1186</v>
      </c>
      <c r="G2325" s="2" t="s">
        <v>5824</v>
      </c>
    </row>
    <row r="2326" customFormat="false" ht="15" hidden="false" customHeight="false" outlineLevel="0" collapsed="false">
      <c r="A2326" s="2" t="s">
        <v>5825</v>
      </c>
      <c r="B2326" s="2" t="s">
        <v>240</v>
      </c>
      <c r="C2326" s="2" t="s">
        <v>5801</v>
      </c>
      <c r="D2326" s="2" t="s">
        <v>48</v>
      </c>
      <c r="E2326" s="2" t="s">
        <v>1185</v>
      </c>
      <c r="F2326" s="2" t="s">
        <v>1186</v>
      </c>
      <c r="G2326" s="2" t="s">
        <v>5826</v>
      </c>
    </row>
    <row r="2327" customFormat="false" ht="15" hidden="false" customHeight="false" outlineLevel="0" collapsed="false">
      <c r="A2327" s="2" t="s">
        <v>5827</v>
      </c>
      <c r="B2327" s="2" t="s">
        <v>240</v>
      </c>
      <c r="C2327" s="2" t="s">
        <v>5801</v>
      </c>
      <c r="D2327" s="2" t="s">
        <v>48</v>
      </c>
      <c r="E2327" s="2" t="s">
        <v>1185</v>
      </c>
      <c r="F2327" s="2" t="s">
        <v>1186</v>
      </c>
      <c r="G2327" s="2" t="s">
        <v>5828</v>
      </c>
    </row>
    <row r="2328" customFormat="false" ht="15" hidden="false" customHeight="false" outlineLevel="0" collapsed="false">
      <c r="A2328" s="2" t="s">
        <v>5829</v>
      </c>
      <c r="B2328" s="2" t="s">
        <v>240</v>
      </c>
      <c r="C2328" s="2" t="s">
        <v>5801</v>
      </c>
      <c r="D2328" s="2" t="s">
        <v>48</v>
      </c>
      <c r="E2328" s="2" t="s">
        <v>1185</v>
      </c>
      <c r="F2328" s="2" t="s">
        <v>1186</v>
      </c>
      <c r="G2328" s="2" t="s">
        <v>5830</v>
      </c>
    </row>
    <row r="2329" customFormat="false" ht="15" hidden="false" customHeight="false" outlineLevel="0" collapsed="false">
      <c r="A2329" s="2" t="s">
        <v>5831</v>
      </c>
      <c r="B2329" s="2" t="s">
        <v>240</v>
      </c>
      <c r="C2329" s="2" t="s">
        <v>5801</v>
      </c>
      <c r="D2329" s="2" t="s">
        <v>48</v>
      </c>
      <c r="E2329" s="2" t="s">
        <v>1185</v>
      </c>
      <c r="F2329" s="2" t="s">
        <v>1186</v>
      </c>
      <c r="G2329" s="2" t="s">
        <v>5832</v>
      </c>
    </row>
    <row r="2330" customFormat="false" ht="15" hidden="false" customHeight="false" outlineLevel="0" collapsed="false">
      <c r="A2330" s="2" t="s">
        <v>5833</v>
      </c>
      <c r="B2330" s="2" t="s">
        <v>240</v>
      </c>
      <c r="C2330" s="2" t="s">
        <v>5801</v>
      </c>
      <c r="D2330" s="2" t="s">
        <v>48</v>
      </c>
      <c r="E2330" s="2" t="s">
        <v>1185</v>
      </c>
      <c r="F2330" s="2" t="s">
        <v>1186</v>
      </c>
      <c r="G2330" s="2" t="s">
        <v>5834</v>
      </c>
    </row>
    <row r="2331" customFormat="false" ht="15" hidden="false" customHeight="false" outlineLevel="0" collapsed="false">
      <c r="A2331" s="2" t="s">
        <v>5835</v>
      </c>
      <c r="B2331" s="2" t="s">
        <v>240</v>
      </c>
      <c r="C2331" s="2" t="s">
        <v>5801</v>
      </c>
      <c r="D2331" s="2" t="s">
        <v>48</v>
      </c>
      <c r="E2331" s="2" t="s">
        <v>1185</v>
      </c>
      <c r="F2331" s="2" t="s">
        <v>1186</v>
      </c>
      <c r="G2331" s="2" t="s">
        <v>5836</v>
      </c>
    </row>
    <row r="2332" customFormat="false" ht="15" hidden="false" customHeight="false" outlineLevel="0" collapsed="false">
      <c r="A2332" s="2" t="s">
        <v>5837</v>
      </c>
      <c r="B2332" s="2" t="s">
        <v>240</v>
      </c>
      <c r="C2332" s="2" t="s">
        <v>5801</v>
      </c>
      <c r="D2332" s="2" t="s">
        <v>48</v>
      </c>
      <c r="E2332" s="2" t="s">
        <v>1185</v>
      </c>
      <c r="F2332" s="2" t="s">
        <v>1186</v>
      </c>
      <c r="G2332" s="2" t="s">
        <v>5838</v>
      </c>
    </row>
    <row r="2333" customFormat="false" ht="15" hidden="false" customHeight="false" outlineLevel="0" collapsed="false">
      <c r="A2333" s="2" t="s">
        <v>5839</v>
      </c>
      <c r="B2333" s="2" t="s">
        <v>240</v>
      </c>
      <c r="C2333" s="2" t="s">
        <v>5801</v>
      </c>
      <c r="D2333" s="2" t="s">
        <v>48</v>
      </c>
      <c r="E2333" s="2" t="s">
        <v>1185</v>
      </c>
      <c r="F2333" s="2" t="s">
        <v>1186</v>
      </c>
      <c r="G2333" s="2" t="s">
        <v>5840</v>
      </c>
    </row>
    <row r="2334" customFormat="false" ht="15" hidden="false" customHeight="false" outlineLevel="0" collapsed="false">
      <c r="A2334" s="2" t="s">
        <v>5841</v>
      </c>
      <c r="B2334" s="2" t="s">
        <v>240</v>
      </c>
      <c r="C2334" s="2" t="s">
        <v>5801</v>
      </c>
      <c r="D2334" s="2" t="s">
        <v>48</v>
      </c>
      <c r="E2334" s="2" t="s">
        <v>1185</v>
      </c>
      <c r="F2334" s="2" t="s">
        <v>1186</v>
      </c>
      <c r="G2334" s="2" t="s">
        <v>5842</v>
      </c>
    </row>
    <row r="2335" customFormat="false" ht="15" hidden="false" customHeight="false" outlineLevel="0" collapsed="false">
      <c r="A2335" s="2" t="s">
        <v>5843</v>
      </c>
      <c r="B2335" s="2" t="s">
        <v>240</v>
      </c>
      <c r="C2335" s="2" t="s">
        <v>5801</v>
      </c>
      <c r="D2335" s="2" t="s">
        <v>48</v>
      </c>
      <c r="E2335" s="2" t="s">
        <v>1185</v>
      </c>
      <c r="F2335" s="2" t="s">
        <v>1186</v>
      </c>
      <c r="G2335" s="2" t="s">
        <v>5844</v>
      </c>
    </row>
    <row r="2336" customFormat="false" ht="15" hidden="false" customHeight="false" outlineLevel="0" collapsed="false">
      <c r="A2336" s="2" t="s">
        <v>5845</v>
      </c>
      <c r="B2336" s="2" t="s">
        <v>240</v>
      </c>
      <c r="C2336" s="2" t="s">
        <v>5801</v>
      </c>
      <c r="D2336" s="2" t="s">
        <v>48</v>
      </c>
      <c r="E2336" s="2" t="s">
        <v>1185</v>
      </c>
      <c r="F2336" s="2" t="s">
        <v>1186</v>
      </c>
      <c r="G2336" s="2" t="s">
        <v>5846</v>
      </c>
    </row>
    <row r="2337" customFormat="false" ht="15" hidden="false" customHeight="false" outlineLevel="0" collapsed="false">
      <c r="A2337" s="2" t="s">
        <v>5847</v>
      </c>
      <c r="B2337" s="2" t="s">
        <v>240</v>
      </c>
      <c r="C2337" s="2" t="s">
        <v>5801</v>
      </c>
      <c r="D2337" s="2" t="s">
        <v>48</v>
      </c>
      <c r="E2337" s="2" t="s">
        <v>1185</v>
      </c>
      <c r="F2337" s="2" t="s">
        <v>1186</v>
      </c>
      <c r="G2337" s="2" t="s">
        <v>5848</v>
      </c>
    </row>
    <row r="2338" customFormat="false" ht="15" hidden="false" customHeight="false" outlineLevel="0" collapsed="false">
      <c r="A2338" s="2" t="s">
        <v>5849</v>
      </c>
      <c r="B2338" s="2" t="s">
        <v>240</v>
      </c>
      <c r="C2338" s="2" t="s">
        <v>5801</v>
      </c>
      <c r="D2338" s="2" t="s">
        <v>48</v>
      </c>
      <c r="E2338" s="2" t="s">
        <v>1185</v>
      </c>
      <c r="F2338" s="2" t="s">
        <v>1186</v>
      </c>
      <c r="G2338" s="2" t="s">
        <v>5850</v>
      </c>
    </row>
    <row r="2339" customFormat="false" ht="15" hidden="false" customHeight="false" outlineLevel="0" collapsed="false">
      <c r="A2339" s="2" t="s">
        <v>5851</v>
      </c>
      <c r="B2339" s="2" t="s">
        <v>240</v>
      </c>
      <c r="C2339" s="2" t="s">
        <v>5801</v>
      </c>
      <c r="D2339" s="2" t="s">
        <v>48</v>
      </c>
      <c r="E2339" s="2" t="s">
        <v>1185</v>
      </c>
      <c r="F2339" s="2" t="s">
        <v>1186</v>
      </c>
      <c r="G2339" s="2" t="s">
        <v>5852</v>
      </c>
    </row>
    <row r="2340" customFormat="false" ht="15" hidden="false" customHeight="false" outlineLevel="0" collapsed="false">
      <c r="A2340" s="2" t="s">
        <v>5853</v>
      </c>
      <c r="B2340" s="2" t="s">
        <v>240</v>
      </c>
      <c r="C2340" s="2" t="s">
        <v>5801</v>
      </c>
      <c r="D2340" s="2" t="s">
        <v>48</v>
      </c>
      <c r="E2340" s="2" t="s">
        <v>1185</v>
      </c>
      <c r="F2340" s="2" t="s">
        <v>1186</v>
      </c>
      <c r="G2340" s="2" t="s">
        <v>5854</v>
      </c>
    </row>
    <row r="2341" customFormat="false" ht="15" hidden="false" customHeight="false" outlineLevel="0" collapsed="false">
      <c r="A2341" s="2" t="s">
        <v>5855</v>
      </c>
      <c r="B2341" s="2" t="s">
        <v>240</v>
      </c>
      <c r="C2341" s="2" t="s">
        <v>5801</v>
      </c>
      <c r="D2341" s="2" t="s">
        <v>48</v>
      </c>
      <c r="E2341" s="2" t="s">
        <v>1185</v>
      </c>
      <c r="F2341" s="2" t="s">
        <v>1186</v>
      </c>
      <c r="G2341" s="2" t="s">
        <v>5856</v>
      </c>
    </row>
    <row r="2342" customFormat="false" ht="15" hidden="false" customHeight="false" outlineLevel="0" collapsed="false">
      <c r="A2342" s="2" t="s">
        <v>5857</v>
      </c>
      <c r="B2342" s="2" t="s">
        <v>240</v>
      </c>
      <c r="C2342" s="2" t="s">
        <v>5801</v>
      </c>
      <c r="D2342" s="2" t="s">
        <v>48</v>
      </c>
      <c r="E2342" s="2" t="s">
        <v>1185</v>
      </c>
      <c r="F2342" s="2" t="s">
        <v>1186</v>
      </c>
      <c r="G2342" s="2" t="s">
        <v>5858</v>
      </c>
    </row>
    <row r="2343" customFormat="false" ht="15" hidden="false" customHeight="false" outlineLevel="0" collapsed="false">
      <c r="A2343" s="2" t="s">
        <v>5859</v>
      </c>
      <c r="B2343" s="2" t="s">
        <v>240</v>
      </c>
      <c r="C2343" s="2" t="s">
        <v>5801</v>
      </c>
      <c r="D2343" s="2" t="s">
        <v>48</v>
      </c>
      <c r="E2343" s="2" t="s">
        <v>1185</v>
      </c>
      <c r="F2343" s="2" t="s">
        <v>1186</v>
      </c>
      <c r="G2343" s="2" t="s">
        <v>5860</v>
      </c>
    </row>
    <row r="2344" customFormat="false" ht="15" hidden="false" customHeight="false" outlineLevel="0" collapsed="false">
      <c r="A2344" s="2" t="s">
        <v>5861</v>
      </c>
      <c r="B2344" s="2" t="s">
        <v>240</v>
      </c>
      <c r="C2344" s="2" t="s">
        <v>5801</v>
      </c>
      <c r="D2344" s="2" t="s">
        <v>48</v>
      </c>
      <c r="E2344" s="2" t="s">
        <v>1185</v>
      </c>
      <c r="F2344" s="2" t="s">
        <v>1186</v>
      </c>
      <c r="G2344" s="2" t="s">
        <v>5862</v>
      </c>
    </row>
    <row r="2345" customFormat="false" ht="15" hidden="false" customHeight="false" outlineLevel="0" collapsed="false">
      <c r="A2345" s="2" t="s">
        <v>5863</v>
      </c>
      <c r="B2345" s="2" t="s">
        <v>240</v>
      </c>
      <c r="C2345" s="2" t="s">
        <v>5801</v>
      </c>
      <c r="D2345" s="2" t="s">
        <v>48</v>
      </c>
      <c r="E2345" s="2" t="s">
        <v>1185</v>
      </c>
      <c r="F2345" s="2" t="s">
        <v>1186</v>
      </c>
      <c r="G2345" s="2" t="s">
        <v>5864</v>
      </c>
    </row>
    <row r="2346" customFormat="false" ht="15" hidden="false" customHeight="false" outlineLevel="0" collapsed="false">
      <c r="A2346" s="2" t="s">
        <v>5865</v>
      </c>
      <c r="B2346" s="2" t="s">
        <v>240</v>
      </c>
      <c r="C2346" s="2" t="s">
        <v>5801</v>
      </c>
      <c r="D2346" s="2" t="s">
        <v>48</v>
      </c>
      <c r="E2346" s="2" t="s">
        <v>1185</v>
      </c>
      <c r="F2346" s="2" t="s">
        <v>1186</v>
      </c>
      <c r="G2346" s="2" t="s">
        <v>5866</v>
      </c>
    </row>
    <row r="2347" customFormat="false" ht="15" hidden="false" customHeight="false" outlineLevel="0" collapsed="false">
      <c r="A2347" s="2" t="s">
        <v>5867</v>
      </c>
      <c r="B2347" s="2" t="s">
        <v>240</v>
      </c>
      <c r="C2347" s="2" t="s">
        <v>5801</v>
      </c>
      <c r="D2347" s="2" t="s">
        <v>48</v>
      </c>
      <c r="E2347" s="2" t="s">
        <v>1185</v>
      </c>
      <c r="F2347" s="2" t="s">
        <v>1186</v>
      </c>
      <c r="G2347" s="2" t="s">
        <v>5868</v>
      </c>
    </row>
    <row r="2348" customFormat="false" ht="15" hidden="false" customHeight="false" outlineLevel="0" collapsed="false">
      <c r="A2348" s="2" t="s">
        <v>5869</v>
      </c>
      <c r="B2348" s="2" t="s">
        <v>240</v>
      </c>
      <c r="C2348" s="2" t="s">
        <v>5801</v>
      </c>
      <c r="D2348" s="2" t="s">
        <v>48</v>
      </c>
      <c r="E2348" s="2" t="s">
        <v>1185</v>
      </c>
      <c r="F2348" s="2" t="s">
        <v>1186</v>
      </c>
      <c r="G2348" s="2" t="s">
        <v>5870</v>
      </c>
    </row>
    <row r="2349" customFormat="false" ht="15" hidden="false" customHeight="false" outlineLevel="0" collapsed="false">
      <c r="A2349" s="2" t="s">
        <v>5871</v>
      </c>
      <c r="B2349" s="2" t="s">
        <v>240</v>
      </c>
      <c r="C2349" s="2" t="s">
        <v>5801</v>
      </c>
      <c r="D2349" s="2" t="s">
        <v>48</v>
      </c>
      <c r="E2349" s="2" t="s">
        <v>1185</v>
      </c>
      <c r="F2349" s="2" t="s">
        <v>1186</v>
      </c>
      <c r="G2349" s="2" t="s">
        <v>5872</v>
      </c>
    </row>
    <row r="2350" customFormat="false" ht="15" hidden="false" customHeight="false" outlineLevel="0" collapsed="false">
      <c r="A2350" s="2" t="s">
        <v>5873</v>
      </c>
      <c r="B2350" s="2" t="s">
        <v>240</v>
      </c>
      <c r="C2350" s="2" t="s">
        <v>5801</v>
      </c>
      <c r="D2350" s="2" t="s">
        <v>48</v>
      </c>
      <c r="E2350" s="2" t="s">
        <v>1185</v>
      </c>
      <c r="F2350" s="2" t="s">
        <v>1186</v>
      </c>
      <c r="G2350" s="2" t="s">
        <v>5874</v>
      </c>
    </row>
    <row r="2351" customFormat="false" ht="15" hidden="false" customHeight="false" outlineLevel="0" collapsed="false">
      <c r="A2351" s="2" t="s">
        <v>5875</v>
      </c>
      <c r="B2351" s="2" t="s">
        <v>240</v>
      </c>
      <c r="C2351" s="2" t="s">
        <v>5876</v>
      </c>
      <c r="D2351" s="2" t="s">
        <v>49</v>
      </c>
      <c r="E2351" s="2" t="s">
        <v>1563</v>
      </c>
      <c r="F2351" s="2" t="s">
        <v>1186</v>
      </c>
      <c r="G2351" s="2" t="s">
        <v>5877</v>
      </c>
    </row>
    <row r="2352" customFormat="false" ht="15" hidden="false" customHeight="false" outlineLevel="0" collapsed="false">
      <c r="A2352" s="2" t="s">
        <v>5878</v>
      </c>
      <c r="B2352" s="2" t="s">
        <v>240</v>
      </c>
      <c r="C2352" s="2" t="s">
        <v>5876</v>
      </c>
      <c r="D2352" s="2" t="s">
        <v>49</v>
      </c>
      <c r="E2352" s="2" t="s">
        <v>1563</v>
      </c>
      <c r="F2352" s="2" t="s">
        <v>1186</v>
      </c>
      <c r="G2352" s="2" t="s">
        <v>5879</v>
      </c>
    </row>
    <row r="2353" customFormat="false" ht="15" hidden="false" customHeight="false" outlineLevel="0" collapsed="false">
      <c r="A2353" s="2" t="s">
        <v>5880</v>
      </c>
      <c r="B2353" s="2" t="s">
        <v>240</v>
      </c>
      <c r="C2353" s="2" t="s">
        <v>5876</v>
      </c>
      <c r="D2353" s="2" t="s">
        <v>49</v>
      </c>
      <c r="E2353" s="2" t="s">
        <v>1563</v>
      </c>
      <c r="F2353" s="2" t="s">
        <v>1186</v>
      </c>
      <c r="G2353" s="2" t="s">
        <v>5881</v>
      </c>
    </row>
    <row r="2354" customFormat="false" ht="15" hidden="false" customHeight="false" outlineLevel="0" collapsed="false">
      <c r="A2354" s="2" t="s">
        <v>5882</v>
      </c>
      <c r="B2354" s="2" t="s">
        <v>240</v>
      </c>
      <c r="C2354" s="2" t="s">
        <v>5876</v>
      </c>
      <c r="D2354" s="2" t="s">
        <v>49</v>
      </c>
      <c r="E2354" s="2" t="s">
        <v>1563</v>
      </c>
      <c r="F2354" s="2" t="s">
        <v>1186</v>
      </c>
      <c r="G2354" s="2" t="s">
        <v>5883</v>
      </c>
    </row>
    <row r="2355" customFormat="false" ht="15" hidden="false" customHeight="false" outlineLevel="0" collapsed="false">
      <c r="A2355" s="2" t="s">
        <v>5884</v>
      </c>
      <c r="B2355" s="2" t="s">
        <v>240</v>
      </c>
      <c r="C2355" s="2" t="s">
        <v>5801</v>
      </c>
      <c r="D2355" s="2" t="s">
        <v>48</v>
      </c>
      <c r="E2355" s="2" t="s">
        <v>1185</v>
      </c>
      <c r="F2355" s="2" t="s">
        <v>1186</v>
      </c>
      <c r="G2355" s="2" t="s">
        <v>5885</v>
      </c>
    </row>
    <row r="2356" customFormat="false" ht="15" hidden="false" customHeight="false" outlineLevel="0" collapsed="false">
      <c r="A2356" s="2" t="s">
        <v>5886</v>
      </c>
      <c r="B2356" s="2" t="s">
        <v>240</v>
      </c>
      <c r="C2356" s="2" t="s">
        <v>5801</v>
      </c>
      <c r="D2356" s="2" t="s">
        <v>48</v>
      </c>
      <c r="E2356" s="2" t="s">
        <v>1185</v>
      </c>
      <c r="F2356" s="2" t="s">
        <v>1186</v>
      </c>
      <c r="G2356" s="2" t="s">
        <v>5887</v>
      </c>
    </row>
    <row r="2357" customFormat="false" ht="15" hidden="false" customHeight="false" outlineLevel="0" collapsed="false">
      <c r="A2357" s="2" t="s">
        <v>5888</v>
      </c>
      <c r="B2357" s="2" t="s">
        <v>240</v>
      </c>
      <c r="C2357" s="2" t="s">
        <v>5801</v>
      </c>
      <c r="D2357" s="2" t="s">
        <v>48</v>
      </c>
      <c r="E2357" s="2" t="s">
        <v>1185</v>
      </c>
      <c r="F2357" s="2" t="s">
        <v>1186</v>
      </c>
      <c r="G2357" s="2" t="s">
        <v>5889</v>
      </c>
    </row>
    <row r="2358" customFormat="false" ht="15" hidden="false" customHeight="false" outlineLevel="0" collapsed="false">
      <c r="A2358" s="2" t="s">
        <v>5890</v>
      </c>
      <c r="B2358" s="2" t="s">
        <v>240</v>
      </c>
      <c r="C2358" s="2" t="s">
        <v>5801</v>
      </c>
      <c r="D2358" s="2" t="s">
        <v>48</v>
      </c>
      <c r="E2358" s="2" t="s">
        <v>1185</v>
      </c>
      <c r="F2358" s="2" t="s">
        <v>1186</v>
      </c>
      <c r="G2358" s="2" t="s">
        <v>5891</v>
      </c>
    </row>
    <row r="2359" customFormat="false" ht="15" hidden="false" customHeight="false" outlineLevel="0" collapsed="false">
      <c r="A2359" s="2" t="s">
        <v>5892</v>
      </c>
      <c r="B2359" s="2" t="s">
        <v>240</v>
      </c>
      <c r="C2359" s="2" t="s">
        <v>5801</v>
      </c>
      <c r="D2359" s="2" t="s">
        <v>48</v>
      </c>
      <c r="E2359" s="2" t="s">
        <v>1185</v>
      </c>
      <c r="F2359" s="2" t="s">
        <v>1186</v>
      </c>
      <c r="G2359" s="2" t="s">
        <v>5893</v>
      </c>
    </row>
    <row r="2360" customFormat="false" ht="15" hidden="false" customHeight="false" outlineLevel="0" collapsed="false">
      <c r="A2360" s="2" t="s">
        <v>5894</v>
      </c>
      <c r="B2360" s="2" t="s">
        <v>240</v>
      </c>
      <c r="C2360" s="2" t="s">
        <v>5801</v>
      </c>
      <c r="D2360" s="2" t="s">
        <v>48</v>
      </c>
      <c r="E2360" s="2" t="s">
        <v>1185</v>
      </c>
      <c r="F2360" s="2" t="s">
        <v>1186</v>
      </c>
      <c r="G2360" s="2" t="s">
        <v>5895</v>
      </c>
    </row>
    <row r="2361" customFormat="false" ht="15" hidden="false" customHeight="false" outlineLevel="0" collapsed="false">
      <c r="A2361" s="2" t="s">
        <v>5896</v>
      </c>
      <c r="B2361" s="2" t="s">
        <v>240</v>
      </c>
      <c r="C2361" s="2" t="s">
        <v>5801</v>
      </c>
      <c r="D2361" s="2" t="s">
        <v>48</v>
      </c>
      <c r="E2361" s="2" t="s">
        <v>1185</v>
      </c>
      <c r="F2361" s="2" t="s">
        <v>1186</v>
      </c>
      <c r="G2361" s="2" t="s">
        <v>5897</v>
      </c>
    </row>
    <row r="2362" customFormat="false" ht="15" hidden="false" customHeight="false" outlineLevel="0" collapsed="false">
      <c r="A2362" s="2" t="s">
        <v>5898</v>
      </c>
      <c r="B2362" s="2" t="s">
        <v>240</v>
      </c>
      <c r="C2362" s="2" t="s">
        <v>5801</v>
      </c>
      <c r="D2362" s="2" t="s">
        <v>48</v>
      </c>
      <c r="E2362" s="2" t="s">
        <v>1185</v>
      </c>
      <c r="F2362" s="2" t="s">
        <v>1186</v>
      </c>
      <c r="G2362" s="2" t="s">
        <v>5899</v>
      </c>
    </row>
    <row r="2363" customFormat="false" ht="15" hidden="false" customHeight="false" outlineLevel="0" collapsed="false">
      <c r="A2363" s="2" t="s">
        <v>5900</v>
      </c>
      <c r="B2363" s="2" t="s">
        <v>240</v>
      </c>
      <c r="C2363" s="2" t="s">
        <v>5801</v>
      </c>
      <c r="D2363" s="2" t="s">
        <v>48</v>
      </c>
      <c r="E2363" s="2" t="s">
        <v>1185</v>
      </c>
      <c r="F2363" s="2" t="s">
        <v>1186</v>
      </c>
      <c r="G2363" s="2" t="s">
        <v>5901</v>
      </c>
    </row>
    <row r="2364" customFormat="false" ht="15" hidden="false" customHeight="false" outlineLevel="0" collapsed="false">
      <c r="A2364" s="2" t="s">
        <v>5902</v>
      </c>
      <c r="B2364" s="2" t="s">
        <v>240</v>
      </c>
      <c r="C2364" s="2" t="s">
        <v>5801</v>
      </c>
      <c r="D2364" s="2" t="s">
        <v>48</v>
      </c>
      <c r="E2364" s="2" t="s">
        <v>1185</v>
      </c>
      <c r="F2364" s="2" t="s">
        <v>1186</v>
      </c>
      <c r="G2364" s="2" t="s">
        <v>5903</v>
      </c>
    </row>
    <row r="2365" customFormat="false" ht="15" hidden="false" customHeight="false" outlineLevel="0" collapsed="false">
      <c r="A2365" s="2" t="s">
        <v>5904</v>
      </c>
      <c r="B2365" s="2" t="s">
        <v>240</v>
      </c>
      <c r="C2365" s="2" t="s">
        <v>5801</v>
      </c>
      <c r="D2365" s="2" t="s">
        <v>48</v>
      </c>
      <c r="E2365" s="2" t="s">
        <v>1185</v>
      </c>
      <c r="F2365" s="2" t="s">
        <v>1186</v>
      </c>
      <c r="G2365" s="2" t="s">
        <v>5905</v>
      </c>
    </row>
    <row r="2366" customFormat="false" ht="15" hidden="false" customHeight="false" outlineLevel="0" collapsed="false">
      <c r="A2366" s="2" t="s">
        <v>5906</v>
      </c>
      <c r="B2366" s="2" t="s">
        <v>240</v>
      </c>
      <c r="C2366" s="2" t="s">
        <v>5801</v>
      </c>
      <c r="D2366" s="2" t="s">
        <v>48</v>
      </c>
      <c r="E2366" s="2" t="s">
        <v>1185</v>
      </c>
      <c r="F2366" s="2" t="s">
        <v>1186</v>
      </c>
      <c r="G2366" s="2" t="s">
        <v>5907</v>
      </c>
    </row>
    <row r="2367" customFormat="false" ht="15" hidden="false" customHeight="false" outlineLevel="0" collapsed="false">
      <c r="A2367" s="2" t="s">
        <v>5908</v>
      </c>
      <c r="B2367" s="2" t="s">
        <v>240</v>
      </c>
      <c r="C2367" s="2" t="s">
        <v>5801</v>
      </c>
      <c r="D2367" s="2" t="s">
        <v>48</v>
      </c>
      <c r="E2367" s="2" t="s">
        <v>1185</v>
      </c>
      <c r="F2367" s="2" t="s">
        <v>1186</v>
      </c>
      <c r="G2367" s="2" t="s">
        <v>5909</v>
      </c>
    </row>
    <row r="2368" customFormat="false" ht="15" hidden="false" customHeight="false" outlineLevel="0" collapsed="false">
      <c r="A2368" s="2" t="s">
        <v>5910</v>
      </c>
      <c r="B2368" s="2" t="s">
        <v>240</v>
      </c>
      <c r="C2368" s="2" t="s">
        <v>5801</v>
      </c>
      <c r="D2368" s="2" t="s">
        <v>48</v>
      </c>
      <c r="E2368" s="2" t="s">
        <v>1185</v>
      </c>
      <c r="F2368" s="2" t="s">
        <v>1186</v>
      </c>
      <c r="G2368" s="2" t="s">
        <v>5911</v>
      </c>
    </row>
    <row r="2369" customFormat="false" ht="15" hidden="false" customHeight="false" outlineLevel="0" collapsed="false">
      <c r="A2369" s="2" t="s">
        <v>5912</v>
      </c>
      <c r="B2369" s="2" t="s">
        <v>240</v>
      </c>
      <c r="C2369" s="2" t="s">
        <v>5801</v>
      </c>
      <c r="D2369" s="2" t="s">
        <v>48</v>
      </c>
      <c r="E2369" s="2" t="s">
        <v>1185</v>
      </c>
      <c r="F2369" s="2" t="s">
        <v>1186</v>
      </c>
      <c r="G2369" s="2" t="s">
        <v>5913</v>
      </c>
    </row>
    <row r="2370" customFormat="false" ht="15" hidden="false" customHeight="false" outlineLevel="0" collapsed="false">
      <c r="A2370" s="2" t="s">
        <v>5914</v>
      </c>
      <c r="B2370" s="2" t="s">
        <v>240</v>
      </c>
      <c r="C2370" s="2" t="s">
        <v>5801</v>
      </c>
      <c r="D2370" s="2" t="s">
        <v>48</v>
      </c>
      <c r="E2370" s="2" t="s">
        <v>1185</v>
      </c>
      <c r="F2370" s="2" t="s">
        <v>1186</v>
      </c>
      <c r="G2370" s="2" t="s">
        <v>5915</v>
      </c>
    </row>
    <row r="2371" customFormat="false" ht="15" hidden="false" customHeight="false" outlineLevel="0" collapsed="false">
      <c r="A2371" s="2" t="s">
        <v>5916</v>
      </c>
      <c r="B2371" s="2" t="s">
        <v>240</v>
      </c>
      <c r="C2371" s="2" t="s">
        <v>5801</v>
      </c>
      <c r="D2371" s="2" t="s">
        <v>48</v>
      </c>
      <c r="E2371" s="2" t="s">
        <v>1185</v>
      </c>
      <c r="F2371" s="2" t="s">
        <v>1186</v>
      </c>
      <c r="G2371" s="2" t="s">
        <v>5917</v>
      </c>
    </row>
    <row r="2372" customFormat="false" ht="15" hidden="false" customHeight="false" outlineLevel="0" collapsed="false">
      <c r="A2372" s="2" t="s">
        <v>5918</v>
      </c>
      <c r="B2372" s="2" t="s">
        <v>240</v>
      </c>
      <c r="C2372" s="2" t="s">
        <v>5801</v>
      </c>
      <c r="D2372" s="2" t="s">
        <v>48</v>
      </c>
      <c r="E2372" s="2" t="s">
        <v>1185</v>
      </c>
      <c r="F2372" s="2" t="s">
        <v>1186</v>
      </c>
      <c r="G2372" s="2" t="s">
        <v>5919</v>
      </c>
    </row>
    <row r="2373" customFormat="false" ht="15" hidden="false" customHeight="false" outlineLevel="0" collapsed="false">
      <c r="A2373" s="2" t="s">
        <v>5920</v>
      </c>
      <c r="B2373" s="2" t="s">
        <v>240</v>
      </c>
      <c r="C2373" s="2" t="s">
        <v>5801</v>
      </c>
      <c r="D2373" s="2" t="s">
        <v>48</v>
      </c>
      <c r="E2373" s="2" t="s">
        <v>1185</v>
      </c>
      <c r="F2373" s="2" t="s">
        <v>1186</v>
      </c>
      <c r="G2373" s="2" t="s">
        <v>5921</v>
      </c>
    </row>
    <row r="2374" customFormat="false" ht="15" hidden="false" customHeight="false" outlineLevel="0" collapsed="false">
      <c r="A2374" s="2" t="s">
        <v>5922</v>
      </c>
      <c r="B2374" s="2" t="s">
        <v>240</v>
      </c>
      <c r="C2374" s="2" t="s">
        <v>5801</v>
      </c>
      <c r="D2374" s="2" t="s">
        <v>48</v>
      </c>
      <c r="E2374" s="2" t="s">
        <v>1185</v>
      </c>
      <c r="F2374" s="2" t="s">
        <v>1186</v>
      </c>
      <c r="G2374" s="2" t="s">
        <v>5923</v>
      </c>
    </row>
    <row r="2375" customFormat="false" ht="15" hidden="false" customHeight="false" outlineLevel="0" collapsed="false">
      <c r="A2375" s="2" t="s">
        <v>5924</v>
      </c>
      <c r="B2375" s="2" t="s">
        <v>240</v>
      </c>
      <c r="C2375" s="2" t="s">
        <v>5801</v>
      </c>
      <c r="D2375" s="2" t="s">
        <v>48</v>
      </c>
      <c r="E2375" s="2" t="s">
        <v>1185</v>
      </c>
      <c r="F2375" s="2" t="s">
        <v>1186</v>
      </c>
      <c r="G2375" s="2" t="s">
        <v>5925</v>
      </c>
    </row>
    <row r="2376" customFormat="false" ht="15" hidden="false" customHeight="false" outlineLevel="0" collapsed="false">
      <c r="A2376" s="2" t="s">
        <v>5926</v>
      </c>
      <c r="B2376" s="2" t="s">
        <v>240</v>
      </c>
      <c r="C2376" s="2" t="s">
        <v>5801</v>
      </c>
      <c r="D2376" s="2" t="s">
        <v>48</v>
      </c>
      <c r="E2376" s="2" t="s">
        <v>1185</v>
      </c>
      <c r="F2376" s="2" t="s">
        <v>1186</v>
      </c>
      <c r="G2376" s="2" t="s">
        <v>5927</v>
      </c>
    </row>
    <row r="2377" customFormat="false" ht="15" hidden="false" customHeight="false" outlineLevel="0" collapsed="false">
      <c r="A2377" s="2" t="s">
        <v>5928</v>
      </c>
      <c r="B2377" s="2" t="s">
        <v>240</v>
      </c>
      <c r="C2377" s="2" t="s">
        <v>5801</v>
      </c>
      <c r="D2377" s="2" t="s">
        <v>48</v>
      </c>
      <c r="E2377" s="2" t="s">
        <v>1185</v>
      </c>
      <c r="F2377" s="2" t="s">
        <v>1186</v>
      </c>
      <c r="G2377" s="2" t="s">
        <v>5929</v>
      </c>
    </row>
    <row r="2378" customFormat="false" ht="15" hidden="false" customHeight="false" outlineLevel="0" collapsed="false">
      <c r="A2378" s="2" t="s">
        <v>5930</v>
      </c>
      <c r="B2378" s="2" t="s">
        <v>240</v>
      </c>
      <c r="C2378" s="2" t="s">
        <v>5801</v>
      </c>
      <c r="D2378" s="2" t="s">
        <v>48</v>
      </c>
      <c r="E2378" s="2" t="s">
        <v>1185</v>
      </c>
      <c r="F2378" s="2" t="s">
        <v>1186</v>
      </c>
      <c r="G2378" s="2" t="s">
        <v>5931</v>
      </c>
    </row>
    <row r="2379" customFormat="false" ht="15" hidden="false" customHeight="false" outlineLevel="0" collapsed="false">
      <c r="A2379" s="2" t="s">
        <v>5932</v>
      </c>
      <c r="B2379" s="2" t="s">
        <v>240</v>
      </c>
      <c r="C2379" s="2" t="s">
        <v>5801</v>
      </c>
      <c r="D2379" s="2" t="s">
        <v>48</v>
      </c>
      <c r="E2379" s="2" t="s">
        <v>1185</v>
      </c>
      <c r="F2379" s="2" t="s">
        <v>1186</v>
      </c>
      <c r="G2379" s="2" t="s">
        <v>5933</v>
      </c>
    </row>
    <row r="2380" customFormat="false" ht="15" hidden="false" customHeight="false" outlineLevel="0" collapsed="false">
      <c r="A2380" s="2" t="s">
        <v>5934</v>
      </c>
      <c r="B2380" s="2" t="s">
        <v>240</v>
      </c>
      <c r="C2380" s="2" t="s">
        <v>5801</v>
      </c>
      <c r="D2380" s="2" t="s">
        <v>48</v>
      </c>
      <c r="E2380" s="2" t="s">
        <v>1185</v>
      </c>
      <c r="F2380" s="2" t="s">
        <v>1186</v>
      </c>
      <c r="G2380" s="2" t="s">
        <v>5935</v>
      </c>
    </row>
    <row r="2381" customFormat="false" ht="15" hidden="false" customHeight="false" outlineLevel="0" collapsed="false">
      <c r="A2381" s="2" t="s">
        <v>5936</v>
      </c>
      <c r="B2381" s="2" t="s">
        <v>240</v>
      </c>
      <c r="C2381" s="2" t="s">
        <v>5801</v>
      </c>
      <c r="D2381" s="2" t="s">
        <v>48</v>
      </c>
      <c r="E2381" s="2" t="s">
        <v>1185</v>
      </c>
      <c r="F2381" s="2" t="s">
        <v>1186</v>
      </c>
      <c r="G2381" s="2" t="s">
        <v>5937</v>
      </c>
    </row>
    <row r="2382" customFormat="false" ht="15" hidden="false" customHeight="false" outlineLevel="0" collapsed="false">
      <c r="A2382" s="2" t="s">
        <v>5938</v>
      </c>
      <c r="B2382" s="2" t="s">
        <v>240</v>
      </c>
      <c r="C2382" s="2" t="s">
        <v>5801</v>
      </c>
      <c r="D2382" s="2" t="s">
        <v>48</v>
      </c>
      <c r="E2382" s="2" t="s">
        <v>1185</v>
      </c>
      <c r="F2382" s="2" t="s">
        <v>1186</v>
      </c>
      <c r="G2382" s="2" t="s">
        <v>5939</v>
      </c>
    </row>
    <row r="2383" customFormat="false" ht="15" hidden="false" customHeight="false" outlineLevel="0" collapsed="false">
      <c r="A2383" s="2" t="s">
        <v>5940</v>
      </c>
      <c r="B2383" s="2" t="s">
        <v>240</v>
      </c>
      <c r="C2383" s="2" t="s">
        <v>5801</v>
      </c>
      <c r="D2383" s="2" t="s">
        <v>48</v>
      </c>
      <c r="E2383" s="2" t="s">
        <v>1185</v>
      </c>
      <c r="F2383" s="2" t="s">
        <v>1186</v>
      </c>
      <c r="G2383" s="2" t="s">
        <v>5941</v>
      </c>
    </row>
    <row r="2384" customFormat="false" ht="15" hidden="false" customHeight="false" outlineLevel="0" collapsed="false">
      <c r="A2384" s="2" t="s">
        <v>5942</v>
      </c>
      <c r="B2384" s="2" t="s">
        <v>240</v>
      </c>
      <c r="C2384" s="2" t="s">
        <v>5801</v>
      </c>
      <c r="D2384" s="2" t="s">
        <v>48</v>
      </c>
      <c r="E2384" s="2" t="s">
        <v>1185</v>
      </c>
      <c r="F2384" s="2" t="s">
        <v>1186</v>
      </c>
      <c r="G2384" s="2" t="s">
        <v>5943</v>
      </c>
    </row>
    <row r="2385" customFormat="false" ht="15" hidden="false" customHeight="false" outlineLevel="0" collapsed="false">
      <c r="A2385" s="2" t="s">
        <v>5944</v>
      </c>
      <c r="B2385" s="2" t="s">
        <v>240</v>
      </c>
      <c r="C2385" s="2" t="s">
        <v>5876</v>
      </c>
      <c r="D2385" s="2" t="s">
        <v>49</v>
      </c>
      <c r="E2385" s="2" t="s">
        <v>1563</v>
      </c>
      <c r="F2385" s="2" t="s">
        <v>1186</v>
      </c>
      <c r="G2385" s="2" t="s">
        <v>5945</v>
      </c>
    </row>
    <row r="2386" customFormat="false" ht="15" hidden="false" customHeight="false" outlineLevel="0" collapsed="false">
      <c r="A2386" s="2" t="s">
        <v>5946</v>
      </c>
      <c r="B2386" s="2" t="s">
        <v>240</v>
      </c>
      <c r="C2386" s="2" t="s">
        <v>5876</v>
      </c>
      <c r="D2386" s="2" t="s">
        <v>49</v>
      </c>
      <c r="E2386" s="2" t="s">
        <v>1563</v>
      </c>
      <c r="F2386" s="2" t="s">
        <v>1186</v>
      </c>
      <c r="G2386" s="2" t="s">
        <v>5947</v>
      </c>
    </row>
    <row r="2387" customFormat="false" ht="15" hidden="false" customHeight="false" outlineLevel="0" collapsed="false">
      <c r="A2387" s="2" t="s">
        <v>5948</v>
      </c>
      <c r="B2387" s="2" t="s">
        <v>240</v>
      </c>
      <c r="C2387" s="2" t="s">
        <v>5876</v>
      </c>
      <c r="D2387" s="2" t="s">
        <v>49</v>
      </c>
      <c r="E2387" s="2" t="s">
        <v>1563</v>
      </c>
      <c r="F2387" s="2" t="s">
        <v>1186</v>
      </c>
      <c r="G2387" s="2" t="s">
        <v>5949</v>
      </c>
    </row>
    <row r="2388" customFormat="false" ht="15" hidden="false" customHeight="false" outlineLevel="0" collapsed="false">
      <c r="A2388" s="2" t="s">
        <v>5950</v>
      </c>
      <c r="B2388" s="2" t="s">
        <v>240</v>
      </c>
      <c r="C2388" s="2" t="s">
        <v>5801</v>
      </c>
      <c r="D2388" s="2" t="s">
        <v>48</v>
      </c>
      <c r="E2388" s="2" t="s">
        <v>1185</v>
      </c>
      <c r="F2388" s="2" t="s">
        <v>1186</v>
      </c>
      <c r="G2388" s="2" t="s">
        <v>5951</v>
      </c>
    </row>
    <row r="2389" customFormat="false" ht="15" hidden="false" customHeight="false" outlineLevel="0" collapsed="false">
      <c r="A2389" s="2" t="s">
        <v>5952</v>
      </c>
      <c r="B2389" s="2" t="s">
        <v>240</v>
      </c>
      <c r="C2389" s="2" t="s">
        <v>5801</v>
      </c>
      <c r="D2389" s="2" t="s">
        <v>48</v>
      </c>
      <c r="E2389" s="2" t="s">
        <v>1185</v>
      </c>
      <c r="F2389" s="2" t="s">
        <v>1186</v>
      </c>
      <c r="G2389" s="2" t="s">
        <v>5953</v>
      </c>
    </row>
    <row r="2390" customFormat="false" ht="15" hidden="false" customHeight="false" outlineLevel="0" collapsed="false">
      <c r="A2390" s="2" t="s">
        <v>5954</v>
      </c>
      <c r="B2390" s="2" t="s">
        <v>240</v>
      </c>
      <c r="C2390" s="2" t="s">
        <v>5801</v>
      </c>
      <c r="D2390" s="2" t="s">
        <v>48</v>
      </c>
      <c r="E2390" s="2" t="s">
        <v>1185</v>
      </c>
      <c r="F2390" s="2" t="s">
        <v>1186</v>
      </c>
      <c r="G2390" s="2" t="s">
        <v>5955</v>
      </c>
    </row>
    <row r="2391" customFormat="false" ht="15" hidden="false" customHeight="false" outlineLevel="0" collapsed="false">
      <c r="A2391" s="2" t="s">
        <v>5956</v>
      </c>
      <c r="B2391" s="2" t="s">
        <v>240</v>
      </c>
      <c r="C2391" s="2" t="s">
        <v>5801</v>
      </c>
      <c r="D2391" s="2" t="s">
        <v>48</v>
      </c>
      <c r="E2391" s="2" t="s">
        <v>1185</v>
      </c>
      <c r="F2391" s="2" t="s">
        <v>1186</v>
      </c>
      <c r="G2391" s="2" t="s">
        <v>5957</v>
      </c>
    </row>
    <row r="2392" customFormat="false" ht="15" hidden="false" customHeight="false" outlineLevel="0" collapsed="false">
      <c r="A2392" s="2" t="s">
        <v>5958</v>
      </c>
      <c r="B2392" s="2" t="s">
        <v>240</v>
      </c>
      <c r="C2392" s="2" t="s">
        <v>5801</v>
      </c>
      <c r="D2392" s="2" t="s">
        <v>48</v>
      </c>
      <c r="E2392" s="2" t="s">
        <v>1185</v>
      </c>
      <c r="F2392" s="2" t="s">
        <v>1186</v>
      </c>
      <c r="G2392" s="2" t="s">
        <v>5959</v>
      </c>
    </row>
    <row r="2393" customFormat="false" ht="15" hidden="false" customHeight="false" outlineLevel="0" collapsed="false">
      <c r="A2393" s="2" t="s">
        <v>5960</v>
      </c>
      <c r="B2393" s="2" t="s">
        <v>240</v>
      </c>
      <c r="C2393" s="2" t="s">
        <v>5801</v>
      </c>
      <c r="D2393" s="2" t="s">
        <v>48</v>
      </c>
      <c r="E2393" s="2" t="s">
        <v>1185</v>
      </c>
      <c r="F2393" s="2" t="s">
        <v>1186</v>
      </c>
      <c r="G2393" s="2" t="s">
        <v>5961</v>
      </c>
    </row>
    <row r="2394" customFormat="false" ht="15" hidden="false" customHeight="false" outlineLevel="0" collapsed="false">
      <c r="A2394" s="2" t="s">
        <v>5962</v>
      </c>
      <c r="B2394" s="2" t="s">
        <v>240</v>
      </c>
      <c r="C2394" s="2" t="s">
        <v>5801</v>
      </c>
      <c r="D2394" s="2" t="s">
        <v>48</v>
      </c>
      <c r="E2394" s="2" t="s">
        <v>1185</v>
      </c>
      <c r="F2394" s="2" t="s">
        <v>1186</v>
      </c>
      <c r="G2394" s="2" t="s">
        <v>5963</v>
      </c>
    </row>
    <row r="2395" customFormat="false" ht="15" hidden="false" customHeight="false" outlineLevel="0" collapsed="false">
      <c r="A2395" s="2" t="s">
        <v>5964</v>
      </c>
      <c r="B2395" s="2" t="s">
        <v>240</v>
      </c>
      <c r="C2395" s="2" t="s">
        <v>5801</v>
      </c>
      <c r="D2395" s="2" t="s">
        <v>48</v>
      </c>
      <c r="E2395" s="2" t="s">
        <v>1185</v>
      </c>
      <c r="F2395" s="2" t="s">
        <v>1186</v>
      </c>
      <c r="G2395" s="2" t="s">
        <v>5965</v>
      </c>
    </row>
    <row r="2396" customFormat="false" ht="15" hidden="false" customHeight="false" outlineLevel="0" collapsed="false">
      <c r="A2396" s="2" t="s">
        <v>5966</v>
      </c>
      <c r="B2396" s="2" t="s">
        <v>240</v>
      </c>
      <c r="C2396" s="2" t="s">
        <v>5801</v>
      </c>
      <c r="D2396" s="2" t="s">
        <v>48</v>
      </c>
      <c r="E2396" s="2" t="s">
        <v>1185</v>
      </c>
      <c r="F2396" s="2" t="s">
        <v>1186</v>
      </c>
      <c r="G2396" s="2" t="s">
        <v>5967</v>
      </c>
    </row>
    <row r="2397" customFormat="false" ht="15" hidden="false" customHeight="false" outlineLevel="0" collapsed="false">
      <c r="A2397" s="2" t="s">
        <v>5968</v>
      </c>
      <c r="B2397" s="2" t="s">
        <v>240</v>
      </c>
      <c r="C2397" s="2" t="s">
        <v>5801</v>
      </c>
      <c r="D2397" s="2" t="s">
        <v>48</v>
      </c>
      <c r="E2397" s="2" t="s">
        <v>1185</v>
      </c>
      <c r="F2397" s="2" t="s">
        <v>1186</v>
      </c>
      <c r="G2397" s="2" t="s">
        <v>5969</v>
      </c>
    </row>
    <row r="2398" customFormat="false" ht="15" hidden="false" customHeight="false" outlineLevel="0" collapsed="false">
      <c r="A2398" s="2" t="s">
        <v>5970</v>
      </c>
      <c r="B2398" s="2" t="s">
        <v>240</v>
      </c>
      <c r="C2398" s="2" t="s">
        <v>5801</v>
      </c>
      <c r="D2398" s="2" t="s">
        <v>48</v>
      </c>
      <c r="E2398" s="2" t="s">
        <v>1185</v>
      </c>
      <c r="F2398" s="2" t="s">
        <v>1186</v>
      </c>
      <c r="G2398" s="2" t="s">
        <v>5971</v>
      </c>
    </row>
    <row r="2399" customFormat="false" ht="15" hidden="false" customHeight="false" outlineLevel="0" collapsed="false">
      <c r="A2399" s="2" t="s">
        <v>5972</v>
      </c>
      <c r="B2399" s="2" t="s">
        <v>240</v>
      </c>
      <c r="C2399" s="2" t="s">
        <v>5801</v>
      </c>
      <c r="D2399" s="2" t="s">
        <v>48</v>
      </c>
      <c r="E2399" s="2" t="s">
        <v>1185</v>
      </c>
      <c r="F2399" s="2" t="s">
        <v>1186</v>
      </c>
      <c r="G2399" s="2" t="s">
        <v>5973</v>
      </c>
    </row>
    <row r="2400" customFormat="false" ht="15" hidden="false" customHeight="false" outlineLevel="0" collapsed="false">
      <c r="A2400" s="2" t="s">
        <v>5974</v>
      </c>
      <c r="B2400" s="2" t="s">
        <v>240</v>
      </c>
      <c r="C2400" s="2" t="s">
        <v>5801</v>
      </c>
      <c r="D2400" s="2" t="s">
        <v>48</v>
      </c>
      <c r="E2400" s="2" t="s">
        <v>1185</v>
      </c>
      <c r="F2400" s="2" t="s">
        <v>1186</v>
      </c>
      <c r="G2400" s="2" t="s">
        <v>5975</v>
      </c>
    </row>
    <row r="2401" customFormat="false" ht="15" hidden="false" customHeight="false" outlineLevel="0" collapsed="false">
      <c r="A2401" s="2" t="s">
        <v>5976</v>
      </c>
      <c r="B2401" s="2" t="s">
        <v>240</v>
      </c>
      <c r="C2401" s="2" t="s">
        <v>5801</v>
      </c>
      <c r="D2401" s="2" t="s">
        <v>48</v>
      </c>
      <c r="E2401" s="2" t="s">
        <v>1185</v>
      </c>
      <c r="F2401" s="2" t="s">
        <v>1186</v>
      </c>
      <c r="G2401" s="2" t="s">
        <v>5977</v>
      </c>
    </row>
    <row r="2402" customFormat="false" ht="15" hidden="false" customHeight="false" outlineLevel="0" collapsed="false">
      <c r="A2402" s="2" t="s">
        <v>5978</v>
      </c>
      <c r="B2402" s="2" t="s">
        <v>240</v>
      </c>
      <c r="C2402" s="2" t="s">
        <v>5876</v>
      </c>
      <c r="D2402" s="2" t="s">
        <v>49</v>
      </c>
      <c r="E2402" s="2" t="s">
        <v>1563</v>
      </c>
      <c r="F2402" s="2" t="s">
        <v>1186</v>
      </c>
      <c r="G2402" s="2" t="s">
        <v>5979</v>
      </c>
    </row>
    <row r="2403" customFormat="false" ht="15" hidden="false" customHeight="false" outlineLevel="0" collapsed="false">
      <c r="A2403" s="2" t="s">
        <v>5980</v>
      </c>
      <c r="B2403" s="2" t="s">
        <v>240</v>
      </c>
      <c r="C2403" s="2" t="s">
        <v>5876</v>
      </c>
      <c r="D2403" s="2" t="s">
        <v>49</v>
      </c>
      <c r="E2403" s="2" t="s">
        <v>1563</v>
      </c>
      <c r="F2403" s="2" t="s">
        <v>1186</v>
      </c>
      <c r="G2403" s="2" t="s">
        <v>5981</v>
      </c>
    </row>
    <row r="2404" customFormat="false" ht="15" hidden="false" customHeight="false" outlineLevel="0" collapsed="false">
      <c r="A2404" s="2" t="s">
        <v>5982</v>
      </c>
      <c r="B2404" s="2" t="s">
        <v>240</v>
      </c>
      <c r="C2404" s="2" t="s">
        <v>5876</v>
      </c>
      <c r="D2404" s="2" t="s">
        <v>49</v>
      </c>
      <c r="E2404" s="2" t="s">
        <v>1563</v>
      </c>
      <c r="F2404" s="2" t="s">
        <v>1186</v>
      </c>
      <c r="G2404" s="2" t="s">
        <v>5983</v>
      </c>
    </row>
    <row r="2405" customFormat="false" ht="15" hidden="false" customHeight="false" outlineLevel="0" collapsed="false">
      <c r="A2405" s="2" t="s">
        <v>5984</v>
      </c>
      <c r="B2405" s="2" t="s">
        <v>240</v>
      </c>
      <c r="C2405" s="2" t="s">
        <v>5876</v>
      </c>
      <c r="D2405" s="2" t="s">
        <v>49</v>
      </c>
      <c r="E2405" s="2" t="s">
        <v>1563</v>
      </c>
      <c r="F2405" s="2" t="s">
        <v>1186</v>
      </c>
      <c r="G2405" s="2" t="s">
        <v>5985</v>
      </c>
    </row>
    <row r="2406" customFormat="false" ht="15" hidden="false" customHeight="false" outlineLevel="0" collapsed="false">
      <c r="A2406" s="2" t="s">
        <v>5986</v>
      </c>
      <c r="B2406" s="2" t="s">
        <v>240</v>
      </c>
      <c r="C2406" s="2" t="s">
        <v>5876</v>
      </c>
      <c r="D2406" s="2" t="s">
        <v>49</v>
      </c>
      <c r="E2406" s="2" t="s">
        <v>1563</v>
      </c>
      <c r="F2406" s="2" t="s">
        <v>1186</v>
      </c>
      <c r="G2406" s="2" t="s">
        <v>5987</v>
      </c>
    </row>
    <row r="2407" customFormat="false" ht="15" hidden="false" customHeight="false" outlineLevel="0" collapsed="false">
      <c r="A2407" s="2" t="s">
        <v>5988</v>
      </c>
      <c r="B2407" s="2" t="s">
        <v>240</v>
      </c>
      <c r="C2407" s="2" t="s">
        <v>5876</v>
      </c>
      <c r="D2407" s="2" t="s">
        <v>49</v>
      </c>
      <c r="E2407" s="2" t="s">
        <v>1563</v>
      </c>
      <c r="F2407" s="2" t="s">
        <v>1186</v>
      </c>
      <c r="G2407" s="2" t="s">
        <v>5989</v>
      </c>
    </row>
    <row r="2408" customFormat="false" ht="15" hidden="false" customHeight="false" outlineLevel="0" collapsed="false">
      <c r="A2408" s="2" t="s">
        <v>5990</v>
      </c>
      <c r="B2408" s="2" t="s">
        <v>240</v>
      </c>
      <c r="C2408" s="2" t="s">
        <v>5801</v>
      </c>
      <c r="D2408" s="2" t="s">
        <v>48</v>
      </c>
      <c r="E2408" s="2" t="s">
        <v>1185</v>
      </c>
      <c r="F2408" s="2" t="s">
        <v>1186</v>
      </c>
      <c r="G2408" s="2" t="s">
        <v>5991</v>
      </c>
    </row>
    <row r="2409" customFormat="false" ht="15" hidden="false" customHeight="false" outlineLevel="0" collapsed="false">
      <c r="A2409" s="2" t="s">
        <v>5992</v>
      </c>
      <c r="B2409" s="2" t="s">
        <v>240</v>
      </c>
      <c r="C2409" s="2" t="s">
        <v>5801</v>
      </c>
      <c r="D2409" s="2" t="s">
        <v>48</v>
      </c>
      <c r="E2409" s="2" t="s">
        <v>1185</v>
      </c>
      <c r="F2409" s="2" t="s">
        <v>1186</v>
      </c>
      <c r="G2409" s="2" t="s">
        <v>5993</v>
      </c>
    </row>
    <row r="2410" customFormat="false" ht="15" hidden="false" customHeight="false" outlineLevel="0" collapsed="false">
      <c r="A2410" s="2" t="s">
        <v>5994</v>
      </c>
      <c r="B2410" s="2" t="s">
        <v>240</v>
      </c>
      <c r="C2410" s="2" t="s">
        <v>5801</v>
      </c>
      <c r="D2410" s="2" t="s">
        <v>48</v>
      </c>
      <c r="E2410" s="2" t="s">
        <v>1185</v>
      </c>
      <c r="F2410" s="2" t="s">
        <v>1186</v>
      </c>
      <c r="G2410" s="2" t="s">
        <v>5995</v>
      </c>
    </row>
    <row r="2411" customFormat="false" ht="15" hidden="false" customHeight="false" outlineLevel="0" collapsed="false">
      <c r="A2411" s="2" t="s">
        <v>5996</v>
      </c>
      <c r="B2411" s="2" t="s">
        <v>240</v>
      </c>
      <c r="C2411" s="2" t="s">
        <v>5801</v>
      </c>
      <c r="D2411" s="2" t="s">
        <v>48</v>
      </c>
      <c r="E2411" s="2" t="s">
        <v>1185</v>
      </c>
      <c r="F2411" s="2" t="s">
        <v>1186</v>
      </c>
      <c r="G2411" s="2" t="s">
        <v>5997</v>
      </c>
    </row>
    <row r="2412" customFormat="false" ht="15" hidden="false" customHeight="false" outlineLevel="0" collapsed="false">
      <c r="A2412" s="2" t="s">
        <v>5998</v>
      </c>
      <c r="B2412" s="2" t="s">
        <v>240</v>
      </c>
      <c r="C2412" s="2" t="s">
        <v>5801</v>
      </c>
      <c r="D2412" s="2" t="s">
        <v>48</v>
      </c>
      <c r="E2412" s="2" t="s">
        <v>1185</v>
      </c>
      <c r="F2412" s="2" t="s">
        <v>1186</v>
      </c>
      <c r="G2412" s="2" t="s">
        <v>5999</v>
      </c>
    </row>
    <row r="2413" customFormat="false" ht="15" hidden="false" customHeight="false" outlineLevel="0" collapsed="false">
      <c r="A2413" s="2" t="s">
        <v>6000</v>
      </c>
      <c r="B2413" s="2" t="s">
        <v>240</v>
      </c>
      <c r="C2413" s="2" t="s">
        <v>5801</v>
      </c>
      <c r="D2413" s="2" t="s">
        <v>48</v>
      </c>
      <c r="E2413" s="2" t="s">
        <v>1185</v>
      </c>
      <c r="F2413" s="2" t="s">
        <v>1186</v>
      </c>
      <c r="G2413" s="2" t="s">
        <v>6001</v>
      </c>
    </row>
    <row r="2414" customFormat="false" ht="15" hidden="false" customHeight="false" outlineLevel="0" collapsed="false">
      <c r="A2414" s="2" t="s">
        <v>6002</v>
      </c>
      <c r="B2414" s="2" t="s">
        <v>240</v>
      </c>
      <c r="C2414" s="2" t="s">
        <v>5801</v>
      </c>
      <c r="D2414" s="2" t="s">
        <v>48</v>
      </c>
      <c r="E2414" s="2" t="s">
        <v>1185</v>
      </c>
      <c r="F2414" s="2" t="s">
        <v>1186</v>
      </c>
      <c r="G2414" s="2" t="s">
        <v>6003</v>
      </c>
    </row>
    <row r="2415" customFormat="false" ht="15" hidden="false" customHeight="false" outlineLevel="0" collapsed="false">
      <c r="A2415" s="2" t="s">
        <v>6004</v>
      </c>
      <c r="B2415" s="2" t="s">
        <v>240</v>
      </c>
      <c r="C2415" s="2" t="s">
        <v>5801</v>
      </c>
      <c r="D2415" s="2" t="s">
        <v>48</v>
      </c>
      <c r="E2415" s="2" t="s">
        <v>1185</v>
      </c>
      <c r="F2415" s="2" t="s">
        <v>1186</v>
      </c>
      <c r="G2415" s="2" t="s">
        <v>6005</v>
      </c>
    </row>
    <row r="2416" customFormat="false" ht="15" hidden="false" customHeight="false" outlineLevel="0" collapsed="false">
      <c r="A2416" s="2" t="s">
        <v>6006</v>
      </c>
      <c r="B2416" s="2" t="s">
        <v>240</v>
      </c>
      <c r="C2416" s="2" t="s">
        <v>5801</v>
      </c>
      <c r="D2416" s="2" t="s">
        <v>48</v>
      </c>
      <c r="E2416" s="2" t="s">
        <v>1185</v>
      </c>
      <c r="F2416" s="2" t="s">
        <v>1186</v>
      </c>
      <c r="G2416" s="2" t="s">
        <v>6007</v>
      </c>
    </row>
    <row r="2417" customFormat="false" ht="15" hidden="false" customHeight="false" outlineLevel="0" collapsed="false">
      <c r="A2417" s="2" t="s">
        <v>6008</v>
      </c>
      <c r="B2417" s="2" t="s">
        <v>240</v>
      </c>
      <c r="C2417" s="2" t="s">
        <v>5801</v>
      </c>
      <c r="D2417" s="2" t="s">
        <v>48</v>
      </c>
      <c r="E2417" s="2" t="s">
        <v>1185</v>
      </c>
      <c r="F2417" s="2" t="s">
        <v>1186</v>
      </c>
      <c r="G2417" s="2" t="s">
        <v>6009</v>
      </c>
    </row>
    <row r="2418" customFormat="false" ht="15" hidden="false" customHeight="false" outlineLevel="0" collapsed="false">
      <c r="A2418" s="2" t="s">
        <v>6010</v>
      </c>
      <c r="B2418" s="2" t="s">
        <v>240</v>
      </c>
      <c r="C2418" s="2" t="s">
        <v>5801</v>
      </c>
      <c r="D2418" s="2" t="s">
        <v>48</v>
      </c>
      <c r="E2418" s="2" t="s">
        <v>1185</v>
      </c>
      <c r="F2418" s="2" t="s">
        <v>1186</v>
      </c>
      <c r="G2418" s="2" t="s">
        <v>6011</v>
      </c>
    </row>
    <row r="2419" customFormat="false" ht="15" hidden="false" customHeight="false" outlineLevel="0" collapsed="false">
      <c r="A2419" s="2" t="s">
        <v>6012</v>
      </c>
      <c r="B2419" s="2" t="s">
        <v>240</v>
      </c>
      <c r="C2419" s="2" t="s">
        <v>5801</v>
      </c>
      <c r="D2419" s="2" t="s">
        <v>48</v>
      </c>
      <c r="E2419" s="2" t="s">
        <v>1185</v>
      </c>
      <c r="F2419" s="2" t="s">
        <v>1186</v>
      </c>
      <c r="G2419" s="2" t="s">
        <v>6013</v>
      </c>
    </row>
    <row r="2420" customFormat="false" ht="15" hidden="false" customHeight="false" outlineLevel="0" collapsed="false">
      <c r="A2420" s="2" t="s">
        <v>6014</v>
      </c>
      <c r="B2420" s="2" t="s">
        <v>240</v>
      </c>
      <c r="C2420" s="2" t="s">
        <v>5801</v>
      </c>
      <c r="D2420" s="2" t="s">
        <v>48</v>
      </c>
      <c r="E2420" s="2" t="s">
        <v>1185</v>
      </c>
      <c r="F2420" s="2" t="s">
        <v>1186</v>
      </c>
      <c r="G2420" s="2" t="s">
        <v>6015</v>
      </c>
    </row>
    <row r="2421" customFormat="false" ht="15" hidden="false" customHeight="false" outlineLevel="0" collapsed="false">
      <c r="A2421" s="2" t="s">
        <v>6016</v>
      </c>
      <c r="B2421" s="2" t="s">
        <v>240</v>
      </c>
      <c r="C2421" s="2" t="s">
        <v>5801</v>
      </c>
      <c r="D2421" s="2" t="s">
        <v>48</v>
      </c>
      <c r="E2421" s="2" t="s">
        <v>1185</v>
      </c>
      <c r="F2421" s="2" t="s">
        <v>1186</v>
      </c>
      <c r="G2421" s="2" t="s">
        <v>6017</v>
      </c>
    </row>
    <row r="2422" customFormat="false" ht="15" hidden="false" customHeight="false" outlineLevel="0" collapsed="false">
      <c r="A2422" s="2" t="s">
        <v>6018</v>
      </c>
      <c r="B2422" s="2" t="s">
        <v>240</v>
      </c>
      <c r="C2422" s="2" t="s">
        <v>5801</v>
      </c>
      <c r="D2422" s="2" t="s">
        <v>48</v>
      </c>
      <c r="E2422" s="2" t="s">
        <v>1185</v>
      </c>
      <c r="F2422" s="2" t="s">
        <v>1186</v>
      </c>
      <c r="G2422" s="2" t="s">
        <v>6019</v>
      </c>
    </row>
    <row r="2423" customFormat="false" ht="15" hidden="false" customHeight="false" outlineLevel="0" collapsed="false">
      <c r="A2423" s="2" t="s">
        <v>6020</v>
      </c>
      <c r="B2423" s="2" t="s">
        <v>240</v>
      </c>
      <c r="C2423" s="2" t="s">
        <v>5801</v>
      </c>
      <c r="D2423" s="2" t="s">
        <v>48</v>
      </c>
      <c r="E2423" s="2" t="s">
        <v>1185</v>
      </c>
      <c r="F2423" s="2" t="s">
        <v>1186</v>
      </c>
      <c r="G2423" s="2" t="s">
        <v>6021</v>
      </c>
    </row>
    <row r="2424" customFormat="false" ht="15" hidden="false" customHeight="false" outlineLevel="0" collapsed="false">
      <c r="A2424" s="2" t="s">
        <v>6022</v>
      </c>
      <c r="B2424" s="2" t="s">
        <v>240</v>
      </c>
      <c r="C2424" s="2" t="s">
        <v>5801</v>
      </c>
      <c r="D2424" s="2" t="s">
        <v>48</v>
      </c>
      <c r="E2424" s="2" t="s">
        <v>1185</v>
      </c>
      <c r="F2424" s="2" t="s">
        <v>1186</v>
      </c>
      <c r="G2424" s="2" t="s">
        <v>6023</v>
      </c>
    </row>
    <row r="2425" customFormat="false" ht="15" hidden="false" customHeight="false" outlineLevel="0" collapsed="false">
      <c r="A2425" s="2" t="s">
        <v>6024</v>
      </c>
      <c r="B2425" s="2" t="s">
        <v>240</v>
      </c>
      <c r="C2425" s="2" t="s">
        <v>5801</v>
      </c>
      <c r="D2425" s="2" t="s">
        <v>48</v>
      </c>
      <c r="E2425" s="2" t="s">
        <v>1185</v>
      </c>
      <c r="F2425" s="2" t="s">
        <v>1186</v>
      </c>
      <c r="G2425" s="2" t="s">
        <v>6025</v>
      </c>
    </row>
    <row r="2426" customFormat="false" ht="15" hidden="false" customHeight="false" outlineLevel="0" collapsed="false">
      <c r="A2426" s="2" t="s">
        <v>6026</v>
      </c>
      <c r="B2426" s="2" t="s">
        <v>240</v>
      </c>
      <c r="C2426" s="2" t="s">
        <v>5801</v>
      </c>
      <c r="D2426" s="2" t="s">
        <v>48</v>
      </c>
      <c r="E2426" s="2" t="s">
        <v>1185</v>
      </c>
      <c r="F2426" s="2" t="s">
        <v>1186</v>
      </c>
      <c r="G2426" s="2" t="s">
        <v>6027</v>
      </c>
    </row>
    <row r="2427" customFormat="false" ht="15" hidden="false" customHeight="false" outlineLevel="0" collapsed="false">
      <c r="A2427" s="2" t="s">
        <v>6028</v>
      </c>
      <c r="B2427" s="2" t="s">
        <v>240</v>
      </c>
      <c r="C2427" s="2" t="s">
        <v>5801</v>
      </c>
      <c r="D2427" s="2" t="s">
        <v>48</v>
      </c>
      <c r="E2427" s="2" t="s">
        <v>1185</v>
      </c>
      <c r="F2427" s="2" t="s">
        <v>1186</v>
      </c>
      <c r="G2427" s="2" t="s">
        <v>6029</v>
      </c>
    </row>
    <row r="2428" customFormat="false" ht="15" hidden="false" customHeight="false" outlineLevel="0" collapsed="false">
      <c r="A2428" s="2" t="s">
        <v>6030</v>
      </c>
      <c r="B2428" s="2" t="s">
        <v>240</v>
      </c>
      <c r="C2428" s="2" t="s">
        <v>5801</v>
      </c>
      <c r="D2428" s="2" t="s">
        <v>48</v>
      </c>
      <c r="E2428" s="2" t="s">
        <v>1185</v>
      </c>
      <c r="F2428" s="2" t="s">
        <v>1186</v>
      </c>
      <c r="G2428" s="2" t="s">
        <v>6031</v>
      </c>
    </row>
    <row r="2429" customFormat="false" ht="15" hidden="false" customHeight="false" outlineLevel="0" collapsed="false">
      <c r="A2429" s="2" t="s">
        <v>6032</v>
      </c>
      <c r="B2429" s="2" t="s">
        <v>240</v>
      </c>
      <c r="C2429" s="2" t="s">
        <v>5801</v>
      </c>
      <c r="D2429" s="2" t="s">
        <v>48</v>
      </c>
      <c r="E2429" s="2" t="s">
        <v>1185</v>
      </c>
      <c r="F2429" s="2" t="s">
        <v>1186</v>
      </c>
      <c r="G2429" s="2" t="s">
        <v>6033</v>
      </c>
    </row>
    <row r="2430" customFormat="false" ht="15" hidden="false" customHeight="false" outlineLevel="0" collapsed="false">
      <c r="A2430" s="2" t="s">
        <v>6034</v>
      </c>
      <c r="B2430" s="2" t="s">
        <v>240</v>
      </c>
      <c r="C2430" s="2" t="s">
        <v>5801</v>
      </c>
      <c r="D2430" s="2" t="s">
        <v>48</v>
      </c>
      <c r="E2430" s="2" t="s">
        <v>1185</v>
      </c>
      <c r="F2430" s="2" t="s">
        <v>1186</v>
      </c>
      <c r="G2430" s="2" t="s">
        <v>6035</v>
      </c>
    </row>
    <row r="2431" customFormat="false" ht="15" hidden="false" customHeight="false" outlineLevel="0" collapsed="false">
      <c r="A2431" s="2" t="s">
        <v>6036</v>
      </c>
      <c r="B2431" s="2" t="s">
        <v>240</v>
      </c>
      <c r="C2431" s="2" t="s">
        <v>5801</v>
      </c>
      <c r="D2431" s="2" t="s">
        <v>48</v>
      </c>
      <c r="E2431" s="2" t="s">
        <v>1185</v>
      </c>
      <c r="F2431" s="2" t="s">
        <v>1186</v>
      </c>
      <c r="G2431" s="2" t="s">
        <v>6037</v>
      </c>
    </row>
    <row r="2432" customFormat="false" ht="15" hidden="false" customHeight="false" outlineLevel="0" collapsed="false">
      <c r="A2432" s="2" t="s">
        <v>6038</v>
      </c>
      <c r="B2432" s="2" t="s">
        <v>240</v>
      </c>
      <c r="C2432" s="2" t="s">
        <v>5801</v>
      </c>
      <c r="D2432" s="2" t="s">
        <v>48</v>
      </c>
      <c r="E2432" s="2" t="s">
        <v>1185</v>
      </c>
      <c r="F2432" s="2" t="s">
        <v>1186</v>
      </c>
      <c r="G2432" s="2" t="s">
        <v>6039</v>
      </c>
    </row>
    <row r="2433" customFormat="false" ht="15" hidden="false" customHeight="false" outlineLevel="0" collapsed="false">
      <c r="A2433" s="2" t="s">
        <v>6040</v>
      </c>
      <c r="B2433" s="2" t="s">
        <v>240</v>
      </c>
      <c r="C2433" s="2" t="s">
        <v>5801</v>
      </c>
      <c r="D2433" s="2" t="s">
        <v>48</v>
      </c>
      <c r="E2433" s="2" t="s">
        <v>1185</v>
      </c>
      <c r="F2433" s="2" t="s">
        <v>1186</v>
      </c>
      <c r="G2433" s="2" t="s">
        <v>6041</v>
      </c>
    </row>
    <row r="2434" customFormat="false" ht="15" hidden="false" customHeight="false" outlineLevel="0" collapsed="false">
      <c r="A2434" s="2" t="s">
        <v>6042</v>
      </c>
      <c r="B2434" s="2" t="s">
        <v>240</v>
      </c>
      <c r="C2434" s="2" t="s">
        <v>5801</v>
      </c>
      <c r="D2434" s="2" t="s">
        <v>48</v>
      </c>
      <c r="E2434" s="2" t="s">
        <v>1185</v>
      </c>
      <c r="F2434" s="2" t="s">
        <v>1186</v>
      </c>
      <c r="G2434" s="2" t="s">
        <v>6043</v>
      </c>
    </row>
    <row r="2435" customFormat="false" ht="15" hidden="false" customHeight="false" outlineLevel="0" collapsed="false">
      <c r="A2435" s="2" t="s">
        <v>6044</v>
      </c>
      <c r="B2435" s="2" t="s">
        <v>240</v>
      </c>
      <c r="C2435" s="2" t="s">
        <v>5801</v>
      </c>
      <c r="D2435" s="2" t="s">
        <v>48</v>
      </c>
      <c r="E2435" s="2" t="s">
        <v>1185</v>
      </c>
      <c r="F2435" s="2" t="s">
        <v>1186</v>
      </c>
      <c r="G2435" s="2" t="s">
        <v>6045</v>
      </c>
    </row>
    <row r="2436" customFormat="false" ht="15" hidden="false" customHeight="false" outlineLevel="0" collapsed="false">
      <c r="A2436" s="2" t="s">
        <v>6046</v>
      </c>
      <c r="B2436" s="2" t="s">
        <v>240</v>
      </c>
      <c r="C2436" s="2" t="s">
        <v>5801</v>
      </c>
      <c r="D2436" s="2" t="s">
        <v>48</v>
      </c>
      <c r="E2436" s="2" t="s">
        <v>1185</v>
      </c>
      <c r="F2436" s="2" t="s">
        <v>1186</v>
      </c>
      <c r="G2436" s="2" t="s">
        <v>6047</v>
      </c>
    </row>
    <row r="2437" customFormat="false" ht="15" hidden="false" customHeight="false" outlineLevel="0" collapsed="false">
      <c r="A2437" s="2" t="s">
        <v>6048</v>
      </c>
      <c r="B2437" s="2" t="s">
        <v>240</v>
      </c>
      <c r="C2437" s="2" t="s">
        <v>5801</v>
      </c>
      <c r="D2437" s="2" t="s">
        <v>48</v>
      </c>
      <c r="E2437" s="2" t="s">
        <v>1185</v>
      </c>
      <c r="F2437" s="2" t="s">
        <v>1186</v>
      </c>
      <c r="G2437" s="2" t="s">
        <v>6049</v>
      </c>
    </row>
    <row r="2438" customFormat="false" ht="15" hidden="false" customHeight="false" outlineLevel="0" collapsed="false">
      <c r="A2438" s="2" t="s">
        <v>6050</v>
      </c>
      <c r="B2438" s="2" t="s">
        <v>240</v>
      </c>
      <c r="C2438" s="2" t="s">
        <v>5801</v>
      </c>
      <c r="D2438" s="2" t="s">
        <v>48</v>
      </c>
      <c r="E2438" s="2" t="s">
        <v>1185</v>
      </c>
      <c r="F2438" s="2" t="s">
        <v>1186</v>
      </c>
      <c r="G2438" s="2" t="s">
        <v>6051</v>
      </c>
    </row>
    <row r="2439" customFormat="false" ht="15" hidden="false" customHeight="false" outlineLevel="0" collapsed="false">
      <c r="A2439" s="2" t="s">
        <v>6052</v>
      </c>
      <c r="B2439" s="2" t="s">
        <v>240</v>
      </c>
      <c r="C2439" s="2" t="s">
        <v>5801</v>
      </c>
      <c r="D2439" s="2" t="s">
        <v>48</v>
      </c>
      <c r="E2439" s="2" t="s">
        <v>1185</v>
      </c>
      <c r="F2439" s="2" t="s">
        <v>1186</v>
      </c>
      <c r="G2439" s="2" t="s">
        <v>6053</v>
      </c>
    </row>
    <row r="2440" customFormat="false" ht="15" hidden="false" customHeight="false" outlineLevel="0" collapsed="false">
      <c r="A2440" s="2" t="s">
        <v>6054</v>
      </c>
      <c r="B2440" s="2" t="s">
        <v>240</v>
      </c>
      <c r="C2440" s="2" t="s">
        <v>5801</v>
      </c>
      <c r="D2440" s="2" t="s">
        <v>48</v>
      </c>
      <c r="E2440" s="2" t="s">
        <v>1185</v>
      </c>
      <c r="F2440" s="2" t="s">
        <v>1186</v>
      </c>
      <c r="G2440" s="2" t="s">
        <v>6055</v>
      </c>
    </row>
    <row r="2441" customFormat="false" ht="15" hidden="false" customHeight="false" outlineLevel="0" collapsed="false">
      <c r="A2441" s="2" t="s">
        <v>6056</v>
      </c>
      <c r="B2441" s="2" t="s">
        <v>240</v>
      </c>
      <c r="C2441" s="2" t="s">
        <v>5876</v>
      </c>
      <c r="D2441" s="2" t="s">
        <v>49</v>
      </c>
      <c r="E2441" s="2" t="s">
        <v>1563</v>
      </c>
      <c r="F2441" s="2" t="s">
        <v>1186</v>
      </c>
      <c r="G2441" s="2" t="s">
        <v>6057</v>
      </c>
    </row>
    <row r="2442" customFormat="false" ht="15" hidden="false" customHeight="false" outlineLevel="0" collapsed="false">
      <c r="A2442" s="2" t="s">
        <v>6058</v>
      </c>
      <c r="B2442" s="2" t="s">
        <v>240</v>
      </c>
      <c r="C2442" s="2" t="s">
        <v>5876</v>
      </c>
      <c r="D2442" s="2" t="s">
        <v>49</v>
      </c>
      <c r="E2442" s="2" t="s">
        <v>1563</v>
      </c>
      <c r="F2442" s="2" t="s">
        <v>1186</v>
      </c>
      <c r="G2442" s="2" t="s">
        <v>6059</v>
      </c>
    </row>
    <row r="2443" customFormat="false" ht="15" hidden="false" customHeight="false" outlineLevel="0" collapsed="false">
      <c r="A2443" s="2" t="s">
        <v>6060</v>
      </c>
      <c r="B2443" s="2" t="s">
        <v>240</v>
      </c>
      <c r="C2443" s="2" t="s">
        <v>5801</v>
      </c>
      <c r="D2443" s="2" t="s">
        <v>48</v>
      </c>
      <c r="E2443" s="2" t="s">
        <v>1185</v>
      </c>
      <c r="F2443" s="2" t="s">
        <v>1186</v>
      </c>
      <c r="G2443" s="2" t="s">
        <v>6061</v>
      </c>
    </row>
    <row r="2444" customFormat="false" ht="15" hidden="false" customHeight="false" outlineLevel="0" collapsed="false">
      <c r="A2444" s="2" t="s">
        <v>6062</v>
      </c>
      <c r="B2444" s="2" t="s">
        <v>240</v>
      </c>
      <c r="C2444" s="2" t="s">
        <v>5801</v>
      </c>
      <c r="D2444" s="2" t="s">
        <v>48</v>
      </c>
      <c r="E2444" s="2" t="s">
        <v>1185</v>
      </c>
      <c r="F2444" s="2" t="s">
        <v>1186</v>
      </c>
      <c r="G2444" s="2" t="s">
        <v>6063</v>
      </c>
    </row>
    <row r="2445" customFormat="false" ht="15" hidden="false" customHeight="false" outlineLevel="0" collapsed="false">
      <c r="A2445" s="2" t="s">
        <v>6064</v>
      </c>
      <c r="B2445" s="2" t="s">
        <v>240</v>
      </c>
      <c r="C2445" s="2" t="s">
        <v>5876</v>
      </c>
      <c r="D2445" s="2" t="s">
        <v>49</v>
      </c>
      <c r="E2445" s="2" t="s">
        <v>1563</v>
      </c>
      <c r="F2445" s="2" t="s">
        <v>1186</v>
      </c>
      <c r="G2445" s="2" t="s">
        <v>6065</v>
      </c>
    </row>
    <row r="2446" customFormat="false" ht="15" hidden="false" customHeight="false" outlineLevel="0" collapsed="false">
      <c r="A2446" s="2" t="s">
        <v>6066</v>
      </c>
      <c r="B2446" s="2" t="s">
        <v>240</v>
      </c>
      <c r="C2446" s="2" t="s">
        <v>5876</v>
      </c>
      <c r="D2446" s="2" t="s">
        <v>49</v>
      </c>
      <c r="E2446" s="2" t="s">
        <v>1563</v>
      </c>
      <c r="F2446" s="2" t="s">
        <v>1186</v>
      </c>
      <c r="G2446" s="2" t="s">
        <v>6067</v>
      </c>
    </row>
    <row r="2447" customFormat="false" ht="15" hidden="false" customHeight="false" outlineLevel="0" collapsed="false">
      <c r="A2447" s="2" t="s">
        <v>6068</v>
      </c>
      <c r="B2447" s="2" t="s">
        <v>240</v>
      </c>
      <c r="C2447" s="2" t="s">
        <v>5876</v>
      </c>
      <c r="D2447" s="2" t="s">
        <v>49</v>
      </c>
      <c r="E2447" s="2" t="s">
        <v>1563</v>
      </c>
      <c r="F2447" s="2" t="s">
        <v>1186</v>
      </c>
      <c r="G2447" s="2" t="s">
        <v>6069</v>
      </c>
    </row>
    <row r="2448" customFormat="false" ht="15" hidden="false" customHeight="false" outlineLevel="0" collapsed="false">
      <c r="A2448" s="2" t="s">
        <v>6070</v>
      </c>
      <c r="B2448" s="2" t="s">
        <v>240</v>
      </c>
      <c r="C2448" s="2" t="s">
        <v>6071</v>
      </c>
      <c r="D2448" s="2" t="s">
        <v>50</v>
      </c>
      <c r="E2448" s="2" t="s">
        <v>1194</v>
      </c>
      <c r="F2448" s="2" t="s">
        <v>1186</v>
      </c>
      <c r="G2448" s="2" t="s">
        <v>6072</v>
      </c>
    </row>
    <row r="2449" customFormat="false" ht="15" hidden="false" customHeight="false" outlineLevel="0" collapsed="false">
      <c r="A2449" s="2" t="s">
        <v>6073</v>
      </c>
      <c r="B2449" s="2" t="s">
        <v>240</v>
      </c>
      <c r="C2449" s="2" t="s">
        <v>6071</v>
      </c>
      <c r="D2449" s="2" t="s">
        <v>50</v>
      </c>
      <c r="E2449" s="2" t="s">
        <v>1194</v>
      </c>
      <c r="F2449" s="2" t="s">
        <v>1186</v>
      </c>
      <c r="G2449" s="2" t="s">
        <v>6074</v>
      </c>
    </row>
    <row r="2450" customFormat="false" ht="15" hidden="false" customHeight="false" outlineLevel="0" collapsed="false">
      <c r="A2450" s="2" t="s">
        <v>6075</v>
      </c>
      <c r="B2450" s="2" t="s">
        <v>240</v>
      </c>
      <c r="C2450" s="2" t="s">
        <v>6071</v>
      </c>
      <c r="D2450" s="2" t="s">
        <v>50</v>
      </c>
      <c r="E2450" s="2" t="s">
        <v>1194</v>
      </c>
      <c r="F2450" s="2" t="s">
        <v>1186</v>
      </c>
      <c r="G2450" s="2" t="s">
        <v>6076</v>
      </c>
    </row>
    <row r="2451" customFormat="false" ht="15" hidden="false" customHeight="false" outlineLevel="0" collapsed="false">
      <c r="A2451" s="2" t="s">
        <v>6077</v>
      </c>
      <c r="B2451" s="2" t="s">
        <v>240</v>
      </c>
      <c r="C2451" s="2" t="s">
        <v>6071</v>
      </c>
      <c r="D2451" s="2" t="s">
        <v>50</v>
      </c>
      <c r="E2451" s="2" t="s">
        <v>1194</v>
      </c>
      <c r="F2451" s="2" t="s">
        <v>1186</v>
      </c>
      <c r="G2451" s="2" t="s">
        <v>6078</v>
      </c>
    </row>
    <row r="2452" customFormat="false" ht="15" hidden="false" customHeight="false" outlineLevel="0" collapsed="false">
      <c r="A2452" s="2" t="s">
        <v>6079</v>
      </c>
      <c r="B2452" s="2" t="s">
        <v>240</v>
      </c>
      <c r="C2452" s="2" t="s">
        <v>6071</v>
      </c>
      <c r="D2452" s="2" t="s">
        <v>50</v>
      </c>
      <c r="E2452" s="2" t="s">
        <v>1194</v>
      </c>
      <c r="F2452" s="2" t="s">
        <v>1186</v>
      </c>
      <c r="G2452" s="2" t="s">
        <v>6080</v>
      </c>
    </row>
    <row r="2453" customFormat="false" ht="15" hidden="false" customHeight="false" outlineLevel="0" collapsed="false">
      <c r="A2453" s="2" t="s">
        <v>6081</v>
      </c>
      <c r="B2453" s="2" t="s">
        <v>240</v>
      </c>
      <c r="C2453" s="2" t="s">
        <v>6071</v>
      </c>
      <c r="D2453" s="2" t="s">
        <v>50</v>
      </c>
      <c r="E2453" s="2" t="s">
        <v>1194</v>
      </c>
      <c r="F2453" s="2" t="s">
        <v>1186</v>
      </c>
      <c r="G2453" s="2" t="s">
        <v>6082</v>
      </c>
    </row>
    <row r="2454" customFormat="false" ht="15" hidden="false" customHeight="false" outlineLevel="0" collapsed="false">
      <c r="A2454" s="2" t="s">
        <v>6083</v>
      </c>
      <c r="B2454" s="2" t="s">
        <v>240</v>
      </c>
      <c r="C2454" s="2" t="s">
        <v>6071</v>
      </c>
      <c r="D2454" s="2" t="s">
        <v>50</v>
      </c>
      <c r="E2454" s="2" t="s">
        <v>1194</v>
      </c>
      <c r="F2454" s="2" t="s">
        <v>1186</v>
      </c>
      <c r="G2454" s="2" t="s">
        <v>6084</v>
      </c>
    </row>
    <row r="2455" customFormat="false" ht="15" hidden="false" customHeight="false" outlineLevel="0" collapsed="false">
      <c r="A2455" s="2" t="s">
        <v>6085</v>
      </c>
      <c r="B2455" s="2" t="s">
        <v>240</v>
      </c>
      <c r="C2455" s="2" t="s">
        <v>6071</v>
      </c>
      <c r="D2455" s="2" t="s">
        <v>50</v>
      </c>
      <c r="E2455" s="2" t="s">
        <v>1194</v>
      </c>
      <c r="F2455" s="2" t="s">
        <v>1186</v>
      </c>
      <c r="G2455" s="2" t="s">
        <v>6086</v>
      </c>
    </row>
    <row r="2456" customFormat="false" ht="15" hidden="false" customHeight="false" outlineLevel="0" collapsed="false">
      <c r="A2456" s="2" t="s">
        <v>6087</v>
      </c>
      <c r="B2456" s="2" t="s">
        <v>240</v>
      </c>
      <c r="C2456" s="2" t="s">
        <v>6071</v>
      </c>
      <c r="D2456" s="2" t="s">
        <v>50</v>
      </c>
      <c r="E2456" s="2" t="s">
        <v>1194</v>
      </c>
      <c r="F2456" s="2" t="s">
        <v>1186</v>
      </c>
      <c r="G2456" s="2" t="s">
        <v>6088</v>
      </c>
    </row>
    <row r="2457" customFormat="false" ht="15" hidden="false" customHeight="false" outlineLevel="0" collapsed="false">
      <c r="A2457" s="2" t="s">
        <v>6089</v>
      </c>
      <c r="B2457" s="2" t="s">
        <v>240</v>
      </c>
      <c r="C2457" s="2" t="s">
        <v>6071</v>
      </c>
      <c r="D2457" s="2" t="s">
        <v>50</v>
      </c>
      <c r="E2457" s="2" t="s">
        <v>1194</v>
      </c>
      <c r="F2457" s="2" t="s">
        <v>1186</v>
      </c>
      <c r="G2457" s="2" t="s">
        <v>6090</v>
      </c>
    </row>
    <row r="2458" customFormat="false" ht="15" hidden="false" customHeight="false" outlineLevel="0" collapsed="false">
      <c r="A2458" s="2" t="s">
        <v>6091</v>
      </c>
      <c r="B2458" s="2" t="s">
        <v>240</v>
      </c>
      <c r="C2458" s="2" t="s">
        <v>6071</v>
      </c>
      <c r="D2458" s="2" t="s">
        <v>50</v>
      </c>
      <c r="E2458" s="2" t="s">
        <v>1194</v>
      </c>
      <c r="F2458" s="2" t="s">
        <v>1186</v>
      </c>
      <c r="G2458" s="2" t="s">
        <v>6092</v>
      </c>
    </row>
    <row r="2459" customFormat="false" ht="15" hidden="false" customHeight="false" outlineLevel="0" collapsed="false">
      <c r="A2459" s="2" t="s">
        <v>6093</v>
      </c>
      <c r="B2459" s="2" t="s">
        <v>240</v>
      </c>
      <c r="C2459" s="2" t="s">
        <v>6071</v>
      </c>
      <c r="D2459" s="2" t="s">
        <v>50</v>
      </c>
      <c r="E2459" s="2" t="s">
        <v>1194</v>
      </c>
      <c r="F2459" s="2" t="s">
        <v>1186</v>
      </c>
      <c r="G2459" s="2" t="s">
        <v>6094</v>
      </c>
    </row>
    <row r="2460" customFormat="false" ht="15" hidden="false" customHeight="false" outlineLevel="0" collapsed="false">
      <c r="A2460" s="2" t="s">
        <v>6095</v>
      </c>
      <c r="B2460" s="2" t="s">
        <v>240</v>
      </c>
      <c r="C2460" s="2" t="s">
        <v>6071</v>
      </c>
      <c r="D2460" s="2" t="s">
        <v>50</v>
      </c>
      <c r="E2460" s="2" t="s">
        <v>1194</v>
      </c>
      <c r="F2460" s="2" t="s">
        <v>1186</v>
      </c>
      <c r="G2460" s="2" t="s">
        <v>6096</v>
      </c>
    </row>
    <row r="2461" customFormat="false" ht="15" hidden="false" customHeight="false" outlineLevel="0" collapsed="false">
      <c r="A2461" s="2" t="s">
        <v>6097</v>
      </c>
      <c r="B2461" s="2" t="s">
        <v>240</v>
      </c>
      <c r="C2461" s="2" t="s">
        <v>6071</v>
      </c>
      <c r="D2461" s="2" t="s">
        <v>50</v>
      </c>
      <c r="E2461" s="2" t="s">
        <v>1194</v>
      </c>
      <c r="F2461" s="2" t="s">
        <v>1186</v>
      </c>
      <c r="G2461" s="2" t="s">
        <v>6098</v>
      </c>
    </row>
    <row r="2462" customFormat="false" ht="15" hidden="false" customHeight="false" outlineLevel="0" collapsed="false">
      <c r="A2462" s="2" t="s">
        <v>6099</v>
      </c>
      <c r="B2462" s="2" t="s">
        <v>240</v>
      </c>
      <c r="C2462" s="2" t="s">
        <v>6071</v>
      </c>
      <c r="D2462" s="2" t="s">
        <v>50</v>
      </c>
      <c r="E2462" s="2" t="s">
        <v>1194</v>
      </c>
      <c r="F2462" s="2" t="s">
        <v>1186</v>
      </c>
      <c r="G2462" s="2" t="s">
        <v>6100</v>
      </c>
    </row>
    <row r="2463" customFormat="false" ht="15" hidden="false" customHeight="false" outlineLevel="0" collapsed="false">
      <c r="A2463" s="2" t="s">
        <v>6101</v>
      </c>
      <c r="B2463" s="2" t="s">
        <v>240</v>
      </c>
      <c r="C2463" s="2" t="s">
        <v>6071</v>
      </c>
      <c r="D2463" s="2" t="s">
        <v>50</v>
      </c>
      <c r="E2463" s="2" t="s">
        <v>1194</v>
      </c>
      <c r="F2463" s="2" t="s">
        <v>1186</v>
      </c>
      <c r="G2463" s="2" t="s">
        <v>6102</v>
      </c>
    </row>
    <row r="2464" customFormat="false" ht="15" hidden="false" customHeight="false" outlineLevel="0" collapsed="false">
      <c r="A2464" s="2" t="s">
        <v>6103</v>
      </c>
      <c r="B2464" s="2" t="s">
        <v>240</v>
      </c>
      <c r="C2464" s="2" t="s">
        <v>6071</v>
      </c>
      <c r="D2464" s="2" t="s">
        <v>50</v>
      </c>
      <c r="E2464" s="2" t="s">
        <v>1194</v>
      </c>
      <c r="F2464" s="2" t="s">
        <v>1186</v>
      </c>
      <c r="G2464" s="2" t="s">
        <v>6104</v>
      </c>
    </row>
    <row r="2465" customFormat="false" ht="15" hidden="false" customHeight="false" outlineLevel="0" collapsed="false">
      <c r="A2465" s="2" t="s">
        <v>6105</v>
      </c>
      <c r="B2465" s="2" t="s">
        <v>240</v>
      </c>
      <c r="C2465" s="2" t="s">
        <v>6071</v>
      </c>
      <c r="D2465" s="2" t="s">
        <v>50</v>
      </c>
      <c r="E2465" s="2" t="s">
        <v>1194</v>
      </c>
      <c r="F2465" s="2" t="s">
        <v>1186</v>
      </c>
      <c r="G2465" s="2" t="s">
        <v>6106</v>
      </c>
    </row>
    <row r="2466" customFormat="false" ht="15" hidden="false" customHeight="false" outlineLevel="0" collapsed="false">
      <c r="A2466" s="2" t="s">
        <v>6107</v>
      </c>
      <c r="B2466" s="2" t="s">
        <v>240</v>
      </c>
      <c r="C2466" s="2" t="s">
        <v>6071</v>
      </c>
      <c r="D2466" s="2" t="s">
        <v>50</v>
      </c>
      <c r="E2466" s="2" t="s">
        <v>1194</v>
      </c>
      <c r="F2466" s="2" t="s">
        <v>1186</v>
      </c>
      <c r="G2466" s="2" t="s">
        <v>6108</v>
      </c>
    </row>
    <row r="2467" customFormat="false" ht="15" hidden="false" customHeight="false" outlineLevel="0" collapsed="false">
      <c r="A2467" s="2" t="s">
        <v>6109</v>
      </c>
      <c r="B2467" s="2" t="s">
        <v>240</v>
      </c>
      <c r="C2467" s="2" t="s">
        <v>6071</v>
      </c>
      <c r="D2467" s="2" t="s">
        <v>50</v>
      </c>
      <c r="E2467" s="2" t="s">
        <v>1194</v>
      </c>
      <c r="F2467" s="2" t="s">
        <v>1186</v>
      </c>
      <c r="G2467" s="2" t="s">
        <v>6110</v>
      </c>
    </row>
    <row r="2468" customFormat="false" ht="15" hidden="false" customHeight="false" outlineLevel="0" collapsed="false">
      <c r="A2468" s="2" t="s">
        <v>6111</v>
      </c>
      <c r="B2468" s="2" t="s">
        <v>240</v>
      </c>
      <c r="C2468" s="2" t="s">
        <v>6071</v>
      </c>
      <c r="D2468" s="2" t="s">
        <v>50</v>
      </c>
      <c r="E2468" s="2" t="s">
        <v>1194</v>
      </c>
      <c r="F2468" s="2" t="s">
        <v>1186</v>
      </c>
      <c r="G2468" s="2" t="s">
        <v>6112</v>
      </c>
    </row>
    <row r="2469" customFormat="false" ht="15" hidden="false" customHeight="false" outlineLevel="0" collapsed="false">
      <c r="A2469" s="2" t="s">
        <v>6113</v>
      </c>
      <c r="B2469" s="2" t="s">
        <v>240</v>
      </c>
      <c r="C2469" s="2" t="s">
        <v>6071</v>
      </c>
      <c r="D2469" s="2" t="s">
        <v>50</v>
      </c>
      <c r="E2469" s="2" t="s">
        <v>1194</v>
      </c>
      <c r="F2469" s="2" t="s">
        <v>1186</v>
      </c>
      <c r="G2469" s="2" t="s">
        <v>6114</v>
      </c>
    </row>
    <row r="2470" customFormat="false" ht="15" hidden="false" customHeight="false" outlineLevel="0" collapsed="false">
      <c r="A2470" s="2" t="s">
        <v>6115</v>
      </c>
      <c r="B2470" s="2" t="s">
        <v>240</v>
      </c>
      <c r="C2470" s="2" t="s">
        <v>6071</v>
      </c>
      <c r="D2470" s="2" t="s">
        <v>50</v>
      </c>
      <c r="E2470" s="2" t="s">
        <v>1194</v>
      </c>
      <c r="F2470" s="2" t="s">
        <v>1186</v>
      </c>
      <c r="G2470" s="2" t="s">
        <v>6116</v>
      </c>
    </row>
    <row r="2471" customFormat="false" ht="15" hidden="false" customHeight="false" outlineLevel="0" collapsed="false">
      <c r="A2471" s="2" t="s">
        <v>6117</v>
      </c>
      <c r="B2471" s="2" t="s">
        <v>240</v>
      </c>
      <c r="C2471" s="2" t="s">
        <v>6071</v>
      </c>
      <c r="D2471" s="2" t="s">
        <v>50</v>
      </c>
      <c r="E2471" s="2" t="s">
        <v>1194</v>
      </c>
      <c r="F2471" s="2" t="s">
        <v>1186</v>
      </c>
      <c r="G2471" s="2" t="s">
        <v>6118</v>
      </c>
    </row>
    <row r="2472" customFormat="false" ht="15" hidden="false" customHeight="false" outlineLevel="0" collapsed="false">
      <c r="A2472" s="2" t="s">
        <v>6119</v>
      </c>
      <c r="B2472" s="2" t="s">
        <v>240</v>
      </c>
      <c r="C2472" s="2" t="s">
        <v>6071</v>
      </c>
      <c r="D2472" s="2" t="s">
        <v>50</v>
      </c>
      <c r="E2472" s="2" t="s">
        <v>1194</v>
      </c>
      <c r="F2472" s="2" t="s">
        <v>1186</v>
      </c>
      <c r="G2472" s="2" t="s">
        <v>6120</v>
      </c>
    </row>
    <row r="2473" customFormat="false" ht="15" hidden="false" customHeight="false" outlineLevel="0" collapsed="false">
      <c r="A2473" s="2" t="s">
        <v>6121</v>
      </c>
      <c r="B2473" s="2" t="s">
        <v>240</v>
      </c>
      <c r="C2473" s="2" t="s">
        <v>6071</v>
      </c>
      <c r="D2473" s="2" t="s">
        <v>50</v>
      </c>
      <c r="E2473" s="2" t="s">
        <v>1194</v>
      </c>
      <c r="F2473" s="2" t="s">
        <v>1186</v>
      </c>
      <c r="G2473" s="2" t="s">
        <v>6122</v>
      </c>
    </row>
    <row r="2474" customFormat="false" ht="15" hidden="false" customHeight="false" outlineLevel="0" collapsed="false">
      <c r="A2474" s="2" t="s">
        <v>6123</v>
      </c>
      <c r="B2474" s="2" t="s">
        <v>240</v>
      </c>
      <c r="C2474" s="2" t="s">
        <v>6071</v>
      </c>
      <c r="D2474" s="2" t="s">
        <v>50</v>
      </c>
      <c r="E2474" s="2" t="s">
        <v>1194</v>
      </c>
      <c r="F2474" s="2" t="s">
        <v>1186</v>
      </c>
      <c r="G2474" s="2" t="s">
        <v>6124</v>
      </c>
    </row>
    <row r="2475" customFormat="false" ht="15" hidden="false" customHeight="false" outlineLevel="0" collapsed="false">
      <c r="A2475" s="2" t="s">
        <v>6125</v>
      </c>
      <c r="B2475" s="2" t="s">
        <v>240</v>
      </c>
      <c r="C2475" s="2" t="s">
        <v>6071</v>
      </c>
      <c r="D2475" s="2" t="s">
        <v>50</v>
      </c>
      <c r="E2475" s="2" t="s">
        <v>1194</v>
      </c>
      <c r="F2475" s="2" t="s">
        <v>1186</v>
      </c>
      <c r="G2475" s="2" t="s">
        <v>6126</v>
      </c>
    </row>
    <row r="2476" customFormat="false" ht="15" hidden="false" customHeight="false" outlineLevel="0" collapsed="false">
      <c r="A2476" s="2" t="s">
        <v>6127</v>
      </c>
      <c r="B2476" s="2" t="s">
        <v>240</v>
      </c>
      <c r="C2476" s="2" t="s">
        <v>6071</v>
      </c>
      <c r="D2476" s="2" t="s">
        <v>50</v>
      </c>
      <c r="E2476" s="2" t="s">
        <v>1194</v>
      </c>
      <c r="F2476" s="2" t="s">
        <v>1186</v>
      </c>
      <c r="G2476" s="2" t="s">
        <v>6128</v>
      </c>
    </row>
    <row r="2477" customFormat="false" ht="15" hidden="false" customHeight="false" outlineLevel="0" collapsed="false">
      <c r="A2477" s="2" t="s">
        <v>6129</v>
      </c>
      <c r="B2477" s="2" t="s">
        <v>240</v>
      </c>
      <c r="C2477" s="2" t="s">
        <v>6071</v>
      </c>
      <c r="D2477" s="2" t="s">
        <v>50</v>
      </c>
      <c r="E2477" s="2" t="s">
        <v>1194</v>
      </c>
      <c r="F2477" s="2" t="s">
        <v>1186</v>
      </c>
      <c r="G2477" s="2" t="s">
        <v>6130</v>
      </c>
    </row>
    <row r="2478" customFormat="false" ht="15" hidden="false" customHeight="false" outlineLevel="0" collapsed="false">
      <c r="A2478" s="2" t="s">
        <v>6131</v>
      </c>
      <c r="B2478" s="2" t="s">
        <v>240</v>
      </c>
      <c r="C2478" s="2" t="s">
        <v>6071</v>
      </c>
      <c r="D2478" s="2" t="s">
        <v>50</v>
      </c>
      <c r="E2478" s="2" t="s">
        <v>1194</v>
      </c>
      <c r="F2478" s="2" t="s">
        <v>1186</v>
      </c>
      <c r="G2478" s="2" t="s">
        <v>6132</v>
      </c>
    </row>
    <row r="2479" customFormat="false" ht="15" hidden="false" customHeight="false" outlineLevel="0" collapsed="false">
      <c r="A2479" s="2" t="s">
        <v>6133</v>
      </c>
      <c r="B2479" s="2" t="s">
        <v>240</v>
      </c>
      <c r="C2479" s="2" t="s">
        <v>6071</v>
      </c>
      <c r="D2479" s="2" t="s">
        <v>50</v>
      </c>
      <c r="E2479" s="2" t="s">
        <v>1194</v>
      </c>
      <c r="F2479" s="2" t="s">
        <v>1186</v>
      </c>
      <c r="G2479" s="2" t="s">
        <v>6134</v>
      </c>
    </row>
    <row r="2480" customFormat="false" ht="15" hidden="false" customHeight="false" outlineLevel="0" collapsed="false">
      <c r="A2480" s="2" t="s">
        <v>6135</v>
      </c>
      <c r="B2480" s="2" t="s">
        <v>240</v>
      </c>
      <c r="C2480" s="2" t="s">
        <v>6071</v>
      </c>
      <c r="D2480" s="2" t="s">
        <v>50</v>
      </c>
      <c r="E2480" s="2" t="s">
        <v>1194</v>
      </c>
      <c r="F2480" s="2" t="s">
        <v>1186</v>
      </c>
      <c r="G2480" s="2" t="s">
        <v>6136</v>
      </c>
    </row>
    <row r="2481" customFormat="false" ht="15" hidden="false" customHeight="false" outlineLevel="0" collapsed="false">
      <c r="A2481" s="2" t="s">
        <v>6137</v>
      </c>
      <c r="B2481" s="2" t="s">
        <v>240</v>
      </c>
      <c r="C2481" s="2" t="s">
        <v>6071</v>
      </c>
      <c r="D2481" s="2" t="s">
        <v>50</v>
      </c>
      <c r="E2481" s="2" t="s">
        <v>1194</v>
      </c>
      <c r="F2481" s="2" t="s">
        <v>1186</v>
      </c>
      <c r="G2481" s="2" t="s">
        <v>6138</v>
      </c>
    </row>
    <row r="2482" customFormat="false" ht="15" hidden="false" customHeight="false" outlineLevel="0" collapsed="false">
      <c r="A2482" s="2" t="s">
        <v>6139</v>
      </c>
      <c r="B2482" s="2" t="s">
        <v>240</v>
      </c>
      <c r="C2482" s="2" t="s">
        <v>6071</v>
      </c>
      <c r="D2482" s="2" t="s">
        <v>50</v>
      </c>
      <c r="E2482" s="2" t="s">
        <v>1194</v>
      </c>
      <c r="F2482" s="2" t="s">
        <v>1186</v>
      </c>
      <c r="G2482" s="2" t="s">
        <v>6140</v>
      </c>
    </row>
    <row r="2483" customFormat="false" ht="15" hidden="false" customHeight="false" outlineLevel="0" collapsed="false">
      <c r="A2483" s="2" t="s">
        <v>6141</v>
      </c>
      <c r="B2483" s="2" t="s">
        <v>240</v>
      </c>
      <c r="C2483" s="2" t="s">
        <v>6071</v>
      </c>
      <c r="D2483" s="2" t="s">
        <v>50</v>
      </c>
      <c r="E2483" s="2" t="s">
        <v>1194</v>
      </c>
      <c r="F2483" s="2" t="s">
        <v>1186</v>
      </c>
      <c r="G2483" s="2" t="s">
        <v>6142</v>
      </c>
    </row>
    <row r="2484" customFormat="false" ht="15" hidden="false" customHeight="false" outlineLevel="0" collapsed="false">
      <c r="A2484" s="2" t="s">
        <v>6143</v>
      </c>
      <c r="B2484" s="2" t="s">
        <v>240</v>
      </c>
      <c r="C2484" s="2" t="s">
        <v>6071</v>
      </c>
      <c r="D2484" s="2" t="s">
        <v>50</v>
      </c>
      <c r="E2484" s="2" t="s">
        <v>1194</v>
      </c>
      <c r="F2484" s="2" t="s">
        <v>1186</v>
      </c>
      <c r="G2484" s="2" t="s">
        <v>6144</v>
      </c>
    </row>
    <row r="2485" customFormat="false" ht="15" hidden="false" customHeight="false" outlineLevel="0" collapsed="false">
      <c r="A2485" s="2" t="s">
        <v>6145</v>
      </c>
      <c r="B2485" s="2" t="s">
        <v>240</v>
      </c>
      <c r="C2485" s="2" t="s">
        <v>5876</v>
      </c>
      <c r="D2485" s="2" t="s">
        <v>49</v>
      </c>
      <c r="E2485" s="2" t="s">
        <v>1563</v>
      </c>
      <c r="F2485" s="2" t="s">
        <v>1186</v>
      </c>
      <c r="G2485" s="2" t="s">
        <v>6146</v>
      </c>
    </row>
    <row r="2486" customFormat="false" ht="15" hidden="false" customHeight="false" outlineLevel="0" collapsed="false">
      <c r="A2486" s="2" t="s">
        <v>6147</v>
      </c>
      <c r="B2486" s="2" t="s">
        <v>240</v>
      </c>
      <c r="C2486" s="2" t="s">
        <v>6071</v>
      </c>
      <c r="D2486" s="2" t="s">
        <v>50</v>
      </c>
      <c r="E2486" s="2" t="s">
        <v>1194</v>
      </c>
      <c r="F2486" s="2" t="s">
        <v>1186</v>
      </c>
      <c r="G2486" s="2" t="s">
        <v>6148</v>
      </c>
    </row>
    <row r="2487" customFormat="false" ht="15" hidden="false" customHeight="false" outlineLevel="0" collapsed="false">
      <c r="A2487" s="2" t="s">
        <v>6149</v>
      </c>
      <c r="B2487" s="2" t="s">
        <v>240</v>
      </c>
      <c r="C2487" s="2" t="s">
        <v>6071</v>
      </c>
      <c r="D2487" s="2" t="s">
        <v>50</v>
      </c>
      <c r="E2487" s="2" t="s">
        <v>1194</v>
      </c>
      <c r="F2487" s="2" t="s">
        <v>1186</v>
      </c>
      <c r="G2487" s="2" t="s">
        <v>6150</v>
      </c>
    </row>
    <row r="2488" customFormat="false" ht="15" hidden="false" customHeight="false" outlineLevel="0" collapsed="false">
      <c r="A2488" s="2" t="s">
        <v>6151</v>
      </c>
      <c r="B2488" s="2" t="s">
        <v>240</v>
      </c>
      <c r="C2488" s="2" t="s">
        <v>6071</v>
      </c>
      <c r="D2488" s="2" t="s">
        <v>50</v>
      </c>
      <c r="E2488" s="2" t="s">
        <v>1194</v>
      </c>
      <c r="F2488" s="2" t="s">
        <v>1186</v>
      </c>
      <c r="G2488" s="2" t="s">
        <v>6152</v>
      </c>
    </row>
    <row r="2489" customFormat="false" ht="15" hidden="false" customHeight="false" outlineLevel="0" collapsed="false">
      <c r="A2489" s="2" t="s">
        <v>6153</v>
      </c>
      <c r="B2489" s="2" t="s">
        <v>240</v>
      </c>
      <c r="C2489" s="2" t="s">
        <v>6071</v>
      </c>
      <c r="D2489" s="2" t="s">
        <v>50</v>
      </c>
      <c r="E2489" s="2" t="s">
        <v>1194</v>
      </c>
      <c r="F2489" s="2" t="s">
        <v>1186</v>
      </c>
      <c r="G2489" s="2" t="s">
        <v>6154</v>
      </c>
    </row>
    <row r="2490" customFormat="false" ht="15" hidden="false" customHeight="false" outlineLevel="0" collapsed="false">
      <c r="A2490" s="2" t="s">
        <v>6155</v>
      </c>
      <c r="B2490" s="2" t="s">
        <v>240</v>
      </c>
      <c r="C2490" s="2" t="s">
        <v>6071</v>
      </c>
      <c r="D2490" s="2" t="s">
        <v>50</v>
      </c>
      <c r="E2490" s="2" t="s">
        <v>1194</v>
      </c>
      <c r="F2490" s="2" t="s">
        <v>1186</v>
      </c>
      <c r="G2490" s="2" t="s">
        <v>6156</v>
      </c>
    </row>
    <row r="2491" customFormat="false" ht="15" hidden="false" customHeight="false" outlineLevel="0" collapsed="false">
      <c r="A2491" s="2" t="s">
        <v>6157</v>
      </c>
      <c r="B2491" s="2" t="s">
        <v>240</v>
      </c>
      <c r="C2491" s="2" t="s">
        <v>6071</v>
      </c>
      <c r="D2491" s="2" t="s">
        <v>50</v>
      </c>
      <c r="E2491" s="2" t="s">
        <v>1194</v>
      </c>
      <c r="F2491" s="2" t="s">
        <v>1186</v>
      </c>
      <c r="G2491" s="2" t="s">
        <v>6158</v>
      </c>
    </row>
    <row r="2492" customFormat="false" ht="15" hidden="false" customHeight="false" outlineLevel="0" collapsed="false">
      <c r="A2492" s="2" t="s">
        <v>6159</v>
      </c>
      <c r="B2492" s="2" t="s">
        <v>240</v>
      </c>
      <c r="C2492" s="2" t="s">
        <v>6071</v>
      </c>
      <c r="D2492" s="2" t="s">
        <v>50</v>
      </c>
      <c r="E2492" s="2" t="s">
        <v>1194</v>
      </c>
      <c r="F2492" s="2" t="s">
        <v>1186</v>
      </c>
      <c r="G2492" s="2" t="s">
        <v>6160</v>
      </c>
    </row>
    <row r="2493" customFormat="false" ht="15" hidden="false" customHeight="false" outlineLevel="0" collapsed="false">
      <c r="A2493" s="2" t="s">
        <v>6161</v>
      </c>
      <c r="B2493" s="2" t="s">
        <v>240</v>
      </c>
      <c r="C2493" s="2" t="s">
        <v>6071</v>
      </c>
      <c r="D2493" s="2" t="s">
        <v>50</v>
      </c>
      <c r="E2493" s="2" t="s">
        <v>1194</v>
      </c>
      <c r="F2493" s="2" t="s">
        <v>1186</v>
      </c>
      <c r="G2493" s="2" t="s">
        <v>6162</v>
      </c>
    </row>
    <row r="2494" customFormat="false" ht="15" hidden="false" customHeight="false" outlineLevel="0" collapsed="false">
      <c r="A2494" s="2" t="s">
        <v>6163</v>
      </c>
      <c r="B2494" s="2" t="s">
        <v>240</v>
      </c>
      <c r="C2494" s="2" t="s">
        <v>6071</v>
      </c>
      <c r="D2494" s="2" t="s">
        <v>50</v>
      </c>
      <c r="E2494" s="2" t="s">
        <v>1194</v>
      </c>
      <c r="F2494" s="2" t="s">
        <v>1186</v>
      </c>
      <c r="G2494" s="2" t="s">
        <v>6164</v>
      </c>
    </row>
    <row r="2495" customFormat="false" ht="15" hidden="false" customHeight="false" outlineLevel="0" collapsed="false">
      <c r="A2495" s="2" t="s">
        <v>6165</v>
      </c>
      <c r="B2495" s="2" t="s">
        <v>240</v>
      </c>
      <c r="C2495" s="2" t="s">
        <v>6071</v>
      </c>
      <c r="D2495" s="2" t="s">
        <v>50</v>
      </c>
      <c r="E2495" s="2" t="s">
        <v>1194</v>
      </c>
      <c r="F2495" s="2" t="s">
        <v>1186</v>
      </c>
      <c r="G2495" s="2" t="s">
        <v>6166</v>
      </c>
    </row>
    <row r="2496" customFormat="false" ht="15" hidden="false" customHeight="false" outlineLevel="0" collapsed="false">
      <c r="A2496" s="2" t="s">
        <v>6167</v>
      </c>
      <c r="B2496" s="2" t="s">
        <v>240</v>
      </c>
      <c r="C2496" s="2" t="s">
        <v>6071</v>
      </c>
      <c r="D2496" s="2" t="s">
        <v>50</v>
      </c>
      <c r="E2496" s="2" t="s">
        <v>1194</v>
      </c>
      <c r="F2496" s="2" t="s">
        <v>1186</v>
      </c>
      <c r="G2496" s="2" t="s">
        <v>5245</v>
      </c>
    </row>
    <row r="2497" customFormat="false" ht="15" hidden="false" customHeight="false" outlineLevel="0" collapsed="false">
      <c r="A2497" s="2" t="s">
        <v>6168</v>
      </c>
      <c r="B2497" s="2" t="s">
        <v>240</v>
      </c>
      <c r="C2497" s="2" t="s">
        <v>6071</v>
      </c>
      <c r="D2497" s="2" t="s">
        <v>50</v>
      </c>
      <c r="E2497" s="2" t="s">
        <v>1194</v>
      </c>
      <c r="F2497" s="2" t="s">
        <v>1186</v>
      </c>
      <c r="G2497" s="2" t="s">
        <v>6169</v>
      </c>
    </row>
    <row r="2498" customFormat="false" ht="15" hidden="false" customHeight="false" outlineLevel="0" collapsed="false">
      <c r="A2498" s="2" t="s">
        <v>6170</v>
      </c>
      <c r="B2498" s="2" t="s">
        <v>240</v>
      </c>
      <c r="C2498" s="2" t="s">
        <v>6071</v>
      </c>
      <c r="D2498" s="2" t="s">
        <v>50</v>
      </c>
      <c r="E2498" s="2" t="s">
        <v>1194</v>
      </c>
      <c r="F2498" s="2" t="s">
        <v>1186</v>
      </c>
      <c r="G2498" s="2" t="s">
        <v>6171</v>
      </c>
    </row>
    <row r="2499" customFormat="false" ht="15" hidden="false" customHeight="false" outlineLevel="0" collapsed="false">
      <c r="A2499" s="2" t="s">
        <v>6172</v>
      </c>
      <c r="B2499" s="2" t="s">
        <v>240</v>
      </c>
      <c r="C2499" s="2" t="s">
        <v>6071</v>
      </c>
      <c r="D2499" s="2" t="s">
        <v>50</v>
      </c>
      <c r="E2499" s="2" t="s">
        <v>1194</v>
      </c>
      <c r="F2499" s="2" t="s">
        <v>1186</v>
      </c>
      <c r="G2499" s="2" t="s">
        <v>6173</v>
      </c>
    </row>
    <row r="2500" customFormat="false" ht="15" hidden="false" customHeight="false" outlineLevel="0" collapsed="false">
      <c r="A2500" s="2" t="s">
        <v>6174</v>
      </c>
      <c r="B2500" s="2" t="s">
        <v>240</v>
      </c>
      <c r="C2500" s="2" t="s">
        <v>6071</v>
      </c>
      <c r="D2500" s="2" t="s">
        <v>50</v>
      </c>
      <c r="E2500" s="2" t="s">
        <v>1194</v>
      </c>
      <c r="F2500" s="2" t="s">
        <v>1186</v>
      </c>
      <c r="G2500" s="2" t="s">
        <v>6175</v>
      </c>
    </row>
    <row r="2501" customFormat="false" ht="15" hidden="false" customHeight="false" outlineLevel="0" collapsed="false">
      <c r="A2501" s="2" t="s">
        <v>6176</v>
      </c>
      <c r="B2501" s="2" t="s">
        <v>240</v>
      </c>
      <c r="C2501" s="2" t="s">
        <v>6071</v>
      </c>
      <c r="D2501" s="2" t="s">
        <v>50</v>
      </c>
      <c r="E2501" s="2" t="s">
        <v>1194</v>
      </c>
      <c r="F2501" s="2" t="s">
        <v>1186</v>
      </c>
      <c r="G2501" s="2" t="s">
        <v>6177</v>
      </c>
    </row>
    <row r="2502" customFormat="false" ht="15" hidden="false" customHeight="false" outlineLevel="0" collapsed="false">
      <c r="A2502" s="2" t="s">
        <v>6178</v>
      </c>
      <c r="B2502" s="2" t="s">
        <v>240</v>
      </c>
      <c r="C2502" s="2" t="s">
        <v>6071</v>
      </c>
      <c r="D2502" s="2" t="s">
        <v>50</v>
      </c>
      <c r="E2502" s="2" t="s">
        <v>1194</v>
      </c>
      <c r="F2502" s="2" t="s">
        <v>1186</v>
      </c>
      <c r="G2502" s="2" t="s">
        <v>6179</v>
      </c>
    </row>
    <row r="2503" customFormat="false" ht="15" hidden="false" customHeight="false" outlineLevel="0" collapsed="false">
      <c r="A2503" s="2" t="s">
        <v>6180</v>
      </c>
      <c r="B2503" s="2" t="s">
        <v>240</v>
      </c>
      <c r="C2503" s="2" t="s">
        <v>6071</v>
      </c>
      <c r="D2503" s="2" t="s">
        <v>50</v>
      </c>
      <c r="E2503" s="2" t="s">
        <v>1194</v>
      </c>
      <c r="F2503" s="2" t="s">
        <v>1186</v>
      </c>
      <c r="G2503" s="2" t="s">
        <v>6181</v>
      </c>
    </row>
    <row r="2504" customFormat="false" ht="15" hidden="false" customHeight="false" outlineLevel="0" collapsed="false">
      <c r="A2504" s="2" t="s">
        <v>6182</v>
      </c>
      <c r="B2504" s="2" t="s">
        <v>240</v>
      </c>
      <c r="C2504" s="2" t="s">
        <v>6071</v>
      </c>
      <c r="D2504" s="2" t="s">
        <v>50</v>
      </c>
      <c r="E2504" s="2" t="s">
        <v>1194</v>
      </c>
      <c r="F2504" s="2" t="s">
        <v>1186</v>
      </c>
      <c r="G2504" s="2" t="s">
        <v>6183</v>
      </c>
    </row>
    <row r="2505" customFormat="false" ht="15" hidden="false" customHeight="false" outlineLevel="0" collapsed="false">
      <c r="A2505" s="2" t="s">
        <v>6184</v>
      </c>
      <c r="B2505" s="2" t="s">
        <v>240</v>
      </c>
      <c r="C2505" s="2" t="s">
        <v>6071</v>
      </c>
      <c r="D2505" s="2" t="s">
        <v>50</v>
      </c>
      <c r="E2505" s="2" t="s">
        <v>1194</v>
      </c>
      <c r="F2505" s="2" t="s">
        <v>1186</v>
      </c>
      <c r="G2505" s="2" t="s">
        <v>6185</v>
      </c>
    </row>
    <row r="2506" customFormat="false" ht="15" hidden="false" customHeight="false" outlineLevel="0" collapsed="false">
      <c r="A2506" s="2" t="s">
        <v>6186</v>
      </c>
      <c r="B2506" s="2" t="s">
        <v>240</v>
      </c>
      <c r="C2506" s="2" t="s">
        <v>6071</v>
      </c>
      <c r="D2506" s="2" t="s">
        <v>50</v>
      </c>
      <c r="E2506" s="2" t="s">
        <v>1194</v>
      </c>
      <c r="F2506" s="2" t="s">
        <v>1186</v>
      </c>
      <c r="G2506" s="2" t="s">
        <v>6187</v>
      </c>
    </row>
    <row r="2507" customFormat="false" ht="15" hidden="false" customHeight="false" outlineLevel="0" collapsed="false">
      <c r="A2507" s="2" t="s">
        <v>6188</v>
      </c>
      <c r="B2507" s="2" t="s">
        <v>240</v>
      </c>
      <c r="C2507" s="2" t="s">
        <v>6071</v>
      </c>
      <c r="D2507" s="2" t="s">
        <v>50</v>
      </c>
      <c r="E2507" s="2" t="s">
        <v>1194</v>
      </c>
      <c r="F2507" s="2" t="s">
        <v>1186</v>
      </c>
      <c r="G2507" s="2" t="s">
        <v>6189</v>
      </c>
    </row>
    <row r="2508" customFormat="false" ht="15" hidden="false" customHeight="false" outlineLevel="0" collapsed="false">
      <c r="A2508" s="2" t="s">
        <v>6190</v>
      </c>
      <c r="B2508" s="2" t="s">
        <v>240</v>
      </c>
      <c r="C2508" s="2" t="s">
        <v>6071</v>
      </c>
      <c r="D2508" s="2" t="s">
        <v>50</v>
      </c>
      <c r="E2508" s="2" t="s">
        <v>1194</v>
      </c>
      <c r="F2508" s="2" t="s">
        <v>1186</v>
      </c>
      <c r="G2508" s="2" t="s">
        <v>6191</v>
      </c>
    </row>
    <row r="2509" customFormat="false" ht="15" hidden="false" customHeight="false" outlineLevel="0" collapsed="false">
      <c r="A2509" s="2" t="s">
        <v>6192</v>
      </c>
      <c r="B2509" s="2" t="s">
        <v>240</v>
      </c>
      <c r="C2509" s="2" t="s">
        <v>6071</v>
      </c>
      <c r="D2509" s="2" t="s">
        <v>50</v>
      </c>
      <c r="E2509" s="2" t="s">
        <v>1194</v>
      </c>
      <c r="F2509" s="2" t="s">
        <v>1186</v>
      </c>
      <c r="G2509" s="2" t="s">
        <v>6193</v>
      </c>
    </row>
    <row r="2510" customFormat="false" ht="15" hidden="false" customHeight="false" outlineLevel="0" collapsed="false">
      <c r="A2510" s="2" t="s">
        <v>6194</v>
      </c>
      <c r="B2510" s="2" t="s">
        <v>240</v>
      </c>
      <c r="C2510" s="2" t="s">
        <v>6071</v>
      </c>
      <c r="D2510" s="2" t="s">
        <v>50</v>
      </c>
      <c r="E2510" s="2" t="s">
        <v>1194</v>
      </c>
      <c r="F2510" s="2" t="s">
        <v>1186</v>
      </c>
      <c r="G2510" s="2" t="s">
        <v>6195</v>
      </c>
    </row>
    <row r="2511" customFormat="false" ht="15" hidden="false" customHeight="false" outlineLevel="0" collapsed="false">
      <c r="A2511" s="2" t="s">
        <v>6196</v>
      </c>
      <c r="B2511" s="2" t="s">
        <v>240</v>
      </c>
      <c r="C2511" s="2" t="s">
        <v>6071</v>
      </c>
      <c r="D2511" s="2" t="s">
        <v>50</v>
      </c>
      <c r="E2511" s="2" t="s">
        <v>1194</v>
      </c>
      <c r="F2511" s="2" t="s">
        <v>1186</v>
      </c>
      <c r="G2511" s="2" t="s">
        <v>6197</v>
      </c>
    </row>
    <row r="2512" customFormat="false" ht="15" hidden="false" customHeight="false" outlineLevel="0" collapsed="false">
      <c r="A2512" s="2" t="s">
        <v>6198</v>
      </c>
      <c r="B2512" s="2" t="s">
        <v>240</v>
      </c>
      <c r="C2512" s="2" t="s">
        <v>6071</v>
      </c>
      <c r="D2512" s="2" t="s">
        <v>50</v>
      </c>
      <c r="E2512" s="2" t="s">
        <v>1194</v>
      </c>
      <c r="F2512" s="2" t="s">
        <v>1186</v>
      </c>
      <c r="G2512" s="2" t="s">
        <v>6199</v>
      </c>
    </row>
    <row r="2513" customFormat="false" ht="15" hidden="false" customHeight="false" outlineLevel="0" collapsed="false">
      <c r="A2513" s="2" t="s">
        <v>6200</v>
      </c>
      <c r="B2513" s="2" t="s">
        <v>240</v>
      </c>
      <c r="C2513" s="2" t="s">
        <v>6071</v>
      </c>
      <c r="D2513" s="2" t="s">
        <v>50</v>
      </c>
      <c r="E2513" s="2" t="s">
        <v>1194</v>
      </c>
      <c r="F2513" s="2" t="s">
        <v>1186</v>
      </c>
      <c r="G2513" s="2" t="s">
        <v>6201</v>
      </c>
    </row>
    <row r="2514" customFormat="false" ht="15" hidden="false" customHeight="false" outlineLevel="0" collapsed="false">
      <c r="A2514" s="2" t="s">
        <v>6202</v>
      </c>
      <c r="B2514" s="2" t="s">
        <v>240</v>
      </c>
      <c r="C2514" s="2" t="s">
        <v>6071</v>
      </c>
      <c r="D2514" s="2" t="s">
        <v>50</v>
      </c>
      <c r="E2514" s="2" t="s">
        <v>1194</v>
      </c>
      <c r="F2514" s="2" t="s">
        <v>1186</v>
      </c>
      <c r="G2514" s="2" t="s">
        <v>6203</v>
      </c>
    </row>
    <row r="2515" customFormat="false" ht="15" hidden="false" customHeight="false" outlineLevel="0" collapsed="false">
      <c r="A2515" s="2" t="s">
        <v>6204</v>
      </c>
      <c r="B2515" s="2" t="s">
        <v>240</v>
      </c>
      <c r="C2515" s="2" t="s">
        <v>6071</v>
      </c>
      <c r="D2515" s="2" t="s">
        <v>50</v>
      </c>
      <c r="E2515" s="2" t="s">
        <v>1194</v>
      </c>
      <c r="F2515" s="2" t="s">
        <v>1186</v>
      </c>
      <c r="G2515" s="2" t="s">
        <v>6205</v>
      </c>
    </row>
    <row r="2516" customFormat="false" ht="15" hidden="false" customHeight="false" outlineLevel="0" collapsed="false">
      <c r="A2516" s="2" t="s">
        <v>6206</v>
      </c>
      <c r="B2516" s="2" t="s">
        <v>240</v>
      </c>
      <c r="C2516" s="2" t="s">
        <v>6071</v>
      </c>
      <c r="D2516" s="2" t="s">
        <v>50</v>
      </c>
      <c r="E2516" s="2" t="s">
        <v>1194</v>
      </c>
      <c r="F2516" s="2" t="s">
        <v>1186</v>
      </c>
      <c r="G2516" s="2" t="s">
        <v>6207</v>
      </c>
    </row>
    <row r="2517" customFormat="false" ht="15" hidden="false" customHeight="false" outlineLevel="0" collapsed="false">
      <c r="A2517" s="2" t="s">
        <v>6208</v>
      </c>
      <c r="B2517" s="2" t="s">
        <v>240</v>
      </c>
      <c r="C2517" s="2" t="s">
        <v>6071</v>
      </c>
      <c r="D2517" s="2" t="s">
        <v>50</v>
      </c>
      <c r="E2517" s="2" t="s">
        <v>1194</v>
      </c>
      <c r="F2517" s="2" t="s">
        <v>1186</v>
      </c>
      <c r="G2517" s="2" t="s">
        <v>6209</v>
      </c>
    </row>
    <row r="2518" customFormat="false" ht="15" hidden="false" customHeight="false" outlineLevel="0" collapsed="false">
      <c r="A2518" s="2" t="s">
        <v>6210</v>
      </c>
      <c r="B2518" s="2" t="s">
        <v>240</v>
      </c>
      <c r="C2518" s="2" t="s">
        <v>6071</v>
      </c>
      <c r="D2518" s="2" t="s">
        <v>50</v>
      </c>
      <c r="E2518" s="2" t="s">
        <v>1194</v>
      </c>
      <c r="F2518" s="2" t="s">
        <v>1186</v>
      </c>
      <c r="G2518" s="2" t="s">
        <v>6211</v>
      </c>
    </row>
    <row r="2519" customFormat="false" ht="15" hidden="false" customHeight="false" outlineLevel="0" collapsed="false">
      <c r="A2519" s="2" t="s">
        <v>6212</v>
      </c>
      <c r="B2519" s="2" t="s">
        <v>240</v>
      </c>
      <c r="C2519" s="2" t="s">
        <v>6071</v>
      </c>
      <c r="D2519" s="2" t="s">
        <v>50</v>
      </c>
      <c r="E2519" s="2" t="s">
        <v>1194</v>
      </c>
      <c r="F2519" s="2" t="s">
        <v>1186</v>
      </c>
      <c r="G2519" s="2" t="s">
        <v>6213</v>
      </c>
    </row>
    <row r="2520" customFormat="false" ht="15" hidden="false" customHeight="false" outlineLevel="0" collapsed="false">
      <c r="A2520" s="2" t="s">
        <v>6214</v>
      </c>
      <c r="B2520" s="2" t="s">
        <v>240</v>
      </c>
      <c r="C2520" s="2" t="s">
        <v>6071</v>
      </c>
      <c r="D2520" s="2" t="s">
        <v>50</v>
      </c>
      <c r="E2520" s="2" t="s">
        <v>1194</v>
      </c>
      <c r="F2520" s="2" t="s">
        <v>1186</v>
      </c>
      <c r="G2520" s="2" t="s">
        <v>6215</v>
      </c>
    </row>
    <row r="2521" customFormat="false" ht="15" hidden="false" customHeight="false" outlineLevel="0" collapsed="false">
      <c r="A2521" s="2" t="s">
        <v>6216</v>
      </c>
      <c r="B2521" s="2" t="s">
        <v>240</v>
      </c>
      <c r="C2521" s="2" t="s">
        <v>6071</v>
      </c>
      <c r="D2521" s="2" t="s">
        <v>50</v>
      </c>
      <c r="E2521" s="2" t="s">
        <v>1194</v>
      </c>
      <c r="F2521" s="2" t="s">
        <v>1186</v>
      </c>
      <c r="G2521" s="2" t="s">
        <v>6217</v>
      </c>
    </row>
    <row r="2522" customFormat="false" ht="15" hidden="false" customHeight="false" outlineLevel="0" collapsed="false">
      <c r="A2522" s="2" t="s">
        <v>6218</v>
      </c>
      <c r="B2522" s="2" t="s">
        <v>240</v>
      </c>
      <c r="C2522" s="2" t="s">
        <v>6071</v>
      </c>
      <c r="D2522" s="2" t="s">
        <v>50</v>
      </c>
      <c r="E2522" s="2" t="s">
        <v>1194</v>
      </c>
      <c r="F2522" s="2" t="s">
        <v>1186</v>
      </c>
      <c r="G2522" s="2" t="s">
        <v>6219</v>
      </c>
    </row>
    <row r="2523" customFormat="false" ht="15" hidden="false" customHeight="false" outlineLevel="0" collapsed="false">
      <c r="A2523" s="2" t="s">
        <v>6220</v>
      </c>
      <c r="B2523" s="2" t="s">
        <v>240</v>
      </c>
      <c r="C2523" s="2" t="s">
        <v>6071</v>
      </c>
      <c r="D2523" s="2" t="s">
        <v>50</v>
      </c>
      <c r="E2523" s="2" t="s">
        <v>1194</v>
      </c>
      <c r="F2523" s="2" t="s">
        <v>1186</v>
      </c>
      <c r="G2523" s="2" t="s">
        <v>6221</v>
      </c>
    </row>
    <row r="2524" customFormat="false" ht="15" hidden="false" customHeight="false" outlineLevel="0" collapsed="false">
      <c r="A2524" s="2" t="s">
        <v>6222</v>
      </c>
      <c r="B2524" s="2" t="s">
        <v>240</v>
      </c>
      <c r="C2524" s="2" t="s">
        <v>6071</v>
      </c>
      <c r="D2524" s="2" t="s">
        <v>50</v>
      </c>
      <c r="E2524" s="2" t="s">
        <v>1194</v>
      </c>
      <c r="F2524" s="2" t="s">
        <v>1186</v>
      </c>
      <c r="G2524" s="2" t="s">
        <v>6223</v>
      </c>
    </row>
    <row r="2525" customFormat="false" ht="15" hidden="false" customHeight="false" outlineLevel="0" collapsed="false">
      <c r="A2525" s="2" t="s">
        <v>6224</v>
      </c>
      <c r="B2525" s="2" t="s">
        <v>240</v>
      </c>
      <c r="C2525" s="2" t="s">
        <v>6071</v>
      </c>
      <c r="D2525" s="2" t="s">
        <v>50</v>
      </c>
      <c r="E2525" s="2" t="s">
        <v>1194</v>
      </c>
      <c r="F2525" s="2" t="s">
        <v>1186</v>
      </c>
      <c r="G2525" s="2" t="s">
        <v>6225</v>
      </c>
    </row>
    <row r="2526" customFormat="false" ht="15" hidden="false" customHeight="false" outlineLevel="0" collapsed="false">
      <c r="A2526" s="2" t="s">
        <v>6226</v>
      </c>
      <c r="B2526" s="2" t="s">
        <v>240</v>
      </c>
      <c r="C2526" s="2" t="s">
        <v>6071</v>
      </c>
      <c r="D2526" s="2" t="s">
        <v>50</v>
      </c>
      <c r="E2526" s="2" t="s">
        <v>1194</v>
      </c>
      <c r="F2526" s="2" t="s">
        <v>1186</v>
      </c>
      <c r="G2526" s="2" t="s">
        <v>6227</v>
      </c>
    </row>
    <row r="2527" customFormat="false" ht="15" hidden="false" customHeight="false" outlineLevel="0" collapsed="false">
      <c r="A2527" s="2" t="s">
        <v>6228</v>
      </c>
      <c r="B2527" s="2" t="s">
        <v>240</v>
      </c>
      <c r="C2527" s="2" t="s">
        <v>6071</v>
      </c>
      <c r="D2527" s="2" t="s">
        <v>50</v>
      </c>
      <c r="E2527" s="2" t="s">
        <v>1194</v>
      </c>
      <c r="F2527" s="2" t="s">
        <v>1186</v>
      </c>
      <c r="G2527" s="2" t="s">
        <v>6229</v>
      </c>
    </row>
    <row r="2528" customFormat="false" ht="15" hidden="false" customHeight="false" outlineLevel="0" collapsed="false">
      <c r="A2528" s="2" t="s">
        <v>6230</v>
      </c>
      <c r="B2528" s="2" t="s">
        <v>240</v>
      </c>
      <c r="C2528" s="2" t="s">
        <v>6071</v>
      </c>
      <c r="D2528" s="2" t="s">
        <v>50</v>
      </c>
      <c r="E2528" s="2" t="s">
        <v>1194</v>
      </c>
      <c r="F2528" s="2" t="s">
        <v>1186</v>
      </c>
      <c r="G2528" s="2" t="s">
        <v>6231</v>
      </c>
    </row>
    <row r="2529" customFormat="false" ht="15" hidden="false" customHeight="false" outlineLevel="0" collapsed="false">
      <c r="A2529" s="2" t="s">
        <v>6232</v>
      </c>
      <c r="B2529" s="2" t="s">
        <v>240</v>
      </c>
      <c r="C2529" s="2" t="s">
        <v>6071</v>
      </c>
      <c r="D2529" s="2" t="s">
        <v>50</v>
      </c>
      <c r="E2529" s="2" t="s">
        <v>1194</v>
      </c>
      <c r="F2529" s="2" t="s">
        <v>1186</v>
      </c>
      <c r="G2529" s="2" t="s">
        <v>6233</v>
      </c>
    </row>
    <row r="2530" customFormat="false" ht="15" hidden="false" customHeight="false" outlineLevel="0" collapsed="false">
      <c r="A2530" s="2" t="s">
        <v>6234</v>
      </c>
      <c r="B2530" s="2" t="s">
        <v>240</v>
      </c>
      <c r="C2530" s="2" t="s">
        <v>6071</v>
      </c>
      <c r="D2530" s="2" t="s">
        <v>50</v>
      </c>
      <c r="E2530" s="2" t="s">
        <v>1194</v>
      </c>
      <c r="F2530" s="2" t="s">
        <v>1186</v>
      </c>
      <c r="G2530" s="2" t="s">
        <v>6235</v>
      </c>
    </row>
    <row r="2531" customFormat="false" ht="15" hidden="false" customHeight="false" outlineLevel="0" collapsed="false">
      <c r="A2531" s="2" t="s">
        <v>6236</v>
      </c>
      <c r="B2531" s="2" t="s">
        <v>240</v>
      </c>
      <c r="C2531" s="2" t="s">
        <v>6071</v>
      </c>
      <c r="D2531" s="2" t="s">
        <v>50</v>
      </c>
      <c r="E2531" s="2" t="s">
        <v>1194</v>
      </c>
      <c r="F2531" s="2" t="s">
        <v>1186</v>
      </c>
      <c r="G2531" s="2" t="s">
        <v>6237</v>
      </c>
    </row>
    <row r="2532" customFormat="false" ht="15" hidden="false" customHeight="false" outlineLevel="0" collapsed="false">
      <c r="A2532" s="2" t="s">
        <v>6238</v>
      </c>
      <c r="B2532" s="2" t="s">
        <v>240</v>
      </c>
      <c r="C2532" s="2" t="s">
        <v>6071</v>
      </c>
      <c r="D2532" s="2" t="s">
        <v>50</v>
      </c>
      <c r="E2532" s="2" t="s">
        <v>1194</v>
      </c>
      <c r="F2532" s="2" t="s">
        <v>1186</v>
      </c>
      <c r="G2532" s="2" t="s">
        <v>6239</v>
      </c>
    </row>
    <row r="2533" customFormat="false" ht="15" hidden="false" customHeight="false" outlineLevel="0" collapsed="false">
      <c r="A2533" s="2" t="s">
        <v>6240</v>
      </c>
      <c r="B2533" s="2" t="s">
        <v>240</v>
      </c>
      <c r="C2533" s="2" t="s">
        <v>6071</v>
      </c>
      <c r="D2533" s="2" t="s">
        <v>50</v>
      </c>
      <c r="E2533" s="2" t="s">
        <v>1194</v>
      </c>
      <c r="F2533" s="2" t="s">
        <v>1186</v>
      </c>
      <c r="G2533" s="2" t="s">
        <v>6241</v>
      </c>
    </row>
    <row r="2534" customFormat="false" ht="15" hidden="false" customHeight="false" outlineLevel="0" collapsed="false">
      <c r="A2534" s="2" t="s">
        <v>6242</v>
      </c>
      <c r="B2534" s="2" t="s">
        <v>240</v>
      </c>
      <c r="C2534" s="2" t="s">
        <v>6071</v>
      </c>
      <c r="D2534" s="2" t="s">
        <v>50</v>
      </c>
      <c r="E2534" s="2" t="s">
        <v>1194</v>
      </c>
      <c r="F2534" s="2" t="s">
        <v>1186</v>
      </c>
      <c r="G2534" s="2" t="s">
        <v>6243</v>
      </c>
    </row>
    <row r="2535" customFormat="false" ht="15" hidden="false" customHeight="false" outlineLevel="0" collapsed="false">
      <c r="A2535" s="2" t="s">
        <v>6244</v>
      </c>
      <c r="B2535" s="2" t="s">
        <v>240</v>
      </c>
      <c r="C2535" s="2" t="s">
        <v>6071</v>
      </c>
      <c r="D2535" s="2" t="s">
        <v>50</v>
      </c>
      <c r="E2535" s="2" t="s">
        <v>1194</v>
      </c>
      <c r="F2535" s="2" t="s">
        <v>1186</v>
      </c>
      <c r="G2535" s="2" t="s">
        <v>6245</v>
      </c>
    </row>
    <row r="2536" customFormat="false" ht="15" hidden="false" customHeight="false" outlineLevel="0" collapsed="false">
      <c r="A2536" s="2" t="s">
        <v>6246</v>
      </c>
      <c r="B2536" s="2" t="s">
        <v>240</v>
      </c>
      <c r="C2536" s="2" t="s">
        <v>6071</v>
      </c>
      <c r="D2536" s="2" t="s">
        <v>50</v>
      </c>
      <c r="E2536" s="2" t="s">
        <v>1194</v>
      </c>
      <c r="F2536" s="2" t="s">
        <v>1186</v>
      </c>
      <c r="G2536" s="2" t="s">
        <v>6247</v>
      </c>
    </row>
    <row r="2537" customFormat="false" ht="15" hidden="false" customHeight="false" outlineLevel="0" collapsed="false">
      <c r="A2537" s="2" t="s">
        <v>6248</v>
      </c>
      <c r="B2537" s="2" t="s">
        <v>240</v>
      </c>
      <c r="C2537" s="2" t="s">
        <v>6071</v>
      </c>
      <c r="D2537" s="2" t="s">
        <v>50</v>
      </c>
      <c r="E2537" s="2" t="s">
        <v>1194</v>
      </c>
      <c r="F2537" s="2" t="s">
        <v>1186</v>
      </c>
      <c r="G2537" s="2" t="s">
        <v>6249</v>
      </c>
    </row>
    <row r="2538" customFormat="false" ht="15" hidden="false" customHeight="false" outlineLevel="0" collapsed="false">
      <c r="A2538" s="2" t="s">
        <v>6250</v>
      </c>
      <c r="B2538" s="2" t="s">
        <v>240</v>
      </c>
      <c r="C2538" s="2" t="s">
        <v>6071</v>
      </c>
      <c r="D2538" s="2" t="s">
        <v>50</v>
      </c>
      <c r="E2538" s="2" t="s">
        <v>1194</v>
      </c>
      <c r="F2538" s="2" t="s">
        <v>1186</v>
      </c>
      <c r="G2538" s="2" t="s">
        <v>6251</v>
      </c>
    </row>
    <row r="2539" customFormat="false" ht="15" hidden="false" customHeight="false" outlineLevel="0" collapsed="false">
      <c r="A2539" s="2" t="s">
        <v>6252</v>
      </c>
      <c r="B2539" s="2" t="s">
        <v>240</v>
      </c>
      <c r="C2539" s="2" t="s">
        <v>6071</v>
      </c>
      <c r="D2539" s="2" t="s">
        <v>50</v>
      </c>
      <c r="E2539" s="2" t="s">
        <v>1194</v>
      </c>
      <c r="F2539" s="2" t="s">
        <v>1186</v>
      </c>
      <c r="G2539" s="2" t="s">
        <v>6253</v>
      </c>
    </row>
    <row r="2540" customFormat="false" ht="15" hidden="false" customHeight="false" outlineLevel="0" collapsed="false">
      <c r="A2540" s="2" t="s">
        <v>6254</v>
      </c>
      <c r="B2540" s="2" t="s">
        <v>240</v>
      </c>
      <c r="C2540" s="2" t="s">
        <v>6071</v>
      </c>
      <c r="D2540" s="2" t="s">
        <v>50</v>
      </c>
      <c r="E2540" s="2" t="s">
        <v>1194</v>
      </c>
      <c r="F2540" s="2" t="s">
        <v>1186</v>
      </c>
      <c r="G2540" s="2" t="s">
        <v>6255</v>
      </c>
    </row>
    <row r="2541" customFormat="false" ht="15" hidden="false" customHeight="false" outlineLevel="0" collapsed="false">
      <c r="A2541" s="2" t="s">
        <v>6256</v>
      </c>
      <c r="B2541" s="2" t="s">
        <v>240</v>
      </c>
      <c r="C2541" s="2" t="s">
        <v>6071</v>
      </c>
      <c r="D2541" s="2" t="s">
        <v>50</v>
      </c>
      <c r="E2541" s="2" t="s">
        <v>1194</v>
      </c>
      <c r="F2541" s="2" t="s">
        <v>1186</v>
      </c>
      <c r="G2541" s="2" t="s">
        <v>6257</v>
      </c>
    </row>
    <row r="2542" customFormat="false" ht="15" hidden="false" customHeight="false" outlineLevel="0" collapsed="false">
      <c r="A2542" s="2" t="s">
        <v>6258</v>
      </c>
      <c r="B2542" s="2" t="s">
        <v>240</v>
      </c>
      <c r="C2542" s="2" t="s">
        <v>6071</v>
      </c>
      <c r="D2542" s="2" t="s">
        <v>50</v>
      </c>
      <c r="E2542" s="2" t="s">
        <v>1194</v>
      </c>
      <c r="F2542" s="2" t="s">
        <v>1186</v>
      </c>
      <c r="G2542" s="2" t="s">
        <v>6259</v>
      </c>
    </row>
    <row r="2543" customFormat="false" ht="15" hidden="false" customHeight="false" outlineLevel="0" collapsed="false">
      <c r="A2543" s="2" t="s">
        <v>6260</v>
      </c>
      <c r="B2543" s="2" t="s">
        <v>240</v>
      </c>
      <c r="C2543" s="2" t="s">
        <v>6071</v>
      </c>
      <c r="D2543" s="2" t="s">
        <v>50</v>
      </c>
      <c r="E2543" s="2" t="s">
        <v>1194</v>
      </c>
      <c r="F2543" s="2" t="s">
        <v>1186</v>
      </c>
      <c r="G2543" s="2" t="s">
        <v>6261</v>
      </c>
    </row>
    <row r="2544" customFormat="false" ht="15" hidden="false" customHeight="false" outlineLevel="0" collapsed="false">
      <c r="A2544" s="2" t="s">
        <v>6262</v>
      </c>
      <c r="B2544" s="2" t="s">
        <v>240</v>
      </c>
      <c r="C2544" s="2" t="s">
        <v>6071</v>
      </c>
      <c r="D2544" s="2" t="s">
        <v>50</v>
      </c>
      <c r="E2544" s="2" t="s">
        <v>1194</v>
      </c>
      <c r="F2544" s="2" t="s">
        <v>1186</v>
      </c>
      <c r="G2544" s="2" t="s">
        <v>6263</v>
      </c>
    </row>
    <row r="2545" customFormat="false" ht="15" hidden="false" customHeight="false" outlineLevel="0" collapsed="false">
      <c r="A2545" s="2" t="s">
        <v>6264</v>
      </c>
      <c r="B2545" s="2" t="s">
        <v>240</v>
      </c>
      <c r="C2545" s="2" t="s">
        <v>6071</v>
      </c>
      <c r="D2545" s="2" t="s">
        <v>50</v>
      </c>
      <c r="E2545" s="2" t="s">
        <v>1194</v>
      </c>
      <c r="F2545" s="2" t="s">
        <v>1186</v>
      </c>
      <c r="G2545" s="2" t="s">
        <v>6265</v>
      </c>
    </row>
    <row r="2546" customFormat="false" ht="15" hidden="false" customHeight="false" outlineLevel="0" collapsed="false">
      <c r="A2546" s="2" t="s">
        <v>6266</v>
      </c>
      <c r="B2546" s="2" t="s">
        <v>240</v>
      </c>
      <c r="C2546" s="2" t="s">
        <v>6071</v>
      </c>
      <c r="D2546" s="2" t="s">
        <v>50</v>
      </c>
      <c r="E2546" s="2" t="s">
        <v>1194</v>
      </c>
      <c r="F2546" s="2" t="s">
        <v>1186</v>
      </c>
      <c r="G2546" s="2" t="s">
        <v>6267</v>
      </c>
    </row>
    <row r="2547" customFormat="false" ht="15" hidden="false" customHeight="false" outlineLevel="0" collapsed="false">
      <c r="A2547" s="2" t="s">
        <v>6268</v>
      </c>
      <c r="B2547" s="2" t="s">
        <v>240</v>
      </c>
      <c r="C2547" s="2" t="s">
        <v>6071</v>
      </c>
      <c r="D2547" s="2" t="s">
        <v>50</v>
      </c>
      <c r="E2547" s="2" t="s">
        <v>1194</v>
      </c>
      <c r="F2547" s="2" t="s">
        <v>1186</v>
      </c>
      <c r="G2547" s="2" t="s">
        <v>6269</v>
      </c>
    </row>
    <row r="2548" customFormat="false" ht="15" hidden="false" customHeight="false" outlineLevel="0" collapsed="false">
      <c r="A2548" s="2" t="s">
        <v>6270</v>
      </c>
      <c r="B2548" s="2" t="s">
        <v>240</v>
      </c>
      <c r="C2548" s="2" t="s">
        <v>6071</v>
      </c>
      <c r="D2548" s="2" t="s">
        <v>50</v>
      </c>
      <c r="E2548" s="2" t="s">
        <v>1194</v>
      </c>
      <c r="F2548" s="2" t="s">
        <v>1186</v>
      </c>
      <c r="G2548" s="2" t="s">
        <v>6271</v>
      </c>
    </row>
    <row r="2549" customFormat="false" ht="15" hidden="false" customHeight="false" outlineLevel="0" collapsed="false">
      <c r="A2549" s="2" t="s">
        <v>6272</v>
      </c>
      <c r="B2549" s="2" t="s">
        <v>240</v>
      </c>
      <c r="C2549" s="2" t="s">
        <v>6071</v>
      </c>
      <c r="D2549" s="2" t="s">
        <v>50</v>
      </c>
      <c r="E2549" s="2" t="s">
        <v>1194</v>
      </c>
      <c r="F2549" s="2" t="s">
        <v>1186</v>
      </c>
      <c r="G2549" s="2" t="s">
        <v>6273</v>
      </c>
    </row>
    <row r="2550" customFormat="false" ht="15" hidden="false" customHeight="false" outlineLevel="0" collapsed="false">
      <c r="A2550" s="2" t="s">
        <v>6274</v>
      </c>
      <c r="B2550" s="2" t="s">
        <v>240</v>
      </c>
      <c r="C2550" s="2" t="s">
        <v>6071</v>
      </c>
      <c r="D2550" s="2" t="s">
        <v>50</v>
      </c>
      <c r="E2550" s="2" t="s">
        <v>1194</v>
      </c>
      <c r="F2550" s="2" t="s">
        <v>1186</v>
      </c>
      <c r="G2550" s="2" t="s">
        <v>6275</v>
      </c>
    </row>
    <row r="2551" customFormat="false" ht="15" hidden="false" customHeight="false" outlineLevel="0" collapsed="false">
      <c r="A2551" s="2" t="s">
        <v>6276</v>
      </c>
      <c r="B2551" s="2" t="s">
        <v>240</v>
      </c>
      <c r="C2551" s="2" t="s">
        <v>6071</v>
      </c>
      <c r="D2551" s="2" t="s">
        <v>50</v>
      </c>
      <c r="E2551" s="2" t="s">
        <v>1194</v>
      </c>
      <c r="F2551" s="2" t="s">
        <v>1186</v>
      </c>
      <c r="G2551" s="2" t="s">
        <v>6277</v>
      </c>
    </row>
    <row r="2552" customFormat="false" ht="15" hidden="false" customHeight="false" outlineLevel="0" collapsed="false">
      <c r="A2552" s="2" t="s">
        <v>6278</v>
      </c>
      <c r="B2552" s="2" t="s">
        <v>240</v>
      </c>
      <c r="C2552" s="2" t="s">
        <v>6071</v>
      </c>
      <c r="D2552" s="2" t="s">
        <v>50</v>
      </c>
      <c r="E2552" s="2" t="s">
        <v>1194</v>
      </c>
      <c r="F2552" s="2" t="s">
        <v>1186</v>
      </c>
      <c r="G2552" s="2" t="s">
        <v>6279</v>
      </c>
    </row>
    <row r="2553" customFormat="false" ht="15" hidden="false" customHeight="false" outlineLevel="0" collapsed="false">
      <c r="A2553" s="2" t="s">
        <v>6280</v>
      </c>
      <c r="B2553" s="2" t="s">
        <v>240</v>
      </c>
      <c r="C2553" s="2" t="s">
        <v>6071</v>
      </c>
      <c r="D2553" s="2" t="s">
        <v>50</v>
      </c>
      <c r="E2553" s="2" t="s">
        <v>1194</v>
      </c>
      <c r="F2553" s="2" t="s">
        <v>1186</v>
      </c>
      <c r="G2553" s="2" t="s">
        <v>6281</v>
      </c>
    </row>
    <row r="2554" customFormat="false" ht="15" hidden="false" customHeight="false" outlineLevel="0" collapsed="false">
      <c r="A2554" s="2" t="s">
        <v>6282</v>
      </c>
      <c r="B2554" s="2" t="s">
        <v>240</v>
      </c>
      <c r="C2554" s="2" t="s">
        <v>6071</v>
      </c>
      <c r="D2554" s="2" t="s">
        <v>50</v>
      </c>
      <c r="E2554" s="2" t="s">
        <v>1194</v>
      </c>
      <c r="F2554" s="2" t="s">
        <v>1186</v>
      </c>
      <c r="G2554" s="2" t="s">
        <v>6283</v>
      </c>
    </row>
    <row r="2555" customFormat="false" ht="15" hidden="false" customHeight="false" outlineLevel="0" collapsed="false">
      <c r="A2555" s="2" t="s">
        <v>6284</v>
      </c>
      <c r="B2555" s="2" t="s">
        <v>240</v>
      </c>
      <c r="C2555" s="2" t="s">
        <v>6071</v>
      </c>
      <c r="D2555" s="2" t="s">
        <v>50</v>
      </c>
      <c r="E2555" s="2" t="s">
        <v>1194</v>
      </c>
      <c r="F2555" s="2" t="s">
        <v>1186</v>
      </c>
      <c r="G2555" s="2" t="s">
        <v>6285</v>
      </c>
    </row>
    <row r="2556" customFormat="false" ht="15" hidden="false" customHeight="false" outlineLevel="0" collapsed="false">
      <c r="A2556" s="2" t="s">
        <v>6286</v>
      </c>
      <c r="B2556" s="2" t="s">
        <v>240</v>
      </c>
      <c r="C2556" s="2" t="s">
        <v>6071</v>
      </c>
      <c r="D2556" s="2" t="s">
        <v>50</v>
      </c>
      <c r="E2556" s="2" t="s">
        <v>1194</v>
      </c>
      <c r="F2556" s="2" t="s">
        <v>1186</v>
      </c>
      <c r="G2556" s="2" t="s">
        <v>6287</v>
      </c>
    </row>
    <row r="2557" customFormat="false" ht="15" hidden="false" customHeight="false" outlineLevel="0" collapsed="false">
      <c r="A2557" s="2" t="s">
        <v>6288</v>
      </c>
      <c r="B2557" s="2" t="s">
        <v>240</v>
      </c>
      <c r="C2557" s="2" t="s">
        <v>6071</v>
      </c>
      <c r="D2557" s="2" t="s">
        <v>50</v>
      </c>
      <c r="E2557" s="2" t="s">
        <v>1194</v>
      </c>
      <c r="F2557" s="2" t="s">
        <v>1186</v>
      </c>
      <c r="G2557" s="2" t="s">
        <v>6289</v>
      </c>
    </row>
    <row r="2558" customFormat="false" ht="15" hidden="false" customHeight="false" outlineLevel="0" collapsed="false">
      <c r="A2558" s="2" t="s">
        <v>6290</v>
      </c>
      <c r="B2558" s="2" t="s">
        <v>240</v>
      </c>
      <c r="C2558" s="2" t="s">
        <v>6071</v>
      </c>
      <c r="D2558" s="2" t="s">
        <v>50</v>
      </c>
      <c r="E2558" s="2" t="s">
        <v>1194</v>
      </c>
      <c r="F2558" s="2" t="s">
        <v>1186</v>
      </c>
      <c r="G2558" s="2" t="s">
        <v>6291</v>
      </c>
    </row>
    <row r="2559" customFormat="false" ht="15" hidden="false" customHeight="false" outlineLevel="0" collapsed="false">
      <c r="A2559" s="2" t="s">
        <v>6292</v>
      </c>
      <c r="B2559" s="2" t="s">
        <v>240</v>
      </c>
      <c r="C2559" s="2" t="s">
        <v>6071</v>
      </c>
      <c r="D2559" s="2" t="s">
        <v>50</v>
      </c>
      <c r="E2559" s="2" t="s">
        <v>1194</v>
      </c>
      <c r="F2559" s="2" t="s">
        <v>1186</v>
      </c>
      <c r="G2559" s="2" t="s">
        <v>6293</v>
      </c>
    </row>
    <row r="2560" customFormat="false" ht="15" hidden="false" customHeight="false" outlineLevel="0" collapsed="false">
      <c r="A2560" s="2" t="s">
        <v>6294</v>
      </c>
      <c r="B2560" s="2" t="s">
        <v>240</v>
      </c>
      <c r="C2560" s="2" t="s">
        <v>6071</v>
      </c>
      <c r="D2560" s="2" t="s">
        <v>50</v>
      </c>
      <c r="E2560" s="2" t="s">
        <v>1194</v>
      </c>
      <c r="F2560" s="2" t="s">
        <v>1186</v>
      </c>
      <c r="G2560" s="2" t="s">
        <v>6295</v>
      </c>
    </row>
    <row r="2561" customFormat="false" ht="15" hidden="false" customHeight="false" outlineLevel="0" collapsed="false">
      <c r="A2561" s="2" t="s">
        <v>6296</v>
      </c>
      <c r="B2561" s="2" t="s">
        <v>240</v>
      </c>
      <c r="C2561" s="2" t="s">
        <v>6071</v>
      </c>
      <c r="D2561" s="2" t="s">
        <v>50</v>
      </c>
      <c r="E2561" s="2" t="s">
        <v>1194</v>
      </c>
      <c r="F2561" s="2" t="s">
        <v>1186</v>
      </c>
      <c r="G2561" s="2" t="s">
        <v>6297</v>
      </c>
    </row>
    <row r="2562" customFormat="false" ht="15" hidden="false" customHeight="false" outlineLevel="0" collapsed="false">
      <c r="A2562" s="2" t="s">
        <v>6298</v>
      </c>
      <c r="B2562" s="2" t="s">
        <v>240</v>
      </c>
      <c r="C2562" s="2" t="s">
        <v>6071</v>
      </c>
      <c r="D2562" s="2" t="s">
        <v>50</v>
      </c>
      <c r="E2562" s="2" t="s">
        <v>1194</v>
      </c>
      <c r="F2562" s="2" t="s">
        <v>1186</v>
      </c>
      <c r="G2562" s="2" t="s">
        <v>6299</v>
      </c>
    </row>
    <row r="2563" customFormat="false" ht="15" hidden="false" customHeight="false" outlineLevel="0" collapsed="false">
      <c r="A2563" s="2" t="s">
        <v>6300</v>
      </c>
      <c r="B2563" s="2" t="s">
        <v>240</v>
      </c>
      <c r="C2563" s="2" t="s">
        <v>6071</v>
      </c>
      <c r="D2563" s="2" t="s">
        <v>50</v>
      </c>
      <c r="E2563" s="2" t="s">
        <v>1194</v>
      </c>
      <c r="F2563" s="2" t="s">
        <v>1186</v>
      </c>
      <c r="G2563" s="2" t="s">
        <v>6301</v>
      </c>
    </row>
    <row r="2564" customFormat="false" ht="15" hidden="false" customHeight="false" outlineLevel="0" collapsed="false">
      <c r="A2564" s="2" t="s">
        <v>6302</v>
      </c>
      <c r="B2564" s="2" t="s">
        <v>240</v>
      </c>
      <c r="C2564" s="2" t="s">
        <v>6071</v>
      </c>
      <c r="D2564" s="2" t="s">
        <v>50</v>
      </c>
      <c r="E2564" s="2" t="s">
        <v>1194</v>
      </c>
      <c r="F2564" s="2" t="s">
        <v>1186</v>
      </c>
      <c r="G2564" s="2" t="s">
        <v>6303</v>
      </c>
    </row>
    <row r="2565" customFormat="false" ht="15" hidden="false" customHeight="false" outlineLevel="0" collapsed="false">
      <c r="A2565" s="2" t="s">
        <v>6304</v>
      </c>
      <c r="B2565" s="2" t="s">
        <v>240</v>
      </c>
      <c r="C2565" s="2" t="s">
        <v>6071</v>
      </c>
      <c r="D2565" s="2" t="s">
        <v>50</v>
      </c>
      <c r="E2565" s="2" t="s">
        <v>1194</v>
      </c>
      <c r="F2565" s="2" t="s">
        <v>1186</v>
      </c>
      <c r="G2565" s="2" t="s">
        <v>6305</v>
      </c>
    </row>
    <row r="2566" customFormat="false" ht="15" hidden="false" customHeight="false" outlineLevel="0" collapsed="false">
      <c r="A2566" s="2" t="s">
        <v>6306</v>
      </c>
      <c r="B2566" s="2" t="s">
        <v>240</v>
      </c>
      <c r="C2566" s="2" t="s">
        <v>6071</v>
      </c>
      <c r="D2566" s="2" t="s">
        <v>50</v>
      </c>
      <c r="E2566" s="2" t="s">
        <v>1194</v>
      </c>
      <c r="F2566" s="2" t="s">
        <v>1186</v>
      </c>
      <c r="G2566" s="2" t="s">
        <v>6307</v>
      </c>
    </row>
    <row r="2567" customFormat="false" ht="15" hidden="false" customHeight="false" outlineLevel="0" collapsed="false">
      <c r="A2567" s="2" t="s">
        <v>6308</v>
      </c>
      <c r="B2567" s="2" t="s">
        <v>240</v>
      </c>
      <c r="C2567" s="2" t="s">
        <v>6071</v>
      </c>
      <c r="D2567" s="2" t="s">
        <v>50</v>
      </c>
      <c r="E2567" s="2" t="s">
        <v>1194</v>
      </c>
      <c r="F2567" s="2" t="s">
        <v>1186</v>
      </c>
      <c r="G2567" s="2" t="s">
        <v>6309</v>
      </c>
    </row>
    <row r="2568" customFormat="false" ht="15" hidden="false" customHeight="false" outlineLevel="0" collapsed="false">
      <c r="A2568" s="2" t="s">
        <v>6310</v>
      </c>
      <c r="B2568" s="2" t="s">
        <v>240</v>
      </c>
      <c r="C2568" s="2" t="s">
        <v>6071</v>
      </c>
      <c r="D2568" s="2" t="s">
        <v>50</v>
      </c>
      <c r="E2568" s="2" t="s">
        <v>1194</v>
      </c>
      <c r="F2568" s="2" t="s">
        <v>1186</v>
      </c>
      <c r="G2568" s="2" t="s">
        <v>6311</v>
      </c>
    </row>
    <row r="2569" customFormat="false" ht="15" hidden="false" customHeight="false" outlineLevel="0" collapsed="false">
      <c r="A2569" s="2" t="s">
        <v>6312</v>
      </c>
      <c r="B2569" s="2" t="s">
        <v>240</v>
      </c>
      <c r="C2569" s="2" t="s">
        <v>6071</v>
      </c>
      <c r="D2569" s="2" t="s">
        <v>50</v>
      </c>
      <c r="E2569" s="2" t="s">
        <v>1194</v>
      </c>
      <c r="F2569" s="2" t="s">
        <v>1186</v>
      </c>
      <c r="G2569" s="2" t="s">
        <v>6313</v>
      </c>
    </row>
    <row r="2570" customFormat="false" ht="15" hidden="false" customHeight="false" outlineLevel="0" collapsed="false">
      <c r="A2570" s="2" t="s">
        <v>6314</v>
      </c>
      <c r="B2570" s="2" t="s">
        <v>240</v>
      </c>
      <c r="C2570" s="2" t="s">
        <v>6071</v>
      </c>
      <c r="D2570" s="2" t="s">
        <v>50</v>
      </c>
      <c r="E2570" s="2" t="s">
        <v>1194</v>
      </c>
      <c r="F2570" s="2" t="s">
        <v>1186</v>
      </c>
      <c r="G2570" s="2" t="s">
        <v>6315</v>
      </c>
    </row>
    <row r="2571" customFormat="false" ht="15" hidden="false" customHeight="false" outlineLevel="0" collapsed="false">
      <c r="A2571" s="2" t="s">
        <v>6316</v>
      </c>
      <c r="B2571" s="2" t="s">
        <v>240</v>
      </c>
      <c r="C2571" s="2" t="s">
        <v>6071</v>
      </c>
      <c r="D2571" s="2" t="s">
        <v>50</v>
      </c>
      <c r="E2571" s="2" t="s">
        <v>1194</v>
      </c>
      <c r="F2571" s="2" t="s">
        <v>1186</v>
      </c>
      <c r="G2571" s="2" t="s">
        <v>6317</v>
      </c>
    </row>
    <row r="2572" customFormat="false" ht="15" hidden="false" customHeight="false" outlineLevel="0" collapsed="false">
      <c r="A2572" s="2" t="s">
        <v>6318</v>
      </c>
      <c r="B2572" s="2" t="s">
        <v>240</v>
      </c>
      <c r="C2572" s="2" t="s">
        <v>6071</v>
      </c>
      <c r="D2572" s="2" t="s">
        <v>50</v>
      </c>
      <c r="E2572" s="2" t="s">
        <v>1194</v>
      </c>
      <c r="F2572" s="2" t="s">
        <v>1186</v>
      </c>
      <c r="G2572" s="2" t="s">
        <v>6319</v>
      </c>
    </row>
    <row r="2573" customFormat="false" ht="15" hidden="false" customHeight="false" outlineLevel="0" collapsed="false">
      <c r="A2573" s="2" t="s">
        <v>6320</v>
      </c>
      <c r="B2573" s="2" t="s">
        <v>240</v>
      </c>
      <c r="C2573" s="2" t="s">
        <v>6071</v>
      </c>
      <c r="D2573" s="2" t="s">
        <v>50</v>
      </c>
      <c r="E2573" s="2" t="s">
        <v>1194</v>
      </c>
      <c r="F2573" s="2" t="s">
        <v>1186</v>
      </c>
      <c r="G2573" s="2" t="s">
        <v>6321</v>
      </c>
    </row>
    <row r="2574" customFormat="false" ht="15" hidden="false" customHeight="false" outlineLevel="0" collapsed="false">
      <c r="A2574" s="2" t="s">
        <v>6322</v>
      </c>
      <c r="B2574" s="2" t="s">
        <v>240</v>
      </c>
      <c r="C2574" s="2" t="s">
        <v>6071</v>
      </c>
      <c r="D2574" s="2" t="s">
        <v>50</v>
      </c>
      <c r="E2574" s="2" t="s">
        <v>1194</v>
      </c>
      <c r="F2574" s="2" t="s">
        <v>1186</v>
      </c>
      <c r="G2574" s="2" t="s">
        <v>6323</v>
      </c>
    </row>
    <row r="2575" customFormat="false" ht="15" hidden="false" customHeight="false" outlineLevel="0" collapsed="false">
      <c r="A2575" s="2" t="s">
        <v>6324</v>
      </c>
      <c r="B2575" s="2" t="s">
        <v>240</v>
      </c>
      <c r="C2575" s="2" t="s">
        <v>6071</v>
      </c>
      <c r="D2575" s="2" t="s">
        <v>50</v>
      </c>
      <c r="E2575" s="2" t="s">
        <v>1194</v>
      </c>
      <c r="F2575" s="2" t="s">
        <v>1186</v>
      </c>
      <c r="G2575" s="2" t="s">
        <v>6325</v>
      </c>
    </row>
    <row r="2576" customFormat="false" ht="15" hidden="false" customHeight="false" outlineLevel="0" collapsed="false">
      <c r="A2576" s="2" t="s">
        <v>6326</v>
      </c>
      <c r="B2576" s="2" t="s">
        <v>240</v>
      </c>
      <c r="C2576" s="2" t="s">
        <v>6071</v>
      </c>
      <c r="D2576" s="2" t="s">
        <v>50</v>
      </c>
      <c r="E2576" s="2" t="s">
        <v>1194</v>
      </c>
      <c r="F2576" s="2" t="s">
        <v>1186</v>
      </c>
      <c r="G2576" s="2" t="s">
        <v>6327</v>
      </c>
    </row>
    <row r="2577" customFormat="false" ht="15" hidden="false" customHeight="false" outlineLevel="0" collapsed="false">
      <c r="A2577" s="2" t="s">
        <v>6328</v>
      </c>
      <c r="B2577" s="2" t="s">
        <v>240</v>
      </c>
      <c r="C2577" s="2" t="s">
        <v>6071</v>
      </c>
      <c r="D2577" s="2" t="s">
        <v>50</v>
      </c>
      <c r="E2577" s="2" t="s">
        <v>1194</v>
      </c>
      <c r="F2577" s="2" t="s">
        <v>1186</v>
      </c>
      <c r="G2577" s="2" t="s">
        <v>6329</v>
      </c>
    </row>
    <row r="2578" customFormat="false" ht="15" hidden="false" customHeight="false" outlineLevel="0" collapsed="false">
      <c r="A2578" s="2" t="s">
        <v>6330</v>
      </c>
      <c r="B2578" s="2" t="s">
        <v>240</v>
      </c>
      <c r="C2578" s="2" t="s">
        <v>6071</v>
      </c>
      <c r="D2578" s="2" t="s">
        <v>50</v>
      </c>
      <c r="E2578" s="2" t="s">
        <v>1194</v>
      </c>
      <c r="F2578" s="2" t="s">
        <v>1186</v>
      </c>
      <c r="G2578" s="2" t="s">
        <v>6331</v>
      </c>
    </row>
    <row r="2579" customFormat="false" ht="15" hidden="false" customHeight="false" outlineLevel="0" collapsed="false">
      <c r="A2579" s="2" t="s">
        <v>6332</v>
      </c>
      <c r="B2579" s="2" t="s">
        <v>240</v>
      </c>
      <c r="C2579" s="2" t="s">
        <v>6071</v>
      </c>
      <c r="D2579" s="2" t="s">
        <v>50</v>
      </c>
      <c r="E2579" s="2" t="s">
        <v>1194</v>
      </c>
      <c r="F2579" s="2" t="s">
        <v>1186</v>
      </c>
      <c r="G2579" s="2" t="s">
        <v>6333</v>
      </c>
    </row>
    <row r="2580" customFormat="false" ht="15" hidden="false" customHeight="false" outlineLevel="0" collapsed="false">
      <c r="A2580" s="2" t="s">
        <v>6334</v>
      </c>
      <c r="B2580" s="2" t="s">
        <v>240</v>
      </c>
      <c r="C2580" s="2" t="s">
        <v>6071</v>
      </c>
      <c r="D2580" s="2" t="s">
        <v>50</v>
      </c>
      <c r="E2580" s="2" t="s">
        <v>1194</v>
      </c>
      <c r="F2580" s="2" t="s">
        <v>1186</v>
      </c>
      <c r="G2580" s="2" t="s">
        <v>6335</v>
      </c>
    </row>
    <row r="2581" customFormat="false" ht="15" hidden="false" customHeight="false" outlineLevel="0" collapsed="false">
      <c r="A2581" s="2" t="s">
        <v>6336</v>
      </c>
      <c r="B2581" s="2" t="s">
        <v>240</v>
      </c>
      <c r="C2581" s="2" t="s">
        <v>6071</v>
      </c>
      <c r="D2581" s="2" t="s">
        <v>50</v>
      </c>
      <c r="E2581" s="2" t="s">
        <v>1194</v>
      </c>
      <c r="F2581" s="2" t="s">
        <v>1186</v>
      </c>
      <c r="G2581" s="2" t="s">
        <v>6337</v>
      </c>
    </row>
    <row r="2582" customFormat="false" ht="15" hidden="false" customHeight="false" outlineLevel="0" collapsed="false">
      <c r="A2582" s="2" t="s">
        <v>6338</v>
      </c>
      <c r="B2582" s="2" t="s">
        <v>240</v>
      </c>
      <c r="C2582" s="2" t="s">
        <v>6071</v>
      </c>
      <c r="D2582" s="2" t="s">
        <v>50</v>
      </c>
      <c r="E2582" s="2" t="s">
        <v>1194</v>
      </c>
      <c r="F2582" s="2" t="s">
        <v>1186</v>
      </c>
      <c r="G2582" s="2" t="s">
        <v>6339</v>
      </c>
    </row>
    <row r="2583" customFormat="false" ht="15" hidden="false" customHeight="false" outlineLevel="0" collapsed="false">
      <c r="A2583" s="2" t="s">
        <v>6340</v>
      </c>
      <c r="B2583" s="2" t="s">
        <v>240</v>
      </c>
      <c r="C2583" s="2" t="s">
        <v>6071</v>
      </c>
      <c r="D2583" s="2" t="s">
        <v>50</v>
      </c>
      <c r="E2583" s="2" t="s">
        <v>1194</v>
      </c>
      <c r="F2583" s="2" t="s">
        <v>1186</v>
      </c>
      <c r="G2583" s="2" t="s">
        <v>6341</v>
      </c>
    </row>
    <row r="2584" customFormat="false" ht="15" hidden="false" customHeight="false" outlineLevel="0" collapsed="false">
      <c r="A2584" s="2" t="s">
        <v>6342</v>
      </c>
      <c r="B2584" s="2" t="s">
        <v>240</v>
      </c>
      <c r="C2584" s="2" t="s">
        <v>6071</v>
      </c>
      <c r="D2584" s="2" t="s">
        <v>50</v>
      </c>
      <c r="E2584" s="2" t="s">
        <v>1194</v>
      </c>
      <c r="F2584" s="2" t="s">
        <v>1186</v>
      </c>
      <c r="G2584" s="2" t="s">
        <v>6343</v>
      </c>
    </row>
    <row r="2585" customFormat="false" ht="15" hidden="false" customHeight="false" outlineLevel="0" collapsed="false">
      <c r="A2585" s="2" t="s">
        <v>6344</v>
      </c>
      <c r="B2585" s="2" t="s">
        <v>240</v>
      </c>
      <c r="C2585" s="2" t="s">
        <v>6071</v>
      </c>
      <c r="D2585" s="2" t="s">
        <v>50</v>
      </c>
      <c r="E2585" s="2" t="s">
        <v>1194</v>
      </c>
      <c r="F2585" s="2" t="s">
        <v>1186</v>
      </c>
      <c r="G2585" s="2" t="s">
        <v>6345</v>
      </c>
    </row>
    <row r="2586" customFormat="false" ht="15" hidden="false" customHeight="false" outlineLevel="0" collapsed="false">
      <c r="A2586" s="2" t="s">
        <v>6346</v>
      </c>
      <c r="B2586" s="2" t="s">
        <v>240</v>
      </c>
      <c r="C2586" s="2" t="s">
        <v>6071</v>
      </c>
      <c r="D2586" s="2" t="s">
        <v>50</v>
      </c>
      <c r="E2586" s="2" t="s">
        <v>1194</v>
      </c>
      <c r="F2586" s="2" t="s">
        <v>1186</v>
      </c>
      <c r="G2586" s="2" t="s">
        <v>6347</v>
      </c>
    </row>
    <row r="2587" customFormat="false" ht="15" hidden="false" customHeight="false" outlineLevel="0" collapsed="false">
      <c r="A2587" s="2" t="s">
        <v>6348</v>
      </c>
      <c r="B2587" s="2" t="s">
        <v>240</v>
      </c>
      <c r="C2587" s="2" t="s">
        <v>6071</v>
      </c>
      <c r="D2587" s="2" t="s">
        <v>50</v>
      </c>
      <c r="E2587" s="2" t="s">
        <v>1194</v>
      </c>
      <c r="F2587" s="2" t="s">
        <v>1186</v>
      </c>
      <c r="G2587" s="2" t="s">
        <v>6349</v>
      </c>
    </row>
    <row r="2588" customFormat="false" ht="15" hidden="false" customHeight="false" outlineLevel="0" collapsed="false">
      <c r="A2588" s="2" t="s">
        <v>6350</v>
      </c>
      <c r="B2588" s="2" t="s">
        <v>240</v>
      </c>
      <c r="C2588" s="2" t="s">
        <v>6071</v>
      </c>
      <c r="D2588" s="2" t="s">
        <v>50</v>
      </c>
      <c r="E2588" s="2" t="s">
        <v>1194</v>
      </c>
      <c r="F2588" s="2" t="s">
        <v>1186</v>
      </c>
      <c r="G2588" s="2" t="s">
        <v>6351</v>
      </c>
    </row>
    <row r="2589" customFormat="false" ht="15" hidden="false" customHeight="false" outlineLevel="0" collapsed="false">
      <c r="A2589" s="2" t="s">
        <v>6352</v>
      </c>
      <c r="B2589" s="2" t="s">
        <v>240</v>
      </c>
      <c r="C2589" s="2" t="s">
        <v>6071</v>
      </c>
      <c r="D2589" s="2" t="s">
        <v>50</v>
      </c>
      <c r="E2589" s="2" t="s">
        <v>1194</v>
      </c>
      <c r="F2589" s="2" t="s">
        <v>1186</v>
      </c>
      <c r="G2589" s="2" t="s">
        <v>6353</v>
      </c>
    </row>
    <row r="2590" customFormat="false" ht="15" hidden="false" customHeight="false" outlineLevel="0" collapsed="false">
      <c r="A2590" s="2" t="s">
        <v>6354</v>
      </c>
      <c r="B2590" s="2" t="s">
        <v>240</v>
      </c>
      <c r="C2590" s="2" t="s">
        <v>6071</v>
      </c>
      <c r="D2590" s="2" t="s">
        <v>50</v>
      </c>
      <c r="E2590" s="2" t="s">
        <v>1194</v>
      </c>
      <c r="F2590" s="2" t="s">
        <v>1186</v>
      </c>
      <c r="G2590" s="2" t="s">
        <v>6355</v>
      </c>
    </row>
    <row r="2591" customFormat="false" ht="15" hidden="false" customHeight="false" outlineLevel="0" collapsed="false">
      <c r="A2591" s="2" t="s">
        <v>6356</v>
      </c>
      <c r="B2591" s="2" t="s">
        <v>240</v>
      </c>
      <c r="C2591" s="2" t="s">
        <v>6071</v>
      </c>
      <c r="D2591" s="2" t="s">
        <v>50</v>
      </c>
      <c r="E2591" s="2" t="s">
        <v>1194</v>
      </c>
      <c r="F2591" s="2" t="s">
        <v>1186</v>
      </c>
      <c r="G2591" s="2" t="s">
        <v>6357</v>
      </c>
    </row>
    <row r="2592" customFormat="false" ht="15" hidden="false" customHeight="false" outlineLevel="0" collapsed="false">
      <c r="A2592" s="2" t="s">
        <v>6358</v>
      </c>
      <c r="B2592" s="2" t="s">
        <v>240</v>
      </c>
      <c r="C2592" s="2" t="s">
        <v>6071</v>
      </c>
      <c r="D2592" s="2" t="s">
        <v>50</v>
      </c>
      <c r="E2592" s="2" t="s">
        <v>1194</v>
      </c>
      <c r="F2592" s="2" t="s">
        <v>1186</v>
      </c>
      <c r="G2592" s="2" t="s">
        <v>6359</v>
      </c>
    </row>
    <row r="2593" customFormat="false" ht="15" hidden="false" customHeight="false" outlineLevel="0" collapsed="false">
      <c r="A2593" s="2" t="s">
        <v>6360</v>
      </c>
      <c r="B2593" s="2" t="s">
        <v>240</v>
      </c>
      <c r="C2593" s="2" t="s">
        <v>6071</v>
      </c>
      <c r="D2593" s="2" t="s">
        <v>50</v>
      </c>
      <c r="E2593" s="2" t="s">
        <v>1194</v>
      </c>
      <c r="F2593" s="2" t="s">
        <v>1186</v>
      </c>
      <c r="G2593" s="2" t="s">
        <v>6361</v>
      </c>
    </row>
    <row r="2594" customFormat="false" ht="15" hidden="false" customHeight="false" outlineLevel="0" collapsed="false">
      <c r="A2594" s="2" t="s">
        <v>6362</v>
      </c>
      <c r="B2594" s="2" t="s">
        <v>240</v>
      </c>
      <c r="C2594" s="2" t="s">
        <v>6071</v>
      </c>
      <c r="D2594" s="2" t="s">
        <v>50</v>
      </c>
      <c r="E2594" s="2" t="s">
        <v>1194</v>
      </c>
      <c r="F2594" s="2" t="s">
        <v>1186</v>
      </c>
      <c r="G2594" s="2" t="s">
        <v>6363</v>
      </c>
    </row>
    <row r="2595" customFormat="false" ht="15" hidden="false" customHeight="false" outlineLevel="0" collapsed="false">
      <c r="A2595" s="2" t="s">
        <v>6364</v>
      </c>
      <c r="B2595" s="2" t="s">
        <v>240</v>
      </c>
      <c r="C2595" s="2" t="s">
        <v>6071</v>
      </c>
      <c r="D2595" s="2" t="s">
        <v>50</v>
      </c>
      <c r="E2595" s="2" t="s">
        <v>1194</v>
      </c>
      <c r="F2595" s="2" t="s">
        <v>1186</v>
      </c>
      <c r="G2595" s="2" t="s">
        <v>6365</v>
      </c>
    </row>
    <row r="2596" customFormat="false" ht="15" hidden="false" customHeight="false" outlineLevel="0" collapsed="false">
      <c r="A2596" s="2" t="s">
        <v>6366</v>
      </c>
      <c r="B2596" s="2" t="s">
        <v>240</v>
      </c>
      <c r="C2596" s="2" t="s">
        <v>6071</v>
      </c>
      <c r="D2596" s="2" t="s">
        <v>50</v>
      </c>
      <c r="E2596" s="2" t="s">
        <v>1194</v>
      </c>
      <c r="F2596" s="2" t="s">
        <v>1186</v>
      </c>
      <c r="G2596" s="2" t="s">
        <v>6367</v>
      </c>
    </row>
    <row r="2597" customFormat="false" ht="15" hidden="false" customHeight="false" outlineLevel="0" collapsed="false">
      <c r="A2597" s="2" t="s">
        <v>6368</v>
      </c>
      <c r="B2597" s="2" t="s">
        <v>240</v>
      </c>
      <c r="C2597" s="2" t="s">
        <v>6071</v>
      </c>
      <c r="D2597" s="2" t="s">
        <v>50</v>
      </c>
      <c r="E2597" s="2" t="s">
        <v>1194</v>
      </c>
      <c r="F2597" s="2" t="s">
        <v>1186</v>
      </c>
      <c r="G2597" s="2" t="s">
        <v>6369</v>
      </c>
    </row>
    <row r="2598" customFormat="false" ht="15" hidden="false" customHeight="false" outlineLevel="0" collapsed="false">
      <c r="A2598" s="2" t="s">
        <v>6370</v>
      </c>
      <c r="B2598" s="2" t="s">
        <v>240</v>
      </c>
      <c r="C2598" s="2" t="s">
        <v>6071</v>
      </c>
      <c r="D2598" s="2" t="s">
        <v>50</v>
      </c>
      <c r="E2598" s="2" t="s">
        <v>1194</v>
      </c>
      <c r="F2598" s="2" t="s">
        <v>1186</v>
      </c>
      <c r="G2598" s="2" t="s">
        <v>6371</v>
      </c>
    </row>
    <row r="2599" customFormat="false" ht="15" hidden="false" customHeight="false" outlineLevel="0" collapsed="false">
      <c r="A2599" s="2" t="s">
        <v>6372</v>
      </c>
      <c r="B2599" s="2" t="s">
        <v>240</v>
      </c>
      <c r="C2599" s="2" t="s">
        <v>6071</v>
      </c>
      <c r="D2599" s="2" t="s">
        <v>50</v>
      </c>
      <c r="E2599" s="2" t="s">
        <v>1194</v>
      </c>
      <c r="F2599" s="2" t="s">
        <v>1186</v>
      </c>
      <c r="G2599" s="2" t="s">
        <v>6373</v>
      </c>
    </row>
    <row r="2600" customFormat="false" ht="15" hidden="false" customHeight="false" outlineLevel="0" collapsed="false">
      <c r="A2600" s="2" t="s">
        <v>6374</v>
      </c>
      <c r="B2600" s="2" t="s">
        <v>240</v>
      </c>
      <c r="C2600" s="2" t="s">
        <v>6071</v>
      </c>
      <c r="D2600" s="2" t="s">
        <v>50</v>
      </c>
      <c r="E2600" s="2" t="s">
        <v>1194</v>
      </c>
      <c r="F2600" s="2" t="s">
        <v>1186</v>
      </c>
      <c r="G2600" s="2" t="s">
        <v>6375</v>
      </c>
    </row>
    <row r="2601" customFormat="false" ht="15" hidden="false" customHeight="false" outlineLevel="0" collapsed="false">
      <c r="A2601" s="2" t="s">
        <v>6376</v>
      </c>
      <c r="B2601" s="2" t="s">
        <v>240</v>
      </c>
      <c r="C2601" s="2" t="s">
        <v>6071</v>
      </c>
      <c r="D2601" s="2" t="s">
        <v>50</v>
      </c>
      <c r="E2601" s="2" t="s">
        <v>1194</v>
      </c>
      <c r="F2601" s="2" t="s">
        <v>1186</v>
      </c>
      <c r="G2601" s="2" t="s">
        <v>6377</v>
      </c>
    </row>
    <row r="2602" customFormat="false" ht="15" hidden="false" customHeight="false" outlineLevel="0" collapsed="false">
      <c r="A2602" s="2" t="s">
        <v>6378</v>
      </c>
      <c r="B2602" s="2" t="s">
        <v>240</v>
      </c>
      <c r="C2602" s="2" t="s">
        <v>6071</v>
      </c>
      <c r="D2602" s="2" t="s">
        <v>50</v>
      </c>
      <c r="E2602" s="2" t="s">
        <v>1194</v>
      </c>
      <c r="F2602" s="2" t="s">
        <v>1186</v>
      </c>
      <c r="G2602" s="2" t="s">
        <v>6379</v>
      </c>
    </row>
    <row r="2603" customFormat="false" ht="15" hidden="false" customHeight="false" outlineLevel="0" collapsed="false">
      <c r="A2603" s="2" t="s">
        <v>6380</v>
      </c>
      <c r="B2603" s="2" t="s">
        <v>240</v>
      </c>
      <c r="C2603" s="2" t="s">
        <v>6071</v>
      </c>
      <c r="D2603" s="2" t="s">
        <v>50</v>
      </c>
      <c r="E2603" s="2" t="s">
        <v>1194</v>
      </c>
      <c r="F2603" s="2" t="s">
        <v>1186</v>
      </c>
      <c r="G2603" s="2" t="s">
        <v>6381</v>
      </c>
    </row>
    <row r="2604" customFormat="false" ht="15" hidden="false" customHeight="false" outlineLevel="0" collapsed="false">
      <c r="A2604" s="2" t="s">
        <v>6382</v>
      </c>
      <c r="B2604" s="2" t="s">
        <v>240</v>
      </c>
      <c r="C2604" s="2" t="s">
        <v>6071</v>
      </c>
      <c r="D2604" s="2" t="s">
        <v>50</v>
      </c>
      <c r="E2604" s="2" t="s">
        <v>1194</v>
      </c>
      <c r="F2604" s="2" t="s">
        <v>1186</v>
      </c>
      <c r="G2604" s="2" t="s">
        <v>6383</v>
      </c>
    </row>
    <row r="2605" customFormat="false" ht="15" hidden="false" customHeight="false" outlineLevel="0" collapsed="false">
      <c r="A2605" s="2" t="s">
        <v>6384</v>
      </c>
      <c r="B2605" s="2" t="s">
        <v>240</v>
      </c>
      <c r="C2605" s="2" t="s">
        <v>6071</v>
      </c>
      <c r="D2605" s="2" t="s">
        <v>50</v>
      </c>
      <c r="E2605" s="2" t="s">
        <v>1194</v>
      </c>
      <c r="F2605" s="2" t="s">
        <v>1186</v>
      </c>
      <c r="G2605" s="2" t="s">
        <v>6385</v>
      </c>
    </row>
    <row r="2606" customFormat="false" ht="15" hidden="false" customHeight="false" outlineLevel="0" collapsed="false">
      <c r="A2606" s="2" t="s">
        <v>6386</v>
      </c>
      <c r="B2606" s="2" t="s">
        <v>240</v>
      </c>
      <c r="C2606" s="2" t="s">
        <v>6071</v>
      </c>
      <c r="D2606" s="2" t="s">
        <v>50</v>
      </c>
      <c r="E2606" s="2" t="s">
        <v>1194</v>
      </c>
      <c r="F2606" s="2" t="s">
        <v>1186</v>
      </c>
      <c r="G2606" s="2" t="s">
        <v>6387</v>
      </c>
    </row>
    <row r="2607" customFormat="false" ht="15" hidden="false" customHeight="false" outlineLevel="0" collapsed="false">
      <c r="A2607" s="2" t="s">
        <v>6388</v>
      </c>
      <c r="B2607" s="2" t="s">
        <v>240</v>
      </c>
      <c r="C2607" s="2" t="s">
        <v>6071</v>
      </c>
      <c r="D2607" s="2" t="s">
        <v>50</v>
      </c>
      <c r="E2607" s="2" t="s">
        <v>1194</v>
      </c>
      <c r="F2607" s="2" t="s">
        <v>1186</v>
      </c>
      <c r="G2607" s="2" t="s">
        <v>6389</v>
      </c>
    </row>
    <row r="2608" customFormat="false" ht="15" hidden="false" customHeight="false" outlineLevel="0" collapsed="false">
      <c r="A2608" s="2" t="s">
        <v>6390</v>
      </c>
      <c r="B2608" s="2" t="s">
        <v>240</v>
      </c>
      <c r="C2608" s="2" t="s">
        <v>6071</v>
      </c>
      <c r="D2608" s="2" t="s">
        <v>50</v>
      </c>
      <c r="E2608" s="2" t="s">
        <v>1194</v>
      </c>
      <c r="F2608" s="2" t="s">
        <v>1186</v>
      </c>
      <c r="G2608" s="2" t="s">
        <v>6391</v>
      </c>
    </row>
    <row r="2609" customFormat="false" ht="15" hidden="false" customHeight="false" outlineLevel="0" collapsed="false">
      <c r="A2609" s="2" t="s">
        <v>6392</v>
      </c>
      <c r="B2609" s="2" t="s">
        <v>240</v>
      </c>
      <c r="C2609" s="2" t="s">
        <v>6071</v>
      </c>
      <c r="D2609" s="2" t="s">
        <v>50</v>
      </c>
      <c r="E2609" s="2" t="s">
        <v>1194</v>
      </c>
      <c r="F2609" s="2" t="s">
        <v>1186</v>
      </c>
      <c r="G2609" s="2" t="s">
        <v>6393</v>
      </c>
    </row>
    <row r="2610" customFormat="false" ht="15" hidden="false" customHeight="false" outlineLevel="0" collapsed="false">
      <c r="A2610" s="2" t="s">
        <v>6394</v>
      </c>
      <c r="B2610" s="2" t="s">
        <v>240</v>
      </c>
      <c r="C2610" s="2" t="s">
        <v>6071</v>
      </c>
      <c r="D2610" s="2" t="s">
        <v>50</v>
      </c>
      <c r="E2610" s="2" t="s">
        <v>1194</v>
      </c>
      <c r="F2610" s="2" t="s">
        <v>1186</v>
      </c>
      <c r="G2610" s="2" t="s">
        <v>6395</v>
      </c>
    </row>
    <row r="2611" customFormat="false" ht="15" hidden="false" customHeight="false" outlineLevel="0" collapsed="false">
      <c r="A2611" s="2" t="s">
        <v>6396</v>
      </c>
      <c r="B2611" s="2" t="s">
        <v>240</v>
      </c>
      <c r="C2611" s="2" t="s">
        <v>6071</v>
      </c>
      <c r="D2611" s="2" t="s">
        <v>50</v>
      </c>
      <c r="E2611" s="2" t="s">
        <v>1194</v>
      </c>
      <c r="F2611" s="2" t="s">
        <v>1186</v>
      </c>
      <c r="G2611" s="2" t="s">
        <v>6397</v>
      </c>
    </row>
    <row r="2612" customFormat="false" ht="15" hidden="false" customHeight="false" outlineLevel="0" collapsed="false">
      <c r="A2612" s="2" t="s">
        <v>6398</v>
      </c>
      <c r="B2612" s="2" t="s">
        <v>240</v>
      </c>
      <c r="C2612" s="2" t="s">
        <v>6071</v>
      </c>
      <c r="D2612" s="2" t="s">
        <v>50</v>
      </c>
      <c r="E2612" s="2" t="s">
        <v>1194</v>
      </c>
      <c r="F2612" s="2" t="s">
        <v>1186</v>
      </c>
      <c r="G2612" s="2" t="s">
        <v>6399</v>
      </c>
    </row>
    <row r="2613" customFormat="false" ht="15" hidden="false" customHeight="false" outlineLevel="0" collapsed="false">
      <c r="A2613" s="2" t="s">
        <v>6400</v>
      </c>
      <c r="B2613" s="2" t="s">
        <v>240</v>
      </c>
      <c r="C2613" s="2" t="s">
        <v>6071</v>
      </c>
      <c r="D2613" s="2" t="s">
        <v>50</v>
      </c>
      <c r="E2613" s="2" t="s">
        <v>1194</v>
      </c>
      <c r="F2613" s="2" t="s">
        <v>1186</v>
      </c>
      <c r="G2613" s="2" t="s">
        <v>6401</v>
      </c>
    </row>
    <row r="2614" customFormat="false" ht="15" hidden="false" customHeight="false" outlineLevel="0" collapsed="false">
      <c r="A2614" s="2" t="s">
        <v>6402</v>
      </c>
      <c r="B2614" s="2" t="s">
        <v>240</v>
      </c>
      <c r="C2614" s="2" t="s">
        <v>6071</v>
      </c>
      <c r="D2614" s="2" t="s">
        <v>50</v>
      </c>
      <c r="E2614" s="2" t="s">
        <v>1194</v>
      </c>
      <c r="F2614" s="2" t="s">
        <v>1186</v>
      </c>
      <c r="G2614" s="2" t="s">
        <v>6403</v>
      </c>
    </row>
    <row r="2615" customFormat="false" ht="15" hidden="false" customHeight="false" outlineLevel="0" collapsed="false">
      <c r="A2615" s="2" t="s">
        <v>6404</v>
      </c>
      <c r="B2615" s="2" t="s">
        <v>240</v>
      </c>
      <c r="C2615" s="2" t="s">
        <v>6071</v>
      </c>
      <c r="D2615" s="2" t="s">
        <v>50</v>
      </c>
      <c r="E2615" s="2" t="s">
        <v>1194</v>
      </c>
      <c r="F2615" s="2" t="s">
        <v>1186</v>
      </c>
      <c r="G2615" s="2" t="s">
        <v>6405</v>
      </c>
    </row>
    <row r="2616" customFormat="false" ht="15" hidden="false" customHeight="false" outlineLevel="0" collapsed="false">
      <c r="A2616" s="2" t="s">
        <v>6406</v>
      </c>
      <c r="B2616" s="2" t="s">
        <v>240</v>
      </c>
      <c r="C2616" s="2" t="s">
        <v>5876</v>
      </c>
      <c r="D2616" s="2" t="s">
        <v>49</v>
      </c>
      <c r="E2616" s="2" t="s">
        <v>1563</v>
      </c>
      <c r="F2616" s="2" t="s">
        <v>1186</v>
      </c>
      <c r="G2616" s="2" t="s">
        <v>6407</v>
      </c>
    </row>
    <row r="2617" customFormat="false" ht="15" hidden="false" customHeight="false" outlineLevel="0" collapsed="false">
      <c r="A2617" s="2" t="s">
        <v>6408</v>
      </c>
      <c r="B2617" s="2" t="s">
        <v>240</v>
      </c>
      <c r="C2617" s="2" t="s">
        <v>6071</v>
      </c>
      <c r="D2617" s="2" t="s">
        <v>50</v>
      </c>
      <c r="E2617" s="2" t="s">
        <v>1194</v>
      </c>
      <c r="F2617" s="2" t="s">
        <v>1186</v>
      </c>
      <c r="G2617" s="2" t="s">
        <v>6409</v>
      </c>
    </row>
    <row r="2618" customFormat="false" ht="15" hidden="false" customHeight="false" outlineLevel="0" collapsed="false">
      <c r="A2618" s="2" t="s">
        <v>6410</v>
      </c>
      <c r="B2618" s="2" t="s">
        <v>240</v>
      </c>
      <c r="C2618" s="2" t="s">
        <v>6071</v>
      </c>
      <c r="D2618" s="2" t="s">
        <v>50</v>
      </c>
      <c r="E2618" s="2" t="s">
        <v>1194</v>
      </c>
      <c r="F2618" s="2" t="s">
        <v>1186</v>
      </c>
      <c r="G2618" s="2" t="s">
        <v>6411</v>
      </c>
    </row>
    <row r="2619" customFormat="false" ht="15" hidden="false" customHeight="false" outlineLevel="0" collapsed="false">
      <c r="A2619" s="2" t="s">
        <v>6412</v>
      </c>
      <c r="B2619" s="2" t="s">
        <v>240</v>
      </c>
      <c r="C2619" s="2" t="s">
        <v>6071</v>
      </c>
      <c r="D2619" s="2" t="s">
        <v>50</v>
      </c>
      <c r="E2619" s="2" t="s">
        <v>1194</v>
      </c>
      <c r="F2619" s="2" t="s">
        <v>1186</v>
      </c>
      <c r="G2619" s="2" t="s">
        <v>6413</v>
      </c>
    </row>
    <row r="2620" customFormat="false" ht="15" hidden="false" customHeight="false" outlineLevel="0" collapsed="false">
      <c r="A2620" s="2" t="s">
        <v>6414</v>
      </c>
      <c r="B2620" s="2" t="s">
        <v>240</v>
      </c>
      <c r="C2620" s="2" t="s">
        <v>6071</v>
      </c>
      <c r="D2620" s="2" t="s">
        <v>50</v>
      </c>
      <c r="E2620" s="2" t="s">
        <v>1194</v>
      </c>
      <c r="F2620" s="2" t="s">
        <v>1186</v>
      </c>
      <c r="G2620" s="2" t="s">
        <v>6415</v>
      </c>
    </row>
    <row r="2621" customFormat="false" ht="15" hidden="false" customHeight="false" outlineLevel="0" collapsed="false">
      <c r="A2621" s="2" t="s">
        <v>6416</v>
      </c>
      <c r="B2621" s="2" t="s">
        <v>240</v>
      </c>
      <c r="C2621" s="2" t="s">
        <v>6071</v>
      </c>
      <c r="D2621" s="2" t="s">
        <v>50</v>
      </c>
      <c r="E2621" s="2" t="s">
        <v>1194</v>
      </c>
      <c r="F2621" s="2" t="s">
        <v>1186</v>
      </c>
      <c r="G2621" s="2" t="s">
        <v>6417</v>
      </c>
    </row>
    <row r="2622" customFormat="false" ht="15" hidden="false" customHeight="false" outlineLevel="0" collapsed="false">
      <c r="A2622" s="2" t="s">
        <v>6418</v>
      </c>
      <c r="B2622" s="2" t="s">
        <v>240</v>
      </c>
      <c r="C2622" s="2" t="s">
        <v>6071</v>
      </c>
      <c r="D2622" s="2" t="s">
        <v>50</v>
      </c>
      <c r="E2622" s="2" t="s">
        <v>1194</v>
      </c>
      <c r="F2622" s="2" t="s">
        <v>1186</v>
      </c>
      <c r="G2622" s="2" t="s">
        <v>6419</v>
      </c>
    </row>
    <row r="2623" customFormat="false" ht="15" hidden="false" customHeight="false" outlineLevel="0" collapsed="false">
      <c r="A2623" s="2" t="s">
        <v>6420</v>
      </c>
      <c r="B2623" s="2" t="s">
        <v>240</v>
      </c>
      <c r="C2623" s="2" t="s">
        <v>6071</v>
      </c>
      <c r="D2623" s="2" t="s">
        <v>50</v>
      </c>
      <c r="E2623" s="2" t="s">
        <v>1194</v>
      </c>
      <c r="F2623" s="2" t="s">
        <v>1186</v>
      </c>
      <c r="G2623" s="2" t="s">
        <v>6421</v>
      </c>
    </row>
    <row r="2624" customFormat="false" ht="15" hidden="false" customHeight="false" outlineLevel="0" collapsed="false">
      <c r="A2624" s="2" t="s">
        <v>6422</v>
      </c>
      <c r="B2624" s="2" t="s">
        <v>240</v>
      </c>
      <c r="C2624" s="2" t="s">
        <v>6071</v>
      </c>
      <c r="D2624" s="2" t="s">
        <v>50</v>
      </c>
      <c r="E2624" s="2" t="s">
        <v>1194</v>
      </c>
      <c r="F2624" s="2" t="s">
        <v>1186</v>
      </c>
      <c r="G2624" s="2" t="s">
        <v>6423</v>
      </c>
    </row>
    <row r="2625" customFormat="false" ht="15" hidden="false" customHeight="false" outlineLevel="0" collapsed="false">
      <c r="A2625" s="2" t="s">
        <v>6424</v>
      </c>
      <c r="B2625" s="2" t="s">
        <v>240</v>
      </c>
      <c r="C2625" s="2" t="s">
        <v>6071</v>
      </c>
      <c r="D2625" s="2" t="s">
        <v>50</v>
      </c>
      <c r="E2625" s="2" t="s">
        <v>1194</v>
      </c>
      <c r="F2625" s="2" t="s">
        <v>1186</v>
      </c>
      <c r="G2625" s="2" t="s">
        <v>6425</v>
      </c>
    </row>
    <row r="2626" customFormat="false" ht="15" hidden="false" customHeight="false" outlineLevel="0" collapsed="false">
      <c r="A2626" s="2" t="s">
        <v>6426</v>
      </c>
      <c r="B2626" s="2" t="s">
        <v>240</v>
      </c>
      <c r="C2626" s="2" t="s">
        <v>6071</v>
      </c>
      <c r="D2626" s="2" t="s">
        <v>50</v>
      </c>
      <c r="E2626" s="2" t="s">
        <v>1194</v>
      </c>
      <c r="F2626" s="2" t="s">
        <v>1186</v>
      </c>
      <c r="G2626" s="2" t="s">
        <v>6427</v>
      </c>
    </row>
    <row r="2627" customFormat="false" ht="15" hidden="false" customHeight="false" outlineLevel="0" collapsed="false">
      <c r="A2627" s="2" t="s">
        <v>6428</v>
      </c>
      <c r="B2627" s="2" t="s">
        <v>240</v>
      </c>
      <c r="C2627" s="2" t="s">
        <v>6071</v>
      </c>
      <c r="D2627" s="2" t="s">
        <v>50</v>
      </c>
      <c r="E2627" s="2" t="s">
        <v>1194</v>
      </c>
      <c r="F2627" s="2" t="s">
        <v>1186</v>
      </c>
      <c r="G2627" s="2" t="s">
        <v>6429</v>
      </c>
    </row>
    <row r="2628" customFormat="false" ht="15" hidden="false" customHeight="false" outlineLevel="0" collapsed="false">
      <c r="A2628" s="2" t="s">
        <v>6430</v>
      </c>
      <c r="B2628" s="2" t="s">
        <v>240</v>
      </c>
      <c r="C2628" s="2" t="s">
        <v>6071</v>
      </c>
      <c r="D2628" s="2" t="s">
        <v>50</v>
      </c>
      <c r="E2628" s="2" t="s">
        <v>1194</v>
      </c>
      <c r="F2628" s="2" t="s">
        <v>1186</v>
      </c>
      <c r="G2628" s="2" t="s">
        <v>6431</v>
      </c>
    </row>
    <row r="2629" customFormat="false" ht="15" hidden="false" customHeight="false" outlineLevel="0" collapsed="false">
      <c r="A2629" s="2" t="s">
        <v>6432</v>
      </c>
      <c r="B2629" s="2" t="s">
        <v>240</v>
      </c>
      <c r="C2629" s="2" t="s">
        <v>6071</v>
      </c>
      <c r="D2629" s="2" t="s">
        <v>50</v>
      </c>
      <c r="E2629" s="2" t="s">
        <v>1194</v>
      </c>
      <c r="F2629" s="2" t="s">
        <v>1186</v>
      </c>
      <c r="G2629" s="2" t="s">
        <v>6433</v>
      </c>
    </row>
    <row r="2630" customFormat="false" ht="15" hidden="false" customHeight="false" outlineLevel="0" collapsed="false">
      <c r="A2630" s="2" t="s">
        <v>6434</v>
      </c>
      <c r="B2630" s="2" t="s">
        <v>240</v>
      </c>
      <c r="C2630" s="2" t="s">
        <v>6071</v>
      </c>
      <c r="D2630" s="2" t="s">
        <v>50</v>
      </c>
      <c r="E2630" s="2" t="s">
        <v>1194</v>
      </c>
      <c r="F2630" s="2" t="s">
        <v>1186</v>
      </c>
      <c r="G2630" s="2" t="s">
        <v>6435</v>
      </c>
    </row>
    <row r="2631" customFormat="false" ht="15" hidden="false" customHeight="false" outlineLevel="0" collapsed="false">
      <c r="A2631" s="2" t="s">
        <v>6436</v>
      </c>
      <c r="B2631" s="2" t="s">
        <v>240</v>
      </c>
      <c r="C2631" s="2" t="s">
        <v>6071</v>
      </c>
      <c r="D2631" s="2" t="s">
        <v>50</v>
      </c>
      <c r="E2631" s="2" t="s">
        <v>1194</v>
      </c>
      <c r="F2631" s="2" t="s">
        <v>1186</v>
      </c>
      <c r="G2631" s="2" t="s">
        <v>6437</v>
      </c>
    </row>
    <row r="2632" customFormat="false" ht="15" hidden="false" customHeight="false" outlineLevel="0" collapsed="false">
      <c r="A2632" s="2" t="s">
        <v>6438</v>
      </c>
      <c r="B2632" s="2" t="s">
        <v>240</v>
      </c>
      <c r="C2632" s="2" t="s">
        <v>6071</v>
      </c>
      <c r="D2632" s="2" t="s">
        <v>50</v>
      </c>
      <c r="E2632" s="2" t="s">
        <v>1194</v>
      </c>
      <c r="F2632" s="2" t="s">
        <v>1186</v>
      </c>
      <c r="G2632" s="2" t="s">
        <v>6439</v>
      </c>
    </row>
    <row r="2633" customFormat="false" ht="15" hidden="false" customHeight="false" outlineLevel="0" collapsed="false">
      <c r="A2633" s="2" t="s">
        <v>6440</v>
      </c>
      <c r="B2633" s="2" t="s">
        <v>240</v>
      </c>
      <c r="C2633" s="2" t="s">
        <v>6071</v>
      </c>
      <c r="D2633" s="2" t="s">
        <v>50</v>
      </c>
      <c r="E2633" s="2" t="s">
        <v>1194</v>
      </c>
      <c r="F2633" s="2" t="s">
        <v>1186</v>
      </c>
      <c r="G2633" s="2" t="s">
        <v>6441</v>
      </c>
    </row>
    <row r="2634" customFormat="false" ht="15" hidden="false" customHeight="false" outlineLevel="0" collapsed="false">
      <c r="A2634" s="2" t="s">
        <v>6442</v>
      </c>
      <c r="B2634" s="2" t="s">
        <v>240</v>
      </c>
      <c r="C2634" s="2" t="s">
        <v>6071</v>
      </c>
      <c r="D2634" s="2" t="s">
        <v>50</v>
      </c>
      <c r="E2634" s="2" t="s">
        <v>1194</v>
      </c>
      <c r="F2634" s="2" t="s">
        <v>1186</v>
      </c>
      <c r="G2634" s="2" t="s">
        <v>6443</v>
      </c>
    </row>
    <row r="2635" customFormat="false" ht="15" hidden="false" customHeight="false" outlineLevel="0" collapsed="false">
      <c r="A2635" s="2" t="s">
        <v>6444</v>
      </c>
      <c r="B2635" s="2" t="s">
        <v>240</v>
      </c>
      <c r="C2635" s="2" t="s">
        <v>6071</v>
      </c>
      <c r="D2635" s="2" t="s">
        <v>50</v>
      </c>
      <c r="E2635" s="2" t="s">
        <v>1194</v>
      </c>
      <c r="F2635" s="2" t="s">
        <v>1186</v>
      </c>
      <c r="G2635" s="2" t="s">
        <v>6445</v>
      </c>
    </row>
    <row r="2636" customFormat="false" ht="15" hidden="false" customHeight="false" outlineLevel="0" collapsed="false">
      <c r="A2636" s="2" t="s">
        <v>6446</v>
      </c>
      <c r="B2636" s="2" t="s">
        <v>240</v>
      </c>
      <c r="C2636" s="2" t="s">
        <v>6071</v>
      </c>
      <c r="D2636" s="2" t="s">
        <v>50</v>
      </c>
      <c r="E2636" s="2" t="s">
        <v>1194</v>
      </c>
      <c r="F2636" s="2" t="s">
        <v>1186</v>
      </c>
      <c r="G2636" s="2" t="s">
        <v>6447</v>
      </c>
    </row>
    <row r="2637" customFormat="false" ht="15" hidden="false" customHeight="false" outlineLevel="0" collapsed="false">
      <c r="A2637" s="2" t="s">
        <v>6448</v>
      </c>
      <c r="B2637" s="2" t="s">
        <v>240</v>
      </c>
      <c r="C2637" s="2" t="s">
        <v>6071</v>
      </c>
      <c r="D2637" s="2" t="s">
        <v>50</v>
      </c>
      <c r="E2637" s="2" t="s">
        <v>1194</v>
      </c>
      <c r="F2637" s="2" t="s">
        <v>1186</v>
      </c>
      <c r="G2637" s="2" t="s">
        <v>6449</v>
      </c>
    </row>
    <row r="2638" customFormat="false" ht="15" hidden="false" customHeight="false" outlineLevel="0" collapsed="false">
      <c r="A2638" s="2" t="s">
        <v>6450</v>
      </c>
      <c r="B2638" s="2" t="s">
        <v>240</v>
      </c>
      <c r="C2638" s="2" t="s">
        <v>6071</v>
      </c>
      <c r="D2638" s="2" t="s">
        <v>50</v>
      </c>
      <c r="E2638" s="2" t="s">
        <v>1194</v>
      </c>
      <c r="F2638" s="2" t="s">
        <v>1186</v>
      </c>
      <c r="G2638" s="2" t="s">
        <v>6451</v>
      </c>
    </row>
    <row r="2639" customFormat="false" ht="15" hidden="false" customHeight="false" outlineLevel="0" collapsed="false">
      <c r="A2639" s="2" t="s">
        <v>6452</v>
      </c>
      <c r="B2639" s="2" t="s">
        <v>240</v>
      </c>
      <c r="C2639" s="2" t="s">
        <v>6071</v>
      </c>
      <c r="D2639" s="2" t="s">
        <v>50</v>
      </c>
      <c r="E2639" s="2" t="s">
        <v>1194</v>
      </c>
      <c r="F2639" s="2" t="s">
        <v>1186</v>
      </c>
      <c r="G2639" s="2" t="s">
        <v>6453</v>
      </c>
    </row>
    <row r="2640" customFormat="false" ht="15" hidden="false" customHeight="false" outlineLevel="0" collapsed="false">
      <c r="A2640" s="2" t="s">
        <v>6454</v>
      </c>
      <c r="B2640" s="2" t="s">
        <v>240</v>
      </c>
      <c r="C2640" s="2" t="s">
        <v>6071</v>
      </c>
      <c r="D2640" s="2" t="s">
        <v>50</v>
      </c>
      <c r="E2640" s="2" t="s">
        <v>1194</v>
      </c>
      <c r="F2640" s="2" t="s">
        <v>1186</v>
      </c>
      <c r="G2640" s="2" t="s">
        <v>6455</v>
      </c>
    </row>
    <row r="2641" customFormat="false" ht="15" hidden="false" customHeight="false" outlineLevel="0" collapsed="false">
      <c r="A2641" s="2" t="s">
        <v>6456</v>
      </c>
      <c r="B2641" s="2" t="s">
        <v>240</v>
      </c>
      <c r="C2641" s="2" t="s">
        <v>6071</v>
      </c>
      <c r="D2641" s="2" t="s">
        <v>50</v>
      </c>
      <c r="E2641" s="2" t="s">
        <v>1194</v>
      </c>
      <c r="F2641" s="2" t="s">
        <v>1186</v>
      </c>
      <c r="G2641" s="2" t="s">
        <v>6457</v>
      </c>
    </row>
    <row r="2642" customFormat="false" ht="15" hidden="false" customHeight="false" outlineLevel="0" collapsed="false">
      <c r="A2642" s="2" t="s">
        <v>6458</v>
      </c>
      <c r="B2642" s="2" t="s">
        <v>240</v>
      </c>
      <c r="C2642" s="2" t="s">
        <v>6071</v>
      </c>
      <c r="D2642" s="2" t="s">
        <v>50</v>
      </c>
      <c r="E2642" s="2" t="s">
        <v>1194</v>
      </c>
      <c r="F2642" s="2" t="s">
        <v>1186</v>
      </c>
      <c r="G2642" s="2" t="s">
        <v>6459</v>
      </c>
    </row>
    <row r="2643" customFormat="false" ht="15" hidden="false" customHeight="false" outlineLevel="0" collapsed="false">
      <c r="A2643" s="2" t="s">
        <v>6460</v>
      </c>
      <c r="B2643" s="2" t="s">
        <v>240</v>
      </c>
      <c r="C2643" s="2" t="s">
        <v>6071</v>
      </c>
      <c r="D2643" s="2" t="s">
        <v>50</v>
      </c>
      <c r="E2643" s="2" t="s">
        <v>1194</v>
      </c>
      <c r="F2643" s="2" t="s">
        <v>1186</v>
      </c>
      <c r="G2643" s="2" t="s">
        <v>6461</v>
      </c>
    </row>
    <row r="2644" customFormat="false" ht="15" hidden="false" customHeight="false" outlineLevel="0" collapsed="false">
      <c r="A2644" s="2" t="s">
        <v>6462</v>
      </c>
      <c r="B2644" s="2" t="s">
        <v>240</v>
      </c>
      <c r="C2644" s="2" t="s">
        <v>6071</v>
      </c>
      <c r="D2644" s="2" t="s">
        <v>50</v>
      </c>
      <c r="E2644" s="2" t="s">
        <v>1194</v>
      </c>
      <c r="F2644" s="2" t="s">
        <v>1186</v>
      </c>
      <c r="G2644" s="2" t="s">
        <v>6463</v>
      </c>
    </row>
    <row r="2645" customFormat="false" ht="15" hidden="false" customHeight="false" outlineLevel="0" collapsed="false">
      <c r="A2645" s="2" t="s">
        <v>6464</v>
      </c>
      <c r="B2645" s="2" t="s">
        <v>240</v>
      </c>
      <c r="C2645" s="2" t="s">
        <v>6071</v>
      </c>
      <c r="D2645" s="2" t="s">
        <v>50</v>
      </c>
      <c r="E2645" s="2" t="s">
        <v>1194</v>
      </c>
      <c r="F2645" s="2" t="s">
        <v>1186</v>
      </c>
      <c r="G2645" s="2" t="s">
        <v>6465</v>
      </c>
    </row>
    <row r="2646" customFormat="false" ht="15" hidden="false" customHeight="false" outlineLevel="0" collapsed="false">
      <c r="A2646" s="2" t="s">
        <v>6466</v>
      </c>
      <c r="B2646" s="2" t="s">
        <v>240</v>
      </c>
      <c r="C2646" s="2" t="s">
        <v>6071</v>
      </c>
      <c r="D2646" s="2" t="s">
        <v>50</v>
      </c>
      <c r="E2646" s="2" t="s">
        <v>1194</v>
      </c>
      <c r="F2646" s="2" t="s">
        <v>1186</v>
      </c>
      <c r="G2646" s="2" t="s">
        <v>6467</v>
      </c>
    </row>
    <row r="2647" customFormat="false" ht="15" hidden="false" customHeight="false" outlineLevel="0" collapsed="false">
      <c r="A2647" s="2" t="s">
        <v>6468</v>
      </c>
      <c r="B2647" s="2" t="s">
        <v>240</v>
      </c>
      <c r="C2647" s="2" t="s">
        <v>6071</v>
      </c>
      <c r="D2647" s="2" t="s">
        <v>50</v>
      </c>
      <c r="E2647" s="2" t="s">
        <v>1194</v>
      </c>
      <c r="F2647" s="2" t="s">
        <v>1186</v>
      </c>
      <c r="G2647" s="2" t="s">
        <v>6469</v>
      </c>
    </row>
    <row r="2648" customFormat="false" ht="15" hidden="false" customHeight="false" outlineLevel="0" collapsed="false">
      <c r="A2648" s="2" t="s">
        <v>6470</v>
      </c>
      <c r="B2648" s="2" t="s">
        <v>240</v>
      </c>
      <c r="C2648" s="2" t="s">
        <v>6071</v>
      </c>
      <c r="D2648" s="2" t="s">
        <v>50</v>
      </c>
      <c r="E2648" s="2" t="s">
        <v>1194</v>
      </c>
      <c r="F2648" s="2" t="s">
        <v>1186</v>
      </c>
      <c r="G2648" s="2" t="s">
        <v>6471</v>
      </c>
    </row>
    <row r="2649" customFormat="false" ht="15" hidden="false" customHeight="false" outlineLevel="0" collapsed="false">
      <c r="A2649" s="2" t="s">
        <v>6472</v>
      </c>
      <c r="B2649" s="2" t="s">
        <v>240</v>
      </c>
      <c r="C2649" s="2" t="s">
        <v>6071</v>
      </c>
      <c r="D2649" s="2" t="s">
        <v>50</v>
      </c>
      <c r="E2649" s="2" t="s">
        <v>1194</v>
      </c>
      <c r="F2649" s="2" t="s">
        <v>1186</v>
      </c>
      <c r="G2649" s="2" t="s">
        <v>6473</v>
      </c>
    </row>
    <row r="2650" customFormat="false" ht="15" hidden="false" customHeight="false" outlineLevel="0" collapsed="false">
      <c r="A2650" s="2" t="s">
        <v>6474</v>
      </c>
      <c r="B2650" s="2" t="s">
        <v>240</v>
      </c>
      <c r="C2650" s="2" t="s">
        <v>6071</v>
      </c>
      <c r="D2650" s="2" t="s">
        <v>50</v>
      </c>
      <c r="E2650" s="2" t="s">
        <v>1194</v>
      </c>
      <c r="F2650" s="2" t="s">
        <v>1186</v>
      </c>
      <c r="G2650" s="2" t="s">
        <v>6475</v>
      </c>
    </row>
    <row r="2651" customFormat="false" ht="15" hidden="false" customHeight="false" outlineLevel="0" collapsed="false">
      <c r="A2651" s="2" t="s">
        <v>6476</v>
      </c>
      <c r="B2651" s="2" t="s">
        <v>240</v>
      </c>
      <c r="C2651" s="2" t="s">
        <v>6071</v>
      </c>
      <c r="D2651" s="2" t="s">
        <v>50</v>
      </c>
      <c r="E2651" s="2" t="s">
        <v>1194</v>
      </c>
      <c r="F2651" s="2" t="s">
        <v>1186</v>
      </c>
      <c r="G2651" s="2" t="s">
        <v>6477</v>
      </c>
    </row>
    <row r="2652" customFormat="false" ht="15" hidden="false" customHeight="false" outlineLevel="0" collapsed="false">
      <c r="A2652" s="2" t="s">
        <v>6478</v>
      </c>
      <c r="B2652" s="2" t="s">
        <v>240</v>
      </c>
      <c r="C2652" s="2" t="s">
        <v>6071</v>
      </c>
      <c r="D2652" s="2" t="s">
        <v>50</v>
      </c>
      <c r="E2652" s="2" t="s">
        <v>1194</v>
      </c>
      <c r="F2652" s="2" t="s">
        <v>1186</v>
      </c>
      <c r="G2652" s="2" t="s">
        <v>6479</v>
      </c>
    </row>
    <row r="2653" customFormat="false" ht="15" hidden="false" customHeight="false" outlineLevel="0" collapsed="false">
      <c r="A2653" s="2" t="s">
        <v>6480</v>
      </c>
      <c r="B2653" s="2" t="s">
        <v>240</v>
      </c>
      <c r="C2653" s="2" t="s">
        <v>6071</v>
      </c>
      <c r="D2653" s="2" t="s">
        <v>50</v>
      </c>
      <c r="E2653" s="2" t="s">
        <v>1194</v>
      </c>
      <c r="F2653" s="2" t="s">
        <v>1186</v>
      </c>
      <c r="G2653" s="2" t="s">
        <v>6481</v>
      </c>
    </row>
    <row r="2654" customFormat="false" ht="15" hidden="false" customHeight="false" outlineLevel="0" collapsed="false">
      <c r="A2654" s="2" t="s">
        <v>6482</v>
      </c>
      <c r="B2654" s="2" t="s">
        <v>240</v>
      </c>
      <c r="C2654" s="2" t="s">
        <v>6071</v>
      </c>
      <c r="D2654" s="2" t="s">
        <v>50</v>
      </c>
      <c r="E2654" s="2" t="s">
        <v>1194</v>
      </c>
      <c r="F2654" s="2" t="s">
        <v>1186</v>
      </c>
      <c r="G2654" s="2" t="s">
        <v>6483</v>
      </c>
    </row>
    <row r="2655" customFormat="false" ht="15" hidden="false" customHeight="false" outlineLevel="0" collapsed="false">
      <c r="A2655" s="2" t="s">
        <v>6484</v>
      </c>
      <c r="B2655" s="2" t="s">
        <v>240</v>
      </c>
      <c r="C2655" s="2" t="s">
        <v>6071</v>
      </c>
      <c r="D2655" s="2" t="s">
        <v>50</v>
      </c>
      <c r="E2655" s="2" t="s">
        <v>1194</v>
      </c>
      <c r="F2655" s="2" t="s">
        <v>1186</v>
      </c>
      <c r="G2655" s="2" t="s">
        <v>6485</v>
      </c>
    </row>
    <row r="2656" customFormat="false" ht="15" hidden="false" customHeight="false" outlineLevel="0" collapsed="false">
      <c r="A2656" s="2" t="s">
        <v>6486</v>
      </c>
      <c r="B2656" s="2" t="s">
        <v>240</v>
      </c>
      <c r="C2656" s="2" t="s">
        <v>6071</v>
      </c>
      <c r="D2656" s="2" t="s">
        <v>50</v>
      </c>
      <c r="E2656" s="2" t="s">
        <v>1194</v>
      </c>
      <c r="F2656" s="2" t="s">
        <v>1186</v>
      </c>
      <c r="G2656" s="2" t="s">
        <v>6487</v>
      </c>
    </row>
    <row r="2657" customFormat="false" ht="15" hidden="false" customHeight="false" outlineLevel="0" collapsed="false">
      <c r="A2657" s="2" t="s">
        <v>6488</v>
      </c>
      <c r="B2657" s="2" t="s">
        <v>240</v>
      </c>
      <c r="C2657" s="2" t="s">
        <v>6071</v>
      </c>
      <c r="D2657" s="2" t="s">
        <v>50</v>
      </c>
      <c r="E2657" s="2" t="s">
        <v>1194</v>
      </c>
      <c r="F2657" s="2" t="s">
        <v>1186</v>
      </c>
      <c r="G2657" s="2" t="s">
        <v>6489</v>
      </c>
    </row>
    <row r="2658" customFormat="false" ht="15" hidden="false" customHeight="false" outlineLevel="0" collapsed="false">
      <c r="A2658" s="2" t="s">
        <v>6490</v>
      </c>
      <c r="B2658" s="2" t="s">
        <v>240</v>
      </c>
      <c r="C2658" s="2" t="s">
        <v>6071</v>
      </c>
      <c r="D2658" s="2" t="s">
        <v>50</v>
      </c>
      <c r="E2658" s="2" t="s">
        <v>1194</v>
      </c>
      <c r="F2658" s="2" t="s">
        <v>1186</v>
      </c>
      <c r="G2658" s="2" t="s">
        <v>6491</v>
      </c>
    </row>
    <row r="2659" customFormat="false" ht="15" hidden="false" customHeight="false" outlineLevel="0" collapsed="false">
      <c r="A2659" s="2" t="s">
        <v>6492</v>
      </c>
      <c r="B2659" s="2" t="s">
        <v>240</v>
      </c>
      <c r="C2659" s="2" t="s">
        <v>6071</v>
      </c>
      <c r="D2659" s="2" t="s">
        <v>50</v>
      </c>
      <c r="E2659" s="2" t="s">
        <v>1194</v>
      </c>
      <c r="F2659" s="2" t="s">
        <v>1186</v>
      </c>
      <c r="G2659" s="2" t="s">
        <v>6493</v>
      </c>
    </row>
    <row r="2660" customFormat="false" ht="15" hidden="false" customHeight="false" outlineLevel="0" collapsed="false">
      <c r="A2660" s="2" t="s">
        <v>6494</v>
      </c>
      <c r="B2660" s="2" t="s">
        <v>240</v>
      </c>
      <c r="C2660" s="2" t="s">
        <v>6071</v>
      </c>
      <c r="D2660" s="2" t="s">
        <v>50</v>
      </c>
      <c r="E2660" s="2" t="s">
        <v>1194</v>
      </c>
      <c r="F2660" s="2" t="s">
        <v>1186</v>
      </c>
      <c r="G2660" s="2" t="s">
        <v>6495</v>
      </c>
    </row>
    <row r="2661" customFormat="false" ht="15" hidden="false" customHeight="false" outlineLevel="0" collapsed="false">
      <c r="A2661" s="2" t="s">
        <v>6496</v>
      </c>
      <c r="B2661" s="2" t="s">
        <v>240</v>
      </c>
      <c r="C2661" s="2" t="s">
        <v>6071</v>
      </c>
      <c r="D2661" s="2" t="s">
        <v>50</v>
      </c>
      <c r="E2661" s="2" t="s">
        <v>1194</v>
      </c>
      <c r="F2661" s="2" t="s">
        <v>1186</v>
      </c>
      <c r="G2661" s="2" t="s">
        <v>6497</v>
      </c>
    </row>
    <row r="2662" customFormat="false" ht="15" hidden="false" customHeight="false" outlineLevel="0" collapsed="false">
      <c r="A2662" s="2" t="s">
        <v>6498</v>
      </c>
      <c r="B2662" s="2" t="s">
        <v>240</v>
      </c>
      <c r="C2662" s="2" t="s">
        <v>6071</v>
      </c>
      <c r="D2662" s="2" t="s">
        <v>50</v>
      </c>
      <c r="E2662" s="2" t="s">
        <v>1194</v>
      </c>
      <c r="F2662" s="2" t="s">
        <v>1186</v>
      </c>
      <c r="G2662" s="2" t="s">
        <v>6499</v>
      </c>
    </row>
    <row r="2663" customFormat="false" ht="15" hidden="false" customHeight="false" outlineLevel="0" collapsed="false">
      <c r="A2663" s="2" t="s">
        <v>6500</v>
      </c>
      <c r="B2663" s="2" t="s">
        <v>240</v>
      </c>
      <c r="C2663" s="2" t="s">
        <v>6071</v>
      </c>
      <c r="D2663" s="2" t="s">
        <v>50</v>
      </c>
      <c r="E2663" s="2" t="s">
        <v>1194</v>
      </c>
      <c r="F2663" s="2" t="s">
        <v>1186</v>
      </c>
      <c r="G2663" s="2" t="s">
        <v>6501</v>
      </c>
    </row>
    <row r="2664" customFormat="false" ht="15" hidden="false" customHeight="false" outlineLevel="0" collapsed="false">
      <c r="A2664" s="2" t="s">
        <v>6502</v>
      </c>
      <c r="B2664" s="2" t="s">
        <v>240</v>
      </c>
      <c r="C2664" s="2" t="s">
        <v>6071</v>
      </c>
      <c r="D2664" s="2" t="s">
        <v>50</v>
      </c>
      <c r="E2664" s="2" t="s">
        <v>1194</v>
      </c>
      <c r="F2664" s="2" t="s">
        <v>1186</v>
      </c>
      <c r="G2664" s="2" t="s">
        <v>6503</v>
      </c>
    </row>
    <row r="2665" customFormat="false" ht="15" hidden="false" customHeight="false" outlineLevel="0" collapsed="false">
      <c r="A2665" s="2" t="s">
        <v>6504</v>
      </c>
      <c r="B2665" s="2" t="s">
        <v>240</v>
      </c>
      <c r="C2665" s="2" t="s">
        <v>6071</v>
      </c>
      <c r="D2665" s="2" t="s">
        <v>50</v>
      </c>
      <c r="E2665" s="2" t="s">
        <v>1194</v>
      </c>
      <c r="F2665" s="2" t="s">
        <v>1186</v>
      </c>
      <c r="G2665" s="2" t="s">
        <v>6505</v>
      </c>
    </row>
    <row r="2666" customFormat="false" ht="15" hidden="false" customHeight="false" outlineLevel="0" collapsed="false">
      <c r="A2666" s="2" t="s">
        <v>6506</v>
      </c>
      <c r="B2666" s="2" t="s">
        <v>240</v>
      </c>
      <c r="C2666" s="2" t="s">
        <v>6071</v>
      </c>
      <c r="D2666" s="2" t="s">
        <v>50</v>
      </c>
      <c r="E2666" s="2" t="s">
        <v>1194</v>
      </c>
      <c r="F2666" s="2" t="s">
        <v>1186</v>
      </c>
      <c r="G2666" s="2" t="s">
        <v>6507</v>
      </c>
    </row>
    <row r="2667" customFormat="false" ht="15" hidden="false" customHeight="false" outlineLevel="0" collapsed="false">
      <c r="A2667" s="2" t="s">
        <v>6508</v>
      </c>
      <c r="B2667" s="2" t="s">
        <v>240</v>
      </c>
      <c r="C2667" s="2" t="s">
        <v>6071</v>
      </c>
      <c r="D2667" s="2" t="s">
        <v>50</v>
      </c>
      <c r="E2667" s="2" t="s">
        <v>1194</v>
      </c>
      <c r="F2667" s="2" t="s">
        <v>1186</v>
      </c>
      <c r="G2667" s="2" t="s">
        <v>6509</v>
      </c>
    </row>
    <row r="2668" customFormat="false" ht="15" hidden="false" customHeight="false" outlineLevel="0" collapsed="false">
      <c r="A2668" s="2" t="s">
        <v>6510</v>
      </c>
      <c r="B2668" s="2" t="s">
        <v>240</v>
      </c>
      <c r="C2668" s="2" t="s">
        <v>6071</v>
      </c>
      <c r="D2668" s="2" t="s">
        <v>50</v>
      </c>
      <c r="E2668" s="2" t="s">
        <v>1194</v>
      </c>
      <c r="F2668" s="2" t="s">
        <v>1186</v>
      </c>
      <c r="G2668" s="2" t="s">
        <v>6511</v>
      </c>
    </row>
    <row r="2669" customFormat="false" ht="15" hidden="false" customHeight="false" outlineLevel="0" collapsed="false">
      <c r="A2669" s="2" t="s">
        <v>6512</v>
      </c>
      <c r="B2669" s="2" t="s">
        <v>240</v>
      </c>
      <c r="C2669" s="2" t="s">
        <v>6071</v>
      </c>
      <c r="D2669" s="2" t="s">
        <v>50</v>
      </c>
      <c r="E2669" s="2" t="s">
        <v>1194</v>
      </c>
      <c r="F2669" s="2" t="s">
        <v>1186</v>
      </c>
      <c r="G2669" s="2" t="s">
        <v>6513</v>
      </c>
    </row>
    <row r="2670" customFormat="false" ht="15" hidden="false" customHeight="false" outlineLevel="0" collapsed="false">
      <c r="A2670" s="2" t="s">
        <v>6514</v>
      </c>
      <c r="B2670" s="2" t="s">
        <v>240</v>
      </c>
      <c r="C2670" s="2" t="s">
        <v>6071</v>
      </c>
      <c r="D2670" s="2" t="s">
        <v>50</v>
      </c>
      <c r="E2670" s="2" t="s">
        <v>1194</v>
      </c>
      <c r="F2670" s="2" t="s">
        <v>1186</v>
      </c>
      <c r="G2670" s="2" t="s">
        <v>6515</v>
      </c>
    </row>
    <row r="2671" customFormat="false" ht="15" hidden="false" customHeight="false" outlineLevel="0" collapsed="false">
      <c r="A2671" s="2" t="s">
        <v>6516</v>
      </c>
      <c r="B2671" s="2" t="s">
        <v>240</v>
      </c>
      <c r="C2671" s="2" t="s">
        <v>6071</v>
      </c>
      <c r="D2671" s="2" t="s">
        <v>50</v>
      </c>
      <c r="E2671" s="2" t="s">
        <v>1194</v>
      </c>
      <c r="F2671" s="2" t="s">
        <v>1186</v>
      </c>
      <c r="G2671" s="2" t="s">
        <v>6517</v>
      </c>
    </row>
    <row r="2672" customFormat="false" ht="15" hidden="false" customHeight="false" outlineLevel="0" collapsed="false">
      <c r="A2672" s="2" t="s">
        <v>6518</v>
      </c>
      <c r="B2672" s="2" t="s">
        <v>240</v>
      </c>
      <c r="C2672" s="2" t="s">
        <v>6071</v>
      </c>
      <c r="D2672" s="2" t="s">
        <v>50</v>
      </c>
      <c r="E2672" s="2" t="s">
        <v>1194</v>
      </c>
      <c r="F2672" s="2" t="s">
        <v>1186</v>
      </c>
      <c r="G2672" s="2" t="s">
        <v>6519</v>
      </c>
    </row>
    <row r="2673" customFormat="false" ht="15" hidden="false" customHeight="false" outlineLevel="0" collapsed="false">
      <c r="A2673" s="2" t="s">
        <v>6520</v>
      </c>
      <c r="B2673" s="2" t="s">
        <v>240</v>
      </c>
      <c r="C2673" s="2" t="s">
        <v>6071</v>
      </c>
      <c r="D2673" s="2" t="s">
        <v>50</v>
      </c>
      <c r="E2673" s="2" t="s">
        <v>1194</v>
      </c>
      <c r="F2673" s="2" t="s">
        <v>1186</v>
      </c>
      <c r="G2673" s="2" t="s">
        <v>6521</v>
      </c>
    </row>
    <row r="2674" customFormat="false" ht="15" hidden="false" customHeight="false" outlineLevel="0" collapsed="false">
      <c r="A2674" s="2" t="s">
        <v>6522</v>
      </c>
      <c r="B2674" s="2" t="s">
        <v>240</v>
      </c>
      <c r="C2674" s="2" t="s">
        <v>6071</v>
      </c>
      <c r="D2674" s="2" t="s">
        <v>50</v>
      </c>
      <c r="E2674" s="2" t="s">
        <v>1194</v>
      </c>
      <c r="F2674" s="2" t="s">
        <v>1186</v>
      </c>
      <c r="G2674" s="2" t="s">
        <v>6523</v>
      </c>
    </row>
    <row r="2675" customFormat="false" ht="15" hidden="false" customHeight="false" outlineLevel="0" collapsed="false">
      <c r="A2675" s="2" t="s">
        <v>6524</v>
      </c>
      <c r="B2675" s="2" t="s">
        <v>240</v>
      </c>
      <c r="C2675" s="2" t="s">
        <v>6071</v>
      </c>
      <c r="D2675" s="2" t="s">
        <v>50</v>
      </c>
      <c r="E2675" s="2" t="s">
        <v>1194</v>
      </c>
      <c r="F2675" s="2" t="s">
        <v>1186</v>
      </c>
      <c r="G2675" s="2" t="s">
        <v>6525</v>
      </c>
    </row>
    <row r="2676" customFormat="false" ht="15" hidden="false" customHeight="false" outlineLevel="0" collapsed="false">
      <c r="A2676" s="2" t="s">
        <v>6526</v>
      </c>
      <c r="B2676" s="2" t="s">
        <v>240</v>
      </c>
      <c r="C2676" s="2" t="s">
        <v>6071</v>
      </c>
      <c r="D2676" s="2" t="s">
        <v>50</v>
      </c>
      <c r="E2676" s="2" t="s">
        <v>1194</v>
      </c>
      <c r="F2676" s="2" t="s">
        <v>1186</v>
      </c>
      <c r="G2676" s="2" t="s">
        <v>6527</v>
      </c>
    </row>
    <row r="2677" customFormat="false" ht="15" hidden="false" customHeight="false" outlineLevel="0" collapsed="false">
      <c r="A2677" s="2" t="s">
        <v>6528</v>
      </c>
      <c r="B2677" s="2" t="s">
        <v>240</v>
      </c>
      <c r="C2677" s="2" t="s">
        <v>6071</v>
      </c>
      <c r="D2677" s="2" t="s">
        <v>50</v>
      </c>
      <c r="E2677" s="2" t="s">
        <v>1194</v>
      </c>
      <c r="F2677" s="2" t="s">
        <v>1186</v>
      </c>
      <c r="G2677" s="2" t="s">
        <v>6529</v>
      </c>
    </row>
    <row r="2678" customFormat="false" ht="15" hidden="false" customHeight="false" outlineLevel="0" collapsed="false">
      <c r="A2678" s="2" t="s">
        <v>6530</v>
      </c>
      <c r="B2678" s="2" t="s">
        <v>240</v>
      </c>
      <c r="C2678" s="2" t="s">
        <v>6071</v>
      </c>
      <c r="D2678" s="2" t="s">
        <v>50</v>
      </c>
      <c r="E2678" s="2" t="s">
        <v>1194</v>
      </c>
      <c r="F2678" s="2" t="s">
        <v>1186</v>
      </c>
      <c r="G2678" s="2" t="s">
        <v>6531</v>
      </c>
    </row>
    <row r="2679" customFormat="false" ht="15" hidden="false" customHeight="false" outlineLevel="0" collapsed="false">
      <c r="A2679" s="2" t="s">
        <v>6532</v>
      </c>
      <c r="B2679" s="2" t="s">
        <v>240</v>
      </c>
      <c r="C2679" s="2" t="s">
        <v>6071</v>
      </c>
      <c r="D2679" s="2" t="s">
        <v>50</v>
      </c>
      <c r="E2679" s="2" t="s">
        <v>1194</v>
      </c>
      <c r="F2679" s="2" t="s">
        <v>1186</v>
      </c>
      <c r="G2679" s="2" t="s">
        <v>6533</v>
      </c>
    </row>
    <row r="2680" customFormat="false" ht="15" hidden="false" customHeight="false" outlineLevel="0" collapsed="false">
      <c r="A2680" s="2" t="s">
        <v>6534</v>
      </c>
      <c r="B2680" s="2" t="s">
        <v>240</v>
      </c>
      <c r="C2680" s="2" t="s">
        <v>6071</v>
      </c>
      <c r="D2680" s="2" t="s">
        <v>50</v>
      </c>
      <c r="E2680" s="2" t="s">
        <v>1194</v>
      </c>
      <c r="F2680" s="2" t="s">
        <v>1186</v>
      </c>
      <c r="G2680" s="2" t="s">
        <v>6535</v>
      </c>
    </row>
    <row r="2681" customFormat="false" ht="15" hidden="false" customHeight="false" outlineLevel="0" collapsed="false">
      <c r="A2681" s="2" t="s">
        <v>6536</v>
      </c>
      <c r="B2681" s="2" t="s">
        <v>240</v>
      </c>
      <c r="C2681" s="2" t="s">
        <v>6071</v>
      </c>
      <c r="D2681" s="2" t="s">
        <v>50</v>
      </c>
      <c r="E2681" s="2" t="s">
        <v>1194</v>
      </c>
      <c r="F2681" s="2" t="s">
        <v>1186</v>
      </c>
      <c r="G2681" s="2" t="s">
        <v>6537</v>
      </c>
    </row>
    <row r="2682" customFormat="false" ht="15" hidden="false" customHeight="false" outlineLevel="0" collapsed="false">
      <c r="A2682" s="2" t="s">
        <v>6538</v>
      </c>
      <c r="B2682" s="2" t="s">
        <v>240</v>
      </c>
      <c r="C2682" s="2" t="s">
        <v>6071</v>
      </c>
      <c r="D2682" s="2" t="s">
        <v>50</v>
      </c>
      <c r="E2682" s="2" t="s">
        <v>1194</v>
      </c>
      <c r="F2682" s="2" t="s">
        <v>1186</v>
      </c>
      <c r="G2682" s="2" t="s">
        <v>6539</v>
      </c>
    </row>
    <row r="2683" customFormat="false" ht="15" hidden="false" customHeight="false" outlineLevel="0" collapsed="false">
      <c r="A2683" s="2" t="s">
        <v>6540</v>
      </c>
      <c r="B2683" s="2" t="s">
        <v>240</v>
      </c>
      <c r="C2683" s="2" t="s">
        <v>6071</v>
      </c>
      <c r="D2683" s="2" t="s">
        <v>50</v>
      </c>
      <c r="E2683" s="2" t="s">
        <v>1194</v>
      </c>
      <c r="F2683" s="2" t="s">
        <v>1186</v>
      </c>
      <c r="G2683" s="2" t="s">
        <v>6541</v>
      </c>
    </row>
    <row r="2684" customFormat="false" ht="15" hidden="false" customHeight="false" outlineLevel="0" collapsed="false">
      <c r="A2684" s="2" t="s">
        <v>6542</v>
      </c>
      <c r="B2684" s="2" t="s">
        <v>240</v>
      </c>
      <c r="C2684" s="2" t="s">
        <v>6071</v>
      </c>
      <c r="D2684" s="2" t="s">
        <v>50</v>
      </c>
      <c r="E2684" s="2" t="s">
        <v>1194</v>
      </c>
      <c r="F2684" s="2" t="s">
        <v>1186</v>
      </c>
      <c r="G2684" s="2" t="s">
        <v>6543</v>
      </c>
    </row>
    <row r="2685" customFormat="false" ht="15" hidden="false" customHeight="false" outlineLevel="0" collapsed="false">
      <c r="A2685" s="2" t="s">
        <v>6544</v>
      </c>
      <c r="B2685" s="2" t="s">
        <v>240</v>
      </c>
      <c r="C2685" s="2" t="s">
        <v>6071</v>
      </c>
      <c r="D2685" s="2" t="s">
        <v>50</v>
      </c>
      <c r="E2685" s="2" t="s">
        <v>1194</v>
      </c>
      <c r="F2685" s="2" t="s">
        <v>1186</v>
      </c>
      <c r="G2685" s="2" t="s">
        <v>6545</v>
      </c>
    </row>
    <row r="2686" customFormat="false" ht="15" hidden="false" customHeight="false" outlineLevel="0" collapsed="false">
      <c r="A2686" s="2" t="s">
        <v>6546</v>
      </c>
      <c r="B2686" s="2" t="s">
        <v>240</v>
      </c>
      <c r="C2686" s="2" t="s">
        <v>6071</v>
      </c>
      <c r="D2686" s="2" t="s">
        <v>50</v>
      </c>
      <c r="E2686" s="2" t="s">
        <v>1194</v>
      </c>
      <c r="F2686" s="2" t="s">
        <v>1186</v>
      </c>
      <c r="G2686" s="2" t="s">
        <v>6547</v>
      </c>
    </row>
    <row r="2687" customFormat="false" ht="15" hidden="false" customHeight="false" outlineLevel="0" collapsed="false">
      <c r="A2687" s="2" t="s">
        <v>6548</v>
      </c>
      <c r="B2687" s="2" t="s">
        <v>240</v>
      </c>
      <c r="C2687" s="2" t="s">
        <v>6071</v>
      </c>
      <c r="D2687" s="2" t="s">
        <v>50</v>
      </c>
      <c r="E2687" s="2" t="s">
        <v>1194</v>
      </c>
      <c r="F2687" s="2" t="s">
        <v>1186</v>
      </c>
      <c r="G2687" s="2" t="s">
        <v>6549</v>
      </c>
    </row>
    <row r="2688" customFormat="false" ht="15" hidden="false" customHeight="false" outlineLevel="0" collapsed="false">
      <c r="A2688" s="2" t="s">
        <v>6550</v>
      </c>
      <c r="B2688" s="2" t="s">
        <v>240</v>
      </c>
      <c r="C2688" s="2" t="s">
        <v>6071</v>
      </c>
      <c r="D2688" s="2" t="s">
        <v>50</v>
      </c>
      <c r="E2688" s="2" t="s">
        <v>1194</v>
      </c>
      <c r="F2688" s="2" t="s">
        <v>1186</v>
      </c>
      <c r="G2688" s="2" t="s">
        <v>6551</v>
      </c>
    </row>
    <row r="2689" customFormat="false" ht="15" hidden="false" customHeight="false" outlineLevel="0" collapsed="false">
      <c r="A2689" s="2" t="s">
        <v>6552</v>
      </c>
      <c r="B2689" s="2" t="s">
        <v>240</v>
      </c>
      <c r="C2689" s="2" t="s">
        <v>6071</v>
      </c>
      <c r="D2689" s="2" t="s">
        <v>50</v>
      </c>
      <c r="E2689" s="2" t="s">
        <v>1194</v>
      </c>
      <c r="F2689" s="2" t="s">
        <v>1186</v>
      </c>
      <c r="G2689" s="2" t="s">
        <v>6553</v>
      </c>
    </row>
    <row r="2690" customFormat="false" ht="15" hidden="false" customHeight="false" outlineLevel="0" collapsed="false">
      <c r="A2690" s="2" t="s">
        <v>6554</v>
      </c>
      <c r="B2690" s="2" t="s">
        <v>240</v>
      </c>
      <c r="C2690" s="2" t="s">
        <v>6071</v>
      </c>
      <c r="D2690" s="2" t="s">
        <v>50</v>
      </c>
      <c r="E2690" s="2" t="s">
        <v>1194</v>
      </c>
      <c r="F2690" s="2" t="s">
        <v>1186</v>
      </c>
      <c r="G2690" s="2" t="s">
        <v>6555</v>
      </c>
    </row>
    <row r="2691" customFormat="false" ht="15" hidden="false" customHeight="false" outlineLevel="0" collapsed="false">
      <c r="A2691" s="2" t="s">
        <v>6556</v>
      </c>
      <c r="B2691" s="2" t="s">
        <v>240</v>
      </c>
      <c r="C2691" s="2" t="s">
        <v>6071</v>
      </c>
      <c r="D2691" s="2" t="s">
        <v>50</v>
      </c>
      <c r="E2691" s="2" t="s">
        <v>1194</v>
      </c>
      <c r="F2691" s="2" t="s">
        <v>1186</v>
      </c>
      <c r="G2691" s="2" t="s">
        <v>6557</v>
      </c>
    </row>
    <row r="2692" customFormat="false" ht="15" hidden="false" customHeight="false" outlineLevel="0" collapsed="false">
      <c r="A2692" s="2" t="s">
        <v>6558</v>
      </c>
      <c r="B2692" s="2" t="s">
        <v>240</v>
      </c>
      <c r="C2692" s="2" t="s">
        <v>6071</v>
      </c>
      <c r="D2692" s="2" t="s">
        <v>50</v>
      </c>
      <c r="E2692" s="2" t="s">
        <v>1194</v>
      </c>
      <c r="F2692" s="2" t="s">
        <v>1186</v>
      </c>
      <c r="G2692" s="2" t="s">
        <v>6559</v>
      </c>
    </row>
    <row r="2693" customFormat="false" ht="15" hidden="false" customHeight="false" outlineLevel="0" collapsed="false">
      <c r="A2693" s="2" t="s">
        <v>6560</v>
      </c>
      <c r="B2693" s="2" t="s">
        <v>240</v>
      </c>
      <c r="C2693" s="2" t="s">
        <v>6071</v>
      </c>
      <c r="D2693" s="2" t="s">
        <v>50</v>
      </c>
      <c r="E2693" s="2" t="s">
        <v>1194</v>
      </c>
      <c r="F2693" s="2" t="s">
        <v>1186</v>
      </c>
      <c r="G2693" s="2" t="s">
        <v>6561</v>
      </c>
    </row>
    <row r="2694" customFormat="false" ht="15" hidden="false" customHeight="false" outlineLevel="0" collapsed="false">
      <c r="A2694" s="2" t="s">
        <v>6562</v>
      </c>
      <c r="B2694" s="2" t="s">
        <v>240</v>
      </c>
      <c r="C2694" s="2" t="s">
        <v>6071</v>
      </c>
      <c r="D2694" s="2" t="s">
        <v>50</v>
      </c>
      <c r="E2694" s="2" t="s">
        <v>1194</v>
      </c>
      <c r="F2694" s="2" t="s">
        <v>1186</v>
      </c>
      <c r="G2694" s="2" t="s">
        <v>6563</v>
      </c>
    </row>
    <row r="2695" customFormat="false" ht="15" hidden="false" customHeight="false" outlineLevel="0" collapsed="false">
      <c r="A2695" s="2" t="s">
        <v>6564</v>
      </c>
      <c r="B2695" s="2" t="s">
        <v>240</v>
      </c>
      <c r="C2695" s="2" t="s">
        <v>6071</v>
      </c>
      <c r="D2695" s="2" t="s">
        <v>50</v>
      </c>
      <c r="E2695" s="2" t="s">
        <v>1194</v>
      </c>
      <c r="F2695" s="2" t="s">
        <v>1186</v>
      </c>
      <c r="G2695" s="2" t="s">
        <v>6565</v>
      </c>
    </row>
    <row r="2696" customFormat="false" ht="15" hidden="false" customHeight="false" outlineLevel="0" collapsed="false">
      <c r="A2696" s="2" t="s">
        <v>6566</v>
      </c>
      <c r="B2696" s="2" t="s">
        <v>240</v>
      </c>
      <c r="C2696" s="2" t="s">
        <v>6071</v>
      </c>
      <c r="D2696" s="2" t="s">
        <v>50</v>
      </c>
      <c r="E2696" s="2" t="s">
        <v>1194</v>
      </c>
      <c r="F2696" s="2" t="s">
        <v>1186</v>
      </c>
      <c r="G2696" s="2" t="s">
        <v>6567</v>
      </c>
    </row>
    <row r="2697" customFormat="false" ht="15" hidden="false" customHeight="false" outlineLevel="0" collapsed="false">
      <c r="A2697" s="2" t="s">
        <v>6568</v>
      </c>
      <c r="B2697" s="2" t="s">
        <v>240</v>
      </c>
      <c r="C2697" s="2" t="s">
        <v>6071</v>
      </c>
      <c r="D2697" s="2" t="s">
        <v>50</v>
      </c>
      <c r="E2697" s="2" t="s">
        <v>1194</v>
      </c>
      <c r="F2697" s="2" t="s">
        <v>1186</v>
      </c>
      <c r="G2697" s="2" t="s">
        <v>6569</v>
      </c>
    </row>
    <row r="2698" customFormat="false" ht="15" hidden="false" customHeight="false" outlineLevel="0" collapsed="false">
      <c r="A2698" s="2" t="s">
        <v>6570</v>
      </c>
      <c r="B2698" s="2" t="s">
        <v>240</v>
      </c>
      <c r="C2698" s="2" t="s">
        <v>6071</v>
      </c>
      <c r="D2698" s="2" t="s">
        <v>50</v>
      </c>
      <c r="E2698" s="2" t="s">
        <v>1194</v>
      </c>
      <c r="F2698" s="2" t="s">
        <v>1186</v>
      </c>
      <c r="G2698" s="2" t="s">
        <v>6571</v>
      </c>
    </row>
    <row r="2699" customFormat="false" ht="15" hidden="false" customHeight="false" outlineLevel="0" collapsed="false">
      <c r="A2699" s="2" t="s">
        <v>6572</v>
      </c>
      <c r="B2699" s="2" t="s">
        <v>240</v>
      </c>
      <c r="C2699" s="2" t="s">
        <v>6071</v>
      </c>
      <c r="D2699" s="2" t="s">
        <v>50</v>
      </c>
      <c r="E2699" s="2" t="s">
        <v>1194</v>
      </c>
      <c r="F2699" s="2" t="s">
        <v>1186</v>
      </c>
      <c r="G2699" s="2" t="s">
        <v>6573</v>
      </c>
    </row>
    <row r="2700" customFormat="false" ht="15" hidden="false" customHeight="false" outlineLevel="0" collapsed="false">
      <c r="A2700" s="2" t="s">
        <v>6574</v>
      </c>
      <c r="B2700" s="2" t="s">
        <v>240</v>
      </c>
      <c r="C2700" s="2" t="s">
        <v>6071</v>
      </c>
      <c r="D2700" s="2" t="s">
        <v>50</v>
      </c>
      <c r="E2700" s="2" t="s">
        <v>1194</v>
      </c>
      <c r="F2700" s="2" t="s">
        <v>1186</v>
      </c>
      <c r="G2700" s="2" t="s">
        <v>6575</v>
      </c>
    </row>
    <row r="2701" customFormat="false" ht="15" hidden="false" customHeight="false" outlineLevel="0" collapsed="false">
      <c r="A2701" s="2" t="s">
        <v>6576</v>
      </c>
      <c r="B2701" s="2" t="s">
        <v>240</v>
      </c>
      <c r="C2701" s="2" t="s">
        <v>6071</v>
      </c>
      <c r="D2701" s="2" t="s">
        <v>50</v>
      </c>
      <c r="E2701" s="2" t="s">
        <v>1194</v>
      </c>
      <c r="F2701" s="2" t="s">
        <v>1186</v>
      </c>
      <c r="G2701" s="2" t="s">
        <v>6577</v>
      </c>
    </row>
    <row r="2702" customFormat="false" ht="15" hidden="false" customHeight="false" outlineLevel="0" collapsed="false">
      <c r="A2702" s="2" t="s">
        <v>6578</v>
      </c>
      <c r="B2702" s="2" t="s">
        <v>240</v>
      </c>
      <c r="C2702" s="2" t="s">
        <v>6071</v>
      </c>
      <c r="D2702" s="2" t="s">
        <v>50</v>
      </c>
      <c r="E2702" s="2" t="s">
        <v>1194</v>
      </c>
      <c r="F2702" s="2" t="s">
        <v>1186</v>
      </c>
      <c r="G2702" s="2" t="s">
        <v>6579</v>
      </c>
    </row>
    <row r="2703" customFormat="false" ht="15" hidden="false" customHeight="false" outlineLevel="0" collapsed="false">
      <c r="A2703" s="2" t="s">
        <v>6580</v>
      </c>
      <c r="B2703" s="2" t="s">
        <v>240</v>
      </c>
      <c r="C2703" s="2" t="s">
        <v>6071</v>
      </c>
      <c r="D2703" s="2" t="s">
        <v>50</v>
      </c>
      <c r="E2703" s="2" t="s">
        <v>1194</v>
      </c>
      <c r="F2703" s="2" t="s">
        <v>1186</v>
      </c>
      <c r="G2703" s="2" t="s">
        <v>6581</v>
      </c>
    </row>
    <row r="2704" customFormat="false" ht="15" hidden="false" customHeight="false" outlineLevel="0" collapsed="false">
      <c r="A2704" s="2" t="s">
        <v>6582</v>
      </c>
      <c r="B2704" s="2" t="s">
        <v>240</v>
      </c>
      <c r="C2704" s="2" t="s">
        <v>6071</v>
      </c>
      <c r="D2704" s="2" t="s">
        <v>50</v>
      </c>
      <c r="E2704" s="2" t="s">
        <v>1194</v>
      </c>
      <c r="F2704" s="2" t="s">
        <v>1186</v>
      </c>
      <c r="G2704" s="2" t="s">
        <v>6583</v>
      </c>
    </row>
    <row r="2705" customFormat="false" ht="15" hidden="false" customHeight="false" outlineLevel="0" collapsed="false">
      <c r="A2705" s="2" t="s">
        <v>6584</v>
      </c>
      <c r="B2705" s="2" t="s">
        <v>240</v>
      </c>
      <c r="C2705" s="2" t="s">
        <v>6071</v>
      </c>
      <c r="D2705" s="2" t="s">
        <v>50</v>
      </c>
      <c r="E2705" s="2" t="s">
        <v>1194</v>
      </c>
      <c r="F2705" s="2" t="s">
        <v>1186</v>
      </c>
      <c r="G2705" s="2" t="s">
        <v>6585</v>
      </c>
    </row>
    <row r="2706" customFormat="false" ht="15" hidden="false" customHeight="false" outlineLevel="0" collapsed="false">
      <c r="A2706" s="2" t="s">
        <v>6586</v>
      </c>
      <c r="B2706" s="2" t="s">
        <v>240</v>
      </c>
      <c r="C2706" s="2" t="s">
        <v>6071</v>
      </c>
      <c r="D2706" s="2" t="s">
        <v>50</v>
      </c>
      <c r="E2706" s="2" t="s">
        <v>1194</v>
      </c>
      <c r="F2706" s="2" t="s">
        <v>1186</v>
      </c>
      <c r="G2706" s="2" t="s">
        <v>6587</v>
      </c>
    </row>
    <row r="2707" customFormat="false" ht="15" hidden="false" customHeight="false" outlineLevel="0" collapsed="false">
      <c r="A2707" s="2" t="s">
        <v>6588</v>
      </c>
      <c r="B2707" s="2" t="s">
        <v>240</v>
      </c>
      <c r="C2707" s="2" t="s">
        <v>6071</v>
      </c>
      <c r="D2707" s="2" t="s">
        <v>50</v>
      </c>
      <c r="E2707" s="2" t="s">
        <v>1194</v>
      </c>
      <c r="F2707" s="2" t="s">
        <v>1186</v>
      </c>
      <c r="G2707" s="2" t="s">
        <v>6589</v>
      </c>
    </row>
    <row r="2708" customFormat="false" ht="15" hidden="false" customHeight="false" outlineLevel="0" collapsed="false">
      <c r="A2708" s="2" t="s">
        <v>6590</v>
      </c>
      <c r="B2708" s="2" t="s">
        <v>240</v>
      </c>
      <c r="C2708" s="2" t="s">
        <v>6071</v>
      </c>
      <c r="D2708" s="2" t="s">
        <v>50</v>
      </c>
      <c r="E2708" s="2" t="s">
        <v>1194</v>
      </c>
      <c r="F2708" s="2" t="s">
        <v>1186</v>
      </c>
      <c r="G2708" s="2" t="s">
        <v>6591</v>
      </c>
    </row>
    <row r="2709" customFormat="false" ht="15" hidden="false" customHeight="false" outlineLevel="0" collapsed="false">
      <c r="A2709" s="2" t="s">
        <v>6592</v>
      </c>
      <c r="B2709" s="2" t="s">
        <v>240</v>
      </c>
      <c r="C2709" s="2" t="s">
        <v>6071</v>
      </c>
      <c r="D2709" s="2" t="s">
        <v>50</v>
      </c>
      <c r="E2709" s="2" t="s">
        <v>1194</v>
      </c>
      <c r="F2709" s="2" t="s">
        <v>1186</v>
      </c>
      <c r="G2709" s="2" t="s">
        <v>6593</v>
      </c>
    </row>
    <row r="2710" customFormat="false" ht="15" hidden="false" customHeight="false" outlineLevel="0" collapsed="false">
      <c r="A2710" s="2" t="s">
        <v>6594</v>
      </c>
      <c r="B2710" s="2" t="s">
        <v>240</v>
      </c>
      <c r="C2710" s="2" t="s">
        <v>2732</v>
      </c>
      <c r="D2710" s="2" t="s">
        <v>50</v>
      </c>
      <c r="E2710" s="2" t="s">
        <v>2733</v>
      </c>
      <c r="F2710" s="2" t="s">
        <v>1186</v>
      </c>
      <c r="G2710" s="2" t="s">
        <v>6595</v>
      </c>
    </row>
    <row r="2711" customFormat="false" ht="15" hidden="false" customHeight="false" outlineLevel="0" collapsed="false">
      <c r="A2711" s="2" t="s">
        <v>6596</v>
      </c>
      <c r="B2711" s="2" t="s">
        <v>240</v>
      </c>
      <c r="C2711" s="2" t="s">
        <v>2732</v>
      </c>
      <c r="D2711" s="2" t="s">
        <v>50</v>
      </c>
      <c r="E2711" s="2" t="s">
        <v>2733</v>
      </c>
      <c r="F2711" s="2" t="s">
        <v>1186</v>
      </c>
      <c r="G2711" s="2" t="s">
        <v>6597</v>
      </c>
    </row>
    <row r="2712" customFormat="false" ht="15" hidden="false" customHeight="false" outlineLevel="0" collapsed="false">
      <c r="A2712" s="2" t="s">
        <v>6598</v>
      </c>
      <c r="B2712" s="2" t="s">
        <v>240</v>
      </c>
      <c r="C2712" s="2" t="s">
        <v>5801</v>
      </c>
      <c r="D2712" s="2" t="s">
        <v>48</v>
      </c>
      <c r="E2712" s="2" t="s">
        <v>1185</v>
      </c>
      <c r="F2712" s="2" t="s">
        <v>1186</v>
      </c>
      <c r="G2712" s="2" t="s">
        <v>5804</v>
      </c>
    </row>
    <row r="2713" customFormat="false" ht="15" hidden="false" customHeight="false" outlineLevel="0" collapsed="false">
      <c r="A2713" s="2" t="s">
        <v>6599</v>
      </c>
      <c r="B2713" s="2" t="s">
        <v>240</v>
      </c>
      <c r="C2713" s="2" t="s">
        <v>5801</v>
      </c>
      <c r="D2713" s="2" t="s">
        <v>48</v>
      </c>
      <c r="E2713" s="2" t="s">
        <v>1185</v>
      </c>
      <c r="F2713" s="2" t="s">
        <v>1186</v>
      </c>
      <c r="G2713" s="2" t="s">
        <v>5804</v>
      </c>
    </row>
    <row r="2714" customFormat="false" ht="15" hidden="false" customHeight="false" outlineLevel="0" collapsed="false">
      <c r="A2714" s="2" t="s">
        <v>6600</v>
      </c>
      <c r="B2714" s="2" t="s">
        <v>240</v>
      </c>
      <c r="C2714" s="2" t="s">
        <v>5801</v>
      </c>
      <c r="D2714" s="2" t="s">
        <v>48</v>
      </c>
      <c r="E2714" s="2" t="s">
        <v>1185</v>
      </c>
      <c r="F2714" s="2" t="s">
        <v>1186</v>
      </c>
      <c r="G2714" s="2" t="s">
        <v>5804</v>
      </c>
    </row>
    <row r="2715" customFormat="false" ht="15" hidden="false" customHeight="false" outlineLevel="0" collapsed="false">
      <c r="A2715" s="2" t="s">
        <v>6601</v>
      </c>
      <c r="B2715" s="2" t="s">
        <v>240</v>
      </c>
      <c r="C2715" s="2" t="s">
        <v>5801</v>
      </c>
      <c r="D2715" s="2" t="s">
        <v>48</v>
      </c>
      <c r="E2715" s="2" t="s">
        <v>1185</v>
      </c>
      <c r="F2715" s="2" t="s">
        <v>1186</v>
      </c>
      <c r="G2715" s="2" t="s">
        <v>5804</v>
      </c>
    </row>
    <row r="2716" customFormat="false" ht="15" hidden="false" customHeight="false" outlineLevel="0" collapsed="false">
      <c r="A2716" s="2" t="s">
        <v>6602</v>
      </c>
      <c r="B2716" s="2" t="s">
        <v>240</v>
      </c>
      <c r="C2716" s="2" t="s">
        <v>5801</v>
      </c>
      <c r="D2716" s="2" t="s">
        <v>48</v>
      </c>
      <c r="E2716" s="2" t="s">
        <v>1185</v>
      </c>
      <c r="F2716" s="2" t="s">
        <v>1186</v>
      </c>
      <c r="G2716" s="2" t="s">
        <v>6603</v>
      </c>
    </row>
    <row r="2717" customFormat="false" ht="15" hidden="false" customHeight="false" outlineLevel="0" collapsed="false">
      <c r="A2717" s="2" t="s">
        <v>6604</v>
      </c>
      <c r="B2717" s="2" t="s">
        <v>240</v>
      </c>
      <c r="C2717" s="2" t="s">
        <v>5801</v>
      </c>
      <c r="D2717" s="2" t="s">
        <v>48</v>
      </c>
      <c r="E2717" s="2" t="s">
        <v>1185</v>
      </c>
      <c r="F2717" s="2" t="s">
        <v>1186</v>
      </c>
      <c r="G2717" s="2" t="s">
        <v>5804</v>
      </c>
    </row>
    <row r="2718" customFormat="false" ht="15" hidden="false" customHeight="false" outlineLevel="0" collapsed="false">
      <c r="A2718" s="2" t="s">
        <v>6605</v>
      </c>
      <c r="B2718" s="2" t="s">
        <v>240</v>
      </c>
      <c r="C2718" s="2" t="s">
        <v>5801</v>
      </c>
      <c r="D2718" s="2" t="s">
        <v>48</v>
      </c>
      <c r="E2718" s="2" t="s">
        <v>1185</v>
      </c>
      <c r="F2718" s="2" t="s">
        <v>1186</v>
      </c>
      <c r="G2718" s="2" t="s">
        <v>5804</v>
      </c>
    </row>
    <row r="2719" customFormat="false" ht="15" hidden="false" customHeight="false" outlineLevel="0" collapsed="false">
      <c r="A2719" s="2" t="s">
        <v>6606</v>
      </c>
      <c r="B2719" s="2" t="s">
        <v>240</v>
      </c>
      <c r="C2719" s="2" t="s">
        <v>5801</v>
      </c>
      <c r="D2719" s="2" t="s">
        <v>48</v>
      </c>
      <c r="E2719" s="2" t="s">
        <v>1185</v>
      </c>
      <c r="F2719" s="2" t="s">
        <v>1186</v>
      </c>
      <c r="G2719" s="2" t="s">
        <v>5804</v>
      </c>
    </row>
    <row r="2720" customFormat="false" ht="15" hidden="false" customHeight="false" outlineLevel="0" collapsed="false">
      <c r="A2720" s="2" t="s">
        <v>6607</v>
      </c>
      <c r="B2720" s="2" t="s">
        <v>240</v>
      </c>
      <c r="C2720" s="2" t="s">
        <v>5801</v>
      </c>
      <c r="D2720" s="2" t="s">
        <v>48</v>
      </c>
      <c r="E2720" s="2" t="s">
        <v>1185</v>
      </c>
      <c r="F2720" s="2" t="s">
        <v>1186</v>
      </c>
      <c r="G2720" s="2" t="s">
        <v>5804</v>
      </c>
    </row>
    <row r="2721" customFormat="false" ht="15" hidden="false" customHeight="false" outlineLevel="0" collapsed="false">
      <c r="A2721" s="2" t="s">
        <v>6608</v>
      </c>
      <c r="B2721" s="2" t="s">
        <v>240</v>
      </c>
      <c r="C2721" s="2" t="s">
        <v>5801</v>
      </c>
      <c r="D2721" s="2" t="s">
        <v>48</v>
      </c>
      <c r="E2721" s="2" t="s">
        <v>1185</v>
      </c>
      <c r="F2721" s="2" t="s">
        <v>1186</v>
      </c>
      <c r="G2721" s="2" t="s">
        <v>5804</v>
      </c>
    </row>
    <row r="2722" customFormat="false" ht="15" hidden="false" customHeight="false" outlineLevel="0" collapsed="false">
      <c r="A2722" s="2" t="s">
        <v>6609</v>
      </c>
      <c r="B2722" s="2" t="s">
        <v>240</v>
      </c>
      <c r="C2722" s="2" t="s">
        <v>5801</v>
      </c>
      <c r="D2722" s="2" t="s">
        <v>48</v>
      </c>
      <c r="E2722" s="2" t="s">
        <v>1185</v>
      </c>
      <c r="F2722" s="2" t="s">
        <v>1186</v>
      </c>
      <c r="G2722" s="2" t="s">
        <v>5804</v>
      </c>
    </row>
    <row r="2723" customFormat="false" ht="15" hidden="false" customHeight="false" outlineLevel="0" collapsed="false">
      <c r="A2723" s="2" t="s">
        <v>6610</v>
      </c>
      <c r="B2723" s="2" t="s">
        <v>240</v>
      </c>
      <c r="C2723" s="2" t="s">
        <v>5801</v>
      </c>
      <c r="D2723" s="2" t="s">
        <v>48</v>
      </c>
      <c r="E2723" s="2" t="s">
        <v>1185</v>
      </c>
      <c r="F2723" s="2" t="s">
        <v>1186</v>
      </c>
      <c r="G2723" s="2" t="s">
        <v>5804</v>
      </c>
    </row>
    <row r="2724" customFormat="false" ht="15" hidden="false" customHeight="false" outlineLevel="0" collapsed="false">
      <c r="A2724" s="2" t="s">
        <v>6611</v>
      </c>
      <c r="B2724" s="2" t="s">
        <v>240</v>
      </c>
      <c r="C2724" s="2" t="s">
        <v>5801</v>
      </c>
      <c r="D2724" s="2" t="s">
        <v>48</v>
      </c>
      <c r="E2724" s="2" t="s">
        <v>1185</v>
      </c>
      <c r="F2724" s="2" t="s">
        <v>1186</v>
      </c>
      <c r="G2724" s="2" t="s">
        <v>5804</v>
      </c>
    </row>
    <row r="2725" customFormat="false" ht="15" hidden="false" customHeight="false" outlineLevel="0" collapsed="false">
      <c r="A2725" s="2" t="s">
        <v>6612</v>
      </c>
      <c r="B2725" s="2" t="s">
        <v>240</v>
      </c>
      <c r="C2725" s="2" t="s">
        <v>5801</v>
      </c>
      <c r="D2725" s="2" t="s">
        <v>48</v>
      </c>
      <c r="E2725" s="2" t="s">
        <v>1185</v>
      </c>
      <c r="F2725" s="2" t="s">
        <v>1186</v>
      </c>
      <c r="G2725" s="2" t="s">
        <v>5804</v>
      </c>
    </row>
    <row r="2726" customFormat="false" ht="15" hidden="false" customHeight="false" outlineLevel="0" collapsed="false">
      <c r="A2726" s="2" t="s">
        <v>6613</v>
      </c>
      <c r="B2726" s="2" t="s">
        <v>240</v>
      </c>
      <c r="C2726" s="2" t="s">
        <v>5801</v>
      </c>
      <c r="D2726" s="2" t="s">
        <v>48</v>
      </c>
      <c r="E2726" s="2" t="s">
        <v>1185</v>
      </c>
      <c r="F2726" s="2" t="s">
        <v>1186</v>
      </c>
      <c r="G2726" s="2" t="s">
        <v>5804</v>
      </c>
    </row>
    <row r="2727" customFormat="false" ht="15" hidden="false" customHeight="false" outlineLevel="0" collapsed="false">
      <c r="A2727" s="2" t="s">
        <v>6614</v>
      </c>
      <c r="B2727" s="2" t="s">
        <v>240</v>
      </c>
      <c r="C2727" s="2" t="s">
        <v>5801</v>
      </c>
      <c r="D2727" s="2" t="s">
        <v>48</v>
      </c>
      <c r="E2727" s="2" t="s">
        <v>1185</v>
      </c>
      <c r="F2727" s="2" t="s">
        <v>1186</v>
      </c>
      <c r="G2727" s="2" t="s">
        <v>5804</v>
      </c>
    </row>
    <row r="2728" customFormat="false" ht="15" hidden="false" customHeight="false" outlineLevel="0" collapsed="false">
      <c r="A2728" s="2" t="s">
        <v>6615</v>
      </c>
      <c r="B2728" s="2" t="s">
        <v>240</v>
      </c>
      <c r="C2728" s="2" t="s">
        <v>5801</v>
      </c>
      <c r="D2728" s="2" t="s">
        <v>48</v>
      </c>
      <c r="E2728" s="2" t="s">
        <v>1185</v>
      </c>
      <c r="F2728" s="2" t="s">
        <v>1186</v>
      </c>
      <c r="G2728" s="2" t="s">
        <v>5804</v>
      </c>
    </row>
    <row r="2729" customFormat="false" ht="15" hidden="false" customHeight="false" outlineLevel="0" collapsed="false">
      <c r="A2729" s="2" t="s">
        <v>6616</v>
      </c>
      <c r="B2729" s="2" t="s">
        <v>240</v>
      </c>
      <c r="C2729" s="2" t="s">
        <v>5801</v>
      </c>
      <c r="D2729" s="2" t="s">
        <v>48</v>
      </c>
      <c r="E2729" s="2" t="s">
        <v>1185</v>
      </c>
      <c r="F2729" s="2" t="s">
        <v>1186</v>
      </c>
      <c r="G2729" s="2" t="s">
        <v>6617</v>
      </c>
    </row>
    <row r="2730" customFormat="false" ht="15" hidden="false" customHeight="false" outlineLevel="0" collapsed="false">
      <c r="A2730" s="2" t="s">
        <v>6618</v>
      </c>
      <c r="B2730" s="2" t="s">
        <v>240</v>
      </c>
      <c r="C2730" s="2" t="s">
        <v>5801</v>
      </c>
      <c r="D2730" s="2" t="s">
        <v>48</v>
      </c>
      <c r="E2730" s="2" t="s">
        <v>1185</v>
      </c>
      <c r="F2730" s="2" t="s">
        <v>1186</v>
      </c>
      <c r="G2730" s="2" t="s">
        <v>6619</v>
      </c>
    </row>
    <row r="2731" customFormat="false" ht="15" hidden="false" customHeight="false" outlineLevel="0" collapsed="false">
      <c r="A2731" s="2" t="s">
        <v>6620</v>
      </c>
      <c r="B2731" s="2" t="s">
        <v>240</v>
      </c>
      <c r="C2731" s="2" t="s">
        <v>5801</v>
      </c>
      <c r="D2731" s="2" t="s">
        <v>48</v>
      </c>
      <c r="E2731" s="2" t="s">
        <v>1185</v>
      </c>
      <c r="F2731" s="2" t="s">
        <v>1186</v>
      </c>
      <c r="G2731" s="2" t="s">
        <v>1353</v>
      </c>
    </row>
    <row r="2732" customFormat="false" ht="15" hidden="false" customHeight="false" outlineLevel="0" collapsed="false">
      <c r="A2732" s="2" t="s">
        <v>6621</v>
      </c>
      <c r="B2732" s="2" t="s">
        <v>240</v>
      </c>
      <c r="C2732" s="2" t="s">
        <v>5801</v>
      </c>
      <c r="D2732" s="2" t="s">
        <v>48</v>
      </c>
      <c r="E2732" s="2" t="s">
        <v>1185</v>
      </c>
      <c r="F2732" s="2" t="s">
        <v>1186</v>
      </c>
      <c r="G2732" s="2" t="s">
        <v>6622</v>
      </c>
    </row>
    <row r="2733" customFormat="false" ht="15" hidden="false" customHeight="false" outlineLevel="0" collapsed="false">
      <c r="A2733" s="2" t="s">
        <v>6623</v>
      </c>
      <c r="B2733" s="2" t="s">
        <v>240</v>
      </c>
      <c r="C2733" s="2" t="s">
        <v>5801</v>
      </c>
      <c r="D2733" s="2" t="s">
        <v>48</v>
      </c>
      <c r="E2733" s="2" t="s">
        <v>1185</v>
      </c>
      <c r="F2733" s="2" t="s">
        <v>1186</v>
      </c>
      <c r="G2733" s="2" t="s">
        <v>5808</v>
      </c>
    </row>
    <row r="2734" customFormat="false" ht="15" hidden="false" customHeight="false" outlineLevel="0" collapsed="false">
      <c r="A2734" s="2" t="s">
        <v>6624</v>
      </c>
      <c r="B2734" s="2" t="s">
        <v>240</v>
      </c>
      <c r="C2734" s="2" t="s">
        <v>5801</v>
      </c>
      <c r="D2734" s="2" t="s">
        <v>48</v>
      </c>
      <c r="E2734" s="2" t="s">
        <v>1185</v>
      </c>
      <c r="F2734" s="2" t="s">
        <v>1186</v>
      </c>
      <c r="G2734" s="2" t="s">
        <v>6625</v>
      </c>
    </row>
    <row r="2735" customFormat="false" ht="15" hidden="false" customHeight="false" outlineLevel="0" collapsed="false">
      <c r="A2735" s="2" t="s">
        <v>6626</v>
      </c>
      <c r="B2735" s="2" t="s">
        <v>240</v>
      </c>
      <c r="C2735" s="2" t="s">
        <v>5801</v>
      </c>
      <c r="D2735" s="2" t="s">
        <v>48</v>
      </c>
      <c r="E2735" s="2" t="s">
        <v>1185</v>
      </c>
      <c r="F2735" s="2" t="s">
        <v>1186</v>
      </c>
      <c r="G2735" s="2" t="s">
        <v>6627</v>
      </c>
    </row>
    <row r="2736" customFormat="false" ht="15" hidden="false" customHeight="false" outlineLevel="0" collapsed="false">
      <c r="A2736" s="2" t="s">
        <v>6628</v>
      </c>
      <c r="B2736" s="2" t="s">
        <v>240</v>
      </c>
      <c r="C2736" s="2" t="s">
        <v>5801</v>
      </c>
      <c r="D2736" s="2" t="s">
        <v>48</v>
      </c>
      <c r="E2736" s="2" t="s">
        <v>1185</v>
      </c>
      <c r="F2736" s="2" t="s">
        <v>1186</v>
      </c>
      <c r="G2736" s="2" t="s">
        <v>6625</v>
      </c>
    </row>
    <row r="2737" customFormat="false" ht="15" hidden="false" customHeight="false" outlineLevel="0" collapsed="false">
      <c r="A2737" s="2" t="s">
        <v>6629</v>
      </c>
      <c r="B2737" s="2" t="s">
        <v>240</v>
      </c>
      <c r="C2737" s="2" t="s">
        <v>5801</v>
      </c>
      <c r="D2737" s="2" t="s">
        <v>48</v>
      </c>
      <c r="E2737" s="2" t="s">
        <v>1185</v>
      </c>
      <c r="F2737" s="2" t="s">
        <v>1186</v>
      </c>
      <c r="G2737" s="2" t="s">
        <v>6625</v>
      </c>
    </row>
    <row r="2738" customFormat="false" ht="15" hidden="false" customHeight="false" outlineLevel="0" collapsed="false">
      <c r="A2738" s="2" t="s">
        <v>6630</v>
      </c>
      <c r="B2738" s="2" t="s">
        <v>240</v>
      </c>
      <c r="C2738" s="2" t="s">
        <v>5801</v>
      </c>
      <c r="D2738" s="2" t="s">
        <v>48</v>
      </c>
      <c r="E2738" s="2" t="s">
        <v>1185</v>
      </c>
      <c r="F2738" s="2" t="s">
        <v>1186</v>
      </c>
      <c r="G2738" s="2" t="s">
        <v>6631</v>
      </c>
    </row>
    <row r="2739" customFormat="false" ht="15" hidden="false" customHeight="false" outlineLevel="0" collapsed="false">
      <c r="A2739" s="2" t="s">
        <v>6632</v>
      </c>
      <c r="B2739" s="2" t="s">
        <v>240</v>
      </c>
      <c r="C2739" s="2" t="s">
        <v>5801</v>
      </c>
      <c r="D2739" s="2" t="s">
        <v>48</v>
      </c>
      <c r="E2739" s="2" t="s">
        <v>1185</v>
      </c>
      <c r="F2739" s="2" t="s">
        <v>1186</v>
      </c>
      <c r="G2739" s="2" t="s">
        <v>6633</v>
      </c>
    </row>
    <row r="2740" customFormat="false" ht="15" hidden="false" customHeight="false" outlineLevel="0" collapsed="false">
      <c r="A2740" s="2" t="s">
        <v>6634</v>
      </c>
      <c r="B2740" s="2" t="s">
        <v>240</v>
      </c>
      <c r="C2740" s="2" t="s">
        <v>5801</v>
      </c>
      <c r="D2740" s="2" t="s">
        <v>48</v>
      </c>
      <c r="E2740" s="2" t="s">
        <v>1185</v>
      </c>
      <c r="F2740" s="2" t="s">
        <v>1186</v>
      </c>
      <c r="G2740" s="2" t="s">
        <v>5812</v>
      </c>
    </row>
    <row r="2741" customFormat="false" ht="15" hidden="false" customHeight="false" outlineLevel="0" collapsed="false">
      <c r="A2741" s="2" t="s">
        <v>6635</v>
      </c>
      <c r="B2741" s="2" t="s">
        <v>240</v>
      </c>
      <c r="C2741" s="2" t="s">
        <v>5801</v>
      </c>
      <c r="D2741" s="2" t="s">
        <v>48</v>
      </c>
      <c r="E2741" s="2" t="s">
        <v>1185</v>
      </c>
      <c r="F2741" s="2" t="s">
        <v>1186</v>
      </c>
      <c r="G2741" s="2" t="s">
        <v>6636</v>
      </c>
    </row>
    <row r="2742" customFormat="false" ht="15" hidden="false" customHeight="false" outlineLevel="0" collapsed="false">
      <c r="A2742" s="2" t="s">
        <v>6637</v>
      </c>
      <c r="B2742" s="2" t="s">
        <v>240</v>
      </c>
      <c r="C2742" s="2" t="s">
        <v>5801</v>
      </c>
      <c r="D2742" s="2" t="s">
        <v>48</v>
      </c>
      <c r="E2742" s="2" t="s">
        <v>1185</v>
      </c>
      <c r="F2742" s="2" t="s">
        <v>1186</v>
      </c>
      <c r="G2742" s="2" t="s">
        <v>6636</v>
      </c>
    </row>
    <row r="2743" customFormat="false" ht="15" hidden="false" customHeight="false" outlineLevel="0" collapsed="false">
      <c r="A2743" s="2" t="s">
        <v>6638</v>
      </c>
      <c r="B2743" s="2" t="s">
        <v>240</v>
      </c>
      <c r="C2743" s="2" t="s">
        <v>5801</v>
      </c>
      <c r="D2743" s="2" t="s">
        <v>48</v>
      </c>
      <c r="E2743" s="2" t="s">
        <v>1185</v>
      </c>
      <c r="F2743" s="2" t="s">
        <v>1186</v>
      </c>
      <c r="G2743" s="2" t="s">
        <v>6639</v>
      </c>
    </row>
    <row r="2744" customFormat="false" ht="15" hidden="false" customHeight="false" outlineLevel="0" collapsed="false">
      <c r="A2744" s="2" t="s">
        <v>6640</v>
      </c>
      <c r="B2744" s="2" t="s">
        <v>240</v>
      </c>
      <c r="C2744" s="2" t="s">
        <v>5801</v>
      </c>
      <c r="D2744" s="2" t="s">
        <v>48</v>
      </c>
      <c r="E2744" s="2" t="s">
        <v>1185</v>
      </c>
      <c r="F2744" s="2" t="s">
        <v>1186</v>
      </c>
      <c r="G2744" s="2" t="s">
        <v>6641</v>
      </c>
    </row>
    <row r="2745" customFormat="false" ht="15" hidden="false" customHeight="false" outlineLevel="0" collapsed="false">
      <c r="A2745" s="2" t="s">
        <v>6642</v>
      </c>
      <c r="B2745" s="2" t="s">
        <v>240</v>
      </c>
      <c r="C2745" s="2" t="s">
        <v>5801</v>
      </c>
      <c r="D2745" s="2" t="s">
        <v>48</v>
      </c>
      <c r="E2745" s="2" t="s">
        <v>1185</v>
      </c>
      <c r="F2745" s="2" t="s">
        <v>1186</v>
      </c>
      <c r="G2745" s="2" t="s">
        <v>5824</v>
      </c>
    </row>
    <row r="2746" customFormat="false" ht="15" hidden="false" customHeight="false" outlineLevel="0" collapsed="false">
      <c r="A2746" s="2" t="s">
        <v>6643</v>
      </c>
      <c r="B2746" s="2" t="s">
        <v>240</v>
      </c>
      <c r="C2746" s="2" t="s">
        <v>5801</v>
      </c>
      <c r="D2746" s="2" t="s">
        <v>48</v>
      </c>
      <c r="E2746" s="2" t="s">
        <v>1185</v>
      </c>
      <c r="F2746" s="2" t="s">
        <v>1186</v>
      </c>
      <c r="G2746" s="2" t="s">
        <v>6644</v>
      </c>
    </row>
    <row r="2747" customFormat="false" ht="15" hidden="false" customHeight="false" outlineLevel="0" collapsed="false">
      <c r="A2747" s="2" t="s">
        <v>6645</v>
      </c>
      <c r="B2747" s="2" t="s">
        <v>240</v>
      </c>
      <c r="C2747" s="2" t="s">
        <v>5801</v>
      </c>
      <c r="D2747" s="2" t="s">
        <v>48</v>
      </c>
      <c r="E2747" s="2" t="s">
        <v>1185</v>
      </c>
      <c r="F2747" s="2" t="s">
        <v>1186</v>
      </c>
      <c r="G2747" s="2" t="s">
        <v>6646</v>
      </c>
    </row>
    <row r="2748" customFormat="false" ht="15" hidden="false" customHeight="false" outlineLevel="0" collapsed="false">
      <c r="A2748" s="2" t="s">
        <v>6647</v>
      </c>
      <c r="B2748" s="2" t="s">
        <v>240</v>
      </c>
      <c r="C2748" s="2" t="s">
        <v>5801</v>
      </c>
      <c r="D2748" s="2" t="s">
        <v>48</v>
      </c>
      <c r="E2748" s="2" t="s">
        <v>1185</v>
      </c>
      <c r="F2748" s="2" t="s">
        <v>1186</v>
      </c>
      <c r="G2748" s="2" t="s">
        <v>6648</v>
      </c>
    </row>
    <row r="2749" customFormat="false" ht="15" hidden="false" customHeight="false" outlineLevel="0" collapsed="false">
      <c r="A2749" s="2" t="s">
        <v>6649</v>
      </c>
      <c r="B2749" s="2" t="s">
        <v>240</v>
      </c>
      <c r="C2749" s="2" t="s">
        <v>5801</v>
      </c>
      <c r="D2749" s="2" t="s">
        <v>48</v>
      </c>
      <c r="E2749" s="2" t="s">
        <v>1185</v>
      </c>
      <c r="F2749" s="2" t="s">
        <v>1186</v>
      </c>
      <c r="G2749" s="2" t="s">
        <v>6650</v>
      </c>
    </row>
    <row r="2750" customFormat="false" ht="15" hidden="false" customHeight="false" outlineLevel="0" collapsed="false">
      <c r="A2750" s="2" t="s">
        <v>6651</v>
      </c>
      <c r="B2750" s="2" t="s">
        <v>240</v>
      </c>
      <c r="C2750" s="2" t="s">
        <v>5801</v>
      </c>
      <c r="D2750" s="2" t="s">
        <v>48</v>
      </c>
      <c r="E2750" s="2" t="s">
        <v>1185</v>
      </c>
      <c r="F2750" s="2" t="s">
        <v>1186</v>
      </c>
      <c r="G2750" s="2" t="s">
        <v>6652</v>
      </c>
    </row>
    <row r="2751" customFormat="false" ht="15" hidden="false" customHeight="false" outlineLevel="0" collapsed="false">
      <c r="A2751" s="2" t="s">
        <v>6653</v>
      </c>
      <c r="B2751" s="2" t="s">
        <v>240</v>
      </c>
      <c r="C2751" s="2" t="s">
        <v>5801</v>
      </c>
      <c r="D2751" s="2" t="s">
        <v>48</v>
      </c>
      <c r="E2751" s="2" t="s">
        <v>1185</v>
      </c>
      <c r="F2751" s="2" t="s">
        <v>1186</v>
      </c>
      <c r="G2751" s="2" t="s">
        <v>6654</v>
      </c>
    </row>
    <row r="2752" customFormat="false" ht="15" hidden="false" customHeight="false" outlineLevel="0" collapsed="false">
      <c r="A2752" s="2" t="s">
        <v>6655</v>
      </c>
      <c r="B2752" s="2" t="s">
        <v>240</v>
      </c>
      <c r="C2752" s="2" t="s">
        <v>5801</v>
      </c>
      <c r="D2752" s="2" t="s">
        <v>48</v>
      </c>
      <c r="E2752" s="2" t="s">
        <v>1185</v>
      </c>
      <c r="F2752" s="2" t="s">
        <v>1186</v>
      </c>
      <c r="G2752" s="2" t="s">
        <v>6656</v>
      </c>
    </row>
    <row r="2753" customFormat="false" ht="15" hidden="false" customHeight="false" outlineLevel="0" collapsed="false">
      <c r="A2753" s="2" t="s">
        <v>6657</v>
      </c>
      <c r="B2753" s="2" t="s">
        <v>240</v>
      </c>
      <c r="C2753" s="2" t="s">
        <v>5801</v>
      </c>
      <c r="D2753" s="2" t="s">
        <v>48</v>
      </c>
      <c r="E2753" s="2" t="s">
        <v>1185</v>
      </c>
      <c r="F2753" s="2" t="s">
        <v>1186</v>
      </c>
      <c r="G2753" s="2" t="s">
        <v>6658</v>
      </c>
    </row>
    <row r="2754" customFormat="false" ht="15" hidden="false" customHeight="false" outlineLevel="0" collapsed="false">
      <c r="A2754" s="2" t="s">
        <v>6659</v>
      </c>
      <c r="B2754" s="2" t="s">
        <v>240</v>
      </c>
      <c r="C2754" s="2" t="s">
        <v>5801</v>
      </c>
      <c r="D2754" s="2" t="s">
        <v>48</v>
      </c>
      <c r="E2754" s="2" t="s">
        <v>1185</v>
      </c>
      <c r="F2754" s="2" t="s">
        <v>1186</v>
      </c>
      <c r="G2754" s="2" t="s">
        <v>6660</v>
      </c>
    </row>
    <row r="2755" customFormat="false" ht="15" hidden="false" customHeight="false" outlineLevel="0" collapsed="false">
      <c r="A2755" s="2" t="s">
        <v>6661</v>
      </c>
      <c r="B2755" s="2" t="s">
        <v>240</v>
      </c>
      <c r="C2755" s="2" t="s">
        <v>5801</v>
      </c>
      <c r="D2755" s="2" t="s">
        <v>48</v>
      </c>
      <c r="E2755" s="2" t="s">
        <v>1185</v>
      </c>
      <c r="F2755" s="2" t="s">
        <v>1186</v>
      </c>
      <c r="G2755" s="2" t="s">
        <v>6662</v>
      </c>
    </row>
    <row r="2756" customFormat="false" ht="15" hidden="false" customHeight="false" outlineLevel="0" collapsed="false">
      <c r="A2756" s="2" t="s">
        <v>6663</v>
      </c>
      <c r="B2756" s="2" t="s">
        <v>240</v>
      </c>
      <c r="C2756" s="2" t="s">
        <v>5801</v>
      </c>
      <c r="D2756" s="2" t="s">
        <v>48</v>
      </c>
      <c r="E2756" s="2" t="s">
        <v>1185</v>
      </c>
      <c r="F2756" s="2" t="s">
        <v>1186</v>
      </c>
      <c r="G2756" s="2" t="s">
        <v>6664</v>
      </c>
    </row>
    <row r="2757" customFormat="false" ht="15" hidden="false" customHeight="false" outlineLevel="0" collapsed="false">
      <c r="A2757" s="2" t="s">
        <v>6665</v>
      </c>
      <c r="B2757" s="2" t="s">
        <v>240</v>
      </c>
      <c r="C2757" s="2" t="s">
        <v>5801</v>
      </c>
      <c r="D2757" s="2" t="s">
        <v>48</v>
      </c>
      <c r="E2757" s="2" t="s">
        <v>1185</v>
      </c>
      <c r="F2757" s="2" t="s">
        <v>1186</v>
      </c>
      <c r="G2757" s="2" t="s">
        <v>6666</v>
      </c>
    </row>
    <row r="2758" customFormat="false" ht="15" hidden="false" customHeight="false" outlineLevel="0" collapsed="false">
      <c r="A2758" s="2" t="s">
        <v>6667</v>
      </c>
      <c r="B2758" s="2" t="s">
        <v>240</v>
      </c>
      <c r="C2758" s="2" t="s">
        <v>5801</v>
      </c>
      <c r="D2758" s="2" t="s">
        <v>48</v>
      </c>
      <c r="E2758" s="2" t="s">
        <v>1185</v>
      </c>
      <c r="F2758" s="2" t="s">
        <v>1186</v>
      </c>
      <c r="G2758" s="2" t="s">
        <v>6668</v>
      </c>
    </row>
    <row r="2759" customFormat="false" ht="15" hidden="false" customHeight="false" outlineLevel="0" collapsed="false">
      <c r="A2759" s="2" t="s">
        <v>6669</v>
      </c>
      <c r="B2759" s="2" t="s">
        <v>240</v>
      </c>
      <c r="C2759" s="2" t="s">
        <v>5801</v>
      </c>
      <c r="D2759" s="2" t="s">
        <v>48</v>
      </c>
      <c r="E2759" s="2" t="s">
        <v>1185</v>
      </c>
      <c r="F2759" s="2" t="s">
        <v>1186</v>
      </c>
      <c r="G2759" s="2" t="s">
        <v>6670</v>
      </c>
    </row>
    <row r="2760" customFormat="false" ht="15" hidden="false" customHeight="false" outlineLevel="0" collapsed="false">
      <c r="A2760" s="2" t="s">
        <v>6671</v>
      </c>
      <c r="B2760" s="2" t="s">
        <v>240</v>
      </c>
      <c r="C2760" s="2" t="s">
        <v>5801</v>
      </c>
      <c r="D2760" s="2" t="s">
        <v>48</v>
      </c>
      <c r="E2760" s="2" t="s">
        <v>1185</v>
      </c>
      <c r="F2760" s="2" t="s">
        <v>1186</v>
      </c>
      <c r="G2760" s="2" t="s">
        <v>6672</v>
      </c>
    </row>
    <row r="2761" customFormat="false" ht="15" hidden="false" customHeight="false" outlineLevel="0" collapsed="false">
      <c r="A2761" s="2" t="s">
        <v>6673</v>
      </c>
      <c r="B2761" s="2" t="s">
        <v>240</v>
      </c>
      <c r="C2761" s="2" t="s">
        <v>5801</v>
      </c>
      <c r="D2761" s="2" t="s">
        <v>48</v>
      </c>
      <c r="E2761" s="2" t="s">
        <v>1185</v>
      </c>
      <c r="F2761" s="2" t="s">
        <v>1186</v>
      </c>
      <c r="G2761" s="2" t="s">
        <v>5887</v>
      </c>
    </row>
    <row r="2762" customFormat="false" ht="15" hidden="false" customHeight="false" outlineLevel="0" collapsed="false">
      <c r="A2762" s="2" t="s">
        <v>6674</v>
      </c>
      <c r="B2762" s="2" t="s">
        <v>240</v>
      </c>
      <c r="C2762" s="2" t="s">
        <v>5801</v>
      </c>
      <c r="D2762" s="2" t="s">
        <v>48</v>
      </c>
      <c r="E2762" s="2" t="s">
        <v>1185</v>
      </c>
      <c r="F2762" s="2" t="s">
        <v>1186</v>
      </c>
      <c r="G2762" s="2" t="s">
        <v>5305</v>
      </c>
    </row>
    <row r="2763" customFormat="false" ht="15" hidden="false" customHeight="false" outlineLevel="0" collapsed="false">
      <c r="A2763" s="2" t="s">
        <v>6675</v>
      </c>
      <c r="B2763" s="2" t="s">
        <v>240</v>
      </c>
      <c r="C2763" s="2" t="s">
        <v>5801</v>
      </c>
      <c r="D2763" s="2" t="s">
        <v>48</v>
      </c>
      <c r="E2763" s="2" t="s">
        <v>1185</v>
      </c>
      <c r="F2763" s="2" t="s">
        <v>1186</v>
      </c>
      <c r="G2763" s="2" t="s">
        <v>5891</v>
      </c>
    </row>
    <row r="2764" customFormat="false" ht="15" hidden="false" customHeight="false" outlineLevel="0" collapsed="false">
      <c r="A2764" s="2" t="s">
        <v>6676</v>
      </c>
      <c r="B2764" s="2" t="s">
        <v>240</v>
      </c>
      <c r="C2764" s="2" t="s">
        <v>5801</v>
      </c>
      <c r="D2764" s="2" t="s">
        <v>48</v>
      </c>
      <c r="E2764" s="2" t="s">
        <v>1185</v>
      </c>
      <c r="F2764" s="2" t="s">
        <v>1186</v>
      </c>
      <c r="G2764" s="2" t="s">
        <v>6677</v>
      </c>
    </row>
    <row r="2765" customFormat="false" ht="15" hidden="false" customHeight="false" outlineLevel="0" collapsed="false">
      <c r="A2765" s="2" t="s">
        <v>6678</v>
      </c>
      <c r="B2765" s="2" t="s">
        <v>240</v>
      </c>
      <c r="C2765" s="2" t="s">
        <v>5801</v>
      </c>
      <c r="D2765" s="2" t="s">
        <v>48</v>
      </c>
      <c r="E2765" s="2" t="s">
        <v>1185</v>
      </c>
      <c r="F2765" s="2" t="s">
        <v>1186</v>
      </c>
      <c r="G2765" s="2" t="s">
        <v>6679</v>
      </c>
    </row>
    <row r="2766" customFormat="false" ht="15" hidden="false" customHeight="false" outlineLevel="0" collapsed="false">
      <c r="A2766" s="2" t="s">
        <v>6680</v>
      </c>
      <c r="B2766" s="2" t="s">
        <v>240</v>
      </c>
      <c r="C2766" s="2" t="s">
        <v>5801</v>
      </c>
      <c r="D2766" s="2" t="s">
        <v>48</v>
      </c>
      <c r="E2766" s="2" t="s">
        <v>1185</v>
      </c>
      <c r="F2766" s="2" t="s">
        <v>1186</v>
      </c>
      <c r="G2766" s="2" t="s">
        <v>6681</v>
      </c>
    </row>
    <row r="2767" customFormat="false" ht="15" hidden="false" customHeight="false" outlineLevel="0" collapsed="false">
      <c r="A2767" s="2" t="s">
        <v>6682</v>
      </c>
      <c r="B2767" s="2" t="s">
        <v>240</v>
      </c>
      <c r="C2767" s="2" t="s">
        <v>5801</v>
      </c>
      <c r="D2767" s="2" t="s">
        <v>48</v>
      </c>
      <c r="E2767" s="2" t="s">
        <v>1185</v>
      </c>
      <c r="F2767" s="2" t="s">
        <v>1186</v>
      </c>
      <c r="G2767" s="2" t="s">
        <v>6683</v>
      </c>
    </row>
    <row r="2768" customFormat="false" ht="15" hidden="false" customHeight="false" outlineLevel="0" collapsed="false">
      <c r="A2768" s="2" t="s">
        <v>6684</v>
      </c>
      <c r="B2768" s="2" t="s">
        <v>240</v>
      </c>
      <c r="C2768" s="2" t="s">
        <v>5801</v>
      </c>
      <c r="D2768" s="2" t="s">
        <v>48</v>
      </c>
      <c r="E2768" s="2" t="s">
        <v>1185</v>
      </c>
      <c r="F2768" s="2" t="s">
        <v>1186</v>
      </c>
      <c r="G2768" s="2" t="s">
        <v>6683</v>
      </c>
    </row>
    <row r="2769" customFormat="false" ht="15" hidden="false" customHeight="false" outlineLevel="0" collapsed="false">
      <c r="A2769" s="2" t="s">
        <v>6685</v>
      </c>
      <c r="B2769" s="2" t="s">
        <v>240</v>
      </c>
      <c r="C2769" s="2" t="s">
        <v>5801</v>
      </c>
      <c r="D2769" s="2" t="s">
        <v>48</v>
      </c>
      <c r="E2769" s="2" t="s">
        <v>1185</v>
      </c>
      <c r="F2769" s="2" t="s">
        <v>1186</v>
      </c>
      <c r="G2769" s="2" t="s">
        <v>6683</v>
      </c>
    </row>
    <row r="2770" customFormat="false" ht="15" hidden="false" customHeight="false" outlineLevel="0" collapsed="false">
      <c r="A2770" s="2" t="s">
        <v>6686</v>
      </c>
      <c r="B2770" s="2" t="s">
        <v>240</v>
      </c>
      <c r="C2770" s="2" t="s">
        <v>5801</v>
      </c>
      <c r="D2770" s="2" t="s">
        <v>48</v>
      </c>
      <c r="E2770" s="2" t="s">
        <v>1185</v>
      </c>
      <c r="F2770" s="2" t="s">
        <v>1186</v>
      </c>
      <c r="G2770" s="2" t="s">
        <v>6687</v>
      </c>
    </row>
    <row r="2771" customFormat="false" ht="15" hidden="false" customHeight="false" outlineLevel="0" collapsed="false">
      <c r="A2771" s="2" t="s">
        <v>6688</v>
      </c>
      <c r="B2771" s="2" t="s">
        <v>240</v>
      </c>
      <c r="C2771" s="2" t="s">
        <v>5801</v>
      </c>
      <c r="D2771" s="2" t="s">
        <v>48</v>
      </c>
      <c r="E2771" s="2" t="s">
        <v>1185</v>
      </c>
      <c r="F2771" s="2" t="s">
        <v>1186</v>
      </c>
      <c r="G2771" s="2" t="s">
        <v>6689</v>
      </c>
    </row>
    <row r="2772" customFormat="false" ht="15" hidden="false" customHeight="false" outlineLevel="0" collapsed="false">
      <c r="A2772" s="2" t="s">
        <v>6690</v>
      </c>
      <c r="B2772" s="2" t="s">
        <v>240</v>
      </c>
      <c r="C2772" s="2" t="s">
        <v>5801</v>
      </c>
      <c r="D2772" s="2" t="s">
        <v>48</v>
      </c>
      <c r="E2772" s="2" t="s">
        <v>1185</v>
      </c>
      <c r="F2772" s="2" t="s">
        <v>1186</v>
      </c>
      <c r="G2772" s="2" t="s">
        <v>6691</v>
      </c>
    </row>
    <row r="2773" customFormat="false" ht="15" hidden="false" customHeight="false" outlineLevel="0" collapsed="false">
      <c r="A2773" s="2" t="s">
        <v>6692</v>
      </c>
      <c r="B2773" s="2" t="s">
        <v>240</v>
      </c>
      <c r="C2773" s="2" t="s">
        <v>5801</v>
      </c>
      <c r="D2773" s="2" t="s">
        <v>48</v>
      </c>
      <c r="E2773" s="2" t="s">
        <v>1185</v>
      </c>
      <c r="F2773" s="2" t="s">
        <v>1186</v>
      </c>
      <c r="G2773" s="2" t="s">
        <v>5951</v>
      </c>
    </row>
    <row r="2774" customFormat="false" ht="15" hidden="false" customHeight="false" outlineLevel="0" collapsed="false">
      <c r="A2774" s="2" t="s">
        <v>6693</v>
      </c>
      <c r="B2774" s="2" t="s">
        <v>240</v>
      </c>
      <c r="C2774" s="2" t="s">
        <v>5801</v>
      </c>
      <c r="D2774" s="2" t="s">
        <v>48</v>
      </c>
      <c r="E2774" s="2" t="s">
        <v>1185</v>
      </c>
      <c r="F2774" s="2" t="s">
        <v>1186</v>
      </c>
      <c r="G2774" s="2" t="s">
        <v>6694</v>
      </c>
    </row>
    <row r="2775" customFormat="false" ht="15" hidden="false" customHeight="false" outlineLevel="0" collapsed="false">
      <c r="A2775" s="2" t="s">
        <v>6695</v>
      </c>
      <c r="B2775" s="2" t="s">
        <v>240</v>
      </c>
      <c r="C2775" s="2" t="s">
        <v>5801</v>
      </c>
      <c r="D2775" s="2" t="s">
        <v>48</v>
      </c>
      <c r="E2775" s="2" t="s">
        <v>1185</v>
      </c>
      <c r="F2775" s="2" t="s">
        <v>1186</v>
      </c>
      <c r="G2775" s="2" t="s">
        <v>6696</v>
      </c>
    </row>
    <row r="2776" customFormat="false" ht="15" hidden="false" customHeight="false" outlineLevel="0" collapsed="false">
      <c r="A2776" s="2" t="s">
        <v>6697</v>
      </c>
      <c r="B2776" s="2" t="s">
        <v>240</v>
      </c>
      <c r="C2776" s="2" t="s">
        <v>5801</v>
      </c>
      <c r="D2776" s="2" t="s">
        <v>48</v>
      </c>
      <c r="E2776" s="2" t="s">
        <v>1185</v>
      </c>
      <c r="F2776" s="2" t="s">
        <v>1186</v>
      </c>
      <c r="G2776" s="2" t="s">
        <v>6698</v>
      </c>
    </row>
    <row r="2777" customFormat="false" ht="15" hidden="false" customHeight="false" outlineLevel="0" collapsed="false">
      <c r="A2777" s="2" t="s">
        <v>6699</v>
      </c>
      <c r="B2777" s="2" t="s">
        <v>240</v>
      </c>
      <c r="C2777" s="2" t="s">
        <v>5801</v>
      </c>
      <c r="D2777" s="2" t="s">
        <v>48</v>
      </c>
      <c r="E2777" s="2" t="s">
        <v>1185</v>
      </c>
      <c r="F2777" s="2" t="s">
        <v>1186</v>
      </c>
      <c r="G2777" s="2" t="s">
        <v>6700</v>
      </c>
    </row>
    <row r="2778" customFormat="false" ht="15" hidden="false" customHeight="false" outlineLevel="0" collapsed="false">
      <c r="A2778" s="2" t="s">
        <v>6701</v>
      </c>
      <c r="B2778" s="2" t="s">
        <v>240</v>
      </c>
      <c r="C2778" s="2" t="s">
        <v>5801</v>
      </c>
      <c r="D2778" s="2" t="s">
        <v>48</v>
      </c>
      <c r="E2778" s="2" t="s">
        <v>1185</v>
      </c>
      <c r="F2778" s="2" t="s">
        <v>1186</v>
      </c>
      <c r="G2778" s="2" t="s">
        <v>6702</v>
      </c>
    </row>
    <row r="2779" customFormat="false" ht="15" hidden="false" customHeight="false" outlineLevel="0" collapsed="false">
      <c r="A2779" s="2" t="s">
        <v>6703</v>
      </c>
      <c r="B2779" s="2" t="s">
        <v>240</v>
      </c>
      <c r="C2779" s="2" t="s">
        <v>5801</v>
      </c>
      <c r="D2779" s="2" t="s">
        <v>48</v>
      </c>
      <c r="E2779" s="2" t="s">
        <v>1185</v>
      </c>
      <c r="F2779" s="2" t="s">
        <v>1186</v>
      </c>
      <c r="G2779" s="2" t="s">
        <v>6704</v>
      </c>
    </row>
    <row r="2780" customFormat="false" ht="15" hidden="false" customHeight="false" outlineLevel="0" collapsed="false">
      <c r="A2780" s="2" t="s">
        <v>6705</v>
      </c>
      <c r="B2780" s="2" t="s">
        <v>240</v>
      </c>
      <c r="C2780" s="2" t="s">
        <v>5801</v>
      </c>
      <c r="D2780" s="2" t="s">
        <v>48</v>
      </c>
      <c r="E2780" s="2" t="s">
        <v>1185</v>
      </c>
      <c r="F2780" s="2" t="s">
        <v>1186</v>
      </c>
      <c r="G2780" s="2" t="s">
        <v>6706</v>
      </c>
    </row>
    <row r="2781" customFormat="false" ht="15" hidden="false" customHeight="false" outlineLevel="0" collapsed="false">
      <c r="A2781" s="2" t="s">
        <v>6707</v>
      </c>
      <c r="B2781" s="2" t="s">
        <v>240</v>
      </c>
      <c r="C2781" s="2" t="s">
        <v>5801</v>
      </c>
      <c r="D2781" s="2" t="s">
        <v>48</v>
      </c>
      <c r="E2781" s="2" t="s">
        <v>1185</v>
      </c>
      <c r="F2781" s="2" t="s">
        <v>1186</v>
      </c>
      <c r="G2781" s="2" t="s">
        <v>6708</v>
      </c>
    </row>
    <row r="2782" customFormat="false" ht="15" hidden="false" customHeight="false" outlineLevel="0" collapsed="false">
      <c r="A2782" s="2" t="s">
        <v>6709</v>
      </c>
      <c r="B2782" s="2" t="s">
        <v>240</v>
      </c>
      <c r="C2782" s="2" t="s">
        <v>5801</v>
      </c>
      <c r="D2782" s="2" t="s">
        <v>48</v>
      </c>
      <c r="E2782" s="2" t="s">
        <v>1185</v>
      </c>
      <c r="F2782" s="2" t="s">
        <v>1186</v>
      </c>
      <c r="G2782" s="2" t="s">
        <v>6710</v>
      </c>
    </row>
    <row r="2783" customFormat="false" ht="15" hidden="false" customHeight="false" outlineLevel="0" collapsed="false">
      <c r="A2783" s="2" t="s">
        <v>6711</v>
      </c>
      <c r="B2783" s="2" t="s">
        <v>240</v>
      </c>
      <c r="C2783" s="2" t="s">
        <v>5801</v>
      </c>
      <c r="D2783" s="2" t="s">
        <v>48</v>
      </c>
      <c r="E2783" s="2" t="s">
        <v>1185</v>
      </c>
      <c r="F2783" s="2" t="s">
        <v>1186</v>
      </c>
      <c r="G2783" s="2" t="s">
        <v>6712</v>
      </c>
    </row>
    <row r="2784" customFormat="false" ht="15" hidden="false" customHeight="false" outlineLevel="0" collapsed="false">
      <c r="A2784" s="2" t="s">
        <v>6713</v>
      </c>
      <c r="B2784" s="2" t="s">
        <v>240</v>
      </c>
      <c r="C2784" s="2" t="s">
        <v>5801</v>
      </c>
      <c r="D2784" s="2" t="s">
        <v>48</v>
      </c>
      <c r="E2784" s="2" t="s">
        <v>1185</v>
      </c>
      <c r="F2784" s="2" t="s">
        <v>1186</v>
      </c>
      <c r="G2784" s="2" t="s">
        <v>6017</v>
      </c>
    </row>
    <row r="2785" customFormat="false" ht="15" hidden="false" customHeight="false" outlineLevel="0" collapsed="false">
      <c r="A2785" s="2" t="s">
        <v>6714</v>
      </c>
      <c r="B2785" s="2" t="s">
        <v>240</v>
      </c>
      <c r="C2785" s="2" t="s">
        <v>5801</v>
      </c>
      <c r="D2785" s="2" t="s">
        <v>48</v>
      </c>
      <c r="E2785" s="2" t="s">
        <v>1185</v>
      </c>
      <c r="F2785" s="2" t="s">
        <v>1186</v>
      </c>
      <c r="G2785" s="2" t="s">
        <v>6715</v>
      </c>
    </row>
    <row r="2786" customFormat="false" ht="15" hidden="false" customHeight="false" outlineLevel="0" collapsed="false">
      <c r="A2786" s="2" t="s">
        <v>6716</v>
      </c>
      <c r="B2786" s="2" t="s">
        <v>240</v>
      </c>
      <c r="C2786" s="2" t="s">
        <v>5801</v>
      </c>
      <c r="D2786" s="2" t="s">
        <v>48</v>
      </c>
      <c r="E2786" s="2" t="s">
        <v>1185</v>
      </c>
      <c r="F2786" s="2" t="s">
        <v>1186</v>
      </c>
      <c r="G2786" s="2" t="s">
        <v>6717</v>
      </c>
    </row>
    <row r="2787" customFormat="false" ht="15" hidden="false" customHeight="false" outlineLevel="0" collapsed="false">
      <c r="A2787" s="2" t="s">
        <v>6718</v>
      </c>
      <c r="B2787" s="2" t="s">
        <v>240</v>
      </c>
      <c r="C2787" s="2" t="s">
        <v>5801</v>
      </c>
      <c r="D2787" s="2" t="s">
        <v>48</v>
      </c>
      <c r="E2787" s="2" t="s">
        <v>1185</v>
      </c>
      <c r="F2787" s="2" t="s">
        <v>1186</v>
      </c>
      <c r="G2787" s="2" t="s">
        <v>6719</v>
      </c>
    </row>
    <row r="2788" customFormat="false" ht="15" hidden="false" customHeight="false" outlineLevel="0" collapsed="false">
      <c r="A2788" s="2" t="s">
        <v>6720</v>
      </c>
      <c r="B2788" s="2" t="s">
        <v>240</v>
      </c>
      <c r="C2788" s="2" t="s">
        <v>5801</v>
      </c>
      <c r="D2788" s="2" t="s">
        <v>48</v>
      </c>
      <c r="E2788" s="2" t="s">
        <v>1185</v>
      </c>
      <c r="F2788" s="2" t="s">
        <v>1186</v>
      </c>
      <c r="G2788" s="2" t="s">
        <v>6721</v>
      </c>
    </row>
    <row r="2789" customFormat="false" ht="15" hidden="false" customHeight="false" outlineLevel="0" collapsed="false">
      <c r="A2789" s="2" t="s">
        <v>6722</v>
      </c>
      <c r="B2789" s="2" t="s">
        <v>240</v>
      </c>
      <c r="C2789" s="2" t="s">
        <v>5801</v>
      </c>
      <c r="D2789" s="2" t="s">
        <v>48</v>
      </c>
      <c r="E2789" s="2" t="s">
        <v>1185</v>
      </c>
      <c r="F2789" s="2" t="s">
        <v>1186</v>
      </c>
      <c r="G2789" s="2" t="s">
        <v>6723</v>
      </c>
    </row>
    <row r="2790" customFormat="false" ht="15" hidden="false" customHeight="false" outlineLevel="0" collapsed="false">
      <c r="A2790" s="2" t="s">
        <v>6724</v>
      </c>
      <c r="B2790" s="2" t="s">
        <v>240</v>
      </c>
      <c r="C2790" s="2" t="s">
        <v>5801</v>
      </c>
      <c r="D2790" s="2" t="s">
        <v>48</v>
      </c>
      <c r="E2790" s="2" t="s">
        <v>1185</v>
      </c>
      <c r="F2790" s="2" t="s">
        <v>1186</v>
      </c>
      <c r="G2790" s="2" t="s">
        <v>6725</v>
      </c>
    </row>
    <row r="2791" customFormat="false" ht="15" hidden="false" customHeight="false" outlineLevel="0" collapsed="false">
      <c r="A2791" s="2" t="s">
        <v>6726</v>
      </c>
      <c r="B2791" s="2" t="s">
        <v>240</v>
      </c>
      <c r="C2791" s="2" t="s">
        <v>5801</v>
      </c>
      <c r="D2791" s="2" t="s">
        <v>48</v>
      </c>
      <c r="E2791" s="2" t="s">
        <v>1185</v>
      </c>
      <c r="F2791" s="2" t="s">
        <v>1186</v>
      </c>
      <c r="G2791" s="2" t="s">
        <v>6727</v>
      </c>
    </row>
    <row r="2792" customFormat="false" ht="15" hidden="false" customHeight="false" outlineLevel="0" collapsed="false">
      <c r="A2792" s="2" t="s">
        <v>6728</v>
      </c>
      <c r="B2792" s="2" t="s">
        <v>240</v>
      </c>
      <c r="C2792" s="2" t="s">
        <v>5801</v>
      </c>
      <c r="D2792" s="2" t="s">
        <v>48</v>
      </c>
      <c r="E2792" s="2" t="s">
        <v>1185</v>
      </c>
      <c r="F2792" s="2" t="s">
        <v>1186</v>
      </c>
      <c r="G2792" s="2" t="s">
        <v>6729</v>
      </c>
    </row>
    <row r="2793" customFormat="false" ht="15" hidden="false" customHeight="false" outlineLevel="0" collapsed="false">
      <c r="A2793" s="2" t="s">
        <v>6730</v>
      </c>
      <c r="B2793" s="2" t="s">
        <v>240</v>
      </c>
      <c r="C2793" s="2" t="s">
        <v>5801</v>
      </c>
      <c r="D2793" s="2" t="s">
        <v>48</v>
      </c>
      <c r="E2793" s="2" t="s">
        <v>1185</v>
      </c>
      <c r="F2793" s="2" t="s">
        <v>1186</v>
      </c>
      <c r="G2793" s="2" t="s">
        <v>6731</v>
      </c>
    </row>
    <row r="2794" customFormat="false" ht="15" hidden="false" customHeight="false" outlineLevel="0" collapsed="false">
      <c r="A2794" s="2" t="s">
        <v>6732</v>
      </c>
      <c r="B2794" s="2" t="s">
        <v>240</v>
      </c>
      <c r="C2794" s="2" t="s">
        <v>5801</v>
      </c>
      <c r="D2794" s="2" t="s">
        <v>48</v>
      </c>
      <c r="E2794" s="2" t="s">
        <v>1185</v>
      </c>
      <c r="F2794" s="2" t="s">
        <v>1186</v>
      </c>
      <c r="G2794" s="2" t="s">
        <v>6733</v>
      </c>
    </row>
    <row r="2795" customFormat="false" ht="15" hidden="false" customHeight="false" outlineLevel="0" collapsed="false">
      <c r="A2795" s="2" t="s">
        <v>6734</v>
      </c>
      <c r="B2795" s="2" t="s">
        <v>240</v>
      </c>
      <c r="C2795" s="2" t="s">
        <v>5801</v>
      </c>
      <c r="D2795" s="2" t="s">
        <v>48</v>
      </c>
      <c r="E2795" s="2" t="s">
        <v>1185</v>
      </c>
      <c r="F2795" s="2" t="s">
        <v>1186</v>
      </c>
      <c r="G2795" s="2" t="s">
        <v>6735</v>
      </c>
    </row>
    <row r="2796" customFormat="false" ht="15" hidden="false" customHeight="false" outlineLevel="0" collapsed="false">
      <c r="A2796" s="2" t="s">
        <v>6736</v>
      </c>
      <c r="B2796" s="2" t="s">
        <v>240</v>
      </c>
      <c r="C2796" s="2" t="s">
        <v>5801</v>
      </c>
      <c r="D2796" s="2" t="s">
        <v>48</v>
      </c>
      <c r="E2796" s="2" t="s">
        <v>1185</v>
      </c>
      <c r="F2796" s="2" t="s">
        <v>1186</v>
      </c>
      <c r="G2796" s="2" t="s">
        <v>6737</v>
      </c>
    </row>
    <row r="2797" customFormat="false" ht="15" hidden="false" customHeight="false" outlineLevel="0" collapsed="false">
      <c r="A2797" s="2" t="s">
        <v>6738</v>
      </c>
      <c r="B2797" s="2" t="s">
        <v>240</v>
      </c>
      <c r="C2797" s="2" t="s">
        <v>5801</v>
      </c>
      <c r="D2797" s="2" t="s">
        <v>48</v>
      </c>
      <c r="E2797" s="2" t="s">
        <v>1185</v>
      </c>
      <c r="F2797" s="2" t="s">
        <v>1186</v>
      </c>
      <c r="G2797" s="2" t="s">
        <v>6739</v>
      </c>
    </row>
    <row r="2798" customFormat="false" ht="15" hidden="false" customHeight="false" outlineLevel="0" collapsed="false">
      <c r="A2798" s="2" t="s">
        <v>6740</v>
      </c>
      <c r="B2798" s="2" t="s">
        <v>240</v>
      </c>
      <c r="C2798" s="2" t="s">
        <v>5801</v>
      </c>
      <c r="D2798" s="2" t="s">
        <v>48</v>
      </c>
      <c r="E2798" s="2" t="s">
        <v>1185</v>
      </c>
      <c r="F2798" s="2" t="s">
        <v>1186</v>
      </c>
      <c r="G2798" s="2" t="s">
        <v>6741</v>
      </c>
    </row>
    <row r="2799" customFormat="false" ht="15" hidden="false" customHeight="false" outlineLevel="0" collapsed="false">
      <c r="A2799" s="2" t="s">
        <v>6742</v>
      </c>
      <c r="B2799" s="2" t="s">
        <v>240</v>
      </c>
      <c r="C2799" s="2" t="s">
        <v>5801</v>
      </c>
      <c r="D2799" s="2" t="s">
        <v>48</v>
      </c>
      <c r="E2799" s="2" t="s">
        <v>1185</v>
      </c>
      <c r="F2799" s="2" t="s">
        <v>1186</v>
      </c>
      <c r="G2799" s="2" t="s">
        <v>6743</v>
      </c>
    </row>
    <row r="2800" customFormat="false" ht="15" hidden="false" customHeight="false" outlineLevel="0" collapsed="false">
      <c r="A2800" s="2" t="s">
        <v>6744</v>
      </c>
      <c r="B2800" s="2" t="s">
        <v>240</v>
      </c>
      <c r="C2800" s="2" t="s">
        <v>5801</v>
      </c>
      <c r="D2800" s="2" t="s">
        <v>48</v>
      </c>
      <c r="E2800" s="2" t="s">
        <v>1185</v>
      </c>
      <c r="F2800" s="2" t="s">
        <v>1186</v>
      </c>
      <c r="G2800" s="2" t="s">
        <v>6745</v>
      </c>
    </row>
    <row r="2801" customFormat="false" ht="15" hidden="false" customHeight="false" outlineLevel="0" collapsed="false">
      <c r="A2801" s="2" t="s">
        <v>6746</v>
      </c>
      <c r="B2801" s="2" t="s">
        <v>240</v>
      </c>
      <c r="C2801" s="2" t="s">
        <v>5801</v>
      </c>
      <c r="D2801" s="2" t="s">
        <v>48</v>
      </c>
      <c r="E2801" s="2" t="s">
        <v>1185</v>
      </c>
      <c r="F2801" s="2" t="s">
        <v>1186</v>
      </c>
      <c r="G2801" s="2" t="s">
        <v>6747</v>
      </c>
    </row>
    <row r="2802" customFormat="false" ht="15" hidden="false" customHeight="false" outlineLevel="0" collapsed="false">
      <c r="A2802" s="2" t="s">
        <v>6748</v>
      </c>
      <c r="B2802" s="2" t="s">
        <v>240</v>
      </c>
      <c r="C2802" s="2" t="s">
        <v>5801</v>
      </c>
      <c r="D2802" s="2" t="s">
        <v>48</v>
      </c>
      <c r="E2802" s="2" t="s">
        <v>1185</v>
      </c>
      <c r="F2802" s="2" t="s">
        <v>1186</v>
      </c>
      <c r="G2802" s="2" t="s">
        <v>6749</v>
      </c>
    </row>
    <row r="2803" customFormat="false" ht="15" hidden="false" customHeight="false" outlineLevel="0" collapsed="false">
      <c r="A2803" s="2" t="s">
        <v>6750</v>
      </c>
      <c r="B2803" s="2" t="s">
        <v>240</v>
      </c>
      <c r="C2803" s="2" t="s">
        <v>5801</v>
      </c>
      <c r="D2803" s="2" t="s">
        <v>48</v>
      </c>
      <c r="E2803" s="2" t="s">
        <v>1185</v>
      </c>
      <c r="F2803" s="2" t="s">
        <v>1186</v>
      </c>
      <c r="G2803" s="2" t="s">
        <v>5969</v>
      </c>
    </row>
    <row r="2804" customFormat="false" ht="15" hidden="false" customHeight="false" outlineLevel="0" collapsed="false">
      <c r="A2804" s="2" t="s">
        <v>6751</v>
      </c>
      <c r="B2804" s="2" t="s">
        <v>240</v>
      </c>
      <c r="C2804" s="2" t="s">
        <v>5801</v>
      </c>
      <c r="D2804" s="2" t="s">
        <v>48</v>
      </c>
      <c r="E2804" s="2" t="s">
        <v>1185</v>
      </c>
      <c r="F2804" s="2" t="s">
        <v>1186</v>
      </c>
      <c r="G2804" s="2" t="s">
        <v>6752</v>
      </c>
    </row>
    <row r="2805" customFormat="false" ht="15" hidden="false" customHeight="false" outlineLevel="0" collapsed="false">
      <c r="A2805" s="2" t="s">
        <v>6753</v>
      </c>
      <c r="B2805" s="2" t="s">
        <v>240</v>
      </c>
      <c r="C2805" s="2" t="s">
        <v>5801</v>
      </c>
      <c r="D2805" s="2" t="s">
        <v>48</v>
      </c>
      <c r="E2805" s="2" t="s">
        <v>1185</v>
      </c>
      <c r="F2805" s="2" t="s">
        <v>1186</v>
      </c>
      <c r="G2805" s="2" t="s">
        <v>6754</v>
      </c>
    </row>
    <row r="2806" customFormat="false" ht="15" hidden="false" customHeight="false" outlineLevel="0" collapsed="false">
      <c r="A2806" s="2" t="s">
        <v>6755</v>
      </c>
      <c r="B2806" s="2" t="s">
        <v>240</v>
      </c>
      <c r="C2806" s="2" t="s">
        <v>5801</v>
      </c>
      <c r="D2806" s="2" t="s">
        <v>48</v>
      </c>
      <c r="E2806" s="2" t="s">
        <v>1185</v>
      </c>
      <c r="F2806" s="2" t="s">
        <v>1186</v>
      </c>
      <c r="G2806" s="2" t="s">
        <v>6756</v>
      </c>
    </row>
    <row r="2807" customFormat="false" ht="15" hidden="false" customHeight="false" outlineLevel="0" collapsed="false">
      <c r="A2807" s="2" t="s">
        <v>6757</v>
      </c>
      <c r="B2807" s="2" t="s">
        <v>240</v>
      </c>
      <c r="C2807" s="2" t="s">
        <v>5801</v>
      </c>
      <c r="D2807" s="2" t="s">
        <v>48</v>
      </c>
      <c r="E2807" s="2" t="s">
        <v>1185</v>
      </c>
      <c r="F2807" s="2" t="s">
        <v>1186</v>
      </c>
      <c r="G2807" s="2" t="s">
        <v>6758</v>
      </c>
    </row>
    <row r="2808" customFormat="false" ht="15" hidden="false" customHeight="false" outlineLevel="0" collapsed="false">
      <c r="A2808" s="2" t="s">
        <v>6759</v>
      </c>
      <c r="B2808" s="2" t="s">
        <v>240</v>
      </c>
      <c r="C2808" s="2" t="s">
        <v>5801</v>
      </c>
      <c r="D2808" s="2" t="s">
        <v>48</v>
      </c>
      <c r="E2808" s="2" t="s">
        <v>1185</v>
      </c>
      <c r="F2808" s="2" t="s">
        <v>1186</v>
      </c>
      <c r="G2808" s="2" t="s">
        <v>6760</v>
      </c>
    </row>
    <row r="2809" customFormat="false" ht="15" hidden="false" customHeight="false" outlineLevel="0" collapsed="false">
      <c r="A2809" s="2" t="s">
        <v>6761</v>
      </c>
      <c r="B2809" s="2" t="s">
        <v>221</v>
      </c>
      <c r="C2809" s="2" t="s">
        <v>221</v>
      </c>
      <c r="D2809" s="2" t="s">
        <v>48</v>
      </c>
      <c r="E2809" s="2" t="s">
        <v>1185</v>
      </c>
      <c r="F2809" s="2" t="s">
        <v>1186</v>
      </c>
      <c r="G2809" s="2" t="s">
        <v>6762</v>
      </c>
    </row>
    <row r="2810" customFormat="false" ht="15" hidden="false" customHeight="false" outlineLevel="0" collapsed="false">
      <c r="A2810" s="2" t="s">
        <v>6763</v>
      </c>
      <c r="B2810" s="2" t="s">
        <v>221</v>
      </c>
      <c r="C2810" s="2" t="s">
        <v>221</v>
      </c>
      <c r="D2810" s="2" t="s">
        <v>48</v>
      </c>
      <c r="E2810" s="2" t="s">
        <v>1185</v>
      </c>
      <c r="F2810" s="2" t="s">
        <v>1186</v>
      </c>
      <c r="G2810" s="2" t="s">
        <v>6764</v>
      </c>
    </row>
    <row r="2811" customFormat="false" ht="15" hidden="false" customHeight="false" outlineLevel="0" collapsed="false">
      <c r="A2811" s="2" t="s">
        <v>6765</v>
      </c>
      <c r="B2811" s="2" t="s">
        <v>221</v>
      </c>
      <c r="C2811" s="2" t="s">
        <v>221</v>
      </c>
      <c r="D2811" s="2" t="s">
        <v>48</v>
      </c>
      <c r="E2811" s="2" t="s">
        <v>1185</v>
      </c>
      <c r="F2811" s="2" t="s">
        <v>1186</v>
      </c>
      <c r="G2811" s="2" t="s">
        <v>6766</v>
      </c>
    </row>
    <row r="2812" customFormat="false" ht="15" hidden="false" customHeight="false" outlineLevel="0" collapsed="false">
      <c r="A2812" s="2" t="s">
        <v>6767</v>
      </c>
      <c r="B2812" s="2" t="s">
        <v>221</v>
      </c>
      <c r="C2812" s="2" t="s">
        <v>221</v>
      </c>
      <c r="D2812" s="2" t="s">
        <v>48</v>
      </c>
      <c r="E2812" s="2" t="s">
        <v>1185</v>
      </c>
      <c r="F2812" s="2" t="s">
        <v>1186</v>
      </c>
      <c r="G2812" s="2" t="s">
        <v>6768</v>
      </c>
    </row>
    <row r="2813" customFormat="false" ht="15" hidden="false" customHeight="false" outlineLevel="0" collapsed="false">
      <c r="A2813" s="2" t="s">
        <v>6769</v>
      </c>
      <c r="B2813" s="2" t="s">
        <v>221</v>
      </c>
      <c r="C2813" s="2" t="s">
        <v>221</v>
      </c>
      <c r="D2813" s="2" t="s">
        <v>48</v>
      </c>
      <c r="E2813" s="2" t="s">
        <v>1185</v>
      </c>
      <c r="F2813" s="2" t="s">
        <v>1186</v>
      </c>
      <c r="G2813" s="2" t="s">
        <v>6770</v>
      </c>
    </row>
    <row r="2814" customFormat="false" ht="15" hidden="false" customHeight="false" outlineLevel="0" collapsed="false">
      <c r="A2814" s="2" t="s">
        <v>6771</v>
      </c>
      <c r="B2814" s="2" t="s">
        <v>221</v>
      </c>
      <c r="C2814" s="2" t="s">
        <v>221</v>
      </c>
      <c r="D2814" s="2" t="s">
        <v>48</v>
      </c>
      <c r="E2814" s="2" t="s">
        <v>1185</v>
      </c>
      <c r="F2814" s="2" t="s">
        <v>1186</v>
      </c>
      <c r="G2814" s="2" t="s">
        <v>6772</v>
      </c>
    </row>
    <row r="2815" customFormat="false" ht="15" hidden="false" customHeight="false" outlineLevel="0" collapsed="false">
      <c r="A2815" s="2" t="s">
        <v>6773</v>
      </c>
      <c r="B2815" s="2" t="s">
        <v>221</v>
      </c>
      <c r="C2815" s="2" t="s">
        <v>221</v>
      </c>
      <c r="D2815" s="2" t="s">
        <v>48</v>
      </c>
      <c r="E2815" s="2" t="s">
        <v>1185</v>
      </c>
      <c r="F2815" s="2" t="s">
        <v>1186</v>
      </c>
      <c r="G2815" s="2" t="s">
        <v>6774</v>
      </c>
    </row>
    <row r="2816" customFormat="false" ht="15" hidden="false" customHeight="false" outlineLevel="0" collapsed="false">
      <c r="A2816" s="2" t="s">
        <v>6775</v>
      </c>
      <c r="B2816" s="2" t="s">
        <v>221</v>
      </c>
      <c r="C2816" s="2" t="s">
        <v>221</v>
      </c>
      <c r="D2816" s="2" t="s">
        <v>48</v>
      </c>
      <c r="E2816" s="2" t="s">
        <v>1185</v>
      </c>
      <c r="F2816" s="2" t="s">
        <v>1186</v>
      </c>
      <c r="G2816" s="2" t="s">
        <v>6776</v>
      </c>
    </row>
    <row r="2817" customFormat="false" ht="15" hidden="false" customHeight="false" outlineLevel="0" collapsed="false">
      <c r="A2817" s="2" t="s">
        <v>6777</v>
      </c>
      <c r="B2817" s="2" t="s">
        <v>221</v>
      </c>
      <c r="C2817" s="2" t="s">
        <v>221</v>
      </c>
      <c r="D2817" s="2" t="s">
        <v>48</v>
      </c>
      <c r="E2817" s="2" t="s">
        <v>1185</v>
      </c>
      <c r="F2817" s="2" t="s">
        <v>1186</v>
      </c>
      <c r="G2817" s="2" t="s">
        <v>6778</v>
      </c>
    </row>
    <row r="2818" customFormat="false" ht="15" hidden="false" customHeight="false" outlineLevel="0" collapsed="false">
      <c r="A2818" s="2" t="s">
        <v>6779</v>
      </c>
      <c r="B2818" s="2" t="s">
        <v>221</v>
      </c>
      <c r="C2818" s="2" t="s">
        <v>221</v>
      </c>
      <c r="D2818" s="2" t="s">
        <v>48</v>
      </c>
      <c r="E2818" s="2" t="s">
        <v>1185</v>
      </c>
      <c r="F2818" s="2" t="s">
        <v>1186</v>
      </c>
      <c r="G2818" s="2" t="s">
        <v>6780</v>
      </c>
    </row>
    <row r="2819" customFormat="false" ht="15" hidden="false" customHeight="false" outlineLevel="0" collapsed="false">
      <c r="A2819" s="2" t="s">
        <v>6781</v>
      </c>
      <c r="B2819" s="2" t="s">
        <v>221</v>
      </c>
      <c r="C2819" s="2" t="s">
        <v>221</v>
      </c>
      <c r="D2819" s="2" t="s">
        <v>48</v>
      </c>
      <c r="E2819" s="2" t="s">
        <v>1185</v>
      </c>
      <c r="F2819" s="2" t="s">
        <v>1186</v>
      </c>
      <c r="G2819" s="2" t="s">
        <v>6782</v>
      </c>
    </row>
    <row r="2820" customFormat="false" ht="15" hidden="false" customHeight="false" outlineLevel="0" collapsed="false">
      <c r="A2820" s="2" t="s">
        <v>6783</v>
      </c>
      <c r="B2820" s="2" t="s">
        <v>221</v>
      </c>
      <c r="C2820" s="2" t="s">
        <v>221</v>
      </c>
      <c r="D2820" s="2" t="s">
        <v>48</v>
      </c>
      <c r="E2820" s="2" t="s">
        <v>1185</v>
      </c>
      <c r="F2820" s="2" t="s">
        <v>1186</v>
      </c>
      <c r="G2820" s="2" t="s">
        <v>6784</v>
      </c>
    </row>
    <row r="2821" customFormat="false" ht="15" hidden="false" customHeight="false" outlineLevel="0" collapsed="false">
      <c r="A2821" s="2" t="s">
        <v>6785</v>
      </c>
      <c r="B2821" s="2" t="s">
        <v>221</v>
      </c>
      <c r="C2821" s="2" t="s">
        <v>221</v>
      </c>
      <c r="D2821" s="2" t="s">
        <v>48</v>
      </c>
      <c r="E2821" s="2" t="s">
        <v>1185</v>
      </c>
      <c r="F2821" s="2" t="s">
        <v>1186</v>
      </c>
      <c r="G2821" s="2" t="s">
        <v>6786</v>
      </c>
    </row>
    <row r="2822" customFormat="false" ht="15" hidden="false" customHeight="false" outlineLevel="0" collapsed="false">
      <c r="A2822" s="2" t="s">
        <v>6787</v>
      </c>
      <c r="B2822" s="2" t="s">
        <v>221</v>
      </c>
      <c r="C2822" s="2" t="s">
        <v>221</v>
      </c>
      <c r="D2822" s="2" t="s">
        <v>48</v>
      </c>
      <c r="E2822" s="2" t="s">
        <v>1185</v>
      </c>
      <c r="F2822" s="2" t="s">
        <v>1186</v>
      </c>
      <c r="G2822" s="2" t="s">
        <v>6788</v>
      </c>
    </row>
    <row r="2823" customFormat="false" ht="15" hidden="false" customHeight="false" outlineLevel="0" collapsed="false">
      <c r="A2823" s="2" t="s">
        <v>6789</v>
      </c>
      <c r="B2823" s="2" t="s">
        <v>221</v>
      </c>
      <c r="C2823" s="2" t="s">
        <v>221</v>
      </c>
      <c r="D2823" s="2" t="s">
        <v>48</v>
      </c>
      <c r="E2823" s="2" t="s">
        <v>1185</v>
      </c>
      <c r="F2823" s="2" t="s">
        <v>1186</v>
      </c>
      <c r="G2823" s="2" t="s">
        <v>6790</v>
      </c>
    </row>
    <row r="2824" customFormat="false" ht="15" hidden="false" customHeight="false" outlineLevel="0" collapsed="false">
      <c r="A2824" s="2" t="s">
        <v>6791</v>
      </c>
      <c r="B2824" s="2" t="s">
        <v>221</v>
      </c>
      <c r="C2824" s="2" t="s">
        <v>221</v>
      </c>
      <c r="D2824" s="2" t="s">
        <v>48</v>
      </c>
      <c r="E2824" s="2" t="s">
        <v>1185</v>
      </c>
      <c r="F2824" s="2" t="s">
        <v>1186</v>
      </c>
      <c r="G2824" s="2" t="s">
        <v>6792</v>
      </c>
    </row>
    <row r="2825" customFormat="false" ht="15" hidden="false" customHeight="false" outlineLevel="0" collapsed="false">
      <c r="A2825" s="2" t="s">
        <v>6793</v>
      </c>
      <c r="B2825" s="2" t="s">
        <v>221</v>
      </c>
      <c r="C2825" s="2" t="s">
        <v>221</v>
      </c>
      <c r="D2825" s="2" t="s">
        <v>48</v>
      </c>
      <c r="E2825" s="2" t="s">
        <v>1185</v>
      </c>
      <c r="F2825" s="2" t="s">
        <v>1186</v>
      </c>
      <c r="G2825" s="2" t="s">
        <v>6794</v>
      </c>
    </row>
    <row r="2826" customFormat="false" ht="15" hidden="false" customHeight="false" outlineLevel="0" collapsed="false">
      <c r="A2826" s="2" t="s">
        <v>6795</v>
      </c>
      <c r="B2826" s="2" t="s">
        <v>221</v>
      </c>
      <c r="C2826" s="2" t="s">
        <v>6796</v>
      </c>
      <c r="D2826" s="2" t="s">
        <v>49</v>
      </c>
      <c r="E2826" s="2" t="s">
        <v>1563</v>
      </c>
      <c r="F2826" s="2" t="s">
        <v>1186</v>
      </c>
      <c r="G2826" s="2" t="s">
        <v>6797</v>
      </c>
    </row>
    <row r="2827" customFormat="false" ht="15" hidden="false" customHeight="false" outlineLevel="0" collapsed="false">
      <c r="A2827" s="2" t="s">
        <v>6798</v>
      </c>
      <c r="B2827" s="2" t="s">
        <v>221</v>
      </c>
      <c r="C2827" s="2" t="s">
        <v>6796</v>
      </c>
      <c r="D2827" s="2" t="s">
        <v>49</v>
      </c>
      <c r="E2827" s="2" t="s">
        <v>1563</v>
      </c>
      <c r="F2827" s="2" t="s">
        <v>1186</v>
      </c>
      <c r="G2827" s="2" t="s">
        <v>6799</v>
      </c>
    </row>
    <row r="2828" customFormat="false" ht="15" hidden="false" customHeight="false" outlineLevel="0" collapsed="false">
      <c r="A2828" s="2" t="s">
        <v>6800</v>
      </c>
      <c r="B2828" s="2" t="s">
        <v>221</v>
      </c>
      <c r="C2828" s="2" t="s">
        <v>6796</v>
      </c>
      <c r="D2828" s="2" t="s">
        <v>49</v>
      </c>
      <c r="E2828" s="2" t="s">
        <v>1563</v>
      </c>
      <c r="F2828" s="2" t="s">
        <v>1186</v>
      </c>
      <c r="G2828" s="2" t="s">
        <v>6801</v>
      </c>
    </row>
    <row r="2829" customFormat="false" ht="15" hidden="false" customHeight="false" outlineLevel="0" collapsed="false">
      <c r="A2829" s="2" t="s">
        <v>6802</v>
      </c>
      <c r="B2829" s="2" t="s">
        <v>221</v>
      </c>
      <c r="C2829" s="2" t="s">
        <v>6796</v>
      </c>
      <c r="D2829" s="2" t="s">
        <v>49</v>
      </c>
      <c r="E2829" s="2" t="s">
        <v>1563</v>
      </c>
      <c r="F2829" s="2" t="s">
        <v>1186</v>
      </c>
      <c r="G2829" s="2" t="s">
        <v>6803</v>
      </c>
    </row>
    <row r="2830" customFormat="false" ht="15" hidden="false" customHeight="false" outlineLevel="0" collapsed="false">
      <c r="A2830" s="2" t="s">
        <v>6804</v>
      </c>
      <c r="B2830" s="2" t="s">
        <v>221</v>
      </c>
      <c r="C2830" s="2" t="s">
        <v>6796</v>
      </c>
      <c r="D2830" s="2" t="s">
        <v>49</v>
      </c>
      <c r="E2830" s="2" t="s">
        <v>1563</v>
      </c>
      <c r="F2830" s="2" t="s">
        <v>1186</v>
      </c>
      <c r="G2830" s="2" t="s">
        <v>6805</v>
      </c>
    </row>
    <row r="2831" customFormat="false" ht="15" hidden="false" customHeight="false" outlineLevel="0" collapsed="false">
      <c r="A2831" s="2" t="s">
        <v>6806</v>
      </c>
      <c r="B2831" s="2" t="s">
        <v>221</v>
      </c>
      <c r="C2831" s="2" t="s">
        <v>221</v>
      </c>
      <c r="D2831" s="2" t="s">
        <v>48</v>
      </c>
      <c r="E2831" s="2" t="s">
        <v>1185</v>
      </c>
      <c r="F2831" s="2" t="s">
        <v>1186</v>
      </c>
      <c r="G2831" s="2" t="s">
        <v>6807</v>
      </c>
    </row>
    <row r="2832" customFormat="false" ht="15" hidden="false" customHeight="false" outlineLevel="0" collapsed="false">
      <c r="A2832" s="2" t="s">
        <v>6808</v>
      </c>
      <c r="B2832" s="2" t="s">
        <v>221</v>
      </c>
      <c r="C2832" s="2" t="s">
        <v>6796</v>
      </c>
      <c r="D2832" s="2" t="s">
        <v>49</v>
      </c>
      <c r="E2832" s="2" t="s">
        <v>1563</v>
      </c>
      <c r="F2832" s="2" t="s">
        <v>1186</v>
      </c>
      <c r="G2832" s="2" t="s">
        <v>6809</v>
      </c>
    </row>
    <row r="2833" customFormat="false" ht="15" hidden="false" customHeight="false" outlineLevel="0" collapsed="false">
      <c r="A2833" s="2" t="s">
        <v>6810</v>
      </c>
      <c r="B2833" s="2" t="s">
        <v>221</v>
      </c>
      <c r="C2833" s="2" t="s">
        <v>6796</v>
      </c>
      <c r="D2833" s="2" t="s">
        <v>49</v>
      </c>
      <c r="E2833" s="2" t="s">
        <v>1563</v>
      </c>
      <c r="F2833" s="2" t="s">
        <v>1186</v>
      </c>
      <c r="G2833" s="2" t="s">
        <v>6811</v>
      </c>
    </row>
    <row r="2834" customFormat="false" ht="15" hidden="false" customHeight="false" outlineLevel="0" collapsed="false">
      <c r="A2834" s="2" t="s">
        <v>6812</v>
      </c>
      <c r="B2834" s="2" t="s">
        <v>221</v>
      </c>
      <c r="C2834" s="2" t="s">
        <v>221</v>
      </c>
      <c r="D2834" s="2" t="s">
        <v>48</v>
      </c>
      <c r="E2834" s="2" t="s">
        <v>1185</v>
      </c>
      <c r="F2834" s="2" t="s">
        <v>1186</v>
      </c>
      <c r="G2834" s="2" t="s">
        <v>6813</v>
      </c>
    </row>
    <row r="2835" customFormat="false" ht="15" hidden="false" customHeight="false" outlineLevel="0" collapsed="false">
      <c r="A2835" s="2" t="s">
        <v>6814</v>
      </c>
      <c r="B2835" s="2" t="s">
        <v>221</v>
      </c>
      <c r="C2835" s="2" t="s">
        <v>221</v>
      </c>
      <c r="D2835" s="2" t="s">
        <v>48</v>
      </c>
      <c r="E2835" s="2" t="s">
        <v>1185</v>
      </c>
      <c r="F2835" s="2" t="s">
        <v>1186</v>
      </c>
      <c r="G2835" s="2" t="s">
        <v>6815</v>
      </c>
    </row>
    <row r="2836" customFormat="false" ht="15" hidden="false" customHeight="false" outlineLevel="0" collapsed="false">
      <c r="A2836" s="2" t="s">
        <v>6816</v>
      </c>
      <c r="B2836" s="2" t="s">
        <v>221</v>
      </c>
      <c r="C2836" s="2" t="s">
        <v>221</v>
      </c>
      <c r="D2836" s="2" t="s">
        <v>48</v>
      </c>
      <c r="E2836" s="2" t="s">
        <v>1185</v>
      </c>
      <c r="F2836" s="2" t="s">
        <v>1186</v>
      </c>
      <c r="G2836" s="2" t="s">
        <v>6817</v>
      </c>
    </row>
    <row r="2837" customFormat="false" ht="15" hidden="false" customHeight="false" outlineLevel="0" collapsed="false">
      <c r="A2837" s="2" t="s">
        <v>6818</v>
      </c>
      <c r="B2837" s="2" t="s">
        <v>221</v>
      </c>
      <c r="C2837" s="2" t="s">
        <v>221</v>
      </c>
      <c r="D2837" s="2" t="s">
        <v>48</v>
      </c>
      <c r="E2837" s="2" t="s">
        <v>1185</v>
      </c>
      <c r="F2837" s="2" t="s">
        <v>1186</v>
      </c>
      <c r="G2837" s="2" t="s">
        <v>6819</v>
      </c>
    </row>
    <row r="2838" customFormat="false" ht="15" hidden="false" customHeight="false" outlineLevel="0" collapsed="false">
      <c r="A2838" s="2" t="s">
        <v>6820</v>
      </c>
      <c r="B2838" s="2" t="s">
        <v>221</v>
      </c>
      <c r="C2838" s="2" t="s">
        <v>221</v>
      </c>
      <c r="D2838" s="2" t="s">
        <v>48</v>
      </c>
      <c r="E2838" s="2" t="s">
        <v>1185</v>
      </c>
      <c r="F2838" s="2" t="s">
        <v>1186</v>
      </c>
      <c r="G2838" s="2" t="s">
        <v>6821</v>
      </c>
    </row>
    <row r="2839" customFormat="false" ht="15" hidden="false" customHeight="false" outlineLevel="0" collapsed="false">
      <c r="A2839" s="2" t="s">
        <v>6822</v>
      </c>
      <c r="B2839" s="2" t="s">
        <v>221</v>
      </c>
      <c r="C2839" s="2" t="s">
        <v>6796</v>
      </c>
      <c r="D2839" s="2" t="s">
        <v>49</v>
      </c>
      <c r="E2839" s="2" t="s">
        <v>1563</v>
      </c>
      <c r="F2839" s="2" t="s">
        <v>1186</v>
      </c>
      <c r="G2839" s="2" t="s">
        <v>6823</v>
      </c>
    </row>
    <row r="2840" customFormat="false" ht="15" hidden="false" customHeight="false" outlineLevel="0" collapsed="false">
      <c r="A2840" s="2" t="s">
        <v>6824</v>
      </c>
      <c r="B2840" s="2" t="s">
        <v>221</v>
      </c>
      <c r="C2840" s="2" t="s">
        <v>221</v>
      </c>
      <c r="D2840" s="2" t="s">
        <v>48</v>
      </c>
      <c r="E2840" s="2" t="s">
        <v>1185</v>
      </c>
      <c r="F2840" s="2" t="s">
        <v>1186</v>
      </c>
      <c r="G2840" s="2" t="s">
        <v>6825</v>
      </c>
    </row>
    <row r="2841" customFormat="false" ht="15" hidden="false" customHeight="false" outlineLevel="0" collapsed="false">
      <c r="A2841" s="2" t="s">
        <v>6826</v>
      </c>
      <c r="B2841" s="2" t="s">
        <v>221</v>
      </c>
      <c r="C2841" s="2" t="s">
        <v>6796</v>
      </c>
      <c r="D2841" s="2" t="s">
        <v>49</v>
      </c>
      <c r="E2841" s="2" t="s">
        <v>1563</v>
      </c>
      <c r="F2841" s="2" t="s">
        <v>1186</v>
      </c>
      <c r="G2841" s="2" t="s">
        <v>6827</v>
      </c>
    </row>
    <row r="2842" customFormat="false" ht="15" hidden="false" customHeight="false" outlineLevel="0" collapsed="false">
      <c r="A2842" s="2" t="s">
        <v>6828</v>
      </c>
      <c r="B2842" s="2" t="s">
        <v>221</v>
      </c>
      <c r="C2842" s="2" t="s">
        <v>6796</v>
      </c>
      <c r="D2842" s="2" t="s">
        <v>49</v>
      </c>
      <c r="E2842" s="2" t="s">
        <v>1563</v>
      </c>
      <c r="F2842" s="2" t="s">
        <v>1186</v>
      </c>
      <c r="G2842" s="2" t="s">
        <v>6829</v>
      </c>
    </row>
    <row r="2843" customFormat="false" ht="15" hidden="false" customHeight="false" outlineLevel="0" collapsed="false">
      <c r="A2843" s="2" t="s">
        <v>6830</v>
      </c>
      <c r="B2843" s="2" t="s">
        <v>221</v>
      </c>
      <c r="C2843" s="2" t="s">
        <v>6796</v>
      </c>
      <c r="D2843" s="2" t="s">
        <v>49</v>
      </c>
      <c r="E2843" s="2" t="s">
        <v>1563</v>
      </c>
      <c r="F2843" s="2" t="s">
        <v>1186</v>
      </c>
      <c r="G2843" s="2" t="s">
        <v>6831</v>
      </c>
    </row>
    <row r="2844" customFormat="false" ht="15" hidden="false" customHeight="false" outlineLevel="0" collapsed="false">
      <c r="A2844" s="2" t="s">
        <v>6832</v>
      </c>
      <c r="B2844" s="2" t="s">
        <v>221</v>
      </c>
      <c r="C2844" s="2" t="s">
        <v>6796</v>
      </c>
      <c r="D2844" s="2" t="s">
        <v>49</v>
      </c>
      <c r="E2844" s="2" t="s">
        <v>1563</v>
      </c>
      <c r="F2844" s="2" t="s">
        <v>1186</v>
      </c>
      <c r="G2844" s="2" t="s">
        <v>6833</v>
      </c>
    </row>
    <row r="2845" customFormat="false" ht="15" hidden="false" customHeight="false" outlineLevel="0" collapsed="false">
      <c r="A2845" s="2" t="s">
        <v>6834</v>
      </c>
      <c r="B2845" s="2" t="s">
        <v>221</v>
      </c>
      <c r="C2845" s="2" t="s">
        <v>6796</v>
      </c>
      <c r="D2845" s="2" t="s">
        <v>49</v>
      </c>
      <c r="E2845" s="2" t="s">
        <v>1563</v>
      </c>
      <c r="F2845" s="2" t="s">
        <v>1186</v>
      </c>
      <c r="G2845" s="2" t="s">
        <v>6835</v>
      </c>
    </row>
    <row r="2846" customFormat="false" ht="15" hidden="false" customHeight="false" outlineLevel="0" collapsed="false">
      <c r="A2846" s="2" t="s">
        <v>6836</v>
      </c>
      <c r="B2846" s="2" t="s">
        <v>221</v>
      </c>
      <c r="C2846" s="2" t="s">
        <v>6796</v>
      </c>
      <c r="D2846" s="2" t="s">
        <v>49</v>
      </c>
      <c r="E2846" s="2" t="s">
        <v>1563</v>
      </c>
      <c r="F2846" s="2" t="s">
        <v>1186</v>
      </c>
      <c r="G2846" s="2" t="s">
        <v>6837</v>
      </c>
    </row>
    <row r="2847" customFormat="false" ht="15" hidden="false" customHeight="false" outlineLevel="0" collapsed="false">
      <c r="A2847" s="2" t="s">
        <v>6838</v>
      </c>
      <c r="B2847" s="2" t="s">
        <v>221</v>
      </c>
      <c r="C2847" s="2" t="s">
        <v>6796</v>
      </c>
      <c r="D2847" s="2" t="s">
        <v>49</v>
      </c>
      <c r="E2847" s="2" t="s">
        <v>1563</v>
      </c>
      <c r="F2847" s="2" t="s">
        <v>1186</v>
      </c>
      <c r="G2847" s="2" t="s">
        <v>6839</v>
      </c>
    </row>
    <row r="2848" customFormat="false" ht="15" hidden="false" customHeight="false" outlineLevel="0" collapsed="false">
      <c r="A2848" s="2" t="s">
        <v>6840</v>
      </c>
      <c r="B2848" s="2" t="s">
        <v>221</v>
      </c>
      <c r="C2848" s="2" t="s">
        <v>6796</v>
      </c>
      <c r="D2848" s="2" t="s">
        <v>49</v>
      </c>
      <c r="E2848" s="2" t="s">
        <v>1563</v>
      </c>
      <c r="F2848" s="2" t="s">
        <v>1186</v>
      </c>
      <c r="G2848" s="2" t="s">
        <v>6841</v>
      </c>
    </row>
    <row r="2849" customFormat="false" ht="15" hidden="false" customHeight="false" outlineLevel="0" collapsed="false">
      <c r="A2849" s="2" t="s">
        <v>6842</v>
      </c>
      <c r="B2849" s="2" t="s">
        <v>221</v>
      </c>
      <c r="C2849" s="2" t="s">
        <v>6796</v>
      </c>
      <c r="D2849" s="2" t="s">
        <v>49</v>
      </c>
      <c r="E2849" s="2" t="s">
        <v>1563</v>
      </c>
      <c r="F2849" s="2" t="s">
        <v>1186</v>
      </c>
      <c r="G2849" s="2" t="s">
        <v>6843</v>
      </c>
    </row>
    <row r="2850" customFormat="false" ht="15" hidden="false" customHeight="false" outlineLevel="0" collapsed="false">
      <c r="A2850" s="2" t="s">
        <v>6844</v>
      </c>
      <c r="B2850" s="2" t="s">
        <v>221</v>
      </c>
      <c r="C2850" s="2" t="s">
        <v>6796</v>
      </c>
      <c r="D2850" s="2" t="s">
        <v>49</v>
      </c>
      <c r="E2850" s="2" t="s">
        <v>1563</v>
      </c>
      <c r="F2850" s="2" t="s">
        <v>1186</v>
      </c>
      <c r="G2850" s="2" t="s">
        <v>6845</v>
      </c>
    </row>
    <row r="2851" customFormat="false" ht="15" hidden="false" customHeight="false" outlineLevel="0" collapsed="false">
      <c r="A2851" s="2" t="s">
        <v>6846</v>
      </c>
      <c r="B2851" s="2" t="s">
        <v>221</v>
      </c>
      <c r="C2851" s="2" t="s">
        <v>2732</v>
      </c>
      <c r="D2851" s="2" t="s">
        <v>50</v>
      </c>
      <c r="E2851" s="2" t="s">
        <v>2733</v>
      </c>
      <c r="F2851" s="2" t="s">
        <v>1186</v>
      </c>
      <c r="G2851" s="2" t="s">
        <v>6847</v>
      </c>
    </row>
    <row r="2852" customFormat="false" ht="15" hidden="false" customHeight="false" outlineLevel="0" collapsed="false">
      <c r="A2852" s="2" t="s">
        <v>6848</v>
      </c>
      <c r="B2852" s="2" t="s">
        <v>221</v>
      </c>
      <c r="C2852" s="2" t="s">
        <v>6796</v>
      </c>
      <c r="D2852" s="2" t="s">
        <v>49</v>
      </c>
      <c r="E2852" s="2" t="s">
        <v>1563</v>
      </c>
      <c r="F2852" s="2" t="s">
        <v>1186</v>
      </c>
      <c r="G2852" s="2" t="s">
        <v>6849</v>
      </c>
    </row>
    <row r="2853" customFormat="false" ht="15" hidden="false" customHeight="false" outlineLevel="0" collapsed="false">
      <c r="A2853" s="2" t="s">
        <v>6850</v>
      </c>
      <c r="B2853" s="2" t="s">
        <v>221</v>
      </c>
      <c r="C2853" s="2" t="s">
        <v>6796</v>
      </c>
      <c r="D2853" s="2" t="s">
        <v>49</v>
      </c>
      <c r="E2853" s="2" t="s">
        <v>1563</v>
      </c>
      <c r="F2853" s="2" t="s">
        <v>1186</v>
      </c>
      <c r="G2853" s="2" t="s">
        <v>6851</v>
      </c>
    </row>
    <row r="2854" customFormat="false" ht="15" hidden="false" customHeight="false" outlineLevel="0" collapsed="false">
      <c r="A2854" s="2" t="s">
        <v>6852</v>
      </c>
      <c r="B2854" s="2" t="s">
        <v>221</v>
      </c>
      <c r="C2854" s="2" t="s">
        <v>6796</v>
      </c>
      <c r="D2854" s="2" t="s">
        <v>49</v>
      </c>
      <c r="E2854" s="2" t="s">
        <v>1563</v>
      </c>
      <c r="F2854" s="2" t="s">
        <v>1186</v>
      </c>
      <c r="G2854" s="2" t="s">
        <v>6853</v>
      </c>
    </row>
    <row r="2855" customFormat="false" ht="15" hidden="false" customHeight="false" outlineLevel="0" collapsed="false">
      <c r="A2855" s="2" t="s">
        <v>6854</v>
      </c>
      <c r="B2855" s="2" t="s">
        <v>221</v>
      </c>
      <c r="C2855" s="2" t="s">
        <v>221</v>
      </c>
      <c r="D2855" s="2" t="s">
        <v>48</v>
      </c>
      <c r="E2855" s="2" t="s">
        <v>1185</v>
      </c>
      <c r="F2855" s="2" t="s">
        <v>1186</v>
      </c>
      <c r="G2855" s="2" t="s">
        <v>6855</v>
      </c>
    </row>
    <row r="2856" customFormat="false" ht="15" hidden="false" customHeight="false" outlineLevel="0" collapsed="false">
      <c r="A2856" s="2" t="s">
        <v>6856</v>
      </c>
      <c r="B2856" s="2" t="s">
        <v>221</v>
      </c>
      <c r="C2856" s="2" t="s">
        <v>6796</v>
      </c>
      <c r="D2856" s="2" t="s">
        <v>49</v>
      </c>
      <c r="E2856" s="2" t="s">
        <v>1563</v>
      </c>
      <c r="F2856" s="2" t="s">
        <v>1186</v>
      </c>
      <c r="G2856" s="2" t="s">
        <v>6857</v>
      </c>
    </row>
    <row r="2857" customFormat="false" ht="15" hidden="false" customHeight="false" outlineLevel="0" collapsed="false">
      <c r="A2857" s="2" t="s">
        <v>6858</v>
      </c>
      <c r="B2857" s="2" t="s">
        <v>221</v>
      </c>
      <c r="C2857" s="2" t="s">
        <v>221</v>
      </c>
      <c r="D2857" s="2" t="s">
        <v>48</v>
      </c>
      <c r="E2857" s="2" t="s">
        <v>1185</v>
      </c>
      <c r="F2857" s="2" t="s">
        <v>1186</v>
      </c>
      <c r="G2857" s="2" t="s">
        <v>6859</v>
      </c>
    </row>
    <row r="2858" customFormat="false" ht="15" hidden="false" customHeight="false" outlineLevel="0" collapsed="false">
      <c r="A2858" s="2" t="s">
        <v>6860</v>
      </c>
      <c r="B2858" s="2" t="s">
        <v>221</v>
      </c>
      <c r="C2858" s="2" t="s">
        <v>6796</v>
      </c>
      <c r="D2858" s="2" t="s">
        <v>49</v>
      </c>
      <c r="E2858" s="2" t="s">
        <v>1563</v>
      </c>
      <c r="F2858" s="2" t="s">
        <v>1186</v>
      </c>
      <c r="G2858" s="2" t="s">
        <v>6861</v>
      </c>
    </row>
    <row r="2859" customFormat="false" ht="15" hidden="false" customHeight="false" outlineLevel="0" collapsed="false">
      <c r="A2859" s="2" t="s">
        <v>6862</v>
      </c>
      <c r="B2859" s="2" t="s">
        <v>221</v>
      </c>
      <c r="C2859" s="2" t="s">
        <v>6796</v>
      </c>
      <c r="D2859" s="2" t="s">
        <v>49</v>
      </c>
      <c r="E2859" s="2" t="s">
        <v>1563</v>
      </c>
      <c r="F2859" s="2" t="s">
        <v>1186</v>
      </c>
      <c r="G2859" s="2" t="s">
        <v>6863</v>
      </c>
    </row>
    <row r="2860" customFormat="false" ht="15" hidden="false" customHeight="false" outlineLevel="0" collapsed="false">
      <c r="A2860" s="2" t="s">
        <v>6864</v>
      </c>
      <c r="B2860" s="2" t="s">
        <v>221</v>
      </c>
      <c r="C2860" s="2" t="s">
        <v>6796</v>
      </c>
      <c r="D2860" s="2" t="s">
        <v>49</v>
      </c>
      <c r="E2860" s="2" t="s">
        <v>1563</v>
      </c>
      <c r="F2860" s="2" t="s">
        <v>1186</v>
      </c>
      <c r="G2860" s="2" t="s">
        <v>6865</v>
      </c>
    </row>
    <row r="2861" customFormat="false" ht="15" hidden="false" customHeight="false" outlineLevel="0" collapsed="false">
      <c r="A2861" s="2" t="s">
        <v>6866</v>
      </c>
      <c r="B2861" s="2" t="s">
        <v>221</v>
      </c>
      <c r="C2861" s="2" t="s">
        <v>6796</v>
      </c>
      <c r="D2861" s="2" t="s">
        <v>49</v>
      </c>
      <c r="E2861" s="2" t="s">
        <v>1563</v>
      </c>
      <c r="F2861" s="2" t="s">
        <v>1186</v>
      </c>
      <c r="G2861" s="2" t="s">
        <v>6867</v>
      </c>
    </row>
    <row r="2862" customFormat="false" ht="15" hidden="false" customHeight="false" outlineLevel="0" collapsed="false">
      <c r="A2862" s="2" t="s">
        <v>6868</v>
      </c>
      <c r="B2862" s="2" t="s">
        <v>221</v>
      </c>
      <c r="C2862" s="2" t="s">
        <v>6796</v>
      </c>
      <c r="D2862" s="2" t="s">
        <v>49</v>
      </c>
      <c r="E2862" s="2" t="s">
        <v>1563</v>
      </c>
      <c r="F2862" s="2" t="s">
        <v>1186</v>
      </c>
      <c r="G2862" s="2" t="s">
        <v>6869</v>
      </c>
    </row>
    <row r="2863" customFormat="false" ht="15" hidden="false" customHeight="false" outlineLevel="0" collapsed="false">
      <c r="A2863" s="2" t="s">
        <v>6870</v>
      </c>
      <c r="B2863" s="2" t="s">
        <v>221</v>
      </c>
      <c r="C2863" s="2" t="s">
        <v>6796</v>
      </c>
      <c r="D2863" s="2" t="s">
        <v>49</v>
      </c>
      <c r="E2863" s="2" t="s">
        <v>1563</v>
      </c>
      <c r="F2863" s="2" t="s">
        <v>1186</v>
      </c>
      <c r="G2863" s="2" t="s">
        <v>6871</v>
      </c>
    </row>
    <row r="2864" customFormat="false" ht="15" hidden="false" customHeight="false" outlineLevel="0" collapsed="false">
      <c r="A2864" s="2" t="s">
        <v>6872</v>
      </c>
      <c r="B2864" s="2" t="s">
        <v>221</v>
      </c>
      <c r="C2864" s="2" t="s">
        <v>6796</v>
      </c>
      <c r="D2864" s="2" t="s">
        <v>49</v>
      </c>
      <c r="E2864" s="2" t="s">
        <v>1563</v>
      </c>
      <c r="F2864" s="2" t="s">
        <v>1186</v>
      </c>
      <c r="G2864" s="2" t="s">
        <v>6873</v>
      </c>
    </row>
    <row r="2865" customFormat="false" ht="15" hidden="false" customHeight="false" outlineLevel="0" collapsed="false">
      <c r="A2865" s="2" t="s">
        <v>6874</v>
      </c>
      <c r="B2865" s="2" t="s">
        <v>221</v>
      </c>
      <c r="C2865" s="2" t="s">
        <v>6796</v>
      </c>
      <c r="D2865" s="2" t="s">
        <v>49</v>
      </c>
      <c r="E2865" s="2" t="s">
        <v>1563</v>
      </c>
      <c r="F2865" s="2" t="s">
        <v>1186</v>
      </c>
      <c r="G2865" s="2" t="s">
        <v>6875</v>
      </c>
    </row>
    <row r="2866" customFormat="false" ht="15" hidden="false" customHeight="false" outlineLevel="0" collapsed="false">
      <c r="A2866" s="2" t="s">
        <v>6876</v>
      </c>
      <c r="B2866" s="2" t="s">
        <v>221</v>
      </c>
      <c r="C2866" s="2" t="s">
        <v>6796</v>
      </c>
      <c r="D2866" s="2" t="s">
        <v>49</v>
      </c>
      <c r="E2866" s="2" t="s">
        <v>1563</v>
      </c>
      <c r="F2866" s="2" t="s">
        <v>1186</v>
      </c>
      <c r="G2866" s="2" t="s">
        <v>6877</v>
      </c>
    </row>
    <row r="2867" customFormat="false" ht="15" hidden="false" customHeight="false" outlineLevel="0" collapsed="false">
      <c r="A2867" s="2" t="s">
        <v>6878</v>
      </c>
      <c r="B2867" s="2" t="s">
        <v>221</v>
      </c>
      <c r="C2867" s="2" t="s">
        <v>6796</v>
      </c>
      <c r="D2867" s="2" t="s">
        <v>49</v>
      </c>
      <c r="E2867" s="2" t="s">
        <v>1563</v>
      </c>
      <c r="F2867" s="2" t="s">
        <v>1186</v>
      </c>
      <c r="G2867" s="2" t="s">
        <v>6879</v>
      </c>
    </row>
    <row r="2868" customFormat="false" ht="15" hidden="false" customHeight="false" outlineLevel="0" collapsed="false">
      <c r="A2868" s="2" t="s">
        <v>6880</v>
      </c>
      <c r="B2868" s="2" t="s">
        <v>221</v>
      </c>
      <c r="C2868" s="2" t="s">
        <v>6796</v>
      </c>
      <c r="D2868" s="2" t="s">
        <v>49</v>
      </c>
      <c r="E2868" s="2" t="s">
        <v>1563</v>
      </c>
      <c r="F2868" s="2" t="s">
        <v>1186</v>
      </c>
      <c r="G2868" s="2" t="s">
        <v>6881</v>
      </c>
    </row>
    <row r="2869" customFormat="false" ht="15" hidden="false" customHeight="false" outlineLevel="0" collapsed="false">
      <c r="A2869" s="2" t="s">
        <v>6882</v>
      </c>
      <c r="B2869" s="2" t="s">
        <v>221</v>
      </c>
      <c r="C2869" s="2" t="s">
        <v>6796</v>
      </c>
      <c r="D2869" s="2" t="s">
        <v>49</v>
      </c>
      <c r="E2869" s="2" t="s">
        <v>1563</v>
      </c>
      <c r="F2869" s="2" t="s">
        <v>1186</v>
      </c>
      <c r="G2869" s="2" t="s">
        <v>6883</v>
      </c>
    </row>
    <row r="2870" customFormat="false" ht="15" hidden="false" customHeight="false" outlineLevel="0" collapsed="false">
      <c r="A2870" s="2" t="s">
        <v>6884</v>
      </c>
      <c r="B2870" s="2" t="s">
        <v>221</v>
      </c>
      <c r="C2870" s="2" t="s">
        <v>6796</v>
      </c>
      <c r="D2870" s="2" t="s">
        <v>49</v>
      </c>
      <c r="E2870" s="2" t="s">
        <v>1563</v>
      </c>
      <c r="F2870" s="2" t="s">
        <v>1186</v>
      </c>
      <c r="G2870" s="2" t="s">
        <v>6885</v>
      </c>
    </row>
    <row r="2871" customFormat="false" ht="15" hidden="false" customHeight="false" outlineLevel="0" collapsed="false">
      <c r="A2871" s="2" t="s">
        <v>6886</v>
      </c>
      <c r="B2871" s="2" t="s">
        <v>221</v>
      </c>
      <c r="C2871" s="2" t="s">
        <v>6796</v>
      </c>
      <c r="D2871" s="2" t="s">
        <v>49</v>
      </c>
      <c r="E2871" s="2" t="s">
        <v>1563</v>
      </c>
      <c r="F2871" s="2" t="s">
        <v>1186</v>
      </c>
      <c r="G2871" s="2" t="s">
        <v>6887</v>
      </c>
    </row>
    <row r="2872" customFormat="false" ht="15" hidden="false" customHeight="false" outlineLevel="0" collapsed="false">
      <c r="A2872" s="2" t="s">
        <v>6888</v>
      </c>
      <c r="B2872" s="2" t="s">
        <v>221</v>
      </c>
      <c r="C2872" s="2" t="s">
        <v>6796</v>
      </c>
      <c r="D2872" s="2" t="s">
        <v>49</v>
      </c>
      <c r="E2872" s="2" t="s">
        <v>1563</v>
      </c>
      <c r="F2872" s="2" t="s">
        <v>1186</v>
      </c>
      <c r="G2872" s="2" t="s">
        <v>6889</v>
      </c>
    </row>
    <row r="2873" customFormat="false" ht="15" hidden="false" customHeight="false" outlineLevel="0" collapsed="false">
      <c r="A2873" s="2" t="s">
        <v>6890</v>
      </c>
      <c r="B2873" s="2" t="s">
        <v>221</v>
      </c>
      <c r="C2873" s="2" t="s">
        <v>6796</v>
      </c>
      <c r="D2873" s="2" t="s">
        <v>49</v>
      </c>
      <c r="E2873" s="2" t="s">
        <v>1563</v>
      </c>
      <c r="F2873" s="2" t="s">
        <v>1186</v>
      </c>
      <c r="G2873" s="2" t="s">
        <v>6891</v>
      </c>
    </row>
    <row r="2874" customFormat="false" ht="15" hidden="false" customHeight="false" outlineLevel="0" collapsed="false">
      <c r="A2874" s="2" t="s">
        <v>6892</v>
      </c>
      <c r="B2874" s="2" t="s">
        <v>221</v>
      </c>
      <c r="C2874" s="2" t="s">
        <v>6796</v>
      </c>
      <c r="D2874" s="2" t="s">
        <v>49</v>
      </c>
      <c r="E2874" s="2" t="s">
        <v>1563</v>
      </c>
      <c r="F2874" s="2" t="s">
        <v>1186</v>
      </c>
      <c r="G2874" s="2" t="s">
        <v>6893</v>
      </c>
    </row>
    <row r="2875" customFormat="false" ht="15" hidden="false" customHeight="false" outlineLevel="0" collapsed="false">
      <c r="A2875" s="2" t="s">
        <v>6894</v>
      </c>
      <c r="B2875" s="2" t="s">
        <v>221</v>
      </c>
      <c r="C2875" s="2" t="s">
        <v>6796</v>
      </c>
      <c r="D2875" s="2" t="s">
        <v>49</v>
      </c>
      <c r="E2875" s="2" t="s">
        <v>1563</v>
      </c>
      <c r="F2875" s="2" t="s">
        <v>1186</v>
      </c>
      <c r="G2875" s="2" t="s">
        <v>6895</v>
      </c>
    </row>
    <row r="2876" customFormat="false" ht="15" hidden="false" customHeight="false" outlineLevel="0" collapsed="false">
      <c r="A2876" s="2" t="s">
        <v>6896</v>
      </c>
      <c r="B2876" s="2" t="s">
        <v>221</v>
      </c>
      <c r="C2876" s="2" t="s">
        <v>6796</v>
      </c>
      <c r="D2876" s="2" t="s">
        <v>49</v>
      </c>
      <c r="E2876" s="2" t="s">
        <v>1563</v>
      </c>
      <c r="F2876" s="2" t="s">
        <v>1186</v>
      </c>
      <c r="G2876" s="2" t="s">
        <v>6897</v>
      </c>
    </row>
    <row r="2877" customFormat="false" ht="15" hidden="false" customHeight="false" outlineLevel="0" collapsed="false">
      <c r="A2877" s="2" t="s">
        <v>6898</v>
      </c>
      <c r="B2877" s="2" t="s">
        <v>221</v>
      </c>
      <c r="C2877" s="2" t="s">
        <v>6796</v>
      </c>
      <c r="D2877" s="2" t="s">
        <v>49</v>
      </c>
      <c r="E2877" s="2" t="s">
        <v>1563</v>
      </c>
      <c r="F2877" s="2" t="s">
        <v>1186</v>
      </c>
      <c r="G2877" s="2" t="s">
        <v>6899</v>
      </c>
    </row>
    <row r="2878" customFormat="false" ht="15" hidden="false" customHeight="false" outlineLevel="0" collapsed="false">
      <c r="A2878" s="2" t="s">
        <v>6900</v>
      </c>
      <c r="B2878" s="2" t="s">
        <v>221</v>
      </c>
      <c r="C2878" s="2" t="s">
        <v>6796</v>
      </c>
      <c r="D2878" s="2" t="s">
        <v>49</v>
      </c>
      <c r="E2878" s="2" t="s">
        <v>1563</v>
      </c>
      <c r="F2878" s="2" t="s">
        <v>1186</v>
      </c>
      <c r="G2878" s="2" t="s">
        <v>6901</v>
      </c>
    </row>
    <row r="2879" customFormat="false" ht="15" hidden="false" customHeight="false" outlineLevel="0" collapsed="false">
      <c r="A2879" s="2" t="s">
        <v>6902</v>
      </c>
      <c r="B2879" s="2" t="s">
        <v>221</v>
      </c>
      <c r="C2879" s="2" t="s">
        <v>6796</v>
      </c>
      <c r="D2879" s="2" t="s">
        <v>49</v>
      </c>
      <c r="E2879" s="2" t="s">
        <v>1563</v>
      </c>
      <c r="F2879" s="2" t="s">
        <v>1186</v>
      </c>
      <c r="G2879" s="2" t="s">
        <v>6903</v>
      </c>
    </row>
    <row r="2880" customFormat="false" ht="15" hidden="false" customHeight="false" outlineLevel="0" collapsed="false">
      <c r="A2880" s="2" t="s">
        <v>6904</v>
      </c>
      <c r="B2880" s="2" t="s">
        <v>221</v>
      </c>
      <c r="C2880" s="2" t="s">
        <v>6796</v>
      </c>
      <c r="D2880" s="2" t="s">
        <v>49</v>
      </c>
      <c r="E2880" s="2" t="s">
        <v>1563</v>
      </c>
      <c r="F2880" s="2" t="s">
        <v>1186</v>
      </c>
      <c r="G2880" s="2" t="s">
        <v>6905</v>
      </c>
    </row>
    <row r="2881" customFormat="false" ht="15" hidden="false" customHeight="false" outlineLevel="0" collapsed="false">
      <c r="A2881" s="2" t="s">
        <v>6906</v>
      </c>
      <c r="B2881" s="2" t="s">
        <v>221</v>
      </c>
      <c r="C2881" s="2" t="s">
        <v>6796</v>
      </c>
      <c r="D2881" s="2" t="s">
        <v>49</v>
      </c>
      <c r="E2881" s="2" t="s">
        <v>1563</v>
      </c>
      <c r="F2881" s="2" t="s">
        <v>1186</v>
      </c>
      <c r="G2881" s="2" t="s">
        <v>6907</v>
      </c>
    </row>
    <row r="2882" customFormat="false" ht="15" hidden="false" customHeight="false" outlineLevel="0" collapsed="false">
      <c r="A2882" s="2" t="s">
        <v>6908</v>
      </c>
      <c r="B2882" s="2" t="s">
        <v>221</v>
      </c>
      <c r="C2882" s="2" t="s">
        <v>6796</v>
      </c>
      <c r="D2882" s="2" t="s">
        <v>49</v>
      </c>
      <c r="E2882" s="2" t="s">
        <v>1563</v>
      </c>
      <c r="F2882" s="2" t="s">
        <v>1186</v>
      </c>
      <c r="G2882" s="2" t="s">
        <v>6909</v>
      </c>
    </row>
    <row r="2883" customFormat="false" ht="15" hidden="false" customHeight="false" outlineLevel="0" collapsed="false">
      <c r="A2883" s="2" t="s">
        <v>6910</v>
      </c>
      <c r="B2883" s="2" t="s">
        <v>221</v>
      </c>
      <c r="C2883" s="2" t="s">
        <v>6796</v>
      </c>
      <c r="D2883" s="2" t="s">
        <v>49</v>
      </c>
      <c r="E2883" s="2" t="s">
        <v>1563</v>
      </c>
      <c r="F2883" s="2" t="s">
        <v>1186</v>
      </c>
      <c r="G2883" s="2" t="s">
        <v>6911</v>
      </c>
    </row>
    <row r="2884" customFormat="false" ht="15" hidden="false" customHeight="false" outlineLevel="0" collapsed="false">
      <c r="A2884" s="2" t="s">
        <v>6912</v>
      </c>
      <c r="B2884" s="2" t="s">
        <v>221</v>
      </c>
      <c r="C2884" s="2" t="s">
        <v>6796</v>
      </c>
      <c r="D2884" s="2" t="s">
        <v>49</v>
      </c>
      <c r="E2884" s="2" t="s">
        <v>1563</v>
      </c>
      <c r="F2884" s="2" t="s">
        <v>1186</v>
      </c>
      <c r="G2884" s="2" t="s">
        <v>6913</v>
      </c>
    </row>
    <row r="2885" customFormat="false" ht="15" hidden="false" customHeight="false" outlineLevel="0" collapsed="false">
      <c r="A2885" s="2" t="s">
        <v>6914</v>
      </c>
      <c r="B2885" s="2" t="s">
        <v>221</v>
      </c>
      <c r="C2885" s="2" t="s">
        <v>6796</v>
      </c>
      <c r="D2885" s="2" t="s">
        <v>49</v>
      </c>
      <c r="E2885" s="2" t="s">
        <v>1563</v>
      </c>
      <c r="F2885" s="2" t="s">
        <v>1186</v>
      </c>
      <c r="G2885" s="2" t="s">
        <v>6915</v>
      </c>
    </row>
    <row r="2886" customFormat="false" ht="15" hidden="false" customHeight="false" outlineLevel="0" collapsed="false">
      <c r="A2886" s="2" t="s">
        <v>6916</v>
      </c>
      <c r="B2886" s="2" t="s">
        <v>221</v>
      </c>
      <c r="C2886" s="2" t="s">
        <v>6796</v>
      </c>
      <c r="D2886" s="2" t="s">
        <v>49</v>
      </c>
      <c r="E2886" s="2" t="s">
        <v>1563</v>
      </c>
      <c r="F2886" s="2" t="s">
        <v>1186</v>
      </c>
      <c r="G2886" s="2" t="s">
        <v>6917</v>
      </c>
    </row>
    <row r="2887" customFormat="false" ht="15" hidden="false" customHeight="false" outlineLevel="0" collapsed="false">
      <c r="A2887" s="2" t="s">
        <v>6918</v>
      </c>
      <c r="B2887" s="2" t="s">
        <v>221</v>
      </c>
      <c r="C2887" s="2" t="s">
        <v>6796</v>
      </c>
      <c r="D2887" s="2" t="s">
        <v>49</v>
      </c>
      <c r="E2887" s="2" t="s">
        <v>1563</v>
      </c>
      <c r="F2887" s="2" t="s">
        <v>1186</v>
      </c>
      <c r="G2887" s="2" t="s">
        <v>6919</v>
      </c>
    </row>
    <row r="2888" customFormat="false" ht="15" hidden="false" customHeight="false" outlineLevel="0" collapsed="false">
      <c r="A2888" s="2" t="s">
        <v>6920</v>
      </c>
      <c r="B2888" s="2" t="s">
        <v>221</v>
      </c>
      <c r="C2888" s="2" t="s">
        <v>6796</v>
      </c>
      <c r="D2888" s="2" t="s">
        <v>49</v>
      </c>
      <c r="E2888" s="2" t="s">
        <v>1563</v>
      </c>
      <c r="F2888" s="2" t="s">
        <v>1186</v>
      </c>
      <c r="G2888" s="2" t="s">
        <v>6921</v>
      </c>
    </row>
    <row r="2889" customFormat="false" ht="15" hidden="false" customHeight="false" outlineLevel="0" collapsed="false">
      <c r="A2889" s="2" t="s">
        <v>6922</v>
      </c>
      <c r="B2889" s="2" t="s">
        <v>221</v>
      </c>
      <c r="C2889" s="2" t="s">
        <v>6796</v>
      </c>
      <c r="D2889" s="2" t="s">
        <v>49</v>
      </c>
      <c r="E2889" s="2" t="s">
        <v>1563</v>
      </c>
      <c r="F2889" s="2" t="s">
        <v>1186</v>
      </c>
      <c r="G2889" s="2" t="s">
        <v>6923</v>
      </c>
    </row>
    <row r="2890" customFormat="false" ht="15" hidden="false" customHeight="false" outlineLevel="0" collapsed="false">
      <c r="A2890" s="2" t="s">
        <v>6924</v>
      </c>
      <c r="B2890" s="2" t="s">
        <v>221</v>
      </c>
      <c r="C2890" s="2" t="s">
        <v>6796</v>
      </c>
      <c r="D2890" s="2" t="s">
        <v>49</v>
      </c>
      <c r="E2890" s="2" t="s">
        <v>1563</v>
      </c>
      <c r="F2890" s="2" t="s">
        <v>1186</v>
      </c>
      <c r="G2890" s="2" t="s">
        <v>6925</v>
      </c>
    </row>
    <row r="2891" customFormat="false" ht="15" hidden="false" customHeight="false" outlineLevel="0" collapsed="false">
      <c r="A2891" s="2" t="s">
        <v>6926</v>
      </c>
      <c r="B2891" s="2" t="s">
        <v>221</v>
      </c>
      <c r="C2891" s="2" t="s">
        <v>6796</v>
      </c>
      <c r="D2891" s="2" t="s">
        <v>49</v>
      </c>
      <c r="E2891" s="2" t="s">
        <v>1563</v>
      </c>
      <c r="F2891" s="2" t="s">
        <v>1186</v>
      </c>
      <c r="G2891" s="2" t="s">
        <v>6927</v>
      </c>
    </row>
    <row r="2892" customFormat="false" ht="15" hidden="false" customHeight="false" outlineLevel="0" collapsed="false">
      <c r="A2892" s="2" t="s">
        <v>6928</v>
      </c>
      <c r="B2892" s="2" t="s">
        <v>221</v>
      </c>
      <c r="C2892" s="2" t="s">
        <v>6796</v>
      </c>
      <c r="D2892" s="2" t="s">
        <v>49</v>
      </c>
      <c r="E2892" s="2" t="s">
        <v>1563</v>
      </c>
      <c r="F2892" s="2" t="s">
        <v>1186</v>
      </c>
      <c r="G2892" s="2" t="s">
        <v>6929</v>
      </c>
    </row>
    <row r="2893" customFormat="false" ht="15" hidden="false" customHeight="false" outlineLevel="0" collapsed="false">
      <c r="A2893" s="2" t="s">
        <v>6930</v>
      </c>
      <c r="B2893" s="2" t="s">
        <v>221</v>
      </c>
      <c r="C2893" s="2" t="s">
        <v>6796</v>
      </c>
      <c r="D2893" s="2" t="s">
        <v>49</v>
      </c>
      <c r="E2893" s="2" t="s">
        <v>1563</v>
      </c>
      <c r="F2893" s="2" t="s">
        <v>1186</v>
      </c>
      <c r="G2893" s="2" t="s">
        <v>6931</v>
      </c>
    </row>
    <row r="2894" customFormat="false" ht="15" hidden="false" customHeight="false" outlineLevel="0" collapsed="false">
      <c r="A2894" s="2" t="s">
        <v>6932</v>
      </c>
      <c r="B2894" s="2" t="s">
        <v>221</v>
      </c>
      <c r="C2894" s="2" t="s">
        <v>6796</v>
      </c>
      <c r="D2894" s="2" t="s">
        <v>49</v>
      </c>
      <c r="E2894" s="2" t="s">
        <v>1563</v>
      </c>
      <c r="F2894" s="2" t="s">
        <v>1186</v>
      </c>
      <c r="G2894" s="2" t="s">
        <v>6933</v>
      </c>
    </row>
    <row r="2895" customFormat="false" ht="15" hidden="false" customHeight="false" outlineLevel="0" collapsed="false">
      <c r="A2895" s="2" t="s">
        <v>6934</v>
      </c>
      <c r="B2895" s="2" t="s">
        <v>221</v>
      </c>
      <c r="C2895" s="2" t="s">
        <v>6796</v>
      </c>
      <c r="D2895" s="2" t="s">
        <v>49</v>
      </c>
      <c r="E2895" s="2" t="s">
        <v>1563</v>
      </c>
      <c r="F2895" s="2" t="s">
        <v>1186</v>
      </c>
      <c r="G2895" s="2" t="s">
        <v>6935</v>
      </c>
    </row>
    <row r="2896" customFormat="false" ht="15" hidden="false" customHeight="false" outlineLevel="0" collapsed="false">
      <c r="A2896" s="2" t="s">
        <v>6936</v>
      </c>
      <c r="B2896" s="2" t="s">
        <v>221</v>
      </c>
      <c r="C2896" s="2" t="s">
        <v>6796</v>
      </c>
      <c r="D2896" s="2" t="s">
        <v>49</v>
      </c>
      <c r="E2896" s="2" t="s">
        <v>1563</v>
      </c>
      <c r="F2896" s="2" t="s">
        <v>1186</v>
      </c>
      <c r="G2896" s="2" t="s">
        <v>6937</v>
      </c>
    </row>
    <row r="2897" customFormat="false" ht="15" hidden="false" customHeight="false" outlineLevel="0" collapsed="false">
      <c r="A2897" s="2" t="s">
        <v>6938</v>
      </c>
      <c r="B2897" s="2" t="s">
        <v>221</v>
      </c>
      <c r="C2897" s="2" t="s">
        <v>6796</v>
      </c>
      <c r="D2897" s="2" t="s">
        <v>49</v>
      </c>
      <c r="E2897" s="2" t="s">
        <v>1563</v>
      </c>
      <c r="F2897" s="2" t="s">
        <v>1186</v>
      </c>
      <c r="G2897" s="2" t="s">
        <v>6939</v>
      </c>
    </row>
    <row r="2898" customFormat="false" ht="15" hidden="false" customHeight="false" outlineLevel="0" collapsed="false">
      <c r="A2898" s="2" t="s">
        <v>6940</v>
      </c>
      <c r="B2898" s="2" t="s">
        <v>221</v>
      </c>
      <c r="C2898" s="2" t="s">
        <v>6796</v>
      </c>
      <c r="D2898" s="2" t="s">
        <v>49</v>
      </c>
      <c r="E2898" s="2" t="s">
        <v>1563</v>
      </c>
      <c r="F2898" s="2" t="s">
        <v>1186</v>
      </c>
      <c r="G2898" s="2" t="s">
        <v>6941</v>
      </c>
    </row>
    <row r="2899" customFormat="false" ht="15" hidden="false" customHeight="false" outlineLevel="0" collapsed="false">
      <c r="A2899" s="2" t="s">
        <v>6942</v>
      </c>
      <c r="B2899" s="2" t="s">
        <v>221</v>
      </c>
      <c r="C2899" s="2" t="s">
        <v>6796</v>
      </c>
      <c r="D2899" s="2" t="s">
        <v>49</v>
      </c>
      <c r="E2899" s="2" t="s">
        <v>1563</v>
      </c>
      <c r="F2899" s="2" t="s">
        <v>1186</v>
      </c>
      <c r="G2899" s="2" t="s">
        <v>6943</v>
      </c>
    </row>
    <row r="2900" customFormat="false" ht="15" hidden="false" customHeight="false" outlineLevel="0" collapsed="false">
      <c r="A2900" s="2" t="s">
        <v>6944</v>
      </c>
      <c r="B2900" s="2" t="s">
        <v>221</v>
      </c>
      <c r="C2900" s="2" t="s">
        <v>6796</v>
      </c>
      <c r="D2900" s="2" t="s">
        <v>49</v>
      </c>
      <c r="E2900" s="2" t="s">
        <v>1563</v>
      </c>
      <c r="F2900" s="2" t="s">
        <v>1186</v>
      </c>
      <c r="G2900" s="2" t="s">
        <v>6945</v>
      </c>
    </row>
    <row r="2901" customFormat="false" ht="15" hidden="false" customHeight="false" outlineLevel="0" collapsed="false">
      <c r="A2901" s="2" t="s">
        <v>6946</v>
      </c>
      <c r="B2901" s="2" t="s">
        <v>221</v>
      </c>
      <c r="C2901" s="2" t="s">
        <v>6796</v>
      </c>
      <c r="D2901" s="2" t="s">
        <v>49</v>
      </c>
      <c r="E2901" s="2" t="s">
        <v>1563</v>
      </c>
      <c r="F2901" s="2" t="s">
        <v>1186</v>
      </c>
      <c r="G2901" s="2" t="s">
        <v>6947</v>
      </c>
    </row>
    <row r="2902" customFormat="false" ht="15" hidden="false" customHeight="false" outlineLevel="0" collapsed="false">
      <c r="A2902" s="2" t="s">
        <v>6948</v>
      </c>
      <c r="B2902" s="2" t="s">
        <v>221</v>
      </c>
      <c r="C2902" s="2" t="s">
        <v>6796</v>
      </c>
      <c r="D2902" s="2" t="s">
        <v>49</v>
      </c>
      <c r="E2902" s="2" t="s">
        <v>1563</v>
      </c>
      <c r="F2902" s="2" t="s">
        <v>1186</v>
      </c>
      <c r="G2902" s="2" t="s">
        <v>6949</v>
      </c>
    </row>
    <row r="2903" customFormat="false" ht="15" hidden="false" customHeight="false" outlineLevel="0" collapsed="false">
      <c r="A2903" s="2" t="s">
        <v>6950</v>
      </c>
      <c r="B2903" s="2" t="s">
        <v>221</v>
      </c>
      <c r="C2903" s="2" t="s">
        <v>6796</v>
      </c>
      <c r="D2903" s="2" t="s">
        <v>49</v>
      </c>
      <c r="E2903" s="2" t="s">
        <v>1563</v>
      </c>
      <c r="F2903" s="2" t="s">
        <v>1186</v>
      </c>
      <c r="G2903" s="2" t="s">
        <v>6951</v>
      </c>
    </row>
    <row r="2904" customFormat="false" ht="15" hidden="false" customHeight="false" outlineLevel="0" collapsed="false">
      <c r="A2904" s="2" t="s">
        <v>6952</v>
      </c>
      <c r="B2904" s="2" t="s">
        <v>221</v>
      </c>
      <c r="C2904" s="2" t="s">
        <v>6796</v>
      </c>
      <c r="D2904" s="2" t="s">
        <v>49</v>
      </c>
      <c r="E2904" s="2" t="s">
        <v>1563</v>
      </c>
      <c r="F2904" s="2" t="s">
        <v>1186</v>
      </c>
      <c r="G2904" s="2" t="s">
        <v>6953</v>
      </c>
    </row>
    <row r="2905" customFormat="false" ht="15" hidden="false" customHeight="false" outlineLevel="0" collapsed="false">
      <c r="A2905" s="2" t="s">
        <v>6954</v>
      </c>
      <c r="B2905" s="2" t="s">
        <v>221</v>
      </c>
      <c r="C2905" s="2" t="s">
        <v>6796</v>
      </c>
      <c r="D2905" s="2" t="s">
        <v>49</v>
      </c>
      <c r="E2905" s="2" t="s">
        <v>1563</v>
      </c>
      <c r="F2905" s="2" t="s">
        <v>1186</v>
      </c>
      <c r="G2905" s="2" t="s">
        <v>6955</v>
      </c>
    </row>
    <row r="2906" customFormat="false" ht="15" hidden="false" customHeight="false" outlineLevel="0" collapsed="false">
      <c r="A2906" s="2" t="s">
        <v>6956</v>
      </c>
      <c r="B2906" s="2" t="s">
        <v>221</v>
      </c>
      <c r="C2906" s="2" t="s">
        <v>6796</v>
      </c>
      <c r="D2906" s="2" t="s">
        <v>49</v>
      </c>
      <c r="E2906" s="2" t="s">
        <v>1563</v>
      </c>
      <c r="F2906" s="2" t="s">
        <v>1186</v>
      </c>
      <c r="G2906" s="2" t="s">
        <v>6957</v>
      </c>
    </row>
    <row r="2907" customFormat="false" ht="15" hidden="false" customHeight="false" outlineLevel="0" collapsed="false">
      <c r="A2907" s="2" t="s">
        <v>6958</v>
      </c>
      <c r="B2907" s="2" t="s">
        <v>221</v>
      </c>
      <c r="C2907" s="2" t="s">
        <v>6796</v>
      </c>
      <c r="D2907" s="2" t="s">
        <v>49</v>
      </c>
      <c r="E2907" s="2" t="s">
        <v>1563</v>
      </c>
      <c r="F2907" s="2" t="s">
        <v>1186</v>
      </c>
      <c r="G2907" s="2" t="s">
        <v>6959</v>
      </c>
    </row>
    <row r="2908" customFormat="false" ht="15" hidden="false" customHeight="false" outlineLevel="0" collapsed="false">
      <c r="A2908" s="2" t="s">
        <v>6960</v>
      </c>
      <c r="B2908" s="2" t="s">
        <v>221</v>
      </c>
      <c r="C2908" s="2" t="s">
        <v>6796</v>
      </c>
      <c r="D2908" s="2" t="s">
        <v>49</v>
      </c>
      <c r="E2908" s="2" t="s">
        <v>1563</v>
      </c>
      <c r="F2908" s="2" t="s">
        <v>1186</v>
      </c>
      <c r="G2908" s="2" t="s">
        <v>6961</v>
      </c>
    </row>
    <row r="2909" customFormat="false" ht="15" hidden="false" customHeight="false" outlineLevel="0" collapsed="false">
      <c r="A2909" s="2" t="s">
        <v>6962</v>
      </c>
      <c r="B2909" s="2" t="s">
        <v>221</v>
      </c>
      <c r="C2909" s="2" t="s">
        <v>6796</v>
      </c>
      <c r="D2909" s="2" t="s">
        <v>49</v>
      </c>
      <c r="E2909" s="2" t="s">
        <v>1563</v>
      </c>
      <c r="F2909" s="2" t="s">
        <v>1186</v>
      </c>
      <c r="G2909" s="2" t="s">
        <v>6963</v>
      </c>
    </row>
    <row r="2910" customFormat="false" ht="15" hidden="false" customHeight="false" outlineLevel="0" collapsed="false">
      <c r="A2910" s="2" t="s">
        <v>6964</v>
      </c>
      <c r="B2910" s="2" t="s">
        <v>221</v>
      </c>
      <c r="C2910" s="2" t="s">
        <v>6796</v>
      </c>
      <c r="D2910" s="2" t="s">
        <v>49</v>
      </c>
      <c r="E2910" s="2" t="s">
        <v>1563</v>
      </c>
      <c r="F2910" s="2" t="s">
        <v>1186</v>
      </c>
      <c r="G2910" s="2" t="s">
        <v>6965</v>
      </c>
    </row>
    <row r="2911" customFormat="false" ht="15" hidden="false" customHeight="false" outlineLevel="0" collapsed="false">
      <c r="A2911" s="2" t="s">
        <v>6966</v>
      </c>
      <c r="B2911" s="2" t="s">
        <v>221</v>
      </c>
      <c r="C2911" s="2" t="s">
        <v>6796</v>
      </c>
      <c r="D2911" s="2" t="s">
        <v>49</v>
      </c>
      <c r="E2911" s="2" t="s">
        <v>1563</v>
      </c>
      <c r="F2911" s="2" t="s">
        <v>1186</v>
      </c>
      <c r="G2911" s="2" t="s">
        <v>6967</v>
      </c>
    </row>
    <row r="2912" customFormat="false" ht="15" hidden="false" customHeight="false" outlineLevel="0" collapsed="false">
      <c r="A2912" s="2" t="s">
        <v>6968</v>
      </c>
      <c r="B2912" s="2" t="s">
        <v>221</v>
      </c>
      <c r="C2912" s="2" t="s">
        <v>6796</v>
      </c>
      <c r="D2912" s="2" t="s">
        <v>49</v>
      </c>
      <c r="E2912" s="2" t="s">
        <v>1563</v>
      </c>
      <c r="F2912" s="2" t="s">
        <v>1186</v>
      </c>
      <c r="G2912" s="2" t="s">
        <v>6969</v>
      </c>
    </row>
    <row r="2913" customFormat="false" ht="15" hidden="false" customHeight="false" outlineLevel="0" collapsed="false">
      <c r="A2913" s="2" t="s">
        <v>6970</v>
      </c>
      <c r="B2913" s="2" t="s">
        <v>221</v>
      </c>
      <c r="C2913" s="2" t="s">
        <v>6796</v>
      </c>
      <c r="D2913" s="2" t="s">
        <v>49</v>
      </c>
      <c r="E2913" s="2" t="s">
        <v>1563</v>
      </c>
      <c r="F2913" s="2" t="s">
        <v>1186</v>
      </c>
      <c r="G2913" s="2" t="s">
        <v>6971</v>
      </c>
    </row>
    <row r="2914" customFormat="false" ht="15" hidden="false" customHeight="false" outlineLevel="0" collapsed="false">
      <c r="A2914" s="2" t="s">
        <v>6972</v>
      </c>
      <c r="B2914" s="2" t="s">
        <v>221</v>
      </c>
      <c r="C2914" s="2" t="s">
        <v>6796</v>
      </c>
      <c r="D2914" s="2" t="s">
        <v>49</v>
      </c>
      <c r="E2914" s="2" t="s">
        <v>1563</v>
      </c>
      <c r="F2914" s="2" t="s">
        <v>1186</v>
      </c>
      <c r="G2914" s="2" t="s">
        <v>6973</v>
      </c>
    </row>
    <row r="2915" customFormat="false" ht="15" hidden="false" customHeight="false" outlineLevel="0" collapsed="false">
      <c r="A2915" s="2" t="s">
        <v>6974</v>
      </c>
      <c r="B2915" s="2" t="s">
        <v>221</v>
      </c>
      <c r="C2915" s="2" t="s">
        <v>6796</v>
      </c>
      <c r="D2915" s="2" t="s">
        <v>49</v>
      </c>
      <c r="E2915" s="2" t="s">
        <v>1563</v>
      </c>
      <c r="F2915" s="2" t="s">
        <v>1186</v>
      </c>
      <c r="G2915" s="2" t="s">
        <v>6975</v>
      </c>
    </row>
    <row r="2916" customFormat="false" ht="15" hidden="false" customHeight="false" outlineLevel="0" collapsed="false">
      <c r="A2916" s="2" t="s">
        <v>6976</v>
      </c>
      <c r="B2916" s="2" t="s">
        <v>221</v>
      </c>
      <c r="C2916" s="2" t="s">
        <v>6796</v>
      </c>
      <c r="D2916" s="2" t="s">
        <v>49</v>
      </c>
      <c r="E2916" s="2" t="s">
        <v>1563</v>
      </c>
      <c r="F2916" s="2" t="s">
        <v>1186</v>
      </c>
      <c r="G2916" s="2" t="s">
        <v>6977</v>
      </c>
    </row>
    <row r="2917" customFormat="false" ht="15" hidden="false" customHeight="false" outlineLevel="0" collapsed="false">
      <c r="A2917" s="2" t="s">
        <v>6978</v>
      </c>
      <c r="B2917" s="2" t="s">
        <v>221</v>
      </c>
      <c r="C2917" s="2" t="s">
        <v>6796</v>
      </c>
      <c r="D2917" s="2" t="s">
        <v>49</v>
      </c>
      <c r="E2917" s="2" t="s">
        <v>1563</v>
      </c>
      <c r="F2917" s="2" t="s">
        <v>1186</v>
      </c>
      <c r="G2917" s="2" t="s">
        <v>6979</v>
      </c>
    </row>
    <row r="2918" customFormat="false" ht="15" hidden="false" customHeight="false" outlineLevel="0" collapsed="false">
      <c r="A2918" s="2" t="s">
        <v>6980</v>
      </c>
      <c r="B2918" s="2" t="s">
        <v>221</v>
      </c>
      <c r="C2918" s="2" t="s">
        <v>6796</v>
      </c>
      <c r="D2918" s="2" t="s">
        <v>49</v>
      </c>
      <c r="E2918" s="2" t="s">
        <v>1563</v>
      </c>
      <c r="F2918" s="2" t="s">
        <v>1186</v>
      </c>
      <c r="G2918" s="2" t="s">
        <v>6981</v>
      </c>
    </row>
    <row r="2919" customFormat="false" ht="15" hidden="false" customHeight="false" outlineLevel="0" collapsed="false">
      <c r="A2919" s="2" t="s">
        <v>6982</v>
      </c>
      <c r="B2919" s="2" t="s">
        <v>221</v>
      </c>
      <c r="C2919" s="2" t="s">
        <v>6796</v>
      </c>
      <c r="D2919" s="2" t="s">
        <v>49</v>
      </c>
      <c r="E2919" s="2" t="s">
        <v>1563</v>
      </c>
      <c r="F2919" s="2" t="s">
        <v>1186</v>
      </c>
      <c r="G2919" s="2" t="s">
        <v>6983</v>
      </c>
    </row>
    <row r="2920" customFormat="false" ht="15" hidden="false" customHeight="false" outlineLevel="0" collapsed="false">
      <c r="A2920" s="2" t="s">
        <v>6984</v>
      </c>
      <c r="B2920" s="2" t="s">
        <v>221</v>
      </c>
      <c r="C2920" s="2" t="s">
        <v>6796</v>
      </c>
      <c r="D2920" s="2" t="s">
        <v>49</v>
      </c>
      <c r="E2920" s="2" t="s">
        <v>1563</v>
      </c>
      <c r="F2920" s="2" t="s">
        <v>1186</v>
      </c>
      <c r="G2920" s="2" t="s">
        <v>6985</v>
      </c>
    </row>
    <row r="2921" customFormat="false" ht="15" hidden="false" customHeight="false" outlineLevel="0" collapsed="false">
      <c r="A2921" s="2" t="s">
        <v>6986</v>
      </c>
      <c r="B2921" s="2" t="s">
        <v>221</v>
      </c>
      <c r="C2921" s="2" t="s">
        <v>6796</v>
      </c>
      <c r="D2921" s="2" t="s">
        <v>49</v>
      </c>
      <c r="E2921" s="2" t="s">
        <v>1563</v>
      </c>
      <c r="F2921" s="2" t="s">
        <v>1186</v>
      </c>
      <c r="G2921" s="2" t="s">
        <v>6987</v>
      </c>
    </row>
    <row r="2922" customFormat="false" ht="15" hidden="false" customHeight="false" outlineLevel="0" collapsed="false">
      <c r="A2922" s="2" t="s">
        <v>6988</v>
      </c>
      <c r="B2922" s="2" t="s">
        <v>221</v>
      </c>
      <c r="C2922" s="2" t="s">
        <v>6796</v>
      </c>
      <c r="D2922" s="2" t="s">
        <v>49</v>
      </c>
      <c r="E2922" s="2" t="s">
        <v>1563</v>
      </c>
      <c r="F2922" s="2" t="s">
        <v>1186</v>
      </c>
      <c r="G2922" s="2" t="s">
        <v>6989</v>
      </c>
    </row>
    <row r="2923" customFormat="false" ht="15" hidden="false" customHeight="false" outlineLevel="0" collapsed="false">
      <c r="A2923" s="2" t="s">
        <v>6990</v>
      </c>
      <c r="B2923" s="2" t="s">
        <v>221</v>
      </c>
      <c r="C2923" s="2" t="s">
        <v>6796</v>
      </c>
      <c r="D2923" s="2" t="s">
        <v>49</v>
      </c>
      <c r="E2923" s="2" t="s">
        <v>1563</v>
      </c>
      <c r="F2923" s="2" t="s">
        <v>1186</v>
      </c>
      <c r="G2923" s="2" t="s">
        <v>6991</v>
      </c>
    </row>
    <row r="2924" customFormat="false" ht="15" hidden="false" customHeight="false" outlineLevel="0" collapsed="false">
      <c r="A2924" s="2" t="s">
        <v>6992</v>
      </c>
      <c r="B2924" s="2" t="s">
        <v>221</v>
      </c>
      <c r="C2924" s="2" t="s">
        <v>6796</v>
      </c>
      <c r="D2924" s="2" t="s">
        <v>49</v>
      </c>
      <c r="E2924" s="2" t="s">
        <v>1563</v>
      </c>
      <c r="F2924" s="2" t="s">
        <v>1186</v>
      </c>
      <c r="G2924" s="2" t="s">
        <v>6993</v>
      </c>
    </row>
    <row r="2925" customFormat="false" ht="15" hidden="false" customHeight="false" outlineLevel="0" collapsed="false">
      <c r="A2925" s="2" t="s">
        <v>6994</v>
      </c>
      <c r="B2925" s="2" t="s">
        <v>221</v>
      </c>
      <c r="C2925" s="2" t="s">
        <v>6796</v>
      </c>
      <c r="D2925" s="2" t="s">
        <v>49</v>
      </c>
      <c r="E2925" s="2" t="s">
        <v>1563</v>
      </c>
      <c r="F2925" s="2" t="s">
        <v>1186</v>
      </c>
      <c r="G2925" s="2" t="s">
        <v>6995</v>
      </c>
    </row>
    <row r="2926" customFormat="false" ht="15" hidden="false" customHeight="false" outlineLevel="0" collapsed="false">
      <c r="A2926" s="2" t="s">
        <v>6996</v>
      </c>
      <c r="B2926" s="2" t="s">
        <v>221</v>
      </c>
      <c r="C2926" s="2" t="s">
        <v>6796</v>
      </c>
      <c r="D2926" s="2" t="s">
        <v>49</v>
      </c>
      <c r="E2926" s="2" t="s">
        <v>1563</v>
      </c>
      <c r="F2926" s="2" t="s">
        <v>1186</v>
      </c>
      <c r="G2926" s="2" t="s">
        <v>6997</v>
      </c>
    </row>
    <row r="2927" customFormat="false" ht="15" hidden="false" customHeight="false" outlineLevel="0" collapsed="false">
      <c r="A2927" s="2" t="s">
        <v>6998</v>
      </c>
      <c r="B2927" s="2" t="s">
        <v>221</v>
      </c>
      <c r="C2927" s="2" t="s">
        <v>6796</v>
      </c>
      <c r="D2927" s="2" t="s">
        <v>49</v>
      </c>
      <c r="E2927" s="2" t="s">
        <v>1563</v>
      </c>
      <c r="F2927" s="2" t="s">
        <v>1186</v>
      </c>
      <c r="G2927" s="2" t="s">
        <v>6999</v>
      </c>
    </row>
    <row r="2928" customFormat="false" ht="15" hidden="false" customHeight="false" outlineLevel="0" collapsed="false">
      <c r="A2928" s="2" t="s">
        <v>7000</v>
      </c>
      <c r="B2928" s="2" t="s">
        <v>221</v>
      </c>
      <c r="C2928" s="2" t="s">
        <v>6796</v>
      </c>
      <c r="D2928" s="2" t="s">
        <v>49</v>
      </c>
      <c r="E2928" s="2" t="s">
        <v>1563</v>
      </c>
      <c r="F2928" s="2" t="s">
        <v>1186</v>
      </c>
      <c r="G2928" s="2" t="s">
        <v>1323</v>
      </c>
    </row>
    <row r="2929" customFormat="false" ht="15" hidden="false" customHeight="false" outlineLevel="0" collapsed="false">
      <c r="A2929" s="2" t="s">
        <v>7001</v>
      </c>
      <c r="B2929" s="2" t="s">
        <v>146</v>
      </c>
      <c r="C2929" s="2" t="s">
        <v>2760</v>
      </c>
      <c r="D2929" s="2" t="s">
        <v>48</v>
      </c>
      <c r="E2929" s="2" t="s">
        <v>1185</v>
      </c>
      <c r="F2929" s="2" t="s">
        <v>1186</v>
      </c>
      <c r="G2929" s="2" t="s">
        <v>2761</v>
      </c>
    </row>
    <row r="2930" customFormat="false" ht="15" hidden="false" customHeight="false" outlineLevel="0" collapsed="false">
      <c r="A2930" s="2" t="s">
        <v>7002</v>
      </c>
      <c r="B2930" s="2" t="s">
        <v>146</v>
      </c>
      <c r="C2930" s="2" t="s">
        <v>2760</v>
      </c>
      <c r="D2930" s="2" t="s">
        <v>48</v>
      </c>
      <c r="E2930" s="2" t="s">
        <v>1185</v>
      </c>
      <c r="F2930" s="2" t="s">
        <v>1186</v>
      </c>
      <c r="G2930" s="2" t="s">
        <v>2764</v>
      </c>
    </row>
    <row r="2931" customFormat="false" ht="15" hidden="false" customHeight="false" outlineLevel="0" collapsed="false">
      <c r="A2931" s="2" t="s">
        <v>7003</v>
      </c>
      <c r="B2931" s="2" t="s">
        <v>146</v>
      </c>
      <c r="C2931" s="2" t="s">
        <v>2760</v>
      </c>
      <c r="D2931" s="2" t="s">
        <v>48</v>
      </c>
      <c r="E2931" s="2" t="s">
        <v>1185</v>
      </c>
      <c r="F2931" s="2" t="s">
        <v>1186</v>
      </c>
      <c r="G2931" s="2" t="s">
        <v>7004</v>
      </c>
    </row>
    <row r="2932" customFormat="false" ht="15" hidden="false" customHeight="false" outlineLevel="0" collapsed="false">
      <c r="A2932" s="2" t="s">
        <v>7005</v>
      </c>
      <c r="B2932" s="2" t="s">
        <v>146</v>
      </c>
      <c r="C2932" s="2" t="s">
        <v>2760</v>
      </c>
      <c r="D2932" s="2" t="s">
        <v>48</v>
      </c>
      <c r="E2932" s="2" t="s">
        <v>1185</v>
      </c>
      <c r="F2932" s="2" t="s">
        <v>1186</v>
      </c>
      <c r="G2932" s="2" t="s">
        <v>7006</v>
      </c>
    </row>
    <row r="2933" customFormat="false" ht="15" hidden="false" customHeight="false" outlineLevel="0" collapsed="false">
      <c r="A2933" s="2" t="s">
        <v>7007</v>
      </c>
      <c r="B2933" s="2" t="s">
        <v>146</v>
      </c>
      <c r="C2933" s="2" t="s">
        <v>2760</v>
      </c>
      <c r="D2933" s="2" t="s">
        <v>48</v>
      </c>
      <c r="E2933" s="2" t="s">
        <v>1185</v>
      </c>
      <c r="F2933" s="2" t="s">
        <v>1186</v>
      </c>
      <c r="G2933" s="2" t="s">
        <v>2770</v>
      </c>
    </row>
    <row r="2934" customFormat="false" ht="15" hidden="false" customHeight="false" outlineLevel="0" collapsed="false">
      <c r="A2934" s="2" t="s">
        <v>7008</v>
      </c>
      <c r="B2934" s="2" t="s">
        <v>146</v>
      </c>
      <c r="C2934" s="2" t="s">
        <v>2760</v>
      </c>
      <c r="D2934" s="2" t="s">
        <v>48</v>
      </c>
      <c r="E2934" s="2" t="s">
        <v>1185</v>
      </c>
      <c r="F2934" s="2" t="s">
        <v>1186</v>
      </c>
      <c r="G2934" s="2" t="s">
        <v>7009</v>
      </c>
    </row>
    <row r="2935" customFormat="false" ht="15" hidden="false" customHeight="false" outlineLevel="0" collapsed="false">
      <c r="A2935" s="2" t="s">
        <v>7010</v>
      </c>
      <c r="B2935" s="2" t="s">
        <v>146</v>
      </c>
      <c r="C2935" s="2" t="s">
        <v>2760</v>
      </c>
      <c r="D2935" s="2" t="s">
        <v>48</v>
      </c>
      <c r="E2935" s="2" t="s">
        <v>1185</v>
      </c>
      <c r="F2935" s="2" t="s">
        <v>1186</v>
      </c>
      <c r="G2935" s="2" t="s">
        <v>7011</v>
      </c>
    </row>
    <row r="2936" customFormat="false" ht="15" hidden="false" customHeight="false" outlineLevel="0" collapsed="false">
      <c r="A2936" s="2" t="s">
        <v>7012</v>
      </c>
      <c r="B2936" s="2" t="s">
        <v>146</v>
      </c>
      <c r="C2936" s="2" t="s">
        <v>2760</v>
      </c>
      <c r="D2936" s="2" t="s">
        <v>48</v>
      </c>
      <c r="E2936" s="2" t="s">
        <v>1185</v>
      </c>
      <c r="F2936" s="2" t="s">
        <v>1186</v>
      </c>
      <c r="G2936" s="2" t="s">
        <v>7013</v>
      </c>
    </row>
    <row r="2937" customFormat="false" ht="15" hidden="false" customHeight="false" outlineLevel="0" collapsed="false">
      <c r="A2937" s="2" t="s">
        <v>7014</v>
      </c>
      <c r="B2937" s="2" t="s">
        <v>146</v>
      </c>
      <c r="C2937" s="2" t="s">
        <v>2760</v>
      </c>
      <c r="D2937" s="2" t="s">
        <v>48</v>
      </c>
      <c r="E2937" s="2" t="s">
        <v>1185</v>
      </c>
      <c r="F2937" s="2" t="s">
        <v>1186</v>
      </c>
      <c r="G2937" s="2" t="s">
        <v>7015</v>
      </c>
    </row>
    <row r="2938" customFormat="false" ht="15" hidden="false" customHeight="false" outlineLevel="0" collapsed="false">
      <c r="A2938" s="2" t="s">
        <v>7016</v>
      </c>
      <c r="B2938" s="2" t="s">
        <v>146</v>
      </c>
      <c r="C2938" s="2" t="s">
        <v>2760</v>
      </c>
      <c r="D2938" s="2" t="s">
        <v>48</v>
      </c>
      <c r="E2938" s="2" t="s">
        <v>1185</v>
      </c>
      <c r="F2938" s="2" t="s">
        <v>1186</v>
      </c>
      <c r="G2938" s="2" t="s">
        <v>7017</v>
      </c>
    </row>
    <row r="2939" customFormat="false" ht="15" hidden="false" customHeight="false" outlineLevel="0" collapsed="false">
      <c r="A2939" s="2" t="s">
        <v>7018</v>
      </c>
      <c r="B2939" s="2" t="s">
        <v>146</v>
      </c>
      <c r="C2939" s="2" t="s">
        <v>2760</v>
      </c>
      <c r="D2939" s="2" t="s">
        <v>48</v>
      </c>
      <c r="E2939" s="2" t="s">
        <v>1185</v>
      </c>
      <c r="F2939" s="2" t="s">
        <v>1186</v>
      </c>
      <c r="G2939" s="2" t="s">
        <v>7019</v>
      </c>
    </row>
    <row r="2940" customFormat="false" ht="15" hidden="false" customHeight="false" outlineLevel="0" collapsed="false">
      <c r="A2940" s="2" t="s">
        <v>7020</v>
      </c>
      <c r="B2940" s="2" t="s">
        <v>146</v>
      </c>
      <c r="C2940" s="2" t="s">
        <v>2760</v>
      </c>
      <c r="D2940" s="2" t="s">
        <v>48</v>
      </c>
      <c r="E2940" s="2" t="s">
        <v>1185</v>
      </c>
      <c r="F2940" s="2" t="s">
        <v>1186</v>
      </c>
      <c r="G2940" s="2" t="s">
        <v>2774</v>
      </c>
    </row>
    <row r="2941" customFormat="false" ht="15" hidden="false" customHeight="false" outlineLevel="0" collapsed="false">
      <c r="A2941" s="2" t="s">
        <v>7021</v>
      </c>
      <c r="B2941" s="2" t="s">
        <v>146</v>
      </c>
      <c r="C2941" s="2" t="s">
        <v>2760</v>
      </c>
      <c r="D2941" s="2" t="s">
        <v>48</v>
      </c>
      <c r="E2941" s="2" t="s">
        <v>1185</v>
      </c>
      <c r="F2941" s="2" t="s">
        <v>1186</v>
      </c>
      <c r="G2941" s="2" t="s">
        <v>2761</v>
      </c>
    </row>
    <row r="2942" customFormat="false" ht="15" hidden="false" customHeight="false" outlineLevel="0" collapsed="false">
      <c r="A2942" s="2" t="s">
        <v>7022</v>
      </c>
      <c r="B2942" s="2" t="s">
        <v>146</v>
      </c>
      <c r="C2942" s="2" t="s">
        <v>2760</v>
      </c>
      <c r="D2942" s="2" t="s">
        <v>48</v>
      </c>
      <c r="E2942" s="2" t="s">
        <v>1185</v>
      </c>
      <c r="F2942" s="2" t="s">
        <v>1186</v>
      </c>
      <c r="G2942" s="2" t="s">
        <v>2761</v>
      </c>
    </row>
    <row r="2943" customFormat="false" ht="15" hidden="false" customHeight="false" outlineLevel="0" collapsed="false">
      <c r="A2943" s="2" t="s">
        <v>7023</v>
      </c>
      <c r="B2943" s="2" t="s">
        <v>146</v>
      </c>
      <c r="C2943" s="2" t="s">
        <v>2760</v>
      </c>
      <c r="D2943" s="2" t="s">
        <v>48</v>
      </c>
      <c r="E2943" s="2" t="s">
        <v>1185</v>
      </c>
      <c r="F2943" s="2" t="s">
        <v>1186</v>
      </c>
      <c r="G2943" s="2" t="s">
        <v>2761</v>
      </c>
    </row>
    <row r="2944" customFormat="false" ht="15" hidden="false" customHeight="false" outlineLevel="0" collapsed="false">
      <c r="A2944" s="2" t="s">
        <v>7024</v>
      </c>
      <c r="B2944" s="2" t="s">
        <v>146</v>
      </c>
      <c r="C2944" s="2" t="s">
        <v>2760</v>
      </c>
      <c r="D2944" s="2" t="s">
        <v>48</v>
      </c>
      <c r="E2944" s="2" t="s">
        <v>1185</v>
      </c>
      <c r="F2944" s="2" t="s">
        <v>1186</v>
      </c>
      <c r="G2944" s="2" t="s">
        <v>2761</v>
      </c>
    </row>
    <row r="2945" customFormat="false" ht="15" hidden="false" customHeight="false" outlineLevel="0" collapsed="false">
      <c r="A2945" s="2" t="s">
        <v>7025</v>
      </c>
      <c r="B2945" s="2" t="s">
        <v>146</v>
      </c>
      <c r="C2945" s="2" t="s">
        <v>2760</v>
      </c>
      <c r="D2945" s="2" t="s">
        <v>48</v>
      </c>
      <c r="E2945" s="2" t="s">
        <v>1185</v>
      </c>
      <c r="F2945" s="2" t="s">
        <v>1186</v>
      </c>
      <c r="G2945" s="2" t="s">
        <v>2761</v>
      </c>
    </row>
    <row r="2946" customFormat="false" ht="15" hidden="false" customHeight="false" outlineLevel="0" collapsed="false">
      <c r="A2946" s="2" t="s">
        <v>7026</v>
      </c>
      <c r="B2946" s="2" t="s">
        <v>146</v>
      </c>
      <c r="C2946" s="2" t="s">
        <v>2760</v>
      </c>
      <c r="D2946" s="2" t="s">
        <v>48</v>
      </c>
      <c r="E2946" s="2" t="s">
        <v>1185</v>
      </c>
      <c r="F2946" s="2" t="s">
        <v>1186</v>
      </c>
      <c r="G2946" s="2" t="s">
        <v>2761</v>
      </c>
    </row>
    <row r="2947" customFormat="false" ht="15" hidden="false" customHeight="false" outlineLevel="0" collapsed="false">
      <c r="A2947" s="2" t="s">
        <v>7027</v>
      </c>
      <c r="B2947" s="2" t="s">
        <v>146</v>
      </c>
      <c r="C2947" s="2" t="s">
        <v>2760</v>
      </c>
      <c r="D2947" s="2" t="s">
        <v>48</v>
      </c>
      <c r="E2947" s="2" t="s">
        <v>1185</v>
      </c>
      <c r="F2947" s="2" t="s">
        <v>1186</v>
      </c>
      <c r="G2947" s="2" t="s">
        <v>2761</v>
      </c>
    </row>
    <row r="2948" customFormat="false" ht="15" hidden="false" customHeight="false" outlineLevel="0" collapsed="false">
      <c r="A2948" s="2" t="s">
        <v>7028</v>
      </c>
      <c r="B2948" s="2" t="s">
        <v>146</v>
      </c>
      <c r="C2948" s="2" t="s">
        <v>2760</v>
      </c>
      <c r="D2948" s="2" t="s">
        <v>48</v>
      </c>
      <c r="E2948" s="2" t="s">
        <v>1185</v>
      </c>
      <c r="F2948" s="2" t="s">
        <v>1186</v>
      </c>
      <c r="G2948" s="2" t="s">
        <v>2761</v>
      </c>
    </row>
    <row r="2949" customFormat="false" ht="15" hidden="false" customHeight="false" outlineLevel="0" collapsed="false">
      <c r="A2949" s="2" t="s">
        <v>7029</v>
      </c>
      <c r="B2949" s="2" t="s">
        <v>146</v>
      </c>
      <c r="C2949" s="2" t="s">
        <v>2760</v>
      </c>
      <c r="D2949" s="2" t="s">
        <v>48</v>
      </c>
      <c r="E2949" s="2" t="s">
        <v>1185</v>
      </c>
      <c r="F2949" s="2" t="s">
        <v>1186</v>
      </c>
      <c r="G2949" s="2" t="s">
        <v>2761</v>
      </c>
    </row>
    <row r="2950" customFormat="false" ht="15" hidden="false" customHeight="false" outlineLevel="0" collapsed="false">
      <c r="A2950" s="2" t="s">
        <v>7030</v>
      </c>
      <c r="B2950" s="2" t="s">
        <v>146</v>
      </c>
      <c r="C2950" s="2" t="s">
        <v>2760</v>
      </c>
      <c r="D2950" s="2" t="s">
        <v>48</v>
      </c>
      <c r="E2950" s="2" t="s">
        <v>1185</v>
      </c>
      <c r="F2950" s="2" t="s">
        <v>1186</v>
      </c>
      <c r="G2950" s="2" t="s">
        <v>2761</v>
      </c>
    </row>
    <row r="2951" customFormat="false" ht="15" hidden="false" customHeight="false" outlineLevel="0" collapsed="false">
      <c r="A2951" s="2" t="s">
        <v>7031</v>
      </c>
      <c r="B2951" s="2" t="s">
        <v>146</v>
      </c>
      <c r="C2951" s="2" t="s">
        <v>2760</v>
      </c>
      <c r="D2951" s="2" t="s">
        <v>48</v>
      </c>
      <c r="E2951" s="2" t="s">
        <v>1185</v>
      </c>
      <c r="F2951" s="2" t="s">
        <v>1186</v>
      </c>
      <c r="G2951" s="2" t="s">
        <v>7032</v>
      </c>
    </row>
    <row r="2952" customFormat="false" ht="15" hidden="false" customHeight="false" outlineLevel="0" collapsed="false">
      <c r="A2952" s="2" t="s">
        <v>7033</v>
      </c>
      <c r="B2952" s="2" t="s">
        <v>146</v>
      </c>
      <c r="C2952" s="2" t="s">
        <v>2760</v>
      </c>
      <c r="D2952" s="2" t="s">
        <v>48</v>
      </c>
      <c r="E2952" s="2" t="s">
        <v>1185</v>
      </c>
      <c r="F2952" s="2" t="s">
        <v>1186</v>
      </c>
      <c r="G2952" s="2" t="s">
        <v>7032</v>
      </c>
    </row>
    <row r="2953" customFormat="false" ht="15" hidden="false" customHeight="false" outlineLevel="0" collapsed="false">
      <c r="A2953" s="2" t="s">
        <v>7034</v>
      </c>
      <c r="B2953" s="2" t="s">
        <v>146</v>
      </c>
      <c r="C2953" s="2" t="s">
        <v>2760</v>
      </c>
      <c r="D2953" s="2" t="s">
        <v>48</v>
      </c>
      <c r="E2953" s="2" t="s">
        <v>1185</v>
      </c>
      <c r="F2953" s="2" t="s">
        <v>1186</v>
      </c>
      <c r="G2953" s="2" t="s">
        <v>7035</v>
      </c>
    </row>
    <row r="2954" customFormat="false" ht="15" hidden="false" customHeight="false" outlineLevel="0" collapsed="false">
      <c r="A2954" s="2" t="s">
        <v>7036</v>
      </c>
      <c r="B2954" s="2" t="s">
        <v>126</v>
      </c>
      <c r="C2954" s="2" t="s">
        <v>4204</v>
      </c>
      <c r="D2954" s="2" t="s">
        <v>48</v>
      </c>
      <c r="E2954" s="2" t="s">
        <v>1185</v>
      </c>
      <c r="F2954" s="2" t="s">
        <v>1186</v>
      </c>
      <c r="G2954" s="2" t="s">
        <v>7037</v>
      </c>
    </row>
    <row r="2955" customFormat="false" ht="15" hidden="false" customHeight="false" outlineLevel="0" collapsed="false">
      <c r="A2955" s="2" t="s">
        <v>7038</v>
      </c>
      <c r="B2955" s="2" t="s">
        <v>126</v>
      </c>
      <c r="C2955" s="2" t="s">
        <v>4204</v>
      </c>
      <c r="D2955" s="2" t="s">
        <v>48</v>
      </c>
      <c r="E2955" s="2" t="s">
        <v>1185</v>
      </c>
      <c r="F2955" s="2" t="s">
        <v>1186</v>
      </c>
      <c r="G2955" s="2" t="s">
        <v>7037</v>
      </c>
    </row>
    <row r="2956" customFormat="false" ht="15" hidden="false" customHeight="false" outlineLevel="0" collapsed="false">
      <c r="A2956" s="2" t="s">
        <v>7039</v>
      </c>
      <c r="B2956" s="2" t="s">
        <v>126</v>
      </c>
      <c r="C2956" s="2" t="s">
        <v>4204</v>
      </c>
      <c r="D2956" s="2" t="s">
        <v>48</v>
      </c>
      <c r="E2956" s="2" t="s">
        <v>1185</v>
      </c>
      <c r="F2956" s="2" t="s">
        <v>1186</v>
      </c>
      <c r="G2956" s="2" t="s">
        <v>7037</v>
      </c>
    </row>
    <row r="2957" customFormat="false" ht="15" hidden="false" customHeight="false" outlineLevel="0" collapsed="false">
      <c r="A2957" s="2" t="s">
        <v>7040</v>
      </c>
      <c r="B2957" s="2" t="s">
        <v>126</v>
      </c>
      <c r="C2957" s="2" t="s">
        <v>4204</v>
      </c>
      <c r="D2957" s="2" t="s">
        <v>48</v>
      </c>
      <c r="E2957" s="2" t="s">
        <v>1185</v>
      </c>
      <c r="F2957" s="2" t="s">
        <v>1186</v>
      </c>
      <c r="G2957" s="2" t="s">
        <v>7037</v>
      </c>
    </row>
    <row r="2958" customFormat="false" ht="15" hidden="false" customHeight="false" outlineLevel="0" collapsed="false">
      <c r="A2958" s="2" t="s">
        <v>7041</v>
      </c>
      <c r="B2958" s="2" t="s">
        <v>126</v>
      </c>
      <c r="C2958" s="2" t="s">
        <v>4204</v>
      </c>
      <c r="D2958" s="2" t="s">
        <v>48</v>
      </c>
      <c r="E2958" s="2" t="s">
        <v>1185</v>
      </c>
      <c r="F2958" s="2" t="s">
        <v>1186</v>
      </c>
      <c r="G2958" s="2" t="s">
        <v>7037</v>
      </c>
    </row>
    <row r="2959" customFormat="false" ht="15" hidden="false" customHeight="false" outlineLevel="0" collapsed="false">
      <c r="A2959" s="2" t="s">
        <v>7042</v>
      </c>
      <c r="B2959" s="2" t="s">
        <v>126</v>
      </c>
      <c r="C2959" s="2" t="s">
        <v>4204</v>
      </c>
      <c r="D2959" s="2" t="s">
        <v>48</v>
      </c>
      <c r="E2959" s="2" t="s">
        <v>1185</v>
      </c>
      <c r="F2959" s="2" t="s">
        <v>1186</v>
      </c>
      <c r="G2959" s="2" t="s">
        <v>7037</v>
      </c>
    </row>
    <row r="2960" customFormat="false" ht="15" hidden="false" customHeight="false" outlineLevel="0" collapsed="false">
      <c r="A2960" s="2" t="s">
        <v>7043</v>
      </c>
      <c r="B2960" s="2" t="s">
        <v>126</v>
      </c>
      <c r="C2960" s="2" t="s">
        <v>4204</v>
      </c>
      <c r="D2960" s="2" t="s">
        <v>48</v>
      </c>
      <c r="E2960" s="2" t="s">
        <v>1185</v>
      </c>
      <c r="F2960" s="2" t="s">
        <v>1186</v>
      </c>
      <c r="G2960" s="2" t="s">
        <v>7037</v>
      </c>
    </row>
    <row r="2961" customFormat="false" ht="15" hidden="false" customHeight="false" outlineLevel="0" collapsed="false">
      <c r="A2961" s="2" t="s">
        <v>7044</v>
      </c>
      <c r="B2961" s="2" t="s">
        <v>126</v>
      </c>
      <c r="C2961" s="2" t="s">
        <v>4204</v>
      </c>
      <c r="D2961" s="2" t="s">
        <v>48</v>
      </c>
      <c r="E2961" s="2" t="s">
        <v>1185</v>
      </c>
      <c r="F2961" s="2" t="s">
        <v>1186</v>
      </c>
      <c r="G2961" s="2" t="s">
        <v>7037</v>
      </c>
    </row>
    <row r="2962" customFormat="false" ht="15" hidden="false" customHeight="false" outlineLevel="0" collapsed="false">
      <c r="A2962" s="2" t="s">
        <v>7045</v>
      </c>
      <c r="B2962" s="2" t="s">
        <v>126</v>
      </c>
      <c r="C2962" s="2" t="s">
        <v>4204</v>
      </c>
      <c r="D2962" s="2" t="s">
        <v>48</v>
      </c>
      <c r="E2962" s="2" t="s">
        <v>1185</v>
      </c>
      <c r="F2962" s="2" t="s">
        <v>1186</v>
      </c>
      <c r="G2962" s="2" t="s">
        <v>7037</v>
      </c>
    </row>
    <row r="2963" customFormat="false" ht="15" hidden="false" customHeight="false" outlineLevel="0" collapsed="false">
      <c r="A2963" s="2" t="s">
        <v>7046</v>
      </c>
      <c r="B2963" s="2" t="s">
        <v>126</v>
      </c>
      <c r="C2963" s="2" t="s">
        <v>4204</v>
      </c>
      <c r="D2963" s="2" t="s">
        <v>48</v>
      </c>
      <c r="E2963" s="2" t="s">
        <v>1185</v>
      </c>
      <c r="F2963" s="2" t="s">
        <v>1186</v>
      </c>
      <c r="G2963" s="2" t="s">
        <v>7047</v>
      </c>
    </row>
    <row r="2964" customFormat="false" ht="15" hidden="false" customHeight="false" outlineLevel="0" collapsed="false">
      <c r="A2964" s="2" t="s">
        <v>7048</v>
      </c>
      <c r="B2964" s="2" t="s">
        <v>126</v>
      </c>
      <c r="C2964" s="2" t="s">
        <v>2179</v>
      </c>
      <c r="D2964" s="2" t="s">
        <v>49</v>
      </c>
      <c r="E2964" s="2" t="s">
        <v>1563</v>
      </c>
      <c r="F2964" s="2" t="s">
        <v>1186</v>
      </c>
      <c r="G2964" s="2" t="s">
        <v>7049</v>
      </c>
    </row>
    <row r="2965" customFormat="false" ht="15" hidden="false" customHeight="false" outlineLevel="0" collapsed="false">
      <c r="A2965" s="2" t="s">
        <v>7050</v>
      </c>
      <c r="B2965" s="2" t="s">
        <v>146</v>
      </c>
      <c r="C2965" s="2" t="s">
        <v>2760</v>
      </c>
      <c r="D2965" s="2" t="s">
        <v>48</v>
      </c>
      <c r="E2965" s="2" t="s">
        <v>1185</v>
      </c>
      <c r="F2965" s="2" t="s">
        <v>1186</v>
      </c>
      <c r="G2965" s="2" t="s">
        <v>7051</v>
      </c>
    </row>
  </sheetData>
  <autoFilter ref="A1:G29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2026-10-29T01:05:57Z</dcterms:created>
  <dc:creator>openpyxl</dc:creator>
  <dc:description/>
  <dc:language>en-US</dc:language>
  <cp:lastModifiedBy/>
  <dcterms:modified xsi:type="dcterms:W3CDTF">2026-10-29T01:05:59Z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